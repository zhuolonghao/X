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zlhte\OneDrive\Desktop\X\"/>
    </mc:Choice>
  </mc:AlternateContent>
  <xr:revisionPtr revIDLastSave="0" documentId="13_ncr:1_{3CC1827E-8E4E-4D4A-8BD8-A939B45A498B}" xr6:coauthVersionLast="47" xr6:coauthVersionMax="47" xr10:uidLastSave="{00000000-0000-0000-0000-000000000000}"/>
  <bookViews>
    <workbookView xWindow="-120" yWindow="-120" windowWidth="29040" windowHeight="15720" firstSheet="1" activeTab="2" xr2:uid="{00000000-000D-0000-FFFF-FFFF00000000}"/>
  </bookViews>
  <sheets>
    <sheet name="__snloffice" sheetId="4" state="veryHidden" r:id="rId1"/>
    <sheet name="macro" sheetId="1" r:id="rId2"/>
    <sheet name="Auto" sheetId="2" r:id="rId3"/>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7" i="1" l="1"/>
  <c r="D27" i="1"/>
  <c r="E27" i="1"/>
  <c r="F27" i="1"/>
  <c r="G27" i="1"/>
  <c r="H27" i="1"/>
</calcChain>
</file>

<file path=xl/sharedStrings.xml><?xml version="1.0" encoding="utf-8"?>
<sst xmlns="http://schemas.openxmlformats.org/spreadsheetml/2006/main" count="202" uniqueCount="160">
  <si>
    <t>Real GDP and its components</t>
  </si>
  <si>
    <t>Item</t>
  </si>
  <si>
    <t>Source</t>
  </si>
  <si>
    <t>BEA</t>
  </si>
  <si>
    <t>End of each Month</t>
  </si>
  <si>
    <t>Frequency</t>
  </si>
  <si>
    <t>Q</t>
  </si>
  <si>
    <t>Publish Timing</t>
  </si>
  <si>
    <t>Unemployment</t>
  </si>
  <si>
    <t>M</t>
  </si>
  <si>
    <t>BLS</t>
  </si>
  <si>
    <t>Beginning of each Month</t>
  </si>
  <si>
    <t>Labor Productivity</t>
  </si>
  <si>
    <t>CPI</t>
  </si>
  <si>
    <t>Mid of each month</t>
  </si>
  <si>
    <t>https://fred.stlouisfed.org/graph/?g=1CF1L</t>
  </si>
  <si>
    <t>https://fred.stlouisfed.org/graph/?g=1iTKv</t>
  </si>
  <si>
    <t>https://fred.stlouisfed.org/graph/?g=1CEzk</t>
  </si>
  <si>
    <t>https://www.bls.gov/cpi/tables/supplemental-files/</t>
  </si>
  <si>
    <t>S&amp;P capital</t>
  </si>
  <si>
    <t>S&amp;P Earning breakdown by revenue, net income profit margin, and o/s shares</t>
  </si>
  <si>
    <t>Sector/Index reporting, but tickers report at different time</t>
  </si>
  <si>
    <t>https://insight.factset.com/author/john-butters</t>
  </si>
  <si>
    <t>c1</t>
  </si>
  <si>
    <t>https://fred.stlouisfed.org/graph/?g=1Dph6</t>
  </si>
  <si>
    <t>Fed</t>
  </si>
  <si>
    <t>consumer's wealth breakdown by RE, Equities, Debt, and Deposits</t>
  </si>
  <si>
    <t xml:space="preserve">2nd week of Mar, Jun, Sep, Dec, with one quarter lag. </t>
  </si>
  <si>
    <t>c2</t>
  </si>
  <si>
    <t>consumer's delinquency trend</t>
  </si>
  <si>
    <t>2nd week of Feb, May, Aug, Nov, with one quarter lag.</t>
  </si>
  <si>
    <t>consumer's leverage</t>
  </si>
  <si>
    <t>https://fred.stlouisfed.org/graph/?g=1CPQl</t>
  </si>
  <si>
    <t>c3</t>
  </si>
  <si>
    <t>consumer's debt service ratio</t>
  </si>
  <si>
    <t xml:space="preserve">3nd week of Mar, Jun, Sep, Dec, with one quarter lag. </t>
  </si>
  <si>
    <t>https://fred.stlouisfed.org/series/TDSP</t>
  </si>
  <si>
    <t>c0</t>
  </si>
  <si>
    <t>M/Q</t>
  </si>
  <si>
    <t>End of each month, One month/quarter lag for M/Q</t>
  </si>
  <si>
    <t>consumer's confidence index</t>
  </si>
  <si>
    <t>Umich</t>
  </si>
  <si>
    <t>1st of week of each month</t>
  </si>
  <si>
    <t>United States Michigan Consumer Sentiment</t>
  </si>
  <si>
    <t>Agg</t>
  </si>
  <si>
    <t>Beginning of last two months in each Q (initial/final)</t>
  </si>
  <si>
    <t>Sector</t>
  </si>
  <si>
    <t>b1</t>
  </si>
  <si>
    <t>3nd week of each month</t>
  </si>
  <si>
    <t>g1</t>
  </si>
  <si>
    <t>CPI / Auto</t>
  </si>
  <si>
    <t>Industrial Production/ Tech || Auto || Energy&amp;Power</t>
  </si>
  <si>
    <t>Auto industries</t>
  </si>
  <si>
    <t>NAICS</t>
  </si>
  <si>
    <t>Retail: New Car Dealer</t>
  </si>
  <si>
    <t>Retail: Used Car Dealer</t>
  </si>
  <si>
    <t>Manufacturer/Distributor: Auto Parts</t>
  </si>
  <si>
    <t>Retail: Auto Parts</t>
  </si>
  <si>
    <t xml:space="preserve">Manufacturer: Auto Vehicle </t>
  </si>
  <si>
    <t>Examples</t>
  </si>
  <si>
    <t>Finance: Auto Insurance</t>
  </si>
  <si>
    <t>Finance: Auto Finance</t>
  </si>
  <si>
    <t xml:space="preserve">GM </t>
  </si>
  <si>
    <t xml:space="preserve">ABG </t>
  </si>
  <si>
    <t>CVNA</t>
  </si>
  <si>
    <t>AZO</t>
  </si>
  <si>
    <t>CPRT</t>
  </si>
  <si>
    <t>PGR</t>
  </si>
  <si>
    <t>ALLY</t>
  </si>
  <si>
    <t>IP</t>
  </si>
  <si>
    <t>PCE</t>
  </si>
  <si>
    <t>×</t>
  </si>
  <si>
    <t>Delinquency</t>
  </si>
  <si>
    <t>['Motor_vehicles_and_parts_NAICS=3361-3"',</t>
  </si>
  <si>
    <t xml:space="preserve"> 'Aerospace_and_miscellaneous_transportation_eq._NAICS=3364-9"',</t>
  </si>
  <si>
    <t xml:space="preserve"> 'Motor_vehicle_NAICS=3361"',</t>
  </si>
  <si>
    <t xml:space="preserve"> 'Motor_vehicle_parts_NAICS=3363"',</t>
  </si>
  <si>
    <t xml:space="preserve"> 'Transportation_equipment_NAICS=336"',</t>
  </si>
  <si>
    <t xml:space="preserve"> 'Automobile_and_light_duty_motor_vehicle_NAICS=33611"',</t>
  </si>
  <si>
    <t xml:space="preserve"> 'Automobile_NAICS=336111"',</t>
  </si>
  <si>
    <t xml:space="preserve"> 'Light_truck_and_utility_vehicle_NAICS=336112"',</t>
  </si>
  <si>
    <t xml:space="preserve"> 'Heavy_duty_truck_NAICS=33612"',</t>
  </si>
  <si>
    <t xml:space="preserve"> 'Motor_vehicle_body_and_trailer_NAICS=3362"',</t>
  </si>
  <si>
    <t xml:space="preserve"> 'Truck_trailer_NAICS=336212"',</t>
  </si>
  <si>
    <t xml:space="preserve"> 'Motor_home_NAICS=336213"',</t>
  </si>
  <si>
    <t xml:space="preserve"> 'Travel_trailer_and_camper_NAICS=336214"',</t>
  </si>
  <si>
    <t xml:space="preserve"> 'Aerospace_product_and_parts_NAICS=3364"',</t>
  </si>
  <si>
    <t xml:space="preserve"> 'Aircraft_and_parts_NAICS=336411-3"',</t>
  </si>
  <si>
    <t xml:space="preserve"> 'Railroad_eq.,_ships_and_boats,_and_other_transportation_equipment_NAICS=3365-9"',</t>
  </si>
  <si>
    <t xml:space="preserve"> 'Railroad_rolling_stock_NAICS=3365"',</t>
  </si>
  <si>
    <t xml:space="preserve"> 'Ship_and_boat_building_NAICS=3366"',</t>
  </si>
  <si>
    <t xml:space="preserve"> 'Other_transportation_equipment_NAICS=3369"',</t>
  </si>
  <si>
    <t xml:space="preserve"> 'Automobile,_business_NAICS=336111pt."',</t>
  </si>
  <si>
    <t xml:space="preserve"> 'Light_trucks,_business_NAICS=336112pt."']</t>
  </si>
  <si>
    <t>New vehicles</t>
  </si>
  <si>
    <t>Used cars and trucks</t>
  </si>
  <si>
    <t>Motor vehicle parts and equipment</t>
  </si>
  <si>
    <t>Tires</t>
  </si>
  <si>
    <t>New cars(5)</t>
  </si>
  <si>
    <t>New trucks(5)(12)</t>
  </si>
  <si>
    <t>Vehicle accessories other than tires(4)</t>
  </si>
  <si>
    <t>Vehicle parts and equipment other than tires(5)</t>
  </si>
  <si>
    <t>Motor oil, coolant, and fluids(5)</t>
  </si>
  <si>
    <t>Transportation services</t>
  </si>
  <si>
    <t>Motor vehicle maintenance and repair</t>
  </si>
  <si>
    <t>Motor vehicle body work</t>
  </si>
  <si>
    <t>Motor vehicle maintenance and servicing</t>
  </si>
  <si>
    <t>Motor vehicle insurance</t>
  </si>
  <si>
    <t>Public transportation</t>
  </si>
  <si>
    <t>Airline fares</t>
  </si>
  <si>
    <t>Other intercity transportation</t>
  </si>
  <si>
    <t>Intracity transportation</t>
  </si>
  <si>
    <t>Leased cars and trucks(13)</t>
  </si>
  <si>
    <t>Car and truck rental(4)</t>
  </si>
  <si>
    <t>Motor vehicle repair(4)</t>
  </si>
  <si>
    <t>Motor vehicle fees(4)</t>
  </si>
  <si>
    <t>State motor vehicle registration and license fees(4)</t>
  </si>
  <si>
    <t>Parking and other fees(4)</t>
  </si>
  <si>
    <t>Parking fees and tolls(4)(5)</t>
  </si>
  <si>
    <t>Ship fare(4)(5)</t>
  </si>
  <si>
    <t>Intracity mass transit(5)(10)</t>
  </si>
  <si>
    <t>PCE / Auto</t>
  </si>
  <si>
    <t>IP from FED</t>
  </si>
  <si>
    <t>CPI from BLS</t>
  </si>
  <si>
    <t>PCE fromo BEA</t>
  </si>
  <si>
    <t>Motor vehicle services</t>
  </si>
  <si>
    <t>Other motor vehicle services (61)</t>
  </si>
  <si>
    <t>(M) Motor vehicles and parts</t>
  </si>
  <si>
    <t>(M) Transportation services</t>
  </si>
  <si>
    <t>Life insurance (110)</t>
  </si>
  <si>
    <t>Net household insurance (111)</t>
  </si>
  <si>
    <t>Net health insurance (112)</t>
  </si>
  <si>
    <t>(M) Insurance</t>
  </si>
  <si>
    <t>(Q) New motor vehicles (55)</t>
  </si>
  <si>
    <t>(Q) Net purchases of used motor vehicles (56)</t>
  </si>
  <si>
    <t>(Q) Motor vehicle parts and accessories (58)</t>
  </si>
  <si>
    <t>(Q) Motor vehicle maintenance and repair (60)</t>
  </si>
  <si>
    <t>(Q) Net motor vehicle and other transportation insurance (116)</t>
  </si>
  <si>
    <t>Daily</t>
  </si>
  <si>
    <t>Me</t>
  </si>
  <si>
    <t>SP500's implied correlation</t>
  </si>
  <si>
    <t xml:space="preserve">Average corr. btw S&amp;P500 index and its components </t>
  </si>
  <si>
    <t>Implied Correlation</t>
  </si>
  <si>
    <t>Household Debt and Credit</t>
  </si>
  <si>
    <t>market signals</t>
  </si>
  <si>
    <t>m1</t>
  </si>
  <si>
    <t>m2</t>
  </si>
  <si>
    <t>Ticker</t>
  </si>
  <si>
    <t>Fundamental Score / Profitability || Lev/Liquid/Funding || Operating Efficiency</t>
  </si>
  <si>
    <t>Net.Income| RoA | CFO // Leverage | Curr | Shares // Margin | Asset Turnover Ratio</t>
  </si>
  <si>
    <t>Local File</t>
  </si>
  <si>
    <t>Local: fundamental.xslx</t>
  </si>
  <si>
    <t>Local:  industrial_production</t>
  </si>
  <si>
    <t>Local: inflation_components</t>
  </si>
  <si>
    <t>Local: 99_economic</t>
  </si>
  <si>
    <t>Local: sp500_earning_sourcce</t>
  </si>
  <si>
    <t>m3</t>
  </si>
  <si>
    <t>Short Squeeze</t>
  </si>
  <si>
    <t>m4</t>
  </si>
  <si>
    <t>允䅁䍁䅉䅁䍁䅁䅁䅁䕁䅁䅁䅉䅁䍁䅍䅒偂䙁䅣杔䵂䕁䄸兑䕂䍁䅁䅔䩂䕁䄰兓啂䅁䅁睅䅁䍁䅧䅁橁䕁䅫杔坂䕁䅅䅔䩂䕁䅑䅉䑂䕁䄸兔兂䕁䅅杔婂䍁䅁兓䕂䅁䅁䅅䅁䅁䅯䅁瑁䑁䅍䅍䕂䅁䅁睈䅁䅁䅙䅁硁䙁䅣䅁杁䅁䅁权䅁䕁䅉村䍂䍁䅳䅁䵁䅁䅁村䅁䕁䅍杣求䝁䅑兡あ䙁䅣兙あ䝁䅍䅡癁䕁䄸兤あ䝁䅷睢療䝁䅳䅉潁䑁䅁兎癁䑁䅁䅏癁䑁䅉䅍祁䑁䅑克䅁䅁䄴䅁煁䅁䅁兓穂䡁䅍兤求䡁䅉䅉䑂䡁䅉党歂䝁䅫䅤杁䙁䅉兙あ䝁䅫杢湂䅁䅁杁䅁䍁䅑䅁䵂䝁䄸睙桂䝁䅷䅉䑂䡁䅕杣祂䝁䅕杢橂䡁䅫䅉䵂䙁䅑䅁䩁䅁䅁䅋䅁䕁䅷睢橂䝁䅅䅢杁䕁䅍兤祂䡁䅉党畂䝁䅍入杁䕁䅷䅖㡂䑁䅁䅁䑁䅁䅁䅃䅁䕁䄰兔乂䅁䅁睃䅁䉁䅉䅁乂䕁䄰兔㙁䕁䄴兗呂䕁䅕䅁偁䅁䅁杅䅁䕁䄴兗呂䕁䅕杏乂䕁䄰兔䅁䉁䅅䅁十䅁䅁杔求䝁䅣兙あ䝁䅫杤求䅁䅁兄䅁䉁䅯䅁兂䡁䅉兡橂䝁䅕䅉䑂䝁䅧兙畂䝁䅣党䅁䍁䅅䅁㙁䅁䅁杕䕂䙁䄸睑卂䕁䅕䅒䩂䙁䅑睘卂䕁䅅䅖䩂䕁䄴睒時䕁䅑兑啂䕁䅕睘䡂䕁䅷睔䍂䕁䅅䅔䅁䅁䅣䅁睁䅁䅁杕䕂䙁䄸睑卂䕁䅕䅒䩂䙁䅑睘卂䕁䅅䅖䩂䕁䄴睒時䕁䅣䅔偂䕁䅉兑䵂䅁䅁允䅁䕁䅧䅁卂䕁䅑睘䑂䙁䅉兒䕂䕁䅫䅖時䙁䅣兑啂䕁䅍䅓時䕁䄸兖啂䕁䅷睔偂䕁䅳睘䕂䕁䅅䅖䙂䙁䄸睒䵂䕁䄸村䉂䕁䅷䅁䭁䅁䅁杈䅁䙁䅉䅒時䕁䅍睖偂䕁䅷睘䡂䕁䅷睔䍂䕁䅅䅔䅁䅁䅕䅁㉁䅁䅁杕䕂䙁䄸䅔䉂䙁䅍䅖時䙁䅉兒坂䕁䅫兒塂䙁䄸䅒䉂䙁䅑兒時䕁䅣䅔偂䕁䅉兑䵂䅁䅁䅃䅁䑁䅁䅁卂䕁䅑睘卂䕁䅅䅖䩂䕁䄴睒時䕁䅅睑啂䕁䅫睔佂䙁䄸睒䵂䕁䄸村䉂䕁䅷䅁䝁䅁䅁䅎䅁䙁䅍䅕時䕁䅙兓啂䕁䅍䅓時䕁䅷䅖時䕁䅍杕䙂䕁䅑兓啂䙁䄸杕䉂䙁䅑兓佂䕁䅣䅁十䅁䅁䅒䅁䙁䅍䅕時䕁䅙兓啂䕁䅍䅓時䕁䅷䅖時䕁䅍杕䙂䕁䅑兓啂䙁䄸杕䉂䙁䅑兓佂䕁䅣睘䕂䕁䅕杒䉂䙁䅕䅔啂䅁䅁䅇䅁䑁䅑䅁呂䙁䅁睘䝂䕁䅫䅖䑂䕁䅧睘䵂䙁䅑睘卂䕁䅅䅖䩂䕁䄴睒時䕁䅅睑啂䕁䅫睔佂䅁䅁䅆䅁䕁䅑䅁呂䙁䅁睘䝂䕁䅫䅖䑂䕁䅧睘䵂䙁䅑睘卂䕁䅅䅖䩂䕁䄴睒時䕁䅅睑啂䕁䅫睔佂䙁䄸䅒䙂䕁䅙兑噂䕁䅷䅖䅁䉁䅕䅁兂䅁䅁睕兂䙁䄸杒䩂䙁䅑睑䥂䙁䄸䅔啂䙁䄸杕䉂䙁䅑兓佂䕁䅣睘䑂䙁䅉兒䕂䕁䅫䅖時䙁䅣兑啂䕁䅍䅓時䕁䄸兖啂䕁䅷睔偂䕁䅳䅁慁䅁䅁䅙䅁䙁䅍䅕時䕁䅙兓啂䕁䅍䅓時䕁䅷䅖時䙁䅉兑啂䕁䅫杔䡂䙁䄸睑卂䕁䅕䅒䩂䙁䅑睘塂䕁䅅䅖䑂䕁䅧睘偂䙁䅕䅖䵂䕁䄸睔䱂䙁䄸䅒䙂䕁䅙兑噂䕁䅷䅖䅁䉁䅷䅁睁䅁䅁睕兂䙁䄸杒䩂䙁䅑睑䥂䙁䄸䅔啂䙁䄸杕䉂䙁䅑兓佂䕁䅣睘䕂䕁䅕睕䑂䅁䅁杆䅁䕁䅁䅁呂䙁䅁睘䝂䕁䅫䅖䑂䕁䅧睘䵂䙁䅑睘卂䕁䅅䅖䩂䕁䄴睒時䕁䅑兒呂䕁䅍睘䕂䕁䅕杒䉂䙁䅕䅔啂䅁䅁睆䅁䕁䅙䅁呂䙁䅁睘䝂䕁䅫䅖䑂䕁䅧睘䵂䙁䅑睘卂䕁䅅䅖䩂䕁䄴睒時䕁䅕杒䝂䕁䅕睑啂䕁䅫杖䙂䙁䄸䅉䕂䕁䅅䅖䙂䅁䅁兇䅁䙁䅙䅁呂䙁䅁睘䝂䕁䅫䅖䑂䕁䅧睘䵂䙁䅑睘卂䕁䅅䅖䩂䕁䄴睒時䕁䅕杒䝂䕁䅕睑啂䕁䅫杖䙂䙁䄸䅉䕂䕁䅅䅖䙂䙁䄸䅒䙂䕁䅙兑噂䕁䅷䅖䅁䉁䅳䅁杁䅁䅁睕兂䙁䄸䅕卂䕁䅫睑䙂䙁䄸睑䥂䕁䅅杔䡂䕁䅕䅁敁䅁䅁权䅁䙁䅣睔䵂䕁䅙䅁䅁䅁䅁䅐䅁䙁䅳䅍硁䙁䄸䅤灂䝁䄰党獂䝁䅫杢求䍁䄴䅥獂䡁䅍䅥摂䙁䅍䅡求䝁䅕䅤硁䍁䅅䅊剂䍁䅑杍䅁䉁䄰䅁婁䅁䅁䍄䉁䅁䅁兂䅁䅁䅍䅄䅁䅁䅯䅁䅁䅁䅯允䅁䅁䅯杁䅁䅁䅯睁䅁䅁䅅䅁䉁䅁䅁权䕁䅁䅁䍄䉁䅁䅁兂䅁䅁䅍䅄䅁䅁䅯䅁䅁䅁䅯兂䅁䅁䅯杁䅁䅁䅯睁䅁䅁䅅䅁䉁䅁䅁权䕁䅁䅁䍄䉁䅁䅁兂䅁䅁䅍䅄䅁䅁䅯睃䅁䅁䅯允䅁䅁䅯杁䅁䅁䅯睁䅁䅁䅅䅁䉁䅁䅁权䵁䅁䅁䍄䉁䅁䅁睁䅁䅁䅍䅄䅁䅁䅯睃䅁䅁䅯兆䅁䅁䅅䅁䉁䅁䅁权䕁䅁䅁䍄䉁䅁䅁兂䅁䅁䅍䅄䅁䅁䅯䅁䅁䅁䅯杂䅁䅁䅯杁䅁䅁䅯睁䅁䅁䅅䅁䉁䅁䅁权䕁䅁䅁䍄䉁䅁䅁睁䅁䅁䅍䅄䅁䅁䅯睃䅁䅁䅯杇䅁䅁䅅䅁䉁䅁䅁权䕁䅁䅁䍄䉁䅁䅁兂䅁䅁䅍䅄䅁䅁䅯䅁䅁䅁䅯睂䅁䅁䅯杁䅁䅁䅯睁䅁䅁䅅䅁䉁䅁䅁权䕁䅁䅁䍄䉁䅁䅁兂䅁䅁䅍䅄䅁䅁䅯䅁䅁䅁䅯䅃䅁䅁䅯杁䅁䅁䅯元䅁䅁䅅䅁䉁䅁䅁权䕁䅁䅁䍄䉁䅁䅁兂䅁䅁䅍䅄䅁䅁䅯睃䅁䅁䅯䅃䅁䅁䅯杁䅁䅁䅯元䅁䅁䅅䅁䉁䅁䅁睂䅁䅁䅁䕑浌䅑杷允䅁䅁䅕䅁䑁䅁䅷䅁䭁䅁䅁䅁䭁䅁䅯䅁䭁䅁䅉䅁䭁䅁䅍䅁䉁䅁䅁允䅁䅁䅯䅂䅁䅁杷允䅁䅁䅕䅁䑁䅁䅷䅁䭁䅁䅳䅁䭁䅁䅣䅁䭁䅁䅉䅁䭁䅁䅍䅁䉁䅁䅁允䅁䅁䅣䅁䅁䅁佁欵䵁䅉䅅䅁䙁䅁䅁睁䵁䅁䅁权䱁䅁䅁权䙁䅁䅁权䍁䅁䅁权䑁䅁䅁允䅁䅁䅅䅁䭁䅁䄰䅁䵁䅉䅅䅁䙁䅁䅁睁䵁䅁䅁权䱁䅁䅁权䝁䅁䅁权䍁䅁䅁权䑁䅁䅁允䅁䅁䅅䅁䭁䅁䄴䅁䵁䅉䅅䅁䙁䅁䅁睁䵁䅁䅁权䱁䅁䅁权䭁䅁䅁权䍁䅁䅁权䑁䅁䅁允䅁䅁䅅䅁䡁䅁䅁䅁䅃敌䅚䍄䉁䅁䅁兂䅁䅁䅍䅄䅁䅁䅯睄䅁䅁䅯允䅁䅁䅯杁䅁䅁䅯睁䅁䅁䅅䅁䉁䅁䅁权允䅁䅁䍄䉁䅁䅁兂䅁䅁䅍䅄䅁䅁䅯充䅁䅁䅯允䅁䅁䅯杁䅁䅁䅯睁䅁䅁䅅䅁䉁䅁䅁权䵁䅁䅁䍄䉁䅁䅁睁䅁䅁䅍䅄䅁䅁䅯睃䅁䅁䅯杅䅁䅁䅅䅁䉁䅁䅁权䕁䅁䅁䍄䉁䅁䅁睁䅁䅁䅍䅄䅁䅁䅯睃䅁䅁䅯䅆䅁䅁䅅䅁䉁䅁䅁权䕁䅁䅁䍄䉁䅁䅁睁䅁䅁䅍䅄䅁䅁䅯睃䅁䅁䅯兇䅁䅁䅅䅁䉁䅁䅁权䕁䅁䅁䍄䉁䅁䅁睁䅁䅁䅍䅄䅁䅁䅯睃䅁䅁䅯杆䅁䅁䅅䅁䉁䅁䅁权䕁䅁䅁䍄䉁䅁䅁睁䅁䅁䅍䅄䅁䅁䅯睃䅁䅁䅯睆䅁䅁䅅䅁䉁䅁䅁权䕁䅁䅁䍄䉁䅁䅁睂䅁䅁杷允䅁䅁䅙䅁䭁䉁䄰䅁䭁䅁䅳䅁䭁䉁䄴䅁䭁䉁䄸䅁䭁䅁䅑潁䭁䍁䅁䅁啁䭁䩨㙢奃桥瑕䅆時灤坹兢乴硸䅑䕢猯倹⽧瑱啙偁奤穃穸浭临䅆䑃晷䔱桘䍊剺䅑㌲䐷㕤煣杮䈴䅁䅁允䅁䅁䅯光䅁䅁杷允䅁䅁䅍䅁䑁䅁䅷䅁䭁䅁䅳䅁䭁䉁䅧䅁䉁䅁䅁允䅁䅁䅯䅂䅁䅁杷允䅁䅁䅍䅁䑁䅁䅷䅁䭁䅁䅳䅁䭁䉁䅳䅁䉁䅁䅁允䅁䅁䅯䅂䅁䅁杷允䅁䅁䅍䅁䑁䅁䅷䅁䭁䅁䅳䅁䭁䉁䅷䅁䉁䅁䅁允䅁䅁䅯䅂䅁䅁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</si>
</sst>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u/>
      <sz val="11"/>
      <color theme="10"/>
      <name val="Calibri"/>
      <family val="2"/>
      <scheme val="minor"/>
    </font>
    <font>
      <sz val="11"/>
      <color theme="1"/>
      <name val="Adobe Devanagari"/>
      <family val="1"/>
    </font>
    <font>
      <b/>
      <sz val="18"/>
      <color theme="1"/>
      <name val="Calibri"/>
      <family val="2"/>
    </font>
    <font>
      <b/>
      <sz val="11"/>
      <color rgb="FFFF0000"/>
      <name val="Calibri"/>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0" fillId="0" borderId="0" xfId="0" applyAlignment="1">
      <alignment horizontal="center"/>
    </xf>
    <xf numFmtId="0" fontId="1" fillId="0" borderId="0" xfId="1"/>
    <xf numFmtId="0" fontId="0" fillId="2" borderId="0" xfId="0" applyFill="1" applyAlignment="1">
      <alignment horizontal="center"/>
    </xf>
    <xf numFmtId="0" fontId="0" fillId="2" borderId="0" xfId="0" applyFill="1"/>
    <xf numFmtId="0" fontId="1" fillId="0" borderId="0" xfId="1" applyAlignment="1">
      <alignment horizontal="center"/>
    </xf>
    <xf numFmtId="0" fontId="2" fillId="0" borderId="0" xfId="0" applyFont="1" applyAlignment="1">
      <alignment horizontal="center"/>
    </xf>
    <xf numFmtId="0" fontId="3" fillId="0" borderId="0" xfId="0" applyFont="1" applyAlignment="1">
      <alignment horizontal="center"/>
    </xf>
    <xf numFmtId="0" fontId="3" fillId="0" borderId="0" xfId="0" applyFont="1" applyAlignment="1">
      <alignment horizontal="center" wrapText="1"/>
    </xf>
    <xf numFmtId="0" fontId="0" fillId="3" borderId="0" xfId="0" applyFill="1"/>
    <xf numFmtId="0" fontId="4" fillId="0" borderId="0" xfId="0" applyFont="1"/>
    <xf numFmtId="0" fontId="4" fillId="0" borderId="0" xfId="0" applyFont="1" applyAlignment="1">
      <alignment horizontal="center"/>
    </xf>
    <xf numFmtId="0" fontId="1" fillId="2" borderId="0" xfId="1" applyFill="1"/>
    <xf numFmtId="0" fontId="0" fillId="0" borderId="0" xfId="0"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04_monitoring\JPAM_2025\inflation_components" TargetMode="External"/><Relationship Id="rId3" Type="http://schemas.openxmlformats.org/officeDocument/2006/relationships/hyperlink" Target="https://fred.stlouisfed.org/graph/?g=1CEzk" TargetMode="External"/><Relationship Id="rId7" Type="http://schemas.openxmlformats.org/officeDocument/2006/relationships/hyperlink" Target="02_screening\022_Anomalies\fundamental.xlsx" TargetMode="External"/><Relationship Id="rId12" Type="http://schemas.openxmlformats.org/officeDocument/2006/relationships/printerSettings" Target="../printerSettings/printerSettings1.bin"/><Relationship Id="rId2" Type="http://schemas.openxmlformats.org/officeDocument/2006/relationships/hyperlink" Target="https://tradingeconomics.com/united-states/consumer-confidence" TargetMode="External"/><Relationship Id="rId1" Type="http://schemas.openxmlformats.org/officeDocument/2006/relationships/hyperlink" Target="https://www.newyorkfed.org/microeconomics/hhdc/background.html" TargetMode="External"/><Relationship Id="rId6" Type="http://schemas.openxmlformats.org/officeDocument/2006/relationships/hyperlink" Target="02_screening\02a_ETF_Cor1M_vs_3M" TargetMode="External"/><Relationship Id="rId11" Type="http://schemas.openxmlformats.org/officeDocument/2006/relationships/hyperlink" Target="04_monitoring\JPAM_2025\sp500_earning_sourcce" TargetMode="External"/><Relationship Id="rId5" Type="http://schemas.openxmlformats.org/officeDocument/2006/relationships/hyperlink" Target="https://www.cboe.com/us/indices/implied/" TargetMode="External"/><Relationship Id="rId10" Type="http://schemas.openxmlformats.org/officeDocument/2006/relationships/hyperlink" Target="99_economic" TargetMode="External"/><Relationship Id="rId4" Type="http://schemas.openxmlformats.org/officeDocument/2006/relationships/hyperlink" Target="https://fred.stlouisfed.org/graph/?g=1CF1L" TargetMode="External"/><Relationship Id="rId9" Type="http://schemas.openxmlformats.org/officeDocument/2006/relationships/hyperlink" Target="04_monitoring\JPAM_2025\inflation_component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tradingview.com/symbols/NYSE-CVNA/" TargetMode="External"/><Relationship Id="rId7" Type="http://schemas.openxmlformats.org/officeDocument/2006/relationships/hyperlink" Target="https://www.tradingview.com/symbols/NYSE-ALLY/" TargetMode="External"/><Relationship Id="rId2" Type="http://schemas.openxmlformats.org/officeDocument/2006/relationships/hyperlink" Target="https://www.tradingview.com/symbols/NYSE-ABG/" TargetMode="External"/><Relationship Id="rId1" Type="http://schemas.openxmlformats.org/officeDocument/2006/relationships/hyperlink" Target="https://www.tradingview.com/symbols/NYSE-GM/" TargetMode="External"/><Relationship Id="rId6" Type="http://schemas.openxmlformats.org/officeDocument/2006/relationships/hyperlink" Target="https://www.tradingview.com/symbols/NYSE-PGR/" TargetMode="External"/><Relationship Id="rId5" Type="http://schemas.openxmlformats.org/officeDocument/2006/relationships/hyperlink" Target="https://www.tradingview.com/symbols/NASDAQ-CPRT/" TargetMode="External"/><Relationship Id="rId4" Type="http://schemas.openxmlformats.org/officeDocument/2006/relationships/hyperlink" Target="https://www.tradingview.com/symbols/NYSE-AZ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5308-F7AB-40A8-84A9-6AFE1B5C1EF7}">
  <dimension ref="A1"/>
  <sheetViews>
    <sheetView workbookViewId="0"/>
  </sheetViews>
  <sheetFormatPr defaultRowHeight="15"/>
  <sheetData>
    <row r="1" spans="1:1">
      <c r="A1" t="s">
        <v>159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27"/>
  <sheetViews>
    <sheetView zoomScaleNormal="100" workbookViewId="0">
      <selection activeCell="I27" sqref="I27"/>
    </sheetView>
  </sheetViews>
  <sheetFormatPr defaultRowHeight="15"/>
  <cols>
    <col min="1" max="1" width="3.28515625" style="1" customWidth="1"/>
    <col min="2" max="2" width="6.5703125" style="1" bestFit="1" customWidth="1"/>
    <col min="3" max="3" width="66.140625" bestFit="1" customWidth="1"/>
    <col min="4" max="4" width="9.28515625" bestFit="1" customWidth="1"/>
    <col min="5" max="5" width="12" bestFit="1" customWidth="1"/>
    <col min="6" max="6" width="71" bestFit="1" customWidth="1"/>
    <col min="7" max="7" width="37.7109375" bestFit="1" customWidth="1"/>
  </cols>
  <sheetData>
    <row r="2" spans="1:8">
      <c r="C2" t="s">
        <v>1</v>
      </c>
      <c r="D2" t="s">
        <v>5</v>
      </c>
      <c r="E2" t="s">
        <v>2</v>
      </c>
      <c r="F2" t="s">
        <v>7</v>
      </c>
    </row>
    <row r="3" spans="1:8">
      <c r="A3" s="1">
        <v>1</v>
      </c>
      <c r="B3" s="1" t="s">
        <v>44</v>
      </c>
      <c r="C3" t="s">
        <v>0</v>
      </c>
      <c r="D3" t="s">
        <v>6</v>
      </c>
      <c r="E3" t="s">
        <v>3</v>
      </c>
      <c r="F3" t="s">
        <v>4</v>
      </c>
      <c r="G3" s="2" t="s">
        <v>17</v>
      </c>
    </row>
    <row r="4" spans="1:8">
      <c r="A4" s="1">
        <v>2</v>
      </c>
      <c r="B4" s="1" t="s">
        <v>44</v>
      </c>
      <c r="C4" t="s">
        <v>8</v>
      </c>
      <c r="D4" t="s">
        <v>9</v>
      </c>
      <c r="E4" t="s">
        <v>10</v>
      </c>
      <c r="F4" t="s">
        <v>11</v>
      </c>
      <c r="G4" s="2" t="s">
        <v>15</v>
      </c>
    </row>
    <row r="5" spans="1:8">
      <c r="A5" s="1">
        <v>3</v>
      </c>
      <c r="B5" s="1" t="s">
        <v>44</v>
      </c>
      <c r="C5" t="s">
        <v>12</v>
      </c>
      <c r="D5" t="s">
        <v>6</v>
      </c>
      <c r="E5" t="s">
        <v>10</v>
      </c>
      <c r="F5" t="s">
        <v>45</v>
      </c>
      <c r="G5" t="s">
        <v>16</v>
      </c>
    </row>
    <row r="6" spans="1:8" s="4" customFormat="1">
      <c r="A6" s="3">
        <v>4</v>
      </c>
      <c r="B6" s="3" t="s">
        <v>46</v>
      </c>
      <c r="C6" s="4" t="s">
        <v>50</v>
      </c>
      <c r="D6" s="4" t="s">
        <v>9</v>
      </c>
      <c r="E6" s="4" t="s">
        <v>10</v>
      </c>
      <c r="F6" s="4" t="s">
        <v>14</v>
      </c>
      <c r="G6" s="12" t="s">
        <v>153</v>
      </c>
      <c r="H6" s="4" t="s">
        <v>18</v>
      </c>
    </row>
    <row r="7" spans="1:8" s="4" customFormat="1">
      <c r="A7" s="3">
        <v>4</v>
      </c>
      <c r="B7" s="3" t="s">
        <v>46</v>
      </c>
      <c r="C7" s="4" t="s">
        <v>121</v>
      </c>
      <c r="D7" s="4" t="s">
        <v>38</v>
      </c>
      <c r="E7" s="4" t="s">
        <v>3</v>
      </c>
      <c r="F7" s="4" t="s">
        <v>39</v>
      </c>
      <c r="G7" s="12" t="s">
        <v>154</v>
      </c>
    </row>
    <row r="8" spans="1:8">
      <c r="A8" s="1">
        <v>6</v>
      </c>
      <c r="B8" s="1" t="s">
        <v>44</v>
      </c>
      <c r="C8" t="s">
        <v>20</v>
      </c>
      <c r="D8" t="s">
        <v>6</v>
      </c>
      <c r="E8" t="s">
        <v>19</v>
      </c>
      <c r="F8" t="s">
        <v>21</v>
      </c>
      <c r="G8" s="2" t="s">
        <v>155</v>
      </c>
      <c r="H8" t="s">
        <v>22</v>
      </c>
    </row>
    <row r="10" spans="1:8">
      <c r="A10" s="1" t="s">
        <v>37</v>
      </c>
      <c r="B10" s="1" t="s">
        <v>44</v>
      </c>
      <c r="C10" t="s">
        <v>40</v>
      </c>
      <c r="D10" t="s">
        <v>9</v>
      </c>
      <c r="E10" t="s">
        <v>41</v>
      </c>
      <c r="F10" t="s">
        <v>42</v>
      </c>
      <c r="G10" s="2" t="s">
        <v>43</v>
      </c>
    </row>
    <row r="11" spans="1:8">
      <c r="A11" s="1" t="s">
        <v>23</v>
      </c>
      <c r="B11" s="1" t="s">
        <v>44</v>
      </c>
      <c r="C11" t="s">
        <v>29</v>
      </c>
      <c r="D11" t="s">
        <v>6</v>
      </c>
      <c r="E11" t="s">
        <v>25</v>
      </c>
      <c r="F11" t="s">
        <v>30</v>
      </c>
      <c r="G11" s="2" t="s">
        <v>143</v>
      </c>
    </row>
    <row r="12" spans="1:8">
      <c r="A12" s="1" t="s">
        <v>28</v>
      </c>
      <c r="B12" s="1" t="s">
        <v>44</v>
      </c>
      <c r="C12" t="s">
        <v>26</v>
      </c>
      <c r="D12" t="s">
        <v>6</v>
      </c>
      <c r="E12" t="s">
        <v>25</v>
      </c>
      <c r="F12" t="s">
        <v>27</v>
      </c>
      <c r="G12" s="2" t="s">
        <v>24</v>
      </c>
    </row>
    <row r="13" spans="1:8">
      <c r="A13" s="1" t="s">
        <v>28</v>
      </c>
      <c r="B13" s="1" t="s">
        <v>44</v>
      </c>
      <c r="C13" t="s">
        <v>31</v>
      </c>
      <c r="D13" t="s">
        <v>6</v>
      </c>
      <c r="E13" t="s">
        <v>25</v>
      </c>
      <c r="F13" t="s">
        <v>27</v>
      </c>
      <c r="G13" s="2" t="s">
        <v>32</v>
      </c>
    </row>
    <row r="14" spans="1:8">
      <c r="A14" s="1" t="s">
        <v>33</v>
      </c>
      <c r="B14" s="1" t="s">
        <v>44</v>
      </c>
      <c r="C14" t="s">
        <v>34</v>
      </c>
      <c r="D14" t="s">
        <v>6</v>
      </c>
      <c r="E14" t="s">
        <v>25</v>
      </c>
      <c r="F14" t="s">
        <v>35</v>
      </c>
      <c r="G14" s="2" t="s">
        <v>36</v>
      </c>
    </row>
    <row r="16" spans="1:8" s="4" customFormat="1">
      <c r="A16" s="3" t="s">
        <v>47</v>
      </c>
      <c r="B16" s="3" t="s">
        <v>46</v>
      </c>
      <c r="C16" s="4" t="s">
        <v>51</v>
      </c>
      <c r="D16" s="4" t="s">
        <v>9</v>
      </c>
      <c r="E16" s="4" t="s">
        <v>25</v>
      </c>
      <c r="F16" s="4" t="s">
        <v>48</v>
      </c>
      <c r="G16" s="12" t="s">
        <v>152</v>
      </c>
    </row>
    <row r="18" spans="1:8">
      <c r="A18" s="1" t="s">
        <v>49</v>
      </c>
    </row>
    <row r="20" spans="1:8">
      <c r="A20" s="13" t="s">
        <v>144</v>
      </c>
    </row>
    <row r="21" spans="1:8">
      <c r="A21" s="1" t="s">
        <v>145</v>
      </c>
      <c r="B21" s="1" t="s">
        <v>44</v>
      </c>
      <c r="C21" t="s">
        <v>140</v>
      </c>
      <c r="D21" t="s">
        <v>138</v>
      </c>
      <c r="E21" t="s">
        <v>139</v>
      </c>
      <c r="F21" t="s">
        <v>141</v>
      </c>
      <c r="G21" s="2" t="s">
        <v>150</v>
      </c>
      <c r="H21" s="2" t="s">
        <v>142</v>
      </c>
    </row>
    <row r="22" spans="1:8">
      <c r="A22" s="1" t="s">
        <v>146</v>
      </c>
      <c r="B22" s="1" t="s">
        <v>147</v>
      </c>
      <c r="C22" t="s">
        <v>148</v>
      </c>
      <c r="D22" t="s">
        <v>138</v>
      </c>
      <c r="E22" t="s">
        <v>139</v>
      </c>
      <c r="F22" t="s">
        <v>149</v>
      </c>
      <c r="G22" s="2" t="s">
        <v>151</v>
      </c>
    </row>
    <row r="23" spans="1:8">
      <c r="A23" s="1" t="s">
        <v>156</v>
      </c>
      <c r="B23" s="1" t="s">
        <v>147</v>
      </c>
      <c r="C23" t="s">
        <v>157</v>
      </c>
    </row>
    <row r="24" spans="1:8">
      <c r="A24" s="1" t="s">
        <v>158</v>
      </c>
      <c r="B24" s="1" t="s">
        <v>147</v>
      </c>
    </row>
    <row r="27" spans="1:8">
      <c r="C27" s="13" t="str">
        <f>_xll.SNL.Clients.Office.Excel.Functions.SPG("WOLF", "RD_CREDIT_RATING_GLOBAL", "Issuer Credit Rating", "Local Currency LT|0")</f>
        <v/>
      </c>
      <c r="D27" s="13" t="str">
        <f>_xll.SNL.Clients.Office.Excel.Functions.SPG("WOLF", "RD_CWOL_GLOBAL", "Issuer Credit Rating", "Local Currency LT|0")</f>
        <v/>
      </c>
      <c r="E27" s="13" t="str">
        <f>_xll.SNL.Clients.Office.Excel.Functions.SPG("WOLF", "RD_RATING_ACTION_GLOBAL", "Issuer Credit Rating", "Local Currency LT|0")</f>
        <v/>
      </c>
      <c r="F27" s="13" t="str">
        <f>_xll.SNL.Clients.Office.Excel.Functions.SPG("WOLF", "RD_LAST_REVIEW_DATE_GLOBAL", "Issuer Credit Rating", "Local Currency LT")</f>
        <v/>
      </c>
      <c r="G27" s="13" t="str">
        <f>_xll.SNL.Clients.Office.Excel.Functions.SPG("WOLF", "RD_CREDIT_RATING_DATE_GLOBAL", "Issuer Credit Rating", "Local Currency LT|0")</f>
        <v/>
      </c>
      <c r="H27" s="13" t="str">
        <f>_xll.SNL.Clients.Office.Excel.Functions.SPG("WOLF", "RD_CREDIT_WATCH_OUTLOOK_DATE_GLOBAL", "Issuer Credit Rating", "Local Currency LT|0")</f>
        <v/>
      </c>
    </row>
  </sheetData>
  <hyperlinks>
    <hyperlink ref="G11" r:id="rId1" display="https://www.newyorkfed.org/microeconomics/hhdc/background.html" xr:uid="{7ABD0E68-817E-402B-ACF8-FE4D56554007}"/>
    <hyperlink ref="G10" r:id="rId2" display="https://tradingeconomics.com/united-states/consumer-confidence" xr:uid="{CDD22088-A0F9-47C3-A2CC-99ED863C1E26}"/>
    <hyperlink ref="G3" r:id="rId3" xr:uid="{5270A901-1899-4307-B0B0-C72E9E77F624}"/>
    <hyperlink ref="G4" r:id="rId4" xr:uid="{ADFAF753-8B08-4D84-98B2-8CAE04FE9EC9}"/>
    <hyperlink ref="H21" r:id="rId5" display="https://www.cboe.com/us/indices/implied/" xr:uid="{744279B1-6E59-4453-BDA7-411BB5613D87}"/>
    <hyperlink ref="G21" r:id="rId6" display="\X\02_screening\02a_ETF_Cor1M_vs_3M" xr:uid="{3838A06E-09A1-49B9-91EF-7D1C0E540D4A}"/>
    <hyperlink ref="G22" r:id="rId7" display="fundamental.xslx" xr:uid="{93E4EC6B-190E-4A42-BDFE-74770693B5CD}"/>
    <hyperlink ref="G16" r:id="rId8" display="industrial_production" xr:uid="{15FDA271-E860-41C1-9B24-21D3F0C43CD4}"/>
    <hyperlink ref="G6" r:id="rId9" display="Local: \X\04_monitoring\JPAM_2025\inflation_components" xr:uid="{6497ACBE-E7E4-45ED-A69B-360853D7CA1F}"/>
    <hyperlink ref="G7" r:id="rId10" display="Local: \X\99_economic\" xr:uid="{6D483326-997D-48FE-B8C6-D4F1B83BCF7D}"/>
    <hyperlink ref="G8" r:id="rId11" display="Local: \X\04_monitoring\JPAM_2025\sp500_earning_sourcce" xr:uid="{1FB277DF-1E4E-4FD2-8683-23994E3B9066}"/>
  </hyperlinks>
  <pageMargins left="0.7" right="0.7" top="0.75" bottom="0.75" header="0.3" footer="0.3"/>
  <pageSetup orientation="portrait" horizontalDpi="300" verticalDpi="300"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FF644-530E-4118-B6C9-6213146544C4}">
  <dimension ref="A1:N38"/>
  <sheetViews>
    <sheetView tabSelected="1" workbookViewId="0">
      <selection activeCell="E14" sqref="E14"/>
    </sheetView>
  </sheetViews>
  <sheetFormatPr defaultRowHeight="15"/>
  <cols>
    <col min="1" max="1" width="13.28515625" bestFit="1" customWidth="1"/>
    <col min="2" max="2" width="31.7109375" bestFit="1" customWidth="1"/>
    <col min="3" max="3" width="11.7109375" customWidth="1"/>
    <col min="4" max="4" width="10.7109375" style="1" customWidth="1"/>
    <col min="8" max="8" width="10.85546875" bestFit="1" customWidth="1"/>
    <col min="13" max="13" width="3.7109375" customWidth="1"/>
  </cols>
  <sheetData>
    <row r="1" spans="1:14">
      <c r="A1" t="s">
        <v>52</v>
      </c>
      <c r="C1" t="s">
        <v>53</v>
      </c>
      <c r="D1" s="1" t="s">
        <v>59</v>
      </c>
      <c r="E1" s="1" t="s">
        <v>69</v>
      </c>
      <c r="F1" s="1" t="s">
        <v>13</v>
      </c>
      <c r="G1" s="1" t="s">
        <v>70</v>
      </c>
      <c r="H1" s="1" t="s">
        <v>72</v>
      </c>
    </row>
    <row r="2" spans="1:14" ht="22.15" customHeight="1">
      <c r="B2" t="s">
        <v>58</v>
      </c>
      <c r="C2">
        <v>336110</v>
      </c>
      <c r="D2" s="5" t="s">
        <v>62</v>
      </c>
      <c r="E2" s="7" t="s">
        <v>71</v>
      </c>
    </row>
    <row r="3" spans="1:14" ht="22.15" customHeight="1">
      <c r="B3" t="s">
        <v>54</v>
      </c>
      <c r="C3">
        <v>441110</v>
      </c>
      <c r="D3" s="5" t="s">
        <v>63</v>
      </c>
      <c r="F3" s="7" t="s">
        <v>71</v>
      </c>
      <c r="G3" s="7" t="s">
        <v>71</v>
      </c>
    </row>
    <row r="4" spans="1:14" ht="22.15" customHeight="1">
      <c r="B4" t="s">
        <v>55</v>
      </c>
      <c r="C4">
        <v>441120</v>
      </c>
      <c r="D4" s="5" t="s">
        <v>64</v>
      </c>
      <c r="F4" s="7" t="s">
        <v>71</v>
      </c>
      <c r="G4" s="7" t="s">
        <v>71</v>
      </c>
    </row>
    <row r="5" spans="1:14" ht="22.15" customHeight="1">
      <c r="B5" t="s">
        <v>56</v>
      </c>
      <c r="C5">
        <v>4231</v>
      </c>
      <c r="D5" s="5" t="s">
        <v>66</v>
      </c>
      <c r="E5" s="6"/>
    </row>
    <row r="6" spans="1:14" ht="22.15" customHeight="1">
      <c r="B6" t="s">
        <v>57</v>
      </c>
      <c r="C6">
        <v>441330</v>
      </c>
      <c r="D6" s="5" t="s">
        <v>65</v>
      </c>
      <c r="F6" s="7" t="s">
        <v>71</v>
      </c>
      <c r="G6" s="7" t="s">
        <v>71</v>
      </c>
    </row>
    <row r="7" spans="1:14" ht="22.15" customHeight="1">
      <c r="B7" t="s">
        <v>60</v>
      </c>
      <c r="C7">
        <v>524126</v>
      </c>
      <c r="D7" s="5" t="s">
        <v>67</v>
      </c>
      <c r="F7" s="7" t="s">
        <v>71</v>
      </c>
      <c r="G7" s="7" t="s">
        <v>71</v>
      </c>
    </row>
    <row r="8" spans="1:14" ht="22.15" customHeight="1">
      <c r="B8" t="s">
        <v>61</v>
      </c>
      <c r="C8">
        <v>522220</v>
      </c>
      <c r="D8" s="5" t="s">
        <v>68</v>
      </c>
      <c r="F8" s="8"/>
      <c r="G8" s="8"/>
      <c r="H8" s="7" t="s">
        <v>71</v>
      </c>
    </row>
    <row r="10" spans="1:14" s="10" customFormat="1">
      <c r="A10" s="10" t="s">
        <v>122</v>
      </c>
      <c r="D10" s="11"/>
      <c r="G10" s="10" t="s">
        <v>123</v>
      </c>
      <c r="M10" s="10" t="s">
        <v>124</v>
      </c>
    </row>
    <row r="11" spans="1:14">
      <c r="A11" s="9" t="s">
        <v>73</v>
      </c>
      <c r="G11" s="9">
        <v>4</v>
      </c>
      <c r="H11" s="9" t="s">
        <v>94</v>
      </c>
      <c r="M11" s="9" t="s">
        <v>127</v>
      </c>
    </row>
    <row r="12" spans="1:14">
      <c r="A12" t="s">
        <v>74</v>
      </c>
      <c r="G12">
        <v>5</v>
      </c>
      <c r="H12" t="s">
        <v>98</v>
      </c>
      <c r="N12" s="9" t="s">
        <v>133</v>
      </c>
    </row>
    <row r="13" spans="1:14">
      <c r="A13" t="s">
        <v>75</v>
      </c>
      <c r="G13">
        <v>5</v>
      </c>
      <c r="H13" t="s">
        <v>99</v>
      </c>
      <c r="N13" s="9" t="s">
        <v>134</v>
      </c>
    </row>
    <row r="14" spans="1:14">
      <c r="A14" t="s">
        <v>76</v>
      </c>
      <c r="G14" s="9">
        <v>4</v>
      </c>
      <c r="H14" s="9" t="s">
        <v>95</v>
      </c>
      <c r="I14" s="9"/>
      <c r="N14" s="9" t="s">
        <v>135</v>
      </c>
    </row>
    <row r="15" spans="1:14">
      <c r="A15" t="s">
        <v>77</v>
      </c>
      <c r="G15" s="9">
        <v>4</v>
      </c>
      <c r="H15" s="9" t="s">
        <v>96</v>
      </c>
      <c r="I15" s="9"/>
      <c r="J15" s="9"/>
    </row>
    <row r="16" spans="1:14">
      <c r="A16" s="9" t="s">
        <v>78</v>
      </c>
      <c r="G16">
        <v>5</v>
      </c>
      <c r="H16" t="s">
        <v>97</v>
      </c>
    </row>
    <row r="17" spans="1:14">
      <c r="A17" t="s">
        <v>79</v>
      </c>
      <c r="G17">
        <v>5</v>
      </c>
      <c r="H17" t="s">
        <v>100</v>
      </c>
      <c r="M17" t="s">
        <v>128</v>
      </c>
    </row>
    <row r="18" spans="1:14">
      <c r="A18" t="s">
        <v>80</v>
      </c>
      <c r="G18">
        <v>6</v>
      </c>
      <c r="H18" t="s">
        <v>101</v>
      </c>
      <c r="N18" t="s">
        <v>125</v>
      </c>
    </row>
    <row r="19" spans="1:14">
      <c r="A19" t="s">
        <v>81</v>
      </c>
      <c r="G19">
        <v>6</v>
      </c>
      <c r="H19" t="s">
        <v>102</v>
      </c>
      <c r="N19" s="9" t="s">
        <v>136</v>
      </c>
    </row>
    <row r="20" spans="1:14">
      <c r="A20" t="s">
        <v>82</v>
      </c>
      <c r="N20" t="s">
        <v>126</v>
      </c>
    </row>
    <row r="21" spans="1:14">
      <c r="A21" t="s">
        <v>83</v>
      </c>
      <c r="G21">
        <v>4</v>
      </c>
      <c r="H21" t="s">
        <v>103</v>
      </c>
    </row>
    <row r="22" spans="1:14">
      <c r="A22" t="s">
        <v>84</v>
      </c>
      <c r="G22">
        <v>5</v>
      </c>
      <c r="H22" t="s">
        <v>112</v>
      </c>
      <c r="M22" t="s">
        <v>132</v>
      </c>
    </row>
    <row r="23" spans="1:14">
      <c r="A23" t="s">
        <v>85</v>
      </c>
      <c r="G23">
        <v>5</v>
      </c>
      <c r="H23" t="s">
        <v>113</v>
      </c>
      <c r="N23" t="s">
        <v>129</v>
      </c>
    </row>
    <row r="24" spans="1:14">
      <c r="A24" t="s">
        <v>86</v>
      </c>
      <c r="G24" s="9">
        <v>5</v>
      </c>
      <c r="H24" s="9" t="s">
        <v>104</v>
      </c>
      <c r="I24" s="9"/>
      <c r="N24" t="s">
        <v>130</v>
      </c>
    </row>
    <row r="25" spans="1:14">
      <c r="A25" t="s">
        <v>87</v>
      </c>
      <c r="G25">
        <v>6</v>
      </c>
      <c r="H25" t="s">
        <v>105</v>
      </c>
      <c r="N25" t="s">
        <v>131</v>
      </c>
    </row>
    <row r="26" spans="1:14">
      <c r="A26" t="s">
        <v>88</v>
      </c>
      <c r="G26">
        <v>6</v>
      </c>
      <c r="H26" t="s">
        <v>106</v>
      </c>
      <c r="N26" s="9" t="s">
        <v>137</v>
      </c>
    </row>
    <row r="27" spans="1:14">
      <c r="A27" t="s">
        <v>89</v>
      </c>
      <c r="G27">
        <v>6</v>
      </c>
      <c r="H27" t="s">
        <v>114</v>
      </c>
    </row>
    <row r="28" spans="1:14">
      <c r="A28" t="s">
        <v>90</v>
      </c>
      <c r="G28" s="9">
        <v>5</v>
      </c>
      <c r="H28" s="9" t="s">
        <v>107</v>
      </c>
      <c r="I28" s="9"/>
    </row>
    <row r="29" spans="1:14">
      <c r="A29" t="s">
        <v>91</v>
      </c>
      <c r="G29">
        <v>5</v>
      </c>
      <c r="H29" t="s">
        <v>115</v>
      </c>
    </row>
    <row r="30" spans="1:14">
      <c r="A30" t="s">
        <v>92</v>
      </c>
      <c r="G30">
        <v>6</v>
      </c>
      <c r="H30" t="s">
        <v>116</v>
      </c>
    </row>
    <row r="31" spans="1:14">
      <c r="A31" t="s">
        <v>93</v>
      </c>
      <c r="G31">
        <v>6</v>
      </c>
      <c r="H31" t="s">
        <v>117</v>
      </c>
    </row>
    <row r="32" spans="1:14">
      <c r="G32">
        <v>7</v>
      </c>
      <c r="H32" t="s">
        <v>118</v>
      </c>
    </row>
    <row r="33" spans="7:8">
      <c r="G33">
        <v>5</v>
      </c>
      <c r="H33" t="s">
        <v>108</v>
      </c>
    </row>
    <row r="34" spans="7:8">
      <c r="G34">
        <v>6</v>
      </c>
      <c r="H34" t="s">
        <v>109</v>
      </c>
    </row>
    <row r="35" spans="7:8">
      <c r="G35">
        <v>6</v>
      </c>
      <c r="H35" t="s">
        <v>110</v>
      </c>
    </row>
    <row r="36" spans="7:8">
      <c r="G36">
        <v>7</v>
      </c>
      <c r="H36" t="s">
        <v>119</v>
      </c>
    </row>
    <row r="37" spans="7:8">
      <c r="G37">
        <v>6</v>
      </c>
      <c r="H37" t="s">
        <v>111</v>
      </c>
    </row>
    <row r="38" spans="7:8">
      <c r="G38">
        <v>7</v>
      </c>
      <c r="H38" t="s">
        <v>120</v>
      </c>
    </row>
  </sheetData>
  <hyperlinks>
    <hyperlink ref="D2" r:id="rId1" display="https://www.tradingview.com/symbols/NYSE-GM/" xr:uid="{62AB20B8-52B2-47F8-AF54-07B38CA03C4B}"/>
    <hyperlink ref="D3" r:id="rId2" display="https://www.tradingview.com/symbols/NYSE-ABG/" xr:uid="{2C475800-1260-4B1B-A79D-2CD38254EE14}"/>
    <hyperlink ref="D4" r:id="rId3" display="https://www.tradingview.com/symbols/NYSE-CVNA/" xr:uid="{24794B7C-7C6A-4CB9-A201-022EA52E8CFA}"/>
    <hyperlink ref="D6" r:id="rId4" display="https://www.tradingview.com/symbols/NYSE-AZO/" xr:uid="{4A6C5DE5-CA03-4345-A4C5-0A2CACDEC2F3}"/>
    <hyperlink ref="D5" r:id="rId5" display="https://www.tradingview.com/symbols/NASDAQ-CPRT/" xr:uid="{BD2B0427-A6F7-476B-9A6C-4313BB73D6FC}"/>
    <hyperlink ref="D7" r:id="rId6" display="https://www.tradingview.com/symbols/NYSE-PGR/" xr:uid="{BA4E2A03-3B52-4174-A952-34D20ABF7221}"/>
    <hyperlink ref="D8" r:id="rId7" display="https://www.tradingview.com/symbols/NYSE-ALLY/" xr:uid="{FECFB4FB-1A23-4173-B5C7-7555DCA5C75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macro</vt:lpstr>
      <vt:lpstr>Auto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dc:creator>
  <cp:lastModifiedBy>Longhao Desktop</cp:lastModifiedBy>
  <dcterms:created xsi:type="dcterms:W3CDTF">2015-06-05T18:17:20Z</dcterms:created>
  <dcterms:modified xsi:type="dcterms:W3CDTF">2025-02-10T18:24:46Z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{504BFE99-6982-4A34-866F-559B694C05A1}</vt:lpwstr>
  </property>
</Properties>
</file>