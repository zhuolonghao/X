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longh\Desktop\X\analyst\2024.8.25_FMC\"/>
    </mc:Choice>
  </mc:AlternateContent>
  <xr:revisionPtr revIDLastSave="0" documentId="13_ncr:1_{5A5B07A0-7F3E-4669-B774-9291DD76DEDF}" xr6:coauthVersionLast="47" xr6:coauthVersionMax="47" xr10:uidLastSave="{00000000-0000-0000-0000-000000000000}"/>
  <bookViews>
    <workbookView xWindow="-108" yWindow="-108" windowWidth="23256" windowHeight="14016" tabRatio="813" firstSheet="1" activeTab="1" xr2:uid="{00000000-000D-0000-FFFF-FFFF00000000}"/>
  </bookViews>
  <sheets>
    <sheet name="__snloffice" sheetId="7" state="veryHidden" r:id="rId1"/>
    <sheet name="Instructions" sheetId="8" r:id="rId2"/>
    <sheet name="___snlqueryparms" sheetId="5" state="veryHidden" r:id="rId3"/>
    <sheet name="___snlqueryparms2" sheetId="6" state="veryHidden" r:id="rId4"/>
    <sheet name="Financial_Statements" sheetId="9" r:id="rId5"/>
    <sheet name="Common_Size" sheetId="10" r:id="rId6"/>
    <sheet name="Detailed_Comps" sheetId="11" r:id="rId7"/>
    <sheet name="Summary_Comps" sheetId="12" r:id="rId8"/>
  </sheets>
  <definedNames>
    <definedName name="CIQWBGuid" hidden="1">"f161c656-627d-4f5f-8c28-083feea59dd1"</definedName>
    <definedName name="Clear_DC">Detailed_Comps!$D$12:$FT$21,Detailed_Comps!$D$28:$FU$28,Detailed_Comps!$FU$28</definedName>
    <definedName name="Clear_FS">Financial_Statements!$F$9:$Q$1098</definedName>
    <definedName name="ClearOverride">Instructions!$I$13:$I$22</definedName>
    <definedName name="Code_1">Instructions!$Q$45</definedName>
    <definedName name="Code_10">Instructions!$Q$54</definedName>
    <definedName name="Code_2">Instructions!$Q$46</definedName>
    <definedName name="Code_3">Instructions!$Q$47</definedName>
    <definedName name="Code_4">Instructions!$Q$48</definedName>
    <definedName name="Code_5">Instructions!$Q$49</definedName>
    <definedName name="Code_6">Instructions!$Q$50</definedName>
    <definedName name="Code_7">Instructions!$Q$51</definedName>
    <definedName name="Code_8">Instructions!$Q$52</definedName>
    <definedName name="Code_9">Instructions!$Q$53</definedName>
    <definedName name="Conv_List">Instructions!$T$135:$T$136</definedName>
    <definedName name="Cu_Sym">Instructions!$V$39</definedName>
    <definedName name="Curr_Sym">Instructions!$W$39</definedName>
    <definedName name="CURR_SYMBOL">Instructions!$V$40</definedName>
    <definedName name="Currency_Name">Instructions!$T$44:$T$122</definedName>
    <definedName name="ENT_CD">Financial_Statements!$F$4:$Q$4</definedName>
    <definedName name="ENT_DC">Detailed_Comps!$B$12:$B$28</definedName>
    <definedName name="Entity_Code">Instructions!$Q$43</definedName>
    <definedName name="IQ_ADDIN" hidden="1">"AUTO"</definedName>
    <definedName name="IQ_ANNUAL_DIVIDEND" hidden="1">"c229"</definedName>
    <definedName name="IQ_AVG_PRICE_TARGET" hidden="1">"c82"</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"c68"</definedName>
    <definedName name="IQ_CH">110000</definedName>
    <definedName name="IQ_CLASSB_OUTSTANDING_BS_DATE" hidden="1">"c1972"</definedName>
    <definedName name="IQ_CLASSB_OUTSTANDING_FILING_DATE" hidden="1">"c1974"</definedName>
    <definedName name="IQ_CONV_RATE" hidden="1">"c2192"</definedName>
    <definedName name="IQ_CQ">5000</definedName>
    <definedName name="IQ_CY">10000</definedName>
    <definedName name="IQ_DAILY">500000</definedName>
    <definedName name="IQ_DNTM" hidden="1">700000</definedName>
    <definedName name="IQ_EBIT_10K" hidden="1">"IQ_EBIT_10K"</definedName>
    <definedName name="IQ_EBIT_10Q" hidden="1">"IQ_EBIT_10Q"</definedName>
    <definedName name="IQ_EBIT_10Q1" hidden="1">"IQ_EBIT_10Q1"</definedName>
    <definedName name="IQ_EBIT_GROWTH_1" hidden="1">"c157"</definedName>
    <definedName name="IQ_EBIT_GROWTH_2" hidden="1">"c161"</definedName>
    <definedName name="IQ_EBITDA_10K" hidden="1">"IQ_EBITDA_10K"</definedName>
    <definedName name="IQ_EBITDA_10Q" hidden="1">"IQ_EBITDA_10Q"</definedName>
    <definedName name="IQ_EBITDA_10Q1" hidden="1">"IQ_EBITDA_10Q1"</definedName>
    <definedName name="IQ_EBITDA_GROWTH_1" hidden="1">"c156"</definedName>
    <definedName name="IQ_EBITDA_GROWTH_2" hidden="1">"c160"</definedName>
    <definedName name="IQ_EPS" hidden="1">"IQ_EPS"</definedName>
    <definedName name="IQ_EPS_10K" hidden="1">"IQ_EPS_10K"</definedName>
    <definedName name="IQ_EPS_10Q" hidden="1">"IQ_EPS_10Q"</definedName>
    <definedName name="IQ_EPS_10Q1" hidden="1">"IQ_EPS_10Q1"</definedName>
    <definedName name="IQ_EPS_EST_1" hidden="1">"c189"</definedName>
    <definedName name="IQ_EST_EPS_SURPRISE" hidden="1">"c1635"</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V_OVER_REVENUE_EST" hidden="1">"c165"</definedName>
    <definedName name="IQ_EV_OVER_REVENUE_EST_1" hidden="1">"c166"</definedName>
    <definedName name="IQ_EXPENSE_CODE_" hidden="1">"test"</definedName>
    <definedName name="IQ_FH">100000</definedName>
    <definedName name="IQ_FHLB_DUE_AFTER_FIVE" hidden="1">"c2086"</definedName>
    <definedName name="IQ_FIN_DIV_CURRENT_PORT_DEBT_TOTAL" hidden="1">"c5524"</definedName>
    <definedName name="IQ_FIN_DIV_CURRENT_PORT_LEASES_TOTAL" hidden="1">"c5523"</definedName>
    <definedName name="IQ_FIN_DIV_DEBT_LT_TOTAL" hidden="1">"c5526"</definedName>
    <definedName name="IQ_FIN_DIV_LEASES_LT_TOTAL" hidden="1">"c5525"</definedName>
    <definedName name="IQ_FIN_DIV_NOTES_PAY_TOTAL" hidden="1">"c5522"</definedName>
    <definedName name="IQ_FIVE_PERCENT_AMOUNT" hidden="1">"c240"</definedName>
    <definedName name="IQ_FIVEPERCENT_OWNER" hidden="1">"c239"</definedName>
    <definedName name="IQ_FLOAT" hidden="1">"c225"</definedName>
    <definedName name="IQ_FQ">500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Y">1000</definedName>
    <definedName name="IQ_FY_DATE" hidden="1">"IQ_FY_DATE"</definedName>
    <definedName name="IQ_INSIDER_3MTH_BOUGHT" hidden="1">"c1534"</definedName>
    <definedName name="IQ_INSIDER_3MTH_NET" hidden="1">"c1535"</definedName>
    <definedName name="IQ_INSIDER_3MTH_SOLD" hidden="1">"c1533"</definedName>
    <definedName name="IQ_INSIDER_6MTH_BOUGHT" hidden="1">"c1537"</definedName>
    <definedName name="IQ_INSIDER_6MTH_NET" hidden="1">"c1538"</definedName>
    <definedName name="IQ_INSIDER_6MTH_SOLD" hidden="1">"c1536"</definedName>
    <definedName name="IQ_INSIDER_AMOUNT" hidden="1">"c238"</definedName>
    <definedName name="IQ_INSTITUTIONAL_AMOUNT" hidden="1">"c236"</definedName>
    <definedName name="IQ_INTEREST_INC_10K" hidden="1">"IQ_INTEREST_INC_10K"</definedName>
    <definedName name="IQ_INTEREST_INC_10Q" hidden="1">"IQ_INTEREST_INC_10Q"</definedName>
    <definedName name="IQ_INTEREST_INC_10Q1" hidden="1">"IQ_INTEREST_INC_10Q1"</definedName>
    <definedName name="IQ_LAST_EBIT_MARGIN" hidden="1">"c151"</definedName>
    <definedName name="IQ_LAST_EBITDA_MARGIN" hidden="1">"c150"</definedName>
    <definedName name="IQ_LAST_GROSS_MARGIN" hidden="1">"c149"</definedName>
    <definedName name="IQ_LAST_NET_INC_MARGIN" hidden="1">"c152"</definedName>
    <definedName name="IQ_LATEST" hidden="1">"1"</definedName>
    <definedName name="IQ_LATESTK" hidden="1">1000</definedName>
    <definedName name="IQ_LATESTKFR" hidden="1">"100"</definedName>
    <definedName name="IQ_LATESTQ" hidden="1">500</definedName>
    <definedName name="IQ_LATESTQFR" hidden="1">"50"</definedName>
    <definedName name="IQ_LTM">2000</definedName>
    <definedName name="IQ_LTM_DATE" hidden="1">"IQ_LTM_DATE"</definedName>
    <definedName name="IQ_LTMMONTH" hidden="1">120000</definedName>
    <definedName name="IQ_MONTH">15000</definedName>
    <definedName name="IQ_MTD" hidden="1">800000</definedName>
    <definedName name="IQ_NAMES_REVISION_DATE_" hidden="1">44518.1790393519</definedName>
    <definedName name="IQ_NAV_ACT_OR_EST" hidden="1">"c2225"</definedName>
    <definedName name="IQ_NET_INC_10K" hidden="1">"IQ_NET_INC_10K"</definedName>
    <definedName name="IQ_NET_INC_10Q" hidden="1">"IQ_NET_INC_10Q"</definedName>
    <definedName name="IQ_NET_INC_10Q1" hidden="1">"IQ_NET_INC_10Q1"</definedName>
    <definedName name="IQ_NET_INC_GROWTH_1" hidden="1">"c158"</definedName>
    <definedName name="IQ_NET_INC_GROWTH_2" hidden="1">"c162"</definedName>
    <definedName name="IQ_NTM">6000</definedName>
    <definedName name="IQ_NUM_OFFICES" hidden="1">"c2088"</definedName>
    <definedName name="IQ_NUMBER_SHAREHOLDERS_CLASSB" hidden="1">"c1969"</definedName>
    <definedName name="IQ_OG_OTHER_ADJ" hidden="1">"c1999"</definedName>
    <definedName name="IQ_OG_TOTAL_OIL_PRODUCTON" hidden="1">"c2059"</definedName>
    <definedName name="IQ_OPENED55" hidden="1">1</definedName>
    <definedName name="IQ_OPTIONS_EXCERCISED" hidden="1">"c2116"</definedName>
    <definedName name="IQ_OUTSTANDING_FILING_DATE_TOTAL" hidden="1">"c2107"</definedName>
    <definedName name="IQ_PERCENT_FLOAT" hidden="1">"c227"</definedName>
    <definedName name="IQ_PRETAX_INC" hidden="1">"c16"</definedName>
    <definedName name="IQ_PRETAX_INC_10K" hidden="1">"IQ_PRETAX_INC_10K"</definedName>
    <definedName name="IQ_PRETAX_INC_10Q" hidden="1">"IQ_PRETAX_INC_10Q"</definedName>
    <definedName name="IQ_PRETAX_INC_10Q1" hidden="1">"IQ_PRETAX_INC_10Q1"</definedName>
    <definedName name="IQ_PRICE_OVER_EPS_EST" hidden="1">"c174"</definedName>
    <definedName name="IQ_PRICE_OVER_EPS_EST_1" hidden="1">"c175"</definedName>
    <definedName name="IQ_PRICEDATETIME" hidden="1">"IQ_PRICEDATETIME"</definedName>
    <definedName name="IQ_PRIMARY_EPS_TYPE_THOM" hidden="1">"c5297"</definedName>
    <definedName name="IQ_QTD" hidden="1">750000</definedName>
    <definedName name="IQ_REVENUE_10K" hidden="1">"IQ_REVENUE_10K"</definedName>
    <definedName name="IQ_REVENUE_10Q" hidden="1">"IQ_REVENUE_10Q"</definedName>
    <definedName name="IQ_REVENUE_10Q1" hidden="1">"IQ_REVENUE_10Q1"</definedName>
    <definedName name="IQ_REVENUE_EST_1" hidden="1">"c190"</definedName>
    <definedName name="IQ_REVENUE_GROWTH_1" hidden="1">"c155"</definedName>
    <definedName name="IQ_REVENUE_GROWTH_2" hidden="1">"c159"</definedName>
    <definedName name="IQ_SHAREOUTSTANDING" hidden="1">"c1347"</definedName>
    <definedName name="IQ_SHORT_INTEREST_VOLUME" hidden="1">"c228"</definedName>
    <definedName name="IQ_TARGET_PRICE_LASTCLOSE" hidden="1">"c1855"</definedName>
    <definedName name="IQ_TODAY" hidden="1">0</definedName>
    <definedName name="IQ_TOTAL_PENSION_OBLIGATION" hidden="1">"c1292"</definedName>
    <definedName name="IQ_WEEK">50000</definedName>
    <definedName name="IQ_YTD">3000</definedName>
    <definedName name="IQ_YTDMONTH" hidden="1">130000</definedName>
    <definedName name="IQB_BOOKMARK_COUNT" hidden="1">3</definedName>
    <definedName name="IQB_BOOKMARK_LOCATION_0" hidden="1">Financial_Statements!#REF!</definedName>
    <definedName name="IQB_BOOKMARK_LOCATION_1" hidden="1">Financial_Statements!$B$159</definedName>
    <definedName name="IQB_BOOKMARK_LOCATION_2" hidden="1">Financial_Statements!$B$242</definedName>
    <definedName name="IQB_CURRENT_BOOKMARK" hidden="1">1</definedName>
    <definedName name="IQRA7" hidden="1">"$A$8:$A$11"</definedName>
    <definedName name="IQRB7" hidden="1">"$B$8:$B$11"</definedName>
    <definedName name="IQRC7" hidden="1">"$C$8:$C$11"</definedName>
    <definedName name="IQRD7" hidden="1">"$D$8:$D$11"</definedName>
    <definedName name="IQRE7" hidden="1">"$E$8:$E$11"</definedName>
    <definedName name="IQRF7" hidden="1">"$F$8:$F$11"</definedName>
    <definedName name="IQRG7" hidden="1">"$G$8:$G$11"</definedName>
    <definedName name="IQRH7" hidden="1">"$H$8:$H$11"</definedName>
    <definedName name="IQRI7" hidden="1">"$I$8:$I$11"</definedName>
    <definedName name="IQRJ7" hidden="1">"$J$8:$J$11"</definedName>
    <definedName name="Magnitude">Instructions!$T$128:$T$132</definedName>
    <definedName name="OV_1">Instructions!$I$13</definedName>
    <definedName name="OV_10">Instructions!$I$22</definedName>
    <definedName name="OV_2">Instructions!$I$14</definedName>
    <definedName name="OV_3">Instructions!$I$15</definedName>
    <definedName name="OV_4">Instructions!$I$16</definedName>
    <definedName name="OV_5">Instructions!$I$17</definedName>
    <definedName name="OV_6">Instructions!$I$18</definedName>
    <definedName name="OV_7">Instructions!$I$19</definedName>
    <definedName name="OV_8">Instructions!$I$20</definedName>
    <definedName name="OV_9">Instructions!$I$21</definedName>
    <definedName name="P_DC">Detailed_Comps!$D$5:$J$5</definedName>
    <definedName name="P_DC1">Detailed_Comps!$L$5:$FT$5</definedName>
    <definedName name="P_KEY">Financial_Statements!$D$9:$D$1098</definedName>
    <definedName name="Peer_1">Instructions!$F$13</definedName>
    <definedName name="Peer_10">Instructions!$F$22</definedName>
    <definedName name="Peer_2">Instructions!$F$14</definedName>
    <definedName name="Peer_3">Instructions!$F$15</definedName>
    <definedName name="Peer_4">Instructions!$F$16</definedName>
    <definedName name="Peer_5">Instructions!$F$17</definedName>
    <definedName name="Peer_6">Instructions!$F$18</definedName>
    <definedName name="Peer_7">Instructions!$F$19</definedName>
    <definedName name="Peer_8">Instructions!$F$20</definedName>
    <definedName name="Peer_9">Instructions!$F$21</definedName>
    <definedName name="Period">Instructions!$F$24</definedName>
    <definedName name="_xlnm.Print_Area" localSheetId="5">Common_Size!$B$2:$N$70,Common_Size!$B$72:$N$154</definedName>
    <definedName name="_xlnm.Print_Area" localSheetId="6">Detailed_Comps!$D$2:$FT$30</definedName>
    <definedName name="_xlnm.Print_Area" localSheetId="4">Financial_Statements!$B$2:$Q$1100</definedName>
    <definedName name="_xlnm.Print_Area" localSheetId="7">Summary_Comps!$B$2:$AA$66</definedName>
    <definedName name="_xlnm.Print_Titles" localSheetId="5">Common_Size!$2:$2</definedName>
    <definedName name="_xlnm.Print_Titles" localSheetId="6">Detailed_Comps!$D:$K</definedName>
    <definedName name="_xlnm.Print_Titles" localSheetId="4">Financial_Statements!$2:$2</definedName>
    <definedName name="_xlnm.Print_Titles" localSheetId="7">Summary_Comps!$2:$2</definedName>
    <definedName name="Refresh1">Detailed_Comps!$B$5:$FT$7</definedName>
    <definedName name="Refresh2">Detailed_Comps!$B$4:$C$4</definedName>
    <definedName name="S_KEY">Financial_Statements!$F$5:$Q$5</definedName>
    <definedName name="Sel_Conv">Instructions!$U$134</definedName>
    <definedName name="Sel_Curr">Instructions!$U$40</definedName>
    <definedName name="Sel_Mag">Instructions!$T$124</definedName>
    <definedName name="snl__0004DFE6_1829_4E04_A021_50C1C0E45F21_" localSheetId="4" hidden="1">Financial_Statements!$C$6,Financial_Statements!$F$326:$Q$465</definedName>
    <definedName name="snl__000A5E35_92B3_452F_A8BD_22F16BB0BF9B_" localSheetId="4" hidden="1">Financial_Statements!$C$6,Financial_Statements!$F$326:$Q$465</definedName>
    <definedName name="snl__0036EE88_F0A4_48F4_AA64_93B8D6A03A17_" localSheetId="4" hidden="1">Financial_Statements!$C$4,Financial_Statements!$F$9:$Q$156</definedName>
    <definedName name="snl__058B5FFD_0D32_455E_BD5A_40A50B7DF235_" localSheetId="6" hidden="1">Detailed_Comps!$B$4,Detailed_Comps!$D$12:$FT$28</definedName>
    <definedName name="snl__06A708E3_E5FE_44B6_90D7_EA7EC85200EB_" localSheetId="6" hidden="1">Detailed_Comps!$B$4,Detailed_Comps!$D$12:$J$28</definedName>
    <definedName name="snl__070EA84E_D0D8_4439_A105_DF1D6CA0CDF6_" localSheetId="4" hidden="1">Financial_Statements!$C$7,Financial_Statements!$F$469:$Q$741</definedName>
    <definedName name="snl__099C7674_54CD_4FE8_827E_3C99436AA0C9_" localSheetId="4" hidden="1">Financial_Statements!$C$4,Financial_Statements!$F$9:$Q$1098</definedName>
    <definedName name="snl__09E76290_2B9E_4418_91A8_F80704056EBB_" localSheetId="4" hidden="1">Financial_Statements!$C$1008,Financial_Statements!$F$1020:$Q$1024</definedName>
    <definedName name="snl__0B9523D9_1619_4F00_B7B5_761B6F664883_" localSheetId="6" hidden="1">Detailed_Comps!$B$5,Detailed_Comps!$L$12:$FT$28</definedName>
    <definedName name="snl__0C6DB4A8_35D8_4C7E_ABD8_F52B281C6BB6_" localSheetId="4" hidden="1">Financial_Statements!$C$8,Financial_Statements!$F$745:$Q$1098</definedName>
    <definedName name="snl__0E2B2E4D_0AD8_40B9_85CC_5E5A470AA49E_" localSheetId="6" hidden="1">Detailed_Comps!$B$4,Detailed_Comps!$D$12:$J$28</definedName>
    <definedName name="snl__0F3795E9_9A7C_4897_90A2_E6C66D130A2E_" localSheetId="4" hidden="1">Financial_Statements!$C$8,Financial_Statements!$F$745:$Q$1098</definedName>
    <definedName name="snl__152E16B6_75E1_4EBA_B51E_961520B76629_" localSheetId="6" hidden="1">Detailed_Comps!$B$5,Detailed_Comps!$L$12:$FT$28</definedName>
    <definedName name="snl__15F2A265_3466_4A5B_BB85_830E547728AA_" localSheetId="4" hidden="1">Financial_Statements!$C$5,Financial_Statements!$F$160:$Q$323</definedName>
    <definedName name="snl__1878A8C2_0CA0_49BC_AA03_A875F0CC1DC4_" localSheetId="1" hidden="1">Instructions!$F$12:$F$22</definedName>
    <definedName name="snl__20C8A978_DA4C_4A4A_9F41_FB53F12547A0_" localSheetId="6" hidden="1">Detailed_Comps!$B$5,Detailed_Comps!$L$12:$FT$28</definedName>
    <definedName name="snl__241BD684_7411_41A3_A378_44C49B82F9F6_" localSheetId="4" hidden="1">Financial_Statements!$C$7,Financial_Statements!$F$469:$Q$741</definedName>
    <definedName name="snl__29BBC112_C33A_4C00_A615_D9BCC4A4DD1C_" localSheetId="6" hidden="1">Detailed_Comps!$B$5,Detailed_Comps!$L$12:$FT$28</definedName>
    <definedName name="snl__2C6B96A1_0324_4D52_9E3E_7265D47E6FA1_" localSheetId="6" hidden="1">Detailed_Comps!$B$5,Detailed_Comps!$L$12:$FT$28</definedName>
    <definedName name="snl__2CA0255C_8B0A_4DEB_AC9C_C28CFBDEA476_" localSheetId="6" hidden="1">Detailed_Comps!$B$4,Detailed_Comps!$D$12:$J$28</definedName>
    <definedName name="snl__2CAAF022_4DCE_4998_9DE4_F3D6B0F44608_" localSheetId="4" hidden="1">Financial_Statements!$C$4,Financial_Statements!$F$9:$Q$156</definedName>
    <definedName name="snl__2E837975_347D_4DC5_963F_2307FF5C9B08_" localSheetId="4" hidden="1">Financial_Statements!$C$7,Financial_Statements!$F$469:$Q$741</definedName>
    <definedName name="snl__2FFF99C8_8680_47F7_BBFF_4A4AA280E32A_" localSheetId="4" hidden="1">Financial_Statements!$C$4,Financial_Statements!$F$9:$Q$156</definedName>
    <definedName name="snl__3857189F_EC42_4CEC_9187_E97AC67E69CB_" localSheetId="6" hidden="1">Detailed_Comps!$B$4,Detailed_Comps!$D$12:$J$28</definedName>
    <definedName name="snl__3B28BD18_6A9C_4A4D_B31D_75A5BD70FBBE_" localSheetId="4" hidden="1">Financial_Statements!$C$1008,Financial_Statements!$F$1020:$Q$1020</definedName>
    <definedName name="snl__3ED5C9E8_3EDB_4AF0_A09E_5A794256C53E_" localSheetId="4" hidden="1">Financial_Statements!$C$4,Financial_Statements!$F$9:$Q$156</definedName>
    <definedName name="snl__41ED3E81_0977_4239_88F1_0410981C3B3B_" localSheetId="6" hidden="1">Detailed_Comps!$B$4,Detailed_Comps!$D$12:$J$28</definedName>
    <definedName name="snl__422B1D75_B9C9_43C5_B73D_BBDEEF1757FE_" localSheetId="6" hidden="1">Detailed_Comps!$B$5,Detailed_Comps!$L$12:$FT$28</definedName>
    <definedName name="snl__4308B1FC_4667_4738_AAC3_4466292EA530_" localSheetId="4" hidden="1">Financial_Statements!$C$1008,Financial_Statements!$F$1020:$Q$1024</definedName>
    <definedName name="snl__4CF6410F_27E3_4AD5_B89A_E15CC7BC944E_" localSheetId="4" hidden="1">Financial_Statements!$C$1008,Financial_Statements!$F$1020:$Q$1024</definedName>
    <definedName name="snl__5E76214A_87FF_48EE_A7A8_213D1F32E11E_" localSheetId="6" hidden="1">Detailed_Comps!$B$5,Detailed_Comps!$L$12:$FT$28</definedName>
    <definedName name="snl__601924C2_6D20_4DC2_9DF3_1B9A3CB550C9_" localSheetId="4" hidden="1">Financial_Statements!$C$4,Financial_Statements!$K$13:$V$1098</definedName>
    <definedName name="snl__6940B24C_2505_40C8_888B_C4B97AA8A767_" localSheetId="4" hidden="1">Financial_Statements!$C$5,Financial_Statements!$F$160:$Q$323</definedName>
    <definedName name="snl__7C77BF8D_421D_40B9_A96F_0024B316DB0F_" localSheetId="6" hidden="1">Detailed_Comps!$B$4,Detailed_Comps!$D$12:$J$28</definedName>
    <definedName name="snl__7ED05BA5_3818_4651_959C_839FFE5C32C7_" localSheetId="6" hidden="1">Detailed_Comps!$B$4,Detailed_Comps!$D$12:$J$28</definedName>
    <definedName name="snl__8103CECE_3CDC_43C5_A8B3_E2B1726A0CDC_" localSheetId="4" hidden="1">Financial_Statements!$C$1008,Financial_Statements!$F$1020:$Q$1024</definedName>
    <definedName name="snl__82FE0EA5_215B_44F7_8D07_F3E6D504F9C4_" localSheetId="6" hidden="1">Detailed_Comps!$B$4,Detailed_Comps!$D$12:$J$28</definedName>
    <definedName name="snl__8F0FB4B1_C3AF_4265_A2A5_7EB3D531A6DD_" localSheetId="6" hidden="1">Detailed_Comps!$B$5,Detailed_Comps!$L$12:$FT$28</definedName>
    <definedName name="snl__975778A9_05C6_4290_8934_560C8F111E3A_" localSheetId="4" hidden="1">Financial_Statements!$C$1008,Financial_Statements!$F$1020:$Q$1024</definedName>
    <definedName name="snl__990F348F_B982_43A0_B865_63FEF90CED0D_" localSheetId="4" hidden="1">Financial_Statements!$C$1008,Financial_Statements!$F$1020:$Q$1024</definedName>
    <definedName name="snl__A7E2C717_1C3E_4DC1_B1E8_28A8649074C5_" localSheetId="4" hidden="1">Financial_Statements!$C$8,Financial_Statements!$F$745:$Q$1098</definedName>
    <definedName name="snl__A923F04C_71C6_4489_914A_A4556F5465A2_" localSheetId="4" hidden="1">Financial_Statements!$C$5,Financial_Statements!$F$160:$Q$323</definedName>
    <definedName name="snl__BB65E15B_7250_48D5_ADDE_4A58D2126C87_" localSheetId="6" hidden="1">Detailed_Comps!$B$4,Detailed_Comps!$D$12:$J$28</definedName>
    <definedName name="snl__C3628D50_0DDF_4C82_88CB_FD38F9CDEC86_" localSheetId="6" hidden="1">Detailed_Comps!$B$4,Detailed_Comps!$D$12:$J$28</definedName>
    <definedName name="snl__C5EF276A_3163_4B36_8766_EB5135A4B27E_" localSheetId="4" hidden="1">Financial_Statements!$C$7,Financial_Statements!$F$469:$Q$741</definedName>
    <definedName name="snl__D6C0587D_C2DE_4C67_BCBE_2E3DF4497673_" localSheetId="4" hidden="1">Financial_Statements!$C$6,Financial_Statements!$F$326:$Q$465</definedName>
    <definedName name="snl__D8133534_D1A8_4B9D_A653_744100C0ADA1_" localSheetId="4" hidden="1">Financial_Statements!$C$1008,Financial_Statements!$F$1020:$Q$1024</definedName>
    <definedName name="snl__DA99F8F6_67D1_4F7C_864A_13B13F4CB9E8_" localSheetId="6" hidden="1">Detailed_Comps!$B$5,Detailed_Comps!$L$12:$FT$28</definedName>
    <definedName name="snl__DF5CBB1C_709E_4F3A_A9FB_63252AB03258_" localSheetId="4" hidden="1">Financial_Statements!$C$5,Financial_Statements!$F$160:$Q$323</definedName>
    <definedName name="snl__E174D064_E5A6_467C_BF81_FC76FAB70FE3_" localSheetId="6" hidden="1">Detailed_Comps!$B$5,Detailed_Comps!$L$12:$FT$28</definedName>
    <definedName name="snl__E557F57A_A75F_45CC_BCF5_8CB4E585E100_" localSheetId="4" hidden="1">Financial_Statements!$C$6,Financial_Statements!$F$326:$Q$465</definedName>
    <definedName name="snl__E80E611D_CA8C_47E4_B042_5A10935B25BC_" localSheetId="4" hidden="1">Financial_Statements!$C$8,Financial_Statements!$F$745:$Q$1098</definedName>
    <definedName name="snl__F3B545EF_8663_4BC6_B827_EA148602AE11_" localSheetId="6" hidden="1">Detailed_Comps!$B$4,Detailed_Comps!$D$12:$J$28</definedName>
    <definedName name="snl__F8687F48_8828_4906_B593_CA0DCE18119D_" localSheetId="6" hidden="1">Detailed_Comps!$B$5,Detailed_Comps!$L$12:$FT$28</definedName>
    <definedName name="SPWS_WBID">"0D145571-4AA7-4C6E-B8EB-4DF0FED2B8BC"</definedName>
    <definedName name="SPWS_WSID" localSheetId="5" hidden="1">"74B14380-D945-4DA9-AF4C-09AEA4A7FF0E"</definedName>
    <definedName name="SPWS_WSID" localSheetId="4" hidden="1">"57DB6723-E5BE-4B4A-A101-4BA9B54D516F"</definedName>
    <definedName name="Step_2">Instructions!$B$9</definedName>
    <definedName name="Step2">Instructions!$B$13</definedName>
    <definedName name="Target_1">Instructions!$F$9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2" i="11" l="1"/>
  <c r="T12" i="11"/>
  <c r="BH12" i="11"/>
  <c r="BJ12" i="11"/>
  <c r="BL12" i="11"/>
  <c r="BN12" i="11"/>
  <c r="BP12" i="11"/>
  <c r="BR12" i="11"/>
  <c r="BR23" i="11" s="1"/>
  <c r="BT12" i="11"/>
  <c r="BV12" i="11"/>
  <c r="DX12" i="11"/>
  <c r="DZ12" i="11"/>
  <c r="R13" i="11"/>
  <c r="T13" i="11"/>
  <c r="BH13" i="11"/>
  <c r="BJ13" i="11"/>
  <c r="BL13" i="11"/>
  <c r="BN13" i="11"/>
  <c r="BP13" i="11"/>
  <c r="BR13" i="11"/>
  <c r="BT13" i="11"/>
  <c r="BV13" i="11"/>
  <c r="DX13" i="11"/>
  <c r="DZ13" i="11"/>
  <c r="R14" i="11"/>
  <c r="T14" i="11"/>
  <c r="BH14" i="11"/>
  <c r="BJ14" i="11"/>
  <c r="BL14" i="11"/>
  <c r="BN14" i="11"/>
  <c r="BP14" i="11"/>
  <c r="BR14" i="11"/>
  <c r="BT14" i="11"/>
  <c r="BV14" i="11"/>
  <c r="DX14" i="11"/>
  <c r="DZ14" i="11"/>
  <c r="R15" i="11"/>
  <c r="T15" i="11"/>
  <c r="BH15" i="11"/>
  <c r="BJ15" i="11"/>
  <c r="BL15" i="11"/>
  <c r="BN15" i="11"/>
  <c r="BP15" i="11"/>
  <c r="BR15" i="11"/>
  <c r="BT15" i="11"/>
  <c r="BV15" i="11"/>
  <c r="DX15" i="11"/>
  <c r="DZ15" i="11"/>
  <c r="R16" i="11"/>
  <c r="T16" i="11"/>
  <c r="BH16" i="11"/>
  <c r="BJ16" i="11"/>
  <c r="BL16" i="11"/>
  <c r="BN16" i="11"/>
  <c r="BP16" i="11"/>
  <c r="BR16" i="11"/>
  <c r="BT16" i="11"/>
  <c r="BV16" i="11"/>
  <c r="DX16" i="11"/>
  <c r="DZ16" i="11"/>
  <c r="R17" i="11"/>
  <c r="T17" i="11"/>
  <c r="BH17" i="11"/>
  <c r="BJ17" i="11"/>
  <c r="BL17" i="11"/>
  <c r="BN17" i="11"/>
  <c r="BP17" i="11"/>
  <c r="BR17" i="11"/>
  <c r="BT17" i="11"/>
  <c r="BV17" i="11"/>
  <c r="DX17" i="11"/>
  <c r="DZ17" i="11"/>
  <c r="R18" i="11"/>
  <c r="T18" i="11"/>
  <c r="BH18" i="11"/>
  <c r="BJ18" i="11"/>
  <c r="BL18" i="11"/>
  <c r="BN18" i="11"/>
  <c r="BP18" i="11"/>
  <c r="BR18" i="11"/>
  <c r="BT18" i="11"/>
  <c r="BV18" i="11"/>
  <c r="DX18" i="11"/>
  <c r="DZ18" i="11"/>
  <c r="R19" i="11"/>
  <c r="T19" i="11"/>
  <c r="BH19" i="11"/>
  <c r="BJ19" i="11"/>
  <c r="BL19" i="11"/>
  <c r="BN19" i="11"/>
  <c r="BP19" i="11"/>
  <c r="BR19" i="11"/>
  <c r="BT19" i="11"/>
  <c r="BV19" i="11"/>
  <c r="DX19" i="11"/>
  <c r="DZ19" i="11"/>
  <c r="R20" i="11"/>
  <c r="T20" i="11"/>
  <c r="BH20" i="11"/>
  <c r="BJ20" i="11"/>
  <c r="BL20" i="11"/>
  <c r="BN20" i="11"/>
  <c r="BP20" i="11"/>
  <c r="BP24" i="11" s="1"/>
  <c r="BR20" i="11"/>
  <c r="BT20" i="11"/>
  <c r="BV20" i="11"/>
  <c r="DX20" i="11"/>
  <c r="DZ20" i="11"/>
  <c r="R21" i="11"/>
  <c r="R23" i="11" s="1"/>
  <c r="T21" i="11"/>
  <c r="BH21" i="11"/>
  <c r="BJ21" i="11"/>
  <c r="BL21" i="11"/>
  <c r="BN21" i="11"/>
  <c r="BP21" i="11"/>
  <c r="BR21" i="11"/>
  <c r="BT21" i="11"/>
  <c r="BT24" i="11" s="1"/>
  <c r="BV21" i="11"/>
  <c r="DX21" i="11"/>
  <c r="DZ21" i="11"/>
  <c r="L23" i="11"/>
  <c r="N23" i="11"/>
  <c r="P23" i="11"/>
  <c r="V23" i="11"/>
  <c r="X23" i="11"/>
  <c r="Z23" i="11"/>
  <c r="AB23" i="11"/>
  <c r="AD23" i="11"/>
  <c r="AF23" i="11"/>
  <c r="AH23" i="11"/>
  <c r="AJ23" i="11"/>
  <c r="AL23" i="11"/>
  <c r="AN23" i="11"/>
  <c r="AP23" i="11"/>
  <c r="AR23" i="11"/>
  <c r="AT23" i="11"/>
  <c r="AV23" i="11"/>
  <c r="AX23" i="11"/>
  <c r="AZ23" i="11"/>
  <c r="BB23" i="11"/>
  <c r="BD23" i="11"/>
  <c r="BF23" i="11"/>
  <c r="BT23" i="11"/>
  <c r="BX23" i="11"/>
  <c r="BZ23" i="11"/>
  <c r="CB23" i="11"/>
  <c r="CD23" i="11"/>
  <c r="CF23" i="11"/>
  <c r="CH23" i="11"/>
  <c r="CJ23" i="11"/>
  <c r="CL23" i="11"/>
  <c r="CN23" i="11"/>
  <c r="CP23" i="11"/>
  <c r="CR23" i="11"/>
  <c r="CT23" i="11"/>
  <c r="CV23" i="11"/>
  <c r="CX23" i="11"/>
  <c r="CZ23" i="11"/>
  <c r="DB23" i="11"/>
  <c r="DD23" i="11"/>
  <c r="DF23" i="11"/>
  <c r="DH23" i="11"/>
  <c r="DJ23" i="11"/>
  <c r="DL23" i="11"/>
  <c r="DN23" i="11"/>
  <c r="DP23" i="11"/>
  <c r="DR23" i="11"/>
  <c r="DT23" i="11"/>
  <c r="DV23" i="11"/>
  <c r="EB23" i="11"/>
  <c r="EC23" i="11"/>
  <c r="ED23" i="11"/>
  <c r="EF23" i="11"/>
  <c r="EH23" i="11"/>
  <c r="EJ23" i="11"/>
  <c r="EL23" i="11"/>
  <c r="EN23" i="11"/>
  <c r="EP23" i="11"/>
  <c r="ER23" i="11"/>
  <c r="ET23" i="11"/>
  <c r="EV23" i="11"/>
  <c r="EX23" i="11"/>
  <c r="EZ23" i="11"/>
  <c r="FB23" i="11"/>
  <c r="FD23" i="11"/>
  <c r="FF23" i="11"/>
  <c r="FH23" i="11"/>
  <c r="FJ23" i="11"/>
  <c r="FL23" i="11"/>
  <c r="FN23" i="11"/>
  <c r="FP23" i="11"/>
  <c r="FR23" i="11"/>
  <c r="FT23" i="11"/>
  <c r="L24" i="11"/>
  <c r="N24" i="11"/>
  <c r="P24" i="11"/>
  <c r="R24" i="11"/>
  <c r="V24" i="11"/>
  <c r="X24" i="11"/>
  <c r="Z24" i="11"/>
  <c r="AB24" i="11"/>
  <c r="AD24" i="11"/>
  <c r="AF24" i="11"/>
  <c r="AH24" i="11"/>
  <c r="AJ24" i="11"/>
  <c r="AL24" i="11"/>
  <c r="AN24" i="11"/>
  <c r="AP24" i="11"/>
  <c r="AR24" i="11"/>
  <c r="AT24" i="11"/>
  <c r="AV24" i="11"/>
  <c r="AX24" i="11"/>
  <c r="AZ24" i="11"/>
  <c r="BB24" i="11"/>
  <c r="BD24" i="11"/>
  <c r="BF24" i="11"/>
  <c r="BN24" i="11"/>
  <c r="BX24" i="11"/>
  <c r="BZ24" i="11"/>
  <c r="CB24" i="11"/>
  <c r="CD24" i="11"/>
  <c r="CF24" i="11"/>
  <c r="CH24" i="11"/>
  <c r="CJ24" i="11"/>
  <c r="CL24" i="11"/>
  <c r="CN24" i="11"/>
  <c r="CP24" i="11"/>
  <c r="CR24" i="11"/>
  <c r="CT24" i="11"/>
  <c r="CV24" i="11"/>
  <c r="CX24" i="11"/>
  <c r="CZ24" i="11"/>
  <c r="DB24" i="11"/>
  <c r="DD24" i="11"/>
  <c r="DF24" i="11"/>
  <c r="DH24" i="11"/>
  <c r="DJ24" i="11"/>
  <c r="DL24" i="11"/>
  <c r="DN24" i="11"/>
  <c r="DP24" i="11"/>
  <c r="DR24" i="11"/>
  <c r="DT24" i="11"/>
  <c r="DV24" i="11"/>
  <c r="DX24" i="11"/>
  <c r="EB24" i="11"/>
  <c r="EC24" i="11"/>
  <c r="ED24" i="11"/>
  <c r="EF24" i="11"/>
  <c r="EH24" i="11"/>
  <c r="EJ24" i="11"/>
  <c r="EL24" i="11"/>
  <c r="EN24" i="11"/>
  <c r="EP24" i="11"/>
  <c r="ER24" i="11"/>
  <c r="ET24" i="11"/>
  <c r="EV24" i="11"/>
  <c r="EX24" i="11"/>
  <c r="EZ24" i="11"/>
  <c r="FB24" i="11"/>
  <c r="FD24" i="11"/>
  <c r="FF24" i="11"/>
  <c r="FH24" i="11"/>
  <c r="FJ24" i="11"/>
  <c r="FL24" i="11"/>
  <c r="FN24" i="11"/>
  <c r="FP24" i="11"/>
  <c r="FR24" i="11"/>
  <c r="FT24" i="11"/>
  <c r="L25" i="11"/>
  <c r="N25" i="11"/>
  <c r="P25" i="11"/>
  <c r="V25" i="11"/>
  <c r="X25" i="11"/>
  <c r="Z25" i="11"/>
  <c r="AB25" i="11"/>
  <c r="AD25" i="11"/>
  <c r="AF25" i="11"/>
  <c r="AH25" i="11"/>
  <c r="AJ25" i="11"/>
  <c r="AL25" i="11"/>
  <c r="AN25" i="11"/>
  <c r="AP25" i="11"/>
  <c r="AR25" i="11"/>
  <c r="AT25" i="11"/>
  <c r="AV25" i="11"/>
  <c r="AX25" i="11"/>
  <c r="AZ25" i="11"/>
  <c r="BB25" i="11"/>
  <c r="BD25" i="11"/>
  <c r="BF25" i="11"/>
  <c r="BH25" i="11"/>
  <c r="BT25" i="11"/>
  <c r="BV25" i="11"/>
  <c r="BX25" i="11"/>
  <c r="BZ25" i="11"/>
  <c r="CB25" i="11"/>
  <c r="CD25" i="11"/>
  <c r="CF25" i="11"/>
  <c r="CH25" i="11"/>
  <c r="CJ25" i="11"/>
  <c r="CL25" i="11"/>
  <c r="CN25" i="11"/>
  <c r="CP25" i="11"/>
  <c r="CR25" i="11"/>
  <c r="CT25" i="11"/>
  <c r="CV25" i="11"/>
  <c r="CX25" i="11"/>
  <c r="CZ25" i="11"/>
  <c r="DB25" i="11"/>
  <c r="DD25" i="11"/>
  <c r="DF25" i="11"/>
  <c r="DH25" i="11"/>
  <c r="DJ25" i="11"/>
  <c r="DL25" i="11"/>
  <c r="DN25" i="11"/>
  <c r="DP25" i="11"/>
  <c r="DR25" i="11"/>
  <c r="DT25" i="11"/>
  <c r="DV25" i="11"/>
  <c r="EB25" i="11"/>
  <c r="EC25" i="11"/>
  <c r="ED25" i="11"/>
  <c r="EF25" i="11"/>
  <c r="EH25" i="11"/>
  <c r="EJ25" i="11"/>
  <c r="EL25" i="11"/>
  <c r="EN25" i="11"/>
  <c r="EP25" i="11"/>
  <c r="ER25" i="11"/>
  <c r="ET25" i="11"/>
  <c r="EV25" i="11"/>
  <c r="EX25" i="11"/>
  <c r="EZ25" i="11"/>
  <c r="FB25" i="11"/>
  <c r="FD25" i="11"/>
  <c r="FF25" i="11"/>
  <c r="FH25" i="11"/>
  <c r="FJ25" i="11"/>
  <c r="FL25" i="11"/>
  <c r="FN25" i="11"/>
  <c r="FP25" i="11"/>
  <c r="FR25" i="11"/>
  <c r="FT25" i="11"/>
  <c r="L26" i="11"/>
  <c r="N26" i="11"/>
  <c r="P26" i="11"/>
  <c r="R26" i="11"/>
  <c r="T26" i="11"/>
  <c r="V26" i="11"/>
  <c r="X26" i="11"/>
  <c r="Z26" i="11"/>
  <c r="AB26" i="11"/>
  <c r="AD26" i="11"/>
  <c r="AF26" i="11"/>
  <c r="AH26" i="11"/>
  <c r="AJ26" i="11"/>
  <c r="AL26" i="11"/>
  <c r="AN26" i="11"/>
  <c r="AP26" i="11"/>
  <c r="AR26" i="11"/>
  <c r="AT26" i="11"/>
  <c r="AV26" i="11"/>
  <c r="AX26" i="11"/>
  <c r="AZ26" i="11"/>
  <c r="BB26" i="11"/>
  <c r="BD26" i="11"/>
  <c r="BF26" i="11"/>
  <c r="BN26" i="11"/>
  <c r="BP26" i="11"/>
  <c r="BX26" i="11"/>
  <c r="BZ26" i="11"/>
  <c r="CB26" i="11"/>
  <c r="CD26" i="11"/>
  <c r="CF26" i="11"/>
  <c r="CH26" i="11"/>
  <c r="CJ26" i="11"/>
  <c r="CL26" i="11"/>
  <c r="CN26" i="11"/>
  <c r="CP26" i="11"/>
  <c r="CR26" i="11"/>
  <c r="CT26" i="11"/>
  <c r="CV26" i="11"/>
  <c r="CX26" i="11"/>
  <c r="CZ26" i="11"/>
  <c r="DB26" i="11"/>
  <c r="DD26" i="11"/>
  <c r="DF26" i="11"/>
  <c r="DH26" i="11"/>
  <c r="DJ26" i="11"/>
  <c r="DL26" i="11"/>
  <c r="DN26" i="11"/>
  <c r="DP26" i="11"/>
  <c r="DR26" i="11"/>
  <c r="DT26" i="11"/>
  <c r="DV26" i="11"/>
  <c r="DX26" i="11"/>
  <c r="EB26" i="11"/>
  <c r="EC26" i="11"/>
  <c r="ED26" i="11"/>
  <c r="EF26" i="11"/>
  <c r="EH26" i="11"/>
  <c r="EJ26" i="11"/>
  <c r="EL26" i="11"/>
  <c r="EN26" i="11"/>
  <c r="EP26" i="11"/>
  <c r="ER26" i="11"/>
  <c r="ET26" i="11"/>
  <c r="EV26" i="11"/>
  <c r="EX26" i="11"/>
  <c r="EZ26" i="11"/>
  <c r="FB26" i="11"/>
  <c r="FD26" i="11"/>
  <c r="FF26" i="11"/>
  <c r="FH26" i="11"/>
  <c r="FJ26" i="11"/>
  <c r="FL26" i="11"/>
  <c r="FN26" i="11"/>
  <c r="FP26" i="11"/>
  <c r="FR26" i="11"/>
  <c r="FT26" i="11"/>
  <c r="R28" i="11"/>
  <c r="T28" i="11"/>
  <c r="BH28" i="11"/>
  <c r="BJ28" i="11"/>
  <c r="BL28" i="11"/>
  <c r="BN28" i="11"/>
  <c r="BP28" i="11"/>
  <c r="BR28" i="11"/>
  <c r="BT28" i="11"/>
  <c r="BV28" i="11"/>
  <c r="DX28" i="11"/>
  <c r="DZ28" i="11"/>
  <c r="AN6" i="11" a="1"/>
  <c r="BD6" i="11" a="1"/>
  <c r="BF6" i="11" a="1"/>
  <c r="AV6" i="11" a="1"/>
  <c r="AX6" i="11" a="1"/>
  <c r="AP6" i="11" a="1"/>
  <c r="CB6" i="11" a="1"/>
  <c r="CD6" i="11" a="1"/>
  <c r="C4" i="11" a="1"/>
  <c r="DZ25" i="11" l="1"/>
  <c r="BR24" i="11"/>
  <c r="DZ23" i="11"/>
  <c r="BJ23" i="11"/>
  <c r="BR26" i="11"/>
  <c r="BR25" i="11"/>
  <c r="DZ24" i="11"/>
  <c r="BH24" i="11"/>
  <c r="BP23" i="11"/>
  <c r="DX23" i="11"/>
  <c r="BH23" i="11"/>
  <c r="BV24" i="11"/>
  <c r="T24" i="11"/>
  <c r="BN23" i="11"/>
  <c r="BL23" i="11"/>
  <c r="BJ26" i="11"/>
  <c r="BJ25" i="11"/>
  <c r="DZ26" i="11"/>
  <c r="BJ24" i="11"/>
  <c r="BV23" i="11"/>
  <c r="BH26" i="11"/>
  <c r="T23" i="11"/>
  <c r="BV26" i="11"/>
  <c r="BN25" i="11"/>
  <c r="R25" i="11"/>
  <c r="BL26" i="11"/>
  <c r="BL24" i="11"/>
  <c r="BT26" i="11"/>
  <c r="DX25" i="11"/>
  <c r="BL25" i="11"/>
  <c r="BP25" i="11"/>
  <c r="T25" i="11"/>
  <c r="CD6" i="11"/>
  <c r="CB6" i="11"/>
  <c r="AP6" i="11"/>
  <c r="AX6" i="11"/>
  <c r="AV6" i="11"/>
  <c r="BF6" i="11"/>
  <c r="BD6" i="11"/>
  <c r="AN6" i="11"/>
  <c r="C4" i="11"/>
  <c r="F1009" i="9"/>
  <c r="G1009" i="9"/>
  <c r="H1009" i="9"/>
  <c r="I1009" i="9"/>
  <c r="J1009" i="9"/>
  <c r="K1009" i="9"/>
  <c r="L1009" i="9"/>
  <c r="M1009" i="9"/>
  <c r="N1009" i="9"/>
  <c r="O1009" i="9"/>
  <c r="P1009" i="9"/>
  <c r="Q1009" i="9"/>
  <c r="F1012" i="9"/>
  <c r="F1027" i="9" s="1"/>
  <c r="G1012" i="9"/>
  <c r="G1027" i="9" s="1"/>
  <c r="H1012" i="9"/>
  <c r="I1012" i="9"/>
  <c r="I1027" i="9" s="1"/>
  <c r="J1012" i="9"/>
  <c r="J1027" i="9" s="1"/>
  <c r="K1012" i="9"/>
  <c r="K1025" i="9" s="1"/>
  <c r="L1012" i="9"/>
  <c r="L1025" i="9" s="1"/>
  <c r="M1012" i="9"/>
  <c r="M1025" i="9" s="1"/>
  <c r="N1012" i="9"/>
  <c r="N1027" i="9" s="1"/>
  <c r="O1012" i="9"/>
  <c r="O1025" i="9" s="1"/>
  <c r="P1012" i="9"/>
  <c r="Q1012" i="9"/>
  <c r="Q1027" i="9" s="1"/>
  <c r="F1025" i="9"/>
  <c r="G1025" i="9"/>
  <c r="H1025" i="9"/>
  <c r="I1025" i="9"/>
  <c r="N1025" i="9"/>
  <c r="P1025" i="9"/>
  <c r="Q1025" i="9"/>
  <c r="F1026" i="9"/>
  <c r="G1026" i="9"/>
  <c r="H1026" i="9"/>
  <c r="I1026" i="9"/>
  <c r="J1026" i="9"/>
  <c r="L1026" i="9"/>
  <c r="N1026" i="9"/>
  <c r="P1026" i="9"/>
  <c r="H1027" i="9"/>
  <c r="L1027" i="9"/>
  <c r="P1027" i="9"/>
  <c r="F1028" i="9"/>
  <c r="G1028" i="9"/>
  <c r="H1028" i="9"/>
  <c r="I1028" i="9"/>
  <c r="J1028" i="9"/>
  <c r="K1028" i="9"/>
  <c r="L1028" i="9"/>
  <c r="M1028" i="9"/>
  <c r="N1028" i="9"/>
  <c r="O1028" i="9"/>
  <c r="P1028" i="9"/>
  <c r="Q1028" i="9"/>
  <c r="F1029" i="9"/>
  <c r="G1029" i="9"/>
  <c r="H1029" i="9"/>
  <c r="I1029" i="9"/>
  <c r="J1029" i="9"/>
  <c r="K1029" i="9"/>
  <c r="L1029" i="9"/>
  <c r="M1029" i="9"/>
  <c r="N1029" i="9"/>
  <c r="O1029" i="9"/>
  <c r="P1029" i="9"/>
  <c r="Q1029" i="9"/>
  <c r="F1030" i="9"/>
  <c r="G1030" i="9"/>
  <c r="H1030" i="9"/>
  <c r="I1030" i="9"/>
  <c r="J1030" i="9"/>
  <c r="K1030" i="9"/>
  <c r="L1030" i="9"/>
  <c r="M1030" i="9"/>
  <c r="N1030" i="9"/>
  <c r="O1030" i="9"/>
  <c r="P1030" i="9"/>
  <c r="Q1030" i="9"/>
  <c r="G13" i="8" a="1"/>
  <c r="M1026" i="9" l="1"/>
  <c r="K1026" i="9"/>
  <c r="O1027" i="9"/>
  <c r="J1025" i="9"/>
  <c r="M1027" i="9"/>
  <c r="Q1026" i="9"/>
  <c r="K1027" i="9"/>
  <c r="O1026" i="9"/>
  <c r="G13" i="8"/>
  <c r="G14" i="8" a="1"/>
  <c r="G14" i="8"/>
  <c r="G15" i="8" a="1"/>
  <c r="G15" i="8"/>
  <c r="G16" i="8" a="1"/>
  <c r="G16" i="8"/>
  <c r="G17" i="8" a="1"/>
  <c r="G17" i="8"/>
  <c r="G18" i="8" a="1"/>
  <c r="G18" i="8"/>
  <c r="G19" i="8" a="1"/>
  <c r="G19" i="8"/>
  <c r="G20" i="8" a="1"/>
  <c r="G20" i="8"/>
  <c r="G21" i="8" a="1"/>
  <c r="G21" i="8"/>
  <c r="G22" i="8" a="1"/>
  <c r="G22" i="8"/>
  <c r="G9" i="8" a="1"/>
  <c r="G9" i="8"/>
  <c r="F12" i="8" a="1"/>
  <c r="F12" i="8"/>
  <c r="J13" i="8" a="1"/>
  <c r="J13" i="8" s="1"/>
  <c r="J14" i="8" a="1"/>
  <c r="J14" i="8" s="1"/>
  <c r="J15" i="8" a="1"/>
  <c r="J15" i="8" s="1"/>
  <c r="J16" i="8" a="1"/>
  <c r="J16" i="8" s="1"/>
  <c r="J17" i="8" a="1"/>
  <c r="J17" i="8" s="1"/>
  <c r="J18" i="8" a="1"/>
  <c r="J18" i="8" s="1"/>
  <c r="J19" i="8" a="1"/>
  <c r="J19" i="8" s="1"/>
  <c r="J20" i="8" a="1"/>
  <c r="J20" i="8" s="1"/>
  <c r="J21" i="8" a="1"/>
  <c r="J21" i="8" s="1"/>
  <c r="J22" i="8" a="1"/>
  <c r="J22" i="8" s="1"/>
  <c r="I27" i="8" a="1"/>
  <c r="I27" i="8" l="1"/>
  <c r="Q45" i="8" l="1"/>
  <c r="Q46" i="8"/>
  <c r="Q47" i="8"/>
  <c r="Q48" i="8"/>
  <c r="Q49" i="8"/>
  <c r="Q50" i="8"/>
  <c r="Q51" i="8"/>
  <c r="Q52" i="8"/>
  <c r="Q53" i="8"/>
  <c r="Q54" i="8"/>
  <c r="Q43" i="8" l="1"/>
  <c r="B6" i="12" l="1"/>
  <c r="B27" i="12" s="1"/>
  <c r="B48" i="12" s="1"/>
  <c r="D6" i="12"/>
  <c r="D27" i="12" s="1"/>
  <c r="D48" i="12" s="1"/>
  <c r="E6" i="12"/>
  <c r="K6" i="12"/>
  <c r="M6" i="12"/>
  <c r="O6" i="12"/>
  <c r="Q6" i="12"/>
  <c r="S6" i="12"/>
  <c r="U6" i="12"/>
  <c r="W6" i="12"/>
  <c r="Y6" i="12"/>
  <c r="AA6" i="12"/>
  <c r="B7" i="12"/>
  <c r="B28" i="12" s="1"/>
  <c r="B49" i="12" s="1"/>
  <c r="D7" i="12"/>
  <c r="D28" i="12" s="1"/>
  <c r="D49" i="12" s="1"/>
  <c r="E7" i="12"/>
  <c r="K7" i="12"/>
  <c r="M7" i="12"/>
  <c r="O7" i="12"/>
  <c r="Q7" i="12"/>
  <c r="S7" i="12"/>
  <c r="U7" i="12"/>
  <c r="W7" i="12"/>
  <c r="Y7" i="12"/>
  <c r="AA7" i="12"/>
  <c r="B8" i="12"/>
  <c r="B29" i="12" s="1"/>
  <c r="B50" i="12" s="1"/>
  <c r="D8" i="12"/>
  <c r="D29" i="12" s="1"/>
  <c r="D50" i="12" s="1"/>
  <c r="E8" i="12"/>
  <c r="K8" i="12"/>
  <c r="M8" i="12"/>
  <c r="O8" i="12"/>
  <c r="Q8" i="12"/>
  <c r="S8" i="12"/>
  <c r="U8" i="12"/>
  <c r="W8" i="12"/>
  <c r="Y8" i="12"/>
  <c r="AA8" i="12"/>
  <c r="B9" i="12"/>
  <c r="B30" i="12" s="1"/>
  <c r="B51" i="12" s="1"/>
  <c r="D9" i="12"/>
  <c r="D30" i="12" s="1"/>
  <c r="D51" i="12" s="1"/>
  <c r="E9" i="12"/>
  <c r="K9" i="12"/>
  <c r="M9" i="12"/>
  <c r="O9" i="12"/>
  <c r="Q9" i="12"/>
  <c r="S9" i="12"/>
  <c r="U9" i="12"/>
  <c r="W9" i="12"/>
  <c r="Y9" i="12"/>
  <c r="AA9" i="12"/>
  <c r="B10" i="12"/>
  <c r="B31" i="12" s="1"/>
  <c r="B52" i="12" s="1"/>
  <c r="D10" i="12"/>
  <c r="D31" i="12" s="1"/>
  <c r="D52" i="12" s="1"/>
  <c r="E10" i="12"/>
  <c r="K10" i="12"/>
  <c r="M10" i="12"/>
  <c r="O10" i="12"/>
  <c r="Q10" i="12"/>
  <c r="S10" i="12"/>
  <c r="U10" i="12"/>
  <c r="W10" i="12"/>
  <c r="Y10" i="12"/>
  <c r="AA10" i="12"/>
  <c r="B11" i="12"/>
  <c r="B32" i="12" s="1"/>
  <c r="B53" i="12" s="1"/>
  <c r="D11" i="12"/>
  <c r="D32" i="12" s="1"/>
  <c r="D53" i="12" s="1"/>
  <c r="E11" i="12"/>
  <c r="K11" i="12"/>
  <c r="M11" i="12"/>
  <c r="O11" i="12"/>
  <c r="Q11" i="12"/>
  <c r="S11" i="12"/>
  <c r="U11" i="12"/>
  <c r="W11" i="12"/>
  <c r="Y11" i="12"/>
  <c r="AA11" i="12"/>
  <c r="B12" i="12"/>
  <c r="B33" i="12" s="1"/>
  <c r="B54" i="12" s="1"/>
  <c r="D12" i="12"/>
  <c r="D33" i="12" s="1"/>
  <c r="D54" i="12" s="1"/>
  <c r="E12" i="12"/>
  <c r="K12" i="12"/>
  <c r="M12" i="12"/>
  <c r="O12" i="12"/>
  <c r="Q12" i="12"/>
  <c r="S12" i="12"/>
  <c r="U12" i="12"/>
  <c r="W12" i="12"/>
  <c r="Y12" i="12"/>
  <c r="AA12" i="12"/>
  <c r="B13" i="12"/>
  <c r="B34" i="12" s="1"/>
  <c r="B55" i="12" s="1"/>
  <c r="D13" i="12"/>
  <c r="D34" i="12" s="1"/>
  <c r="D55" i="12" s="1"/>
  <c r="E13" i="12"/>
  <c r="K13" i="12"/>
  <c r="M13" i="12"/>
  <c r="O13" i="12"/>
  <c r="Q13" i="12"/>
  <c r="S13" i="12"/>
  <c r="U13" i="12"/>
  <c r="W13" i="12"/>
  <c r="Y13" i="12"/>
  <c r="AA13" i="12"/>
  <c r="B14" i="12"/>
  <c r="B35" i="12" s="1"/>
  <c r="B56" i="12" s="1"/>
  <c r="D14" i="12"/>
  <c r="D35" i="12" s="1"/>
  <c r="D56" i="12" s="1"/>
  <c r="E14" i="12"/>
  <c r="K14" i="12"/>
  <c r="M14" i="12"/>
  <c r="O14" i="12"/>
  <c r="Q14" i="12"/>
  <c r="S14" i="12"/>
  <c r="U14" i="12"/>
  <c r="W14" i="12"/>
  <c r="Y14" i="12"/>
  <c r="AA14" i="12"/>
  <c r="B15" i="12"/>
  <c r="B36" i="12" s="1"/>
  <c r="B57" i="12" s="1"/>
  <c r="D15" i="12"/>
  <c r="D36" i="12" s="1"/>
  <c r="D57" i="12" s="1"/>
  <c r="E15" i="12"/>
  <c r="K15" i="12"/>
  <c r="M15" i="12"/>
  <c r="O15" i="12"/>
  <c r="Q15" i="12"/>
  <c r="S15" i="12"/>
  <c r="U15" i="12"/>
  <c r="W15" i="12"/>
  <c r="Y15" i="12"/>
  <c r="AA15" i="12"/>
  <c r="B22" i="12"/>
  <c r="B43" i="12" s="1"/>
  <c r="B64" i="12" s="1"/>
  <c r="D22" i="12"/>
  <c r="D43" i="12" s="1"/>
  <c r="D64" i="12" s="1"/>
  <c r="E22" i="12"/>
  <c r="K22" i="12"/>
  <c r="M22" i="12"/>
  <c r="O22" i="12"/>
  <c r="Q22" i="12"/>
  <c r="S22" i="12"/>
  <c r="U22" i="12"/>
  <c r="W22" i="12"/>
  <c r="Y22" i="12"/>
  <c r="AA22" i="12"/>
  <c r="Q26" i="12"/>
  <c r="U26" i="12"/>
  <c r="E27" i="12"/>
  <c r="G27" i="12"/>
  <c r="I27" i="12"/>
  <c r="K27" i="12"/>
  <c r="M27" i="12"/>
  <c r="O27" i="12"/>
  <c r="Y27" i="12"/>
  <c r="AA27" i="12"/>
  <c r="E28" i="12"/>
  <c r="G28" i="12"/>
  <c r="I28" i="12"/>
  <c r="K28" i="12"/>
  <c r="M28" i="12"/>
  <c r="O28" i="12"/>
  <c r="Y28" i="12"/>
  <c r="AA28" i="12"/>
  <c r="E29" i="12"/>
  <c r="G29" i="12"/>
  <c r="I29" i="12"/>
  <c r="K29" i="12"/>
  <c r="M29" i="12"/>
  <c r="O29" i="12"/>
  <c r="Y29" i="12"/>
  <c r="AA29" i="12"/>
  <c r="E30" i="12"/>
  <c r="G30" i="12"/>
  <c r="I30" i="12"/>
  <c r="K30" i="12"/>
  <c r="M30" i="12"/>
  <c r="O30" i="12"/>
  <c r="Y30" i="12"/>
  <c r="AA30" i="12"/>
  <c r="E31" i="12"/>
  <c r="G31" i="12"/>
  <c r="I31" i="12"/>
  <c r="K31" i="12"/>
  <c r="M31" i="12"/>
  <c r="O31" i="12"/>
  <c r="Y31" i="12"/>
  <c r="AA31" i="12"/>
  <c r="E32" i="12"/>
  <c r="G32" i="12"/>
  <c r="I32" i="12"/>
  <c r="K32" i="12"/>
  <c r="M32" i="12"/>
  <c r="O32" i="12"/>
  <c r="Y32" i="12"/>
  <c r="AA32" i="12"/>
  <c r="E33" i="12"/>
  <c r="G33" i="12"/>
  <c r="I33" i="12"/>
  <c r="K33" i="12"/>
  <c r="M33" i="12"/>
  <c r="O33" i="12"/>
  <c r="Y33" i="12"/>
  <c r="AA33" i="12"/>
  <c r="E34" i="12"/>
  <c r="G34" i="12"/>
  <c r="I34" i="12"/>
  <c r="K34" i="12"/>
  <c r="M34" i="12"/>
  <c r="O34" i="12"/>
  <c r="Y34" i="12"/>
  <c r="AA34" i="12"/>
  <c r="E35" i="12"/>
  <c r="G35" i="12"/>
  <c r="I35" i="12"/>
  <c r="K35" i="12"/>
  <c r="M35" i="12"/>
  <c r="O35" i="12"/>
  <c r="Y35" i="12"/>
  <c r="AA35" i="12"/>
  <c r="E36" i="12"/>
  <c r="G36" i="12"/>
  <c r="I36" i="12"/>
  <c r="K36" i="12"/>
  <c r="M36" i="12"/>
  <c r="O36" i="12"/>
  <c r="Y36" i="12"/>
  <c r="AA36" i="12"/>
  <c r="D38" i="12"/>
  <c r="D59" i="12" s="1"/>
  <c r="D39" i="12"/>
  <c r="D40" i="12"/>
  <c r="D61" i="12" s="1"/>
  <c r="D41" i="12"/>
  <c r="D62" i="12" s="1"/>
  <c r="E43" i="12"/>
  <c r="G43" i="12"/>
  <c r="I43" i="12"/>
  <c r="K43" i="12"/>
  <c r="M43" i="12"/>
  <c r="O43" i="12"/>
  <c r="Y43" i="12"/>
  <c r="AA43" i="12"/>
  <c r="E48" i="12"/>
  <c r="G48" i="12"/>
  <c r="K48" i="12"/>
  <c r="M48" i="12"/>
  <c r="O48" i="12"/>
  <c r="Q48" i="12"/>
  <c r="S48" i="12"/>
  <c r="U48" i="12"/>
  <c r="W48" i="12"/>
  <c r="Y48" i="12"/>
  <c r="AA48" i="12"/>
  <c r="E49" i="12"/>
  <c r="G49" i="12"/>
  <c r="K49" i="12"/>
  <c r="M49" i="12"/>
  <c r="O49" i="12"/>
  <c r="Q49" i="12"/>
  <c r="S49" i="12"/>
  <c r="U49" i="12"/>
  <c r="W49" i="12"/>
  <c r="Y49" i="12"/>
  <c r="AA49" i="12"/>
  <c r="E50" i="12"/>
  <c r="G50" i="12"/>
  <c r="K50" i="12"/>
  <c r="M50" i="12"/>
  <c r="O50" i="12"/>
  <c r="Q50" i="12"/>
  <c r="S50" i="12"/>
  <c r="U50" i="12"/>
  <c r="W50" i="12"/>
  <c r="Y50" i="12"/>
  <c r="AA50" i="12"/>
  <c r="E51" i="12"/>
  <c r="G51" i="12"/>
  <c r="K51" i="12"/>
  <c r="M51" i="12"/>
  <c r="O51" i="12"/>
  <c r="Q51" i="12"/>
  <c r="S51" i="12"/>
  <c r="U51" i="12"/>
  <c r="W51" i="12"/>
  <c r="Y51" i="12"/>
  <c r="AA51" i="12"/>
  <c r="E52" i="12"/>
  <c r="G52" i="12"/>
  <c r="K52" i="12"/>
  <c r="M52" i="12"/>
  <c r="O52" i="12"/>
  <c r="Q52" i="12"/>
  <c r="S52" i="12"/>
  <c r="U52" i="12"/>
  <c r="W52" i="12"/>
  <c r="Y52" i="12"/>
  <c r="AA52" i="12"/>
  <c r="E53" i="12"/>
  <c r="G53" i="12"/>
  <c r="K53" i="12"/>
  <c r="M53" i="12"/>
  <c r="O53" i="12"/>
  <c r="Q53" i="12"/>
  <c r="S53" i="12"/>
  <c r="U53" i="12"/>
  <c r="W53" i="12"/>
  <c r="Y53" i="12"/>
  <c r="AA53" i="12"/>
  <c r="E54" i="12"/>
  <c r="G54" i="12"/>
  <c r="K54" i="12"/>
  <c r="M54" i="12"/>
  <c r="O54" i="12"/>
  <c r="Q54" i="12"/>
  <c r="S54" i="12"/>
  <c r="U54" i="12"/>
  <c r="W54" i="12"/>
  <c r="Y54" i="12"/>
  <c r="AA54" i="12"/>
  <c r="E55" i="12"/>
  <c r="G55" i="12"/>
  <c r="K55" i="12"/>
  <c r="M55" i="12"/>
  <c r="O55" i="12"/>
  <c r="Q55" i="12"/>
  <c r="S55" i="12"/>
  <c r="U55" i="12"/>
  <c r="W55" i="12"/>
  <c r="Y55" i="12"/>
  <c r="AA55" i="12"/>
  <c r="E56" i="12"/>
  <c r="G56" i="12"/>
  <c r="K56" i="12"/>
  <c r="M56" i="12"/>
  <c r="O56" i="12"/>
  <c r="Q56" i="12"/>
  <c r="S56" i="12"/>
  <c r="U56" i="12"/>
  <c r="W56" i="12"/>
  <c r="Y56" i="12"/>
  <c r="AA56" i="12"/>
  <c r="E57" i="12"/>
  <c r="G57" i="12"/>
  <c r="K57" i="12"/>
  <c r="M57" i="12"/>
  <c r="O57" i="12"/>
  <c r="Q57" i="12"/>
  <c r="S57" i="12"/>
  <c r="U57" i="12"/>
  <c r="W57" i="12"/>
  <c r="Y57" i="12"/>
  <c r="AA57" i="12"/>
  <c r="D60" i="12"/>
  <c r="E64" i="12"/>
  <c r="G64" i="12"/>
  <c r="K64" i="12"/>
  <c r="M64" i="12"/>
  <c r="O64" i="12"/>
  <c r="Q64" i="12"/>
  <c r="S64" i="12"/>
  <c r="U64" i="12"/>
  <c r="W64" i="12"/>
  <c r="Y64" i="12"/>
  <c r="AA64" i="12"/>
  <c r="L6" i="11"/>
  <c r="AN10" i="11"/>
  <c r="S5" i="12" s="1"/>
  <c r="S26" i="12" s="1"/>
  <c r="AP10" i="11"/>
  <c r="AV10" i="11"/>
  <c r="AX10" i="11"/>
  <c r="BD10" i="11"/>
  <c r="BL10" i="11" s="1"/>
  <c r="BF10" i="11"/>
  <c r="BX6" i="11"/>
  <c r="BZ6" i="11"/>
  <c r="CB10" i="11"/>
  <c r="CD10" i="11"/>
  <c r="G6" i="12"/>
  <c r="I6" i="12"/>
  <c r="Q27" i="12"/>
  <c r="S27" i="12"/>
  <c r="U27" i="12"/>
  <c r="W27" i="12"/>
  <c r="I48" i="12"/>
  <c r="G7" i="12"/>
  <c r="I7" i="12"/>
  <c r="Q28" i="12"/>
  <c r="S28" i="12"/>
  <c r="U28" i="12"/>
  <c r="W28" i="12"/>
  <c r="I49" i="12"/>
  <c r="G8" i="12"/>
  <c r="I8" i="12"/>
  <c r="Q29" i="12"/>
  <c r="S29" i="12"/>
  <c r="U29" i="12"/>
  <c r="W29" i="12"/>
  <c r="I50" i="12"/>
  <c r="G9" i="12"/>
  <c r="I9" i="12"/>
  <c r="Q30" i="12"/>
  <c r="S30" i="12"/>
  <c r="U30" i="12"/>
  <c r="W30" i="12"/>
  <c r="I51" i="12"/>
  <c r="G10" i="12"/>
  <c r="I10" i="12"/>
  <c r="Q31" i="12"/>
  <c r="S31" i="12"/>
  <c r="U31" i="12"/>
  <c r="W31" i="12"/>
  <c r="I52" i="12"/>
  <c r="G11" i="12"/>
  <c r="I11" i="12"/>
  <c r="Q32" i="12"/>
  <c r="S32" i="12"/>
  <c r="U32" i="12"/>
  <c r="W32" i="12"/>
  <c r="I53" i="12"/>
  <c r="G12" i="12"/>
  <c r="I12" i="12"/>
  <c r="Q33" i="12"/>
  <c r="S33" i="12"/>
  <c r="U33" i="12"/>
  <c r="W33" i="12"/>
  <c r="I54" i="12"/>
  <c r="G13" i="12"/>
  <c r="I13" i="12"/>
  <c r="Q34" i="12"/>
  <c r="S34" i="12"/>
  <c r="U34" i="12"/>
  <c r="W34" i="12"/>
  <c r="I55" i="12"/>
  <c r="G14" i="12"/>
  <c r="I14" i="12"/>
  <c r="Q35" i="12"/>
  <c r="S35" i="12"/>
  <c r="U35" i="12"/>
  <c r="W35" i="12"/>
  <c r="I56" i="12"/>
  <c r="G15" i="12"/>
  <c r="I15" i="12"/>
  <c r="Q36" i="12"/>
  <c r="S36" i="12"/>
  <c r="U36" i="12"/>
  <c r="W36" i="12"/>
  <c r="I57" i="12"/>
  <c r="G22" i="12"/>
  <c r="I22" i="12"/>
  <c r="Q43" i="12"/>
  <c r="S43" i="12"/>
  <c r="U43" i="12"/>
  <c r="W43" i="12"/>
  <c r="I64" i="12"/>
  <c r="C5" i="10"/>
  <c r="D5" i="10"/>
  <c r="E5" i="10"/>
  <c r="F5" i="10"/>
  <c r="G5" i="10"/>
  <c r="H5" i="10"/>
  <c r="I5" i="10"/>
  <c r="J5" i="10"/>
  <c r="K5" i="10"/>
  <c r="L5" i="10"/>
  <c r="M5" i="10"/>
  <c r="N5" i="10"/>
  <c r="C7" i="10"/>
  <c r="D7" i="10"/>
  <c r="E7" i="10"/>
  <c r="F7" i="10"/>
  <c r="G7" i="10"/>
  <c r="H7" i="10"/>
  <c r="I7" i="10"/>
  <c r="J7" i="10"/>
  <c r="K7" i="10"/>
  <c r="L7" i="10"/>
  <c r="M7" i="10"/>
  <c r="N7" i="10"/>
  <c r="C8" i="10"/>
  <c r="D8" i="10"/>
  <c r="E8" i="10"/>
  <c r="F8" i="10"/>
  <c r="G8" i="10"/>
  <c r="H8" i="10"/>
  <c r="I8" i="10"/>
  <c r="J8" i="10"/>
  <c r="K8" i="10"/>
  <c r="L8" i="10"/>
  <c r="M8" i="10"/>
  <c r="N8" i="10"/>
  <c r="C9" i="10"/>
  <c r="D9" i="10"/>
  <c r="E9" i="10"/>
  <c r="F9" i="10"/>
  <c r="G9" i="10"/>
  <c r="H9" i="10"/>
  <c r="I9" i="10"/>
  <c r="J9" i="10"/>
  <c r="K9" i="10"/>
  <c r="L9" i="10"/>
  <c r="M9" i="10"/>
  <c r="N9" i="10"/>
  <c r="C10" i="10"/>
  <c r="D10" i="10"/>
  <c r="E10" i="10"/>
  <c r="F10" i="10"/>
  <c r="G10" i="10"/>
  <c r="H10" i="10"/>
  <c r="I10" i="10"/>
  <c r="J10" i="10"/>
  <c r="K10" i="10"/>
  <c r="L10" i="10"/>
  <c r="M10" i="10"/>
  <c r="N10" i="10"/>
  <c r="C11" i="10"/>
  <c r="D11" i="10"/>
  <c r="E11" i="10"/>
  <c r="F11" i="10"/>
  <c r="G11" i="10"/>
  <c r="H11" i="10"/>
  <c r="I11" i="10"/>
  <c r="J11" i="10"/>
  <c r="K11" i="10"/>
  <c r="L11" i="10"/>
  <c r="M11" i="10"/>
  <c r="N11" i="10"/>
  <c r="C12" i="10"/>
  <c r="D12" i="10"/>
  <c r="E12" i="10"/>
  <c r="F12" i="10"/>
  <c r="G12" i="10"/>
  <c r="H12" i="10"/>
  <c r="I12" i="10"/>
  <c r="J12" i="10"/>
  <c r="K12" i="10"/>
  <c r="L12" i="10"/>
  <c r="M12" i="10"/>
  <c r="N12" i="10"/>
  <c r="C13" i="10"/>
  <c r="D13" i="10"/>
  <c r="E13" i="10"/>
  <c r="F13" i="10"/>
  <c r="G13" i="10"/>
  <c r="H13" i="10"/>
  <c r="I13" i="10"/>
  <c r="J13" i="10"/>
  <c r="K13" i="10"/>
  <c r="L13" i="10"/>
  <c r="M13" i="10"/>
  <c r="N13" i="10"/>
  <c r="C14" i="10"/>
  <c r="D14" i="10"/>
  <c r="E14" i="10"/>
  <c r="F14" i="10"/>
  <c r="G14" i="10"/>
  <c r="H14" i="10"/>
  <c r="I14" i="10"/>
  <c r="J14" i="10"/>
  <c r="K14" i="10"/>
  <c r="L14" i="10"/>
  <c r="M14" i="10"/>
  <c r="N14" i="10"/>
  <c r="C16" i="10"/>
  <c r="D16" i="10"/>
  <c r="E16" i="10"/>
  <c r="F16" i="10"/>
  <c r="G16" i="10"/>
  <c r="H16" i="10"/>
  <c r="I16" i="10"/>
  <c r="J16" i="10"/>
  <c r="K16" i="10"/>
  <c r="L16" i="10"/>
  <c r="M16" i="10"/>
  <c r="N16" i="10"/>
  <c r="C17" i="10"/>
  <c r="D17" i="10"/>
  <c r="E17" i="10"/>
  <c r="F17" i="10"/>
  <c r="G17" i="10"/>
  <c r="H17" i="10"/>
  <c r="I17" i="10"/>
  <c r="J17" i="10"/>
  <c r="K17" i="10"/>
  <c r="L17" i="10"/>
  <c r="M17" i="10"/>
  <c r="N17" i="10"/>
  <c r="C18" i="10"/>
  <c r="D18" i="10"/>
  <c r="E18" i="10"/>
  <c r="F18" i="10"/>
  <c r="G18" i="10"/>
  <c r="H18" i="10"/>
  <c r="I18" i="10"/>
  <c r="J18" i="10"/>
  <c r="K18" i="10"/>
  <c r="L18" i="10"/>
  <c r="M18" i="10"/>
  <c r="N18" i="10"/>
  <c r="C19" i="10"/>
  <c r="D19" i="10"/>
  <c r="E19" i="10"/>
  <c r="F19" i="10"/>
  <c r="G19" i="10"/>
  <c r="H19" i="10"/>
  <c r="I19" i="10"/>
  <c r="J19" i="10"/>
  <c r="K19" i="10"/>
  <c r="L19" i="10"/>
  <c r="M19" i="10"/>
  <c r="N19" i="10"/>
  <c r="C20" i="10"/>
  <c r="D20" i="10"/>
  <c r="E20" i="10"/>
  <c r="F20" i="10"/>
  <c r="G20" i="10"/>
  <c r="H20" i="10"/>
  <c r="I20" i="10"/>
  <c r="J20" i="10"/>
  <c r="K20" i="10"/>
  <c r="L20" i="10"/>
  <c r="M20" i="10"/>
  <c r="N20" i="10"/>
  <c r="C22" i="10"/>
  <c r="D22" i="10"/>
  <c r="E22" i="10"/>
  <c r="F22" i="10"/>
  <c r="G22" i="10"/>
  <c r="H22" i="10"/>
  <c r="I22" i="10"/>
  <c r="J22" i="10"/>
  <c r="K22" i="10"/>
  <c r="L22" i="10"/>
  <c r="M22" i="10"/>
  <c r="N22" i="10"/>
  <c r="C23" i="10"/>
  <c r="D23" i="10"/>
  <c r="E23" i="10"/>
  <c r="F23" i="10"/>
  <c r="G23" i="10"/>
  <c r="H23" i="10"/>
  <c r="I23" i="10"/>
  <c r="J23" i="10"/>
  <c r="K23" i="10"/>
  <c r="L23" i="10"/>
  <c r="M23" i="10"/>
  <c r="N23" i="10"/>
  <c r="C24" i="10"/>
  <c r="D24" i="10"/>
  <c r="E24" i="10"/>
  <c r="F24" i="10"/>
  <c r="G24" i="10"/>
  <c r="H24" i="10"/>
  <c r="I24" i="10"/>
  <c r="J24" i="10"/>
  <c r="K24" i="10"/>
  <c r="L24" i="10"/>
  <c r="M24" i="10"/>
  <c r="N24" i="10"/>
  <c r="C25" i="10"/>
  <c r="D25" i="10"/>
  <c r="E25" i="10"/>
  <c r="F25" i="10"/>
  <c r="G25" i="10"/>
  <c r="H25" i="10"/>
  <c r="I25" i="10"/>
  <c r="J25" i="10"/>
  <c r="K25" i="10"/>
  <c r="L25" i="10"/>
  <c r="M25" i="10"/>
  <c r="N25" i="10"/>
  <c r="C26" i="10"/>
  <c r="D26" i="10"/>
  <c r="E26" i="10"/>
  <c r="F26" i="10"/>
  <c r="G26" i="10"/>
  <c r="H26" i="10"/>
  <c r="I26" i="10"/>
  <c r="J26" i="10"/>
  <c r="K26" i="10"/>
  <c r="L26" i="10"/>
  <c r="M26" i="10"/>
  <c r="N26" i="10"/>
  <c r="C27" i="10"/>
  <c r="D27" i="10"/>
  <c r="E27" i="10"/>
  <c r="F27" i="10"/>
  <c r="G27" i="10"/>
  <c r="H27" i="10"/>
  <c r="I27" i="10"/>
  <c r="J27" i="10"/>
  <c r="K27" i="10"/>
  <c r="L27" i="10"/>
  <c r="M27" i="10"/>
  <c r="N27" i="10"/>
  <c r="C28" i="10"/>
  <c r="D28" i="10"/>
  <c r="E28" i="10"/>
  <c r="F28" i="10"/>
  <c r="G28" i="10"/>
  <c r="H28" i="10"/>
  <c r="I28" i="10"/>
  <c r="J28" i="10"/>
  <c r="K28" i="10"/>
  <c r="L28" i="10"/>
  <c r="M28" i="10"/>
  <c r="N28" i="10"/>
  <c r="C29" i="10"/>
  <c r="D29" i="10"/>
  <c r="E29" i="10"/>
  <c r="F29" i="10"/>
  <c r="G29" i="10"/>
  <c r="H29" i="10"/>
  <c r="I29" i="10"/>
  <c r="J29" i="10"/>
  <c r="K29" i="10"/>
  <c r="L29" i="10"/>
  <c r="M29" i="10"/>
  <c r="N29" i="10"/>
  <c r="C30" i="10"/>
  <c r="D30" i="10"/>
  <c r="E30" i="10"/>
  <c r="F30" i="10"/>
  <c r="G30" i="10"/>
  <c r="H30" i="10"/>
  <c r="I30" i="10"/>
  <c r="J30" i="10"/>
  <c r="K30" i="10"/>
  <c r="L30" i="10"/>
  <c r="M30" i="10"/>
  <c r="N30" i="10"/>
  <c r="C31" i="10"/>
  <c r="D31" i="10"/>
  <c r="E31" i="10"/>
  <c r="F31" i="10"/>
  <c r="G31" i="10"/>
  <c r="H31" i="10"/>
  <c r="I31" i="10"/>
  <c r="J31" i="10"/>
  <c r="K31" i="10"/>
  <c r="L31" i="10"/>
  <c r="M31" i="10"/>
  <c r="N31" i="10"/>
  <c r="C32" i="10"/>
  <c r="D32" i="10"/>
  <c r="E32" i="10"/>
  <c r="F32" i="10"/>
  <c r="G32" i="10"/>
  <c r="H32" i="10"/>
  <c r="I32" i="10"/>
  <c r="J32" i="10"/>
  <c r="K32" i="10"/>
  <c r="L32" i="10"/>
  <c r="M32" i="10"/>
  <c r="N32" i="10"/>
  <c r="C34" i="10"/>
  <c r="D34" i="10"/>
  <c r="E34" i="10"/>
  <c r="F34" i="10"/>
  <c r="G34" i="10"/>
  <c r="H34" i="10"/>
  <c r="I34" i="10"/>
  <c r="J34" i="10"/>
  <c r="K34" i="10"/>
  <c r="L34" i="10"/>
  <c r="M34" i="10"/>
  <c r="N34" i="10"/>
  <c r="C36" i="10"/>
  <c r="D36" i="10"/>
  <c r="E36" i="10"/>
  <c r="F36" i="10"/>
  <c r="G36" i="10"/>
  <c r="H36" i="10"/>
  <c r="I36" i="10"/>
  <c r="J36" i="10"/>
  <c r="K36" i="10"/>
  <c r="L36" i="10"/>
  <c r="M36" i="10"/>
  <c r="N36" i="10"/>
  <c r="C37" i="10"/>
  <c r="D37" i="10"/>
  <c r="E37" i="10"/>
  <c r="F37" i="10"/>
  <c r="G37" i="10"/>
  <c r="H37" i="10"/>
  <c r="I37" i="10"/>
  <c r="J37" i="10"/>
  <c r="K37" i="10"/>
  <c r="L37" i="10"/>
  <c r="M37" i="10"/>
  <c r="N37" i="10"/>
  <c r="C38" i="10"/>
  <c r="D38" i="10"/>
  <c r="E38" i="10"/>
  <c r="F38" i="10"/>
  <c r="G38" i="10"/>
  <c r="H38" i="10"/>
  <c r="I38" i="10"/>
  <c r="J38" i="10"/>
  <c r="K38" i="10"/>
  <c r="L38" i="10"/>
  <c r="M38" i="10"/>
  <c r="N38" i="10"/>
  <c r="C40" i="10"/>
  <c r="D40" i="10"/>
  <c r="E40" i="10"/>
  <c r="F40" i="10"/>
  <c r="G40" i="10"/>
  <c r="H40" i="10"/>
  <c r="I40" i="10"/>
  <c r="J40" i="10"/>
  <c r="K40" i="10"/>
  <c r="L40" i="10"/>
  <c r="M40" i="10"/>
  <c r="N40" i="10"/>
  <c r="C41" i="10"/>
  <c r="D41" i="10"/>
  <c r="E41" i="10"/>
  <c r="F41" i="10"/>
  <c r="G41" i="10"/>
  <c r="H41" i="10"/>
  <c r="I41" i="10"/>
  <c r="J41" i="10"/>
  <c r="K41" i="10"/>
  <c r="L41" i="10"/>
  <c r="M41" i="10"/>
  <c r="N41" i="10"/>
  <c r="C42" i="10"/>
  <c r="D42" i="10"/>
  <c r="E42" i="10"/>
  <c r="F42" i="10"/>
  <c r="G42" i="10"/>
  <c r="H42" i="10"/>
  <c r="I42" i="10"/>
  <c r="J42" i="10"/>
  <c r="K42" i="10"/>
  <c r="L42" i="10"/>
  <c r="M42" i="10"/>
  <c r="N42" i="10"/>
  <c r="C43" i="10"/>
  <c r="D43" i="10"/>
  <c r="E43" i="10"/>
  <c r="F43" i="10"/>
  <c r="G43" i="10"/>
  <c r="H43" i="10"/>
  <c r="I43" i="10"/>
  <c r="J43" i="10"/>
  <c r="K43" i="10"/>
  <c r="L43" i="10"/>
  <c r="M43" i="10"/>
  <c r="N43" i="10"/>
  <c r="C45" i="10"/>
  <c r="D45" i="10"/>
  <c r="E45" i="10"/>
  <c r="F45" i="10"/>
  <c r="G45" i="10"/>
  <c r="H45" i="10"/>
  <c r="I45" i="10"/>
  <c r="J45" i="10"/>
  <c r="K45" i="10"/>
  <c r="L45" i="10"/>
  <c r="M45" i="10"/>
  <c r="N45" i="10"/>
  <c r="C46" i="10"/>
  <c r="D46" i="10"/>
  <c r="E46" i="10"/>
  <c r="F46" i="10"/>
  <c r="G46" i="10"/>
  <c r="H46" i="10"/>
  <c r="I46" i="10"/>
  <c r="J46" i="10"/>
  <c r="K46" i="10"/>
  <c r="L46" i="10"/>
  <c r="M46" i="10"/>
  <c r="N46" i="10"/>
  <c r="C47" i="10"/>
  <c r="D47" i="10"/>
  <c r="E47" i="10"/>
  <c r="F47" i="10"/>
  <c r="G47" i="10"/>
  <c r="H47" i="10"/>
  <c r="I47" i="10"/>
  <c r="J47" i="10"/>
  <c r="K47" i="10"/>
  <c r="L47" i="10"/>
  <c r="M47" i="10"/>
  <c r="N47" i="10"/>
  <c r="C48" i="10"/>
  <c r="D48" i="10"/>
  <c r="E48" i="10"/>
  <c r="F48" i="10"/>
  <c r="G48" i="10"/>
  <c r="H48" i="10"/>
  <c r="I48" i="10"/>
  <c r="J48" i="10"/>
  <c r="K48" i="10"/>
  <c r="L48" i="10"/>
  <c r="M48" i="10"/>
  <c r="N48" i="10"/>
  <c r="C49" i="10"/>
  <c r="D49" i="10"/>
  <c r="E49" i="10"/>
  <c r="F49" i="10"/>
  <c r="G49" i="10"/>
  <c r="H49" i="10"/>
  <c r="I49" i="10"/>
  <c r="J49" i="10"/>
  <c r="K49" i="10"/>
  <c r="L49" i="10"/>
  <c r="M49" i="10"/>
  <c r="N49" i="10"/>
  <c r="C50" i="10"/>
  <c r="D50" i="10"/>
  <c r="E50" i="10"/>
  <c r="F50" i="10"/>
  <c r="G50" i="10"/>
  <c r="H50" i="10"/>
  <c r="I50" i="10"/>
  <c r="J50" i="10"/>
  <c r="K50" i="10"/>
  <c r="L50" i="10"/>
  <c r="M50" i="10"/>
  <c r="N50" i="10"/>
  <c r="C51" i="10"/>
  <c r="D51" i="10"/>
  <c r="E51" i="10"/>
  <c r="F51" i="10"/>
  <c r="G51" i="10"/>
  <c r="H51" i="10"/>
  <c r="I51" i="10"/>
  <c r="J51" i="10"/>
  <c r="K51" i="10"/>
  <c r="L51" i="10"/>
  <c r="M51" i="10"/>
  <c r="N51" i="10"/>
  <c r="C52" i="10"/>
  <c r="D52" i="10"/>
  <c r="E52" i="10"/>
  <c r="F52" i="10"/>
  <c r="G52" i="10"/>
  <c r="H52" i="10"/>
  <c r="I52" i="10"/>
  <c r="J52" i="10"/>
  <c r="K52" i="10"/>
  <c r="L52" i="10"/>
  <c r="M52" i="10"/>
  <c r="N52" i="10"/>
  <c r="C53" i="10"/>
  <c r="D53" i="10"/>
  <c r="E53" i="10"/>
  <c r="F53" i="10"/>
  <c r="G53" i="10"/>
  <c r="H53" i="10"/>
  <c r="I53" i="10"/>
  <c r="J53" i="10"/>
  <c r="K53" i="10"/>
  <c r="L53" i="10"/>
  <c r="M53" i="10"/>
  <c r="N53" i="10"/>
  <c r="C54" i="10"/>
  <c r="D54" i="10"/>
  <c r="E54" i="10"/>
  <c r="F54" i="10"/>
  <c r="G54" i="10"/>
  <c r="H54" i="10"/>
  <c r="I54" i="10"/>
  <c r="J54" i="10"/>
  <c r="K54" i="10"/>
  <c r="L54" i="10"/>
  <c r="M54" i="10"/>
  <c r="N54" i="10"/>
  <c r="C55" i="10"/>
  <c r="D55" i="10"/>
  <c r="E55" i="10"/>
  <c r="F55" i="10"/>
  <c r="G55" i="10"/>
  <c r="H55" i="10"/>
  <c r="I55" i="10"/>
  <c r="J55" i="10"/>
  <c r="K55" i="10"/>
  <c r="L55" i="10"/>
  <c r="M55" i="10"/>
  <c r="N55" i="10"/>
  <c r="C57" i="10"/>
  <c r="D57" i="10"/>
  <c r="E57" i="10"/>
  <c r="F57" i="10"/>
  <c r="G57" i="10"/>
  <c r="H57" i="10"/>
  <c r="I57" i="10"/>
  <c r="J57" i="10"/>
  <c r="K57" i="10"/>
  <c r="L57" i="10"/>
  <c r="M57" i="10"/>
  <c r="N57" i="10"/>
  <c r="C58" i="10"/>
  <c r="D58" i="10"/>
  <c r="E58" i="10"/>
  <c r="F58" i="10"/>
  <c r="G58" i="10"/>
  <c r="H58" i="10"/>
  <c r="I58" i="10"/>
  <c r="J58" i="10"/>
  <c r="K58" i="10"/>
  <c r="L58" i="10"/>
  <c r="M58" i="10"/>
  <c r="N58" i="10"/>
  <c r="C60" i="10"/>
  <c r="D60" i="10"/>
  <c r="E60" i="10"/>
  <c r="F60" i="10"/>
  <c r="G60" i="10"/>
  <c r="H60" i="10"/>
  <c r="I60" i="10"/>
  <c r="J60" i="10"/>
  <c r="K60" i="10"/>
  <c r="L60" i="10"/>
  <c r="M60" i="10"/>
  <c r="N60" i="10"/>
  <c r="C61" i="10"/>
  <c r="D61" i="10"/>
  <c r="E61" i="10"/>
  <c r="F61" i="10"/>
  <c r="G61" i="10"/>
  <c r="H61" i="10"/>
  <c r="I61" i="10"/>
  <c r="J61" i="10"/>
  <c r="K61" i="10"/>
  <c r="L61" i="10"/>
  <c r="M61" i="10"/>
  <c r="N61" i="10"/>
  <c r="C62" i="10"/>
  <c r="D62" i="10"/>
  <c r="E62" i="10"/>
  <c r="F62" i="10"/>
  <c r="G62" i="10"/>
  <c r="H62" i="10"/>
  <c r="I62" i="10"/>
  <c r="J62" i="10"/>
  <c r="K62" i="10"/>
  <c r="L62" i="10"/>
  <c r="M62" i="10"/>
  <c r="N62" i="10"/>
  <c r="C64" i="10"/>
  <c r="D64" i="10"/>
  <c r="E64" i="10"/>
  <c r="F64" i="10"/>
  <c r="G64" i="10"/>
  <c r="H64" i="10"/>
  <c r="I64" i="10"/>
  <c r="J64" i="10"/>
  <c r="K64" i="10"/>
  <c r="L64" i="10"/>
  <c r="M64" i="10"/>
  <c r="N64" i="10"/>
  <c r="C65" i="10"/>
  <c r="D65" i="10"/>
  <c r="E65" i="10"/>
  <c r="F65" i="10"/>
  <c r="G65" i="10"/>
  <c r="H65" i="10"/>
  <c r="I65" i="10"/>
  <c r="J65" i="10"/>
  <c r="K65" i="10"/>
  <c r="L65" i="10"/>
  <c r="M65" i="10"/>
  <c r="N65" i="10"/>
  <c r="C67" i="10"/>
  <c r="D67" i="10"/>
  <c r="E67" i="10"/>
  <c r="F67" i="10"/>
  <c r="G67" i="10"/>
  <c r="H67" i="10"/>
  <c r="I67" i="10"/>
  <c r="J67" i="10"/>
  <c r="K67" i="10"/>
  <c r="L67" i="10"/>
  <c r="M67" i="10"/>
  <c r="N67" i="10"/>
  <c r="C69" i="10"/>
  <c r="D69" i="10"/>
  <c r="E69" i="10"/>
  <c r="F69" i="10"/>
  <c r="G69" i="10"/>
  <c r="H69" i="10"/>
  <c r="I69" i="10"/>
  <c r="J69" i="10"/>
  <c r="K69" i="10"/>
  <c r="L69" i="10"/>
  <c r="M69" i="10"/>
  <c r="N69" i="10"/>
  <c r="C70" i="10"/>
  <c r="D70" i="10"/>
  <c r="E70" i="10"/>
  <c r="F70" i="10"/>
  <c r="G70" i="10"/>
  <c r="H70" i="10"/>
  <c r="I70" i="10"/>
  <c r="J70" i="10"/>
  <c r="K70" i="10"/>
  <c r="L70" i="10"/>
  <c r="M70" i="10"/>
  <c r="N70" i="10"/>
  <c r="C73" i="10"/>
  <c r="D73" i="10"/>
  <c r="E73" i="10"/>
  <c r="F73" i="10"/>
  <c r="G73" i="10"/>
  <c r="H73" i="10"/>
  <c r="I73" i="10"/>
  <c r="J73" i="10"/>
  <c r="K73" i="10"/>
  <c r="L73" i="10"/>
  <c r="M73" i="10"/>
  <c r="N73" i="10"/>
  <c r="C76" i="10"/>
  <c r="D76" i="10"/>
  <c r="E76" i="10"/>
  <c r="F76" i="10"/>
  <c r="G76" i="10"/>
  <c r="H76" i="10"/>
  <c r="I76" i="10"/>
  <c r="J76" i="10"/>
  <c r="K76" i="10"/>
  <c r="L76" i="10"/>
  <c r="M76" i="10"/>
  <c r="N76" i="10"/>
  <c r="C77" i="10"/>
  <c r="D77" i="10"/>
  <c r="E77" i="10"/>
  <c r="F77" i="10"/>
  <c r="G77" i="10"/>
  <c r="H77" i="10"/>
  <c r="I77" i="10"/>
  <c r="J77" i="10"/>
  <c r="K77" i="10"/>
  <c r="L77" i="10"/>
  <c r="M77" i="10"/>
  <c r="N77" i="10"/>
  <c r="C78" i="10"/>
  <c r="D78" i="10"/>
  <c r="E78" i="10"/>
  <c r="F78" i="10"/>
  <c r="G78" i="10"/>
  <c r="H78" i="10"/>
  <c r="I78" i="10"/>
  <c r="J78" i="10"/>
  <c r="K78" i="10"/>
  <c r="L78" i="10"/>
  <c r="M78" i="10"/>
  <c r="N78" i="10"/>
  <c r="C79" i="10"/>
  <c r="D79" i="10"/>
  <c r="E79" i="10"/>
  <c r="F79" i="10"/>
  <c r="G79" i="10"/>
  <c r="H79" i="10"/>
  <c r="I79" i="10"/>
  <c r="J79" i="10"/>
  <c r="K79" i="10"/>
  <c r="L79" i="10"/>
  <c r="M79" i="10"/>
  <c r="N79" i="10"/>
  <c r="C81" i="10"/>
  <c r="D81" i="10"/>
  <c r="E81" i="10"/>
  <c r="F81" i="10"/>
  <c r="G81" i="10"/>
  <c r="H81" i="10"/>
  <c r="I81" i="10"/>
  <c r="J81" i="10"/>
  <c r="K81" i="10"/>
  <c r="L81" i="10"/>
  <c r="M81" i="10"/>
  <c r="N81" i="10"/>
  <c r="C82" i="10"/>
  <c r="D82" i="10"/>
  <c r="E82" i="10"/>
  <c r="F82" i="10"/>
  <c r="G82" i="10"/>
  <c r="H82" i="10"/>
  <c r="I82" i="10"/>
  <c r="J82" i="10"/>
  <c r="K82" i="10"/>
  <c r="L82" i="10"/>
  <c r="M82" i="10"/>
  <c r="N82" i="10"/>
  <c r="C83" i="10"/>
  <c r="D83" i="10"/>
  <c r="E83" i="10"/>
  <c r="F83" i="10"/>
  <c r="G83" i="10"/>
  <c r="H83" i="10"/>
  <c r="I83" i="10"/>
  <c r="J83" i="10"/>
  <c r="K83" i="10"/>
  <c r="L83" i="10"/>
  <c r="M83" i="10"/>
  <c r="N83" i="10"/>
  <c r="C84" i="10"/>
  <c r="D84" i="10"/>
  <c r="E84" i="10"/>
  <c r="F84" i="10"/>
  <c r="G84" i="10"/>
  <c r="H84" i="10"/>
  <c r="I84" i="10"/>
  <c r="J84" i="10"/>
  <c r="K84" i="10"/>
  <c r="L84" i="10"/>
  <c r="M84" i="10"/>
  <c r="N84" i="10"/>
  <c r="C86" i="10"/>
  <c r="D86" i="10"/>
  <c r="E86" i="10"/>
  <c r="F86" i="10"/>
  <c r="G86" i="10"/>
  <c r="H86" i="10"/>
  <c r="I86" i="10"/>
  <c r="J86" i="10"/>
  <c r="K86" i="10"/>
  <c r="L86" i="10"/>
  <c r="M86" i="10"/>
  <c r="N86" i="10"/>
  <c r="C87" i="10"/>
  <c r="D87" i="10"/>
  <c r="E87" i="10"/>
  <c r="F87" i="10"/>
  <c r="G87" i="10"/>
  <c r="H87" i="10"/>
  <c r="I87" i="10"/>
  <c r="J87" i="10"/>
  <c r="K87" i="10"/>
  <c r="L87" i="10"/>
  <c r="M87" i="10"/>
  <c r="N87" i="10"/>
  <c r="C88" i="10"/>
  <c r="D88" i="10"/>
  <c r="E88" i="10"/>
  <c r="F88" i="10"/>
  <c r="G88" i="10"/>
  <c r="H88" i="10"/>
  <c r="I88" i="10"/>
  <c r="J88" i="10"/>
  <c r="K88" i="10"/>
  <c r="L88" i="10"/>
  <c r="M88" i="10"/>
  <c r="N88" i="10"/>
  <c r="C89" i="10"/>
  <c r="D89" i="10"/>
  <c r="E89" i="10"/>
  <c r="F89" i="10"/>
  <c r="G89" i="10"/>
  <c r="H89" i="10"/>
  <c r="I89" i="10"/>
  <c r="J89" i="10"/>
  <c r="K89" i="10"/>
  <c r="L89" i="10"/>
  <c r="M89" i="10"/>
  <c r="N89" i="10"/>
  <c r="C90" i="10"/>
  <c r="D90" i="10"/>
  <c r="E90" i="10"/>
  <c r="F90" i="10"/>
  <c r="G90" i="10"/>
  <c r="H90" i="10"/>
  <c r="I90" i="10"/>
  <c r="J90" i="10"/>
  <c r="K90" i="10"/>
  <c r="L90" i="10"/>
  <c r="M90" i="10"/>
  <c r="N90" i="10"/>
  <c r="C91" i="10"/>
  <c r="D91" i="10"/>
  <c r="E91" i="10"/>
  <c r="F91" i="10"/>
  <c r="G91" i="10"/>
  <c r="H91" i="10"/>
  <c r="I91" i="10"/>
  <c r="J91" i="10"/>
  <c r="K91" i="10"/>
  <c r="L91" i="10"/>
  <c r="M91" i="10"/>
  <c r="N91" i="10"/>
  <c r="C92" i="10"/>
  <c r="D92" i="10"/>
  <c r="E92" i="10"/>
  <c r="F92" i="10"/>
  <c r="G92" i="10"/>
  <c r="H92" i="10"/>
  <c r="I92" i="10"/>
  <c r="J92" i="10"/>
  <c r="K92" i="10"/>
  <c r="L92" i="10"/>
  <c r="M92" i="10"/>
  <c r="N92" i="10"/>
  <c r="C93" i="10"/>
  <c r="D93" i="10"/>
  <c r="E93" i="10"/>
  <c r="F93" i="10"/>
  <c r="G93" i="10"/>
  <c r="H93" i="10"/>
  <c r="I93" i="10"/>
  <c r="J93" i="10"/>
  <c r="K93" i="10"/>
  <c r="L93" i="10"/>
  <c r="M93" i="10"/>
  <c r="N93" i="10"/>
  <c r="C94" i="10"/>
  <c r="D94" i="10"/>
  <c r="E94" i="10"/>
  <c r="F94" i="10"/>
  <c r="G94" i="10"/>
  <c r="H94" i="10"/>
  <c r="I94" i="10"/>
  <c r="J94" i="10"/>
  <c r="K94" i="10"/>
  <c r="L94" i="10"/>
  <c r="M94" i="10"/>
  <c r="N94" i="10"/>
  <c r="C96" i="10"/>
  <c r="D96" i="10"/>
  <c r="E96" i="10"/>
  <c r="F96" i="10"/>
  <c r="G96" i="10"/>
  <c r="H96" i="10"/>
  <c r="I96" i="10"/>
  <c r="J96" i="10"/>
  <c r="K96" i="10"/>
  <c r="L96" i="10"/>
  <c r="M96" i="10"/>
  <c r="N96" i="10"/>
  <c r="C97" i="10"/>
  <c r="D97" i="10"/>
  <c r="E97" i="10"/>
  <c r="F97" i="10"/>
  <c r="G97" i="10"/>
  <c r="H97" i="10"/>
  <c r="I97" i="10"/>
  <c r="J97" i="10"/>
  <c r="K97" i="10"/>
  <c r="L97" i="10"/>
  <c r="M97" i="10"/>
  <c r="N97" i="10"/>
  <c r="C98" i="10"/>
  <c r="D98" i="10"/>
  <c r="E98" i="10"/>
  <c r="F98" i="10"/>
  <c r="G98" i="10"/>
  <c r="H98" i="10"/>
  <c r="I98" i="10"/>
  <c r="J98" i="10"/>
  <c r="K98" i="10"/>
  <c r="L98" i="10"/>
  <c r="M98" i="10"/>
  <c r="N98" i="10"/>
  <c r="C100" i="10"/>
  <c r="D100" i="10"/>
  <c r="E100" i="10"/>
  <c r="F100" i="10"/>
  <c r="G100" i="10"/>
  <c r="H100" i="10"/>
  <c r="I100" i="10"/>
  <c r="J100" i="10"/>
  <c r="K100" i="10"/>
  <c r="L100" i="10"/>
  <c r="M100" i="10"/>
  <c r="N100" i="10"/>
  <c r="C101" i="10"/>
  <c r="D101" i="10"/>
  <c r="E101" i="10"/>
  <c r="F101" i="10"/>
  <c r="G101" i="10"/>
  <c r="H101" i="10"/>
  <c r="I101" i="10"/>
  <c r="J101" i="10"/>
  <c r="K101" i="10"/>
  <c r="L101" i="10"/>
  <c r="M101" i="10"/>
  <c r="N101" i="10"/>
  <c r="C102" i="10"/>
  <c r="D102" i="10"/>
  <c r="E102" i="10"/>
  <c r="F102" i="10"/>
  <c r="G102" i="10"/>
  <c r="H102" i="10"/>
  <c r="I102" i="10"/>
  <c r="J102" i="10"/>
  <c r="K102" i="10"/>
  <c r="L102" i="10"/>
  <c r="M102" i="10"/>
  <c r="N102" i="10"/>
  <c r="C103" i="10"/>
  <c r="D103" i="10"/>
  <c r="E103" i="10"/>
  <c r="F103" i="10"/>
  <c r="G103" i="10"/>
  <c r="H103" i="10"/>
  <c r="I103" i="10"/>
  <c r="J103" i="10"/>
  <c r="K103" i="10"/>
  <c r="L103" i="10"/>
  <c r="M103" i="10"/>
  <c r="N103" i="10"/>
  <c r="C104" i="10"/>
  <c r="D104" i="10"/>
  <c r="E104" i="10"/>
  <c r="F104" i="10"/>
  <c r="G104" i="10"/>
  <c r="H104" i="10"/>
  <c r="I104" i="10"/>
  <c r="J104" i="10"/>
  <c r="K104" i="10"/>
  <c r="L104" i="10"/>
  <c r="M104" i="10"/>
  <c r="N104" i="10"/>
  <c r="C105" i="10"/>
  <c r="D105" i="10"/>
  <c r="E105" i="10"/>
  <c r="F105" i="10"/>
  <c r="G105" i="10"/>
  <c r="H105" i="10"/>
  <c r="I105" i="10"/>
  <c r="J105" i="10"/>
  <c r="K105" i="10"/>
  <c r="L105" i="10"/>
  <c r="M105" i="10"/>
  <c r="N105" i="10"/>
  <c r="C106" i="10"/>
  <c r="D106" i="10"/>
  <c r="E106" i="10"/>
  <c r="F106" i="10"/>
  <c r="G106" i="10"/>
  <c r="H106" i="10"/>
  <c r="I106" i="10"/>
  <c r="J106" i="10"/>
  <c r="K106" i="10"/>
  <c r="L106" i="10"/>
  <c r="M106" i="10"/>
  <c r="N106" i="10"/>
  <c r="C107" i="10"/>
  <c r="D107" i="10"/>
  <c r="E107" i="10"/>
  <c r="F107" i="10"/>
  <c r="G107" i="10"/>
  <c r="H107" i="10"/>
  <c r="I107" i="10"/>
  <c r="J107" i="10"/>
  <c r="K107" i="10"/>
  <c r="L107" i="10"/>
  <c r="M107" i="10"/>
  <c r="N107" i="10"/>
  <c r="C108" i="10"/>
  <c r="D108" i="10"/>
  <c r="E108" i="10"/>
  <c r="F108" i="10"/>
  <c r="G108" i="10"/>
  <c r="H108" i="10"/>
  <c r="I108" i="10"/>
  <c r="J108" i="10"/>
  <c r="K108" i="10"/>
  <c r="L108" i="10"/>
  <c r="M108" i="10"/>
  <c r="N108" i="10"/>
  <c r="C109" i="10"/>
  <c r="D109" i="10"/>
  <c r="E109" i="10"/>
  <c r="F109" i="10"/>
  <c r="G109" i="10"/>
  <c r="H109" i="10"/>
  <c r="I109" i="10"/>
  <c r="J109" i="10"/>
  <c r="K109" i="10"/>
  <c r="L109" i="10"/>
  <c r="M109" i="10"/>
  <c r="N109" i="10"/>
  <c r="C110" i="10"/>
  <c r="D110" i="10"/>
  <c r="E110" i="10"/>
  <c r="F110" i="10"/>
  <c r="G110" i="10"/>
  <c r="H110" i="10"/>
  <c r="I110" i="10"/>
  <c r="J110" i="10"/>
  <c r="K110" i="10"/>
  <c r="L110" i="10"/>
  <c r="M110" i="10"/>
  <c r="N110" i="10"/>
  <c r="C113" i="10"/>
  <c r="D113" i="10"/>
  <c r="E113" i="10"/>
  <c r="F113" i="10"/>
  <c r="G113" i="10"/>
  <c r="H113" i="10"/>
  <c r="I113" i="10"/>
  <c r="J113" i="10"/>
  <c r="K113" i="10"/>
  <c r="L113" i="10"/>
  <c r="M113" i="10"/>
  <c r="N113" i="10"/>
  <c r="C114" i="10"/>
  <c r="D114" i="10"/>
  <c r="E114" i="10"/>
  <c r="F114" i="10"/>
  <c r="G114" i="10"/>
  <c r="H114" i="10"/>
  <c r="I114" i="10"/>
  <c r="J114" i="10"/>
  <c r="K114" i="10"/>
  <c r="L114" i="10"/>
  <c r="M114" i="10"/>
  <c r="N114" i="10"/>
  <c r="C115" i="10"/>
  <c r="D115" i="10"/>
  <c r="E115" i="10"/>
  <c r="F115" i="10"/>
  <c r="G115" i="10"/>
  <c r="H115" i="10"/>
  <c r="I115" i="10"/>
  <c r="J115" i="10"/>
  <c r="K115" i="10"/>
  <c r="L115" i="10"/>
  <c r="M115" i="10"/>
  <c r="N115" i="10"/>
  <c r="C116" i="10"/>
  <c r="D116" i="10"/>
  <c r="E116" i="10"/>
  <c r="F116" i="10"/>
  <c r="G116" i="10"/>
  <c r="H116" i="10"/>
  <c r="I116" i="10"/>
  <c r="J116" i="10"/>
  <c r="K116" i="10"/>
  <c r="L116" i="10"/>
  <c r="M116" i="10"/>
  <c r="N116" i="10"/>
  <c r="C117" i="10"/>
  <c r="D117" i="10"/>
  <c r="E117" i="10"/>
  <c r="F117" i="10"/>
  <c r="G117" i="10"/>
  <c r="H117" i="10"/>
  <c r="I117" i="10"/>
  <c r="J117" i="10"/>
  <c r="K117" i="10"/>
  <c r="L117" i="10"/>
  <c r="M117" i="10"/>
  <c r="N117" i="10"/>
  <c r="C118" i="10"/>
  <c r="D118" i="10"/>
  <c r="E118" i="10"/>
  <c r="F118" i="10"/>
  <c r="G118" i="10"/>
  <c r="H118" i="10"/>
  <c r="I118" i="10"/>
  <c r="J118" i="10"/>
  <c r="K118" i="10"/>
  <c r="L118" i="10"/>
  <c r="M118" i="10"/>
  <c r="N118" i="10"/>
  <c r="C119" i="10"/>
  <c r="D119" i="10"/>
  <c r="E119" i="10"/>
  <c r="F119" i="10"/>
  <c r="G119" i="10"/>
  <c r="H119" i="10"/>
  <c r="I119" i="10"/>
  <c r="J119" i="10"/>
  <c r="K119" i="10"/>
  <c r="L119" i="10"/>
  <c r="M119" i="10"/>
  <c r="N119" i="10"/>
  <c r="C120" i="10"/>
  <c r="D120" i="10"/>
  <c r="E120" i="10"/>
  <c r="F120" i="10"/>
  <c r="G120" i="10"/>
  <c r="H120" i="10"/>
  <c r="I120" i="10"/>
  <c r="J120" i="10"/>
  <c r="K120" i="10"/>
  <c r="L120" i="10"/>
  <c r="M120" i="10"/>
  <c r="N120" i="10"/>
  <c r="C121" i="10"/>
  <c r="D121" i="10"/>
  <c r="E121" i="10"/>
  <c r="F121" i="10"/>
  <c r="G121" i="10"/>
  <c r="H121" i="10"/>
  <c r="I121" i="10"/>
  <c r="J121" i="10"/>
  <c r="K121" i="10"/>
  <c r="L121" i="10"/>
  <c r="M121" i="10"/>
  <c r="N121" i="10"/>
  <c r="C122" i="10"/>
  <c r="D122" i="10"/>
  <c r="E122" i="10"/>
  <c r="F122" i="10"/>
  <c r="G122" i="10"/>
  <c r="H122" i="10"/>
  <c r="I122" i="10"/>
  <c r="J122" i="10"/>
  <c r="K122" i="10"/>
  <c r="L122" i="10"/>
  <c r="M122" i="10"/>
  <c r="N122" i="10"/>
  <c r="C123" i="10"/>
  <c r="D123" i="10"/>
  <c r="E123" i="10"/>
  <c r="F123" i="10"/>
  <c r="G123" i="10"/>
  <c r="H123" i="10"/>
  <c r="I123" i="10"/>
  <c r="J123" i="10"/>
  <c r="K123" i="10"/>
  <c r="L123" i="10"/>
  <c r="M123" i="10"/>
  <c r="N123" i="10"/>
  <c r="C124" i="10"/>
  <c r="D124" i="10"/>
  <c r="E124" i="10"/>
  <c r="F124" i="10"/>
  <c r="G124" i="10"/>
  <c r="H124" i="10"/>
  <c r="I124" i="10"/>
  <c r="J124" i="10"/>
  <c r="K124" i="10"/>
  <c r="L124" i="10"/>
  <c r="M124" i="10"/>
  <c r="N124" i="10"/>
  <c r="C126" i="10"/>
  <c r="D126" i="10"/>
  <c r="E126" i="10"/>
  <c r="F126" i="10"/>
  <c r="G126" i="10"/>
  <c r="H126" i="10"/>
  <c r="I126" i="10"/>
  <c r="J126" i="10"/>
  <c r="K126" i="10"/>
  <c r="L126" i="10"/>
  <c r="M126" i="10"/>
  <c r="N126" i="10"/>
  <c r="C127" i="10"/>
  <c r="D127" i="10"/>
  <c r="E127" i="10"/>
  <c r="F127" i="10"/>
  <c r="G127" i="10"/>
  <c r="H127" i="10"/>
  <c r="I127" i="10"/>
  <c r="J127" i="10"/>
  <c r="K127" i="10"/>
  <c r="L127" i="10"/>
  <c r="M127" i="10"/>
  <c r="N127" i="10"/>
  <c r="C128" i="10"/>
  <c r="D128" i="10"/>
  <c r="E128" i="10"/>
  <c r="F128" i="10"/>
  <c r="G128" i="10"/>
  <c r="H128" i="10"/>
  <c r="I128" i="10"/>
  <c r="J128" i="10"/>
  <c r="K128" i="10"/>
  <c r="L128" i="10"/>
  <c r="M128" i="10"/>
  <c r="N128" i="10"/>
  <c r="C129" i="10"/>
  <c r="D129" i="10"/>
  <c r="E129" i="10"/>
  <c r="F129" i="10"/>
  <c r="G129" i="10"/>
  <c r="H129" i="10"/>
  <c r="I129" i="10"/>
  <c r="J129" i="10"/>
  <c r="K129" i="10"/>
  <c r="L129" i="10"/>
  <c r="M129" i="10"/>
  <c r="N129" i="10"/>
  <c r="C130" i="10"/>
  <c r="D130" i="10"/>
  <c r="E130" i="10"/>
  <c r="F130" i="10"/>
  <c r="G130" i="10"/>
  <c r="H130" i="10"/>
  <c r="I130" i="10"/>
  <c r="J130" i="10"/>
  <c r="K130" i="10"/>
  <c r="L130" i="10"/>
  <c r="M130" i="10"/>
  <c r="N130" i="10"/>
  <c r="C131" i="10"/>
  <c r="D131" i="10"/>
  <c r="E131" i="10"/>
  <c r="F131" i="10"/>
  <c r="G131" i="10"/>
  <c r="H131" i="10"/>
  <c r="I131" i="10"/>
  <c r="J131" i="10"/>
  <c r="K131" i="10"/>
  <c r="L131" i="10"/>
  <c r="M131" i="10"/>
  <c r="N131" i="10"/>
  <c r="C132" i="10"/>
  <c r="D132" i="10"/>
  <c r="E132" i="10"/>
  <c r="F132" i="10"/>
  <c r="G132" i="10"/>
  <c r="H132" i="10"/>
  <c r="I132" i="10"/>
  <c r="J132" i="10"/>
  <c r="K132" i="10"/>
  <c r="L132" i="10"/>
  <c r="M132" i="10"/>
  <c r="N132" i="10"/>
  <c r="C133" i="10"/>
  <c r="D133" i="10"/>
  <c r="E133" i="10"/>
  <c r="F133" i="10"/>
  <c r="G133" i="10"/>
  <c r="H133" i="10"/>
  <c r="I133" i="10"/>
  <c r="J133" i="10"/>
  <c r="K133" i="10"/>
  <c r="L133" i="10"/>
  <c r="M133" i="10"/>
  <c r="N133" i="10"/>
  <c r="C134" i="10"/>
  <c r="D134" i="10"/>
  <c r="E134" i="10"/>
  <c r="F134" i="10"/>
  <c r="G134" i="10"/>
  <c r="H134" i="10"/>
  <c r="I134" i="10"/>
  <c r="J134" i="10"/>
  <c r="K134" i="10"/>
  <c r="L134" i="10"/>
  <c r="M134" i="10"/>
  <c r="N134" i="10"/>
  <c r="C137" i="10"/>
  <c r="D137" i="10"/>
  <c r="E137" i="10"/>
  <c r="F137" i="10"/>
  <c r="G137" i="10"/>
  <c r="H137" i="10"/>
  <c r="I137" i="10"/>
  <c r="J137" i="10"/>
  <c r="K137" i="10"/>
  <c r="L137" i="10"/>
  <c r="M137" i="10"/>
  <c r="N137" i="10"/>
  <c r="C138" i="10"/>
  <c r="D138" i="10"/>
  <c r="E138" i="10"/>
  <c r="F138" i="10"/>
  <c r="G138" i="10"/>
  <c r="H138" i="10"/>
  <c r="I138" i="10"/>
  <c r="J138" i="10"/>
  <c r="K138" i="10"/>
  <c r="L138" i="10"/>
  <c r="M138" i="10"/>
  <c r="N138" i="10"/>
  <c r="C139" i="10"/>
  <c r="D139" i="10"/>
  <c r="E139" i="10"/>
  <c r="F139" i="10"/>
  <c r="G139" i="10"/>
  <c r="H139" i="10"/>
  <c r="I139" i="10"/>
  <c r="J139" i="10"/>
  <c r="K139" i="10"/>
  <c r="L139" i="10"/>
  <c r="M139" i="10"/>
  <c r="N139" i="10"/>
  <c r="C140" i="10"/>
  <c r="D140" i="10"/>
  <c r="E140" i="10"/>
  <c r="F140" i="10"/>
  <c r="G140" i="10"/>
  <c r="H140" i="10"/>
  <c r="I140" i="10"/>
  <c r="J140" i="10"/>
  <c r="K140" i="10"/>
  <c r="L140" i="10"/>
  <c r="M140" i="10"/>
  <c r="N140" i="10"/>
  <c r="C141" i="10"/>
  <c r="D141" i="10"/>
  <c r="E141" i="10"/>
  <c r="F141" i="10"/>
  <c r="G141" i="10"/>
  <c r="H141" i="10"/>
  <c r="I141" i="10"/>
  <c r="J141" i="10"/>
  <c r="K141" i="10"/>
  <c r="L141" i="10"/>
  <c r="M141" i="10"/>
  <c r="N141" i="10"/>
  <c r="C143" i="10"/>
  <c r="D143" i="10"/>
  <c r="E143" i="10"/>
  <c r="F143" i="10"/>
  <c r="G143" i="10"/>
  <c r="H143" i="10"/>
  <c r="I143" i="10"/>
  <c r="J143" i="10"/>
  <c r="K143" i="10"/>
  <c r="L143" i="10"/>
  <c r="M143" i="10"/>
  <c r="N143" i="10"/>
  <c r="C144" i="10"/>
  <c r="D144" i="10"/>
  <c r="E144" i="10"/>
  <c r="F144" i="10"/>
  <c r="G144" i="10"/>
  <c r="H144" i="10"/>
  <c r="I144" i="10"/>
  <c r="J144" i="10"/>
  <c r="K144" i="10"/>
  <c r="L144" i="10"/>
  <c r="M144" i="10"/>
  <c r="N144" i="10"/>
  <c r="C145" i="10"/>
  <c r="D145" i="10"/>
  <c r="E145" i="10"/>
  <c r="F145" i="10"/>
  <c r="G145" i="10"/>
  <c r="H145" i="10"/>
  <c r="I145" i="10"/>
  <c r="J145" i="10"/>
  <c r="K145" i="10"/>
  <c r="L145" i="10"/>
  <c r="M145" i="10"/>
  <c r="N145" i="10"/>
  <c r="C146" i="10"/>
  <c r="D146" i="10"/>
  <c r="E146" i="10"/>
  <c r="F146" i="10"/>
  <c r="G146" i="10"/>
  <c r="H146" i="10"/>
  <c r="I146" i="10"/>
  <c r="J146" i="10"/>
  <c r="K146" i="10"/>
  <c r="L146" i="10"/>
  <c r="M146" i="10"/>
  <c r="N146" i="10"/>
  <c r="C147" i="10"/>
  <c r="D147" i="10"/>
  <c r="E147" i="10"/>
  <c r="F147" i="10"/>
  <c r="G147" i="10"/>
  <c r="H147" i="10"/>
  <c r="I147" i="10"/>
  <c r="J147" i="10"/>
  <c r="K147" i="10"/>
  <c r="L147" i="10"/>
  <c r="M147" i="10"/>
  <c r="N147" i="10"/>
  <c r="C148" i="10"/>
  <c r="D148" i="10"/>
  <c r="E148" i="10"/>
  <c r="F148" i="10"/>
  <c r="G148" i="10"/>
  <c r="H148" i="10"/>
  <c r="I148" i="10"/>
  <c r="J148" i="10"/>
  <c r="K148" i="10"/>
  <c r="L148" i="10"/>
  <c r="M148" i="10"/>
  <c r="N148" i="10"/>
  <c r="C150" i="10"/>
  <c r="D150" i="10"/>
  <c r="E150" i="10"/>
  <c r="F150" i="10"/>
  <c r="G150" i="10"/>
  <c r="H150" i="10"/>
  <c r="I150" i="10"/>
  <c r="J150" i="10"/>
  <c r="K150" i="10"/>
  <c r="L150" i="10"/>
  <c r="M150" i="10"/>
  <c r="N150" i="10"/>
  <c r="C151" i="10"/>
  <c r="D151" i="10"/>
  <c r="E151" i="10"/>
  <c r="F151" i="10"/>
  <c r="G151" i="10"/>
  <c r="H151" i="10"/>
  <c r="I151" i="10"/>
  <c r="J151" i="10"/>
  <c r="K151" i="10"/>
  <c r="L151" i="10"/>
  <c r="M151" i="10"/>
  <c r="N151" i="10"/>
  <c r="C153" i="10"/>
  <c r="D153" i="10"/>
  <c r="E153" i="10"/>
  <c r="F153" i="10"/>
  <c r="G153" i="10"/>
  <c r="H153" i="10"/>
  <c r="I153" i="10"/>
  <c r="J153" i="10"/>
  <c r="K153" i="10"/>
  <c r="L153" i="10"/>
  <c r="M153" i="10"/>
  <c r="N153" i="10"/>
  <c r="B2" i="9"/>
  <c r="B2" i="10" s="1"/>
  <c r="Q5" i="9"/>
  <c r="I4" i="9"/>
  <c r="I1008" i="9" s="1"/>
  <c r="Q4" i="9"/>
  <c r="Q1008" i="9" s="1"/>
  <c r="B81" i="9"/>
  <c r="B118" i="9"/>
  <c r="B28" i="11"/>
  <c r="B12" i="11"/>
  <c r="B13" i="11"/>
  <c r="T40" i="8"/>
  <c r="U40" i="8" s="1"/>
  <c r="T124" i="8"/>
  <c r="U124" i="8" s="1"/>
  <c r="W40" i="8" s="1"/>
  <c r="B14" i="11"/>
  <c r="B15" i="11"/>
  <c r="B16" i="11"/>
  <c r="B17" i="11"/>
  <c r="B18" i="11"/>
  <c r="B19" i="11"/>
  <c r="B20" i="11"/>
  <c r="B21" i="11"/>
  <c r="U134" i="8"/>
  <c r="B4" i="11"/>
  <c r="AA20" i="12" l="1"/>
  <c r="K17" i="12"/>
  <c r="K20" i="12"/>
  <c r="Y62" i="12"/>
  <c r="G62" i="12"/>
  <c r="Q61" i="12"/>
  <c r="M40" i="12"/>
  <c r="AA60" i="12"/>
  <c r="S20" i="12"/>
  <c r="P5" i="9"/>
  <c r="E62" i="12"/>
  <c r="AA17" i="12"/>
  <c r="K18" i="12"/>
  <c r="W59" i="12"/>
  <c r="M62" i="12"/>
  <c r="W62" i="12"/>
  <c r="E59" i="12"/>
  <c r="K60" i="12"/>
  <c r="M59" i="12"/>
  <c r="O17" i="12"/>
  <c r="Y39" i="12"/>
  <c r="E41" i="12"/>
  <c r="K19" i="12"/>
  <c r="S19" i="12"/>
  <c r="Q62" i="12"/>
  <c r="Y41" i="12"/>
  <c r="M41" i="12"/>
  <c r="Q19" i="12"/>
  <c r="Y18" i="12"/>
  <c r="I40" i="12"/>
  <c r="G39" i="12"/>
  <c r="O19" i="12"/>
  <c r="W20" i="12"/>
  <c r="W17" i="12"/>
  <c r="E61" i="12"/>
  <c r="Q59" i="12"/>
  <c r="I38" i="12"/>
  <c r="O20" i="12"/>
  <c r="AA18" i="12"/>
  <c r="S17" i="12"/>
  <c r="U61" i="12"/>
  <c r="O40" i="12"/>
  <c r="AA39" i="12"/>
  <c r="Q17" i="12"/>
  <c r="M18" i="12"/>
  <c r="Y17" i="12"/>
  <c r="U62" i="12"/>
  <c r="U60" i="12"/>
  <c r="AA62" i="12"/>
  <c r="K62" i="12"/>
  <c r="M39" i="12"/>
  <c r="Y40" i="12"/>
  <c r="G41" i="12"/>
  <c r="AA19" i="12"/>
  <c r="W18" i="12"/>
  <c r="M60" i="12"/>
  <c r="O60" i="12"/>
  <c r="I39" i="12"/>
  <c r="M38" i="12"/>
  <c r="Y38" i="12"/>
  <c r="W19" i="12"/>
  <c r="S18" i="12"/>
  <c r="Q18" i="12"/>
  <c r="Y61" i="12"/>
  <c r="S61" i="12"/>
  <c r="I41" i="12"/>
  <c r="E40" i="12"/>
  <c r="O18" i="12"/>
  <c r="E17" i="12"/>
  <c r="M61" i="12"/>
  <c r="E38" i="12"/>
  <c r="K39" i="12"/>
  <c r="Y20" i="12"/>
  <c r="U59" i="12"/>
  <c r="Q60" i="12"/>
  <c r="Y59" i="12"/>
  <c r="G59" i="12"/>
  <c r="U17" i="12"/>
  <c r="BT10" i="11"/>
  <c r="G17" i="12"/>
  <c r="G19" i="12"/>
  <c r="G18" i="12"/>
  <c r="G20" i="12"/>
  <c r="U41" i="12"/>
  <c r="U38" i="12"/>
  <c r="U40" i="12"/>
  <c r="U39" i="12"/>
  <c r="X6" i="11"/>
  <c r="L10" i="11"/>
  <c r="E5" i="12" s="1"/>
  <c r="K5" i="12" s="1"/>
  <c r="M5" i="12" s="1"/>
  <c r="O5" i="12" s="1"/>
  <c r="BV10" i="11"/>
  <c r="BN10" i="11"/>
  <c r="I17" i="12"/>
  <c r="I19" i="12"/>
  <c r="I20" i="12"/>
  <c r="I18" i="12"/>
  <c r="W39" i="12"/>
  <c r="S38" i="12"/>
  <c r="S40" i="12"/>
  <c r="S39" i="12"/>
  <c r="S41" i="12"/>
  <c r="I62" i="12"/>
  <c r="I59" i="12"/>
  <c r="I61" i="12"/>
  <c r="I60" i="12"/>
  <c r="Q40" i="12"/>
  <c r="Q38" i="12"/>
  <c r="Q39" i="12"/>
  <c r="Q41" i="12"/>
  <c r="W41" i="12"/>
  <c r="P4" i="9"/>
  <c r="P1008" i="9" s="1"/>
  <c r="H4" i="9"/>
  <c r="H1008" i="9" s="1"/>
  <c r="O61" i="12"/>
  <c r="Y60" i="12"/>
  <c r="S59" i="12"/>
  <c r="AA40" i="12"/>
  <c r="K40" i="12"/>
  <c r="E39" i="12"/>
  <c r="O38" i="12"/>
  <c r="O4" i="9"/>
  <c r="O1008" i="9" s="1"/>
  <c r="G4" i="9"/>
  <c r="G1008" i="9" s="1"/>
  <c r="S62" i="12"/>
  <c r="W60" i="12"/>
  <c r="G60" i="12"/>
  <c r="O41" i="12"/>
  <c r="U20" i="12"/>
  <c r="E20" i="12"/>
  <c r="M19" i="12"/>
  <c r="U18" i="12"/>
  <c r="E18" i="12"/>
  <c r="M17" i="12"/>
  <c r="V40" i="8"/>
  <c r="N4" i="9"/>
  <c r="N1008" i="9" s="1"/>
  <c r="F4" i="9"/>
  <c r="F1008" i="9" s="1"/>
  <c r="AA61" i="12"/>
  <c r="K61" i="12"/>
  <c r="E60" i="12"/>
  <c r="O59" i="12"/>
  <c r="W40" i="12"/>
  <c r="G40" i="12"/>
  <c r="AA38" i="12"/>
  <c r="K38" i="12"/>
  <c r="AA5" i="12"/>
  <c r="M4" i="9"/>
  <c r="M1008" i="9" s="1"/>
  <c r="O62" i="12"/>
  <c r="S60" i="12"/>
  <c r="AA41" i="12"/>
  <c r="K41" i="12"/>
  <c r="O39" i="12"/>
  <c r="AA26" i="12"/>
  <c r="Q20" i="12"/>
  <c r="Y19" i="12"/>
  <c r="W5" i="12"/>
  <c r="W26" i="12" s="1"/>
  <c r="L4" i="9"/>
  <c r="L1008" i="9" s="1"/>
  <c r="W61" i="12"/>
  <c r="G61" i="12"/>
  <c r="AA59" i="12"/>
  <c r="K59" i="12"/>
  <c r="W38" i="12"/>
  <c r="G38" i="12"/>
  <c r="K4" i="9"/>
  <c r="K1008" i="9" s="1"/>
  <c r="M20" i="12"/>
  <c r="U19" i="12"/>
  <c r="E19" i="12"/>
  <c r="J4" i="9"/>
  <c r="J1008" i="9" s="1"/>
  <c r="C1008" i="9"/>
  <c r="O5" i="9" l="1"/>
  <c r="W39" i="8"/>
  <c r="U127" i="8"/>
  <c r="V39" i="8"/>
  <c r="V6" i="11"/>
  <c r="AH6" i="11"/>
  <c r="AH10" i="11" s="1"/>
  <c r="X10" i="11"/>
  <c r="N5" i="9" l="1"/>
  <c r="CF6" i="11"/>
  <c r="V10" i="11"/>
  <c r="E4" i="12"/>
  <c r="B83" i="9"/>
  <c r="B330" i="9"/>
  <c r="B84" i="9"/>
  <c r="B331" i="9"/>
  <c r="AZ9" i="11"/>
  <c r="B87" i="9"/>
  <c r="B333" i="9"/>
  <c r="B88" i="9"/>
  <c r="B334" i="9"/>
  <c r="B90" i="9"/>
  <c r="B943" i="9"/>
  <c r="Y4" i="12"/>
  <c r="B79" i="9"/>
  <c r="B94" i="9"/>
  <c r="L8" i="11"/>
  <c r="B80" i="9"/>
  <c r="B96" i="9"/>
  <c r="AJ9" i="11"/>
  <c r="B3" i="9"/>
  <c r="M4" i="12"/>
  <c r="AR9" i="11"/>
  <c r="O4" i="12"/>
  <c r="Q4" i="12"/>
  <c r="U4" i="12"/>
  <c r="V8" i="11"/>
  <c r="M5" i="9" l="1"/>
  <c r="CF10" i="11"/>
  <c r="CH6" i="11"/>
  <c r="B5" i="11"/>
  <c r="CH10" i="11" l="1"/>
  <c r="L5" i="9"/>
  <c r="K5" i="9" l="1"/>
  <c r="J5" i="9" l="1"/>
  <c r="I5" i="9" l="1"/>
  <c r="H5" i="9" l="1"/>
  <c r="G5" i="9" l="1"/>
  <c r="F5" i="9" l="1"/>
  <c r="C8" i="9"/>
  <c r="C7" i="9"/>
  <c r="C6" i="9"/>
  <c r="C5" i="9"/>
  <c r="C4"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avinasha</author>
    <author>Avinash Ahuja</author>
    <author>Jeremy Hoover</author>
  </authors>
  <commentList>
    <comment ref="D2" authorId="0" shapeId="0" xr:uid="{00000000-0006-0000-0300-000001000000}">
      <text>
        <r>
          <rPr>
            <b/>
            <sz val="9"/>
            <color indexed="81"/>
            <rFont val="Tahoma"/>
            <family val="2"/>
          </rPr>
          <t>&lt;SavedQuery Version="1" DateCreated="2015-07-14T23:25:54.5537015+05:30" Perspective="130500" Name="SNL_ALLBanks" Currency="" Magnitude="" ConversionMethod="Snl" UnitOfMeasure="USCustomary" Comment="" Language="0"&gt;&lt;CriteriaGroups&gt;&lt;CriteriaGroup k="500" c="Industry" o="1" i="1" t="1" min="" max=""&gt;&lt;CriteriaItem k="" c="All Industries" o="" v="" r="" id="501" mask="" masktype="" maskkey="" enabled=""&gt;&lt;CriteriaItem k="" c="Banking" o="" v="" r="" id="502" mask="" masktype="" maskkey="" enabled=""&gt;&lt;CriteriaItem k="221551" c="Bank" o="0" v="1" r="True" id="503" mask="2" masktype="Industry" maskkey="221551" enabled="True" /&gt;&lt;CriteriaItem k="221551" c="Savings Bank/Thrift/Mutual" o="0" v="2" r="True" id="504" mask="4" masktype="Industry" maskkey="221551" enabled="True"&gt;&lt;CriteriaItem k="221540" c="Mutual" o="7" v="1,13,14" r="True" id="506" mask="" masktype="" maskkey="" enabled="True" /&gt;&lt;CriteriaItem k="221540" c="Non-Mutual" o="7" v="5,9,10,12,8,7,11,0,4,6" r="True" id="507" mask="" masktype="" maskkey="" enabled="True" /&gt;&lt;/CriteriaItem&gt;&lt;CriteriaItem k="221551" c="FHLB/Development Bank" o="0" v="13" r="False" id="505" mask="8192" masktype="Industry" maskkey="221551" enabled="True" /&gt;&lt;CriteriaItem k="221551" c="Central Bank" o="0" v="27" r="False" id="4758" mask="134217728" masktype="Industry" maskkey="221551" enabled="True" /&gt;&lt;CriteriaItem k="221551" c="Other Banking" o="0" v="28" r="False" id="4759" mask="268435456" masktype="Industry" maskkey="221551" enabled="True" /&gt;&lt;/CriteriaItem&gt;&lt;CriteriaItem k="" c="Insurance" o="" v="" r="False" id="508" mask="" masktype="" maskkey="" enabled=""&gt;&lt;CriteriaItem k="" c="North American Coverage" o="" v="" r="False" id="3171" mask="" masktype="" maskkey="" enabled=""&gt;&lt;CriteriaItem k="221551" c="Insurance Underwriter" o="0" v="8" r="False" id="515" mask="256" masktype="Industry" maskkey="221551" enabled="True"&gt;&lt;CriteriaItem k="221541" c="Multiline" o="0" v="1" r="False" id="517" mask="" masktype="" maskkey="" enabled="True" /&gt;&lt;CriteriaItem k="221541" c="Property &amp;amp; Casualty" o="0" v="2" r="False" id="518" mask="" masktype="" maskkey="" enabled="True" /&gt;&lt;CriteriaItem k="221541" c="Life &amp;amp; Health" o="0" v="3" r="False" id="519" mask="" masktype="" maskkey="" enabled="True" /&gt;&lt;CriteriaItem k="221541" c="Title" o="0" v="4" r="False" id="520" mask="" masktype="" maskkey="" enabled="True" /&gt;&lt;CriteriaItem k="221541" c="Mortgage Guaranty" o="0" v="5" r="False" id="521" mask="" masktype="" maskkey="" enabled="True" /&gt;&lt;CriteriaItem k="221541" c="Financial Guaranty" o="0" v="6" r="False" id="522" mask="" masktype="" maskkey="" enabled="True" /&gt;&lt;CriteriaItem k="221541" c="Managed Care" o="0" v="7" r="False" id="523" mask="" masktype="" maskkey="" enabled="True" /&gt;&lt;/CriteriaItem&gt;&lt;CriteriaItem k="221551" c="Insurance Broker" o="0" v="9" r="False" id="516" mask="512" masktype="Industry" maskkey="221551" enabled="True" /&gt;&lt;/CriteriaItem&gt;&lt;CriteriaItem k="" c="European Coverage" o="" v="" r="False" id="3173" mask="" masktype="" maskkey="" enabled=""&gt;&lt;CriteriaItem k="221551" c="Insurance Underwriter" o="0" v="24" r="False" id="3174" mask="16777216" masktype="Industry" maskkey="221551" enabled="True"&gt;&lt;CriteriaItem k="221541" c="Multiline" o="0" v="1" r="False" id="3175" mask="" masktype="" maskkey="" enabled="True" /&gt;&lt;CriteriaItem k="221541" c="Property &amp;amp; Casualty" o="0" v="2" r="False" id="3176" mask="" masktype="" maskkey="" enabled="True" /&gt;&lt;CriteriaItem k="221541" c="Life &amp;amp; Health" o="0" v="3" r="False" id="3177" mask="" masktype="" maskkey="" enabled="True" /&gt;&lt;CriteriaItem k="221541" c="Title" o="0" v="4" r="False" id="3178" mask="" masktype="" maskkey="" enabled="True" /&gt;&lt;CriteriaItem k="221541" c="Mortgage Guaranty" o="0" v="5" r="False" id="3179" mask="" masktype="" maskkey="" enabled="True" /&gt;&lt;CriteriaItem k="221541" c="Financial Guaranty" o="0" v="6" r="False" id="3180" mask="" masktype="" maskkey="" enabled="True" /&gt;&lt;CriteriaItem k="221541" c="Managed Care" o="0" v="7" r="False" id="3181" mask="" masktype="" maskkey="" enabled="True" /&gt;&lt;/CriteriaItem&gt;&lt;CriteriaItem k="221551" c="Insurance Broker" o="0" v="25" r="False" id="3183" mask="33554432" masktype="Industry" maskkey="221551" enabled="True" /&gt;&lt;/CriteriaItem&gt;&lt;CriteriaItem k="" c="Asia-Pacific Coverage" o="" v="" r="False" id="5914" mask="" masktype="" maskkey="" enabled=""&gt;&lt;CriteriaItem k="221551" c="Insurance Underwriter" o="0" v="29" r="False" id="5915" mask="536870912" masktype="Industry" maskkey="221551" enabled="True"&gt;&lt;CriteriaItem k="221541" c="Multiline" o="0" v="1" r="False" id="5916" mask="" masktype="" maskkey="" enabled="True" /&gt;&lt;CriteriaItem k="221541" c="Property &amp;amp; Casualty" o="0" v="2" r="False" id="5917" mask="" masktype="" maskkey="" enabled="True" /&gt;&lt;CriteriaItem k="221541" c="Life &amp;amp; Health" o="0" v="3" r="False" id="5918" mask="" masktype="" maskkey="" enabled="True" /&gt;&lt;CriteriaItem k="221541" c="Title" o="0" v="4" r="False" id="5919" mask="" masktype="" maskkey="" enabled="True" /&gt;&lt;CriteriaItem k="221541" c="Mortgage Guaranty" o="0" v="5" r="False" id="5920" mask="" masktype="" maskkey="" enabled="True" /&gt;&lt;CriteriaItem k="221541" c="Financial Guaranty" o="0" v="6" r="False" id="5921" mask="" masktype="" maskkey="" enabled="True" /&gt;&lt;CriteriaItem k="221541" c="Managed Care" o="0" v="7" r="False" id="5922" mask="" masktype="" maskkey="" enabled="True" /&gt;&lt;/CriteriaItem&gt;&lt;CriteriaItem k="221551" c="Insurance Broker" o="0" v="30" r="False" id="5923" mask="1073741824" masktype="Industry" maskkey="221551" enabled="True" /&gt;&lt;/CriteriaItem&gt;&lt;CriteriaItem k="221551" c="Lloyd's Syndicate" o="0" v="11" r="False" id="5788" mask="2048" masktype="Industry" maskkey="221551" enabled="True" /&gt;&lt;/CriteriaItem&gt;&lt;CriteriaItem k="" c="Securities &amp;amp; Investments" o="" v="" r="False" id="509" mask="" masktype="" maskkey="" enabled=""&gt;&lt;CriteriaItem k="221551" c="Asset Manager" o="0" v="4" r="False" id="524" mask="16" masktype="Industry" maskkey="221551" enabled="True" /&gt;&lt;CriteriaItem k="221551" c="Broker-Dealer" o="0" v="5" r="False" id="525" mask="32" masktype="Industry" maskkey="221551" enabled="True"&gt;&lt;CriteriaItem k="221542" c="Institutional Broker/Dealer" o="0" v="0" r="False" id="526" mask="" masktype="" maskkey="" enabled="True" /&gt;&lt;CriteriaItem k="221542" c="Online Broker" o="0" v="1" r="False" id="527" mask="" masktype="" maskkey="" enabled="True" /&gt;&lt;CriteriaItem k="221542" c="Global Investment Bank" o="0" v="2" r="False" id="528" mask="" masktype="" maskkey="" enabled="True" /&gt;&lt;CriteriaItem k="221542" c="National Broker/Dealer" o="0" v="3" r="False" id="529" mask="" masktype="" maskkey="" enabled="True" /&gt;&lt;CriteriaItem k="221542" c="Regional Broker/Dealer" o="0" v="4" r="False" id="530" mask="" masktype="" maskkey="" enabled="True" /&gt;&lt;CriteriaItem k="221542" c="Exchange" o="0" v="7" r="False" id="1944" mask="" masktype="" maskkey="" enabled="True" /&gt;&lt;CriteriaItem k="221542" c="Clearing Company" o="0" v="8" r="False" id="1945" mask="" masktype="" maskkey="" enabled="True" /&gt;&lt;CriteriaItem k="221542" c="Multinational Broker/Dealer" o="0" v="9" r="False" id="1946" mask="" masktype="" maskkey="" enabled="True" /&gt;&lt;/CriteriaItem&gt;&lt;/CriteriaItem&gt;&lt;CriteriaItem k="" c="Specialty Finance" o="" v="" r="False" id="510" mask="" masktype="" maskkey="" enabled=""&gt;&lt;CriteriaItem k="221551" c="Specialty Lender" o="0" v="3" r="False" id="531" mask="8" masktype="Industry" maskkey="221551" enabled="True"&gt;&lt;CriteriaItem k="221543" c="Auto Finance Lender" o="0" v="0" r="False" id="533" mask="" masktype="" maskkey="" enabled="True" /&gt;&lt;CriteriaItem k="221543" c="Commercial Mortgage Bank" o="0" v="7" r="False" id="534" mask="" masktype="" maskkey="" enabled="True" /&gt;&lt;CriteriaItem k="221543" c="Credit Card Company" o="0" v="1" r="False" id="535" mask="" masktype="" maskkey="" enabled="True" /&gt;&lt;CriteriaItem k="221543" c="Diversified Consumer Lender" o="0" v="5" r="False" id="536" mask="" masktype="" maskkey="" enabled="True" /&gt;&lt;CriteriaItem k="221543" c="Diversified Commercial Lender" o="0" v="10" r="False" id="537" mask="" masktype="" maskkey="" enabled="True" /&gt;&lt;CriteriaItem k="221543" c="Diversified Mortgage Company" o="0" v="12" r="False" id="538" mask="" masktype="" maskkey="" enabled="True" /&gt;&lt;CriteriaItem k="221543" c="Diversified Specialty Lender" o="0" v="13" r="False" id="539" mask="" masktype="" maskkey="" enabled="True" /&gt;&lt;CriteriaItem k="221543" c="Equipment Lender" o="0" v="8" r="False" id="540" mask="" masktype="" maskkey="" enabled="True" /&gt;&lt;CriteriaItem k="221543" c="GSE" o="0" v="14" r="False" id="541" mask="" masktype="" maskkey="" enabled="True" /&gt;&lt;CriteriaItem k="221543" c="Home Equity Lender" o="0" v="3" r="False" id="607" mask="" masktype="" maskkey="" enabled="True" /&gt;&lt;CriteriaItem k="221543" c="Residential Mortgage Bank" o="0" v="2" r="False" id="608" mask="" masktype="" maskkey="" enabled="True" /&gt;&lt;CriteriaItem k="221543" c="Niche Commercial Lender" o="0" v="19" r="False" id="542" mask="" masktype="" maskkey="" enabled="True" /&gt;&lt;CriteriaItem k="221543" c="Niche Consumer Lender" o="0" v="4" r="False" id="543" mask="" masktype="" maskkey="" enabled="True" /&gt;&lt;CriteriaItem k="221543" c="Pawn Shop" o="0" v="15" r="False" id="544" mask="" masktype="" maskkey="" enabled="True" /&gt;&lt;/CriteriaItem&gt;&lt;CriteriaItem k="221551" c="Investment Company" o="0" v="7" r="False" id="532" mask="128" masktype="Industry" maskkey="221551" enabled="True"&gt;&lt;CriteriaItem k="221543" c="Investment Company" o="0" v="22" r="False" id="545" mask="" masktype="" maskkey="" enabled="True" /&gt;&lt;CriteriaItem k="221543" c="Regulated Investment Company" o="0" v="20" r="False" id="546" mask="" masktype="" maskkey="" enabled="True" /&gt;&lt;CriteriaItem k="221543" c="Business Development Company" o="0" v="21" r="False" id="547" mask="" masktype="" maskkey="" enabled="True" /&gt;&lt;CriteriaItem k="221543" c="Specialty Finance REIT" o="0" v="18" r="False" id="548" mask="" masktype="" maskkey="" enabled="True" /&gt;&lt;CriteriaItem k="221543" c="Mortgage REIT" o="0" v="17" r="False" id="549" mask="" masktype="" maskkey="" enabled="True" /&gt;&lt;CriteriaItem k="221543" c="MBS REIT" o="0" v="16" r="False" id="550" mask="" masktype="" maskkey="" enabled="True" /&gt;&lt;/CriteriaItem&gt;&lt;/CriteriaItem&gt;&lt;CriteriaItem k="221551" c="Financial Technology" o="0" v="15" r="False" id="511" mask="32768" masktype="Industry" maskkey="221551" enabled="True"&gt;&lt;CriteriaItem k="221544" c="Banking Technology" o="0" v="2" r="False" id="551" mask="" masktype="" maskkey="" enabled="True" /&gt;&lt;CriteriaItem k="221544" c="Financial Media &amp;amp; Content" o="0" v="7" r="False" id="552" mask="" masktype="" maskkey="" enabled="True" /&gt;&lt;CriteriaItem k="221544" c="Insurance/Healthcare Solutions" o="0" v="0" r="False" id="553" mask="" masktype="" maskkey="" enabled="True" /&gt;&lt;CriteriaItem k="221544" c="Investments Technology" o="0" v="1" r="False" id="554" mask="" masktype="" maskkey="" enabled="True" /&gt;&lt;CriteriaItem k="221544" c="Outsourcing" o="0" v="5" r="False" id="555" mask="" masktype="" maskkey="" enabled="True" /&gt;&lt;CriteriaItem k="221544" c="Payment Processors" o="0" v="3" r="False" id="556" mask="" masktype="" maskkey="" enabled="True" /&gt;&lt;CriteriaItem k="221544" c="Payroll &amp;amp; Administrative Solutions" o="0" v="6" r="False" id="557" mask="" masktype="" maskkey="" enabled="True" /&gt;&lt;CriteriaItem k="221544" c="Processing Software &amp;amp; Hardware" o="0" v="4" r="False" id="558" mask="" masktype="" maskkey="" enabled="True" /&gt;&lt;/CriteriaItem&gt;&lt;CriteriaItem k="" c="Real Estate" o="" v="" r="False" id="512" mask="" masktype="" maskkey="" enabled=""&gt;&lt;CriteriaItem k="221551" c="REIT &amp;amp; Property Company" o="0" v="6" r="False" id="559" mask="64" masktype="Industry" maskkey="221551" enabled="True"&gt;&lt;CriteriaItem k="127353" c="REIT" o="0" v="1" r="False" id="562" mask="" masktype="" maskkey="" enabled="True"&gt;&lt;CriteriaItem k="221545" c="Casino" o="0" v="47" r="False" id="5727" mask="" masktype="" maskkey="" enabled="True" /&gt;&lt;CriteriaItem k="221545" c="Diversified" o="0" v="56" r="False" id="564" mask="" masktype="" maskkey="" enabled="True" /&gt;&lt;CriteriaItem k="221545" c="Health Care" o="0" v="27" r="False" id="565" mask="" masktype="" maskkey="" enabled="True" /&gt;&lt;CriteriaItem k="221545" c="Hotel" o="7" v="35,36,37,38,39" r="False" id="566" mask="" masktype="" maskkey="" enabled="True" /&gt;&lt;CriteriaItem k="221545" c="Industrial" o="0" v="11" r="False" id="567" mask="" masktype="" maskkey="" enabled="True" /&gt;&lt;CriteriaItem k="221545" c="Manufactured home" o="0" v="4" r="False" id="568" mask="" masktype="" maskkey="" enabled="True" /&gt;&lt;CriteriaItem k="221545" c="Multi-Family" o="0" v="2" r="False" id="569" mask="" masktype="" maskkey="" enabled="True" /&gt;&lt;CriteriaItem k="221545" c="Office" o="0" v="16" r="False" id="570" mask="" masktype="" maskkey="" enabled="True" /&gt;&lt;CriteriaItem k="221545" c="Regional Mall" o="0" v="6" r="False" id="571" mask="" masktype="" maskkey="" enabled="True" /&gt;&lt;CriteriaItem k="221545" c="Retail: Other" o="7" v="5,8,9,10" r="False" id="572" mask="" masktype="" maskkey="" enabled="True" /&gt;&lt;CriteriaItem k="221545" c="Self-Storage" o="0" v="34" r="False" id="573" mask="" masktype="" maskkey="" enabled="True" /&gt;&lt;CriteriaItem k="221545" c="Shopping Center" o="0" v="7" r="False" id="574" mask="" masktype="" maskkey="" enabled="True" /&gt;&lt;CriteriaItem k="221545" c="Specialty" o="7" v="50,3,26,40,41,42,43,45,46,48,49,51,52,57,61,62,63,64" r="False" id="575" mask="" masktype="" maskkey="" enabled="True" /&gt;&lt;/CriteriaItem&gt;&lt;CriteriaItem k="127353" c="Property Company" o="0" v="0" r="False" id="563" mask="" masktype="" maskkey="" enabled="True"&gt;&lt;CriteriaItem k="221545" c="Casino" o="0" v="47" r="False" id="5728" mask="" masktype="" maskkey="" enabled="True" /&gt;&lt;CriteriaItem k="221545" c="Diversified" o="0" v="56" r="False" id="576" mask="" masktype="" maskkey="" enabled="True" /&gt;&lt;CriteriaItem k="221545" c="Health Care" o="0" v="27" r="False" id="577" mask="" masktype="" maskkey="" enabled="True" /&gt;&lt;CriteriaItem k="221545" c="Hotel" o="7" v="35,36,37,38,39" r="False" id="578" mask="" masktype="" maskkey="" enabled="True" /&gt;&lt;CriteriaItem k="221545" c="Industrial" o="0" v="11" r="False" id="579" mask="" masktype="" maskkey="" enabled="True" /&gt;&lt;CriteriaItem k="221545" c="Manufactured home" o="0" v="4" r="False" id="580" mask="" masktype="" maskkey="" enabled="True" /&gt;&lt;CriteriaItem k="221545" c="Multi-Family" o="0" v="2" r="False" id="581" mask="" masktype="" maskkey="" enabled="True" /&gt;&lt;CriteriaItem k="221545" c="Office" o="0" v="16" r="False" id="582" mask="" masktype="" maskkey="" enabled="True" /&gt;&lt;CriteriaItem k="221545" c="Regional Mall" o="0" v="6" r="False" id="583" mask="" masktype="" maskkey="" enabled="True" /&gt;&lt;CriteriaItem k="221545" c="Retail: Other" o="7" v="5,8,9,10" r="False" id="584" mask="" masktype="" maskkey="" enabled="True" /&gt;&lt;CriteriaItem k="221545" c="Self-Storage" o="0" v="34" r="False" id="585" mask="" masktype="" maskkey="" enabled="True" /&gt;&lt;CriteriaItem k="221545" c="Shopping Center" o="0" v="7" r="False" id="586" mask="" masktype="" maskkey="" enabled="True" /&gt;&lt;CriteriaItem k="221545" c="Specialty" o="7" v="50,3,26,40,41,42,43,45,46,48,49,51,52,57,61,62,63,64" r="False" id="587" mask="" masktype="" maskkey="" enabled="True" /&gt;&lt;/CriteriaItem&gt;&lt;/CriteriaItem&gt;&lt;CriteriaItem k="221551" c="Homebuilder" o="0" v="16" r="False" id="560" mask="65536" masktype="Industry" maskkey="221551" enabled="True" /&gt;&lt;CriteriaItem k="221551" c="Gaming" o="0" v="19" r="False" id="561" mask="524288" masktype="Industry" maskkey="221551" enabled="True" /&gt;&lt;/CriteriaItem&gt;&lt;CriteriaItem k="" c="Energy" o="" v="" r="False" id="513" mask="" masktype="" maskkey="" enabled=""&gt;&lt;CriteriaItem k="221551" c="Power" o="0" v="10" r="False" id="588" mask="1024" masktype="Industry" maskkey="221551" enabled="True" /&gt;&lt;CriteriaItem k="221551" c="Coal" o="0" v="17" r="False" id="589" mask="131072" masktype="Industry" maskkey="221551" enabled="True" /&gt;&lt;CriteriaItem k="" c="Natural Gas" o="" v="" r="False" id="590" mask="" masktype="" maskkey="" enabled=""&gt;&lt;CriteriaItem k="221551" c="Gas Utility" o="0" v="18" r="False" id="591" mask="262144" masktype="Industry" maskkey="221551" enabled="True" /&gt;&lt;CriteriaItem k="221551" c="Midstream" o="0" v="23" r="False" id="592" mask="8388608" masktype="Industry" maskkey="221551" enabled="True" /&gt;&lt;/CriteriaItem&gt;&lt;/CriteriaItem&gt;&lt;CriteriaItem k="" c="Media &amp;amp; Communications" o="" v="" r="False" id="514" mask="" masktype="" maskkey="" enabled=""&gt;&lt;CriteriaItem k="" c="Media" o="" v="" r="False" id="593" mask="" masktype="" maskkey="" enabled=""&gt;&lt;CriteriaItem k="221551" c="Media &amp;amp; Entertainment" o="0" v="20" r="False" id="595" mask="1048576" masktype="Industry" maskkey="221551" enabled="True" /&gt;&lt;CriteriaItem k="221551" c="New Media" o="0" v="21" r="False" id="596" mask="2097152" masktype="Industry" maskkey="221551" enabled="True" /&gt;&lt;/CriteriaItem&gt;&lt;CriteriaItem k="221551" c="Communications" o="0" v="14" r="False" id="594" mask="16384" masktype="Industry" maskkey="221551" enabled="True" /&gt;&lt;/CriteriaItem&gt;&lt;CriteriaItem k="221551" c="Metals &amp;amp; Mining" o="0" v="22" r="False" id="3851" mask="4194304" masktype="Industry" maskkey="221551" enabled="True"&gt;&lt;CriteriaItem k="139962" c="Diversified Commodities" o="0" v="24" r="False" id="3852" mask="" masktype="" maskkey="" enabled="True" /&gt;&lt;CriteriaItem k="139962" c="Precious Metals" o="0" v="25" r="False" id="3853" mask="" masktype="" maskkey="" enabled="True" /&gt;&lt;CriteriaItem k="139962" c="Base Metals" o="0" v="26" r="False" id="3854" mask="" masktype="" maskkey="" enabled="True" /&gt;&lt;CriteriaItem k="139962" c="Bulk Commodities" o="0" v="27" r="False" id="3855" mask="" masktype="" maskkey="" enabled="True" /&gt;&lt;CriteriaItem k="139962" c="Specialty Commodities" o="0" v="28" r="False" id="3856" mask="" masktype="" maskkey="" enabled="True" /&gt;&lt;/CriteriaItem&gt;&lt;/CriteriaItem&gt;&lt;/CriteriaGroup&gt;&lt;CriteriaGroup k="1" c="Geography" o="1" i="2" t="1" min="" max=""&gt;&lt;CriteriaItem k="" c="All Geographies" o="" v="" r="" id="2" mask="" masktype="" maskkey="" enabled=""&gt;&lt;CriteriaItem k="" c="United States and Canada" o="0" v="" r="True" id="3" mask="16" masktype="Geography" maskkey="221376" enabled=""&gt;&lt;CriteriaItem k="" c="United States" o="" v="" r="True" id="9" mask="" masktype="" maskkey="" enabled=""&gt;&lt;CriteriaItem k="" c="Mid Atlantic" o="" v="" r="True" id="12" mask="" masktype="" maskkey="" enabled=""&gt;&lt;CriteriaItem k="227172" c="Delaware" o="0" v="271" r="True" id="18" mask="" masktype="" maskkey="" enabled="" /&gt;&lt;CriteriaItem k="227172" c="District of Columbia" o="0" v="270" r="True" id="19" mask="" masktype="" maskkey="" enabled="" /&gt;&lt;CriteriaItem k="227172" c="Maryland" o="0" v="272" r="True" id="20" mask="" masktype="" maskkey="" enabled="" /&gt;&lt;CriteriaItem k="227172" c="New Jersey" o="0" v="273" r="True" id="21" mask="" masktype="" maskkey="" enabled="" /&gt;&lt;CriteriaItem k="227172" c="New York" o="0" v="274" r="True" id="22" mask="" masktype="" maskkey="" enabled="" /&gt;&lt;CriteriaItem k="227172" c="Pennsylvania" o="0" v="275" r="True" id="23" mask="" masktype="" maskkey="" enabled="" /&gt;&lt;CriteriaItem k="227172" c="Puerto Rico" o="0" v="276" r="True" id="50" mask="" masktype="" maskkey="" enabled="" /&gt;&lt;/CriteriaItem&gt;&lt;CriteriaItem k="" c="Midwest" o="" v="" r="True" id="13" mask="" masktype="" maskkey="" enabled=""&gt;&lt;CriteriaItem k="227172" c="Illinois" o="0" v="278" r="True" id="24" mask="" masktype="" maskkey="" enabled="" /&gt;&lt;CriteriaItem k="227172" c="Indiana" o="0" v="279" r="True" id="25" mask="" masktype="" maskkey="" enabled="" /&gt;&lt;CriteriaItem k="227172" c="Iowa" o="0" v="277" r="True" id="26" mask="" masktype="" maskkey="" enabled="" /&gt;&lt;CriteriaItem k="227172" c="Kansas" o="0" v="280" r="True" id="27" mask="" masktype="" maskkey="" enabled="" /&gt;&lt;CriteriaItem k="227172" c="Kentucky" o="0" v="281" r="True" id="28" mask="" masktype="" maskkey="" enabled="" /&gt;&lt;CriteriaItem k="227172" c="Michigan" o="0" v="282" r="True" id="29" mask="" masktype="" maskkey="" enabled="" /&gt;&lt;CriteriaItem k="227172" c="Minnesota" o="0" v="283" r="True" id="30" mask="" masktype="" maskkey="" enabled="" /&gt;&lt;CriteriaItem k="227172" c="Missouri" o="0" v="284" r="True" id="31" mask="" masktype="" maskkey="" enabled="" /&gt;&lt;CriteriaItem k="227172" c="Nebraska" o="0" v="286" r="True" id="32" mask="" masktype="" maskkey="" enabled="" /&gt;&lt;CriteriaItem k="227172" c="North Dakota" o="0" v="285" r="True" id="33" mask="" masktype="" maskkey="" enabled="" /&gt;&lt;CriteriaItem k="227172" c="Ohio" o="0" v="287" r="True" id="34" mask="" masktype="" maskkey="" enabled="" /&gt;&lt;CriteriaItem k="227172" c="South Dakota" o="0" v="288" r="True" id="35" mask="" masktype="" maskkey="" enabled="" /&gt;&lt;CriteriaItem k="227172" c="Wisconsin" o="0" v="289" r="True" id="36" mask="" masktype="" maskkey="" enabled="" /&gt;&lt;/CriteriaItem&gt;&lt;CriteriaItem k="" c="Northeast" o="" v="" r="True" id="14" mask="" masktype="" maskkey="" enabled=""&gt;&lt;CriteriaItem k="227172" c="Connecticut" o="0" v="290" r="True" id="37" mask="" masktype="" maskkey="" enabled="" /&gt;&lt;CriteriaItem k="227172" c="Maine" o="0" v="292" r="True" id="38" mask="" masktype="" maskkey="" enabled="" /&gt;&lt;CriteriaItem k="227172" c="Massachusetts" o="0" v="291" r="True" id="39" mask="" masktype="" maskkey="" enabled="" /&gt;&lt;CriteriaItem k="227172" c="New Hampshire" o="0" v="293" r="True" id="40" mask="" masktype="" maskkey="" enabled="" /&gt;&lt;CriteriaItem k="227172" c="Rhode Island" o="0" v="294" r="True" id="41" mask="" masktype="" maskkey="" enabled="" /&gt;&lt;CriteriaItem k="227172" c="Vermont" o="0" v="295" r="True" id="42" mask="" masktype="" maskkey="" enabled="" /&gt;&lt;/CriteriaItem&gt;&lt;CriteriaItem k="" c="Southeast" o="" v="" r="True" id="15" mask="" masktype="" maskkey="" enabled=""&gt;&lt;CriteriaItem k="227172" c="Alabama" o="0" v="296" r="True" id="43" mask="" masktype="" maskkey="" enabled="" /&gt;&lt;CriteriaItem k="227172" c="Arkansas" o="0" v="297" r="True" id="44" mask="" masktype="" maskkey="" enabled="" /&gt;&lt;CriteriaItem k="227172" c="Florida" o="0" v="298" r="True" id="45" mask="" masktype="" maskkey="" enabled="" /&gt;&lt;CriteriaItem k="227172" c="Georgia" o="0" v="299" r="True" id="46" mask="" masktype="" maskkey="" enabled="" /&gt;&lt;CriteriaItem k="227172" c="Mississippi" o="0" v="300" r="True" id="48" mask="" masktype="" maskkey="" enabled="" /&gt;&lt;CriteriaItem k="227172" c="North Carolina" o="0" v="301" r="True" id="49" mask="" masktype="" maskkey="" enabled="" /&gt;&lt;CriteriaItem k="227172" c="South Carolina" o="0" v="302" r="True" id="51" mask="" masktype="" maskkey="" enabled="" /&gt;&lt;CriteriaItem k="227172" c="Tennessee" o="0" v="303" r="True" id="52" mask="" masktype="" maskkey="" enabled="" /&gt;&lt;CriteriaItem k="227172" c="Virgin Islands, U.S." o="0" v="305" r="True" id="53" mask="" masktype="" maskkey="" enabled="" /&gt;&lt;CriteriaItem k="227172" c="Virginia" o="0" v="304" r="True" id="54" mask="" masktype="" maskkey="" enabled="" /&gt;&lt;CriteriaItem k="227172" c="West Virginia" o="0" v="306" r="True" id="55" mask="" masktype="" maskkey="" enabled="" /&gt;&lt;/CriteriaItem&gt;&lt;CriteriaItem k="" c="Southwest" o="" v="" r="True" id="16" mask="" masktype="" maskkey="" enabled=""&gt;&lt;CriteriaItem k="227172" c="Colorado" o="0" v="307" r="True" id="56" mask="" masktype="" maskkey="" enabled="" /&gt;&lt;CriteriaItem k="227172" c="Louisiana" o="0" v="308" r="True" id="47" mask="" masktype="" maskkey="" enabled="" /&gt;&lt;CriteriaItem k="227172" c="New Mexico" o="0" v="309" r="True" id="57" mask="" masktype="" maskkey="" enabled="" /&gt;&lt;CriteriaItem k="227172" c="Oklahoma" o="0" v="310" r="True" id="58" mask="" masktype="" maskkey="" enabled="" /&gt;&lt;CriteriaItem k="227172" c="Texas" o="0" v="311" r="True" id="59" mask="" masktype="" maskkey="" enabled="" /&gt;&lt;CriteriaItem k="227172" c="Utah" o="0" v="312" r="True" id="60" mask="" masktype="" maskkey="" enabled="" /&gt;&lt;/CriteriaItem&gt;&lt;CriteriaItem k="" c="West" o="" v="" r="True" id="17" mask="" masktype="" maskkey="" enabled=""&gt;&lt;CriteriaItem k="227172" c="Alaska" o="0" v="313" r="True" id="61" mask="" masktype="" maskkey="" enabled="" /&gt;&lt;CriteriaItem k="227172" c="American Samoa" o="0" v="314" r="True" id="62" mask="" masktype="" maskkey="" enabled="" /&gt;&lt;CriteriaItem k="227172" c="Arizona" o="0" v="315" r="True" id="63" mask="" masktype="" maskkey="" enabled="" /&gt;&lt;CriteriaItem k="227172" c="California" o="0" v="316" r="True" id="64" mask="" masktype="" maskkey="" enabled="" /&gt;&lt;CriteriaItem k="227172" c="Guam" o="0" v="318" r="True" id="65" mask="" masktype="" maskkey="" enabled="" /&gt;&lt;CriteriaItem k="227172" c="Hawaii" o="0" v="319" r="True" id="66" mask="" masktype="" maskkey="" enabled="" /&gt;&lt;CriteriaItem k="227172" c="Idaho" o="0" v="320" r="True" id="67" mask="" masktype="" maskkey="" enabled="" /&gt;&lt;CriteriaItem k="227172" c="Montana" o="0" v="323" r="True" id="68" mask="" masktype="" maskkey="" enabled="" /&gt;&lt;CriteriaItem k="227172" c="Nevada" o="0" v="324" r="True" id="69" mask="" masktype="" maskkey="" enabled="" /&gt;&lt;CriteriaItem k="227172" c="Northern Mariana Islands" o="0" v="322" r="True" id="70" mask="" masktype="" maskkey="" enabled="" /&gt;&lt;CriteriaItem k="227172" c="Oregon" o="0" v="325" r="True" id="71" mask="" masktype="" maskkey="" enabled="" /&gt;&lt;CriteriaItem k="227172" c="United States Minor Outlying Islands" o="0" v="327" r="True" id="72" mask="" masktype="" maskkey="" enabled="" /&gt;&lt;CriteriaItem k="227172" c="Washington" o="0" v="328" r="True" id="73" mask="" masktype="" maskkey="" enabled="" /&gt;&lt;CriteriaItem k="227172" c="Wyoming" o="0" v="329" r="True" id="74" mask="" masktype="" maskkey="" enabled="" /&gt;&lt;/CriteriaItem&gt;&lt;/CriteriaItem&gt;&lt;CriteriaItem k="227172" c="Canada" o="0" v="38" r="True" id="10" mask="" masktype="" maskkey="" enabled="" /&gt;&lt;CriteriaItem k="227172" c="Bermuda" o="0" v="12" r="True" id="11" mask="" masktype="" maskkey="" enabled="" /&gt;&lt;/CriteriaItem&gt;&lt;CriteriaItem k="" c="Europe" o="0" v="" r="True" id="4" mask="4" masktype="Geography" maskkey="221376" enabled=""&gt;&lt;CriteriaItem k="" c="Developed Europe" o="" v="" r="True" id="75" mask="" masktype="" maskkey="" enabled=""&gt;&lt;CriteriaItem k="227172" c="Andorra" o="0" v="170" r="True" id="93" mask="" masktype="" maskkey="" enabled="" /&gt;&lt;CriteriaItem k="227172" c="Austria" o="0" v="206" r="True" id="96" mask="" masktype="" maskkey="" enabled="" /&gt;&lt;CriteriaItem k="227172" c="Belgium" o="0" v="175" r="True" id="86" mask="" masktype="" maskkey="" enabled="" /&gt;&lt;CriteriaItem k="227172" c="Cyprus" o="0" v="126" r="True" id="97" mask="" masktype="" maskkey="" enabled="" /&gt;&lt;CriteriaItem k="227172" c="Czech Republic" o="0" v="207" r="True" id="77" mask="" masktype="" maskkey="" enabled="" /&gt;&lt;CriteriaItem k="227172" c="Denmark" o="0" v="209" r="True" id="87" mask="" masktype="" maskkey="" enabled="" /&gt;&lt;CriteriaItem k="227172" c="Finland" o="0" v="181" r="True" id="98" mask="" masktype="" maskkey="" enabled="" /&gt;&lt;CriteriaItem k="227172" c="France" o="0" v="183" r="True" id="79" mask="" masktype="" maskkey="" enabled="" /&gt;&lt;CriteriaItem k="227172" c="Germany" o="0" v="208" r="True" id="78" mask="" masktype="" maskkey="" enabled="" /&gt;&lt;CriteriaItem k="227172" c="Gibraltar" o="0" v="185" r="True" id="80" mask="" masktype="" maskkey="" enabled="" /&gt;&lt;CriteriaItem k="227172" c="Greece" o="0" v="186" r="True" id="83" mask="" masktype="" maskkey="" enabled="" /&gt;&lt;CriteriaItem k="227172" c="Greenland" o="0" v="19" r="True" id="82" mask="" masktype="" maskkey="" enabled="" /&gt;&lt;CriteriaItem k="227172" c="Iceland" o="0" v="189" r="True" id="99" mask="" masktype="" maskkey="" enabled="" /&gt;&lt;CriteriaItem k="227172" c="Ireland" o="0" v="212" r="True" id="84" mask="" masktype="" maskkey="" enabled="" /&gt;&lt;CriteriaItem k="227172" c="Italy" o="0" v="190" r="True" id="85" mask="" masktype="" maskkey="" enabled="" /&gt;&lt;CriteriaItem k="227172" c="Liechtenstein" o="0" v="213" r="True" id="94" mask="" masktype="" maskkey="" enabled="" /&gt;&lt;CriteriaItem k="227172" c="Luxembourg" o="0" v="214" r="True" id="81" mask="" masktype="" maskkey="" enabled="" /&gt;&lt;CriteriaItem k="227172" c="Malta" o="0" v="195" r="True" id="100" mask="" masktype="" maskkey="" enabled="" /&gt;&lt;CriteriaItem k="227172" c="Monaco" o="0" v="215" r="True" id="95" mask="" masktype="" maskkey="" enabled="" /&gt;&lt;CriteriaItem k="227172" c="Netherlands" o="0" v="216" r="True" id="91" mask="" masktype="" maskkey="" enabled="" /&gt;&lt;CriteriaItem k="227172" c="Norway" o="0" v="196" r="True" id="88" mask="" masktype="" maskkey="" enabled="" /&gt;&lt;CriteriaItem k="227172" c="Portugal" o="0" v="218" r="True" id="92" mask="" masktype="" maskkey="" enabled="" /&gt;&lt;CriteriaItem k="227172" c="San Marino" o="0" v="202" r="True" id="101" mask="" masktype="" maskkey="" enabled="" /&gt;&lt;CriteriaItem k="227172" c="Slovakia" o="0" v="201" r="True" id="103" mask="" masktype="" maskkey="" enabled="" /&gt;&lt;CriteriaItem k="227172" c="Slovenia" o="0" v="199" r="True" id="102" mask="" masktype="" maskkey="" enabled="" /&gt;&lt;CriteriaItem k="227172" c="Spain" o="0" v="210" r="True" id="89" mask="" masktype="" maskkey="" enabled="" /&gt;&lt;CriteriaItem k="227172" c="Sweden" o="0" v="219" r="True" id="90" mask="" masktype="" maskkey="" enabled="" /&gt;&lt;CriteriaItem k="227172" c="Switzerland" o="0" v="178" r="True" id="105" mask="" masktype="" maskkey="" enabled="" /&gt;&lt;CriteriaItem k="227172" c="United Kingdom" o="0" v="211" r="True" id="106" mask="" masktype="" maskkey="" enabled="" /&gt;&lt;CriteriaItem k="227172" c="Vatican City" o="0" v="205" r="True" id="104" mask="" masktype="" maskkey="" enabled="" /&gt;&lt;/CriteriaItem&gt;&lt;CriteriaItem k="" c="Emerging Europe" o="" v="" r="True" id="76" mask="" masktype="" maskkey="" enabled=""&gt;&lt;CriteriaItem k="227172" c="Åland Islands" o="0" v="172" r="True" id="107" mask="" masktype="" maskkey="" enabled="" /&gt;&lt;CriteriaItem k="227172" c="Albania" o="0" v="171" r="True" id="113" mask="" masktype="" maskkey="" enabled="" /&gt;&lt;CriteriaItem k="227172" c="Armenia" o="0" v="120" r="True" id="114" mask="" masktype="" maskkey="" enabled="" /&gt;&lt;CriteriaItem k="227172" c="Azerbaijan" o="0" v="173" r="True" id="108" mask="" masktype="" maskkey="" enabled="" /&gt;&lt;CriteriaItem k="227172" c="Belarus" o="0" v="177" r="True" id="115" mask="" masktype="" maskkey="" enabled="" /&gt;&lt;CriteriaItem k="227172" c="Bosnia &amp;amp; Herzegovina" o="0" v="174" r="True" id="109" mask="" masktype="" maskkey="" enabled="" /&gt;&lt;CriteriaItem k="227172" c="Bulgaria" o="0" v="176" r="True" id="116" mask="" masktype="" maskkey="" enabled="" /&gt;&lt;CriteriaItem k="227172" c="Croatia" o="0" v="187" r="True" id="117" mask="" masktype="" maskkey="" enabled="" /&gt;&lt;CriteriaItem k="227172" c="Estonia" o="0" v="180" r="True" id="118" mask="" masktype="" maskkey="" enabled="" /&gt;&lt;CriteriaItem k="227172" c="Faroe Islands" o="0" v="182" r="True" id="110" mask="" masktype="" maskkey="" enabled="" /&gt;&lt;CriteriaItem k="227172" c="Georgia" o="0" v="184" r="True" id="112" mask="" masktype="" maskkey="" enabled="" /&gt;&lt;CriteriaItem k="227172" c="Hungary" o="0" v="188" r="True" id="119" mask="" masktype="" maskkey="" enabled="" /&gt;&lt;CriteriaItem k="227172" c="Kazakhstan" o="0" v="138" r="True" id="167" mask="" masktype="" maskkey="" enabled="" /&gt;&lt;CriteriaItem k="227172" c="Kyrgyzstan" o="0" v="134" r="True" id="154" mask="" masktype="" maskkey="" enabled="" /&gt;&lt;CriteriaItem k="227172" c="Latvia" o="0" v="192" r="True" id="120" mask="" masktype="" maskkey="" enabled="" /&gt;&lt;CriteriaItem k="227172" c="Lithuania" o="0" v="191" r="True" id="121" mask="" masktype="" maskkey="" enabled="" /&gt;&lt;CriteriaItem k="227172" c="Macedonia" o="0" v="194" r="True" id="111" mask="" masktype="" maskkey="" enabled="" /&gt;&lt;CriteriaItem k="227172" c="Moldova" o="0" v="193" r="True" id="122" mask="" masktype="" maskkey="" enabled="" /&gt;&lt;CriteriaItem k="227172" c="Montenegro" o="0" v="997" r="True" id="1950" mask="" masktype="" maskkey="" enabled="" /&gt;&lt;CriteriaItem k="227172" c="Poland" o="0" v="217" r="True" id="123" mask="" masktype="" maskkey="" enabled="" /&gt;&lt;CriteriaItem k="227172" c="Romania" o="0" v="197" r="True" id="125" mask="" masktype="" maskkey="" enabled="" /&gt;&lt;CriteriaItem k="227172" c="Russia" o="0" v="198" r="True" id="126" mask="" masktype="" maskkey="" enabled="" /&gt;&lt;CriteriaItem k="227172" c="Serbia" o="0" v="179" r="True" id="127" mask="" masktype="" maskkey="" enabled="" /&gt;&lt;CriteriaItem k="227172" c="Svalbard" o="0" v="200" r="True" id="128" mask="" masktype="" maskkey="" enabled="" /&gt;&lt;CriteriaItem k="227172" c="Tajikistan" o="0" v="155" r="True" id="172" mask="" masktype="" maskkey="" enabled="" /&gt;&lt;CriteriaItem k="227172" c="Turkey" o="0" v="203" r="True" id="124" mask="" masktype="" maskkey="" enabled="" /&gt;&lt;CriteriaItem k="227172" c="Turkmenistan" o="0" v="156" r="True" id="188" mask="" masktype="" maskkey="" enabled="" /&gt;&lt;CriteriaItem k="227172" c="Ukraine" o="0" v="204" r="True" id="129" mask="" masktype="" maskkey="" enabled="" /&gt;&lt;CriteriaItem k="227172" c="Uzbekistan" o="0" v="158" r="True" id="17</t>
        </r>
      </text>
    </comment>
    <comment ref="E2" authorId="0" shapeId="0" xr:uid="{00000000-0006-0000-0300-000002000000}">
      <text>
        <r>
          <rPr>
            <b/>
            <sz val="9"/>
            <color indexed="81"/>
            <rFont val="Tahoma"/>
            <family val="2"/>
          </rPr>
          <t>5" mask="" masktype="" maskkey="" enabled="" /&gt;&lt;/CriteriaItem&gt;&lt;/CriteriaItem&gt;&lt;CriteriaItem k="" c="Asia-Pacific" o="0" v="" r="True" id="5" mask="2" masktype="Geography" maskkey="221376" enabled=""&gt;&lt;CriteriaItem k="" c="Developed Asia-Pacific" o="" v="" r="True" id="130" mask="" masktype="" maskkey="" enabled=""&gt;&lt;CriteriaItem k="227172" c="Australia" o="0" v="239" r="True" id="132" mask="" masktype="" maskkey="" enabled="" /&gt;&lt;CriteriaItem k="227172" c="Hong Kong" o="0" v="127" r="True" id="133" mask="" masktype="" maskkey="" enabled="" /&gt;&lt;CriteriaItem k="227172" c="Japan" o="0" v="133" r="True" id="134" mask="" masktype="" maskkey="" enabled="" /&gt;&lt;CriteriaItem k="227172" c="New Zealand" o="0" v="228" r="True" id="135" mask="" masktype="" maskkey="" enabled="" /&gt;&lt;CriteriaItem k="227172" c="Singapore" o="0" v="152" r="True" id="137" mask="" masktype="" maskkey="" enabled="" /&gt;&lt;CriteriaItem k="227172" c="South Korea" o="0" v="136" r="True" id="136" mask="" masktype="" maskkey="" enabled="" /&gt;&lt;CriteriaItem k="227172" c="Taiwan" o="0" v="169" r="True" id="138" mask="" masktype="" maskkey="" enabled="" /&gt;&lt;/CriteriaItem&gt;&lt;CriteriaItem k="" c="Emerging Asia-Pacific" o="" v="" r="True" id="131" mask="" masktype="" maskkey="" enabled=""&gt;&lt;CriteriaItem k="227172" c="Afghanistan" o="0" v="161" r="True" id="187" mask="" masktype="" maskkey="" enabled="" /&gt;&lt;CriteriaItem k="227172" c="Bangladesh" o="0" v="121" r="True" id="161" mask="" masktype="" maskkey="" enabled="" /&gt;&lt;CriteriaItem k="227172" c="Bhutan" o="0" v="123" r="True" id="150" mask="" masktype="" maskkey="" enabled="" /&gt;&lt;CriteriaItem k="227172" c="Brunei" o="0" v="122" r="True" id="159" mask="" masktype="" maskkey="" enabled="" /&gt;&lt;CriteriaItem k="227172" c="Cambodia" o="0" v="135" r="True" id="151" mask="" masktype="" maskkey="" enabled="" /&gt;&lt;CriteriaItem k="227172" c="China" o="0" v="163" r="True" id="162" mask="" masktype="" maskkey="" enabled="" /&gt;&lt;CriteriaItem k="227172" c="Cook Islands" o="0" v="220" r="True" id="142" mask="" masktype="" maskkey="" enabled="" /&gt;&lt;CriteriaItem k="227172" c="Fiji" o="0" v="221" r="True" id="164" mask="" masktype="" maskkey="" enabled="" /&gt;&lt;CriteriaItem k="227172" c="French Polynesia" o="0" v="229" r="True" id="180" mask="" masktype="" maskkey="" enabled="" /&gt;&lt;CriteriaItem k="227172" c="India" o="0" v="128" r="True" id="165" mask="" masktype="" maskkey="" enabled="" /&gt;&lt;CriteriaItem k="227172" c="Indonesia" o="0" v="164" r="True" id="166" mask="" masktype="" maskkey="" enabled="" /&gt;&lt;CriteriaItem k="227172" c="Kiribati" o="0" v="222" r="True" id="168" mask="" masktype="" maskkey="" enabled="" /&gt;&lt;CriteriaItem k="227172" c="Laos" o="0" v="139" r="True" id="155" mask="" masktype="" maskkey="" enabled="" /&gt;&lt;CriteriaItem k="227172" c="Macau" o="0" v="144" r="True" id="156" mask="" masktype="" maskkey="" enabled="" /&gt;&lt;CriteriaItem k="227172" c="Malaysia" o="0" v="146" r="True" id="157" mask="" masktype="" maskkey="" enabled="" /&gt;&lt;CriteriaItem k="227172" c="Maldives" o="0" v="145" r="True" id="169" mask="" masktype="" maskkey="" enabled="" /&gt;&lt;CriteriaItem k="227172" c="Marshall Islands" o="0" v="240" r="True" id="173" mask="" masktype="" maskkey="" enabled="" /&gt;&lt;CriteriaItem k="227172" c="Mongolia" o="0" v="143" r="True" id="158" mask="" masktype="" maskkey="" enabled="" /&gt;&lt;CriteriaItem k="227172" c="Myanmar" o="0" v="142" r="True" id="190" mask="" masktype="" maskkey="" enabled="" /&gt;&lt;CriteriaItem k="227172" c="Nauru" o="0" v="226" r="True" id="170" mask="" masktype="" maskkey="" enabled="" /&gt;&lt;CriteriaItem k="227172" c="Nepal" o="0" v="147" r="True" id="146" mask="" masktype="" maskkey="" enabled="" /&gt;&lt;CriteriaItem k="227172" c="New Caledonia" o="0" v="224" r="True" id="182" mask="" masktype="" maskkey="" enabled="" /&gt;&lt;CriteriaItem k="227172" c="Niue" o="0" v="227" r="True" id="160" mask="" masktype="" maskkey="" enabled="" /&gt;&lt;CriteriaItem k="227172" c="North Korea" o="0" v="166" r="True" id="143" mask="" masktype="" maskkey="" enabled="" /&gt;&lt;CriteriaItem k="227172" c="Northern Mariana" o="0" v="223" r="True" id="141" mask="" masktype="" maskkey="" enabled="" /&gt;&lt;CriteriaItem k="227172" c="Pakistan" o="0" v="149" r="True" id="149" mask="" masktype="" maskkey="" enabled="" /&gt;&lt;CriteriaItem k="227172" c="Palau" o="0" v="232" r="True" id="171" mask="" masktype="" maskkey="" enabled="" /&gt;&lt;CriteriaItem k="227172" c="Papua New Guinea" o="0" v="230" r="True" id="147" mask="" masktype="" maskkey="" enabled="" /&gt;&lt;CriteriaItem k="227172" c="Philippines" o="0" v="167" r="True" id="174" mask="" masktype="" maskkey="" enabled="" /&gt;&lt;CriteriaItem k="227172" c="Samoa" o="0" v="241" r="True" id="148" mask="" masktype="" maskkey="" enabled="" /&gt;&lt;CriteriaItem k="227172" c="Solomon Islands" o="0" v="233" r="True" id="178" mask="" masktype="" maskkey="" enabled="" /&gt;&lt;CriteriaItem k="227172" c="Sri Lanka" o="0" v="141" r="True" id="145" mask="" masktype="" maskkey="" enabled="" /&gt;&lt;CriteriaItem k="227172" c="Thailand" o="0" v="154" r="True" id="152" mask="" masktype="" maskkey="" enabled="" /&gt;&lt;CriteriaItem k="227172" c="Timor-Leste" o="0" v="157" r="True" id="144" mask="" masktype="" maskkey="" enabled="" /&gt;&lt;CriteriaItem k="227172" c="Tokelau" o="0" v="234" r="True" id="186" mask="" masktype="" maskkey="" enabled="" /&gt;&lt;CriteriaItem k="227172" c="Tonga" o="0" v="235" r="True" id="153" mask="" masktype="" maskkey="" enabled="" /&gt;&lt;CriteriaItem k="227172" c="Tuvalu" o="0" v="236" r="True" id="189" mask="" masktype="" maskkey="" enabled="" /&gt;&lt;CriteriaItem k="227172" c="Vanuatu" o="0" v="237" r="True" id="176" mask="" masktype="" maskkey="" enabled="" /&gt;&lt;CriteriaItem k="227172" c="Vietnam" o="0" v="159" r="True" id="177" mask="" masktype="" maskkey="" enabled="" /&gt;&lt;CriteriaItem k="227172" c="Wallis &amp;amp; Futuna" o="0" v="238" r="True" id="185" mask="" masktype="" maskkey="" enabled="" /&gt;&lt;/CriteriaItem&gt;&lt;/CriteriaItem&gt;&lt;CriteriaItem k="" c="Middle East" o="0" v="" r="True" id="6" mask="32" masktype="Geography" maskkey="221376" enabled=""&gt;&lt;CriteriaItem k="227172" c="Bahrain" o="0" v="162" r="True" id="194" mask="" masktype="" maskkey="" enabled="" /&gt;&lt;CriteriaItem k="227172" c="Egypt" o="0" v="74" r="True" id="191" mask="" masktype="" maskkey="" enabled="" /&gt;&lt;CriteriaItem k="227172" c="Iran" o="0" v="131" r="True" id="193" mask="" masktype="" maskkey="" enabled="" /&gt;&lt;CriteriaItem k="227172" c="Iraq" o="0" v="130" r="True" id="198" mask="" masktype="" maskkey="" enabled="" /&gt;&lt;CriteriaItem k="227172" c="Israel" o="0" v="165" r="True" id="200" mask="" masktype="" maskkey="" enabled="" /&gt;&lt;CriteriaItem k="227172" c="Jordan" o="0" v="132" r="True" id="192" mask="" masktype="" maskkey="" enabled="" /&gt;&lt;CriteriaItem k="227172" c="Kuwait" o="0" v="137" r="True" id="201" mask="" masktype="" maskkey="" enabled="" /&gt;&lt;CriteriaItem k="227172" c="Lebanon" o="0" v="140" r="True" id="196" mask="" masktype="" maskkey="" enabled="" /&gt;&lt;CriteriaItem k="227172" c="Oman" o="0" v="148" r="True" id="203" mask="" masktype="" maskkey="" enabled="" /&gt;&lt;CriteriaItem k="227172" c="Palestine" o="0" v="150" r="True" id="197" mask="" masktype="" maskkey="" enabled="" /&gt;&lt;CriteriaItem k="227172" c="Qatar" o="0" v="151" r="True" id="202" mask="" masktype="" maskkey="" enabled="" /&gt;&lt;CriteriaItem k="227172" c="Saudi Arabia" o="0" v="168" r="True" id="195" mask="" masktype="" maskkey="" enabled="" /&gt;&lt;CriteriaItem k="227172" c="Syria" o="0" v="153" r="True" id="204" mask="" masktype="" maskkey="" enabled="" /&gt;&lt;CriteriaItem k="227172" c="United Arab Emirates" o="0" v="119" r="True" id="205" mask="" masktype="" maskkey="" enabled="" /&gt;&lt;CriteriaItem k="227172" c="Yemen" o="0" v="160" r="True" id="199" mask="" masktype="" maskkey="" enabled="" /&gt;&lt;/CriteriaItem&gt;&lt;CriteriaItem k="" c="Latin America and Caribbean" o="0" v="" r="True" id="7" mask="8" masktype="Geography" maskkey="221376" enabled=""&gt;&lt;CriteriaItem k="227172" c="Anguilla" o="0" v="9" r="True" id="206" mask="" masktype="" maskkey="" enabled="" /&gt;&lt;CriteriaItem k="227172" c="Antigua and Barbuda" o="0" v="8" r="True" id="207" mask="" masktype="" maskkey="" enabled="" /&gt;&lt;CriteriaItem k="227172" c="Argentina" o="0" v="52" r="True" id="208" mask="" masktype="" maskkey="" enabled="" /&gt;&lt;CriteriaItem k="227172" c="Aruba" o="0" v="10" r="True" id="209" mask="" masktype="" maskkey="" enabled="" /&gt;&lt;CriteriaItem k="227172" c="Bahamas" o="0" v="37" r="True" id="216" mask="" masktype="" maskkey="" enabled="" /&gt;&lt;CriteriaItem k="227172" c="Barbados" o="0" v="11" r="True" id="210" mask="" masktype="" maskkey="" enabled="" /&gt;&lt;CriteriaItem k="227172" c="Belize" o="0" v="13" r="True" id="211" mask="" masktype="" maskkey="" enabled="" /&gt;&lt;CriteriaItem k="227172" c="Bolivia" o="0" v="43" r="True" id="230" mask="" masktype="" maskkey="" enabled="" /&gt;&lt;CriteriaItem k="227172" c="Bonaire" o="0" v="1119" r="True" id="3208" mask="" masktype="" maskkey="" enabled="" /&gt;&lt;CriteriaItem k="227172" c="Brazil" o="0" v="53" r="True" id="224" mask="" masktype="" maskkey="" enabled="" /&gt;&lt;CriteriaItem k="227172" c="BVI" o="0" v="35" r="True" id="213" mask="" masktype="" maskkey="" enabled="" /&gt;&lt;CriteriaItem k="227172" c="Cayman Islands" o="0" v="41" r="True" id="214" mask="" masktype="" maskkey="" enabled="" /&gt;&lt;CriteriaItem k="227172" c="Chile" o="0" v="54" r="True" id="231" mask="" masktype="" maskkey="" enabled="" /&gt;&lt;CriteriaItem k="227172" c="Cocos Islands" o="0" v="124" r="True" id="250" mask="" masktype="" maskkey="" enabled="" /&gt;&lt;CriteriaItem k="227172" c="Colombia" o="0" v="44" r="True" id="232" mask="" masktype="" maskkey="" enabled="" /&gt;&lt;CriteriaItem k="227172" c="Costa Rica" o="0" v="14" r="True" id="233" mask="" masktype="" maskkey="" enabled="" /&gt;&lt;CriteriaItem k="227172" c="Cuba" o="0" v="15" r="True" id="234" mask="" masktype="" maskkey="" enabled="" /&gt;&lt;CriteriaItem k="227172" c="Curaçao" o="0" v="1118" r="True" id="3207" mask="" masktype="" maskkey="" enabled="" /&gt;&lt;CriteriaItem k="227172" c="Dominica" o="0" v="16" r="True" id="215" mask="" masktype="" maskkey="" enabled="" /&gt;&lt;CriteriaItem k="227172" c="Dominican Republic" o="0" v="17" r="True" id="221" mask="" masktype="" maskkey="" enabled="" /&gt;&lt;CriteriaItem k="227172" c="Ecuador" o="0" v="55" r="True" id="235" mask="" masktype="" maskkey="" enabled="" /&gt;&lt;CriteriaItem k="227172" c="El Salvador" o="0" v="42" r="True" id="236" mask="" masktype="" maskkey="" enabled="" /&gt;&lt;CriteriaItem k="227172" c="Falkland Islands" o="0" v="45" r="True" id="222" mask="" masktype="" maskkey="" enabled="" /&gt;&lt;CriteriaItem k="227172" c="French Guiana" o="0" v="46" r="True" id="219" mask="" masktype="" maskkey="" enabled="" /&gt;&lt;CriteriaItem k="227172" c="Grenada" o="0" v="18" r="True" id="225" mask="" masktype="" maskkey="" enabled="" /&gt;&lt;CriteriaItem k="227172" c="Guadeloupe" o="0" v="20" r="True" id="218" mask="" masktype="" maskkey="" enabled="" /&gt;&lt;CriteriaItem k="227172" c="Guatemala" o="0" v="39" r="True" id="237" mask="" masktype="" maskkey="" enabled="" /&gt;&lt;CriteriaItem k="227172" c="Guyana" o="0" v="47" r="True" id="217" mask="" masktype="" maskkey="" enabled="" /&gt;&lt;CriteriaItem k="227172" c="Haiti" o="0" v="22" r="True" id="238" mask="" masktype="" maskkey="" enabled="" /&gt;&lt;CriteriaItem k="227172" c="Honduras" o="0" v="21" r="True" id="239" mask="" masktype="" maskkey="" enabled="" /&gt;&lt;CriteriaItem k="227172" c="Jamaica" o="0" v="23" r="True" id="226" mask="" masktype="" maskkey="" enabled="" /&gt;&lt;CriteriaItem k="227172" c="Martinique" o="0" v="25" r="True" id="220" mask="" masktype="" maskkey="" enabled="" /&gt;&lt;CriteriaItem k="227172" c="Mexico" o="0" v="27" r="True" id="252" mask="" masktype="" maskkey="" enabled="" /&gt;&lt;CriteriaItem k="227172" c="Montserrat" o="0" v="26" r="True" id="227" mask="" masktype="" maskkey="" enabled="" /&gt;&lt;CriteriaItem k="227172" c="Nicaragua" o="0" v="28" r="True" id="240" mask="" masktype="" maskkey="" enabled="" /&gt;&lt;CriteriaItem k="227172" c="Panama" o="0" v="29" r="True" id="241" mask="" masktype="" maskkey="" enabled="" /&gt;&lt;CriteriaItem k="227172" c="Paraguay" o="0" v="49" r="True" id="242" mask="" masktype="" maskkey="" enabled="" /&gt;&lt;CriteriaItem k="227172" c="Peru" o="0" v="48" r="True" id="243" mask="" masktype="" maskkey="" enabled="" /&gt;&lt;CriteriaItem k="227172" c="Saint Lucia" o="0" v="24" r="True" id="246" mask="" masktype="" maskkey="" enabled="" /&gt;&lt;CriteriaItem k="227172" c="Saint Vincent" o="0" v="34" r="True" id="247" mask="" masktype="" maskkey="" enabled="" /&gt;&lt;CriteriaItem k="227172" c="Sint Maarten" o="0" v="1117" r="True" id="3206" mask="" masktype="" maskkey="" enabled="" /&gt;&lt;CriteriaItem k="227172" c="South Georgia" o="0" v="59" r="True" id="248" mask="" masktype="" maskkey="" enabled="" /&gt;&lt;CriteriaItem k="227172" c="St. Kitts and Nevis" o="0" v="40" r="True" id="223" mask="" masktype="" maskkey="" enabled="" /&gt;&lt;CriteriaItem k="227172" c="St. Pierre, Miquelon" o="0" v="30" r="True" id="249" mask="" masktype="" maskkey="" enabled="" /&gt;&lt;CriteriaItem k="227172" c="Suriname" o="0" v="50" r="True" id="244" mask="" masktype="" maskkey="" enabled="" /&gt;&lt;CriteriaItem k="227172" c="Trinidad and Tobago" o="0" v="32" r="True" id="245" mask="" masktype="" maskkey="" enabled="" /&gt;&lt;CriteriaItem k="227172" c="Turks &amp;amp; Caicos" o="0" v="31" r="True" id="251" mask="" masktype="" maskkey="" enabled="" /&gt;&lt;CriteriaItem k="227172" c="Uruguay" o="0" v="51" r="True" id="229" mask="" masktype="" maskkey="" enabled="" /&gt;&lt;CriteriaItem k="227172" c="Venezuela" o="0" v="56" r="True" id="212" mask="" masktype="" maskkey="" enabled="" /&gt;&lt;/CriteriaItem&gt;&lt;CriteriaItem k="" c="Africa" o="0" v="" r="True" id="8" mask="1" masktype="Geography" maskkey="221376" enabled=""&gt;&lt;CriteriaItem k="227172" c="Algeria" o="0" v="73" r="True" id="257" mask="" masktype="" maskkey="" enabled="" /&gt;&lt;CriteriaItem k="227172" c="Angola" o="0" v="62" r="True" id="267" mask="" masktype="" maskkey="" enabled="" /&gt;&lt;CriteriaItem k="227172" c="Benin" o="0" v="65" r="True" id="268" mask="" masktype="" maskkey="" enabled="" /&gt;&lt;CriteriaItem k="227172" c="Botswana" o="0" v="66" r="True" id="269" mask="" masktype="" maskkey="" enabled="" /&gt;&lt;CriteriaItem k="227172" c="Bouvet Island" o="0" v="58" r="True" id="253" mask="" masktype="" maskkey="" enabled="" /&gt;&lt;CriteriaItem k="227172" c="Burkina Faso" o="0" v="63" r="True" id="254" mask="" masktype="" maskkey="" enabled="" /&gt;&lt;CriteriaItem k="227172" c="Burundi" o="0" v="64" r="True" id="270" mask="" masktype="" maskkey="" enabled="" /&gt;&lt;CriteriaItem k="227172" c="Cameroon" o="0" v="70" r="True" id="271" mask="" masktype="" maskkey="" enabled="" /&gt;&lt;CriteriaItem k="227172" c="Cape Verde" o="0" v="71" r="True" id="272" mask="" masktype="" maskkey="" enabled="" /&gt;&lt;CriteriaItem k="227172" c="Central African Rep." o="0" v="67" r="True" id="255" mask="" masktype="" maskkey="" enabled="" /&gt;&lt;CriteriaItem k="227172" c="Chad" o="0" v="108" r="True" id="273" mask="" masktype="" maskkey="" enabled="" /&gt;&lt;CriteriaItem k="227172" c="Comoros" o="0" v="117" r="True" id="307" mask="" masktype="" maskkey="" enabled="" /&gt;&lt;CriteriaItem k="227172" c="Cote d'Ivoire" o="0" v="69" r="True" id="274" mask="" masktype="" maskkey="" enabled="" /&gt;&lt;CriteriaItem k="227172" c="Dem. Rep. Congo" o="0" v="115" r="True" id="256" mask="" masktype="" maskkey="" enabled="" /&gt;&lt;CriteriaItem k="227172" c="Djibouti" o="0" v="72" r="True" id="275" mask="" masktype="" maskkey="" enabled="" /&gt;&lt;CriteriaItem k="227172" c="Equatorial Guinea" o="0" v="82" r="True" id="276" mask="" masktype="" maskkey="" enabled="" /&gt;&lt;CriteriaItem k="227172" c="Eritrea" o="0" v="76" r="True" id="304" mask="" masktype="" maskkey="" enabled="" /&gt;&lt;CriteriaItem k="227172" c="Ethiopia" o="0" v="77" r="True" id="260" mask="" masktype="" maskkey="" enabled="" /&gt;&lt;CriteriaItem k="227172" c="Gabon" o="0" v="78" r="True" id="262" mask="" masktype="" maskkey="" enabled="" /&gt;&lt;CriteriaItem k="227172" c="Gambia" o="0" v="80" r="True" id="294" mask="" masktype="" maskkey="" enabled="" /&gt;&lt;CriteriaItem k="227172" c="Ghana" o="0" v="79" r="True" id="277" mask="" masktype="" maskkey="" enabled="" /&gt;&lt;CriteriaItem k="227172" c="Guinea" o="0" v="81" r="True" id="278" mask="" masktype="" maskkey="" enabled="" /&gt;&lt;CriteriaItem k="227172" c="Guinea-Bissau" o="0" v="83" r="True" id="279" mask="" masktype="" maskkey="" enabled="" /&gt;&lt;CriteriaItem k="227172" c="Kenya" o="0" v="84" r="True" id="280" mask="" masktype="" maskkey="" enabled="" /&gt;&lt;CriteriaItem k="227172" c="Lesotho" o="0" v="86" r="True" id="264" mask="" masktype="" maskkey="" enabled="" /&gt;&lt;CriteriaItem k="227172" c="Liberia" o="0" v="85" r="True" id="281" mask="" masktype="" maskkey="" enabled="" /&gt;&lt;CriteriaItem k="227172" c="Libya" o="0" v="87" r="True" id="302" mask="" masktype="" maskkey="" enabled="" /&gt;&lt;CriteriaItem k="227172" c="Madagascar" o="0" v="89" r="True" id="282" mask="" masktype="" maskkey="" enabled="" /&gt;&lt;CriteriaItem k="227172" c="Malawi" o="0" v="93" r="True" id="283" mask="" masktype="" maskkey="" enabled="" /&gt;&lt;CriteriaItem k="227172" c="Mali" o="0" v="90" r="True" id="284" mask="" masktype="" maskkey="" enabled="" /&gt;&lt;CriteriaItem k="227172" c="Mauritania" o="0" v="91" r="True" id="263" mask="" masktype="" maskkey="" enabled="" /&gt;&lt;CriteriaItem k="227172" c="Mauritius" o="0" v="92" r="True" id="285" mask="" masktype="" maskkey="" enabled="" /&gt;&lt;CriteriaItem k="227172" c="Mayotte" o="0" v="113" r="True" id="305" mask="" masktype="" maskkey="" enabled="" /&gt;&lt;CriteriaItem k="227172" c="Morocco" o="0" v="88" r="True" id="265" mask="" masktype="" maskkey="" enabled="" /&gt;&lt;CriteriaItem k="227172" c="Mozambique" o="0" v="94" r="True" id="286" mask="" masktype="" maskkey="" enabled="" /&gt;&lt;CriteriaItem k="227172" c="Namibia" o="0" v="95" r="True" id="287" mask="" masktype="" maskkey="" enabled="" /&gt;&lt;CriteriaItem k="227172" c="Niger" o="0" v="96" r="True" id="288" mask="" masktype="" maskkey="" enabled="" /&gt;&lt;CriteriaItem k="227172" c="Nigeria" o="0" v="97" r="True" id="261" mask="" masktype="" maskkey="" enabled="" /&gt;&lt;CriteriaItem k="227172" c="Rep. Of the Congo" o="0" v="68" r="True" id="293" mask="" masktype="" maskkey="" enabled="" /&gt;&lt;CriteriaItem k="227172" c="Reunion" o="0" v="98" r="True" id="259" mask="" masktype="" maskkey="" enabled="" /&gt;&lt;CriteriaItem k="227172" c="Rwanda" o="0" v="99" r="True" id="300" mask="" masktype="" maskkey="" enabled="" /&gt;&lt;CriteriaItem k="227172" c="Saint Helena" o="0" v="102" r="True" id="301" mask="" masktype="" maskkey="" enabled="" /&gt;&lt;CriteriaItem k="227172" c="Sao Tome &amp;amp; Principe" o="0" v="106" r="True" id="258" mask="" masktype="" maskkey="" enabled="" /&gt;&lt;CriteriaItem k="227172" c="Senegal" o="0" v="104" r="True" id="289" mask="" masktype="" maskkey="" enabled="" /&gt;&lt;CriteriaItem k="227172" c="Seychelles" o="0" v="100" r="True" id="290" mask="" masktype="" maskkey="" enabled="" /&gt;&lt;CriteriaItem k="227172" c="Sierra Leone" o="0" v="103" r="True" id="291" mask="" masktype="" maskkey="" enabled="" /&gt;&lt;CriteriaItem k="227172" c="Somalia" o="0" v="105" r="True" id="303" mask="" masktype="" maskkey="" enabled="" /&gt;&lt;CriteriaItem k="227172" c="South Africa" o="0" v="118" r="True" id="292" mask="" masktype="" maskkey="" enabled="" /&gt;&lt;CriteriaItem k="227172" c="Sudan" o="0" v="101" r="True" id="295" mask="" masktype="" maskkey="" enabled="" /&gt;&lt;CriteriaItem k="227172" c="Swaziland" o="0" v="107" r="True" id="266" mask="" masktype="" maskkey="" enabled="" /&gt;&lt;CriteriaItem k="227172" c="Tanzania" o="0" v="111" r="True" id="308" mask="" masktype="" maskkey="" enabled="" /&gt;&lt;CriteriaItem k="227172" c="Togo" o="0" v="109" r="True" id="306" mask="" masktype="" maskkey="" enabled="" /&gt;&lt;CriteriaItem k="227172" c="Tunisia" o="0" v="110" r="True" id="296" mask="" masktype="" maskkey="" enabled="" /&gt;&lt;CriteriaItem k="227172" c="Uganda" o="0" v="112" r="True" id="297" mask="" masktype="" maskkey="" enabled="" /&gt;&lt;CriteriaItem k="227172" c="Western Sahara" o="0" v="75" r="True" id="309" mask="" masktype="" maskkey="" enabled="" /&gt;&lt;CriteriaItem k="227172" c="Zambia" o="0" v="114" r="True" id="298" mask="" masktype="" maskkey="" enabled="" /&gt;&lt;CriteriaItem k="227172" c="Zimbabwe" o="0" v="116" r="True" id="299" mask="" masktype="" maskkey="" enabled="" /&gt;&lt;/CriteriaItem&gt;&lt;/CriteriaItem&gt;&lt;/CriteriaGroup&gt;&lt;CriteriaGroup k="TopTier" c="TopTier" o="1" TopTier="True" /&gt;&lt;CriteriaGroup k="310" c="Operating Status" o="1" i="2" t="2" min="" max=""&gt;&lt;CriteriaItem k="221552" c="Operating companies" o="0" v="1" r="True" id="311" mask="" masktype="" maskkey="" enabled="" /&gt;&lt;CriteriaItem k="221552" c="Acquired/Defunct" o="0" v="0" r="False" id="312" mask="" masktype="" maskkey="" enabled="" /&gt;&lt;/CriteriaGroup&gt;&lt;CriteriaGroup k="313" c="Ownership Status" o="1" i="2" t="3" min="" max=""&gt;&lt;CriteriaItem k="256842" c="Listed" o="0" v="0" r="True" id="314" mask="" masktype="" maskkey="" enabled="" /&gt;&lt;CriteriaItem k="256842" c="Non-Listed" o="0" v="1" r="True" id="315" mask="" masktype="" maskkey="" enabled="" /&gt;&lt;/CriteriaGroup&gt;&lt;CriteriaGroup k="4700" c="Coverage Depth" o="1" i="2" t="4" min="" max=""&gt;&lt;CriteriaItem k="247456" c="Full" o="0" v="0" r="True" id="4701" mask="" masktype="" maskkey="" enabled="" /&gt;&lt;CriteriaItem k="247456" c="Summary" o="0" v="1" r="True" id="4702" mask="" masktype="" maskkey="" enabled="" /&gt;&lt;/CriteriaGroup&gt;&lt;/CriteriaGroups&gt;&lt;QueryStatements&gt;&lt;Statement DisplayText="Institution Name  "&gt;&lt;QueryLine BeginGroup="False" EndGroup="False" Connector="None" Operator="NotNa" Value="" EnglishValue=""&gt;&lt;Field KeyProductQueryItem="130509" /&gt;&lt;/QueryLine&gt;&lt;Field Name="Institution Name " Type="varchar" Units="" /&gt;&lt;/Statement&gt;&lt;/QueryStatements&gt;&lt;/SavedQuery&gt;</t>
        </r>
      </text>
    </comment>
    <comment ref="D3" authorId="1" shapeId="0" xr:uid="{00000000-0006-0000-0300-000003000000}">
      <text>
        <r>
          <rPr>
            <sz val="9"/>
            <color indexed="81"/>
            <rFont val="Tahoma"/>
            <family val="2"/>
          </rPr>
          <t>&lt;SavedQuery Version="1" DateCreated="2015-07-22T16:40:04.5978255+05:30" Perspective="227539" Name="Country_List" Currency="" Magnitude="6" ConversionMethod="Snl" UnitOfMeasure="USCustomary" Comment="" Language="0"&gt;&lt;CriteriaGroups&gt;&lt;CriteriaGroup k="1970" c="Geography" o="1" i="2" t="1" min="" max=""&gt;&lt;CriteriaItem k="" c="All Geographies" o="" v="" r="" id="1971" mask="" masktype="" maskkey="" enabled=""&gt;&lt;CriteriaItem k="" c="United States and Canada" o="0" v="" r="True" id="3221" mask="16" masktype="Geography" maskkey="242380" enabled=""&gt;&lt;CriteriaItem k="" c="United States of America" o="" v="" r="True" id="1972" mask="" masktype="" maskkey="" enabled=""&gt;&lt;CriteriaItem k="" c="Mid Atlantic" o="" v="" r="True" id="1973" mask="" masktype="" maskkey="" enabled=""&gt;&lt;CriteriaItem k="227548" c="Delaware" o="0" v="DE" r="True" id="1974" mask="" masktype="" maskkey="" enabled="" rel="1963,1964,1965,1969,1968,1966,1967,2900,2371,2370,2376,2372,2374,2378,2373,2377" /&gt;&lt;CriteriaItem k="227548" c="District of Columbia" o="0" v="DC" r="True" id="1979" mask="" masktype="" maskkey="" enabled="" rel="1963,1964,1965,1969,1968,1966,1967,2900,2371,2370,2376,2372,2374,2378,2373,2377" /&gt;&lt;CriteriaItem k="227548" c="Maryland" o="0" v="MD" r="True" id="1975" mask="" masktype="" maskkey="" enabled="" rel="1963,1964,1965,1969,1968,1966,1967,2900,2371,2370,2376,2372,2374,2378,2373,2377" /&gt;&lt;CriteriaItem k="227548" c="New Jersey" o="0" v="NJ" r="True" id="1976" mask="" masktype="" maskkey="" enabled="" rel="1963,1964,1965,1969,1968,1966,1967,2900,2371,2370,2376,2372,2374,2378,2373,2377" /&gt;&lt;CriteriaItem k="227548" c="New York" o="0" v="NY" r="True" id="1977" mask="" masktype="" maskkey="" enabled="" rel="1963,1964,1965,1969,1968,1966,1967,2900,2371,2370,2376,2372,2374,2378,2373,2377" /&gt;&lt;CriteriaItem k="227548" c="Pennsylvania" o="0" v="PA" r="True" id="1978" mask="" masktype="" maskkey="" enabled="" rel="1963,1964,1965,1969,1968,1966,1967,2900,2371,2370,2376,2372,2374,2378,2373,2377" /&gt;&lt;/CriteriaItem&gt;&lt;CriteriaItem k="" c="Midwest" o="" v="" r="True" id="1980" mask="" masktype="" maskkey="" enabled=""&gt;&lt;CriteriaItem k="227548" c="Illinois" o="0" v="IL" r="True" id="1981" mask="" masktype="" maskkey="" enabled="" rel="1963,1964,1965,1969,1968,1966,1967,2900,2371,2370,2376,2372,2374,2378,2373,2377" /&gt;&lt;CriteriaItem k="227548" c="Indiana" o="0" v="IN" r="True" id="1982" mask="" masktype="" maskkey="" enabled="" rel="1963,1964,1965,1969,1968,1966,1967,2900,2371,2370,2376,2372,2374,2378,2373,2377" /&gt;&lt;CriteriaItem k="227548" c="Iowa" o="0" v="IA" r="True" id="1983" mask="" masktype="" maskkey="" enabled="" rel="1963,1964,1965,1969,1968,1966,1967,2900,2371,2370,2376,2372,2374,2378,2373,2377" /&gt;&lt;CriteriaItem k="227548" c="Kansas" o="0" v="KS" r="True" id="1984" mask="" masktype="" maskkey="" enabled="" rel="1963,1964,1965,1969,1968,1966,1967,2900,2371,2370,2376,2372,2374,2378,2373,2377" /&gt;&lt;CriteriaItem k="227548" c="Kentucky" o="0" v="KY" r="True" id="1985" mask="" masktype="" maskkey="" enabled="" rel="1963,1964,1965,1969,1968,1966,1967,2900,2371,2370,2376,2372,2374,2378,2373,2377" /&gt;&lt;CriteriaItem k="227548" c="Michigan" o="0" v="MI" r="True" id="1986" mask="" masktype="" maskkey="" enabled="" rel="1963,1964,1965,1969,1968,1966,1967,2900,2371,2370,2376,2372,2374,2378,2373,2377" /&gt;&lt;CriteriaItem k="227548" c="Minnesota" o="0" v="MN" r="True" id="1987" mask="" masktype="" maskkey="" enabled="" rel="1963,1964,1965,1969,1968,1966,1967,2900,2371,2370,2376,2372,2374,2378,2373,2377" /&gt;&lt;CriteriaItem k="227548" c="Missouri" o="0" v="MO" r="True" id="1988" mask="" masktype="" maskkey="" enabled="" rel="1963,1964,1965,1969,1968,1966,1967,2900,2371,2370,2376,2372,2374,2378,2373,2377" /&gt;&lt;CriteriaItem k="227548" c="Nebraska" o="0" v="NE" r="True" id="1989" mask="" masktype="" maskkey="" enabled="" rel="1963,1964,1965,1969,1968,1966,1967,2900,2371,2370,2376,2372,2374,2378,2373,2377" /&gt;&lt;CriteriaItem k="227548" c="North Dakota" o="0" v="ND" r="True" id="1990" mask="" masktype="" maskkey="" enabled="" rel="1963,1964,1965,1969,1968,1966,1967,2900,2371,2370,2376,2372,2374,2378,2373,2377" /&gt;&lt;CriteriaItem k="227548" c="Ohio" o="0" v="OH" r="True" id="1991" mask="" masktype="" maskkey="" enabled="" rel="1963,1964,1965,1969,1968,1966,1967,2900,2371,2370,2376,2372,2374,2378,2373,2377" /&gt;&lt;CriteriaItem k="227548" c="South Dakota" o="0" v="SD" r="True" id="1992" mask="" masktype="" maskkey="" enabled="" rel="1963,1964,1965,1969,1968,1966,1967,2900,2371,2370,2376,2372,2374,2378,2373,2377" /&gt;&lt;CriteriaItem k="227548" c="Wisconsin" o="0" v="WI" r="True" id="1993" mask="" masktype="" maskkey="" enabled="" rel="1963,1964,1965,1969,1968,1966,1967,2900,2371,2370,2376,2372,2374,2378,2373,2377" /&gt;&lt;/CriteriaItem&gt;&lt;CriteriaItem k="" c="Northeast" o="" v="" r="True" id="1994" mask="" masktype="" maskkey="" enabled=""&gt;&lt;CriteriaItem k="227548" c="Connecticut" o="0" v="CT" r="True" id="1995" mask="" masktype="" maskkey="" enabled="" rel="1963,1964,1965,1969,1968,1966,1967,2900,2371,2370,2376,2372,2374,2378,2373,2377" /&gt;&lt;CriteriaItem k="227548" c="Maine" o="0" v="ME" r="True" id="1996" mask="" masktype="" maskkey="" enabled="" rel="1963,1964,1965,1969,1968,1966,1967,2900,2371,2370,2376,2372,2374,2378,2373,2377" /&gt;&lt;CriteriaItem k="227548" c="Massachusetts" o="0" v="MA" r="True" id="1997" mask="" masktype="" maskkey="" enabled="" rel="1963,1964,1965,1969,1968,1966,1967,2900,2371,2370,2376,2372,2374,2378,2373,2377" /&gt;&lt;CriteriaItem k="227548" c="New Hampshire" o="0" v="NH" r="True" id="1998" mask="" masktype="" maskkey="" enabled="" rel="1963,1964,1965,1969,1968,1966,1967,2900,2371,2370,2376,2372,2374,2378,2373,2377" /&gt;&lt;CriteriaItem k="227548" c="Rhode Island" o="0" v="RI" r="True" id="1999" mask="" masktype="" maskkey="" enabled="" rel="1963,1964,1965,1969,1968,1966,1967,2900,2371,2370,2376,2372,2374,2378,2373,2377" /&gt;&lt;CriteriaItem k="227548" c="Vermont" o="0" v="VT" r="True" id="2001" mask="" masktype="" maskkey="" enabled="" rel="1963,1964,1965,1969,1968,1966,1967,2900,2371,2370,2376,2372,2374,2378,2373,2377" /&gt;&lt;/CriteriaItem&gt;&lt;CriteriaItem k="" c="Southeast" o="" v="" r="True" id="2002" mask="" masktype="" maskkey="" enabled=""&gt;&lt;CriteriaItem k="227548" c="Alabama" o="0" v="AL" r="True" id="2003" mask="" masktype="" maskkey="" enabled="" rel="1963,1964,1965,1969,1968,1966,1967,2900,2371,2370,2376,2372,2374,2378,2373,2377" /&gt;&lt;CriteriaItem k="227548" c="Arkansas" o="0" v="AR" r="True" id="2004" mask="" masktype="" maskkey="" enabled="" rel="1963,1964,1965,1969,1968,1966,1967,2900,2371,2370,2376,2372,2374,2378,2373,2377" /&gt;&lt;CriteriaItem k="227548" c="Florida" o="0" v="FL" r="True" id="2005" mask="" masktype="" maskkey="" enabled="" rel="1963,1964,1965,1969,1968,1966,1967,2900,2371,2370,2376,2372,2374,2378,2373,2377" /&gt;&lt;CriteriaItem k="227548" c="Georgia" o="0" v="GA" r="True" id="2006" mask="" masktype="" maskkey="" enabled="" rel="1963,1964,1965,1969,1968,1966,1967,2900,2371,2370,2376,2372,2374,2378,2373,2377" /&gt;&lt;CriteriaItem k="227548" c="Mississippi" o="0" v="MS" r="True" id="2008" mask="" masktype="" maskkey="" enabled="" rel="1963,1964,1965,1969,1968,1966,1967,2900,2371,2370,2376,2372,2374,2378,2373,2377" /&gt;&lt;CriteriaItem k="227548" c="North Carolina" o="0" v="NC" r="True" id="2009" mask="" masktype="" maskkey="" enabled="" rel="1963,1964,1965,1969,1968,1966,1967,2900,2371,2370,2376,2372,2374,2378,2373,2377" /&gt;&lt;CriteriaItem k="227548" c="South Carolina" o="0" v="SC" r="True" id="2010" mask="" masktype="" maskkey="" enabled="" rel="1963,1964,1965,1969,1968,1966,1967,2900,2371,2370,2376,2372,2374,2378,2373,2377" /&gt;&lt;CriteriaItem k="227548" c="Tennessee" o="0" v="TN" r="True" id="2011" mask="" masktype="" maskkey="" enabled="" rel="1963,1964,1965,1969,1968,1966,1967,2900,2371,2370,2376,2372,2374,2378,2373,2377" /&gt;&lt;CriteriaItem k="227548" c="Virginia" o="0" v="VA" r="True" id="2012" mask="" masktype="" maskkey="" enabled="" rel="1963,1964,1965,1969,1968,1966,1967,2900,2371,2370,2376,2372,2374,2378,2373,2377" /&gt;&lt;CriteriaItem k="227548" c="West Virginia" o="0" v="WV" r="True" id="2013" mask="" masktype="" maskkey="" enabled="" rel="1963,1964,1965,1969,1968,1966,1967,2900,2371,2370,2376,2372,2374,2378,2373,2377" /&gt;&lt;/CriteriaItem&gt;&lt;CriteriaItem k="" c="Southwest" o="" v="" r="True" id="2014" mask="" masktype="" maskkey="" enabled=""&gt;&lt;CriteriaItem k="227548" c="Colorado" o="0" v="CO" r="True" id="2015" mask="" masktype="" maskkey="" enabled="" rel="1963,1964,1965,1969,1968,1966,1967,2900,2371,2370,2376,2372,2374,2378,2373,2377" /&gt;&lt;CriteriaItem k="227548" c="Louisiana" o="0" v="LA" r="True" id="2007" mask="" masktype="" maskkey="" enabled="" rel="1963,1964,1965,1969,1968,1966,1967,2900,2371,2370,2376,2372,2374,2378,2373,2377" /&gt;&lt;CriteriaItem k="227548" c="New Mexico" o="0" v="NM" r="True" id="2016" mask="" masktype="" maskkey="" enabled="" rel="1963,1964,1965,1969,1968,1966,1967,2900,2371,2370,2376,2372,2374,2378,2373,2377" /&gt;&lt;CriteriaItem k="227548" c="Oklahoma" o="0" v="OK" r="True" id="2017" mask="" masktype="" maskkey="" enabled="" rel="1963,1964,1965,1969,1968,1966,1967,2900,2371,2370,2376,2372,2374,2378,2373,2377" /&gt;&lt;CriteriaItem k="227548" c="Texas" o="0" v="TX" r="True" id="2018" mask="" masktype="" maskkey="" enabled="" rel="1963,1964,1965,1969,1968,1966,1967,2900,2371,2370,2376,2372,2374,2378,2373,2377" /&gt;&lt;CriteriaItem k="227548" c="Utah" o="0" v="UT" r="True" id="2019" mask="" masktype="" maskkey="" enabled="" rel="1963,1964,1965,1969,1968,1966,1967,2900,2371,2370,2376,2372,2374,2378,2373,2377" /&gt;&lt;/CriteriaItem&gt;&lt;CriteriaItem k="" c="West" o="" v="" r="True" id="2020" mask="" masktype="" maskkey="" enabled=""&gt;&lt;CriteriaItem k="227548" c="Alaska" o="0" v="AK" r="True" id="2021" mask="" masktype="" maskkey="" enabled="" rel="1963,1964,1965,1969,1968,1966,1967,2900,2371,2370,2376,2372,2374,2378,2373,2377" /&gt;&lt;CriteriaItem k="227548" c="Arizona" o="0" v="AZ" r="True" id="2022" mask="" masktype="" maskkey="" enabled="" rel="1963,1964,1965,1969,1968,1966,1967,2900,2371,2370,2376,2372,2374,2378,2373,2377" /&gt;&lt;CriteriaItem k="227548" c="California" o="0" v="CA" r="True" id="2023" mask="" masktype="" maskkey="" enabled="" rel="1963,1964,1965,1969,1968,1966,1967,2900,2371,2370,2376,2372,2374,2378,2373,2377" /&gt;&lt;CriteriaItem k="227548" c="Hawaii" o="0" v="HI" r="True" id="2024" mask="" masktype="" maskkey="" enabled="" rel="1963,1964,1965,1969,1968,1966,1967,2900,2371,2370,2376,2372,2374,2378,2373,2377" /&gt;&lt;CriteriaItem k="227548" c="Idaho" o="0" v="ID" r="True" id="2025" mask="" masktype="" maskkey="" enabled="" rel="1963,1964,1965,1969,1968,1966,1967,2900,2371,2370,2376,2372,2374,2378,2373,2377" /&gt;&lt;CriteriaItem k="227548" c="Montana" o="0" v="MT" r="True" id="2026" mask="" masktype="" maskkey="" enabled="" rel="1963,1964,1965,1969,1968,1966,1967,2900,2371,2370,2376,2372,2374,2378,2373,2377" /&gt;&lt;CriteriaItem k="227548" c="Nevada" o="0" v="NV" r="True" id="2027" mask="" masktype="" maskkey="" enabled="" rel="1963,1964,1965,1969,1968,1966,1967,2900,2371,2370,2376,2372,2374,2378,2373,2377" /&gt;&lt;CriteriaItem k="227548" c="Oregon" o="0" v="OR" r="True" id="2028" mask="" masktype="" maskkey="" enabled="" rel="1963,1964,1965,1969,1968,1966,1967,2900,2371,2370,2376,2372,2374,2378,2373,2377" /&gt;&lt;CriteriaItem k="227548" c="Washington" o="0" v="WA" r="True" id="2029" mask="" masktype="" maskkey="" enabled="" rel="1963,1964,1965,1969,1968,1966,1967,2900,2371,2370,2376,2372,2374,2378,2373,2377" /&gt;&lt;CriteriaItem k="227548" c="Wyoming" o="0" v="WY" r="True" id="2030" mask="" masktype="" maskkey="" enabled="" rel="1963,1964,1965,1969,1968,1966,1967,2900,2371,2370,2376,2372,2374,2378,2373,2377" /&gt;&lt;/CriteriaItem&gt;&lt;/CriteriaItem&gt;&lt;CriteriaItem k="242381" c="Canada" o="0" v="CA" r="True" id="3222" mask="" masktype="" maskkey="" enabled="" rel="1963" /&gt;&lt;CriteriaItem k="242381" c="Bermuda" o="0" v="BM" r="True" id="3223" mask="" masktype="" maskkey="" enabled="" rel="1963" /&gt;&lt;/CriteriaItem&gt;&lt;CriteriaItem k="" c="Europe" o="0" v="" r="True" id="3224" mask="4" masktype="Geography" maskkey="242380" enabled=""&gt;&lt;CriteriaItem k="" c="Developed Europe" o="" v="" r="True" id="3229" mask="" masktype="" maskkey="" enabled=""&gt;&lt;CriteriaItem k="242381" c="Andorra" o="0" v="AD" r="True" id="3354" mask="" masktype="" maskkey="" enabled="" /&gt;&lt;CriteriaItem k="242381" c="Austria" o="0" v="AT" r="True" id="3355" mask="" masktype="" maskkey="" enabled="" rel="1963" /&gt;&lt;CriteriaItem k="242381" c="Belgium" o="0" v="BE" r="True" id="3356" mask="" masktype="" maskkey="" enabled="" rel="1963" /&gt;&lt;CriteriaItem k="242381" c="Cyprus" o="0" v="CY" r="True" id="3357" mask="" masktype="" maskkey="" enabled="" rel="1963" /&gt;&lt;CriteriaItem k="242381" c="Czech Republic" o="0" v="CZ" r="True" id="3358" mask="" masktype="" maskkey="" enabled="" rel="1963" /&gt;&lt;CriteriaItem k="242381" c="Denmark" o="0" v="DK" r="True" id="3359" mask="" masktype="" maskkey="" enabled="" rel="1963" /&gt;&lt;CriteriaItem k="242381" c="Finland" o="0" v="FI" r="True" id="3360" mask="" masktype="" maskkey="" enabled="" rel="1963" /&gt;&lt;CriteriaItem k="242381" c="France" o="0" v="FR" r="True" id="3361" mask="" masktype="" maskkey="" enabled="" rel="1963" /&gt;&lt;CriteriaItem k="242381" c="Germany" o="0" v="DE" r="True" id="3362" mask="" masktype="" maskkey="" enabled="" rel="1963" /&gt;&lt;CriteriaItem k="242381" c="Gibraltar" o="0" v="GI" r="True" id="3363" mask="" masktype="" maskkey="" enabled="" /&gt;&lt;CriteriaItem k="242381" c="Greece" o="0" v="GR" r="True" id="3364" mask="" masktype="" maskkey="" enabled="" rel="1963" /&gt;&lt;CriteriaItem k="242381" c="Greenland" o="0" v="GL" r="True" id="3365" mask="" masktype="" maskkey="" enabled="" rel="1963" /&gt;&lt;CriteriaItem k="242381" c="Iceland" o="0" v="IS" r="True" id="3366" mask="" masktype="" maskkey="" enabled="" rel="1963" /&gt;&lt;CriteriaItem k="242381" c="Ireland" o="0" v="IE" r="True" id="3367" mask="" masktype="" maskkey="" enabled="" rel="1963" /&gt;&lt;CriteriaItem k="242381" c="Italy" o="0" v="IT" r="True" id="3368" mask="" masktype="" maskkey="" enabled="" rel="1963" /&gt;&lt;CriteriaItem k="242381" c="Liechtenstein" o="0" v="LI" r="True" id="3369" mask="" masktype="" maskkey="" enabled="" /&gt;&lt;CriteriaItem k="242381" c="Luxembourg" o="0" v="LU" r="True" id="3370" mask="" masktype="" maskkey="" enabled="" rel="1963" /&gt;&lt;CriteriaItem k="242381" c="Malta" o="0" v="MT" r="True" id="3371" mask="" masktype="" maskkey="" enabled="" rel="1963" /&gt;&lt;CriteriaItem k="242381" c="Monaco" o="0" v="MC" r="True" id="3372" mask="" masktype="" maskkey="" enabled="" /&gt;&lt;CriteriaItem k="242381" c="Netherlands" o="0" v="NL" r="True" id="3373" mask="" masktype="" maskkey="" enabled="" rel="1963" /&gt;&lt;CriteriaItem k="242381" c="Norway" o="0" v="NO" r="True" id="3374" mask="" masktype="" maskkey="" enabled="" rel="1963" /&gt;&lt;CriteriaItem k="242381" c="Portugal" o="0" v="PT" r="True" id="3375" mask="" masktype="" maskkey="" enabled="" rel="1963" /&gt;&lt;CriteriaItem k="242381" c="San Marino" o="0" v="SM" r="True" id="3376" mask="" masktype="" maskkey="" enabled="" /&gt;&lt;CriteriaItem k="242381" c="Slovakia" o="0" v="SK" r="True" id="3377" mask="" masktype="" maskkey="" enabled="" rel="1963" /&gt;&lt;CriteriaItem k="242381" c="Slovenia" o="0" v="SI" r="True" id="3378" mask="" masktype="" maskkey="" enabled="" rel="1963" /&gt;&lt;CriteriaItem k="242381" c="Spain" o="0" v="ES" r="True" id="3379" mask="" masktype="" maskkey="" enabled="" rel="1963" /&gt;&lt;CriteriaItem k="242381" c="Sweden" o="0" v="SE" r="True" id="3380" mask="" masktype="" maskkey="" enabled="" rel="1963" /&gt;&lt;CriteriaItem k="242381" c="Switzerland" o="0" v="CH" r="True" id="3381" mask="" masktype="" maskkey="" enabled="" rel="1963" /&gt;&lt;CriteriaItem k="242381" c="United Kingdom" o="0" v="GB" r="True" id="3382" mask="" masktype="" maskkey="" enabled="" rel="1963" /&gt;&lt;CriteriaItem k="242381" c="Vatican City" o="0" v="VA" r="True" id="3383" mask="" masktype="" maskkey="" enabled="" /&gt;&lt;/CriteriaItem&gt;&lt;CriteriaItem k="" c="Emerging Europe" o="" v="" r="True" id="3230" mask="" masktype="" maskkey="" enabled=""&gt;&lt;CriteriaItem k="242381" c="Åland Islands" o="0" v="AX" r="True" id="3384" mask="" masktype="" maskkey="" enabled="" /&gt;&lt;CriteriaItem k="242381" c="Albania" o="0" v="AL" r="True" id="3385" mask="" masktype="" maskkey="" enabled="" rel="1963" /&gt;&lt;CriteriaItem k="242381" c="Armenia" o="0" v="AM" r="True" id="3386" mask="" masktype="" maskkey="" enabled="" rel="1963" /&gt;&lt;CriteriaItem k="242381" c="Azerbaijan" o="0" v="AZ" r="True" id="3387" mask="" masktype="" maskkey="" enabled="" rel="1963" /&gt;&lt;CriteriaItem k="242381" c="Belarus" o="0" v="BY" r="True" id="3388" mask="" masktype="" maskkey="" enabled="" rel="1963" /&gt;&lt;CriteriaItem k="242381" c="Bosnia &amp;amp; Herzegovina" o="0" v="BA" r="True" id="3389" mask="" masktype="" maskkey="" enabled="" rel="1963" /&gt;&lt;CriteriaItem k="242381" c="Bulgaria" o="0" v="BG" r="True" id="3390" mask="" masktype="" maskkey="" enabled="" rel="1963" /&gt;&lt;CriteriaItem k="242381" c="Croatia" o="0" v="HR" r="True" id="3391" mask="" masktype="" maskkey="" enabled="" rel="1963" /&gt;&lt;CriteriaItem k="242381" c="Estonia" o="0" v="EE" r="True" id="3392" mask="" masktype="" maskkey="" enabled="" rel="1963" /&gt;&lt;CriteriaItem k="242381" c="Faroe Islands" o="0" v="FO" r="True" id="3394" mask="" masktype="" maskkey="" enabled="" /&gt;&lt;CriteriaItem k="242381" c="Georgia" o="0" v="GE" r="True" id="3395" mask="" masktype="" maskkey="" enabled="" rel="1963" /&gt;&lt;CriteriaItem k="242381" c="Hungary" o="0" v="HU" r="True" id="3396" mask="" masktype="" maskkey="" enabled="" rel="1963" /&gt;&lt;CriteriaItem k="242381" c="Kazakhstan" o="0" v="KZ" r="True" id="3432" mask="" masktype="" maskkey="" enabled="" rel="1963" /&gt;&lt;CriteriaItem k="242381" c="Kyrgyzstan" o="0" v="KG" r="True" id="3434" mask="" masktype="" maskkey="" enabled="" rel="1963" /&gt;&lt;CriteriaItem k="242381" c="Latvia" o="0" v="LV" r="True" id="3397" mask="" masktype="" maskkey="" enabled="" rel="1963" /&gt;&lt;CriteriaItem k="242381" c="Lithuania" o="0" v="LT" r="True" id="3398" mask="" masktype="" maskkey="" enabled="" rel="1963" /&gt;&lt;CriteriaItem k="242381" c="Macedonia" o="0" v="MK" r="True" id="3393" mask="" masktype="" maskkey="" enabled="" rel="1963" /&gt;&lt;CriteriaItem k="242381" c="Moldova" o="0" v="MD" r="True" id="3399" mask="" masktype="" maskkey="" enabled="" rel="1963" /&gt;&lt;CriteriaItem k="242381" c="Montenegro" o="0" v="ME" r="True" id="3400" mask="" masktype="" maskkey="" enabled="" rel="1963" /&gt;&lt;CriteriaItem k="242381" c="Poland" o="0" v="PL" r="True" id="3401" mask="" masktype="" maskkey="" enabled="" rel="1963" /&gt;&lt;CriteriaItem k="242381" c="Romania" o="0" v="RO" r="True" id="3402" mask="" masktype="" maskkey="" enabled="" rel="1963" /&gt;&lt;CriteriaItem k="242381" c="Russia" o="0" v="RU" r="True" id="3403" mask="" masktype="" maskkey="" enabled="" rel="1963" /&gt;&lt;CriteriaItem k="242381" c="Serbia" o="0" v="RS" r="True" id="3404" mask="" masktype="" maskkey="" enabled="" rel="1963" /&gt;&lt;CriteriaItem k="242381" c="Svalbard" o="0" v="SJ" r="True" id="3405" mask="" masktype="" maskkey="" enabled="" /&gt;&lt;CriteriaItem k="242381" c="Tajikistan" o="0" v="TJ" r="True" id="3456" mask="" masktype="" maskkey="" enabled="" rel="1963" /&gt;&lt;CriteriaItem k="242381" c="Turkey" o="0" v="TR" r="True" id="3406" mask="" masktype="" maskkey="" enabled="" rel="1963" /&gt;&lt;CriteriaItem k="242381" c="Turkmenistan" o="0" v="TM" r="True" id="3461" mask="" masktype="" maskkey="" enabled="" rel="1963" /&gt;&lt;CriteriaItem k="242381" c="Ukraine" o="0" v="UA" r="True" id="3407" mask="" masktype="" maskkey="" enabled="" rel="1963" /&gt;&lt;CriteriaItem k="242381" c="Uzbekistan" o="0" v="UZ" r="True" id="3463" mask="" masktype="" maskkey="" enabled="" rel="1963" /&gt;&lt;/CriteriaItem&gt;&lt;/CriteriaItem&gt;&lt;CriteriaItem k="" c="Asia-Pacific" o="0" v="" r="True" id="3225" mask="2" masktype="Geography" maskkey="242380" enabled=""&gt;&lt;CriteriaItem k="" c="Developed Asia-Pacific" o="" v="" r="True" id="3231" mask="" masktype="" maskkey="" enabled=""&gt;&lt;CriteriaItem k="242381" c="Australia" o="0" v="AU" r="True" id="3408" mask="" masktype="" maskkey="" enabled="" rel="1963" /&gt;&lt;CriteriaItem k="242381" c="Hong Kong" o="0" v="HK" r="True" id="3409" mask="" masktype="" maskkey="" enabled="" rel="1963" /&gt;&lt;CriteriaItem k="242381" c="Japan" o="0" v="JP" r="True" id="3410" mask="" masktype="" maskkey="" enabled="" rel="1963" /&gt;&lt;CriteriaItem k="242381" c="New Zealand" o="0" v="NZ" r="True" id="3411" mask="" masktype="" maskkey="" enabled="" rel="1963" /&gt;&lt;CriteriaItem k="242381" c="Singapore" o="0" v="SG" r="True" id="3412" mask="" masktype="" maskkey="" enabled="" rel="1963" /&gt;&lt;CriteriaItem k="242381" c="South Korea" o="0" v="KR" r="True" id="3413" mask="" masktype="" maskkey="" enabled="" rel="1963" /&gt;&lt;CriteriaItem k="242381" c="Taiwan" o="0" v="TW" r="True" id="3414" mask="" masktype="" maskkey="" enabled="" rel="1963" /&gt;&lt;/CriteriaItem&gt;&lt;CriteriaItem k="" c="Emerging Asia-Pacific" o="" v="" r="True" id="3232" mask="" masktype="" maskkey="" enabled=""&gt;&lt;CriteriaItem k="242381" c="Afghanistan" o="0" v="AF" r="True" id="3415" mask="" masktype="" maskkey="" enabled="" rel="1963" /&gt;&lt;CriteriaItem k="242381" c="Bangladesh" o="0" v="BD" r="True" id="3417" mask="" masktype="" maskkey="" enabled="" rel="1963" /&gt;&lt;CriteriaItem k="242381" c="Bhutan" o="0" v="BT" r="True" id="3418" mask="" masktype="" maskkey="" enabled="" rel="1963" /&gt;&lt;CriteriaItem k="242381" c="Brunei" o="0" v="BN" r="True" id="3420" mask="" masktype="" maskkey="" enabled="" rel="1963" /&gt;&lt;CriteriaItem k="242381" c="Cambodia" o="0" v="KH" r="True" id="3422" mask="" masktype="" maskkey="" enabled="" rel="1963" /&gt;&lt;CriteriaItem k="242381" c="China" o="0" v="CN" r="True" id="3423" mask="" masktype="" maskkey="" enabled="" rel="1963" /&gt;&lt;CriteriaItem k="242381" c="Cook Islands" o="0" v="CK" r="True" id="3425" mask="" masktype="" maskkey="" enabled="" rel="1963" /&gt;&lt;CriteriaItem k="242381" c="Fiji" o="0" v="FJ" r="True" id="3426" mask="" masktype="" maskkey="" enabled="" rel="1963" /&gt;&lt;CriteriaItem k="242381" c="French Polynesia" o="0" v="PF" r="True" id="3427" mask="" masktype="" maskkey="" enabled="" /&gt;&lt;CriteriaItem k="242381" c="India" o="0" v="IN" r="True" id="3430" mask="" masktype="" maskkey="" enabled="" rel="1963" /&gt;&lt;CriteriaItem k="242381" c="Indonesia" o="0" v="ID" r="True" id="3431" mask="" masktype="" maskkey="" enabled="" rel="1963" /&gt;&lt;CriteriaItem k="242381" c="Kiribati" o="0" v="KI" r="True" id="3433" mask="" masktype="" maskkey="" enabled="" rel="1963" /&gt;&lt;CriteriaItem k="242381" c="Laos" o="0" v="LA" r="True" id="3435" mask="" masktype="" maskkey="" enabled="" rel="1963" /&gt;&lt;CriteriaItem k="242381" c="Macau" o="0" v="MO" r="True" id="3436" mask="" masktype="" maskkey="" enabled="" rel="1963" /&gt;&lt;CriteriaItem k="242381" c="Malaysia" o="0" v="MY" r="True" id="3437" mask="" masktype="" maskkey="" enabled="" rel="1963" /&gt;&lt;CriteriaItem k="242381" c="Maldives" o="0" v="MV" r="True" id="3438" mask="" masktype="" maskkey="" enabled="" /&gt;&lt;CriteriaItem k="242381" c="Marshall Islands" o="0" v="MH" r="True" id="3439" mask="" masktype="" maskkey="" enabled="" rel="1963" /&gt;&lt;CriteriaItem k="242381" c="Mongolia" o="0" v="MN" r="True" id="3440" mask="" masktype="" maskkey="" enabled="" rel="1963" /&gt;&lt;CriteriaItem k="242381" c="Myanmar" o="0" v="MM" r="True" id="3421" mask="" masktype="" maskkey="" enabled="" rel="1963" /&gt;&lt;CriteriaItem k="242381" c="Nauru" o="0" v="NR" r="True" id="3441" mask="" masktype="" maskkey="" enabled="" rel="1963" /&gt;&lt;CriteriaItem k="242381" c="Nepal" o="0" v="NP" r="True" id="3442" mask="" masktype="" maskkey="" enabled="" rel="1963" /&gt;&lt;CriteriaItem k="242381" c="New Caledonia" o="0" v="NC" r="True" id="3443" mask="" masktype="" maskkey="" enabled="" rel="1963" /&gt;&lt;CriteriaItem k="242381" c="Niue" o="0" v="NU" r="True" id="3444" mask="" masktype="" maskkey="" enabled="" /&gt;&lt;CriteriaItem k="242381" c="North Korea" o="0" v="KP" r="True" id="3446" mask="" masktype="" maskkey="" enabled="" rel="1963" /&gt;&lt;CriteriaItem k="242381" c="Northern Mariana" o="0" v="MP" r="True" id="3447" mask="" masktype="" maskkey="" enabled="" /&gt;&lt;CriteriaItem k="242381" c="Pakistan" o="0" v="PK" r="True" id="3448" mask="" masktype="" maskkey="" enabled="" rel="1963" /&gt;&lt;CriteriaItem k="242381" c="Palau" o="0" v="PW" r="True" id="3449" mask="" masktype="" maskkey="" enabled="" rel="1963" /&gt;&lt;CriteriaItem k="242381" c="Papua New Guinea" o="0" v="PG" r="True" id="3450" mask="" masktype="" maskkey="" enabled="" rel="1963" /&gt;&lt;CriteriaItem k="242381" c="Philippines" o="0" v="PH" r="True" id="3451" mask="" masktype="" maskkey="" enabled="" rel="1963" /&gt;&lt;CriteriaItem k="242381" c="Samoa" o="0" v="WS" r="True" id="3453" mask="" masktype="" maskkey="" enabled="" rel="1963" /&gt;&lt;CriteriaItem k="242381" c="Solomon Islands" o="0" v="SB" r="True" id="3454" mask="" masktype="" maskkey="" enabled="" rel="1963" /&gt;&lt;CriteriaItem k="242381" c="Sri Lanka" o="0" v="LK" r="True" id="3455" mask="" masktype="" maskkey="" enabled="" rel="1963" /&gt;&lt;CriteriaItem k="242381" c="Thailand" o="0" v="TH" r="True" id="3457" mask="" masktype="" maskkey="" enabled="" rel="1963" /&gt;&lt;CriteriaItem k="242381" c="Timor-Leste" o="0" v="TL" r="True" id="3458" mask="" masktype="" maskkey="" enabled="" rel="1963" /&gt;&lt;CriteriaItem k="242381" c="Tokelau" o="0" v="TK" r="True" id="3459" mask="" masktype="" maskkey="" enabled="" /&gt;&lt;CriteriaItem k="242381" c="Tonga" o="0" v="TO" r="True" id="3460" mask="" masktype="" maskkey="" enabled="" rel="1963" /&gt;&lt;CriteriaItem k="242381" c="Tuvalu" o="0" v="TV" r="True" id="3462" mask="" masktype="" maskkey="" enabled="" rel="1963" /&gt;&lt;CriteriaItem k="242381" c="Vanuatu" o="0" v="VU" r="True" id="3464" mask="" masktype="" maskkey="" enabled="" rel="1963" /&gt;&lt;CriteriaItem k="242381" c="Vietnam" o="0" v="VN" r="True" id="3465" mask="" masktype="" maskkey="" enabled="" rel="1963" /&gt;&lt;CriteriaItem k="242381" c="Wallis &amp;amp; Futuna" o="0" v="WF" r="True" id="3466" mask="" masktype="" maskkey="" enabled="" /&gt;&lt;/CriteriaItem&gt;&lt;/CriteriaItem&gt;&lt;CriteriaItem k="" c="Middle East" o="0" v="" r="True" id="3226" mask="32" masktype="Geography" maskkey="242380" enabled=""&gt;&lt;CriteriaItem k="242381" c="Bahrain" o="0" v="BH" r="True" id="3233" mask="" masktype="" maskkey="" enabled="" rel="1963" /&gt;&lt;CriteriaItem k="242381" c="Egypt" o="0" v="EG" r="True" id="3234" mask="" masktype="" maskkey="" enabled="" rel="1963" /&gt;&lt;CriteriaItem k="242381" c="Iran" o="0" v="IR" r="True" id="3235" mask="" masktype="" maskkey="" enabled="" rel="1963" /&gt;&lt;CriteriaItem k="242381" c="Iraq" o="0" v="IQ" r="True" id="3236" mask="" masktype="" maskkey="" enabled="" rel="1963" /&gt;&lt;CriteriaItem k="242381" c="Israel" o="0" v="IL" r="True" id="3237" mask="" masktype="" maskkey="" enabled="" rel="1963" /&gt;&lt;CriteriaItem k="242381" c="Jordan" o="0" v="JO" r="True" id="3238" mask="" masktype="" maskkey="" enabled="" rel="1963" /&gt;&lt;CriteriaItem k="242381" c="Kuwait" o="0" v="KW" r="True" id="3239" mask="" masktype="" maskkey="" enabled="" rel="1963" /&gt;&lt;CriteriaItem k="242381" c="Lebanon" o="0" v="LB" r="True" id="3240" mask="" masktype="" maskkey="" enabled="" rel="1963" /&gt;&lt;CriteriaItem k="242381" c="Oman" o="0" v="OM" r="True" id="3241" mask="" masktype="" maskkey="" enabled="" rel="1963" /&gt;&lt;CriteriaItem k="242381" c="Palestine" o="0" v="PS" r="True" id="3242" mask="" masktype="" maskkey="" enabled="" /&gt;&lt;CriteriaItem k="242381" c="Qatar" o="0" v="QA" r="True" id="3243" mask="" masktype="" maskkey="" enabled="" rel="1963" /&gt;&lt;CriteriaItem k="242381" c="Saudi Arabia" o="0" v="SA" r="True" id="3244" mask="" masktype="" maskkey="" enabled="" rel="1963" /&gt;&lt;CriteriaItem k="242381" c="Syria" o="0" v="SY" r="True" id="3245" mask="" masktype="" maskkey="" enabled="" rel="1963" /&gt;&lt;CriteriaItem k="242381" c="United Arab Emirates" o="0" v="AE" r="True" id="3246" mask="" masktype="" maskkey="" enabled="" rel="1963" /&gt;&lt;CriteriaItem k="242381" c="Yemen" o="0" v="YE" r="True" id="3247" mask="" masktype="" maskkey="" enabled="" rel="1963" /&gt;&lt;/CriteriaItem&gt;&lt;CriteriaItem k="" c="Latin America and Caribbean" o="0" v="" r="True" id="3227" mask="8" masktype="Geography" maskkey="242380" enabled=""&gt;&lt;CriteriaItem k="242381" c="Anguilla" o="0" v="AI" r="True" id="3248" mask="" masktype="" maskkey="" enabled="" rel="1963" /&gt;&lt;CriteriaItem k="242381" c="Antigua and Barbuda" o="0" v="AG" r="True" id="3249" mask="" masktype="" maskkey="" enabled="" rel="1963" /&gt;&lt;CriteriaItem k="242381" c="Argentina" o="0" v="AR" r="True" id="3250" mask="" masktype="" maskkey="" enabled="" rel="1963" /&gt;&lt;CriteriaItem k="242381" c="Aruba" o="0" v="AW" r="True" id="3251" mask="" masktype="" maskkey="" enabled="" rel="1963" /&gt;&lt;CriteriaItem k="242381" c="Bahamas" o="0" v="BS" r="True" id="3252" mask="" masktype="" maskkey="" enabled="" rel="1963" /&gt;&lt;CriteriaItem k="242381" c="Barbados" o="0" v="BB" r="True" id="3253" mask="" masktype="" maskkey="" enabled="" rel="1963" /&gt;&lt;CriteriaItem k="242381" c="Belize" o="0" v="BZ" r="True" id="3254" mask="" masktype="" maskkey="" enabled="" rel="1963" /&gt;&lt;CriteriaItem k="242381" c="Bolivia" o="0" v="BO" r="True" id="3255" mask="" masktype="" maskkey="" enabled="" rel="1963" /&gt;&lt;CriteriaItem k="242381" c="Bonaire" o="0" v="BQ" r="True" id="3285" mask="" masktype="" maskkey="" enabled="" /&gt;&lt;CriteriaItem k="242381" c="Brazil" o="0" v="BR" r="True" id="3256" mask="" masktype="" maskkey="" enabled="" rel="1963" /&gt;&lt;CriteriaItem k="242381" c="BVI" o="0" v="VG" r="True" id="3257" mask="" masktype="" maskkey="" enabled="" rel="1963" /&gt;&lt;CriteriaItem k="242381" c="Cayman Islands" o="0" v="KY" r="True" id="3258" mask="" masktype="" maskkey="" enabled="" rel="1963" /&gt;&lt;CriteriaItem k="242381" c="Chile" o="0" v="CL" r="True" id="3259" mask="" masktype="" maskkey="" enabled="" rel="1963" /&gt;&lt;CriteriaItem k="242381" c="Cocos Islands" o="0" v="CC" r="True" id="3260" mask="" masktype="" maskkey="" enabled="" /&gt;&lt;CriteriaItem k="242381" c="Colombia" o="0" v="CO" r="True" id="3261" mask="" masktype="" maskkey="" enabled="" rel="1963" /&gt;&lt;CriteriaItem k="242381" c="Costa Rica" o="0" v="CR" r="True" id="3262" mask="" masktype="" maskkey="" enabled="" rel="1963" /&gt;&lt;CriteriaItem k="242381" c="Cuba" o="0" v="CU" r="True" id="3263" mask="" masktype="" maskkey="" enabled="" rel="1963" /&gt;&lt;CriteriaItem k="242381" c="Curaçao" o="0" v="CW" r="True" id="3264" mask="" masktype="" maskkey="" enabled="" /&gt;&lt;CriteriaItem k="242381" c="Dominica" o="0" v="DM" r="True" id="3265" mask="" masktype="" maskkey="" enabled="" rel="1963" /&gt;&lt;CriteriaItem k="242381" c="Dominican Republic" o="0" v="DO" r="True" id="3266" mask="" masktype="" maskkey="" enabled="" rel="1963" /&gt;&lt;CriteriaItem k="242381" c="Ecuador" o="0" v="EC" r="True" id="3267" mask="" masktype="" maskkey="" enabled="" rel="1963" /&gt;&lt;CriteriaItem k="242381" c="El Salvador" o="0" v="SV" r="True" id="3268" mask="" masktype="" maskkey="" enabled="" rel="1963" /&gt;&lt;CriteriaItem k="242381" c="Falkland Islands" o="0" v="FK" r="True" id="3269" mask="" masktype="" maskkey="" enabled="" /&gt;&lt;CriteriaItem k="242381" c="French Guiana" o="0" v="GF" r="True" id="3270" mask="" masktype="" maskkey="" enabled="" /&gt;&lt;CriteriaItem k="242381" c="Grenada" o="0" v="GD" r="True" id="3271" mask="" masktype="" maskkey="" enabled="" rel="1963" /&gt;&lt;CriteriaItem k="242381" c="Guadeloupe" o="0" v="GP" r="True" id="3272" mask="" masktype="" maskkey="" enabled="" /&gt;&lt;CriteriaItem k="242381" c="Guatemala" o="0" v="GT" r="True" id="3273" mask="" masktype="" maskkey="" enabled="" rel="1963" /&gt;&lt;CriteriaItem k="242381" c="Guyana" o="0" v="GY" r="True" id="3274" mask="" masktype="" maskkey="" enabled="" rel="1963" /&gt;&lt;CriteriaItem k="242381" c="Haiti" o="0" v="HT" r="True" id="3275" mask="" masktype="" maskkey="" enabled="" rel="1963" /&gt;&lt;CriteriaItem k="242381" c="Honduras" o="0" v="HN" r="True" id="3276" mask="" masktype="" maskkey="" enabled="" rel="1963" /&gt;&lt;CriteriaItem k="242381" c="Jamaica" o="0" v="JM" r="True" id="3277" mask="" masktype="" maskkey="" enabled="" rel="1963" /&gt;&lt;CriteriaItem k="242381" c="Martinique" o="0" v="MQ" r="True" id="3278" mask="" masktype="" maskkey="" enabled="" /&gt;&lt;CriteriaItem k="242381" c="Mexico" o="0" v="MX" r="True" id="3279" mask="" masktype="" maskkey="" enabled="" rel="1963" /&gt;&lt;CriteriaItem k="242381" c="Montserrat" o="0" v="MS" r="True" id="3280" mask="" masktype="" maskkey="" enabled="" rel="1963" /&gt;&lt;CriteriaItem k="242381" c="Nicaragua" o="0" v="NI" r="True" id="3281" mask="" masktype="" maskkey="" enabled="" rel="1963" /&gt;&lt;CriteriaItem k="242381" c="Panama" o="0" v="PA" r="True" id="3282" mask="" masktype="" maskkey="" enabled="" rel="1963" /&gt;&lt;CriteriaItem k="242381" c="Paraguay" o="0" v="PY" r="True" id="3283" mask="" masktype="" maskkey="" enabled="" rel="1963" /&gt;&lt;CriteriaItem k="242381" c="Peru" o="0" v="PE" r="True" id="3284" mask="" masktype="" maskkey="" enabled="" rel="1963" /&gt;&lt;CriteriaItem k="242381" c="Saint Lucia" o="0" v="LC" r="True" id="3286" mask="" masktype="" maskkey="" enabled="" rel="1963" /&gt;&lt;C</t>
        </r>
      </text>
    </comment>
    <comment ref="E3" authorId="1" shapeId="0" xr:uid="{00000000-0006-0000-0300-000004000000}">
      <text>
        <r>
          <rPr>
            <sz val="9"/>
            <color indexed="81"/>
            <rFont val="Tahoma"/>
            <family val="2"/>
          </rPr>
          <t>riteriaItem k="242381" c="Saint Vincent" o="0" v="VC" r="True" id="3287" mask="" masktype="" maskkey="" enabled="" rel="1963" /&gt;&lt;CriteriaItem k="242381" c="Sint Maarten" o="0" v="SX" r="True" id="3288" mask="" masktype="" maskkey="" enabled="" /&gt;&lt;CriteriaItem k="242381" c="South Georgia" o="0" v="GS" r="True" id="3289" mask="" masktype="" maskkey="" enabled="" /&gt;&lt;CriteriaItem k="242381" c="St. Kitts and Nevis" o="0" v="KN" r="True" id="3290" mask="" masktype="" maskkey="" enabled="" rel="1963" /&gt;&lt;CriteriaItem k="242381" c="St. Pierre, Miquelon" o="0" v="PM" r="True" id="3291" mask="" masktype="" maskkey="" enabled="" /&gt;&lt;CriteriaItem k="242381" c="Suriname" o="0" v="SR" r="True" id="3292" mask="" masktype="" maskkey="" enabled="" rel="1963" /&gt;&lt;CriteriaItem k="242381" c="Trinidad and Tobago" o="0" v="TT" r="True" id="3293" mask="" masktype="" maskkey="" enabled="" rel="1963" /&gt;&lt;CriteriaItem k="242381" c="Turks &amp;amp; Caicos" o="0" v="TC" r="True" id="3294" mask="" masktype="" maskkey="" enabled="" rel="1963" /&gt;&lt;CriteriaItem k="242381" c="Uruguay" o="0" v="UY" r="True" id="3295" mask="" masktype="" maskkey="" enabled="" rel="1963" /&gt;&lt;CriteriaItem k="242381" c="Venezuela" o="0" v="VE" r="True" id="3296" mask="" masktype="" maskkey="" enabled="" rel="1963" /&gt;&lt;/CriteriaItem&gt;&lt;CriteriaItem k="" c="Africa" o="0" v="" r="True" id="3228" mask="1" masktype="Geography" maskkey="242380" enabled=""&gt;&lt;CriteriaItem k="242381" c="Algeria" o="0" v="DZ" r="True" id="3297" mask="" masktype="" maskkey="" enabled="" rel="1963" /&gt;&lt;CriteriaItem k="242381" c="Angola" o="0" v="AO" r="True" id="3298" mask="" masktype="" maskkey="" enabled="" rel="1963" /&gt;&lt;CriteriaItem k="242381" c="Benin" o="0" v="BJ" r="True" id="3299" mask="" masktype="" maskkey="" enabled="" rel="1963" /&gt;&lt;CriteriaItem k="242381" c="Botswana" o="0" v="BW" r="True" id="3300" mask="" masktype="" maskkey="" enabled="" rel="1963" /&gt;&lt;CriteriaItem k="242381" c="Bouvet Island" o="0" v="BV" r="True" id="3301" mask="" masktype="" maskkey="" enabled="" /&gt;&lt;CriteriaItem k="242381" c="Burkina Faso" o="0" v="BF" r="True" id="3302" mask="" masktype="" maskkey="" enabled="" rel="1963" /&gt;&lt;CriteriaItem k="242381" c="Burundi" o="0" v="BI" r="True" id="3303" mask="" masktype="" maskkey="" enabled="" rel="1963" /&gt;&lt;CriteriaItem k="242381" c="Cameroon" o="0" v="CM" r="True" id="3304" mask="" masktype="" maskkey="" enabled="" rel="1963" /&gt;&lt;CriteriaItem k="242381" c="Cape Verde" o="0" v="CV" r="True" id="3305" mask="" masktype="" maskkey="" enabled="" rel="1963" /&gt;&lt;CriteriaItem k="242381" c="Central African Rep." o="0" v="CF" r="True" id="3306" mask="" masktype="" maskkey="" enabled="" rel="1963" /&gt;&lt;CriteriaItem k="242381" c="Chad" o="0" v="TD" r="True" id="3307" mask="" masktype="" maskkey="" enabled="" rel="1963" /&gt;&lt;CriteriaItem k="242381" c="Comoros" o="0" v="KM" r="True" id="3308" mask="" masktype="" maskkey="" enabled="" rel="1963" /&gt;&lt;CriteriaItem k="242381" c="Cote d'Ivoire" o="0" v="CI" r="True" id="3309" mask="" masktype="" maskkey="" enabled="" rel="1963" /&gt;&lt;CriteriaItem k="242381" c="Dem. Rep. Congo" o="0" v="CD" r="True" id="3310" mask="" masktype="" maskkey="" enabled="" rel="1963" /&gt;&lt;CriteriaItem k="242381" c="Djibouti" o="0" v="DJ" r="True" id="3311" mask="" masktype="" maskkey="" enabled="" rel="1963" /&gt;&lt;CriteriaItem k="242381" c="Equatorial Guinea" o="0" v="GQ" r="True" id="3312" mask="" masktype="" maskkey="" enabled="" rel="1963" /&gt;&lt;CriteriaItem k="242381" c="Eritrea" o="0" v="ER" r="True" id="3313" mask="" masktype="" maskkey="" enabled="" rel="1963" /&gt;&lt;CriteriaItem k="242381" c="Ethiopia" o="0" v="ET" r="True" id="3314" mask="" masktype="" maskkey="" enabled="" rel="1963" /&gt;&lt;CriteriaItem k="242381" c="Gabon" o="0" v="GA" r="True" id="3315" mask="" masktype="" maskkey="" enabled="" rel="1963" /&gt;&lt;CriteriaItem k="242381" c="Gambia" o="0" v="GM" r="True" id="3316" mask="" masktype="" maskkey="" enabled="" rel="1963" /&gt;&lt;CriteriaItem k="242381" c="Ghana" o="0" v="GH" r="True" id="3317" mask="" masktype="" maskkey="" enabled="" rel="1963" /&gt;&lt;CriteriaItem k="242381" c="Guinea" o="0" v="GN" r="True" id="3318" mask="" masktype="" maskkey="" enabled="" rel="1963" /&gt;&lt;CriteriaItem k="242381" c="Guinea-Bissau" o="0" v="GW" r="True" id="3319" mask="" masktype="" maskkey="" enabled="" rel="1963" /&gt;&lt;CriteriaItem k="242381" c="Kenya" o="0" v="KE" r="True" id="3320" mask="" masktype="" maskkey="" enabled="" rel="1963" /&gt;&lt;CriteriaItem k="242381" c="Lesotho" o="0" v="LS" r="True" id="3321" mask="" masktype="" maskkey="" enabled="" rel="1963" /&gt;&lt;CriteriaItem k="242381" c="Liberia" o="0" v="LR" r="True" id="3322" mask="" masktype="" maskkey="" enabled="" rel="1963" /&gt;&lt;CriteriaItem k="242381" c="Libya" o="0" v="LY" r="True" id="3323" mask="" masktype="" maskkey="" enabled="" rel="1963" /&gt;&lt;CriteriaItem k="242381" c="Madagascar" o="0" v="MG" r="True" id="3324" mask="" masktype="" maskkey="" enabled="" rel="1963" /&gt;&lt;CriteriaItem k="242381" c="Malawi" o="0" v="MW" r="True" id="3325" mask="" masktype="" maskkey="" enabled="" rel="1963" /&gt;&lt;CriteriaItem k="242381" c="Mali" o="0" v="ML" r="True" id="3326" mask="" masktype="" maskkey="" enabled="" rel="1963" /&gt;&lt;CriteriaItem k="242381" c="Mauritania" o="0" v="MR" r="True" id="3327" mask="" masktype="" maskkey="" enabled="" rel="1963" /&gt;&lt;CriteriaItem k="242381" c="Mauritius" o="0" v="MU" r="True" id="3328" mask="" masktype="" maskkey="" enabled="" rel="1963" /&gt;&lt;CriteriaItem k="242381" c="Mayotte" o="0" v="YT" r="True" id="3329" mask="" masktype="" maskkey="" enabled="" /&gt;&lt;CriteriaItem k="242381" c="Morocco" o="0" v="MA" r="True" id="3330" mask="" masktype="" maskkey="" enabled="" rel="1963" /&gt;&lt;CriteriaItem k="242381" c="Mozambique" o="0" v="MZ" r="True" id="3331" mask="" masktype="" maskkey="" enabled="" rel="1963" /&gt;&lt;CriteriaItem k="242381" c="Namibia" o="0" v="NA" r="True" id="3332" mask="" masktype="" maskkey="" enabled="" rel="1963" /&gt;&lt;CriteriaItem k="242381" c="Niger" o="0" v="NE" r="True" id="3333" mask="" masktype="" maskkey="" enabled="" rel="1963" /&gt;&lt;CriteriaItem k="242381" c="Nigeria" o="0" v="NG" r="True" id="3334" mask="" masktype="" maskkey="" enabled="" rel="1963" /&gt;&lt;CriteriaItem k="242381" c="Rep. Of the Congo" o="0" v="CG" r="True" id="3335" mask="" masktype="" maskkey="" enabled="" rel="1963" /&gt;&lt;CriteriaItem k="242381" c="Reunion" o="0" v="RE" r="True" id="3336" mask="" masktype="" maskkey="" enabled="" /&gt;&lt;CriteriaItem k="242381" c="Rwanda" o="0" v="RW" r="True" id="3337" mask="" masktype="" maskkey="" enabled="" rel="1963" /&gt;&lt;CriteriaItem k="242381" c="Saint Helena" o="0" v="SH" r="True" id="3338" mask="" masktype="" maskkey="" enabled="" /&gt;&lt;CriteriaItem k="242381" c="Sao Tome &amp;amp; Principe" o="0" v="ST" r="True" id="3339" mask="" masktype="" maskkey="" enabled="" rel="1963" /&gt;&lt;CriteriaItem k="242381" c="Senegal" o="0" v="SN" r="True" id="3340" mask="" masktype="" maskkey="" enabled="" rel="1963" /&gt;&lt;CriteriaItem k="242381" c="Seychelles" o="0" v="SC" r="True" id="3341" mask="" masktype="" maskkey="" enabled="" rel="1963" /&gt;&lt;CriteriaItem k="242381" c="Sierra Leone" o="0" v="SL" r="True" id="3342" mask="" masktype="" maskkey="" enabled="" rel="1963" /&gt;&lt;CriteriaItem k="242381" c="Somalia" o="0" v="SO" r="True" id="3343" mask="" masktype="" maskkey="" enabled="" rel="1963" /&gt;&lt;CriteriaItem k="242381" c="South Africa" o="0" v="ZA" r="True" id="3344" mask="" masktype="" maskkey="" enabled="" rel="1963" /&gt;&lt;CriteriaItem k="242381" c="Sudan" o="0" v="SD" r="True" id="3345" mask="" masktype="" maskkey="" enabled="" rel="1963" /&gt;&lt;CriteriaItem k="242381" c="Swaziland" o="0" v="SZ" r="True" id="3346" mask="" masktype="" maskkey="" enabled="" rel="1963" /&gt;&lt;CriteriaItem k="242381" c="Tanzania" o="0" v="TZ" r="True" id="3347" mask="" masktype="" maskkey="" enabled="" rel="1963" /&gt;&lt;CriteriaItem k="242381" c="Togo" o="0" v="TG" r="True" id="3348" mask="" masktype="" maskkey="" enabled="" rel="1963" /&gt;&lt;CriteriaItem k="242381" c="Tunisia" o="0" v="TN" r="True" id="3349" mask="" masktype="" maskkey="" enabled="" rel="1963" /&gt;&lt;CriteriaItem k="242381" c="Uganda" o="0" v="UG" r="True" id="3350" mask="" masktype="" maskkey="" enabled="" rel="1963" /&gt;&lt;CriteriaItem k="242381" c="Western Sahara" o="0" v="EH" r="True" id="3351" mask="" masktype="" maskkey="" enabled="" /&gt;&lt;CriteriaItem k="242381" c="Zambia" o="0" v="ZM" r="True" id="3352" mask="" masktype="" maskkey="" enabled="" rel="1963" /&gt;&lt;CriteriaItem k="242381" c="Zimbabwe" o="0" v="ZW" r="True" id="3353" mask="" masktype="" maskkey="" enabled="" rel="1963" /&gt;&lt;/CriteriaItem&gt;&lt;/CriteriaItem&gt;&lt;/CriteriaGroup&gt;&lt;CriteriaGroup k="1962" c="Market Type" o="0" i="1" t="1" min="65" max=""&gt;&lt;CriteriaItem k="" c="All Markets" o="" v="" r="" id="3187" mask="" masktype="" maskkey="" enabled=""&gt;&lt;CriteriaItem k="" c="Standard Markets" o="" v="" r="" id="3188" mask="" masktype="" maskkey="" enabled=""&gt;&lt;CriteriaItem k="227547" c="Country" o="0" v="16" r="True" id="1963" mask="65536" masktype="Industry" maskkey="227547" enabled="True" /&gt;&lt;CriteriaItem k="227547" c="State" o="0" v="1" r="False" id="1964" mask="2" masktype="Industry" maskkey="227547" enabled="False" /&gt;&lt;CriteriaItem k="227547" c="MSA" o="0" v="3" r="False" id="1965" mask="8" masktype="Industry" maskkey="227547" enabled="False" /&gt;&lt;CriteriaItem k="227547" c="County" o="0" v="2" r="False" id="1968" mask="4" masktype="Industry" maskkey="227547" enabled="False" /&gt;&lt;CriteriaItem k="227547" c="City (Place)" o="0" v="0" r="False" id="1966" mask="1" masktype="Industry" maskkey="227547" enabled="False" /&gt;&lt;CriteriaItem k="227547" c="Zip Code" o="0" v="7" r="False" id="1967" mask="128" masktype="Industry" maskkey="227547" enabled="False" /&gt;&lt;CriteriaItem k="227547" c="Census Tract" o="0" v="6" r="False" id="1969" mask="64" masktype="Industry" maskkey="227547" enabled="False" /&gt;&lt;/CriteriaItem&gt;&lt;CriteriaItem k="" c="Media &amp;amp; Communications Markets" o="" v="" r="False" id="3197" mask="" masktype="" maskkey="" enabled=""&gt;&lt;CriteriaItem k="227547" c="DMA®" o="0" v="17" r="False" id="2900" mask="131072" masktype="Industry" maskkey="227547" enabled="False" /&gt;&lt;CriteriaItem k="227547" c="CMA" o="0" v="8" r="False" id="2371" mask="256" masktype="Industry" maskkey="227547" enabled="False" /&gt;&lt;CriteriaItem k="227547" c="BTA" o="0" v="9" r="False" id="2370" mask="512" masktype="Industry" maskkey="227547" enabled="False" /&gt;&lt;CriteriaItem k="227547" c="MTA" o="0" v="10" r="False" id="2376" mask="1024" masktype="Industry" maskkey="227547" enabled="False" /&gt;&lt;CriteriaItem k="227547" c="EA" o="0" v="11" r="False" id="2372" mask="2048" masktype="Industry" maskkey="227547" enabled="False" /&gt;&lt;CriteriaItem k="227547" c="MEA" o="0" v="12" r="False" id="2374" mask="4096" masktype="Industry" maskkey="227547" enabled="False" /&gt;&lt;CriteriaItem k="227547" c="REA" o="0" v="13" r="False" id="2378" mask="8192" masktype="Industry" maskkey="227547" enabled="False" /&gt;&lt;CriteriaItem k="227547" c="EAG" o="0" v="14" r="False" id="2373" mask="16384" masktype="Industry" maskkey="227547" enabled="False" /&gt;&lt;CriteriaItem k="227547" c="NWA" o="0" v="15" r="False" id="2377" mask="32768" masktype="Industry" maskkey="227547" enabled="False" /&gt;&lt;/CriteriaItem&gt;&lt;/CriteriaItem&gt;&lt;/CriteriaGroup&gt;&lt;/CriteriaGroups&gt;&lt;QueryStatements&gt;&lt;Statement DisplayText="Market Key  "&gt;&lt;QueryLine BeginGroup="False" EndGroup="False" Connector="None" Operator="NotNa" Value="" EnglishValue=""&gt;&lt;Field KeyProductQueryItem="227544" /&gt;&lt;/QueryLine&gt;&lt;Field Name="Market Key " Type="varchar" Units="" /&gt;&lt;/Statement&gt;&lt;/QueryStatements&gt;&lt;/SavedQuery&gt;</t>
        </r>
      </text>
    </comment>
    <comment ref="D4" authorId="2" shapeId="0" xr:uid="{00000000-0006-0000-0300-000005000000}">
      <text>
        <r>
          <rPr>
            <b/>
            <sz val="8"/>
            <color indexed="81"/>
            <rFont val="Tahoma"/>
            <family val="2"/>
          </rPr>
          <t>&lt;SavedQuery Version="1" DateCreated="2013-10-28T10:02:29.7652913-04:00" Perspective="130500" Name="SNL_GlobalBanks" Currency="USD" Magnitude="" ConversionMethod="Snl" UnitOfMeasure="USCustomary" Comment="" Language="0"&gt;&lt;CriteriaGroups&gt;&lt;CriteriaGroup k="500" c="Industry" o="1" i="1" t="1" min="" max=""&gt;&lt;CriteriaItem k="" c="All Industries" o="" v="" r="" id="501" mask="" masktype="" maskkey="" enabled=""&gt;&lt;CriteriaItem k="" c="Banking" o="" v="" r="True" id="502" mask="" masktype="" maskkey="" enabled=""&gt;&lt;CriteriaItem k="221551" c="Bank" o="0" v="1" r="True" id="503" mask="2" masktype="Industry" maskkey="221551" enabled="True" /&gt;&lt;CriteriaItem k="221551" c="Savings Bank/Thrift/Mutual" o="0" v="2" r="True" id="504" mask="4" masktype="Industry" maskkey="221551" enabled="True"&gt;&lt;CriteriaItem k="221540" c="Mutual" o="7" v="1,13,14" r="True" id="506" mask="" masktype="" maskkey="" enabled="True" /&gt;&lt;CriteriaItem k="221540" c="Non-Mutual" o="7" v="5,9,10,12,8,7,11,0,4,6" r="True" id="507" mask="" masktype="" maskkey="" enabled="True" /&gt;&lt;/CriteriaItem&gt;&lt;CriteriaItem k="221551" c="FHLB/Development Bank" o="0" v="13" r="True" id="505" mask="8192" masktype="Industry" maskkey="221551" enabled="True" /&gt;&lt;CriteriaItem k="221551" c="Central Bank" o="0" v="27" r="True" id="4758" mask="134217728" masktype="Industry" maskkey="221551" enabled="True" /&gt;&lt;CriteriaItem k="221551" c="Other Banking" o="0" v="28" r="True" id="4759" mask="268435456" masktype="Industry" maskkey="221551" enabled="True" /&gt;&lt;/CriteriaItem&gt;&lt;CriteriaItem k="" c="Insurance" o="" v="" r="False" id="508" mask="" masktype="" maskkey="" enabled=""&gt;&lt;CriteriaItem k="" c="North American Coverage" o="" v="" r="False" id="3171" mask="" masktype="" maskkey="" enabled=""&gt;&lt;CriteriaItem k="221551" c="Insurance Underwriter" o="0" v="8" r="False" id="515" mask="256" masktype="Industry" maskkey="221551" enabled="True"&gt;&lt;CriteriaItem k="221541" c="Multiline" o="0" v="1" r="False" id="517" mask="" masktype="" maskkey="" enabled="True" /&gt;&lt;CriteriaItem k="221541" c="Property &amp;amp; Casualty" o="0" v="2" r="False" id="518" mask="" masktype="" maskkey="" enabled="True" /&gt;&lt;CriteriaItem k="221541" c="Life &amp;amp; Health" o="0" v="3" r="False" id="519" mask="" masktype="" maskkey="" enabled="True" /&gt;&lt;CriteriaItem k="221541" c="Title" o="0" v="4" r="False" id="520" mask="" masktype="" maskkey="" enabled="True" /&gt;&lt;CriteriaItem k="221541" c="Mortgage Guaranty" o="0" v="5" r="False" id="521" mask="" masktype="" maskkey="" enabled="True" /&gt;&lt;CriteriaItem k="221541" c="Financial Guaranty" o="0" v="6" r="False" id="522" mask="" masktype="" maskkey="" enabled="True" /&gt;&lt;CriteriaItem k="221541" c="Managed Care" o="0" v="7" r="False" id="523" mask="" masktype="" maskkey="" enabled="True" /&gt;&lt;/CriteriaItem&gt;&lt;CriteriaItem k="221551" c="Insurance Broker" o="0" v="9" r="False" id="516" mask="512" masktype="Industry" maskkey="221551" enabled="True" /&gt;&lt;/CriteriaItem&gt;&lt;CriteriaItem k="" c="European Coverage" o="" v="" r="False" id="3173" mask="" masktype="" maskkey="" enabled=""&gt;&lt;CriteriaItem k="221551" c="Insurance Underwriter" o="0" v="24" r="False" id="3174" mask="16777216" masktype="Industry" maskkey="221551" enabled="True"&gt;&lt;CriteriaItem k="221541" c="Multiline" o="0" v="1" r="False" id="3175" mask="" masktype="" maskkey="" enabled="True" /&gt;&lt;CriteriaItem k="221541" c="Property &amp;amp; Casualty" o="0" v="2" r="False" id="3176" mask="" masktype="" maskkey="" enabled="True" /&gt;&lt;CriteriaItem k="221541" c="Life &amp;amp; Health" o="0" v="3" r="False" id="3177" mask="" masktype="" maskkey="" enabled="True" /&gt;&lt;CriteriaItem k="221541" c="Title" o="0" v="4" r="False" id="3178" mask="" masktype="" maskkey="" enabled="True" /&gt;&lt;CriteriaItem k="221541" c="Mortgage Guaranty" o="0" v="5" r="False" id="3179" mask="" masktype="" maskkey="" enabled="True" /&gt;&lt;CriteriaItem k="221541" c="Financial Guaranty" o="0" v="6" r="False" id="3180" mask="" masktype="" maskkey="" enabled="True" /&gt;&lt;CriteriaItem k="221541" c="Managed Care" o="0" v="7" r="False" id="3181" mask="" masktype="" maskkey="" enabled="True" /&gt;&lt;/CriteriaItem&gt;&lt;CriteriaItem k="221551" c="Insurance Broker" o="0" v="25" r="False" id="3183" mask="33554432" masktype="Industry" maskkey="221551" enabled="True" /&gt;&lt;/CriteriaItem&gt;&lt;/CriteriaItem&gt;&lt;CriteriaItem k="" c="Securities &amp;amp; Investments" o="" v="" r="False" id="509" mask="" masktype="" maskkey="" enabled=""&gt;&lt;CriteriaItem k="221551" c="Asset Manager" o="0" v="4" r="False" id="524" mask="16" masktype="Industry" maskkey="221551" enabled="True" /&gt;&lt;CriteriaItem k="221551" c="Broker-Dealer" o="0" v="5" r="False" id="525" mask="32" masktype="Industry" maskkey="221551" enabled="True"&gt;&lt;CriteriaItem k="221542" c="Institutional Broker/Dealer" o="0" v="0" r="False" id="526" mask="" masktype="" maskkey="" enabled="True" /&gt;&lt;CriteriaItem k="221542" c="Online Broker" o="0" v="1" r="False" id="527" mask="" masktype="" maskkey="" enabled="True" /&gt;&lt;CriteriaItem k="221542" c="Global Investment Bank" o="0" v="2" r="False" id="528" mask="" masktype="" maskkey="" enabled="True" /&gt;&lt;CriteriaItem k="221542" c="National Broker/Dealer" o="0" v="3" r="False" id="529" mask="" masktype="" maskkey="" enabled="True" /&gt;&lt;CriteriaItem k="221542" c="Regional Broker/Dealer" o="0" v="4" r="False" id="530" mask="" masktype="" maskkey="" enabled="True" /&gt;&lt;CriteriaItem k="221542" c="Exchange" o="0" v="7" r="False" id="1944" mask="" masktype="" maskkey="" enabled="True" /&gt;&lt;CriteriaItem k="221542" c="Clearing Company" o="0" v="8" r="False" id="1945" mask="" masktype="" maskkey="" enabled="True" /&gt;&lt;CriteriaItem k="221542" c="Multinational Broker/Dealer" o="0" v="9" r="False" id="1946" mask="" masktype="" maskkey="" enabled="True" /&gt;&lt;/CriteriaItem&gt;&lt;/CriteriaItem&gt;&lt;CriteriaItem k="" c="Specialty Finance" o="" v="" r="False" id="510" mask="" masktype="" maskkey="" enabled=""&gt;&lt;CriteriaItem k="221551" c="Specialty Lender" o="0" v="3" r="False" id="531" mask="8" masktype="Industry" maskkey="221551" enabled="True"&gt;&lt;CriteriaItem k="221543" c="Auto Finance Lender" o="0" v="0" r="False" id="533" mask="" masktype="" maskkey="" enabled="True" /&gt;&lt;CriteriaItem k="221543" c="Commercial Mortgage Bank" o="0" v="7" r="False" id="534" mask="" masktype="" maskkey="" enabled="True" /&gt;&lt;CriteriaItem k="221543" c="Credit Card Company" o="0" v="1" r="False" id="535" mask="" masktype="" maskkey="" enabled="True" /&gt;&lt;CriteriaItem k="221543" c="Diversified Consumer Lender" o="0" v="5" r="False" id="536" mask="" masktype="" maskkey="" enabled="True" /&gt;&lt;CriteriaItem k="221543" c="Diversified Commercial Lender" o="0" v="10" r="False" id="537" mask="" masktype="" maskkey="" enabled="True" /&gt;&lt;CriteriaItem k="221543" c="Diversified Mortgage Company" o="0" v="12" r="False" id="538" mask="" masktype="" maskkey="" enabled="True" /&gt;&lt;CriteriaItem k="221543" c="Diversified Specialty Lender" o="0" v="13" r="False" id="539" mask="" masktype="" maskkey="" enabled="True" /&gt;&lt;CriteriaItem k="221543" c="Equipment Lender" o="0" v="8" r="False" id="540" mask="" masktype="" maskkey="" enabled="True" /&gt;&lt;CriteriaItem k="221543" c="GSE" o="0" v="14" r="False" id="541" mask="" masktype="" maskkey="" enabled="True" /&gt;&lt;CriteriaItem k="221543" c="Home Equity Lender" o="0" v="3" r="False" id="607" mask="" masktype="" maskkey="" enabled="True" /&gt;&lt;CriteriaItem k="221543" c="Residential Mortgage Bank" o="0" v="2" r="False" id="608" mask="" masktype="" maskkey="" enabled="True" /&gt;&lt;CriteriaItem k="221543" c="Niche Commercial Lender" o="0" v="19" r="False" id="542" mask="" masktype="" maskkey="" enabled="True" /&gt;&lt;CriteriaItem k="221543" c="Niche Consumer Lender" o="0" v="4" r="False" id="543" mask="" masktype="" maskkey="" enabled="True" /&gt;&lt;CriteriaItem k="221543" c="Pawn Shop" o="0" v="15" r="False" id="544" mask="" masktype="" maskkey="" enabled="True" /&gt;&lt;/CriteriaItem&gt;&lt;CriteriaItem k="221551" c="Investment Company" o="0" v="7" r="False" id="532" mask="128" masktype="Industry" maskkey="221551" enabled="True"&gt;&lt;CriteriaItem k="221543" c="Investment Company" o="0" v="22" r="False" id="545" mask="" masktype="" maskkey="" enabled="True" /&gt;&lt;CriteriaItem k="221543" c="Regulated Investment Company" o="0" v="20" r="False" id="546" mask="" masktype="" maskkey="" enabled="True" /&gt;&lt;CriteriaItem k="221543" c="Business Development Company" o="0" v="21" r="False" id="547" mask="" masktype="" maskkey="" enabled="True" /&gt;&lt;CriteriaItem k="221543" c="Specialty Finance REIT" o="0" v="18" r="False" id="548" mask="" masktype="" maskkey="" enabled="True" /&gt;&lt;CriteriaItem k="221543" c="Mortgage REIT" o="0" v="17" r="False" id="549" mask="" masktype="" maskkey="" enabled="True" /&gt;&lt;CriteriaItem k="221543" c="MBS REIT" o="0" v="16" r="False" id="550" mask="" masktype="" maskkey="" enabled="True" /&gt;&lt;/CriteriaItem&gt;&lt;/CriteriaItem&gt;&lt;CriteriaItem k="221551" c="Financial Technology" o="0" v="15" r="False" id="511" mask="32768" masktype="Industry" maskkey="221551" enabled="True"&gt;&lt;CriteriaItem k="221544" c="Banking Technology" o="0" v="2" r="False" id="551" mask="" masktype="" maskkey="" enabled="True" /&gt;&lt;CriteriaItem k="221544" c="Financial Media &amp;amp; Content" o="0" v="7" r="False" id="552" mask="" masktype="" maskkey="" enabled="True" /&gt;&lt;CriteriaItem k="221544" c="Insurance/Healthcare Solutions" o="0" v="0" r="False" id="553" mask="" masktype="" maskkey="" enabled="True" /&gt;&lt;CriteriaItem k="221544" c="Investments Technology" o="0" v="1" r="False" id="554" mask="" masktype="" maskkey="" enabled="True" /&gt;&lt;CriteriaItem k="221544" c="Outsourcing" o="0" v="5" r="False" id="555" mask="" masktype="" maskkey="" enabled="True" /&gt;&lt;CriteriaItem k="221544" c="Payment Processors" o="0" v="3" r="False" id="556" mask="" masktype="" maskkey="" enabled="True" /&gt;&lt;CriteriaItem k="221544" c="Payroll &amp;amp; Administrative Solutions" o="0" v="6" r="False" id="557" mask="" masktype="" maskkey="" enabled="True" /&gt;&lt;CriteriaItem k="221544" c="Processing Software &amp;amp; Hardware" o="0" v="4" r="False" id="558" mask="" masktype="" maskkey="" enabled="True" /&gt;&lt;/CriteriaItem&gt;&lt;CriteriaItem k="" c="Real Estate" o="" v="" r="False" id="512" mask="" masktype="" maskkey="" enabled=""&gt;&lt;CriteriaItem k="221551" c="REIT &amp;amp; Property Company" o="0" v="6" r="False" id="559" mask="64" masktype="Industry" maskkey="221551" enabled="True"&gt;&lt;CriteriaItem k="127353" c="REIT" o="0" v="1" r="False" id="562" mask="" masktype="" maskkey="" enabled="True"&gt;&lt;CriteriaItem k="221545" c="Diversified" o="0" v="56" r="False" id="564" mask="" masktype="" maskkey="" enabled="True" /&gt;&lt;CriteriaItem k="221545" c="Health Care" o="0" v="27" r="False" id="565" mask="" masktype="" maskkey="" enabled="True" /&gt;&lt;CriteriaItem k="221545" c="Hotel" o="7" v="35,36,37,38,39" r="False" id="566" mask="" masktype="" maskkey="" enabled="True" /&gt;&lt;CriteriaItem k="221545" c="Industrial" o="0" v="11" r="False" id="567" mask="" masktype="" maskkey="" enabled="True" /&gt;&lt;CriteriaItem k="221545" c="Manufactured home" o="0" v="4" r="False" id="568" mask="" masktype="" maskkey="" enabled="True" /&gt;&lt;CriteriaItem k="221545" c="Multi-family" o="0" v="2" r="False" id="569" mask="" masktype="" maskkey="" enabled="True" /&gt;&lt;CriteriaItem k="221545" c="Office" o="0" v="16" r="False" id="570" mask="" masktype="" maskkey="" enabled="True" /&gt;&lt;CriteriaItem k="221545" c="Regional Mall" o="0" v="6" r="False" id="571" mask="" masktype="" maskkey="" enabled="True" /&gt;&lt;CriteriaItem k="221545" c="Retail: Other" o="7" v="5,8,9,10" r="False" id="572" mask="" masktype="" maskkey="" enabled="True" /&gt;&lt;CriteriaItem k="221545" c="Self-Storage" o="0" v="34" r="False" id="573" mask="" masktype="" maskkey="" enabled="True" /&gt;&lt;CriteriaItem k="221545" c="Shopping Center" o="0" v="7" r="False" id="574" mask="" masktype="" maskkey="" enabled="True" /&gt;&lt;CriteriaItem k="221545" c="Specialty" o="7" v="50,3,26,40,41,42,43,45,46,48,49,51,52,57" r="False" id="575" mask="" masktype="" maskkey="" enabled="True" /&gt;&lt;/CriteriaItem&gt;&lt;CriteriaItem k="127353" c="Property Company" o="0" v="0" r="False" id="563" mask="" masktype="" maskkey="" enabled="True"&gt;&lt;CriteriaItem k="221545" c="Diversified" o="0" v="56" r="False" id="576" mask="" masktype="" maskkey="" enabled="True" /&gt;&lt;CriteriaItem k="221545" c="Health Care" o="0" v="27" r="False" id="577" mask="" masktype="" maskkey="" enabled="True" /&gt;&lt;CriteriaItem k="221545" c="Hotel" o="7" v="35,36,37,38,39" r="False" id="578" mask="" masktype="" maskkey="" enabled="True" /&gt;&lt;CriteriaItem k="221545" c="Industrial" o="0" v="11" r="False" id="579" mask="" masktype="" maskkey="" enabled="True" /&gt;&lt;CriteriaItem k="221545" c="Manufactured home" o="0" v="4" r="False" id="580" mask="" masktype="" maskkey="" enabled="True" /&gt;&lt;CriteriaItem k="221545" c="Multi-family" o="0" v="2" r="False" id="581" mask="" masktype="" maskkey="" enabled="True" /&gt;&lt;CriteriaItem k="221545" c="Office" o="0" v="16" r="False" id="582" mask="" masktype="" maskkey="" enabled="True" /&gt;&lt;CriteriaItem k="221545" c="Regional Mall" o="0" v="6" r="False" id="583" mask="" masktype="" maskkey="" enabled="True" /&gt;&lt;CriteriaItem k="221545" c="Retail: Other" o="7" v="5,8,9,10" r="False" id="584" mask="" masktype="" maskkey="" enabled="True" /&gt;&lt;CriteriaItem k="221545" c="Self-Storage" o="0" v="34" r="False" id="585" mask="" masktype="" maskkey="" enabled="True" /&gt;&lt;CriteriaItem k="221545" c="Shopping Center" o="0" v="7" r="False" id="586" mask="" masktype="" maskkey="" enabled="True" /&gt;&lt;CriteriaItem k="221545" c="Specialty" o="7" v="50,3,26,40,41,42,43,45,46,48,49,51,52,57" r="False" id="587" mask="" masktype="" maskkey="" enabled="True" /&gt;&lt;/CriteriaItem&gt;&lt;/CriteriaItem&gt;&lt;CriteriaItem k="221551" c="Homebuilder" o="0" v="16" r="False" id="560" mask="65536" masktype="Industry" maskkey="221551" enabled="True" /&gt;&lt;CriteriaItem k="221551" c="Gaming" o="0" v="19" r="False" id="561" mask="524288" masktype="Industry" maskkey="221551" enabled="True" /&gt;&lt;/CriteriaItem&gt;&lt;CriteriaItem k="" c="Energy" o="" v="" r="False" id="513" mask="" masktype="" maskkey="" enabled=""&gt;&lt;CriteriaItem k="221551" c="Power" o="0" v="10" r="False" id="588" mask="1024" masktype="Industry" maskkey="221551" enabled="True" /&gt;&lt;CriteriaItem k="221551" c="Coal" o="0" v="17" r="False" id="589" mask="131072" masktype="Industry" maskkey="221551" enabled="True" /&gt;&lt;CriteriaItem k="" c="Natural Gas" o="" v="" r="False" id="590" mask="" masktype="" maskkey="" enabled=""&gt;&lt;CriteriaItem k="221551" c="Gas Utility" o="0" v="18" r="False" id="591" mask="262144" masktype="Industry" maskkey="221551" enabled="True" /&gt;&lt;CriteriaItem k="221551" c="Midstream" o="0" v="23" r="False" id="592" mask="8388608" masktype="Industry" maskkey="221551" enabled="True" /&gt;&lt;/CriteriaItem&gt;&lt;/CriteriaItem&gt;&lt;CriteriaItem k="" c="Media &amp;amp; Communications" o="" v="" r="False" id="514" mask="" masktype="" maskkey="" enabled=""&gt;&lt;CriteriaItem k="" c="Media" o="" v="" r="False" id="593" mask="" masktype="" maskkey="" enabled=""&gt;&lt;CriteriaItem k="221551" c="Media &amp;amp; Entertainment" o="0" v="20" r="False" id="595" mask="1048576" masktype="Industry" maskkey="221551" enabled="True" /&gt;&lt;CriteriaItem k="221551" c="New Media" o="0" v="21" r="False" id="596" mask="2097152" masktype="Industry" maskkey="221551" enabled="True" /&gt;&lt;/CriteriaItem&gt;&lt;CriteriaItem k="221551" c="Communications" o="0" v="14" r="False" id="594" mask="16384" masktype="Industry" maskkey="221551" enabled="True" /&gt;&lt;/CriteriaItem&gt;&lt;CriteriaItem k="221551" c="Metals &amp;amp; Mining" o="0" v="22" r="False" id="3851" mask="4194304" masktype="Industry" maskkey="221551" enabled="True"&gt;&lt;CriteriaItem k="139962" c="Diversified Commodities" o="0" v="24" r="False" id="3852" mask="" masktype="" maskkey="" enabled="True" /&gt;&lt;CriteriaItem k="139962" c="Precious Metals" o="0" v="25" r="False" id="3853" mask="" masktype="" maskkey="" enabled="True" /&gt;&lt;CriteriaItem k="139962" c="Base Metals" o="0" v="26" r="False" id="3854" mask="" masktype="" maskkey="" enabled="True" /&gt;&lt;CriteriaItem k="139962" c="Bulk Commodities" o="0" v="27" r="False" id="3855" mask="" masktype="" maskkey="" enabled="True" /&gt;&lt;CriteriaItem k="139962" c="Specialty Commodities" o="0" v="28" r="False" id="3856" mask="" masktype="" maskkey="" enabled="True" /&gt;&lt;/CriteriaItem&gt;&lt;/CriteriaItem&gt;&lt;/CriteriaGroup&gt;&lt;CriteriaGroup k="1" c="Geography" o="1" i="2" t="1" min="" max=""&gt;&lt;CriteriaItem k="" c="All Geographies" o="" v="" r="" id="2" mask="" masktype="" maskkey="" enabled=""&gt;&lt;CriteriaItem k="" c="United States and Canada" o="0" v="" r="True" id="3" mask="16" masktype="Geography" maskkey="221376" enabled=""&gt;&lt;CriteriaItem k="" c="United States" o="" v="" r="True" id="9" mask="" masktype="" maskkey="" enabled=""&gt;&lt;CriteriaItem k="" c="Mid Atlantic" o="" v="" r="True" id="12" mask="" masktype="" maskkey="" enabled=""&gt;&lt;CriteriaItem k="227172" c="Delaware" o="0" v="271" r="True" id="18" mask="" masktype="" maskkey="" enabled="" /&gt;&lt;CriteriaItem k="227172" c="District of Columbia" o="0" v="270" r="True" id="19" mask="" masktype="" maskkey="" enabled="" /&gt;&lt;CriteriaItem k="227172" c="Maryland" o="0" v="272" r="True" id="20" mask="" masktype="" maskkey="" enabled="" /&gt;&lt;CriteriaItem k="227172" c="New Jersey" o="0" v="273" r="True" id="21" mask="" masktype="" maskkey="" enabled="" /&gt;&lt;CriteriaItem k="227172" c="New York" o="0" v="274" r="True" id="22" mask="" masktype="" maskkey="" enabled="" /&gt;&lt;CriteriaItem k="227172" c="Pennsylvania" o="0" v="275" r="True" id="23" mask="" masktype="" maskkey="" enabled="" /&gt;&lt;CriteriaItem k="227172" c="Puerto Rico" o="0" v="276" r="True" id="50" mask="" masktype="" maskkey="" enabled="" /&gt;&lt;/CriteriaItem&gt;&lt;CriteriaItem k="" c="Midwest" o="" v="" r="True" id="13" mask="" masktype="" maskkey="" enabled=""&gt;&lt;CriteriaItem k="227172" c="Illinois" o="0" v="278" r="True" id="24" mask="" masktype="" maskkey="" enabled="" /&gt;&lt;CriteriaItem k="227172" c="Indiana" o="0" v="279" r="True" id="25" mask="" masktype="" maskkey="" enabled="" /&gt;&lt;CriteriaItem k="227172" c="Iowa" o="0" v="277" r="True" id="26" mask="" masktype="" maskkey="" enabled="" /&gt;&lt;CriteriaItem k="227172" c="Kansas" o="0" v="280" r="True" id="27" mask="" masktype="" maskkey="" enabled="" /&gt;&lt;CriteriaItem k="227172" c="Kentucky" o="0" v="281" r="True" id="28" mask="" masktype="" maskkey="" enabled="" /&gt;&lt;CriteriaItem k="227172" c="Michigan" o="0" v="282" r="True" id="29" mask="" masktype="" maskkey="" enabled="" /&gt;&lt;CriteriaItem k="227172" c="Minnesota" o="0" v="283" r="True" id="30" mask="" masktype="" maskkey="" enabled="" /&gt;&lt;CriteriaItem k="227172" c="Missouri" o="0" v="284" r="True" id="31" mask="" masktype="" maskkey="" enabled="" /&gt;&lt;CriteriaItem k="227172" c="Nebraska" o="0" v="286" r="True" id="32" mask="" masktype="" maskkey="" enabled="" /&gt;&lt;CriteriaItem k="227172" c="North Dakota" o="0" v="285" r="True" id="33" mask="" masktype="" maskkey="" enabled="" /&gt;&lt;CriteriaItem k="227172" c="Ohio" o="0" v="287" r="True" id="34" mask="" masktype="" maskkey="" enabled="" /&gt;&lt;CriteriaItem k="227172" c="South Dakota" o="0" v="288" r="True" id="35" mask="" masktype="" maskkey="" enabled="" /&gt;&lt;CriteriaItem k="227172" c="Wisconsin" o="0" v="289" r="True" id="36" mask="" masktype="" maskkey="" enabled="" /&gt;&lt;/CriteriaItem&gt;&lt;CriteriaItem k="" c="Northeast" o="" v="" r="True" id="14" mask="" masktype="" maskkey="" enabled=""&gt;&lt;CriteriaItem k="227172" c="Connecticut" o="0" v="290" r="True" id="37" mask="" masktype="" maskkey="" enabled="" /&gt;&lt;CriteriaItem k="227172" c="Maine" o="0" v="292" r="True" id="38" mask="" masktype="" maskkey="" enabled="" /&gt;&lt;CriteriaItem k="227172" c="Massachusetts" o="0" v="291" r="True" id="39" mask="" masktype="" maskkey="" enabled="" /&gt;&lt;CriteriaItem k="227172" c="New Hampshire" o="0" v="293" r="True" id="40" mask="" masktype="" maskkey="" enabled="" /&gt;&lt;CriteriaItem k="227172" c="Rhode Island" o="0" v="294" r="True" id="41" mask="" masktype="" maskkey="" enabled="" /&gt;&lt;CriteriaItem k="227172" c="Vermont" o="0" v="295" r="True" id="42" mask="" masktype="" maskkey="" enabled="" /&gt;&lt;/CriteriaItem&gt;&lt;CriteriaItem k="" c="Southeast" o="" v="" r="True" id="15" mask="" masktype="" maskkey="" enabled=""&gt;&lt;CriteriaItem k="227172" c="Alabama" o="0" v="296" r="True" id="43" mask="" masktype="" maskkey="" enabled="" /&gt;&lt;CriteriaItem k="227172" c="Arkansas" o="0" v="297" r="True" id="44" mask="" masktype="" maskkey="" enabled="" /&gt;&lt;CriteriaItem k="227172" c="Florida" o="0" v="298" r="True" id="45" mask="" masktype="" maskkey="" enabled="" /&gt;&lt;CriteriaItem k="227172" c="Georgia" o="0" v="299" r="True" id="46" mask="" masktype="" maskkey="" enabled="" /&gt;&lt;CriteriaItem k="227172" c="Mississippi" o="0" v="300" r="True" id="48" mask="" masktype="" maskkey="" enabled="" /&gt;&lt;CriteriaItem k="227172" c="North Carolina" o="0" v="301" r="True" id="49" mask="" masktype="" maskkey="" enabled="" /&gt;&lt;CriteriaItem k="227172" c="South Carolina" o="0" v="302" r="True" id="51" mask="" masktype="" maskkey="" enabled="" /&gt;&lt;CriteriaItem k="227172" c="Tennessee" o="0" v="303" r="True" id="52" mask="" masktype="" maskkey="" enabled="" /&gt;&lt;CriteriaItem k="227172" c="Virgin Islands, U.S." o="0" v="305" r="True" id="53" mask="" masktype="" maskkey="" enabled="" /&gt;&lt;CriteriaItem k="227172" c="Virginia" o="0" v="304" r="True" id="54" mask="" masktype="" maskkey="" enabled="" /&gt;&lt;CriteriaItem k="227172" c="West Virginia" o="0" v="306" r="True" id="55" mask="" masktype="" maskkey="" enabled="" /&gt;&lt;/CriteriaItem&gt;&lt;CriteriaItem k="" c="Southwest" o="" v="" r="True" id="16" mask="" masktype="" maskkey="" enabled=""&gt;&lt;CriteriaItem k="227172" c="Colorado" o="0" v="307" r="True" id="56" mask="" masktype="" maskkey="" enabled="" /&gt;&lt;CriteriaItem k="227172" c="Louisiana" o="0" v="308" r="True" id="47" mask="" masktype="" maskkey="" enabled="" /&gt;&lt;CriteriaItem k="227172" c="New Mexico" o="0" v="309" r="True" id="57" mask="" masktype="" maskkey="" enabled="" /&gt;&lt;CriteriaItem k="227172" c="Oklahoma" o="0" v="310" r="True" id="58" mask="" masktype="" maskkey="" enabled="" /&gt;&lt;CriteriaItem k="227172" c="Texas" o="0" v="311" r="True" id="59" mask="" masktype="" maskkey="" enabled="" /&gt;&lt;CriteriaItem k="227172" c="Utah" o="0" v="312" r="True" id="60" mask="" masktype="" maskkey="" enabled="" /&gt;&lt;/CriteriaItem&gt;&lt;CriteriaItem k="" c="West" o="" v="" r="True" id="17" mask="" masktype="" maskkey="" enabled=""&gt;&lt;CriteriaItem k="227172" c="Alaska" o="0" v="313" r="True" id="61" mask="" masktype="" maskkey="" enabled="" /&gt;&lt;CriteriaItem k="227172" c="American Samoa" o="0" v="314" r="True" id="62" mask="" masktype="" maskkey="" enabled="" /&gt;&lt;CriteriaItem k="227172" c="Arizona" o="0" v="315" r="True" id="63" mask="" masktype="" maskkey="" enabled="" /&gt;&lt;CriteriaItem k="227172" c="California" o="0" v="316" r="True" id="64" mask="" masktype="" maskkey="" enabled="" /&gt;&lt;CriteriaItem k="227172" c="Guam" o="0" v="318" r="True" id="65" mask="" masktype="" maskkey="" enabled="" /&gt;&lt;CriteriaItem k="227172" c="Hawaii" o="0" v="319" r="True" id="66" mask="" masktype="" maskkey="" enabled="" /&gt;&lt;CriteriaItem k="227172" c="Idaho" o="0" v="320" r="True" id="67" mask="" masktype="" maskkey="" enabled="" /&gt;&lt;CriteriaItem k="227172" c="Montana" o="0" v="323" r="True" id="68" mask="" masktype="" maskkey="" enabled="" /&gt;&lt;CriteriaItem k="227172" c="Nevada" o="0" v="324" r="True" id="69" mask="" masktype="" maskkey="" enabled="" /&gt;&lt;CriteriaItem k="227172" c="Northern Mariana Islands" o="0" v="322" r="True" id="70" mask="" masktype="" maskkey="" enabled="" /&gt;&lt;CriteriaItem k="227172" c="Oregon" o="0" v="325" r="True" id="71" mask="" masktype="" maskkey="" enabled="" /&gt;&lt;CriteriaItem k="227172" c="United States Minor Outlying Islands" o="0" v="327" r="True" id="72" mask="" masktype="" maskkey="" enabled="" /&gt;&lt;CriteriaItem k="227172" c="Washington" o="0" v="328" r="True" id="73" mask="" masktype="" maskkey="" enabled="" /&gt;&lt;CriteriaItem k="227172" c="Wyoming" o="0" v="329" r="True" id="74" mask="" masktype="" maskkey="" enabled="" /&gt;&lt;/CriteriaItem&gt;&lt;/CriteriaItem&gt;&lt;CriteriaItem k="227172" c="Canada" o="0" v="38" r="True" id="10" mask="" masktype="" maskkey="" enabled="" /&gt;&lt;CriteriaItem k="227172" c="Bermuda" o="0" v="12" r="True" id="11" mask="" masktype="" maskkey="" enabled="" /&gt;&lt;/CriteriaItem&gt;&lt;CriteriaItem k="" c="Europe" o="0" v="" r="True" id="4" mask="4" masktype="Geography" maskkey="221376" enabled=""&gt;&lt;CriteriaItem k="" c="Developed Europe" o="" v="" r="True" id="75" mask="" masktype="" maskkey="" enabled=""&gt;&lt;CriteriaItem k="227172" c="Andorra" o="0" v="170" r="True" id="93" mask="" masktype="" maskkey="" enabled="" /&gt;&lt;CriteriaItem k="227172" c="Austria" o="0" v="206" r="True" id="96" mask="" masktype="" maskkey="" enabled="" /&gt;&lt;CriteriaItem k="227172" c="Belgium" o="0" v="175" r="True" id="86" mask="" masktype="" maskkey="" enabled="" /&gt;&lt;CriteriaItem k="227172" c="Cyprus" o="0" v="126" r="True" id="97" mask="" masktype="" maskkey="" enabled="" /&gt;&lt;CriteriaItem k="227172" c="Czech Republic" o="0" v="207" r="True" id="77" mask="" masktype="" maskkey="" enabled="" /&gt;&lt;CriteriaItem k="227172" c="Denmark" o="0" v="209" r="True" id="87" mask="" masktype="" maskkey="" enabled="" /&gt;&lt;CriteriaItem k="227172" c="Finland" o="0" v="181" r="True" id="98" mask="" masktype="" maskkey="" enabled="" /&gt;&lt;CriteriaItem k="227172" c="France" o="0" v="183" r="True" id="79" mask="" masktype="" maskkey="" enabled="" /&gt;&lt;CriteriaItem k="227172" c="Germany" o="0" v="208" r="True" id="78" mask="" masktype="" maskkey="" enabled="" /&gt;&lt;CriteriaItem k="227172" c="Gibraltar" o="0" v="185" r="True" id="80" mask="" masktype="" maskkey="" enabled="" /&gt;&lt;CriteriaItem k="227172" c="Greece" o="0" v="186" r="True" id="83" mask="" masktype="" maskkey="" enabled="" /&gt;&lt;CriteriaItem k="227172" c="Greenland" o="0" v="19" r="True" id="82" mask="" masktype="" maskkey="" enabled="" /&gt;&lt;CriteriaItem k="227172" c="Iceland" o="0" v="189" r="True" id="99" mask="" masktype="" maskkey="" enabled="" /&gt;&lt;CriteriaItem k="227172" c="Ireland" o="0" v="212" r="True" id="84" mask="" masktype="" maskkey="" enabled="" /&gt;&lt;CriteriaItem k="227172" c="Italy" o="0" v="190" r="True" id="85" mask="" masktype="" maskkey="" enabled="" /&gt;&lt;CriteriaItem k="227172" c="Liechtenstein" o="0" v="213" r="True" id="94" mask="" masktype="" maskkey="" enabled="" /&gt;&lt;CriteriaItem k="227172" c="Luxembourg" o="0" v="214" r="True" id="81" mask="" masktype="" maskkey="" enabled="" /&gt;&lt;CriteriaItem k="227172" c="Malta" o="0" v="195" r="True" id="100" mask="" masktype="" maskkey="" enabled="" /&gt;&lt;CriteriaItem k="227172" c="Monaco" o="0" v="215" r="True" id="95" mask="" masktype="" maskkey="" enabled="" /&gt;&lt;CriteriaItem k="227172" c="Netherlands" o="0" v="216" r="True" id="91" mask="" masktype="" maskkey="" enabled="" /&gt;&lt;CriteriaItem k="227172" c="Norway" o="0" v="196" r="True" id="88" mask="" masktype="" maskkey="" enabled="" /&gt;&lt;CriteriaItem k="227172" c="Portugal" o="0" v="218" r="True" id="92" mask="" masktype="" maskkey="" enabled="" /&gt;&lt;CriteriaItem k="227172" c="San Marino" o="0" v="202" r="True" id="101" mask="" masktype="" maskkey="" enabled="" /&gt;&lt;CriteriaItem k="227172" c="Slovakia" o="0" v="201" r="True" id="103" mask="" masktype="" maskkey="" enabled="" /&gt;&lt;CriteriaItem k="227172" c="Slovenia" o="0" v="199" r="True" id="102" mask="" masktype="" maskkey="" enabled="" /&gt;&lt;CriteriaItem k="227172" c="Spain" o="0" v="210" r="True" id="89" mask="" masktype="" maskkey="" enabled="" /&gt;&lt;CriteriaItem k="227172" c="Sweden" o="0" v="219" r="True" id="90" mask="" masktype="" maskkey="" enabled="" /&gt;&lt;CriteriaItem k="227172" c="Switzerland" o="0" v="178" r="True" id="105" mask="" masktype="" maskkey="" enabled="" /&gt;&lt;CriteriaItem k="227172" c="United Kingdom" o="0" v="211" r="True" id="106" mask="" masktype="" maskkey="" enabled="" /&gt;&lt;CriteriaItem k="227172" c="Vatican City" o="0" v="205" r="True" id="104" mask="" masktype="" maskkey="" enabled="" /&gt;&lt;/CriteriaItem&gt;&lt;CriteriaItem k="" c="Emerging Europe" o="" v="" r="True" id="76" mask="" masktype="" maskkey="" enabled=""&gt;&lt;CriteriaItem k="227172" c="Åland Islands" o="0" v="172" r="True" id="107" mask="" masktype="" maskkey="" enabled="" /&gt;&lt;CriteriaItem k="227172" c="Albania" o="0" v="171" r="True" id="113" mask="" masktype="" maskkey="" enabled="" /&gt;&lt;CriteriaItem k="227172" c="Armenia" o="0" v="120" r="True" id="114" mask="" masktype="" maskkey="" enabled="" /&gt;&lt;CriteriaItem k="227172" c="Azerbaijan" o="0" v="173" r="True" id="108" mask="" masktype="" maskkey="" enabled="" /&gt;&lt;CriteriaItem k="227172" c="Belarus" o="0" v="177" r="True" id="115" mask="" masktype="" maskkey="" enabled="" /&gt;&lt;CriteriaItem k="227172" c="Bosnia &amp;amp; Herzegovina" o="0" v="174" r="True" id="109" mask="" masktype="" maskkey="" enabled="" /&gt;&lt;CriteriaItem k="227172" c="Bulgaria" o="0" v="176" r="True" id="116" mask="" masktype="" maskkey="" enabled="" /&gt;&lt;CriteriaItem k="227172" c="Croatia" o="0" v="187" r="True" id="117" mask="" masktype="" maskkey="" enabled="" /&gt;&lt;CriteriaItem k="227172" c="Estonia" o="0" v="180" r="True" id="118" mask="" masktype="" maskkey="" enabled="" /&gt;&lt;CriteriaItem k="227172" c="Faroe Islands" o="0" v="182" r="True" id="110" mask="" masktype="" maskkey="" enabled="" /&gt;&lt;CriteriaItem k="227172" c="Georgia" o="0" v="184" r="True" id="112" mask="" masktype="" maskkey="" enabled="" /&gt;&lt;CriteriaItem k="227172" c="Hungary" o="0" v="188" r="True" id="119" mask="" masktype="" maskkey="" enabled="" /&gt;&lt;CriteriaItem k="227172" c="Kazakhstan" o="0" v="138" r="True" id="167" mask="" masktype="" maskkey="" enabled="" /&gt;&lt;CriteriaItem k="227172" c="Kyrgyzstan" o="0" v="134" r="True" id="154" mask="" masktype="" maskkey="" enabled="" /&gt;&lt;CriteriaItem k="227172" c="Latvia" o="0" v="192" r="True" id="120" mask="" masktype="" maskkey="" enabled="" /&gt;&lt;CriteriaItem k="227172" c="Lithuania" o="0" v="191" r="True" id="121" mask="" masktype="" maskkey="" enabled="" /&gt;&lt;CriteriaItem k="227172" c="Macedonia" o="0" v="194" r="True" id="111" mask="" masktype="" maskkey="" enabled="" /&gt;&lt;CriteriaItem k="227172" c="Moldova" o="0" v="193" r="True" id="122" mask="" masktype="" maskkey="" enabled="" /&gt;&lt;CriteriaItem k="227172" c="Montenegro" o="0" v="997" r="True" id="1950" mask="" masktype="" maskkey="" enabled="" /&gt;&lt;CriteriaItem k="227172" c="Poland" o="0" v="217" r="True" id="123" mask="" masktype="" maskkey="" enabled="" /&gt;&lt;CriteriaItem k="227172" c="Romania" o="0" v="197" r="True" id="125" mask="" masktype="" maskkey="" enabled="" /&gt;&lt;CriteriaItem k="227172" c="Russia" o="0" v="198" r="True" id="126" mask="" masktype="" maskkey="" enabled="" /&gt;&lt;CriteriaItem k="227172" c="Serbia" o="0" v="179" r="True" id="127" mask="" masktype="" maskkey="" enabled="" /&gt;&lt;CriteriaItem k="227172" c="Svalbard" o="0" v="200" r="True" id="128" mask="" masktype="" maskkey="" enabled="" /&gt;&lt;CriteriaItem k="227172" c="Tajikistan" o="0" v="155" r="True" id="172" mask="" masktype="" maskkey="" enabled="" /&gt;&lt;CriteriaItem k="227172" c="Turkey" o="0" v="203" r="True" id="124" mask="" masktype="" maskkey="" enabled="" /&gt;&lt;CriteriaItem k="227172" c="Turkmenistan" o="0" v="156" r="True" id="188" mask="" masktype="" maskkey="" enabled="" /&gt;&lt;CriteriaItem k="227172" c="Ukraine" o="0" v="204" r="True" id="129" mask="" masktype="" maskkey="" enabled="" /&gt;&lt;CriteriaItem k="227172" c="Uzbekistan" o="0" v="158" r="True" id="175" mask="" masktype="" maskkey="" enabled="" /&gt;&lt;/CriteriaItem&gt;&lt;/CriteriaItem&gt;&lt;CriteriaItem k="" c="Asia-Pacific" o="0" v="" r="True" id="5" mask="2" masktype="Geography" maskkey="221376" enabled=""&gt;&lt;CriteriaItem k="" c="Developed Asia-Pacific" o="" v="" r="True" id="130" mask="" masktype="" maskkey="" enabled=""&gt;&lt;CriteriaItem k="227172" c="Australia" o="0" v="239" r="True" id="132" mask="" masktype="" maskkey="" enabled="" /&gt;&lt;CriteriaItem k="227172" c="Hong Kong" o="0" v="127" r="True" id="133" mask="" masktype="" maskkey="" enabled="" /&gt;&lt;CriteriaItem k="227172" c="Japan" o="0" v="133" r="True" id="134" mask="" masktype="" maskkey="" enabled="" /&gt;&lt;CriteriaItem k="227172" c="New Zealand" o="0" v="228" r="True" id="135" mask="" masktype="" maskkey="" enabled="" /&gt;&lt;CriteriaItem k="227172" c="Singapore" o="0" v="152" r="True" id="137" mask="" masktype="" maskkey="" enabled="" /&gt;&lt;CriteriaItem k="227172" c="South Korea" o="0" v="136" r="True" id="136" mask="" masktype="" maskkey="" enabled="" /&gt;&lt;CriteriaItem k="227172" c="Taiwan" o="0" v="169" r="True" id="138" mask="" masktype="" maskkey="" enabled="" /&gt;&lt;/CriteriaItem&gt;&lt;CriteriaItem k="" c="Emerging Asia-Pacific" o="" v="" r="True" id="131" mask="" masktype="" maskkey="" enabled=""&gt;&lt;CriteriaItem k="227172" c="Afghanistan" o="0" v="161" r="True" id="187" mask="" masktype="" maskkey="" enabled="" /&gt;&lt;CriteriaItem k="227172" c="Bangladesh" o="0" v="121" r="True" id="161" mask="" masktype="" maskkey="" enabled="" /&gt;&lt;CriteriaItem k="227172" c="Bhutan" o="0" v="123" r="True" id="150" mask="" masktype="" maskkey="" enabled="" /&gt;&lt;CriteriaItem k="227172" c="Brunei" o="0" v="122" r="True" id="159" mask="" masktype="" maskkey="" enabled="" /&gt;&lt;CriteriaItem k=</t>
        </r>
      </text>
    </comment>
    <comment ref="E4" authorId="2" shapeId="0" xr:uid="{00000000-0006-0000-0300-000006000000}">
      <text>
        <r>
          <rPr>
            <b/>
            <sz val="8"/>
            <color indexed="81"/>
            <rFont val="Tahoma"/>
            <family val="2"/>
          </rPr>
          <t>"227172" c="Burma" o="0" v="142" r="True" id="190" mask="" masktype="" maskkey="" enabled="" /&gt;&lt;CriteriaItem k="227172" c="Cambodia" o="0" v="135" r="True" id="151" mask="" masktype="" maskkey="" enabled="" /&gt;&lt;CriteriaItem k="227172" c="China" o="0" v="163" r="True" id="162" mask="" masktype="" maskkey="" enabled="" /&gt;&lt;CriteriaItem k="227172" c="Cook Islands" o="0" v="220" r="True" id="142" mask="" masktype="" maskkey="" enabled="" /&gt;&lt;CriteriaItem k="227172" c="Fiji" o="0" v="221" r="True" id="164" mask="" masktype="" maskkey="" enabled="" /&gt;&lt;CriteriaItem k="227172" c="French Polynesia" o="0" v="229" r="True" id="180" mask="" masktype="" maskkey="" enabled="" /&gt;&lt;CriteriaItem k="227172" c="India" o="0" v="128" r="True" id="165" mask="" masktype="" maskkey="" enabled="" /&gt;&lt;CriteriaItem k="227172" c="Indonesia" o="0" v="164" r="True" id="166" mask="" masktype="" maskkey="" enabled="" /&gt;&lt;CriteriaItem k="227172" c="Kiribati" o="0" v="222" r="True" id="168" mask="" masktype="" maskkey="" enabled="" /&gt;&lt;CriteriaItem k="227172" c="Laos" o="0" v="139" r="True" id="155" mask="" masktype="" maskkey="" enabled="" /&gt;&lt;CriteriaItem k="227172" c="Macau" o="0" v="144" r="True" id="156" mask="" masktype="" maskkey="" enabled="" /&gt;&lt;CriteriaItem k="227172" c="Malaysia" o="0" v="146" r="True" id="157" mask="" masktype="" maskkey="" enabled="" /&gt;&lt;CriteriaItem k="227172" c="Maldives" o="0" v="145" r="True" id="169" mask="" masktype="" maskkey="" enabled="" /&gt;&lt;CriteriaItem k="227172" c="Marshall Islands" o="0" v="240" r="True" id="173" mask="" masktype="" maskkey="" enabled="" /&gt;&lt;CriteriaItem k="227172" c="Mongolia" o="0" v="143" r="True" id="158" mask="" masktype="" maskkey="" enabled="" /&gt;&lt;CriteriaItem k="227172" c="Nauru" o="0" v="226" r="True" id="170" mask="" masktype="" maskkey="" enabled="" /&gt;&lt;CriteriaItem k="227172" c="Nepal" o="0" v="147" r="True" id="146" mask="" masktype="" maskkey="" enabled="" /&gt;&lt;CriteriaItem k="227172" c="New Caledonia" o="0" v="224" r="True" id="182" mask="" masktype="" maskkey="" enabled="" /&gt;&lt;CriteriaItem k="227172" c="Niue" o="0" v="227" r="True" id="160" mask="" masktype="" maskkey="" enabled="" /&gt;&lt;CriteriaItem k="227172" c="North Korea" o="0" v="166" r="True" id="143" mask="" masktype="" maskkey="" enabled="" /&gt;&lt;CriteriaItem k="227172" c="Northern Mariana" o="0" v="223" r="True" id="141" mask="" masktype="" maskkey="" enabled="" /&gt;&lt;CriteriaItem k="227172" c="Pakistan" o="0" v="149" r="True" id="149" mask="" masktype="" maskkey="" enabled="" /&gt;&lt;CriteriaItem k="227172" c="Palau" o="0" v="232" r="True" id="171" mask="" masktype="" maskkey="" enabled="" /&gt;&lt;CriteriaItem k="227172" c="Papua New Guinea" o="0" v="230" r="True" id="147" mask="" masktype="" maskkey="" enabled="" /&gt;&lt;CriteriaItem k="227172" c="Philippines" o="0" v="167" r="True" id="174" mask="" masktype="" maskkey="" enabled="" /&gt;&lt;CriteriaItem k="227172" c="Samoa" o="0" v="241" r="True" id="148" mask="" masktype="" maskkey="" enabled="" /&gt;&lt;CriteriaItem k="227172" c="Solomon Islands" o="0" v="233" r="True" id="178" mask="" masktype="" maskkey="" enabled="" /&gt;&lt;CriteriaItem k="227172" c="Sri Lanka" o="0" v="141" r="True" id="145" mask="" masktype="" maskkey="" enabled="" /&gt;&lt;CriteriaItem k="227172" c="Thailand" o="0" v="154" r="True" id="152" mask="" masktype="" maskkey="" enabled="" /&gt;&lt;CriteriaItem k="227172" c="Timor-Leste" o="0" v="157" r="True" id="144" mask="" masktype="" maskkey="" enabled="" /&gt;&lt;CriteriaItem k="227172" c="Tokelau" o="0" v="234" r="True" id="186" mask="" masktype="" maskkey="" enabled="" /&gt;&lt;CriteriaItem k="227172" c="Tonga" o="0" v="235" r="True" id="153" mask="" masktype="" maskkey="" enabled="" /&gt;&lt;CriteriaItem k="227172" c="Tuvalu" o="0" v="236" r="True" id="189" mask="" masktype="" maskkey="" enabled="" /&gt;&lt;CriteriaItem k="227172" c="Vanuatu" o="0" v="237" r="True" id="176" mask="" masktype="" maskkey="" enabled="" /&gt;&lt;CriteriaItem k="227172" c="Vietnam" o="0" v="159" r="True" id="177" mask="" masktype="" maskkey="" enabled="" /&gt;&lt;CriteriaItem k="227172" c="Wallis &amp;amp; Futuna" o="0" v="238" r="True" id="185" mask="" masktype="" maskkey="" enabled="" /&gt;&lt;/CriteriaItem&gt;&lt;/CriteriaItem&gt;&lt;CriteriaItem k="" c="Middle East" o="0" v="" r="True" id="6" mask="32" masktype="Geography" maskkey="221376" enabled=""&gt;&lt;CriteriaItem k="227172" c="Bahrain" o="0" v="162" r="True" id="194" mask="" masktype="" maskkey="" enabled="" /&gt;&lt;CriteriaItem k="227172" c="Egypt" o="0" v="74" r="True" id="191" mask="" masktype="" maskkey="" enabled="" /&gt;&lt;CriteriaItem k="227172" c="Iran" o="0" v="131" r="True" id="193" mask="" masktype="" maskkey="" enabled="" /&gt;&lt;CriteriaItem k="227172" c="Iraq" o="0" v="130" r="True" id="198" mask="" masktype="" maskkey="" enabled="" /&gt;&lt;CriteriaItem k="227172" c="Israel" o="0" v="165" r="True" id="200" mask="" masktype="" maskkey="" enabled="" /&gt;&lt;CriteriaItem k="227172" c="Jordan" o="0" v="132" r="True" id="192" mask="" masktype="" maskkey="" enabled="" /&gt;&lt;CriteriaItem k="227172" c="Kuwait" o="0" v="137" r="True" id="201" mask="" masktype="" maskkey="" enabled="" /&gt;&lt;CriteriaItem k="227172" c="Lebanon" o="0" v="140" r="True" id="196" mask="" masktype="" maskkey="" enabled="" /&gt;&lt;CriteriaItem k="227172" c="Oman" o="0" v="148" r="True" id="203" mask="" masktype="" maskkey="" enabled="" /&gt;&lt;CriteriaItem k="227172" c="Palestine" o="0" v="150" r="True" id="197" mask="" masktype="" maskkey="" enabled="" /&gt;&lt;CriteriaItem k="227172" c="Qatar" o="0" v="151" r="True" id="202" mask="" masktype="" maskkey="" enabled="" /&gt;&lt;CriteriaItem k="227172" c="Saudi Arabia" o="0" v="168" r="True" id="195" mask="" masktype="" maskkey="" enabled="" /&gt;&lt;CriteriaItem k="227172" c="Syria" o="0" v="153" r="True" id="204" mask="" masktype="" maskkey="" enabled="" /&gt;&lt;CriteriaItem k="227172" c="United Arab Emirates" o="0" v="119" r="True" id="205" mask="" masktype="" maskkey="" enabled="" /&gt;&lt;CriteriaItem k="227172" c="Yemen" o="0" v="160" r="True" id="199" mask="" masktype="" maskkey="" enabled="" /&gt;&lt;/CriteriaItem&gt;&lt;CriteriaItem k="" c="Latin America and Caribbean" o="0" v="" r="True" id="7" mask="8" masktype="Geography" maskkey="221376" enabled=""&gt;&lt;CriteriaItem k="227172" c="Anguilla" o="0" v="9" r="True" id="206" mask="" masktype="" maskkey="" enabled="" /&gt;&lt;CriteriaItem k="227172" c="Antigua and Barbuda" o="0" v="8" r="True" id="207" mask="" masktype="" maskkey="" enabled="" /&gt;&lt;CriteriaItem k="227172" c="Argentina" o="0" v="52" r="True" id="208" mask="" masktype="" maskkey="" enabled="" /&gt;&lt;CriteriaItem k="227172" c="Aruba" o="0" v="10" r="True" id="209" mask="" masktype="" maskkey="" enabled="" /&gt;&lt;CriteriaItem k="227172" c="Bahamas" o="0" v="37" r="True" id="216" mask="" masktype="" maskkey="" enabled="" /&gt;&lt;CriteriaItem k="227172" c="Barbados" o="0" v="11" r="True" id="210" mask="" masktype="" maskkey="" enabled="" /&gt;&lt;CriteriaItem k="227172" c="Belize" o="0" v="13" r="True" id="211" mask="" masktype="" maskkey="" enabled="" /&gt;&lt;CriteriaItem k="227172" c="Bolivia" o="0" v="43" r="True" id="230" mask="" masktype="" maskkey="" enabled="" /&gt;&lt;CriteriaItem k="227172" c="Bonaire" o="0" v="1119" r="True" id="3208" mask="" masktype="" maskkey="" enabled="" /&gt;&lt;CriteriaItem k="227172" c="Brazil" o="0" v="53" r="True" id="224" mask="" masktype="" maskkey="" enabled="" /&gt;&lt;CriteriaItem k="227172" c="BVI" o="0" v="35" r="True" id="213" mask="" masktype="" maskkey="" enabled="" /&gt;&lt;CriteriaItem k="227172" c="Cayman Islands" o="0" v="41" r="True" id="214" mask="" masktype="" maskkey="" enabled="" /&gt;&lt;CriteriaItem k="227172" c="Chile" o="0" v="54" r="True" id="231" mask="" masktype="" maskkey="" enabled="" /&gt;&lt;CriteriaItem k="227172" c="Cocos Islands" o="0" v="124" r="True" id="250" mask="" masktype="" maskkey="" enabled="" /&gt;&lt;CriteriaItem k="227172" c="Colombia" o="0" v="44" r="True" id="232" mask="" masktype="" maskkey="" enabled="" /&gt;&lt;CriteriaItem k="227172" c="Costa Rica" o="0" v="14" r="True" id="233" mask="" masktype="" maskkey="" enabled="" /&gt;&lt;CriteriaItem k="227172" c="Cuba" o="0" v="15" r="True" id="234" mask="" masktype="" maskkey="" enabled="" /&gt;&lt;CriteriaItem k="227172" c="Curaçao" o="0" v="1118" r="True" id="3207" mask="" masktype="" maskkey="" enabled="" /&gt;&lt;CriteriaItem k="227172" c="Dominica" o="0" v="16" r="True" id="215" mask="" masktype="" maskkey="" enabled="" /&gt;&lt;CriteriaItem k="227172" c="Dominican Republic" o="0" v="17" r="True" id="221" mask="" masktype="" maskkey="" enabled="" /&gt;&lt;CriteriaItem k="227172" c="Ecuador" o="0" v="55" r="True" id="235" mask="" masktype="" maskkey="" enabled="" /&gt;&lt;CriteriaItem k="227172" c="El Salvador" o="0" v="42" r="True" id="236" mask="" masktype="" maskkey="" enabled="" /&gt;&lt;CriteriaItem k="227172" c="Falkland Islands" o="0" v="45" r="True" id="222" mask="" masktype="" maskkey="" enabled="" /&gt;&lt;CriteriaItem k="227172" c="French Guiana" o="0" v="46" r="True" id="219" mask="" masktype="" maskkey="" enabled="" /&gt;&lt;CriteriaItem k="227172" c="Grenada" o="0" v="18" r="True" id="225" mask="" masktype="" maskkey="" enabled="" /&gt;&lt;CriteriaItem k="227172" c="Guadeloupe" o="0" v="20" r="True" id="218" mask="" masktype="" maskkey="" enabled="" /&gt;&lt;CriteriaItem k="227172" c="Guatemala" o="0" v="39" r="True" id="237" mask="" masktype="" maskkey="" enabled="" /&gt;&lt;CriteriaItem k="227172" c="Guyana" o="0" v="47" r="True" id="217" mask="" masktype="" maskkey="" enabled="" /&gt;&lt;CriteriaItem k="227172" c="Haiti" o="0" v="22" r="True" id="238" mask="" masktype="" maskkey="" enabled="" /&gt;&lt;CriteriaItem k="227172" c="Honduras" o="0" v="21" r="True" id="239" mask="" masktype="" maskkey="" enabled="" /&gt;&lt;CriteriaItem k="227172" c="Jamaica" o="0" v="23" r="True" id="226" mask="" masktype="" maskkey="" enabled="" /&gt;&lt;CriteriaItem k="227172" c="Martinique" o="0" v="25" r="True" id="220" mask="" masktype="" maskkey="" enabled="" /&gt;&lt;CriteriaItem k="227172" c="Mexico" o="0" v="27" r="True" id="252" mask="" masktype="" maskkey="" enabled="" /&gt;&lt;CriteriaItem k="227172" c="Montserrat" o="0" v="26" r="True" id="227" mask="" masktype="" maskkey="" enabled="" /&gt;&lt;CriteriaItem k="227172" c="Nicaragua" o="0" v="28" r="True" id="240" mask="" masktype="" maskkey="" enabled="" /&gt;&lt;CriteriaItem k="227172" c="Panama" o="0" v="29" r="True" id="241" mask="" masktype="" maskkey="" enabled="" /&gt;&lt;CriteriaItem k="227172" c="Paraguay" o="0" v="49" r="True" id="242" mask="" masktype="" maskkey="" enabled="" /&gt;&lt;CriteriaItem k="227172" c="Peru" o="0" v="48" r="True" id="243" mask="" masktype="" maskkey="" enabled="" /&gt;&lt;CriteriaItem k="227172" c="Saint Lucia" o="0" v="24" r="True" id="246" mask="" masktype="" maskkey="" enabled="" /&gt;&lt;CriteriaItem k="227172" c="Saint Vincent" o="0" v="34" r="True" id="247" mask="" masktype="" maskkey="" enabled="" /&gt;&lt;CriteriaItem k="227172" c="Sint Maarten" o="0" v="1117" r="True" id="3206" mask="" masktype="" maskkey="" enabled="" /&gt;&lt;CriteriaItem k="227172" c="South Georgia" o="0" v="59" r="True" id="248" mask="" masktype="" maskkey="" enabled="" /&gt;&lt;CriteriaItem k="227172" c="St. Kitts and Nevis" o="0" v="40" r="True" id="223" mask="" masktype="" maskkey="" enabled="" /&gt;&lt;CriteriaItem k="227172" c="St. Pierre, Miquelon" o="0" v="30" r="True" id="249" mask="" masktype="" maskkey="" enabled="" /&gt;&lt;CriteriaItem k="227172" c="Suriname" o="0" v="50" r="True" id="244" mask="" masktype="" maskkey="" enabled="" /&gt;&lt;CriteriaItem k="227172" c="Trinidad and Tobago" o="0" v="32" r="True" id="245" mask="" masktype="" maskkey="" enabled="" /&gt;&lt;CriteriaItem k="227172" c="Turks &amp;amp; Caicos" o="0" v="31" r="True" id="251" mask="" masktype="" maskkey="" enabled="" /&gt;&lt;CriteriaItem k="227172" c="Uruguay" o="0" v="51" r="True" id="229" mask="" masktype="" maskkey="" enabled="" /&gt;&lt;CriteriaItem k="227172" c="Venezuela" o="0" v="56" r="True" id="212" mask="" masktype="" maskkey="" enabled="" /&gt;&lt;/CriteriaItem&gt;&lt;CriteriaItem k="" c="Africa" o="0" v="" r="True" id="8" mask="1" masktype="Geography" maskkey="221376" enabled=""&gt;&lt;CriteriaItem k="227172" c="Algeria" o="0" v="73" r="True" id="257" mask="" masktype="" maskkey="" enabled="" /&gt;&lt;CriteriaItem k="227172" c="Angola" o="0" v="62" r="True" id="267" mask="" masktype="" maskkey="" enabled="" /&gt;&lt;CriteriaItem k="227172" c="Benin" o="0" v="65" r="True" id="268" mask="" masktype="" maskkey="" enabled="" /&gt;&lt;CriteriaItem k="227172" c="Botswana" o="0" v="66" r="True" id="269" mask="" masktype="" maskkey="" enabled="" /&gt;&lt;CriteriaItem k="227172" c="Bouvet Island" o="0" v="58" r="True" id="253" mask="" masktype="" maskkey="" enabled="" /&gt;&lt;CriteriaItem k="227172" c="Burkina Faso" o="0" v="63" r="True" id="254" mask="" masktype="" maskkey="" enabled="" /&gt;&lt;CriteriaItem k="227172" c="Burundi" o="0" v="64" r="True" id="270" mask="" masktype="" maskkey="" enabled="" /&gt;&lt;CriteriaItem k="227172" c="Cameroon" o="0" v="70" r="True" id="271" mask="" masktype="" maskkey="" enabled="" /&gt;&lt;CriteriaItem k="227172" c="Cape Verde" o="0" v="71" r="True" id="272" mask="" masktype="" maskkey="" enabled="" /&gt;&lt;CriteriaItem k="227172" c="Central African Rep." o="0" v="67" r="True" id="255" mask="" masktype="" maskkey="" enabled="" /&gt;&lt;CriteriaItem k="227172" c="Chad" o="0" v="108" r="True" id="273" mask="" masktype="" maskkey="" enabled="" /&gt;&lt;CriteriaItem k="227172" c="Comoros" o="0" v="117" r="True" id="307" mask="" masktype="" maskkey="" enabled="" /&gt;&lt;CriteriaItem k="227172" c="Cote d'Ivoire" o="0" v="69" r="True" id="274" mask="" masktype="" maskkey="" enabled="" /&gt;&lt;CriteriaItem k="227172" c="Dem. Rep. Congo" o="0" v="115" r="True" id="256" mask="" masktype="" maskkey="" enabled="" /&gt;&lt;CriteriaItem k="227172" c="Djibouti" o="0" v="72" r="True" id="275" mask="" masktype="" maskkey="" enabled="" /&gt;&lt;CriteriaItem k="227172" c="Equatorial Guinea" o="0" v="82" r="True" id="276" mask="" masktype="" maskkey="" enabled="" /&gt;&lt;CriteriaItem k="227172" c="Eritrea" o="0" v="76" r="True" id="304" mask="" masktype="" maskkey="" enabled="" /&gt;&lt;CriteriaItem k="227172" c="Ethiopia" o="0" v="77" r="True" id="260" mask="" masktype="" maskkey="" enabled="" /&gt;&lt;CriteriaItem k="227172" c="Gabon" o="0" v="78" r="True" id="262" mask="" masktype="" maskkey="" enabled="" /&gt;&lt;CriteriaItem k="227172" c="Gambia" o="0" v="80" r="True" id="294" mask="" masktype="" maskkey="" enabled="" /&gt;&lt;CriteriaItem k="227172" c="Ghana" o="0" v="79" r="True" id="277" mask="" masktype="" maskkey="" enabled="" /&gt;&lt;CriteriaItem k="227172" c="Guinea" o="0" v="81" r="True" id="278" mask="" masktype="" maskkey="" enabled="" /&gt;&lt;CriteriaItem k="227172" c="Guinea-Bissau" o="0" v="83" r="True" id="279" mask="" masktype="" maskkey="" enabled="" /&gt;&lt;CriteriaItem k="227172" c="Kenya" o="0" v="84" r="True" id="280" mask="" masktype="" maskkey="" enabled="" /&gt;&lt;CriteriaItem k="227172" c="Lesotho" o="0" v="86" r="True" id="264" mask="" masktype="" maskkey="" enabled="" /&gt;&lt;CriteriaItem k="227172" c="Liberia" o="0" v="85" r="True" id="281" mask="" masktype="" maskkey="" enabled="" /&gt;&lt;CriteriaItem k="227172" c="Libya" o="0" v="87" r="True" id="302" mask="" masktype="" maskkey="" enabled="" /&gt;&lt;CriteriaItem k="227172" c="Madagascar" o="0" v="89" r="True" id="282" mask="" masktype="" maskkey="" enabled="" /&gt;&lt;CriteriaItem k="227172" c="Malawi" o="0" v="93" r="True" id="283" mask="" masktype="" maskkey="" enabled="" /&gt;&lt;CriteriaItem k="227172" c="Mali" o="0" v="90" r="True" id="284" mask="" masktype="" maskkey="" enabled="" /&gt;&lt;CriteriaItem k="227172" c="Mauritania" o="0" v="91" r="True" id="263" mask="" masktype="" maskkey="" enabled="" /&gt;&lt;CriteriaItem k="227172" c="Mauritius" o="0" v="92" r="True" id="285" mask="" masktype="" maskkey="" enabled="" /&gt;&lt;CriteriaItem k="227172" c="Mayotte" o="0" v="113" r="True" id="305" mask="" masktype="" maskkey="" enabled="" /&gt;&lt;CriteriaItem k="227172" c="Morocco" o="0" v="88" r="True" id="265" mask="" masktype="" maskkey="" enabled="" /&gt;&lt;CriteriaItem k="227172" c="Mozambique" o="0" v="94" r="True" id="286" mask="" masktype="" maskkey="" enabled="" /&gt;&lt;CriteriaItem k="227172" c="Namibia" o="0" v="95" r="True" id="287" mask="" masktype="" maskkey="" enabled="" /&gt;&lt;CriteriaItem k="227172" c="Niger" o="0" v="96" r="True" id="288" mask="" masktype="" maskkey="" enabled="" /&gt;&lt;CriteriaItem k="227172" c="Nigeria" o="0" v="97" r="True" id="261" mask="" masktype="" maskkey="" enabled="" /&gt;&lt;CriteriaItem k="227172" c="Rep. Of the Congo" o="0" v="68" r="True" id="293" mask="" masktype="" maskkey="" enabled="" /&gt;&lt;CriteriaItem k="227172" c="Reunion" o="0" v="98" r="True" id="259" mask="" masktype="" maskkey="" enabled="" /&gt;&lt;CriteriaItem k="227172" c="Rwanda" o="0" v="99" r="True" id="300" mask="" masktype="" maskkey="" enabled="" /&gt;&lt;CriteriaItem k="227172" c="Saint Helena" o="0" v="102" r="True" id="301" mask="" masktype="" maskkey="" enabled="" /&gt;&lt;CriteriaItem k="227172" c="Sao Tome &amp;amp; Principe" o="0" v="106" r="True" id="258" mask="" masktype="" maskkey="" enabled="" /&gt;&lt;CriteriaItem k="227172" c="Senegal" o="0" v="104" r="True" id="289" mask="" masktype="" maskkey="" enabled="" /&gt;&lt;CriteriaItem k="227172" c="Seychelles" o="0" v="100" r="True" id="290" mask="" masktype="" maskkey="" enabled="" /&gt;&lt;CriteriaItem k="227172" c="Sierra Leone" o="0" v="103" r="True" id="291" mask="" masktype="" maskkey="" enabled="" /&gt;&lt;CriteriaItem k="227172" c="Somalia" o="0" v="105" r="True" id="303" mask="" masktype="" maskkey="" enabled="" /&gt;&lt;CriteriaItem k="227172" c="South Africa" o="0" v="118" r="True" id="292" mask="" masktype="" maskkey="" enabled="" /&gt;&lt;CriteriaItem k="227172" c="Sudan" o="0" v="101" r="True" id="295" mask="" masktype="" maskkey="" enabled="" /&gt;&lt;CriteriaItem k="227172" c="Swaziland" o="0" v="107" r="True" id="266" mask="" masktype="" maskkey="" enabled="" /&gt;&lt;CriteriaItem k="227172" c="Tanzania" o="0" v="111" r="True" id="308" mask="" masktype="" maskkey="" enabled="" /&gt;&lt;CriteriaItem k="227172" c="Togo" o="0" v="109" r="True" id="306" mask="" masktype="" maskkey="" enabled="" /&gt;&lt;CriteriaItem k="227172" c="Tunisia" o="0" v="110" r="True" id="296" mask="" masktype="" maskkey="" enabled="" /&gt;&lt;CriteriaItem k="227172" c="Uganda" o="0" v="112" r="True" id="297" mask="" masktype="" maskkey="" enabled="" /&gt;&lt;CriteriaItem k="227172" c="Western Sahara" o="0" v="75" r="True" id="309" mask="" masktype="" maskkey="" enabled="" /&gt;&lt;CriteriaItem k="227172" c="Zambia" o="0" v="114" r="True" id="298" mask="" masktype="" maskkey="" enabled="" /&gt;&lt;CriteriaItem k="227172" c="Zimbabwe" o="0" v="116" r="True" id="299" mask="" masktype="" maskkey="" enabled="" /&gt;&lt;/CriteriaItem&gt;&lt;/CriteriaItem&gt;&lt;/CriteriaGroup&gt;&lt;CriteriaGroup k="TopTier" c="TopTier" o="1" TopTier="True" /&gt;&lt;CriteriaGroup k="310" c="Operating status" o="1" i="2" t="2" min="" max=""&gt;&lt;CriteriaItem k="221552" c="Operating companies" o="0" v="1" r="True" id="311" mask="" masktype="" maskkey="" enabled="" /&gt;&lt;CriteriaItem k="221552" c="Acquired/Defunct" o="0" v="0" r="False" id="312" mask="" masktype="" maskkey="" enabled="" /&gt;&lt;/CriteriaGroup&gt;&lt;CriteriaGroup k="313" c="Ownership status" o="1" i="2" t="3" min="" max=""&gt;&lt;CriteriaItem k="200001" c="Listed" o="20" v="" r="True" id="314" mask="" masktype="" maskkey="" enabled="" /&gt;&lt;CriteriaItem k="200001" c="Non-Listed" o="19" v="" r="True" id="315" mask="" masktype="" maskkey="" enabled="" /&gt;&lt;/CriteriaGroup&gt;&lt;CriteriaGroup k="4700" c="Coverage Depth" o="1" i="2" t="4" min="" max=""&gt;&lt;CriteriaItem k="247456" c="Full" o="0" v="0" r="True" id="4701" mask="" masktype="" maskkey="" enabled="" /&gt;&lt;CriteriaItem k="247456" c="Summary" o="0" v="1" r="True" id="4702" mask="" masktype="" maskkey="" enabled="" /&gt;&lt;/CriteriaGroup&gt;&lt;/CriteriaGroups&gt;&lt;QueryStatements&gt;&lt;Statement DisplayText="Institution Name  "&gt;&lt;QueryLine BeginGroup="False" EndGroup="False" Connector="None" Operator="NotNa" Value="" EnglishValue=""&gt;&lt;Field KeyProductQueryItem="130509" /&gt;&lt;/QueryLine&gt;&lt;Field Name="Institution Name " Type="varchar" Units="" /&gt;&lt;/Statement&gt;&lt;/QueryStatements&gt;&lt;/SavedQuery&gt;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<sst xmlns="http://schemas.openxmlformats.org/spreadsheetml/2006/main" count="11505" uniqueCount="2024">
  <si>
    <t>CN¥</t>
  </si>
  <si>
    <t>SNL_GlobalBanks</t>
  </si>
  <si>
    <t>Instructions:</t>
  </si>
  <si>
    <t>Contact:</t>
  </si>
  <si>
    <t>phone:</t>
  </si>
  <si>
    <t>email:</t>
  </si>
  <si>
    <t>Currency Name</t>
  </si>
  <si>
    <t>ISO Code</t>
  </si>
  <si>
    <t>AFN</t>
  </si>
  <si>
    <t>ARS</t>
  </si>
  <si>
    <t>AUD</t>
  </si>
  <si>
    <t>BRL</t>
  </si>
  <si>
    <t>GBP</t>
  </si>
  <si>
    <t>CAD</t>
  </si>
  <si>
    <t>CLP</t>
  </si>
  <si>
    <t>CNY</t>
  </si>
  <si>
    <t>COP</t>
  </si>
  <si>
    <t>CZK</t>
  </si>
  <si>
    <t>DKK</t>
  </si>
  <si>
    <t>Euro</t>
  </si>
  <si>
    <t>EUR</t>
  </si>
  <si>
    <t>HKD</t>
  </si>
  <si>
    <t>INR</t>
  </si>
  <si>
    <t>JPY</t>
  </si>
  <si>
    <t>MXN</t>
  </si>
  <si>
    <t>NZD</t>
  </si>
  <si>
    <t>NOK</t>
  </si>
  <si>
    <t>PLN</t>
  </si>
  <si>
    <t>RUB</t>
  </si>
  <si>
    <t>SGD</t>
  </si>
  <si>
    <t>ZAR</t>
  </si>
  <si>
    <t>KRW</t>
  </si>
  <si>
    <t>SEK</t>
  </si>
  <si>
    <t>CHF</t>
  </si>
  <si>
    <t>THB</t>
  </si>
  <si>
    <t>TRY</t>
  </si>
  <si>
    <t>USD</t>
  </si>
  <si>
    <t>Symbol</t>
  </si>
  <si>
    <t>Conv. Method</t>
  </si>
  <si>
    <t>Magnitude</t>
  </si>
  <si>
    <t>Mag.</t>
  </si>
  <si>
    <t>M</t>
  </si>
  <si>
    <t>$</t>
  </si>
  <si>
    <t>TL</t>
  </si>
  <si>
    <t>฿</t>
  </si>
  <si>
    <t>SFr.</t>
  </si>
  <si>
    <t>kr</t>
  </si>
  <si>
    <t>₩</t>
  </si>
  <si>
    <t>R</t>
  </si>
  <si>
    <t>S$</t>
  </si>
  <si>
    <t>zl</t>
  </si>
  <si>
    <t>NKr</t>
  </si>
  <si>
    <t>NZ$</t>
  </si>
  <si>
    <t>Mex$</t>
  </si>
  <si>
    <t>¥</t>
  </si>
  <si>
    <t>HK$</t>
  </si>
  <si>
    <t>AR$</t>
  </si>
  <si>
    <t>AU$</t>
  </si>
  <si>
    <t>R$</t>
  </si>
  <si>
    <t>£</t>
  </si>
  <si>
    <t>C$</t>
  </si>
  <si>
    <t>Kc</t>
  </si>
  <si>
    <t>Dkr</t>
  </si>
  <si>
    <t>€</t>
  </si>
  <si>
    <t>CL$</t>
  </si>
  <si>
    <t>Col$</t>
  </si>
  <si>
    <t>Actuals</t>
  </si>
  <si>
    <t>Thousands</t>
  </si>
  <si>
    <t>Millions</t>
  </si>
  <si>
    <t>Billions</t>
  </si>
  <si>
    <t>Trillions</t>
  </si>
  <si>
    <t>B</t>
  </si>
  <si>
    <t>T</t>
  </si>
  <si>
    <t>units</t>
  </si>
  <si>
    <t>MRSpot</t>
  </si>
  <si>
    <t>SNL_ALLBanks</t>
  </si>
  <si>
    <t>Afghan Afghani</t>
  </si>
  <si>
    <t>Argentine Peso</t>
  </si>
  <si>
    <t>Armenian Dram</t>
  </si>
  <si>
    <t>AMD</t>
  </si>
  <si>
    <t>dr</t>
  </si>
  <si>
    <t>Australian Dollar</t>
  </si>
  <si>
    <t>Bahamian Dollar</t>
  </si>
  <si>
    <t>BSD</t>
  </si>
  <si>
    <t>B$</t>
  </si>
  <si>
    <t>Bahraini Dinar</t>
  </si>
  <si>
    <t>BHD</t>
  </si>
  <si>
    <t>BD</t>
  </si>
  <si>
    <t>Bangladeshi Taka</t>
  </si>
  <si>
    <t>BDT</t>
  </si>
  <si>
    <t>Bt.</t>
  </si>
  <si>
    <t>Belarusian Ruble</t>
  </si>
  <si>
    <t>Br</t>
  </si>
  <si>
    <t>Bosnian Convertible Marks</t>
  </si>
  <si>
    <t>BAM</t>
  </si>
  <si>
    <t>Brazilian Real</t>
  </si>
  <si>
    <t>Bulgarian Lev</t>
  </si>
  <si>
    <t>BGN</t>
  </si>
  <si>
    <t>Canadian Dollar</t>
  </si>
  <si>
    <t>Chilean Peso</t>
  </si>
  <si>
    <t>Chinese Yuan Renminbi</t>
  </si>
  <si>
    <t>Colombian Peso</t>
  </si>
  <si>
    <t>Costa Rican Colon</t>
  </si>
  <si>
    <t>CRC</t>
  </si>
  <si>
    <t>¢</t>
  </si>
  <si>
    <t>Croatian Kuna</t>
  </si>
  <si>
    <t>HRK</t>
  </si>
  <si>
    <t>kn</t>
  </si>
  <si>
    <t>Czech Koruna</t>
  </si>
  <si>
    <t>Danish Krone</t>
  </si>
  <si>
    <t>Dominican Peso</t>
  </si>
  <si>
    <t>DOP</t>
  </si>
  <si>
    <t>RD$</t>
  </si>
  <si>
    <t>Egyptian Pound</t>
  </si>
  <si>
    <t>EGP</t>
  </si>
  <si>
    <t>Guatemalan Quetzal</t>
  </si>
  <si>
    <t>GTQ</t>
  </si>
  <si>
    <t>Honduran Lempira</t>
  </si>
  <si>
    <t>HNL</t>
  </si>
  <si>
    <t>L</t>
  </si>
  <si>
    <t>Hong Kong Dollar</t>
  </si>
  <si>
    <t>Hungarian Forint</t>
  </si>
  <si>
    <t>HUF</t>
  </si>
  <si>
    <t>Ft.</t>
  </si>
  <si>
    <t>Icelandic Krona</t>
  </si>
  <si>
    <t>ISK</t>
  </si>
  <si>
    <t>Indian Rupee</t>
  </si>
  <si>
    <t>Indonesian Rupiah</t>
  </si>
  <si>
    <t>IDR</t>
  </si>
  <si>
    <t>Rp.</t>
  </si>
  <si>
    <t>Jordanian Dinar</t>
  </si>
  <si>
    <t>JOD</t>
  </si>
  <si>
    <t>JD</t>
  </si>
  <si>
    <t>Kazakhstan Tenge</t>
  </si>
  <si>
    <t>KZT</t>
  </si>
  <si>
    <t>Kenyan Shilling</t>
  </si>
  <si>
    <t>KES</t>
  </si>
  <si>
    <t>Kuwaiti Dinar</t>
  </si>
  <si>
    <t>KWD</t>
  </si>
  <si>
    <t>KD</t>
  </si>
  <si>
    <t>Macedonian Denar</t>
  </si>
  <si>
    <t>MKD</t>
  </si>
  <si>
    <t>Malaysian Ringgit</t>
  </si>
  <si>
    <t>MYR</t>
  </si>
  <si>
    <t>RM</t>
  </si>
  <si>
    <t>Mexican Peso</t>
  </si>
  <si>
    <t>New Israeli Shekel</t>
  </si>
  <si>
    <t>ILS</t>
  </si>
  <si>
    <t>₪</t>
  </si>
  <si>
    <t>New Taiwan Dollar</t>
  </si>
  <si>
    <t>TWD</t>
  </si>
  <si>
    <t>NT$</t>
  </si>
  <si>
    <t>New Zealand Dollar</t>
  </si>
  <si>
    <t>Norwegian Krone</t>
  </si>
  <si>
    <t>Pakistani Rupee</t>
  </si>
  <si>
    <t>PKR</t>
  </si>
  <si>
    <t>Rs</t>
  </si>
  <si>
    <t>Panamanian Balboa</t>
  </si>
  <si>
    <t>PAB</t>
  </si>
  <si>
    <t>PEN</t>
  </si>
  <si>
    <t>S/.</t>
  </si>
  <si>
    <t>Philippine Peso</t>
  </si>
  <si>
    <t>PHP</t>
  </si>
  <si>
    <t>Polish Zloty</t>
  </si>
  <si>
    <t>Qatari Rial</t>
  </si>
  <si>
    <t>QAR</t>
  </si>
  <si>
    <t>ر.ق</t>
  </si>
  <si>
    <t>Romanian Leu</t>
  </si>
  <si>
    <t>RON</t>
  </si>
  <si>
    <t>Russian Ruble</t>
  </si>
  <si>
    <t>Saudi Riyal</t>
  </si>
  <si>
    <t>SAR</t>
  </si>
  <si>
    <t>SR</t>
  </si>
  <si>
    <t>Serbian Dinar</t>
  </si>
  <si>
    <t>RSD</t>
  </si>
  <si>
    <t>Singapore Dollar</t>
  </si>
  <si>
    <t>South African Rand</t>
  </si>
  <si>
    <t>South Korean Won</t>
  </si>
  <si>
    <t>Sri Lanka Rupee</t>
  </si>
  <si>
    <t>LKR</t>
  </si>
  <si>
    <t>₨</t>
  </si>
  <si>
    <t>Swedish Krona</t>
  </si>
  <si>
    <t>Swiss Franc</t>
  </si>
  <si>
    <t>Thai Baht</t>
  </si>
  <si>
    <t>Turkish Lira</t>
  </si>
  <si>
    <t>AED</t>
  </si>
  <si>
    <t>Dhs.</t>
  </si>
  <si>
    <t>Ukraine Hryvnia</t>
  </si>
  <si>
    <t>UAH</t>
  </si>
  <si>
    <t>Vietnam Dong</t>
  </si>
  <si>
    <t>VND</t>
  </si>
  <si>
    <t>₫</t>
  </si>
  <si>
    <t/>
  </si>
  <si>
    <t>Country_List</t>
  </si>
  <si>
    <t>000</t>
  </si>
  <si>
    <t>+1 (434) 951-7788 (Latin America)</t>
  </si>
  <si>
    <t>+44 20 7283 8887 (Europe, Middle East &amp; Africa)</t>
  </si>
  <si>
    <t>BYN</t>
  </si>
  <si>
    <t>Albanian Lek</t>
  </si>
  <si>
    <t>ALL</t>
  </si>
  <si>
    <t>Azerbaijani Manat</t>
  </si>
  <si>
    <t>AZN</t>
  </si>
  <si>
    <t>m</t>
  </si>
  <si>
    <t>KM</t>
  </si>
  <si>
    <t>Cambodian Riel</t>
  </si>
  <si>
    <t>KHR</t>
  </si>
  <si>
    <t>៛</t>
  </si>
  <si>
    <t>£E.</t>
  </si>
  <si>
    <t>Georgian Lari</t>
  </si>
  <si>
    <t>GEL</t>
  </si>
  <si>
    <t>ლ</t>
  </si>
  <si>
    <t>Q.</t>
  </si>
  <si>
    <t>L.</t>
  </si>
  <si>
    <t>Rs.</t>
  </si>
  <si>
    <t>Kshs.</t>
  </si>
  <si>
    <t>Kyrgyzstani Som</t>
  </si>
  <si>
    <t>KGS</t>
  </si>
  <si>
    <t>лв</t>
  </si>
  <si>
    <t>Moldovan Leu</t>
  </si>
  <si>
    <t>MDL</t>
  </si>
  <si>
    <t>Mongolian Tugrik</t>
  </si>
  <si>
    <t>MNT</t>
  </si>
  <si>
    <t>₮</t>
  </si>
  <si>
    <t>Moroccan Dirham</t>
  </si>
  <si>
    <t>MAD</t>
  </si>
  <si>
    <t>د.م.</t>
  </si>
  <si>
    <t>Omani Rial</t>
  </si>
  <si>
    <t>OMR</t>
  </si>
  <si>
    <t>RO</t>
  </si>
  <si>
    <t>Peruvian Sol</t>
  </si>
  <si>
    <t>Samoan Tala</t>
  </si>
  <si>
    <t>WST</t>
  </si>
  <si>
    <t>WS$</t>
  </si>
  <si>
    <t>Tajik Somoni</t>
  </si>
  <si>
    <t>TJS</t>
  </si>
  <si>
    <t>TJR</t>
  </si>
  <si>
    <t>Tunisian Dinar</t>
  </si>
  <si>
    <t>TND</t>
  </si>
  <si>
    <t>د.ت</t>
  </si>
  <si>
    <t>Turkmenistan Manat</t>
  </si>
  <si>
    <t>TMT</t>
  </si>
  <si>
    <t>Uzbekistani Som</t>
  </si>
  <si>
    <t>UZS</t>
  </si>
  <si>
    <t>Settings:</t>
  </si>
  <si>
    <t>3) For best performance, save this file to your computer, close and then reopen.</t>
  </si>
  <si>
    <t>+1 (888) 275 2822 (US &amp; Canada)  </t>
  </si>
  <si>
    <t xml:space="preserve">Step 3: </t>
  </si>
  <si>
    <t>MI ID</t>
  </si>
  <si>
    <t xml:space="preserve">Step 1: </t>
  </si>
  <si>
    <t>Diluted EPS before Extra (%)</t>
  </si>
  <si>
    <t>Net Income (%)</t>
  </si>
  <si>
    <t>EBIT (%)</t>
  </si>
  <si>
    <t>EBITDA (%)</t>
  </si>
  <si>
    <t>Gross Profit (%)</t>
  </si>
  <si>
    <t>Total Revenue (%)</t>
  </si>
  <si>
    <t>CAGR (5 YEAR)</t>
  </si>
  <si>
    <t>CAGR (3 YEAR)</t>
  </si>
  <si>
    <t>GROWTH OVER PRIOR YEAR</t>
  </si>
  <si>
    <t>Total Liabilities / Total Assets (%)</t>
  </si>
  <si>
    <t>LT Debt / Capital (%)</t>
  </si>
  <si>
    <t>LT Debt / Equity (%)</t>
  </si>
  <si>
    <t>Total Debt / Capital (%)</t>
  </si>
  <si>
    <t>Total Debt / Equity (%)</t>
  </si>
  <si>
    <t>LONG-TERM SOLVENCY</t>
  </si>
  <si>
    <t>Avg. Cash Conversion Cycle</t>
  </si>
  <si>
    <t>Avg. Days Payable Outstanding</t>
  </si>
  <si>
    <t>Avg. Days Inventory Outstanding</t>
  </si>
  <si>
    <t>Avg. Days Sales Outstanding</t>
  </si>
  <si>
    <t>SHORT-TERM LIQUIDITY</t>
  </si>
  <si>
    <t>ASSET TURNOVER</t>
  </si>
  <si>
    <t>Capex as % of Revenues</t>
  </si>
  <si>
    <t>Net Income Margin (%)</t>
  </si>
  <si>
    <t>EBIT Margin (%)</t>
  </si>
  <si>
    <t>EBITDA Margin (%)</t>
  </si>
  <si>
    <t>Gross Margin (%)</t>
  </si>
  <si>
    <t>MARGIN ANALYSIS</t>
  </si>
  <si>
    <t>Return on Common Equity (%)</t>
  </si>
  <si>
    <t>Return on Equity (%)</t>
  </si>
  <si>
    <t>Return on Capital (%)</t>
  </si>
  <si>
    <t>Return on Assets (%)</t>
  </si>
  <si>
    <t>PROFITABILITY</t>
  </si>
  <si>
    <t>TEV / EBIT</t>
  </si>
  <si>
    <t>TEV / EBITDA</t>
  </si>
  <si>
    <t>TEV / Total Revenue</t>
  </si>
  <si>
    <t>VALUATION</t>
  </si>
  <si>
    <t>LTM</t>
  </si>
  <si>
    <t>RATIOS</t>
  </si>
  <si>
    <t>Impact of Unrecog. Tax Benefit on the Effective Tax Rate</t>
  </si>
  <si>
    <t>Changes in Unrecog. Tax Benefit within a Year of the Rep. Date - Max</t>
  </si>
  <si>
    <t>Changes in Unrecog. Tax Benefit within a Year of the Rep. Date - Min</t>
  </si>
  <si>
    <t>Interest and Penalties Recog. on BS - After Tax</t>
  </si>
  <si>
    <t>Interest and Penalties Recog. on BS - Before Tax</t>
  </si>
  <si>
    <t>Interest and Penalties Recog. on IS - After Tax</t>
  </si>
  <si>
    <t>Interest and Penalties Recog. on IS - Before Tax</t>
  </si>
  <si>
    <t>Unrecog. Tax Benefits, End of the Period</t>
  </si>
  <si>
    <t>Unrecog. Tax Benefits - Other Adj.</t>
  </si>
  <si>
    <t>Lapse of Statute of Limitations</t>
  </si>
  <si>
    <t>Settlements with Tax Authorities</t>
  </si>
  <si>
    <t>Reductions for Tax Positions - Prior Yrs</t>
  </si>
  <si>
    <t>Additions for Tax Positions - Prior Yrs</t>
  </si>
  <si>
    <t>Reductions Based on Tax Positions - Current Yr.</t>
  </si>
  <si>
    <t>Additions Based on Tax Positions - Current Yr.</t>
  </si>
  <si>
    <t>Unrecog. Tax Benefits, Beginning of the Period</t>
  </si>
  <si>
    <t>Max. Year for Tax Benefit C/F</t>
  </si>
  <si>
    <t>Total Tax Benefit C/F</t>
  </si>
  <si>
    <t>Tax Benefit C/F, No Expiration</t>
  </si>
  <si>
    <t>Tax Benefit C/F, After Five Years</t>
  </si>
  <si>
    <t>Tax Benefit C/F, Current Year + 4</t>
  </si>
  <si>
    <t>Tax Benefit C/F, Current Year + 3</t>
  </si>
  <si>
    <t>Tax Benefit C/F, Current Year + 2</t>
  </si>
  <si>
    <t>Tax Benefit C/F, Current Year + 1</t>
  </si>
  <si>
    <t>Tax Benefit C/F, Current Year</t>
  </si>
  <si>
    <t>Max. Year for Capital Loss C/F</t>
  </si>
  <si>
    <t>Total Capital Loss C/F</t>
  </si>
  <si>
    <t>Capital Loss C/F, No Expiration</t>
  </si>
  <si>
    <t>Capital Loss C/F, After Five Years</t>
  </si>
  <si>
    <t>Capital Loss C/F, Current Year + 4</t>
  </si>
  <si>
    <t>Capital Loss C/F, Current Year + 3</t>
  </si>
  <si>
    <t>Capital Loss C/F, Current Year + 2</t>
  </si>
  <si>
    <t>Capital Loss C/F, Current Year + 1</t>
  </si>
  <si>
    <t>Capital Loss C/F, Current Year</t>
  </si>
  <si>
    <t>Max. Year for NOL C/F</t>
  </si>
  <si>
    <t>Total NOL C/F</t>
  </si>
  <si>
    <t>NOL C/F, No Expiration</t>
  </si>
  <si>
    <t>NOL C/F, After Five Years</t>
  </si>
  <si>
    <t>NOL C/F, Current Year + 4</t>
  </si>
  <si>
    <t>NOL C/F, Current Year + 3</t>
  </si>
  <si>
    <t>NOL C/F, Current Year + 2</t>
  </si>
  <si>
    <t>NOL C/F, Current Year + 1</t>
  </si>
  <si>
    <t>NOL C/F, Current Year</t>
  </si>
  <si>
    <t>Loss Carry Forward Related Items</t>
  </si>
  <si>
    <t>Interest Capitalized, End Of Period</t>
  </si>
  <si>
    <t>Interest Capitalized, Other Adj.</t>
  </si>
  <si>
    <t>Interest Capitalized, Written-off</t>
  </si>
  <si>
    <t>Interest Capitalized, Expensed</t>
  </si>
  <si>
    <t>Interest Capitalized, Beg. Of Period</t>
  </si>
  <si>
    <t>Capitalized Interest Data</t>
  </si>
  <si>
    <t>Assets on Operating Lease - Gross</t>
  </si>
  <si>
    <t>Assets on Operating Lease - Accumulated Dep.</t>
  </si>
  <si>
    <t>Assets Under Capital Lease - Gross</t>
  </si>
  <si>
    <t>Assets Under Capital Lease - Accumulated Dep.</t>
  </si>
  <si>
    <t>Assets Under Administration</t>
  </si>
  <si>
    <t>Average Revenue Per Trade</t>
  </si>
  <si>
    <t>Net New Client Assets</t>
  </si>
  <si>
    <t>Mutual Fund - Net Sales</t>
  </si>
  <si>
    <t>Mutual Fund - Redemptions</t>
  </si>
  <si>
    <t>Mutual Fund - Sales</t>
  </si>
  <si>
    <t>Assets Under Management - Outflows</t>
  </si>
  <si>
    <t>Assets Under Management - Inflows</t>
  </si>
  <si>
    <t>Total Assets Under Management</t>
  </si>
  <si>
    <t>Assets Under Management -  Other</t>
  </si>
  <si>
    <t>Assets Under Management</t>
  </si>
  <si>
    <t>Benefit Info Date</t>
  </si>
  <si>
    <t xml:space="preserve">Health Care Cost Trend Rate, Ultimate </t>
  </si>
  <si>
    <t xml:space="preserve">Health Care Cost Trend Rate, Initial </t>
  </si>
  <si>
    <t>Other Post-Retirement Benefit Related Items</t>
  </si>
  <si>
    <t xml:space="preserve">1% Decrease - Effect on PBO </t>
  </si>
  <si>
    <t xml:space="preserve">1% Decrease - Effect on Service and Interest Cost </t>
  </si>
  <si>
    <t xml:space="preserve">1% Increase - Effect on PBO </t>
  </si>
  <si>
    <t xml:space="preserve">1% Increase - Effect on Service and Interest Cost </t>
  </si>
  <si>
    <t>Benefits Sensitivity Analysis</t>
  </si>
  <si>
    <t xml:space="preserve">Net Asset/Liability Recognized on Balance Sheet </t>
  </si>
  <si>
    <t xml:space="preserve">Other Adj. (Net Benefit Asset/Liab.) </t>
  </si>
  <si>
    <t xml:space="preserve">Unrecog. Prior Plan Service Cost </t>
  </si>
  <si>
    <t>Adj. for Liability Recognized on Balance Sheet</t>
  </si>
  <si>
    <t xml:space="preserve">Other Assets/Liabilities </t>
  </si>
  <si>
    <t>Long Term Liabilities</t>
  </si>
  <si>
    <t>Current Liabilities</t>
  </si>
  <si>
    <t>Long Term Assets</t>
  </si>
  <si>
    <t xml:space="preserve">Accum. Other Comp. Income </t>
  </si>
  <si>
    <t xml:space="preserve">Intangible Assets </t>
  </si>
  <si>
    <t xml:space="preserve">Accrued Benefit Liability </t>
  </si>
  <si>
    <t xml:space="preserve">Prepaid Benefit Cost </t>
  </si>
  <si>
    <t>Balance Sheet Reconciliation Items</t>
  </si>
  <si>
    <t xml:space="preserve">Est. Future Benefits Paid - Thereafter </t>
  </si>
  <si>
    <t xml:space="preserve">Est. Future Benefits Paid - 5th Yr </t>
  </si>
  <si>
    <t xml:space="preserve">Est. Future Benefits Paid - 4th Yr </t>
  </si>
  <si>
    <t xml:space="preserve">Est. Future Benefits Paid - 3rd Yr </t>
  </si>
  <si>
    <t xml:space="preserve">Est. Future Benefits Paid - 2nd Yr </t>
  </si>
  <si>
    <t xml:space="preserve">Est. Future Benefits Paid - 1st Yr </t>
  </si>
  <si>
    <t>Estimated Future Benefits Paid</t>
  </si>
  <si>
    <t>Weighted Avg. Assumptions on Def. Benefit Obligation</t>
  </si>
  <si>
    <t>Total Amount to be Recognized Next Period</t>
  </si>
  <si>
    <t>Transition Asset/Obligation Recog. Next Period</t>
  </si>
  <si>
    <t>Net Actuarial Loss/Gain Recog. Next Period</t>
  </si>
  <si>
    <t>Prior Service Cost/Benefit Recog. Next Period</t>
  </si>
  <si>
    <t>Expected to be recognized as components of net periodic benefit cost in the next year</t>
  </si>
  <si>
    <t>Net Amount Recognized – Compr. Inc.</t>
  </si>
  <si>
    <t>Other Misc. Adj. – Compr. Inc.</t>
  </si>
  <si>
    <t>Transition Asset/Obligation – Compr. Inc.</t>
  </si>
  <si>
    <t>Prior Service Cost/Benefit – Compr. Inc.</t>
  </si>
  <si>
    <t>Net Actuarial Loss/Gain – Compr. Inc.</t>
  </si>
  <si>
    <t>Breakdown of Amounts recognized in Other Comprehensive Income in BS</t>
  </si>
  <si>
    <t xml:space="preserve">Other Plan Assets </t>
  </si>
  <si>
    <t xml:space="preserve">Plan Assets- Real Estate </t>
  </si>
  <si>
    <t xml:space="preserve">Plan Assets - Fixed Income </t>
  </si>
  <si>
    <t xml:space="preserve">Plan Assets - Equities </t>
  </si>
  <si>
    <t>Breakdown of Plan Assets</t>
  </si>
  <si>
    <t>Other Plan Assets (%)</t>
  </si>
  <si>
    <t>Plan Assets- Real Estate (%)</t>
  </si>
  <si>
    <t>Plan Assets - Fixed Income (%)</t>
  </si>
  <si>
    <t>Plan Assets - Equities (%)</t>
  </si>
  <si>
    <t>Weighted Avg. Assumptions on Net Periodic Cost</t>
  </si>
  <si>
    <t xml:space="preserve">Total Plan Assets </t>
  </si>
  <si>
    <t xml:space="preserve">Other Plan Adjustments </t>
  </si>
  <si>
    <t xml:space="preserve">Plan Settlement/Curtailment </t>
  </si>
  <si>
    <t xml:space="preserve">Acquired Plan Assets </t>
  </si>
  <si>
    <t xml:space="preserve">Foreign Exchange Adjustments </t>
  </si>
  <si>
    <t xml:space="preserve">Benefits Paid </t>
  </si>
  <si>
    <t xml:space="preserve">Participant Contributions </t>
  </si>
  <si>
    <t xml:space="preserve">Employer Contributions </t>
  </si>
  <si>
    <t xml:space="preserve">Actual Return on Plan Assets </t>
  </si>
  <si>
    <t xml:space="preserve">Beg. Plan Assets </t>
  </si>
  <si>
    <t>Plan Assets</t>
  </si>
  <si>
    <t xml:space="preserve">Accumulated Benefit Obligation </t>
  </si>
  <si>
    <t>Projected Benefit Obligation</t>
  </si>
  <si>
    <t xml:space="preserve">Other Adj. To Def. Benefit Obligation </t>
  </si>
  <si>
    <t xml:space="preserve">Def. Benefit Settlement/Curtailment </t>
  </si>
  <si>
    <t xml:space="preserve">Acq. Benefit Obligation </t>
  </si>
  <si>
    <t xml:space="preserve">Foreign Exchange Adj. </t>
  </si>
  <si>
    <t xml:space="preserve">Def. Benefits Paid </t>
  </si>
  <si>
    <t xml:space="preserve">Def. Benefit Actuarial Gain/Losses </t>
  </si>
  <si>
    <t xml:space="preserve">Def. Benefit Employee Contributions </t>
  </si>
  <si>
    <t xml:space="preserve">Def. Benefit Interest Cost </t>
  </si>
  <si>
    <t xml:space="preserve">Def. Benefit Service Cost </t>
  </si>
  <si>
    <t xml:space="preserve">Beg. Def. Benefit Obligation </t>
  </si>
  <si>
    <t>Defined Benefit Obligation</t>
  </si>
  <si>
    <t>Def. Benefit Total Cost Incl. Supple Plans</t>
  </si>
  <si>
    <t>Def. Benefit Total Cost of Supple Plans</t>
  </si>
  <si>
    <t>Def. Benefit Benefit Total Cost</t>
  </si>
  <si>
    <t xml:space="preserve">Def. Benefit Other Cost </t>
  </si>
  <si>
    <t xml:space="preserve">Def. Benefit Expected Return on Assets </t>
  </si>
  <si>
    <t>Defined Benefit Net Periodic Cost</t>
  </si>
  <si>
    <t>OPEB - Foreign</t>
  </si>
  <si>
    <t xml:space="preserve">Unfunded Additional Minimum Liab. </t>
  </si>
  <si>
    <t xml:space="preserve">Quarterly Additional Contributions Expected </t>
  </si>
  <si>
    <t xml:space="preserve">Quarterly Employer Contribution </t>
  </si>
  <si>
    <t xml:space="preserve">Est. Contributions - Next Year </t>
  </si>
  <si>
    <t>Other Pension Related Items</t>
  </si>
  <si>
    <t xml:space="preserve">Accum. Benefit Obligation (Pension)  </t>
  </si>
  <si>
    <t xml:space="preserve">Proj. Benefit Obligation </t>
  </si>
  <si>
    <t xml:space="preserve">Def. Benefit Total Cost </t>
  </si>
  <si>
    <t xml:space="preserve">Def. Benefit Return on Assets  </t>
  </si>
  <si>
    <t>Pension - Foreign</t>
  </si>
  <si>
    <t>OPEB - Domestic</t>
  </si>
  <si>
    <t xml:space="preserve">Accum. Benefit Obligation (Pension) </t>
  </si>
  <si>
    <t xml:space="preserve">Def. Benefit Return On Assets </t>
  </si>
  <si>
    <t>Pension - Domestic</t>
  </si>
  <si>
    <t>Health Care Cost Trend Rate, Ultimate</t>
  </si>
  <si>
    <t>Health Care Cost Trend Rate, Initial</t>
  </si>
  <si>
    <t>1% Decrease - Effect on PBO</t>
  </si>
  <si>
    <t>1% Decrease - Effect on Service and Interest Cost</t>
  </si>
  <si>
    <t>1% Increase - Effect on PBO</t>
  </si>
  <si>
    <t>1% Increase - Effect on Service and Interest Cost</t>
  </si>
  <si>
    <t>Net Asset/Liability Recognized on Balance Sheet</t>
  </si>
  <si>
    <t>Other Adj. (Net Benefit Asset/Liab.)</t>
  </si>
  <si>
    <t>Unrecog. Prior Plan Service Cost</t>
  </si>
  <si>
    <t>Other Assets/Liabilities</t>
  </si>
  <si>
    <t>Accum. Other Comp. Income</t>
  </si>
  <si>
    <t>Intangible Assets</t>
  </si>
  <si>
    <t>Accrued Benefit Liability</t>
  </si>
  <si>
    <t>Prepaid Benefit Cost</t>
  </si>
  <si>
    <t>Est. Future Benefits Paid - Thereafter</t>
  </si>
  <si>
    <t>Est. Future Benefits Paid - 5th Yr</t>
  </si>
  <si>
    <t>Est. Future Benefits Paid - 4th Yr</t>
  </si>
  <si>
    <t>Est. Future Benefits Paid - 3rd Yr</t>
  </si>
  <si>
    <t>Est. Future Benefits Paid - 2nd Yr</t>
  </si>
  <si>
    <t>Est. Future Benefits Paid - 1st Yr</t>
  </si>
  <si>
    <t>Other Plan Assets</t>
  </si>
  <si>
    <t>Plan Assets- Real Estate</t>
  </si>
  <si>
    <t>Plan Assets - Fixed Income</t>
  </si>
  <si>
    <t>Plan Assets - Equities</t>
  </si>
  <si>
    <t>Total Plan Assets</t>
  </si>
  <si>
    <t>Other Plan Adjustments</t>
  </si>
  <si>
    <t>Plan Settlement/Curtailment</t>
  </si>
  <si>
    <t>Acquired Plan Assets</t>
  </si>
  <si>
    <t>Foreign Exchange Adjustments</t>
  </si>
  <si>
    <t>Benefits Paid</t>
  </si>
  <si>
    <t>Participant Contributions</t>
  </si>
  <si>
    <t>Employer Contributions</t>
  </si>
  <si>
    <t>Actual Return on Plan Assets</t>
  </si>
  <si>
    <t>Beg. Plan Assets</t>
  </si>
  <si>
    <t>Accumulated Benefit Obligation</t>
  </si>
  <si>
    <t>Other Adj. To Def. Benefit Obligation</t>
  </si>
  <si>
    <t>Def. Benefit Settlement/Curtailment</t>
  </si>
  <si>
    <t>Acq. Benefit Obligation</t>
  </si>
  <si>
    <t>Foreign Exchange Adj.</t>
  </si>
  <si>
    <t>Def. Benefit Actuarial Gain/Losses</t>
  </si>
  <si>
    <t>Def. Benefit Employee Contributions</t>
  </si>
  <si>
    <t>Def. Benefit Interest Cost</t>
  </si>
  <si>
    <t>Beg. Def. Benefit Obligation</t>
  </si>
  <si>
    <t>Total OPEB Expense</t>
  </si>
  <si>
    <t>Def. Benefit Other Cost</t>
  </si>
  <si>
    <t>Def. Benefit Expected Return on Assets</t>
  </si>
  <si>
    <t>Def. Benefit Service Cost</t>
  </si>
  <si>
    <t>OPEB</t>
  </si>
  <si>
    <t>Unfunded Additional Minimum Liab.</t>
  </si>
  <si>
    <t>Quarterly Additional Contributions Expected</t>
  </si>
  <si>
    <t>Quarterly Employer Contribution</t>
  </si>
  <si>
    <t>Est. Contributions - Next Year</t>
  </si>
  <si>
    <t>Unfunded &amp; Vested Pension Liab.</t>
  </si>
  <si>
    <t>Accum. Benefit Obligation (Pension)</t>
  </si>
  <si>
    <t>Proj. Benefit Obligation</t>
  </si>
  <si>
    <t>Total Pension Expense</t>
  </si>
  <si>
    <t>Def. Contribution Cost</t>
  </si>
  <si>
    <t>Def. Benefit Total Cost</t>
  </si>
  <si>
    <t>Def. Benefit Return on Assets</t>
  </si>
  <si>
    <t>Pension</t>
  </si>
  <si>
    <t>Calculation Type</t>
  </si>
  <si>
    <t>Restatement Type</t>
  </si>
  <si>
    <t>Filing Currency</t>
  </si>
  <si>
    <t>Order Backlog</t>
  </si>
  <si>
    <t xml:space="preserve">Debt Equivalent Oper. Leases </t>
  </si>
  <si>
    <t xml:space="preserve">Debt Equiv. of Unfunded Proj. Benefit Obligation </t>
  </si>
  <si>
    <t>Fair Value Change Included in Earnings</t>
  </si>
  <si>
    <t>Fair Value of Liabilities</t>
  </si>
  <si>
    <t>Netting and Other Adj. to Liabilities</t>
  </si>
  <si>
    <t>Level 3 Liabilities - Unobservable Prices</t>
  </si>
  <si>
    <t>Level 2 Liabilities - Observable Prices</t>
  </si>
  <si>
    <t>Level 1 Liabilities - Quoted Prices</t>
  </si>
  <si>
    <t>Fair Value of Assets</t>
  </si>
  <si>
    <t>Netting and Other Adj. to Assets</t>
  </si>
  <si>
    <t>Level 3 Assets - Unobservable Prices</t>
  </si>
  <si>
    <t>Level 2 Assets - Observable Prices</t>
  </si>
  <si>
    <t>Level 1 Assets - Quoted Prices</t>
  </si>
  <si>
    <t>Leasehold Improvements</t>
  </si>
  <si>
    <t>Construction in Progress</t>
  </si>
  <si>
    <t xml:space="preserve">Natural Resources, at Cost </t>
  </si>
  <si>
    <t>Machinery</t>
  </si>
  <si>
    <t>Buildings</t>
  </si>
  <si>
    <t>Land</t>
  </si>
  <si>
    <t>Other Inventory Accounts</t>
  </si>
  <si>
    <t>Finished Goods Inventory</t>
  </si>
  <si>
    <t>Work in Progress Inventory</t>
  </si>
  <si>
    <t>Raw Materials Inventory</t>
  </si>
  <si>
    <t>LIFO Reserve</t>
  </si>
  <si>
    <t>Equity Method Investments</t>
  </si>
  <si>
    <t>Accumulated Allowance for Doubtful Accounts</t>
  </si>
  <si>
    <t>Total Capitalization</t>
  </si>
  <si>
    <t>Minority Interest, Total</t>
  </si>
  <si>
    <t>Net Debt</t>
  </si>
  <si>
    <t>Total Debt</t>
  </si>
  <si>
    <t>Tangible Book Value</t>
  </si>
  <si>
    <t>Book Value/Share (Reported)</t>
  </si>
  <si>
    <t>Supplemental Items</t>
  </si>
  <si>
    <t>BALANCE SHEET (Contd.)</t>
  </si>
  <si>
    <t>Total Liabilities And Equity</t>
  </si>
  <si>
    <t>Total Equity</t>
  </si>
  <si>
    <t>Minority Interest</t>
  </si>
  <si>
    <t>Total Common Equity</t>
  </si>
  <si>
    <t>Comprehensive Inc. and Other</t>
  </si>
  <si>
    <t>Treasury Stock</t>
  </si>
  <si>
    <t>Retained Earnings</t>
  </si>
  <si>
    <t>Additional Paid In Capital</t>
  </si>
  <si>
    <t>Common Stock</t>
  </si>
  <si>
    <t xml:space="preserve">    Total Pref. Equity</t>
  </si>
  <si>
    <t>Pref. Stock, Other</t>
  </si>
  <si>
    <t>Pref. Stock, Convertible</t>
  </si>
  <si>
    <t>Pref. Stock, Non-Redeem.</t>
  </si>
  <si>
    <t>Pref. Stock, Redeemable</t>
  </si>
  <si>
    <t>EQUITY</t>
  </si>
  <si>
    <t xml:space="preserve">    Total Liabilities</t>
  </si>
  <si>
    <t>Other Non-Current Liabilities</t>
  </si>
  <si>
    <t>Def. Tax Liability, Non-Curr.</t>
  </si>
  <si>
    <t>Pension &amp; Other Post-Retire. Benefits</t>
  </si>
  <si>
    <t>Unearned Revenue, Non-Current</t>
  </si>
  <si>
    <t>Finance Div. Other Non-Curr. Liab.</t>
  </si>
  <si>
    <t>Finance Div. Debt Non-Curr.</t>
  </si>
  <si>
    <t>Capital Leases</t>
  </si>
  <si>
    <t>Long-Term Debt</t>
  </si>
  <si>
    <t>Total Current Liabilities</t>
  </si>
  <si>
    <t>Other Current Liabilities</t>
  </si>
  <si>
    <t>Def. Tax Liability, Curr.</t>
  </si>
  <si>
    <t>Unearned Revenue, Current</t>
  </si>
  <si>
    <t>Curr. Income Taxes Payable</t>
  </si>
  <si>
    <t>Finance Div. Other Curr. Liab.</t>
  </si>
  <si>
    <t>Finance Div. Debt Current</t>
  </si>
  <si>
    <t>Curr. Port. of Cap. Leases</t>
  </si>
  <si>
    <t>Current Portion of Long Term Debt</t>
  </si>
  <si>
    <t>Short-term Borrowings</t>
  </si>
  <si>
    <t>Accrued Exp.</t>
  </si>
  <si>
    <t>Accounts Payable</t>
  </si>
  <si>
    <t>LIABILITIES</t>
  </si>
  <si>
    <t xml:space="preserve">    Total Assets</t>
  </si>
  <si>
    <t>Other Long-Term Assets</t>
  </si>
  <si>
    <t>Deferred Charges, LT</t>
  </si>
  <si>
    <t>Deferred Tax Assets, LT</t>
  </si>
  <si>
    <t>Loans Receivable Long-Term</t>
  </si>
  <si>
    <t>Accounts Receivable Long-Term</t>
  </si>
  <si>
    <t>Finance Div. Other LT Assets</t>
  </si>
  <si>
    <t>Finance Div. Loans and Leases, LT</t>
  </si>
  <si>
    <t>Other Intangibles</t>
  </si>
  <si>
    <t>Goodwill</t>
  </si>
  <si>
    <t>Long-term Investments</t>
  </si>
  <si>
    <t>Net Property, Plant &amp; Equipment</t>
  </si>
  <si>
    <t>Accumulated Depreciation</t>
  </si>
  <si>
    <t>Gross Property, Plant &amp; Equipment</t>
  </si>
  <si>
    <t>Total Current Assets</t>
  </si>
  <si>
    <t>Other Current Assets</t>
  </si>
  <si>
    <t>Restricted Cash</t>
  </si>
  <si>
    <t>Deferred Tax Assets, Curr.</t>
  </si>
  <si>
    <t>Loans Held For Sale</t>
  </si>
  <si>
    <t>Finance Div. Other Curr. Assets</t>
  </si>
  <si>
    <t>Finance Div. Loans and Leases, ST</t>
  </si>
  <si>
    <t>Prepaid Exp.</t>
  </si>
  <si>
    <t>Inventory</t>
  </si>
  <si>
    <t>Total Receivables</t>
  </si>
  <si>
    <t>Notes Receivable</t>
  </si>
  <si>
    <t>Other Receivables</t>
  </si>
  <si>
    <t>Accounts Receivable</t>
  </si>
  <si>
    <t>Total Cash &amp; ST Investments</t>
  </si>
  <si>
    <t>Trading Asset Securities</t>
  </si>
  <si>
    <t>Short Term Investments</t>
  </si>
  <si>
    <t>Cash And Equivalents</t>
  </si>
  <si>
    <t>ASSETS</t>
  </si>
  <si>
    <t>Period Date</t>
  </si>
  <si>
    <t>Net Cash from Discontinued Ops. - Financing</t>
  </si>
  <si>
    <t>Net Cash from Discontinued Ops. - Investing</t>
  </si>
  <si>
    <t>Maintenance CAPEX</t>
  </si>
  <si>
    <t>Net Debt Issued</t>
  </si>
  <si>
    <t xml:space="preserve">Unlevered Free Cash Flow </t>
  </si>
  <si>
    <t xml:space="preserve">Levered Free Cash Flow </t>
  </si>
  <si>
    <t>Change in Net Working Capital</t>
  </si>
  <si>
    <t>Cash Taxes Paid</t>
  </si>
  <si>
    <t>Cash Interest Paid</t>
  </si>
  <si>
    <t>Net Change in Cash</t>
  </si>
  <si>
    <t>Misc. Cash Flow Adj.</t>
  </si>
  <si>
    <t>Foreign Exchange Rate Adj.</t>
  </si>
  <si>
    <t>Cash from Financing</t>
  </si>
  <si>
    <t>Other Financing Activities</t>
  </si>
  <si>
    <t>Special Dividend Paid</t>
  </si>
  <si>
    <t>Total Dividends Paid</t>
  </si>
  <si>
    <t>Common and/or Pref. Dividends Paid</t>
  </si>
  <si>
    <t>Pref. Dividends Paid</t>
  </si>
  <si>
    <t>Common Dividends Paid</t>
  </si>
  <si>
    <t>Repurchase of Preferred</t>
  </si>
  <si>
    <t>Issuance of Pref. Stock</t>
  </si>
  <si>
    <t>Repurchase of Common</t>
  </si>
  <si>
    <t>Issuance of Common Stock</t>
  </si>
  <si>
    <t>Total Debt Repaid</t>
  </si>
  <si>
    <t>Long-Term Debt Repaid</t>
  </si>
  <si>
    <t>Short Term Debt Repaid</t>
  </si>
  <si>
    <t>Total Debt Issued</t>
  </si>
  <si>
    <t>Long-Term Debt Issued</t>
  </si>
  <si>
    <t>Short Term Debt Issued</t>
  </si>
  <si>
    <t>Cash from Investing</t>
  </si>
  <si>
    <t>Other Investing Activities</t>
  </si>
  <si>
    <t>Net (Inc.) Dec. in Loans Originated/Sold</t>
  </si>
  <si>
    <t>Invest. in Marketable &amp; Equity Sec.</t>
  </si>
  <si>
    <t>Sale/(Purchase) of Intangible Assets</t>
  </si>
  <si>
    <t>Sale/(Purchase) of Real Estate Properties</t>
  </si>
  <si>
    <t>Divestitures</t>
  </si>
  <si>
    <t>Cash Acquisitions</t>
  </si>
  <si>
    <t>Sale of Property, Plant, and Equipment</t>
  </si>
  <si>
    <t>Capital Expenditure</t>
  </si>
  <si>
    <t>Cash from Ops.</t>
  </si>
  <si>
    <t>Change In Other Net Operating Assets</t>
  </si>
  <si>
    <t>Change in Def. Taxes</t>
  </si>
  <si>
    <t>Change in Inc. Taxes</t>
  </si>
  <si>
    <t>Change in Unearned Rev.</t>
  </si>
  <si>
    <t>Change in Acc. Payable</t>
  </si>
  <si>
    <t>Change In Inventories</t>
  </si>
  <si>
    <t>Change in Acc. Receivable</t>
  </si>
  <si>
    <t>Change in Trad. Asset Securities</t>
  </si>
  <si>
    <t>Other Operating Activities</t>
  </si>
  <si>
    <t>Net Cash From Discontinued Ops.</t>
  </si>
  <si>
    <t>Provision &amp; Write-off of Bad debts</t>
  </si>
  <si>
    <t>Tax Benefit from Stock Options</t>
  </si>
  <si>
    <t>Stock-Based Compensation</t>
  </si>
  <si>
    <t>(Income) Loss on Equity Invest.</t>
  </si>
  <si>
    <t>Provision for Credit Losses</t>
  </si>
  <si>
    <t>Net (Increase) Decrease in Loans Orig./Sold</t>
  </si>
  <si>
    <t>Asset Writedown &amp; Restructuring Costs</t>
  </si>
  <si>
    <t>(Gain) Loss On Sale Of Invest.</t>
  </si>
  <si>
    <t>(Gain) Loss From Sale Of Asset</t>
  </si>
  <si>
    <t>Minority Int. in Earnings</t>
  </si>
  <si>
    <t>Other Amortization</t>
  </si>
  <si>
    <t>Depreciation &amp; Amort., Total</t>
  </si>
  <si>
    <t>Impair. of Oil, Gas &amp; Mineral Prop.</t>
  </si>
  <si>
    <t>Amort. of Goodwill and Intangibles</t>
  </si>
  <si>
    <t>Depreciation &amp; Amort.</t>
  </si>
  <si>
    <t>Net Income</t>
  </si>
  <si>
    <t>Stock Based Comp. Exp., After Tax</t>
  </si>
  <si>
    <t>Stock Based Comp. Exp. Tax Effect</t>
  </si>
  <si>
    <t>Stock Based Comp. Exp., Before Tax</t>
  </si>
  <si>
    <t>Stock Options Comp. Exp., After Tax</t>
  </si>
  <si>
    <t>Stock Options Comp. Exp. Tax Effect</t>
  </si>
  <si>
    <t>Stock Options Comp. Exp., Before Tax</t>
  </si>
  <si>
    <t>Restr. Stock Comp. Exp., After Tax</t>
  </si>
  <si>
    <t>Restr. Stock Comp. Exp. Tax Effect</t>
  </si>
  <si>
    <t>Restr. Stock Comp. Exp., Before Tax</t>
  </si>
  <si>
    <t>Stock-Based Comp., Total</t>
  </si>
  <si>
    <t>Stock-Based Comp., After-Tax</t>
  </si>
  <si>
    <t>Stock-Based Comp., Unallocated</t>
  </si>
  <si>
    <t>Stock-Based Comp., Exploration/Drilling Exp.</t>
  </si>
  <si>
    <t>Stock-Based Comp., SG&amp;A Exp</t>
  </si>
  <si>
    <t>Stock-Based Comp., G&amp;A Exp</t>
  </si>
  <si>
    <t>Stock-Based Comp., S&amp;M Exp</t>
  </si>
  <si>
    <t>Stock-Based Comp., R&amp;D Exp</t>
  </si>
  <si>
    <t>Stock-Based Comp., COGS</t>
  </si>
  <si>
    <t>Imputed Oper. Lease Depreciation</t>
  </si>
  <si>
    <t>Imputed Oper. Lease Interest Exp</t>
  </si>
  <si>
    <t>Maintenance &amp; Repair Expenses</t>
  </si>
  <si>
    <t>Exploration/Drilling Exp.</t>
  </si>
  <si>
    <t>Net Rental Expense, Total</t>
  </si>
  <si>
    <t>R&amp;D Expense (Foot Note)</t>
  </si>
  <si>
    <t>General and Administrative Expense</t>
  </si>
  <si>
    <t>Selling And Marketing Expense</t>
  </si>
  <si>
    <t>Marketing Expense</t>
  </si>
  <si>
    <t>Advertising Expense</t>
  </si>
  <si>
    <t>Payout Ratio (%)</t>
  </si>
  <si>
    <t>Effective Tax Rate (%)</t>
  </si>
  <si>
    <t>Distributable Cash</t>
  </si>
  <si>
    <t>Non-Cash Pension Expense</t>
  </si>
  <si>
    <t>Interest On Long Term Debt</t>
  </si>
  <si>
    <t>Interest Capitalized</t>
  </si>
  <si>
    <t>Normalized Net Income</t>
  </si>
  <si>
    <t>Total Deferred Taxes</t>
  </si>
  <si>
    <t>Deferred Foreign Taxes</t>
  </si>
  <si>
    <t>Deferred Domestic Taxes</t>
  </si>
  <si>
    <t>Total Current Taxes</t>
  </si>
  <si>
    <t>Current Foreign Taxes</t>
  </si>
  <si>
    <t>Current Domestic Taxes</t>
  </si>
  <si>
    <t>Net Income per SFAS 123 (after Options)</t>
  </si>
  <si>
    <t>As-Reported Total Revenue</t>
  </si>
  <si>
    <t>EBITDAR</t>
  </si>
  <si>
    <t>EBITA</t>
  </si>
  <si>
    <t>EBIT</t>
  </si>
  <si>
    <t>EBITDA</t>
  </si>
  <si>
    <t>INCOME STATEMENT (Contd.)</t>
  </si>
  <si>
    <t>Distributable Cash per Share</t>
  </si>
  <si>
    <t>Normalized Diluted EPS</t>
  </si>
  <si>
    <t>Normalized Basic EPS</t>
  </si>
  <si>
    <t>Basic EPS Excl. Extra Items</t>
  </si>
  <si>
    <t>Basic EPS</t>
  </si>
  <si>
    <t>NI to Common Excl Extra Items</t>
  </si>
  <si>
    <t>NI to Common Incl Extra Items</t>
  </si>
  <si>
    <t>Pref. Dividends and Other Adj.</t>
  </si>
  <si>
    <t>Net Income to Parent</t>
  </si>
  <si>
    <t>Net Income to Company</t>
  </si>
  <si>
    <t>Extraord. Item &amp; Account. Change</t>
  </si>
  <si>
    <t>Earnings of Discontinued Ops.</t>
  </si>
  <si>
    <t>Earnings from Cont. Ops.</t>
  </si>
  <si>
    <t>Income Tax Expense</t>
  </si>
  <si>
    <t>EBT Incl Unusual Items</t>
  </si>
  <si>
    <t>Other Unusual Items</t>
  </si>
  <si>
    <t>Legal Settlements</t>
  </si>
  <si>
    <t>Insurance Settlements</t>
  </si>
  <si>
    <t>In Process R &amp; D Exp.</t>
  </si>
  <si>
    <t>Asset Writedown</t>
  </si>
  <si>
    <t>Gain (Loss) On Sale Of Assets</t>
  </si>
  <si>
    <t>Gain (Loss) On Sale Of Invest.</t>
  </si>
  <si>
    <t>Impairment of Goodwill</t>
  </si>
  <si>
    <t>Merger &amp; Related Restruct. Charges</t>
  </si>
  <si>
    <t>Restructuring Charges</t>
  </si>
  <si>
    <t>EBT Excl Unusual Items</t>
  </si>
  <si>
    <t>Other Non-Operating Inc. (Exp.)</t>
  </si>
  <si>
    <t>Currency Exchange Gains (Loss)</t>
  </si>
  <si>
    <t>Income / (Loss) from Affiliates</t>
  </si>
  <si>
    <t>Net Interest Exp.</t>
  </si>
  <si>
    <t>Interest and Invest. Income</t>
  </si>
  <si>
    <t>Interest Expense</t>
  </si>
  <si>
    <t>Operating Income</t>
  </si>
  <si>
    <t>Other Operating Exp., Total</t>
  </si>
  <si>
    <t>Other Operating Expense/(Income)</t>
  </si>
  <si>
    <t>R &amp; D Exp.</t>
  </si>
  <si>
    <t>Pre-Opening Costs</t>
  </si>
  <si>
    <t>Provision for Bad Debts</t>
  </si>
  <si>
    <t>Exploration/Drilling Costs</t>
  </si>
  <si>
    <t>Selling General &amp; Admin Exp.</t>
  </si>
  <si>
    <t>Gross Profit</t>
  </si>
  <si>
    <t>Interest Expense - Finance Division</t>
  </si>
  <si>
    <t>Insurance Div. Operating Exp.</t>
  </si>
  <si>
    <t>Finance Div. Operating Exp.</t>
  </si>
  <si>
    <t>Cost Of Goods Sold</t>
  </si>
  <si>
    <t>Total Revenues</t>
  </si>
  <si>
    <t>Other Revenues</t>
  </si>
  <si>
    <t>Interest And Invest. Income (Rev)</t>
  </si>
  <si>
    <t>Gain/(Loss) on Sale Of Invest.(Rev)</t>
  </si>
  <si>
    <t>Gain/(Loss) on Sale Of Assets (Rev)</t>
  </si>
  <si>
    <t>Insurance Div. Revenues</t>
  </si>
  <si>
    <t>Finance Div. Revenues</t>
  </si>
  <si>
    <t>Revenues</t>
  </si>
  <si>
    <t>Current</t>
  </si>
  <si>
    <t>Ticker</t>
  </si>
  <si>
    <t>BALANCE SHEET</t>
  </si>
  <si>
    <t>INCOME STATEMENT</t>
  </si>
  <si>
    <t>Target Company</t>
  </si>
  <si>
    <t>Mean</t>
  </si>
  <si>
    <t>Min</t>
  </si>
  <si>
    <t>Median</t>
  </si>
  <si>
    <t>Max</t>
  </si>
  <si>
    <t>Total Assets</t>
  </si>
  <si>
    <t>ROA</t>
  </si>
  <si>
    <t>ROE</t>
  </si>
  <si>
    <t>Total Cap. (%)</t>
  </si>
  <si>
    <t>Total Equity (%)</t>
  </si>
  <si>
    <t>3-Yr CAGR</t>
  </si>
  <si>
    <t>5-Yr CAGR</t>
  </si>
  <si>
    <t>FY-1</t>
  </si>
  <si>
    <t>FY-2</t>
  </si>
  <si>
    <t>TEV</t>
  </si>
  <si>
    <t>Minority Int.</t>
  </si>
  <si>
    <t>Pref. Stock</t>
  </si>
  <si>
    <t>Market Cap</t>
  </si>
  <si>
    <t>52W Low</t>
  </si>
  <si>
    <t>52W High</t>
  </si>
  <si>
    <t>Low</t>
  </si>
  <si>
    <t>High</t>
  </si>
  <si>
    <t>FYE</t>
  </si>
  <si>
    <t>Name</t>
  </si>
  <si>
    <t>Quick</t>
  </si>
  <si>
    <t>Total Debt/</t>
  </si>
  <si>
    <t>(EBITDA-Capex)/</t>
  </si>
  <si>
    <t>EBITDA/</t>
  </si>
  <si>
    <t>Net Debt/</t>
  </si>
  <si>
    <t>EPS</t>
  </si>
  <si>
    <t>Total Revenue</t>
  </si>
  <si>
    <t>% of</t>
  </si>
  <si>
    <t>52-Week</t>
  </si>
  <si>
    <t>Stock Price</t>
  </si>
  <si>
    <t>LTM Profitability (%)</t>
  </si>
  <si>
    <t>Trading Multiples</t>
  </si>
  <si>
    <t>Financial Data</t>
  </si>
  <si>
    <t>Dates</t>
  </si>
  <si>
    <t>DIO</t>
  </si>
  <si>
    <t>DPO</t>
  </si>
  <si>
    <t>DSO</t>
  </si>
  <si>
    <t>Revenue</t>
  </si>
  <si>
    <t>Operating Statistics</t>
  </si>
  <si>
    <t>LTM Margins (%)</t>
  </si>
  <si>
    <t>3-Year Historical CAGR (%)</t>
  </si>
  <si>
    <t>Total Cap (%)</t>
  </si>
  <si>
    <t>Tot. Equity (%)</t>
  </si>
  <si>
    <t>Leverage and Trading Multiples</t>
  </si>
  <si>
    <t>(EBITDA-Capex)</t>
  </si>
  <si>
    <t>Trading Data and Size</t>
  </si>
  <si>
    <t>Current as % of 52-Week (%)</t>
  </si>
  <si>
    <t>Weighted Avg. Basic Shares Out. (actual)</t>
  </si>
  <si>
    <t>Weighted Avg. Diluted Shares Out. (actual)</t>
  </si>
  <si>
    <t>Distributable Cash Shares (Basic) (actual)</t>
  </si>
  <si>
    <t>Distributable Cash Shares (Diluted) (actual)</t>
  </si>
  <si>
    <t>Shares per Depositary Receipt (actual)</t>
  </si>
  <si>
    <t>ECS Total Shares Outstanding on Filing Date (actual)</t>
  </si>
  <si>
    <t>ECS Total Common Shares Outstanding (actual)</t>
  </si>
  <si>
    <t>Full Time Employees (actual)</t>
  </si>
  <si>
    <t>Part-Time Employees (actual)</t>
  </si>
  <si>
    <t>Net Periodic Cost Disc. Rate (Pension) - Min (%)</t>
  </si>
  <si>
    <t>Net Periodic Cost Disc. Rate (Pension) - Max (%)</t>
  </si>
  <si>
    <t>Rate of Comp. Increase (Pension) - Min (%)</t>
  </si>
  <si>
    <t>Rate of Comp. Increase (Pension) - Max (%)</t>
  </si>
  <si>
    <t>Exp. LT Rate of Return on Assets (Pension) - Min (%)</t>
  </si>
  <si>
    <t>Exp. LT Rate of Return on Assets (Pension) - Max (%)</t>
  </si>
  <si>
    <t>Plan Assets (Pension) - Equities/ Total (%)</t>
  </si>
  <si>
    <t>Plan Assets (Pension) - Fixed Income/ Total (%)</t>
  </si>
  <si>
    <t>Plan Assets (Pension)- Real Estate/ Total (%)</t>
  </si>
  <si>
    <t>Other Plan Assets (Pension)/ Total (%)</t>
  </si>
  <si>
    <t>PBO Assumed Rate of Return (Pension) - Min (%)</t>
  </si>
  <si>
    <t>PBO Assumed Rate of Return (Pension) - Max (%)</t>
  </si>
  <si>
    <t>Rate of PBO Comp. Increase (Pension) - Min (%)</t>
  </si>
  <si>
    <t>Rate of PBO Comp. Increase (Pension) - Max (%)</t>
  </si>
  <si>
    <t>Net Periodic Cost Disc. Rate (OPEB) - Min (%)</t>
  </si>
  <si>
    <t>Net Periodic Cost Disc. Rate (OPEB) - Max (%)</t>
  </si>
  <si>
    <t>Rate of Comp. Increase (OPEB) - Min (%)</t>
  </si>
  <si>
    <t>Rate of Comp. Increase (OPEB) - Max (%)</t>
  </si>
  <si>
    <t>Exp. LT Rate of Return on Assets (OPEB) - Min (%)</t>
  </si>
  <si>
    <t>Exp. LT Rate of Return on Assets (OPEB) - Max (%)</t>
  </si>
  <si>
    <t>Plan Assets (OPEB) - Equities/ Total (%)</t>
  </si>
  <si>
    <t>Plan Assets (OPEB) - Fixed Income/ Total (%)</t>
  </si>
  <si>
    <t>Plan Assets (OPEB)- Real Estate/ Total (%)</t>
  </si>
  <si>
    <t>Other Plan Assets (OPEB)/ Total (%)</t>
  </si>
  <si>
    <t>PBO Assumed Rate of Return (OPEB) - Min (%)</t>
  </si>
  <si>
    <t>PBO Assumed Rate of Return (OPEB) - Max (%)</t>
  </si>
  <si>
    <t>Rate of PBO Comp. Increase (OPEB) - Min (%)</t>
  </si>
  <si>
    <t>Rate of PBO Comp. Increase (OPEB) - Max (%)</t>
  </si>
  <si>
    <t>Health Care Cost Trend Rate, Initial (OPEB) (%)</t>
  </si>
  <si>
    <t>Health Care Cost Trend Rate, Ultimate (OPEB) (%)</t>
  </si>
  <si>
    <t>Net Periodic Cost Disc. Rate (Pension) - Min - Dom (%)</t>
  </si>
  <si>
    <t>Net Periodic Cost Disc. Rate (Pension) - Max - Dom (%)</t>
  </si>
  <si>
    <t>Rate of Comp. Increase (Pension) - Min - Domestic (%)</t>
  </si>
  <si>
    <t>Rate of Comp. Increase (Pension) - Max - Domestic (%)</t>
  </si>
  <si>
    <t>Exp. Long-Term ROR Assets - Min (Pension - Dom) (%)</t>
  </si>
  <si>
    <t>Exp. Long-Term ROR Assets - Max (Pension - Dom) (%)</t>
  </si>
  <si>
    <t>Plan Assets (Pension) - Equities - Dom/ Total (%)</t>
  </si>
  <si>
    <t>Plan Assets (Pension) - Fixed Income - Dom/ Total (%)</t>
  </si>
  <si>
    <t>Plan Assets (Pension)- Real Estate - Dom/ Total (%)</t>
  </si>
  <si>
    <t>Other Plan Assets (Pension - Dom)/ Total (%)</t>
  </si>
  <si>
    <t>PBO Assumed Rate of Return (Pension) - Min - Dom (%)</t>
  </si>
  <si>
    <t>PBO Assumed Rate of Return (Pension) - Max - Dom (%)</t>
  </si>
  <si>
    <t>Rate of PBO Comp. Increase (Pension) - Min - Dom (%)</t>
  </si>
  <si>
    <t>Rate of PBO Comp. Increase (Pension) - Max - Dom (%)</t>
  </si>
  <si>
    <t>Net Periodic Cost Disc. Rate (OPEB) - Min - Dom (%)</t>
  </si>
  <si>
    <t>Net Periodic Cost Disc. Rate (OPEB) - Max - Dom (%)</t>
  </si>
  <si>
    <t>Rate of Comp. Increase (OPEB) - Min - Domestic (%)</t>
  </si>
  <si>
    <t>Rate of Comp. Increase (OPEB) - Max - Domestic (%)</t>
  </si>
  <si>
    <t>Exp. LT Rate of Return on Assets (OPEB) -Min- Dom (%)</t>
  </si>
  <si>
    <t>Exp. LT Rate of Return on Assets (OPEB) -Max- Dom (%)</t>
  </si>
  <si>
    <t>Plan Assets (OPEB) - Equities - Domestic/ Total (%)</t>
  </si>
  <si>
    <t>Plan Assets (OPEB) - Fixed Income - Dom/ Total (%)</t>
  </si>
  <si>
    <t>Plan Assets (OPEB)- Real Estate - Domestic/ Total (%)</t>
  </si>
  <si>
    <t>Other Plan Assets (OPEB - Dom)/ Total (%)</t>
  </si>
  <si>
    <t>PBO Assumed Rate of Return (OPEB) - Min - Domestic (%)</t>
  </si>
  <si>
    <t>PBO Assumed Rate of Return (OPEB) - Max - Domestic (%)</t>
  </si>
  <si>
    <t>Rate of PBO Comp. Increase (OPEB) - Min - Domestic (%)</t>
  </si>
  <si>
    <t>Rate of PBO Comp. Increase (OPEB) - Max - Domestic (%)</t>
  </si>
  <si>
    <t>Health Care Cost Trend Rate, Initial (OPEB - DOM) (%)</t>
  </si>
  <si>
    <t>Health Care Cost Trend Rate, Ultimate (OPEB - DOM) (%)</t>
  </si>
  <si>
    <t>Net Periodic Cost Disc. Rate (Pension) - Min - FGN (%)</t>
  </si>
  <si>
    <t>Net Periodic Cost Disc. Rate (Pension) - Max - FGN (%)</t>
  </si>
  <si>
    <t>Rate of Comp. Increase (Pension) - Min - Foreign (%)</t>
  </si>
  <si>
    <t>Rate of Comp. Increase (Pension) - Max - Foreign (%)</t>
  </si>
  <si>
    <t>Exp. Long-Term ROR Assets - Min (Pension - FGN) (%)</t>
  </si>
  <si>
    <t>Exp. Long-Term ROR Assets - Max (Pension - FGN) (%)</t>
  </si>
  <si>
    <t>Plan Assets (Pension) - Equities - Foreign/ Total (%)</t>
  </si>
  <si>
    <t>Plan Assets (Pension) - Fixed Income - FGN/ Total (%)</t>
  </si>
  <si>
    <t>Plan Assets (Pension)- Real Estate - FGN/ Total (%)</t>
  </si>
  <si>
    <t>Other Plan Assets (Pension - FGN)/ Total (%)</t>
  </si>
  <si>
    <t>PBO Assumed Rate of Return (Pension) - Min - FGN (%)</t>
  </si>
  <si>
    <t>PBO Assumed Rate of Return (Pension) - Max - FGN (%)</t>
  </si>
  <si>
    <t>Rate of PBO Comp. Increase (Pension) - Min - FGN (%)</t>
  </si>
  <si>
    <t>Rate of PBO Comp. Increase (Pension) - Max - FGN (%)</t>
  </si>
  <si>
    <t>Net Periodic Cost Disc. Rate (OPEB) - Min - FGN (%)</t>
  </si>
  <si>
    <t>Net Periodic Cost Disc. Rate (OPEB) - Max - FGN (%)</t>
  </si>
  <si>
    <t>Rate of Comp. Increase (OPEB) - Min - Foreign (%)</t>
  </si>
  <si>
    <t>Rate of Comp. Increase (OPEB) - Max - Foreign (%)</t>
  </si>
  <si>
    <t>Exp. LT Rate of Return on Assets (OPEB) -Min- FGN (%)</t>
  </si>
  <si>
    <t>Exp. LT Rate of Return on Assets (OPEB) -Max- FGN (%)</t>
  </si>
  <si>
    <t>Plan Assets (OPEB) - Equities - Foreign/ Total (%)</t>
  </si>
  <si>
    <t>Plan Assets (OPEB) - Fixed Income - Foreign/ Total (%)</t>
  </si>
  <si>
    <t>Plan Assets (OPEB)- Real Estate - Foreign/ Total (%)</t>
  </si>
  <si>
    <t>Other Plan Assets (OPEB - FGN)/ Total (%)</t>
  </si>
  <si>
    <t>PBO Assumed Rate of Return (OPEB) - Min - Foreign (%)</t>
  </si>
  <si>
    <t>PBO Assumed Rate of Return (OPEB) - Max - Foreign (%)</t>
  </si>
  <si>
    <t>Rate of PBO Comp. Increase (OPEB) - Min - Foreign (%)</t>
  </si>
  <si>
    <t>Rate of PBO Comp. Increase (OPEB) - Max - Foreign (%)</t>
  </si>
  <si>
    <t>Health Care Cost Trend Rate, Initial (OPEB - FGN) (%)</t>
  </si>
  <si>
    <t>Health Care Cost Trend Rate, Ultimate (OPEB - FGN) (%)</t>
  </si>
  <si>
    <t xml:space="preserve">Max. Year for NOL Carry Forward </t>
  </si>
  <si>
    <t xml:space="preserve">Max. Year for Capital Loss Carry Forward </t>
  </si>
  <si>
    <t xml:space="preserve">Max. Year for Tax Benefit Carry Forward </t>
  </si>
  <si>
    <t>Gross Profit Margin (%)</t>
  </si>
  <si>
    <t>Capex as Percent of Revenues (%)</t>
  </si>
  <si>
    <t>Total Asset Turnover (x)</t>
  </si>
  <si>
    <t>Fixed Asset Turnover (x)</t>
  </si>
  <si>
    <t>Accounts Receivable Turnover (x)</t>
  </si>
  <si>
    <t>Inventory Turnover (x)</t>
  </si>
  <si>
    <t>Current Ratio (x)</t>
  </si>
  <si>
    <t>Quick Ratio (x)</t>
  </si>
  <si>
    <t>Cash from Ops. to Curr. Liab. (x)</t>
  </si>
  <si>
    <t>Avg. Days Sales Out. (days)</t>
  </si>
  <si>
    <t>Avg. Days Inventory Out. (days)</t>
  </si>
  <si>
    <t>Average Days Payable Out. (days)</t>
  </si>
  <si>
    <t>Average Cash Conversion Cycle (days)</t>
  </si>
  <si>
    <t>Total Debt/Equity (%)</t>
  </si>
  <si>
    <t>Total Debt / Total Capital (%)</t>
  </si>
  <si>
    <t>LT Debt/Equity (%)</t>
  </si>
  <si>
    <t>Long-Term Debt / Total Capital (%)</t>
  </si>
  <si>
    <t>EBIT / Interest Expense (x)</t>
  </si>
  <si>
    <t>EBITDA / Interest Expense (x)</t>
  </si>
  <si>
    <t>(EBITDA - Capex) / Interest Expense (x)</t>
  </si>
  <si>
    <t>Total Debt / EBITDA (x)</t>
  </si>
  <si>
    <t>Net Debt / EBITDA (x)</t>
  </si>
  <si>
    <t>Total Debt/(EBITDA-CAPEX) (x)</t>
  </si>
  <si>
    <t>Net Debt/(EBITDA-CAPEX) (x)</t>
  </si>
  <si>
    <t>Total Revenues, 1 Year Growth (%)</t>
  </si>
  <si>
    <t>Gross Profit, 1 Yr. Growth (%)</t>
  </si>
  <si>
    <t>EBITDA, 1 Yr. Growth (%)</t>
  </si>
  <si>
    <t>EBIT, 1 Yr. Growth (%)</t>
  </si>
  <si>
    <t>Net Income, 1 Yr. Growth (%)</t>
  </si>
  <si>
    <t>Diluted EPS Before Extra, 1 Year Growth (%)</t>
  </si>
  <si>
    <t>Total Revenues, 3 Yr. CAGR (%)</t>
  </si>
  <si>
    <t>Gross Profit, 3 Yr. CAGR (%)</t>
  </si>
  <si>
    <t>EBITDA, 3 Years CAGR (%)</t>
  </si>
  <si>
    <t>EBIT, 3 Yr. CAGR (%)</t>
  </si>
  <si>
    <t>Net Income, 3 Yr. CAGR (%)</t>
  </si>
  <si>
    <t>Diluted EPS Before Extra, 3 Yr. CAGR (%)</t>
  </si>
  <si>
    <t>Total Revenues, 5 Yr. CAGR (%)</t>
  </si>
  <si>
    <t>Gross Profit, 5 Yr. CAGR (%)</t>
  </si>
  <si>
    <t>EBITDA, 5 Years CAGR (%)</t>
  </si>
  <si>
    <t>EBIT, 5 Yr. CAGR (%)</t>
  </si>
  <si>
    <t>Net Income, 5 Yr. CAGR (%)</t>
  </si>
  <si>
    <t>Diluted EPS Before Extra, 5 Yr. CAGR (%)</t>
  </si>
  <si>
    <t>Finance Div. Revenue</t>
  </si>
  <si>
    <t>Insurance Div. Revenue</t>
  </si>
  <si>
    <t>Gain on Sale Of Assets (Rev)</t>
  </si>
  <si>
    <t>Gain on Sale Of Invest. (Rev)</t>
  </si>
  <si>
    <t>Other Revenue</t>
  </si>
  <si>
    <t>Other Operating Expense</t>
  </si>
  <si>
    <t>Income from Affiliates</t>
  </si>
  <si>
    <t>Currency Exchange Gains</t>
  </si>
  <si>
    <t>Other Non-Operating Inc.</t>
  </si>
  <si>
    <t>EBT Incl. Unusual Items</t>
  </si>
  <si>
    <t>NI to Common Excl. Extra Items</t>
  </si>
  <si>
    <t>As Reported Total Revenue</t>
  </si>
  <si>
    <t>NI per SFAS 123 (after Options)</t>
  </si>
  <si>
    <t>Interest on Long-Term Debt</t>
  </si>
  <si>
    <t>Selling and Marketing Expense</t>
  </si>
  <si>
    <t>R&amp;D Expense</t>
  </si>
  <si>
    <t>Exploration/Drilling Expenses</t>
  </si>
  <si>
    <t>Imputed Oper. Lease Interest Exp.</t>
  </si>
  <si>
    <t>Stock-Based Comp., R&amp;D Exp.</t>
  </si>
  <si>
    <t>Stock-Based Comp., S&amp;M Exp.</t>
  </si>
  <si>
    <t>Stock-Based Comp., G&amp;A Exp.</t>
  </si>
  <si>
    <t>Stock-Based Comp., SG&amp;A Exp.</t>
  </si>
  <si>
    <t>Net Income - CF</t>
  </si>
  <si>
    <t>(Gain) Loss From Sale Of Assets</t>
  </si>
  <si>
    <t>Loss On Sale Of Investment</t>
  </si>
  <si>
    <t>Net (Inc.) Dec. in Loans Orig/Sold: Operating</t>
  </si>
  <si>
    <t>Loss on Equity Investment</t>
  </si>
  <si>
    <t>Tax Benefit from Stock Options During the Period</t>
  </si>
  <si>
    <t>Change In Income Taxes</t>
  </si>
  <si>
    <t>Change in Other Net Operating Assets</t>
  </si>
  <si>
    <t>Sale of Property, Plant and Equipment</t>
  </si>
  <si>
    <t>Sale (Purchase) of Real Estate properties</t>
  </si>
  <si>
    <t>Sale (Purchase) of Intangible assets</t>
  </si>
  <si>
    <t>Invest. in Marketable &amp; Equity Securt.</t>
  </si>
  <si>
    <t>Net (Inc.) Dec. in Loans Orig/Sold: Investing</t>
  </si>
  <si>
    <t>Repurchase of Common Stock</t>
  </si>
  <si>
    <t>Repurchase of Preferred Stock</t>
  </si>
  <si>
    <t>Levered Free Cash Flow</t>
  </si>
  <si>
    <t>Unlevered Free Cash Flow</t>
  </si>
  <si>
    <t>Net Cash From Discontinued Ops. - Investing</t>
  </si>
  <si>
    <t>Net Cash From Discontinued Ops. - Financing</t>
  </si>
  <si>
    <t>Cash and Equivalents</t>
  </si>
  <si>
    <t>Cash &amp; Short Term Investments</t>
  </si>
  <si>
    <t>Curr. Port. of LT Debt</t>
  </si>
  <si>
    <t>Total Liabilities</t>
  </si>
  <si>
    <t>Total Preferred Equity</t>
  </si>
  <si>
    <t>Total Minority Interest</t>
  </si>
  <si>
    <t>Natural Resources, at Cost</t>
  </si>
  <si>
    <t>Netting and Other Adjustments to Assets</t>
  </si>
  <si>
    <t>Netting and Other Adjustments to Liabilities</t>
  </si>
  <si>
    <t>Def. Benefit Service Cost (Pension)</t>
  </si>
  <si>
    <t>Def. Benefit Interest Cost (Pension)</t>
  </si>
  <si>
    <t>Def. Benefit Return on Assets (Pension)</t>
  </si>
  <si>
    <t>Def. Benefit Other Cost (Pension)</t>
  </si>
  <si>
    <t>Def. Benefit Total Cost (Pension)</t>
  </si>
  <si>
    <t>Def. Benefit Total Cost of Supple Plans (Pension)</t>
  </si>
  <si>
    <t>Def. Contribution Cost (Pension)</t>
  </si>
  <si>
    <t>Beg. Def. Benefit Obligation (Pension)</t>
  </si>
  <si>
    <t>Def. Benefit Employee Contributions (Pension)</t>
  </si>
  <si>
    <t>Def. Benefit Actuarial Gain (Pension)</t>
  </si>
  <si>
    <t>Def. Benefits Paid (Pension)</t>
  </si>
  <si>
    <t>Foreign Exchange Adj. (Pension) - Plan Obligations</t>
  </si>
  <si>
    <t>Acq. Benefit Obligation (Pension)</t>
  </si>
  <si>
    <t>Def. Benefit Settlement/Curtailment (Pension)</t>
  </si>
  <si>
    <t>Other Adj. To Def. Benefit Obligation (Pension)</t>
  </si>
  <si>
    <t>Proj. Benefit Obligation (Pension)</t>
  </si>
  <si>
    <t>Beg. Plan Assets (Pension)</t>
  </si>
  <si>
    <t>Actual Return on Plan Assets (Pension)</t>
  </si>
  <si>
    <t>Employer Contributions (Pension)</t>
  </si>
  <si>
    <t>Participant Contributions (Pension)</t>
  </si>
  <si>
    <t>Benefits Paid (Pension)</t>
  </si>
  <si>
    <t>Foreign Exchange Adjustments (Pension)</t>
  </si>
  <si>
    <t>Acquired Plan Assets (Pension)</t>
  </si>
  <si>
    <t>Plan Settlement / Curtailment (Pension)</t>
  </si>
  <si>
    <t>Other Plan Adjustments (Pension)</t>
  </si>
  <si>
    <t>Total Plan Assets (Pension)</t>
  </si>
  <si>
    <t>Plan Assets (Pension) - Equities</t>
  </si>
  <si>
    <t>Plan Assets (Pension) - Fixed Income</t>
  </si>
  <si>
    <t>Plan Assets (Pension)- Real Estate</t>
  </si>
  <si>
    <t>Other Plan Assets (Pension)</t>
  </si>
  <si>
    <t>Net Actuarial Loss - Compr. Inc. (Pension)</t>
  </si>
  <si>
    <t>Prior Service Cost/Benefit - Compr. Inc. (Pension)</t>
  </si>
  <si>
    <t>Transition Asset/Oblig. - Compr. Inc. (Pension)</t>
  </si>
  <si>
    <t>Other Misc. Adj. - Compr. Inc. (Pension)</t>
  </si>
  <si>
    <t>Net Amount Recognized - Compr. Inc. (Pension)</t>
  </si>
  <si>
    <t>Prior Service Cost/Credit (Pension)</t>
  </si>
  <si>
    <t>Net Actuarial Loss/Gain (Pension)</t>
  </si>
  <si>
    <t>Transition Asset/Obligation (Pension)</t>
  </si>
  <si>
    <t>Total Amount to be Recognised (Pension)</t>
  </si>
  <si>
    <t>Est. Future Benefits Paid (Pension) - 1st Yr.</t>
  </si>
  <si>
    <t>Est. Future Benefits Paid (Pension) - 2nd Yr.</t>
  </si>
  <si>
    <t>Est. Future Benefits Paid (Pension) - 3rd Yr.</t>
  </si>
  <si>
    <t>Est. Future Benefits Paid (Pension) - 4th Yr.</t>
  </si>
  <si>
    <t>Est. Future Benefits Paid (Pension) - Thereafter</t>
  </si>
  <si>
    <t>Est. Future Benefits Paid (Pension) - 5th Yr.</t>
  </si>
  <si>
    <t>Prepaid Benefit Cost (Pension)</t>
  </si>
  <si>
    <t>Accrued Benefit Liab. (Pension)</t>
  </si>
  <si>
    <t>Intangible Assets (Pension)</t>
  </si>
  <si>
    <t>Accum. Other Comp. Income (Pension)</t>
  </si>
  <si>
    <t>Long Term Assets (Pension)</t>
  </si>
  <si>
    <t>Current Liabilities (Pension)</t>
  </si>
  <si>
    <t>Long Term Liabilities (Pension)</t>
  </si>
  <si>
    <t>Other Assets/Liabilities (Pension)</t>
  </si>
  <si>
    <t>Unrecog. Prior Plan Service Cost (Pension)</t>
  </si>
  <si>
    <t>Other Adj. (Net Benefit Asset/Liab.) (Pension)</t>
  </si>
  <si>
    <t>Net Asset Recog. on Bal. Sheet (Pension)</t>
  </si>
  <si>
    <t>Est. Contributions (Pension) - Next Year</t>
  </si>
  <si>
    <t>Quart. Employer Contribution (Pension)</t>
  </si>
  <si>
    <t>Unfunded Additional Minimum Liab. (Pension)</t>
  </si>
  <si>
    <t>Qtrly Add. Contributions Expected (Pension)</t>
  </si>
  <si>
    <t>Def. Benefit Service Cost (OPEB)</t>
  </si>
  <si>
    <t>Def. Benefit Interest Cost (OPEB)</t>
  </si>
  <si>
    <t>Def. Benefit Exp. Return on Assets (OPEB)</t>
  </si>
  <si>
    <t>Def. Benefit Other Cost (OPEB)</t>
  </si>
  <si>
    <t>Total Def. Benefit Cost (OPEB)</t>
  </si>
  <si>
    <t>Def. Benefit Total Cost of Supple Plans (OPEB)</t>
  </si>
  <si>
    <t>Beg. Def. Benefit Obligation (OPEB)</t>
  </si>
  <si>
    <t>Def. Benefit Employee Contributions (OPEB)</t>
  </si>
  <si>
    <t>Def. Benefit Actuarial Gain (OPEB)</t>
  </si>
  <si>
    <t>Def. Benefits Paid (OPEB)</t>
  </si>
  <si>
    <t>Foreign Exchange Adj. (OPEB) - Plan Obligations</t>
  </si>
  <si>
    <t>Acq. Benefit Obligation (OPEB)</t>
  </si>
  <si>
    <t>Def. Benefit Settlement / Curtailment (OPEB)</t>
  </si>
  <si>
    <t>Other Adj. To Def. Benefit Obligation (OPEB)</t>
  </si>
  <si>
    <t>Projected Benefit Obligation (OPEB)</t>
  </si>
  <si>
    <t>Accumulated Benefit Obligation (OPEB)</t>
  </si>
  <si>
    <t>Beg. Plan Assets (OPEB)</t>
  </si>
  <si>
    <t>Actual Return on Plan Assets (OPEB)</t>
  </si>
  <si>
    <t>Employer Contributions (OPEB)</t>
  </si>
  <si>
    <t>Participant Contributions (OPEB)</t>
  </si>
  <si>
    <t>Benefits Paid (OPEB)</t>
  </si>
  <si>
    <t>Foreign Exchange Adjustments (OPEB) - Plan Assets</t>
  </si>
  <si>
    <t>Acquired Plan Assets (OPEB)</t>
  </si>
  <si>
    <t>Plan Settlement/Curtailment (OPEB)</t>
  </si>
  <si>
    <t>Other Plan Adjustments (OPEB)</t>
  </si>
  <si>
    <t>Total Plan Assets (OPEB)</t>
  </si>
  <si>
    <t>Plan Assets (OPEB) - Equities</t>
  </si>
  <si>
    <t>Plan Assets (OPEB) - Fixed Income</t>
  </si>
  <si>
    <t>Plan Assets (OPEB)- Real Estate</t>
  </si>
  <si>
    <t>Other Plan Assets (OPEB)</t>
  </si>
  <si>
    <t>Net Actuarial Loss/Gain - Compr. Inc. (OPEB)</t>
  </si>
  <si>
    <t>Prior Service Cost/Benefit - Compr. Inc. (OPEB)</t>
  </si>
  <si>
    <t>Transition Asset/Obligation - Compr. Inc. (OPEB)</t>
  </si>
  <si>
    <t>Other Misc. Adj. - Compr. Inc. (OPEB)</t>
  </si>
  <si>
    <t>Net Amount Recognized - Compr. Inc. (OPEB)</t>
  </si>
  <si>
    <t>Prior Service Cost/Benefit (OPEB)</t>
  </si>
  <si>
    <t>Net Actuarial Loss/Gain Recog. Next Period (OPEB)</t>
  </si>
  <si>
    <t>Transition Asset/Obligation (OPEB)</t>
  </si>
  <si>
    <t>Total Amount to be Recognized Next Period (OPEB)</t>
  </si>
  <si>
    <t>Est. Future Benefits Paid (OPEB) - 1st Yr.</t>
  </si>
  <si>
    <t>Est. Future Benefits Paid (OPEB) - 2nd Yr.</t>
  </si>
  <si>
    <t>Est. Future Benefits Paid (OPEB) - 3rd Yr.</t>
  </si>
  <si>
    <t>Est. Future Benefits Paid (OPEB) - 4th Yr.</t>
  </si>
  <si>
    <t>Est. Future Benefits Paid (OPEB) - Thereafter</t>
  </si>
  <si>
    <t>Est. Future Benefits Paid (OPEB) - 5th Yr.</t>
  </si>
  <si>
    <t>Prepaid Benefit Cost (OPEB)</t>
  </si>
  <si>
    <t>Accrued Benefit Liability (OPEB)</t>
  </si>
  <si>
    <t>Intangible Assets (OPEB)</t>
  </si>
  <si>
    <t>Accum. Other Comp. Income (OPEB)</t>
  </si>
  <si>
    <t>Long Term Assets (OPEB)</t>
  </si>
  <si>
    <t>Current Liabilities (OPEB)</t>
  </si>
  <si>
    <t>Long Term Liabilities (OPEB)</t>
  </si>
  <si>
    <t>Other Assets/Liabilities (OPEB)</t>
  </si>
  <si>
    <t>Unrecog. Prior Plan Service Cost (OPEB)</t>
  </si>
  <si>
    <t>Other Adj. (Net Benefit Asset/Liab.) (OPEB)</t>
  </si>
  <si>
    <t>Net Asset/Liab. Recognized on Bal. Sheet (OPEB)</t>
  </si>
  <si>
    <t>1% Incr- Effect on Service and Int. Cost (OPEB)</t>
  </si>
  <si>
    <t>1% Increase - Effect on PBO (OPEB)</t>
  </si>
  <si>
    <t>1% Dec- Effect on Service and Interest Cost (OPEB)</t>
  </si>
  <si>
    <t>1% Decrease - Effect on PBO (OPEB)</t>
  </si>
  <si>
    <t>Def. Benefit Service Cost (Pension - Dom)</t>
  </si>
  <si>
    <t>Def. Benefit Interest Cost (Pension - Dom)</t>
  </si>
  <si>
    <t>Def. Benefit Return On Assets (Pension - Dom)</t>
  </si>
  <si>
    <t>Def. Benefit Other Cost (Pension - Dom)</t>
  </si>
  <si>
    <t>Def. Benefit Total Cost (Pension - Dom)</t>
  </si>
  <si>
    <t>Def. Benefit Cost of Supple Plans (Pension - Dom)</t>
  </si>
  <si>
    <t>Def. Benefit Cost Incl. Supple Plans (Pension-Dom)</t>
  </si>
  <si>
    <t>Beg. Def. Benefit Obligation (Pension - Dom)</t>
  </si>
  <si>
    <t>Def. Benefit Employee Contrib. (Pension - Dom)</t>
  </si>
  <si>
    <t>Def. Benefit Actuarial Gain (Pension - Dom)</t>
  </si>
  <si>
    <t>Def. Benefits Paid (Pension - Dom)</t>
  </si>
  <si>
    <t>Foreign Exchange Adj. (Pension Obligations) - Dom</t>
  </si>
  <si>
    <t>Acq. Benefit Obligation (Pension - Dom)</t>
  </si>
  <si>
    <t>Def. Benefit Settle/Curtailment (Pension - Dom)</t>
  </si>
  <si>
    <t>Other Adj. To Def. Benefit Oblig. (Pension - Dom)</t>
  </si>
  <si>
    <t>Proj. Benefit Obligation (Pension - Dom)</t>
  </si>
  <si>
    <t>Accum. Benefit Obligation (Pension - Dom)</t>
  </si>
  <si>
    <t>Beg. Plan Assets (Pension - Dom)</t>
  </si>
  <si>
    <t>Actual Return on Plan Assets (Pension - Dom)</t>
  </si>
  <si>
    <t>Employer Contributions (Pension - Dom)</t>
  </si>
  <si>
    <t>Participant Contributions (Pension - Dom)</t>
  </si>
  <si>
    <t>Benefits Paid (Pension - Dom)</t>
  </si>
  <si>
    <t>Foreign Exchange Adjustments (Pension - Dom)</t>
  </si>
  <si>
    <t>Acquired Plan Assets (Pension - Dom)</t>
  </si>
  <si>
    <t>Plan Settlement/Curtailment (Pension Assets) - Dom</t>
  </si>
  <si>
    <t>Other Plan Adjustments (Pension - Dom)</t>
  </si>
  <si>
    <t>Total Plan Assets (Pension - Dom)</t>
  </si>
  <si>
    <t>Plan Assets (Pension) - Equities - Domestic</t>
  </si>
  <si>
    <t>Plan Assets (Pension) - Fixed Income - Domestic</t>
  </si>
  <si>
    <t>Plan Assets (Pension)- Real Estate - Domestic</t>
  </si>
  <si>
    <t>Other Plan Assets (Pension - Dom)</t>
  </si>
  <si>
    <t>Net Actuarial Loss - Compr. Inc (Pension-Dom)</t>
  </si>
  <si>
    <t>Prior Serv Cost/Benefit - Compr. Inc (Pension-Dom)</t>
  </si>
  <si>
    <t>Transition Asset/Oblig. - Compr. Inc (Pension-Dom)</t>
  </si>
  <si>
    <t>Other Misc. Adj. - Compr. Inc. (Pension - Dom)</t>
  </si>
  <si>
    <t>Net Amount Recog. - Compr. Inc. (Pension - Dom)</t>
  </si>
  <si>
    <t>Prior Service Cost/Credit (Pension) – Domestic</t>
  </si>
  <si>
    <t>Net Actuarial Loss/Gain (Pension) – Domestic</t>
  </si>
  <si>
    <t>Transition Asset/Obligation (Pension) – Domestic</t>
  </si>
  <si>
    <t>Total Amount to be Recognized (Pension) – Domestic</t>
  </si>
  <si>
    <t>Est. Future Benefits Paid (Pension) - 1st Yr - Dom</t>
  </si>
  <si>
    <t>Est. Future Benefits Paid (Pension) - 2nd Yr - Dom</t>
  </si>
  <si>
    <t>Est. Future Benefits Paid (Pension) - 3rd Yr - Dom</t>
  </si>
  <si>
    <t>Est. Future Benefits Paid (Pension) - 4th Yr - Dom</t>
  </si>
  <si>
    <t>Est. Future Benefits Paid-Thereafter (Pension-Dom)</t>
  </si>
  <si>
    <t>Est. Future Benefits Paid (Pension) - 5th Yr - Dom</t>
  </si>
  <si>
    <t>Prepaid Benefit Cost (Pension - Dom)</t>
  </si>
  <si>
    <t>Accrued Benefit Liab. (Pension - Dom)</t>
  </si>
  <si>
    <t>Intangible Assets (Pension - Dom)</t>
  </si>
  <si>
    <t>Accum. Other Comp. Income (Pension - Dom)</t>
  </si>
  <si>
    <t>Long Term Assets (Pension - Dom)</t>
  </si>
  <si>
    <t>Current Liabilities (Pension - Dom)</t>
  </si>
  <si>
    <t>Long Term Liabilities (Pension - Dom)</t>
  </si>
  <si>
    <t>Other Assets/Liabilities (Pension - Dom)</t>
  </si>
  <si>
    <t>Unrecog. Prior Plan Service Cost (Pension - Dom)</t>
  </si>
  <si>
    <t>Other Adj (Net Benefit Asset) (Pension - Dom)</t>
  </si>
  <si>
    <t>Net Asset/Liab. Recog. on Bal. Sheet (Pension)-Dom</t>
  </si>
  <si>
    <t>Est. Contributions (Pension) - Next Year - Dom</t>
  </si>
  <si>
    <t>Quart. Employer Contribution (Pension - Dom)</t>
  </si>
  <si>
    <t>Unfunded Additional Minimum Liab. (Pension - Dom)</t>
  </si>
  <si>
    <t>Qtrly Add. Contributions Expected (Pension - Dom)</t>
  </si>
  <si>
    <t>Def. Benefit Service Cost (OPEB - Dom)</t>
  </si>
  <si>
    <t>Def. Benefit Interest Cost (OPEB - Dom)</t>
  </si>
  <si>
    <t>Def. Benefit Exp. Return on Assets (OPEB - DOM)</t>
  </si>
  <si>
    <t>Def. Benefit Other Cost (OPEB - Dom)</t>
  </si>
  <si>
    <t>Total Def. Benefit Cost (OPEB - Dom)</t>
  </si>
  <si>
    <t>Def. Benefit Cost of Supple Plans (OPEB - DOM)</t>
  </si>
  <si>
    <t>Def. Benefit Cost Incl. Supple Plans (OPEB - DOM)</t>
  </si>
  <si>
    <t>Def. Benefit Employee Contributions (OPEB - DOM)</t>
  </si>
  <si>
    <t>Def. Benefit Actuarial Gain (OPEB - DOM)</t>
  </si>
  <si>
    <t>Def. Benefits Paid (OPEB - Dom)</t>
  </si>
  <si>
    <t>FGN. Exchange Adj. (OPEB - DOM) - Plan Obligations</t>
  </si>
  <si>
    <t>Acq. Benefit Obligation (OPEB - Dom)</t>
  </si>
  <si>
    <t>Def. Benefit Settlement/Curtailment (OPEB - DOM)</t>
  </si>
  <si>
    <t>Other Adj. To Def. Benefit Obligation (OPEB - DOM)</t>
  </si>
  <si>
    <t>Projected Benefit Obligation (OPEB - Dom)</t>
  </si>
  <si>
    <t>Accumulated Benefit Obligation (OPEB - Dom)</t>
  </si>
  <si>
    <t>Beg. Plan Assets (OPEB - Dom)</t>
  </si>
  <si>
    <t>Actual Return on Plan Assets (OPEB - Dom)</t>
  </si>
  <si>
    <t>Employer Contributions (OPEB - Dom)</t>
  </si>
  <si>
    <t>Participant Contributions (OPEB - Dom)</t>
  </si>
  <si>
    <t>Benefits Paid (OPEB - Dom)</t>
  </si>
  <si>
    <t>Foreign Exchange Adjustments (OPEB - Dom)</t>
  </si>
  <si>
    <t>Acquired Plan Assets (OPEB - Dom)</t>
  </si>
  <si>
    <t>Plan Settlement/Curtailment (OPEB - Dom)</t>
  </si>
  <si>
    <t>Other Plan Adjustments (OPEB - Dom)</t>
  </si>
  <si>
    <t>Total Plan Assets (OPEB - Dom)</t>
  </si>
  <si>
    <t>Plan Assets (OPEB) - Equities - Domestic</t>
  </si>
  <si>
    <t>Plan Assets (OPEB) - Fixed Income - Domestic</t>
  </si>
  <si>
    <t>Plan Assets (OPEB)- Real Estate - Domestic</t>
  </si>
  <si>
    <t>Other Plan Assets (OPEB - Dom)</t>
  </si>
  <si>
    <t>Net Actuarial Loss - Compr. Inc. (OPEB - DOM)</t>
  </si>
  <si>
    <t>Prior Service Cost/Benefit - Compr. Inc (OPEB-DOM)</t>
  </si>
  <si>
    <t>Transition Asset/Oblig. - Compr. Inc. (OPEB - DOM)</t>
  </si>
  <si>
    <t>Other Misc. Adj. - Compr. Inc. (OPEB - Dom)</t>
  </si>
  <si>
    <t>Net Amount Recognized - Compr. Inc. (OPEB - DOM)</t>
  </si>
  <si>
    <t>Est. Future Benefits Paid (OPEB) - 1st Yr - Dom</t>
  </si>
  <si>
    <t>Est. Future Benefits Paid (OPEB) - 2nd Yr - Dom</t>
  </si>
  <si>
    <t>Est. Future Benefits Paid (OPEB) - 3rd Yr - Dom</t>
  </si>
  <si>
    <t>Est. Future Benefits Paid (OPEB) - 4th Yr - Dom</t>
  </si>
  <si>
    <t>Est. Future Benefits Paid-Thereafter (OPEB - Dom)</t>
  </si>
  <si>
    <t>Est. Future Benefits Paid (OPEB) - 5th Yr - Dom</t>
  </si>
  <si>
    <t>Prepaid Benefit Cost (OPEB - Dom)</t>
  </si>
  <si>
    <t>Accrued Benefit Liab. (OPEB - Dom)</t>
  </si>
  <si>
    <t>Intangible Assets (OPEB - Dom)</t>
  </si>
  <si>
    <t>Accum. Other Comp. Income (OPEB - Dom)</t>
  </si>
  <si>
    <t>Long Term Assets (OPEB - Dom)</t>
  </si>
  <si>
    <t>Current Liabilities (OPEB - Dom)</t>
  </si>
  <si>
    <t>Long Term Liabilities (OPEB - Dom)</t>
  </si>
  <si>
    <t>Other Assets (OPEB - Dom)</t>
  </si>
  <si>
    <t>Unrecog. Prior Plan Service Cost (OPEB - Dom)</t>
  </si>
  <si>
    <t>Other Adj. (Net Benefit Asset) (OPEB - DOM)</t>
  </si>
  <si>
    <t>Net Asset Recogn. on Bal. Sheet (OPEB - DOM)</t>
  </si>
  <si>
    <t>1%Incr- Effect on Service &amp; Int. Cost (OPEB - DOM)</t>
  </si>
  <si>
    <t>1% Increase - Effect on PBO (OPEB - Dom)</t>
  </si>
  <si>
    <t>1% Dec- Effect on Service and Int. Cost -OPEB- Dom</t>
  </si>
  <si>
    <t>1% Decrease - Effect on PBO (OPEB - Dom)</t>
  </si>
  <si>
    <t>Def. Benefit Service Cost (Pension - FGN)</t>
  </si>
  <si>
    <t>Def. Benefit Interest Cost (Pension - FGN)</t>
  </si>
  <si>
    <t>Def. Benefit Return on Assets (Pension - FGN)</t>
  </si>
  <si>
    <t>Def. Benefit Other Cost (Pension - FGN)</t>
  </si>
  <si>
    <t>Def. Benefit Total Cost (Pension - FGN)</t>
  </si>
  <si>
    <t>Def. Benefit Cost of Supple Plans (Pension - FGN)</t>
  </si>
  <si>
    <t>Def. Benefit Cost Incl. Supple Plans (Pension-FGN)</t>
  </si>
  <si>
    <t>Beg. Def. Benefit Obligation (Pension - FGN)</t>
  </si>
  <si>
    <t>Def. Benefit Employee Contrib. (Pension - FGN)</t>
  </si>
  <si>
    <t>Def. Benefit Actuarial Gain (Pension - FGN)</t>
  </si>
  <si>
    <t>Def. Benefits Paid (Pension - FGN)</t>
  </si>
  <si>
    <t>Foreign Exchange Adj. (Pension Obligations) - FGN</t>
  </si>
  <si>
    <t>Acq. Benefit Obligation (Pension - FGN)</t>
  </si>
  <si>
    <t>Def. Benefit Settle/Curtailment (Pension - FGN)</t>
  </si>
  <si>
    <t>Other Adj. To Def. Benefit Oblig. (Pension - FGN)</t>
  </si>
  <si>
    <t>Proj. Benefit Obligation (Pension - FGN)</t>
  </si>
  <si>
    <t>Accum. Benefit Obligation (Pension - FGN)</t>
  </si>
  <si>
    <t>Beg. Plan Assets (Pension - FGN)</t>
  </si>
  <si>
    <t>Actual Return on Plan Assets (Pension - FGN)</t>
  </si>
  <si>
    <t>Employer Contributions (Pension - FGN)</t>
  </si>
  <si>
    <t>Participant Contributions (Pension - FGN)</t>
  </si>
  <si>
    <t>Benefits Paid (Pension - FGN)</t>
  </si>
  <si>
    <t>Foreign Exchange Adjustments (Pension - FGN)</t>
  </si>
  <si>
    <t>Acquired Plan Assets (Pension - FGN)</t>
  </si>
  <si>
    <t>Plan Settlement/Curtailment (Pension Assets) - FGN</t>
  </si>
  <si>
    <t>Other Plan Adjustments (Pension - FGN)</t>
  </si>
  <si>
    <t>Total Plan Assets (Pension - FGN)</t>
  </si>
  <si>
    <t>Plan Assets (Pension) - Equities - Foreign</t>
  </si>
  <si>
    <t>Plan Assets (Pension) - Fixed Income - Foreign</t>
  </si>
  <si>
    <t>Plan Assets (Pension)- Real Estate - Foreign</t>
  </si>
  <si>
    <t>Other Plan Assets (Pension - FGN)</t>
  </si>
  <si>
    <t>Net Actuarial Loss - Compr. Inc (Pension-FGN)</t>
  </si>
  <si>
    <t>Prior Serv Cost/Benefit - Compr. Inc (Pension-FGN)</t>
  </si>
  <si>
    <t>Transition Asset/Oblig. - Compr. Inc (Pension-FGN)</t>
  </si>
  <si>
    <t>Other Misc. Adj. - Compr. Inc. (Pension - FGN)</t>
  </si>
  <si>
    <t>Net Amount Recog - Compr. Inc. (Pension - FGN)</t>
  </si>
  <si>
    <t>Prior Service Cost/Benefit (Pension) – Foreign</t>
  </si>
  <si>
    <t>Net Actuarial Loss/Gain (Pension) – Foreign</t>
  </si>
  <si>
    <t>Transition Asset/Obligation (Pension) – Foreign</t>
  </si>
  <si>
    <t>Total Amount to be Recognized (Pension) – Foreign</t>
  </si>
  <si>
    <t>Est. Future Benefits Paid (Pension) - 1st Yr - FGN</t>
  </si>
  <si>
    <t>Est. Future Benefits Paid (Pension) - 2nd Yr - FGN</t>
  </si>
  <si>
    <t>Est. Future Benefits Paid (Pension) - 3rd Yr - FGN</t>
  </si>
  <si>
    <t>Est. Future Benefits Paid (Pension) - 4th Yr - FGN</t>
  </si>
  <si>
    <t>Est. Future Benefits Paid-Thereafter (Pension-FGN)</t>
  </si>
  <si>
    <t>Est. Future Benefits Paid (Pension) - 5th Yr - FGN</t>
  </si>
  <si>
    <t>Prepaid Benefit Cost (Pension - FGN)</t>
  </si>
  <si>
    <t>Accrued Benefit Liab. (Pension - FGN)</t>
  </si>
  <si>
    <t>Intangible Assets (Pension - FGN)</t>
  </si>
  <si>
    <t>Accum. Other Comp. Income (Pension - FGN)</t>
  </si>
  <si>
    <t>Long Term Assets (Pension - FGN)</t>
  </si>
  <si>
    <t>Current Liabilities (Pension - FGN)</t>
  </si>
  <si>
    <t>Long Term Liabilities (Pension - FGN)</t>
  </si>
  <si>
    <t>Other Assets/Liabilities (Pension - FGN)</t>
  </si>
  <si>
    <t>Unrecog. Prior Plan Service Cost (Pension - FGN)</t>
  </si>
  <si>
    <t>Other Adj (Net Benefit Asset/Liab) (Pension - FGN)</t>
  </si>
  <si>
    <t>Net Asset/Liab. Recog. on Bal. Sheet (Pension)-FGN</t>
  </si>
  <si>
    <t>Est. Contributions (Pension) - Next Year - Foreign</t>
  </si>
  <si>
    <t>Quart. Employer Contribution (Pension - FGN)</t>
  </si>
  <si>
    <t>Unfunded Additional Minimum Liab. (Pension - FGN)</t>
  </si>
  <si>
    <t>Qtrly Add. Contributions Expected (Pension - FGN)</t>
  </si>
  <si>
    <t>Def. Benefit Service Cost (OPEB - FGN)</t>
  </si>
  <si>
    <t>Def. Benefit Interest Cost (OPEB - FGN)</t>
  </si>
  <si>
    <t>Def. Benefit Exp. Return on Assets (OPEB - FGN)</t>
  </si>
  <si>
    <t>Def. Benefit Other Cost (OPEB - FGN)</t>
  </si>
  <si>
    <t>Total Def. Benefit Cost (OPEB - FGN)</t>
  </si>
  <si>
    <t>Def. Benefit Cost of Supple Plans (OPEB - FGN)</t>
  </si>
  <si>
    <t>Def. Benefit Cost Incl. Supple Plans (OPEB - FGN)</t>
  </si>
  <si>
    <t>Beg. Def. Benefit Obligation (OPEB - FGN)</t>
  </si>
  <si>
    <t>Def. Benefit Employee Contributions (OPEB - FGN)</t>
  </si>
  <si>
    <t>Def. Benefit Actuarial Gain (OPEB - FGN)</t>
  </si>
  <si>
    <t>Def. Benefits Paid (OPEB - FGN)</t>
  </si>
  <si>
    <t>FGN. Exchange Adj. (OPEB - FGN) - Plan Obligations</t>
  </si>
  <si>
    <t>Acq. Benefit Obligation (OPEB - FGN)</t>
  </si>
  <si>
    <t>Def. Benefit Settlement/Curtailment (OPEB - FGN)</t>
  </si>
  <si>
    <t>Other Adj. To Def. Benefit Obligation (OPEB - FGN)</t>
  </si>
  <si>
    <t>Projected Benefit Obligation (OPEB - FGN)</t>
  </si>
  <si>
    <t>Accumulated Benefit Obligation (OPEB - FGN)</t>
  </si>
  <si>
    <t>Beg. Plan Assets (OPEB - FGN)</t>
  </si>
  <si>
    <t>Actual Return on Plan Assets (OPEB - FGN)</t>
  </si>
  <si>
    <t>Employer Contributions (OPEB - FGN)</t>
  </si>
  <si>
    <t>Participant Contributions (OPEB - FGN)</t>
  </si>
  <si>
    <t>Benefits Paid (OPEB - FGN)</t>
  </si>
  <si>
    <t>Foreign Exchange Adjustments (OPEB - FGN)</t>
  </si>
  <si>
    <t>Acquired Plan Assets (OPEB - FGN)</t>
  </si>
  <si>
    <t>Plan Settlement/Curtailment (OPEB - FGN)</t>
  </si>
  <si>
    <t>Other Plan Adjustments (OPEB - FGN)</t>
  </si>
  <si>
    <t>Total Plan Assets (OPEB - FGN)</t>
  </si>
  <si>
    <t>Plan Assets (OPEB) - Equities - Foreign</t>
  </si>
  <si>
    <t>Plan Assets (OPEB) - Fixed Income - Foreign</t>
  </si>
  <si>
    <t>Plan Assets (OPEB)- Real Estate - Foreign</t>
  </si>
  <si>
    <t>Other Plan Assets (OPEB - FGN)</t>
  </si>
  <si>
    <t>Net Actuarial Loss - Compr. Inc. (OPEB - FGN)</t>
  </si>
  <si>
    <t>Prior Service Cost/Benefit - Compr. Inc (OPEB-FGN)</t>
  </si>
  <si>
    <t>Transition Asset/Oblig. - Compr. Inc. (OPEB - FGN)</t>
  </si>
  <si>
    <t>Other Misc. Adj. - Compr. Inc. (OPEB - FGN)</t>
  </si>
  <si>
    <t>Net Amount Recognized - Compr. Inc. (OPEB - FGN)</t>
  </si>
  <si>
    <t>Prior Service Cost/Benefit (OPEB) – Foreign</t>
  </si>
  <si>
    <t>Net Actuarial Loss/Gain (OPEB) – Foreign</t>
  </si>
  <si>
    <t>Transition Asset/Obligation (OPEB) – Foreign</t>
  </si>
  <si>
    <t>Total Amount to be Recognized (OPEB) – Foreign</t>
  </si>
  <si>
    <t>Est. Future Benefits Paid (OPEB) - 1st Yr - FGN</t>
  </si>
  <si>
    <t>Est. Future Benefits Paid (OPEB) - 2nd Yr - FGN</t>
  </si>
  <si>
    <t>Est. Future Benefits Paid (OPEB) - 3rd Yr - FGN</t>
  </si>
  <si>
    <t>Est. Future Benefits Paid (OPEB) - 4th Yr - FGN</t>
  </si>
  <si>
    <t>Est. Future Benefits Paid (OPEB) - 5th Yr - FGN</t>
  </si>
  <si>
    <t>Est. Future Benefits Paid-Thereafter (OPEB - FGN)</t>
  </si>
  <si>
    <t>Prepaid Benefit Cost (OPEB - FGN)</t>
  </si>
  <si>
    <t>Accrued Benefit Liab. (OPEB - FGN)</t>
  </si>
  <si>
    <t>Intangible Assets (OPEB - FGN)</t>
  </si>
  <si>
    <t>Accum. Other Comp. Income (OPEB - FGN)</t>
  </si>
  <si>
    <t>Long Term Assets (OPEB - FGN)</t>
  </si>
  <si>
    <t>Current Liabilities (OPEB - FGN)</t>
  </si>
  <si>
    <t>Long Term Liabilities (OPEB - FGN)</t>
  </si>
  <si>
    <t>Other Assets (OPEB - FGN)</t>
  </si>
  <si>
    <t>Unrecog. Prior Plan Service Cost (OPEB - FGN)</t>
  </si>
  <si>
    <t>Other Adj. (Net Benefit Asset) (OPEB - FGN)</t>
  </si>
  <si>
    <t>Net Asset Recogn. on Bal. Sheet (OPEB - FGN)</t>
  </si>
  <si>
    <t>1%Incr- Effect on Service &amp; Int. Cost (OPEB - FGN)</t>
  </si>
  <si>
    <t>1% Increase - Effect on PBO (OPEB - FGN)</t>
  </si>
  <si>
    <t>1% Decrease - Effect on PBO (OPEB - FGN)</t>
  </si>
  <si>
    <t>1% Dec- Effect on Service &amp; Int. Cost (OPEB - FGN)</t>
  </si>
  <si>
    <t>Assets under Capital Lease - Gross</t>
  </si>
  <si>
    <t>Assets under Cap. Lease, Accum. Depr.</t>
  </si>
  <si>
    <t>Assets on Oper. Lease, Accum. Depr.</t>
  </si>
  <si>
    <t>Changes in Unrecog. Tax Benefit w/in 1 Year - Min</t>
  </si>
  <si>
    <t>Changes in Unrecog. Tax Benefit w/in 1 Year - Max</t>
  </si>
  <si>
    <t>Diluted EPS Incl. Extra Items</t>
  </si>
  <si>
    <t>Diluted EPS Excl. Extra Items</t>
  </si>
  <si>
    <t>Dividends per share</t>
  </si>
  <si>
    <t>Book Value / Share</t>
  </si>
  <si>
    <t>Tangible Book Value Per Share</t>
  </si>
  <si>
    <t>Tangible Book Value per Share, as Reported</t>
  </si>
  <si>
    <t>CASH FLOW STATEMENT</t>
  </si>
  <si>
    <t>Format: FYyyyy, FQqyyyy, CQqyyyy, YTDqyyyy, Fhhyyyy,LTMqyyyy</t>
  </si>
  <si>
    <t>Example: FY2016, FQ22017, CQ22017, YTD22016, FH22016, LTM22016</t>
  </si>
  <si>
    <t>Period Ended</t>
  </si>
  <si>
    <t>Shares Outstanding (actual)</t>
  </si>
  <si>
    <t xml:space="preserve">Entity Name </t>
  </si>
  <si>
    <t xml:space="preserve">Trading Symbol &amp; Exchange </t>
  </si>
  <si>
    <t>Day Close Price</t>
  </si>
  <si>
    <t>High Price</t>
  </si>
  <si>
    <t>Low Price</t>
  </si>
  <si>
    <t>Market Capitalization</t>
  </si>
  <si>
    <t>FY0</t>
  </si>
  <si>
    <t>Distributable Cash Payout Ratio (Income Trusts) (%)</t>
  </si>
  <si>
    <t>Price/ Book (%)</t>
  </si>
  <si>
    <t>Price/ Tangible Book (%)</t>
  </si>
  <si>
    <t>Interest Capitalized During the Period</t>
  </si>
  <si>
    <t>Standardized Distributable Cash</t>
  </si>
  <si>
    <t>Total Capital</t>
  </si>
  <si>
    <t>Debt Equiv. of Unfunded Proj. Benefit Obligation</t>
  </si>
  <si>
    <t>Debt Equivalent Oper. Leases</t>
  </si>
  <si>
    <t>Assets Under Management - Other</t>
  </si>
  <si>
    <t>AUM Inflows</t>
  </si>
  <si>
    <t>AUM Outflows</t>
  </si>
  <si>
    <t>Unrecog. Tax Benefit Impacting Effective Tax Rate</t>
  </si>
  <si>
    <t>ROC</t>
  </si>
  <si>
    <t>Reported Currency Code</t>
  </si>
  <si>
    <t>Target</t>
  </si>
  <si>
    <t>Peer_1</t>
  </si>
  <si>
    <t>Peer_2</t>
  </si>
  <si>
    <t>Peer_3</t>
  </si>
  <si>
    <t>Peer_4</t>
  </si>
  <si>
    <t>Peer_5</t>
  </si>
  <si>
    <t>Peer_6</t>
  </si>
  <si>
    <t>Peer_7</t>
  </si>
  <si>
    <t>Peer_8</t>
  </si>
  <si>
    <t>Peer_9</t>
  </si>
  <si>
    <t>Peer_10</t>
  </si>
  <si>
    <t>Step 5:</t>
  </si>
  <si>
    <t>Total Revenue, 1 Year Growth (%)</t>
  </si>
  <si>
    <t>EBITDA, 1 Year Growth (%)</t>
  </si>
  <si>
    <t>EBIT/</t>
  </si>
  <si>
    <t>NA</t>
  </si>
  <si>
    <t>NM</t>
  </si>
  <si>
    <t>Restated</t>
  </si>
  <si>
    <t>As Reported Data, [No Calculation]</t>
  </si>
  <si>
    <t>Rolled-up Instance [Equals previous Instance of the Period]</t>
  </si>
  <si>
    <t>FY-3</t>
  </si>
  <si>
    <t>FY-5</t>
  </si>
  <si>
    <t>No Change</t>
  </si>
  <si>
    <t>MI standard</t>
  </si>
  <si>
    <t>Shares per Depository Receipt (actual)</t>
  </si>
  <si>
    <t>Total Shares Out. on Filing Date (actual)</t>
  </si>
  <si>
    <t>Total Shares Out. on Balance Sheet Date (actual)</t>
  </si>
  <si>
    <t>Tangible Book Value/Share (As Reported)</t>
  </si>
  <si>
    <t>Part Time Employees (actual)</t>
  </si>
  <si>
    <t>Net Periodic Cost Disc. Rate - Min (%)</t>
  </si>
  <si>
    <t>Net Periodic Cost Disc. Rate - Max (%)</t>
  </si>
  <si>
    <t>Rate of Comp. Increase - Min (%)</t>
  </si>
  <si>
    <t>Rate of Comp. Increase - Max (%)</t>
  </si>
  <si>
    <t>Exp. Long-Term Rate of Return on Assets - Min (%)</t>
  </si>
  <si>
    <t>Exp. Long-Term Rate of Return on Assets - Max (%)</t>
  </si>
  <si>
    <t>PBO Assumed Rate of Return - Min (%)</t>
  </si>
  <si>
    <t>PBO Assumed Rate of Return - Max (%)</t>
  </si>
  <si>
    <t>Rate of PBO Compensation Increase - Min (%)</t>
  </si>
  <si>
    <t>Rate of PBO Compensation Increase - Max (%)</t>
  </si>
  <si>
    <t>Health Care Cost Trend Rate, Initial (%)</t>
  </si>
  <si>
    <t>Health Care Cost Trend Rate, Ultimate (%)</t>
  </si>
  <si>
    <t>(EBITDA-CAPEX) / Interest Expense (x)</t>
  </si>
  <si>
    <t>Total Debt / (EBITDA-CAPEX) (x)</t>
  </si>
  <si>
    <t>Net Debt / (EBITDA-CAPEX) (x)</t>
  </si>
  <si>
    <t>Cash &amp;</t>
  </si>
  <si>
    <t>ST Investment</t>
  </si>
  <si>
    <t>Conv. Cycle (days)</t>
  </si>
  <si>
    <t>Avg. Cash</t>
  </si>
  <si>
    <t>Payable Out. (days)</t>
  </si>
  <si>
    <t xml:space="preserve">Avg. Days </t>
  </si>
  <si>
    <t>Inv. Out. (days)</t>
  </si>
  <si>
    <t>Sales Out. (days)</t>
  </si>
  <si>
    <t>Cash from Operations to Current Liabilities (x)</t>
  </si>
  <si>
    <t>Total Enterprise Value</t>
  </si>
  <si>
    <t>Price / EPS</t>
  </si>
  <si>
    <t>Price / Book</t>
  </si>
  <si>
    <t>Price / Tangible Book</t>
  </si>
  <si>
    <t>P/E (x)</t>
  </si>
  <si>
    <t>P/BV (%)</t>
  </si>
  <si>
    <t>P/Tangible BV (%)</t>
  </si>
  <si>
    <t>Price/ S&amp;P CapIQ EPS Estimate (x)</t>
  </si>
  <si>
    <t>LTM Asset Turnover</t>
  </si>
  <si>
    <t>TEV/Total Revenue (x)</t>
  </si>
  <si>
    <t>TEV/EBITDA (x)</t>
  </si>
  <si>
    <t>PE (x)</t>
  </si>
  <si>
    <t>Margin Analysis</t>
  </si>
  <si>
    <t>LTM Growth Rates</t>
  </si>
  <si>
    <t>EPS (%)</t>
  </si>
  <si>
    <t>EBITDA (x)</t>
  </si>
  <si>
    <t>Interest (x)</t>
  </si>
  <si>
    <t>Ratio (x)</t>
  </si>
  <si>
    <t>Total Assets (x)</t>
  </si>
  <si>
    <t>Fixed Assets (x)</t>
  </si>
  <si>
    <t>A/R (x)</t>
  </si>
  <si>
    <t>Inventory (x)</t>
  </si>
  <si>
    <t>/Interest (x)</t>
  </si>
  <si>
    <t>TEV/Revenue (x)</t>
  </si>
  <si>
    <t>LTM Activity (Days)</t>
  </si>
  <si>
    <t>LTM Short-Term Liquidity</t>
  </si>
  <si>
    <t>FYE - Leverage and Coverage</t>
  </si>
  <si>
    <t>COMPARABLE COMPANY ANALYSIS</t>
  </si>
  <si>
    <t>P/TBV (%)</t>
  </si>
  <si>
    <t>LTM Liquidity Ratios (x)</t>
  </si>
  <si>
    <t>Shares Out. (Actual)</t>
  </si>
  <si>
    <t>British Pound Sterling</t>
  </si>
  <si>
    <t>Japanese Yen</t>
  </si>
  <si>
    <t>U.S. Dollar</t>
  </si>
  <si>
    <t>Uae Dirham</t>
  </si>
  <si>
    <t>Entity Name</t>
  </si>
  <si>
    <t>Venezuelan Bolivar Soberano</t>
  </si>
  <si>
    <t>VES</t>
  </si>
  <si>
    <t>Bs. S</t>
  </si>
  <si>
    <t>Most Recent Spot Rate</t>
  </si>
  <si>
    <t>BENEFIT_INFO_DATE</t>
  </si>
  <si>
    <t>IQ_ACCUM_DEPRECIATION</t>
  </si>
  <si>
    <t>IQ_ADD_TAX_POSITIONS_CURRENT_YR</t>
  </si>
  <si>
    <t>IQ_ADD_TAX_POSITIONS_PRIOR_YRS</t>
  </si>
  <si>
    <t>IQ_ADVERTISING</t>
  </si>
  <si>
    <t>IQ_AE</t>
  </si>
  <si>
    <t>IQ_ALLOW_DOUBT_ACCT</t>
  </si>
  <si>
    <t>IQ_AP</t>
  </si>
  <si>
    <t>IQ_APIC</t>
  </si>
  <si>
    <t>IQ_AR</t>
  </si>
  <si>
    <t>IQ_AR_LT</t>
  </si>
  <si>
    <t>IQ_AR_TURNS</t>
  </si>
  <si>
    <t>IQ_ASSET_TURNS</t>
  </si>
  <si>
    <t>IQ_ASSET_WRITEDOWN</t>
  </si>
  <si>
    <t>IQ_ASSET_WRITEDOWN_CF</t>
  </si>
  <si>
    <t>IQ_ASSETS_CAP_LEASE_DEPR</t>
  </si>
  <si>
    <t>IQ_ASSETS_CAP_LEASE_GROSS</t>
  </si>
  <si>
    <t>IQ_ASSETS_FAIR_VALUE</t>
  </si>
  <si>
    <t>IQ_ASSETS_LEVEL_1</t>
  </si>
  <si>
    <t>IQ_ASSETS_LEVEL_2</t>
  </si>
  <si>
    <t>IQ_ASSETS_LEVEL_3</t>
  </si>
  <si>
    <t>IQ_ASSETS_NETTING_OTHER_ADJUSTMENTS</t>
  </si>
  <si>
    <t>IQ_ASSETS_OPER_LEASE_DEPR</t>
  </si>
  <si>
    <t>IQ_ASSETS_OPER_LEASE_GROSS</t>
  </si>
  <si>
    <t>IQ_ASSETS_UNDER_ADMINISTRATION</t>
  </si>
  <si>
    <t>IQ_AUM</t>
  </si>
  <si>
    <t>IQ_AUM_INFLOWS</t>
  </si>
  <si>
    <t>IQ_AUM_OTHER</t>
  </si>
  <si>
    <t>IQ_AUM_OUTFLOWS</t>
  </si>
  <si>
    <t>IQ_AVG_BASIC_SHARES_OUT</t>
  </si>
  <si>
    <t>IQ_AVG_DILUT_SHARES_OUT</t>
  </si>
  <si>
    <t>IQ_AVG_REV_PER_TRADE</t>
  </si>
  <si>
    <t>IQ_BASIC_EPS_AFTER_EXTRA</t>
  </si>
  <si>
    <t>IQ_BASIC_EPS_BEFORE_EXTRA</t>
  </si>
  <si>
    <t>IQ_BASIC_EPS_NORM</t>
  </si>
  <si>
    <t>IQ_BUILDINGS</t>
  </si>
  <si>
    <t>IQ_BVPS</t>
  </si>
  <si>
    <t>IQ_BVPS_RPTD</t>
  </si>
  <si>
    <t>IQ_CALCULATION_TYPE_BS</t>
  </si>
  <si>
    <t>IQ_CALCULATION_TYPE_CF</t>
  </si>
  <si>
    <t>IQ_CALCULATION_TYPE_IS</t>
  </si>
  <si>
    <t>IQ_CAP_LOSS_CF_1YR</t>
  </si>
  <si>
    <t>IQ_CAP_LOSS_CF_2YR</t>
  </si>
  <si>
    <t>IQ_CAP_LOSS_CF_3YR</t>
  </si>
  <si>
    <t>IQ_CAP_LOSS_CF_4YR</t>
  </si>
  <si>
    <t>IQ_CAP_LOSS_CF_5YR</t>
  </si>
  <si>
    <t>IQ_CAP_LOSS_CF_AFTER_FIVE</t>
  </si>
  <si>
    <t>IQ_CAP_LOSS_CF_NO_EXP</t>
  </si>
  <si>
    <t>IQ_CAP_LOSS_CF_TOTAL</t>
  </si>
  <si>
    <t>IQ_CAPEX</t>
  </si>
  <si>
    <t>IQ_CAPEX_PCT_REV</t>
  </si>
  <si>
    <t>IQ_CAPITAL_LEASES</t>
  </si>
  <si>
    <t>IQ_CAPITALIZED_INTEREST</t>
  </si>
  <si>
    <t>IQ_CAPITALIZED_INTEREST_BOP</t>
  </si>
  <si>
    <t>IQ_CAPITALIZED_INTEREST_EOP</t>
  </si>
  <si>
    <t>IQ_CAPITALIZED_INTEREST_EXP</t>
  </si>
  <si>
    <t>IQ_CAPITALIZED_INTEREST_OTHER_ADJ</t>
  </si>
  <si>
    <t>IQ_CAPITALIZED_INTEREST_WRITE_OFF</t>
  </si>
  <si>
    <t>IQ_CASH_ACQUIRE_CF</t>
  </si>
  <si>
    <t>IQ_CASH_CONVERSION</t>
  </si>
  <si>
    <t>IQ_CASH_EQUIV</t>
  </si>
  <si>
    <t>IQ_CASH_FINAN</t>
  </si>
  <si>
    <t>IQ_CASH_FX</t>
  </si>
  <si>
    <t>IQ_CASH_INTEREST</t>
  </si>
  <si>
    <t>IQ_CASH_INVEST</t>
  </si>
  <si>
    <t>IQ_CASH_MISC_ADJUST</t>
  </si>
  <si>
    <t>IQ_CASH_NET_CHANGE</t>
  </si>
  <si>
    <t>IQ_CASH_OPER</t>
  </si>
  <si>
    <t>IQ_CASH_ST_INVEST</t>
  </si>
  <si>
    <t>IQ_CASH_TAXES</t>
  </si>
  <si>
    <t>IQ_CFO_CURRENT_LIAB</t>
  </si>
  <si>
    <t>IQ_CHANGE_AP</t>
  </si>
  <si>
    <t>IQ_CHANGE_AR</t>
  </si>
  <si>
    <t>IQ_CHANGE_DEF_TAX</t>
  </si>
  <si>
    <t>IQ_CHANGE_INC_TAX</t>
  </si>
  <si>
    <t>IQ_CHANGE_INVENTORY</t>
  </si>
  <si>
    <t>IQ_CHANGE_NET_WORKING_CAPITAL</t>
  </si>
  <si>
    <t>IQ_CHANGE_OTHER_NET_OPER_ASSETS</t>
  </si>
  <si>
    <t>IQ_CHANGE_TRADING_ASSETS</t>
  </si>
  <si>
    <t>IQ_CHANGE_UNEARN_REV</t>
  </si>
  <si>
    <t>IQ_CHANGE_UNRECOG_TAX_BENEFIT_1_YR_MAX</t>
  </si>
  <si>
    <t>IQ_CHANGE_UNRECOG_TAX_BENEFIT_1_YR_MIN</t>
  </si>
  <si>
    <t>IQ_CIP</t>
  </si>
  <si>
    <t>IQ_COGS</t>
  </si>
  <si>
    <t>IQ_COMMON_DIV_CF</t>
  </si>
  <si>
    <t>IQ_COMMON_DIV_DECLARED</t>
  </si>
  <si>
    <t>IQ_COMMON_ISSUED</t>
  </si>
  <si>
    <t>IQ_COMMON_PREF_DIV_CF</t>
  </si>
  <si>
    <t>IQ_COMMON_REP</t>
  </si>
  <si>
    <t>IQ_COMMON_STOCK</t>
  </si>
  <si>
    <t>IQ_CREDIT_LOSS_CF</t>
  </si>
  <si>
    <t>IQ_CURR_DOMESTIC_TAXES</t>
  </si>
  <si>
    <t>IQ_CURR_FOREIGN_TAXES</t>
  </si>
  <si>
    <t>IQ_CURR_TAXES</t>
  </si>
  <si>
    <t>IQ_CURRENCY_FINANCIALS</t>
  </si>
  <si>
    <t>IQ_CURRENCY_GAIN</t>
  </si>
  <si>
    <t>IQ_CURRENT_PORT_DEBT</t>
  </si>
  <si>
    <t>IQ_CURRENT_PORT_LEASES</t>
  </si>
  <si>
    <t>IQ_CURRENT_RATIO</t>
  </si>
  <si>
    <t>IQ_DA_CF</t>
  </si>
  <si>
    <t>IQ_DA_SUPPL</t>
  </si>
  <si>
    <t>IQ_DA_SUPPL_CF</t>
  </si>
  <si>
    <t>IQ_DAYS_INVENTORY_OUT</t>
  </si>
  <si>
    <t>IQ_DAYS_PAYABLE_OUT</t>
  </si>
  <si>
    <t>IQ_DAYS_SALES_OUT</t>
  </si>
  <si>
    <t>IQ_DEBT_EQUIV_NET_PBO</t>
  </si>
  <si>
    <t>IQ_DEBT_EQUIV_OPER_LEASE</t>
  </si>
  <si>
    <t>IQ_DEBT_TO_CAPITAL</t>
  </si>
  <si>
    <t>IQ_DEBT_TO_EBITDA</t>
  </si>
  <si>
    <t>IQ_DEBT_TO_EQUITY</t>
  </si>
  <si>
    <t>IQ_DEF_CHARGES_LT</t>
  </si>
  <si>
    <t>IQ_DEF_TAX_ASSETS_CURRENT</t>
  </si>
  <si>
    <t>IQ_DEF_TAX_ASSETS_LT</t>
  </si>
  <si>
    <t>IQ_DEF_TAX_LIAB_CURRENT</t>
  </si>
  <si>
    <t>IQ_DEF_TAX_LIAB_LT</t>
  </si>
  <si>
    <t>IQ_DEFERRED_DOMESTIC_TAXES</t>
  </si>
  <si>
    <t>IQ_DEFERRED_FOREIGN_TAXES</t>
  </si>
  <si>
    <t>IQ_DEFERRED_TAXES_TOTAL</t>
  </si>
  <si>
    <t>IQ_DILUT_EPS_AFTER_EXTRA</t>
  </si>
  <si>
    <t>IQ_DILUT_EPS_BEFORE_EXTRA</t>
  </si>
  <si>
    <t>IQ_DILUT_EPS_NORM</t>
  </si>
  <si>
    <t>IQ_DISTRIBUTABLE_CASH</t>
  </si>
  <si>
    <t>IQ_DISTRIBUTABLE_CASH_PAYOUT</t>
  </si>
  <si>
    <t>IQ_DISTRIBUTABLE_CASH_SHARE</t>
  </si>
  <si>
    <t>IQ_DISTRIBUTABLE_CASH_SHARES_BASIC</t>
  </si>
  <si>
    <t>IQ_DISTRIBUTABLE_CASH_SHARES_DILUTED</t>
  </si>
  <si>
    <t>IQ_DISTRIBUTABLE_CASH_STANDARDIZED</t>
  </si>
  <si>
    <t>IQ_DIVEST_CF</t>
  </si>
  <si>
    <t>IQ_DO_CF</t>
  </si>
  <si>
    <t>IQ_DO_FINANCE_CF</t>
  </si>
  <si>
    <t>IQ_DO_INVEST_CF</t>
  </si>
  <si>
    <t>IQ_EARNINGS_CONT_OPS</t>
  </si>
  <si>
    <t>IQ_EARNINGS_DISCONTINUED_OPS</t>
  </si>
  <si>
    <t>IQ_EBIT</t>
  </si>
  <si>
    <t>IQ_EBIT_1YR_ANN_GROWTH</t>
  </si>
  <si>
    <t>IQ_EBIT_3YR_ANN_GROWTH</t>
  </si>
  <si>
    <t>IQ_EBIT_5YR_ANN_GROWTH</t>
  </si>
  <si>
    <t>IQ_EBIT_INT</t>
  </si>
  <si>
    <t>IQ_EBIT_MARGIN</t>
  </si>
  <si>
    <t>IQ_EBITA</t>
  </si>
  <si>
    <t>IQ_EBITDA</t>
  </si>
  <si>
    <t>IQ_EBITDA_1YR_ANN_GROWTH</t>
  </si>
  <si>
    <t>IQ_EBITDA_3YR_ANN_GROWTH</t>
  </si>
  <si>
    <t>IQ_EBITDA_5YR_ANN_GROWTH</t>
  </si>
  <si>
    <t>IQ_EBITDA_INT</t>
  </si>
  <si>
    <t>IQ_EBITDA_MARGIN</t>
  </si>
  <si>
    <t>IQ_EBITDAR</t>
  </si>
  <si>
    <t>IQ_EBT</t>
  </si>
  <si>
    <t>IQ_EBT_EXCL</t>
  </si>
  <si>
    <t>IQ_EFFECT_TAX_RATE</t>
  </si>
  <si>
    <t>IQ_EPS_1YR_ANN_GROWTH</t>
  </si>
  <si>
    <t>IQ_EPS_3YR_ANN_GROWTH</t>
  </si>
  <si>
    <t>IQ_EPS_5YR_ANN_GROWTH</t>
  </si>
  <si>
    <t>IQ_EQUITY_METHOD</t>
  </si>
  <si>
    <t>IQ_EXPLORE_DRILL</t>
  </si>
  <si>
    <t>IQ_EXPLORE_DRILL_EXP_TOTAL</t>
  </si>
  <si>
    <t>IQ_EXTRA_ACC_ITEMS</t>
  </si>
  <si>
    <t>IQ_FAIR_VALUE_CHANGE_INCL_EARNINGS</t>
  </si>
  <si>
    <t>IQ_FIN_DIV_ASSETS_CURRENT</t>
  </si>
  <si>
    <t>IQ_FIN_DIV_ASSETS_LT</t>
  </si>
  <si>
    <t>IQ_FIN_DIV_DEBT_CURRENT</t>
  </si>
  <si>
    <t>IQ_FIN_DIV_DEBT_LT</t>
  </si>
  <si>
    <t>IQ_FIN_DIV_EXP</t>
  </si>
  <si>
    <t>IQ_FIN_DIV_INT_EXP</t>
  </si>
  <si>
    <t>IQ_FIN_DIV_LIAB_CURRENT</t>
  </si>
  <si>
    <t>IQ_FIN_DIV_LIAB_LT</t>
  </si>
  <si>
    <t>IQ_FIN_DIV_LOANS_CURRENT</t>
  </si>
  <si>
    <t>IQ_FIN_DIV_LOANS_LT</t>
  </si>
  <si>
    <t>IQ_FIN_DIV_REV</t>
  </si>
  <si>
    <t>IQ_FINISHED_INV</t>
  </si>
  <si>
    <t>IQ_FIXED_ASSET_TURNS</t>
  </si>
  <si>
    <t>IQ_FULL_TIME</t>
  </si>
  <si>
    <t>IQ_GA_EXP</t>
  </si>
  <si>
    <t>IQ_GAIN_ASSETS</t>
  </si>
  <si>
    <t>IQ_GAIN_ASSETS_CF</t>
  </si>
  <si>
    <t>IQ_GAIN_ASSETS_REV</t>
  </si>
  <si>
    <t>IQ_GAIN_INVEST</t>
  </si>
  <si>
    <t>IQ_GAIN_INVEST_CF</t>
  </si>
  <si>
    <t>IQ_GAIN_INVEST_REV</t>
  </si>
  <si>
    <t>IQ_GOODWILL</t>
  </si>
  <si>
    <t>IQ_GP</t>
  </si>
  <si>
    <t>IQ_GP_1YR_ANN_GROWTH</t>
  </si>
  <si>
    <t>IQ_GP_3YR_ANN_GROWTH</t>
  </si>
  <si>
    <t>IQ_GP_5YR_ANN_GROWTH</t>
  </si>
  <si>
    <t>IQ_GPPE</t>
  </si>
  <si>
    <t>IQ_GROSS_MARGIN</t>
  </si>
  <si>
    <t>IQ_GW_INTAN_AMORT</t>
  </si>
  <si>
    <t>IQ_GW_INTAN_AMORT_CF</t>
  </si>
  <si>
    <t>IQ_IMPACT_UNRECOG_TAX_BENEFIT_EFFECTIVE_TAX</t>
  </si>
  <si>
    <t>IQ_IMPAIR_OIL</t>
  </si>
  <si>
    <t>IQ_IMPAIRMENT_GW</t>
  </si>
  <si>
    <t>IQ_IMPUT_OPER_LEASE_DEPR</t>
  </si>
  <si>
    <t>IQ_IMPUT_OPER_LEASE_INT_EXP</t>
  </si>
  <si>
    <t>IQ_INC_EQUITY</t>
  </si>
  <si>
    <t>IQ_INC_EQUITY_CF</t>
  </si>
  <si>
    <t>IQ_INC_TAX</t>
  </si>
  <si>
    <t>IQ_INC_TAX_PAY_CURRENT</t>
  </si>
  <si>
    <t>IQ_INS_DIV_EXP</t>
  </si>
  <si>
    <t>IQ_INS_DIV_REV</t>
  </si>
  <si>
    <t>IQ_INS_SETTLE</t>
  </si>
  <si>
    <t>IQ_INT_EXP_LTD</t>
  </si>
  <si>
    <t>IQ_INT_INV_INC</t>
  </si>
  <si>
    <t>IQ_INTEREST_EXP</t>
  </si>
  <si>
    <t>IQ_INTEREST_INVEST_INC</t>
  </si>
  <si>
    <t>IQ_INTEREST_PENALTIES_RECOG_BS_AFTER_TAX</t>
  </si>
  <si>
    <t>IQ_INTEREST_PENALTIES_RECOG_BS_PRE_TAX</t>
  </si>
  <si>
    <t>IQ_INTEREST_PENALTIES_RECOG_IS_AFTER_TAX</t>
  </si>
  <si>
    <t>IQ_INTEREST_PENALTIES_RECOG_IS_PRE_TAX</t>
  </si>
  <si>
    <t>IQ_INVENTORY</t>
  </si>
  <si>
    <t>IQ_INVENTORY_TURNS</t>
  </si>
  <si>
    <t>IQ_INVEST_LOANS_CF</t>
  </si>
  <si>
    <t>IQ_INVEST_SECURITY_CF</t>
  </si>
  <si>
    <t>IQ_IPRD</t>
  </si>
  <si>
    <t>IQ_LAND</t>
  </si>
  <si>
    <t>IQ_LAPSE_STATUTE_LIMITATIONS</t>
  </si>
  <si>
    <t>IQ_LEASEHOLD_IMPROVEMENT</t>
  </si>
  <si>
    <t>IQ_LEGAL_SETTLE</t>
  </si>
  <si>
    <t>IQ_LEVERED_FCF</t>
  </si>
  <si>
    <t>IQ_LIABILITIES_FAIR_VALUE</t>
  </si>
  <si>
    <t>IQ_LIABILITIES_LEVEL_1</t>
  </si>
  <si>
    <t>IQ_LIABILITIES_LEVEL_2</t>
  </si>
  <si>
    <t>IQ_LIABILITIES_LEVEL_3</t>
  </si>
  <si>
    <t>IQ_LIABILITIES_NETTING_OTHER_ADJUSTMENTS</t>
  </si>
  <si>
    <t>IQ_LIFOR</t>
  </si>
  <si>
    <t>IQ_LOANS_CF</t>
  </si>
  <si>
    <t>IQ_LOANS_HFS</t>
  </si>
  <si>
    <t>IQ_LOANS_RECEIV_LT</t>
  </si>
  <si>
    <t>IQ_LT_DEBT</t>
  </si>
  <si>
    <t>IQ_LT_DEBT_ISSUED</t>
  </si>
  <si>
    <t>IQ_LT_DEBT_REPAID</t>
  </si>
  <si>
    <t>IQ_LT_INVEST</t>
  </si>
  <si>
    <t>IQ_MACHINERY</t>
  </si>
  <si>
    <t>IQ_MAINT_CAPEX</t>
  </si>
  <si>
    <t>IQ_MAINT_REPAIR</t>
  </si>
  <si>
    <t>IQ_MARKETING</t>
  </si>
  <si>
    <t>IQ_MAX_YR_FOR_CAPITAL_LOSS_CARRY_FORWARD</t>
  </si>
  <si>
    <t>IQ_MAX_YR_FOR_NOL_CARRY_FORWARD</t>
  </si>
  <si>
    <t>IQ_MAX_YR_FOR_TAX_BENEFIT_CARRY_FORWARD</t>
  </si>
  <si>
    <t>IQ_MERGER_RESTRUCTURE</t>
  </si>
  <si>
    <t>IQ_MINORITY_INTEREST</t>
  </si>
  <si>
    <t>IQ_MINORITY_INTEREST_CF</t>
  </si>
  <si>
    <t>IQ_MINORITY_INTEREST_EARNINGS</t>
  </si>
  <si>
    <t>IQ_MINORITY_INTEREST_TOTAL</t>
  </si>
  <si>
    <t>IQ_MUTUAL_FUND_NET_SALES</t>
  </si>
  <si>
    <t>IQ_MUTUAL_FUND_REDEMPTIONS</t>
  </si>
  <si>
    <t>IQ_MUTUAL_FUND_SALES</t>
  </si>
  <si>
    <t>IQ_NATURAL_RESOURCES_COST</t>
  </si>
  <si>
    <t>IQ_NET_DEBT</t>
  </si>
  <si>
    <t>IQ_NET_DEBT_EBITDA</t>
  </si>
  <si>
    <t>IQ_NET_DEBT_EBITDA_CAPEX</t>
  </si>
  <si>
    <t>IQ_NET_DEBT_ISSUED</t>
  </si>
  <si>
    <t>IQ_NET_INC</t>
  </si>
  <si>
    <t>IQ_NET_INC_PARENT</t>
  </si>
  <si>
    <t>IQ_NET_INTEREST_EXP</t>
  </si>
  <si>
    <t>IQ_NET_NEW_CLIENT_ASSETS</t>
  </si>
  <si>
    <t>IQ_NET_RENTAL_EXP_FN</t>
  </si>
  <si>
    <t>IQ_NI_1YR_ANN_GROWTH</t>
  </si>
  <si>
    <t>IQ_NI_3YR_ANN_GROWTH</t>
  </si>
  <si>
    <t>IQ_NI_5YR_ANN_GROWTH</t>
  </si>
  <si>
    <t>IQ_NI_AVAIL_EXCL</t>
  </si>
  <si>
    <t>IQ_NI_AVAIL_INCL</t>
  </si>
  <si>
    <t>IQ_NI_CF</t>
  </si>
  <si>
    <t>IQ_NI_MARGIN</t>
  </si>
  <si>
    <t>IQ_NI_NORM</t>
  </si>
  <si>
    <t>IQ_NI_SFAS</t>
  </si>
  <si>
    <t>IQ_NOL_CF_1YR</t>
  </si>
  <si>
    <t>IQ_NOL_CF_2YR</t>
  </si>
  <si>
    <t>IQ_NOL_CF_3YR</t>
  </si>
  <si>
    <t>IQ_NOL_CF_4YR</t>
  </si>
  <si>
    <t>IQ_NOL_CF_5YR</t>
  </si>
  <si>
    <t>IQ_NOL_CF_AFTER_FIVE</t>
  </si>
  <si>
    <t>IQ_NOL_CF_NO_EXP</t>
  </si>
  <si>
    <t>IQ_NOL_CF_TOTAL</t>
  </si>
  <si>
    <t>IQ_NONCASH_PENSION_EXP</t>
  </si>
  <si>
    <t>IQ_NPPE</t>
  </si>
  <si>
    <t>IQ_OIL_IMPAIR</t>
  </si>
  <si>
    <t>IQ_OPER_INC</t>
  </si>
  <si>
    <t>IQ_ORDER_BACKLOG</t>
  </si>
  <si>
    <t>IQ_OTHER_AMORT</t>
  </si>
  <si>
    <t>IQ_OTHER_CA_SUPPL</t>
  </si>
  <si>
    <t>IQ_OTHER_CL_SUPPL</t>
  </si>
  <si>
    <t>IQ_OTHER_EQUITY</t>
  </si>
  <si>
    <t>IQ_OTHER_FINANCE_ACT_SUPPL</t>
  </si>
  <si>
    <t>IQ_OTHER_INTAN</t>
  </si>
  <si>
    <t>IQ_OTHER_INV</t>
  </si>
  <si>
    <t>IQ_OTHER_INVEST_ACT_SUPPL</t>
  </si>
  <si>
    <t>IQ_OTHER_LIAB_LT</t>
  </si>
  <si>
    <t>IQ_OTHER_LT_ASSETS</t>
  </si>
  <si>
    <t>IQ_OTHER_NON_OPER_EXP_SUPPL</t>
  </si>
  <si>
    <t>IQ_OTHER_OPER</t>
  </si>
  <si>
    <t>IQ_OTHER_OPER_ACT</t>
  </si>
  <si>
    <t>IQ_OTHER_RECEIV</t>
  </si>
  <si>
    <t>IQ_OTHER_REV_SUPPL</t>
  </si>
  <si>
    <t>IQ_OTHER_UNUSUAL_SUPPL</t>
  </si>
  <si>
    <t>IQ_PART_TIME</t>
  </si>
  <si>
    <t>IQ_PAYOUT_RATIO</t>
  </si>
  <si>
    <t>IQ_PBV</t>
  </si>
  <si>
    <t>IQ_PE</t>
  </si>
  <si>
    <t>IQ_PENSION</t>
  </si>
  <si>
    <t>IQ_PERIOD_END</t>
  </si>
  <si>
    <t>IQ_PRE_OPEN_COST</t>
  </si>
  <si>
    <t>IQ_PREF_CONVERT</t>
  </si>
  <si>
    <t>IQ_PREF_DIV_CF</t>
  </si>
  <si>
    <t>IQ_PREF_DIV_OTHER</t>
  </si>
  <si>
    <t>IQ_PREF_ISSUED</t>
  </si>
  <si>
    <t>IQ_PREF_NON_REDEEM</t>
  </si>
  <si>
    <t>IQ_PREF_OTHER</t>
  </si>
  <si>
    <t>IQ_PREF_REDEEM</t>
  </si>
  <si>
    <t>IQ_PREF_REP</t>
  </si>
  <si>
    <t>IQ_PREPAID_EXP</t>
  </si>
  <si>
    <t>IQ_PROV_BAD_DEBTS</t>
  </si>
  <si>
    <t>IQ_PROV_BAD_DEBTS_CF</t>
  </si>
  <si>
    <t>IQ_PTBV</t>
  </si>
  <si>
    <t>IQ_QUICK_RATIO</t>
  </si>
  <si>
    <t>IQ_RAW_INV</t>
  </si>
  <si>
    <t>IQ_RD_EXP</t>
  </si>
  <si>
    <t>IQ_RD_EXP_FN</t>
  </si>
  <si>
    <t>IQ_REDUCTION_TAX_POSITION_CURRENT_YR</t>
  </si>
  <si>
    <t>IQ_REDUCTION_TAX_POSITION_PRIOR_YRS</t>
  </si>
  <si>
    <t>IQ_RESTATEMENT_TYPE_BS</t>
  </si>
  <si>
    <t>IQ_RESTATEMENT_TYPE_CF</t>
  </si>
  <si>
    <t>IQ_RESTATEMENT_TYPE_IS</t>
  </si>
  <si>
    <t>IQ_RESTR_STOCK_COMP</t>
  </si>
  <si>
    <t>IQ_RESTR_STOCK_COMP_PRETAX</t>
  </si>
  <si>
    <t>IQ_RESTR_STOCK_COMP_TAX</t>
  </si>
  <si>
    <t>IQ_RESTRICTED_CASH</t>
  </si>
  <si>
    <t>IQ_RESTRUCTURE</t>
  </si>
  <si>
    <t>IQ_RETAINED_EARNINGS</t>
  </si>
  <si>
    <t>IQ_REV</t>
  </si>
  <si>
    <t>IQ_ROA</t>
  </si>
  <si>
    <t>IQ_ROC</t>
  </si>
  <si>
    <t>IQ_ROCE</t>
  </si>
  <si>
    <t>IQ_ROE</t>
  </si>
  <si>
    <t>IQ_SALE_INTAN_CF</t>
  </si>
  <si>
    <t>IQ_SALE_PPE_CF</t>
  </si>
  <si>
    <t>IQ_SALE_REAL_ESTATE_CF</t>
  </si>
  <si>
    <t>IQ_SALES_MARKETING</t>
  </si>
  <si>
    <t>IQ_SETTLEMENTS_TAX_AUTHORITIES</t>
  </si>
  <si>
    <t>IQ_SGA_SUPPL</t>
  </si>
  <si>
    <t>IQ_SHARES_OUT_FILING_DATE</t>
  </si>
  <si>
    <t>IQ_SHARES_OUT_PERIOD_END</t>
  </si>
  <si>
    <t>IQ_SHARES_PER_DEPOSITARY_RECEIPT</t>
  </si>
  <si>
    <t>IQ_SPECIAL_DIV_CF</t>
  </si>
  <si>
    <t>IQ_ST_DEBT</t>
  </si>
  <si>
    <t>IQ_ST_DEBT_ISSUED</t>
  </si>
  <si>
    <t>IQ_ST_DEBT_REPAID</t>
  </si>
  <si>
    <t>IQ_ST_INVEST</t>
  </si>
  <si>
    <t>IQ_ST_NOTE_RECEIV</t>
  </si>
  <si>
    <t>IQ_STOCK_BASED</t>
  </si>
  <si>
    <t>IQ_STOCK_BASED_AT</t>
  </si>
  <si>
    <t>IQ_STOCK_BASED_CF</t>
  </si>
  <si>
    <t>IQ_STOCK_BASED_COGS</t>
  </si>
  <si>
    <t>IQ_STOCK_BASED_COMP</t>
  </si>
  <si>
    <t>IQ_STOCK_BASED_COMP_PRETAX</t>
  </si>
  <si>
    <t>IQ_STOCK_BASED_COMP_TAX</t>
  </si>
  <si>
    <t>IQ_STOCK_BASED_EXPLORE_DRILL</t>
  </si>
  <si>
    <t>IQ_STOCK_BASED_GA</t>
  </si>
  <si>
    <t>IQ_STOCK_BASED_OTHER</t>
  </si>
  <si>
    <t>IQ_STOCK_BASED_RD</t>
  </si>
  <si>
    <t>IQ_STOCK_BASED_SGA</t>
  </si>
  <si>
    <t>IQ_STOCK_BASED_SM</t>
  </si>
  <si>
    <t>IQ_STOCK_BASED_TOTAL</t>
  </si>
  <si>
    <t>IQ_STOCK_OPTIONS_COMP</t>
  </si>
  <si>
    <t>IQ_STOCK_OPTIONS_COMP_PRETAX</t>
  </si>
  <si>
    <t>IQ_STOCK_OPTIONS_COMP_TAX</t>
  </si>
  <si>
    <t>IQ_TANG_EQUITY</t>
  </si>
  <si>
    <t>IQ_TAX_BENEFIT_CF_1YR</t>
  </si>
  <si>
    <t>IQ_TAX_BENEFIT_CF_2YR</t>
  </si>
  <si>
    <t>IQ_TAX_BENEFIT_CF_3YR</t>
  </si>
  <si>
    <t>IQ_TAX_BENEFIT_CF_4YR</t>
  </si>
  <si>
    <t>IQ_TAX_BENEFIT_CF_5YR</t>
  </si>
  <si>
    <t>IQ_TAX_BENEFIT_CF_AFTER_FIVE</t>
  </si>
  <si>
    <t>IQ_TAX_BENEFIT_CF_NO_EXP</t>
  </si>
  <si>
    <t>IQ_TAX_BENEFIT_CF_TOTAL</t>
  </si>
  <si>
    <t>IQ_TAX_BENEFIT_OPTIONS</t>
  </si>
  <si>
    <t>IQ_TBVPS</t>
  </si>
  <si>
    <t>IQ_TBVPS_RPTD</t>
  </si>
  <si>
    <t>IQ_TEV</t>
  </si>
  <si>
    <t>IQ_TOTAL_ASSETS</t>
  </si>
  <si>
    <t>IQ_TOTAL_CA</t>
  </si>
  <si>
    <t>IQ_TOTAL_CAP</t>
  </si>
  <si>
    <t>IQ_TOTAL_CL</t>
  </si>
  <si>
    <t>IQ_TOTAL_COMMON_EQUITY</t>
  </si>
  <si>
    <t>IQ_TOTAL_DEBT</t>
  </si>
  <si>
    <t>IQ_TOTAL_DEBT_EBITDA_CAPEX</t>
  </si>
  <si>
    <t>IQ_TOTAL_DEBT_ISSUED</t>
  </si>
  <si>
    <t>IQ_TOTAL_DEBT_REPAID</t>
  </si>
  <si>
    <t>IQ_TOTAL_DIV_PAID_CF</t>
  </si>
  <si>
    <t>IQ_TOTAL_EQUITY</t>
  </si>
  <si>
    <t>IQ_TOTAL_LIAB</t>
  </si>
  <si>
    <t>IQ_TOTAL_LIAB_EQUITY</t>
  </si>
  <si>
    <t>IQ_TOTAL_OTHER_OPER</t>
  </si>
  <si>
    <t>IQ_TOTAL_PREF_EQUITY</t>
  </si>
  <si>
    <t>IQ_TOTAL_RECEIV</t>
  </si>
  <si>
    <t>IQ_TOTAL_REV</t>
  </si>
  <si>
    <t>IQ_TOTAL_REV_1YR_ANN_GROWTH</t>
  </si>
  <si>
    <t>IQ_TOTAL_REV_3YR_ANN_GROWTH</t>
  </si>
  <si>
    <t>IQ_TOTAL_REV_5YR_ANN_GROWTH</t>
  </si>
  <si>
    <t>IQ_TOTAL_REV_AS_REPORTED</t>
  </si>
  <si>
    <t>IQ_TRADING_ASSET_SECURITIES</t>
  </si>
  <si>
    <t>IQ_UNEARN_REV_CURRENT</t>
  </si>
  <si>
    <t>IQ_UNEARN_REV_LT</t>
  </si>
  <si>
    <t>IQ_UNLEVERED_FCF</t>
  </si>
  <si>
    <t>IQ_UNRECOG_TAX_BENEFIT_BEG_PERIOD</t>
  </si>
  <si>
    <t>IQ_UNRECOG_TAX_BENEFIT_END_PERIOD</t>
  </si>
  <si>
    <t>IQ_UNRECOG_TAX_BENEFIT_OTHER_ADJ</t>
  </si>
  <si>
    <t>IQ_WIP_INV</t>
  </si>
  <si>
    <t>SP_EBITDA_MEDIAN_EST</t>
  </si>
  <si>
    <t>SP_ENTITY_NAME</t>
  </si>
  <si>
    <t>SP_EPS_MEDIAN_EST</t>
  </si>
  <si>
    <t>SP_MARKETCAP</t>
  </si>
  <si>
    <t>SP_PE_EST</t>
  </si>
  <si>
    <t>SP_PRICE_CLOSE</t>
  </si>
  <si>
    <t>SP_PRICE_HIGH</t>
  </si>
  <si>
    <t>SP_PRICE_LOW</t>
  </si>
  <si>
    <t>SP_REV_MEDIAN_EST</t>
  </si>
  <si>
    <t>SP_SHARES_OUT</t>
  </si>
  <si>
    <t>SP_TICKER_EXCHANGE</t>
  </si>
  <si>
    <t>+852 3177 3727 (Asia-Pacific)</t>
  </si>
  <si>
    <t>Disclaimer:</t>
  </si>
  <si>
    <t>Intelligence LLC governing the subscription service to which this model is applied.</t>
  </si>
  <si>
    <t xml:space="preserve">This model and/or any data in it are provided subject to the written agreement of S&amp;P Global Market </t>
  </si>
  <si>
    <t>Please contact S&amp;P Capital IQ Pro Support with any questions or comments:</t>
  </si>
  <si>
    <t>Source: S&amp;P Capital IQ Pro</t>
  </si>
  <si>
    <t xml:space="preserve"> Revenue Est Med</t>
  </si>
  <si>
    <t xml:space="preserve"> EBITDA Est Med</t>
  </si>
  <si>
    <t>EPS Median Est.</t>
  </si>
  <si>
    <t xml:space="preserve">Total Enterprise Value </t>
  </si>
  <si>
    <t xml:space="preserve">Restatement Type </t>
  </si>
  <si>
    <t xml:space="preserve">Calculation Type </t>
  </si>
  <si>
    <t>support.CapIQPro@spglobal.com</t>
  </si>
  <si>
    <t>Step 2:</t>
  </si>
  <si>
    <t xml:space="preserve">Step 4: </t>
  </si>
  <si>
    <t>Select Currency, Magnitude &amp; Conversion Method.</t>
  </si>
  <si>
    <t>1 ►</t>
  </si>
  <si>
    <t>2 ►</t>
  </si>
  <si>
    <t>3 ►</t>
  </si>
  <si>
    <t>4 ►</t>
  </si>
  <si>
    <t>5 ►</t>
  </si>
  <si>
    <t>6 ►</t>
  </si>
  <si>
    <t>7 ►</t>
  </si>
  <si>
    <t>8 ►</t>
  </si>
  <si>
    <t>9 ►</t>
  </si>
  <si>
    <t>10 ►</t>
  </si>
  <si>
    <t>Currency ►</t>
  </si>
  <si>
    <t>Magnitude ►</t>
  </si>
  <si>
    <t>Conversion Method ►</t>
  </si>
  <si>
    <t>Period ►</t>
  </si>
  <si>
    <t>Auto-generated Peers</t>
  </si>
  <si>
    <t>Override Peers if needed</t>
  </si>
  <si>
    <t>Automatic peers are generated in Cells F13:F22.</t>
  </si>
  <si>
    <r>
      <rPr>
        <sz val="8"/>
        <rFont val="Arial"/>
        <family val="2"/>
      </rPr>
      <t>Enter</t>
    </r>
    <r>
      <rPr>
        <b/>
        <sz val="8"/>
        <rFont val="Arial"/>
        <family val="2"/>
      </rPr>
      <t xml:space="preserve"> </t>
    </r>
    <r>
      <rPr>
        <sz val="8"/>
        <rFont val="Arial"/>
        <family val="2"/>
      </rPr>
      <t>Trading Symbol &amp; Exchange of peers to override</t>
    </r>
  </si>
  <si>
    <t>in their corresponding adjacent yellow cells.</t>
  </si>
  <si>
    <t>(Format: NYSE:ORCL or BARC-LSE)</t>
  </si>
  <si>
    <t>Enter Most Recent Period.</t>
  </si>
  <si>
    <t>Hit "REFRESH" button.</t>
  </si>
  <si>
    <t>STANDARD FINANCIALS &amp; COMPARABLES</t>
  </si>
  <si>
    <t>Recommended</t>
  </si>
  <si>
    <t>Enter Trading Symbol-Exchange / Entity ID of focus company.</t>
  </si>
  <si>
    <t>Focus Co. ►</t>
  </si>
  <si>
    <t>1) Select S&amp;P Cap IQ Pro Add-In's manual refresh option. (S&amp;P Cap IQ Pro &gt; Refresh Data &gt; Manually Refresh Data)</t>
  </si>
  <si>
    <t>2) Enable macros while opening the model.</t>
  </si>
  <si>
    <t>Original</t>
  </si>
  <si>
    <t>FMC</t>
  </si>
  <si>
    <t>NYSE:MOS</t>
  </si>
  <si>
    <t>NYSE:CF</t>
  </si>
  <si>
    <t>NYSE:SMG</t>
  </si>
  <si>
    <t>NYSE:CTVA</t>
  </si>
  <si>
    <t>NYSE:AXTA</t>
  </si>
  <si>
    <t>NYSE:ALB</t>
  </si>
  <si>
    <t>NYSE:HUN</t>
  </si>
  <si>
    <t>NYSE:OLN</t>
  </si>
  <si>
    <t>NYSE:RPM</t>
  </si>
  <si>
    <t>NYSE:UAN</t>
  </si>
  <si>
    <t>FQ22024</t>
  </si>
  <si>
    <t>FMC Corporation (NYSE:FMC)</t>
  </si>
  <si>
    <t>FMC-US</t>
  </si>
  <si>
    <t>Fourth Quarter [Annual - 9 Month YTD]</t>
  </si>
  <si>
    <t>Quarterly Cash Flow Period based on the subtraction of two consecutive Year-to-Date Periods [YTD(t) – YTD(t-1)]</t>
  </si>
  <si>
    <t>MOS-US</t>
  </si>
  <si>
    <t>The Mosaic Company (NYSE:MOS)</t>
  </si>
  <si>
    <t>CF-US</t>
  </si>
  <si>
    <t>CF Industries Holdings, Inc. (NYSE:CF)</t>
  </si>
  <si>
    <t>SMG-US</t>
  </si>
  <si>
    <t>The Scotts Miracle-Gro Company (NYSE:SMG)</t>
  </si>
  <si>
    <t>CTVA-US</t>
  </si>
  <si>
    <t>Corteva, Inc. (NYSE:CTVA)</t>
  </si>
  <si>
    <t>AXTA-US</t>
  </si>
  <si>
    <t>Axalta Coating Systems Ltd. (NYSE:AXTA)</t>
  </si>
  <si>
    <t>ALB-US</t>
  </si>
  <si>
    <t>Albemarle Corporation (NYSE:ALB)</t>
  </si>
  <si>
    <t>HUN-US</t>
  </si>
  <si>
    <t>Huntsman Corporation (NYSE:HUN)</t>
  </si>
  <si>
    <t>OLN-US</t>
  </si>
  <si>
    <t>Olin Corporation (NYSE:OLN)</t>
  </si>
  <si>
    <t>RPM-US</t>
  </si>
  <si>
    <t>RPM International Inc. (NYSE:RPM)</t>
  </si>
  <si>
    <t>UAN-US</t>
  </si>
  <si>
    <t>CVR Partners, LP (NYSE:UAN)</t>
  </si>
  <si>
    <t>允䅁䩁䡍䅁䍁䅁䅁䅁硁䅁䅁杄䅁䍁䅍兒卂䙁䅉睔卂䅁䅁睤䅙䅁䅷䅁橁䙁䅁兒佂䕁䅑䅁䩂睂䅁䅭䅁䍁䅣睗乂䕁䅫睘呂䡁䅑兙畂䝁䅑兙祂䝁䅑杒灂䝁䄴兙畂䝁䅍兡桂䝁䅷督時䕁䅍睢瑂䡁䅁兙祂䝁䅅杙獂䝁䅕督時䡁䅙免杁䍁䅧睍灁䍁䄴䅥獂䡁䅍兢摂䕁䅑党あ䝁䅅兡獂䝁䅕䅚時䕁䅍睢瑂䡁䅁督湁䍁䅅䅊䍂䍁䅑免祁䑁䅯䅊䍂䍁䅑杍㑁䅁䅁杉䅣䥁䅯䅁湁䙁䅳兔䩂䙁䄸睕あ䝁䅅杢歂䝁䅅杣歂䕁䅙兡畂䝁䅅杢橂䝁䅫兙獂䡁䅍睘䑂䝁䄸兢睂䝁䅅杣桂䝁䅉䅢求䡁䅍睘㉂䑁䅅䅉潁䑁䅍克畁䡁䅧䅢穂䝁䄰兘䕂䝁䅕䅤桂䝁䅫䅢求䝁䅑睘䑂䝁䄸兢睂䡁䅍睊桁䍁䅑村歁䑁䅑䅁桁睂䅁杬䅁䍁䅣睗乂䕁䅫睘呂䡁䅑兙畂䝁䅑兙祂䝁䅑杒灂䝁䄴兙畂䝁䅍兡桂䝁䅷督時䕁䅍睢瑂䡁䅁兙祂䝁䅅杙獂䝁䅕督時䡁䅙免杁䍁䅧睍灁䍁䄴䅥獂䡁䅍兢摂䕁䅑党あ䝁䅅兡獂䝁䅕䅚時䕁䅍睢瑂䡁䅁督湁䍁䅅䅊䕂䍁䅑兎㙁䍁䅑杒啂䍁䅑兎䅁䍁䡍䅁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䅍䅊硁䑁䅁䅍㑁䅁䅁䅊䅣䩁䅙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睑歁䑁䅑䅁婁睂䅁杬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䑂䍁䅑兎䅁䉁䡕䅁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䅍䅊㉁䅁䅁睇䅣䩁䅙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睑歁䑁䅣䅁摁睂䅁杬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䑂䍁䅑䅏䅁䉁䠸䅁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䅑䅊硁䑁䅙䅍㙁䍁䅑䅒歁䑁䅍杍穁䅁䅁睆䅣䭁䅧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䅒歁䑁䅍杍㉁䑁䅯䅊䕂䍁䅑䅎㉁䑁䅕䅁捁睂䅁䅱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䕂䍁䅑䅎㉁䑁䅫杏歁䕁䅑䅊㍁䑁䅑免䅁䉁䠴䅁煃䅁䅁睊扂䕁䄰兓時䙁䅍䅤桂䝁䄴䅚桂䡁䅉䅚䝂䝁䅫杢桂䝁䄴睙灂䝁䅅䅢穂䙁䄸睑療䝁䄰䅣桂䡁䅉兙楂䝁䅷党穂䙁䄸杤硁䍁䅁䅋穁䍁䅫杌㑂䝁䅷督瑂䙁䄰杒灂䝁䄴兙畂䝁䅍兡桂䝁䅷睘呂䡁䅑兙あ䝁䅕兢求䝁䄴䅤穂䍁䅣光歁䕁䅑䅊㍁䑁䅑兎㙁䍁䅑䅒歁䑁䅅䅍㕁䑁䅧䅁杁睂䅁䅰䅁䍁䅣睗乂䕁䅫睘呂䡁䅑兙畂䝁䅑兙祂䝁䅑杒灂䝁䄴兙畂䝁䅍兡桂䝁䅷督時䕁䅍睢瑂䡁䅁兙祂䝁䅅杙獂䝁䅕督時䡁䅙免杁䍁䅧睍灁䍁䄴䅥獂䡁䅍兢摂䕁䅙兡畂䝁䅅杢橂䝁䅫兙獂䙁䄸睕あ䝁䅅䅤求䝁䄰党畂䡁䅑督湁䍁䅅䅊䕂䍁䅑兏㙁䍁䅑䅒歁䑁䅅兎㉁䅁䅁杇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兒歁䑁䅅䅍祁䑁䅁杏歁䕁䅕䅊硁䑁䅁杍ぁ䅁䅁杊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䅅䅍睁䑁䅧杏歁䙁䅅䅊硁䑁䅁䅍㑁䅁䅁兊䅣䭁䅷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䅅䅍睁䑁䅫杏歁䙁䅅䅊硁䑁䅁䅍㕁䅁䅁睊䅣䭁䅁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䅑杏歁䙁䅅䅊ぁ䅁䅁杆䅣䭁䅁䅁湁䙁䅳兔䩂䙁䄸睕あ䝁䅅杢歂䝁䅅杣歂䕁䅙兡畂䝁䅅杢橂䝁䅫兙獂䡁䅍睘䑂䝁䄸兢睂䝁䅅杣桂䝁䅉䅢求䡁䅍睘㉂䑁䅅䅉潁䑁䅍克畁䡁䅧䅢穂䝁䄰兘䝂䝁䅫杢桂䝁䄴睙灂䝁䅅䅢時䙁䅍䅤桂䡁䅑党瑂䝁䅕杢あ䡁䅍睊桁䍁䅑杒歁䑁䅕杏歁䙁䅅䅊ㅁ䅁䅁䅇䅣䝁䄴䅁湁䙁䅳睕あ䝁䅅杢歂䝁䅅杣歂䍁䅁兔療䝁䅑党獂䍁䅁兔䩂䍁䅁杍畁䡁䅧䅢穂䝁䄰兘䕂䝁䅕䅤桂䝁䅫䅢求䝁䅑睘䑂䝁䄸兢睂䡁䅍睊桁䍁䅑村歁䑁䅅杍㙁䍁䅑村歁䑁䅉䅏䅁䝁䝧䅁杂䅁䅁睊扂䙁䅍䅤桂䝁䄴䅚桂䡁䅉䅚杁䕁䄰睢歂䝁䅕䅢杁䕁䄰兓杁䑁䅉杌㑂䝁䅷督瑂䙁䄰䅒求䡁䅑兙灂䝁䅷党歂䙁䄸睑療䝁䄰䅣穂䍁䅣光歁䕁䅉䅊ぁ䅁䅁睚䅙䝁䅷䅁湁䙁䅳睕あ䝁䅅杢歂䝁䅅杣歂䍁䅁兔療䝁䅑党獂䍁䅁兔䩂䍁䅁杍畁䡁䅧䅢穂䝁䄰兘䕂䝁䅕䅤桂䝁䅫䅢求䝁䅑睘䑂䝁䄸兢睂䡁䅍睊桁䍁䅑䅒歁䑁䅕杏歁䕁䅙杕歁䑁䅕䅁灂杂䅁䅢䅁䍁䅣睗呂䡁䅑兙畂䝁䅑兙祂䝁䅑䅉乂䝁䄸䅚求䝁䅷䅉乂䕁䅫䅉祁䍁䄴䅥獂䡁䅍兢摂䕁䅑党あ䝁䅅兡獂䝁䅕䅚時䕁䅍睢瑂䡁䅁督湁䍁䅅䅊䕂䍁䅑兎㙁䍁䅑杒啂䍁䅑兎䅁䡁䝧䅁獂䅁䅁睊扂䙁䅍䅤桂䝁䄴䅚桂䡁䅉䅚杁䕁䄰睢歂䝁䅕䅢杁䕁䄰兓杁䑁䅉杌㑂䝁䅷督瑂䙁䄰䅒求䡁䅑兙灂䝁䅷党歂䙁䄸睑療䝁䄰䅣穂䍁䅣光歁䕁䅑䅊ㅁ䑁䅯䅊䡂䕁䅉䅊ㅁ䅁䅁入䅙䝁䅷䅁湁䙁䅳睕あ䝁䅅杢歂䝁䅅杣歂䍁䅁兔療䝁䅑党獂䍁䅁兔䩂䍁䅁杍畁䡁䅧䅢穂䝁䄰兘䝂䝁䅫杢桂䝁䄴睙灂䝁䅅䅢時䙁䅍䅤桂䡁䅑党瑂䝁䅕杢あ䡁䅍睊桁䍁䅑睑歁䑁䅑䅁㥂杂䅁䅢䅁䍁䅣睗呂䡁䅑兙畂䝁䅑兙祂䝁䅑䅉乂䝁䄸䅚求䝁䅷䅉乂䕁䅫䅉祁䍁䄴䅥獂䡁䅍兢摂䕁䅙兡畂䝁䅅杢橂䝁䅫兙獂䙁䄸睕あ䝁䅅䅤求䝁䄰党畂䡁䅑督湁䍁䅅䅊䑂䍁䅑兏䅁䡁䝍䅁⭂䅁䅁睊扂䙁䅍䅤桂䝁䄴䅚桂䡁䅉䅚杁䕁䄰睢歂䝁䅕䅢杁䕁䄰兓杁䑁䅉杌㑂䝁䅷督瑂䙁䄰杒灂䝁䄴兙畂䝁䅍兡桂䝁䅷睘呂䡁䅑兙あ䝁䅕兢求䝁䄴䅤穂䍁䅣光歁䕁䅑䅊硁䑁䅧杏歁䕁䅑䅊硁䑁䅉䅏睁䅁䅁兤䅙䡁䅷䅁湁䙁䅳睕あ䝁䅅杢歂䝁䅅杣歂䍁䅁兔療䝁䅑党獂䍁䅁兔䩂䍁䅁杍畁䡁䅧䅢穂䝁䄰兘䝂䝁䅫杢桂䝁䄴睙灂䝁䅅䅢時䙁䅍䅤桂䡁䅑党瑂䝁䅕杢あ䡁䅍睊桁䍁䅑䅒歁䑁䅫杏歁䕁䅑䅊硁䑁䅉睎ㅁ䅁䅁睦䅙䡁䅯䅁湁䙁䅳睕あ䝁䅅杢歂䝁䅅杣歂䍁䅁兔療䝁䅑党獂䍁䅁兔䩂䍁䅁杍畁䡁䅧䅢穂䝁䄰兘䝂䝁䅫杢桂䝁䄴睙灂䝁䅅䅢時䙁䅍䅤桂䡁䅑党瑂䝁䅕杢あ䡁䅍睊桁䍁䅑兒歁䑁䅅䅍㙁䍁䅑䅕歁䑁䅅䅍䅁䡁䝙䅁㉂䅁䅁睊扂䙁䅍䅤桂䝁䄴䅚桂䡁䅉䅚杁䕁䄰睢歂䝁䅕䅢杁䕁䄰兓杁䑁䅉杌㑂䝁䅷督瑂䙁䄰杒灂䝁䄴兙畂䝁䅍兡桂䝁䅷睘呂䡁䅑兙あ䝁䅕兢求䝁䄴䅤穂䍁䅣光歁䕁䅕䅊ぁ䑁䅯䅊兂䍁䅑䅎䅁䡁䜴䅁㉂䅁䅁睊扂䙁䅍䅤桂䝁䄴䅚桂䡁䅉䅚杁䕁䄰睢歂䝁䅕䅢杁䕁䄰兓杁䑁䅉杌㑂䝁䅷督瑂䙁䄰杒灂䝁䄴兙畂䝁䅍兡桂䝁䅷睘呂䡁䅑兙あ䝁䅕兢求䝁䄴䅤穂䍁䅣光歁䕁䅕䅊ㅁ䑁䅯䅊兂䍁䅑兎䅁䥁䝁䅁㉂䅁䅁睊扂䙁䅍䅤桂䝁䄴䅚桂䡁䅉䅚杁䕁䄰睢歂䝁䅕䅢杁䕁䄰兓杁䑁䅉杌㑂䝁䅷督瑂䙁䄰杒灂䝁䄴兙畂䝁䅍兡桂䝁䅷睘呂䡁䅑兙あ䝁䅕兢求䝁䄴䅤穂䍁䅣光歁䕁䅕䅊㕁䑁䅯䅊兂䍁䅑兏䅁䡁䝑䅁杂䅁䅁睊扂䙁䅍䅤桂䝁䄴䅚桂䡁䅉䅚杁䕁䄰睢歂䝁䅕䅢杁䕁䄰兓杁䑁䅉杌㑂䝁䅷督瑂䙁䄰兓畂䡁䅍䅤祂䡁䅕睙あ䝁䅫睢畂䡁䅍睊桁䍁䅑杖歁䑁䅅睍ぁ䅁䅁来䅙䝁䅁䅁湁䙁䅳睕あ䝁䅅杢歂䝁䅅杣歂䍁䅁兔療䝁䅑党獂䍁䅁兔䩂䍁䅁杍畁䡁䅧䅢穂䝁䄰兘䩂䝁䄴督あ䡁䅉兤橂䡁䅑兡療䝁䄴督湁䍁䅅䅊坂䍁䅑免穁䑁䅧䅁㝂杂䅁䅙䅁䍁䅣睗呂䡁䅑兙畂䝁䅑兙祂䝁䅑䅉乂䝁䄸䅚求䝁䅷䅉乂䕁䅫䅉祁䍁䄴䅥獂䡁䅍兢摂䕁䅫杢穂䡁䅑杣ㅂ䝁䅍䅤灂䝁䄸杢穂䍁䅣光歁䙁䅣䅊硁䑁䅍兎䅁䡁䝷䅁兂䅁䅁䅋䙂䕁䅉兓啂䕁䅑兑杁䍁䄰䅉䑂䝁䅅䅣求䡁䅧克杁䍁䄸䅉䩂䝁䄴䅤求䡁䅉党穂䡁䅑䅉䙂䡁䅧䅣求䝁䄴督求䍁䅁䅋㑂䍁䅫䅁偂杂䅁杔䅁䍁䅧睒桂䝁䅫杢灁䍁䅁䅔療䡁䅍督杁䕁䅙杣療䝁䄰䅉呂䝁䅅䅢求䍁䅁睔浂䍁䅁兑穂䡁䅍党あ䡁䅍䅉潁䍁䅑䅍睁䑁䅁克䅁偁䑳䅁あ䅁䅁免汁䍁䅁䅒求䝁䅍兌杁䕁䅕杚浂䝁䅕睙あ䍁䅁睢畂䍁䅁睕求䡁䅉杤灂䝁䅍党杁䍁䅙䅉䩂䝁䄴䅤畁䍁䅁睑療䡁䅍䅤杁䍁䅧睔兂䕁䅕村杁䍁䄰䅉䝂䕁䅣杔灁䍁䅁䅋歁䑁䅁䅍睁䍁䅫䅁潁䅂䅁䅤䅁䑁䅅兊杁䕁䅑党橂䍁䄰䅉䙂䝁䅙杚求䝁䅍䅤杁䝁䄸杢杁䙁䅍党祂䡁䅙兡橂䝁䅕䅉桂䝁䄴䅚杁䕁䅫杢あ䍁䄴䅉䑂䝁䄸督あ䍁䅁兌偂䙁䅁兒䍂䍁䄰䅉䕂䝁䄸兢杁䍁䅧䅊睁䑁䅁䅍灁䅁䅁杦䅕䡁䅑䅁硁䍁䅕䅉䕂䝁䅕睙瑁䍁䅁兒浂䝁䅙党橂䡁䅑䅉療䝁䄴䅉呂䝁䅕杣㉂䝁䅫睙求䍁䅁兙畂䝁䅑䅉䩂䝁䄴䅤求䡁䅉党穂䡁䅑䅉䑂䝁䄸督あ䍁䅁䅋偂䙁䅁兒䍂䍁䅫䅉潁䍁䅑䅍睁䑁䅁克䅁䅁䙫䅁杂䅁䅁免汁䍁䅁䅒求䝁䅍杣求䝁䅅督求䍁䅁兌杁䕁䅕杚浂䝁䅕睙あ䍁䅁睢畂䍁䅁䅕䍂䕁䄸䅉潁䕁䄸䅕䙂䕁䅉䅉瑁䍁䅁䅒療䝁䄰克杁䍁䅧䅊睁䑁䅁䅍灁䅁䅁睦䅕䝁䅁䅁硁䍁䅕䅉䕂䝁䅕睙祂䝁䅕兙穂䝁䅕䅉瑁䍁䅁兒浂䝁䅙党橂䡁䅑䅉療䝁䄴䅉兂䕁䅉睔杁䍁䅧睔兂䕁䅕村杁䍁䄰䅉䝂䕁䅣杔灁䍁䅁䅋歁䑁䅁䅍睁䍁䅫䅁䉁杂䅁䅖䅁䑁䅅兊杁䕁䅑党橂䡁䅉党桂䡁䅍党杁䍁䄰䅉䙂䝁䅙杚求䝁䅍䅤杁䝁䄸杢杁䙁䅁村偂䍁䅁䅋偂䙁䅁兒䍂䍁䅫䅉潁䍁䅑䅍睁䑁䅁克䅁䅁䕁䅁畂䅁䅁免汁䍁䅁兓畂䝁䅍杣瑁䍁䅁兒浂䝁䅙党橂䡁䅑䅉療䝁䄴䅉呂䝁䅕杣㉂䝁䅫睙求䍁䅁兙畂䝁䅑䅉䩂䝁䄴䅤畁䍁䅁睑療䡁䅍䅤杁䍁䅧睔兂䕁䅕村灁䍁䅁䅋歁䑁䅁䅍睁䍁䅫䅁䡁兂䅁䅙䅁䑁䅅兊杁䕁䅫杢橂䡁䅉党桂䡁䅍党杁䍁䄰䅉䙂䝁䅙杚求䝁䅍䅤杁䝁䄸杢杁䙁䅁村偂䍁䅁䅋偂䙁䅁兒䍂䍁䅁兌杁䕁䅑睢瑂䍁䅫䅉潁䍁䅑䅍睁䑁䅁克䅁䡁䘰䅁杂䅁䅁免汁䍁䅁兓畂䝁䅍杣求䝁䅅督求䍁䅁兌杁䕁䅕杚浂䝁䅕睙あ䍁䅁睢畂䍁䅁䅕䍂䕁䄸䅉潁䕁䄸䅕䙂䕁䅉䅉瑁䍁䅁杒䡂䕁䄴克杁䍁䅧䅊睁䑁䅁䅍灁䅁䅁䅁䅙䙁䅑䅁硁䍁䅕䅉䩂䝁䄴睙祂䝁䅕兙穂䝁䅕䅉瑁䍁䅁兒浂䝁䅙党橂䡁䅑䅉療䝁䄴䅉兂䕁䅉睔杁䍁䅧睔兂䕁䅕村灁䍁䅁䅋歁䑁䅁䅍睁䍁䅫䅁䥁兂䅁䅤䅁䑁䅅兊䩂䝁䄴睙祂䍁䄰䅉䙂䝁䅙杚求䝁䅍䅤杁䝁䄸杢杁䙁䅍党祂䡁䅙兡橂䝁䅕䅉流䍁䅁兓畂䡁䅑杌杁䕁䅍睢穂䡁䅑䅉潁䕁䄸䅕䙂䕁䅉䅉瑁䍁䅁䅒偂䕁䄰克杁䍁䅧䅊睁䑁䅁䅍灁䅁䅁睑䅕䡁䅑䅁硁䍁䅕兓畂䝁䅍杣瑁䍁䅁兒浂䝁䅙党橂䡁䅑䅉療䝁䄴䅉呂䝁䅕杣㉂䝁䅫睙求䍁䅁杊杁䕁䅫杢あ䍁䄴䅉䑂䝁䄸督あ䍁䅁䅋偂䙁䅁兒䍂䍁䅁兌杁䕁䅙睒佂䍁䅫䅉潁䍁䅑䅍睁䑁䅁克䅁偁䘸䅁睁䅁䅁免瑁䑁䅑䅉䝂䝁䅅兢灂䝁䅷入杁䕁䅷睢桂䝁䄴督杁䍁䅧䅊睁䑁䅁䅍灁䅁䅁儰䅅䅁䅙䅁硁䑁䅑䅁呁睁䅁杄䅁䑁䅉李㍁䑁䅫李硁䅁䅁䅬䅙䅁䄴䅁祁䑁䅙睎㕁䑁䅙兏䅁䉁䐴䅁佁䅁䅁杍㉁䑁䅧兎祁䑁䅕䅁䵁睁䅁杄䅁䑁䅉李㑁䑁䅕睎㑁䅁䅁䅇䅍䅁䄴䅁祁䑁䅙䅏ㅁ䑁䅧䅎䅁䉁䑫䅁佁䅁䅁杍㍁䑁䅅䅎ぁ䑁䅍䅁捁睁䅁杄䅁䑁䅉睎ㅁ䑁䅙兎㍁䅁䅁䅅䅍䅁䄴䅁祁䑁䅣兎㍁䑁䅕兎䅁䍁䑁䅁佁䅁䅁杍㍁䑁䅙䅍祁䑁䅙䅁塁睁䅁杄䅁䑁䅉兏睁䑁䅕杍㍁䅁䅁杢䅙䅁䄴䅁祁䑁䅫䅍ㅁ䑁䅍睎䅁䡁䝅䅁佁䅁䅁杍㕁䑁䅁䅏㕁䑁䅁䅁䵃杂䅁杄䅁䑁䅉兏睁䑁䅫睍睁䅁䅁元䅍䅁䄴䅁祁䑁䅫䅍㕁䑁䅍睍䅁䉁䑕䅁佁䅁䅁杍㕁䑁䅁兏穁䑁䅑䅁剁睁䅁杄䅁䑁䅉兏睁䑁䅫䅎㑁䅁䅁杂䅍䅁䄴䅁祁䑁䅫䅍㕁䑁䅑兏䅁䅁䑳䅁䕁䅁䅁睍䅁䑁䅧䅁佁䅁䅁睍硁䑁䅅李㑁䑁䅅䅁慁睁䅁杆䅁䑁䅍兔杁䕁䅍睢瑂䡁䅁兙畂䡁䅫䅁橂睂䅁䅅䅁䑁䅕杍杁䙁䅣党求䝁䅳䅁䥁睁䅁䅓䅁䑁䅫䅍牁䍁䅁䅒桂䡁䅫督杁䕁䅑党獂䝁䅫杢硂䡁䅕党畂䡁䅑䅉䉂䝁䅍睙祂䡁䅕兡畂䝁䅣䅉潁䍁䅑䅍睁䑁䅁克䅁䕁䅷䅁䥂䅁䅁兏睁䍁䅳䅉䕂䝁䅅入穂䍁䅁䅒求䝁䅷兡畂䡁䅅兤求䝁䄴䅤杁䕁䅅睙橂䡁䅉兤灂䝁䄴睚杁䍁䅧䍲睁䑁䅁䅍灁䅁䅁䅪䅉䅁䅯䅁㡁䑁䄴免ぁ䅁䅁睂䅍䅁䅧䅁㡁䑁䄴睍䅁䑁䅳䅁䥁䅁䅁兑䑂䕁䅕䅁い杂䅁䅃䅁䕁䅅睑佂䅁䅁眳䅙䅁䅧䅁䉂䕁䅫睒䅁偁䝕䅁䥁䅁䅁兑䵂䕁䅷䅁祄杂䅁䅃䅁䕁䅅睕䍂䅁䅁杶䅙䍁䅙䅁䉂䙁䅕兔杁䕁䅫杢浂䝁䅷睢㍂䡁䅍䅉潁䍁䅑䅍睁䑁䅁克䅁䅁䝙䅁潁䅁䅁兑噂䕁䄰䅉偂䡁䅕䅤浂䝁䅷睢㍂䡁䅍䅉潁䍁䅑䅍睁䑁䅁克䅁佁䑕䅁捁䅁䅁兑橂䝁䅍党畂䡁䅑兤祂䝁䅕䅉睂䝁䅷睙䅁佁䝁䅁睁䅁䅁兑橂䝁䅍睢ㅂ䝁䄴䅤穂䍁䅁䅕桂䡁䅫兙楂䝁䅷党杁䍁䅧䅊睁䑁䅁䅍灁䅁䅁䅙䅍䑁䅙䅁䉂䝁䅍睙療䡁䅕杢あ䡁䅍䅉卂䝁䅕睙求䝁䅫杤桂䝁䅉䅢求䍁䅁䅋歁䑁䅁䅍睁䍁䅫䅁䝂睁䅁杓䅁䕁䅅睙橂䝁䄸兤畂䡁䅑督杁䙁䅉党橂䝁䅕兡㉂䝁䅅杙獂䝁䅕䅉䵂䝁䄸杢湂䍁䄰䅖求䡁䅉兢杁䍁䅧䅊睁䑁䅁䅍灁䅁䅁杓䅍䕁䅉䅁䉂䝁䅍睙療䡁䅕杢あ䡁䅍䅉卂䝁䅕睙求䝁䅫杤桂䝁䅉䅢求䍁䅁䅖ㅂ䡁䅉杢療䡁䅙党祂䍁䅁䅋㑂䍁䅫䅁䍂杂䅁䅖䅁䕁䅅睙橂䡁䅉兤求䝁䅑䅉䍂䝁䅕杢求䝁䅙兡あ䍁䅁䅔灂䝁䅅杙畁䍁䅁䅋偂䙁䅁兒䍂䍁䅁兌杁䕁䅑睢瑂䍁䅫䅉潁䍁䅑䅍睁䑁䅁克䅁䡁䙍䅁啂䅁䅁兑橂䝁䅍杣ㅂ䝁䅕䅚杁䕁䅉党畂䝁䅕杚灂䡁䅑䅉䵂䝁䅫兙楂䍁䄴䅉潁䕁䄸䅕䙂䕁䅉䅉瑁䍁䅁杒䡂䕁䄴克杁䍁䅧䅊睁䑁䅁䅍灁䅁䅁朹䅕䙁䅯䅁䉂䝁䅍睙祂䡁䅕党歂䍁䅁村求䝁䄴党浂䝁䅫䅤杁䕁䅷兡桂䝁䅉杌杁䍁䅧䅕求䝁䄴督灂䝁䄸杢杁䍁䄰䅉䕂䝁䄸兢灁䍁䅁䅋歁䑁䅁䅍睁䍁䅫䅁ぁ兂䅁杗䅁䕁䅅睙橂䡁䅉兤求䝁䅑䅉䍂䝁䅕杢求䝁䅙兡あ䍁䅁䅔灂䝁䅅杙畁䍁䅁䅋兂䝁䅕杢穂䝁䅫睢畂䍁䅁兌杁䕁䅙睒佂䍁䅫䅉潁䍁䅑䅍睁䑁䅁克䅁䱁䙙䅁佂䅁䅁兑橂䝁䅍杣ㅂ䝁䅕䅚杁䕁䅉党畂䝁䅕杚灂䡁䅑䅉䵂䝁䅫兙楂䍁䄴䅉潁䙁䅁党畂䡁䅍兡療䝁䄴克杁䍁䅧䅊睁䑁䅁䅍灁䅁䅁䅏䅑䙁䅁䅁䉂䝁䅍睙祂䡁䅕党歂䍁䅁村求䝁䄴党浂䝁䅫䅤杁䕁䅷兡桂䝁䅉兡獂䝁䅫䅤㕂䍁䅁䅋偂䙁䅁兒䍂䍁䅫䅉潁䍁䅑䅍睁䑁䅁克䅁䩁䕍䅁潁䅁䅁兑橂䝁䅍杣ㅂ䝁䅕䅚杁䕁䅕䅥睂䍁䄴䅉潁䍁䅑䅍睁䑁䅁克䅁䭁䑑䅁啂䅁䅁兑橂䝁䅍杣ㅂ䝁䅫杢湂䍁䅁䅔療䝁䅅杢穂䍁䅁睍睁䍁䅳䅉䕂䝁䅅入穂䍁䅁䅒求䝁䅷兡畂䡁䅅兤求䝁䄴䅤杁䍁䅧䅊睁䑁䅁䅍灁䅁䅁朱䅁䙁䅑䅁䉂䝁䅍睙祂䡁䅕兡畂䝁䅣䅉䵂䝁䄸兙畂䡁䅍䅉穁䑁䅁睋杁䕁䅑兙㕂䡁䅍䅉䕂䝁䅕䅢灂䝁䄴兣ㅂ䝁䅕杢あ䍁䅁䅋獃䑉䅁䅍睁䍁䅫䅁祄杁䅁杙䅁䕁䅅睙橂䡁䅕兢畁䍁䅁村求䝁䄴党浂䝁䅫䅤杁䕁䄸杙獂䝁䅫睚桂䡁䅑兡療䝁䄴䅉潁䙁䅁党畂䡁䅍兡療䝁䄴䅉瑁䍁䅁䅒療䝁䄰克杁䍁䅧䅊睁䑁䅁䅍灁䅁䅁杆䅕䝁䅉䅁䉂䝁䅍睙ㅂ䝁䄰杌杁䕁䅉党畂䝁䅕杚灂䡁䅑䅉偂䝁䅉䅢灂䝁䅣兙あ䝁䅫睢畂䍁䅁䅋兂䝁䅕杢穂䝁䅫睢畂䍁䅁兌杁䕁䅙睒佂䍁䅫䅉潁䍁䅑䅍睁䑁䅁克䅁䩁䙍䅁坂䅁䅁兑橂䝁䅍兤瑂䍁䄴䅉䍂䝁䅕杢求䝁䅙兡あ䍁䅁睔楂䝁䅷兡湂䝁䅅䅤灂䝁䄸杢杁䍁䅧䅕求䝁䄴督灂䝁䄸杢灁䍁䅁䅋歁䑁䅁䅍睁䍁䅫䅁㡄睁䅁䅘䅁䕁䅅睙橂䡁䅕兢畁䍁䅁睔あ䝁䅧党祂䍁䅁睑療䝁䄰䅣畁䍁䅁兓畂䝁䅍睢瑂䝁䅕䅉潁䕁䄸䅕䙂䕁䅉䅉瑁䍁䅁䅒療䝁䄰克杁䍁䅧䅊睁䑁䅁䅍灁䅁䅁兤䅕䙁䅷䅁䉂䝁䅍睙ㅂ䝁䄰杌杁䕁䄸䅤潂䝁䅕杣杁䕁䅍睢瑂䡁䅁杌杁䕁䅫杢橂䝁䄸兢求䍁䅁䅋偂䙁䅁兒䍂䍁䅁兌杁䕁䅙睒佂䍁䅫䅉潁䍁䅑䅍睁䑁䅁克䅁偁䙧䅁兂䅁䅁兑橂䝁䅍兤瑂䍁䄴䅉偂䡁䅑䅡求䡁䅉䅉䑂䝁䄸兢睂䍁䄴䅉䩂䝁䄴睙療䝁䄰党杁䍁䅧睔兂䕁䅕村灁䍁䅁䅋歁䑁䅁䅍睁䍁䅫䅁䙁兂䅁杙䅁䕁䅅睙橂䡁䅕兢畁䍁䅁睔あ䝁䅧党祂䍁䅁睑療䝁䄰䅣畁䍁䅁兓畂䝁䅍睢瑂䝁䅕䅉潁䙁䅁党畂䡁䅍兡療䝁䄴䅉瑁䍁䅁䅒療䝁䄰克杁䍁䅧䅊睁䑁䅁䅍灁䅁䅁李䅕䝁䅉䅁䉂䝁䅍睙ㅂ䝁䄰杌杁䕁䄸䅤潂䝁䅕杣杁䕁䅍睢瑂䡁䅁杌杁䕁䅫杢橂䝁䄸兢求䍁䅁䅋兂䝁䅕杢穂䝁䅫睢畂䍁䅁兌杁䕁䅙睒佂䍁䅫䅉潁䍁䅑䅍睁䑁䅁克䅁䱁䙧䅁坂䅁䅁兑橂䝁䅍兤瑂䍁䄴䅉偂䡁䅑䅡求䡁䅉䅉䑂䝁䄸兢睂䍁䄴䅉䩂䝁䄴睙療䝁䄰党杁䍁䅧䅕求䝁䄴督灂䝁䄸杢灁䍁䅁䅋歁䑁䅁䅍睁䍁䅫䅁䩂䅂䅁杚䅁䕁䅅睙橂䡁䅕兢ㅂ䝁䅷兙あ䝁䅕䅚杁䕁䅅䅢獂䝁䄸睤桂䝁䄴睙求䍁䅁杚療䡁䅉䅉䕂䝁䄸兤楂䡁䅑杚ㅂ䝁䅷䅉䉂䝁䅍睙療䡁䅕杢あ䡁䅍䅉潁䍁䅑䅍睁䑁䅁克䅁䥁䕅䅁浂䅁䅁兑橂䝁䅍兤瑂䡁䅕䅢桂䡁䅑党歂䍁䅁村求䝁䄴党浂䝁䅫䅤杁䕁䄸杙獂䝁䅫睚桂䡁䅑兡療䝁䄴䅉潁䕁䄸䅕䙂䕁䅉䅉瑁䍁䅁䅒療䝁䄰克杁䍁䅧䅊睁䑁䅁䅍灁䅁䅁䅕䅕䝁䅙䅁䉂䝁䅍睙ㅂ䝁䄰兤獂䝁䅅䅤求䝁䅑䅉䍂䝁䅕杢求䝁䅙兡あ䍁䅁睔楂䝁䅷兡湂䝁䅅䅤灂䝁䄸杢杁䍁䅧睔兂䕁䅕村杁䍁䄰䅉䝂䕁䅣杔灁䍁䅁䅋歁䑁䅁䅍睁䍁䅫䅁卄兂䅁杗䅁䕁䅅睙橂䡁䅕兢ㅂ䝁䅷兙あ䝁䅕䅚杁䕁䅉党畂䝁䅕杚灂䡁䅑䅉偂䝁䅉䅢灂䝁䅣兙あ䝁䅫睢畂䍁䅁䅋偂䙁䅁兒䍂䍁䅫䅉潁䍁䅑䅍睁䑁䅁克䅁䥁䑙䅁䅂䅁䅁兑橂䝁䅍兤瑂䡁䅕䅢桂䡁䅑党歂䍁䅁䅒求䡁䅁杣求䝁䅍兡桂䡁䅑兡療䝁䄴䅉潁䍁䅑䅍睁䑁䅁克䅁䕁䔴䅁奂䅁䅁兑橂䡁䅅杌杁䕁䅉党畂䝁䅕杚灂䡁䅑䅉偂䝁䅉䅢灂䝁䅣兙あ䝁䅫睢畂䍁䅁䅋偂䙁䅁兒䍂䍁䅁兌杁䕁䅑睢瑂䍁䅫䅉潁䍁䅑䅍睁䑁䅁克䅁䕁䙷䅁奂䅁䅁兑橂䡁䅅杌杁䕁䅉党畂䝁䅕杚灂䡁䅑䅉偂䝁䅉䅢灂䝁䅣兙あ䝁䅫睢畂䍁䅁䅋偂䙁䅁兒䍂䍁䅁兌杁䕁䅙睒佂䍁䅫䅉潁䍁䅑䅍睁䑁䅁克䅁䵁䘴䅁䵂䅁䅁兑橂䡁䅅杌杁䕁䅉党畂䝁䅕杚灂䡁䅑䅉偂䝁䅉䅢灂䝁䅣兙あ䝁䅫睢畂䍁䅁䅋偂䙁䅁兒䍂䍁䅫䅉潁䍁䅑䅍睁䑁䅁克䅁䡁䑁䅁敂䅁䅁兑橂䡁䅅杌杁䕁䅉党畂䝁䅕杚灂䡁䅑䅉偂䝁䅉䅢灂䝁䅣兙あ䝁䅫睢畂䍁䅁䅋兂䝁䅕杢穂䝁䅫睢畂䍁䅁兌杁䕁䅑睢瑂䍁䅫䅉潁䍁䅑䅍睁䑁䅁克䅁偁䑙䅁敂䅁䅁兑橂䡁䅅杌杁䕁䅉党畂䝁䅕杚灂䡁䅑䅉偂䝁䅉䅢灂䝁䅣兙あ䝁䅫睢畂䍁䅁䅋兂䝁䅕杢穂䝁䅫睢畂䍁䅁兌杁䕁䅙睒佂䍁䅫䅉潁䍁䅑䅍睁䑁䅁克䅁䥁䘸䅁卂䅁䅁兑橂䡁䅅杌杁䕁䅉党畂䝁䅕杚灂䡁䅑䅉偂䝁䅉䅢灂䝁䅣兙あ䝁䅫睢畂䍁䅁䅋兂䝁䅕杢穂䝁䅫睢畂䍁䅫䅉潁䍁䅑䅍睁䑁䅁克䅁䭁䕣䅁卂䅁䅁兑橂䡁䅅兤灂䡁䅉党歂䍁䅁䅕獂䝁䅅杢杁䕁䅅督穂䝁䅕䅤穂䍁䅁䅋偂䙁䅁兒䍂䍁䅁兌杁䕁䅑睢瑂䍁䅫䅉潁䍁䅑䅍睁䑁䅁克䅁䙁䙣䅁卂䅁䅁兑橂䡁䅅兤灂䡁䅉党歂䍁䅁䅕獂䝁䅅杢杁䕁䅅督穂䝁䅕䅤穂䍁䅁䅋偂䙁䅁兒䍂䍁䅁兌杁䕁䅙睒佂䍁䅫䅉潁䍁䅑䅍睁䑁䅁克䅁乁䙫䅁䝂䅁䅁兑橂䡁䅅兤灂䡁䅉党歂䍁䅁䅕獂䝁䅅杢杁䕁䅅督穂䝁䅕䅤穂䍁䅁䅋偂䙁䅁兒䍂䍁䅫䅉潁䍁䅑䅍睁䑁䅁克䅁䵁䑑䅁奂䅁䅁兑橂䡁䅅兤灂䡁䅉党歂䍁䅁䅕獂䝁䅅杢杁䕁䅅督穂䝁䅕䅤穂䍁䅁䅋兂䝁䅕杢穂䝁䅫睢畂䍁䅁兌杁䕁䅑睢瑂䍁䅫䅉潁䍁䅑䅍睁䑁䅁克䅁䉁䘴䅁奂䅁䅁兑橂䡁䅅兤灂䡁䅉党歂䍁䅁䅕獂䝁䅅杢杁䕁䅅督穂䝁䅕䅤穂䍁䅁䅋兂䝁䅕杢穂䝁䅫睢畂䍁䅁兌杁䕁䅙睒佂䍁䅫䅉潁䍁䅑䅍睁䑁䅁克䅁䩁䙯䅁䵂䅁䅁兑橂䡁䅅兤灂䡁䅉党歂䍁䅁䅕獂䝁䅅杢杁䕁䅅督穂䝁䅕䅤穂䍁䅁䅋兂䝁䅕杢穂䝁䅫睢畂䍁䅫䅉潁䍁䅑䅍睁䑁䅁克䅁䭁䔸䅁楂䅁䅁兑橂䡁䅑兤桂䝁䅷䅉卂䝁䅕䅤ㅂ䡁䅉杢杁䝁䄸杢杁䙁䅁䅢桂䝁䄴䅉䉂䡁䅍督求䡁䅑督杁䍁䅧睔兂䕁䅕村杁䍁䄰䅉䕂䝁䄸兢灁䍁䅁䅋歁䑁䅁䅍睁䍁䅫䅁卂兂䅁杙䅁䕁䅅睙あ䡁䅕兙獂䍁䅁杕求䡁䅑兤祂䝁䄴䅉療䝁䄴䅉兂䝁䅷兙畂䍁䅁兑穂䡁䅍党あ䡁䅍䅉潁䕁䄸䅕䙂䕁䅉䅉瑁䍁䅁杒䡂䕁䄴克杁䍁䅧䅊睁䑁䅁䅍灁䅁䅁䄱䅕䙁䅙䅁䉂䝁䅍䅤ㅂ䝁䅅䅢杁䙁䅉党あ䡁䅕杣畂䍁䅁睢畂䍁䅁䅕獂䝁䅅杢杁䕁䅅督穂䝁䅕䅤穂䍁䅁䅋偂䙁䅁兒䍂䍁䅫䅉潁䍁䅑䅍睁䑁䅁克䅁佁䕳䅁潂䅁䅁兑橂䡁䅑兤桂䝁䅷䅉卂䝁䅕䅤ㅂ䡁䅉杢杁䝁䄸杢杁䙁䅁䅢桂䝁䄴䅉䉂䡁䅍督求䡁䅑督杁䍁䅧䅕求䝁䄴督灂䝁䄸杢杁䍁䄰䅉䕂䝁䄸兢灁䍁䅁䅋歁䑁䅁䅍睁䍁䅫䅁奁兂䅁䅡䅁䕁䅅睙あ䡁䅕兙獂䍁䅁杕求䡁䅑兤祂䝁䄴䅉療䝁䄴䅉兂䝁䅷兙畂䍁䅁兑穂䡁䅍党あ䡁䅍䅉潁䙁䅁党畂䡁䅍兡療䝁䄴䅉瑁䍁䅁杒䡂䕁䄴克杁䍁䅧䅊睁䑁䅁䅍灁䅁䅁公䅕䙁䅷䅁䉂䝁䅍䅤ㅂ䝁䅅䅢杁䙁䅉党あ䡁䅕杣畂䍁䅁睢畂䍁䅁䅕獂䝁䅅杢杁䕁䅅督穂䝁䅕䅤穂䍁䅁䅋兂䝁䅕杢穂䝁䅫睢畂䍁䅫䅉潁䍁䅑䅍睁䑁䅁克䅁䅁䕕䅁䕂䅁䅁兑歂䝁䅑兡あ䝁䅫睢畂䝁䅅䅢杁䙁䅁兙灂䝁䅑䅉䩂䝁䄴䅉䑂䝁䅅䅣灂䡁䅑兙獂䍁䅁䅋歁䑁䅁䅍睁䍁䅫䅁獂䅂䅁䅢䅁䕁䅅䅚歂䝁䅫䅤灂䝁䄸杢穂䍁䅁村桂䡁䅍党歂䍁䅁睢畂䍁䅁䅖桂䡁䅧䅉兂䝁䄸督灂䡁䅑兡療䝁䄴督杁䍁䄰䅉䑂䡁䅕杣祂䝁䅕杢あ䍁䅁兗祂䍁䄴䅉潁䍁䅑䅍睁䑁䅁克䅁䍁䝯䅁敂䅁䅁兑歂䝁䅑兡あ䝁䅫睢畂䡁䅍䅉浂䝁䄸杣杁䙁䅑兙㑂䍁䅁䅕療䡁䅍兡あ䝁䅫睢畂䡁䅍䅉瑁䍁䅁䅕祂䝁䅫睢祂䍁䅁兗祂䡁䅍䅉潁䍁䅑䅍睁䑁䅁克䅁䍁䝷䅁捂䅁䅁兑歂䝁䅑兡あ䝁䅫睢畂䡁䅍䅉あ䝁䄸䅉䉂䝁䅷䅢療䡁䅣兙畂䝁䅍党杁䝁䅙睢祂䍁䅁䅔療䝁䅅杢杁䕁䅷睢穂䡁䅍党穂䍁䅁䅋歁䑁䅁䅍睁䍁䅫䅁㥁允䅁李䅁䕁䅅䅚㉂䝁䅕杣あ䝁䅫督灂䝁䄴睚杁䕁䅕䅥睂䝁䅕杢穂䝁䅕䅉潁䍁䅑䅍睁䑁䅁克䅁䱁䐸䅁獁䅁䅁兑獂䝁䅉党瑂䝁䅅杣獂䝁䅕䅉䑂䝁䄸杣睂䝁䄸杣桂䡁䅑兡療䝁䄴䅁䵃睂䅁村䅁䕁䅅䅢獂䝁䄸睤桂䝁䄴睙求䍁䅁杚療䡁䅉䅉䵂䝁䄸兙畂䍁䅁䅔療䡁䅍督求䡁䅍䅉潁䍁䅑䅍睁䑁䅁克䅁䕁䈴䅁敁䅁䅁兑瑂䝁䅑睢橂䡁䅍䅉䵂䝁䅫兢灂䡁䅑党歂䅁䅁䅖䅣䕁䅙䅁䉂䝁䄰党祂䝁䅫睙桂䝁䄴䅉䩂䝁䄴䅤求䡁䅉杢桂䡁䅑兡療䝁䄴兙獂䍁䅁睒祂䝁䄸兤睂䍁䅷䅉䩂䝁䄴睙畁䅁䅁朹䅙䙁䅑䅁䉂䝁䄰睢祂䡁䅑杌杁䝁䄸杚杁䕁䅣睢療䝁䅑睤灂䝁䅷䅢杁䝁䅅杢歂䍁䅁兓畂䡁䅑兙畂䝁䅣兡楂䝁䅷党穂䍁䅁䅋歁䑁䅁䅍睁䍁䅫䅁捂睁䅁䅐䅁䕁䅅兢療䡁䅉䅤灂䡁䅯党歂䍁䅁䅔療䝁䅅杢穂䍁䄸䅉䕂䝁䅕䅣療䡁䅍兡あ䡁䅍䅉潁䍁䅕克䅁䕁䅙䅁兂䅁䅁兑瑂䡁䅉䅤杁䝁䄸杚杁䕁䅫杢あ䝁䅅杢湂䍁䅁杊杁䕁䅣睢療䝁䅑睤灂䝁䅷䅢杁䕁䅫兢睂䝁䅅兡祂䍁䅁䅋歁䑁䅁䅍睁䍁䅫䅁坁杁䅁村䅁䕁䅅督杁䙁䅉党睂䝁䄸杣あ䝁䅕䅚杁䙁䅑睢あ䝁䅅䅢杁䙁䅉党㉂䝁䅕杢ㅂ䝁䅕䅉潁䍁䅑䅍睁䑁䅁克䅁䩁䐴䅁䥂䅁䅁兑穂䝁䅫兙瑁䙁䅁兙橂䝁䅫杚灂䝁䅍䅉䕂䝁䅕䅣療䡁䅍兡あ䡁䅍睌杁䕁䅑党睂䝁䄸督灂䡁䅑督杁䍁䅧兊灁䅁䅁䅇䅅䑁䅷䅁䉂䡁䅍兡桂䍁䄰䅕桂䝁䅍兡浂䝁䅫睙杁䕁䅷睢桂䝁䄴督癁䍁䅁䅔療䝁䅅杢穂䍁䅁䅋汁䍁䅫䅁䍁允䅁杗䅁䕁䅅督穂䝁䅕䅤杁䙁䅣杣灂䡁䅑党歂䝁䄸睤畂䍁䅁杊杁䙁䅉党穂䡁䅑杣ㅂ䝁䅍䅤ㅂ䡁䅉兡畂䝁䅣䅉䑂䝁䄸督あ䡁䅍䅉潁䍁䅑䅍睁䑁䅁克䅁偁䐰䅁畁䅁䅁兑穂䡁䅍党あ䍁䅁睖祂䝁䅫䅤求䝁䅑睢㍂䝁䄴䅉潁䍁䅑䅍睁䑁䅁克䅁䥁䑕䅁睁䅁䅁兑穂䡁䅍党あ䍁䅁睖祂䝁䅫䅤求䝁䅑睢㍂䝁䄴督杁䍁䅧䅊睁䑁䅁䅍灁䅁䅁䅭䅁䑁䅁䅁䉂䡁䅍督求䡁䅑䅉塂䡁䅉兡あ䝁䅕䅚療䡁䅣杢穂䍁䅁䅋獃䑉䅁䅍睁䍁䅫䅁兄杁䅁杒䅁䕁䅅督穂䝁䅕䅤穂䍁䅁兖畂䝁䅑党祂䍁䅁兑歂䝁䄰兡畂䝁䅫督あ䡁䅉兙あ䝁䅫睢畂䍁䅁䅋歁䑁䅁䅍睁䍁䅫䅁䵁杂䅁材䅁䕁䅅督穂䝁䅕䅤穂䍁䅁兖畂䝁䅑党祂䍁䅁兔桂䝁䄴兙湂䝁䅕兢求䝁䄴䅤杁䍁䅧䅊睁䑁䅁䅍灁䅁䅁兂䅙䕁䄴䅁䉂䡁䅍督求䡁䅑督杁䙁䅕杢歂䝁䅕杣杁䕁䄰兙畂䝁䅅睚求䝁䄰党畂䡁䅑䅉瑁䍁䅁睔あ䝁䅧党祂䍁䅁䅋歁䑁䅁䅍睁䍁䅫䅁䕁杂䅁杖䅁䕁䅅督穂䝁䅕䅤穂䍁䅁睢畂䍁䅁睔睂䝁䅕杣畁䍁䅁䅔求䝁䅅督求䍁䅷䅉䉂䝁䅍睙ㅂ䝁䄰杌杁䕁䅑党睂䡁䅉杌杁䍁䅧䅊睁䑁䅁䅍灁䅁䅁杄䅙䙁䅉䅁䉂䡁䅍督求䡁䅑督杁䝁䄸杢杁䕁䄸䅣求䡁䅉兙あ䝁䅫杢湂䍁䅁䅔求䝁䅅督求䍁䅁兌杁䕁䅣杣療䡁䅍督杁䍁䅧䅊睁䑁䅁䅍灁䅁䅁克䅕䙁䅯䅁䉂䡁䅍督求䡁䅑督杁䡁䅕杢歂䝁䅕杣杁䕁䅍兙睂䍁䄴䅉䵂䝁䅕兙穂䝁䅕䅌杁䕁䅅睙橂䡁䅕兢畁䍁䅁䅒求䡁䅁杣畁䍁䅁䅋歁䑁䅁䅍睁䍁䅫䅁乁杂䅁䅖䅁䕁䅅督穂䝁䅕䅤穂䍁䅁兤畂䝁䅑党祂䍁䅁睑桂䡁䅁兡あ䝁䅅䅢杁䕁䅷党桂䡁䅍党杁䍁䄰䅉䡂䡁䅉睢穂䡁䅍䅉潁䍁䅑䅍睁䑁䅁克䅁佁䕁䅁煁䅁䅁兑穂䡁䅍睢橂䝁䅫兙あ䝁䅕䅚杁䕁䅉兙畂䝁䅍兌䑂䝁䄸杣睂䅁䅁睶䅙䕁䅯䅁䉂䡁䅙兙灂䝁䅷兙楂䝁䅷党杁䝁䅙睢祂䍁䅁睕桂䝁䅷党杁䙁䅍党橂䡁䅕杣灂䡁䅑兡求䡁䅍䅉潁䍁䅑䅍睁䑁䅁克䅁䱁䈴䅁䭂䅁䅁兑㉂䝁䅕杣桂䝁䅣党杁䕁䅍兙穂䝁䅧䅉䑂䝁䄸杢㉂䝁䅕杣穂䝁䅫睢畂䍁䅁睑㕂䝁䅍䅢求䍁䅁䅋歂䝁䅅入穂䍁䅫䅁䩂杂䅁村䅁䕁䅅杤求䡁䅉兙湂䝁䅕䅉䕂䝁䅅入穂䍁䅁䅕桂䡁䅫兙楂䝁䅷党杁䕁䄸兤あ䍁䄴䅉潁䝁䅑兙㕂䡁䅍克䅁䑁䝍䅁㡁䅁䅁兑㉂䝁䅕杣桂䝁䅣党杁䙁䅉党㉂䝁䅕杢ㅂ䝁䅕䅉兂䝁䅕杣杁䙁䅑杣桂䝁䅑党杁䍁䅧䅊灁䅁䅁睃䅙䑁䅙䅁䉂䡁䅙党祂䡁䅫䅉䕂䝁䅕杢畂䝁䅫督療䝁䄴䅉䑂䝁䄸杣睂䝁䄸杣桂䡁䅑兡療䝁䄴䅁煂睂䅁䅑䅁䕁䅅杤湂䍁䄴䅉䕂䝁䅅入穂䍁䅁兓畂䡁䅙党畂䡁䅑睢祂䡁䅫䅉偂䡁䅕䅤畁䍁䅁䅋歂䝁䅅入穂䍁䅫䅁䥂杂䅁䅏䅁䕁䅅杤湂䍁䄴䅉䕂䝁䅅入穂䍁䅁睕桂䝁䅷党穂䍁䅁睔ㅂ䡁䅑杌杁䍁䅧䅚桂䡁䅫督灁䅁䅁睒䅙䑁䅧䅁䉂䡁䅧兙獂䡁䅑兙杁䕁䅍睢桂䡁䅑兡畂䝁䅣䅉呂䡁䅫督あ䝁䅕兢穂䍁䅁䅔あ䝁䅑杌䅁䩁䡁䅁䥁䅁䅁村䉂䕁䅍䅁癄杂䅁䅃䅁䕁䅉睓噂䅁䅁䅵䅙䅁䅯䅁䍂䙁䅁睔兂䅁䅁䅷䅙䕁䅯䅁䍂䝁䅅杢牂䍁䅁䅔療䝁䅅杢穂䍁䅁兓瑂䡁䅁兙灂䡁䅉兢求䝁䄴䅤杁䕁䅕䅥睂䝁䅕杢穂䝁䅕䅉潁䍁䅑䅍睁䑁䅁克䅁䕁䄸䅁䭂䅁䅁村桂䝁䄴睡杁䕁䅷睢桂䝁䄴督杁䕁䅫兢睂䝁䅅兡祂䝁䄰党畂䡁䅑䅉䙂䡁䅧䅣求䝁䄴督求䍁䅁䅋獃䑉䅁䅍睁䍁䅫䅁偃杁䅁䅌䅁䕁䅉兙畂䝁䅳䅉療䝁䅙䅉䉂䝁䄰党祂䝁䅫睙桂䍁䅁睑療䡁䅉䅣畁䅁䅁共䅙䙁䅉䅁䍂䝁䅅杢牂䍁䄰睢㍂䝁䄴党歂䍁䅁䅔灂䝁䅙党杁䕁䅫杢穂䡁䅕杣桂䝁䄴睙求䍁䅁杕求䡁䅙党畂䡁䅕党杁䍁䅧䅊睁䑁䅁䅍灁䅁䅁元䅉䍁䅉䅁䍂䝁䅅杢牂䙁䅕杢灂䡁䅑党歂䍁䅷䅉䩂䝁䄴睙畁䅁䅁兵䅙䍁䅧䅁䍂䝁䅅杢牂䝁䅫杢湂䍁䅁村療䝁䄸睡杁䍁䅧䍲睁䑁䅁䅍灁䅁䅁䄵䅉䑁䄴䅁䍂䝁䅅督灂䝁䅍䅉䍂䝁䄸睢牂䍁䅁杖桂䝁䅷兤求䍁䅁䅣求䡁䅉䅉呂䝁䅧兙祂䝁䅕䅉潁䍁䅑克䅁佁䅷䅁⭁䅁䅁村桂䡁䅍兡橂䍁䅁村療䝁䄸睡杁䙁䅙兙獂䡁䅕党杁䡁䅁党祂䍁䅁睕潂䝁䅅杣求䍁䅁䅋獃䍉䅫䅁㕄杁䅁䅈䅁䕁䅉兙穂䝁䅫睙杁䕁䅕䅕呂䍁䅁䅋歁䍁䅫䅁偃睁䅁杋䅁䕁䅉兙穂䝁䅫睙杁䕁䅕䅕呂䍁䅁䅋卂䝁䅕䅣療䡁䅉䅤求䝁䅑克䅁䭁䝙䅁䅂䅁䅁村桂䡁䅍兡橂䍁䅁兒兂䙁䅍䅉䙂䡁䅧睙獂䍁䄴䅉䙂䡁䅧䅤祂䝁䅅䅉䩂䡁䅑党瑂䡁䅍䅉潁䍁䅑克䅁䩁䑁䅁兂䅁䅁村桂䡁䅍兡橂䍁䅁䅖桂䝁䄴睚灂䝁䅉䅢求䍁䅁村療䝁䄸睡杁䙁䅙兙獂䡁䅕党杁䡁䅁党祂䍁䅁睕潂䝁䅅杣求䍁䅁䅋歁䍁䅫䅁瑄䅁䅁䅕䅁䕁䅉兙穂䝁䅫睙杁䙁䅑兙畂䝁䅣兡楂䝁䅷党杁䕁䅉睢療䝁䅳䅉坂䝁䅅䅢ㅂ䝁䅕䅉睂䝁䅕杣杁䙁䅍䅡桂䡁䅉党杁䍁䅧䍲灁䅁䅁末䅉䝁䅉䅁䍂䝁䅕睚畁䍁䅁䅒求䝁䅙杌杁䕁䅉党畂䝁䅕杚灂䡁䅑䅉偂䝁䅉䅢灂䝁䅣兙あ䝁䅫睢畂䍁䅁䅋偂䙁䅁兒䍂䍁䅁兌杁䕁䅙睒佂䍁䅫䅉潁䍁䅑䅍睁䑁䅁克䅁䵁䙧䅁坂䅁䅁村求䝁䅣杌杁䕁䅑党浂䍁䄴䅉䍂䝁䅕杢求䝁䅙兡あ䍁䅁睔楂䝁䅷兡湂䝁䅅䅤灂䝁䄸杢杁䍁䅧睔兂䕁䅕村灁䍁䅁䅋歁䑁䅁䅍睁䍁䅫䅁汄䅂䅁䅡䅁䕁䅉党湂䍁䄴䅉䕂䝁䅕杚畁䍁䅁村求䝁䄴党浂䝁䅫䅤杁䕁䄸杙獂䝁䅫睚桂䡁䅑兡療䝁䄴䅉潁䙁䅁党畂䡁䅍兡療䝁䄴䅉瑁䍁䅁䅒療䝁䄰克杁䍁䅧䅊睁䑁䅁䅍灁䅁䅁睢䅑䝁䅧䅁䍂䝁䅕睚畁䍁䅁䅒求䝁䅙杌杁䕁䅉党畂䝁䅕杚灂䡁䅑䅉偂䝁䅉䅢灂䝁䅣兙あ䝁䅫睢畂䍁䅁䅋兂䝁䅕杢穂䝁䅫睢畂䍁䅁兌杁䕁䅙睒佂䍁䅫䅉潁䍁䅑䅍睁䑁䅁克䅁䙁䑅䅁捂䅁䅁村求䝁䅣杌杁䕁䅑党浂䍁䄴䅉䍂䝁䅕杢求䝁䅙兡あ䍁䅁睔楂䝁䅷兡湂䝁䅅䅤灂䝁䄸杢杁䍁䅧䅕求䝁䄴督灂䝁䄸杢灁䍁䅁䅋歁䑁䅁䅍睁䍁䅫䅁楃䅂䅁杓䅁䕁䅉党湂䍁䄴䅉兂䝁䅷兙畂䍁䅁兑穂䡁䅍党あ䡁䅍䅉潁䕁䄸䅕䙂䕁䅉䅉瑁䍁䅁䅒療䝁䄰克杁䍁䅧䅊睁䑁䅁䅍灁䅁䅁兕䅕䕁䅯䅁䍂䝁䅕睚畁䍁䅁䅕獂䝁䅅杢杁䕁䅅督穂䝁䅕䅤穂䍁䅁䅋偂䙁䅁兒䍂䍁䅁兌杁䕁䅙睒佂䍁䅫䅉潁䍁䅑䅍睁䑁䅁克䅁乁䙍䅁⭁䅁䅁村求䝁䅣杌杁䙁䅁䅢桂䝁䄴䅉䉂䡁䅍督求䡁䅑督杁䍁䅧睔兂䕁䅕村灁䍁䅁䅋歁䑁䅁䅍睁䍁䅫䅁煄䅂䅁䅕䅁䕁䅉党湂䍁䄴䅉兂䝁䅷兙畂䍁䅁兑穂䡁䅍党あ䡁䅍䅉潁䙁䅁党畂䡁䅍兡療䝁䄴䅉瑁䍁䅁䅒療䝁䄰克杁䍁䅧䅊睁䑁䅁䅍灁䅁䅁睆䅕䙁䅁䅁䍂䝁䅕睚畁䍁䅁䅕獂䝁䅅杢杁䕁䅅督穂䝁䅕䅤穂䍁䅁䅋兂䝁䅕杢穂䝁䅫睢畂䍁䅁兌杁䕁䅙睒佂䍁䅫䅉潁䍁䅑䅍睁䑁䅁克䅁䩁䙑䅁䕂䅁䅁村求䝁䅣杌杁䙁䅁䅢桂䝁䄴䅉䉂䡁䅍督求䡁䅑督杁䍁䅧䅕求䝁䄴督灂䝁䄸杢灁䍁䅁䅋歁䑁䅁䅍睁䍁䅫䅁煃䅂䅁材䅁䕁䅉党畂䝁䅕杚灂䡁䅑䅉䩂䝁䄴杚療䍁䅁䅒桂䡁䅑党杁䍁䅧兢瑂䍁䄸䅚歂䍁䄸入㕂䡁䅫入灁䅁䅁杧䅕䕁䅑䅁䍂䝁䅕杢求䝁䅙兡あ䡁䅍䅉兂䝁䅅兡歂䍁䅁䅋偂䙁䅁兒䍂䍁䅁兌杁䕁䅑睢瑂䍁䅫䅉潁䍁䅑䅍睁䑁䅁克䅁䙁䙑䅁䕂䅁䅁村求䝁䄴党浂䝁䅫䅤穂䍁䅁䅕桂䝁䅫䅚杁䍁䅧睔兂䕁䅕村杁䍁䄰䅉䝂䕁䅣杔灁䍁䅁䅋歁䑁䅁䅍睁䍁䅫䅁奄兂䅁䅏䅁䕁䅉党畂䝁䅕杚灂䡁䅑督杁䙁䅁兙灂䝁䅑䅉潁䕁䄸䅕䙂䕁䅉克杁䍁䅧䅊睁䑁䅁䅍灁䅁䅁䄷䅑䕁䅯䅁䍂䝁䅕杢求䝁䅙兡あ䡁䅍䅉兂䝁䅅兡歂䍁䅁䅋兂䝁䅕杢穂䝁䅫睢畂䍁䅁兌杁䕁䅑睢瑂䍁䅫䅉潁䍁䅑䅍睁䑁䅁克䅁䉁䙷䅁䭂䅁䅁村求䝁䄴党浂䝁䅫䅤穂䍁䅁䅕桂䝁䅫䅚杁䍁䅧䅕求䝁䄴督灂䝁䄸杢杁䍁䄰䅉䝂䕁䅣杔灁䍁䅁䅋歁䑁䅁䅍睁䍁䅫䅁奃兂䅁材䅁䕁䅉党畂䝁䅕杚灂䡁䅑督杁䙁䅁兙灂䝁䅑䅉潁䙁䅁党畂䡁䅍兡療䝁䄴克杁䍁䅧䅊睁䑁䅁䅍灁䅁䅁兲䅑䍁䄴䅁䍂䝁䄸睢牂䍁䅁杖桂䝁䅷兤求䍁䅁睌杁䙁䅍䅡桂䡁䅉党杁䍁䅧䅊灁䅁䅁䅥䅑䕁䅁䅁䍂䝁䄸睢牂䍁䅁杖桂䝁䅷兤求䍁䄸睕潂䝁䅅杣求䍁䅁䅋卂䝁䅕䅣療䡁䅉䅤求䝁䅑克杁䍁䅧䅊灁䅁䅁睰䅍䍁䅉䅁䍂䡁䅕兡獂䝁䅑兡畂䝁䅣督杁䍁䅧䅊睁䑁䅁䅍灁䅁䅁睨䅑䅁䅧䅁䑂䕁䅅杔䅁䵁䜴䅁十䅁䅁睑䉂䕁䄴兌佂䙁䅫睕䙂䅁䅁䄳䅙䅁䄴䅁䑂䕁䅅杔瑁䙁䅕睕䅁乁䝳䅁㙁䅁䅁睑䝂䍁䅁兓畂䝁䅑兤穂䡁䅑杣灂䝁䅕督杁䕁䅧睢獂䝁䅑兡畂䝁䅣督獁䍁䅁兓畂䝁䅍杌䅁䥁䡑䅁獁䅁䅁睑䩂䙁䅅䅉䑂䝁䅅䅢橂䡁䅕䅢桂䡁䅑兡療䝁䄴䅉啂䡁䅫䅣求䍁䅁䅁⭃睁䅁䅎䅁䕁䅍兓剂䍁䅁兒䍂䕁䅫䅖䕂䕁䅅䅉䙂䡁䅍䅤杁䕁䄰党歂䍁䅁䅋歁䑁䅁䅍睁䍁䅫䅁祂杂䅁䅐䅁䕁䅍兓剂䍁䅁兒䍂䕁䅫䅖䕂䕁䅅䅉䙂䡁䅍䅤杁䕁䄰党歂䍁䅁䅋卂䝁䅕䅣療䡁䅉䅤求䝁䅑克䅁䭁䝉䅁潁䅁䅁睑䩂䙁䅅䅉䙂䙁䅁睕杁䕁䅕督あ䍁䅁兔求䝁䅑䅉潁䍁䅑克䅁䭁䝣䅁㉁䅁䅁睑䩂䙁䅅䅉䙂䙁䅁睕杁䕁䅕督あ䍁䅁兔求䝁䅑䅉潁䙁䅉党睂䝁䄸杣あ䝁䅕䅚灁䅁䅁䅰䅙䍁䅷䅁䑂䕁䅫兕杁䙁䅉党穂䡁䅑兙あ䝁䅕兢求䝁䄴䅤杁䙁䅑入睂䝁䅕䅉䅁䕁䑍䅁㉁䅁䅁睑䩂䙁䅅䅉卂䝁䅕杤求䝁䄴兤求䍁䅁兒穂䡁䅑䅉乂䝁䅕䅚杁䍁䅧䅊睁䑁䅁䅍灁䅁䅁䅣䅙䑁䄴䅁䑂䕁䅫兕杁䙁䅉党㉂䝁䅕杢ㅂ䝁䅕䅉䙂䡁䅍䅤杁䕁䄰党歂䍁䅁䅋卂䝁䅕䅣療䡁䅉䅤求䝁䅑克䅁䩁䜴䅁䥁䅁䅁睑卂䕁䄰䅁潄杂䅁权䅁䕁䅍睕卂䕁䅅䅁塄杂䅁䅆䅁䕁䅍睕卂䕁䅅䅉䩂䝁䄴睙畁䅁䅁朴䅙䉁䅁䅁䑂䙁䅍杕䉂䍁䄰兖呂䅁䅁䄲䅙䅁䅧䅁䑂䙁䅑睒䅁乁䝕䅁佁䅁䅁睑啂䕁䅣兌噂䙁䅍䅁䉁睂䅁权䅁䕁䅍䅖呂䕁䅧䅁䥄杂䅁䅅䅁䕁䅍䅖呂䕁䅧兌噂䙁䅍䅁㝄杂䅁杉䅁䕁䅍杖卂䍁䅁䅕桂䡁䅉䅤畂䝁䅕杣穂䍁䅷䅉䵂䙁䅁䅁佃睂䅁村䅁䕁䅍兙睂䝁䅕䅥杁䝁䅅督杁䙁䅁党祂䝁䅍党畂䡁䅑䅉療䝁䅙䅉卂䝁䅕杤求䝁䄴兤求䡁䅍䅉潁䍁䅕克䅁䑁䜸䅁祁䅁䅁睑桂䡁䅁兡あ䝁䅅䅢杁䕁䅅䅚求䡁䅅兤桂䝁䅍入杁䕁䄰党あ䝁䅧睢歂䍁䅁䅁癃䅁䅁杍䅁䕁䅍兙睂䝁䅫䅤桂䝁䅷䅉䉂䝁䅑党硂䡁䅕兙橂䡁䅫䅉啂䝁䅅杣湂䝁䅕䅤杁䅁䅁睳䅁䑁䅙䅁䑂䝁䅅䅣灂䡁䅑兙獂䍁䅁兒㑂䡁䅁党畂䝁䅑兡あ䡁䅕杣求䍁䅁䅋歁䑁䅁䅍睁䍁䅫䅁啁䅂䅁䅌䅁䕁䅍兙睂䝁䅫䅤桂䝁䅷䅉䵂䝁䅕兙穂䝁䅕督杁䍁䅧䅊睁䑁䅁䅍灁䅁䅁杙䅑䙁䅑䅁䑂䝁䅅䅣灂䡁䅑兙獂䍁䅁䅔療䡁䅍督杁䕁䅍睌䝂䍁䅷䅉䉂䝁䅙䅤求䡁䅉䅉䝂䝁䅫杤求䍁䅁兗求䝁䅅杣穂䍁䅁䅋歁䑁䅁䅍睁䍁䅫䅁敁杂䅁䅔䅁䕁䅍兙睂䝁䅫䅤桂䝁䅷䅉䵂䝁䄸督穂䍁䅁睑癁䕁䅙䅌杁䕁䅍兤祂䡁䅉党畂䡁䅑䅉婂䝁䅕兙祂䍁䅁䅋歁䑁䅁䅍睁䍁䅫䅁捁杂䅁䅖䅁䕁䅍兙睂䝁䅫䅤桂䝁䅷䅉䵂䝁䄸督穂䍁䅁睑癁䕁䅙䅌杁䕁䅍兤祂䡁䅉党畂䡁䅑䅉婂䝁䅕兙祂䍁䅁睋杁䑁䅅䅉潁䍁䅑䅍睁䑁䅁克䅁䝁䑍䅁啂䅁䅁睑桂䡁䅁兡あ䝁䅅䅢杁䕁䅷睢穂䡁䅍䅉䑂䍁䄸杒獁䍁䅁睑ㅂ䡁䅉杣求䝁䄴䅤杁䙁䅫党桂䡁䅉䅉牁䍁䅁杍杁䍁䅧䅊睁䑁䅁䅍灁䅁䅁先䅙䙁䅑䅁䑂䝁䅅䅣灂䡁䅑兙獂䍁䅁䅔療䡁䅍督杁䕁䅍睌䝂䍁䅷䅉䑂䡁䅕杣祂䝁䅕杢あ䍁䅁兗求䝁䅅杣杁䍁䅳䅉穁䍁䅁䅋歁䑁䅁䅍睁䍁䅫䅁湂睁䅁䅖䅁䕁䅍兙睂䝁䅫䅤桂䝁䅷䅉䵂䝁䄸督穂䍁䅁睑癁䕁䅙䅌杁䕁䅍兤祂䡁䅉党畂䡁䅑䅉婂䝁䅕兙祂䍁䅁睋杁䑁䅑䅉潁䍁䅑䅍睁䑁䅁克䅁乁䑕䅁佂䅁䅁睑桂䡁䅁兡あ䝁䅅䅢杁䕁䅷睢穂䡁䅍䅉䑂䍁䄸杒獁䍁䅁杔療䍁䅁兒㑂䡁䅁兡祂䝁䅅䅤灂䝁䄸杢杁䍁䅧䅊睁䑁䅁䅍灁䅁䅁睈䅙䉁䅷䅁䑂䝁䅅督橂䝁䅅䅚求䡁䅍䅉䩂䝁䄴睙畁䅁䅁䅦䅣䕁䅯䅁䑂䝁䅅督潂䍁䅁杊杁䙁䅍䅡療䡁䅉䅤杁䙁䅑党祂䝁䄰䅉䩂䝁䄴杤求䡁䅍䅤瑂䝁䅕杢あ䡁䅍䅉潁䍁䅑䅍睁䑁䅁克䅁䅁䐸䅁卂䅁䅁睑桂䡁䅍䅡杁䍁䅙䅉呂䝁䅧睢祂䡁䅑䅉啂䝁䅕杣瑂䍁䅁兓畂䡁䅙党穂䡁䅑兢求䝁䄴䅤穂䍁䅁䅋卂䝁䅕䅣療䡁䅉䅤求䝁䅑克䅁䩁䝷䅁祁䅁䅁睑桂䡁䅍䅡杁䕁䅅睙硂䡁䅕兡穂䝁䅫䅤灂䝁䄸杢穂䍁䅁䅋歁䑁䅁䅍睁䍁䅫䅁塁䅂䅁䅎䅁䕁䅍兙穂䝁䅧䅉䩂䝁䄴䅤求䡁䅉党穂䡁䅑䅉兂䝁䅅兡歂䍁䅁䅋歁䑁䅁䅍睁䍁䅫䅁㙁䅂䅁杌䅁䕁䅍兙穂䝁䅧䅉啂䝁䅅䅥求䡁䅍䅉兂䝁䅅兡歂䍁䅁䅋歁䑁䅁䅍睁䍁䅫䅁灁䅂䅁村䅁䕁䅍兙穂䝁䅧䅉桂䝁䄴䅚杁䕁䅍兙穂䝁䅧䅉䙂䡁䅅兤灂䡁䅙兙獂䝁䅕杢あ䡁䅍䅉潁䍁䅑䅍睁䑁䅁克䅁䑁䄰䅁䍂䅁䅁睑桂䡁䅍䅡杁䝁䅅杢歂䍁䅁睑桂䡁䅍䅡杁䕁䅕兣ㅂ䝁䅫杤桂䝁䅷党畂䡁䅑督杁䍁䅧䍲睁䑁䅁䅍灁䅁䅁杧䅉䑁䄴䅁䑂䝁䅅督潂䍁䅁兙畂䝁䅑䅉䕂䡁䅕党杁䝁䅙杣療䝁䄰䅉䍂䝁䅅杢牂䡁䅍䅉潁䍁䅑䅍睁䑁䅁克䅁䱁䉫䅁㑁䅁䅁睑桂䡁䅍䅡杁䝁䅅杢歂䍁䅁兒硂䡁䅕兡㉂䝁䅅䅢求䝁䄴䅤穂䍁䅁䅋歁䑁䅁䅍睁䍁䅫䅁䍂䅂䅁李䅁䕁䅍兙穂䝁䅧䅉浂䡁䅉睢瑂䍁䅁杒灂䝁䄴兙畂䝁䅍兡畂䝁䅣䅉潁䍁䅑䅍睁䑁䅁克䅁䑁䕙䅁㉁䅁䅁睑桂䡁䅍䅡杁䝁䅙杣療䝁䄰䅉䩂䝁䄴杤求䡁䅍䅤灂䝁䄴睚杁䍁䅧䅊睁䑁䅁䅍灁䅁䅁杉䅑䍁䅷䅁䑂䝁䅅督潂䍁䅁杚祂䝁䄸兢杁䕁䄸䅣穂䍁䄴䅉潁䍁䅑䅍睁䑁䅁克䅁䉁䕍䅁䕂䅁䅁睑桂䡁䅍䅡杁䝁䅙杣療䝁䄰䅉偂䡁䅁督畁䍁䅁䅤療䍁䅁睑ㅂ䡁䅉杣畁䍁䅁䅔灂䝁䅅杙畁䍁䅁䅋㑂䍁䅫䅁䝂杂䅁䅙䅁䕁䅍党畂䡁䅑杣桂䝁䅷䅉流䍁䅁䅔桂䡁䅑兡畂䍁䅁兑瑂䝁䅕杣灂䝁䅍兙畂䍁䅁䅒求䡁䅁睢穂䝁䅫䅤穂䍁䄸䅉䕂䝁䅕䅣療䡁䅍兡あ䡁䅍䅉潁䍁䅕克䅁䱁䍑䅁啂䅁䅁睑求䝁䄴䅤祂䝁䅅䅢杁䍁䅙䅉䵂䝁䅅䅤灂䝁䄴䅉䉂䝁䄰党祂䝁䅫睙桂䝁䄴䅉䵂䝁䄸兙畂䡁䅍睌杁䕁䅷睢桂䝁䄴督杁䍁䅧兊灁䅁䅁䅁䅅䑁䅷䅁䑂䝁䅧兙畂䝁䅣党杁䕁䅫杢杁䕁䅫杢橂䝁䄸兢求䍁䅁䅖桂䡁䅧党穂䍁䅁䅋歁䑁䅁䅍睁䍁䅫䅁偁䅂䅁杏䅁䕁䅍䅡桂䝁䄴睚求䍁䅁兓畂䍁䅁兓畂䡁䅙党畂䡁䅑睢祂䝁䅫党穂䍁䅁䅋歁䑁䅁䅍睁䍁䅫䅁䱁䅂䅁䅐䅁䕁䅍䅡桂䝁䄴睚求䍁䅁兡畂䍁䅁兑橂䝁䅍杌杁䙁䅁兙㕂䝁䅅杙獂䝁䅕䅉潁䍁䅑䅍睁䑁䅁克䅁䅁䔰䅁䍂䅁䅁睑潂䝁䅅杢湂䝁䅕䅉灂䝁䄴䅉䉂䝁䅍睙畁䍁䅁杕求䝁䅍党灂䡁䅙兙楂䝁䅷党杁䍁䅧䅊睁䑁䅁䅍灁䅁䅁权䅑䑁䅧䅁䑂䝁䅧兙畂䝁䅣党杁䝁䅫杢杁䕁䅑党浂䍁䄴䅉啂䝁䅅䅥求䡁䅍䅉潁䍁䅑䅍睁䑁䅁克䅁䉁䕅䅁䭂䅁䅁睑潂䝁䅅杢湂䝁䅕䅉灂䝁䄴䅉佂䝁䅕䅤杁䙁䅣睢祂䝁䅳兡畂䝁䅣䅉䑂䝁䅅䅣灂䡁䅑兙獂䍁䅁䅋歁䑁䅁䅍睁䍁䅫䅁㝁䅂䅁䅗䅁䕁䅍䅡桂䝁䄴睚求䍁䅁兡畂䍁䅁睔あ䝁䅧党祂䍁䅁杔求䡁䅑䅉偂䡁䅁党祂䝁䅅䅤灂䝁䄴睚杁䕁䅅督穂䝁䅕䅤穂䍁䅁䅋歁䑁䅁䅍睁䍁䅫䅁十䅂䅁䅕䅁䕁䅍䅡桂䝁䄴睚求䍁䅁兡畂䍁䅁䅖祂䝁䅅䅚畁䍁䅁兑穂䡁䅍党あ䍁䅁睕求䝁䅍兤祂䝁䅫䅤灂䝁䅕督杁䍁䅧䅊睁䑁䅁䅍灁䅁䅁元䅑䑁䄴䅁䑂䝁䅧兙畂䝁䅣党杁䝁䅫杢杁䙁䅕杢求䝁䅅杣畂䝁䅕䅚杁䙁䅉党㉂䍁䄴䅉潁䍁䅑䅍睁䑁䅁克䅁䅁䔴䅁祂䅁䅁睑潂䝁䅅杢湂䝁䅕督杁䝁䅫杢杁䙁䅕杢祂䝁䅕睙療䝁䅣杌杁䙁䅑兙㑂䍁䅁村求䝁䄴党浂䝁䅫䅤杁䡁䅣睌灂䝁䄴䅉硁䍁䅁兗求䝁䅅杣杁䍁䄰䅉乂䝁䅅䅥杁䍁䅧䅊睁䑁䅁䅍灁䅁䅁睎䅙䡁䅉䅁䑂䝁䅧兙畂䝁䅣党穂䍁䅁兡畂䍁䅁兖畂䡁䅉党橂䝁䄸睚畁䍁䅁䅖桂䡁䅧䅉䍂䝁䅕杢求䝁䅙兡あ䍁䅁睤癁䝁䅫杢杁䑁䅅䅉婂䝁䅕兙祂䍁䅁兌杁䕁䄰兡畂䍁䅁䅋歁䑁䅁䅍睁䍁䅫䅁㉁杂䅁䅑䅁䕁䅍䅡桂䡁䅉睚求䍁䄰睢浂䝁䅙督㙁䍁䅁村桂䝁䅷䅉呂䝁䅧䅤杁䕁䅷杢穂䍁䅁䅋歁䑁䅁䅍睁䍁䅫䅁灄䅁䅁䅑䅁䕁䅍䅡桂䡁䅉睚求䍁䄰睢浂䝁䅙督㙁䍁䅁村桂䝁䅷䅉呂䝁䅧䅤杁䕁䅷杢穂䍁䅁䅋獃䑉䅁䅍睁䍁䅫䅁㍄杁䅁杈䅁䕁䅍兡あ䝁䅫睚祂䝁䄸兤睂䍁䅁兓畂䝁䅍杌䅁䝁䡁䅁歁䅁䅁睑獂䝁䄸督灂䝁䄴睚杁䙁䅁杣灂䝁䅍党杁䍁䅧䅊灁䅁䅁䅊䅁䙁䅙䅁䑂䝁䄸睚畂䝁䅫来桂䝁䄴䅤杁䙁䅑党橂䝁䅧杢療䝁䅷睢湂䡁䅫䅉呂䝁䄸䅢ㅂ䡁䅑兡療䝁䄴督杁䕁䅍睢祂䡁䅁睢祂䝁䅅䅤灂䝁䄸杢䅁䵁䝫䅁䥂䅁䅁睑療䝁䄰兢獁䍁䅁杒灂䝁䄴兙畂䝁䅍兡桂䝁䅷䅉流䍁䅁兑湂䡁䅉兡杁䕁䅷睢桂䝁䄴督杁䍁䅧䅊睁䑁䅁䅍灁䅁䅁眲䅅䝁䅑䅁䑂䝁䄸兢瑂䝁䅕杣橂䝁䅫兙獂䍁䅁杊杁䕁䄰兤獂䡁䅑兡浂䝁䅅兢灂䝁䅷入杁䙁䅉党桂䝁䅷䅉䙂䡁䅍䅤桂䡁䅑党杁䕁䅷睢桂䝁䄴督杁䍁䅧䅊睁䑁䅁䅍灁䅁䅁兹䅅䕁䅧䅁䑂䝁䄸兢瑂䝁䅕杣橂䝁䅫兙獂䍁䅁杕求䝁䅅䅢杁䕁䅕督あ䝁䅅䅤求䍁䅁䅔療䝁䅅杢穂䍁䅁䅋歁䑁䅁䅍睁䍁䅫䅁䝄允䅁杏䅁䕁䅍睢瑂䝁䄰睢畂䍁䅁䅒灂䡁䅙兡歂䝁䅕杢歂䡁䅍䅉兂䝁䅅兡歂䍁䅁䅋歁䑁䅁䅍睁䍁䅫䅁畁䅂䅁杋䅁䕁䅍睢瑂䝁䄰睢畂䍁䅁兒硂䡁䅕兡あ䡁䅫䅉潁䍁䅑䅍睁䑁䅁克䅁䥁䄰䅁煁䅁䅁睑療䝁䄰兢療䝁䄴䅉䙂䡁䅅兤灂䡁䅑入杁䍁䅧䍲睁䑁䅁䅍灁䅁䅁睷䅉䍁䅧䅁䑂䝁䄸兢瑂䝁䄸杢杁䙁䅍䅤療䝁䅍睡杁䍁䅧䅊睁䑁䅁䅍灁䅁䅁杣䅍䙁䅑䅁䑂䝁䄸兢瑂䝁䄸杢杁䝁䅅杢歂䍁䄸睢祂䍁䅁䅕祂䝁䅕杚畁䍁䅁䅒灂䡁䅙兡歂䝁䅕杢歂䡁䅍䅉兂䝁䅅兡歂䍁䅁䅋歁䑁䅁䅍睁䍁䅫䅁祁䅂䅁材䅁䕁䅍睢瑂䡁䅁党畂䡁䅍兙あ䝁䅫睢畂䍁䅁杊杁䕁䅉党畂䝁䅕杚灂䡁䅑督杁䍁䅧䅊睁䑁䅁䅍灁䅁䅁䅣䅁䑁䄴䅁䑂䝁䄸兢睂䝁䅕杢穂䝁䅅䅤灂䝁䄸杢杁䍁䅙䅉䍂䝁䅕杢求䝁䅙兡あ䡁䅍䅉潁䭁杷䅍睁䑁䅁克䅁䭁䍫䅁䥂䅁䅁睑療䝁䄰䅣祂䝁䅕䅡求䝁䄴督灂䡁䅙党杁䕁䅫杢橂䍁䄴䅉桂䝁䄴䅚杁䕁䄸䅤潂䝁䅕杣杁䍁䅧䅊睁䑁䅁䅍灁䅁䅁䅣䅑䕁䅑䅁䑂䝁䄸兢睂䡁䅕䅤求䡁䅉䅉啂䝁䅅督牂䍁䅁睒祂䝁䄸兤睂䍁䅷䅉䩂䝁䄴睙療䡁䅉䅣療䡁䅉兙あ䝁䅕䅚䅁乁䝙䅁䥂䅁䅁睑療䝁䄴杏杁䕁䅅睚祂䝁䅫睙ㅂ䝁䅷䅤ㅂ䡁䅉兙獂䍁䅁䅕祂䝁䄸䅚杁䕁䅷睢桂䝁䄴督杁䍁䅧䅊睁䑁䅁䅍灁䅁䅁督䅉䙁䅯䅁䑂䝁䄸杢㙁䍁䅁䅔療䝁䅅杢穂䍁䅁䅤療䍁䅁䅒求䡁䅁睢穂䝁䅫䅤療䡁䅉入杁䕁䅫杢穂䡁䅑兡あ䡁䅕䅤灂䝁䄸杢穂䍁䅁䅋歁䑁䅁䅍睁䍁䅫䅁あ杁䅁村䅁䕁䅍睢畂䑁䅯䅉啂䝁䄸䅤杁䕁䅍睢瑂䝁䄰䅉流䍁䅁兓畂䝁䅑䅉䵂䝁䄸兙畂䡁䅍䅉潁䍁䅑䅍睁䑁䅁克䅁䡁䍉䅁⭁䅁䅁睑療䝁䄴杏杁䙁䅑睢あ䍁䅁睑療䝁䄴督ㅂ䝁䄰党祂䍁䅁䅔療䝁䅅杢穂䍁䅁䅋歁䑁䅁䅍睁䍁䅫䅁卂杁䅁䅒䅁䕁䅍睢畂䑁䅯䅉啂䝁䄸䅤杁䙁䅍䅤桂䡁䅑党杁䍁䅙䅉兂䝁䄸䅢杁䕁䅷睢桂䝁䄴督杁䍁䅧䅊睁䑁䅁䅍灁䅁䅁杤䅉䑁䅉䅁䑂䝁䄸杢㙁䍁䅁䅖療䡁䅑兙獂䍁䅁䅔求䝁䅅督求䡁䅍䅉潁䍁䅑䅍睁䑁䅁克䅁䡁䍧䅁䵂䅁䅁睑療䝁䄴杏杁䝁䄴睢畂䍁䄰兖畁䙁䅍杌杁䕁䅣睢㉂䝁䅕杣畂䝁䄰党畂䡁䅑䅉䵂䝁䄸兙畂䡁䅍䅉潁䍁䅑䅍睁䑁䅁克䅁䡁䍕䅁兂䅁䅁睑療䝁䄴督あ䡁䅉兤橂䡁䅑兡療䝁䄴䅉流䍁䅁䅒求䡁䅙党獂䝁䄸䅣瑂䝁䅕杢あ䍁䅁䅔療䝁䅅杢穂䍁䅁䅋歁䑁䅁䅍睁䍁䅫䅁啄允䅁䅗䅁䕁䅍睢畂䡁䅍䅤祂䡁䅕睙あ䝁䅫睢畂䍁䅁杊杁䕁䅑党㉂䝁䅕䅢療䡁䅁兢求䝁䄴䅤杁䕁䅷睢桂䝁䄴督癁䍁䅁䅔療䝁䅅杢穂䍁䅁䅋汁䍁䅫䅁睂允䅁䅑䅁䕁䅍睢畂䡁䅍䅤祂䡁䅕睙あ䝁䅫睢畂䍁䅁兡畂䍁䅁䅕祂䝁䄸睚祂䝁䅕督穂䍁䅁䅋歁䑁䅁䅍睁䍁䅫䅁䭃䅂䅁䅑䅁䕁䅍睢祂䝁䅕䅉䕂䝁䅕䅣療䡁䅍兡あ䍁䅁兓畂䡁䅑兙畂䝁䅣兡楂䝁䅷党穂䍁䅁䅋歁䑁䅁䅍睁䍁䅫䅁卄允䅁村䅁䕁䅍睢祂䡁䅁睢祂䝁䅅䅤求䍁䅁䅒求䡁䅁睢穂䝁䅫䅤穂䍁䄸䅉䕂䝁䅕䅣療䡁䅍兡あ䡁䅍䅉潁䍁䅕克䅁䝁䅳䅁㉁䅁䅁睑療䡁䅉䅣療䡁䅉兙あ䝁䅕䅉䵂䝁䄸兙畂䡁䅍睌杁䕁䅷睢桂䝁䄴督杁䍁䅧兊灁䅁䅁眫䅁䉁䅷䅁䑂䝁䄸杣あ䝁䅕杤桂䍁䅷䅉䩂䝁䄴睙畁䅁䅁䅩䅣䑁䅑䅁䑂䝁䄸督あ䍁䅁睔浂䍁䅁睒療䝁䄸䅚穂䍁䅁睕療䝁䅷䅚杁䍁䅧䅊睁䑁䅁䅍灁䅁䅁䅋䅍䍁䅑䅁䑂䝁䄸督あ䍁䅁睢浂䍁䅁杒ㅂ䝁䄴䅚穂䍁䅁䅋汁䍁䅫䅁䱄䅁䅁䅒䅁䕁䅍睢穂䡁䅑䅉療䝁䅙䅉䩂䝁䄴䅤求䡁䅉党穂䡁䅑兌楂䝁䅕兙祂䝁䅫杢湂䍁䅁䅔灂䝁䅅杙杁䍁䅧兊灁䅁䅁䅏䅉䍁䅙䅁䑂䝁䄸督あ䍁䄰䅤療䍁䄰兓畂䝁䅍睢瑂䝁䅕䅉潁䍁䅕克䅁䭁䄴䅁慁䅁䅁睑療䡁䅕杢あ䡁䅉入時䕁䅷兡穂䡁䅑䅁噁䅁䅁杍䅁䕁䅍杣求䝁䅑兡あ䍁䅁睑桂䡁䅉䅚杁䕁䅷睢桂䝁䄴督杁䍁䅧䅊睁䑁䅁䅍灁䅁䅁眱䅅䑁䅑䅁䑂䡁䅉党歂䝁䅫䅤杁䕁䅍兙祂䝁䅑䅉卂䝁䅫睚潂䡁䅑督杁䍁䅧䅊睁䑁䅁䅍灁䅁䅁具䅅䝁䅷䅁䑂䡁䅉党歂䝁䅫䅤杁䕁䅍睢穂䡁䅑督杁䕁䅫杢橂䝁䅷䅚湂䍁䅁䅖祂䡁䅕督あ䍁䄸䅉䉂䡁䅙睚杁䕁䅷睢桂䝁䄴督杁䕁䅫杢橂䝁䅷䅚湂䍁䅁䅖祂䡁䅕督あ䍁䅁䅋汁䍁䅫䅁楂允䅁杔䅁䕁䅍杣求䝁䅑兡あ䍁䅁睑療䡁䅍䅤穂䍁䄸䅉䉂䡁䅙睚杁䕁䅙兡畂䝁䅅杢橂䝁䅫兙獂䍁䅁兑穂䡁䅍党あ䡁䅍䅉潁䍁䅕克䅁佁䅙䅁歂䅁䅁睑祂䝁䅕䅚灂䡁䅑䅉䑂䝁䄸督あ䡁䅍睌杁䙁䅁杣求䍁䄰兡瑂䡁䅁兙灂䡁䅉兢求䝁䄴䅤杁䕁䄸䅣求䡁䅉兙あ䝁䅫杢湂䍁䅁䅕祂䝁䄸杚灂䡁䅑䅉潁䍁䅕克䅁佁䅣䅁䥂䅁䅁睑祂䝁䅕䅚灂䡁䅑䅉桂䝁䄴䅚杁䕁䅍睢ㅂ䝁䄴䅤求䡁䅉䅣桂䡁䅉䅤㕂䍁䅁杕灂䡁䅍睡杁䍁䅧䅊睁䑁䅁䅍灁䅁䅁兯䅁䕁䅧䅁䑂䡁䅉党歂䝁䅫䅤杁䝁䅅杢歂䍁䅁睑療䡁䅕杢あ䝁䅕杣睂䝁䅅杣あ䡁䅫䅉卂䝁䅫督牂䍁䅁䅋獃䑉䅁䅍睁䍁䅫䅁奄杁䅁䅍䅁䕁䅍杣灂䡁䅑兡橂䝁䅫来求䝁䅑䅉䵂䝁䄸兙畂䡁䅍䅉潁䍁䅑䅍睁䑁䅁克䅁䕁䍑䅁䕂䅁䅁睑ㅂ䡁䅉杣畁䍁䅁兓畂䝁䅍睢瑂䝁䅕䅉啂䝁䅅䅥求䡁䅍䅉兂䝁䅅入桂䝁䅉䅢求䍁䅁䅋歁䑁䅁䅍睁䍁䅫䅁時䅂䅁䅒䅁䕁䅍兤祂䡁䅉杌杁䙁䅁睢祂䡁䅑杌杁䝁䄸杚杁䕁䅍兙睂䍁䄴䅉䵂䝁䅕兙穂䝁䅕督杁䍁䅧䅊睁䑁䅁䅍灁䅁䅁睗䅑䑁䅷䅁䑂䡁䅕杣祂䍁䄴䅉兂䝁䄸杣あ䍁䄴䅉療䝁䅙䅉䵂䙁䅑䅉䕂䝁䅕杙あ䍁䅁䅋歁䑁䅁䅍睁䍁䅫䅁求睁䅁材䅁䕁䅍兤祂䡁䅉党畂䝁䅍入杁䕁䅕䅥橂䝁䅧兙畂䝁䅣党杁䕁䅣兙灂䝁䄴督杁䍁䅧䅊睁䑁䅁䅍灁䅁䅁兢䅍䑁䅷䅁䑂䡁䅕杣祂䝁䅕杢あ䍁䅁䅒療䝁䄰党穂䡁䅑兡橂䍁䅁䅖桂䡁䅧党穂䍁䅁䅋歁䑁䅁䅍睁䍁䅫䅁㝂睁䅁杏䅁䕁䅍兤祂䡁䅉党畂䡁䅑䅉䝂䝁䄸杣求䝁䅫睚畂䍁䅁䅖桂䡁䅧党穂䍁䅁䅋歁䑁䅁䅍睁䍁䅫䅁橃睁䅁䅕䅁䕁䅍兤祂䡁䅉党畂䡁䅑䅉䵂䝁䅫兙楂䝁䅫䅢灂䡁䅑兡求䡁䅍䅉潁䕁䄸䅕䙂䕁䅉䅉瑁䍁䅁䅒療䝁䄰克杁䍁䅧䅊睁䑁䅁䅍灁䅁䅁睤䅕䙁䅁䅁䑂䡁䅕杣祂䝁䅕杢あ䍁䅁䅔灂䝁䅅杙灂䝁䅷兡あ䝁䅫党穂䍁䅁䅋偂䙁䅁兒䍂䍁䅁兌杁䕁䅙睒佂䍁䅫䅉潁䍁䅑䅍睁䑁䅁克䅁偁䙯䅁䕂䅁䅁睑ㅂ䡁䅉杣求䝁䄴䅤杁䕁䅷兡桂䝁䅉兡獂䝁䅫䅤灂䝁䅕督杁䍁䅧睔兂䕁䅕村灁䍁䅁䅋歁䑁䅁䅍睁䍁䅫䅁慂䅂䅁杖䅁䕁䅍兤祂䡁䅉党畂䡁䅑䅉䵂䝁䅫兙楂䝁䅫䅢灂䡁䅑兡求䡁䅍䅉潁䙁䅁党畂䡁䅍兡療䝁䄴䅉瑁䍁䅁䅒療䝁䄰克杁䍁䅧䅊睁䑁䅁䅍灁䅁䅁䅏䅕䙁䅙䅁䑂䡁䅕杣祂䝁䅕杢あ䍁䅁䅔灂䝁䅅杙灂䝁䅷兡あ䝁䅫党穂䍁䅁䅋兂䝁䅕杢穂䝁䅫睢畂䍁䅁兌杁䕁䅙睒佂䍁䅫䅉潁䍁䅑䅍睁䑁䅁克䅁䱁䙯䅁䭂䅁䅁睑ㅂ䡁䅉杣求䝁䄴䅤杁䕁䅷兡桂䝁䅉兡獂䝁䅫䅤灂䝁䅕督杁䍁䅧䅕求䝁䄴督灂䝁䄸杢灁䍁䅁䅋歁䑁䅁䅍睁䍁䅫䅁瑁䅂䅁䅊䅁䕁䅍兤祂䡁䅉党畂䡁䅑䅉卂䝁䅅䅤灂䝁䄸䅉潁䡁䅧克䅁䕁䝑䅁㙁䅁䅁睑ㅂ䡁䅉杣求䝁䄴䅤杁䙁䅑兙㑂䍁䅁䅕祂䝁䄸杤灂䡁䅍兡療䝁䄴䅉潁䍁䅑䅍睁䑁䅁克䅁䍁䉳䅁慁䅁䅁睑ㅂ䡁䅉杣求䝁䄴䅤杁䙁䅫党桂䡁䅉䅁㡁䅁䅁杉䅁䕁䅍兤祂䡁䅉党畂䡁䅑睌卂䝁䅕督あ䝁䅅䅤求䝁䅑䅁佁睁䅁杏䅁䕁䅍兤穂䡁䅑睢瑂䝁䅕杣杁䕁䅫杢あ䝁䅕杣求䡁䅍䅤杁䙁䅍䅣祂䝁䅕兙歂䍁䅁䅋汁䍁䅫䅁獂䅁䅁条䅁䕁䅍兤穂䡁䅑睢瑂䝁䅕杣杁䙁䅣杣灂䡁䅑党瑁䝁䄸杚浂䡁䅍䅉桂䝁䅙䅤求䡁䅉䅉䉂䝁䅷䅢療䝁䅍兙あ䝁䅕䅚杁䕁䅅䅢獂䝁䄸睤桂䝁䄴睙求䍁䅁䅋歁䑁䅁䅍睁䍁䅫䅁ㅁ允䅁䅃䅁䕁䅑䅗䑂䅁䅁杹䅙䍁䄴䅁䕂䙁䅧睑杁䙁䅑党橂䝁䅧杢療䝁䅷睢湂䡁䅫䅉䑂䝁䄸兢睂䝁䅅杢㕂䅁䅁睹䅙䅁䄴䅁䕂䙁䅧睑瑁䙁䅕睕䅁偁䝷䅁䝂䅁䅁䅒桂䡁䅑党杁䝁䄸杚杁䕁䅍䅢療䡁䅍兡畂䝁䅣䅉兂䡁䅉兡橂䝁䅕䅉潁䝁䄰兢癁䝁䅑䅚癁䡁䅫入㕂䡁䅫克䅁䍁䅧䅁潁䅁䅁䅒桂䡁䅫䅉䑂䝁䅷睢穂䝁䅕䅉兂䡁䅉兡橂䝁䅕䅉潁䍁䅑克䅁䅁䑯䅁㉁䅁䅁䅒桂䡁䅫䅉䑂䝁䅷睢穂䝁䅕䅉兂䡁䅉兡橂䝁䅕䅉潁䙁䅉党睂䝁䄸杣あ䝁䅕䅚灁䅁䅁杬䅙䡁䅁䅁䕂䝁䅕杙あ䍁䅁兒硂䡁䅕兡㉂䍁䄴䅉療䝁䅙䅉噂䝁䄴杚ㅂ䝁䄴䅚求䝁䅑䅉兂䡁䅉睢煂䍁䄴䅉䍂䝁䅕杢求䝁䅙兡あ䍁䅁睔楂䝁䅷兡湂䝁䅅䅤灂䝁䄸杢杁䍁䅧䅊睁䑁䅁䅍灁䅁䅁克䅍䕁䅧䅁䕂䝁䅕杙あ䍁䅁兒硂䡁䅕兡㉂䝁䅅䅢求䝁䄴䅤杁䕁䄸䅣求䡁䅉杌杁䕁䅷党桂䡁䅍党穂䍁䅁䅋歁䑁䅁䅍睁䍁䅫䅁千睁䅁杕䅁䕁䅑党歂䡁䅕睙あ䝁䅫睢畂䍁䅁杚療䡁䅉䅉䕂䝁䅕杚求䡁䅉杣求䝁䅑䅉啂䝁䅅䅥杁䕁䅅督穂䝁䅕䅤穂䍁䅁䅋歁䑁䅁䅍睁䍁䅫䅁䩂允䅁䅙䅁䕁䅑党浂䍁䄴䅉䍂䝁䅕杢求䝁䅙兡あ䍁䅁兑橂䡁䅑兤桂䡁䅉兡桂䝁䅷䅉䡂䝁䅅兡畂䍁䅁䅋偂䙁䅁兒䍂䍁䅁兌杁䕁䅑睔乂䍁䅫䅉潁䍁䅑䅍睁䑁䅁克䅁䕁䙫䅁杂䅁䅁䅒求䝁䅙杌杁䕁䅉党畂䝁䅕杚灂䡁䅑䅉䉂䝁䅍䅤ㅂ䝁䅅杣灂䝁䅅䅢杁䕁䅣兙灂䝁䄴䅉潁䕁䄸䅕䙂䕁䅉䅉瑁䍁䅁杒䡂䕁䄴克杁䍁䅧䅊睁䑁䅁䅍灁䅁䅁杹䅕䙁䅑䅁䕂䝁䅕杚畁䍁䅁村求䝁䄴党浂䝁䅫䅤杁䕁䅅睙あ䡁䅕兙祂䝁䅫兙獂䍁䅁睒桂䝁䅫杢杁䍁䅧睔兂䕁䅕村灁䍁䅁䅋歁䑁䅁䅍睁䍁䅫䅁橄䅂䅁杚䅁䕁䅑党浂䍁䄴䅉䍂䝁䅕杢求䝁䅙兡あ䍁䅁兑橂䡁䅑兤桂䡁䅉兡桂䝁䅷䅉䡂䝁䅅兡畂䍁䅁䅋兂䝁䅕杢穂䝁䅫睢畂䍁䅁兌杁䕁䅑睢瑂䍁䅫䅉潁䍁䅑䅍睁䑁䅁克䅁䡁䔴䅁浂䅁䅁䅒求䝁䅙杌杁䕁䅉党畂䝁䅕杚灂䡁䅑䅉䉂䝁䅍䅤ㅂ䝁䅅杣灂䝁䅅䅢杁䕁䅣兙灂䝁䄴䅉潁䙁䅁党畂䡁䅍兡療䝁䄴䅉瑁䍁䅁杒䡂䕁䄴克杁䍁䅧䅊睁䑁䅁䅍灁䅁䅁睩䅕䙁䅯䅁䕂䝁䅕杚畁䍁䅁村求䝁䄴党浂䝁䅫䅤杁䕁䅅睙あ䡁䅕兙祂䝁䅫兙獂䍁䅁睒桂䝁䅫杢杁䍁䅧䅕求䝁䄴督灂䝁䄸杢灁䍁䅁䅋歁䑁䅁䅍睁䍁䅫䅁歃䅂䅁杣䅁䕁䅑党浂䍁䄴䅉䍂䝁䅕杢求䝁䅙兡あ䍁䅁睑療䡁䅍䅤杁䕁䅫杢橂䝁䅷杌杁䙁䅍兤睂䡁䅁䅢求䍁䅁䅕獂䝁䅅杢穂䍁䅁䅋偂䙁䅁兒䍂䍁䅁兌杁䕁䅑睔乂䍁䅫䅉潁䍁䅑䅍睁䑁䅁克䅁䕁䙣䅁祂䅁䅁䅒求䝁䅙杌杁䕁䅉党畂䝁䅕杚灂䡁䅑䅉䑂䝁䄸督あ䍁䅁兓畂䝁䅍䅢畁䍁䅁睕ㅂ䡁䅁䅣獂䝁䅕䅉兂䝁䅷兙畂䡁䅍䅉潁䕁䄸䅕䙂䕁䅉䅉瑁䍁䅁杒䡂䕁䄴克杁䍁䅧䅊睁䑁䅁䅍灁䅁䅁睸䅕䡁䅑䅁䕂䝁䅕杚畁䍁䅁村求䝁䄴党浂䝁䅫䅤杁䕁䅍睢穂䡁䅑䅉䩂䝁䄴睙獂䍁䄴䅉呂䡁䅕䅣睂䝁䅷党杁䙁䅁䅢桂䝁䄴督杁䍁䅧䅕求䝁䄴督灂䝁䄸杢瑁䕁䅑睢瑂䍁䅫䅉潁䍁䅑䅍睁䑁䅁克䅁䉁䙁䅁あ䅁䅁䅒求䝁䅙杌杁䕁䅉党畂䝁䅕杚灂䡁䅑䅉䑂䝁䄸督あ䍁䅁兓畂䝁䅍䅢畁䍁䅁睕ㅂ䡁䅁䅣獂䝁䅕䅉兂䝁䅷兙畂䡁䅍䅉潁䙁䅁党畂䡁䅍兡療䝁䄴兌䝂䕁䅣杔灁䍁䅁䅋歁䑁䅁䅍睁䍁䅫䅁䩃兂䅁䅢䅁䕁䅑党浂䍁䄴䅉䍂䝁䅕杢求䝁䅙兡あ䍁䅁睑療䡁䅍䅤杁䝁䄸杚杁䙁䅍兤睂䡁䅁䅢求䍁䅁䅕獂䝁䅅杢穂䍁䅁䅋偂䙁䅁兒䍂䍁䅁兌杁䕁䅑睔乂䍁䅫䅉潁䍁䅑䅍睁䑁䅁克䅁䕁䙙䅁獂䅁䅁䅒求䝁䅙杌杁䕁䅉党畂䝁䅕杚灂䡁䅑䅉䑂䝁䄸督あ䍁䅁睢浂䍁䅁睕ㅂ䡁䅁䅣獂䝁䅕䅉兂䝁䅷兙畂䡁䅍䅉潁䕁䄸䅕䙂䕁䅉䅉瑁䍁䅁杒䡂䕁䄴克杁䍁䅧䅊睁䑁䅁䅍灁䅁䅁杸䅕䡁䅉䅁䕂䝁䅕杚畁䍁䅁村求䝁䄴党浂䝁䅫䅤杁䕁䅍睢穂䡁䅑䅉療䝁䅙䅉呂䡁䅕䅣睂䝁䅷党杁䙁䅁䅢桂䝁䄴督杁䍁䅧䅕求䝁䄴督灂䝁䄸杢杁䍁䄰䅉䕂䝁䄸兢灁䍁䅁䅋歁䑁䅁䅍睁䍁䅫䅁偁兂䅁杣䅁䕁䅑党浂䍁䄴䅉䍂䝁䅕杢求䝁䅙兡あ䍁䅁睑療䡁䅍䅤杁䝁䄸杚杁䙁䅍兤睂䡁䅁䅢求䍁䅁䅕獂䝁䅅杢穂䍁䅁䅋兂䝁䅕杢穂䝁䅫睢畂䍁䅁兌杁䕁䅙睒佂䍁䅫䅉潁䍁䅑䅍睁䑁䅁克䅁䥁䙧䅁獂䅁䅁䅒求䝁䅙杌杁䕁䅉党畂䝁䅕杚灂䡁䅑䅉䙂䝁䄰䅣獂䝁䄸入求䝁䅕䅉䑂䝁䄸杢あ䡁䅉兡楂䍁䄴䅉潁䙁䅁党畂䡁䅍兡療䝁䄴䅉瑁䍁䅁䅒療䝁䄰克杁䍁䅧䅊睁䑁䅁䅍灁䅁䅁杅䅕䝁䅷䅁䕂䝁䅕杚畁䍁䅁村求䝁䄴党浂䝁䅫䅤杁䕁䅕兢睂䝁䅷睢㕂䝁䅕党杁䕁䅍睢畂䡁䅑杣灂䝁䅉杌杁䍁䅧䅕求䝁䄴督灂䝁䄸杢杁䍁䄰䅉䝂䕁䅣杔灁䍁䅁䅋歁䑁䅁䅍睁䍁䅫䅁䭃兂䅁䅣䅁䕁䅑党浂䍁䄴䅉䍂䝁䅕杢求䝁䅙兡あ䍁䅁兒瑂䡁䅁䅢療䡁䅫党求䍁䅁睑療䝁䄴䅤祂䝁䅫杙ㅂ䡁䅑兡療䝁䄴督杁䍁䅧睔兂䕁䅕村杁䍁䄰䅉䕂䕁䄸兔灁䍁䅁䅋歁䑁䅁䅍睁䍁䅫䅁䥂兂䅁䅣䅁䕁䅑党浂䍁䄴䅉䍂䝁䅕杢求䝁䅙兡あ䍁䅁兒瑂䡁䅁䅢療䡁䅫党求䍁䅁睑療䝁䄴䅤祂䝁䅫杙ㅂ䡁䅑兡療䝁䄴督杁䍁䅧睔兂䕁䅕村杁䍁䄰䅉䝂䕁䅣杔灁䍁䅁䅋歁䑁䅁䅍睁䍁䅫䅁䩄兂䅁䅚䅁䕁䅑党浂䍁䄴䅉䍂䝁䅕杢求䝁䅙兡あ䍁䅁兒瑂䡁䅁䅢療䡁䅫党求䍁䅁睑療䝁䄴䅤祂䝁䅫杙ㅂ䡁䅑兡療䝁䄴督杁䍁䅧睔兂䕁䅕村灁䍁䅁䅋歁䑁䅁䅍睁䍁䅫䅁䭄睁䅁条䅁䕁䅑党浂䍁䄴䅉䍂䝁䅕杢求䝁䅙兡あ䍁䅁兒瑂䡁䅁䅢療䡁䅫党求䍁䅁睑療䝁䄴䅤祂䝁䅫杙ㅂ䡁䅑兡療䝁䄴督杁䍁䅧䅕求䝁䄴督灂䝁䄸杢灁䍁䅁䅋歁䑁䅁䅍睁䍁䅫䅁䉃睁䅁杢䅁䕁䅑党浂䍁䄴䅉䍂䝁䅕杢求䝁䅙兡あ䍁䅁兒㑂䡁䅁杌杁䙁䅉党あ䡁䅕杣畂䍁䅁睢畂䍁䅁兑穂䡁䅍党あ䡁䅍䅉潁䕁䄸䅕䙂䕁䅉䅉瑁䍁䅁䅒偂䕁䄰克杁䍁䅧䅊睁䑁䅁䅍灁䅁䅁䅒䅕䝁䄴䅁䕂䝁䅕杚畁䍁䅁村求䝁䄴党浂䝁䅫䅤杁䕁䅕䅥睂䍁䄴䅉卂䝁䅕䅤ㅂ䡁䅉杢杁䝁䄸杢杁䕁䅅督穂䝁䅕䅤穂䍁䅁䅋偂䙁䅁兒䍂䍁䅁兌杁䕁䅙睒佂䍁䅫䅉潁䍁䅑䅍睁䑁䅁克䅁䵁䙍䅁楂䅁䅁䅒求䝁䅙杌杁䕁䅉党畂䝁䅕杚灂䡁䅑䅉䙂䡁䅧䅣畁䍁䅁杕求䡁䅑兤祂䝁䄴䅉療䝁䄴䅉䉂䡁䅍督求䡁䅑督杁䍁䅧睔兂䕁䅕村灁䍁䅁䅋歁䑁䅁䅍睁䍁䅫䅁敄䅂䅁杘䅁䕁䅑党浂䍁䄴䅉䍂䝁䅕杢求䝁䅙兡あ䍁䅁兓畂䡁䅑党祂䝁䅕督あ䍁䅁睑療䡁䅍䅤杁䍁䅧睔兂䕁䅕村杁䍁䄰䅉䕂䝁䄸兢灁䍁䅁䅋歁䑁䅁䅍睁䍁䅫䅁䍂兂䅁杘䅁䕁䅑党浂䍁䄴䅉䍂䝁䅕杢求䝁䅙兡あ䍁䅁兓畂䡁䅑党祂䝁䅕督あ䍁䅁睑療䡁䅍䅤杁䍁䅧睔兂䕁䅕村杁䍁䄰䅉䝂䕁䅣杔灁䍁䅁䅋歁䑁䅁䅍睁䍁䅫䅁䍄兂䅁杕䅁䕁䅑党浂䍁䄴䅉䍂䝁䅕杢求䝁䅙兡あ䍁䅁兓畂䡁䅑党祂䝁䅕督あ䍁䅁睑療䡁䅍䅤杁䍁䅧睔兂䕁䅕村灁䍁䅁䅋歁䑁䅁䅍睁䍁䅫䅁求䅂䅁䅚䅁䕁䅑党浂䍁䄴䅉䍂䝁䅕杢求䝁䅙兡あ䍁䅁兓畂䡁䅑党祂䝁䅕督あ䍁䅁睑療䡁䅍䅤杁䍁䅧䅕求䝁䄴督灂䝁䄸杢杁䍁䄰䅉䕂䝁䄸兢灁䍁䅁䅋歁䑁䅁䅍睁䍁䅫䅁䵁兂䅁䅚䅁䕁䅑党浂䍁䄴䅉䍂䝁䅕杢求䝁䅙兡あ䍁䅁兓畂䡁䅑党祂䝁䅕督あ䍁䅁睑療䡁䅍䅤杁䍁䅧䅕求䝁䄴督灂䝁䄸杢杁䍁䄰䅉䝂䕁䅣杔灁䍁䅁䅋歁䑁䅁䅍睁䍁䅫䅁䕃兂䅁䅗䅁䕁䅑党浂䍁䄴䅉䍂䝁䅕杢求䝁䅙兡あ䍁䅁兓畂䡁䅑党祂䝁䅕督あ䍁䅁睑療䡁䅍䅤杁䍁䅧䅕求䝁䄴督灂䝁䄸杢灁䍁䅁䅋歁䑁䅁䅍睁䍁䅫䅁扃䅂䅁䅗䅁䕁䅑党浂䍁䄴䅉䍂䝁䅕杢求䝁䅙兡あ䍁䅁睔あ䝁䅧党祂䍁䅁睑療䡁䅍䅤杁䍁䅧睔兂䕁䅕村杁䍁䄰䅉䕂䝁䄸兢灁䍁䅁䅋歁䑁䅁䅍睁䍁䅫䅁奃䅂䅁䅗䅁䕁䅑党浂䍁䄴䅉䍂䝁䅕杢求䝁䅙兡あ䍁䅁睔あ䝁䅧党祂䍁䅁睑療䡁䅍䅤杁䍁䅧睔兂䕁䅕村杁䍁䄰䅉䝂䕁䅣杔灁䍁䅁䅋歁䑁䅁䅍睁䍁䅫䅁䕄兂䅁䅔䅁䕁䅑党浂䍁䄴䅉䍂䝁䅕杢求䝁䅙兡あ䍁䅁睔あ䝁䅧党祂䍁䅁睑療䡁䅍䅤杁䍁䅧睔兂䕁䅕村灁䍁䅁䅋歁䑁䅁䅍睁䍁䅫䅁楄䅂䅁杘䅁䕁䅑党浂䍁䄴䅉䍂䝁䅕杢求䝁䅙兡あ䍁䅁睔あ䝁䅧党祂䍁䅁睑療䡁䅍䅤杁䍁䅧䅕求䝁䄴督灂䝁䄸杢杁䍁䄰䅉䕂䝁䄸兢灁䍁䅁䅋歁䑁䅁䅍睁䍁䅫䅁佁兂䅁杘䅁䕁䅑党浂䍁䄴䅉䍂䝁䅕杢求䝁䅙兡あ䍁䅁睔あ䝁䅧党祂䍁䅁睑療䡁䅍䅤杁䍁䅧䅕求䝁䄴督灂䝁䄸杢杁䍁䄰䅉䝂䕁䅣杔灁䍁䅁䅋歁䑁䅁䅍睁䍁䅫䅁䝃兂䅁杕䅁䕁䅑党浂䍁䄴䅉䍂䝁䅕杢求䝁䅙兡あ䍁䅁睔あ䝁䅧党祂䍁䅁睑療䡁䅍䅤杁䍁䅧䅕求䝁䄴督灂䝁䄸杢灁䍁䅁䅋歁䑁䅁䅍睁䍁䅫䅁摃䅂䅁条䅁䕁䅑党浂䍁䄴䅉䍂䝁䅕杢求䝁䅙兡あ䍁䅁杕求䡁䅑兤祂䝁䄴䅉偂䝁䄴䅉䉂䡁䅍督求䡁䅑督杁䍁䅧䅕求䝁䄴督灂䝁䄸杢杁䍁䄰䅉䕂䝁䄸兢灁䍁䅁䅋歁䑁䅁䅍睁䍁䅫䅁乁兂䅁条䅁䕁䅑党浂䍁䄴䅉䍂䝁䅕杢求䝁䅙兡あ䍁䅁杕求䡁䅑兤祂䝁䄴䅉療䝁䄴䅉䉂䡁䅍督求䡁䅑督杁䍁䅧䅕求䝁䄴督灂䝁䄸杢杁䍁䄰䅉䝂䕁䅣杔灁䍁䅁䅋歁䑁䅁䅍睁䍁䅫䅁䙃兂䅁杘䅁䕁䅑党浂䍁䄴䅉䍂䝁䅕杢求䝁䅙兡あ䍁䅁杕求䡁䅑兤祂䝁䄴䅉療䝁䄴䅉䉂䡁䅍督求䡁䅑督杁䍁䅧䅕求䝁䄴督灂䝁䄸杢灁䍁䅁䅋歁䑁䅁䅍睁䍁䅫䅁捃䅂䅁䅘䅁䕁䅑党浂䍁䄴䅉䍂䝁䅕杢求䝁䅙兡あ䍁䅁睕求䡁䅉杤灂䝁䅍党杁䕁䅍睢穂䡁䅑䅉潁䕁䄸䅕䙂䕁䅉䅉瑁䍁䅁䅒療䝁䄰克杁䍁䅧䅊睁䑁䅁䅍灁䅁䅁兑䅕䙁䅷䅁䕂䝁䅕杚畁䍁䅁村求䝁䄴党浂䝁䅫䅤杁䙁䅍党祂䡁䅙兡橂䝁䅕䅉䑂䝁䄸督あ䍁䅁䅋偂䙁䅁兒䍂䍁䅁兌杁䕁䅙睒佂䍁䅫䅉潁䍁䅑䅍睁䑁䅁克䅁䵁䙅䅁兂䅁䅁䅒求䝁䅙杌杁䕁䅉党畂䝁䅕杚灂䡁䅑䅉呂䝁䅕杣㉂䝁䅫睙求䍁䅁睑療䡁䅍䅤杁䍁䅧睔兂䕁䅕村灁䍁䅁䅋歁䑁䅁䅍睁䍁䅫䅁摄䅂䅁杙䅁䕁䅑党浂䍁䄴䅉䍂䝁䅕杢求䝁䅙兡あ䍁䅁睕求䡁䅉杤灂䝁䅍党杁䕁䅍睢穂䡁䅑䅉潁䙁䅁党畂䡁䅍兡療䝁䄴䅉瑁䍁䅁䅒療䝁䄰克杁䍁䅧䅊睁䑁䅁䅍灁䅁䅁睃䅕䝁䅉䅁䕂䝁䅕杚畁䍁䅁村求䝁䄴党浂䝁䅫䅤杁䙁䅍党祂䡁䅙兡橂䝁䅕䅉䑂䝁䄸督あ䍁䅁䅋兂䝁䅕杢穂䝁䅫睢畂䍁䅁兌杁䕁䅙睒佂䍁䅫䅉潁䍁䅑䅍睁䑁䅁克䅁䥁䙍䅁坂䅁䅁䅒求䝁䅙杌杁䕁䅉党畂䝁䅕杚灂䡁䅑䅉呂䝁䅕杣㉂䝁䅫睙求䍁䅁睑療䡁䅍䅤杁䍁䅧䅕求䝁䄴督灂䝁䄸杢灁䍁䅁䅋歁䑁䅁䅍睁䍁䅫䅁婃䅂䅁杢䅁䕁䅑党浂䍁䄴䅉䍂䝁䅕杢求䝁䅙兡あ䍁䅁睕求䡁䅑䅤獂䝁䅕睌䑂䡁䅕杣あ䝁䅅兡獂䝁䄰党畂䡁䅑䅉潁䙁䅁党畂䡁䅍兡療䝁䄴䅉瑁䍁䅁䅒療䝁䄰克杁䍁䅧䅊睁䑁䅁䅍灁䅁䅁兰䅑䝁䄴䅁䕂䝁䅕杚畁䍁䅁村求䝁䄴党浂䝁䅫䅤杁䙁䅍党あ䡁䅑䅢求䍁䄸睑ㅂ䡁䅉䅤桂䝁䅫䅢瑂䝁䅕杢あ䍁䅁䅋兂䝁䅕杢穂䝁䅫睢畂䍁䅁兌杁䕁䅙睒佂䍁䅫䅉潁䍁䅑䅍睁䑁䅁克䅁䩁䙁䅁潂䅁䅁䅒求䝁䅙杌杁䕁䅉党畂䝁䅕杚灂䡁䅑䅉呂䝁䅕䅤あ䝁䅷党瑂䝁䅕杢あ䍁䅁睌杁䕁䅍兤祂䡁䅑兙灂䝁䅷兢求䝁䄴䅤杁䍁䅧睔兂䕁䅕村灁䍁䅁䅋歁䑁䅁䅍睁䍁䅫䅁楃睁䅁䅣䅁䕁䅑党浂䍁䄴䅉䍂䝁䅕杢求䝁䅙兡あ䍁䅁睕求䡁䅑䅤獂䝁䅕兢求䝁䄴䅤癁䕁䅍兤祂䡁䅑兙灂䝁䅷兢求䝁䄴䅤杁䍁䅧睔兂䕁䅕村杁䍁䄰䅉䕂䕁䄸兔灁䍁䅁䅋歁䑁䅁䅍睁䍁䅫䅁乂兂䅁䅣䅁䕁䅑党浂䍁䄴䅉䍂䝁䅕杢求䝁䅙兡あ䍁䅁睕求䡁䅑䅤獂䝁䅕兢求䝁䄴䅤癁䕁䅍兤祂䡁䅑兙灂䝁䅷兢求䝁䄴䅤杁䍁䅧睔兂䕁䅕村杁䍁䄰䅉䝂䕁䅣杔灁䍁䅁䅋歁䑁䅁䅍睁䍁䅫䅁偄兂䅁条䅁䕁䅑党浂䍁䄴䅉䍂䝁䅕杢求䝁䅙兡あ䍁䅁睕求䡁䅑䅤獂䝁䅕兢求䝁䄴䅤癁䕁䅍兤祂䡁䅑兙灂䝁䅷兢求䝁䄴䅤杁䍁䅧䅕求䝁䄴督灂䝁䄸杢灁䍁䅁䅋歁䑁䅁䅍睁䍁䅫䅁䝄睁䅁杘䅁䕁䅑党浂䍁䄴䅉䍂䝁䅕杢求䝁䅙兡あ䍁䅁䅖療䡁䅑兙獂䍁䅁睑療䡁䅍䅤杁䍁䅧䅕求䝁䄴督灂䝁䄸杢杁䍁䄰䅉䕂䝁䄸兢灁䍁䅁䅋歁䑁䅁䅍睁䍁䅫䅁㑃睁䅁杘䅁䕁䅑党浂䍁䄴䅉䍂䝁䅕杢求䝁䅙兡あ䍁䅁䅖療䡁䅑兙獂䍁䅁睑療䡁䅍䅤杁䍁䅧䅕求䝁䄴督灂䝁䄸杢杁䍁䄰䅉䝂䕁䅣杔灁䍁䅁䅋歁䑁䅁䅍睁䍁䅫䅁䡃兂䅁杕䅁䕁䅑党浂䍁䄴䅉䍂䝁䅕杢求䝁䅙兡あ䍁䅁䅖療䡁䅑兙獂䍁䅁睑療䡁䅍䅤杁䍁䅧䅕求䝁䄴督灂䝁䄸杢灁䍁䅁䅋歁䑁䅁䅍睁䍁䅫䅁塂睁䅁䅢䅁䕁䅑党浂䍁䄴䅉䍂䝁䅕杢求䝁䅙兡あ䍁䅁䅖療䡁䅑兙獂䍁䅁睑療䡁䅍䅤杁䝁䄸杚杁䙁䅍兤睂䡁䅁䅢求䍁䅁䅕獂䝁䅅杢穂䍁䅁䅋偂䙁䅁兒䍂䍁䅫䅉潁䍁䅑䅍睁䑁䅁克䅁佁䕑䅁祂䅁䅁䅒求䝁䅙杌杁䕁䅉党畂䝁䅕杚灂䡁䅑䅉啂䝁䄸䅤桂䝁䅷䅉䑂䝁䄸督あ䍁䅁睢浂䍁䅁睕ㅂ䡁䅁䅣獂䝁䅕䅉兂䝁䅷兙畂䡁䅍䅉潁䙁䅁党畂䡁䅍兡療䝁䄴克杁䍁䅧䅊睁䑁䅁䅍灁䅁䅁杮䅑䕁䄴䅁䕂䝁䅕杚畁䍁䅁村求䝁䄴党浂䝁䅫䅤穂䍁䅁䅕桂䝁䅫䅚杁䍁䅧睔兂䕁䅕村杁䍁䄰䅉䕂䝁䄸兢灁䍁䅁䅋歁䑁䅁䅍睁䍁䅫䅁䭂兂䅁杔䅁䕁䅑党浂䍁䄴䅉䍂䝁䅕杢求䝁䅙兡あ䡁䅍䅉兂䝁䅅兡歂䍁䅁䅋偂䙁䅁兒䍂䍁䅁兌杁䕁䅙睒佂䍁䅫䅉潁䍁䅑䅍睁䑁䅁克䅁䵁䙳䅁䍂䅁䅁䅒求䝁䅙杌杁䕁䅉党畂䝁䅕杚灂䡁䅑督杁䙁䅁兙灂䝁䅑䅉潁䕁䄸䅕䙂䕁䅉克杁䍁䅧䅊睁䑁䅁䅍灁䅁䅁朰䅍䙁䅑䅁䕂䝁䅕杚畁䍁䅁村求䝁䄴党浂䝁䅫䅤穂䍁䅁䅕桂䝁䅫䅚杁䍁䅧䅕求䝁䄴督灂䝁䄸杢杁䍁䄰䅉䕂䝁䄸兢灁䍁䅁䅋歁䑁䅁䅍睁䍁䅫䅁啁兂䅁䅖䅁䕁䅑党浂䍁䄴䅉䍂䝁䅕杢求䝁䅙兡あ䡁䅍䅉兂䝁䅅兡歂䍁䅁䅋兂䝁䅕杢穂䝁䅫睢畂䍁䅁兌杁䕁䅙睒佂䍁䅫䅉潁䍁䅑䅍睁䑁䅁克䅁䥁䙷䅁䥂䅁䅁䅒求䝁䅙杌杁䕁䅉党畂䝁䅕杚灂䡁䅑督杁䙁䅁兙灂䝁䅑䅉潁䙁䅁党畂䡁䅍兡療䝁䄴克杁䍁䅧䅊睁䑁䅁䅍灁䅁䅁杰䅑䙁䅁䅁䕂䝁䅕杚畁䍁䅁睑療䝁䄴䅤祂䝁䅫杙ㅂ䡁䅑兡療䝁䄴䅉䑂䝁䄸督あ䍁䅁䅋兂䝁䅕杢穂䝁䅫睢畂䍁䅫䅉潁䍁䅑䅍睁䑁䅁克䅁䭁䕅䅁䍂䅁䅁䅒求䝁䅙杌杁䙁䅑兙㑂䍁䅁䅔灂䝁䅅杙灂䝁䅷兡あ䡁䅫䅌杁䕁䅍兤祂䡁䅉杌杁䍁䅧䅊睁䑁䅁䅍灁䅁䅁朸䅍䕁䅯䅁䕂䝁䅕杚畁䍁䅁䅖桂䡁䅧䅉䵂䝁䅫兙楂䝁䅫䅢灂䡁䅑入獁䍁䅁杔療䝁䄴兌䑂䡁䅕杣祂䍁䄴䅉潁䍁䅑䅍睁䑁䅁克䅁䝁䕑䅁㑁䅁䅁䅒求䝁䅙党祂䡁䅉党歂䍁䅁睑潂䝁䅅杣湂䝁䅕督獁䍁䅁䅔啂䍁䅁䅋歁䑁䅁䅍睁䍁䅫䅁塂䅂䅁材䅁䕁䅑党浂䝁䅕杣祂䝁䅕䅚杁䕁䅑睢瑂䝁䅕督あ䝁䅫睙杁䙁䅑兙㑂䝁䅕督杁䍁䅧䅊睁䑁䅁䅍灁䅁䅁杰䅍䑁䅷䅁䕂䝁䅕杚求䡁䅉杣求䝁䅑䅉䝂䝁䄸杣求䝁䅫睚畂䍁䅁䅖桂䡁䅧党穂䍁䅁䅋歁䑁䅁䅍睁䍁䅫䅁潃睁䅁䅒䅁䕁䅑党浂䝁䅕杣祂䝁䅕䅚杁䙁䅑兙㑂䍁䅁兑穂䡁䅍党あ䡁䅍䅌杁䕁䅍兤祂䡁䅉杌杁䍁䅧䅊睁䑁䅁䅍灁䅁䅁睨䅍䑁䄴䅁䕂䝁䅕杚求䡁䅉杣求䝁䅑䅉啂䝁䅅䅥杁䕁䅅督穂䝁䅕䅤穂䍁䅷䅉䵂䙁䅑䅉潁䍁䅑䅍睁䑁䅁克䅁䙁䕕䅁煂䅁䅁䅒求䝁䅙党祂䡁䅉党歂䍁䅁䅖桂䡁䅧䅉䵂䝁䅫兙楂䝁䅫䅢灂䡁䅑兡求䡁䅍䅉浂䝁䄸杣杁䕁䅷兙畂䝁䅑䅉卂䝁䅕杤桂䝁䅷兤桂䡁䅑兡療䝁䄴䅉潁䍁䅑䅍睁䑁䅁克䅁䑁䉁䅁㡁䅁䅁䅒求䝁䅙党祂䡁䅉党歂䍁䅁䅖桂䡁䅧䅉兂䡁䅉睢㉂䝁䅫督灂䝁䄸杢杁䍁䅧䅊睁䑁䅁䅍灁䅁䅁䅌䅅䝁䅙䅁䕂䝁䅕䅣療䡁䅍兡あ䡁䅍䅉潁䕁䅕䅥橂䝁䅷䅉佂䝁䅕睚療䡁䅑兡桂䝁䅉䅢求䍁䅁睑䕂䡁䅍克癁䍁䅁䅖療䡁䅑兙獂䍁䅁䅒求䡁䅁睢穂䝁䅫䅤穂䍁䅁䅋汁䍁䅫䅁灂允䅁杖䅁䕁䅑党睂䝁䄸督灂䡁䅑督杁䕁䅅杤桂䝁䅫䅢桂䝁䅉䅢求䍁䅁睢畂䍁䅁䅒求䝁䄰兙畂䝁䅑睌杁䕁䅑党睂䝁䄸督灂䡁䅑督杁䍁䅧兊灁䅁䅁儸䅁䝁䅷䅁䕂䝁䅕䅣療䡁䅍兡あ䡁䅍䅉䙂䡁䅧䅉䑂䕁䅑督杁䑁䅅兌穁䍁䅁入求䝁䅅杣穂䍁䄸䅉䕂䝁䅕䅣療䡁䅍兡あ䡁䅍䅉䙂䡁䅧䅉䑂䕁䅑督杁䕁䅉入杁䕁䄰兙あ䍁䅁䅋汁䍁䅫䅁煂允䅁䅢䅁䕁䅑党睂䝁䄸督灂䡁䅑督杁䕁䅕䅥杁䕁䅍䅒穂䍁䅁睍瑁䑁䅕䅉㕂䝁䅕兙祂䡁䅍睌杁䕁䅑党睂䝁䄸督灂䡁䅑督杁䕁䅕䅥杁䕁䅍䅒穂䍁䅁村㕂䍁䅁兔桂䡁䅑䅉潁䍁䅕克䅁䝁䉳䅁煂䅁䅁䅒求䡁䅁睢穂䝁䅫䅤穂䍁䅁兒㑂䍁䅁睑䕂䡁䅍䅉㡁䍁䅁免杁䡁䅫党桂䡁䅉睌杁䕁䅑党睂䝁䄸督灂䡁䅑督杁䕁䅕䅥杁䕁䅍䅒穂䍁䅁村㕂䍁䅁兔桂䡁䅑䅉潁䍁䅕克䅁䝁䉙䅁卂䅁䅁䅒求䡁䅁睢穂䝁䅫䅤穂䍁䅁兒㑂䝁䅍䅢杁䕁䄴党湂䍁䅁睑䕂䡁䅍䅉䍂䡁䅫䅉乂䝁䅅䅤ㅂ䡁䅉兡あ䡁䅫䅉潁䍁䅑䅍睁䑁䅁克䅁䡁䈴䅁䵂䅁䅁䅒求䡁䅁睢穂䝁䅫䅤穂䍁䅁兔桂䡁䅑兤祂䝁䅫杢湂䍁䅁兡畂䍁䅁免瑁䑁䅕䅉㕂䝁䅕兙祂䡁䅍䅉潁䍁䅑䅍睁䑁䅁克䅁䥁䉣䅁慂䅁䅁䅒求䡁䅁睢穂䝁䅫䅤穂䍁䅁兔桂䡁䅑兤祂䝁䅫杢湂䍁䅁兡畂䍁䅁免瑁䑁䅕䅉㕂䝁䅕兙祂䡁䅍睌杁䕁䅑党睂䝁䄸督灂䡁䅑督杁䍁䅧兊灁䅁䅁光䅅䙁䄴䅁䕂䝁䅕䅣療䡁䅍兡あ䡁䅍䅉乂䝁䅅䅤ㅂ䡁䅉兡畂䝁䅣䅉灂䝁䄴䅉穁䍁䄰免祁䍁䅁兢療䝁䄴䅤潂䡁䅍睌杁䕁䅑党睂䝁䄸督灂䡁䅑督杁䍁䅧兊灁䅁䅁杰䅁䕁䅯䅁䕂䝁䅕䅣療䡁䅍兡あ䡁䅍䅉乂䝁䅅䅤ㅂ䡁䅉兡畂䝁䅣䅉灂䝁䄴䅉ㅁ䍁䅳䅉㕂䝁䅕兙祂䡁䅍䅉潁䍁䅑䅍睁䑁䅁克䅁䝁䈰䅁奂䅁䅁䅒求䡁䅁睢穂䝁䅫䅤穂䍁䅁兔桂䡁䅑兤祂䝁䅫杢湂䍁䅁兡畂䍁䅁兎牁䍁䅁入求䝁䅅杣穂䍁䄸䅉䕂䝁䅕䅣療䡁䅍兡あ䡁䅍䅉潁䍁䅕克䅁䍁䉉䅁奂䅁䅁䅒求䡁䅁睢穂䝁䅫䅤穂䍁䅁兔桂䡁䅑兤祂䝁䅫杢湂䍁䅁兡畂䍁䅁䅐杁䑁䅅䅉婂䝁䅕兙祂䍁䄸䅉䕂䝁䅕䅣療䡁䅍兡あ䡁䅍䅉潁䍁䅕克䅁偁䅣䅁䭂䅁䅁䅒求䡁䅁睢穂䝁䅫䅤穂䍁䅁兔桂䡁䅑兤祂䝁䅫杢湂䍁䅁兡畂䍁䅁䅐杁䑁䅅䅉㕂䝁䅕兙祂䍁䅁䅋歁䑁䅁䅍睁䍁䅫䅁䝃允䅁䅢䅁䕁䅑党睂䝁䄸督灂䡁䅑督杁䕁䄰兙あ䡁䅕杣灂䝁䄴睚杁䝁䅫杢杁䝁䅷党穂䡁䅍䅉あ䝁䅧兙畂䍁䅁睍杁䝁䄰睢畂䡁䅑䅡穂䍁䄸䅉䕂䝁䅕䅣療䡁䅍兡あ䡁䅍䅉潁䍁䅕克䅁䍁䉁䅁啂䅁䅁䅒求䡁䅁睢穂䝁䅫䅤穂䍁䅁兙あ䍁䅁杒灂䝁䄴兙畂䝁䅍兡桂䝁䅷䅉䩂䝁䄴督あ䝁䅫䅤ㅂ䡁䅑兡療䝁䄴督杁䍁䅧䅊睁䑁䅁䅍灁䅁䅁睷䅅䑁䅧䅁䕂䝁䅕䅣療䡁䅍兡あ䡁䅍䅉楂䡁䅫䅉乂䝁䅅䅤ㅂ䡁䅉兡あ䡁䅫䅉潁䍁䅑䅍睁䑁䅁克䅁䥁䉕䅁捂䅁䅁䅒求䡁䅁睢穂䝁䅫䅤穂䍁䅁䅚ㅂ䝁䅕䅉あ䝁䄸䅉偂䡁䅑䅡求䡁䅉䅉䑂䝁䄸兤畂䡁䅑杣灂䝁䅕督癁䍁䅁䅒求䡁䅁睢穂䝁䅫䅤穂䍁䅁䅋汁䍁䅫䅁婁允䅁䅚䅁䕁䅑党睂䝁䄸督灂䡁䅑督杁䝁䅙杣療䝁䄰䅉䍂䝁䅅杢牂䡁䅍䅉䥂䝁䅕䅢歂䍁䅁兙あ䍁䅁兑瑂䝁䄸杣あ䝁䅫来求䝁䅑䅉䑂䝁䄸督あ䍁䅁䅋歁䑁䅁䅍睁䍁䅫䅁楂䅁䅁䅚䅁䕁䅑党睂䝁䄸督灂䡁䅑督杁䝁䅙杣療䝁䄰䅉䍂䝁䅅杢牂䡁䅍䅉䥂䝁䅕䅢歂䍁䅁兙あ䍁䅁兑瑂䝁䄸杣あ䝁䅫来求䝁䅑䅉䑂䝁䄸督あ䍁䅁䅋獃䑉䅁䅍睁䍁䅫䅁晃杁䅁杙䅁䕁䅑党睂䝁䄸督灂䡁䅑督杁䝁䅙杣療䝁䄰䅉䑂䡁䅕督あ䍁䅁䅓求䝁䅷䅚杁䝁䅅䅤杁䕁䅅兢療䡁䅉䅤灂䡁䅯党歂䍁䅁睑療䡁䅍䅤杁䍁䅧䅊睁䑁䅁䅍灁䅁䅁睚䅁䝁䅉䅁䕂䝁䅕䅣療䡁䅍兡あ䡁䅍䅉浂䡁䅉睢瑂䍁䅁睑ㅂ䡁䅍䅤杁䕁䅧党獂䝁䅑䅉桂䡁䅑䅉䉂䝁䄰睢祂䡁䅑兡㙂䝁䅕䅚杁䕁䅍睢穂䡁䅑䅉潁䭁杷䅍睁䑁䅁克䅁䭁䍍䅁卂䅁䅁䅒求䡁䅁睢穂䝁䅫䅤穂䍁䅁兡畂䍁䅁村祂䝁䅫䅤灂䡁䅍䅡杁䙁䅁睢ㅂ䝁䄴䅚穂䍁䄸䅉䕂䝁䅕䅣療䡁䅍兡あ䡁䅍䅉潁䍁䅕克䅁䉁䉳䅁佂䅁䅁䅒求䡁䅁睢穂䝁䅫䅤穂䍁䅁兡畂䍁䅁睑潂䝁䅫杢求䡁䅍党杁䙁䅫兤桂䝁䄴睌杁䕁䅑党睂䝁䄸督灂䡁䅑督杁䍁䅧兊灁䅁䅁䅈䅅䙁䅧䅁䕂䝁䅕䅣療䡁䅍兡あ䡁䅍䅉灂䝁䄴䅉䕂䝁䄸兢求䡁䅍䅤灂䝁䅍䅉䑂䡁䅕杣祂䝁䅕杢橂䡁䅫睌杁䕁䅑党睂䝁䄸督灂䡁䅑督杁䍁䅧兊灁䅁䅁杈䅅䕁䅁䅁䕂䝁䅕䅣療䡁䅍兡あ䡁䅍䅉灂䝁䄴䅉䙂䡁䅕杣療䡁䅍睌杁䕁䅑党睂䝁䄸督灂䡁䅑督杁䍁䅧兊灁䅁䅁䅩䅁䙁䅧䅁䕂䝁䅕䅣療䡁䅍兡あ䡁䅍䅉灂䝁䄴䅉䥂䝁䄸杢湂䍁䅁睓療䝁䄴睚杁䕁䅑睢獂䝁䅷兙祂䡁䅍睌杁䕁䅑党睂䝁䄸督灂䡁䅑督杁䍁䅧兊灁䅁䅁先䅅䕁䄴䅁䕂䝁䅕䅣療䡁䅍兡あ䡁䅍䅉灂䝁䄴䅉䭂䝁䅅䅣桂䝁䄴党穂䝁䅕䅉婂䝁䅕杢癁䍁䅁䅒求䡁䅁睢穂䝁䅫䅤穂䍁䅁䅋汁䍁䅫䅁䡁允䅁杖䅁䕁䅑党睂䝁䄸督灂䡁䅑督杁䝁䅫杢杁䕁䄸䅤潂䝁䅕杣杁䕁䅍兤祂䡁䅉党畂䝁䅍兡求䡁䅍睌杁䕁䅑党睂䝁䄸督灂䡁䅑督杁䍁䅧兊灁䅁䅁睈䅅䕁䄴䅁䕂䝁䅕䅣療䡁䅍兡あ䡁䅍䅉灂䝁䄴䅉呂䡁䅣兡穂䡁䅍䅉䝂䡁䅉兙畂䝁䅍督癁䍁䅁䅒求䡁䅁睢穂䝁䅫䅤穂䍁䅁䅋汁䍁䅫䅁䉄䅁䅁杓䅁䕁䅑党睂䝁䄸督灂䡁䅑督杁䝁䅫杢杁䙁䅕睕杁䕁䅑睢獂䝁䅷兙祂䡁䅍睌杁䕁䅑党睂䝁䄸督灂䡁䅑督杁䍁䅧兊灁䅁䅁杯䅁䑁䅯䅁䕂䝁䅕䅣祂䝁䅕睙灂䝁䅅䅤灂䝁䄸杢杁䍁䅙䅉䉂䝁䄰睢祂䡁䅑杌杁䍁䅧䅊睁䑁䅁䅍灁䅁䅁䅗䅍䕁䅧䅁䕂䝁䅕䅣祂䝁䅕睙灂䝁䅅䅤灂䝁䄸杢杁䍁䅙䅉䉂䝁䄰睢祂䡁䅑杌獁䍁䅁䅖療䡁䅑兙獂䍁䅁䅋歁䑁䅁䅍睁䍁䅫䅁㕄睁䅁䅐䅁䕁䅑党祂䝁䅫杤桂䡁䅑兡㉂䝁䅕䅉䵂䝁䅫兙楂䝁䅫䅢灂䡁䅑兡求䡁䅍䅉潁䍁䅑䅍睁䑁䅁克䅁䡁䅑䅁㡁䅁䅁䅒求䡁䅉兡㉂䝁䅅䅤灂䡁䅙党杁䕁䅷兡桂䝁䅉兡獂䝁䅫䅤灂䝁䅕督杁䍁䅧䍲睁䑁䅁䅍灁䅁䅁兲䅉䙁䄴䅁䕂䝁䅕杣灂䡁䅙兙あ䝁䅫杤求䍁䅁䅔灂䝁䅅杙灂䝁䅷兡あ䝁䅫党穂䍁䅁䅓求䝁䅷䅚杁䝁䅙睢祂䍁䅁䅖祂䝁䅅䅚灂䝁䄴睚杁䍁䅧䅊睁䑁䅁䅍灁䅁䅁朷䅁䙁䄴䅁䕂䝁䅕杣灂䡁䅙兙あ䝁䅫杤求䍁䅁䅔灂䝁䅅杙灂䝁䅷兡あ䝁䅫党穂䍁䅁䅓求䝁䅷䅚杁䝁䅙睢祂䍁䅁䅖祂䝁䅅䅚灂䝁䄴睚杁䍁䅧䍲睁䑁䅁䅍灁䅁䅁眫䅉䕁䅧䅁䕂䝁䅕杣灂䡁䅙兙あ䝁䅫杤求䡁䅍䅉䥂䝁䅕䅢歂䍁䅁杚療䡁䅉䅉啂䡁䅉兙歂䝁䅫杢湂䍁䅁䅋歁䑁䅁䅍睁䍁䅫䅁硃䅁䅁䅓䅁䕁䅑党祂䝁䅫杤桂䡁䅑兡㉂䝁䅕督杁䕁䅧党獂䝁䅑䅉浂䝁䄸杣杁䙁䅑杣桂䝁䅑兡畂䝁䅣䅉潁䭁杷䅍睁䑁䅁克䅁偁䍷䅁楂䅁䅁䅒求䡁䅉兡㉂䝁䅅䅤灂䡁䅙党穂䍁䅁兓歂䝁䅕杢あ䝁䅫杚灂䝁䅕䅚杁䝁䅅督杁䕁䄴党湂䝁䅅䅤灂䡁䅙党杁䕁䅧党歂䝁䅣党穂䍁䅁䅋歁䑁䅁䅍睁䍁䅫䅁偃䅁䅁杙䅁䕁䅑党祂䝁䅫杤桂䡁䅑兡㉂䝁䅕督杁䕁䅫䅚求䝁䄴䅤灂䝁䅙兡求䝁䅑䅉桂䡁䅍䅉佂䝁䅕睚桂䡁䅑兡㉂䝁䅕䅉䥂䝁䅕䅚湂䝁䅕督杁䍁䅧䍲睁䑁䅁䅍灁䅁䅁䅹䅉䝁䅉䅁䕂䝁䅕杣灂䡁䅙兙あ䝁䅫杤求䡁䅍䅉䩂䝁䅑党畂䡁䅑兡浂䝁䅫党歂䍁䅁兙穂䍁䅁䅕療䡁䅍兡あ䝁䅫杤求䍁䅁䅓求䝁䅑睚求䡁䅍䅉潁䍁䅑䅍睁䑁䅁克䅁偁䅍䅁楂䅁䅁䅒求䡁䅉兡㉂䝁䅅䅤灂䡁䅙党穂䍁䅁兓歂䝁䅕杢あ䝁䅫杚灂䝁䅕䅚杁䝁䅅督杁䙁䅁睢穂䝁䅫䅤灂䡁䅙党杁䕁䅧党歂䝁䅣党穂䍁䅁䅋獃䑉䅁䅍睁䍁䅫䅁⽄杁䅁䅗䅁䕁䅑兡獂䡁䅕䅤求䝁䅑䅉䙂䙁䅁睕杁䕁䅉党浂䝁䄸杣求䍁䅁兒㑂䡁䅑杣桂䍁䅷䅉硁䍁䅁兗求䝁䅅杣杁䕁䅣杣療䡁䅣䅤潂䍁䅁䅋汁䍁䅫䅁塂杂䅁杕䅁䕁䅑兡獂䡁䅕䅤求䝁䅑䅉䙂䙁䅁睕杁䕁䅉党浂䝁䄸杣求䍁䅁兒㑂䡁䅑杣桂䍁䅷䅉穁䍁䅁兗祂䍁䄴䅉䑂䕁䅅睒卂䍁䅁䅋汁䍁䅫䅁摂杂䅁杕䅁䕁䅑兡獂䡁䅕䅤求䝁䅑䅉䙂䙁䅁睕杁䕁䅉党浂䝁䄸杣求䍁䅁兒㑂䡁䅑杣桂䍁䅷䅉ㅁ䍁䅁兗祂䍁䄴䅉䑂䕁䅅睒卂䍁䅁䅋汁䍁䅫䅁楂杂䅁䅒䅁䕁䅑兡獂䡁䅕䅤求䝁䅑䅉䙂䙁䅁睕杁䕁䅕䅥橂䝁䅷杌杁䕁䅕䅥あ䡁䅉兙杁䕁䅫䅤求䝁䄰督杁䍁䅧䅊灁䅁䅁杔䅍䕁䅑䅁䕂䝁䅫䅢ㅂ䡁䅑党歂䍁䅁兒兂䙁䅍䅉䩂䝁䄴睙獂䍁䄴䅉䙂䡁䅧䅤祂䝁䅅䅉䩂䡁䅑党瑂䡁䅍䅉潁䍁䅑克䅁䍁䑣䅁卂䅁䅁䅒灂䝁䅷兤あ䝁䅕䅚杁䕁䅕䅕呂䍁䅁兓畂䝁䅍䅢畁䍁䅁兒㑂䡁䅑杣桂䍁䅁兓あ䝁䅕兢穂䍁䅁䅋卂䝁䅕䅣療䡁䅉䅤求䝁䅑克䅁䭁䝍䅁䥂䅁䅁䅒灂䝁䅷兤あ䝁䅕䅚杁䕁䅕䅕呂䍁䅁兙浂䡁䅑党祂䍁䅁兒㑂䡁䅑杣桂䝁䄸杣歂䝁䅫杢桂䡁䅉入杁䍁䅧䅊灁䅁䅁杍䅁䕁䅧䅁䕂䝁䅫䅢ㅂ䡁䅑党歂䍁䅁兒兂䙁䅍䅉桂䝁䅙䅤求䡁䅉䅉䙂䡁䅧䅤祂䝁䅅睢祂䝁䅑兡畂䝁䅅杣㕂䍁䅁䅋獃䍉䅫䅁摄杁䅁材䅁䕁䅑兡穂䝁䅍睢畂䡁䅑兡畂䡁䅕党歂䍁䅁睔睂䝁䅕杣桂䡁䅑兡療䝁䄴督杁䍁䅧䅊睁䑁䅁䅍灁䅁䅁䅯䅁䑁䄴䅁䕂䝁䅫督橂䝁䄸杢あ䝁䅫杢ㅂ䝁䅕䅚杁䕁䄸䅣求䡁䅉兙あ䝁䅫睢畂䡁䅍䅉潁䭁杷䅍睁䑁䅁克䅁乁䍣䅁ぁ䅁䅁䅒灂䡁䅍䅤祂䝁䅫杙ㅂ䡁䅑兙楂䝁䅷党杁䕁䅍兙穂䝁䅧䅉潁䍁䅑䅍睁䑁䅁克䅁䭁䐸䅁潂䅁䅁䅒灂䡁䅍䅤祂䝁䅫杙ㅂ䡁䅑兙楂䝁䅷党杁䕁䅍兙穂䝁䅧䅉兂䝁䅅入療䡁䅕䅤杁䙁䅉兙あ䝁䅫睢杁䍁䅧兓畂䝁䅍睢瑂䝁䅕䅉啂䡁䅉兤穂䡁䅑督灁䍁䅁䅋汁䍁䅫䅁ㅃ睁䅁杖䅁䕁䅑兡穂䡁䅑杣灂䝁䅉兤あ䝁䅅杙獂䝁䅕䅉䑂䝁䅅督潂䍁䅁睕潂䝁䅅杣求䡁䅍䅉潁䕁䅉兙穂䝁䅫睙灁䍁䅁䅋桂䝁䅍䅤ㅂ䝁䅅䅢灁䅁䅁杋䅍䙁䅯䅁䕂䝁䅫督あ䡁䅉兡楂䡁䅕䅤桂䝁䅉䅢求䍁䅁睑桂䡁䅍䅡杁䙁䅍䅡桂䡁䅉党穂䍁䅁䅋䕂䝁䅫䅢ㅂ䡁䅑党歂䍁䅫䅉潁䝁䅅睙あ䡁䅕兙獂䍁䅫䅁呃睁䅁村䅁䕁䅑兡穂䡁䅑杣灂䝁䅉兤あ䝁䅅杙獂䝁䅕䅉䑂䝁䅅督潂䍁䅁䅣求䡁䅉䅉呂䝁䅧兙祂䝁䅕䅉潁䍁䅑克䅁䡁䑷䅁潁䅁䅁䅒灂䡁䅙党穂䡁䅑兡あ䡁䅕杣求䡁䅍䅉潁䍁䅑䅍睁䑁䅁克䅁䉁䕧䅁流䅁䅁䅒灂䡁䅙兡歂䝁䅕杢歂䍁䅁兗灂䝁䅕䅢歂䍁䅁䅋汁䍁䅫䅁流䅁䅁䅍䅁䕁䅑兡㉂䝁䅫䅚求䝁䄴䅚穂䍁䅁䅣求䡁䅉䅉穂䝁䅧兙祂䝁䅕䅉潁䍁䅑克䅁䑁䑣䅁䅂䅁䅁䅒療䝁䄰党穂䡁䅑兡橂䍁䅁䅒求䡁䅁睢穂䝁䅫䅤穂䍁䄸䅉䕂䝁䅕䅣療䡁䅍兡あ䡁䅍䅉潁䍁䅕克䅁䅁䉅䅁ぁ䅁䅁䅒療䝁䄰党穂䡁䅑兡橂䍁䅁䅔療䝁䅅杢穂䍁䄸䅉䵂䝁䄸兙畂䡁䅍䅉潁䍁䅕克䅁偁䅷䅁獁䅁䅁䅒療䡁䅕杙あ䝁䅙兤獂䍁䅁䅔療䝁䅅杢穂䍁䅁䅋歁䑁䅁䅍睁䍁䅫䅁剄䅁䅁䅐䅁䕁䅑睢㍂䝁䄴䅉䍂䝁䅫睚杁䕁䅕杚浂䝁䅕睙あ䍁䅁䅋歁䑁䅁䅍睁䍁䅫䅉潁䍁䅑䅍睁䑁䅁克䅁䕁䍁䅁睁䅁䅁䅒療䡁䅣杢杁䕁䅉兡湂䍁䅁兒浂䝁䅙党橂䡁䅑䅉潁䍁䅕克杁䍁䅧兊灁䅁䅁睦䅉䕁䅁䅁䕂䝁䄸睤畂䍁䅁睕瑂䝁䅅䅢獂䍁䅁兒浂䝁䅙党橂䡁䅑䅉潁䍁䅑䅍睁䑁䅁克杁䍁䅧䅊睁䑁䅁䅍灁䅁䅁兏䅉䑁䅑䅁䕂䝁䄸睤畂䍁䅁睕瑂䝁䅅䅢獂䍁䅁兒浂䝁䅙党橂䡁䅑䅉潁䍁䅕克杁䍁䅧兊灁䅁䅁內䅉䉁䅧䅁䙂䕁䅉兓啂䍁䅁䅋歁䑁䅁䅍睁䍁䅫䅁塃睁䅁䅏䅁䕁䅕村䩂䙁䅑䅉癁䍁䅁兓畂䡁䅑党祂䝁䅕督あ䍁䅁兒㑂䡁䅁党畂䡁䅍党杁䍁䅧䅥灁䅁䅁兔䅙䍁䅁䅁䙂䕁䅉兓啂䍁䅁兔桂䡁䅉睚灂䝁䄴䅉潁䍁䅕克䅁䑁䜴䅁畁䅁䅁兒䍂䕁䅫䅖獁䍁䅁免杁䙁䅫杣畁䍁䅁睒祂䝁䄸睤あ䝁䅧䅉潁䍁䅕克䅁䙁䝕䅁煁䅁䅁兒䍂䕁䅫䅖獁䍁䅁睍杁䙁䅫杣畁䍁䅁睑䉂䕁䅣杕杁䍁䅧兊灁䅁䅁睗䅙䍁䅯䅁䙂䕁䅉兓啂䍁䅷䅉ㅁ䍁䅁兗祂䍁䄴䅉䑂䕁䅅睒卂䍁䅁䅋汁䍁䅫䅁桂杂䅁杇䅁䕁䅕村䩂䙁䅑兑杁䍁䅧䅊睁䑁䅁䅍灁䅁䅁杭䅍䉁䅷䅁䙂䕁䅉兓啂䕁䅑兑杁䍁䅧䅊睁䑁䅁䅍灁䅁䅁杬䅍䍁䅑䅁䙂䕁䅉兓啂䕁䅑兑杁䍁䅧杕求䡁䅁睢祂䡁䅑党歂䍁䅫䅁桃杂䅁䅐䅁䕁䅕村䩂䙁䅑䅒䉂䍁䅁睌杁䕁䅫杢あ䝁䅕杣求䡁䅍䅤杁䕁䅕䅥睂䝁䅕杢穂䝁䅕䅉潁䡁䅧克䅁䕁䜴䅁歁䅁䅁兒䍂䕁䅫䅖䕂䕁䅅䅉乂䝁䅅杣湂䝁䅫杢杁䍁䅧兊灁䅁䅁児䅙䑁䅉䅁䙂䕁䅉兓啂䕁䅑兑獁䍁䅁免杁䙁䅫杣畁䍁䅁睒祂䝁䄸睤あ䝁䅧䅉潁䍁䅕克䅁䙁䝑䅁祁䅁䅁兒䍂䕁䅫䅖䕂䕁䅅䅌杁䑁䅍䅉婂䝁䅕兙祂䡁䅍䅉䑂䕁䅅睒卂䍁䅁䅋汁䍁䅫䅁慂杂䅁杍䅁䕁䅕村䩂䙁䅑䅒䉂䍁䅷䅉ㅁ䍁䅁兗求䝁䅅杣穂䍁䅁睑䉂䕁䅣杕杁䍁䅧兊灁䅁䅁䅙䅙䉁䄴䅁䙂䕁䅉兓啂䕁䅑兑卂䍁䅁䅋歁䑁䅁䅍睁䍁䅫䅁捃睁䅁䅐䅁䕁䅕村啂䍁䅁兒㑂䝁䅍䅢杁䙁䅕杢ㅂ䡁䅍兤桂䝁䅷䅉䩂䡁䅑党瑂䡁䅍䅉潁䍁䅑䅍睁䑁䅁克䅁䡁䑕䅁⭁䅁䅁兒䍂䙁䅑䅉䩂䝁䄴睙獂䍁䄴䅉噂䝁䄴兤穂䡁䅕兙獂䍁䅁兓あ䝁䅕兢穂䍁䅁䅋歁䑁䅁䅍睁䍁䅫䅁䩃睁䅁杗䅁䕁䅕睑呂䍁䅁䅖療䡁䅑兙獂䍁䅁睑療䝁䄰兢療䝁䄴䅉呂䝁䅧兙祂䝁䅕督杁䕁䄸兤あ䡁䅍䅤桂䝁䄴䅚灂䝁䄴睚杁䍁䅧兙橂䡁䅑兤桂䝁䅷克䅁䡁䕣䅁煂䅁䅁兒䑂䙁䅍䅉啂䝁䄸䅤桂䝁䅷䅉呂䝁䅧兙祂䝁䅕督杁䕁䄸兤あ䡁䅍䅤桂䝁䄴䅚灂䝁䄴睚杁䝁䄸杢杁䕁䅙兡獂䝁䅫杢湂䍁䅁䅒桂䡁䅑党杁䍁䅧兙橂䡁䅑兤桂䝁䅷克䅁䡁䕑䅁㉁䅁䅁兒偂䙁䅁䅉䕂䝁䄸睤杁䕁䅯睢畂䝁䅕督杁䕁䅫杢歂䝁䅕䅥杁䙁䅙兙獂䡁䅕党杁䅁䅁睉䅉䑁䅉䅁䙂䕁䄸䅕杁䙁䅍杊兂䍁䅁兎睁䑁䅁䅉䩂䝁䄴䅚求䡁䅧䅉坂䝁䅅䅢ㅂ䝁䅕䅉䅁乁䉙䅁䭁䅁䅁兒兂䕁䅅兔䅁乁䝅䅁流䅁䅁兒兂䕁䅅兔杁䙁䅍入穂䡁䅑党瑂䡁䅍䅌杁䕁䅫杢橂䍁䄴䅁卄杂䅁䅅䅁䕁䅕䅕䉂䕁䄰兌噂䙁䅍䅁⽄杂䅁䅑䅁䕁䅕兙祂䝁䄴兡畂䝁䅣督杁䝁䅙杣療䝁䄰䅉䑂䝁䄸杢あ䍁䄴䅉偂䡁䅁督畁䍁䅁䅋歁䑁䅁䅍睁䍁䅫䅁⽁睁䅁杓䅁䕁䅕兙祂䝁䄴兡畂䝁䅣督杁䝁䄸杚杁䕁䅑兡穂䝁䅍睢畂䡁䅑兡畂䡁䅕党歂䍁䅁睔睂䡁䅍杌杁䍁䅧䅊睁䑁䅁䅍灁䅁䅁村䅍䍁䄴䅁䙂䝁䅙杚求䝁䅍䅤灂䡁䅙党杁䙁䅑兙㑂䍁䅁杕桂䡁䅑党杁䍁䅧兊灁䅁䅁睴䅍䍁䅯䅁䙂䝁䅙杚灂䝁䅍兡求䝁䄴睙㕂䍁䅁杕桂䡁䅑兡療䍁䅁䅋汁䍁䅫䅁湁杁䅁杖䅁䕁䅕兢睂䝁䅷睢㕂䝁䅕杣杁䕁䅍睢畂䡁䅑杣灂䝁䅉兤あ䝁䅫睢畂䡁䅍䅉潁䕁䄸䅕䙂䕁䅉䅉瑁䍁䅁䅒療䝁䄰克杁䍁䅧䅊睁䑁䅁䅍灁䅁䅁睶䅑䙁䅙䅁䙂䝁䄰䅣獂䝁䄸入求䡁䅉䅉䑂䝁䄸杢あ䡁䅉兡楂䡁䅕䅤灂䝁䄸杢穂䍁䅁䅋偂䙁䅁兒䍂䍁䅁兌杁䕁䅙睒佂䍁䅫䅉潁䍁䅑䅍睁䑁䅁克䅁乁䙕䅁䭂䅁䅁兒瑂䡁䅁䅢療䡁䅫党祂䍁䅁睑療䝁䄴䅤祂䝁䅫杙ㅂ䡁䅑兡療䝁䄴督杁䍁䅧睔兂䕁䅕村灁䍁䅁䅋歁䑁䅁䅍睁䍁䅫䅁㉂䅂䅁䅘䅁䕁䅕兢睂䝁䅷睢㕂䝁䅕杣杁䕁䅍睢畂䡁䅑杣灂䝁䅉兤あ䝁䅫睢畂䡁䅍䅉潁䙁䅁党畂䡁䅍兡療䝁䄴䅉瑁䍁䅁䅒療䝁䄰克杁䍁䅧䅊睁䑁䅁䅍灁䅁䅁兇䅕䙁䅷䅁䙂䝁䄰䅣獂䝁䄸入求䡁䅉䅉䑂䝁䄸杢あ䡁䅉兡楂䡁䅕䅤灂䝁䄸杢穂䍁䅁䅋兂䝁䅕杢穂䝁䅫睢畂䍁䅁兌杁䕁䅙睒佂䍁䅫䅉潁䍁䅑䅍睁䑁䅁克䅁䩁䙙䅁兂䅁䅁兒瑂䡁䅁䅢療䡁䅫党祂䍁䅁睑療䝁䄴䅤祂䝁䅫杙ㅂ䡁䅑兡療䝁䄴督杁䍁䅧䅕求䝁䄴督灂䝁䄸杢灁䍁䅁䅋歁䑁䅁䅍睁䍁䅫䅁䍁䅂䅁杆䅁䕁䅕杢あ䝁䅫䅤㕂䍁䅁兓䕂䍁䅁䅁噃杂䅁杇䅁䕁䅕杢あ䝁䅫䅤㕂䍁䅁杔桂䝁䄰党杁䅁䅁睈䅍䙁䅯䅁䙂䡁䅅兤灂䡁䅑入杁䕁䅅䅤あ䡁䅉兡楂䡁䅕䅤桂䝁䅉䅢求䍁䅁䅤療䍁䅁䅕桂䡁䅉党畂䡁䅑䅉䑂䝁䄸兢睂䝁䅅杢㕂䍁䅁䅋歁䑁䅁䅍睁䍁䅫䅁⽂䅁䅁杗䅁䕁䅕兣ㅂ䝁䅫䅤㕂䍁䅁兑あ䡁䅑杣灂䝁䅉兤あ䝁䅅杙獂䝁䅕䅉あ䝁䄸䅉兂䝁䅅杣求䝁䄴䅤杁䕁䅍睢瑂䡁䅁兙畂䡁䅫䅉潁䭁杷䅍睁䑁䅁克䅁䱁䍣䅁䅂䅁䅁兒硂䡁䅕兡あ䡁䅫䅉䥂䡁䅫杙祂䝁䅫䅚杁䙁䅍党橂䡁䅕杣灂䡁䅑兡求䡁䅍䅉潁䍁䅑䅍睁䑁䅁克䅁䥁䅯䅁䅂䅁䅁兒硂䡁䅕兡あ䡁䅫䅉䥂䡁䅫杙祂䝁䅫䅚杁䙁䅍党橂䡁䅕杣灂䡁䅑兡求䡁䅍䅉潁䭁杷䅍睁䑁䅁克䅁䱁䌸䅁䍂䅁䅁兒硂䡁䅕兡あ䡁䅫䅉乂䝁䅕䅤潂䝁䄸䅚杁䕁䅫杢㉂䝁䅕督あ䝁䄰党畂䡁䅑督杁䍁䅧䅊睁䑁䅁䅍灁䅁䅁杧䅑䝁䅁䅁䙂䡁䅍䅤畁䍁䅁睑療䝁䄴䅤祂䝁䅫杙ㅂ䡁䅑兡療䝁䄴督杁䍁䅧䅕求䝁䄴督灂䝁䄸杢灁䍁䅁兌杁䕁䄴党㑂䡁䅑䅉婂䝁䅕兙祂䍁䅁䅋歁䑁䅁䅍睁䍁䅫䅁潂䅂䅁䅢䅁䕁䅕督あ䍁䄴䅉䑂䝁䄸杢あ䡁䅉兡楂䡁䅕䅤灂䝁䄸杢穂䍁䅁䅋兂䝁䅕杢穂䝁䅫睢畂䍁䅫䅉瑁䍁䅁杔求䡁䅧䅤杁䙁䅫党桂䡁䅉䅉瑁䍁䅁䅒療䝁䄰䅉潁䍁䅑䅍睁䑁䅁克䅁䑁䘴䅁あ䅁䅁兒穂䡁䅑杌杁䕁䅍睢畂䡁䅑杣灂䝁䅉兤あ䝁䅫睢畂䡁䅍䅉潁䙁䅁党畂䡁䅍兡療䝁䄴克杁䍁䄰䅉佂䝁䅕䅥あ䍁䅁兗求䝁䅅杣杁䍁䄰䅉䝂䝁䄸杣求䝁䅫睚畂䍁䅁䅋歁䑁䅁䅍睁䍁䅫䅁⭃兂䅁杢䅁䕁䅕督あ䍁䄴䅉䝂䡁䅕䅤ㅂ䡁䅉党杁䕁䅉党畂䝁䅕杚灂䡁䅑督杁䙁䅁兙灂䝁䅑䅉潁䕁䄸䅕䙂䕁䅉克杁䍁䄰䅉硁䡁䅍䅤杁䙁䅫杣杁䍁䄰䅉䕂䝁䄸兢杁䍁䅧䅊睁䑁䅁䅍灁䅁䅁杢䅕䝁䄴䅁䙂䡁䅍䅤畁䍁䅁杒ㅂ䡁䅑兤祂䝁䅕䅉䍂䝁䅕杢求䝁䅙兡あ䡁䅍䅉兂䝁䅅兡歂䍁䅁䅋偂䙁䅁兒䍂䍁䅫䅉瑁䍁䅁免穂䡁䅑䅉婂䡁䅉䅉瑁䍁䅁杒䡂䕁䄴䅉潁䍁䅑䅍睁䑁䅁克䅁䅁䕑䅁歂䅁䅁兒穂䡁䅑杌杁䕁䅙兤あ䡁䅕杣求䍁䅁村求䝁䄴党浂䝁䅫䅤穂䍁䅁䅕桂䝁䅫䅚杁䍁䅧睔兂䕁䅕村灁䍁䅁兌杁䑁䅅督あ䍁䅁兗祂䍁䄴䅉潁䍁䅑䅍睁䑁䅁克䅁䭁䕁䅁畂䅁䅁兒穂䡁䅑杌杁䕁䅙兤あ䡁䅕杣求䍁䅁村求䝁䄴党浂䝁䅫䅤穂䍁䅁䅕桂䝁䅫䅚杁䍁䅧睔兂䕁䅕村灁䍁䅁兌杁䑁䅉杢歂䍁䅁兗祂䍁䅁兌杁䕁䅑睢瑂䍁䅁䅋歁䑁䅁䅍睁䍁䅫䅁療兂䅁杢䅁䕁䅕督あ䍁䄴䅉䝂䡁䅕䅤ㅂ䡁䅉党杁䕁䅉党畂䝁䅕杚灂䡁䅑督杁䙁䅁兙灂䝁䅑䅉潁䕁䄸䅕䙂䕁䅉克杁䍁䄰䅉祁䝁䄴䅚杁䙁䅫杣杁䍁䄰䅉䝂䕁䅣杔杁䍁䅧䅊睁䑁䅁䅍灁䅁䅁眸䅕䝁䅑䅁䙂䡁䅍䅤畁䍁䅁杒ㅂ䡁䅑兤祂䝁䅕䅉䍂䝁䅕杢求䝁䅙兡あ䡁䅍䅉兂䝁䅅兡歂䍁䅁䅋偂䙁䅁兒䍂䍁䅫䅉瑁䍁䅁杍畂䝁䅑䅉婂䡁䅉杌杁䍁䅧䅊睁䑁䅁䅍灁䅁䅁䅪䅑䝁䄴䅁䙂䡁䅍䅤畁䍁䅁杒ㅂ䡁䅑兤祂䝁䅕䅉䍂䝁䅕杢求䝁䅙兡あ䡁䅍䅉兂䝁䅅兡歂䍁䅁䅋偂䙁䅁兒䍂䍁䅫䅉瑁䍁䅁睍祂䝁䅑䅉婂䡁䅉䅉瑁䍁䅁䅒療䝁䄰䅉潁䍁䅑䅍睁䑁䅁克䅁䱁䐰䅁畂䅁䅁兒穂䡁䅑杌杁䕁䅙兤あ䡁䅕杣求䍁䅁村求䝁䄴党浂䝁䅫䅤穂䍁䅁䅕桂䝁䅫䅚杁䍁䅧睔兂䕁䅕村灁䍁䅁兌杁䑁䅍杣歂䍁䅁兗祂䍁䅁兌杁䕁䅙睒佂䍁䅁䅋歁䑁䅁䅍睁䍁䅫䅁坄兂䅁䅚䅁䕁䅕督あ䍁䄴䅉䝂䡁䅕䅤ㅂ䡁䅉党杁䕁䅉党畂䝁䅕杚灂䡁䅑督杁䙁䅁兙灂䝁䅑䅉潁䕁䄸䅕䙂䕁䅉克杁䍁䄰䅉穁䡁䅉䅚杁䙁䅫杣畁䍁䅁䅋歁䑁䅁䅍睁䍁䅫䅁楄睁䅁杢䅁䕁䅕督あ䍁䄴䅉䝂䡁䅕䅤ㅂ䡁䅉党杁䕁䅉党畂䝁䅕杚灂䡁䅑督杁䙁䅁兙灂䝁䅑䅉潁䕁䄸䅕䙂䕁䅉克杁䍁䄰䅉ぁ䡁䅑䅡杁䙁䅫杣杁䍁䄰䅉䕂䝁䄸兢杁䍁䅧䅊睁䑁䅁䅍灁䅁䅁兣䅑䝁䄴䅁䙂䡁䅍䅤畁䍁䅁杒ㅂ䡁䅑兤祂䝁䅕䅉䍂䝁䅕杢求䝁䅙兡あ䡁䅍䅉兂䝁䅅兡歂䍁䅁䅋偂䙁䅁兒䍂䍁䅫䅉瑁䍁䅁䅎あ䝁䅧䅉婂䡁䅉䅉瑁䍁䅁杒䡂䕁䄴䅉潁䍁䅑䅍睁䑁䅁克䅁䕁䕯䅁歂䅁䅁兒穂䡁䅑杌杁䕁䅙兤あ䡁䅕杣求䍁䅁村求䝁䄴党浂䝁䅫䅤穂䍁䅁䅕桂䝁䅫䅚杁䍁䅧睔兂䕁䅕村灁䍁䅁兌杁䑁䅑䅤潂䍁䅁兗祂䍁䄴䅉潁䍁䅑䅍睁䑁䅁克䅁佁䑣䅁畂䅁䅁兒穂䡁䅑杌杁䕁䅙兤あ䡁䅕杣求䍁䅁村求䝁䄴党浂䝁䅫䅤穂䍁䅁䅕桂䝁䅫䅚杁䍁䅧睔兂䕁䅕村灁䍁䅁兌杁䑁䅕䅤潂䍁䅁兗祂䍁䅁兌杁䕁䅑睢瑂䍁䅁䅋歁䑁䅁䅍睁䍁䅫䅁硂兂䅁杢䅁䕁䅕督あ䍁䄴䅉䝂䡁䅕䅤ㅂ䡁䅉党杁䕁䅉党畂䝁䅕杚灂䡁䅑督杁䙁䅁兙灂䝁䅑䅉潁䕁䄸䅕䙂䕁䅉克杁䍁䄰䅉ㅁ䡁䅑䅡杁䙁䅫杣杁䍁䄰䅉䝂䕁䅣杔杁䍁䅧䅊睁䑁䅁䅍灁䅁䅁儹䅑䝁䅑䅁䙂䡁䅍䅤畁䍁䅁杒ㅂ䡁䅑兤祂䝁䅕䅉䍂䝁䅕杢求䝁䅙兡あ䡁䅍䅉兂䝁䅅兡歂䍁䅁䅋偂䙁䅁兒䍂䍁䅫䅉瑁䍁䅁兎あ䝁䅧䅉婂䡁䅉杌杁䍁䅧䅊睁䑁䅁䅍灁䅁䅁䄫䅍䝁䅯䅁䙂䡁䅍䅤畁䍁䅁杒ㅂ䡁䅑兤祂䝁䅕䅉䍂䝁䅕杢求䝁䅙兡あ䡁䅍䅉兂䝁䅅兡歂䍁䅁䅋偂䙁䅁兒䍂䍁䅫䅉瑁䍁䅁䅖潂䝁䅕杣求䝁䅅杚あ䝁䅕杣杁䍁䅧䅊睁䑁䅁䅍灁䅁䅁兵䅑䡁䅑䅁䙂䡁䅍䅤畁䍁䅁杒ㅂ䡁䅑兤祂䝁䅕䅉䍂䝁䅕杢求䝁䅙兡あ䡁䅍䅉兂䝁䅅兡歂䍁䅁䅋兂䝁䅕杢穂䝁䅫睢畂䍁䅫䅉瑁䍁䅁免穂䡁䅑䅉婂䡁䅉䅉瑁䍁䅁䅒療䝁䄰䅉潁䍁䅑䅍睁䑁䅁克䅁乁䕯䅁あ䅁䅁兒穂䡁䅑杌杁䕁䅙兤あ䡁䅕杣求䍁䅁村求䝁䄴党浂䝁䅫䅤穂䍁䅁䅕桂䝁䅫䅚杁䍁䅧䅕求䝁䄴督灂䝁䄸杢灁䍁䅁兌杁䑁䅅督あ䍁䅁兗祂䍁䅁兌杁䕁䅙睒佂䍁䅁䅋歁䑁䅁䅍睁䍁䅫䅁祃兂䅁条䅁䕁䅕督あ䍁䄴䅉䝂䡁䅕䅤ㅂ䡁䅉党杁䕁䅉党畂䝁䅕杚灂䡁䅑督杁䙁䅁兙灂䝁䅑䅉潁䙁䅁党畂䡁䅍兡療䝁䄴克杁䍁䄰䅉硁䡁䅍䅤杁䙁䅫杣畁䍁䅁䅋歁䑁䅁䅍睁䍁䅫䅁慁䅂䅁䅤䅁䕁䅕督あ䍁䄴䅉䝂䡁䅕䅤ㅂ䡁䅉党杁䕁䅉党畂䝁䅕杚灂䡁䅑督杁䙁䅁兙灂䝁䅑䅉潁䙁䅁党畂䡁䅍兡療䝁䄴克杁䍁䄰䅉祁䝁䄴䅚杁䙁䅫杣杁䍁䄰䅉䕂䝁䄸兢杁䍁䅧䅊睁䑁䅁䅍灁䅁䅁睌䅕䡁䅑䅁䙂䡁䅍䅤畁䍁䅁杒ㅂ䡁䅑兤祂䝁䅕䅉䍂䝁䅕杢求䝁䅙兡あ䡁䅍䅉兂䝁䅅兡歂䍁䅁䅋兂䝁䅕杢穂䝁䅫睢畂䍁䅫䅉瑁䍁䅁杍畂䝁䅑䅉婂䡁䅉䅉瑁䍁䅁杒䡂䕁䄴䅉潁䍁䅑䅍睁䑁䅁克䅁䱁䙍䅁煂䅁䅁兒穂䡁䅑杌杁䕁䅙兤あ䡁䅕杣求䍁䅁村求䝁䄴党浂䝁䅫䅤穂䍁䅁䅕桂䝁䅫䅚杁䍁䅧䅕求䝁䄴督灂䝁䄸杢灁䍁䅁兌杁䑁䅉杢歂䍁䅁兗祂䍁䄴䅉潁䍁䅑䅍睁䑁䅁克䅁䵁䕳䅁あ䅁䅁兒穂䡁䅑杌杁䕁䅙兤あ䡁䅕杣求䍁䅁村求䝁䄴党浂䝁䅫䅤穂䍁䅁䅕桂䝁䅫䅚杁䍁䅧䅕求䝁䄴督灂䝁䄸杢灁䍁䅁兌杁䑁䅍杣歂䍁䅁兗祂䍁䅁兌杁䕁䅑睢瑂䍁䅁䅋歁䑁䅁䅍睁䍁䅫䅁慁兂䅁䅤䅁䕁䅕督あ䍁䄴䅉䝂䡁䅕䅤ㅂ䡁䅉党杁䕁䅉党畂䝁䅕杚灂䡁䅑督杁䙁䅁兙灂䝁䅑䅉潁䙁䅁党畂䡁䅍兡療䝁䄴克杁䍁䄰䅉穁䡁䅉䅚杁䙁䅫杣杁䍁䄰䅉䝂䕁䅣杔杁䍁䅧䅊睁䑁䅁䅍灁䅁䅁睩䅍䝁䅯䅁䙂䡁䅍䅤畁䍁䅁杒ㅂ䡁䅑兤祂䝁䅕䅉䍂䝁䅕杢求䝁䅙兡あ䡁䅍䅉兂䝁䅅兡歂䍁䅁䅋兂䝁䅕杢穂䝁䅫睢畂䍁䅫䅉瑁䍁䅁睍祂䝁䅑䅉婂䡁䅉杌杁䍁䅧䅊睁䑁䅁䅍灁䅁䅁兺䅑䡁䅑䅁䙂䡁䅍䅤畁䍁䅁杒ㅂ䡁䅑兤祂䝁䅕䅉䍂䝁䅕杢求䝁䅙兡あ䡁䅍䅉兂䝁䅅兡歂䍁䅁䅋兂䝁䅕杢穂䝁䅫睢畂䍁䅫䅉瑁䍁䅁䅎あ䝁䅧䅉婂䡁䅉䅉瑁䍁䅁䅒療䝁䄰䅉潁䍁䅑䅍睁䑁䅁克䅁䑁䙁䅁あ䅁䅁兒穂䡁䅑杌杁䕁䅙兤あ䡁䅕杣求䍁䅁村求䝁䄴党浂䝁䅫䅤穂䍁䅁䅕桂䝁䅫䅚杁䍁䅧䅕求䝁䄴督灂䝁䄸杢灁䍁䅁兌杁䑁䅑䅤潂䍁䅁兗祂䍁䅁兌杁䕁䅙睒佂䍁䅁䅋歁䑁䅁䅍睁䍁䅫䅁剃睁䅁条䅁䕁䅕督あ䍁䄴䅉䝂䡁䅕䅤ㅂ䡁䅉党杁䕁䅉党畂䝁䅕杚灂䡁䅑督杁䙁䅁兙灂䝁䅑䅉潁䙁䅁党畂䡁䅍兡療䝁䄴克杁䍁䄰䅉ぁ䡁䅑䅡杁䙁䅫杣畁䍁䅁䅋歁䑁䅁䅍睁䍁䅫䅁佄䅂䅁䅤䅁䕁䅕督あ䍁䄴䅉䝂䡁䅕䅤ㅂ䡁䅉党杁䕁䅉党畂䝁䅕杚灂䡁䅑督杁䙁䅁兙灂䝁䅑䅉潁䙁䅁党畂䡁䅍兡療䝁䄴克杁䍁䄰䅉ㅁ䡁䅑䅡杁䙁䅫杣杁䍁䄰䅉䕂䝁䄸兢杁䍁䅧䅊睁䑁䅁䅍灁䅁䅁杍䅕䡁䅑䅁䙂䡁䅍䅤畁䍁䅁杒ㅂ䡁䅑兤祂䝁䅕䅉䍂䝁䅕杢求䝁䅙兡あ䡁䅍䅉兂䝁䅅兡歂䍁䅁䅋兂䝁䅕杢穂䝁䅫睢畂䍁䅫䅉瑁䍁䅁兎あ䝁䅧䅉婂䡁䅉䅉瑁䍁䅁杒䡂䕁䄴䅉潁䍁䅑䅍睁䑁䅁克䅁䱁䙕䅁煂䅁䅁兒穂䡁䅑杌杁䕁䅙兤あ䡁䅕杣求䍁䅁村求䝁䄴党浂䝁䅫䅤穂䍁䅁䅕桂䝁䅫䅚杁䍁䅧䅕求䝁䄴督灂䝁䄸杢灁䍁䅁兌杁䑁䅕䅤潂䍁䅁兗祂䍁䄴䅉潁䍁䅑䅍睁䑁䅁克䅁乁䕁䅁祂䅁䅁兒穂䡁䅑杌杁䕁䅙兤あ䡁䅕杣求䍁䅁村求䝁䄴党浂䝁䅫䅤穂䍁䅁䅕桂䝁䅫䅚杁䍁䅧䅕求䝁䄴督灂䝁䄸杢灁䍁䅁兌杁䑁䅕䅤潂䍁䅁兗祂䍁䄴䅉潁䙁䅉党睂䝁䄸杣あ䝁䅕䅚灁䅁䅁杅䅣䡁䅁䅁䙂䡁䅍䅤畁䍁䅁杒ㅂ䡁䅑兤祂䝁䅕䅉䍂䝁䅕杢求䝁䅙兡あ䡁䅍䅉兂䝁䅅兡歂䍁䅁䅋兂䝁䅕杢穂䝁䅫睢畂䍁䅫䅉瑁䍁䅁䅖潂䝁䅕杣求䝁䅅杚あ䝁䅕杣杁䍁䅧䅊睁䑁䅁䅍灁䅁䅁睺䅑䡁䅧䅁䙂䡁䅍䅤畁䍁䅁杒ㅂ䡁䅑兤祂䝁䅕䅉䍂䝁䅕杢求䝁䅙兡あ䡁䅍䅉兂䝁䅅兡歂䍁䅁䅋兂䝁䅕杢穂䝁䅫睢畂䍁䅫䅉瑁䍁䅁䅖潂䝁䅕杣求䝁䅅杚あ䝁䅕杣杁䍁䅧杕求䡁䅁睢祂䡁䅑党歂䍁䅫䅁呁睂䅁杣䅁䕁䅕督あ䍁䄴䅉䝂䡁䅕䅤ㅂ䡁䅉党杁䕁䅉党畂䝁䅕杚灂䡁䅑督杁䙁䅁兙灂䝁䅑兌啂䝁䅧党祂䝁䅕兙浂䡁䅑党祂䍁䅁䅋偂䙁䅁兒䍂䍁䅁兌杁䕁䅑睢瑂䍁䅫䅉潁䍁䅑䅍睁䑁䅁克䅁䡁䙁䅁祂䅁䅁兒穂䡁䅑杌杁䕁䅙兤あ䡁䅕杣求䍁䅁村求䝁䄴党浂䝁䅫䅤穂䍁䅁䅕桂䝁䅫䅚瑁䙁䅑䅡求䡁䅉党桂䝁䅙䅤求䡁䅉䅉潁䕁䄸䅕䙂䕁䅉䅉瑁䍁䅁杒䡂䕁䄴克杁䍁䅧䅊睁䑁䅁䅍灁䅁䅁䄹䅕䡁䅑䅁䙂䡁䅍䅤畁䍁䅁杒ㅂ䡁䅑兤祂䝁䅕䅉䍂䝁䅕杢求䝁䅙兡あ䡁䅍䅉兂䝁䅅兡歂䍁䄰䅖潂䝁䅕杣求䝁䅅杚あ䝁䅕杣杁䍁䅧䅕求䝁䄴督灂䝁䄸杢瑁䕁䅑睢瑂䍁䅫䅉潁䍁䅑䅍睁䑁䅁克䅁䑁䙅䅁あ䅁䅁兒穂䡁䅑杌杁䕁䅙兤あ䡁䅕杣求䍁䅁村求䝁䄴党浂䝁䅫䅤穂䍁䅁䅕桂䝁䅫䅚瑁䙁䅑䅡求䡁䅉党桂䝁䅙䅤求䡁䅉䅉潁䙁䅁党畂䡁䅍兡療䝁䄴兌䝂䕁䅣杔灁䍁䅁䅋歁䑁䅁䅍睁䍁䅫䅁ぃ兂䅁䅑䅁䕁䅕兤祂䝁䄸䅣求䝁䅅杢杁䕁䅑党睂䝁䄸督灂䡁䅑督癁䍁䅁䅒求䡁䅁睢穂䝁䅫䅤穂䍁䅁䅋汁䍁䅫䅁㉂䅁䅁䅎䅁䕁䅕兤祂䝁䄸䅣求䝁䅅杢杁䕁䅷睢桂䝁䄴督癁䍁䅁䅔療䝁䅅杢穂䍁䅁䅋汁䍁䅫䅁㥄䅁䅁䅚䅁䕁䅕䅥睂䍁䄴䅉䵂䙁䅑䅉卂䝁䅅䅤求䍁䅁睢浂䍁䅁杕求䡁䅑兤祂䝁䄴䅉療䝁䄴䅉䉂䡁䅍督求䡁䅑督杁䍁䅧睔兂䕁䅕村灁䍁䅁兌杁䕁䄰兙㑂䍁䅁䅋汁䍁䅫䅁い䅂䅁䅚䅁䕁䅕䅥睂䍁䄴䅉䵂䙁䅑䅉卂䝁䅅䅤求䍁䅁睢浂䍁䅁杕求䡁䅑兤祂䝁䄴䅉療䝁䄴䅉䉂䡁䅍督求䡁䅑督杁䍁䅧睔兂䕁䅕村灁䍁䅁兌杁䕁䄰兡畂䍁䅁䅋汁䍁䅫䅁祄䅂䅁䅢䅁䕁䅕䅥睂䍁䄴䅉䵂䙁䅑䅉卂䝁䅅䅤求䍁䅁睢浂䍁䅁杕求䡁䅑兤祂䝁䄴䅉療䝁䄴䅉䉂䡁䅍督求䡁䅑督杁䍁䅧睔兂䕁䅕村灁䍁䅁兌乂䝁䅅䅥瑁䍁䅁䅒療䝁䄰䅉潁䍁䅕克䅁䵁䕕䅁獂䅁䅁兒㑂䡁䅁杌杁䕁䅷䅖杁䙁䅉兙あ䝁䅕䅉療䝁䅙䅉卂䝁䅕䅤ㅂ䡁䅉杢杁䝁䄸杢杁䕁䅅督穂䝁䅕䅤穂䍁䅁䅋偂䙁䅁兒䍂䍁䅫䅉瑁䕁䄰兙㑂䍁䄰䅉䝂䕁䅣杔杁䍁䅧兊灁䅁䅁儴䅕䝁䅷䅁䙂䡁䅧䅣畁䍁䅁䅔啂䍁䅁杕桂䡁䅑党杁䝁䄸杚杁䙁䅉党あ䡁䅕杣畂䍁䅁睢畂䍁䅁兑穂䡁䅍党あ䡁䅍䅉潁䕁䄸䅕䙂䕁䅉克杁䍁䄰兔灂䝁䄴兌杁䕁䅑睢瑂䍁䅁䅋汁䍁䅫䅁䑄睁䅁䅢䅁䕁䅕䅥睂䍁䄴䅉䵂䙁䅑䅉卂䝁䅅䅤求䍁䅁睢浂䍁䅁杕求䡁䅑兤祂䝁䄴䅉療䝁䄴䅉䉂䡁䅍督求䡁䅑督杁䍁䅧睔兂䕁䅕村灁䍁䅁兌乂䝁䅫杢瑁䍁䅁杒䡂䕁䄴䅉潁䍁䅕克䅁佁䙁䅁煂䅁䅁兒㑂䡁䅁杌杁䕁䅷䅖杁䙁䅉兙あ䝁䅕䅉療䝁䅙䅉卂䝁䅕䅤ㅂ䡁䅉杢杁䝁䄸杢杁䕁䅅督穂䝁䅕䅤穂䍁䅁䅋兂䝁䅕杢穂䝁䅫睢畂䍁䅫䅉瑁䍁䅁兔桂䡁䅧䅉潁䍁䅕克䅁䱁䕷䅁煂䅁䅁兒㑂䡁䅁杌杁䕁䅷䅖杁䙁䅉兙あ䝁䅕䅉療䝁䅙䅉卂䝁䅕䅤ㅂ䡁䅉杢杁䝁䄸杢杁䕁䅅督穂䝁䅕䅤穂䍁䅁䅋兂䝁䅕杢穂䝁䅫睢畂䍁䅫䅉瑁䍁䅁兔灂䝁䄴䅉潁䍁䅕克䅁䱁䑁䅁潂䅁䅁兒㑂䡁䅁杌杁䕁䅷睢畂䝁䅣兌啂䝁䅕杣瑂䍁䅁杕偂䙁䅉䅉䉂䡁䅍督求䡁䅑督杁䍁䄰䅉乂䝁䅅䅥杁䍁䅧䅕求䝁䄴督灂䝁䄸杢杁䍁䄰䅉䕂䝁䄸兢灁䍁䅁䅋汁䍁䅫䅁权睁䅁䅡䅁䕁䅕䅥睂䍁䄴䅉䵂䝁䄸杢湂䍁䄰䅖求䡁䅉兢杁䙁䅉睔卂䍁䅁兑穂䡁䅍党あ䡁䅍䅉瑁䍁䅁兔桂䡁䅧䅉潁䙁䅁党畂䡁䅍兡療䝁䄴䅉瑁䍁䅁杒䡂䕁䄴克杁䍁䅧兊灁䅁䅁督䅑䝁䅧䅁䙂䡁䅧䅣畁䍁䅁䅔療䝁䄴睚瑁䙁䅑党祂䝁䄰䅉卂䕁䄸杕杁䕁䅅督穂䝁䅕䅤穂䍁䅁兌杁䕁䄰兡畂䍁䅁䅋兂䝁䅕杢穂䝁䅫睢畂䍁䅁兌杁䕁䅑睢瑂䍁䅫䅉潁䍁䅕克䅁䡁䕷䅁潂䅁䅁兒㑂䡁䅁杌杁䕁䅷睢畂䝁䅣兌啂䝁䅕杣瑂䍁䅁杕偂䙁䅉䅉䉂䡁䅍督求䡁䅑督杁䍁䄰䅉乂䝁䅫杢杁䍁䅧䅕求䝁䄴督灂䝁䄸杢杁䍁䄰䅉䝂䕁䅣杔灁䍁䅁䅋汁䍁䅫䅁敃兂䅁䅒䅁䕁䅕䅥睂䝁䅷睢祂䝁䅅䅤灂䝁䄸杢癁䕁䅑杣灂䝁䅷䅢灂䝁䄴睚杁䕁䅍睢穂䡁䅑督杁䍁䅧䅊睁䑁䅁䅍灁䅁䅁䅓䅍䕁䅯䅁䙂䡁䅧䅣獂䝁䄸杣桂䡁䅑兡療䝁䄴睌䕂䡁䅉兡獂䝁䅷兡畂䝁䅣䅉䙂䡁䅧䅣求䝁䄴督求䡁䅍䅉潁䍁䅑䅍睁䑁䅁克䅁䵁䑳䅁兂䅁䅁兒㑂䡁䅑杣桂䝁䄸杣歂䍁䄴䅉䩂䡁䅑党瑂䍁䅁杊杁䕁䅅睙橂䝁䄸兤畂䡁䅑杌杁䕁䅍䅡桂䝁䄴睚求䍁䅁䅋歁䑁䅁䅍睁䍁䅫䅁䙂睁䅁李䅁䕁䅕䅥あ䡁䅉兙療䡁䅉䅚灂䝁䄴兙祂䡁䅫䅉䩂䡁䅑党瑂䡁䅍䅉潁䍁䅑䅍睁䑁䅁克䅁䉁䌰䅁流䅁䅁杒畁䕁䄴杌䍂䍁䄴䅉䑂䝁䄸杣睂䝁䄸杣桂䡁䅑兡療䝁䄴䅁㍃杂䅁䅤䅁䕁䅙睒佂䍁䄴䅉䙂䡁䅧睙潂䝁䅅杢湂䝁䅕䅉䉂䝁䅑条畁䍁䅁䅋偂䙁䅁兒䍂䍁䅁兌杁䕁䅑睔乂䍁䅫䅉瑁䍁䅁䅕獂䝁䅅杢杁䕁䄸杙獂䝁䅫睚桂䡁䅑兡療䝁䄴督杁䍁䅧䅊睁䑁䅁䅍灁䅁䅁睓䅕䡁䅑䅁䝂䕁䅣杔畁䍁䅁兒㑂䝁䅍䅡桂䝁䄴睚求䍁䅁兑歂䝁䅯杌杁䍁䅧睔兂䕁䅕村杁䍁䄰䅉䝂䕁䅣杔灁䍁䅁兌杁䙁䅁䅢桂䝁䄴䅉偂䝁䅉䅢灂䝁䅣兙あ䝁䅫睢畂䡁䅍䅉潁䍁䅑䅍睁䑁䅁克䅁䵁䙷䅁䥁䅁䅁杒䥂䑁䅁䅁求杂䅁杌䅁䕁䅙䅓䵂䕁䅉䅉䍂䝁䄸杣祂䝁䄸睤灂䝁䄴睚穂䍁䅁䅋歁䑁䅁䅍睁䍁䅫䅁㍄允䅁䅃䅁䕁䅙兔䑂䅁䅁兦䅣䍁䅁䅁䝂䕁䄰睑杁䕁䅍睢祂䡁䅁睢祂䝁䅅䅤灂䝁䄸杢䅁䡁䠴䅁䥁䅁䅁杒佂䕁䅉䅁㉃杂䅁䅃䅁䕁䅙兕睁䅁䅁睙䅙䍁䄴䅁䝂䙁䅑兒杁䕁䅕兢睂䝁䅷睢㕂䝁䅕党穂䍁䅁䅋桂䝁䅍䅤ㅂ䝁䅅䅢灁䅁䅁眷䅁䑁䄴䅁䝂䙁䅑兒杁䕁䄴党あ䍁䅁兓畂䡁䅑党祂䝁䅕督あ䍁䅁兓畂䝁䅍睢瑂䝁䅕䅉潁䍁䅑䅍睁䑁䅁克䅁䅁䍉䅁䥁䅁䅁杒婂䑁䅁䅁乁睁䅁杄䅁䕁䅙兗祁䑁䅁免㕁䅁䅁兪䅙䅁䄴䅁䝂䙁䅫杍睁䑁䅉䅍䅁䝁䜸䅁捂䅁䅁杒桂䝁䅫杣杁䙁䅙兙獂䡁䅕党杁䕁䅍䅡桂䝁䄴睚求䍁䅁兓畂䝁䅍䅢ㅂ䝁䅑党歂䍁䅁兡畂䍁䅁兒桂䡁䅉杢灂䝁䄴睚穂䍁䅁䅋歁䑁䅁䅍睁䍁䅫䅁䕂睁䅁䅏䅁䕁䅙兙灂䡁䅉䅉坂䝁䅅䅢ㅂ䝁䅕䅉療䝁䅙䅉䉂䡁䅍督求䡁䅑督杁䍁䅧䅊睁䑁䅁䅍灁䅁䅁睪䅑䕁䅉䅁䝂䝁䅅兡祂䍁䅁杖桂䝁䅷兤求䍁䅁睢浂䍁䅁䅔灂䝁䅅杙灂䝁䅷兡あ䝁䅫党穂䍁䅁䅋歁䑁䅁䅍睁䍁䅫䅁睄睁䅁䅌䅁䕁䅙党歂䍁䅁杒ㅂ䝁䄴䅚穂䍁䅁睕療䝁䅷䅚杁䍁䅧䅊睁䑁䅁䅍灁䅁䅁䅶䅅䕁䅁䅁䝂䝁䅕党杁䍁䅙䅉䑂䝁䄸兢瑂䝁䅫督穂䝁䅫睢畂䍁䅁兒㑂䡁䅁党畂䡁䅍党杁䍁䅧䅊睁䑁䅁䅍灁䅁䅁睤䅁䕁䅁䅁䝂䝁䅕党杁䍁䅙䅉䑂䝁䄸兢瑂䝁䅫督穂䝁䅫睢畂䍁䅁兒㑂䡁䅁党畂䡁䅍党杁䍁䅧䍲睁䑁䅁䅍灁䅁䅁睲䅉</t>
  </si>
  <si>
    <t>䑁䄴䅁䝂䝁䅕党杁䍁䅙䅉䑂䝁䄸兢瑂䝁䅫督穂䝁䅫睢畂䍁䅁兓畂䝁䅍睢瑂䝁䅕䅉潁䍁䅑䅍睁䑁䅁克䅁䩁䅁䅁⭁䅁䅁杒求䝁䅕䅉流䍁䅁睑療䝁䄰兢灂䡁䅍督灂䝁䄸杢杁䕁䅫杢橂䝁䄸兢求䍁䅁䅋獃䑉䅁䅍睁䍁䅫䅁䩄杁䅁杓䅁䕁䅙兡畂䝁䅅杢橂䝁䅕䅉流䍁䅁兓畂䡁䅍兤祂䝁䅅杢橂䝁䅕䅉䵂䝁䄸兙畂䡁䅍睌杁䕁䅷睢桂䝁䄴督杁䍁䅧兊灁䅁䅁督䅅䕁䅉䅁䝂䝁䅫杢桂䝁䄴睙求䍁䅁䅒灂䡁䅙杌杁䕁䅑党楂䡁䅑䅉䑂䡁䅕杣祂䝁䅕杢あ䍁䅁䅋歁䑁䅁䅍睁䍁䅫䅁摂䅂䅁杒䅁䕁䅙兡畂䝁䅅杢橂䝁䅕䅉䕂䝁䅫杤畁䍁䅁䅒求䝁䅉䅤杁䕁䄴睢畂䍁䄰睑ㅂ䡁䅉杣畁䍁䅁䅋歁䑁䅁䅍睁䍁䅫䅁坂䅂䅁杕䅁䕁䅙兡畂䝁䅅杢橂䝁䅕䅉䕂䝁䅫杤畁䍁䅁䅔療䝁䅅杢穂䍁䅁兙畂䝁䅑䅉䵂䝁䅕兙穂䝁䅕督獁䍁䅁䅔啂䍁䅁䅋歁䑁䅁䅍睁䍁䅫䅁剂䅂䅁杕䅁䕁䅙兡畂䝁䅅杢橂䝁䅕䅉䕂䝁䅫杤畁䍁䅁䅔療䝁䅅杢穂䍁䅁兙畂䝁䅑䅉䵂䝁䅕兙穂䝁䅕督獁䍁䅁睕啂䍁䅁䅋歁䑁䅁䅍睁䍁䅫䅁桁䅂䅁杒䅁䕁䅙兡畂䝁䅅杢橂䝁䅕䅉䕂䝁䅫杤畁䍁䅁睔睂䝁䅕杣桂䡁䅑兡畂䝁䅣䅉䙂䡁䅧䅣畁䍁䅁䅋歁䑁䅁䅍睁䍁䅫䅁㡁睁䅁杔䅁䕁䅙兡畂䝁䅅杢橂䝁䅕䅉䕂䝁䅫杤畁䍁䅁睔あ䝁䅧党祂䍁䅁睑ㅂ䡁䅉杣畁䍁䅁兑穂䡁䅍党あ䡁䅍䅉潁䍁䅑䅍睁䑁䅁克䅁䕁䕧䅁䵂䅁䅁杒灂䝁䄴兙畂䝁䅍党杁䕁䅑兡㉂䍁䄴䅉偂䡁䅑䅡求䡁䅉䅉䑂䡁䅕杣祂䍁䄴䅉䵂䝁䅫兙楂䍁䄴䅉潁䍁䅑䅍睁䑁䅁克䅁䙁䔴䅁䥂䅁䅁杒灂䝁䄴兙畂䝁䅍党杁䕁䅑兡㉂䍁䄴䅉偂䡁䅑䅡求䡁䅉䅉䵂䙁䅑䅉䉂䡁䅍督求䡁䅑督杁䍁䅧䅊睁䑁䅁䅍灁䅁䅁杕䅑䙁䅑䅁䝂䝁䅫杢桂䝁䄴睙求䍁䅁䅒灂䡁䅙杌杁䕁䄸䅤潂䝁䅕杣杁䕁䄴睢畂䍁䄰睑ㅂ䡁䅉杣畁䍁䅁䅔灂䝁䅅杙畁䍁䅁䅋歁䑁䅁䅍睁䍁䅫䅁橂䅂䅁䅏䅁䕁䅙兡畂䝁䅅杢橂䝁䅕䅉䕂䝁䅫杤畁䍁䅁杕求䡁䅙党畂䡁䅕党杁䍁䅧䅊睁䑁䅁䅍灁䅁䅁杊䅍䕁䅑䅁䝂䝁䅫杢桂䝁䄴睙灂䝁䅅䅢杁䕁䅅督穂䝁䅕䅤杁䕁䅕兣ㅂ䝁䅫䅤㕂䍁䅁兑歂䝁䅯䅉潁䍁䅑䅍睁䑁䅁克䅁䝁䌰䅁睁䅁䅁杒灂䝁䄴兙畂䝁䅍兡桂䝁䅷䅉䉂䡁䅍督求䡁䅑督杁䍁䅧䅊睁䑁䅁䅍灁䅁䅁兖䅁䑁䅁䅁䝂䝁䅫杢桂䝁䄴睙灂䝁䅅䅢杁䕁䅅督穂䝁䅕䅤穂䍁䅁䅋獃䑉䅁䅍睁䍁䅫䅁啃杁䅁䅔䅁䕁䅙兡畂䝁䅅杢橂䝁䅫兙獂䍁䅁䅔灂䝁䅅杙灂䝁䅷兡あ䡁䅫䅉䙂䡁䅅兤灂䡁䅑入杁䕁䅅䅚煂䍁䅁䅋歁䑁䅁䅍睁䍁䅫䅁畂杁䅁杒䅁䕁䅙兡畂䝁䅅杢橂䝁䅫兙獂䡁䅍䅉卂䝁䅕䅣療䡁䅉䅤求䝁䅑䅉䑂䡁䅕杣祂䝁䅕杢橂䡁䅫䅉䑂䝁䄸䅚求䍁䅁䅁ぁ䅁䅁䅑䅁䕁䅙兡畂䝁䅫督潂䝁䅕䅚杁䕁䅣睢療䝁䅑督杁䕁䅫杢㉂䝁䅕杢あ䝁䄸杣㕂䍁䅁䅋歁䑁䅁䅍睁䍁䅫䅁䕃䅂䅁村䅁䕁䅙兡穂䝁䅍兙獂䍁䅁䅕求䡁䅉兡療䝁䅑䅉䙂䝁䄴䅚求䝁䅑䅉潁䝁䄰兢癁䝁䅑䅚癁䡁䅫入㕂䡁䅫克䅁䙁䅁䅁慁䅁䅁杒灂䡁䅍睙桂䝁䅷䅉婂䝁䅕兙祂䍁䅁䅁穁䅁䅁䅕䅁䕁䅙兡穂䝁䅧党祂䡁䅫䅌杁䕁䅅睚杁䍁䅙䅉䝂䝁䄸杣求䡁䅍䅤祂䡁䅫䅉䵂䝁䄸兙畂䡁䅍睌杁䕁䅷睢桂䝁䄴督杁䍁䅧兊灁䅁䅁杢䅅䑁䅉䅁䝂䝁䅫䅥求䝁䅑䅉䉂䡁䅍督求䡁䅑䅉啂䡁䅕杣畂䝁䄸杤求䡁䅉䅉潁䡁䅧克䅁䕁䝅䅁潁䅁䅁杒灂䡁䅧党歂䍁䅁兑穂䡁䅍党あ䡁䅍䅉潁䍁䅑䅍睁䑁䅁克䅁䙁䅫䅁潁䅁䅁杒灂䡁䅧党歂䍁䅁兑穂䡁䅍党あ䡁䅍䅉潁䭁杷䅍睁䑁䅁克䅁䩁䍣䅁ぁ䅁䅁杒療䡁䅉党橂䝁䅷睢穂䡁䅕杣求䍁䅁杊杁䙁䅉党睂䝁䄸䅉潁䍁䅑䅍睁䑁䅁克䅁䉁䍣䅁畂䅁䅁杒療䡁䅉党灂䝁䅣杢杁䕁䅕䅥橂䝁䅧兙畂䝁䅣党杁䕁䅅䅚煂䍁䄴䅉潁䕁䄸䅕䙂䕁䅉克杁䍁䄰䅉兂䝁䅷兙畂䍁䅁睔楂䝁䅷兡湂䝁䅅䅤灂䝁䄸杢穂䍁䅁䅋歁䑁䅁䅍睁䍁䅫䅁浄䅂䅁杣䅁䕁䅙睢祂䝁䅕兡湂䝁䄴䅉䙂䡁䅧睙潂䝁䅅杢湂䝁䅕䅉䉂䝁䅑条畁䍁䅁䅋兂䝁䅕杢穂䝁䅫睢畂䍁䅁睔楂䝁䅷兡湂䝁䅅䅤灂䝁䄸杢穂䍁䅫䅉瑁䍁䅁䅒療䝁䄰䅉潁䍁䅑䅍睁䑁䅁克䅁䡁䐰䅁祂䅁䅁杒療䡁䅉党灂䝁䅣杢杁䕁䅕䅥橂䝁䅧兙畂䝁䅣党杁䕁䅅䅚煂䍁䄴䅉潁䙁䅁党畂䡁䅍兡療䝁䄴䅉偂䝁䅉䅢灂䝁䅣兙あ䝁䅫睢畂䡁䅍克杁䍁䄰䅉䝂䕁䅣杔杁䍁䅧䅊睁䑁䅁䅍灁䅁䅁兪䅕䡁䅑䅁䝂䝁䄸杣求䝁䅫睚畂䍁䅁兒㑂䝁䅍䅡桂䝁䄴睚求䍁䅁兑歂䝁䅯杌杁䍁䅧䅕求䝁䄴督灂䝁䄸杢灁䍁䅁兌杁䙁䅁䅢桂䝁䄴䅉偂䝁䅉䅢灂䝁䅣兙あ䝁䅫睢畂䡁䅍䅉潁䍁䅑䅍睁䑁䅁克䅁䍁䕯䅁楂䅁䅁杒療䡁䅉党灂䝁䅣杢杁䕁䅕䅥橂䝁䅧兙畂䝁䅣党杁䕁䅅䅚煂䡁䅕督あ䝁䄰党畂䡁䅑督杁䍁䅧睔兂䕁䅕村杁䍁䄰䅉䕂䝁䄸兢灁䍁䅁䅋歁䑁䅁䅍睁䍁䅫䅁噂兂䅁杙䅁䕁䅙睢祂䝁䅕兡湂䝁䄴䅉䙂䡁䅧睙潂䝁䅅杢湂䝁䅕䅉䉂䝁䅑条ㅂ䡁䅍䅤瑂䝁䅕杢あ䡁䅍䅉潁䕁䄸䅕䙂䕁䅉䅉瑁䍁䅁杒䡂䕁䄴克杁䍁䅧䅊睁䑁䅁䅍灁䅁䅁䅄䅑䡁䅉䅁䝂䝁䄸杣求䝁䅫睚畂䍁䅁兒㑂䝁䅍䅡桂䝁䄴睚求䍁䅁兑歂䝁䅯兤穂䡁䅑兢求䝁䄴䅤穂䍁䅁䅋偂䙁䅁兒䍂䍁䅫䅉瑁䍁䅁䅕獂䝁䅅杢杁䕁䅅督穂䝁䅕䅤穂䍁䅁䅋歁䑁䅁䅍睁䍁䅫䅁瑄䅂䅁䅡䅁䕁䅙睢祂䝁䅕兡湂䝁䄴䅉䙂䡁䅧睙潂䝁䅅杢湂䝁䅕䅉䉂䝁䅑条ㅂ䡁䅍䅤瑂䝁䅕杢あ䡁䅍䅉潁䙁䅁党畂䡁䅍兡療䝁䄴䅉瑁䍁䅁䅒療䝁䄰克杁䍁䅧䅊睁䑁䅁䅍灁䅁䅁先䅕䝁䅧䅁䝂䝁䄸杣求䝁䅫睚畂䍁䅁兒㑂䝁䅍䅡桂䝁䄴睚求䍁䅁兑歂䝁䅯兤穂䡁䅑兢求䝁䄴䅤穂䍁䅁䅋兂䝁䅕杢穂䝁䅫睢畂䍁䅁兌杁䕁䅙睒佂䍁䅫䅉潁䍁䅑䅍睁䑁䅁克䅁䩁䙫䅁捂䅁䅁杒療䡁䅉党灂䝁䅣杢杁䕁䅕䅥橂䝁䅧兙畂䝁䅣党杁䕁䅅䅚煂䡁䅕督あ䝁䄰党畂䡁䅑督杁䍁䅧䅕求䝁䄴督灂䝁䄸杢灁䍁䅁䅋歁䑁䅁䅍睁䍁䅫䅁畃䅂䅁材䅁䕁䅙睢祂䝁䅕兡湂䝁䄴䅉䙂䡁䅧睙潂䝁䅅杢湂䝁䅕䅉䩂䝁䄴睙療䝁䄰党杁䍁䅧䅊睁䑁䅁䅍灁䅁䅁䅂䅉䕁䅑䅁䝂䝁䄸杣求䝁䅫睚畂䍁䅁兒㑂䝁䅍䅡桂䝁䄴睚求䍁䅁杕桂䡁䅑党杁䕁䅅䅚煂䍁䄴䅉潁䍁䅑䅍睁䑁䅁克䅁䙁䑫䅁㡁䅁䅁杒療䡁䅉党灂䝁䅣杢杁䕁䅷睢桂䝁䄴督杁䍁䅙䅉䵂䝁䅕兙穂䝁䅕督杁䍁䅧䅊睁䑁䅁䅍灁䅁䅁䄴䅅䑁䅉䅁䝂䝁䄸杣求䝁䅫睚畂䍁䅁䅔療䝁䅅杢穂䍁䄸䅉䵂䝁䄸兙畂䡁䅍䅉潁䍁䅕克䅁䕁䉉䅁㙁䅁䅁杒ㅂ䝁䅷䅢杁䙁䅑兡瑂䝁䅕䅉䙂䝁䄰䅣獂䝁䄸入求䝁䅕督杁䍁䅧兙橂䡁䅑兤桂䝁䅷克䅁䩁䕑䅁捁䅁䅁睒䝂䕁䄴睔卂䙁䅑兒杁䕁䄸兌乂䕁䅕䅗䅁䉁䄴䅁慁䅁䅁睒䝂䕁䄴睔卂䙁䅑兒偂䍁䄰兔䙂䙁䅧䅁䉁䅁䅁杓䅁䕁䅣兙灂䝁䄴䅉潁䕁䅷睢穂䡁䅍克杁䕁䄸杢杁䙁䅍兙獂䝁䅕䅉偂䝁䅙䅉䉂䡁䅍督求䡁䅑督杁䍁䅧䅊睁䑁䅁䅍灁䅁䅁兔䅍䕁䅷䅁䡂䝁䅅兡畂䍁䅁䅋䵂䝁䄸督穂䍁䅫䅉偂䝁䄴䅉呂䝁䅅䅢求䍁䅁睔浂䍁䅁兓畂䡁䅙党穂䡁䅑杌杁䍁䅧䅊睁䑁䅁䅍灁䅁䅁䅨䅍䕁䅧䅁䡂䝁䅅兡畂䍁䅁睢畂䍁䅁睕桂䝁䅷党杁䕁䄸杚杁䕁䅅督穂䝁䅕䅤穂䍁䅁䅋卂䝁䅕杤灁䍁䅁䅋歁䑁䅁䅍睁䍁䅫䅁硁睁䅁杓䅁䕁䅣兙灂䝁䄴䅉療䝁䄴䅉呂䝁䅅䅢求䍁䅁睔浂䍁䅁兓畂䡁䅙党穂䡁䅑杌杁䍁䅧杕求䡁䅙克杁䍁䅧䅊睁䑁䅁䅍灁䅁䅁兎䅍䑁䅯䅁䡂䝁䅅兡畂䍁䅁睢畂䍁䅁睕桂䝁䅷党杁䝁䄸杚杁䕁䅷睢桂䝁䄴督杁䍁䅧䅊睁䑁䅁䅍灁䅁䅁睂䅉䉁䅷䅁䡂䝁䅅杣あ䝁䄴党祂䍁䅷䅉䩂䝁䄴睙畁䅁䅁睖䅣䙁䅑䅁䡂䝁䅕杢求䡁䅉兙獂䍁䅁兙畂䝁䅑䅉䉂䝁䅑兢灂䝁䄴兡穂䡁䅑杣桂䡁䅑兡㉂䝁䅕䅉䙂䡁䅧䅣求䝁䄴督求䍁䅁䅋歁䑁䅁䅍睁䍁䅫䅁䙄睁䅁䅉䅁䕁䅣睢療䝁䅑睤灂䝁䅷䅢杁䍁䅧䅊睁䑁䅁䅍灁䅁䅁杖䅁䍁䅁䅁䡂䝁䄸睢歂䡁䅣兡獂䝁䅷䅉潁䭁杷䅍睁䑁䅁克䅁䩁䍕䅁㑁䅁䅁睒療䡁䅙党祂䝁䄴兢求䝁䄴䅤杁䕁䅷睢桂䝁䄴督癁䍁䅁䅔療䝁䅅杢穂䍁䅁䅋汁䍁䅫䅁㑂允䅁䅒䅁䕁䅣杣桂䡁䅁䅡灂䝁䅍䅉兂䝁䅅睙牂䝁䅅睚灂䝁䄴睚杁䕁䅧睢獂䝁䅑兡畂䝁䅣䅉䑂䝁䄸兢睂䝁䅅杢㕂䅁䅁杣䅣䉁䅧䅁䡂䡁䅉党灂䝁䅙䅌杁䕁䅫杢橂䍁䄴䅁㑂睂䅁䅙䅁䕁䅣杣療䡁䅍督杁䕁䅍兤穂䡁䅑睢瑂䝁䅕杣杁䕁䅷睢桂䝁䄴督杁䙁䅁䅒杁䝁䅉兤あ䍁䅁杔療䡁䅑䅉䩂䝁䄰䅣桂䝁䅫杣求䝁䅑䅉潁䍁䅑䅍睁䑁䅁克䅁乁䅕䅁杂䅁䅁睒祂䝁䄸督穂䍁䅁睑ㅂ䡁䅍䅤療䝁䄰党祂䍁䅁䅔療䝁䅅杢穂䍁䅁䅕䕂䍁䅁杙ㅂ䡁䅑䅉佂䝁䄸䅤杁䕁䅫兢睂䝁䅅兡祂䝁䅕䅚杁䍁䅧䍲睁䑁䅁䅍灁䅁䅁儸䅉䝁䅑䅁䡂䡁䅉睢穂䡁䅍䅉䩂䝁䄰䅣桂䝁䅫杣求䝁䅑䅉䵂䝁䄸兙畂䡁䅍睌杁䕁䅷睢桂䝁䄴督杁䝁䅅䅤杁䕁䅅兢療䡁䅉䅤灂䡁䅯党歂䍁䅁睑療䡁䅍䅤杁䍁䅧兊灁䅁䅁朲䅁䕁䄴䅁䡂䡁䅉睢穂䡁䅍䅉䵂䝁䄸兙畂䡁䅍䅉䥂䝁䅕䅢歂䍁䅁杚療䡁䅉䅉䩂䝁䄴杤求䡁䅍䅤瑂䝁䅕杢あ䍁䅁䅋歁䑁䅁䅍睁䍁䅫䅁浄允䅁䅋䅁䕁䅣杣療䡁䅍督杁䙁䅁杣療䝁䅙兡あ䍁䅁䅋歁䑁䅁䅍睁䍁䅫䅁祁允䅁䅍䅁䕁䅣杣療䡁䅍督杁䙁䅁杣療䝁䅙兡あ䍁䅁兔桂䡁䅉睚灂䝁䄴䅉潁䍁䅕克䅁䑁䝷䅁⭁䅁䅁睒祂䝁䄸督穂䍁䅁䅕祂䝁䄸杚灂䡁䅑䅌杁䑁䅅䅉婂䡁䅉杌杁䕁䅣杣療䡁䅣䅤潂䍁䅁䅋汁䍁䅫䅁呂杂䅁杏䅁䕁䅣杣療䡁䅍督杁䙁䅁杣療䝁䅙兡あ䍁䅷䅉穁䍁䅁兗祂䍁䄴䅉䑂䕁䅅睒卂䍁䅁䅋汁䍁䅫䅁婂杂䅁杏䅁䕁䅣杣療䡁䅍督杁䙁䅁杣療䝁䅙兡あ䍁䅷䅉ㅁ䍁䅁兗祂䍁䄴䅉䑂䕁䅅睒卂䍁䅁䅋汁䍁䅫䅁時杂䅁杕䅁䕁䅣杣療䡁䅍督杁䙁䅁杣療䡁䅁党祂䡁䅑入獁䍁䅁䅕獂䝁䅅杢あ䍁䅁杊杁䕁䅕兣ㅂ䝁䅫䅣瑂䝁䅕杢あ䍁䅁䅋歁䑁䅁䅍睁䍁䅫䅁⭁䅂䅁权䅁䕁䅧村䥂䕁䅍䅁穃杂䅁权䅁䕁䅧睔乂䕁䅉䅁㡃杂䅁䅃䅁䕁䅧䅕䙂䅁䅁䅺䅙䅁䄴䅁䥂䙁䅁兒瑁䙁䅕睕䅁偁䝫䅁歁䅁䅁䅓呂䕁䅉睑杁䕁䅧睢獂䝁䅑兡畂䝁䅣督杁䡁䅁䅢橂䅁䅁党䅣䝁䅷䅁䥂䝁䅕兙獂䡁䅑䅡杁䕁䅍兙祂䝁䅕䅉䑂䝁䄸督あ䍁䅁䅖祂䝁䅕杢歂䍁䅁杕桂䡁䅑党獁䍁䅁兓畂䝁䅫䅤灂䝁䅅䅢杁䍁䅧睔兂䕁䅕村杁䍁䄰䅉䕂䕁䄸兔灁䍁䅁䅋汁䍁䅫䅁䅃兂䅁䅢䅁䕁䅧党桂䝁䅷䅤潂䍁䅁睑桂䡁䅉党杁䕁䅍睢穂䡁䅑䅉啂䡁䅉党畂䝁䅑䅉卂䝁䅅䅤求䍁䅷䅉䩂䝁䄴兡あ䝁䅫兙獂䍁䅁䅋偂䙁䅁兒䍂䍁䅁兌杁䕁䅙睒佂䍁䅫䅉潁䍁䅕克䅁䅁䝉䅁杂䅁䅁䅓求䝁䅅䅢あ䝁䅧䅉䑂䝁䅅杣求䍁䅁睑療䡁䅍䅤杁䙁䅑杣求䝁䄴䅚杁䙁䅉兙あ䝁䅕䅌杁䕁䅫杢灂䡁䅑兡桂䝁䅷䅉潁䕁䄸䅕䙂䕁䅉克杁䍁䅧兊灁䅁䅁权䅕䝁䄴䅁䥂䝁䅕兙獂䡁䅑䅡杁䕁䅍兙祂䝁䅕䅉䑂䝁䄸督あ䍁䅁䅖祂䝁䅕杢歂䍁䅁杕桂䡁䅑党獁䍁䅁兖獂䡁䅑兡瑂䝁䅅䅤求䍁䅁䅋偂䙁䅁兒䍂䍁䅁兌杁䕁䅑睔乂䍁䅫䅉潁䍁䅕克䅁䥁䙅䅁畂䅁䅁䅓求䝁䅅䅢あ䝁䅧䅉䑂䝁䅅杣求䍁䅁睑療䡁䅍䅤杁䙁䅑杣求䝁䄴䅚杁䙁䅉兙あ䝁䅕䅌杁䙁䅕䅢あ䝁䅫兢桂䡁䅑党杁䍁䅧睔兂䕁䅕村杁䍁䄰䅉䝂䕁䅣杔灁䍁䅁䅋汁䍁䅫䅁䑁杂䅁杙䅁䕁䅧党桂䝁䅷䅤潂䍁䅁睑桂䡁䅉党杁䕁䅍睢穂䡁䅑䅉啂䡁䅉党畂䝁䅑䅉卂䝁䅅䅤求䍁䅷䅉噂䝁䅷䅤灂䝁䄰兙あ䝁䅕䅉潁䕁䄸䅕䙂䕁䅉克杁䍁䅧兊灁䅁䅁睺䅍䕁䅙䅁䥂䝁䅕䅢歂䍁䅁䅤療䍁䅁兔桂䡁䅑兤祂䝁䅫䅤㕂䍁䅁睕求䝁䅍兤祂䝁䅫䅤灂䝁䅕督杁䍁䅧䅊睁䑁䅁䅍灁䅁䅁䄹䅁䕁䅙䅁䥂䝁䅕䅢歂䍁䅁䅤療䍁䅁兔桂䡁䅑兤祂䝁䅫䅤㕂䍁䅁睕求䝁䅍兤祂䝁䅫䅤灂䝁䅕督杁䍁䅧䍲睁䑁䅁䅍灁䅁䅁䅁䅍䕁䅙䅁䥂䝁䅕睤獂䝁䅕䅤あ䍁䅁䅕桂䝁䅍睡桂䡁䅉䅚杁䕁䅕杢あ䝁䅕杣睂䡁䅉兡穂䝁䅕䅉䑂䝁䄸兢睂䝁䅅杢㕂䅁䅁兺䅙䉁䄴䅁䥂䝁䅫睚潂䍁䅁䅕祂䝁䅫睙求䍁䅁䅋歁䍁䅫䅁啁睁䅁䅌䅁䕁䅧兡湂䝁䅧䅉兂䡁䅉兡橂䝁䅕䅉潁䙁䅉党睂䝁䄸杣あ䝁䅕䅚灁䅁䅁六䅙䑁䅯䅁䥂䝁䅫睚潂䍁䅁䅕祂䝁䅫睙求䍁䅁䅒ㅂ䡁䅉兡畂䝁䅣䅉兂䝁䅕杣灂䝁䄸䅚杁䍁䅧䅊灁䅁䅁光䅉䍁䅷䅁䥂䝁䄸兢求䍁䅁村桂䝁䄴睙呂䝁䅧兙祂䝁䅕督獁䍁䅁兓畂䝁䅍杌䅁䱁䜰䅁祁䅁䅁䅓療䝁䄰党杁䕁䅕兣ㅂ䝁䅫䅤㕂䍁䅁䅔療䝁䅅杢穂䍁䅁䅋歁䑁䅁䅍睁䍁䅫䅁噄允䅁杋䅁䕁䅧兤畂䡁䅑督瑂䝁䅅杢杁䕁䅍睢祂䡁䅁睢祂䝁䅅䅤灂䝁䄸杢䅁䥁䡁䅁祁䅁䅁䅓㕂䝁䅉杣灂䝁䅑䅉呂䝁䅕睙ㅂ䡁䅉兡あ䝁䅫党穂䍁䅁䅋歁䑁䅁䅍睁䍁䅫䅁桂䅁䅁杍䅁䕁䅧入楂䡁䅉兡歂䍁䅁睕求䝁䅍兤祂䝁䅫䅤灂䝁䅕督杁䍁䅧䍲睁䑁䅁䅍灁䅁䅁杮䅉䍁䄴䅁䩂䕁䅉兒卂䕁䅫兑䍂䕁䅅杔䱂䍁䅁睑療䡁䅉䅣療䡁䅉兙あ䝁䅫睢畂䅁䅁睵䅙䅁䅯䅁䩂䕁䅉睓䑂䅁䅁杵䅙䅁䅧䅁䩂䕁䅉兔䅁䵁䝙䅁佁䅁䅁兓䍂䕁䄰兌噂䙁䅍䅁㙄杂䅁材䅁䕁䅫杒卂䙁䅍䅉啂䝁䅫党祂䍁䅁免杁䕁䅷党㉂䝁䅕杣桂䝁䅣党杁䙁䅉兙あ䝁䅫睢杁䍁䅧兊灁䅁䅁睷䅁䉁䅉䅁䩂䙁䅅免祁䑁䅉兏硁䑁䅣䅁獄杂䅁䅇䅁䕁䅫兕祁䑁䅁李祁䑁䅫兎穁䑁䅑兏䅁乁䜴䅁奁䅁䅁兓剂䑁䅍䅍硁䑁䅙李㕁䑁䅫睍㑁䅁䅁眴䅙䑁䅙䅁䩂䙁䅉䅉䑂䝁䅧兙畂䝁䅣党獁䍁䅁䅒療䡁䅣杢杁䕁䅉兡湂䍁䅁䅋楂䍁䄴䅣畁䍁䅫䅁⭂杁䅁杏䅁䕁䅫杕杁䕁䅍䅡桂䝁䄴睚求䍁䅷䅉䕂䝁䄸睤畂䍁䅁睕瑂䝁䅅䅢獂䍁䅁䅋楂䍁䄴䅣畁䍁䅫䅁䅃杁䅁杍䅁䕁䅫杕杁䕁䅍䅡桂䝁䄴睚求䍁䅷䅉噂䡁䅁䅉䍂䝁䅫睚杁䍁䅧杙畁䡁䅁杌灁䅁䅁兦䅉䑁䅙䅁䩂䙁䅉䅉䑂䝁䅧兙畂䝁䅣党獁䍁䅁兖睂䍁䅁睕瑂䝁䅅䅢獂䍁䅁䅋楂䍁䄴䅣畁䍁䅫䅁灄允䅁䅄䅁䕁䅫睕䩂䕁䄴䅉䅁䍁䅕䅁坂䅁䅁兓瑂䡁䅁兙灂䡁䅉杌杁䝁䄸杚杁䕁䄸兡獂䍁䅷䅉䡂䝁䅅督杁䍁䅙䅉乂䝁䅫杢求䡁䅉兙獂䍁䅁䅕祂䝁䄸䅣畁䍁䅁䅋歁䑁䅁䅍睁䍁䅫䅁時睁䅁杓䅁䕁䅫兢睂䝁䅅兡祂䝁䅕䅚杁䍁䅙䅉㕁䑁䅁睋杁䕁䅑党獂䝁䅫杢硂䡁䅕党畂䡁䅑睌杁䕁䅷睢桂䝁䄴督杁䍁䅧兊灁䅁䅁眳䅁䕁䄴䅁䩂䝁䄰䅣桂䝁䅫杣求䝁䅑䅉流䍁䅁䅒求䝁䅷兡畂䡁䅅兤求䝁䄴䅤杁䕁䅷睢桂䝁䄴督癁䍁䅁䅔療䝁䅅杢穂䍁䅁䅋汁䍁䅫䅁摄䅁䅁䅙䅁䕁䅫兢睂䝁䅅兡祂䝁䅕䅚杁䕁䅍兤穂䡁䅑睢瑂䝁䅕杣杁䕁䅷睢桂䝁䄴督獁䍁䅁杔求䡁䅑䅉療䝁䅙䅉卂䝁䅕督求䡁䅉杤求䡁䅍䅉潁䍁䅑䅍睁䑁䅁克䅁䝁䅕䅁杂䅁䅁兓瑂䡁䅁兙灂䡁䅉党歂䍁䅁睑ㅂ䡁䅍䅤療䝁䄰党祂䍁䅁䅔療䝁䅅杢穂䍁䅷䅉佂䝁䅕䅤杁䝁䄸杚杁䙁䅉党穂䝁䅕杣㉂䝁䅕督杁䍁䅧䍲睁䑁䅁䅍灁䅁䅁杯䅉䙁䅉䅁䩂䝁䄰䅣桂䝁䅫杣求䝁䅑䅉䵂䝁䄸兙畂䡁䅍睌杁䙁䅉兡穂䝁䅳兌㍂䝁䅕兡湂䝁䅧䅤求䝁䅑䅉䉂䡁䅍督求䡁䅑督杁䍁䅧兊灁䅁䅁䄴䅁䙁䄴䅁䩂䝁䄰䅣桂䝁䅫杣求䝁䅑䅉䵂䝁䄸兙畂䡁䅍睌杁䙁䅑兙畂䝁䅣兡楂䝁䅷党杁䕁䅕兣ㅂ䝁䅫䅤㕂䍁䅁杊杁䙁䅉党穂䝁䅕杣㉂䝁䅕督杁䍁䅧兊灁䅁䅁儴䅁䑁䅷䅁䩂䝁䄰䅣桂䝁䅫杣瑂䝁䅕杢あ䍁䅁睢浂䍁䅁睒療䝁䄸䅚㍂䝁䅫䅢獂䍁䅁䅋歁䑁䅁䅍睁䍁䅫䅁佂䅁䅁䅐䅁䕁䅫兢睂䝁䅅兡祂䝁䄰党畂䡁䅑䅉療䝁䅙䅉䡂䝁䄸睢歂䡁䅣兡獂䝁䅷䅉潁䭁杷䅍睁䑁䅁克䅁䥁䌴䅁佂䅁䅁兓瑂䡁䅁兙灂䡁䅉兢求䝁䄴䅤杁䝁䄸杚杁䕁䄸䅤潂䝁䅕杣杁䕁䅫杢あ䝁䅅杢湂䝁䅫杙獂䝁䅕督杁䍁䅧䅊睁䑁䅁䅍灁䅁䅁兒䅁䕁䄴䅁䩂䝁䄰䅣桂䝁䅫杣瑂䝁䅕杢あ䍁䅁睢浂䍁䅁睔あ䝁䅧党祂䍁䅁兓畂䡁䅑兙畂䝁䅣兡楂䝁䅷党穂䍁䅁䅋獃䑉䅁䅍睁䍁䅫䅁䙄杁䅁䅔䅁䕁䅫兢睂䝁䅅兡祂䝁䄰党畂䡁䅑䅉療䝁䄴䅉䝂䝁䅫杢桂䝁䄴睙灂䝁䅅䅢杁䕁䅅督穂䝁䅕䅤穂䍁䅁䅋歁䑁䅁䅍睁䍁䅫䅁坃䅁䅁䅔䅁䕁䅫兢睂䝁䅅兡祂䝁䄰党畂䡁䅑䅉療䝁䄴䅉䝂䝁䅫杢桂䝁䄴睙灂䝁䅅䅢杁䕁䅅督穂䝁䅕䅤穂䍁䅁䅋獃䑉䅁䅍睁䍁䅫䅁佄杁䅁䅑䅁䕁䅫兢睂䝁䅅兡祂䝁䄰党畂䡁䅑䅉療䝁䄴䅉呂䝁䅕睙ㅂ䡁䅉兡あ䝁䅫党穂䍁䅁䅋歁䑁䅁䅍睁䍁䅫䅁噃䅁䅁䅑䅁䕁䅫兢睂䝁䅅兡祂䝁䄰党畂䡁䅑䅉療䝁䄴䅉呂䝁䅕睙ㅂ䡁䅉兡あ䝁䅫党穂䍁䅁䅋獃䑉䅁䅍睁䍁䅫䅁䉄杁䅁䅕䅁䕁䅫兢睂䡁䅕䅤求䝁䅑䅉偂䡁䅁党祂䍁䄴䅉䵂䝁䅕兙穂䝁䅕䅉䕂䝁䅕䅣祂䝁䅕睙灂䝁䅅䅤灂䝁䄸杢杁䍁䅧䅊睁䑁䅁䅍灁䅁䅁䄰䅍䙁䅉䅁䩂䝁䄰䅣ㅂ䡁䅑党歂䍁䅁睔睂䝁䅕杣畁䍁䅁䅔求䝁䅅督求䍁䅁兓畂䡁䅑党祂䝁䅕督あ䍁䅁兒㑂䡁䅁杌杁䍁䅧䅊睁䑁䅁䅍灁䅁䅁䅚䅍䑁䅯䅁䩂䝁䄴䅉兂䡁䅉睢橂䝁䅕督穂䍁䅁杕杁䍁䅙䅉䕂䍁䅁兒㑂䡁䅁杌杁䍁䅧䅊睁䑁䅁䅍灁䅁䅁兖䅍䑁䅑䅁䩂䝁䄴睙療䝁䄰党杁䙁䅑兙㑂䍁䅁兒㑂䡁䅁党畂䡁䅍党杁䍁䅧䅊睁䑁䅁䅍灁䅁䅁睌䅍䑁䅷䅁䩂䝁䄴睙療䝁䄰党杁䝁䅙杣療䝁䄰䅉䉂䝁䅙杚灂䝁䅷兡桂䡁䅑党穂䍁䅁䅋歁䑁䅁䅍睁䍁䅫䅁獂睁䅁䅘䅁䕁䅫杢橂䝁䄸兢求䍁䅁杚祂䝁䄸兢杁䕁䅫督獂䝁䅅兢灂䝁䅍䅉䍂䝁䅅杢牂䝁䅫杢湂䍁䅁睔睂䝁䅕杣桂䡁䅑兡療䝁䄴督杁䍁䅧䅊睁䑁䅁䅍灁䅁䅁兦䅁䑁䅁䅁䩂䝁䄴督ㅂ䡁䅉兙畂䝁䅍党杁䕁䅅督穂䝁䅕䅤穂䍁䅁䅋歁䑁䅁䅍睁䍁䅫䅁捂䅁䅁䅍䅁䕁䅫杢穂䡁䅕杣桂䝁䄴睙求䍁䅁兑穂䡁䅍党あ䡁䅍䅉潁䭁杷䅍睁䑁䅁克䅁䩁䍯䅁䭂䅁䅁兓畂䡁䅍兤祂䝁䅅杢橂䝁䅕䅉䕂䝁䅫杤畁䍁䅁睔睂䝁䅕杣桂䡁䅑兡畂䝁䅣䅉䙂䡁䅧䅣畁䍁䅁䅋歁䑁䅁䅍睁䍁䅫䅁⭁睁䅁䅐䅁䕁䅫杢穂䡁䅕杣桂䝁䄴睙求䍁䅁䅒灂䡁䅙杌杁䙁䅉党㉂䝁䅕杢ㅂ䝁䅕䅉潁䍁䅑䅍睁䑁䅁克䅁䍁䐰䅁祁䅁䅁兓畂䡁䅍兤祂䝁䅅杢橂䝁䅕䅉䙂䡁䅧䅣求䝁䄴督求䍁䅁䅋歁䑁䅁䅍睁䍁䅫䅁䵃䅁䅁杍䅁䕁䅫杢穂䡁䅕杣桂䝁䄴睙求䍁䅁兒㑂䡁䅁党畂䡁䅍党杁䍁䅧䍲睁䑁䅁䅍灁䅁䅁䅷䅉䑁䅁䅁䩂䝁䄴督ㅂ䡁䅉兙畂䝁䅍党杁䕁䅫杢橂䝁䄸兢求䍁䅁䅋歁䑁䅁䅍睁䍁䅫䅁㡂䅁䅁䅍䅁䕁䅫杢穂䡁䅕杣桂䝁䄴睙求䍁䅁兓畂䝁䅍睢瑂䝁䅕䅉潁䭁杷䅍睁䑁䅁克䅁䱁䍕䅁㙁䅁䅁兓畂䡁䅍兤祂䝁䅅杢橂䝁䅕䅉䵂䝁䅫兙楂䝁䅫䅢灂䡁䅑兡求䡁䅍䅉潁䍁䅑䅍睁䑁䅁克䅁䥁䅁䅁㙁䅁䅁兓畂䡁䅍兤祂䝁䅅杢橂䝁䅕䅉䵂䝁䅫兙楂䝁䅫䅢灂䡁䅑兡求䡁䅍䅉潁䭁杷䅍睁䑁䅁克䅁䱁䍧䅁祁䅁䅁兓畂䡁䅍兤祂䝁䅅杢橂䝁䅕䅉卂䝁䅕杤求䝁䄴兤求䍁䅁䅋歁䑁䅁䅍睁䍁䅫䅁䭁杁䅁杏䅁䕁䅫杢穂䡁䅕杣桂䝁䄴睙求䍁䅁睕求䡁䅑䅤獂䝁䅕兢求䝁䄴䅤穂䍁䅁䅋歁䑁䅁䅍睁䍁䅫䅁敂睁䅁䅏䅁䕁䅫杢あ䍁䅁睑療䡁䅍䅤㙁䍁䅁村桂䝁䄴睡杁䕁䅑党睂䝁䄸督灂䡁䅑督杁䍁䅧兊灁䅁䅁杹䅁䍁䅑䅁䩂䝁䄴䅤杁䕁䅍睢穂䡁䅑杏杁䕁䅍䅒穂䍁䅁䅋汁䍁䅫䅁穁杁䅁杊䅁䕁䅫杢あ䍁䅁睑療䡁䅍䅤㙁䍁䅁䅒求䝁䅉䅤杁䍁䅧兊灁䅁䅁睎䅉䑁䅯䅁䩂䝁䄴䅤杁䕁䅍睢穂䡁䅑杏杁䕁䄸䅤潂䝁䅕杣杁䕁䅑党睂䝁䄸督灂䡁䅑督杁䍁䅧兊灁䅁䅁兎䅉䑁䅯䅁䩂䝁䄴䅤杁䕁䅍睢穂䡁䅑杏杁䙁䅑睢あ䝁䅅䅢杁䕁䅑党睂䝁䄸督灂䡁䅑督杁䍁䅧兊灁䅁䅁兹䅁䕁䅷䅁䩂䝁䄴䅤桂䝁䄴睚灂䝁䅉䅢求䍁䅁兑穂䡁䅍党あ䡁䅍䅉潁䕁䄸䅕䙂䕁䅉䅉瑁䍁䅁䅒療䝁䄰克杁䍁䅧䅊睁䑁䅁䅍灁䅁䅁䅤䅕䕁䅷䅁䩂䝁䄴䅤桂䝁䄴睚灂䝁䅉䅢求䍁䅁兑穂䡁䅍党あ䡁䅍䅉潁䕁䄸䅕䙂䕁䅉䅉瑁䍁䅁杒䡂䕁䄴克杁䍁䅧䅊睁䑁䅁䅍灁䅁䅁眹䅕䕁䅁䅁䩂䝁䄴䅤桂䝁䄴睚灂䝁䅉䅢求䍁䅁兑穂䡁䅍党あ䡁䅍䅉潁䕁䄸䅕䙂䕁䅉克杁䍁䅧䅊睁䑁䅁䅍灁䅁䅁䅂䅕䙁䅉䅁䩂䝁䄴䅤桂䝁䄴睚灂䝁䅉䅢求䍁䅁兑穂䡁䅍党あ䡁䅍䅉潁䙁䅁党畂䡁䅍兡療䝁䄴䅉瑁䍁䅁䅒療䝁䄰克杁䍁䅧䅊睁䑁䅁䅍灁䅁䅁兎䅕䙁䅉䅁䩂䝁䄴䅤桂䝁䄴睚灂䝁䅉䅢求䍁䅁兑穂䡁䅍党あ䡁䅍䅉潁䙁䅁党畂䡁䅍兡療䝁䄴䅉瑁䍁䅁杒䡂䕁䄴克杁䍁䅧䅊睁䑁䅁䅍灁䅁䅁睴䅕䕁䅙䅁䩂䝁䄴䅤桂䝁䄴睚灂䝁䅉䅢求䍁䅁兑穂䡁䅍党あ䡁䅍䅉潁䙁䅁党畂䡁䅍兡療䝁䄴克杁䍁䅧䅊睁䑁䅁䅍灁䅁䅁儰䅑䙁䅯䅁䩂䝁䄴䅤桂䝁䄴睚灂䝁䅉䅢求䍁䅁兑穂䡁䅍党あ䡁䅍䅉療䡁䅑䅡求䡁䅉䅉あ䝁䅧兙畂䍁䅁睒療䝁䄸䅚㍂䝁䅫䅢獂䍁䅁䅋歁䑁䅁䅍睁䍁䅫䅁牄允䅁杕䅁䕁䅫杢あ䝁䅕杣求䡁䅍䅤杁䕁䅅杢歂䍁䅁兓畂䡁䅙党穂䡁䅑杌杁䕁䅫杢橂䝁䄸兢求䍁䅁䅋卂䝁䅕杤灁䍁䅁䅋歁䑁䅁䅍睁䍁䅫䅁㕁睁䅁䅘䅁䕁䅫杢あ䝁䅕杣求䡁䅍䅤杁䕁䅍兙睂䝁䅫䅤桂䝁䅷兡㙂䝁䅕䅚杁䕁䅑兤祂䝁䅫杢湂䍁䅁䅤潂䝁䅕䅉兂䝁䅕杣灂䝁䄸䅚杁䍁䅧䅊睁䑁䅁䅍灁䅁䅁䅲䅍䙁䅧䅁䩂䝁䄴䅤求䡁䅉党穂䡁䅑䅉䑂䝁䅅䅣灂䡁䅑兙獂䝁䅫来求䝁䅑䅌杁䕁䅉党湂䍁䄴䅉偂䝁䅙䅉兂䝁䅕杣灂䝁䄸䅚杁䍁䅧䅊睁䑁䅁䅍灁䅁䅁睄䅙䙁䅙䅁䩂䝁䄴䅤求䡁䅉党穂䡁䅑䅉䑂䝁䅅䅣灂䡁䅑兙獂䝁䅫来求䝁䅑䅌杁䕁䅕杢歂䍁䅁睔浂䍁䅁䅕求䡁䅉兡療䝁䅑䅉潁䍁䅑䅍睁䑁䅁克䅁䉁䝍䅁䵂䅁䅁兓畂䡁䅑党祂䝁䅕督あ䍁䅁睑桂䡁䅁兡あ䝁䅅䅢灂䡁䅯党歂䍁䅷䅉䙂䡁䅧䅣求䝁䄴督求䝁䅑䅉潁䍁䅑䅍睁䑁䅁克䅁䉁䝁䅁兂䅁䅁兓畂䡁䅑党祂䝁䅕督あ䍁䅁睑桂䡁䅁兡あ䝁䅅䅢灂䡁䅯党歂䍁䅷䅉偂䡁䅑䅡求䡁䅉䅉䉂䝁䅑条畁䍁䅁䅋歁䑁䅁䅍睁䍁䅫䅁十杂䅁杕䅁䕁䅫杢あ䝁䅕杣求䡁䅍䅤杁䕁䅍兙睂䝁䅫䅤桂䝁䅷兡㙂䝁䅕䅚獁䍁䅁睖祂䝁䅫䅤あ䝁䅕杢瑁䝁䄸杚浂䍁䅁䅋歁䑁䅁䅍睁䍁䅫䅁剁杂䅁䅍䅁䕁䅫杢あ䝁䅕杣求䡁䅍䅤杁䕁䅕䅥睂䝁䅕杢穂䝁䅕䅉潁䍁䅑䅍睁䑁䅁克䅁䥁䅍䅁睁䅁䅁兓畂䡁䅑党祂䝁䅕督あ䍁䅁兒㑂䡁䅁党畂䡁䅍党杁䍁䅧䍲睁䑁䅁䅍灁䅁䅁睵䅉䙁䅙䅁䩂䝁䄴䅤求䡁䅉党穂䡁䅑䅉䙂䡁䅧䅣求䝁䄴督求䍁䅁兌杁䕁䅙兡畂䝁䅅杢橂䝁䅕䅉䕂䝁䅫杤灂䡁䅍兡療䝁䄴䅉潁䍁䅑䅍睁䑁䅁克䅁䕁䑁䅁畁䅁䅁兓畂䡁䅑党祂䝁䅕督あ䍁䅁兓畂䝁䅍睢瑂䝁䅕䅉潁䍁䅑䅍睁䑁䅁克䅁䥁䄴䅁畁䅁䅁兓畂䡁䅑党祂䝁䅕督あ䍁䅁兓畂䝁䅍睢瑂䝁䅕䅉潁䭁杷䅍睁䑁䅁克䅁䵁䍣䅁佂䅁䅁兓畂䡁䅑党祂䝁䅕督あ䍁䅁睕求䝁䄴督灂䡁䅑兡㉂䝁䅫䅤㕂䍁䅁兔求䝁䅅督ㅂ䡁䅉党歂䍁䅁兑湂䝁䅅兡畂䡁䅍䅤杁䅁䅁䅦䅉䑁䅯䅁䩂䝁䄴䅤求䡁䅉党穂䡁䅑䅉呂䝁䅕杢穂䝁䅫䅤灂䡁䅙兡あ䡁䅫䅉乂䝁䅕䅤潂䝁䄸䅚杁䅁䅁睥䅉䍁䅧䅁䩂䝁䄴䅤求䡁䅉党穂䡁䅑䅉呂䡁䅁杣求䝁䅅䅚杁䍁䅧兊灁䅁䅁睏䅉䕁䅷䅁䩂䝁䄴䅤求䡁䅉党穂䡁䅑䅉呂䡁䅁杣求䝁䅅䅚獁䍁䅁兓畂䝁䅍䅢杁䕁䄴睢畂䝁䅫杢あ䍁䅁䅒求䡁䅁督杁䍁䅧兊灁䅁䅁杖䅅䕁䅙䅁䩂䝁䄴䅤求䡁䅉党穂䡁䅑䅉桂䝁䄴䅚杁䕁䅫杢㉂䝁䅕督あ䍁䄴䅉䩂䝁䄴睙療䝁䄰党杁䍁䅧䅊睁䑁䅁䅍灁䅁䅁杚䅍䝁䄴䅁䩂䝁䄴䅤求䡁䅉党穂䡁䅑䅉桂䝁䄴䅚杁䙁䅁党畂䝁䅅䅢あ䝁䅫党穂䍁䅁杕求䝁䅍睢湂䍁䄴䅉療䝁䄴䅉䍂䙁䅍䅉瑁䍁䅁兑浂䡁䅑党祂䍁䅁䅖桂䡁䅧䅉潁䍁䅑䅍睁䑁䅁克䅁䑁䝕䅁睂䅁䅁兓畂䡁䅑党祂䝁䅕督あ䍁䅁兙畂䝁䅑䅉兂䝁䅕杢桂䝁䅷䅤灂䝁䅕督杁䙁䅉党橂䝁䄸睚畁䍁䅁睢畂䍁䅁村呂䍁䅁兌杁䕁䅉党浂䝁䄸杣求䍁䅁䅖桂䡁䅧䅉潁䍁䅑䅍睁䑁䅁克䅁䑁䝑䅁畂䅁䅁兓畂䡁䅑党祂䝁䅕督あ䍁䅁兙畂䝁䅑䅉兂䝁䅕杢桂䝁䅷䅤灂䝁䅕督杁䙁䅉党橂䝁䄸睚畁䍁䅁睢畂䍁䅁兓呂䍁䅁兌杁䕁䅅杚あ䝁䅕杣杁䙁䅑兙㑂䍁䅁䅋歁䑁䅁䅍睁䍁䅫䅁塄睁䅁䅣䅁䕁䅫杢あ䝁䅕杣求䡁䅍䅤杁䝁䅅杢歂䍁䅁䅕求䝁䄴兙獂䡁䅑兡求䡁䅍䅉卂䝁䅕睙療䝁䅣杌杁䝁䄸杢杁䕁䅫睕杁䍁䄰䅉䍂䝁䅕杚療䡁䅉党杁䙁䅑兙㑂䍁䅁䅋歁䑁䅁䅍睁䍁䅫䅁祁杂䅁䅒䅁䕁䅫杢あ䝁䅕杣求䡁䅍䅤杁䝁䄸杢杁䕁䅷睢畂䝁䅣兌啂䝁䅕杣瑂䍁䅁䅒求䝁䅉䅤杁䍁䅧䅊睁䑁䅁䅍灁䅁䅁杲䅍䙁䅁䅁䩂䝁䄴䅤求䡁䅉党穂䡁䅑兌楂䝁䅕兙祂䝁䅫杢湂䍁䅁䅒求䡁䅁睢穂䝁䅫䅤穂䍁䄸䅉䕂䝁䅕䅣療䡁䅍兡あ䡁䅍䅉潁䍁䅕克䅁䉁䉙䅁奂䅁䅁兓畂䡁䅑党祂䝁䄴兙あ䝁䅫睢畂䝁䅅䅢杁䕁䅉兤穂䝁䅫杢求䡁䅍督杁䕁䄰兙橂䝁䅧兡畂䝁䅕督杁䕁䅍睢祂䡁䅁睢祂䝁䅅䅤灂䝁䄸杢䅁䵁䝣䅁㑁䅁䅁兓畂䡁䅑党祂䝁䄴兙あ䝁䅫睢畂䝁䅅䅢杁䙁䅁兙睂䝁䅕杣杁䕁䅍睢瑂䡁䅁兙畂䡁䅫䅁あ睂䅁杉䅁䕁䅫杢㉂䝁䅕杢あ䝁䄸杣㕂䍁䅁䅋歁䑁䅁䅍睁䍁䅫䅁䝂䅂䅁杌䅁䕁䅫杢㉂䝁䅕杢あ䝁䄸杣㕂䍁䅁䅖ㅂ䡁䅉杢療䡁䅙党祂䍁䅁䅋㑂䍁䅫䅁䑂杂䅁䅘䅁䕁䅫杢㉂䝁䅕督あ䍁䄴䅉灂䝁䄴䅉乂䝁䅅杣牂䝁䅕䅤桂䝁䅉䅢求䍁䅁杊杁䕁䅕兣ㅂ䝁䅫䅤㕂䍁䅁睕求䝁䅍兤祂䡁䅑杌杁䍁䅧䅊睁䑁䅁䅍灁䅁䅁先䅑䕁䅷䅁䩂䝁䄴杤求䡁䅍䅤瑂䝁䅕杢あ䍁䅁村桂䝁䄴睡灂䝁䄴睚杁䍁䅙䅉䍂䡁䅉睢牂䝁䅕杣桂䝁䅣党杁䍁䅧䅊睁䑁䅁䅍灁䅁䅁兄䅉䕁䅑䅁䩂䝁䄴杤求䡁䅍䅤瑂䝁䅕杢あ䍁䅁兡畂䍁䅁䅕桂䡁䅉䅤畂䝁䅕杣穂䝁䅧兡睂䡁䅍䅉潁䍁䅑䅍睁䑁䅁克䅁䙁䄴䅁䕂䅁䅁兓畂䡁䅙党穂䡁䅑兢求䝁䄴䅤杁䝁䅫杢杁䙁䅁兙祂䡁䅑杢求䡁䅉督潂䝁䅫䅣穂䍁䅁䅋獃䑉䅁䅍睁䍁䅫䅁扃杁䅁䅑䅁䕁䅫督穂䡁䅕兙畂䝁䅍党杁䝁䄸杚杁䕁䅍睢瑂䝁䄰睢畂䍁䅁睕あ䝁䄸睙牂䍁䅁䅋歁䑁䅁䅍睁䍁䅫䅁牁䅂䅁材䅁䕁䅫督穂䡁䅕兙畂䝁䅍党杁䝁䄸杚杁䙁䅁杣求䝁䅙杌杁䙁䅍䅤療䝁䅍睡杁䍁䅧䅊睁䑁䅁䅍灁䅁䅁䅌䅑䉁䅷䅁䩂䡁䅑党瑂䍁䅁杕求䝁䄰睢㉂䝁䅕䅚杁䅁䅁睌䅁䍁䅯䅁䭂䙁䅁兔療䡁䅉睚桂䝁䄴䅉䑂䝁䅧兙穂䝁䅕䅉流䍁䅁睑療䍁䄴䅁潃杂䅁杌䅁䕁䅳入畂䝁䅑杣㕂䝁䅷䅉䥂䝁䄸䅢歂䝁䅫杢湂䡁䅍䅌杁䕁䅫杢橂䍁䄴䅁卂睂䅁䅋䅁䕁䅷兓䝂䕁䄸䅉卂䝁䅕督求䡁䅉杤求䍁䅁䅋歁䑁䅁䅍睁䍁䅫䅁噃睁䅁杊䅁䕁䅷䅖杁䕁䅑党楂䡁䅑睌䙂䡁䅅兤灂䡁䅑入杁䍁䅧兊灁䅁䅁睵䅍䅁䅧䅁䵂䙁䅑兔䅁䝁䝙䅁奁䅁䅁䅔桂䝁䄴䅚杁䍁䅧䅊睁䑁䅁䅍灁䅁䅁全䅑䕁䄴䅁䵂䝁䅅䅣穂䝁䅕䅉療䝁䅙䅉呂䡁䅑兙あ䡁䅕䅤求䍁䅁睢浂䍁䅁䅔灂䝁䄰兡あ䝁䅅䅤灂䝁䄸杢穂䍁䅁䅋歁䑁䅁䅍睁䍁䅫䅁癁杂䅁䅐䅁䕁䅷党桂䡁䅍党潂䝁䄸䅢歂䍁䅁兓瑂䡁䅁杣療䡁䅙党瑂䝁䅕杢あ䡁䅍䅉潁䍁䅑䅍睁䑁䅁克䅁䡁䔸䅁祁䅁䅁䅔求䝁䅅督灂䝁䄴睚杁䕁䅷睢桂䝁䄴督癁䍁䅁䅔療䝁䅅杢穂䍁䅁䅋汁䍁䅫䅁㕂允䅁杍䅁䕁䅷党湂䝁䅅䅢杁䙁䅍党あ䡁䅑䅢求䝁䄰党畂䡁䅑督杁䍁䅧䅊睁䑁䅁䅍灁䅁䅁䅩䅍䍁䅷䅁䵂䝁䅕杤求䝁䅷䅉硁䍁䅁兑穂䡁䅍党あ䡁䅍䅉潁䍁䅑䅍睁䑁䅁克䅁䵁䉧䅁䵂䅁䅁䅔求䡁䅙党獂䍁䅁免杁䕁䅅督穂䝁䅕䅤穂䍁䅁兌杁䙁䅅兤療䡁䅑党歂䍁䅁䅕祂䝁䅫睙求䡁䅍䅉潁䍁䅑䅍睁䑁䅁克䅁䕁䑷䅁㉁䅁䅁䅔求䡁䅙党獂䍁䅁免杁䕁䅅督穂䝁䅕䅤穂䍁䄸䅉䉂䡁䅍督求䡁䅑督杁䍁䅧兊灁䅁䅁兕䅉䑁䅙䅁䵂䝁䅕杤求䝁䅷䅉硁䍁䅁䅔灂䝁䅅杙灂䝁䅷兡あ䝁䅫党穂䍁䅁䅋歁䑁䅁䅍睁䍁䅫䅁硁杁䅁杖䅁䕁䅷党㉂䝁䅕䅢杁䑁䅅䅉䵂䝁䅫兙楂䝁䅫䅢灂䡁䅑兡求䡁䅍䅉瑁䍁䅁兕ㅂ䝁䄸䅤求䝁䅑䅉兂䡁䅉兡橂䝁䅕督杁䍁䅧䅊睁䑁䅁䅍灁䅁䅁䅫䅑䕁䅯䅁䵂䝁䅕杤求䝁䅷䅉硁䍁䅁䅔灂䝁䅅杙灂䝁䅷兡あ䝁䅫党穂䍁䄸䅉䵂䝁䅫兙楂䝁䅫䅢灂䡁䅑兡求䡁䅍䅉潁䍁䅕克䅁䙁䍕䅁獁䅁䅁䅔求䡁䅙党獂䍁䅁杍杁䕁䅅督穂䝁䅕䅤穂䍁䅁䅋歁䑁䅁䅍睁䍁䅫䅁乂杁䅁䅖䅁䕁䅷党㉂䝁䅕䅢杁䑁䅉䅉䉂䡁䅍督求䡁䅑督杁䍁䄰䅉偂䝁䅉督求䡁䅉杤桂䝁䅉䅢求䍁䅁䅕祂䝁䅫睙求䡁䅍䅉潁䍁䅑䅍睁䑁䅁克䅁䙁䕑䅁㉁䅁䅁䅔求䡁䅙党獂䍁䅁杍杁䕁䅅督穂䝁䅕䅤穂䍁䄸䅉䉂䡁䅍督求䡁䅑督杁䍁䅧兊灁䅁䅁睕䅉䑁䅙䅁䵂䝁䅕杤求䝁䅷䅉祁䍁䅁䅔灂䝁䅅杙灂䝁䅷兡あ䝁䅫党穂䍁䅁䅋歁䑁䅁䅍睁䍁䅫䅁祁杁䅁杘䅁䕁䅷党㉂䝁䅕䅢杁䑁䅉䅉䵂䝁䅫兙楂䝁䅫䅢灂䡁䅑兡求䡁䅍䅉瑁䍁䅁睔楂䡁䅍党祂䡁䅙兙楂䝁䅷党杁䙁䅁杣灂䝁䅍党穂䍁䅁䅋歁䑁䅁䅍睁䍁䅫䅁煄睁䅁杓䅁䕁䅷党㉂䝁䅕䅢杁䑁䅉䅉䵂䝁䅫兙楂䝁䅫䅢灂䡁䅑兡求䡁䅍睌杁䕁䅷兡桂䝁䅉兡獂䝁䅫䅤灂䝁䅕督杁䍁䅧兊灁䅁䅁杖䅉䍁䅷䅁䵂䝁䅕杤求䝁䅷䅉穁䍁䅁兑穂䡁䅍党あ䡁䅍䅉潁䍁䅑䅍睁䑁䅁克䅁䕁䌴䅁奂䅁䅁䅔求䡁䅙党獂䍁䅁睍杁䕁䅅督穂䝁䅕䅤穂䍁䅁兌杁䙁䅕杢療䝁䅉督求䡁䅉杤桂䝁䅉䅢求䍁䅁䅕祂䝁䅫睙求䡁䅍䅉潁䍁䅑䅍睁䑁䅁克䅁䥁䕳䅁㉁䅁䅁䅔求䡁䅙党獂䍁䅁睍杁䕁䅅督穂䝁䅕䅤穂䍁䄸䅉䉂䡁䅍督求䡁䅑督杁䍁䅧兊灁䅁䅁䅖䅉䑁䅙䅁䵂䝁䅕杤求䝁䅷䅉穁䍁䅁䅔灂䝁䅅杙灂䝁䅷兡あ䝁䅫党穂䍁䅁䅋歁䑁䅁䅍睁䍁䅫䅁兂杁䅁杙䅁䕁䅷党㉂䝁䅕䅢杁䑁䅍䅉䵂䝁䅫兙楂䝁䅫䅢灂䡁䅑兡求䡁䅍䅉瑁䍁䅁兖畂䝁䄸杙穂䝁䅕杣㉂䝁䅅杙獂䝁䅕䅉兂䡁䅉兡橂䝁䅕督杁䍁䅧䅊睁䑁䅁䅍灁䅁䅁兩䅑䕁䅯䅁䵂䝁䅕杤求䝁䅷䅉穁䍁䅁䅔灂䝁䅅杙灂䝁䅷兡あ䝁䅫党穂䍁䄸䅉䵂䝁䅫兙楂䝁䅫䅢灂䡁䅑兡求䡁䅍䅉潁䍁䅕克䅁䙁䍣䅁流䅁䅁䅔求䡁䅙党祂䝁䅅睚求䍁䅁杕桂䡁䅑兡療䍁䅁䅋汁䍁䅫䅁牁杁䅁䅐䅁䕁䅷党㉂䝁䅕杣求䝁䅑䅉䝂䡁䅉党求䍁䅁睑桂䡁䅍䅡杁䕁䅙䅢療䡁䅣䅉潁䍁䅑䅍睁䑁䅁克䅁䑁䕷䅁ぁ䅁䅁䅔灂䡁䅅兤灂䝁䅑䅉䉂䡁䅍督求䡁䅑督癁䍁䅁兑穂䡁䅍党あ䡁䅍䅉潁䍁䅕克䅁䡁䍯䅁䥂䅁䅁䅔灂䡁䅅兤灂䝁䅑䅉䕂䝁䅕䅣療䡁䅍兡あ䡁䅍睌杁䙁䅑睢あ䝁䅅䅢杁䕁䅑党睂䝁䄸督灂䡁䅑督杁䍁䅧兊灁䅁䅁內䅅䑁䅯䅁䵂䝁䅫兣ㅂ䝁䅫䅚灂䡁䅑入杁䕁䅍睢㉂䝁䅕杣桂䝁䅣党杁䙁䅉兙あ䝁䅫睢杁䍁䅧兊灁䅁䅁䄷䅉䍁䅧䅁䵂䝁䅫兣ㅂ䝁䅫䅚灂䡁䅑入杁䙁䅉兙あ䝁䅫睢杁䍁䅧兊灁䅁䅁入䅉䑁䅙䅁䵂䝁䄸兙畂䍁䅁杒求䝁䅕督杁䍁䅙䅉䑂䝁䅧兙祂䝁䅣党穂䍁䅁䅋歁䑁䅁䅍睁䍁䅫䅁䥁杁䅁杏䅁䕁䅷睢桂䝁䄴䅉䵂䝁䄸督穂䍁䅁䅕祂䝁䄸杤灂䡁䅍兡療䝁䄴睌杁䕁䄴睑偂䍁䅁䅋汁䍁䅫䅁い允䅁杍䅁䕁䅷睢桂䝁䄴䅉䵂䝁䄸督穂䍁䅁杕求䡁䅍党祂䡁䅙党杁䍁䅧䅊睁䑁䅁䅍灁䅁䅁共䅁䑁䄴䅁䵂䝁䄸兙畂䍁䅁䅔療䡁䅍督杁䙁䅉党穂䝁䅕杣㉂䝁䅕督癁䍁䅁兑穂䡁䅍党あ䡁䅍䅉潁䍁䅕克䅁䅁䍳䅁䥂䅁䅁䅔療䝁䅅杢杁䕁䅷睢穂䡁䅍䅉卂䝁䅕督求䡁䅉杤求䡁䅍睌杁䕁䅣杣療䡁䅍督杁䕁䅷睢桂䝁䄴督杁䍁䅧兊灁䅁䅁杷䅅䑁䅯䅁䵂䝁䄸兙畂䍁䅁睕求䡁䅉杤灂䝁䅍兡畂䝁䅣䅉卂䝁䅫睚潂䡁䅑督杁䍁䅧䅊睁䑁䅁䅍灁䅁䅁儷䅅䙁䅙䅁䵂䝁䄸兙畂䡁䅍䅉硁䑁䅧䅍牁䍁䅁䅒桂䡁䅫督杁䙁䅁䅒杁䝁䅉兤あ䍁䅁杔療䡁䅑䅉䩂䝁䄰䅣桂䝁䅫杣求䝁䅑䅉潁䍁䅑䅍睁䑁䅁克䅁乁䅧䅁坂䅁䅁䅔療䝁䅅杢穂䍁䅁免㑁䑁䅁睋杁䕁䅑兙㕂䡁䅍䅉兂䕁䅑䅉楂䡁䅕䅤杁䕁䄴睢あ䍁䅁兓瑂䡁䅁兙灂䡁䅉党歂䍁䅁䅋獃䑉䅁䅍睁䍁䅫䅁穄杁䅁䅖䅁䕁䅷睢桂䝁䄴督杁䑁䅙䅍牁䍁䅁䅒桂䡁䅫督杁䙁䅁䅒杁䍁䅙䅉呂䡁䅑兡獂䝁䅷䅉䉂䝁䅍睙祂䡁䅕兡畂䝁䅣䅉潁䍁䅑䅍睁䑁䅁克䅁乁䅣䅁啂䅁䅁䅔療䝁䅅杢穂䍁䅁李睁䍁䅳䅉䕂䝁䅅入穂䍁䅁䅕䕂䍁䅁杊杁䙁䅍䅤灂䝁䅷䅢杁䕁䅅睙橂䡁䅉兤灂䝁䄴睚杁䍁䅧䍲睁䑁䅁䅍灁䅁䅁眶䅉䑁䅙䅁䵂䝁䄸兙畂䡁䅍䅉䥂䝁䅕䅢歂䍁䅁杒療䡁䅉䅉呂䝁䅅䅢求䍁䅁䅋歁䑁䅁䅍睁䍁䅫䅁䱂䅂䅁䅚䅁䕁䅷睢桂䝁䄴督杁䕁䅧党獂䝁䅑䅉浂䝁䄸杣杁䕁䅫杢㉂䝁䅕督あ䝁䄰党畂䡁䅑䅌杁䕁䄴党あ䍁䅁睢浂䍁䅁杕求䡁䅍党祂䡁䅙党穂䍁䅁䅋歁䑁䅁䅍睁䍁䅫䅁䩂䅁䅁䅚䅁䕁䅷睢桂䝁䄴督杁䕁䅧党獂䝁䅑䅉浂䝁䄸杣杁䕁䅫杢㉂䝁䅕督あ䝁䄰党畂䡁䅑䅌杁䕁䄴党あ䍁䅁睢浂䍁䅁杕求䡁䅍党祂䡁䅙党穂䍁䅁䅋獃䑉䅁䅍睁䍁䅫䅁䩃杁䅁李䅁䕁䅷睢桂䝁䄴督杁䕁䅧党獂䝁䅑䅉浂䝁䄸杣杁䙁䅍兙獂䝁䅕䅉潁䍁䅑䅍睁䑁䅁克䅁佁䉅䅁浂䅁䅁䅔療䝁䅅杢穂䍁䅁兔桂䡁䅑兤祂䝁䅫杢湂䍁䅁兡畂䍁䅁免瑁䑁䅍䅉㕂䝁䅕兙祂䡁䅍睌杁䕁䅷睢桂䝁䄴督杁䝁䅉入杁䕁䄰兙あ䡁䅕杣灂䡁䅑入杁䍁䅧兊灁䅁䅁睚䅅䕁䄴䅁䵂䝁䄸兙畂䡁䅍䅉乂䝁䅅䅤ㅂ䡁䅉兡畂䝁䅣䅉灂䝁䄴䅉硁䍁䄰兎杁䡁䅫党桂䡁䅉督癁䍁䅁䅔療䝁䅅杢穂䍁䅁䅋汁䍁䅫䅁允允䅁杚䅁䕁䅷睢桂䝁䄴督杁䕁䄰兙あ䡁䅕杣灂䝁䄴睚杁䝁䅫杢杁䑁䅅䅍牁䍁䅁入求䝁䅅杣穂䍁䄸䅉䵂䝁䄸兙畂䡁䅍䅉楂䡁䅫䅉乂䝁䅅䅤ㅂ䡁䅉兡あ䡁䅫䅉潁䍁䅕克䅁䡁䈸䅁卂䅁䅁䅔療䝁䅅杢穂䍁䅁兔桂䡁䅑兤祂䝁䅫杢湂䍁䅁兡畂䍁䅁睍瑁䑁䅅杍杁䝁䄰睢畂䡁䅑䅡穂䍁䄸䅉䵂䝁䄸兙畂䡁䅍䅉潁䍁䅕克䅁䅁䈸䅁浂䅁䅁䅔療䝁䅅杢穂䍁䅁兔桂䡁䅑兤祂䝁䅫杢湂䍁䅁兡畂䍁䅁睍瑁䑁䅕䅉㕂䝁䅕兙祂䡁䅍睌杁䕁䅷睢桂䝁䄴督杁䝁䅉入杁䕁䄰兙あ䡁䅕杣灂䡁䅑入杁䍁䅧兊灁䅁䅁䅡䅅䕁䅷䅁䵂䝁䄸兙畂䡁䅍䅉乂䝁䅅䅤ㅂ䡁䅉兡畂䝁䅣䅉灂䝁䄴䅉ㅁ䍁䅳䅉㕂䝁䅕兙祂䡁䅍睌杁䕁䅷睢桂䝁䄴督杁䍁䅧兊灁䅁䅁充䅅䝁䅙䅁䵂䝁䄸兙畂䡁䅍䅉乂䝁䅅䅤ㅂ䡁䅉兡畂䝁䅣䅉灂䝁䄴䅉ㅁ䍁䄰睎杁䡁䅫党桂䡁䅉督癁䍁䅁䅔療䝁䅅杢穂䍁䅁杙㕂䍁䅁兔桂䡁䅑兤祂䝁䅫䅤㕂䍁䅁䅋汁䍁䅫䅁㡂允䅁䅡䅁䕁䅷睢桂䝁䄴督杁䕁䄰兙あ䡁䅕杣灂䝁䄴睚杁䝁䅫杢杁䑁䅣兌硁䑁䅁䅉㕂䝁䅕兙祂䡁䅍睌杁䕁䅷睢桂䝁䄴督杁䝁䅉入杁䕁䄰兙あ䡁䅕杣灂䡁䅑入杁䍁䅧兊灁䅁䅁兦䅅䕁䅷䅁䵂䝁䄸兙畂䡁䅍䅉乂䝁䅅䅤ㅂ䡁䅉兡畂䝁䅣䅉灂䝁䄴䅉㡁䍁䅁免杁䙁䅫党桂䡁䅉睌杁䕁䅷睢桂䝁䄴督杁䍁䅧兊灁䅁䅁朹䅁䝁䅁䅁䵂䝁䄸兙畂䡁䅍䅉乂䝁䅅䅤ㅂ䡁䅉兡畂䝁䅣䅉灂䝁䄴䅉獂䝁䅕督穂䍁䅁䅤潂䝁䅅杢杁䑁䅍䅉瑂䝁䄸杢あ䝁䅧督癁䍁䅁䅔療䝁䅅杢穂䍁䅁䅋汁䍁䅫䅁佁允䅁䅘䅁䕁䅷睢桂䝁䄴督杁䕁䄸杣灂䝁䅣兡畂䝁䅅䅤求䝁䅑䅉灂䝁䄴䅉䍂䡁䅉兡あ䝁䅫督潂䍁䅁䅕療䡁䅕杢歂䡁䅍睌杁䕁䅷睢桂䝁䄴督杁䍁䅧兊灁䅁䅁䅂䅅䙁䅧䅁䵂䝁䄸兙畂䡁䅍䅉偂䡁䅉兡湂䝁䅫杢桂䡁䅑党歂䍁䅁兡畂䍁䅁睑潂䝁䅫杢求䡁䅍党杁䙁䅫兤桂䝁䄴睌杁䕁䅷睢桂䝁䄴督杁䍁䅧兊灁䅁䅁杂䅅䝁䄴䅁䵂䝁䄸兙畂䡁䅍䅉偂䡁䅉兡湂䝁䅫杢桂䡁䅑党歂䍁䅁兡畂䍁䅁䅒療䝁䄰党穂䡁䅑兡橂䍁䅁睔あ䝁䅧党祂䍁䅁睑ㅂ䡁䅉杣求䝁䄴睙㕂䍁䄸䅉䵂䝁䄸兙畂䡁䅍䅉潁䍁䅕克䅁䅁䉳䅁䭂䅁䅁䅔療䝁䅅杢穂䍁䅁睔祂䝁䅫睚灂䝁䄴兙あ䝁䅕䅚杁䝁䅫杢杁䕁䅕兤祂䝁䄸督癁䍁䅁䅔療䝁䅅杢穂䍁䅁䅋汁䍁䅫䅁䑁允䅁杙䅁䕁䅷睢桂䝁䄴督杁䕁䄸杣灂䝁䅣兡畂䝁䅅䅤求䝁䅑䅉灂䝁䄴䅉䥂䝁䄸杢湂䍁䅁睓療䝁䄴睚杁䕁䅑睢獂䝁䅷兙祂䡁䅍睌杁䕁䅷睢桂䝁䄴督杁䍁䅧兊灁䅁䅁元䅅䙁䅧䅁䵂䝁䄸兙畂䡁䅍䅉偂䡁䅉兡湂䝁䅫杢桂䡁䅑党歂䍁䅁兡畂䍁䅁杓桂䡁䅁兙畂䝁䅕督求䍁䅁兗求䝁䄴睌杁䕁䅷睢桂䝁䄴督杁䍁䅧兊灁䅁䅁䅃䅅䝁䅁䅁䵂䝁䄸兙畂䡁䅍䅉偂䡁䅉兡湂䝁䅫杢桂䡁䅑党歂䍁䅁兡畂䍁䅁睔あ䝁䅧党祂䍁䅁睑ㅂ䡁䅉杣求䝁䄴睙灂䝁䅕督癁䍁䅁䅔療䝁䅅杢穂䍁䅁䅋汁䍁䅫䅁䵁允䅁䅗䅁䕁䅷睢桂䝁䄴督杁䕁䄸杣灂䝁䅣兡畂䝁䅅䅤求䝁䅑䅉灂䝁䄴䅉呂䡁䅣兡穂䡁䅍䅉䝂䡁䅉兙畂䝁䅍督癁䍁䅁䅔療䝁䅅杢穂䍁䅁䅋汁䍁䅫䅁䭁允䅁䅖䅁䕁䅷睢桂䝁䄴督杁䕁䄸杣灂䝁䅣兡畂䝁䅅䅤求䝁䅑䅉灂䝁䄴䅉噂䙁䅍䅉䕂䝁䄸䅢獂䝁䅅杣穂䍁䄸䅉䵂䝁䄸兙畂䡁䅍䅉潁䍁䅕克䅁䅁䉕䅁敂䅁䅁䅔療䝁䅅杢穂䍁䅁睔祂䝁䅫睚灂䝁䄴兙あ䝁䅕䅚杁䡁䅑睢杁䕁䄸䅤潂䝁䅕杣杁䕁䅍睢ㅂ䝁䄴䅤祂䝁䅫党穂䍁䄸䅉䵂䝁䄸兙畂䡁䅍䅉潁䍁䅕克䅁佁䅉䅁䝂䅁䅁䅔療䝁䅅杢穂䍁䅁䅕桂䡁䅫兙楂䝁䅷党杁䝁䄸杢杁䕁䅑党瑂䝁䅅杢歂䍁䄸䅉䵂䝁䄸兙畂䡁䅍䅉潁䍁䅕克䅁䅁䈰䅁䕂䅁䅁䅔療䝁䅅杢穂䍁䅁杕求䝁䅍党灂䡁䅙兙楂䝁䅷党杁䕁䅷睢畂䝁䅣兌啂䝁䅕杣瑂䍁䅁䅋歁䑁䅁䅍睁䍁䅫䅁呂䅂䅁杘䅁䕁䅷睢桂䝁䄴督杁䝁䅅杢歂䍁䅁睑祂䝁䅕䅚灂䡁䅑䅉䑂䝁䄸兢瑂䝁䅫䅤瑂䝁䅕杢あ䡁䅍䅉䩂䝁䄰䅣桂䝁䅫杣瑂䝁䅕杢あ䍁䅁䅋歁䑁䅁䅍睁䍁䅫䅁啃䅁䅁杘䅁䕁䅷睢桂䝁䄴督杁䝁䅅杢歂䍁䅁睑祂䝁䅕䅚灂䡁䅑䅉䑂䝁䄸兢瑂䝁䅫䅤瑂䝁䅕杢あ䡁䅍䅉䩂䝁䄰䅣桂䝁䅫杣瑂䝁䅕杢あ䍁䅁䅋獃䑉䅁䅍睁䍁䅫䅁乄杁䅁杍䅁䕁䅷睢桂䝁䄴督杁䝁䅉入杁䕁䄰兙あ䡁䅕杣灂䡁䅑入杁䍁䅧䅊睁䑁䅁䅍灁䅁䅁睥䅅䍁䅑䅁䵂䝁䄸兙畂䡁䅍睌杁䕁䅅督穂䝁䅕䅤穂䍁䅁䅋汁䍁䅫䅁敄允䅁䅋䅁䕁䅷睢桂䝁䄴督癁䍁䅁䅒求䡁䅁睢穂䝁䅫䅤穂䍁䅁䅋汁䍁䅫䅁橂允䅁䅒䅁䕁䅷睢橂䝁䅅䅢杁䕁䅣睢㉂䝁䅕杣畂䝁䄰党畂䡁䅑䅉䵂䝁䄸兙畂䡁䅍睌杁䕁䅷睢桂䝁䄴督杁䍁䅧兊灁䅁䅁睤䅅䕁䅯䅁䵂䝁䄸杢湂䍁䅁䅖求䡁䅉兢杁䕁䅅督穂䝁䅕䅤穂䍁䅁䅋偂䙁䅁兒䍂䍁䅁兌杁䕁䅑睢瑂䍁䅫䅉潁䍁䅑䅍睁䑁䅁克䅁䡁䙙䅁䭂䅁䅁䅔療䝁䄴睚杁䙁䅑党祂䝁䄰䅉䉂䡁䅍督求䡁䅑督杁䍁䅧睔兂䕁䅕村杁䍁䄰䅉䝂䕁䅣杔灁䍁䅁䅋歁䑁䅁䅍睁䍁䅫䅁㕄兂䅁材䅁䕁䅷睢畂䝁䅣䅉啂䝁䅕杣瑂䍁䅁兑穂䡁䅍党あ䡁䅍䅉潁䕁䄸䅕䙂䕁䅉克杁䍁䅧䅊睁䑁䅁䅍灁䅁䅁杂䅕䙁䅁䅁䵂䝁䄸杢湂䍁䅁䅖求䡁䅉兢杁䕁䅅督穂䝁䅕䅤穂䍁䅁䅋兂䝁䅕杢穂䝁䅫睢畂䍁䅁兌杁䕁䅑睢瑂䍁䅫䅉潁䍁䅑䅍睁䑁䅁克䅁䑁䙣䅁兂䅁䅁䅔療䝁䄴睚杁䙁䅑党祂䝁䄰䅉䉂䡁䅍督求䡁䅑督杁䍁䅧䅕求䝁䄴督灂䝁䄸杢杁䍁䄰䅉䝂䕁䅣杔灁䍁䅁䅋歁䑁䅁䅍睁䍁䅫䅁㕃兂䅁䅒䅁䕁䅷睢畂䝁䅣䅉啂䝁䅕杣瑂䍁䅁兑穂䡁䅍党あ䡁䅍䅉潁䙁䅁党畂䡁䅍兡療䝁䄴克杁䍁䅧䅊睁䑁䅁䅍灁䅁䅁儱䅑䙁䅑䅁䵂䝁䄸杢湂䍁䅁䅖求䡁䅉兢杁䕁䅷兡桂䝁䅉兡獂䝁䅫䅤灂䝁䅕督杁䍁䅧睔兂䕁䅕村杁䍁䄰䅉䕂䝁䄸兢灁䍁䅁䅋歁䑁䅁䅍睁䍁䅫䅁㑂兂䅁䅖䅁䕁䅷睢畂䝁䅣䅉啂䝁䅕杣瑂䍁䅁䅔灂䝁䅅杙灂䝁䅷兡あ䝁䅫党穂䍁䅁䅋偂䙁䅁兒䍂䍁䅁兌杁䕁䅙睒佂䍁䅫䅉潁䍁䅑䅍睁䑁䅁克䅁偁䙳䅁䥂䅁䅁䅔療䝁䄴睚杁䙁䅑党祂䝁䄰䅉䵂䝁䅫兙楂䝁䅫䅢灂䡁䅑兡求䡁䅍䅉潁䕁䄸䅕䙂䕁䅉克杁䍁䅧䅊睁䑁䅁䅍灁䅁䅁朰䅑䙁䅯䅁䵂䝁䄸杢湂䍁䅁䅖求䡁䅉兢杁䕁䅷兡桂䝁䅉兡獂䝁䅫䅤灂䝁䅕督杁䍁䅧䅕求䝁䄴督灂䝁䄸杢杁䍁䄰䅉䕂䝁䄸兢灁䍁䅁䅋歁䑁䅁䅍睁䍁䅫䅁㕁兂䅁杗䅁䕁䅷睢畂䝁䅣䅉啂䝁䅕杣瑂䍁䅁䅔灂䝁䅅杙灂䝁䅷兡あ䝁䅫党穂䍁䅁䅋兂䝁䅕杢穂䝁䅫睢畂䍁䅁兌杁䕁䅙睒佂䍁䅫䅉潁䍁䅑䅍睁䑁䅁克䅁䩁䔸䅁佂䅁䅁䅔療䝁䄴睚杁䙁䅑党祂䝁䄰䅉䵂䝁䅫兙楂䝁䅫䅢灂䡁䅑兡求䡁䅍䅉潁䙁䅁党畂䡁䅍兡療䝁䄴克杁䍁䅧䅊睁䑁䅁䅍灁䅁䅁朱䅑䍁䅷䅁䵂䝁䄸杢湂䍁䄰䅖求䡁䅉兢杁䕁䅑党楂䡁䅑䅉潁䍁䅑䅍睁䑁䅁克䅁䑁䕕䅁䝂䅁䅁䅔療䝁䄴睚瑁䙁䅑党祂䝁䄰䅉䕂䝁䅕杙あ䍁䅁睌杁䙁䅑睢あ䝁䅅䅢杁䕁䅍兙睂䝁䅫䅤桂䝁䅷䅉潁䍁䅕克䅁䝁䕫䅁㙁䅁䅁䅔療䝁䄴睚瑁䙁䅑党祂䝁䄰䅉䕂䝁䅕杙あ䍁䅁兓穂䡁䅍兤求䝁䅑䅉潁䍁䅑䅍睁䑁䅁克䅁䍁䕑䅁㙁䅁䅁䅔療䝁䄴睚瑁䙁䅑党祂䝁䄰䅉䕂䝁䅕杙あ䍁䅁杕求䡁䅁兙灂䝁䅑䅉潁䍁䅑䅍睁䑁䅁克䅁䍁䕣䅁㙁䅁䅁䅔療䝁䄴睚瑁䡁䅑党祂䝁䄰䅉䩂䝁䄴杤求䡁䅍䅤瑂䝁䅕杢あ䡁䅍䅉潁䍁䅑䅍睁䑁䅁克䅁乁䑑䅁歁䅁䅁䅔療䡁䅍督杁䕁䅷睢桂䝁䄴督杁䍁䅧䅊睁䑁䅁䅍灁䅁䅁朰䅁䕁䅑䅁䵂䝁䄸督穂䍁䅁睔畂䍁䅁睕桂䝁䅷党杁䕁䄸杚杁䕁䅫杢㉂䝁䅕督あ䝁䄰党畂䡁䅑䅉潁䍁䅑䅍睁䑁䅁克䅁䵁䐴䅁䍂䅁䅁䅔療䡁䅍督杁䝁䄸杢杁䕁䅕兣ㅂ䝁䅫䅤㕂䍁䅁兓畂䡁䅙党穂䡁䅑兢求䝁䄴䅤杁䍁䅧䅊睁䑁䅁䅍灁䅁䅁眯䅍䉁䅷䅁䵂䝁䄸睤杁䙁䅁杣灂䝁䅍党杁䍁䅧䅊灁䅁䅁杆䅍䍁䅯䅁䵂䝁䄸睤杁䙁䅁杣灂䝁䅍党杁䍁䅧杕求䡁䅁睢祂䡁䅑党歂䍁䅫䅁扃杂䅁䅏䅁䕁䅷睢㍂䍁䅁䅕祂䝁䅫睙求䍁䅁䅒ㅂ䡁䅉兡畂䝁䅣䅉兂䝁䅕杣灂䝁䄸䅚杁䍁䅧䅊灁䅁䅁杉䅉䅁䅧䅁乂䕁䅕䅖䅁偁䝁䅁楁䅁䅁兔呂䕁䅍兓杁䙁䅣睢祂䝁䅷䅚杁䍁䅧兖呂䕁䅑克䅁䅁䅍䅁䭁䅁䅁兔呂䕁䅙䅖䅁䵁䜸䅁允䅁䅁兔呂䕁䅙䅖瑁䙁䅕睕䅁偁䜴䅁楁䅁䅁兔桂䝁䅍䅡灂䝁䄴党祂䡁䅫䅉潁䍁䅑䅍睁䑁䅁克䅁䙁䑍䅁䭂䅁䅁兔桂䝁䅫杢あ䝁䅕杢桂䝁䄴睙求䍁䅁杊杁䙁䅉党睂䝁䅅兡祂䍁䅁兒㑂䡁䅁党畂䡁䅍党穂䍁䅁䅋歁䑁䅁䅍睁䍁䅫䅁乄睁䅁杍䅁䕁䄰兙灂䝁䄴䅤求䝁䄴兙畂䝁䅍党杁䕁䅍兑兂䕁䅕䅗杁䍁䅧䅊睁䑁䅁䅍灁䅁䅁杊䅑䑁䄴䅁乂䝁䅅杢ㅂ䝁䅙兙橂䡁䅑兤祂䝁䅫杢湂䍁䅁䅔療䝁䅅杢穂䍁䄸䅉䵂䝁䄸兙畂䡁䅍䅉潁䍁䅕克䅁䝁䉷䅁㡁䅁䅁兔桂䡁䅉睡瑁䡁䅑睢瑁䕁䄰兙祂䝁䅳党あ䍁䅁村療䝁䄸睡杁䙁䅙兙獂䡁䅕党杁䍁䅧䅊灁䅁䅁克䅉䍁䄴䅁乂䝁䅅杣牂䍁䄰䅤療䍁䄰兔桂䡁䅉睡求䡁䅑䅉䙂䙁䅁睕杁䍁䅧䅊灁䅁䅁兺䅅䑁䅯䅁乂䝁䅅杣牂䍁䄰䅤療䍁䄰兔桂䡁䅉睡求䡁䅑䅉䙂䡁䅅兤灂䡁䅑入杁䍁䅧䅊睁䑁䅁䅍灁䅁䅁杇䅉䕁䅉䅁乂䝁䅅杣牂䍁䄰䅤療䍁䄰兔桂䡁䅉睡求䡁䅑䅉佂䝁䅕䅤杁䕁䅫杢橂䝁䄸兢求䍁䅁䅋歁䑁䅁䅍睁䍁䅫䅁療杁䅁李䅁䕁䄰兙祂䝁䅳党あ䍁䅁睑桂䡁䅁兡あ䝁䅅䅢灂䡁䅯兙あ䝁䅫睢畂䍁䅁䅋歁䕁䄰克䅁䍁䄰䅁䍂䅁䅁兔桂䡁䅉睡求䡁䅑䅉䑂䝁䅅䅣灂䡁䅑兙獂䝁䅫来桂䡁䅑兡療䝁䄴䅉潁䙁䅉党睂䝁䄸杣あ䝁䅕䅚灁䅁䅁杭䅙䍁䅙䅁乂䝁䅅杣牂䝁䅕䅤杁䙁䅉兡穂䝁䅳䅉潁䍁䅑䅍睁䑁䅁克䅁䱁䅷䅁流䅁䅁兔桂䡁䅉睡求䡁䅑䅉卂䝁䅫督牂䍁䅁䅋獃䑉䅁䅍睁䍁䅫䅁浄杁䅁杍䅁䕁䄰兙祂䝁䅳党あ䝁䅫杢湂䍁䅁兒㑂䡁䅁党畂䡁䅍党杁䍁䅧䅊睁䑁䅁䅍灁䅁䅁䅷䅍䕁䄴䅁乂䝁䅅杣牂䝁䅕䅤灂䝁䄴睚杁䝁䅅杢歂䍁䅁䅕祂䝁䄸兢療䡁䅑兡療䝁䄴䅉䙂䡁䅧䅣求䝁䄴督求䍁䅁䅋歁䑁䅁䅍睁䍁䅫䅁呁杁䅁䅖䅁䕁䄰兙㑂䍁䄴䅉婂䝁䅕兙祂䍁䅁杚療䡁䅉䅉䑂䝁䅅䅣灂䡁䅑兙獂䍁䅁䅔療䡁䅍督杁䕁䅍兙祂䡁䅉入杁䕁䅙睢祂䡁䅣兙祂䝁䅑䅉䅁䍁䝅䅁䍂䅁䅁兔桂䡁䅧杌杁䙁䅫党桂䡁䅉䅉浂䝁䄸杣杁䕁䄴睔䵂䍁䅁睑桂䡁䅉杣㕂䍁䅁杒療䡁䅉睤桂䡁䅉䅚杁䅁䅁䅴䅍䙁䅉䅁乂䝁䅅䅥畁䍁䅁兗求䝁䅅杣杁䝁䅙睢祂䍁䅁䅖桂䡁䅧䅉䍂䝁䅕杢求䝁䅙兡あ䍁䅁睑桂䡁䅉杣㕂䍁䅁杒療䡁䅉睤桂䡁䅉䅚杁䅁䅁睊䅙䕁䅯䅁乂䝁䅕兢療䑁䅯䅉䑂䝁䄸杢穂䝁䄸䅢灂䝁䅑兙あ䝁䅕䅚杁䙁䅙兓䙂䍁䅁兑穂䡁䅍党あ䡁䅍䅉潁䍁䅑䅍睁䑁䅁克䅁偁䉕䅁啂䅁䅁兔求䝁䄰睢㙁䍁䅁睑療䝁䄴督療䝁䅷兡歂䝁䅅䅤求䝁䅑䅉坂䕁䅫兒杁䕁䅷兡桂䝁䅉兡獂䝁䅫䅤灂䝁䅕督杁䍁䅧䅊睁䑁䅁䅍灁䅁䅁睺䅅䕁䅁䅁乂䝁䅕兢療䑁䅯䅉䡂䡁䅉睢穂䡁䅍䅉呂䝁䅧兙祂䝁䅫兙杁䕁䅷睢桂䝁䄴督杁䍁䅧䅊睁䑁䅁䅍灁䅁䅁䅓䅁䙁䅁䅁乂䝁䅕兢療䑁䅯䅉佂䝁䅕䅤杁䕁䅣兙灂䝁䄴督杁䙁䅉党獂䝁䅅䅤求䝁䅑䅉あ䝁䄸䅉䍂䝁䄸杢歂䡁䅍䅉潁䍁䅑䅍睁䑁䅁克䅁䑁䉍䅁睂䅁䅁兔求䝁䄰睢㙁䍁䅁睕潂䝁䅅杣灂䝁䅅䅉䕂䝁䅕䅣療䡁䅍兡あ䡁䅍䅉灂䝁䄴䅉䕂䝁䅕䅣療䡁䅍兡あ䡁䅍䅉浂䡁䅉睢瑂䍁䅁睑ㅂ䡁䅍䅤療䝁䄰党祂䡁䅍䅉潁䍁䅑䅍睁䑁䅁克䅁䙁䅣䅁兂䅁䅁兔求䝁䄰睢㙁䍁䅁䅖祂䡁䅕督あ䍁䅁兑橂䝁䅍睢ㅂ䝁䄴䅤杁䕁䅍杣求䝁䅑兡あ䍁䅁睑療䡁䅍䅤穂䍁䅁䅋歁䑁䅁䅍睁䍁䅫䅁ぁ允䅁䅖䅁䕁䄰党祂䝁䅣党祂䍁䅁杊杁䙁䅉党獂䝁䅅䅤求䝁䅑䅉卂䝁䅕督あ䡁䅉兤橂䡁䅑杌杁䕁䅍䅡桂䡁䅉睚求䡁䅍䅉潁䍁䅑䅍睁䑁䅁克䅁䡁䐸䅁捁䅁䅁兔求䡁䅑䅔灂䝁䅙党獁䍁䅁兓畂䝁䅍杌䅁偁䝅䅁獁䅁䅁兔灂䝁䅍杣療䡁䅍睢浂䡁䅑䅉䑂䝁䄸杣睂䝁䄸杣桂䡁䅑兡療䝁䄴䅁兄杂䅁杓䅁䕁䄰兡畂䍁䅁兓畂䡁䅑䅉流䍁䅁睔あ䝁䅧䅉桂䝁䅙䅤求䡁䅉兌あ䝁䅅䅥杁䕁䅫䅤求䝁䄰督杁䍁䅧䅊睁䑁䅁䅍灁䅁䅁䅈䅉䑁䅁䅁乂䝁䅫杢灂䝁䄴睚杁䕁䅷睢桂䝁䄴督癁䍁䅁䅔療䝁䅅杢穂䍁䅁䅋汁䍁䅫䅁療允䅁村䅁䕁䄰兡畂䝁䄸杣灂䡁䅑入杁䕁䅫杢あ䍁䄴䅉灂䝁䄴䅉䙂䝁䅅杣畂䝁䅫杢湂䡁䅍䅉潁䍁䅑䅍睁䑁䅁克䅁䥁䑯䅁㑁䅁䅁兔灂䡁䅍睙畁䍁䅁睑桂䡁䅍䅡杁䕁䅙䅢療䡁䅣䅉䉂䝁䅑条畁䍁䅁䅋歁䑁䅁䅍睁䍁䅫䅁㍁䅂䅁䅎䅁䕁䄰睢畂䡁䅑䅡杁䝁䄸杚杁䕁䅙兡穂䝁䅍兙獂䍁䅁兗求䝁䅅杣杁䕁䅕杢歂䍁䅁䅁㍁䅁䅁村䅁䕁䄰睢療䝁䅑入湁䡁䅍䅉䵂䙁䅑䅉䩂䡁䅍督ㅂ䝁䅕杣杁䕁䅍杣求䝁䅑兡あ䍁䅁杕桂䡁䅑兡畂䝁䅣䅉䅁䍁䍑䅁祁䅁䅁兔ㅂ䝁䅷䅤灂䝁䅙兙瑂䝁䅫䅢㕂䍁䅁䅔療䝁䅅杢穂䍁䅁䅋歁䑁䅁䅍睁䍁䅫䅁䅄允䅁材䅁䕁䄰兤あ䡁䅕兙獂䍁䅁杒ㅂ䝁䄴䅚杁䍁䄰䅉佂䝁䅕䅤杁䙁䅍兙獂䝁䅕督杁䍁䅧䅊睁䑁䅁䅍灁䅁䅁元䅙䕁䅉䅁乂䡁䅕䅤ㅂ䝁䅅䅢杁䕁䅙兤畂䝁䅑䅉瑁䍁䅁杕求䝁䅑党瑂䡁䅁䅤灂䝁䄸杢穂䍁䅁䅋歁䑁䅁䅍睁䍁䅫䅁䥁杂䅁李䅁䕁䄰兤あ䡁䅕兙獂䍁䅁杒ㅂ䝁䄴䅚杁䍁䄰䅉呂䝁䅅䅢求䡁䅍䅉潁䍁䅑䅍睁䑁䅁克䅁䅁䝣䅁䝁䅁䅁杔䉂䅁䅁条䅙䉁䅷䅁佂䕁䅅睕䕂䕁䅅兕䡂䙁䅍杏䑂䙁䅑睕䥂䅁䅁䅕䅣䉁䅯䅁佂䕁䅅睕䕂䕁䅅兕䡂䙁䅍杏䕂䕁䄸䅗䅁䙁䡍䅁捁䅁䅁杔䉂䙁䅍䅒䉂䙁䅅睒呂䑁䅯䅖塂䕁䅳睕䅁䙁䠰䅁潁䅁䅁杔䑂䕁䄸督癁䍁䅁兑㉂䝁䅣䅉䵂䝁䄸兙畂䡁䅍䅉潁䍁䅕克䅁䕁䍳䅁佂䅁䅁杔䩂䍁䅁䅣求䡁䅉䅉呂䕁䅙兑呂䍁䅁免祁䑁䅍䅉潁䝁䅅杚あ䝁䅕杣杁䕁䄸䅣あ䝁䅫睢畂䡁䅍克杁䍁䅧䅊睁䑁䅁䅍灁䅁䅁睮䅍䕁䅷䅁佂䕁䅫䅉あ䝁䄸䅉䑂䝁䄸兢瑂䝁䄸杢杁䕁䅕䅥橂䝁䅷杌杁䕁䅕䅥あ䡁䅉兙杁䕁䅫䅤求䝁䄰督杁䍁䅧䅊睁䑁䅁䅍灁䅁䅁来䅍䕁䅯䅁佂䕁䅫䅉あ䝁䄸䅉䑂䝁䄸兢瑂䝁䄸杢杁䕁䅫杢橂䝁䅷䅉䙂䡁䅧䅤祂䝁䅅䅉䩂䡁䅑党瑂䡁䅍䅉潁䍁䅑䅍睁䑁䅁克䅁䥁䑁䅁䍂䅁䅁杔偂䕁䅷䅉䑂䍁䄸杒獁䍁䅁兑浂䡁䅑党祂䍁䅁杒灂䡁䅙党杁䙁䅫党桂䡁䅉督杁䍁䅧䅊睁䑁䅁䅍灁䅁䅁杇䅙䑁䅯䅁佂䕁䄸䅔杁䕁䅍睌䝂䍁䅷䅉䑂䡁䅕杣祂䝁䅕杢あ䍁䅁兗求䝁䅅杣杁䍁䅧䅊睁䑁䅁䅍灁䅁䅁䅆䅙䕁䅉䅁佂䕁䄸䅔杁䕁䅍睌䝂䍁䅷䅉䑂䡁䅕杣祂䝁䅕杢あ䍁䅁兗求䝁䅅杣杁䍁䅳䅉硁䍁䅁䅋歁䑁䅁䅍睁䍁䅫䅁噁杂䅁村䅁䕁䄴睔䵂䍁䅁睑癁䕁䅙䅌杁䕁䅍兤祂䡁䅉党畂䡁䅑䅉婂䝁䅕兙祂䍁䅁睋杁䑁䅉䅉潁䍁䅑䅍睁䑁䅁克䅁䉁䝙䅁䍂䅁䅁杔偂䕁䅷䅉䑂䍁䄸杒獁䍁䅁睑ㅂ䡁䅉杣求䝁䄴䅤杁䙁䅫党桂䡁䅉䅉牁䍁䅁睍杁䍁䅧䅊睁䑁䅁䅍灁䅁䅁䅇䅙䕁䅉䅁佂䕁䄸䅔杁䕁䅍睌䝂䍁䅷䅉䑂䡁䅕杣祂䝁䅕杢あ䍁䅁兗求䝁䅅杣杁䍁䅳䅉ぁ䍁䅁䅋歁䑁䅁䅍睁䍁䅫䅁婁杂䅁䅐䅁䕁䄴睔䵂䍁䅁睑癁䕁䅙䅌杁䕁䄴睢杁䕁䅕䅥睂䝁䅫杣桂䡁䅑兡療䝁䄴䅉潁䍁䅑䅍睁䑁䅁克䅁䑁䙯䅁歂䅁䅁杔兂䕁䅅䅉流䍁䅁䅔療䝁䅅杢穂䍁䅁兏睁䍁䅳睌杁䙁䅑兙畂䝁䅣兡楂䝁䅷党杁䕁䅍睢瑂䝁䄰睢畂䍁䅁兒硂䡁䅕兡あ䡁䅫䅉牁䍁䅁䅔䵂䙁䅉䅉潁䍁䅕克䅁䅁䌴䅁坂䅁䅁杔兂䕁䅅䅉流䍁䅁䅔療䝁䅅杢穂䍁䅁兏睁䍁䅳睌杁䙁䅑兙畂䝁䅣兡楂䝁䅷党杁䕁䅕兣ㅂ䝁䅫䅤㕂䍁䅁睋杁䕁䅷䅔卂䍁䅁䅋汁䍁䅫䅁䩂杁䅁村䅁䕁䄴䅕䉂䡁䅍䅉流䍁䅁兏睁䍁䅳䅉䕂䝁䅅入杁䕁䅑党獂䝁䅫杢硂䡁䅕党畂䡁䅑䅉潁䍁䅑䅍睁䑁䅁克䅁䕁䍍䅁ぁ䅁䅁杔兂䕁䅅督杁䍁䅙䅉㕁䑁䅁睋杁䙁䅁䅒癁䍁䅁兑穂䡁䅍党あ䡁䅍䅉潁䍁䅕克䅁䕁䍕䅁䭂䅁䅁杔兂䕁䅅督杁䍁䅙䅉㕁䑁䅁睋杁䙁䅁䅒癁䍁䅁兒硂䡁䅕兡あ䡁䅫䅉流䍁䅁杕求䡁䅍党祂䡁䅙党穂䍁䅁䅋汁䍁䅫䅁㝄允䅁材䅁䕁䄴䅕䉂䡁䅍䅉流䍁䅁兏睁䍁䅳䅉兂䕁䅑睌杁䕁䅷睢桂䝁䄴督杁䍁䅙䅉卂䕁䅕睔杁䍁䅧兊灁䅁䅁䅓䅉䍁䅉䅁佂䙁䅁兑穂䍁䄸䅉䉂䡁䅍督求䡁䅑督杁䍁䅧兊灁䅁䅁睴䅅䍁䅉䅁佂䙁䅁兑穂䍁䄸䅉䙂䡁䅅兤灂䡁䅑入杁䍁䅧兊灁䅁䅁睒䅉䍁䅷䅁佂䙁䅁兑穂䍁䄸䅉䵂䝁䄸兙畂䡁䅍䅉流䍁䅁杕䙂䕁䄸䅉潁䍁䅕克䅁䕁䍙䅁杁䅁䅁杔兂䕁䅷督癁䍁䅁䅔療䝁䅅杢穂䍁䅁䅋汁䍁䅫䅁橄䅁䅁杅䅁䕁䄴兗呂䕁䅕杏䉂䕁䅍杔䅁佁䝳䅁十䅁䅁杔婂䙁䅍兒㙁䕁䅅䅔䍂䅁䅁睩䅣䉁䅉䅁佂䙁䅫睕䙂䑁䅯兑坂䙁䅫䅁灂睂䅁䅆䅁䕁䄴兗呂䕁䅕杏䉂䙁䅧䅖䉂䅁䅁睪䅣䉁䅉䅁佂䙁䅫睕䙂䑁䅯睑䉂䕁䄴䅁摄杂䅁䅅䅁䕁䄴兗呂䕁䅕杏䑂䕁䅙䅁䑃睂䅁杅䅁䕁䄴兗呂䕁䅕杏䑂䙁䅉兔䅁佁䜰䅁啁䅁䅁杔婂䙁䅍兒㙁䕁䅍睕卂䕁䅅䅁婄杂䅁䅆䅁䕁䄴兗呂䕁䅕杏䑂䙁䅑睕䥂䅁䅁朶䅙䉁䅑䅁佂䙁䅫睕䙂䑁䅯睑啂䙁䅙兑䅁䥁䡣䅁十䅁䅁杔婂䙁䅍兒㙁䕁䅑䅗䑂䅁䅁兖䅣䉁䅑䅁佂䙁䅫睕䙂䑁䅯兒兂䕁䅅兔䅁䙁䡯䅁十䅁䅁杔婂䙁䅍兒㙁䕁䅣兒䝂䅁䅁睤䅣䉁䅉䅁佂䙁䅫睕䙂䑁䅯睒兂䕁䅳䅁硂睂䅁杅䅁䕁䄴兗呂䕁䅕杏䥂䙁䅕杔䅁䡁䠸䅁允䅁䅁杔婂䙁䅍兒㙁䕁䅫䅕䅁䡁䡍䅁允䅁䅁杔婂䙁䅍兒㙁䕁䅫䅖䅁䙁䡙䅁允䅁䅁杔婂䙁䅍兒㙁䕁䅳䅒䅁䙁䡅䅁十䅁䅁杔婂䙁䅍兒㙁䕁䄰睔呂䅁䅁內䅣䉁䅁䅁佂䙁䅫睕䙂䑁䅯睔䩂䅁䅁兤䅣䉁䅉䅁佂䙁䅫睕䙂䑁䅯睔䵂䕁䄴䅁剃睂䅁杅䅁䕁䄴兗呂䕁䅕杏兂䕁䅳睒䅁䝁䠸䅁十䅁䅁杔婂䙁䅍兒㙁䙁䅉䅕乂䅁䅁兩䅣䉁䅉䅁佂䙁䅫睕䙂䑁䅯睕䙂䕁䅕䅁牂睂䅁䅆䅁䕁䄴兗呂䕁䅕杏呂䕁䅷睒佂䅁䅁入䅣䉁䅉䅁佂䙁䅫睕䙂䑁䅯睕乂䕁䅣䅁䙃睂䅁䅆䅁䕁䄴兗呂䕁䅕杏呂䕁䄴睔塂䅁䅁䅗䅣䉁䅉䅁佂䙁䅫睕䙂䑁䅯睕偂䕁䄴䅁瑂睂䅁杅䅁䕁䄴兗呂䕁䅕杏噂䕁䅅杔䅁䥁䠰䅁十䅁䅁杔婂䙁䅍兒㙁䙁䅕兓呂䅁䅁睗䅣䕁䅑䅁佂䝁䅅䅤ㅂ䡁䅉兙獂䍁䅁杕求䡁䅍睢ㅂ䡁䅉睙求䡁䅍䅌杁䝁䅅䅤杁䕁䅍睢穂䡁䅑䅉潁䍁䅑䅍睁䑁䅁克䅁䥁䕧䅁畂䅁䅁杔求䝁䅣睢あ䝁䅫兙楂䝁䅷党杁䕁䅍党祂䡁䅑兡浂䝁䅫睙桂䡁䅑党穂䍁䅁睢浂䍁䅁䅒求䡁䅁睢穂䝁䅫䅤癁䍁䅁䅖療䡁䅑兙獂䍁䅁䅒求䡁䅁睢穂䝁䅫䅤穂䍁䅁䅋汁䍁䅫䅁䕃允䅁杔䅁䕁䄴党湂䝁䄸䅤灂䝁䅅杙獂䝁䅕䅉䕂䝁䅕䅣療䡁䅍兡あ䡁䅍䅉䍂䡁䅫䅉乂䝁䅅䅤ㅂ䡁䅉兡あ䡁䅫䅉潁䍁䅑䅍睁䑁䅁克䅁䥁䉁䅁煂䅁䅁杔求䡁䅑䅉潁䕁䅫杢橂䍁䄴克杁䕁䅑党橂䍁䄴䅉灂䝁䄴䅉䵂䝁䄸兙畂䡁䅍䅉偂䡁䅉兡湂䍁䄸睕療䝁䅷䅚㙁䍁䅁兓畂䡁䅙党穂䡁䅑兡畂䝁䅣䅉潁䍁䅑䅍睁䑁䅁克䅁䉁䔸䅁煂䅁䅁杔求䡁䅑䅉潁䕁䅫杢橂䍁䄴克杁䕁䅑党橂䍁䄴䅉灂䝁䄴䅉䵂䝁䄸兙畂䡁䅍䅉偂䡁䅉兡湂䍁䄸睕療䝁䅷䅚㙁䍁䅁睔睂䝁䅕杣桂䡁䅑兡畂䝁䅣䅉潁䍁䅑䅍睁䑁䅁克䅁乁䑫䅁煂䅁䅁杔求䡁䅑䅉䉂䝁䅍䅤ㅂ䝁䅅杣灂䝁䅅䅢杁䕁䅷睢穂䡁䅍䅉瑁䍁䅁睑療䝁䄰䅣祂䍁䄴䅉䩂䝁䄴睙杁䍁䅧䅕求䝁䄴督灂䝁䄸杢瑁䕁䅑睢瑂䍁䅫䅉潁䍁䅑䅍睁䑁䅁克䅁佁䕅䅁煂䅁䅁杔求䡁䅑䅉䉂䝁䅍䅤ㅂ䝁䅅杣灂䝁䅅䅢杁䕁䅷睢穂䡁䅍䅉瑁䍁䅁睑療䝁䄰䅣祂䍁䄴䅉䩂䝁䄴睙杁䍁䅧䅕求䝁䄴督灂䝁䄸杢瑁䕁䅙睒佂䍁䅫䅉潁䍁䅑䅍睁䑁䅁克䅁䭁䙣䅁煂䅁䅁杔求䡁䅑䅉䉂䝁䅍䅤ㅂ䝁䅅杣灂䝁䅅䅢杁䕁䅷睢穂䡁䅍䅉瑁䍁䅁睑療䝁䄰䅣祂䍁䄴䅉䩂䝁䄴睙畁䍁䅁䅋偂䙁䅁兒䍂䍁䅁兌杁䕁䅑睔乂䍁䅫䅉潁䍁䅑䅍睁䑁䅁克䅁䝁䙙䅁煂䅁䅁杔求䡁䅑䅉䉂䝁䅍䅤ㅂ䝁䅅杣灂䝁䅅䅢杁䕁䅷睢穂䡁䅍䅉瑁䍁䅁睑療䝁䄰䅣祂䍁䄴䅉䩂䝁䄴睙畁䍁䅁䅋偂䙁䅁兒䍂䍁䅁兌杁䕁䅙睒佂䍁䅫䅉潁䍁䅑䅍睁䑁䅁克䅁佁䙫䅁歂䅁䅁杔求䡁䅑䅉䉂䝁䅍䅤ㅂ䝁䅅杣灂䝁䅅䅢杁䕁䅷睢穂䡁䅍䅉瑁䍁䅁睑療䝁䄰䅣祂䍁䄴䅉䩂䝁䄴睙畁䍁䅁䅋兂䝁䅕杢穂䝁䅫睢畂䍁䅫䅉潁䍁䅑䅍睁䑁䅁克䅁䵁䕍䅁杂䅁䅁杔求䡁䅑䅉䉂䝁䅍䅤ㅂ䝁䅅杣灂䝁䅅䅢杁䕁䅷睢穂䡁䅍睌䡂䝁䅅兡畂䍁䅁䅋偂䙁䅁兒䍂䍁䅫䅉呁䍉䅁杒療䡁䅉党灂䝁䅣杢杁䍁䅧䅊睁䑁䅁䅍灁䅁䅁儷䅕䙁䅉䅁佂䝁䅕䅤杁䕁䅅睙あ䡁䅕兙祂䝁䅫兙獂䍁䅁䅔療䡁䅍督癁䕁䅣兙灂䝁䄴䅉潁䙁䅁党畂䡁䅍兡療䝁䄴克杁䍁䅧䅊睁䑁䅁䅍灁䅁䅁睸䅑䝁䅧䅁佂䝁䅕䅤杁䕁䅅睙あ䡁䅕兙祂䝁䅫兙獂䍁䅁䅔療䡁䅍督癁䕁䅣兙灂䝁䄴䅉潁䙁䅁党畂䡁䅍兡療䝁䄴克杁䉁杍䅉䕂䝁䄸兢求䡁䅍䅤灂䝁䅍䅉潁䍁䅑䅍睁䑁䅁克䅁偁䕁䅁浂䅁䅁杔求䡁䅑䅉䉂䝁䅍䅤ㅂ䝁䅅杣灂䝁䅅䅢杁䕁䅷睢穂䡁䅍睌䡂䝁䅅兡畂䍁䅁䅋兂䝁䅕杢穂䝁䅫睢畂䍁䅫䅉呁䍉䅁杒療䡁䅉党灂䝁䅣杢杁䍁䅧䅊睁䑁䅁䅍灁䅁䅁兲䅕䝁䅧䅁佂䝁䅕䅤杁䕁䅅睙あ䡁䅕兙祂䝁䅫兙獂䍁䅁䅔療䡁䅍督癁䕁䅣兙灂䝁䄴䅉瑁䍁䅁睑療䝁䄰䅣祂䍁䄴䅉䩂䝁䄴睙畁䍁䅁䅋偂䙁䅁兒䍂䍁䅫䅉潁䍁䅑䅍睁䑁䅁克䅁䭁䕍䅁祂䅁䅁杔求䡁䅑䅉䉂䝁䅍䅤ㅂ䝁䅅杣灂䝁䅅䅢杁䕁䅷睢穂䡁䅍睌䡂䝁䅅兡畂䍁䅁杕求䝁䅍睢湂䍁䄴䅉佂䝁䅕䅥あ䍁䅁䅕求䡁䅉兡療䝁䅑䅉潁䕁䄸䅕䙂䕁䅉克杁䍁䅧䅊睁䑁䅁䅍灁䅁䅁睴䅑䝁䅷䅁佂䝁䅕䅤杁䕁䅅兢療䡁䅕杢あ䍁䅁杕求䝁䅍睢湂䍁䅁兌杁䕁䅍睢瑂䡁䅁杣畁䍁䅁兓畂䝁䅍杌杁䍁䅧䅕求䝁䄴督灂䝁䄸杢杁䍁䄰䅉䝂䕁䅣杔灁䍁䅁䅋歁䑁䅁䅍睁䍁䅫䅁牃兂䅁杢䅁䕁䄴党あ䍁䅁兑瑂䝁䄸兤畂䡁䅑䅉卂䝁䅕睙療䝁䅣杌杁䍁䄰䅉䑂䝁䄸兢睂䡁䅉杌杁䕁䅫杢橂䍁䄴䅉潁䙁䅁党畂䡁䅍兡療䝁䄴䅉瑁䍁䅁䅒療䝁䄰克杁䍁䅧䅊睁䑁䅁䅍灁䅁䅁兹䅍䡁䅁䅁佂䝁䅕䅤杁䕁䅅兢療䡁䅕杢あ䍁䅁杕求䝁䅍睢湂䝁䄴兡㙂䝁䅕䅚杁䍁䄰䅉䑂䝁䄸兢睂䡁䅉杌杁䕁䅫杢橂䍁䄴䅉潁䕁䄸䅕䙂䕁䅉䅉瑁䍁䅁䅒偂䕁䄰克杁䍁䅧䅊睁䑁䅁䅍灁䅁䅁兡䅕䡁䅁䅁佂䝁䅕䅤杁䕁䅅兢療䡁䅕杢あ䍁䅁杕求䝁䅍睢湂䝁䄴兡㙂䝁䅕䅚杁䍁䄰䅉䑂䝁䄸兢睂䡁䅉杌杁䕁䅫杢橂䍁䄴䅉潁䕁䄸䅕䙂䕁䅉䅉瑁䍁䅁杒䡂䕁䄴克杁䍁䅧䅊睁䑁䅁䅍灁䅁䅁杈䅑䝁䅑䅁佂䝁䅕䅤杁䕁䅅兢療䡁䅕杢あ䍁䅁杕求䝁䅍睢湂䝁䄴兡㙂䝁䅕䅚杁䍁䄰䅉䑂䝁䄸兢睂䡁䅉杌杁䕁䅫杢橂䍁䄴䅉潁䕁䄸䅕䙂䕁䅉克杁䍁䅧䅊睁䑁䅁䅍灁䅁䅁末䅑䝁䅯䅁佂䝁䅕䅤杁䕁䅅兢療䡁䅕杢あ䍁䅁杕求䝁䅍睢湂䝁䄴兡㙂䝁䅕䅚杁䍁䄰䅉䑂䝁䄸兢睂䡁䅉杌杁䕁䅫杢橂䍁䄴䅉潁䙁䅁党畂䡁䅍兡療䝁䄴克杁䍁䅧䅊睁䑁䅁䅍灁䅁䅁睍䅍䝁䅁䅁佂䝁䅕䅤杁䕁䅅督穂䝁䅕䅤杁䙁䅉党橂䝁䄸睚畁䍁䅁睢畂䍁䅁村桂䝁䅷杌杁䙁䅍䅡求䝁䅕䅤杁䍁䅧䅕求䝁䄴督灂䝁䄸杢灁䍁䅁䅋歁䑁䅁䅍睁䍁䅫䅁奄䅂䅁䅡䅁䕁䄴党あ䍁䅁兑穂䡁䅍党あ䍁䅁杕求䝁䅍睢湂䝁䄴杌杁䝁䄸杢杁䕁䅉兙獂䍁䄴䅉呂䝁䅧党求䡁䅑䅉潁䕁䄸䅕䙂䕁䅉䅉瑁䍁䅁䅒偂䕁䄰克杁䍁䅧䅊睁䑁䅁䅍灁䅁䅁䅦䅕䝁䅧䅁佂䝁䅕䅤杁䕁䅅督穂䝁䅕䅤杁䙁䅉党橂䝁䄸睚畂䍁䄴䅉療䝁䄴䅉䍂䝁䅅䅢畁䍁䅁睕潂䝁䅕党あ䍁䅁䅋偂䙁䅁兒䍂䍁䅁兌杁䕁䅙睒佂䍁䅫䅉潁䍁䅑䅍睁䑁䅁克䅁䉁䕙䅁あ䅁䅁杔求䡁䅑䅉䉂䡁䅍督求䡁䅑睌䵂䝁䅫兙楂䍁䄴䅉卂䝁䅕睙療䝁䅣杌杁䝁䄸杢杁䕁䅉兙獂䍁䄴䅉呂䝁䅧党求䡁䅑䅉潁䙁䅁党畂䡁䅍兡療䝁䄴克瑁䕁䅑睢瑂䍁䅁䅋歁䑁䅁䅍睁䍁䅫䅁㥁兂䅁䅤䅁䕁䄴党あ䍁䅁兑穂䡁䅍党あ䍁䄸䅔灂䝁䅅杙畁䍁䅁杕求䝁䅍睢湂䍁䄴䅉療䝁䄴䅉䍂䝁䅅䅢畁䍁䅁睕潂䝁䅕党あ䍁䅁䅋兂䝁䅕杢穂䝁䅫睢畂䍁䅫兌䝂䕁䅣杔杁䍁䅧䅊睁䑁䅁䅍灁䅁䅁其䅕䝁䄴䅁佂䝁䅕䅤杁䕁䅅督穂䝁䅕䅤癁䕁䅷兡桂䝁䅉杌杁䙁䅉党橂䝁䄸睚畂䝁䅫来求䝁䅑䅉療䝁䄴䅉䍂䝁䅅䅢畁䍁䅁睕潂䝁䅕党あ䍁䅁䅋偂䙁䅁兒䍂䍁䅫䅉潁䍁䅑䅍睁䑁䅁克䅁䱁䕉䅁佂䅁䅁杔求䡁䅑䅉䑂䝁䅅督潂䍁䅁杒祂䝁䄸兢杁䕁䅑兡穂䝁䅍睢畂䡁䅑兡畂䡁䅕党歂䍁䅁睔睂䡁䅍杌杁䍁䅧䅊睁䑁䅁䅍灁䅁䅁睂䅑䝁䅙䅁佂䝁䅕䅤杁䕁䅍兙穂䝁䅧䅉䝂䡁䅉睢瑂䍁䅁䅒灂䡁䅍睙療䝁䄴䅤灂䝁䄴兤求䝁䅑䅉偂䡁䅁督畁䍁䅁兌杁䕁䅙兡畂䝁䅅杢橂䝁䅫杢湂䍁䅁䅋歁䑁䅁䅍睁䍁䅫䅁睁䅂䅁杚䅁䕁䄴党あ䍁䅁睑桂䡁䅍䅡杁䕁䅙杣療䝁䄰䅉䕂䝁䅫督橂䝁䄸杢あ䝁䅫杢ㅂ䝁䅕䅚杁䕁䄸䅣穂䍁䄴䅉瑁䍁䅁兓畂䡁䅙党穂䡁䅑兡畂䝁䅣䅉潁䍁䅑䅍睁䑁䅁克䅁䕁䕅䅁ぁ䅁䅁杔求䡁䅑䅉䑂䝁䅧兙畂䝁䅣党杁䝁䅫杢杁䕁䅍兙穂䝁䅧䅉潁䍁䅑䅍睁䑁䅁克䅁䑁䕫䅁䕂䅁䅁杔求䡁䅑䅉䑂䝁䅧兙祂䝁䅣党瑁䝁䄸杚浂䡁䅍睌杁䕁䅅杤湂䍁䅁杕求䡁䅍党祂䡁䅙党穂䍁䅁䅋汁䍁䅫䅁䵂杁䅁䅓䅁䕁䄴党あ䍁䅁睑潂䝁䅅杣湂䝁䅕兌療䝁䅙杚穂䑁䅯䅉䍂䝁䅅䅢杁䙁䅍䅡あ䍁䅁䅔畂䡁䅍䅉潁䍁䅑䅍睁䑁䅁克䅁佁䅯䅁䥂䅁䅁杔求䡁䅑䅉䑂䝁䅧兙祂䝁䅣党瑁䝁䄸杚浂䡁䅍杏杁䕁䅉兙獂䍁䅁睕潂䡁䅑䅉䵂䝁䄴督杁䍁䅧䍲睁䑁䅁䅍灁䅁䅁䄫䅉䍁䅁䅁佂䝁䅕䅤杁䕁䅑党楂䡁䅑䅉潁䍁䅑䅍睁䑁䅁克䅁䱁䑫䅁獁䅁䅁杔求䡁䅑䅉䕂䝁䅕杙あ䍁䅁睌杁䕁䅕村䩂䙁䅑䅒䉂䍁䅁䅋㑂䍁䅫䅁剂杂䅁杌䅁䕁䄴党あ䍁䅁䅒求䝁䅉䅤杁䕁䅫督穂䡁䅕党歂䍁䅁䅋歁䑁䅁䅍睁䍁䅫䅁⽁䅂䅁䅏䅁䕁䄴党あ䍁䅁䅒求䝁䅉䅤癁䍁䅧兒䍂䕁䅫䅖䕂䕁䅅兌䑂䕁䅅䅕䙂䙁䅧克杁䍁䅧䅥灁䅁䅁克䅙䝁䅉䅁佂䝁䅕䅤杁䕁䅕䅥あ䡁䅉兙杁䕁䅣兙灂䝁䄴督杁䕁䅕䅥橂䝁䅷䅉卂䝁䅕杤求䡁䅉督桂䝁䅷䅉療䝁䅙䅉卂䝁䅕督求䡁䅉杤求䡁䅍䅉潁䍁䅑䅍睁䑁䅁克䅁䑁䉣䅁䝂䅁䅁杔求䡁䅑䅉䝂䝁䅕党杁䍁䅙䅉䑂䝁䄸兢瑂䝁䅫督穂䝁䅫睢畂䍁䅁兓畂䝁䅍睢瑂䝁䅕䅉潁䍁䅑䅍睁䑁䅁克䅁䩁䅅䅁䝂䅁䅁杔求䡁䅑䅉䝂䝁䅕党杁䍁䅙䅉䑂䝁䄸兢瑂䝁䅫督穂䝁䅫睢畂䍁䅁兓畂䝁䅍睢瑂䝁䅕䅉潁䭁杷䅍睁䑁䅁克䅁䵁䍯䅁敂䅁䅁杔求䡁䅑䅉䡂䝁䅅兡畂䍁䅁睢畂䍁䅁睕求䝁䅍兤祂䝁䅫䅤灂䝁䅕督杁䕁䅧党獂䝁䅑䅉浂䝁䄸杣杁䙁䅑杣桂䝁䅑兡畂䝁䅣䅉潁䍁䅑䅍睁䑁䅁克䅁䑁䉫䅁獂䅁䅁杔求䡁䅑䅉䡂䝁䅅兡畂䡁䅍䅉卂䝁䅕䅢桂䡁䅑党歂䍁䅁䅤療䍁䅁睕あ䝁䄸睙牂䡁䅍䅉流䍁䅁睔あ䝁䅧党祂䍁䅁睕求䝁䅍兤祂䝁䅫䅤灂䝁䅕督杁䍁䅧䅊睁䑁䅁䅍灁䅁䅁兑䅅䝁䅁䅁佂䝁䅕䅤杁䕁䅫兢睂䝁䅅兡祂䝁䅕䅚杁䕁䅷睢桂䝁䄴督癁䍁䅁䅔療䝁䅅杢穂䍁䅁兙あ䍁䅁兑瑂䝁䄸杣あ䝁䅫来求䝁䅑䅉䑂䝁䄸督あ䍁䅁䅋汁䍁䅫䅁捄䅁䅁䅊䅁䕁䄴党あ䍁䅁兓畂䝁䅍睢瑂䝁䅕䅉潁䍁䅑䅍睁䑁䅁克䅁䭁䅍䅁歁䅁䅁杔求䡁䅑䅉䩂䝁䄴睙療䝁䄰党杁䍁䅧䍲睁䑁䅁䅍灁䅁䅁儲䅉䍁䄴䅁佂䝁䅕䅤杁䕁䅫杢橂䝁䄸兢求䍁䅁兌杁䕁䅍杒杁䍁䅧䅊睁䑁䅁䅍灁䅁䅁杖䅍䝁䅯䅁佂䝁䅕䅤杁䕁䅫杢橂䝁䄸兢求䍁䅁兑あ䡁䅑杣灂䝁䅉兤あ䝁䅅杙獂䝁䅕䅉あ䝁䄸䅉佂䝁䄸杢橂䝁䄸杢あ䡁䅉睢獂䝁䅷兡畂䝁䅣䅉䩂䝁䄴䅤杁䍁䅧䅊睁䑁䅁䅍灁䅁䅁䅰䅁䝁䅯䅁佂䝁䅕䅤杁䕁䅫杢橂䝁䄸兢求䍁䅁兑あ䡁䅑杣灂䝁䅉兤あ䝁䅅杙獂䝁䅕䅉あ䝁䄸䅉佂䝁䄸杢橂䝁䄸杢あ䡁䅉睢獂䝁䅷兡畂䝁䅣䅉䩂䝁䄴䅤杁䍁䅧䍲睁䑁䅁䅍灁䅁䅁朲䅉䙁䅉䅁佂䝁䅕䅤杁䕁䅫杢橂䝁䄸兢求䍁䅁兑あ䡁䅑杣灂䝁䅉兤あ䝁䅅杙獂䝁䅕䅉あ䝁䄸䅉兂䝁䅅杣求䝁䄴䅤杁䍁䅧䅊睁䑁䅁䅍灁䅁䅁睰䅁䙁䅉䅁佂䝁䅕䅤杁䕁䅫杢橂䝁䄸兢求䍁䅁兑あ䡁䅑杣灂䝁䅉兤あ䝁䅅杙獂䝁䅕䅉あ䝁䄸䅉兂䝁䅅杣求䝁䄴䅤杁䍁䅧䍲睁䑁䅁䅍灁䅁䅁䄳䅉䍁䅷䅁佂䝁䅕䅤杁䕁䅫杢橂䝁䄸兢求䍁䅁兔桂䡁䅉睚灂䝁䄴䅉潁䍁䅕克䅁乁䑅䅁⭁䅁䅁杔求䡁䅑䅉䩂䝁䄴睙療䝁䄰党杁䝁䅉党浂䝁䄸杣求䍁䅁䅖桂䡁䅧党穂䍁䅁䅋歁䑁䅁䅍睁䍁䅫䅁捃䅁䅁材䅁䕁䄴党あ䍁䅁兓畂䝁䅍睢瑂䝁䅕䅉楂䝁䅕杚療䡁䅉党杁䙁䅑兙㑂䝁䅕督杁䍁䅧䍲睁䑁䅁䅍灁䅁䅁䄱䅉䑁䅯䅁佂䝁䅕䅤杁䕁䅫杢橂䝁䄸兢求䍁䅁䅤療䍁䅁睑療䝁䄰䅣桂䝁䄴入杁䍁䅧䅊睁䑁䅁䅍灁䅁䅁杢䅍䑁䅯䅁佂䝁䅕䅤杁䕁䅫杢橂䝁䄸兢求䍁䅷䅉硁䍁䅁兗祂䍁䄴䅉䡂䡁䅉睢㍂䡁䅑䅡杁䍁䅧兊灁䅁䅁杖䅙䑁䅙䅁佂䝁䅕䅤杁䕁䅫杢橂䝁䄸兢求䍁䅷䅉穁䍁䅁兗祂䍁䄴䅉䑂䕁䅅睒卂䍁䅁䅋汁䍁䅫䅁捂杂䅁李䅁䕁䄴党あ䍁䅁兓畂䝁䅍睢瑂䝁䅕䅌杁䑁䅕䅉婂䡁䅉杌杁䕁䅍兑䡂䙁䅉䅉潁䍁䅕克䅁䭁䕳䅁㑁䅁䅁杔求䡁䅑䅉䩂䝁䄴督ㅂ䡁䅉兙畂䝁䅍党杁䕁䅫杢橂䝁䄸兢求䍁䅁䅋歁䑁䅁䅍睁䍁䅫䅁硂䅁䅁䅏䅁䕁䄴党あ䍁䅁兓畂䡁䅍兤祂䝁䅅杢橂䝁䅕䅉䩂䝁䄴睙療䝁䄰党杁䍁䅧䍲睁䑁䅁䅍灁䅁䅁東䅉䑁䅉䅁佂䝁䅕䅤杁䕁䅫杢あ䝁䅕杣求䡁䅍䅤杁䕁䅕䅥睂䍁䄴䅉潁䍁䅑䅍睁䑁䅁克䅁䑁䑳䅁㉁䅁䅁杔求䡁䅑䅉䩂䝁䄴䅤求䡁䅉党穂䡁䅑䅉䩂䝁䄴睙療䝁䄰党杁䍁䅧䅊睁䑁䅁䅍灁䅁䅁䅚䅁䑁䅙䅁佂䝁䅕䅤杁䕁䅫杢あ䝁䅕杣求䡁䅍䅤杁䕁䅫杢橂䝁䄸兢求䍁䅁䅋獃䑉䅁䅍睁䍁䅫䅁桃杁䅁䅚䅁䕁䄴党あ䍁䅁兓畂䡁䅑党祂䝁䅕督あ䍁䅁兓畂䝁䅍睢瑂䝁䅕睌杁䕁䅅杤湂䍁䅁杕灂䡁䅍睡瑁䡁䅣党灂䝁䅣䅡あ䝁䅕䅚杁䕁䅅督穂䝁䅕䅤穂䍁䅁䅋汁䍁䅫䅁䵄䅁䅁䅍䅁䕁䄴党あ䍁䅁兓畂䡁䅑党祂䝁䅕督あ䍁䅁兔桂䡁䅉睚灂䝁䄴䅉潁䍁䅕克䅁䭁䄰䅁ぁ䅁䅁杔求䡁䅑䅉䵂䝁䄸兙畂䡁䅍䅉あ䝁䄸䅉䍂䝁䅅杢牂䡁䅍䅉潁䍁䅑䅍睁䑁䅁克䅁䕁䅁䅁ぁ䅁䅁杔求䡁䅑䅉䵂䝁䄸兙畂䡁䅍䅉あ䝁䄸䅉䍂䝁䅅杢牂䡁䅍䅉潁䭁杷䅍睁䑁䅁克䅁䥁䍕䅁楂䅁䅁杔求䡁䅑䅉䵂䝁䄸兙畂䡁䅍䅉あ䝁䄸䅉䍂䝁䅅杢牂䡁䅍䅉䥂䝁䅕䅢歂䍁䅁兙あ䍁䅁兑瑂䝁䄸杣あ䝁䅫来求䝁䅑䅉䑂䝁䄸督あ䍁䅁䅋歁䑁䅁䅍睁䍁䅫䅁䑂䅁䅁杙䅁䕁䄴党あ䍁䅁䅔療䝁䅅杢穂䍁䅁䅤療䍁䅁村桂䝁䄴睡穂䍁䅁䅓求䝁䅷䅚杁䝁䅅䅤杁䕁䅅兢療䡁䅉䅤灂䡁䅯党歂䍁䅁睑療䡁䅍䅤杁䍁䅧䍲睁䑁䅁䅍灁䅁䅁䅩䅉䍁䅷䅁佂䝁䅕䅤杁䕁䅷睢桂䝁䄴督癁䍁䅁兑穂䡁䅍党あ䡁䅍䅉潁䍁䅕克䅁乁䅑䅁㙁䅁䅁杔求䡁䅑䅉佂䝁䅕睤杁䕁䅍䅢灂䝁䅕杢あ䍁䅁兑穂䡁䅍党あ䡁䅍䅉潁䍁䅑䅍睁䑁䅁克䅁䅁䝯䅁䕂䅁䅁杔求䡁䅑䅉偂䡁䅑䅡求䡁䅉䅉偂䡁䅁党祂䝁䅅䅤灂䝁䄴睚杁䕁䅫杢橂䝁䄸兢求䍁䅁䅋歁䑁䅁䅍睁䍁䅫䅁硁允䅁䅘䅁䕁䄴党あ䍁䅁䅕求䡁䅉兡療䝁䅑兡橂䍁䅁睑療䡁䅍䅤杁䕁䅑兡穂䝁䅍杌杁䙁䅉兙あ䝁䅕䅉潁䕁䄸䅕䙂䕁䅉克杁䍁䄰䅉乂䝁䅅䅥杁䍁䅧兊灁䅁䅁朳䅍䝁䅧䅁佂䝁䅕䅤杁䙁䅁党祂䝁䅫睢歂䝁䅫睙杁䕁䅍睢穂䡁䅑䅉䕂䝁䅫督橂䍁䄴䅉卂䝁䅅䅤求䍁䅁䅋偂䙁䅁兒䍂䍁䅫䅉瑁䍁䅁兔桂䡁䅧䅉瑁䍁䅁䅒療䝁䄰䅉潁䍁䅕克䅁䙁䙳䅁潂䅁䅁杔求䡁䅑䅉兂䝁䅕杣灂䝁䄸䅚灂䝁䅍䅉䑂䝁䄸督あ䍁䅁䅒灂䡁䅍睙畁䍁䅁杕桂䡁䅑党杁䍁䅧睔兂䕁䅕村灁䍁䅁兌杁䕁䄰兙㑂䍁䅁兌杁䕁䅙睒佂䍁䅁䅋汁䍁䅫䅁摄兂䅁䅘䅁䕁䄴党あ䍁䅁䅕求䡁䅉兡療䝁䅑兡橂䍁䅁睑療䡁䅍䅤杁䕁䅑兡穂䝁䅍杌杁䙁䅉兙あ䝁䅕䅉潁䕁䄸䅕䙂䕁䅉克杁䍁䄰䅉乂䝁䅫杢杁䍁䅧兊灁䅁䅁兯䅍䝁䅧䅁佂䝁䅕䅤杁䙁䅁党祂䝁䅫睢歂䝁䅫睙杁䕁䅍睢穂䡁䅑䅉䕂䝁䅫督橂䍁䄴䅉卂䝁䅅䅤求䍁䅁䅋偂䙁䅁兒䍂䍁䅫䅉瑁䍁䅁兔灂䝁䄴䅉瑁䍁䅁䅒療䝁䄰䅉潁䍁䅕克䅁䙁䙯䅁潂䅁䅁杔求䡁䅑䅉兂䝁䅕杣灂䝁䄸䅚灂䝁䅍䅉䑂䝁䄸督あ䍁䅁䅒灂䡁䅍睙畁䍁䅁杕桂䡁䅑党杁䍁䅧睔兂䕁䅕村灁䍁䅁兌杁䕁䄰兡畂䍁䅁兌杁䕁䅙睒佂䍁䅁䅋汁䍁䅫䅁捄兂䅁杙䅁䕁䄴党あ䍁䅁䅕求䡁䅉兡療䝁䅑兡橂䍁䅁睑療䡁䅍䅤杁䕁䅑兡穂䝁䅍杌杁䙁䅉兙あ䝁䅕䅉潁䙁䅁党畂䡁䅍兡療䝁䄴克杁䍁䄰䅉乂䝁䅅䅥杁䍁䅧兊灁䅁䅁杴䅑䝁䄴䅁佂䝁䅕䅤杁䙁䅁党祂䝁䅫睢歂䝁䅫睙杁䕁䅍睢穂䡁䅑䅉䕂䝁䅫督橂䍁䄴䅉卂䝁䅅䅤求䍁䅁䅋兂䝁䅕杢穂䝁䅫睢畂䍁䅫䅉瑁䍁䅁兔桂䡁䅧䅉瑁䍁䅁䅒療䝁䄰䅉潁䍁䅕克䅁䍁䙉䅁畂䅁䅁杔求䡁䅑䅉兂䝁䅕杣灂䝁䄸䅚灂䝁䅍䅉䑂䝁䄸督あ䍁䅁䅒灂䡁䅍睙畁䍁䅁杕桂䡁䅑党杁䍁䅧䅕求䝁䄴督灂䝁䄸杢灁䍁䅁兌杁䕁䄰兙㑂䍁䅁兌杁䕁䅙睒佂䍁䅁䅋汁䍁䅫䅁䅂䅂䅁杙䅁䕁䄴党あ䍁䅁䅕求䡁䅉兡療䝁䅑兡橂䍁䅁睑療䡁䅍䅤杁䕁䅑兡穂䝁䅍杌杁䙁䅉兙あ䝁䅕䅉潁䙁䅁党畂䡁䅍兡療䝁䄴克杁䍁䄰䅉乂䝁䅫杢杁䍁䅧兊灁䅁䅁兴䅑䝁䄴䅁佂䝁䅕䅤杁䙁䅁党祂䝁䅫睢歂䝁䅫睙杁䕁䅍睢穂䡁䅑䅉䕂䝁䅫督橂䍁䄴䅉卂䝁䅅䅤求䍁䅁䅋兂䝁䅕杢穂䝁䅫睢畂䍁䅫䅉瑁䍁䅁兔灂䝁䄴䅉瑁䍁䅁䅒療䝁䄰䅉潁䍁䅕克䅁䍁䙅䅁畂䅁䅁杔求䡁䅑䅉兂䝁䅕杣灂䝁䄸䅚灂䝁䅍䅉䑂䝁䄸督あ䍁䅁䅒灂䡁䅍睙畁䍁䅁杕桂䡁䅑党杁䍁䅧䅕求䝁䄴督灂䝁䄸杢灁䍁䅁兌杁䕁䄰兡畂䍁䅁兌杁䕁䅙睒佂䍁䅁䅋汁䍁䅫䅁畁睁䅁䅔䅁䕁䄴党あ䍁䅁䅕祂䝁䄸杚灂䡁䅑䅉楂䝁䅕杚療䡁䅉党杁䕁䅍杣求䝁䅑兡あ䍁䅁睑療䡁䅍䅤穂䍁䅁䅋歁䑁䅁䅍睁䍁䅫䅁㡁允䅁杔䅁䕁䄴党あ䍁䅁䅕祂䝁䄸䅣求䡁䅉䅤㕂䍁䅷䅉兂䝁䅷兙畂䡁䅑䅉流䍁䅁兒硂䡁䅕兡睂䝁䄰党畂䡁䅑䅉潁䍁䅑䅍睁䑁䅁克䅁䕁䔸䅁䍂䅁䅁杔求䡁䅑䅉卂䝁䅕杢あ䝁䅅䅢杁䕁䅕䅥睂䝁䅕杢穂䝁䅕䅌杁䙁䅑睢あ䝁䅅䅢杁䍁䅧䅊睁䑁䅁䅍灁䅁䅁䅹䅍䑁䅯䅁佂䝁䅕䅤杁䙁䅍䅤桂䝁䅉䅢求䍁䅁杒ㅂ䝁䄴䅚灂䝁䄴睚杁䙁䅉兙あ䝁䅫睢杁䍁䅧兊灁䅁䅁儷䅉䑁䅙䅁佂䝁䅕䅤杁䙁䅕杢祂䝁䅕兙獂䝁䅫来求䝁䅑䅉䡂䝁䅅兡畂䍁䅁䅋歁䑁䅁䅍睁䍁䅫䅁⽄允䅁䅙䅁䕁䄴党あ䍁䅁睖祂䝁䅫䅤求䍁䄰睢浂䝁䅙督癁䍁䅁兑㉂䝁䅣䅉䵂䝁䄸兙畂䡁䅍䅉桂䡁䅑䅉䉂䝁䄰睢祂䡁䅑兡㙂䝁䅕䅚杁䕁䅍睢穂䡁䅑䅉潁䍁䅕克䅁佁䅳䅁敂䅁䅁杔求䡁䅑䅤灂䝁䄴睚杁䝁䅅杢歂䍁䅁睔あ䝁䅧党祂䍁䅁兑歂䝁䅯兤穂䡁䅑兢求䝁䄴䅤穂䍁䅁䅤療䍁䅁兑穂䡁䅍党あ䡁䅍䅉潁䍁䅑䅍睁䑁䅁克䅁䥁䔰䅁潂䅁䅁杔求䡁䅑䅤灂䝁䄴睚杁䝁䅅杢歂䍁䅁睔あ䝁䅧党祂䍁䅁兑歂䝁䅯兤穂䡁䅑兢求䝁䄴䅤穂䍁䅁䅤療䍁䅁䅔灂䝁䅅杙灂䝁䅷兡あ䝁䅫党穂䍁䅁䅋歁䑁䅁䅍睁䍁䅫䅁剃䅂䅁䅕䅁䕁䄴睢畂䍁䄰兑穂䝁䅫兙瑁䙁䅁兙橂䝁䅫杚灂䝁䅍䅉䕂䝁䅕䅣療䡁䅍兡あ䡁䅍睌杁䕁䅑党睂䝁䄸督灂䡁䅑督杁䍁䅧兊灁䅁䅁杇䅅䕁䅁䅁佂䝁䄸杢瑁䕁䅍兙穂䝁䅧䅉兂䝁䅕杢穂䝁䅫睢畂䍁䅁兒㑂䡁䅁党畂䡁䅍党杁䍁䅧䅊睁䑁䅁䅍灁䅁䅁兡䅍䝁䅷䅁佂䝁䄸杢瑁䕁䅍兤祂䡁䅉党畂䡁䅑䅉䵂䝁䅫兙楂䝁䅫䅢灂䡁䅑兡求䡁䅍䅉䥂䕁䅙睕杁䍁䅙䅉䕂䝁䅫督橂䝁䄸杢あ䝁䅫杢ㅂ䝁䅕䅚杁䕁䄸䅣穂䍁䅁䅋歁䑁䅁䅍睁䍁䅫䅁⭁䅁䅁䅢䅁䕁䄴睢畂䍁䄰睑ㅂ䡁䅉杣求䝁䄴䅤杁䕁䅷兡桂䝁䅉兡獂䝁䅫䅤灂䝁䅕督杁䕁䅧杒呂䍁䅁杊杁䕁䅑兡穂䝁䅍睢畂䡁䅑兡畂䡁䅕党歂䍁䅁睔睂䡁䅍䅉潁䭁杷䅍睁䑁䅁克䅁䥁䍍䅁䥂䅁䅁杔療䝁䄴兌䕂䝁䄸兢求䡁䅍䅤灂䝁䅍䅉䕂䝁䅕䅣療䡁䅍兡あ䡁䅍睌杁䕁䅑党睂䝁䄸督灂䡁䅑督杁䍁䅧兊灁䅁䅁全䅁䑁䅷䅁佂䝁䄸杢瑁䕁䅑睢瑂䝁䅕督あ䝁䅫睙杁䕁䅷睢桂䝁䄴督癁䍁䅁䅔療䝁䅅杢穂䍁䅁䅋汁䍁䅫䅁䱃䅁䅁䅓䅁䕁䄴睢畂䍁䄰兒ㅂ䡁䅉睢睂䝁䅕兙畂䍁䅁䅒求䡁䅁睢穂䝁䅫䅤穂䍁䄸䅉䕂䝁䅕䅣療䡁䅍兡あ䡁䅍䅉潁䍁䅕克䅁䅁䑕䅁㡁䅁䅁杔療䝁䄴兌䙂䡁䅕杣療䡁䅁党桂䝁䄴䅉䵂䝁䄸兙畂䡁䅍睌杁䕁䅷睢桂䝁䄴督杁䍁䅧兊灁䅁䅁䅂䅍䙁䅧䅁佂䝁䄸杢瑁䕁䅙兡畂䝁䅅杢橂䝁䅫兙獂䍁䅁兓畂䡁䅙党穂䡁䅑兢求䝁䄴䅤穂䍁䅁兓瑂䡁䅁兙灂䡁䅉兢求䝁䄴䅤杁䍁䅧䅊睁䑁䅁䅍灁䅁䅁䅙䅁䙁䅧䅁佂䝁䄸杢瑁䕁䅙兡畂䝁䅅杢橂䝁䅫兙獂䍁䅁兓畂䡁䅙党穂䡁䅑兢求䝁䄴䅤穂䍁䅁兓瑂䡁䅁兙灂䡁䅉兢求䝁䄴䅤杁䍁䅧䍲睁䑁䅁䅍灁䅁䅁兮䅉䑁䅯䅁佂䝁䄸杢瑁䙁䅁党祂䡁䅍睢畂䝁䄴党獂䍁䅁兒㑂䡁䅁党畂䡁䅍党杁䍁䅧䅊睁䑁䅁䅍灁䅁䅁杏䅅䕁䅑䅁佂䝁䄸杢瑁䙁䅕杌呂䍁䄴䅉卂䝁䅕兙獂䍁䅁兒穂䡁䅑兙あ䝁䅕䅉䵂䝁䄸兙畂䡁䅍䅉潁䍁䅑䅍睁䑁䅁克䅁䍁䌸䅁睁䅁䅁杔療䝁䄴兙橂䝁䅍杣ㅂ䝁䅅䅢杁䕁䅷睢桂䝁䄴督杁䍁䅧䅊睁䑁䅁䅍灁䅁䅁材䅉䕁䅁䅁佂䝁䄸杢橂䝁䄸杢あ䡁䅉睢獂䝁䅷兡畂䝁䅣䅉䩂䝁䄴䅤求䡁䅉党穂䡁䅑督杁䍁䅧䅊睁䑁䅁䅍灁䅁䅁杓䅁䕁䅁䅁佂䝁䄸杢橂䝁䄸杢あ䡁䅉睢獂䝁䅷兡畂䝁䅣䅉䩂䝁䄴䅤求䡁䅉党穂䡁䅑督杁䍁䅧䍲睁䑁䅁䅍灁䅁䅁杩䅉䝁䅁䅁佂䝁䄸杢橂䡁䅕杣祂䝁䅕杢あ䍁䅁兑穂䡁䅍党あ䡁䅍䅉䥂䕁䅙睕杁䍁䅙䅉䕂䝁䅫督橂䝁䄸杢あ䝁䅫杢ㅂ䝁䅕䅚杁䕁䄸䅣穂䍁䅁䅋歁䑁䅁䅍睁䍁䅫䅁時䅁䅁䅙䅁䕁䄴睢畂䝁䅍兤祂䡁䅉党畂䡁䅑䅉䉂䡁䅍督求䡁䅑督杁䕁䅧杒呂䍁䅁杊杁䕁䅑兡穂䝁䅍睢畂䡁䅑兡畂䡁䅕党歂䍁䅁睔睂䡁䅍䅉潁䭁杷䅍睁䑁䅁克䅁䩁䍷䅁䥂䅁䅁杔療䝁䄴兡畂䡁䅑党祂䝁䅕督あ䍁䄰杙求䝁䅅杣灂䝁䄴睚杁䕁䅑党睂䝁䄸督灂䡁䅑督杁䍁䅧䅊睁䑁䅁䅍灁䅁䅁典䅅䙁䅙䅁佂䝁䄸杢灂䝁䄴䅤求䡁䅉党穂䡁䅑兌楂䝁䅕兙祂䝁䅫杢湂䍁䅁䅒求䡁䅁睢穂䝁䅫䅤穂䍁䄸䅉䕂䝁䅕䅣療䡁䅍兡あ䡁䅍䅉潁䍁䅕克䅁偁䄴䅁㑁䅁䅁杔療䝁䄴䅣求䡁䅉杚療䡁䅉兢灂䝁䄴睚杁䕁䅅督穂䝁䅕䅤穂䍁䅁䅋歁䑁䅁䅍睁䍁䅫䅁歄允䅁李䅁䕁䄴睢畂䡁䅁党祂䝁䅙睢祂䝁䄰兡畂䝁䅣䅉䵂䝁䄸兙畂䡁䅍䅉潁䍁䅑䅍睁䑁䅁克䅁乁䅍䅁㑁䅁䅁杔療䝁䄴杣求䝁䅍兤祂䡁䅉兡畂䝁䅣䅉䙂䡁䅧䅣求䝁䄴督求䍁䅁䅋歁䑁䅁䅍睁䍁䅫䅁扃䅁䅁䅏䅁䕁䄴睢畂䡁䅉党橂䡁䅕杣祂䝁䅫杢湂䍁䅁兒㑂䡁䅁党畂䡁䅍党杁䍁䅧䍲睁䑁䅁䅍灁䅁䅁眰䅉䑁䅧䅁佂䝁䄸杢祂䝁䅕睙ㅂ䡁䅉杣灂䝁䄴睚杁䙁䅉党㉂䝁䅕杢ㅂ䝁䅕䅉潁䍁䅑䅍睁䑁䅁克䅁䩁䅫䅁㑁䅁䅁杔療䝁䄴杣求䝁䅍兤祂䡁䅉兡畂䝁䅣䅉卂䝁䅕杤求䝁䄴兤求䍁䅁䅋獃䑉䅁䅍睁䍁䅫䅁剄杁䅁杍䅁䕁䄴睢祂䝁䄰兙獂䝁䅫来求䝁䅑䅉䍂䝁䅅督灂䝁䅍䅉䙂䙁䅁睕杁䍁䅧䅊灁䅁䅁䅍䅍䑁䅙䅁佂䝁䄸杣瑂䝁䅅䅢灂䡁䅯党歂䍁䅁䅒灂䝁䅷兤あ䝁䅕䅚杁䕁䅕䅕呂䍁䅁䅋歁䍁䅫䅁潂睁䅁杏䅁䕁䄴睢祂䝁䄰兙獂䝁䅫来求䝁䅑䅉佂䝁䅕䅤杁䕁䅫杢橂䝁䄸兢求䍁䅁䅋歁䑁䅁䅍睁䍁䅫䅁牃睁䅁䅔䅁䕁䄴睢祂䡁䅑䅡杁䕁䅅兢求䡁䅉兡橂䝁䅅杢杁䕁䅑党睂䝁䄸督灂䡁䅑督癁䍁䅁䅒求䡁䅁睢穂䝁䅫䅤穂䍁䅁䅋汁䍁䅫䅁塁允䅁䅑䅁䕁䄴睢祂䡁䅑䅡杁䕁䅅兢求䡁䅉兡橂䝁䅅杢杁䕁䅷睢桂䝁䄴督癁䍁䅁䅔療䝁䅅杢穂䍁䅁䅋汁䍁䅫䅁⽄䅁䅁䅍䅁䕁䄴睢あ䝁䅕督杁䙁䅉党橂䝁䅕兡㉂䝁䅅杙獂䝁䅕䅉潁䍁䅑䅍睁䑁䅁克䅁䩁䑳䅁杁䅁䅁睔瑁䕁䅫䅉䡂䝁䅷兙穂䡁䅍䅌杁䕁䅫杢橂䍁䄴䅁㉂睂䅁权䅁䕁䄸杕䑂䕁䅷䅁歄杂䅁䅅䅁䕁䄸杕䑂䕁䅷兌噂䙁䅍䅁㥄杂䅁杏䅁䕁䄸睙橂䡁䅕䅣桂䝁䄴睙㕂䍁䅁杊杁䕁䅕兣ㅂ䝁䅫䅣瑂䝁䅕杢あ䍁䅁䅋歁䑁䅁䅍睁䍁䅫䅁十杁䅁杘䅁䕁䄸杚浂䍁䄰杙桂䝁䅷兙畂䝁䅍党杁䙁䅍䅡求䝁䅕䅤杁䕁䅙兙灂䡁䅉䅉坂䝁䅅䅢ㅂ䝁䅕䅉䉂䝁䅑条ㅂ䡁䅍䅤瑂䝁䅕杢あ䍁䅁䅋歁䑁䅁䅍睁䍁䅫䅁晄允䅁杉䅁䕁䄸䅢灂䝁䄴䅉䑂䝁䄸杣睂䝁䄸杣桂䡁䅑兡療䝁䄴䅁千睂䅁杕䅁䕁䄸杢求䍁䅁兗求䝁䅅杣杁䕁䅍兤瑂䡁䅕䅢桂䡁䅑兡㉂䝁䅕䅉卂䝁䅕䅣祂䝁䅫睙灂䝁䄴睚杁䕁䅣兙睂䍁䅁䅋歁䑁䅁䅍睁䍁䅫䅁㡁杁䅁杍䅁䕁䄸杢求䍁䅁兗求䝁䅅杣杁䕁䅣兙睂䍁䄸䅉䉂䡁䅍督求䡁䅑督杁䍁䅧兊灁䅁䅁児䅉䍁䅷䅁偂䡁䅁党祂䝁䅅䅤灂䝁䄴睚杁䕁䅑䅒流䕁䅅䅉潁䍁䅑䅍睁䑁䅁克䅁䕁䅣䅁獁䅁䅁睔睂䝁䅕杣桂䡁䅑兡畂䝁䅣䅉䕂䕁䅑杊䉂䍁䅁䅋獃䑉䅁䅍睁䍁䅫䅁䝄杁䅁杍䅁䕁䄸䅣求䡁䅉兙あ䝁䅫杢湂䍁䅁兒㑂䡁䅁党畂䡁䅍党杁䍁䅧䅊睁䑁䅁䅍灁䅁䅁杢䅁䑁䅉䅁偂䡁䅁党祂䝁䅅䅤灂䝁䄴睚杁䕁䅕䅥睂䝁䅕杢穂䝁䅕䅉潁䭁杷䅍睁䑁䅁克䅁䭁䍣䅁睁䅁䅁睔睂䝁䅕杣桂䡁䅑兡畂䝁䅣䅉䩂䝁䄴睙療䝁䄰党杁䍁䅧䅊睁䑁䅁䅍灁䅁䅁入䅁䑁䅁䅁偂䡁䅁党祂䝁䅅䅤灂䝁䄴睚杁䕁䅫杢橂䝁䄸兢求䍁䅁䅋獃䑉䅁䅍睁䍁䅫䅁硃杁䅁䅍䅁䕁䄸䅣求䡁䅉兙あ䝁䅫睢畂䝁䅅䅢杁䙁䅉兡穂䝁䅳䅉潁䍁䅑䅍睁䑁䅁克䅁䱁䄰䅁睁䅁䅁睔睂䝁䅕杣桂䡁䅑兡療䝁䄴兙獂䍁䅁杕灂䡁䅍睡杁䍁䅧䍲睁䑁䅁䅍灁䅁䅁眵䅉䝁䄴䅁偂䡁䅁䅤灂䝁䄸杢穂䑁䅯睑ㅂ䡁䅉杣㥁䕁䅕兖卂䍁䅷兔桂䝁䅣児乂䝁䅫䅢獂䝁䅫睢畂䡁䅍䅌䑂䝁䄸杢㉂䕁䄰党あ䝁䅧睢歂䑁䄰兔䩂䡁䅉党橂䝁䄸兢瑂䝁䅕杢歂䝁䅕䅚䅁䥁䝕䅁畂䅁䅁睔睂䡁䅑兡療䝁䄴督㙁䕁䅍兤祂䡁䅉児䡂䕁䅉䅕獁䕁䄰兙湂䑁䄰兔灂䝁䅷䅢灂䝁䄸杢穂䍁䅷睑療䝁䄴杤乂䝁䅕䅤潂䝁䄸䅚㥁䕁䄰兓祂䝁䅕睙療䝁䄰兢求䝁䄴䅚求䝁䅑䅁湄杂䅁杩䅁䕁䄸䅣あ䝁䅫睢畂䡁䅍杏䑂䡁䅕杣祂䑁䄰杕求䡁䅁睢祂䡁䅑党歂䍁䅁睑ㅂ䡁䅉杣求䝁䄴睙㕂䍁䅷兔桂䝁䅣児乂䝁䅫䅢獂䝁䅫睢畂䡁䅍䅌䑂䝁䄸杢㉂䕁䄰党あ䝁䅧睢歂䑁䄰兔䩂䡁䅉党橂䝁䄸兢瑂䝁䅕杢歂䝁䅕䅚䅁䝁䜰䅁千䅁䅁睔睂䡁䅑兡療䝁䄴督㙁䕁䅍兤祂䡁䅉児卂䝁䅕䅣療䡁䅉䅤求䝁䅑䅉䑂䡁䅕杣祂䝁䅕杢橂䡁䅫䅌乂䝁䅅睚㥁䙁䅍杔䵂䙁䅍䅤桂䝁䄴䅚桂䡁䅉䅚獁䕁䅍睢畂䡁䅙兔求䡁䅑䅡療䝁䅑児呂䕁䄴䅔祂䝁䅕睙療䝁䄰兢求䝁䄴䅚求䝁䅑䅁䱁䅁䅁杺䅁䕁䄸䅣あ䝁䅫睢畂䡁䅍杏䑂䡁䅕杣祂䑁䄰杕求䡁䅁睢祂䡁䅑党歂䍁䅁睑ㅂ䡁䅉杣求䝁䄴睙㕂䍁䅷兔桂䝁䅣児呂䕁䄴䅔呂䡁䅑兙畂䝁䅑兙祂䝁䅑䅌䑂䝁䄸杢㉂䕁䄰党あ䝁䅧睢歂䑁䄰睕佂䕁䅷杣求䝁䅍睢瑂䝁䄰党畂䝁䅑党歂䍁䅷䅕桂䝁䅑児偂䝁䄴䅌䕂䝁䅅䅤求䡁䅍児䍂䝁䅕杚療䡁䅉党獁䡁䅍睢祂䡁䅑児䕂䝁䅕督橂䅁䅁䅂䅁䥁䅷䅁偂䡁䅁䅤灂䝁䄸杢穂䑁䅯睑ㅂ䡁䅉杣㥁䙁䅉党睂䝁䄸杣あ䝁䅕䅚杁䕁䅍兤祂䡁䅉党畂䝁䅍入獁䕁䄰兙湂䑁䄰䅖潂䝁䄸兤穂䝁䅅杢歂䡁䅍䅌䑂䝁䄸杢㉂䕁䄰党あ䝁䅧睢歂䑁䄰兔䩂䡁䅉党橂䝁䄸兢瑂䝁䅕杢歂䝁䅕䅚䅁䝁䝳䅁佃䅁䅁睔睂䡁䅑兡療䝁䄴督㙁䕁䅍兤祂䡁䅉児卂䝁䅕䅣療䡁䅉䅤求䝁䅑䅉䑂䡁䅕杣祂䝁䅕杢橂䡁䅫䅌乂䝁䅅睚㥁䙁䅑䅡療䡁䅕督桂䝁䄴䅚穂䍁䅷睑療䝁䄴杤乂䝁䅕䅤潂䝁䄸䅚㥁䙁䅍杔䵂䡁䅉党橂䝁䄸兢瑂䝁䅕杢歂䝁䅕䅚䅁䉁䄰䅁䭄䅁䅁睔睂䡁䅑兡療䝁䄴督㙁䕁䅍兤祂䡁䅉児卂䝁䅕䅣療䡁䅉䅤求䝁䅑䅉䑂䡁䅕杣祂䝁䅕杢橂䡁䅫䅌乂䝁䅅睚㥁䙁䅑䅡療䡁䅕督桂䝁䄴䅚穂䍁䅷睑療䝁䄴杤乂䝁䅕䅤潂䝁䄸䅚㥁䙁䅍杔䵂䡁䅉党橂䝁䄸兢瑂䝁䅕杢歂䝁䅕䅚獁䙁䅁兙歂䑁䄰睔畂䍁䅷䅒桂䡁䅑党穂䑁䄰村求䝁䅙睢祂䝁䅕䅌穂䝁䄸杣あ䑁䄰䅒求䡁䅍睙䅁䉁䄸䅁佃䅁䅁睔睂䡁䅑兡療䝁䄴督㙁䕁䅍兤祂䡁䅉児卂䝁䅕䅣療䡁䅉䅤求䝁䅑䅉橂䡁䅕杣祂䝁䅕杢橂䡁䅫䅌乂䝁䅅睚㥁䕁䄰兓穂䡁䅑兙畂䝁䅑兙祂䝁䅑䅌䑂䝁䄸杢㉂䕁䄰党あ䝁䅧睢歂䑁䄰兔䩂䡁䅉党橂䝁䄸兢瑂䝁䅕杢歂䝁䅕䅚䅁䥁䜴䅁䝂䅁䅁睔睂䡁䅑兡療䝁䄴督㙁䕁䅍兤祂䡁䅉児噂䙁䅍䅒獁䕁䄰兙湂䑁䄰䅍獁䕁䅍睢畂䡁䅙兔求䡁䅑䅡療䝁䅑児䅁䉁䅧䅁祂䅁䅁睔睂䡁䅑兡療䝁䄴督㙁䕁䅍兤祂䡁䅉児噂䙁䅍䅒獁䕁䄰兙湂䑁䄰兔䩂䡁䅍䅤桂䝁䄴䅚桂䡁䅉䅚獁䕁䅍睢畂䡁䅙兔求䡁䅑䅡療䝁䅑児乂䕁䅫杣求䝁䅍睢瑂䝁䄰党畂䝁䅑党歂䅁䅁兏䅁䝁䄴䅁偂䡁䅁䅤灂䝁䄸杢穂䑁䅯睑ㅂ䡁䅉杣㥁䙁䅕睕䕂䍁䅷兔桂䝁䅣児乂䝁䅫䅢獂䝁䅫睢畂䡁䅍䅌䑂䝁䄸杢㉂䕁䄰党あ䝁䅧睢歂䑁䄰兔䩂䡁䅉党橂䝁䄸兢瑂䝁䅕杢歂䝁䅕䅚䅁佁䜴䅁煂䅁䅁睔睂䡁䅑兡療䝁䄴督㙁䕁䅍兤祂䡁䅉児噂䙁䅍䅒獁䕁䄰兙湂䑁䄰兔灂䝁䅷䅢灂䝁䄸杢穂䍁䅷睑療䝁䄴杤乂䝁䅕䅤潂䝁䄸䅚㥁䙁䅉党橂䝁䄸兢瑂䝁䅕杢歂䝁䅕䅚䅁䝁䡙䅁流䅁䅁睔祂䝁䅅睙獂䝁䅕䅉䑂䝁䄸杣睂䝁䄸杣桂䡁䅑兡療䝁䄴䅁汄杂䅁杋䅁䕁䄸杣歂䝁䅕杣杁䕁䅉兙橂䝁䅳䅢療䝁䅣䅉潁䍁䅑䅍睁䑁䅁克䅁䩁䕙䅁㑁䅁䅁睔祂䝁䅑兡畂䝁䅅杣㕂䍁䅁杔求䡁䅑䅉兂䡁䅉睢浂䝁䅫䅤穂䍁䅁䅋歁䑁䅁䅍睁䍁䅫䅁䙂允䅁条䅁䕁䄸䅤潂䝁䅕杣杁䕁䅅䅚煂䍁䅁䅋佂䝁䅕䅤杁䕁䅉党畂䝁䅕杚灂䡁䅑䅉䉂䡁䅍督求䡁䅑克杁䍁䅧䅕求䝁䄴督灂䝁䄸杢杁䍁䄰䅉䕂䝁䄸兢灁䍁䅁䅋歁䑁䅁䅍睁䍁䅫䅁㡁兂䅁䅤䅁䕁䄸䅤潂䝁䅕杣杁䕁䅅䅚煂䍁䅁䅋佂䝁䅕䅤杁䕁䅉党畂䝁䅕杚灂䡁䅑䅉䉂䡁䅍督求䡁䅑睌䵂䝁䅫兙楂䍁䅫䅉潁䙁䅁党畂䡁䅍兡療䝁䄴䅉瑁䍁䅁杒䡂䕁䄴克杁䍁䅧䅊睁䑁䅁䅍灁䅁䅁睋䅍䝁䅙䅁偂䡁䅑䅡求䡁䅉䅉䉂䝁䅑条畁䍁䅁䅋佂䝁䅕䅤杁䕁䅉党畂䝁䅕杚灂䡁䅑䅉䉂䡁䅍督求䡁䅑克杁䍁䅧睔兂䕁䅕村杁䍁䄰䅉䕂䕁䄸兔灁䍁䅁䅋歁䑁䅁䅍睁䍁䅫䅁㝂兂䅁杚䅁䕁䄸䅤潂䝁䅕杣杁䕁䅅䅚煂䍁䄴䅉潁䕁䄴党あ䍁䅁村求䝁䄴党浂䝁䅫䅤杁䕁䅅督穂䝁䅕䅤灁䍁䅁䅋偂䙁䅁兒䍂䍁䅁兌杁䕁䅙睒佂䍁䅫䅉潁䍁䅑䅍睁䑁䅁克䅁偁䘴䅁浂䅁䅁睔あ䝁䅧党祂䍁䅁兑歂䝁䅯杌杁䍁䅧杔求䡁䅑䅉䍂䝁䅕杢求䝁䅙兡あ䍁䅁兑穂䡁䅍党あ䍁䄸䅔灂䝁䅅杙畁䍁䅫䅉潁䕁䄸䅕䙂䕁䅉克杁䍁䅧䅊睁䑁䅁䅍灁䅁䅁兲䅍䝁䅷䅁偂䡁䅑䅡求䡁䅉䅉䉂䝁䅑条畁䍁䅁䅋佂䝁䅕䅤杁䕁䅉党畂䝁䅕杚灂䡁䅑䅉䉂䡁䅍督求䡁䅑睌䵂䝁䅫兙楂䍁䄴克杁䍁䅧䅕求䝁䄴督灂䝁䄸杢灁䍁䅁䅋歁䑁䅁䅍睁䍁䅫䅁㡃睁䅁杣䅁䕁䄸䅤潂䝁䅕杣杁䕁䅅䅚煂䍁䄴䅉啂䝁䄸䅉䕂䝁䅕杚畁䍁䅁村求䝁䄴党浂䝁䅫䅤杁䕁䄸杙獂䝁䅫睚畁䍁䅁䅋兂䝁䅕杢穂䝁䅫睢畂䍁䅁兌杁䕁䅑睢瑂䍁䅫䅉潁䍁䅑䅍睁䑁䅁克䅁䉁䙕䅁祂䅁䅁睔あ䝁䅧党祂䍁䅁兑歂䝁䅯杌杁䙁䅑睢杁䕁䅑党浂䍁䄴䅉䍂䝁䅕杢求䝁䅙兡あ䍁䅁睔楂䝁䅷兡湂䍁䄴䅉潁䙁䅁党畂䡁䅍兡療䝁䄴䅉瑁䍁䅁杒䡂䕁䄴克杁䍁䅧䅊睁䑁䅁䅍灁䅁䅁八䅕䡁䅑䅁偂䡁䅑䅡求䡁䅉䅉䉂䝁䅑条畁䍁䅁䅖療䍁䅁䅒求䝁䅙杌杁䕁䅉党畂䝁䅕杚灂䡁䅑䅉偂䝁䅉䅢灂䝁䅣兙あ䝁䅫睢畂䍁䅁䅋偂䙁䅁兒䍂䍁䅁兌杁䕁䅑睔乂䍁䅫䅉潁䍁䅑䅍睁䑁䅁克䅁䕁䘴䅁あ䅁䅁睔あ䝁䅧党祂䍁䅁兑歂䝁䅯杌杁䙁䅑睢杁䕁䅑党浂䍁䄴䅉䍂䝁䅕杢求䝁䅙兡あ䍁䅁睔楂䝁䅷兡湂䝁䅅䅤灂䝁䄸杢杁䍁䅧睔兂䕁䅕村杁䍁䄰䅉䝂䕁䅣杔灁䍁䅁䅋歁䑁䅁䅍睁䍁䅫䅁兄兂䅁䅡䅁䕁䄸䅤潂䝁䅕杣杁䕁䅅䅚煂䍁䄴䅉啂䝁䄸䅉䕂䝁䅕杚畁䍁䅁村求䝁䄴党浂䝁䅫䅤杁䕁䄸杙獂䝁䅫睚桂䡁䅑兡療䝁䄴䅉潁䕁䄸䅕䙂䕁䅉克杁䍁䅧䅊睁䑁䅁䅍灁䅁䅁眳䅍䝁䄴䅁偂䡁䅑䅡求䡁䅉䅉䉂䝁䅑条畁䍁䅁䅖療䍁䅁䅒求䝁䅙杌杁䕁䅉党畂䝁䅕杚灂䡁䅑䅉偂䝁䅉䅢灂䝁䅣兙あ䝁䅫睢畂䍁䅁䅋兂䝁䅕杢穂䝁䅫睢畂䍁䅫䅉潁䍁䅑䅍睁䑁䅁克䅁䭁䕧䅁㙁䅁䅁睔あ䝁䅧党祂䍁䅁兑浂䡁䅑党祂䍁䄰䅤桂䡁䅧䅉䩂䡁䅑党瑂䡁䅍䅉潁䍁䅑䅍睁䑁䅁克䅁䩁䄴䅁㙁䅁䅁睔あ䝁䅧党祂䍁䅁兑浂䡁䅑党祂䍁䄰䅤桂䡁䅧䅉䩂䡁䅑党瑂䡁䅍䅉潁䭁杷䅍睁䑁䅁克䅁乁䍙䅁ぁ䅁䅁睔あ䝁䅧党祂䍁䅁兑瑂䝁䄸杣あ䝁䅫来桂䡁䅑兡療䝁䄴䅉潁䍁䅑䅍睁䑁䅁克䅁偁䑯䅁䍂䅁䅁睔あ䝁䅧党祂䍁䅁兑穂䡁䅍党あ䡁䅍䅉潁䕁䄸䅕䙂䕁䅉䅉瑁䍁䅁䅒療䝁䄰克杁䍁䅧䅊睁䑁䅁䅍灁䅁䅁入䅕䕁䅉䅁偂䡁䅑䅡求䡁䅉䅉䉂䡁䅍督求䡁䅑督杁䍁䅧睔兂䕁䅕村杁䍁䄰䅉䝂䕁䅣杔灁䍁䅁䅋歁䑁䅁䅍睁䍁䅫䅁㡄兂䅁材䅁䕁䄸䅤潂䝁䅕杣杁䕁䅅督穂䝁䅕䅤穂䍁䅁兓瑂䡁䅁兙灂䡁䅉兢求䝁䄴䅤杁䍁䅧䅊睁䑁䅁䅍灁䅁䅁睬䅁䑁䄴䅁偂䡁䅑䅡求䡁䅉䅉䉂䡁䅍督求䡁䅑督杁䕁䅫兢睂䝁䅅兡祂䝁䄰党畂䡁䅑䅉潁䭁杷䅍睁䑁䅁克䅁䵁䌸䅁佂䅁䅁睔あ䝁䅧党祂䍁䅁兑穂䡁䅍党あ䡁䅍睌䵂䝁䅫兙楂䝁䅫䅢灂䡁䅑兡求䡁䅍䅉潁䕁䄸䅕䙂䕁䅉克杁䍁䅧䅊睁䑁䅁䅍灁䅁䅁儹䅍䝁䅁䅁偂䡁䅑䅡求䡁䅉䅉䉂䡁䅍督求䡁䅑督癁䕁䅷兡桂䝁䅉兡獂䝁䅫䅤灂䝁䅕督杁䍁䅧䅕求䝁䄴督灂䝁䄸杢杁䍁䄰䅉䕂䝁䄸兢灁䍁䅁䅋歁䑁䅁䅍睁䍁䅫䅁流兂䅁䅙䅁䕁䄸䅤潂䝁䅕杣杁䕁䅅督穂䝁䅕䅤穂䍁䄸䅔灂䝁䅅杙灂䝁䅷兡あ䝁䅫党穂䍁䅁䅋兂䝁䅕杢穂䝁䅫睢畂䍁䅁兌杁䕁䅙睒佂䍁䅫䅉潁䍁䅑䅍睁䑁䅁克䅁䱁䙳䅁啂䅁䅁睔あ䝁䅧党祂䍁䅁兑穂䡁䅍党あ䡁䅍睌䵂䝁䅫兙楂䝁䅫䅢灂䡁䅑兡求䡁䅍䅉潁䙁䅁党畂䡁䅍兡療䝁䄴克杁䍁䅧䅊睁䑁䅁䅍灁䅁䅁眱䅑䕁䅯䅁偂䡁䅑䅡求䡁䅉䅉䑂䝁䅅督潂䍁䅁杊杁䕁䅍兙穂䝁䅧䅉䙂䡁䅅兤灂䡁䅙兙獂䝁䅕杢あ䡁䅍䅉潁䍁䅑䅍睁䑁䅁克䅁䱁䈰䅁獁䅁䅁睔あ䝁䅧党祂䍁䅁睑療䝁䄴督ㅂ䝁䄰党祂䍁䅁䅋歁䑁䅁䅍睁䍁䅫䅁婄允䅁䅎䅁䕁䄸䅤潂䝁䅕杣杁䕁䅍杣求䝁䅑兡あ䍁䅁睑療䡁䅍䅤穂䍁䅁䅋歁䑁䅁䅍睁䍁䅫䅁⭁允䅁䅏䅁䕁䄸䅤潂䝁䅕杣杁䕁䅍兤祂䡁䅉党畂䡁䅑䅉䉂䡁䅍督求䡁䅑督杁䍁䅧䅊睁䑁䅁䅍灁䅁䅁兔䅑䕁䅉䅁偂䡁䅑䅡求䡁䅉䅉䑂䡁䅕杣祂䝁䅕杢あ䍁䅁䅔灂䝁䅅杙灂䝁䅷兡あ䝁䅫党穂䍁䅁䅋歁䑁䅁䅍睁䍁䅫䅁㉂睁䅁杏䅁䕁䄸䅤潂䝁䅕杣杁䕁䅑党睂䝁䄸督灂䡁䅑督癁䍁䅁䅒求䡁䅁睢穂䝁䅫䅤穂䍁䅁䅋汁䍁䅫䅁啁允䅁杒䅁䕁䄸䅤潂䝁䅕杣杁䕁䅑党睂䝁䄸督灂䡁䅑督癁䍁䅁䅖療䡁䅑兙獂䍁䅁䅒求䡁䅁睢穂䝁䅫䅤穂䍁䅁䅋汁䍁䅫䅁䍃允䅁杋䅁䕁䄸䅤潂䝁䅕杣杁䕁䅕䅥睂䝁䅕杢穂䝁䅕䅉潁䍁䅑䅍睁䑁䅁克䅁䉁䍧䅁䝂䅁䅁睔あ䝁䅧党祂䍁䅁杒灂䝁䄴兙畂䝁䅍兡桂䝁䅷䅉䵂䝁䅫兙楂䝁䅫䅢灂䡁䅑兡求䡁䅍䅉潁䍁䅑䅍睁䑁䅁克䅁䡁䅯䅁䝂䅁䅁睔あ䝁䅧党祂䍁䅁杒灂䝁䄴兙畂䝁䅍兡桂䝁䅷䅉䵂䝁䅫兙楂䝁䅫䅢灂䡁䅑兡求䡁䅍䅉潁䭁杷䅍睁䑁䅁克䅁䱁䍉䅁䕂䅁䅁睔あ䝁䅧党祂䍁䅁杒灂䝁䄴兙畂䝁䅍兡畂䝁䅣䅉䉂䝁䅍䅤灂䡁䅙兡あ䝁䅫党穂䍁䅁䅋歁䑁䅁䅍睁䍁䅫䅁卂睁䅁材䅁䕁䄸䅤潂䝁䅕杣杁䕁䅫兢睂䝁䅅兡祂䝁䅕䅚杁䙁䅉党穂䝁䅕杣㉂䝁䅕督杁䍁䅧䅊睁䑁䅁䅍灁䅁䅁䅘䅅䑁䅉䅁偂䡁䅑䅡求䡁䅉䅉䩂䝁䄴䅤桂䝁䄴睚灂䝁䅉䅢求䡁䅍䅉潁䍁䅑䅍睁䑁䅁克䅁佁䉯䅁䅂䅁䅁睔あ䝁䅧党祂䍁䅁兓畂䡁䅙党畂䡁䅑睢祂䡁䅫䅉䉂䝁䅍睙療䡁䅕杢あ䡁䅍䅉潁䍁䅑䅍睁䑁䅁克䅁䩁䐰䅁䕂䅁䅁睔あ䝁䅧党祂䍁䅁兓畂䡁䅙党穂䡁䅑兡畂䝁䅣䅉䉂䝁䅍䅤灂䡁䅙兡あ䝁䅫党穂䍁䅁䅋歁䑁䅁䅍睁䍁䅫䅁杁䅂䅁杒䅁䕁䄸䅤潂䝁䅕杣杁䕁䅷睢桂䝁䄴䅉呂䝁䅕杣㉂䝁䅫睙灂䝁䄴睚杁䙁䅉兡湂䝁䅧䅤穂䍁䅁䅋歁䑁䅁䅍睁䍁䅫䅁睄允䅁䅏䅁䕁䄸䅤潂䝁䅕杣杁䕁䅷睢桂䝁䄴督杁䍁䅙䅉䵂䝁䅕兙穂䝁䅕督杁䍁䅧䅊睁䑁䅁䅍灁䅁䅁朴䅅䍁䅙䅁偂䡁䅑䅡求䡁䅉䅉䵂䝁䄸兙畂䡁䅍䅉潁䍁䅑䅍睁䑁䅁克䅁䡁䍣䅁畁䅁䅁睔あ䝁䅧党祂䍁䅁䅔療䝁䅅杢穂䍁䄸䅉䵂䝁䄸兙畂䡁䅍䅉潁䍁䅕克䅁䕁䉁䅁㡁䅁䅁睔あ䝁䅧党祂䍁䅁䅔療䝁䄴睚瑁䙁䅑党祂䝁䄰䅉䉂䡁䅍督求䡁䅑督杁䍁䅧䅊睁䑁䅁䅍灁䅁䅁䅗䅑䕁䅷䅁偂䡁䅑䅡求䡁䅉䅉乂䝁䅅䅤ㅂ䡁䅉兡畂䝁䅣䅉䕂䝁䅕䅣療䡁䅍兡あ䡁䅍睌杁䕁䅑党睂䝁䄸督灂䡁䅑督杁䍁䅧兊灁䅁䅁末䅁䕁䅁䅁偂䡁䅑䅡求䡁䅉䅉乂䝁䅅䅤ㅂ䡁䅉兡畂䝁䅣䅉䵂䝁䄸兙畂䡁䅍睌杁䕁䅷睢桂䝁䄴督杁䍁䅧兊灁䅁䅁杅䅅䑁䅯䅁偂䡁䅑䅡求䡁䅉䅉乂䝁䅕来㙂䝁䅅杢灂䝁䄴党杁䕁䅫䅤求䝁䄰督杁䍁䅧䅊睁䑁䅁䅍灁䅁䅁䄯䅅䝁䅙䅁偂䡁䅑䅡求䡁䅉䅉乂䝁䅫督橂䍁䄴䅉䉂䝁䅑条畁䍁䅁兌杁䕁䅍睢瑂䡁䅁杣畁䍁䅁兓畂䝁䅍杌杁䍁䅧睔兂䕁䅕村杁䍁䄰䅉䕂䝁䄸兢灁䍁䅁䅋歁䑁䅁䅍睁䍁䅫䅁潂兂䅁杚䅁䕁䄸䅤潂䝁䅕杣杁䕁䄰兡穂䝁䅍杌杁䕁䅅䅚煂䍁䄴䅉瑁䍁䅁睑療䝁䄰䅣祂䍁䄴䅉䩂䝁䄴睙畁䍁䅁䅋偂䙁䅁兒䍂䍁䅁兌杁䕁䅙睒佂䍁䅫䅉潁䍁䅑䅍睁䑁䅁克䅁佁䙳䅁慂䅁䅁睔あ䝁䅧党祂䍁䅁兔灂䡁䅍睙畁䍁䅁兑歂䝁䅯杌杁䍁䄰䅉䑂䝁䄸兢睂䡁䅉杌杁䕁䅫杢橂䍁䄴䅉潁䕁䄸䅕䙂䕁䅉克杁䍁䅧䅊睁䑁䅁䅍灁䅁䅁䅁䅕䝁䅷䅁偂䡁䅑䅡求䡁䅉䅉乂䝁䅫督橂䍁䄴䅉䉂䝁䅑条畁䍁䅁兌杁䕁䅍睢瑂䡁䅁杣畁䍁䅁兓畂䝁䅍杌杁䍁䅧䅕求䝁䄴督灂䝁䄸杢杁䍁䄰䅉䕂䝁䄸兢灁䍁䅁䅋歁䑁䅁䅍睁䍁䅫䅁瑁兂䅁䅢䅁䕁䄸䅤潂䝁䅕杣杁䕁䄰兡穂䝁䅍杌杁䕁䅅䅚煂䍁䄴䅉瑁䍁䅁睑療䝁䄰䅣祂䍁䄴䅉䩂䝁䄴睙畁䍁䅁䅋兂䝁䅕杢穂䝁䅫睢畂䍁䅁兌杁䕁䅙睒佂䍁䅫䅉潁䍁䅑䅍睁䑁䅁克䅁䭁䙯䅁杂䅁䅁睔あ䝁䅧党祂䍁䅁兔灂䡁䅍睙畁䍁䅁兑歂䝁䅯杌杁䍁䄰䅉䑂䝁䄸兢睂䡁䅉杌杁䕁䅫杢橂䍁䄴䅉潁䙁䅁党畂䡁䅍兡療䝁䄴克杁䍁䅧䅊睁䑁䅁䅍灁䅁䅁杸䅑䙁䅉䅁偂䡁䅑䅡求䡁䅉䅉佂䝁䅕䅤杁䕁䅙党求䍁䅁杊杁䕁䅍睢瑂䝁䄰兡穂䡁䅍兡療䝁䄴䅉䩂䝁䄴睙療䝁䄰党杁䍁䅧䅊睁䑁䅁䅍灁䅁䅁䅏䅅䕁䅯䅁偂䡁䅑䅡求䡁䅉䅉佂䝁䄸杢瑁䕁䅍兤祂䡁䅉党畂䡁䅑䅉䵂䝁䅫兙楂䝁䅫䅢灂䡁䅑兡求䡁䅍䅉潁䍁䅑䅍睁䑁䅁克䅁䝁䕙䅁䅂䅁䅁睔あ䝁䅧党祂䍁䅁杔療䝁䄴兌偂䡁䅁党祂䝁䅅䅤灂䝁䄴睚杁䕁䅫杢橂䍁䄴䅉潁䍁䅑䅍睁䑁䅁克䅁䡁䑍䅁䅂䅁䅁睔あ䝁䅧党祂䍁䅁杔療䝁䄴兡畂䡁䅑党祂䝁䅕督あ䍁䅁兓畂䝁䅍睢瑂䝁䅕䅉潁䍁䅑䅍睁䑁䅁克䅁䅁䌸䅁䕂䅁䅁睔あ䝁䅧党祂䍁䅁睔睂䝁䅕杣桂䡁䅑兡畂䝁䅣䅉䉂䝁䅍䅤灂䡁䅙兡あ䝁䅫党穂䍁䅁䅋歁䑁䅁䅍睁䍁䅫䅁䥁䅂䅁杒䅁䕁䄸䅤潂䝁䅕杣杁䕁䄸䅣求䡁䅉兙あ䝁䅫杢湂䍁䅁兒㑂䡁䅁杌獁䍁䅁䅖療䡁䅑兙獂䍁䅁䅋歁䑁䅁䅍睁䍁䅫䅁橁睁䅁材䅁䕁䄸䅤潂䝁䅕杣杁䕁䄸䅣求䡁䅉兙あ䝁䅫杢湂䍁䅁兒㑂䡁䅁党畂䡁䅍党杁䍁䅧䅊睁䑁䅁䅍灁䅁䅁兙䅍䕁䅧䅁偂䡁䅑䅡求䡁䅉䅉偂䡁䅉䅚灂䝁䄴兙祂䡁䅫䅉兂䡁䅉睢浂䝁䅫䅤杁䍁䅙䅉䵂䝁䄸督穂䍁䅁䅋歁䑁䅁䅍睁䍁䅫䅁䕂允䅁杖䅁䕁䄸䅤潂䝁䅕杣杁䙁䅁䅢桂䝁䄴䅉䉂䝁䅑条ㅂ䡁䅍䅤瑂䝁䅕杢あ䡁䅍䅉潁䕁䄸䅕䙂䕁䅉䅉瑁䍁䅁䅒療䝁䄰克杁䍁䅧䅊睁䑁䅁䅍灁䅁䅁杦䅍䙁䅙䅁偂䡁䅑䅡求䡁䅉䅉兂䝁䅷兙畂䍁䅁兑歂䝁䅯兤穂䡁䅑兢求䝁䄴䅤穂䍁䅁䅋偂䙁䅁兒䍂䍁䅁兌杁䕁䅙睒佂䍁䅫䅉潁䍁䅑䅍睁䑁䅁克䅁䉁䕁䅁䭂䅁䅁睔あ䝁䅧党祂䍁䅁䅕獂䝁䅅杢杁䕁䅅䅚煂䡁䅕督あ䝁䄰党畂䡁䅑督杁䍁䅧睔兂䕁䅕村灁䍁䅁䅋歁䑁䅁䅍睁䍁䅫䅁癄䅂䅁䅘䅁䕁䄸䅤潂䝁䅕杣杁䙁䅁䅢桂䝁䄴䅉䉂䝁䅑条ㅂ䡁䅍䅤瑂䝁䅕杢あ䡁䅍䅉潁䙁䅁党畂䡁䅍兡療䝁䄴䅉瑁䍁䅁䅒療䝁䄰克杁䍁䅧䅊睁䑁䅁䅍灁䅁䅁睅䅕䙁䅷䅁偂䡁䅑䅡求䡁䅉䅉兂䝁䅷兙畂䍁䅁兑歂䝁䅯兤穂䡁䅑兢求䝁䄴䅤穂䍁䅁䅋兂䝁䅕杢穂䝁䅫睢畂䍁䅁兌杁䕁䅙睒佂䍁䅫䅉潁䍁䅑䅍睁䑁䅁克䅁䥁䘴䅁兂䅁䅁睔あ䝁䅧党祂䍁䅁䅕獂䝁䅅杢杁䕁䅅䅚煂䡁䅕督あ䝁䄰党畂䡁䅑督杁䍁䅧䅕求䝁䄴督灂䝁䄸杢灁䍁䅁䅋歁䑁䅁䅍睁䍁䅫䅁穃䅂䅁䅔䅁䕁䄸䅤潂䝁䅕杣杁䙁䅁䅢桂䝁䄴䅉䉂䡁䅍督求䡁䅑督杁䍁䅧睔兂䕁䅕村杁䍁䄰䅉䕂䝁䄸兢灁䍁䅁䅋歁䑁䅁䅍睁䍁䅫䅁求兂䅁䅖䅁䕁䄸䅤潂䝁䅕杣杁䙁䅁䅢桂䝁䄴䅉䉂䡁䅍督求䡁䅑督杁䍁䅧睔兂䕁䅕村杁䍁䄰䅉䕂䝁䄸兢灁䍁䄸䅉啂䝁䄸䅤桂䝁䅷䅉潁䍁䅕克䅁䝁䙉䅁䵂䅁䅁睔あ䝁䅧党祂䍁䅁䅕獂䝁䅅杢杁䕁䅅督穂䝁䅕䅤穂䍁䅁䅋偂䙁䅁兒䍂䍁䅁兌杁䕁䅙睒佂䍁䅫䅉潁䍁䅑䅍睁䑁䅁克䅁佁䙧䅁啂䅁䅁睔あ䝁䅧党祂䍁䅁䅕獂䝁䅅杢杁䕁䅅督穂䝁䅕䅤穂䍁䅁䅋偂䙁䅁兒䍂䍁䅁兌杁䕁䅙睒佂䍁䅫睌杁䙁䅑睢あ䝁䅅䅢杁䍁䅧兊灁䅁䅁䅺䅑䕁䅁䅁偂䡁䅑䅡求䡁䅉䅉兂䝁䅷兙畂䍁䅁兑穂䡁䅍党あ䡁䅍䅉潁䕁䄸䅕䙂䕁䅉克杁䍁䅧䅊睁䑁䅁䅍灁䅁䅁杨䅑䕁䅧䅁偂䡁䅑䅡求䡁䅉䅉兂䝁䅷兙畂䍁䅁兑穂䡁䅍党あ䡁䅍䅉潁䕁䄸䅕䙂䕁䅉克癁䍁䅁䅖療䡁䅑兙獂䍁䅁䅋汁䍁䅫䅁㕄䅂䅁杕䅁䕁䄸䅤潂䝁䅕杣杁䙁䅁䅢桂䝁䄴䅉䉂䡁䅍督求䡁䅑督杁䍁䅧䅕求䝁䄴督灂䝁䄸杢杁䍁䄰䅉䕂䝁䄸兢灁䍁䅁䅋歁䑁䅁䅍睁䍁䅫䅁牁兂䅁杗䅁䕁䄸䅤潂䝁䅕杣杁䙁䅁䅢桂䝁䄴䅉䉂䡁䅍督求䡁䅑督杁䍁䅧䅕求䝁䄴督灂䝁䄸杢杁䍁䄰䅉䕂䝁䄸兢灁䍁䄸䅉啂䝁䄸䅤桂䝁䅷䅉潁䍁䅕克䅁䑁䑧䅁卂䅁䅁睔あ䝁䅧党祂䍁䅁䅕獂䝁䅅杢杁䕁䅅督穂䝁䅕䅤穂䍁䅁䅋兂䝁䅕杢穂䝁䅫睢畂䍁䅁兌杁䕁䅙睒佂䍁䅫䅉潁䍁䅑䅍睁䑁䅁克䅁䭁䙙䅁慂䅁䅁睔あ䝁䅧党祂䍁䅁䅕獂䝁䅅杢杁䕁䅅督穂䝁䅕䅤穂䍁䅁䅋兂䝁䅕杢穂䝁䅫睢畂䍁䅁兌杁䕁䅙睒佂䍁䅫睌杁䙁䅑睢あ䝁䅅䅢杁䍁䅧兊灁䅁䅁杯䅕䕁䅙䅁偂䡁䅑䅡求䡁䅉䅉兂䝁䅷兙畂䍁䅁兑穂䡁䅍党あ䡁䅍䅉潁䙁䅁党畂䡁䅍兡療䝁䄴克杁䍁䅧䅊睁䑁䅁䅍灁䅁䅁杫䅑䕁䄴䅁偂䡁䅑䅡求䡁䅉䅉兂䝁䅷兙畂䍁䅁兑穂䡁䅍党あ䡁䅍䅉潁䙁䅁党畂䡁䅍兡療䝁䄴克癁䍁䅁䅖療䡁䅑兙獂䍁䅁䅋汁䍁䅫䅁䅄䅂䅁䅐䅁䕁䄸䅤潂䝁䅕杣杁䙁䅁杣求䝁䅙党祂䡁䅉党歂䍁䅁兒硂䡁䅕兡あ䡁䅫䅉潁䍁䅑䅍睁䑁䅁克䅁偁䈰䅁睁䅁䅁睔あ䝁䅧党祂䍁䅁䅕祂䝁䄸杤灂䡁䅍兡療䝁䄴督杁䍁䅧䅊睁䑁䅁䅍灁䅁䅁䅨䅁䑁䅁䅁偂䡁䅑䅡求䡁䅉䅉兂䡁䅉睢㉂䝁䅫督灂䝁䄸杢穂䍁䅁䅋獃䑉䅁䅍睁䍁䅫䅁㡃杁䅁杍䅁䕁䄸䅤潂䝁䅕杣杁䙁䅉党橂䝁䅕兡㉂䝁䅅杙獂䝁䅕督杁䍁䅧䅊睁䑁䅁䅍灁䅁䅁睧䅍䑁䅷䅁偂䡁䅑䅡求䡁䅉䅉卂䝁䅕䅤桂䝁䅫䅢杁䕁䅷睢桂䝁䄴督癁䍁䅁䅔療䝁䅅杢穂䍁䅁䅋汁䍁䅫䅁䑁睁䅁杋䅁䕁䄸䅤潂䝁䅕杣杁䙁䅉党㉂䝁䅕杢ㅂ䝁䅕䅉潁䍁䅑䅍睁䑁䅁克䅁䑁䑯䅁䕂䅁䅁睔あ䝁䅧党祂䍁䅁杕灂䡁䅍睡瑁䡁䅣党灂䝁䅣䅡あ䝁䅕䅚杁䕁䅅督穂䝁䅕䅤穂䍁䅁䅋歁䑁䅁䅍睁䍁䅫䅁⭃䅁䅁䅒䅁䕁䄸䅤潂䝁䅕杣杁䙁䅉兡穂䝁䅳兌㍂䝁䅕兡湂䝁䅧䅤求䝁䅑䅉䉂䡁䅍督求䡁䅑督杁䍁䅧䍲睁䑁䅁䅍灁䅁䅁䄶䅉䑁䅁䅁偂䡁䅑䅡求䡁䅉䅉呂䝁䅕睙ㅂ䡁䅉兡あ䝁䅫党穂䍁䅁䅋歁䑁䅁䅍睁䍁䅫䅁䡄允䅁材䅁䕁䄸䅤潂䝁䅕杣杁䙁䅍兤楂䝁䄸杣歂䝁䅫杢桂䡁䅑党歂䍁䅁䅒求䝁䅉䅤杁䍁䅧䅊睁䑁䅁䅍灁䅁䅁睙䅁䑁䄴䅁偂䡁䅑䅡求䡁䅉䅉呂䡁䅕杙療䡁䅉䅚灂䝁䄴兙あ䝁䅕䅚杁䕁䅑党楂䡁䅑䅉潁䭁杷䅍睁䑁䅁克䅁䭁䍁䅁㉁䅁䅁睔あ䝁䅧党祂䍁䅁兖畂䡁䅕督ㅂ䝁䅅䅢杁䕁䅫䅤求䝁䄰督杁䍁䅧䅊睁䑁䅁䅍灁䅁䅁䅊䅍䑁䄴䅁偂䡁䅕䅤穂䡁䅑兙畂䝁䅑兡畂䝁䅣䅉䉂䡁䅍䅉偂䝁䅙䅉潁䝁䄰兢癁䝁䅑䅚癁䡁䅫入㕂䡁䅫克䅁䍁䅫䅁奂䅁䅁䅕䍂䕁䄸䅉䉂䡁䅍督ㅂ䝁䄰党歂䍁䅁杕桂䡁䅑党杁䝁䄸杚杁䙁䅉党あ䡁䅕杣畂䍁䅁䅋偂䙁䅁兒䍂䍁䅫䅉瑁䍁䅁兔桂䡁䅧䅉潁䍁䅕克䅁䥁䔴䅁畂䅁䅁䅕䍂䕁䄸䅉䉂䡁䅍督ㅂ䝁䄰党歂䍁䅁杕桂䡁䅑党杁䝁䄸杚杁䙁䅉党あ䡁䅕杣畂䍁䅁䅋偂䙁䅁兒䍂䍁䅫䅉瑁䍁䅁兔桂䡁䅧䅉瑁䍁䅁䅒療䝁䄰党穂䡁䅑兡橂䍁䅁䅋汁䍁䅫䅁牂兂䅁䅢䅁䙁䅁村偂䍁䅁兑穂䡁䅍兤瑂䝁䅕䅚杁䙁䅉兙あ䝁䅕䅉療䝁䅙䅉卂䝁䅕䅤ㅂ䡁䅉杢杁䍁䅧睔兂䕁䅕村灁䍁䅁兌杁䕁䄰兙㑂䍁䅁兌杁䕁䅙睢祂䝁䅕兡湂䝁䄴䅉潁䍁䅕克䅁偁䙁䅁奂䅁䅁䅕䍂䕁䄸䅉䉂䡁䅍督ㅂ䝁䄰党歂䍁䅁杕桂䡁䅑党杁䝁䄸杚杁䙁䅉党あ䡁䅕杣畂䍁䅁䅋偂䙁䅁兒䍂䍁䅫䅉瑁䍁䅁兔灂䝁䄴䅉潁䍁䅕克䅁偁䕍䅁畂䅁䅁䅕䍂䕁䄸䅉䉂䡁䅍督ㅂ䝁䄰党歂䍁䅁杕桂䡁䅑党杁䝁䄸杚杁䙁䅉党あ䡁䅕杣畂䍁䅁䅋偂䙁䅁兒䍂䍁䅫䅉瑁䍁䅁兔灂䝁䄴䅉瑁䍁䅁䅒療䝁䄰党穂䡁䅑兡橂䍁䅁䅋汁䍁䅫䅁煂兂䅁䅢䅁䙁䅁村偂䍁䅁兑穂䡁䅍兤瑂䝁䅕䅚杁䙁䅉兙あ䝁䅕䅉療䝁䅙䅉卂䝁䅕䅤ㅂ䡁䅉杢杁䍁䅧睔兂䕁䅕村灁䍁䅁兌杁䕁䄰兡畂䍁䅁兌杁䕁䅙睢祂䝁䅕兡湂䝁䄴䅉潁䍁䅕克䅁佁䘸䅁敂䅁䅁䅕䍂䕁䄸䅉䉂䡁䅍督ㅂ䝁䄰党歂䍁䅁杕桂䡁䅑党杁䝁䄸杚杁䙁䅉党あ䡁䅕杣畂䍁䅁䅋兂䝁䅕杢穂䝁䅫睢畂䍁䅫䅉瑁䍁䅁兔桂䡁䅧䅉潁䍁䅕克䅁䵁䕧䅁煂䅁䅁䅕䍂䕁䄸䅉䉂䡁䅍督ㅂ䝁䄰党歂䍁䅁杕桂䡁䅑党杁䝁䄸杚杁䙁䅉党あ䡁䅕杣畂䍁䅁䅋兂䝁䅕杢穂䝁䅫睢畂䍁䅫䅉瑁䍁䅁兔桂䡁䅧䅉瑁䍁䅁䅒療䝁䄰䅉潁䍁䅕克䅁乁䑍䅁煂䅁䅁䅕䍂䕁䄸䅉䉂䡁䅍督ㅂ䝁䄰党歂䍁䅁杕桂䡁䅑党杁䝁䄸杚杁䙁䅉党あ䡁䅕杣畂䍁䅁䅋兂䝁䅕杢穂䝁䅫睢畂䍁䅫䅉瑁䍁䅁兔桂䡁䅧䅉瑁䍁䅁杒䡂䕁䄴䅉潁䍁䅕克䅁佁䕣䅁敂䅁䅁䅕䍂䕁䄸䅉䉂䡁䅍督ㅂ䝁䄰党歂䍁䅁杕桂䡁䅑党杁䝁䄸杚杁䙁䅉党あ䡁䅕杣畂䍁䅁䅋兂䝁䅕杢穂䝁䅫睢畂䍁䅫䅉瑁䍁䅁兔灂䝁䄴䅉潁䍁䅕克䅁䱁䑙䅁煂䅁䅁䅕䍂䕁䄸䅉䉂䡁䅍督ㅂ䝁䄰党歂䍁䅁杕桂䡁䅑党杁䝁䄸杚杁䙁䅉党あ䡁䅕杣畂䍁䅁䅋兂䝁䅕杢穂䝁䅫睢畂䍁䅫䅉瑁䍁䅁兔灂䝁䄴䅉瑁䍁䅁䅒療䝁䄰䅉潁䍁䅕克䅁䍁䘴䅁煂䅁䅁䅕䍂䕁䄸䅉䉂䡁䅍督ㅂ䝁䄰党歂䍁䅁杕桂䡁䅑党杁䝁䄸杚杁䙁䅉党あ䡁䅕杣畂䍁䅁䅋兂䝁䅕杢穂䝁䅫睢畂䍁䅫䅉瑁䍁䅁兔灂䝁䄴䅉瑁䍁䅁杒䡂䕁䄴䅉潁䍁䅕克䅁䱁䙁䅁䭁䅁䅁䅕佂䕁䅙䅕䅁䭁䝳䅁䭁䅁䅁䅕卂䙁䅍䅕䅁乁䝯䅁䥁䅁䅁䅕卂䙁䅕䅁㍄杂䅁权䅁䙁䅁䅖坂䕁䅕䅁湂睂䅁村䅁䙁䅁兙橂䝁䅳兙湂䝁䅫杢湂䍁䅁睑療䡁䅉䅣療䡁䅉兙あ䝁䅫睢畂䍁䅁睢浂䍁䅁兑瑂䝁䅕杣灂䝁䅍兙䅁䡁䡁䅁獁䅁䅁䅕桂䝁䅍䅤灂䡁䅙䅉䙂䡁䅙党祂䝁䅣杣求䝁䅕杢杁䕁䅫杢橂䍁䄴䅁潂睂䅁杏䅁䙁䅁兙祂䡁䅑兌啂䝁䅫兢求䍁䅁兒瑂䡁䅁䅢療䡁䅫党求䡁䅍䅉潁䝁䅅睙あ䡁䅕兙獂䍁䅫䅁㉁睁䅁村䅁䙁䅁兙祂䡁䅑兡桂䝁䅷䅉䕂䝁䅫杣求䝁䅍䅤杁䙁䅣杣灂䡁䅑党瑁䕁䄸杚浂䡁䅍䅉潁䍁䅑䅍睁䑁䅁克䅁䙁䈴䅁捂䅁䅁䅕桂䡁䅉䅤灂䝁䅍兡睂䝁䅅杢あ䍁䅁睑療䝁䄴䅤祂䝁䅫杙ㅂ䡁䅑兡療䝁䄴督杁䍁䅧睔兂䕁䅕村杁䍁䄰䅉䕂䝁䄸兢灁䍁䅁䅋歁䑁䅁䅍睁䍁䅫䅁呂兂䅁䅘䅁䙁䅁兙祂䡁䅑兡橂䝁䅫䅣桂䝁䄴䅤杁䕁䅍睢畂䡁䅑杣灂䝁䅉兤あ䝁䅫睢畂䡁䅍䅉潁䕁䄸䅕䙂䕁䅉䅉瑁䍁䅁杒䡂䕁䄴克杁䍁䅧䅊睁䑁䅁䅍灁䅁䅁眱䅕䙁䅁䅁兂䝁䅅杣あ䝁䅫睙灂䡁䅁兙畂䡁䅑䅉䑂䝁䄸杢あ䡁䅉兡楂䡁䅕䅤灂䝁䄸杢穂䍁䅁䅋偂䙁䅁兒䍂䍁䅫䅉潁䍁䅑䅍睁䑁䅁克䅁䭁䑫䅁楂䅁䅁䅕桂䡁䅉䅤灂䝁䅍兡睂䝁䅅杢あ䍁䅁睑療䝁䄴䅤祂䝁䅫杙ㅂ䡁䅑兡療䝁䄴督杁䍁䅧䅕求䝁䄴督灂䝁䄸杢杁䍁䄰䅉䕂䝁䄸兢灁䍁䅁䅋歁䑁䅁䅍睁䍁䅫䅁扁兂䅁杙䅁䙁䅁兙祂䡁䅑</t>
  </si>
  <si>
    <t>兡橂䝁䅫䅣桂䝁䄴䅤杁䕁䅍睢畂䡁䅑杣灂䝁䅉兤あ䝁䅫睢畂䡁䅍䅉潁䙁䅁党畂䡁䅍兡療䝁䄴䅉瑁䍁䅁杒䡂䕁䄴克杁䍁䅧䅊睁䑁䅁䅍灁䅁䅁睬䅕䙁䅙䅁兂䝁䅅杣あ䝁䅫睙灂䡁䅁兙畂䡁䅑䅉䑂䝁䄸杢あ䡁䅉兡楂䡁䅕䅤灂䝁䄸杢穂䍁䅁䅋兂䝁䅕杢穂䝁䅫睢畂䍁䅫䅉潁䍁䅑䅍睁䑁䅁克䅁䭁䕷䅁ぁ䅁䅁䅕桂䡁䅉䅤畂䝁䅕杣穂䝁䅧兡睂䍁䅁兓畂䝁䅍睢瑂䝁䅕䅉潁䍁䅑䅍睁䑁䅁克䅁䕁䉍䅁歁䅁䅁䅕桂䡁䅍督杁䕁䅷睢桂䝁䄴督杁䍁䅧䅊睁䑁䅁䅍灁䅁䅁兩䅁䍁䅉䅁兂䝁䅅入療䡁䅕䅤杁䙁䅉兙あ䝁䅫睢杁䍁䅧兊灁䅁䅁杵䅍䙁䅯䅁兂䝁䅕杢穂䝁䅫睢畂䍁䅁杊杁䕁䄸䅤潂䝁䅕杣杁䙁䅁睢穂䡁䅑兌卂䝁䅕䅤灂䡁䅉党畁䍁䅁村求䝁䄴党浂䝁䅫䅤穂䍁䅁䅋歁䑁䅁䅍睁䍁䅫䅁摂睁䅁䅎䅁䙁䅁党祂䝁䅫睢歂䍁䅁兒畂䝁䅑党歂䍁䅁䅋瑂䝁䄰睌歂䝁䅑睌㕂䡁䅫入㕂䍁䅫䅁灁允䅁䅒䅁䙁䅁兡畂䝁䄴兙橂䝁䅷党杁䕁䅙兡畂䝁䅅杢橂䝁䅫兙獂䍁䅁䅕桂䡁䅉䅤畂䝁䅕杣穂䍁䅷䅉䩂䝁䄴睙畁䅁䅁䅲䅙䕁䅯䅁兂䝁䅷兙畂䍁䅁兑穂䡁䅍党あ䡁䅍䅉潁䕁䄸䅕䙂䕁䅉克杁䍁䄰䅉䙂䡁䅅兤灂䡁䅑兡求䡁䅍䅉潁䍁䅑䅍睁䑁䅁克䅁偁䕳䅁杂䅁䅁䅕獂䝁䅅杢杁䕁䅅督穂䝁䅕䅤穂䍁䅁䅋偂䙁䅁兒䍂䍁䅫䅉瑁䍁䅁兒硂䡁䅕兡あ䝁䅫党穂䍁䅁兌杁䕁䅑睢瑂䝁䅕督あ䝁䅫睙杁䍁䅧䅊睁䑁䅁䅍灁䅁䅁睙䅕䝁䅧䅁兂䝁䅷兙畂䍁䅁兑穂䡁䅍党あ䡁䅍䅉潁䕁䄸䅕䙂䕁䅉克杁䍁䄰䅉䙂䡁䅅兤灂䡁䅑兡求䡁䅍䅉瑁䍁䅁䅒療䝁䄰党穂䡁䅑兡橂䍁䄸䅉啂䝁䄸䅤桂䝁䅷䅉潁䍁䅕克䅁䙁䘸䅁敂䅁䅁䅕獂䝁䅅杢杁䕁䅅督穂䝁䅕䅤穂䍁䅁䅋偂䙁䅁兒䍂䍁䅫䅉瑁䍁䅁兒硂䡁䅕兡あ䝁䅫党穂䍁䅁兌杁䕁䅙睢祂䝁䅕兡湂䝁䄴䅉潁䍁䅑䅍睁䑁䅁克䅁佁䙕䅁浂䅁䅁䅕獂䝁䅅杢杁䕁䅅督穂䝁䅕䅤穂䍁䅁䅋偂䙁䅁兒䍂䍁䅫䅉瑁䍁䅁兒硂䡁䅕兡あ䝁䅫党穂䍁䅁兌杁䕁䅙睢祂䝁䅕兡湂䝁䄴睌杁䙁䅑睢あ䝁䅅䅢杁䍁䅧兊灁䅁䅁朴䅕䙁䅉䅁兂䝁䅷兙畂䍁䅁兑穂䡁䅍党あ䡁䅍䅉潁䕁䄸䅕䙂䕁䅉克杁䍁䄰䅉䙂䡁䅅兤灂䡁䅑兡求䡁䅍睌杁䙁䅑睢あ䝁䅅䅢杁䍁䅧兊灁䅁䅁朹䅑䙁䅉䅁兂䝁䅷兙畂䍁䅁兑穂䡁䅍党あ䡁䅍䅉潁䕁䄸䅕䙂䕁䅉克杁䍁䄰䅉䝂䝁䅫䅥求䝁䅑䅉䩂䝁䄴睙療䝁䄰党杁䍁䅧䅊睁䑁䅁䅍灁䅁䅁䄯䅑䝁䅙䅁兂䝁䅷兙畂䍁䅁兑穂䡁䅍党あ䡁䅍䅉潁䕁䄸䅕䙂䕁䅉克杁䍁䄰䅉䝂䝁䅫䅥求䝁䅑䅉䩂䝁䄴睙療䝁䄰党杁䍁䄰䅉䕂䝁䄸兢癁䍁䅁䅖療䡁䅑兙獂䍁䅁䅋汁䍁䅫䅁杂兂䅁䅡䅁䙁䅁䅢桂䝁䄴䅉䉂䡁䅍督求䡁䅑督杁䍁䅧睔兂䕁䅕村灁䍁䅁兌杁䕁䅙兡㑂䝁䅕䅚杁䕁䅫杢橂䝁䄸兢求䍁䅁兌杁䕁䅑睢瑂䝁䅕督あ䝁䅫睙杁䍁䅧䅊睁䑁䅁䅍灁䅁䅁䅚䅕䝁䅙䅁兂䝁䅷兙畂䍁䅁兑穂䡁䅍党あ䡁䅍䅉潁䕁䄸䅕䙂䕁䅉克杁䍁䄰䅉䝂䝁䅫䅥求䝁䅑䅉䩂䝁䄴睙療䝁䄰党杁䍁䄰䅉䝂䝁䄸杣求䝁䅫睚畂䍁䅁䅋歁䑁䅁䅍睁䍁䅫䅁浄兂䅁杢䅁䙁䅁䅢桂䝁䄴䅉䉂䡁䅍督求䡁䅑督杁䍁䅧睔兂䕁䅕村灁䍁䅁兌杁䕁䅙兡㑂䝁䅕䅚杁䕁䅫杢橂䝁䄸兢求䍁䅁兌杁䕁䅙睢祂䝁䅕兡湂䝁䄴睌杁䙁䅑睢あ䝁䅅䅢杁䍁䅧兊灁䅁䅁眴䅕䙁䅯䅁兂䝁䅷兙畂䍁䅁兑穂䡁䅍党あ䡁䅍䅉潁䕁䄸䅕䙂䕁䅉克杁䍁䄰䅉䝂䝁䅫䅥求䝁䅑䅉䩂䝁䄴睙療䝁䄰党癁䍁䅁䅖療䡁䅑兙獂䍁䅁䅋汁䍁䅫䅁㍄䅂䅁杔䅁䙁䅁䅢桂䝁䄴䅉䉂䡁䅍督求䡁䅑督杁䍁䅧睔兂䕁䅕村灁䍁䄰䅉卂䝁䅕兙獂䍁䅁兒穂䡁䅑兙あ䝁䅕䅉潁䍁䅑䅍睁䑁䅁克䅁偁䔰䅁歂䅁䅁䅕獂䝁䅅杢杁䕁䅅督穂䝁䅕䅤穂䍁䅁䅋偂䙁䅁兒䍂䍁䅫兌杁䙁䅉党桂䝁䅷䅉䙂䡁䅍䅤桂䡁䅑党杁䍁䄰䅉䕂䝁䄸兢求䡁䅍䅤灂䝁䅍䅉潁䍁䅑䅍睁䑁䅁克䅁乁䕍䅁獂䅁䅁䅕獂䝁䅅杢杁䕁䅅督穂䝁䅕䅤穂䍁䅁䅋偂䙁䅁兒䍂䍁䅫兌杁䙁䅉党桂䝁䅷䅉䙂䡁䅍䅤桂䡁䅑党杁䍁䄰䅉䕂䝁䄸兢求䡁䅍䅤灂䝁䅍睌杁䙁䅑睢あ䝁䅅䅢杁䍁䅧兊灁䅁䅁兙䅕䝁䅉䅁兂䝁䅷兙畂䍁䅁兑穂䡁䅍党あ䡁䅍䅉潁䕁䄸䅕䙂䕁䅉克瑁䍁䅁杕求䝁䅅䅢杁䕁䅕督あ䝁䅅䅤求䍁䅁兌杁䕁䅙睢祂䝁䅕兡湂䝁䄴䅉潁䍁䅑䅍睁䑁䅁克䅁佁䙣䅁煂䅁䅁䅕獂䝁䅅杢杁䕁䅅督穂䝁䅕䅤穂䍁䅁䅋偂䙁䅁兒䍂䍁䅫兌杁䙁䅉党桂䝁䅷䅉䙂䡁䅍䅤桂䡁䅑党杁䍁䄰䅉䝂䝁䄸杣求䝁䅫睚畂䍁䄸䅉啂䝁䄸䅤桂䝁䅷䅉潁䍁䅕克䅁佁䙑䅁坂䅁䅁䅕獂䝁䅅杢杁䕁䅅督穂䝁䅕䅤穂䍁䅁䅋偂䙁䅁兒䍂䍁䅫兌杁䙁䅉党桂䝁䅷䅉䙂䡁䅍䅤桂䡁䅑党癁䍁䅁䅖療䡁䅑兙獂䍁䅁䅋汁䍁䅫䅁㑄䅂䅁䅕䅁䙁䅁䅢桂䝁䄴䅉䉂䡁䅍督求䡁䅑督杁䍁䅧䅕求䝁䄴督灂䝁䄸杢灁䍁䅁兌杁䕁䅕兣ㅂ䝁䅫䅤灂䝁䅕督杁䍁䅧䅊睁䑁䅁䅍灁䅁䅁具䅑䝁䅑䅁兂䝁䅷兙畂䍁䅁兑穂䡁䅍党あ䡁䅍䅉潁䙁䅁党畂䡁䅍兡療䝁䄴克杁䍁䄰䅉䙂䡁䅅兤灂䡁䅑兡求䡁䅍䅉瑁䍁䅁䅒療䝁䄰睌杁䙁䅑睢あ䝁䅅䅢杁䍁䅧兊灁䅁䅁兊䅕䝁䅙䅁兂䝁䅷兙畂䍁䅁兑穂䡁䅍党あ䡁䅍䅉潁䙁䅁党畂䡁䅍兡療䝁䄴克杁䍁䄰䅉䙂䡁䅅兤灂䡁䅑兡求䡁䅍䅉瑁䍁䅁䅒療䝁䄰党穂䡁䅑兡橂䍁䅁䅋歁䑁䅁䅍睁䍁䅫䅁晄䅂䅁䅚䅁䙁䅁䅢桂䝁䄴䅉䉂䡁䅍督求䡁䅑督杁䍁䅧䅕求䝁䄴督灂䝁䄸杢灁䍁䅁兌杁䕁䅕兣ㅂ䝁䅫䅤灂䝁䅕督杁䍁䄰䅉䝂䝁䄸杣求䝁䅫睚畂䍁䅁䅋歁䑁䅁䅍睁䍁䅫䅁橃兂䅁䅢䅁䙁䅁䅢桂䝁䄴䅉䉂䡁䅍督求䡁䅑督杁䍁䅧䅕求䝁䄴督灂䝁䄸杢灁䍁䅁兌杁䕁䅕兣ㅂ䝁䅫䅤灂䝁䅕督杁䍁䄰䅉䝂䝁䄸杣求䝁䅫睚畂䍁䄸䅉啂䝁䄸䅤桂䝁䅷䅉潁䍁䅕克䅁䩁䘸䅁奂䅁䅁䅕獂䝁䅅杢杁䕁䅅督穂䝁䅕䅤穂䍁䅁䅋兂䝁䅕杢穂䝁䅫睢畂䍁䅫䅉瑁䍁䅁兒硂䡁䅕兡あ䝁䅫党穂䍁䄸䅉啂䝁䄸䅤桂䝁䅷䅉潁䍁䅕克䅁䩁䕕䅁奂䅁䅁䅕獂䝁䅅杢杁䕁䅅督穂䝁䅕䅤穂䍁䅁䅋兂䝁䅕杢穂䝁䅫睢畂䍁䅫䅉瑁䍁䅁杒灂䡁䅧党歂䍁䅁兓畂䝁䅍睢瑂䝁䅕䅉潁䍁䅑䅍睁䑁䅁克䅁䵁䕉䅁獂䅁䅁䅕獂䝁䅅杢杁䕁䅅督穂䝁䅕䅤穂䍁䅁䅋兂䝁䅕杢穂䝁䅫睢畂䍁䅫䅉瑁䍁䅁杒灂䡁䅧党歂䍁䅁兓畂䝁䅍睢瑂䝁䅕䅉瑁䍁䅁䅒療䝁䄰睌杁䙁䅑睢あ䝁䅅䅢杁䍁䅧兊灁䅁䅁杁䅕䝁䄴䅁兂䝁䅷兙畂䍁䅁兑穂䡁䅍党あ䡁䅍䅉潁䙁䅁党畂䡁䅍兡療䝁䄴克杁䍁䄰䅉䝂䝁䅫䅥求䝁䅑䅉䩂䝁䄴睙療䝁䄰党杁䍁䄰䅉䕂䝁䄸兢求䡁䅍䅤灂䝁䅍䅉潁䍁䅑䅍睁䑁䅁克䅁䍁䙧䅁獂䅁䅁䅕獂䝁䅅杢杁䕁䅅督穂䝁䅕䅤穂䍁䅁䅋兂䝁䅕杢穂䝁䅫睢畂䍁䅫䅉瑁䍁䅁杒灂䡁䅧党歂䍁䅁兓畂䝁䅍睢瑂䝁䅕䅉瑁䍁䅁杒䡂䕁䄴睌杁䙁䅑睢あ䝁䅅䅢杁䍁䅧兊灁䅁䅁䅯䅕䝁䅷䅁兂䝁䅷兙畂䍁䅁兑穂䡁䅍党あ䡁䅍䅉潁䙁䅁党畂䡁䅍兡療䝁䄴克杁䍁䄰䅉䝂䝁䅫䅥求䝁䅑䅉䩂䝁䄴睙療䝁䄰党杁䍁䄰䅉䝂䝁䄸杣求䝁䅫睚畂䍁䅁䅋歁䑁䅁䅍睁䍁䅫䅁あ睁䅁䅙䅁䙁䅁䅢桂䝁䄴䅉䉂䡁䅍督求䡁䅑督杁䍁䅧䅕求䝁䄴督灂䝁䄸杢灁䍁䅁兌杁䕁䅙兡㑂䝁䅕䅚杁䕁䅫杢橂䝁䄸兢求䍁䄸䅉啂䝁䄸䅤桂䝁䅷䅉潁䍁䅕克䅁䱁䔰䅁啂䅁䅁䅕獂䝁䅅杢杁䕁䅅督穂䝁䅕䅤穂䍁䅁䅋兂䝁䅕杢穂䝁䅫睢畂䍁䅫兌杁䙁䅉党桂䝁䅷䅉䙂䡁䅍䅤桂䡁䅑党杁䍁䅧䅊睁䑁䅁䅍灁䅁䅁眲䅍䝁䅧䅁兂䝁䅷兙畂䍁䅁兑穂䡁䅍党あ䡁䅍䅉潁䙁䅁党畂䡁䅍兡療䝁䄴克瑁䍁䅁杕求䝁䅅䅢杁䕁䅕督あ䝁䅅䅤求䍁䅁兌杁䕁䅑睢瑂䍁䄸䅉啂䝁䄸䅤桂䝁䅷䅉潁䍁䅕克䅁䍁䙣䅁煂䅁䅁䅕獂䝁䅅杢杁䕁䅅督穂䝁䅕䅤穂䍁䅁䅋兂䝁䅕杢穂䝁䅫睢畂䍁䅫兌杁䙁䅉党桂䝁䅷䅉䙂䡁䅍䅤桂䡁䅑党杁䍁䄰䅉䕂䝁䄸兢求䡁䅍䅤灂䝁䅍䅉潁䍁䅑䅍睁䑁䅁克䅁䍁䙯䅁潂䅁䅁䅕獂䝁䅅杢杁䕁䅅督穂䝁䅕䅤穂䍁䅁䅋兂䝁䅕杢穂䝁䅫睢畂䍁䅫兌杁䙁䅉党桂䝁䅷䅉䙂䡁䅍䅤桂䡁䅑党杁䍁䄰䅉䝂䕁䅣杔癁䍁䅁䅖療䡁䅑兙獂䍁䅁䅋汁䍁䅫䅁桃兂䅁䅡䅁䙁䅁䅢桂䝁䄴䅉䉂䡁䅍督求䡁䅑督杁䍁䅧䅕求䝁䄴督灂䝁䄸杢灁䍁䄰䅉卂䝁䅕兙獂䍁䅁兒穂䡁䅑兙あ䝁䅕䅉瑁䍁䅁杒療䡁䅉党灂䝁䅣杢杁䍁䅧䅊睁䑁䅁䅍灁䅁䅁兰䅕䙁䅷䅁兂䝁䅷兙畂䍁䅁兑穂䡁䅍党あ䡁䅍䅉潁䙁䅁党畂䡁䅍兡療䝁䄴克瑁䍁䅁杕求䝁䅅䅢杁䕁䅕督あ䝁䅅䅤求䍁䄸䅉啂䝁䄸䅤桂䝁䅷䅉潁䍁䅕克䅁䱁䔴䅁敂䅁䅁䅕獂䝁䅅杢杁䙁䅍党あ䡁䅑䅢求䝁䄰党畂䡁䅑䅉癁䍁䅁睑ㅂ䡁䅉䅤桂䝁䅫䅢瑂䝁䅕杢あ䍁䅁䅋兂䝁䅕杢穂䝁䅫睢畂䍁䅫䅉潁䍁䅑䅍睁䑁䅁克䅁䱁䕅䅁杂䅁䅁䅕獂䝁䅅杢杁䙁䅍党あ䡁䅑䅢求䝁䄰党畂䡁䅑睌䑂䡁䅕杣あ䝁䅅兡獂䝁䄰党畂䡁䅑䅉潁䕁䄸䅕䙂䕁䅉䅉瑁䍁䅁䅒療䝁䄰克杁䍁䅧䅊睁䑁䅁䅍灁䅁䅁䅗䅕䝁䅁䅁兂䝁䅷兙畂䍁䅁睕求䡁䅑䅤獂䝁䅕兢求䝁䄴䅤癁䕁䅍兤祂䡁䅑兙灂䝁䅷兢求䝁䄴䅤杁䍁䅧睔兂䕁䅕村杁䍁䄰䅉䝂䕁䅣杔灁䍁䅁䅋歁䑁䅁䅍睁䍁䅫䅁慄兂䅁䅖䅁䙁䅁䅢桂䝁䄴䅉呂䝁䅕䅤あ䝁䅷党瑂䝁䅕杢あ䍁䄸睑ㅂ䡁䅉䅤桂䝁䅫䅢瑂䝁䅕杢あ䍁䅁䅋偂䙁䅁兒䍂䍁䅫䅉潁䍁䅑䅍睁䑁䅁克䅁佁䔴䅁あ䅁䅁䅕獂䝁䅅杢杁䙁䅍党あ䡁䅑䅢求䝁䄰党畂䡁䅑睌䑂䡁䅕杣あ䝁䅅兡獂䝁䄰党畂䡁䅑䅉潁䙁䅁党畂䡁䅍兡療䝁䄴䅉䉂䡁䅍督求䡁䅑督灁䍁䅁兌杁䕁䅑睢瑂䍁䅁䅋歁䑁䅁䅍睁䍁䅫䅁晁兂䅁䅤䅁䙁䅁䅢桂䝁䄴䅉呂䝁䅕䅤あ䝁䅷党瑂䝁䅕杢あ䍁䄸睑ㅂ䡁䅉䅤桂䝁䅫䅢瑂䝁䅕杢あ䍁䅁䅋兂䝁䅕杢穂䝁䅫睢畂䍁䅁兑穂䡁䅍党あ䡁䅍克杁䍁䄰䅉䝂䕁䅣杔杁䍁䅧䅊睁䑁䅁䅍灁䅁䅁睭䅕䉁䅷䅁兂䝁䄸䅣ㅂ䝁䅷兙祂䍁䅷䅉䩂䝁䄴睙畁䅁䅁具䅙䑁䅉䅁兂䡁䅉党瑁䕁䄸䅣求䝁䄴兡畂䝁䅣䅉䑂䝁䄸督あ䡁䅍䅉潁䍁䅑䅍睁䑁䅁克䅁䙁䑁䅁䍂䅁䅁䅕祂䝁䅕兌兂䡁䅉睢㉂䝁䅫督灂䝁䄸杢杁䕁䄴党あ䍁䅁杕求䡁䅙党畂䡁䅕党杁䍁䅧䅊睁䑁䅁䅍灁䅁䅁睇䅉䕁䄴䅁兂䡁䅉党瑁䝁䅫兢睂䝁䅅兡祂䝁䄰党畂䡁䅑䅉偂䡁䅁党祂䝁䅅䅤灂䝁䄴睚杁䙁䅁杣療䝁䅙兡あ䍁䅁䅋歁䑁䅁䅍睁䍁䅫䅁䉃䅁䅁杔䅁䙁䅁杣求䍁䄰兡瑂䡁䅁兙灂䡁䅉兢求䝁䄴䅤杁䕁䄸䅣求䡁䅉兙あ䝁䅫杢湂䍁䅁䅕祂䝁䄸杚灂䡁䅑䅉潁䭁杷䅍睁䑁䅁克䅁䱁䍫䅁杂䅁䅁䅕祂䝁䅕兌灂䝁䄰䅣桂䝁䅫杣瑂䝁䅕杢あ䍁䅁睔睂䝁䅕杣桂䡁䅑兡畂䝁䅣䅉兂䡁䅉睢浂䝁䅫䅤癁䍁䅁兑㉂䝁䅣䅉䉂䡁䅍督求䡁䅑督杁䍁䅧兊灁䅁䅁䅲䅁䑁䅧䅁兂䡁䅉党浂䍁䄴䅉䕂䝁䅫杤灂䝁䅑党畂䝁䅑督杁䙁䅁兙灂䝁䅑䅉潁䍁䅑䅍睁䑁䅁克䅁䑁䕅䅁䵂䅁䅁䅕祂䝁䅕杚畁䍁䅁䅒灂䡁䅙兡歂䝁䅕杢歂䡁䅍䅉桂䝁䄴䅚杁䕁䄸䅤潂䝁䅕杣杁䕁䅅䅚煂䍁䄴䅉潁䍁䅑䅍睁䑁䅁克䅁䥁䐰䅁䅂䅁䅁䅕祂䝁䅕杚畁䍁䅁睕あ䝁䄸睙牂䍁䅷䅉䑂䝁䄸杢㉂䝁䅕杣あ䝁䅫杙獂䝁䅕䅉潁䍁䅑䅍睁䑁䅁克䅁䝁䕣䅁䅂䅁䅁䅕祂䝁䅕杚畁䍁䅁睕あ䝁䄸睙牂䍁䅷䅉佂䝁䄸杢瑁䙁䅉党歂䝁䅕党瑂䍁䄴䅉潁䍁䅑䅍睁䑁䅁克䅁䙁䕷䅁ぁ䅁䅁䅕祂䝁䅕杚畁䍁䅁睕あ䝁䄸睙牂䍁䅷䅉偂䡁䅑䅡求䡁䅉䅉潁䍁䅑䅍睁䑁䅁克䅁䝁䑯䅁⭁䅁䅁䅕祂䝁䅕杚畁䍁䅁睕あ䝁䄸睙牂䍁䅷䅉卂䝁䅕䅚求䝁䅕兢桂䝁䅉䅢求䍁䅁䅋歁䑁䅁䅍睁䍁䅫䅁ぁ睁䅁䅐䅁䙁䅁杣求䝁䅷兡瑂䍁䅁村桂䡁䅍党獂䍁䅁兓䩂䕁䅫䅉啂䑁䅅䅉卂䝁䅅䅤灂䝁䄸䅉潁䍁䅕克䅁䵁䍉䅁潂䅁䅁䅕祂䝁䅕䅢灂䝁䄰䅉䵂䝁䄸睙桂䝁䅷䅉卂䝁䅕睚㙁䍁䅁村桂䡁䅍党獂䍁䅁兓䩂䕁䅫䅉啂䝁䅫党祂䍁䅁免杁䕁䅍睢瑂䝁䄰睢畂䍁䅁杕桂䡁䅑兡療䍁䅁䅋汁䍁䅫䅁煄杁䅁杕䅁䙁䅁杣求䡁䅁兙灂䝁䅑䅉䍂䝁䅕杢求䝁䅙兡あ䍁䅁睑療䡁䅍䅤杁䍁䅧睔兂䕁䅕村杁䍁䄰䅉䕂䝁䄸兢灁䍁䅁䅋歁䑁䅁䅍睁䍁䅫䅁祂兂䅁杕䅁䙁䅁杣求䡁䅁兙灂䝁䅑䅉䍂䝁䅕杢求䝁䅙兡あ䍁䅁睑療䡁䅍䅤杁䍁䅧睔兂䕁䅕村杁䍁䄰䅉䝂䕁䅣杔灁䍁䅁䅋歁䑁䅁䅍睁䍁䅫䅁ㅄ兂䅁杒䅁䙁䅁杣求䡁䅁兙灂䝁䅑䅉䍂䝁䅕杢求䝁䅙兡あ䍁䅁睑療䡁䅍䅤杁䍁䅧睔兂䕁䅕村灁䍁䅁䅋歁䑁䅁䅍睁䍁䅫䅁䑁兂䅁䅗䅁䙁䅁杣求䡁䅁兙灂䝁䅑䅉䍂䝁䅕杢求䝁䅙兡あ䍁䅁睑療䡁䅍䅤杁䍁䅧䅕求䝁䄴督灂䝁䄸杢杁䍁䄰䅉䕂䝁䄸兢灁䍁䅁䅋歁䑁䅁䅍睁䍁䅫䅁穁兂䅁䅗䅁䙁䅁杣求䡁䅁兙灂䝁䅑䅉䍂䝁䅕杢求䝁䅙兡あ䍁䅁睑療䡁䅍䅤杁䍁䅧䅕求䝁䄴督灂䝁䄸杢杁䍁䄰䅉䝂䕁䅣杔灁䍁䅁䅋歁䑁䅁䅍睁䍁䅫䅁偂睁䅁䅔䅁䙁䅁杣求䡁䅁兙灂䝁䅑䅉䍂䝁䅕杢求䝁䅙兡あ䍁䅁睑療䡁䅍䅤杁䍁䅧䅕求䝁䄴督灂䝁䄸杢灁䍁䅁䅋歁䑁䅁䅍睁䍁䅫䅁䡂䅂䅁䅋䅁䙁䅁杣求䡁䅁兙灂䝁䅑䅉䙂䡁䅧䅣畁䍁䅁䅋歁䑁䅁䅍睁䍁䅫䅁桁睁䅁杌䅁䙁䅁杣求䡁䅁兙灂䝁䅑䅉䙂䡁䅧䅣求䝁䄴督求䍁䅁䅋歁䑁䅁䅍睁䍁䅫䅁㉄允䅁䅄䅁䙁䅁杣灂䝁䅍党䅁䅁䅉䅁楁䅁䅁䅕祂䝁䅫睙求䍁䅁睑潂䝁䅅杢湂䝁䅕䅉潁䍁䅕克䅁䍁䅯䅁䕂䅁䅁䅕祂䝁䅫睙求䍁䅁䅣求䡁䅉䅉穂䝁䅧兙祂䝁䅕䅉桂䡁䅑䅉睂䝁䅕杣灂䝁䄸䅚杁䝁䅕杢歂䍁䅁䅋歁䍁䅫䅁晁杁䅁䅉䅁䙁䅁杣灂䝁䅍党癁䍁䅁村療䝁䄸睡杁䍁䅧兊灁䅁䅁兎䅁䉁䄴䅁兂䡁䅉兡橂䝁䅕睌杁䕁䅕䅕呂䍁䅁䅋㑂䍁䅫䅁汃杂䅁䅒䅁䙁䅁杣灂䝁䅍党癁䍁䅁䅔桂䡁䅍䅤瑁䡁䅑睤求䝁䅷杤求䍁䄰兢療䝁䄴䅤潂䡁䅍䅉䙂䙁䅁睕杁䍁䅧䅥灁䅁䅁䅉䅉䕁䅑䅁兂䡁䅉兡橂䝁䅕睌杁䙁䅍杊兂䍁䅁睑桂䡁䅁兓剂䍁䅁兒兂䙁䅍䅉䙂䡁䅍䅤灂䝁䄰兙あ䝁䅕䅉潁䡁䅧克䅁䥁䜸䅁祁䅁䅁䅕祂䝁䅫睙求䍁䄸䅉啂䝁䅅杢湂䝁䅫杙獂䝁䅕䅉䍂䝁䄸睢牂䍁䅁䅋汁䍁䅫䅁睁䅁䅁杆䅁䙁䅁杣灂䝁䅍党䑂䝁䅷睢穂䝁䅕䅁䝁䅁䅁䅓䅁䙁䅁杣灂䝁䄰兙祂䡁䅫䅉呂䝁䅧兙祂䝁䅕督杁䕁䄸兤あ䡁䅍䅤桂䝁䄴䅚灂䝁䄴睚杁䍁䅧兙橂䡁䅑兤桂䝁䅷克䅁䍁䅳䅁あ䅁䅁䅕祂䝁䅫睢祂䍁䅁睕求䡁䅉杤杁䕁䅍睢穂䡁䅑睌䍂䝁䅕杢求䝁䅙兡あ䍁䅁兌杁䕁䅍睢瑂䡁䅁杣畁䍁䅁兓畂䝁䅍䅉潁䙁䅁党畂䡁䅍兡療䝁䄴兌䕂䝁䄸兢灁䍁䅁䅋歁䑁䅁䅍睁䍁䅫䅁獁兂䅁䅤䅁䙁䅁杣灂䝁䄸杣杁䙁䅍党祂䡁䅙䅉䑂䝁䄸督あ䍁䄸村求䝁䄴党浂䝁䅫䅤杁䍁䄰䅉䑂䝁䄸兢睂䡁䅉杌杁䕁䅫杢橂䍁䅁䅋兂䝁䅕杢穂䝁䅫睢畂䍁䄰杒䡂䕁䄴克杁䍁䅧䅊睁䑁䅁䅍灁䅁䅁䅱䅕䙁䅉䅁兂䡁䅉兡療䡁䅉䅉呂䝁䅕杣㉂䝁䅫睙求䍁䅁睑療䡁䅍䅤癁䕁䅉党畂䝁䅕杚灂䡁䅑䅉潁䕁䄸䅕䙂䕁䅉克杁䍁䅧䅊睁䑁䅁䅍灁䅁䅁允䅕䝁䅙䅁兂䡁䅉兡療䡁䅉䅉呂䝁䅕杣㉂䝁䅫睙求䍁䅁睑療䡁䅍䅤癁䕁䅉党畂䝁䅕杚灂䡁䅑䅉潁䕁䄸䅕䙂䕁䅉克杁䉁杍䅉䝂䝁䄸杣求䝁䅫睚畂䍁䅁䅋歁䑁䅁䅍睁䍁䅫䅁獄兂䅁䅢䅁䙁䅁杣灂䝁䄸杣杁䙁䅍党祂䡁䅙兡橂䝁䅕䅉䑂䝁䄸督あ䍁䄸村求䝁䄴党浂䝁䅫䅤杁䍁䅧䅕求䝁䄴督灂䝁䄸杢灁䍁䅁祅杁䕁䅙睢祂䝁䅕兡湂䝁䄴䅉潁䍁䅑䅍睁䑁䅁克䅁䭁䙷䅁あ䅁䅁䅕祂䝁䅫睢祂䍁䅁睕求䡁䅉杤灂䝁䅍党杁䕁䅍睢穂䡁䅑睌䍂䝁䅕杢求䝁䅙兡あ䍁䅁兌杁䕁䅍睢瑂䡁䅁杣畁䍁䅁兓畂䝁䅍䅉潁䕁䄸䅕䙂䕁䅉兌䕂䕁䄸兔灁䍁䅁䅋歁䑁䅁䅍睁䍁䅫䅁湂兂䅁䅤䅁䙁䅁杣灂䝁䄸杣杁䙁䅍党祂䡁䅙兡橂䝁䅕䅉䑂䝁䄸督あ䍁䄸村求䝁䄴党浂䝁䅫䅤杁䍁䄰䅉䑂䝁䄸兢睂䡁䅉杌杁䕁䅫杢橂䍁䅁䅋偂䙁䅁兒䍂䍁䄰杒䡂䕁䄴克杁䍁䅧䅊睁䑁䅁䅍灁䅁䅁兇䅑䝁䄴䅁兂䡁䅉兡療䡁䅉䅉呂䝁䅕杣㉂䝁䅫睙求䍁䅁睑療䡁䅍䅤癁䕁䅉党畂䝁䅕杚灂䡁䅑䅉瑁䍁䅁睑療䝁䄰䅣祂䍁䄴䅉䩂䝁䄴睙畁䍁䅁䅋偂䙁䅁兒䍂䍁䅫䅉潁䍁䅑䅍睁䑁䅁克䅁偁䔴䅁あ䅁䅁䅕祂䝁䅫睢祂䍁䅁睕求䡁䅉杤灂䝁䅍党杁䕁䅍睢穂䡁䅑睌䍂䝁䅕杢求䝁䅙兡あ䍁䅁兌杁䕁䅍睢瑂䡁䅁杣畁䍁䅁兓畂䝁䅍杌杁䍁䅧䅕求䝁䄴督灂䝁䄸杢灁䍁䅁䅋歁䑁䅁䅍睁䍁䅫䅁䕄䅂䅁杖䅁䙁䅁杣灂䝁䄸杣杁䙁䅍党祂䡁䅙兡橂䝁䅕䅉䑂䝁䄸督あ䍁䄸睑祂䝁䅕䅚灂䡁䅑䅉潁䙁䅁党畂䡁䅍兡療䝁䄴克杁䍁䅧䅊睁䑁䅁䅍灁䅁䅁睬䅑䝁䅷䅁兂䡁䅉兡療䡁䅉䅉呂䝁䅕杣㉂䝁䅫睙求䍁䅁睑療䡁䅍䅤癁䕁䅍杣求䝁䅑兡あ䍁䅁䅋兂䝁䅕杢穂䝁䅫睢畂䍁䅫䅉呁䍉䅁䅒療䝁䄰党穂䡁䅑兡橂䍁䅁䅋歁䑁䅁䅍睁䍁䅫䅁硃睁䅁杍䅁䙁䅁杣療䝁䅙党穂䡁䅍兡療䝁䄴兙獂䍁䅁杒求䝁䅕督杁䍁䅧䅊睁䑁䅁䅍灁䅁䅁䅆䅉䍁䅑䅁兂䡁䅉睢浂䝁䅫䅤杁䕁䄰兙祂䝁䅣兡畂䍁䅁䅋汁䍁䅫䅁䭄允䅁䅙䅁䙁䅁杣療䝁䅯杌杁䕁䅉党畂䝁䅕杚灂䡁䅑䅉偂䝁䅉䅢灂䝁䅣兙あ䝁䅫睢畂䍁䅁䅋兂䝁䅕杢穂䝁䅫睢畂䍁䅁兌杁䕁䅑睢瑂䍁䅫䅉潁䍁䅑䅍睁䑁䅁克䅁䥁䕁䅁杂䅁䅁䅕祂䝁䄸条畁䍁䅁村求䝁䄴党浂䝁䅫䅤杁䕁䄸杙獂䝁䅫睚桂䡁䅑兡療䝁䄴䅉潁䙁䅁党畂䡁䅍兡療䝁䄴䅉瑁䍁䅁杒䡂䕁䄴克杁䍁䅧䅊睁䑁䅁䅍灁䅁䅁杫䅕䙁䅑䅁兂䡁䅉睢煂䍁䄴䅉䍂䝁䅕杢求䝁䅙兡あ䍁䅁睔楂䝁䅷兡湂䝁䅅䅤灂䝁䄸杢杁䍁䅧䅕求䝁䄴督灂䝁䄸杢灁䍁䅁䅋歁䑁䅁䅍睁䍁䅫䅁䵄睁䅁杙䅁䙁䅁杣療䝁䅯党橂䡁䅑党歂䍁䅁村求䝁䄴党浂䝁䅫䅤杁䕁䄸杙獂䝁䅫睚桂䡁䅑兡療䝁䄴䅉潁䕁䄸䅕䙂䕁䅉䅉瑁䍁䅁䅒療䝁䄰克杁䍁䅧䅊睁䑁䅁䅍灁䅁䅁睔䅕䝁䅉䅁兂䡁䅉睢煂䝁䅕睙あ䝁䅕䅚杁䕁䅉党畂䝁䅕杚灂䡁䅑䅉偂䝁䅉䅢灂䝁䅣兙あ䝁䅫睢畂䍁䅁䅋偂䙁䅁兒䍂䍁䅁兌杁䕁䅙睒佂䍁䅫䅉潁䍁䅑䅍睁䑁䅁克䅁乁䙅䅁坂䅁䅁䅕祂䝁䄸条求䝁䅍䅤求䝁䅑䅉䍂䝁䅕杢求䝁䅙兡あ䍁䅁睔楂䝁䅷兡湂䝁䅅䅤灂䝁䄸杢杁䍁䅧睔兂䕁䅕村灁䍁䅁䅋歁䑁䅁䅍睁䍁䅫䅁潄䅂䅁䅖䅁䙁䅁杣療䡁䅙兡穂䝁䅫睢畂䍁䅁杊杁䙁䅣杣灂䡁䅑党瑁䝁䄸杚浂䍁䅁睢浂䍁䅁村桂䝁䅑䅉歂䝁䅕杙あ䡁䅍䅉潁䍁䅑䅍睁䑁䅁克䅁䅁䕍䅁⭁䅁䅁䅕祂䝁䄸杤灂䡁䅍兡療䝁䄴䅉浂䝁䄸杣杁䕁䅉兙歂䍁䅁䅒求䝁䅉䅤穂䍁䅁䅋歁䑁䅁䅍睁䍁䅫䅁䩂睁䅁杒䅁䙁䅁杣療䡁䅙兡穂䝁䅫睢畂䍁䅁杚療䡁䅉䅉䑂䡁䅉党歂䝁䅫䅤杁䕁䅷睢穂䡁䅍党穂䍁䅁䅋歁䑁䅁䅍睁䍁䅫䅁⭄睁䅁村䅁䙁䅁杣療䡁䅙兡穂䝁䅫睢畂䍁䅁杚療䡁䅉䅉䵂䝁䄸兙畂䍁䅁䅔療䡁䅍督求䡁䅍䅉潁䍁䅑䅍睁䑁䅁克䅁䩁䅍䅁䍂䅁䅁䅕祂䝁䄸杤灂䡁䅍兡療䝁䄴䅉浂䝁䄸杣杁䕁䅷睢桂䝁䄴䅉䵂䝁䄸督穂䝁䅕督杁䍁䅧䍲睁䑁䅁䅍灁䅁䅁䅺䅉䑁䅙䅁兂䡁䅉睢㉂䝁䅫督灂䝁䄸杢杁䝁䅙睢祂䍁䅁䅖桂䡁䅧党穂䍁䅁䅋歁䑁䅁䅍睁䍁䅫䅁摃䅁䅁李䅁䙁䅁杣療䡁䅙兡穂䝁䅫睢畂䍁䅁杚療䡁䅉䅉啂䝁䅅䅥求䡁䅍䅉潁䭁杷䅍睁䑁䅁克䅁乁䍕䅁兂䅁䅁䅕祂䝁䄸杤灂䡁䅍兡療䝁䄴督癁䍁䅁兑㉂䝁䅕杣桂䝁䅣党杁䕁䅅兢療䡁䅉䅤灂䡁䅯党歂䍁䅁䅔療䝁䅅杢穂䍁䅁䅋汁䍁䅫䅁汄䅁䅁䅎䅁䙁䅁杣療䡁䅙兡穂䝁䅫睢畂䡁䅍睌杁䕁䅅杤湂䍁䅁䅔療䝁䅅杢穂䍁䅁䅋汁䍁䅫䅁佄允䅁李䅁䙁䅁杣ㅂ䝁䅑党畂䡁䅑兡桂䝁䅷䅉䝂䝁䅫杢桂䝁䄴睙灂䝁䅅䅢獁䍁䅁兓畂䝁䅍杌䅁偁䝧䅁祂䅁䅁兕あ䡁䅉䅢㕂䍁䅁兑歂䝁䅑杌杁䕁䅍睢畂䡁䅑杣灂䝁䅉兤あ䝁䅫睢畂䡁䅍䅉䙂䡁䅧䅣求䝁䅍䅤求䝁䅑䅉潁䙁䅁党畂䡁䅍兡療䝁䄴䅉瑁䍁䅁䅒療䝁䄰克杁䍁䅧䅊睁䑁䅁䅍灁䅁䅁充䅕䡁䅉䅁剂䡁䅑杣獂䡁䅫䅉䉂䝁䅑䅚畁䍁䅁睑療䝁䄴䅤祂䝁䅫杙ㅂ䡁䅑兡療䝁䄴督杁䕁䅕䅥睂䝁䅕睙あ䝁䅕䅚杁䍁䅧䅕求䝁䄴督灂䝁䄸杢杁䍁䄰䅉䝂䕁䅣杔灁䍁䅁䅋歁䑁䅁䅍睁䍁䅫䅁䅄兂䅁杚䅁䙁䅅䅤祂䝁䅷入杁䕁䅅䅚歂䍁䄴䅉䑂䝁䄸杢あ䡁䅉兡楂䡁䅕䅤灂䝁䄸杢穂䍁䅁兒㑂䡁䅁党橂䡁䅑党歂䍁䅁䅋兂䝁䅕杢穂䝁䅫睢畂䍁䅫䅉潁䍁䅑䅍睁䑁䅁克䅁乁䕷䅁潂䅁䅁兕ㅂ䝁䅅杣あ䍁䄴䅉䙂䝁䄰䅣獂䝁䄸入求䡁䅉䅉䑂䝁䄸杢あ䡁䅉兡楂䡁䅕䅤灂䝁䄸杢杁䍁䅧䅕求䝁䄴督灂䝁䄸杢杁䍁䄰䅉䕂䝁䄸兢灁䍁䅁䅋歁䑁䅁䅍睁䍁䅫䅁⽁兂䅁䅡䅁䙁䅅兤桂䡁䅉䅤畁䍁䅁兒瑂䡁䅁䅢療䡁䅫党祂䍁䅁睑療䝁䄴䅤祂䝁䅫杙ㅂ䡁䅑兡療䝁䄴䅉潁䙁䅁党畂䡁䅍兡療䝁䄴䅉瑁䍁䅁杒䡂䕁䄴克杁䍁䅧䅊睁䑁䅁䅍灁䅁䅁睶䅕䙁䅷䅁剂䡁䅕兙祂䡁䅑杌杁䕁䅕兢睂䝁䅷睢㕂䝁䅕杣杁䕁䅍睢畂䡁䅑杣灂䝁䅉兤あ䝁䅫睢畂䍁䅁䅋兂䝁䅕杢穂䝁䅫睢畂䍁䅫䅉潁䍁䅑䅍睁䑁䅁克䅁乁䕳䅁奁䅁䅁兕ㅂ䝁䅫睙牂䍁䅁睑療䝁䄰䅣穂䅁䅁杔䅣䍁䅁䅁剂䡁䅕兡橂䝁䅳䅉卂䝁䅅䅤灂䝁䄸䅉潁䡁䅧克䅁䕁䝕䅁歁䅁䅁杕杁䍁䅙䅉䕂䍁䅁兒㑂䡁䅁杌杁䍁䅧䅊睁䑁䅁䅍灁䅁䅁䅖䅍䍁䅙䅁卂䍁䅙䅒杁䕁䅕䅥睂䝁䅕杢穂䝁䅕䅉潁䍁䅑䅍睁䑁䅁克䅁䵁䑣䅁十䅁䅁杕偂䕁䅅兑杁䍁䅧兊灁䅁䅁䅱䅁䉁䅑䅁卂䕁䄸兑䑂䕁䅕䅉潁䍁䅕克䅁䝁䅙䅁十䅁䅁杕偂䕁䅅兒杁䍁䅧兊灁䅁䅁東䅁䉁䅙䅁卂䕁䄸兑啂䕁䅍兒杁䍁䅧兊灁䅁䅁睱䅁䉁䅑䅁卂䕁䄸兑啂䕁䅕䅉潁䍁䅕克䅁䍁䍙䅁畁䅁䅁杕兂䕁䄰䅉䩂䝁䄴䅤求䡁䅉杢桂䡁䅑兡療䝁䄴兙獂䍁䅁兓畂䝁䅍杌䅁䥁䡯䅁兂䅁䅁杕桂䡁䅑党杁䝁䄸杚杁䕁䅍睢瑂䡁䅁杌杁䕁䅫杢橂䡁䅉党桂䡁䅍党杁䍁䅧睔兂䕁䅕村灁䍁䅁兌杁䕁䄰兙㑂䍁䅁䅋汁䍁䅫䅁䍃睁䅁杚䅁䙁䅉兙あ䝁䅕䅉療䝁䅙䅉䑂䝁䄸兢睂䍁䄴䅉䩂䝁䄴睙祂䝁䅕兙穂䝁䅕䅉潁䕁䄸䅕䙂䕁䅉克杁䍁䄰䅉乂䝁䅅䅥杁䍁䄰䅉䕂䝁䄸兢求䡁䅍䅤灂䝁䅍䅉潁䍁䅕克䅁䙁䘴䅁歂䅁䅁杕桂䡁䅑党杁䝁䄸杚杁䕁䅍睢瑂䡁䅁杌杁䕁䅫杢橂䡁䅉党桂䡁䅍党杁䍁䅧睔兂䕁䅕村灁䍁䅁兌杁䕁䄰兙㑂䍁䅁兌杁䕁䅙睢祂䝁䅕兡湂䝁䄴䅉潁䍁䅕克䅁乁䘸䅁兂䅁䅁杕桂䡁䅑党杁䝁䄸杚杁䕁䅍睢瑂䡁䅁杌杁䕁䅫杢橂䡁䅉党桂䡁䅍党杁䍁䅧睔兂䕁䅕村灁䍁䅁兌杁䕁䄰兡畂䍁䅁䅋汁䍁䅫䅁硄䅂䅁杚䅁䙁䅉兙あ䝁䅕䅉療䝁䅙䅉䑂䝁䄸兢睂䍁䄴䅉䩂䝁䄴睙祂䝁䅕兙穂䝁䅕䅉潁䕁䄸䅕䙂䕁䅉克杁䍁䄰䅉乂䝁䅫杢杁䍁䄰䅉䕂䝁䄸兢求䡁䅍䅤灂䝁䅍䅉潁䍁䅕克䅁䙁䘰䅁歂䅁䅁杕桂䡁䅑党杁䝁䄸杚杁䕁䅍睢瑂䡁䅁杌杁䕁䅫杢橂䡁䅉党桂䡁䅍党杁䍁䅧睔兂䕁䅕村灁䍁䅁兌杁䕁䄰兡畂䍁䅁兌杁䕁䅙睢祂䝁䅕兡湂䝁䄴䅉潁䍁䅕克䅁乁䘴䅁坂䅁䅁杕桂䡁䅑党杁䝁䄸杚杁䕁䅍睢瑂䡁䅁杌杁䕁䅫杢橂䡁䅉党桂䡁䅍党杁䍁䅧䅕求䝁䄴督灂䝁䄸杢灁䍁䅁兌杁䕁䄰兙㑂䍁䅁䅋汁䍁䅫䅁㙃䅂䅁䅢䅁䙁䅉兙あ䝁䅕䅉療䝁䅙䅉䑂䝁䄸兢睂䍁䄴䅉䩂䝁䄴睙祂䝁䅕兙穂䝁䅕䅉潁䙁䅁党畂䡁䅍兡療䝁䄴克杁䍁䄰䅉乂䝁䅅䅥杁䍁䄰䅉䕂䝁䄸兢求䡁䅍䅤灂䝁䅍䅉潁䍁䅕克䅁䍁䙑䅁煂䅁䅁杕桂䡁䅑党杁䝁䄸杚杁䕁䅍睢瑂䡁䅁杌杁䕁䅫杢橂䡁䅉党桂䡁䅍党杁䍁䅧䅕求䝁䄴督灂䝁䄸杢灁䍁䅁兌杁䕁䄰兙㑂䍁䅁兌杁䕁䅙睢祂䝁䅕兡湂䝁䄴䅉潁䍁䅕克䅁䍁䔸䅁坂䅁䅁杕桂䡁䅑党杁䝁䄸杚杁䕁䅍睢瑂䡁䅁杌杁䕁䅫杢橂䡁䅉党桂䡁䅍党杁䍁䅧䅕求䝁䄴督灂䝁䄸杢灁䍁䅁兌杁䕁䄰兡畂䍁䅁䅋汁䍁䅫䅁㑃䅂䅁䅢䅁䙁䅉兙あ䝁䅕䅉療䝁䅙䅉䑂䝁䄸兢睂䍁䄴䅉䩂䝁䄴睙祂䝁䅕兙穂䝁䅕䅉潁䙁䅁党畂䡁䅍兡療䝁䄴克杁䍁䄰䅉乂䝁䅫杢杁䍁䄰䅉䕂䝁䄸兢求䡁䅍䅤灂䝁䅍䅉潁䍁䅕克䅁䍁䙍䅁煂䅁䅁杕桂䡁䅑党杁䝁䄸杚杁䕁䅍睢瑂䡁䅁杌杁䕁䅫杢橂䡁䅉党桂䡁䅍党杁䍁䅧䅕求䝁䄴督灂䝁䄸杢灁䍁䅁兌杁䕁䄰兡畂䍁䅁兌杁䕁䅙睢祂䝁䅕兡湂䝁䄴䅉潁䍁䅕克䅁䩁䘰䅁奂䅁䅁杕桂䡁䅑党杁䝁䄸杚杁䙁䅁村偂䍁䅁睑療䝁䄰䅣畁䍁䅁兓畂䝁䅍杣求䝁䅅督求䍁䅁䅋偂䙁䅁兒䍂䍁䅫䅉瑁䍁䅁兔桂䡁䅧䅉潁䍁䅕克䅁䭁䕫䅁畂䅁䅁杕桂䡁䅑党杁䝁䄸杚杁䙁䅁村偂䍁䅁睑療䝁䄰䅣畁䍁䅁兓畂䝁䅍杣求䝁䅅督求䍁䅁䅋偂䙁䅁兒䍂䍁䅫䅉瑁䍁䅁兔桂䡁䅧䅉瑁䍁䅁䅒療䝁䄰党穂䡁䅑兡橂䍁䅁䅋汁䍁䅫䅁瑂兂䅁䅢䅁䙁䅉兙あ䝁䅕䅉療䝁䅙䅉兂䕁䅉睔杁䕁䅍睢瑂䡁䅁杌杁䕁䅫杢橂䡁䅉党桂䡁䅍党杁䍁䅧睔兂䕁䅕村灁䍁䅁兌杁䕁䄰兙㑂䍁䅁兌杁䕁䅙睢祂䝁䅕兡湂䝁䄴䅉潁䍁䅕克䅁偁䙉䅁奂䅁䅁杕桂䡁䅑党杁䝁䄸杚杁䙁䅁村偂䍁䅁睑療䝁䄰䅣畁䍁䅁兓畂䝁䅍杣求䝁䅅督求䍁䅁䅋偂䙁䅁兒䍂䍁䅫䅉瑁䍁䅁兔灂䝁䄴䅉潁䍁䅕克䅁䱁䕁䅁畂䅁䅁杕桂䡁䅑党杁䝁䄸杚杁䙁䅁村偂䍁䅁睑療䝁䄰䅣畁䍁䅁兓畂䝁䅍杣求䝁䅅督求䍁䅁䅋偂䙁䅁兒䍂䍁䅫䅉瑁䍁䅁兔灂䝁䄴䅉瑁䍁䅁䅒療䝁䄰党穂䡁䅑兡橂䍁䅁䅋汁䍁䅫䅁獂兂䅁䅢䅁䙁䅉兙あ䝁䅕䅉療䝁䅙䅉兂䕁䅉睔杁䕁䅍睢瑂䡁䅁杌杁䕁䅫杢橂䡁䅉党桂䡁䅍党杁䍁䅧睔兂䕁䅕村灁䍁䅁兌杁䕁䄰兡畂䍁䅁兌杁䕁䅙睢祂䝁䅕兡湂䝁䄴䅉潁䍁䅕克䅁偁䙅䅁敂䅁䅁杕桂䡁䅑党杁䝁䄸杚杁䙁䅁村偂䍁䅁睑療䝁䄰䅣畁䍁䅁兓畂䝁䅍杣求䝁䅅督求䍁䅁䅋兂䝁䅕杢穂䝁䅫睢畂䍁䅫䅉瑁䍁䅁兔桂䡁䅧䅉潁䍁䅕克䅁䵁䕯䅁煂䅁䅁杕桂䡁䅑党杁䝁䄸杚杁䙁䅁村偂䍁䅁睑療䝁䄰䅣畁䍁䅁兓畂䝁䅍杣求䝁䅅督求䍁䅁䅋兂䝁䅕杢穂䝁䅫睢畂䍁䅫䅉瑁䍁䅁兔桂䡁䅧䅉瑁䍁䅁䅒療䝁䄰䅉潁䍁䅕克䅁䝁䐸䅁煂䅁䅁杕桂䡁䅑党杁䝁䄸杚杁䙁䅁村偂䍁䅁睑療䝁䄰䅣畁䍁䅁兓畂䝁䅍杣求䝁䅅督求䍁䅁䅋兂䝁䅕杢穂䝁䅫睢畂䍁䅫䅉瑁䍁䅁兔桂䡁䅧䅉瑁䍁䅁杒䡂䕁䄴䅉潁䍁䅕克䅁䱁䙅䅁敂䅁䅁杕桂䡁䅑党杁䝁䄸杚杁䙁䅁村偂䍁䅁睑療䝁䄰䅣畁䍁䅁兓畂䝁䅍杣求䝁䅅督求䍁䅁䅋兂䝁䅕杢穂䝁䅫睢畂䍁䅫䅉瑁䍁䅁兔灂䝁䄴䅉潁䍁䅕克䅁䵁䕫䅁煂䅁䅁杕桂䡁䅑党杁䝁䄸杚杁䙁䅁村偂䍁䅁睑療䝁䄰䅣畁䍁䅁兓畂䝁䅍杣求䝁䅅督求䍁䅁䅋兂䝁䅕杢穂䝁䅫睢畂䍁䅫䅉瑁䍁䅁兔灂䝁䄴䅉瑁䍁䅁䅒療䝁䄰䅉潁䍁䅕克䅁䡁䕯䅁煂䅁䅁杕桂䡁䅑党杁䝁䄸杚杁䙁䅁村偂䍁䅁睑療䝁䄰䅣畁䍁䅁兓畂䝁䅍杣求䝁䅅督求䍁䅁䅋兂䝁䅕杢穂䝁䅫睢畂䍁䅫䅉瑁䍁䅁兔灂䝁䄴䅉瑁䍁䅁杒䡂䕁䄴䅉潁䍁䅕克䅁䭁䙑䅁⭁䅁䅁杕桂䡁䅣䅉乂䝁䅅䅤求䡁䅉兡桂䝁䅷督杁䕁䅫杢㉂䝁䅕杢あ䝁䄸杣㕂䍁䅁䅋歁䑁䅁䅍睁䍁䅫䅁䑃䅂䅁杏䅁䙁䅉党桂䝁䅷䅉䙂䡁䅍䅤桂䡁䅑党杁䕁䅷睢桂䝁䄴督癁䍁䅁䅔療䝁䅅杢穂䍁䅁䅋汁䍁䅫䅁ㅂ允䅁杙䅁䙁䅉党桂䝁䅷䅉䙂䡁䅍䅤桂䡁䅑党杁䕁䄸睤畂䝁䅕䅚杁䝁䅅杢歂䍁䅁䅓求䝁䅷䅚杁䝁䅙睢祂䍁䅁兓畂䡁䅙党穂䡁䅑兢求䝁䄴䅤杁䍁䅧䅊睁䑁䅁䅍灁䅁䅁儳䅅䝁䅯䅁卂䝁䅕兙獂䍁䅁兒穂䡁䅑兙あ䝁䅕䅉偂䡁䅣杢求䝁䅑䅉桂䝁䄴䅚杁䙁䅉党睂䝁䄸督穂䝁䅕督穂䝁䅕䅚杁䕁䅅督穂䝁䅕䅤穂䍁䅷䅉佂䝁䅕䅤杁䍁䅧䅊睁䑁䅁䅍灁䅁䅁村䅉䕁䅙䅁卂䝁䅕兙獂䝁䅫来求䝁䅑䅉䡂䝁䅅兡畂䍁䅁睢畂䍁䅁睕求䝁䅍兤祂䝁䅫䅤灂䝁䅕督杁䍁䅧䅊睁䑁䅁䅍灁䅁䅁充䅉䝁䅙䅁卂䝁䅕兙獂䝁䅫来求䝁䅑䅉桂䝁䄴䅚杁䙁䅕杢祂䝁䅕兙獂䝁䅫来求䝁䅑䅉䡂䝁䅅兡畂䡁䅍䅉療䝁䄴䅉呂䝁䅕睙ㅂ䡁䅉兡あ䝁䅫党穂䍁䅁䅋歁䑁䅁䅍睁䍁䅫䅁千䅁䅁杚䅁䙁䅉党桂䝁䅷兡㙂䝁䅕䅚杁䝁䅅杢歂䍁䅁兖畂䡁䅉党桂䝁䅷兡㙂䝁䅕䅚杁䕁䅣兙灂䝁䄴督杁䝁䄸杢杁䙁䅍党橂䡁䅕杣灂䡁䅑兡求䡁䅍䅉潁䭁杷䅍睁䑁䅁克䅁䵁䍳䅁慂䅁䅁杕求䝁䅍睢祂䝁䅑党歂䍁䅁兓畂䡁䅙党穂䡁䅑兢求䝁䄴䅤杁䝁䄸杚杁䕁䅫兢睂䝁䅅兡祂䝁䅕䅚杁䕁䅷睢桂䝁䄴督杁䍁䅧䅊睁䑁䅁䅍灁䅁䅁兺䅁䙁䅯䅁卂䝁䅕睙療䡁䅉䅚求䝁䅑䅉䩂䝁䄴杤求䡁䅍䅤瑂䝁䅕杢あ䍁䅁睢浂䍁䅁兓瑂䡁䅁兙灂䡁䅉党歂䍁䅁䅔療䝁䅅杢穂䍁䅁䅋獃䑉䅁䅍睁䍁䅫䅁癄杁䅁材䅁䙁䅉党橂䝁䄸杤求䡁䅉兡求䡁䅍杏杁䕁䅉兙獂䍁䅁睕潂䡁䅑䅉䵂䝁䄴督杁䍁䅧䅊睁䑁䅁䅍灁䅁䅁朳䅁䑁䄴䅁卂䝁䅕睙療䡁䅙党祂䝁䅫党穂䑁䅯䅉䍂䝁䅅䅢杁䙁䅍䅡あ䍁䅁䅔畂䡁䅍䅉潁䭁杷䅍睁䑁䅁克䅁偁䍕䅁歂䅁䅁杕求䝁䅑党求䝁䄰兙楂䝁䅷党杁䕁䅙兡畂䝁䅅杢橂䝁䅫兙獂䍁䅁兓畂䡁䅍䅤祂䡁䅕兢求䝁䄴䅤穂䍁䅁䅋䝂䕁䅅睕杁䑁䅅兎睁䍁䅫䅉潁䍁䅑䅍睁䑁䅁克䅁䵁䉳䅁㑁䅁䅁杕求䝁䅑党求䝁䄰兙楂䝁䅷党杁䙁䅁杣求䝁䅙党祂䡁䅉党歂䍁䅁䅋歁䑁䅁䅍睁䍁䅫䅁畄允䅁杢䅁䙁䅉党歂䡁䅕睙あ䝁䅫睢畂䡁䅍䅉䍂䝁䅅督求䝁䅑䅉療䝁䄴䅉啂䝁䅅䅥杁䙁䅁睢穂䝁䅫䅤灂䝁䄸杢穂䍁䅁兌杁䕁䅍兤祂䡁䅉党畂䡁䅑䅉婂䡁䅉杌杁䍁䅧䅊睁䑁䅁䅍灁䅁䅁睋䅙䝁䅁䅁卂䝁䅕䅚ㅂ䝁䅍䅤灂䝁䄸杢穂䍁䅁杚療䡁䅉䅉啂䝁䅅䅥杁䙁䅁睢穂䝁䅫䅤灂䝁䄸杢穂䍁䅁兌杁䙁䅁杣灂䝁䄸杣杁䙁䅫杣穂䍁䅁䅋歁䑁䅁䅍睁䍁䅫䅁瑁杂䅁䅗䅁䙁䅉党獂䝁䅅䅤求䝁䅑䅉䉂䝁䅷䅢療䡁䅣兙畂䝁䅍党杁䝁䅙睢祂䍁䅁兓瑂䡁䅁兙灂䡁䅉党歂䍁䅁䅔療䝁䅅杢穂䍁䅁䅋歁䑁䅁䅍睁䍁䅫䅁佄䅁䅁䅗䅁䙁䅉党獂䝁䅅䅤求䝁䅑䅉䉂䝁䅷䅢療䡁䅣兙畂䝁䅍党杁䝁䅙睢祂䍁䅁兓瑂䡁䅁兙灂䡁䅉党歂䍁䅁䅔療䝁䅅杢穂䍁䅁䅋獃䑉䅁䅍睁䍁䅫䅁睄杁䅁杏䅁䙁䅉党睂䡁䅕杣橂䝁䅧兙穂䝁䅕䅉䉂䝁䅣杣求䝁䅕兢求䝁䄴䅤穂䍁䅁䅋歁䑁䅁䅍睁䍁䅫䅁㉃允䅁䅒䅁䙁䅉党睂䡁䅕杣橂䝁䅧兙穂䝁䅕䅉療䝁䅙䅉䑂䝁䄸兢瑂䝁䄸杢杁䙁䅍䅤療䝁䅍睡杁䍁䅧䅊睁䑁䅁䅍灁䅁䅁児䅍䕁䅯䅁卂䝁䅕䅣ㅂ䡁䅉睙潂䝁䅅督求䍁䅁睢浂䍁䅁䅕祂䝁䅕杚求䡁䅉杣求䝁䅑䅉呂䡁䅑睢橂䝁䅳䅉潁䍁䅑䅍睁䑁䅁克䅁䕁䑅䅁獂䅁䅁杕求䡁䅍党祂䡁䅙党穂䍁䅁睑療䝁䅷䅢求䝁䅍䅤灂䡁䅙党獂䡁䅫䅉䙂䡁䅙兙獂䡁䅕兙あ䝁䅕䅚杁䝁䅙睢祂䍁䅁兓瑂䡁䅁兙灂䡁䅉兢求䝁䄴䅤杁䍁䅧䅊睁䑁䅁䅍灁䅁䅁儲䅁䝁䅷䅁卂䝁䅕督求䡁䅉杤求䡁䅍䅉䩂䝁䄴䅚灂䡁䅙兡歂䡁䅕兙獂䝁䅷入杁䕁䅕杤桂䝁䅷兤桂䡁䅑党歂䍁䅁杚療䡁䅉䅉䩂䝁䄰䅣桂䝁䅫杣瑂䝁䅕杢あ䍁䅁䅋歁䑁䅁䅍睁䍁䅫䅁摂䅁䅁䅕䅁䙁䅉党穂䝁䅕杣㉂䝁䅕督癁䍁䅁䅔療䝁䅅杢穂䍁䅁䅓求䝁䅷䅚杁䕁䅙睢祂䍁䅁兓畂䡁䅙党穂䡁䅑兢求䝁䄴䅤杁䍁䅧兊灁䅁䅁䄶䅁䑁䅧䅁卂䝁䅕督求䡁䅉杤求䡁䅍睌杁䕁䄴䅕䉂䡁䅍䅉流䍁䅁兏睁䍁䅳䅉兂䕁䅑䅉潁䍁䅕克䅁䱁䉧䅁流䅁䅁杕求䡁䅍党祂䡁䅙党穂䍁䄸䅉佂䙁䅁兑穂䍁䅁䅋汁䍁䅫䅁䭂杁䅁杊䅁䙁䅉党穂䝁䅕杣㉂䝁䅕督癁䍁䅁杔兂䕁䅷督杁䍁䅧兊灁䅁䅁睘䅅䙁䅑䅁卂䝁䅕督あ䡁䅉杌杁䙁䅍䅤療䝁䅍睡杁䕁䅍睢瑂䡁䅁杌杁䕁䅕䅥睂䍁䄴䅉啂䝁䅅䅥杁䕁䅕杚浂䝁䅕睙あ䍁䅁䅋歁䑁䅁䅍睁䍁䅫䅁浄睁䅁䅖䅁䙁䅉党穂䡁䅑杣畁䍁䅁睕あ䝁䄸睙牂䍁䅁睑療䝁䄰䅣畁䍁䅁兒㑂䡁䅁杌獁䍁䅁兑浂䡁䅑党祂䍁䅁䅖桂䡁䅧䅉潁䍁䅑䅍睁䑁䅁克䅁佁䑧䅁坂䅁䅁杕求䡁䅍䅤祂䍁䄴䅉呂䡁䅑睢橂䝁䅳䅉䑂䝁䄸兢睂䍁䄴䅉䙂䡁䅧䅣畁䍁䅷䅉䍂䝁䅕杚療䡁䅉党杁䙁䅑兙㑂䍁䅁䅋歁䑁䅁䅍睁䍁䅫䅁桄睁䅁杌䅁䙁䅉党穂䡁䅑杣灂䝁䅍䅤求䝁䅑䅉䑂䝁䅅督潂䍁䅁䅋歁䑁䅁䅍睁䍁䅫䅁䵂䅂䅁䅎䅁䙁䅉党穂䡁䅑杣ㅂ䝁䅍䅤ㅂ䡁䅉党歂䍁䅁䅔療䝁䅅杢穂䍁䅁䅋歁䑁䅁䅍睁䍁䅫䅁䉂杁䅁杏䅁䙁䅉党穂䡁䅑杣ㅂ䝁䅍䅤ㅂ䡁䅉兡畂䝁䅣䅉䑂䝁䅧兙祂䝁䅣党穂䍁䅁䅋歁䑁䅁䅍睁䍁䅫䅁㑂睁䅁䅐䅁䙁䅉党あ䝁䅅兡獂䍁䅁䅒求䡁䅁睢穂䝁䅫䅤穂䍁䄸䅉䕂䝁䅕䅣療䡁䅍兡あ䡁䅍䅉潁䍁䅕克䅁䉁䉕䅁睁䅁䅁杕求䡁䅑兙灂䝁䅷䅉䵂䝁䄸兙畂䡁䅍睌杁䕁䅷睢桂䝁䄴督杁䍁䅧兊灁䅁䅁杳䅁䕁䅉䅁卂䝁䅕䅤桂䝁䅫䅢杁䕁䄰睢祂䡁䅑睚桂䝁䅣党杁䕁䅷睢桂䝁䄴督癁䍁䅁䅔療䝁䅅杢穂䍁䅁䅋汁䍁䅫䅁㕄䅁䅁杍䅁䙁䅉党あ䝁䅅兡畂䝁䅕䅚杁䕁䅕兙祂䝁䄴兡畂䝁䅣督杁䍁䅧䅊睁䑁䅁䅍灁䅁䅁䅭䅍䍁䅯䅁卂䝁䅕䅤ㅂ䡁䅉杢杁䝁䄸杢杁䕁䅅督穂䝁䅕䅤穂䍁䅁䅋汁䍁䅫䅁乄兂䅁䅗䅁䙁䅉党あ䡁䅕杣畂䍁䅁睢畂䍁䅁兑㉂䝁䅕杣桂䝁䅣党杁䙁䅕杢橂䝁䄸杢穂䝁䄸䅢灂䝁䅑兙あ䝁䅕䅚杁䕁䅅督穂䝁䅕䅤穂䍁䅁䅋汁䍁䅫䅁癁允䅁䅗䅁䙁䅉党あ䡁䅕杣畂䍁䅁睢畂䍁䅁兑㉂䝁䅕杣桂䝁䅣党杁䙁䅕杢橂䝁䄸杢穂䝁䄸䅢灂䝁䅑兙あ䝁䅕䅚杁䕁䅕兣ㅂ䝁䅫䅤㕂䍁䅁䅋汁䍁䅫䅁湁允䅁䅌䅁䙁䅉党あ䡁䅕杣畂䍁䅁睢畂䍁䅁睑桂䡁䅁兡あ䝁䅅䅢杁䍁䅧兊灁䅁䅁兏䅙䑁䅧䅁卂䝁䅕䅤ㅂ䡁䅉杢杁䝁䄸杢杁䕁䅍睢瑂䝁䄰睢畂䍁䅁兒硂䡁䅕兡あ䡁䅫䅉潁䍁䅕克䅁䑁䝳䅁煁䅁䅁杕求䡁䅑兤祂䝁䄴䅉療䝁䄴䅉䙂䡁䅅兤灂䡁䅑入杁䍁䅧兊灁䅁䅁杏䅙䑁䅙䅁卂䝁䅕杤桂䝁䅷兤桂䡁䅑兡療䝁䄴䅉卂䝁䅕督求䡁䅉杤求䍁䅁䅋歁䑁䅁䅍睁䍁䅫䅁䱂允䅁杈䅁䙁䅉党㉂䝁䅕杢ㅂ䝁䅕䅉潁䍁䅑䅍睁䑁䅁克䅁䍁䑉䅁煂䅁䅁杕灂䡁䅍睡杁䕁䅷睢桂䝁䄴督杁䕁䅫杢橂䝁䅷䅉啂䡁䅉兤穂䡁䅑睌杁䙁䅑睢あ䝁䅅䅢杁䕁䅷睢桂䝁䄴督杁䍁䅙䅉啂䡁䅉兤穂䡁䅑䅉䵂䝁䄸兙畂䡁䅍䅉潁䍁䅕克䅁䝁䉁䅁佂䅁䅁杕灂䡁䅍睡瑁䕁䄰睢畂䝁䅫䅤療䡁䅉党歂䍁䅁䅔療䝁䅅杢穂䍁䅁兓畂䝁䅍䅢杁䙁䅑杣ㅂ䡁䅍䅤杁䍁䅧䅊睁䑁䅁䅍灁䅁䅁䅗䅅䙁䅑䅁卂䝁䅫督牂䍁䄰杙桂䡁䅍党歂䍁䅁睑桂䡁䅁兡あ䝁䅅䅢杁䙁䅉兙あ䝁䅫睢獁䍁䅁兙穂䍁䅁杕求䡁䅁睢祂䡁䅑党歂䍁䅁䅋汁䍁䅫䅁畁允䅁䅑䅁䙁䅍杊兂䍁䅁睑桂䡁䅁兓剂䍁䅁兔求䝁䅅杢杁䕁䅕䅕呂䍁䅁兒穂䡁䅑兡瑂䝁䅅䅤求䍁䅁䅋歁䍁䅫䅁㙁䅁䅁杏䅁䙁䅍杊兂䍁䅁䅔啂䍁䅁兓穂䡁䅍兤求䡁䅉䅉䑂䡁䅉党歂䝁䅫䅤杁䙁䅉兙あ䝁䅫杢湂䍁䅁䅁㕄允䅁䅃䅁䙁䅍杔䵂䅁䅁兂䅁䍁䅙䅁呂䕁䄴䅔杁䕁䅣䅢療䝁䅉兙獂䍁䅁杕求䝁䅣兡療䝁䄴䅉䅁䍁䅣䅁獁䅁䅁睕佂䕁䅷䅉䡂䝁䅷睢楂䝁䅅䅢杁䙁䅍兤楂䡁䅉党湂䝁䅫睢畂䍁䅁䅁畁䅁䅁杋䅁䙁䅍杔䵂䍁䅁兓畂䡁䅍䅤灂䡁䅑兤あ䝁䅫睢畂䍁䅁睓求䡁䅫䅉䅁䑁䅙䅁十䅁䅁睕佂䕁䅷兕ㅂ䝁䅕杣㕂䅁䅁睆䅁䉁䅉䅁呂䕁䄴䅔啂䝁䅅杙獂䝁䅕䅁䵁䅁䅁䅉䅁䙁䅍杔䵂䙁䄸睒獂䝁䄸杙桂䝁䅷村桂䝁䄴睡穂䅁䅁睇䅁䅁䅧䅁呂䕁䄴杖䅁䱁䝑䅁十䅁䅁睕兂䕁䅣䅖桂䝁䅉䅢求䅁䅁䅢䅙䍁䅁䅁呂䙁䅁睘䑂䕁䄸兔兂䕁䅅杔婂䙁䄸杔䉂䕁䄰兒䅁䕁䡯䅁捁䅁䅁睕兂䙁䄸兕噂䕁䅫睑䱂䙁䄸睑偂䕁䄰䅕䅁䕁䠰䅁奂䅁䅁睕桂䝁䅷党杁䍁䅧䅕ㅂ䡁䅉睙潂䝁䅅督求䍁䅫䅉療䝁䅙䅉䩂䝁䄴䅤桂䝁䄴睚灂䝁䅉䅢求䍁䅁兙穂䡁䅍党あ䡁䅍䅉潁䍁䅑䅍睁䑁䅁克䅁䉁䕷䅁楂䅁䅁睕桂䝁䅷党杁䍁䅧䅕ㅂ䡁䅉睙潂䝁䅅督求䍁䅫䅉療䝁䅙䅉卂䝁䅕兙獂䍁䅁兒穂䡁䅑兙あ䝁䅕䅉睂䡁䅉睢睂䝁䅕杣あ䝁䅫党穂䍁䅁䅋歁䑁䅁䅍睁䍁䅫䅁扁䅂䅁杗䅁䙁䅍兙獂䝁䅕䅉療䝁䅙䅉兂䡁䅉睢睂䝁䅕杣あ䡁䅫䅌杁䙁䅁䅢桂䝁䄴䅤杁䝁䅅杢歂䍁䅁兒硂䡁䅕兡睂䝁䄰党畂䡁䅑䅉潁䍁䅑䅍睁䑁䅁克䅁䉁䕕䅁楁䅁䅁睕桂䝁䅷党穂䝁䅙睢祂䝁䅍党獁䍁䅁兓畂䝁䅍杌䅁䕁䠸䅁煁䅁䅁睕桂䝁䅷党穂䝁䅙睢祂䝁䅍党畁䝁䅍睢瑂䍁䅷䅉灂䝁䄴睙畁䅁䅁儶䅙䑁䄴䅁呂䝁䅅杤灂䝁䄴睚穂䍁䅁䅒求䡁䅁睢穂䝁䅫䅤穂䍁䄸䅉䕂䝁䅕䅣療䡁䅍兡あ䡁䅍䅉潁䍁䅕克䅁䝁䅧䅁畁䅁䅁睕求䝁䅅䅢求䝁䅑䅉䉂䝁䅫杣杁䕁䅍睢祂䡁䅁睢祂䝁䅅䅤灂䝁䄸杢䅁䝁䡷䅁あ䅁䅁睕求䝁䅍兤祂䝁䅫䅤灂䝁䅕督杁䕁䄸睤畂䝁䅕䅚㙁䍁䅁䅒求䡁䅉兡㉂䝁䅅䅤灂䡁䅙党杁䕁䅙兡畂䝁䅅杢橂䝁䅫兙獂䍁䅁兓畂䡁䅍䅤祂䡁䅕兢求䝁䄴䅤穂䍁䅁䅋歁䑁䅁䅍睁䍁䅫䅁剂䅁䅁䅤䅁䙁䅍党橂䡁䅕杣灂䡁䅑兡求䡁䅍䅉偂䡁䅣杢求䝁䅑杏杁䕁䅑党祂䝁䅫杤桂䡁䅑兡㉂䝁䅕䅉䝂䝁䅫杢桂䝁䄴睙灂䝁䅅䅢杁䕁䅫杢穂䡁䅑杣ㅂ䝁䄰党畂䡁䅑督杁䍁䅧䍲睁䑁䅁䅍灁䅁䅁䅫䅉䙁䅙䅁呂䝁䅕睙ㅂ䡁䅉兡あ䝁䅫党穂䍁䅁睔㍂䝁䄴党歂䑁䅯䅉偂䡁䅑䅡求䡁䅉䅉䩂䝁䄴杤求䡁䅍䅤瑂䝁䅕杢あ䡁䅍䅉潁䍁䅑䅍睁䑁䅁克䅁䙁䅉䅁坂䅁䅁睕求䝁䅍兤祂䝁䅫䅤灂䝁䅕督杁䕁䄸睤畂䝁䅕䅚㙁䍁䅁睔あ䝁䅧党祂䍁䅁兓畂䡁䅙党穂䡁䅑兢求䝁䄴䅤穂䍁䅁䅋獃䑉䅁䅍睁䍁䅫䅁剃杁䅁杔䅁䙁䅍党橂䡁䅕杣灂䡁䅑兡求䡁䅍䅉兂䡁䅕杣橂䝁䅧兙穂䝁䅕䅚獁䍁䅁䅤療䍁䅁杕求䡁䅍党獂䝁䅷䅉潁䍁䅑䅍睁䑁䅁克䅁䵁䉑䅁啂䅁䅁睕求䝁䅍兤祂䝁䅫䅤灂䝁䅕督杁䙁䅍睢獂䝁䅑䅌杁䝁䄴睢あ䍁䅁入求䡁䅑䅉兂䡁䅕杣橂䝁䅧兙穂䝁䅕䅚杁䍁䅧䅊睁䑁䅁䅍灁䅁䅁䅥䅁䙁䅑䅁呂䝁䅕睙ㅂ䡁䅉兡あ䝁䅫党穂䍁䅁睕療䝁䅷䅚獁䍁䅁杢療䡁䅑䅉㕂䝁䅕䅤杁䙁䅁兤祂䝁䅍䅡桂䡁䅍党歂䍁䅁䅋獃䑉䅁䅍睁䍁䅫䅁睃杁䅁杓䅁䙁䅍党湂䝁䄰党畂䡁䅑䅉硁䍁䅁兑穂䍁䄰杕求䡁䅁睢祂䡁䅑党歂䍁䅁杕求䡁䅙党畂䡁䅕党杁䍁䅧䅊睁䑁䅁䅍灁䅁䅁杘䅉䍁䅁䅁呂䝁䅕睚瑂䝁䅕杢あ䍁䅁免杁䕁䄴兙瑂䝁䅕䅉䅁䙁䍧䅁㑁䅁䅁睕求䝁䅣兢求䝁䄴䅤杁䑁䅅䅉佂䝁䅕䅤杁䕁䅫杢橂䝁䄸兢求䍁䅁䅋歁䑁䅁䅍睁䍁䅫䅁癄允䅁䅐䅁䙁䅍党湂䝁䄰党畂䡁䅑䅉硁䍁䅁䅖療䡁䅑兙獂䍁䅁兑穂䡁䅍党あ䡁䅍䅉潁䍁䅑䅍睁䑁䅁克䅁䝁䍫䅁䭂䅁䅁睕求䝁䅣兢求䝁䄴䅤杁䑁䅉䅉䉂䡁䅍兌卂䝁䅕䅣療䡁䅉䅤求䝁䅑䅉卂䝁䅕杤求䝁䄴兤求䍁䅁䅋歁䑁䅁䅍睁䍁䅫䅁時杁䅁䅉䅁䙁䅍党湂䝁䄰党畂䡁䅑䅉祁䍁䅁杔桂䝁䄰党杁䅁䅁杈䅉䑁䅧䅁呂䝁䅕睚瑂䝁䅕杢あ䍁䅁杍杁䕁䄴党あ䍁䅁兓畂䝁䅍睢瑂䝁䅕䅉潁䍁䅑䅍睁䑁䅁克䅁䝁䍑䅁㡁䅁䅁睕求䝁䅣兢求䝁䄴䅤杁䑁䅉䅉啂䝁䄸䅤桂䝁䅷䅉䉂䡁䅍督求䡁䅑督杁䍁䅧䅊睁䑁䅁䅍灁䅁䅁条䅉䕁䅯䅁呂䝁䅕睚瑂䝁䅕杢あ䍁䅁睍杁䕁䅅督瑁䙁䅉党睂䝁䄸杣あ䝁䅕䅚杁䙁䅉党㉂䝁䅕杢ㅂ䝁䅕䅉潁䍁䅑䅍睁䑁䅁克䅁䝁䍁䅁杁䅁䅁睕求䝁䅣兢求䝁䄴䅤杁䑁䅍䅉佂䝁䅅兢求䍁䅁䅁婂杁䅁䅏䅁䙁䅍党湂䝁䄰党畂䡁䅑䅉穁䍁䅁杔求䡁䅑䅉䩂䝁䄴睙療䝁䄰党杁䍁䅧䅊睁䑁䅁䅍灁䅁䅁睁䅉䑁䅷䅁呂䝁䅕睚瑂䝁䅕杢あ䍁䅁睍杁䙁䅑睢あ䝁䅅䅢杁䕁䅅督穂䝁䅕䅤穂䍁䅁䅋歁䑁䅁䅍睁䍁䅫䅁牂杁䅁杓䅁䙁䅍党湂䝁䄰党畂䡁䅑䅉ぁ䍁䅁兑穂䍁䄰杕求䡁䅁睢祂䡁䅑党歂䍁䅁杕求䡁䅙党畂䡁䅕党杁䍁䅧䅊睁䑁䅁䅍灁䅁䅁兙䅉䍁䅁䅁呂䝁䅕睚瑂䝁䅕杢あ䍁䅁䅎杁䕁䄴兙瑂䝁䅕䅉䅁䍁䍯䅁㑁䅁䅁睕求䝁䅣兢求䝁䄴䅤杁䑁䅑䅉佂䝁䅕䅤杁䕁䅫杢橂䝁䄸兢求䍁䅁䅋歁䑁䅁䅍睁䍁䅫䅁求杁䅁䅐䅁䙁䅍党湂䝁䄰党畂䡁䅑䅉ぁ䍁䅁䅖療䡁䅑兙獂䍁䅁兑穂䡁䅍党あ䡁䅍䅉潁䍁䅑䅍睁䑁䅁克䅁䅁䍅䅁䭂䅁䅁睕求䝁䅣兢求䝁䄴䅤杁䑁䅕䅉䉂䡁䅍兌卂䝁䅕䅣療䡁䅉䅤求䝁䅑䅉卂䝁䅕杤求䝁䄴兤求䍁䅁䅋歁䑁䅁䅍睁䍁䅫䅁㙁杁䅁䅉䅁䙁䅍党湂䝁䄰党畂䡁䅑䅉ㅁ䍁䅁杔桂䝁䄰党杁䅁䅁杗䅉䑁䅧䅁呂䝁䅕睚瑂䝁䅕杢あ䍁䅁兎杁䕁䄴党あ䍁䅁兓畂䝁䅍睢瑂䝁䅕䅉潁䍁䅑䅍睁䑁䅁克䅁䝁䍙䅁㡁䅁䅁睕求䝁䅣兢求䝁䄴䅤杁䑁䅕䅉啂䝁䄸䅤桂䝁䅷䅉䉂䡁䅍督求䡁䅑督杁䍁䅧䅊睁䑁䅁䅍灁䅁䅁兊䅉䕁䅯䅁呂䝁䅕睚瑂䝁䅕杢あ䍁䅁李杁䕁䅅督瑁䙁䅉党睂䝁䄸杣あ䝁䅕䅚杁䙁䅉党㉂䝁䅕杢ㅂ䝁䅕䅉潁䍁䅑䅍睁䑁䅁克䅁䝁䍉䅁杁䅁䅁睕求䝁䅣兢求䝁䄴䅤杁䑁䅙䅉佂䝁䅅兢求䍁䅁䅁扂杁䅁䅏䅁䙁䅍党湂䝁䄰党畂䡁䅑䅉㉁䍁䅁杔求䡁䅑䅉䩂䝁䄴睙療䝁䄰党杁䍁䅧䅊睁䑁䅁䅍灁䅁䅁睔䅉䑁䅷䅁呂䝁䅕睚瑂䝁䅕杢あ䍁䅁李杁䙁䅑睢あ䝁䅅䅢杁䕁䅅督穂䝁䅕䅤穂䍁䅁䅋歁䑁䅁䅍睁䍁䅫䅁獂杁䅁杓䅁䙁䅍党湂䝁䄰党畂䡁䅑䅉㍁䍁䅁兑穂䍁䄰杕求䡁䅁睢祂䡁䅑党歂䍁䅁杕求䡁䅙党畂䡁䅕党杁䍁䅧䅊睁䑁䅁䅍灁䅁䅁兂䅉䍁䅁䅁呂䝁䅕睚瑂䝁䅕杢あ䍁䅁睎杁䕁䄴兙瑂䝁䅕䅉䅁䙁䍷䅁㑁䅁䅁睕求䝁䅣兢求䝁䄴䅤杁䑁䅣䅉佂䝁䅕䅤杁䕁䅫杢橂䝁䄸兢求䍁䅁䅋歁䑁䅁䅍睁䍁䅫䅁湂杁䅁䅐䅁䙁䅍党湂䝁䄰党畂䡁䅑䅉㍁䍁䅁䅖療䡁䅑兙獂䍁䅁兑穂䡁䅍党あ䡁䅍䅉潁䍁䅑䅍睁䑁䅁克䅁䅁䍁䅁䭂䅁䅁睕求䝁䅣兢求䝁䄴䅤杁䑁䅧䅉䉂䡁䅍兌卂䝁䅕䅣療䡁䅉䅤求䝁䅑䅉卂䝁䅕杤求䝁䄴兤求䍁䅁䅋歁䑁䅁䅍睁䍁䅫䅁橂杁䅁䅉䅁䙁䅍党湂䝁䄰党畂䡁䅑䅉㑁䍁䅁杔桂䝁䄰党杁䅁䅁兘䅉䑁䅧䅁呂䝁䅕睚瑂䝁䅕杢あ䍁䅁䅏杁䕁䄴党あ䍁䅁兓畂䝁䅍睢瑂䝁䅕䅉潁䍁䅑䅍睁䑁䅁克䅁䝁䍧䅁㡁䅁䅁睕求䝁䅣兢求䝁䄴䅤杁䑁䅧䅉啂䝁䄸䅤桂䝁䅷䅉䉂䡁䅍督求䡁䅑督杁䍁䅧䅊睁䑁䅁䅍灁䅁䅁䅌䅉䕁䅧䅁呂䝁䅕䅢獂䝁䅫杢湂䍁䅁睒求䝁䄴党祂䝁䅅䅢杁䍁䅙䅉䉂䝁䅑兢灂䝁䄴䅉䙂䡁䅧䅣畁䍁䅁䅋歁䑁䅁䅍睁䍁䅫䅁䡂睁䅁杓䅁䙁䅍党獂䝁䅷兡畂䝁䅣䅉桂䝁䄴䅚杁䕁䄰兙祂䝁䅳党あ䝁䅫杢湂䍁䅁兒㑂䡁䅁党畂䡁䅍党杁䍁䅧䅊睁䑁䅁䅍灁䅁䅁具䅍䍁䅙䅁呂䝁䅕杢灂䝁䄸杣杁䕁䅑党楂䡁䅑䅉潁䍁䅑䅍睁䑁䅁克䅁䡁䅉䅁流䅁䅁睕求䝁䄴兡療䡁䅉䅉䕂䝁䅕杙あ䍁䅁䅋獃䑉䅁䅍睁䍁䅫䅁牃杁䅁材䅁䙁䅍党畂䝁䅫睢祂䍁䅁䅒求䝁䅉䅤杁䕁䄸杙獂䝁䅫睚桂䡁䅑兡療䝁䄴督杁䍁䅧䅊睁䑁䅁䅍灁䅁䅁兌䅅䑁䄴䅁呂䝁䅕䅣桂䡁䅉兙あ䝁䅕䅉䉂䝁䅍睙療䡁䅕杢あ䍁䅁兑穂䡁䅍党あ䡁䅍䅉潁䍁䅑䅍睁䑁䅁克䅁䙁䅳䅁⭁䅁䅁睕求䡁䅁兙祂䝁䅅䅤求䍁䅁兑橂䝁䅍睢ㅂ䝁䄴䅤杁䕁䅅督穂䝁䅕䅤穂䍁䅁䅋獃䑉䅁䅍睁䍁䅫䅁婃杁䅁䅓䅁䙁䅍党睂䝁䅅杣桂䡁䅑党杁䕁䅅睙橂䝁䄸兤畂䡁䅑䅉䵂䝁䅫兙楂䝁䅫䅢灂䡁䅑兡求䡁䅍䅉潁䍁䅑䅍睁䑁䅁克䅁䡁䄴䅁䥂䅁䅁睕求䡁䅁兙祂䝁䅅䅤求䍁䅁兑橂䝁䅍睢ㅂ䝁䄴䅤杁䕁䅷兡桂䝁䅉兡獂䝁䅫䅤灂䝁䅕督杁䍁䅧䍲睁䑁䅁䅍灁䅁䅁杴䅉䕁䅙䅁呂䝁䅕杣㉂䝁䅫睙求䍁䅁睑潂䝁䅅杣湂䝁䅕督杁䝁䄸杢杁䕁䅑党睂䝁䄸督灂䡁䅑督杁䍁䅧䅊睁䑁䅁䅍灁䅁䅁杂䅉䑁䅑䅁呂䝁䅕杣㉂䝁䅫睙求䡁䅍䅉䵂䝁䄸兙畂䡁䅍睌杁䕁䅷睢桂䝁䄴督杁䍁䅧兊灁䅁䅁杤䅅䙁䅁䅁呂䝁䅕䅤あ䝁䅷党瑂䝁䅕杢あ䡁䅍䅉㍂䝁䅫䅤潂䍁䅁䅖桂䡁䅧䅉䉂䡁䅕䅤潂䝁䄸杣灂䡁䅑兡求䡁䅍䅉潁䍁䅑䅍睁䑁䅁克䅁䍁䜴䅁㑁䅁䅁睕潂䝁䅅杣求䡁䅍䅉偂䡁䅕䅤穂䡁䅑兙畂䝁䅑兡畂䝁䅣䅉潁䝁䅅睙あ䡁䅕兙獂䍁䅫䅁十睁䅁杔䅁䙁䅍䅡桂䡁䅉党穂䍁䅁䅣求䡁䅉䅉䕂䝁䅕䅣療䡁䅍兡あ䝁䅅杣㕂䍁䅁杕求䝁䅍党灂䡁䅁䅤杁䍁䅧兙橂䡁䅑兤桂䝁䅷克䅁䩁䑑䅁㡁䅁䅁睕潂䝁䄸杣あ䍁䅁䅖求䡁䅉兢杁䕁䅑党楂䡁䅑䅉䩂䡁䅍督ㅂ䝁䅕䅚杁䍁䅧䅊睁䑁䅁䅍灁䅁䅁睉䅑䑁䅷䅁呂䝁䅧睢祂䡁䅑䅉啂䝁䅕杣瑂䍁䅁䅒求䝁䅉䅤杁䙁䅉党睂䝁䅅兡歂䍁䅁䅋歁䑁䅁䅍睁䍁䅫䅁灄睁䅁䅐䅁䙁䅍䅡療䡁䅉䅤杁䙁䅑党祂䝁䄰䅉䩂䝁䄴杤求䡁䅍䅤瑂䝁䅕杢あ䡁䅍䅉潁䍁䅑䅍睁䑁䅁克䅁䕁䕍䅁㙁䅁䅁睕潂䝁䄸杣あ䍁䄰䅤求䡁䅉兢杁䕁䅉睢祂䡁䅉睢㍂䝁䅫杢湂䡁䅍䅉潁䍁䅑䅍睁䑁䅁克䅁䝁䑉䅁慂䅁䅁睕潂䝁䄸杣あ䍁䄰䅤求䡁䅉兢杁䝁䅅杢歂䍁䅁睑ㅂ䡁䅉杣求䝁䄴䅤杁䕁䅷睢畂䝁䅣兌あ䝁䅕杣瑂䍁䅁䅒求䝁䅉䅤杁䍁䅧䅊睁䑁䅁䅍灁䅁䅁䄫䅁䙁䅯䅁呂䝁䅧睢祂䡁䅑兌あ䝁䅕杣瑂䍁䅁兙畂䝁䅑䅉䑂䡁䅕杣祂䝁䅕杢あ䍁䅁䅔療䝁䄴睚瑁䡁䅑党祂䝁䄰䅉䕂䝁䅕杙あ䍁䅁䅋獃䑉䅁䅍睁䍁䅫䅁䍁睁䅁杋䅁䙁䅍兡獂䝁䅣兙畂䍁䅁䅓療䝁䅷䅚灂䝁䄴睚穂䍁䅁兓畂䝁䅍杌䅁䡁䡯䅁敁䅁䅁睕畂䝁䄸睤浂䝁䅷兙牂䝁䅕䅉䩂䝁䄴睙畁䅁䅁兗䅣䑁䅁䅁呂䝁䄸杢療䝁䅍睢杁䙁䅁杣療䝁䅑兤橂䡁䅑督杁䕁䅍睢瑂䡁䅁兙畂䡁䅫䅁畂睂䅁杏䅁䙁䅍䅣求䝁䅍兡桂䝁䅷䅉䕂䝁䅫杤灂䝁䅑党畂䝁䅑䅉兂䝁䅅兡歂䍁䅁䅋歁䑁䅁䅍睁䍁䅫䅁ぁ䅂䅁杏䅁䙁䅍䅣求䝁䅍兡桂䝁䅷䅉乂䝁䅕杢あ䝁䅫睢畂䍁䅁䅔療䝁䅅杢穂䍁䅁䅋歁䑁䅁䅍睁䍁䅫䅁偄䅁䅁杔䅁䙁䅍䅤桂䝁䄴䅚桂䡁䅉䅚灂䡁䅯党歂䍁䅁䅒灂䡁䅍䅤祂䝁䅫杙ㅂ䡁䅑兙楂䝁䅷党杁䕁䅍兙穂䝁䅧䅉潁䍁䅑䅍睁䑁䅁克䅁䱁䑉䅁卂䅁䅁睕あ䝁䄸睙牂䍁䅁村桂䡁䅍党歂䍁䅁睑療䝁䄰䅣畁䍁䅁兒㑂䡁䅁杌杁䙁䅑兙㑂䍁䅁兒浂䝁䅙党橂䡁䅑䅉潁䍁䅑䅍睁䑁䅁克䅁偁䑍䅁卂䅁䅁睕あ䝁䄸睙牂䍁䅁村桂䡁䅍党歂䍁䅁睑療䝁䄰䅣畁䍁䅁兒㑂䡁䅁杌獁䍁䅁兑浂䡁䅑党祂䍁䅁䅖桂䡁䅧䅉潁䍁䅑䅍睁䑁䅁克䅁偁䑑䅁啂䅁䅁睕あ䝁䄸睙牂䍁䅁村桂䡁䅍党歂䍁䅁睑療䝁䄰䅣畁䍁䅁兒㑂䡁䅁杌獁䍁䅁村求䝁䅙睢祂䝁䅕䅉啂䝁䅅䅥杁䍁䅧䅊睁䑁䅁䅍灁䅁䅁儸䅍䙁䅙䅁呂䡁䅑睢橂䝁䅳䅉偂䡁䅁䅤灂䝁䄸杢穂䍁䅁睑療䝁䄰䅣畁䍁䅁兒㑂䡁䅁杌杁䙁䅑兙㑂䍁䅁兒浂䝁䅙党橂䡁䅑䅉潁䍁䅑䅍睁䑁䅁克䅁佁䑷䅁坂䅁䅁睕あ䝁䄸睙牂䍁䅁睔睂䡁䅑兡療䝁䄴督杁䕁䅍睢瑂䡁䅁杌杁䕁䅕䅥睂䍁䄴䅌杁䕁䅅杚あ䝁䅕杣杁䙁䅑兙㑂䍁䅁䅋歁䑁䅁䅍睁䍁䅫䅁癄睁䅁䅗䅁䙁䅍䅤療䝁䅍睡杁䕁䄸䅣あ䝁䅫睢畂䡁䅍䅉䑂䝁䄸兢睂䍁䄴䅉䙂䡁䅧䅣畁䍁䅷䅉䍂䝁䅕杚療䡁䅉党杁䙁䅑兙㑂䍁䅁䅋歁䑁䅁䅍睁䍁䅫䅁牄睁䅁䅓䅁䙁䅍䅤療䝁䅍睡瑁䕁䅉兙穂䝁䅕䅚杁䕁䅍睢瑂䡁䅁杌獁䍁䅁兑浂䡁䅑党祂䍁䄰䅖桂䡁䅧䅉潁䍁䅑䅍睁䑁䅁克䅁佁䑍䅁⭁䅁䅁睕あ䝁䄸睙牂䍁䄰村桂䡁䅍党歂䍁䅁睑療䝁䄰䅣畁䍁䅷䅉䑂䕁䄸睒呂䍁䅁䅋歁䑁䅁䅍睁䍁䅫䅁坄睁䅁䅡䅁䙁䅍䅤療䝁䅍睡瑁䕁䅉兙穂䝁䅕䅚杁䕁䅍睢瑂䡁䅁杌獁䍁䅁兒㑂䡁䅁䅢療䡁䅉兙あ䝁䅫睢畂䍁䄸䅒祂䝁䅫䅢獂䝁䅫杢湂䍁䅁兒㑂䡁䅁杌杁䍁䅧䅊睁䑁䅁䅍灁䅁䅁儳䅍䕁䅙䅁呂䡁䅑睢橂䝁䅳兌䍂䝁䅅督求䝁䅑䅉䑂䝁䄸兢睂䍁䄴䅌杁䕁䅣杊䉂䍁䅁兒㑂䡁䅁杌杁䍁䅧䅊睁䑁䅁䅍灁䅁䅁䄳䅍䕁䅙䅁呂䡁䅑睢橂䝁䅳兌䍂䝁䅅督求䝁䅑䅉䑂䝁䄸兢睂䍁䄴䅌杁䙁䅉杊䕂䍁䅁兒㑂䡁䅁杌杁䍁䅧䅊睁䑁䅁䅍灁䅁䅁䄲䅍䕁䅙䅁呂䡁䅑睢橂䝁䅳兌䍂䝁䅅督求䝁䅑䅉䑂䝁䄸兢睂䍁䄴䅌杁䙁䅍杊乂䍁䅁兒㑂䡁䅁杌杁䍁䅧䅊睁䑁䅁䅍灁䅁䅁朲䅍䕁䅧䅁呂䡁䅑睢橂䝁䅳兌䍂䝁䅅督求䝁䅑䅉䑂䝁䄸兢睂䍁䄴䅌杁䙁䅍睒流䕁䅅䅉䙂䡁䅧䅣畁䍁䅁䅋歁䑁䅁䅍睁䍁䅫䅁㕂睁䅁䅑䅁䙁䅍䅤療䝁䅍睡瑁䕁䅉兙穂䝁䅕䅚杁䕁䅍睢瑂䡁䅁杌獁䍁䅁䅖療䡁䅑兙獂䍁䅁䅋歁䑁䅁䅍睁䍁䅫䅁歄睁䅁䅔䅁䙁䅍䅤療䝁䅍睡瑁䕁䅉兙穂䝁䅕䅚杁䕁䅍睢瑂䡁䅁杌獁䍁䅁兖畂䝁䅅䅢獂䝁䄸睙桂䡁䅑党歂䍁䅁䅋歁䑁䅁䅍睁䍁䅫䅁杄睁䅁䅑䅁䙁䅍䅤療䝁䅍睡瑁䕁䅉兙穂䝁䅕䅚杁䕁䅍睢瑂䡁䅁党畂䡁䅍兙あ䝁䅫睢畂䍁䅁䅋歁䑁䅁䅍睁䍁䅫䅁䱂睁䅁杍䅁䙁䅍兤楂䡁䅍䅤桂䝁䄴䅚桂䡁䅉䅚杁䕁䅷睢桂䝁䄴督杁䍁䅧䅊睁䑁䅁䅍灁䅁䅁䄰䅁䑁䅁䅁呂䡁䅫杢療䡁䅙兤穂䍁䅁杒灂䝁䄴兙畂䝁䅍兡桂䝁䅷䅉䑂䝁䄸杣睂䍁䄴䅁ㅃ杂䅁杍䅁䙁䅑免㙁䍁䅁睑療䝁䄰兢療䝁䄴䅉䙂䡁䅅兤灂䡁䅑入杁䍁䅧䅊睁䑁䅁䅍灁䅁䅁兤䅁䑁䅉䅁啂䑁䅅杏杁䕁䅍睢瑂䝁䄰睢畂䍁䅁兒硂䡁䅕兡あ䡁䅫䅉潁䭁杷䅍睁䑁䅁克䅁䭁䌴䅁捂䅁䅁䅖硁䑁䅯䅉䑂䝁䄸杣求䍁䅁兒獂䝁䅫睚灂䝁䅉䅢求䍁䅁䅕祂䝁䅕杚求䡁䅉党畂䝁䅍党杁䝁䄸杣杁䕁䅧入楂䡁䅉兡歂䍁䅁䅋歁䑁䅁䅍睁䍁䅫䅁⽁䅁䅁䅘䅁䙁䅑免㙁䍁䅁睑療䡁䅉党杁䕁䅕䅢灂䝁䅣兡楂䝁䅷党杁䙁䅁杣求䝁䅙党祂䝁䅕杢橂䝁䅕䅉療䡁䅉䅉䥂䡁䅫杙祂䝁䅫䅚杁䍁䅧䍲睁䑁䅁䅍灁䅁䅁䅨䅉䕁䅧䅁啂䑁䅅杏杁䕁䄸䅤潂䝁䅕杣杁䙁䅑兡求䡁䅉䅉硁䍁䅁兑歂䝁䅯兤穂䡁䅑兢求䝁䄴䅤穂䍁䅁䅋歁䑁䅁䅍睁䍁䅫䅁㕃䅁䅁䅓䅁䙁䅑免㙁䍁䅁睔あ䝁䅧党祂䍁䅁䅖灂䝁䅕杣杁䑁䅅䅉䉂䝁䅑条ㅂ䡁䅍䅤瑂䝁䅕杢あ䡁䅍䅉潁䭁杷䅍睁䑁䅁克䅁佁䍅䅁煂䅁䅁䅖硁䑁䅯䅉啂䝁䅫党祂䍁䅁免杁䕁䅕䅢灂䝁䅣兡楂䝁䅷党杁䕁䅧入楂䡁䅉兡歂䍁䅁睑桂䡁䅁兡あ䝁䅅䅢杁䙁䅍党橂䡁䅕杣灂䡁䅑兡求䡁䅍䅉潁䍁䅑䅍睁䑁䅁克䅁䥁䅣䅁煂䅁䅁䅖硁䑁䅯䅉啂䝁䅫党祂䍁䅁免杁䕁䅕䅢灂䝁䅣兡楂䝁䅷党杁䕁䅧入楂䡁䅉兡歂䍁䅁睑桂䡁䅁兡あ䝁䅅䅢杁䙁䅍党橂䡁䅕杣灂䡁䅑兡求䡁䅍䅉潁䭁杷䅍睁䑁䅁克䅁䱁䌴䅁䥂䅁䅁䅖祁䑁䅯䅉偂䡁䅑䅡求䡁䅉䅉啂䝁䅫党祂䍁䅁杍杁䕁䅅䅚煂䡁䅕督あ䝁䄰党畂䡁䅑督杁䍁䅧䅊睁䑁䅁䅍灁䅁䅁睔䅅䝁䅧䅁啂䑁䅉杏杁䙁䅑兡求䡁䅉䅉祁䍁䅁兒獂䝁䅫睚灂䝁䅉䅢求䍁䅁䅓㕂䝁䅉杣灂䝁䅑䅉䑂䝁䅅䅣灂䡁䅑兙獂䍁䅙䅉呂䡁䅕杙杁䕁䅑党楂䡁䅑䅉潁䍁䅑䅍睁䑁䅁克䅁䱁䅯䅁潂䅁䅁䅖祁䑁䅯䅉啂䝁䅫党祂䍁䅁杍杁䕁䅕䅢灂䝁䅣兡楂䝁䅷党杁䕁䅧入楂䡁䅉兡歂䍁䅁睑桂䡁䅁兡あ䝁䅅䅢流䍁䅁睕ㅂ䝁䅉䅉䕂䝁䅕杙あ䍁䅁䅋獃䑉䅁䅍睁䍁䅫䅁楄杁䅁䅓䅁䙁䅑睍㙁䍁䅁睔あ䝁䅧党祂䍁䅁䅖灂䝁䅕杣杁䑁䅍䅉䉂䝁䅑条ㅂ䡁䅍䅤瑂䝁䅕杢あ䡁䅍䅉潁䍁䅑䅍睁䑁䅁克䅁䙁䉅䅁䥂䅁䅁䅖穁䑁䅯䅉啂䝁䅫党祂䍁䅁睍杁䙁䅍兤楂䝁䄸杣歂䝁䅫杢桂䡁䅑党歂䍁䅁䅒求䝁䅉䅤杁䍁䅧䅊睁䑁䅁䅍灁䅁䅁䅕䅅䑁䅯䅁啂䕁䅅杕兂䍁䅁䅕祂䝁䅕杚求䡁䅉杣求䝁䅑䅉䙂䡁䅅兤灂䡁䅑入杁䍁䅧䅊睁䑁䅁䅍灁䅁䅁䄷䅅䅁䅯䅁啂䕁䅍村䩂䅁䅁关䅙䅁䅧䅁啂䕁䅍杒䅁䵁䝑䅁ぁ䅁䅁䅖䑂䕁䅙䅉䝂䝁䅫杢桂䝁䄴睙灂䝁䅅䅢杁䕁䅍睢祂䡁䅁睢祂䝁䅅䅤灂䝁䄸杢䅁䵁䝕䅁䥁䅁䅁䅖䕂䕁䅍䅁呄杂䅁杄䅁䙁䅑䅒䑂䍁䄰兖呂䅁䅁䅁䅣䕁䅁䅁啂䕁䅙睕杁䕁䅙兡畂䝁䅅杢橂䝁䅫兙獂䍁䅁睑療䡁䅉䅣療䡁䅉兙あ䝁䅫睢畂䍁䅁䅋乂䕁䅧睑灁䅁䅁睷䅙䅁䅯䅁啂䕁䅙睕䵂䅁䅁杷䅙䉁䅁䅁啂䙁䅍䅗㙁䕁䅍兑呂䅁䅁睥䅣䕁䅧䅁啂䝁䅅杢湂䍁䅁睑療䝁䄰兢療䝁䄴䅉䙂䡁䅅兤灂䡁䅑入癁䍁䅁䅖桂䝁䄴睚杁䕁䅅督穂䝁䅕䅤穂䍁䅁䅋汁䍁䅫䅁㍃䅁䅁李䅁䙁䅑兙畂䝁䅣兡楂䝁䅷党杁䕁䅉睢療䝁䅳䅉坂䝁䅅䅢ㅂ䝁䅕䅉潁䍁䅑䅍睁䑁䅁克䅁䡁䕫䅁䕂䅁䅁䅖桂䝁䄴睚灂䝁䅉䅢求䍁䅁村療䝁䄸睡杁䙁䅙兙獂䡁䅕党杁䙁䅁党祂䍁䅁睕潂䝁䅅杣求䍁䅁䅋歁䍁䅫䅁㝂䅂䅁杘䅁䙁䅑兙畂䝁䅣兡楂䝁䅷党杁䕁䅉睢療䝁䅳䅉坂䝁䅅䅢ㅂ䝁䅕䅉睂䝁䅕杣杁䙁䅍䅡桂䡁䅉党獁䍁䅁兙穂䍁䅁杕求䡁䅁睢祂䡁䅑党歂䍁䅁䅋歁䍁䅫䅁㥂䅂䅁䅐䅁䙁䅑兙畂䝁䅣兡楂䝁䅷党杁䕁䅍睢瑂䝁䄰睢畂䍁䅁兒硂䡁䅕兡あ䡁䅫䅉潁䍁䅑䅍睁䑁䅁克䅁䩁䅯䅁㡁䅁䅁䅖桂䝁䄴睚灂䝁䅉䅢求䍁䅁睑療䝁䄰兢療䝁䄴䅉䙂䡁䅅兤灂䡁䅑入杁䍁䅧䍲睁䑁䅁䅍灁䅁䅁朰䅉䍁䄴䅁啂䝁䅅杢湂䝁䅫杙獂䝁䅕䅉䙂䡁䅅兤灂䡁䅑入杁䍁䅧䅊睁䑁䅁䅍灁䅁䅁眸䅅䕁䅯䅁啂䝁䅅杢湂䝁䅫杙獂䝁䅕䅉䙂䡁䅅兤灂䡁䅑入癁䍁䅁䅖桂䝁䄴睚灂䝁䅉䅢求䍁䅁兑穂䡁䅍党あ䡁䅍䅉潁䍁䅕克䅁䍁䍧䅁杂䅁䅁䅖桂䡁䅉睚求䡁䅑䅉あ䝁䄸䅉塂䝁䅧兡橂䝁䅧䅉䑂䝁䅅䅣灂䡁䅑兙獂䍁䅁兑歂䝁䅕兣ㅂ䝁䅅睙㕂䍁䅁兡穂䍁䅁兑あ䡁䅑杣灂䝁䅉兤あ䝁䅕䅚杁䅁䅁睒䅅䍁䅑䅁啂䝁䅅䅥杁䕁䅅督穂䝁䅕䅤穂䍁䅁䅋歁䑁䅁䅍睁䍁䅫䅁慂䅁䅁䅊䅁䙁䅑兙㑂䍁䅁兑穂䡁䅍党あ䡁䅍䅉潁䭁杷䅍睁䑁䅁克䅁䩁䍧䅁卂䅁䅁䅖桂䡁䅧䅉䍂䝁䅕杢求䝁䅙兡あ䍁䅁睑癁䕁䅙䅌杁䕁䅅杚あ䝁䅕杣杁䕁䅙兡㉂䝁䅕䅉婂䝁䅕兙祂䡁䅍䅉潁䍁䅑䅍睁䑁䅁克䅁䍁䝕䅁䭂䅁䅁䅖桂䡁䅧䅉䍂䝁䅕杢求䝁䅙兡あ䍁䅁睑癁䕁䅙䅌杁䕁䅍兤祂䡁䅉党畂䡁䅑䅉婂䝁䅕兙祂䍁䅁䅋歁䑁䅁䅍睁䍁䅫䅁楁杂䅁杕䅁䙁䅑兙㑂䍁䅁村求䝁䄴党浂䝁䅫䅤杁䕁䅍睌䝂䍁䅷䅉䑂䡁䅕杣祂䝁䅕杢あ䍁䅁兗求䝁䅅杣杁䍁䅳䅉硁䍁䅁䅋歁䑁䅁䅍睁䍁䅫䅁㍂睁䅁杕䅁䙁䅑兙㑂䍁䅁村求䝁䄴党浂䝁䅫䅤杁䕁䅍睌䝂䍁䅷䅉䑂䡁䅕杣祂䝁䅕杢あ䍁䅁兗求䝁䅅杣杁䍁䅳䅉祁䍁䅁䅋歁䑁䅁䅍睁䍁䅫䅁橁杂䅁杕䅁䙁䅑兙㑂䍁䅁村求䝁䄴党浂䝁䅫䅤杁䕁䅍睌䝂䍁䅷䅉䑂䡁䅕杣祂䝁䅕杢あ䍁䅁兗求䝁䅅杣杁䍁䅳䅉穁䍁䅁䅋歁䑁䅁䅍睁䍁䅫䅁歁杂䅁杕䅁䙁䅑兙㑂䍁䅁村求䝁䄴党浂䝁䅫䅤杁䕁䅍睌䝂䍁䅷䅉䑂䡁䅕杣祂䝁䅕杢あ䍁䅁兗求䝁䅅杣杁䍁䅳䅉ぁ䍁䅁䅋歁䑁䅁䅍睁䍁䅫䅁捂兂䅁䅔䅁䙁䅑兙㑂䍁䅁村求䝁䄴党浂䝁䅫䅤杁䕁䅍睌䝂䍁䅷䅉佂䝁䄸䅉䙂䡁䅧䅣灂䡁䅉兙あ䝁䅫睢畂䍁䅁䅋歁䑁䅁䅍睁䍁䅫䅁流杂䅁䅣䅁䙁䅑兙㑂䍁䅁村求䝁䄴党浂䝁䅫䅤杁䝁䅙杣療䝁䄰䅉呂䡁䅑睢橂䝁䅳䅉偂䡁䅁䅤灂䝁䄸杢穂䍁䅁䅒ㅂ䡁䅉兡畂䝁䅣䅉あ䝁䅧党杁䙁䅁党祂䝁䅫睢歂䍁䅁䅋歁䑁䅁䅍睁䍁䅫䅁䉁䅂䅁杌䅁䙁䅑兙㑂䍁䅁䅔灂䝁䅅杙灂䝁䅷兡あ䝁䅫党穂䍁䅁䅋歁䑁䅁䅍睁䍁䅫䅁䍃䅁䅁杌䅁䙁䅑兙㑂䍁䅁䅔灂䝁䅅杙灂䝁䅷兡あ䝁䅫党穂䍁䅁䅋獃䑉䅁䅍睁䍁䅫䅁㙃杁䅁杇䅁䙁䅑兙㑂䝁䅕督杁䍁䅧䅊睁䑁䅁䅍灁䅁䅁睏䅅䕁䅯䅁啂䝁䅕睙潂䍁䅁杊杁䕁䅍睢瑂䝁䄰兤畂䝁䅫睙桂䡁䅑兡療䝁䄴督杁䕁䅕䅥睂䝁䅕杢穂䝁䅕䅉潁䍁䅑䅍睁䑁䅁克䅁䉁䍕䅁煁䅁䅁䅖求䡁䅉兙歂䝁䅅䅤桂䍁䅁睑療䡁䅉䅣療䡁䅉兙あ䝁䅫睢畂䅁䅁䄱䅙䑁䄴䅁啂䝁䅕䅥桂䡁䅍䅉䑂䝁䅅䅣灂䡁䅑兙獂䍁䅁村桂䝁䄴睙穂䝁䅧兙祂䝁䅕督獁䍁䅁兓畂䝁䅍杌䅁䱁䝉䅁流䅁䅁䅖潂䝁䅕䅉䉂䝁䅷䅢穂䡁䅑兙あ䝁䅕䅉䑂䝁䄸杣睂䍁䄴䅁穄杂䅁杊䅁䙁䅑䅡求䍁䅁兔療䡁䅍兙灂䝁䅍䅉䑂䝁䄸兢睂䝁䅅杢㕂䅁䅁杧䅣䑁䄴䅁啂䝁䅧党杁䙁䅍睙療䡁䅑䅤穂䍁䅁兔灂䡁䅉兙橂䝁䅷党瑁䕁䅣杣療䍁䅁睑療䝁䄰䅣桂䝁䄴入䅁䥁䡙䅁㉁䅁䅁䅖潂䝁䄸兤湂䝁䅧䅤㍂䝁䄸杣牂䡁䅍䅉䥂䝁䄸䅢歂䝁䅫杢湂䍁䅷䅉䩂䝁䄴睙畁䅁䅁杘䅣䉁䅁䅁啂䝁䅫睙牂䝁䅕杣杁䅁䅁睫䅙䡁䅑䅁啂䝁䅫党祂䍁䅁免杁䕁䅍兙睂䍁䅁村求䝁䅙睢祂䝁䅕䅉䕂䝁䅕䅚ㅂ䝁䅍䅤灂䝁䄸杢杁䝁䄸杚杁䕁䅑党浂䝁䅕杣祂䝁䅕䅚杁䙁䅑兙㑂䍁䅁兑穂䡁䅍党あ䡁䅍䅉潁䍁䅑䅍睁䑁䅁克䅁䕁䉧䅁獁䅁䅁䅖灂䝁䅕杣杁䑁䅅䅉䑂䝁䅅䅣灂䡁䅑兙獂䍁䅁䅋歁䑁䅁䅍睁䍁䅫䅁䍂䅁䅁䅌䅁䙁䅑兡求䡁䅉䅉硁䍁䅁睑桂䡁䅁兡あ䝁䅅䅢杁䍁䅧䍲睁䑁䅁䅍灁䅁䅁睨䅉䕁䅧䅁啂䝁䅫党祂䍁䅁免杁䕁䅍睢瑂䝁䄰睢畂䍁䅁睑桂䡁䅁兡あ䝁䅅䅢杁䍁䅧睑䙂䙁䅑免灁䍁䅁䅋歁䑁䅁䅍睁䍁䅫䅁㑃䅁䅁䅓䅁䙁䅑兡求䡁䅉䅉硁䍁䅁睑療䝁䄰兢療䝁䄴䅉䑂䝁䅅䅣灂䡁䅑兙獂䍁䅁䅋䑂䕁䅕䅖硁䍁䅫䅉潁䭁杷䅍睁䑁䅁克䅁佁䍁䅁佂䅁䅁䅖灂䝁䅕杣杁䑁䅅䅉䑂䝁䄸兢瑂䝁䄸杢杁䕁䅍兙睂䝁䅫䅤桂䝁䅷䅉潁䕁䅍兒啂䑁䅅克杁䙁䅉兙あ䝁䅫睢杁䍁䅧兊灁䅁䅁䅷䅁䙁䅯䅁啂䝁䅫党祂䍁䅁免杁䕁䅍睢瑂䝁䄰睢畂䍁䅁睑桂䡁䅁兡あ䝁䅅䅢杁䙁䅉兙あ䝁䅫睢獁䍁䅁兙穂䍁䅁杕求䡁䅁睢祂䡁䅑党歂䍁䅁䅋汁䍁䅫䅁卂允䅁杉䅁䙁䅑兡求䡁䅉䅉硁䍁䅁杕桂䡁䅑兡療䍁䅁䅋汁䍁䅫䅁䍄䅁䅁䅐䅁䙁䅑兡求䡁䅉䅉硁䍁䅁杕桂䡁䅑兡療䍁䅷䅉桂䡁䅍䅉卂䝁䅕䅣療䡁䅉䅤求䝁䅑䅉潁䍁䅕克䅁䙁䉍䅁獁䅁䅁䅖灂䝁䅕杣杁䑁䅉䅉䑂䝁䅅䅣灂䡁䅑兙獂䍁䅁䅋歁䑁䅁䅍睁䍁䅫䅁汃䅁䅁䅌䅁䙁䅑兡求䡁䅉䅉祁䍁䅁睑桂䡁䅁兡あ䝁䅅䅢杁䍁䅧䍲睁䑁䅁䅍灁䅁䅁眲䅉䝁䅁䅁啂䝁䅫兢求䍁䅁杊杁䕁䅫杢穂䡁䅑兙獂䝁䅷兢求䝁䄴䅤杁䕁䅑党睂䝁䄸督灂䡁䅑督癁䍁䅁䅖療䡁䅑兙獂䍁䅁䅒求䡁䅁睢穂䝁䅫䅤穂䍁䅁䅋汁䍁䅫䅁求允䅁杔䅁䙁䅑睢あ䍁䅁兑橂䝁䅍䅉偂䡁䅑䅡求䡁䅉䅉䑂䝁䄸兢睂䡁䅉党潂䝁䅕杢穂䝁䅫杤求䍁䅁兓畂䝁䅍䅉潁䍁䅑䅍睁䑁䅁克䅁䱁䅑䅁佂䅁䅁䅖療䡁䅑䅉䉂䝁䅍睙杁䕁䄸䅤潂䝁䅕杣杁䕁䅍睢瑂䡁䅁杣求䝁䅧党畂䡁䅍兡㉂䝁䅕䅉䩂䝁䄴睙杁䍁䅧䍲睁䑁䅁䅍灁䅁䅁朳䅉䙁䅁䅁啂䝁䄸䅤桂䝁䅷䅉䉂䝁䄰睢祂䡁䅑兡㙂䝁䅕䅚杁䕁䅍睢穂䡁䅑䅉䵂䝁䅫兙楂䝁䅫䅢灂䡁䅑兡求䡁䅍䅉潁䍁䅑䅍睁䑁䅁克䅁䵁䅙䅁兂䅁䅁䅖療䡁䅑兙獂䍁䅁兑瑂䝁䄸杣あ䝁䅫来求䝁䅑䅉䑂䝁䄸督あ䍁䅁䅔灂䝁䅅杙灂䝁䅷兡あ䝁䅫党穂䍁䅁䅋獃䑉䅁䅍睁䍁䅫䅁畄杁䅁杘䅁䙁䅑睢あ䝁䅅䅢杁䕁䅅兢療䡁䅕杢あ䍁䅁䅤療䍁䅁杙求䍁䅁杕求䝁䅍睢湂䝁䄴兡穂䝁䅕䅚杁䍁䅧䅕求䝁䄴督灂䝁䄸杢灁䍁䅁䅋歁䑁䅁䅍睁䍁䅫䅁慃䅂䅁䅢䅁䙁䅑睢あ䝁䅅䅢杁䕁䅅兢療䡁䅕杢あ䍁䅁䅤療䍁䅁杙求䍁䅁杕求䝁䅍睢湂䝁䄴兡㙂䝁䅕䅚杁䍁䅧睔兂䕁䅕村灁䍁䅁祅杁䕁䅙睢祂䝁䅕兡湂䝁䄴䅉潁䍁䅑䅍睁䑁䅁克䅁佁䘴䅁あ䅁䅁䅖療䡁䅑兙獂䍁䅁兑瑂䝁䄸兤畂䡁䅑䅉あ䝁䄸䅉楂䝁䅕䅉卂䝁䅕睙療䝁䅣杢灂䡁䅯党歂䍁䅁䅋兂䝁䅕杢穂䝁䅫睢畂䍁䅫䅉呁䍉䅁䅒療䝁䄰党穂䡁䅑兡橂䍁䅁䅋歁䑁䅁䅍睁䍁䅫䅁婃睁䅁杣䅁䙁䅑睢あ䝁䅅䅢杁䕁䅅兢療䡁䅕杢あ䍁䅁䅤療䍁䅁杙求䍁䅁杕求䝁䅍睢湂䝁䄴兡㙂䝁䅕䅚杁䍁䅧䅕求䝁䄴督灂䝁䄸杢灁䍁䅁祅杁䕁䅙睢祂䝁䅕兡湂䝁䄴䅉潁䍁䅑䅍睁䑁䅁克䅁䭁䘸䅁睂䅁䅁䅖療䡁䅑兙獂䍁䅁兑瑂䝁䄸兤畂䡁䅑䅉あ䝁䄸䅉楂䝁䅕䅉卂䝁䅕睙療䝁䅣杢灂䡁䅯党歂䍁䅁杔求䡁䅧䅤杁䙁䅁党祂䝁䅫睢歂䍁䅁䅋偂䙁䅁兒䍂䍁䅫䅉潁䍁䅑䅍睁䑁䅁克䅁䵁䑉䅁祁䅁䅁䅖療䡁䅑兙獂䍁䅁兑穂䡁䅍党あ䍁䅁䅖ㅂ䡁䅉杢療䡁䅙党祂䍁䅁䅋㑂䍁䅫䅁䅂杂䅁䅋䅁䙁䅑睢あ䝁䅅䅢杁䕁䅅督穂䝁䅕䅤穂䍁䅁䅋歁䑁䅁䅍睁䍁䅫䅁啂䅁䅁䅋䅁䙁䅑睢あ䝁䅅䅢杁䕁䅅督穂䝁䅕䅤穂䍁䅁䅋獃䑉䅁䅍睁䍁䅫䅁呃杁䅁杔䅁䙁䅑睢あ䝁䅅䅢杁䕁䅅督穂䝁䅕䅤穂䍁䅁兑㉂䝁䅅兡獂䝁䅅杙獂䝁䅕䅉浂䝁䄸杣杁䙁䅍兙獂䝁䅕䅉潁䍁䅑䅍睁䑁䅁克䅁偁䅉䅁佂䅁䅁䅖療䡁䅑兙獂䍁䅁兑穂䡁䅍党あ䡁䅍䅉䉂䡁䅙兙灂䝁䅷兙楂䝁䅷党杁䝁䅙睢祂䍁䅁睕桂䝁䅷党杁䍁䅧䍲睁䑁䅁䅍灁䅁䅁术䅉䙁䅙䅁啂䝁䄸䅤桂䝁䅷䅉䉂䡁䅍督求䡁䅑督杁䕁䅧党獂䝁䅑䅉桂䡁䅑䅉䉂䝁䄰睢祂䡁䅑兡㙂䝁䅕䅚杁䕁䅍睢穂䡁䅑䅉潁䍁䅑䅍睁䑁䅁克䅁乁䅳䅁坂䅁䅁䅖療䡁䅑兙獂䍁䅁兑穂䡁䅍党あ䡁䅍䅉䥂䝁䅕䅢歂䍁䅁兙あ䍁䅁兑瑂䝁䄸杣あ䝁䅫来求䝁䅑䅉䑂䝁䄸督あ䍁䅁䅋獃䑉䅁䅍睁䍁䅫䅁い杁䅁杔䅁䙁䅑睢あ䝁䅅䅢杁䕁䅅督穂䝁䅕䅤穂䍁䅁䅓求䝁䅷䅚杁䝁䅅䅤杁䕁䅙兙灂䡁䅉䅉坂䝁䅅䅢ㅂ䝁䅕䅉潁䍁䅑䅍睁䑁䅁克䅁偁䅁䅁佂䅁䅁䅖療䡁䅑兙獂䍁䅁兑穂䡁䅍党あ䡁䅍䅉䥂䝁䅕䅢歂䍁䅁兙あ䍁䅁杒桂䝁䅫杣杁䙁䅙兙獂䡁䅕党杁䍁䅧䍲睁䑁䅁䅍灁䅁䅁儯䅉䕁䅯䅁啂䝁䄸䅤桂䝁䅷䅉䉂䡁䅍督求䡁䅑督杁䕁䅧党獂䝁䅑䅉浂䝁䄸杣杁䙁䅑杣桂䝁䅑兡畂䝁䅣䅉潁䍁䅑䅍睁䑁䅁克䅁䱁䅙䅁䭂䅁䅁䅖療䡁䅑兙獂䍁䅁兑穂䡁䅍党あ䡁䅍䅉䥂䝁䅕䅢歂䍁䅁杚療䡁䅉䅉啂䡁䅉兙歂䝁䅫杢湂䍁䅁䅋獃䑉䅁䅍睁䍁䅫䅁晄杁䅁杋䅁䙁䅑睢あ䝁䅅䅢杁䕁䅍兙睂䝁䅫䅤桂䝁䅷䅉潁䍁䅑䅍睁䑁䅁克䅁䱁䅳䅁煁䅁䅁䅖療䡁䅑兙獂䍁䅁睑桂䡁䅁兡あ䝁䅅䅢杁䍁䅧䍲睁䑁䅁䅍灁䅁䅁眴䅉䑁䅷䅁啂䝁䄸䅤桂䝁䅷䅉䑂䝁䅅䅣灂䡁䅑兙獂䍁䅁䅔療䡁䅍督杁䕁䅍睌䝂䍁䅁䅋歁䑁䅁䅍睁䍁䅫䅁杁杂䅁䅍䅁䙁䅑睢あ䝁䅅䅢杁䕁䅍兙睂䝁䅫䅤桂䝁䅷䅉卂䝁䅅䅤灂䝁䄸䅉潁䍁䅕克䅁䩁䄸䅁⭁䅁䅁䅖療䡁䅑兙獂䍁䅁睑桂䡁䅍䅡杁䍁䅙䅉呂䝁䅕睙ㅂ䡁䅉兡あ䝁䅫党穂䍁䅁䅋歁䑁䅁䅍睁䍁䅫䅁兄允䅁䅕䅁䙁䅑睢あ䝁䅅䅢杁䕁䅍睢瑂䝁䄰党祂䝁䅍兡桂䝁䅷䅉卂䕁䅕䅉流䍁䅁杒桂䡁䅉兢杁䕁䅷睢桂䝁䄴督杁䍁䅧䅊睁䑁䅁䅍灁䅁䅁李䅉䑁䅙䅁啂䝁䄸䅤桂䝁䅷䅉䑂䝁䄸兢瑂䝁䄸杢杁䕁䅕兣ㅂ䝁䅫䅤㕂䍁䅁䅋歁䑁䅁䅍睁䍁䅫䅁祂䅂䅁䅏䅁䙁䅑睢あ䝁䅅䅢杁䕁䅍睢畂䡁䅍兤瑂䝁䅕杣杁䕁䅷睢桂䝁䄴督杁䍁䅧䅊睁䑁䅁䅍灁䅁䅁朲䅅䑁䅧䅁啂䝁䄸䅤桂䝁䅷䅉䑂䡁䅕杣祂䝁䅕杢あ䍁䅁兑穂䡁䅍党あ䡁䅍䅉潁䍁䅑䅍睁䑁䅁克䅁䍁䑷䅁䍂䅁䅁䅖療䡁䅑兙獂䍁䅁睑ㅂ䡁䅉杣求䝁䄴䅤杁䕁䅷兡桂䝁䅉兡獂䝁䅫䅤灂䝁䅕督杁䍁䅧䅊睁䑁䅁䅍灁䅁䅁䅙䅑䑁䅙䅁啂䝁䄸䅤桂䝁䅷䅉䑂䡁䅕杣祂䝁䅕杢あ䍁䅁䅖桂䡁䅧党穂䍁䅁䅋歁䑁䅁䅍睁䍁䅫䅁汃睁䅁䅊䅁䙁䅑睢あ䝁䅅䅢杁䕁䅑党楂䡁䅑䅉潁䍁䅑䅍睁䑁䅁克䅁䡁䅍䅁獁䅁䅁䅖療䡁䅑兙獂䍁䅁䅒求䝁䅉䅤杁䍁䅧杕求䡁䅁睢祂䡁䅑党歂䍁䅫䅁奃杂䅁䅊䅁䙁䅑睢あ䝁䅅䅢杁䕁䅑党楂䡁䅑䅉潁䭁杷䅍睁䑁䅁克䅁䭁䍷䅁睁䅁䅁䅖療䡁䅑兙獂䍁䅁䅒求䝁䅉䅤杁䍁䄸䅉䙂䕁䅉兓啂䕁䅑兑杁䍁䅧䅥灁䅁䅁䅕䅙䑁䄴䅁啂䝁䄸䅤桂䝁䅷䅉䕂䝁䅕杙あ䍁䅁睌杁䙁䅑睢あ䝁䅅䅢杁䕁䅍兙睂䝁䅫䅤桂䝁䅷䅉潁䍁䅕克䅁䕁䝳䅁㡁䅁䅁䅖療䡁䅑兙獂䍁䅁䅒求䝁䅉䅤杁䕁䅫杢穂䡁䅑杣ㅂ䝁䄰党畂䡁䅑督杁䍁䅧䅊睁䑁䅁䅍灁䅁䅁兔䅁䑁䅷䅁啂䝁䄸䅤桂䝁䅷䅉䕂䝁䅕杙あ䍁䅁兓畂䡁䅍䅤祂䡁䅕兢求䝁䄴䅤穂䍁䅁䅋獃䑉䅁䅍睁䍁䅫䅁乃杁䅁杍䅁䙁䅑睢あ䝁䅅䅢杁䕁䅑党楂䡁䅑䅉䩂䡁䅍督ㅂ䝁䅕䅚杁䍁䅧䅊睁䑁䅁䅍灁䅁䅁兊䅑䑁䅉䅁啂䝁䄸䅤桂䝁䅷䅉䕂䝁䅕杙あ䍁䅁杕求䡁䅁兙灂䝁䅑䅉潁䍁䅑䅍睁䑁䅁克䅁佁䐰䅁㡁䅁䅁䅖療䡁䅑兙獂䍁䅁䅒求䝁䅉䅤癁䍁䅧兒䍂䕁䅫䅖䕂䕁䅅兌䑂䕁䅅䅕䙂䙁䅧克杁䍁䅧䅥灁䅁䅁睆䅙䍁䅷䅁啂䝁䄸䅤桂䝁䅷䅉䕂䝁䅕杙あ䍁䄸兒硂䡁䅕兡あ䡁䅫䅉潁䍁䅕克䅁䕁䝯䅁奂䅁䅁䅖療䡁䅑兙獂䍁䅁䅒求䝁䅙杌杁䕁䅉党畂䝁䅕杚灂䡁䅑䅉䑂䝁䄸督あ䍁䅁䅋偂䙁䅁兒䍂䍁䅁兌杁䕁䅑睢瑂䍁䅫䅉潁䍁䅑䅍睁䑁䅁克䅁䕁䙕䅁奂䅁䅁䅖療䡁䅑兙獂䍁䅁䅒求䝁䅙杌杁䕁䅉党畂䝁䅕杚灂䡁䅑䅉䑂䝁䄸督あ䍁䅁䅋偂䙁䅁兒䍂䍁䅁兌杁䕁䅙睒佂䍁䅫䅉潁䍁䅑䅍睁䑁䅁克䅁䵁䙕䅁䵂䅁䅁䅖療䡁䅑兙獂䍁䅁䅒求䝁䅙杌杁䕁䅉党畂䝁䅕杚灂䡁䅑䅉䑂䝁䄸督あ䍁䅁䅋偂䙁䅁兒䍂䍁䅫䅉潁䍁䅑䅍睁䑁䅁克䅁䝁䕯䅁㑁䅁䅁䅖療䡁䅑兙獂䍁䅁䅒求䝁䅙党祂䡁䅉党歂䍁䅁䅖桂䡁䅧党穂䍁䅁䅋歁䑁䅁䅍睁䍁䅫䅁煃睁䅁䅌䅁䙁䅑睢あ䝁䅅䅢杁䕁䅑党睂䝁䄸督灂䡁䅑督杁䍁䅧䅊睁䑁䅁䅍灁䅁䅁条䅁䍁䅷䅁啂䝁䄸䅤桂䝁䅷䅉䕂䝁䅕䅣療䡁䅍兡あ䡁䅍䅉潁䭁杷䅍睁䑁䅁克䅁䭁䍕䅁䍂䅁䅁䅖療䡁䅑兙獂䍁䅁䅒求䡁䅁睢穂䝁䅫䅤穂䍁䅁杚祂䝁䄸兢杁䕁䅉兙畂䝁䅳督杁䍁䅧䅊睁䑁䅁䅍灁䅁䅁兡䅁䕁䅉䅁啂䝁䄸䅤桂䝁䅷䅉䕂䝁䅕䅣療䡁䅍兡あ䡁䅍䅉浂䡁䅉睢瑂䍁䅁村桂䝁䄴睡穂䍁䅁䅋獃䑉䅁䅍睁䍁䅫䅁歃杁䅁䅏䅁䙁䅑睢あ䝁䅅䅢杁䕁䅑兡㉂䝁䅫䅚求䝁䄴䅚穂䍁䅁䅕桂䝁䅫䅚杁䍁䅧䅊睁䑁䅁䅍灁䅁䅁睍䅑䕁䅑䅁啂䝁䄸䅤桂䝁䅷䅉䙂䝁䄴䅤求䡁䅉䅣祂䝁䅫督求䍁䅁杖桂䝁䅷兤求䍁䅁䅋䑂䕁䅫兕灁䍁䅁䅋歁䕁䄰克䅁䉁䑳䅁兂䅁䅁䅖療䡁䅑兙獂䍁䅁兒畂䡁䅑党祂䡁䅁杣灂䡁䅍党杁䙁䅙兙獂䡁䅕党杁䍁䅧睑䩂䙁䅅克杁䍁䅧杕求䡁䅁睢祂䡁䅑党歂䍁䅫䅁晃杂䅁䅋䅁䙁䅑睢あ䝁䅅䅢杁䕁䅕兣ㅂ䝁䅫䅤㕂䍁䅁䅋歁䑁䅁䅍睁䍁䅫䅁䕂䅁䅁䅋䅁䙁䅑睢あ䝁䅅䅢杁䕁䅕兣ㅂ䝁䅫䅤㕂䍁䅁䅋獃䑉䅁䅍睁䍁䅫䅁䕄杁䅁䅑䅁䙁䅑睢あ䝁䅅䅢杁䕁䅕兣ㅂ䝁䅫䅤㕂䍁䅁兓畂䡁䅍䅤祂䡁䅕兢求䝁䄴䅤穂䍁䅁䅋歁䑁䅁䅍睁䍁䅫䅁䱂䅁䅁䅑䅁䙁䅑睢あ䝁䅅䅢杁䕁䅕兣ㅂ䝁䅫䅤㕂䍁䅁兓畂䡁䅍䅤祂䡁䅕兢求䝁䄴䅤穂䍁䅁䅋獃䑉䅁䅍睁䍁䅫䅁䱃杁䅁材䅁䙁䅑睢あ䝁䅅䅢杁䕁䅕兣ㅂ䝁䅫䅤㕂䍁䄸䅉啂䝁䄸䅤桂䝁䅷䅉䉂䡁䅍督求䡁䅑督杁䍁䅧兊灁䅁䅁兴䅁䕁䅙䅁啂䝁䄸䅤桂䝁䅷䅉䝂䝁䅫杢桂䝁䄴睙灂䝁䅅䅢杁䕁䅷兡桂䝁䅉兡獂䝁䅫䅤灂䝁䅕督杁䍁䅧䅊睁䑁䅁䅍灁䅁䅁睥䅁䕁䅙䅁啂䝁䄸䅤桂䝁䅷䅉䝂䝁䅫杢桂䝁䄴睙灂䝁䅅䅢杁䕁䅷兡桂䝁䅉兡獂䝁䅫䅤灂䝁䅕督杁䍁䅧䍲睁䑁䅁䅍灁䅁䅁睳䅉䑁䅉䅁啂䝁䄸䅤桂䝁䅷䅉䡂䡁䅉睢穂䡁䅍䅉䵂䝁䄸兙畂䡁䅍䅉潁䍁䅑䅍睁䑁䅁克䅁佁䉣䅁䕂䅁䅁䅖療䡁䅑兙獂䍁䅁兓畂䡁䅑兌楂䝁䅕兙祂䝁䅫杢湂䍁䅁䅒求䡁䅁睢穂䝁䅫䅤穂䍁䅁䅋歁䑁䅁䅍睁䍁䅫䅁⽃允䅁材䅁䙁䅑睢あ䝁䅅䅢杁䕁䅫杢あ䝁䅅杢湂䝁䅫杙獂䝁䅕䅉䉂䡁䅍督求䡁䅑督杁䍁䅧䅊睁䑁䅁䅍灁䅁䅁䅗䅁䑁䄴䅁啂䝁䄸䅤桂䝁䅷䅉䩂䝁䄴䅤桂䝁䄴睚灂䝁䅉䅢求䍁䅁兑穂䡁䅍党あ䡁䅍䅉潁䭁杷䅍睁䑁䅁克䅁䩁䍙䅁祁䅁䅁䅖療䡁䅑兙獂䍁䅁䅔灂䝁䅅杙灂䝁䅷兡あ䝁䅫党穂䍁䅁䅋歁䑁䅁䅍睁䍁䅫䅁䝃䅁䅁杍䅁䙁䅑睢あ䝁䅅䅢杁䕁䅷兡桂䝁䅉兡獂䝁䅫䅤灂䝁䅕督杁䍁䅧䍲睁䑁䅁䅍灁䅁䅁其䅉䕁䅯䅁啂䝁䄸䅤桂䝁䅷䅉䵂䝁䅫兙楂䝁䅫䅢灂䡁䅑兡求䡁䅍䅉癁䍁䅁䅖療䡁䅑兙獂䍁䅁兑穂䡁䅍党あ䡁䅍䅉潁䍁䅕克䅁䕁䝷䅁䥂䅁䅁䅖療䡁䅑兙獂䍁䅁䅔灂䝁䅅杙灂䝁䅷兡あ䝁䅫党穂䍁䅁兑畂䝁䅑䅉䙂䡁䅅兤灂䡁䅑入杁䍁䅧䅊睁䑁䅁䅍灁䅁䅁䅪䅍䙁䅧䅁啂䝁䄸䅤桂䝁䅷䅉䵂䝁䅫兙楂䝁䅫䅢灂䡁䅑兡求䡁䅍䅉䥂䝁䅕䅢歂䍁䅁兙あ䍁䅁杒桂䝁䅫杣杁䙁䅙兙獂䡁䅕党杁䍁䅧䅊睁䑁䅁䅍灁䅁䅁䄵䅁䙁䅧䅁啂䝁䄸䅤桂䝁䅷䅉䵂䝁䅫兙楂䝁䅫䅢灂䡁䅑兡求䡁䅍䅉䥂䝁䅕䅢歂䍁䅁兙あ䍁䅁杒桂䝁䅫杣杁䙁䅙兙獂䡁䅕党杁䍁䅧䍲睁䑁䅁䅍灁䅁䅁朹䅉䙁䅑䅁啂䝁䄸䅤桂䝁䅷䅉䵂䝁䅫兙楂䝁䅫䅢灂䡁䅑兡求䡁䅍䅉䥂䝁䅕䅢歂䍁䅁杚療䡁䅉䅉啂䡁䅉兙歂䝁䅫杢湂䍁䅁䅋歁䑁䅁䅍睁䍁䅫䅁ㅄ䅁䅁䅖䅁䙁䅑睢あ䝁䅅䅢杁䕁䅷兡桂䝁䅉兡獂䝁䅫䅤灂䝁䅕督杁䕁䅧党獂䝁䅑䅉浂䝁䄸杣杁䙁䅑杣桂䝁䅑兡畂䝁䅣䅉潁䭁杷䅍睁䑁䅁克䅁䅁䑅䅁䝂䅁䅁䅖療䡁䅑兙獂䍁䅁兔求䡁䅯来桂䝁䄴兡畂䝁䅕䅉䵂䝁䅕杤求䝁䅷䅉䩂䡁䅑党瑂䡁䅍䅉潁䍁䅑䅍睁䑁䅁克䅁乁䉷䅁⭁䅁䅁䅖療䡁䅑兙獂䍁䅁兔灂䝁䄴睢祂䝁䅫䅤㕂䍁䅁兓畂䡁䅑党祂䝁䅕督あ䍁䅁䅋歁䑁䅁䅍睁䍁䅫䅁橄允䅁杒䅁䙁䅑睢あ䝁䅅䅢杁䕁䄰兡畂䝁䄸杣灂䡁䅑入杁䕁䅫杢あ䝁䅕杣求䡁䅍䅤杁䍁䅧杕求䡁䅁睢祂䡁䅑党歂䍁䅫䅁摃杂䅁杋䅁䙁䅑睢あ䝁䅅䅢杁䕁䄴睔䵂䍁䅁睑癁䕁䅙䅉潁䍁䅑䅍睁䑁䅁克䅁䉁䝳䅁潁䅁䅁䅖療䡁䅑兙獂䍁䅁杔求䡁䅑䅉䵂䝁䄸兙畂䡁䅍䅉潁䍁䅑克䅁䉁䅫䅁畁䅁䅁䅖療䡁䅑兙獂䍁䅁杔求䡁䅑䅉䵂䝁䄸兙畂䡁䅍䅉潁䍁䅑䅍睁䑁䅁克䅁䕁䅅䅁畁䅁䅁䅖療䡁䅑兙獂䍁䅁杔求䡁䅑䅉䵂䝁䄸兙畂䡁䅍䅉潁䭁杷䅍睁䑁䅁克䅁䥁䍙䅁䍂䅁䅁䅖療䡁䅑兙獂䍁䅁杔療䝁䄴兡畂䡁䅑党祂䝁䅕督あ䍁䅁兒㑂䡁䅁党畂䡁䅍党杁䍁䅧䅊睁䑁䅁䅍灁䅁䅁兇䅉䕁䅁䅁啂䝁䄸䅤桂䝁䅷䅉佂䝁䄸杢灂䝁䄴䅤求䡁䅉党穂䡁䅑䅉䩂䝁䄴睙療䝁䄰党杁䍁䅧䅊睁䑁䅁䅍灁䅁䅁䅅䅉䑁䅑䅁啂䝁䄸䅤桂䝁䅷䅉偂䙁䅁兒䍂䍁䅁兒㑂䡁䅁党畂䡁䅍党杁䍁䅧䅊睁䑁䅁䅍灁䅁䅁睡䅑䑁䅑䅁啂䝁䄸䅤桂䝁䅷䅉偂䡁䅑䅡求䡁䅉䅉䉂䡁䅍督求䡁䅑督杁䍁䅧䅊睁䑁䅁䅍灁䅁䅁杋䅅䑁䄴䅁啂䝁䄸䅤桂䝁䅷䅉偂䡁䅑䅡求䡁䅉䅉䵂䝁䅫兙楂䝁䅫䅢灂䡁䅑兡求䡁䅍䅉潁䍁䅑䅍睁䑁䅁克䅁䝁䄰䅁⭁䅁䅁䅖療䡁䅑兙獂䍁䅁睔あ䝁䅧党祂䍁䅁䅔灂䝁䅅杙灂䝁䅷兡あ䝁䅫党穂䍁䅁䅋獃䑉䅁䅍睁䍁䅫䅁浃杁䅁杏䅁䙁䅑睢あ䝁䅅䅢杁䙁䅁党畂䡁䅍兡療䝁䄴䅉䙂䡁䅧䅣求䝁䄴督求䍁䅁䅋歁䑁䅁䅍睁䍁䅫䅁慂睁䅁䅔䅁䙁䅑睢あ䝁䅅䅢杁䙁䅁䅢桂䝁䄴䅉䉂䡁䅍督求䡁䅑督杁䍁䅧睔兂䕁䅕村杁䍁䄰䅉䕂䝁䄸兢灁䍁䅁䅋歁䑁䅁䅍睁䍁䅫䅁婂兂䅁䅔䅁䙁䅑睢あ䝁䅅䅢杁䙁䅁䅢桂䝁䄴䅉䉂䡁䅍督求䡁䅑督杁䍁䅧睔兂䕁䅕村杁䍁䄰䅉䝂䕁䅣杔灁䍁䅁䅋歁䑁䅁䅍睁䍁䅫䅁扄兂䅁䅑䅁䙁䅑睢あ䝁䅅䅢杁䙁䅁䅢桂䝁䄴䅉䉂䡁䅍督求䡁䅑督杁䍁䅧睔兂䕁䅕村灁䍁䅁䅋歁䑁䅁䅍睁䍁䅫䅁䝁䅂䅁杕䅁䙁䅑睢あ䝁䅅䅢杁䙁䅁䅢桂䝁䄴䅉䉂䡁䅍督求䡁䅑督杁䍁䅧䅕求䝁䄴督灂䝁䄸杢杁䍁䄰䅉䕂䝁䄸兢灁䍁䅁䅋歁䑁䅁䅍睁䍁䅫䅁杁兂䅁杕䅁䙁䅑睢あ䝁䅅䅢杁䙁䅁䅢桂䝁䄴䅉䉂䡁䅍督求䡁䅑督杁䍁䅧䅕求䝁䄴督灂䝁䄸杢杁䍁䄰䅉䝂䕁䅣杔灁䍁䅁䅋歁䑁䅁䅍睁䍁䅫䅁捃兂䅁杒䅁䙁䅑睢あ䝁䅅䅢杁䙁䅁䅢桂䝁䄴䅉䉂䡁䅍督求䡁䅑督杁䍁䅧䅕求䝁䄴督灂䝁䄸杢灁䍁䅁䅋歁䑁䅁䅍睁䍁䅫䅁ぃ䅂䅁䅐䅁䙁䅑睢あ䝁䅅䅢杁䙁䅁杣求䝁䅙党祂䡁䅉党歂䍁䅁兒硂䡁䅕兡あ䡁䅫䅉潁䍁䅑䅍睁䑁䅁克䅁偁䈴䅁䕂䅁䅁䅖療䡁䅑兙獂䍁䅁䅕祂䝁䅕杚求䡁䅉杣求䝁䅑䅉䙂䡁䅅兤灂䡁䅑入杁䍁䅧杕求䡁䅁睢祂䡁䅑党歂䍁䅫䅁塃杂䅁材䅁䙁䅑睢あ䝁䅅䅢杁䙁䅉党桂䝁䅷䅉䙂䡁䅍䅤桂䡁䅑党杁䕁䅷睢桂䝁䄴督杁䍁䅧䅊睁䑁䅁䅍灁䅁䅁眰䅅䑁䅉䅁啂䝁䄸䅤桂䝁䅷䅉卂䝁䅕睙求䝁䅫杤桂䝁䅉䅢求䡁䅍䅉潁䍁䅑䅍睁䑁䅁克䅁䕁䕕䅁煁䅁䅁䅖療䡁䅑兙獂䍁䅁杕求䡁䅙党畂䡁䅕党杁䍁䅧䅊睁䑁䅁䅍灁䅁䅁兊䅍䑁䅉䅁啂䝁䄸䅤桂䝁䅷䅉卂䝁䅕杤求䝁䄴兤求䍁䅁䅋卂䝁䅕䅣療䡁䅉䅤求䝁䅑克䅁䭁䝁䅁䕂䅁䅁䅖療䡁䅑兙獂䍁䅁杕求䡁䅙党畂䡁䅕党穂䍁䅷䅉硁䍁䅁兗求䝁䅅杣杁䕁䅣杣療䡁䅣䅤潂䍁䅁䅋汁䍁䅫䅁卂杂䅁材䅁䙁䅑睢あ䝁䅅䅢杁䙁䅉党㉂䝁䅕杢ㅂ䝁䅕督獁䍁䅁睍杁䙁䅫杣畁䍁䅁睑䉂䕁䅣杕杁䍁䅧兊灁䅁䅁䅗䅙䑁䄴䅁啂䝁䄸䅤桂䝁䅷䅉卂䝁䅕杤求䝁䄴兤求䡁䅍䅌杁䑁䅕䅉婂䡁䅉杌杁䕁䅍兑䡂䙁䅉䅉潁䍁䅕克䅁䙁䜴䅁䕂䅁䅁䅖療䡁䅑兙獂䍁䅁杕灂䡁䅍睡瑁䡁䅣党灂䝁䅣䅡あ䝁䅕䅚杁䕁䅅督穂䝁䅕䅤穂䍁䅁䅋歁䑁䅁䅍睁䍁䅫䅁⽃䅁䅁䅒䅁䙁䅑睢あ䝁䅅䅢杁䙁䅉兡穂䝁䅳兌㍂䝁䅕兡湂䝁䅧䅤求䝁䅑䅉䉂䡁䅍督求䡁䅑督杁䍁䅧䍲睁䑁䅁䅍灁䅁䅁儶䅉䑁䅁䅁啂䝁䄸䅤桂䝁䅷䅉呂䝁䅕睙ㅂ䡁䅉兡あ䝁䅫党穂䍁䅁䅋歁䑁䅁䅍睁䍁䅫䅁呂䅁䅁䅍䅁䙁䅑睢あ䝁䅅䅢杁䙁䅍党橂䡁䅕杣灂䡁䅑兡求䡁䅍䅉潁䭁杷䅍睁䑁䅁克䅁䩁䍉䅁㡁䅁䅁䅖療䡁䅑兙獂䍁䅁睕求䡁䅉杤灂䝁䅍兡畂䝁䅣䅉卂䝁䅫睚潂䡁䅑督杁䍁䅧䅊睁䑁䅁䅍灁䅁䅁朸䅅䑁䄴䅁啂䝁䄸䅤桂䝁䅷䅉呂䡁䅕杙療䡁䅉䅚灂䝁䄴兙あ䝁䅕䅚杁䕁䅑党楂䡁䅑䅉潁䍁䅑䅍睁䑁䅁克䅁䝁䄸䅁⭁䅁䅁䅖療䡁䅑兙獂䍁䅁睕ㅂ䝁䅉睢祂䝁䅑兡畂䝁䅅䅤求䝁䅑䅉䕂䝁䅕杙あ䍁䅁䅋獃䑉䅁䅍睁䍁䅫䅁潃杁䅁杏䅁䙁䅑睢あ䝁䅅䅢杁䙁䅑兙㑂䍁䅁村求䝁䄴党浂䝁䅫䅤杁䕁䅍睌䝂䍁䅁䅋歁䑁䅁䅍睁䍁䅫䅁ㅂ䅂䅁䅒䅁䙁䅑睢あ䝁䅅䅢杁䙁䅑兡瑂䝁䅕䅉䕂䝁䅕䅣療䡁䅍兡あ䡁䅍睌杁䕁䅑党睂䝁䄸督灂䡁䅑督杁䍁䅧兊灁䅁䅁䅳䅁䑁䅷䅁啂䡁䅉兙歂䝁䅫杢湂䍁䅁兑橂䝁䅍睢ㅂ䝁䄴䅤杁䕁䅫杢橂䝁䄸兢求䍁䅁䅋歁䑁䅁䅍睁䍁䅫䅁㙄允䅁䅒䅁䙁䅑杣桂䝁䅑兡畂䝁䅣䅉䉂䝁䅍睙療䡁䅕杢あ䍁䅁睕求䝁䅍兤祂䝁䅫䅤灂䝁䅕督杁䍁䅧䅊睁䑁䅁䅍灁䅁䅁杵䅅䕁䅁䅁啂䡁䅉兙歂䝁䅫杢湂䍁䅁兑穂䡁䅍党あ䍁䅁睕求䝁䅍兤祂䝁䅫䅤灂䝁䅕督杁䍁䅧䅊睁䑁䅁䅍灁䅁䅁䅒䅑䍁䅧䅁啂䡁䅉兙歂䝁䅫杢湂䍁䅁村療䝁䄸睡杁䍁䅧䍲睁䑁䅁䅍灁䅁䅁儵䅉䑁䅙䅁啂䡁䅉兙歂䝁䅫杢湂䍁䅁睕㕂䝁䄰杙療䝁䅷䅉流䍁䅁兒㑂䝁䅍䅡桂䝁䄴睚求䍁䅁䅁摁睁䅁杒䅁䙁䅑杣桂䝁䄴督桂䝁䅍䅤灂䝁䄸杢杁䕁䅅睙橂䝁䄸兤畂䡁䅑督癁䍁䅁䅒求䡁䅁睢穂䝁䅫䅤穂䍁䅁䅋汁䍁䅫䅁呁允䅁䅤䅁䙁䅑杣桂䝁䄴督灂䡁䅑兡療䝁䄴䅉䉂䡁䅍督求䡁䅑睌偂䝁䅉䅢灂䝁䅣杌杁䍁䄰䅉䑂䝁䄸兢睂䡁䅉杌杁䕁䅫杢橂䍁䅁䅋兂䝁䅕杢穂䝁䅫睢畂䍁䄰䅒療䝁䄰克杁䍁䅧䅊睁䑁䅁䅍灁䅁䅁朷䅍䡁䅑䅁啂䡁䅉兙畂䡁䅍兡あ䝁䅫睢畂䍁䅁兑穂䡁䅍党あ䍁䄸睔楂䝁䅷兡湂䍁䄴䅉瑁䍁䅁睑療䝁䄰䅣祂䍁䄴䅉䩂䝁䄴睙杁䍁䅧䅕求䝁䄴督灂䝁䄸杢瑁䕁䅙睒佂䍁䅫䅉潁䍁䅑䅍睁䑁䅁克䅁䭁䙫䅁あ䅁䅁䅖祂䝁䅅杢穂䝁䅫䅤灂䝁䄸杢杁䕁䅅督穂䝁䅕䅤癁䕁䄸杙獂䝁䅫睚畁䍁䅁兌杁䕁䅍睢瑂䡁䅁杣畁䍁䅁兓畂䝁䅍杌杁䍁䅧睔兂䕁䅕村杁䍁䄰䅉䕂䕁䄸兔灁䍁䅁䅋歁䑁䅁䅍睁䍁䅫䅁啄䅂䅁䅤䅁䙁䅑杣桂䝁䄴督灂䡁䅑兡療䝁䄴䅉䉂䡁䅍督求䡁䅑睌偂䝁䅉䅢灂䝁䅣杌杁䍁䄰䅉䑂䝁䄸兢睂䡁䅉杌杁䕁䅫杢橂䍁䄴䅉潁䕁䄸䅕䙂䕁䅉䅉瑁䍁䅁杒䡂䕁䄴克杁䍁䅧䅊睁䑁䅁䅍灁䅁䅁朶䅕䝁䄴䅁啂䡁䅉兙畂䡁䅍兡あ䝁䅫睢畂䍁䅁兑穂䡁䅍党あ䍁䄸睔楂䝁䅷兡湂䍁䄴䅉瑁䍁䅁睑療䝁䄰䅣祂䍁䄴䅉䩂䝁䄴睙畁䍁䅁䅋兂䝁䅕杢穂䝁䅫睢畂䍁䅫䅉潁䍁䅑䅍睁䑁䅁克䅁䙁䕫䅁啂䅁䅁䅖祂䝁䅅杢穂䝁䅫䅤灂䝁䄸杢杁䕁䅅督穂䝁䅕䅤癁䕁䄸杙獂䝁䅫睚桂䡁䅑兡療䝁䄴䅉潁䕁䄸䅕䙂䕁䅉克杁䍁䅧䅊睁䑁䅁䅍灁䅁䅁儶䅑䝁䅧䅁啂䡁䅉兙畂䡁䅍兡あ䝁䅫睢畂䍁䅁兑穂䡁䅍党あ䍁䄸睔楂䝁䅷兡湂䝁䅅䅤灂䝁䄸杢杁䍁䅧睔兂䕁䅕村灁䍁䅁祅杁䕁䅙睢祂䝁䅕兡湂䝁䄴䅉潁䍁䅑䅍睁䑁䅁克䅁䙁䙙䅁慂䅁䅁䅖祂䝁䅅杢穂䝁䅫䅤灂䝁䄸杢杁䕁䅅督穂䝁䅕䅤癁䕁䄸杙獂䝁䅫睚桂䡁䅑兡療䝁䄴䅉潁䙁䅁党畂䡁䅍兡療䝁䄴克杁䍁䅧䅊睁䑁䅁䅍灁䅁䅁兙䅑䡁䅁䅁啂䡁䅉兙畂䡁䅍兡あ䝁䅫睢畂䍁䅁兑穂䡁䅍党あ䍁䄸睔楂䝁䅷兡湂䝁䅅䅤灂䝁䄸杢杁䍁䅧䅕求䝁䄴督灂䝁䄸杢灁䍁䅁祅杁䕁䅑睢瑂䝁䅕督あ䝁䅫睙杁䍁䅧䅊睁䑁䅁䅍灁䅁䅁兢䅑䝁䄴䅁啂䡁䅉兙畂䡁䅍兡あ䝁䅫睢畂䍁䅁兑穂䡁䅍党あ䍁䄸睔楂䝁䅷兡湂䝁䅅䅤灂䝁䄸杢杁䍁䅧䅕求䝁䄴督灂䝁䄸杢灁䍁䅁祅杁䕁䅙睢祂䝁䅕兡湂䝁䄴䅉潁䍁䅑䅍睁䑁䅁克䅁䭁䘴䅁睂䅁䅁䅖祂䝁䅅杢穂䝁䅫䅤灂䝁䄸杢杁䕁䅅督穂䝁䅕䅤癁䕁䄸杙獂䝁䅫睚桂䡁䅑兡療䝁䄴䅉瑁䍁䅁睑療䝁䄰䅣祂䍁䄴䅉䩂䝁䄴睙畁䍁䅁䅋偂䙁䅁兒䍂䍁䅫䅉潁䍁䅑䅍睁䑁䅁克䅁偁䔸䅁奂䅁䅁䅖祂䝁䅅杢穂䡁䅁睢祂䡁䅑兙あ䝁䅫睢畂䍁䅁杊杁䕁䅷睢湂䝁䅫督あ䝁䅫睙穂䍁䅁䅔療䝁䅅杢穂䍁䄸䅉䵂䝁䄸兙畂䡁䅍䅉潁䍁䅕克䅁䡁䉅䅁獁䅁䅁䅖祂䝁䅕兙穂䡁䅕杣㕂䍁䅁睕あ䝁䄸睙牂䍁䅁䅋歁䑁䅁䅍睁䍁䅫䅁畂䅂䅁村䅁䙁䅑杣ㅂ䡁䅍䅤杁䙁䅁杣求䝁䅙党祂䡁䅉党歂䍁䅁䅋䝂䕁䅅睕杁䑁䅅兎睁䍁䅫䅉潁䍁䅑䅍睁䑁䅁克䅁偁䉧䅁䕂䅁䅁䅖祂䡁䅕督あ䍁䅁䅕祂䝁䅕杚求䡁䅉杣求䝁䅑䅉呂䝁䅕睙ㅂ䡁䅉兡あ䝁䅫党穂䍁䅁䅋歁䑁䅁䅍睁䍁䅫䅁䵄允䅁杋䅁䙁䅑杣ㅂ䡁䅍䅤杁䙁䅉党㉂䝁䅕杢ㅂ䝁䅕䅉潁䍁䅑䅍睁䑁䅁克䅁䑁䉙䅁䕂䅁䅁兖畁䙁䅍杌杁䙁䅉兒㙁䍁䅁睑療䝁䄴督あ䡁䅉䅉流䍁䅁䅔桂䝁䄴䅚杁䕁䅑党㉂䍁䅁䅋歁䑁䅁䅍睁䍁䅫䅁睂杁䅁䅒䅁䙁䅕杌呂䍁䄴䅉卂䕁䅕杏杁䕁䄰兤獂䡁䅑兡浂䝁䅅兢灂䝁䅷入杁䕁䅷睢桂䝁䄴督杁䍁䅧䅊睁䑁䅁䅍灁䅁䅁兣䅉䕁䄴䅁噂䍁䄴睕畁䍁䅁杕䙂䑁䅯䅉卂䝁䅕杤杁䑁䅅兌ぁ䍁䅁杒桂䝁䄰䅉潁䕁䅧兒杁䕁䅷兡畂䝁䅕督灁䍁䅁䅋歁䑁䅁䅍睁䍁䅫䅁ぁ杁䅁䅔䅁䙁䅕杌呂䍁䄴䅉卂䕁䅕杏杁䙁䅑睢あ䍁䅁睑獂䍁䄰党畂䝁䅑䅉硁䍁䄰䅎杁䕁䅙兙瑂䝁䅫䅢㕂䍁䅁䅋歁䑁䅁䅍睁䍁䅫䅁⽁杁䅁权䅁䙁䅕兔兂䙁䅅䅁瑃杂䅁䅏䅁䙁䅕兢睂䡁䅅兤桂䍁䅁䅓療䝁䅷䅚灂䝁䄴睚穂䍁䅁睑療䡁䅉䅣療䡁䅉兙あ䝁䅫睢畂䅁䅁杲䅙䝁䅧䅁噂䝁䄴睙療䝁䄴杏杁䙁䅉兡穂䝁䅳䅉䵂䝁䄸兙畂䡁䅍䅉䩂䝁䄴䅉啂䡁䅉兤穂䡁䅑睌杁䕁䅷睢桂䝁䄴督杁䍁䅙䅉啂䡁䅉兤穂䡁䅑䅉䵂䝁䄸兙畂䡁䅍䅉潁䍁䅕克䅁䱁䉍䅁畂䅁䅁兖畂䝁䅍睢畂䡁䅍杏杁䕁䅅䅚歂䝁䅫䅤灂䝁䄸杢穂䍁䅁睔祂䍁䅁杕求䡁䅙党祂䡁䅍兙獂䡁䅍䅉あ䝁䄸䅉䵂䝁䄴䅉䵂䝁䄸督穂䍁䅁兑獂䝁䅷睢㍂䍁䅁䅋歁䑁䅁䅍睁䍁䅫䅁桃允䅁䅑䅁䙁䅕杢橂䝁䄸杢穂䑁䅯䅉䉂䡁䅍督求䡁䅑䅉塂䡁䅉兡あ䝁䅕䅚療䡁䅣杢穂䍁䅁䅋歁䑁䅁䅍睁䍁䅫䅁汃允䅁杔䅁䙁䅕杢橂䝁䄸杢穂䑁䅯䅉䑂䝁䄸兢睂䝁䅕杢穂䝁䅅䅤灂䝁䄸杢杁䍁䅙䅉䍂䝁䅕杢求䝁䅙兡あ䡁䅍䅉潁䍁䅑䅍睁䑁䅁克䅁䙁䉕䅁䍂䅁䅁兖畂䝁䅍睢畂䡁䅍杏杁䕁䅍睢穂䡁䅑兌あ䝁䄸兌䩂䝁䄴睙療䝁䄰党杁䙁䅉兙あ䝁䅫睢杁䍁䅧兊灁䅁䅁杪䅅䝁䅷䅁噂䝁䄴睙療䝁䄴督㙁䍁䅁睑療䡁䅙党祂䝁䅅睚求䍁䅁睕あ䝁䅅䅤ㅂ䡁䅍杏杁䕁䅍睢獂䝁䅷兙あ䝁䅕杣桂䝁䅷䅉䡂䡁䅕兙祂䝁䅅杢あ䝁䅕党歂䍁䅁䅋歁䑁䅁䅍睁䍁䅫䅁硃允䅁䅚䅁䙁䅕杢橂䝁䄸杢穂䑁䅯䅉䑂䝁䄸杤求䡁䅉兙湂䝁䅕䅉呂䡁䅑兙あ䡁䅕督㙁䍁䅁睒求䝁䄴党祂䝁䅅䅢杁䕁䅅䅢獂䝁䄸睤桂䝁䄴睙求䍁䅁䅋歁䑁䅁䅍睁䍁䅫䅁歂允䅁杚䅁䙁䅕杢橂䝁䄸杢穂䑁䅯䅉䑂䝁䄸杤求䡁䅉兙湂䝁䅕䅉呂䡁䅑兙あ䡁䅕督㙁䍁䅁睕睂䝁䅕睙灂䝁䅙兡橂䍁䅁兑獂䝁䅷睢㍂䝁䅅杢橂䝁䅕䅉潁䍁䅑䅍睁䑁䅁克䅁䝁䉅䅁煂䅁䅁兖畂䝁䅍睢畂䡁䅍杏杁䕁䅍睢㉂䝁䅕杣桂䝁䅣党杁䙁䅍䅤桂䡁䅑兤穂䑁䅯䅉啂䝁䄸䅤癁䍁䅁䅔畂䡁䅍䅉䍂䝁䅕杚療䡁䅉党杁䙁䅉党穂䝁䅕杣㉂䝁䅕䅉潁䍁䅕克䅁䩁䉍䅁䵂䅁䅁兖畂䝁䅍睢畂䡁䅍杏杁䕁䅍睢㉂䝁䅕杣桂䝁䅣党杁䙁䅍䅤桂䡁䅑兤穂䑁䅯䅉啂䝁䄸䅤桂䝁䅷䅉潁䍁䅑䅍睁䑁䅁克䅁䱁䉉䅁浂䅁䅁兖畂䝁䅍睢畂䡁䅍杏杁䕁䅍杣求䝁䅑兡あ䍁䅁睑療䡁䅍䅤癁䍁䅁兑㉂䝁䅣䅉䝂䝁䅫杢杁䕁䅅督穂䝁䅕䅤穂䍁䅁兒㑂䍁䅁䅖祂䝁䅅䅚灂䝁䄴睚杁䍁䅧兊灁䅁䅁兔䅅䝁䅑䅁噂䝁䄴睙療䝁䄴督㙁䍁䅁睑祂䝁䅕䅚灂䡁䅑䅉䑂䝁䄸督あ䍁䄸䅉兂䡁䅉党瑁䝁䅫兢睂䝁䅅兡祂䝁䄰党畂䡁䅑䅉偂䡁䅁䅉兂䡁䅉睢浂䝁䅫䅤杁䍁䅧兊灁䅁䅁䅤䅅䕁䅯䅁噂䝁䄴睙療䝁䄴督㙁䍁䅁睑ㅂ䡁䅉杣求䝁䄴䅤杁䙁䅑兙㑂䍁䅁䅕祂䝁䄸杤灂䡁䅍兡療䝁䄴䅉潁䍁䅑䅍睁䑁䅁克䅁䭁䉳䅁䵂䅁䅁兖畂䝁䅍睢畂䡁䅍杏杁䕁䅑党浂䝁䅕杣祂䝁䅕䅚杁䙁䅑兙㑂䍁䅁䅕祂䝁䄸杤灂䡁䅍兡療䝁䄴䅉潁䍁䅑䅍睁䑁䅁克䅁䙁䉯䅁坂䅁䅁兖畂䝁䅍睢畂䡁䅍杏杁䕁䅑党獂䝁䅫杢硂䡁䅕党畂䡁䅑䅉䵂䝁䄸兙畂䡁䅍䅉䩂䝁䄴睙獂䍁䅁䅖祂䡁䅕督あ䍁䅁䅋歁䑁䅁䅍睁䍁䅫䅁䑃允䅁䅓䅁䙁䅕杢橂䝁䄸杢穂䑁䅯䅉䕂䝁䅫䅢ㅂ䡁䅑党歂䍁䅁兒兂䙁䅍䅉桂䝁䅙䅤求䡁䅉䅉䙂䡁䅧䅤祂䝁䅅䅉潁䍁䅑克䅁䥁䉳䅁㡁䅁䅁兖畂䝁䅍睢畂䡁䅍杏杁䕁䅑睢ㅂ䝁䅉䅤浂䡁䅕䅢杁䕁䅷睢桂䝁䄴督杁䍁䅧䅊睁䑁䅁䅍灁䅁䅁杲䅅䑁䅙䅁噂䝁䄴睙療䝁䄴督㙁䍁䅁兒硂䡁䅕兡あ䡁䅫睌杁䕁䅅督穂䝁䅕䅤穂䍁䅁䅋汁䍁䅫䅁剃允䅁杢䅁䙁䅕杢橂䝁䄸杢穂䑁䅯䅉䡂䝁䅕杢求䡁䅉兙獂䍁䅁兑歂䝁䅑督杁䕁䄸杣杁䙁䅉党㉂䝁䅕杣穂䝁䅅䅢穂䍁䅁杚療䡁䅉䅉䵂䝁䄸兙畂䍁䅁䅔療䡁䅍督杁䍁䅧䅊睁䑁䅁䅍灁䅁䅁杒䅅䑁䅧䅁噂䝁䄴睙療䝁䄴督㙁䍁䅁睒祂䝁䄸督穂䍁䅁䅕祂䝁䄸杚灂䡁䅑䅉潁䍁䅑䅍睁䑁䅁克䅁䩁䉯䅁楂䅁䅁兖畂䝁䅍睢畂䡁䅍杏杁䕁䅷睢桂䝁䄴䅉䵂䝁䄸督穂䍁䅁杕求䡁䅍党祂䡁䅙党癁䍁䅁䅖療䡁䅑兙獂䍁䅁睒祂䝁䄸督穂䍁䅁䅔療䝁䅅杢穂䍁䅁䅋汁䍁䅫䅁ぃ允䅁䅣䅁䙁䅕杢橂䝁䄸杢穂䑁䅯䅉䵂䝁䄸兙畂䍁䅁睖祂䝁䅫䅤求䍁䄰睔浂䝁䅙䅉桂䝁䅙䅤求䡁䅉䅉䉂䝁䅷䅢療䝁䅍兙あ䝁䅕䅚杁䕁䅅䅢獂䝁䄸睤桂䝁䄴睙求䍁䅁䅋歁䑁䅁䅍睁䍁䅫䅁楃允䅁䅤䅁䙁䅕杢橂䝁䄸杢穂䑁䅯䅉䵂䝁䄸兙畂䡁䅍䅉兂䝁䅅督あ䍁䅁䅒ㅂ䝁䅕䅉穁䍁䅁兔療䝁䄴䅤潂䡁䅍䅉偂䡁䅉䅉乂䝁䄸杣求䍁䅁兓畂䝁䅍䅢杁䙁䅑杣ㅂ䡁䅍䅤杁䍁䅧䅊睁䑁䅁䅍灁䅁䅁兲䅅䝁䅷䅁噂䝁䄴睙療䝁䄴督㙁䍁䅁䅔療䝁䅅杢穂䍁䅁䅤療䍁䅁村桂䝁䄴睡祂䡁䅕䅣あ䍁䅁村療䡁䅉杣療䡁䅣党祂䡁䅍䅉䩂䝁䄴睙獂䍁䅁䅖祂䡁䅕督あ䍁䅁䅋歁䑁䅁䅍睁䍁䅫䅁獃允䅁䅎䅁䙁䅕杢橂䝁䄸杢穂䑁䅯䅉䵂䝁䄸督穂䍁䅁䅔療䝁䅅杢穂䍁䅁䅋歁䑁䅁䅍睁䍁䅫䅁癃允䅁䅤䅁䙁䅕杢橂䝁䄸杢穂䑁䅯䅉乂䝁䅕兢療䑁䅯䅉䑂䡁䅉党歂䝁䅫䅤杁䕁䅍睢穂䡁䅑督杁䕁䅕䅥橂䝁䅷䅉卂䝁䅕睙療䡁䅙党祂䝁䅫党穂䍁䅁杊杁䙁䅑杣ㅂ䡁䅍䅤杁䍁䅧䅊睁䑁䅁䅍灁䅁䅁杰䅅䡁䅑䅁噂䝁䄴睙療䝁䄴督㙁䍁䅁杔求䡁䅑䅉䙂䡁䅧䅤祂䝁䅅睢祂䝁䅑兡畂䝁䅅杣㕂䍁䅁兒㑂䝁䅍䅢杁䙁䅉党㉂䝁䅕杣穂䝁䅅䅢杁䝁䄸杚杁䙁䅉党穂䝁䅕杣㉂䝁䅕䅉潁䍁䅑䅍睁䑁䅁克䅁䭁䉯䅁坂䅁䅁兖畂䝁䅍睢畂䡁䅍杏杁䕁䄴党あ䍁䅁杒求䝁䅕䅉流䍁䅁睑療䝁䄰兢灂䡁䅍督灂䝁䄸杢杁䕁䅫杢橂䝁䄸兢求䍁䅁䅋歁䑁䅁䅍睁䍁䅫䅁塃允䅁杢䅁䙁䅕杢橂䝁䄸杢穂䑁䅯䅉佂䝁䅕䅤杁䕁䅣兙灂䝁䄴䅉療䝁䄴䅉呂䝁䅕睙ㅂ䡁䅉兡あ䝁䅫党穂䍁䅁䅓求䝁䅷䅚杁䝁䅙睢祂䍁䅁䅖祂䝁䅅䅚灂䝁䄴睚杁䍁䅧䅊睁䑁䅁䅍灁䅁䅁䅭䅅䝁䅁䅁噂䝁䄴睙療䝁䄴督㙁䍁䅁杔求䡁䅑䅉䡂䝁䅅兡畂䡁䅍䅉療䝁䄴䅉呂䡁䅑睢橂䝁䅳督杁䍁䅙䅉偂䡁䅑䅡求䡁䅉䅉呂䝁䅕睙穂䍁䅁䅋歁䑁䅁䅍睁䍁䅫䅁湃允䅁䅎䅁䙁䅕杢橂䝁䄸杢穂䑁䅯䅉佂䝁䅕䅤杁䕁䅫杢橂䝁䄸兢求䍁䅁䅋歁䑁䅁䅍睁䍁䅫䅁摂允䅁杔䅁䙁䅕杢橂䝁䄸杢穂䑁䅯䅉佂䝁䅕䅤杁䕁䅫杢橂䝁䄸兢求䍁䅁杙求䝁䅙睢祂䝁䅕䅉啂䝁䅅䅥求䡁䅍䅉潁䍁䅑䅍睁䑁䅁克䅁䙁䉫䅁䝂䅁䅁兖畂䝁䅍睢畂䡁䅍杏杁䕁䄴党あ䍁䅁兓畂䡁䅑党祂䝁䅕督あ䍁䅁兓畂䝁䅍睢瑂䝁䅕䅉潁䍁䅑䅍睁䑁䅁克䅁䩁䉑䅁䅂䅁䅁兖畂䝁䅍睢畂䡁䅍杏杁䕁䄴党あ䍁䅁兓畂䡁䅑党祂䝁䅕督あ䍁䅁兔桂䡁䅉睚灂䝁䄴䅉潁䍁䅕克䅁䥁䈰䅁䅂䅁䅁兖畂䝁䅍睢畂䡁䅍杏杁䕁䄴党あ䍁䅁䅔療䝁䅅杢穂䍁䄸䅉䕂䝁䅕䅣療䡁䅍兡あ䡁䅍䅉潁䍁䅕克䅁䩁䉁䅁䥂䅁䅁兖畂䝁䅍睢畂䡁䅍杏杁䕁䄴党あ䍁䅁䅔療䝁䅅杢穂䍁䄸䅉啂䝁䄸䅤桂䝁䅷䅉䉂䡁䅍督求䡁䅑督杁䍁䅧兊灁䅁䅁睪䅅䙁䅑䅁噂䝁䄴睙療䝁䄴督㙁䍁䅁杔求䡁䅑䅉偂䡁䅑䅡求䡁䅉䅉偂䡁䅁党祂䝁䅅䅤灂䝁䄴睚杁䕁䅫杢橂䝁䄸兢求䍁䅁䅋歁䑁䅁䅍睁䍁䅫䅁婃允䅁䅘䅁䙁䅕杢橂䝁䄸杢穂䑁䅯䅉佂䝁䅕䅤杁䙁䅁杣療䝁䅙兡あ䍁䅁杙求䝁䅙睢祂䝁䅕䅉䑂䡁䅉党歂䝁䅫䅤杁䕁䅍睢穂䡁䅑督杁䍁䅧䅊睁䑁䅁䅍灁䅁䅁杮䅅䝁䄴䅁噂䝁䄴睙療䝁䄴督㙁䍁䅁杔求䡁䅑䅉兂䡁䅉睢浂䝁䅫䅤杁䝁䅉党浂䝁䄸杣求䍁䅁睑祂䝁䅕䅚灂䡁䅑䅉䑂䝁䄸督あ䡁䅍睌杁䕁䅅杤湂䍁䅁兑穂䡁䅍党あ䡁䅍䅉潁䍁䅕克䅁䥁䉷䅁䭂䅁䅁兖畂䝁䅍睢畂䡁䅍杏杁䕁䄴睢畂䍁䄰䅕求䡁䅉督療䝁䄴杢求䝁䅷䅉䙂䡁䅧䅣求䝁䄴督求䍁䅁䅋歁䑁䅁䅍睁䍁䅫䅁扃允䅁䅗䅁䙁䅕杢橂䝁䄸杢穂䑁䅯䅉佂䝁䄸杢睂䝁䅕杣浂䝁䄸杣瑂䝁䅫杢湂䍁䅁兑穂䡁䅍党あ䡁䅍睌杁䕁䄴党あ䍁䅁䅔療䝁䅅杢穂䍁䅁䅋汁䍁䅫䅁千允䅁杒䅁䙁䅕杢橂䝁䄸杢穂䑁䅯䅉佂䝁䄸杢睂䝁䅕杣浂䝁䄸杣瑂䝁䅫杢湂䍁䅁䅔療䝁䅅杢穂䍁䅁䅋歁䑁䅁䅍睁䍁䅫䅁睃允䅁村䅁䙁䅕杢橂䝁䄸杢穂䑁䅯䅉偂䡁䅁党祂䝁䅅䅤灂䝁䄴睚杁䕁䅕䅥睂䝁䅕杢穂䝁䅕䅉潁䍁䅑䅍睁䑁䅁克䅁䩁䈰䅁䅂䅁䅁兖畂䝁䅍睢畂䡁䅍杏杁䕁䄸杣歂䝁䅫杢桂䡁䅉入杁䙁䅁杣療䝁䅙兡あ䡁䅍䅉潁䍁䅑䅍睁䑁䅁克䅁䭁䉫䅁䕂䅁䅁兖畂䝁䅍睢畂䡁䅍杏杁䕁䄸䅤潂䝁䅕杣杁䕁䅍杣求䝁䅑兡あ䍁䅁睑療䡁䅍䅤穂䍁䅁䅋歁䑁䅁䅍睁䍁䅫䅁橃允䅁杙䅁䙁䅕杢橂䝁䄸杢穂䑁䅯䅉偂䡁䅑䅡求䡁䅉䅉佂䝁䅕䅤杁䕁䅙党求䍁䅁杊杁䕁䅍睢瑂䝁䄰兡穂䡁䅍兡療䝁䄴䅉䩂䝁䄴睙療䝁䄰党杁䍁䅧䅊睁䑁䅁䅍灁䅁䅁杬䅅䙁䅧䅁噂䝁䄴睙療䝁䄴督㙁䍁䅁睔あ䝁䅧党祂䍁䅁睔祂䝁䅑兡畂䝁䅅杣㕂䍁䅁䅕祂䝁䄸杚灂䡁䅑䅉流䍁䅁䅔療䡁䅍督杁䍁䅧䅊睁䑁䅁䅍灁䅁䅁䅱䅅䕁䅁䅁噂䝁䄴睙療䝁䄴督㙁䍁䅁睔あ䝁䅧党祂䍁䅁䅕祂䝁䄸杤灂䡁䅍兡療䝁䄴督杁䍁䅧䅊睁䑁䅁䅍灁䅁䅁䅯䅅䕁䅙䅁噂䝁䄴睙療䝁䄴督㙁䍁䅁䅕祂䝁䄸杤灂䡁䅍兡療䝁䄴䅉浂䝁䄸杣杁䙁䅑兙㑂䝁䅕督杁䍁䅧䅊睁䑁䅁䅍灁䅁䅁睗䅅䙁䅑䅁噂䝁䄴睙療䝁䄴督㙁䍁䅁䅕祂䝁䄸杤灂䡁䅍兡療䝁䄴督癁䍁䅁兑㉂䝁䅕杣桂䝁䅣党杁䕁䄴党あ䍁䅁䅔療䝁䅅杢穂䍁䅁䅋汁䍁䅫䅁祂允䅁杘䅁䙁䅕杢橂䝁䄸杢穂䑁䅯䅉卂䝁䅕睙療䡁䅙党祂䝁䅫党穂䍁䅁睢浂䍁䅁睖祂䝁䅫䅤あ䝁䅕杢瑁䝁䄸杚浂䍁䅁䅔療䝁䅅杢穂䍁䅁䅋歁䑁䅁䅍睁䍁䅫䅁歃允䅁䅖䅁䙁䅕杢橂䝁䄸杢穂䑁䅯䅉卂䝁䅕督求䡁䅉杤求䡁䅍睌杁䕁䄴睢畂䡁䅁党祂䝁䅙睢祂䝁䄰兡畂䝁䅣䅉䵂䝁䄸兙畂䡁䅍䅉潁䍁䅕克䅁䱁䉕䅁慂䅁䅁兖畂䝁䅍睢畂䡁䅍杏杁䙁䅉党穂䡁䅑杣ㅂ䝁䅍䅤ㅂ䡁䅉党歂䍁䅁䅔療䝁䅅杢穂䍁䅁兓畂䝁䅍䅢杁䙁䅑杣ㅂ䡁䅍䅤杁䍁䅧䅊睁䑁䅁䅍灁䅁䅁来䅅䙁䄴䅁噂䝁䄴睙療䝁䄴督㙁䍁䅁杕灂䡁䅍睡瑁䕁䄰睢畂䝁䅫䅤療䡁䅉党歂䍁䅁䅔療䝁䅅杢穂䍁䅁兓畂䝁䅍䅢杁䙁䅑杣ㅂ䡁䅍䅤杁䍁䅧䅊睁䑁䅁䅍灁䅁䅁睖䅅䝁䅙䅁噂䝁䄴睙療䝁䄴督㙁䍁䅁睕睂䝁䅕睙灂䝁䅙兡橂䍁䅁兑歂䝁䅑督癁䙁䅉党㉂䝁䅕杣穂䝁䅅䅢穂䍁䅁杚療䡁䅉䅉䵂䝁䄴䅉䵂䝁䄸督穂䍁䅁䅋歁䑁䅁䅍睁䍁䅫䅁晃允䅁村䅁䙁䅕杢橂䝁䄸杢穂䑁䅯䅉呂䡁䅕杙穂䡁䅑兙畂䝁䅑兙祂䝁䅑䅉䵂䝁䄸兙畂䡁䅍䅉潁䍁䅑䅍睁䑁䅁克䅁䍁䉙䅁煁䅁䅁兖畂䝁䅍睢畂䡁䅍杏杁䙁䅑兙㑂䝁䅕督杁䍁䅧䅊睁䑁䅁䅍灁䅁䅁䅮䅅䑁䅧䅁噂䝁䄴睙療䝁䄴督㙁䍁䅁䅖療䡁䅑兙獂䍁䅁兑穂䡁䅍党あ䡁䅍䅉潁䍁䅑䅍睁䑁䅁克䅁䥁䉧䅁㡁䅁䅁兖畂䝁䅍睢畂䡁䅍杏杁䙁䅑睢あ䝁䅅䅢杁䕁䅑党睂䝁䄸督灂䡁䅑督杁䍁䅧䅊睁䑁䅁䅍灁䅁䅁兩䅅䑁䅧䅁噂䝁䄴睙療䝁䄴督㙁䍁䅁䅖療䡁䅑兙獂䍁䅁兒硂䡁䅕兡あ䡁䅫䅉潁䍁䅑䅍睁䑁䅁克䅁䙁䉑䅁䍂䅁䅁兖畂䝁䅍睢畂䡁䅍杏杁䙁䅑睢あ䝁䅅䅢杁䕁䅷兡桂䝁䅉兡獂䝁䅫䅤灂䝁䅕督杁䍁䅧䅊睁䑁䅁䅍灁䅁䅁杩䅅䑁䄴䅁噂䝁䄴睙療䝁䄴督㙁䍁䅁䅖療䡁䅑兙獂䍁䅁杔求䡁䅑䅉䵂䝁䄸兙畂䡁䅍䅉潁䍁䅑䅍睁䑁䅁克䅁䍁䉧䅁㙁䅁䅁兖畂䝁䅍睢畂䡁䅍杏杁䙁䅑杣ㅂ䡁䅍䅤杁䙁䅉党㉂䝁䅕杢ㅂ䝁䅕䅉潁䍁䅑䅍睁䑁䅁克䅁䩁䉕䅁慂䅁䅁兖畂䝁䅕兙祂䝁䄴党歂䍁䅁兓畂䝁䅍睢瑂䝁䅕䅉桂䝁䄴䅚杁䕁䄸䅤潂䝁䅕杣杁䕁䅅䅚煂䡁䅕督あ䝁䄰党畂䡁䅑督杁䍁䅧䅊睁䑁䅁䅍灁䅁䅁儵䅅䕁䅉䅁噂䝁䄴党桂䡁䅉杢求䝁䅑䅉卂䝁䅕杤求䝁䄴兤求䍁䅷䅉䑂䡁䅕杣祂䝁䅕杢あ䍁䅁䅋歁䑁䅁䅍睁䍁䅫䅁硂睁䅁杓䅁䙁䅕杢求䝁䅅杣畂䝁䅕䅚杁䙁䅉党㉂䝁䅕杢ㅂ䝁䅕䅌杁䕁䄴睢畂䍁䄰睑ㅂ䡁䅉杣求䝁䄴䅤杁䍁䅧䅊睁䑁䅁䅍灁䅁䅁睗䅍䕁䄴䅁噂䝁䄴杚ㅂ䝁䄴䅚求䝁䅑䅉流䍁䅁杖求䡁䅍䅤求䝁䅑䅉兂䝁䅕杢穂䝁䅫睢畂䍁䅁䅔灂䝁䅅杙畁䍁䅁䅋歁䑁䅁䅍睁䍁䅫䅁婄䅂䅁杣䅁䙁䅕杢浂䡁䅕杢歂䝁䅕䅚杁䕁䅅䅚歂䝁䅫䅤灂䝁䄸杢桂䝁䅷䅉乂䝁䅫杢灂䝁䄰兤瑂䍁䅁䅔灂䝁䅅杙畁䍁䅁䅋兂䝁䅕杢穂䝁䅫睢畂䍁䅁兌杁䕁䅑睢瑂䍁䅫䅉潁䍁䅑䅍睁䑁䅁克䅁䕁䙁䅁祂䅁䅁兖畂䝁䅙兤畂䝁䅑党歂䍁䅁兑歂䝁䅑兡あ䝁䅫睢畂䝁䅅䅢杁䕁䄰兡畂䝁䅫兢ㅂ䝁䄰䅉䵂䝁䅫兙楂䍁䄴䅉潁䙁䅁党畂䡁䅍兡療䝁䄴䅉瑁䍁䅁杒䡂䕁䄴克杁䍁䅧䅊睁䑁䅁䅍灁䅁䅁睵䅑䝁䅙䅁噂䝁䄴杚ㅂ䝁䄴䅚求䝁䅑䅉䉂䝁䅑䅚灂䡁䅑兡療䝁䄴兙獂䍁䅁兔灂䝁䄴兡瑂䡁䅕兢杁䕁䅷兡桂䝁䅉杌杁䍁䅧䅕求䝁䄴督灂䝁䄸杢灁䍁䅁䅋歁䑁䅁䅍睁䍁䅫䅁穃睁䅁杊䅁䙁䅕杢灂䡁䅍入穂䍁䅁睑療䡁䅉䅣療䡁䅉兙あ䝁䅫睢畂䅁䅁䅘䅣䕁䅁䅁噂䝁䄴䅢求䡁䅙党祂䝁䅕䅚杁䕁䅙杣求䝁䅕䅉䑂䝁䅅督潂䍁䅁杒獂䝁䄸睤杁䍁䅧䅊睁䑁䅁䅍灁䅁䅁児䅑䝁䅯䅁噂䝁䄴杣求䝁䅍睢湂䍁䄴䅉兂䡁䅉兡療䡁䅉䅉兂䝁䅷兙畂䍁䅁睕求䡁䅉杤灂䝁䅍党杁䕁䅍睢穂䡁䅑䅉潁䕁䄸䅕䙂䕁䅉䅉瑁䍁䅁䅒療䝁䄰克杁䍁䅧䅊睁䑁䅁䅍灁䅁䅁来䅕䝁䅯䅁噂䝁䄴杣求䝁䅍睢湂䍁䄴䅉兂䡁䅉兡療䡁䅉䅉兂䝁䅷兙畂䍁䅁睕求䡁䅉杤灂䝁䅍党杁䕁䅍睢穂䡁䅑䅉潁䕁䄸䅕䙂䕁䅉䅉瑁䍁䅁杒䡂䕁䄴克杁䍁䅧䅊睁䑁䅁䅍灁䅁䅁儯䅕䙁䄴䅁噂䝁䄴杣求䝁䅍睢湂䍁䄴䅉兂䡁䅉兡療䡁䅉䅉兂䝁䅷兙畂䍁䅁睕求䡁䅉杤灂䝁䅍党杁䕁䅍睢穂䡁䅑䅉潁䕁䄸䅕䙂䕁䅉克杁䍁䅧䅊睁䑁䅁䅍灁䅁䅁䅕䅑䡁䅁䅁噂䝁䄴杣求䝁䅍睢湂䍁䄴䅉兂䡁䅉兡療䡁䅉䅉兂䝁䅷兙畂䍁䅁睕求䡁䅉杤灂䝁䅍党杁䕁䅍睢穂䡁䅑䅉潁䙁䅁党畂䡁䅍兡療䝁䄴䅉瑁䍁䅁䅒療䝁䄰克杁䍁䅧䅊睁䑁䅁䅍灁䅁䅁睏䅕䡁䅁䅁噂䝁䄴杣求䝁䅍睢湂䍁䄴䅉兂䡁䅉兡療䡁䅉䅉兂䝁䅷兙畂䍁䅁睕求䡁䅉杤灂䝁䅍党杁䕁䅍睢穂䡁䅑䅉潁䙁䅁党畂䡁䅍兡療䝁䄴䅉瑁䍁䅁杒䡂䕁䄴克杁䍁䅧䅊睁䑁䅁䅍灁䅁䅁䅶䅕䝁䅑䅁噂䝁䄴杣求䝁䅍睢湂䍁䄴䅉兂䡁䅉兡療䡁䅉䅉兂䝁䅷兙畂䍁䅁睕求䡁䅉杤灂䝁䅍党杁䕁䅍睢穂䡁䅑䅉潁䙁䅁党畂䡁䅍兡療䝁䄴克杁䍁䅧䅊睁䑁䅁䅍灁䅁䅁眹䅍䡁䅉䅁噂䝁䄴杣求䝁䅍睢湂䍁䄴䅉啂䝁䅅䅥杁䕁䅉党畂䝁䅕杚灂䡁䅑䅉䩂䝁䄰䅣桂䝁䅍䅤灂䝁䄴睚杁䕁䅕杚浂䝁䅕睙あ䝁䅫杤求䍁䅁䅖桂䡁䅧䅉卂䝁䅅䅤求䍁䅁䅋歁䑁䅁䅍睁䍁䅫䅁㑁杂䅁䅖䅁䙁䅕杢祂䝁䅕睙療䝁䅣杌杁䙁䅑兙㑂䍁䅁村求䝁䄴党浂䝁䅫䅤穂䍁䅁兌杁䕁䄸䅤潂䝁䅕杣杁䕁䅅䅚煂䍁䄴䅉潁䍁䅑䅍睁䑁䅁克䅁䑁䝁䅁獂䅁䅁兖畂䡁䅉党橂䝁䄸睚畁䍁䅁䅖桂䡁䅧䅉䍂䝁䅕杢求䝁䅙兡あ䡁䅍䅌杁䕁䅉党湂䝁䅫杢畂䝁䅫杢湂䍁䅁睢浂䍁䅁䅤潂䝁䅕䅉兂䝁䅕杣灂䝁䄸䅚杁䍁䅧䅊睁䑁䅁䅍灁䅁䅁䅋䅙䝁䅁䅁噂䝁䄴杣求䝁䅍睢湂䍁䄴䅉啂䝁䅅䅥杁䕁䅉党畂䝁䅕杚灂䡁䅑督獁䍁䅁兒畂䝁䅑䅉療䝁䅙䅉あ䝁䅧党杁䙁䅁党祂䝁䅫睢歂䍁䅁䅋歁䑁䅁䅍睁䍁䅫䅁硁杂䅁䅏䅁䙁䅕䅣杁䕁䅉兡湂䍁䅁兒浂䝁䅙党橂䡁䅑䅉潁䍁䅑䅍睁䑁䅁克杁䍁䅧䅊睁䑁䅁䅍灁䅁䅁䄶䅅䍁䅷䅁噂䡁䅁䅉䍂䝁䅫睚杁䕁䅕杚浂䝁䅕睙あ䍁䅁䅋汁䍁䅫䅉潁䍁䅕克䅁偁䉅䅁㡁䅁䅁兖睂䍁䅁睕瑂䝁䅅䅢獂䍁䅁兒浂䝁䅙党橂䡁䅑䅉潁䍁䅑䅍睁䑁䅁克杁䍁䅧䅊睁䑁䅁䅍灁䅁䅁睵䅅䑁䅁䅁噂䡁䅁䅉呂䝁䄰兙獂䝁䅷䅉䙂䝁䅙杚求䝁䅍䅤杁䍁䅧兊灁䍁䅁䅋汁䍁䅫䅁䵁杁䅁䅓䅁䙁䅕䅤灂䝁䅷兡あ䝁䅫党穂䍁䅁杊杁䕁䅕杢求䡁䅉睚㕂䍁䅁䅔療䝁䅅杢穂䍁䄸䅉䵂䝁䄸兙畂䡁䅍䅉潁䍁䅕克䅁䕁䉯䅁煁䅁䅁杖求䝁䅧兡橂䝁䅷党杁䕁䅷睢桂䝁䄴督杁䍁䅧䅊睁䑁䅁䅍灁䅁䅁䄲䅅䍁䅁䅁坂䝁䄸䅢ㅂ䝁䄰党杁䍁䅧兙橂䡁䅑兤桂䝁䅷克䅁䍁䅷䅁䭁䅁䅁睖啂䕁䅙睑䅁䭁䜸䅁卂䅁䅁睖求䝁䅫睚潂䡁䅑党歂䍁䅁兑㉂䝁䅣杌杁䕁䅉兙穂䝁䅫睙杁䙁䅍䅡桂䡁䅉党穂䍁䅁睔ㅂ䡁䅑杌杁䍁䅧兙橂䡁䅑兤桂䝁䅷克䅁䥁䐴䅁坂䅁䅁睖求䝁䅫睚潂䡁䅑党歂䍁䅁兑㉂䝁䅣杌杁䕁䅑兡獂䡁䅕䅤求䝁䅑䅉呂䝁䅧兙祂䝁䅕督杁䕁䄸兤あ䍁䄴䅉潁䝁䅅睙あ䡁䅕兙獂䍁䅫䅁祁睁䅁䅌䅁䙁䅣党獂䝁䅷督杁䕁䅙兙祂䝁䅣睢杁䍁䅙䅉䑂䝁䄸兢睂䝁䅅杢㕂䅁䅁東䅙䙁䅑䅁塂䝁䅧睢獂䝁䅕督桂䝁䅷党杁䍁䅙䅉卂䝁䅕䅤桂䝁䅫䅢杁䙁䅑杣桂䝁䅑党杁䕁䅷睢桂䝁䄴督癁䍁䅁䅔療䝁䅅杢穂䍁䅁䅋汁䍁䅫䅁䵂允䅁材䅁䙁䅣兡畂䡁䅑杣ㅂ䡁䅍䅤杁䕁䅙兡畂䝁䅅杢橂䝁䅫兙獂䍁䅁睑療䡁䅉䅣療䡁䅉兙あ䝁䅫睢畂䅁䅁䅳䅙䕁䅑䅁塂䝁䄸杣牂䍁䅁兡畂䍁䅁䅕祂䝁䄸睚祂䝁䅕督穂䍁䅁兓畂䡁䅙党畂䡁䅑睢祂䡁䅫䅉潁䍁䅑䅍睁䑁䅁克䅁䝁䑳䅁䥁䅁䅁兗啂䕁䅑䅁歂杂䅁杙䅁䙁䅫兡求䝁䅷䅚杁䝁䄸杢杁䙁䅍党橂䡁䅕杣灂䡁䅑兡求䡁䅍䅉桂䝁䄴䅚杁䕁䄸䅤潂䝁䅕杣杁䕁䅕兙祂䝁䄴兡畂䝁䅣䅉䉂䡁䅍督求䡁䅑督杁䍁䅧兊灁䅁䅁睐䅅䕁䅙䅁婂䝁䅫党獂䝁䅑杏杁䕁䅫杢あ䝁䅕杣求䡁䅍䅤杁䕁䅕兙祂䝁䄴兡畂䝁䅣䅉䉂䡁䅍督求䡁䅑督杁䍁䅧兊灁䅁䅁䅹䅁䙁䅑䅁婂䝁䅫党獂䝁䅑杏杁䕁䅷睢桂䝁䄴督杁䕁䅧党獂䝁䅑䅉浂䝁䄸杣杁䕁䅫杢㉂䝁䅕督あ䝁䄰党畂䡁䅑䅌杁䝁䄴党あ䍁䅁䅋汁䍁䅫䅁䙄䅁䅁材䅁䙁䅫兡求䝁䅷䅚㙁䍁䅁睔あ䝁䅧䅉䩂䝁䄴䅤瑁䝁䅕兙祂䝁䄴䅉䉂䡁䅍督求䡁䅑督杁䍁䅧兊灁䅁䅁杌䅉䕁䅯䅁婂䝁䅫党獂䝁䅑杏杁䙁䅍党橂䍁䅁杊杁䕁䄸䅤潂䍁䅁兓畂䡁䅑兌求䝁䅅杣畂䍁䅁兑穂䡁䅍党あ䡁䅍䅉潁䍁䅕克䅁䑁䍁䅁獁䅁䅁兗灂䝁䅕䅢歂䑁䅯䅉呂䝁䅕睙ㅂ䡁䅉兡あ䝁䅫党穂䍁䅁䅋汁䍁䅫䅁瑁杁䅁䅏䅁䙁䅫兡求䝁䅷䅚㙁䍁䅁䅖療䡁䅑兙獂䍁䅁村桂䝁䄴睡杁䕁䅷睢桂䝁䄴督杁䍁䅧兊灁䅁䅁睸䅁䍁䄴䅁婂䝁䅫党獂䝁䅑杏杁䙁䅑睢あ䝁䅅䅢杁䕁䅷睢桂䝁䄴督杁䍁䅧兊灁䅁䅁䅸䅁䥁䅷䅁扂䕁䄰兓時䙁䅍䅤桂䝁䄴䅚桂䡁䅉䅚䝂䝁䅫杢桂䝁䄴睙灂䝁䅅䅢穂䙁䄸睑療䝁䄰䅣桂䡁䅉兙楂䝁䅷党穂䙁䄸杤硁䍁䄴䅥獂䡁䅍兢摂䕁䅑党あ䝁䅅兡獂䝁䅕䅚時䕁䅍睢瑂䡁䅁督桁䍁䅑村歁䑁䅅杍㙁䍁䅑村歁䑁䅉䅏䅁䅁䡍䅁⭂䅁䅁睗乂䕁䅫睘呂䡁䅑兙畂䝁䅑兙祂䝁䅑杒灂䝁䄴兙畂䝁䅍兡桂䝁䅷督時䕁䅍睢瑂䡁䅁兙祂䝁䅅杙獂䝁䅕督時䡁䅙免畁䡁䅧䅢穂䝁䄰兘䕂䝁䅕䅤桂䝁䅫䅢求䝁䅑睘䑂䝁䄸兢睂䡁䅍光歁䕁䅉䅊ぁ䅁䅁杁䅣䡁䄴䅁扂䕁䄰兓時䙁䅍䅤桂䝁䄴䅚桂䡁䅉䅚䝂䝁䅫杢桂䝁䄴睙灂䝁䅅䅢穂䙁䄸睑療䝁䄰䅣桂䡁䅉兙楂䝁䅷党穂䙁䄸杤硁䍁䄴䅥獂䡁䅍兢摂䕁䅑党あ䝁䅅兡獂䝁䅕䅚時䕁䅍睢瑂䡁䅁督桁䍁䅑村歁䑁䅕䅁祁睂䅁杩䅁䙁䅳兔䩂䙁䄸睕あ䝁䅅杢歂䝁䅅杣歂䕁䅙兡畂䝁䅅杢橂䝁䅫兙獂䡁䅍睘䑂䝁䄸兢睂䝁䅅杣桂䝁䅉䅢求䡁䅍睘㉂䑁䅅杌㑂䝁䅷督瑂䙁䄰䅒求䡁䅑兙灂䝁䅷党歂䙁䄸睑療䝁䄰䅣穂䍁䅅䅊䕂䍁䅑兎㙁䍁䅑杒啂䍁䅑兎䅁䅁䡑䅁䥃䅁䅁睗乂䕁䅫睘呂䡁䅑兙畂䝁䅑兙祂䝁䅑杒灂䝁䄴兙畂䝁䅍兡桂䝁䅷督時䕁䅍睢瑂䡁䅁兙祂䝁䅅杙獂䝁䅕督時䡁䅙免畁䡁䅧䅢穂䝁䄰兘䕂䝁䅕䅤桂䝁䅫䅢求䝁䅑睘䑂䝁䄸兢睂䡁䅍光歁䕁䅑䅊ㅁ䑁䅯䅊䭂䍁䅑兎䅁䑁䡅䅁䭃䅁䅁睗乂䕁䅫睘呂䡁䅑兙畂䝁䅑兙祂䝁䅑杒灂䝁䄴兙畂䝁䅍兡桂䝁䅷督時䕁䅍睢瑂䡁䅁兙祂䝁䅅杙獂䝁䅕督時</t>
  </si>
  <si>
    <t>䡁䅙免畁䡁䅧䅢穂䝁䄰兘䕂䝁䅕䅤桂䝁䅫䅢求䝁䅑睘䑂䝁䄸兢睂䡁䅍光歁䕁䅷䅊ㅁ䑁䅯䅊䝂䙁䅑䅊ㅁ䅁䅁睍䅣䩁䅁䅁扂䕁䄰兓時䙁䅍䅤桂䝁䄴䅚桂䡁䅉䅚䝂䝁䅫杢桂䝁䄴睙灂䝁䅅䅢穂䙁䄸睑療䝁䄰䅣桂䡁䅉兙楂䝁䅷党穂䙁䄸杤硁䍁䄴䅥獂䡁䅍兢摂䕁䅙兡畂䝁䅅杢橂䝁䅫兙獂䙁䄸睕あ䝁䅅䅤求䝁䄰党畂䡁䅑督桁䍁䅑睑歁䑁䅅䅍睁䑁䅧䅁䩁睂䅁杩䅁䙁䅳兔䩂䙁䄸睕あ䝁䅅杢歂䝁䅅杣歂䕁䅙兡畂䝁䅅杢橂䝁䅫兙獂䡁䅍睘䑂䝁䄸兢睂䝁䅅杣桂䝁䅉䅢求䡁䅍睘㉂䑁䅅杌㑂䝁䅷督瑂䙁䄰杒灂䝁䄴兙畂䝁䅍兡桂䝁䅷睘呂䡁䅑兙あ䝁䅕兢求䝁䄴䅤穂䍁䅅䅊䑂䍁䅑䅎䅁䅁䡕䅁䭃䅁䅁睗乂䕁䅫睘呂䡁䅑兙畂䝁䅑兙祂䝁䅑杒灂䝁䄴兙畂䝁䅍兡桂䝁䅷督時䕁䅍睢瑂䡁䅁兙祂䝁䅅杙獂䝁䅕督時䡁䅙免畁䡁䅧䅢穂䝁䄰兘䝂䝁䅫杢桂䝁䄴睙灂䝁䅅䅢時䙁䅍䅤桂䡁䅑党瑂䝁䅕杢あ䡁䅍光歁䕁䅍䅊ㅁ䅁䅁克䅣䥁䅯䅁扂䕁䄰兓時䙁䅍䅤桂䝁䄴䅚桂䡁䅉䅚䝂䝁䅫杢桂䝁䄴睙灂䝁䅅䅢穂䙁䄸睑療䝁䄰䅣桂䡁䅉兙楂䝁䅷党穂䙁䄸杤硁䍁䄴䅥獂䡁䅍兢摂䕁䅙兡畂䝁䅅杢橂䝁䅫兙獂䙁䄸睕あ䝁䅅䅤求䝁䄰党畂䡁䅑督桁䍁䅑睑歁䑁䅙䅁牁睂䅁杩䅁䙁䅳兔䩂䙁䄸睕あ䝁䅅杢歂䝁䅅杣歂䕁䅙兡畂䝁䅅杢橂䝁䅫兙獂䡁䅍睘䑂䝁䄸兢睂䝁䅅杣桂䝁䅉䅢求䡁䅍睘㉂䑁䅅杌㑂䝁䅷督瑂䙁䄰杒灂䝁䄴兙畂䝁䅍兡桂䝁䅷睘呂䡁䅑兙あ䝁䅕兢求䝁䄴䅤穂䍁䅅䅊䑂䍁䅑睎䅁䍁䠰䅁䭃䅁䅁睗乂䕁䅫睘呂䡁䅑兙畂䝁䅑兙祂䝁䅑杒灂䝁䄴兙畂䝁䅍兡桂䝁䅷督時䕁䅍睢瑂䡁䅁兙祂䝁䅅杙獂䝁䅕督時䡁䅙免畁䡁䅧䅢穂䝁䄰兘䝂䝁䅫杢桂䝁䄴睙灂䝁䅅䅢時䙁䅍䅤桂䡁䅑党瑂䝁䅕杢あ䡁䅍光歁䕁䅍䅊㑁䅁䅁睌䅣䭁䅁䅁扂䕁䄰兓時䙁䅍䅤桂䝁䄴䅚桂䡁䅉䅚䝂䝁䅫杢桂䝁䄴睙灂䝁䅅䅢穂䙁䄸睑療䝁䄰䅣桂䡁䅉兙楂䝁䅷党穂䙁䄸杤硁䍁䄴䅥獂䡁䅍兢摂䕁䅙兡畂䝁䅅杢橂䝁䅫兙獂䙁䄸睕あ䝁䅅䅤求䝁䄰党畂䡁䅑督桁䍁䅑䅒歁䑁䅅䅍祁䑁䅁杏歁䕁䅑䅊硁䑁䅁杍ぁ䅁䅁睃䅣䩁䅷䅁扂䕁䄰兓時䙁䅍䅤桂䝁䄴䅚桂䡁䅉䅚䝂䝁䅫杢桂䝁䄴睙灂䝁䅅䅢穂䙁䄸睑療䝁䄰䅣桂䡁䅉兙楂䝁䅷党穂䙁䄸杤硁䍁䄴䅥獂䡁䅍兢摂䕁䅙兡畂䝁䅅杢橂䝁䅫兙獂䙁䄸睕あ䝁䅅䅤求䝁䄰党畂䡁䅑督桁䍁䅑䅒歁䑁䅅李睁䑁䅯䅊䕂䍁䅑睍祁䑁䅍䅁煁睂䅁䅮䅁䙁䅳兔䩂䙁䄸睕あ䝁䅅杢歂䝁䅅杣歂䕁䅙兡畂䝁䅅杢橂䝁䅫兙獂䡁䅍睘䑂䝁䄸兢睂䝁䅅杣桂䝁䅉䅢求䡁䅍睘㉂䑁䅅杌㑂䝁䅷督瑂䙁䄰杒灂䝁䄴兙畂䝁䅍兡桂䝁䅷睘呂䡁䅑兙あ䝁䅕兢求䝁䄴䅤穂䍁䅅䅊䕂䍁䅑睍祁䑁䅙杏歁䕁䅑䅊ぁ䑁䅙兎䅁䍁䡷䅁捃䅁䅁睗乂䕁䅫睘呂䡁䅑兙畂䝁䅑兙祂䝁䅑杒灂䝁䄴兙畂䝁䅍兡桂䝁䅷督時䕁䅍睢瑂䡁䅁兙祂䝁䅅杙獂䝁䅕督時䡁䅙免畁䡁䅧䅢穂䝁䄰兘䝂䝁䅫杢桂䝁䄴睙灂䝁䅅䅢時䙁䅍䅤桂䡁䅑党瑂䝁䅕杢あ䡁䅍光歁䕁䅑䅊ぁ䑁䅙兏㙁䍁䅑䅒歁䑁䅣䅎硁䅁䅁杌䅣䩁䄴䅁扂䕁䄰兓時䙁䅍䅤桂䝁䄴䅚桂䡁䅉䅚䝂䝁䅫杢桂䝁䄴睙灂䝁䅅䅢穂䙁䄸睑療䝁䄰䅣桂䡁䅉兙楂䝁䅷党穂䙁䄸杤硁䍁䄴䅥獂䡁䅍兢摂䕁䅙兡畂䝁䅅杢橂䝁䅫兙獂䙁䄸睕あ䝁䅅䅤求䝁䄰党畂䡁䅑督桁䍁䅑䅒歁䑁䅣䅎ㅁ䑁䅯䅊䕂䍁䅑免睁䑁䅫䅏䅁䑁䡁䅁慃䅁䅁睗乂䕁䅫睘呂䡁䅑兙畂䝁䅑兙祂䝁䅑杒灂䝁䄴兙畂䝁䅍兡桂䝁䅷督時䕁䅍睢瑂䡁䅁兙祂䝁䅅杙獂䝁䅕督時䡁䅙免畁䡁䅧䅢穂䝁䄰兘䝂䝁䅫杢桂䝁䄴睙灂䝁䅅䅢時䙁䅍䅤桂䡁䅑党瑂䝁䅕杢あ䡁䅍光歁䕁䅑䅊㕁䑁䅯䅊䕂䍁䅑免睁䑁䅫䅏䅁䅁䡣䅁奃䅁䅁睗乂䕁䅫睘呂䡁䅑兙畂䝁䅑兙祂䝁䅑杒灂䝁䄴兙畂䝁䅍兡桂䝁䅷督時䕁䅍睢瑂䡁䅁兙祂䝁䅅杙獂䝁䅕督時䡁䅙免畁䡁䅧䅢穂䝁䄰兘䝂䝁䅫杢桂䝁䄴睙灂䝁䅅䅢時䙁䅍䅤桂䡁䅑党瑂䝁䅕杢あ䡁䅍光歁䕁䅑䅊㕁䑁䅯䅊䕂䍁䅑免ㅁ䑁䅙䅁潁睂䅁䅯䅁䙁䅳兔䩂䙁䄸睕あ䝁䅅杢歂䝁䅅杣歂䕁䅙兡畂䝁䅅杢橂䝁䅫兙獂䡁䅍睘䑂䝁䄸兢睂䝁䅅杣桂䝁䅉䅢求䡁䅍睘㉂䑁䅅杌㑂䝁䅷督瑂䙁䄰杒灂䝁䄴兙畂䝁䅍兡桂䝁䅷睘呂䡁䅑兙あ䝁䅕兢求䝁䄴䅤穂䍁䅅䅊䙂䍁䅑免睁䑁䅁䅏㙁䍁䅑䅕歁䑁䅅䅍睁䑁䅧䅁䭁睂䅁䅯䅁䙁䅳兔䩂䙁䄸睕あ䝁䅅杢歂䝁䅅杣歂䕁䅙兡畂䝁䅅杢橂䝁䅫兙獂䡁䅍睘䑂䝁䄸兢睂䝁䅅杣桂䝁䅉䅢求䡁䅍睘㉂䑁䅅杌㑂䝁䅷督瑂䙁䄰杒灂䝁䄴兙畂䝁䅍兡桂䝁䅷睘呂䡁䅑兙あ䝁䅕兢求䝁䄴䅤穂䍁䅅䅊䙂䍁䅑免睁䑁䅁兏㙁䍁䅑䅕歁䑁䅅䅍睁䑁䅫䅁䵁睂䅁䅯䅁䙁䅳兔䩂䙁䄸睕あ䝁䅅杢歂䝁䅅杣歂䕁䅙兡畂䝁䅅杢橂䝁䅫兙獂䡁䅍睘䑂䝁䄸兢睂䝁䅅杣桂䝁䅉䅢求䡁䅍睘㉂䑁䅅杌㑂䝁䅷督瑂䙁䄰杒灂䝁䄴兙畂䝁䅍兡桂䝁䅷睘呂䡁䅑兙あ䝁䅕兢求䝁䄴䅤穂䍁䅅䅊䙂䍁䅑免睁䑁䅉䅍㙁䍁䅑兒歁䑁䅅䅍祁䑁䅑䅁允睂䅁䅬䅁䙁䅳兔䩂䙁䄸睕あ䝁䅅杢歂䝁䅅杣歂䕁䅙兡畂䝁䅅杢橂䝁䅫兙獂䡁䅍睘䑂䝁䄸兢睂䝁䅅杣桂䝁䅉䅢求䡁䅍睘㉂䑁䅅杌㑂䝁䅷督瑂䙁䄰杒灂䝁䄴兙畂䝁䅍兡桂䝁䅷睘呂䡁䅑兙あ䝁䅕兢求䝁䄴䅤穂䍁䅅䅊䙂䍁䅑䅎㙁䍁䅑䅕歁䑁䅑䅁䝁睂䅁䅬䅁䙁䅳兔䩂䙁䄸睕あ䝁䅅杢歂䝁䅅杣歂䕁䅙兡畂䝁䅅杢橂䝁䅫兙獂䡁䅍睘䑂䝁䄸兢睂䝁䅅杣桂䝁䅉䅢求䡁䅍睘㉂䑁䅅杌㑂䝁䅷督瑂䙁䄰杒灂䝁䄴兙畂䝁䅍兡桂䝁䅷睘呂䡁䅑兙あ䝁䅕兢求䝁䄴䅤穂䍁䅅䅊䙂䍁䅑兎㙁䍁䅑䅕歁䑁䅕䅁䥁睂䅁䅯䅁䙁䅳兔䩂䙁䄸睕あ䝁䅅杢歂䝁䅅杣歂䕁䅙兡畂䝁䅅杢橂䝁䅫兙獂䡁䅍睘䑂䝁䄸兢睂䝁䅅杣桂䝁䅉䅢求䡁䅍睘㉂䑁䅅杌㑂䝁䅷督瑂䙁䄰杒灂䝁䄴兙畂䝁䅍兡桂䝁䅷睘呂䡁䅑兙あ䝁䅕兢求䝁䄴䅤穂䍁䅅䅊䝂䍁䅑免睁䑁䅁䅏㙁䍁䅑兕歁䑁䅅䅍睁䑁䅧䅁偁睂䅁䅯䅁䙁䅳兔䩂䙁䄸睕あ䝁䅅杢歂䝁䅅杣歂䕁䅙兡畂䝁䅅杢橂䝁䅫兙獂䡁䅍睘䑂䝁䄸兢睂䝁䅅杣桂䝁䅉䅢求䡁䅍睘㉂䑁䅅杌㑂䝁䅷督瑂䙁䄰杒灂䝁䄴兙畂䝁䅍兡桂䝁䅷睘呂䡁䅑兙あ䝁䅕兢求䝁䄴䅤穂䍁䅅䅊䝂䍁䅑免睁䑁䅁兏㙁䍁䅑兕歁䑁䅅䅍睁䑁䅫䅁剁睂䅁䅬䅁䙁䅳兔䩂䙁䄸睕あ䝁䅅杢歂䝁䅅杣歂䕁䅙兡畂䝁䅅杢橂䝁䅫兙獂䡁䅍睘䑂䝁䄸兢睂䝁䅅杣桂䝁䅉䅢求䡁䅍睘㉂䑁䅅杌㑂䝁䅷督瑂䙁䄰杒灂䝁䄴兙畂䝁䅍兡桂䝁䅷睘呂䡁䅑兙あ䝁䅕兢求䝁䄴䅤穂䍁䅅䅊䝂䍁䅑䅎㙁䍁䅑兕歁䑁䅑䅁乁睂䅁䅬䅁䙁䅳兔䩂䙁䄸睕あ䝁䅅杢歂䝁䅅杣歂䕁䅙兡畂䝁䅅杢橂䝁䅫兙獂䡁䅍睘䑂䝁䄸兢睂䝁䅅杣桂䝁䅉䅢求䡁䅍睘㉂䑁䅅杌㑂䝁䅷督瑂䙁䄰杒灂䝁䄴兙畂䝁䅍兡桂䝁䅷睘呂䡁䅑兙あ䝁䅕兢求䝁䄴䅤穂䍁䅅䅊䝂䍁䅑兎㙁䍁䅑兕歁䑁䅕䅁佁睂䅁䅧䅁䙁䅳兔䩂䙁䄸睕あ䝁䅅杢歂䝁䅅杣歂䕁䅙兡畂䝁䅅杢橂䝁䅫兙獂䡁䅍睘䑂䝁䄸兢睂䡁䅍睘㉂䑁䅅杌㑂䝁䅷督瑂䙁䄰䅒求䡁䅑兙灂䝁䅷党歂䙁䄸睑療䝁䄰䅣穂䍁䅅䅊䍂䍁䅑免祁䑁䅯䅊䍂䍁䅑杍㑁䅁䅁八䅙䡁䅉䅁扂䕁䄰兓時䙁䅍䅤桂䝁䄴䅚桂䡁䅉䅚䝂䝁䅫杢桂䝁䄴睙灂䝁䅅䅢穂䙁䄸睑療䝁䄰䅣穂䙁䄸杤硁䍁䄴䅥獂䡁䅍兢摂䕁䅑党あ䝁䅅兡獂䝁䅕䅚時䕁䅍睢瑂䡁䅁督桁䍁䅑村歁䑁䅑䅁元杂䅁杦䅁䙁䅳兔䩂䙁䄸睕あ䝁䅅杢歂䝁䅅杣歂䕁䅙兡畂䝁䅅杢橂䝁䅫兙獂䡁䅍睘䑂䝁䄸兢睂䡁䅍睘㉂䑁䅅杌㑂䝁䅷督瑂䙁䄰䅒求䡁䅑兙灂䝁䅷党歂䙁䄸睑療䝁䄰䅣穂䍁䅅䅊䕂䍁䅑兎㙁䍁䅑杒啂䍁䅑兎䅁䩁䝉䅁䕃䅁䅁睗乂䕁䅫睘呂䡁䅑兙畂䝁䅑兙祂䝁䅑杒灂䝁䄴兙畂䝁䅍兡桂䝁䅷督時䕁䅍睢瑂䡁䅁督時䡁䅙免畁䡁䅧䅢穂䝁䄰兘䝂䝁䅫杢桂䝁䄴睙灂䝁䅅䅢時䙁䅍䅤桂䡁䅑党瑂䝁䅕杢あ䡁䅍光歁䕁䅍䅊硁䑁䅁䅍㑁䅁䅁內䅙䡁䄴䅁扂䕁䄰兓時䙁䅍䅤桂䝁䄴䅚桂䡁䅉䅚䝂䝁䅫杢桂䝁䄴睙灂䝁䅅䅢穂䙁䄸睑療䝁䄰䅣穂䙁䄸杤硁䍁䄴䅥獂䡁䅍兢摂䕁䅙兡畂䝁䅅杢橂䝁䅫兙獂䙁䄸睕あ䝁䅅䅤求䝁䄰党畂䡁䅑督桁䍁䅑睑歁䑁䅑䅁䡃杂䅁䅨䅁䙁䅳兔䩂䙁䄸睕あ䝁䅅杢歂䝁䅅杣歂䕁䅙兡畂䝁䅅杢橂䝁䅫兙獂䡁䅍睘䑂䝁䄸兢睂䡁䅍睘㉂䑁䅅杌㑂䝁䅷督瑂䙁䄰杒灂䝁䄴兙畂䝁䅍兡桂䝁䅷睘呂䡁䅑兙あ䝁䅕兢求䝁䄴䅤穂䍁䅅䅊䕂䍁䅑免睁䑁䅅睎䅁䥁䝍䅁䕃䅁䅁睗乂䕁䅫睘呂䡁䅑兙畂䝁䅑兙祂䝁䅑杒灂䝁䄴兙畂䝁䅍兡桂䝁䅷督時䕁䅍睢瑂䡁䅁督時䡁䅙免畁䡁䅧䅢穂䝁䄰兘䝂䝁䅫杢桂䝁䄴睙灂䝁䅅䅢時䙁䅍䅤桂䡁䅑党瑂䝁䅕杢あ䡁䅍光歁䕁䅑䅊硁䑁䅁免㑁䅁䅁杨䅙䩁䅑䅁扂䕁䄰兓時䙁䅍䅤桂䝁䄴䅚桂䡁䅉䅚䝂䝁䅫杢桂䝁䄴睙灂䝁䅅䅢穂䙁䄸睑療䝁䄰䅣穂䙁䄸杤硁䍁䄴䅥獂䡁䅍兢摂䕁䅙兡畂䝁䅅杢橂䝁䅫兙獂䙁䄸睕あ䝁䅅䅤求䝁䄰党畂䡁䅑督桁䍁䅑䅒歁䑁䅅䅍祁䑁䅁杏歁䕁䅑䅊硁䑁䅁杍ぁ䅁䅁睩䅙䥁䄴䅁扂䕁䄰兓時䙁䅍䅤桂䝁䄴䅚桂䡁䅉䅚䝂䝁䅫杢桂䝁䄴睙灂䝁䅅䅢穂䙁䄸睑療䝁䄰䅣穂䙁䄸杤硁䍁䄴䅥獂䡁䅍兢摂䕁䅙兡畂䝁䅅杢橂䝁䅫兙獂䙁䄸睕あ䝁䅅䅤求䝁䄰党畂䡁䅑督桁䍁䅑䅒歁䑁䅫杏歁䕁䅑䅊硁䑁䅁兏硁䅁䅁兩䅙䥁䄴䅁扂䕁䄰兓時䙁䅍䅤桂䝁䄴䅚桂䡁䅉䅚䝂䝁䅫杢桂䝁䄴睙灂䝁䅅䅢穂䙁䄸睑療䝁䄰䅣穂䙁䄸杤硁䍁䄴䅥獂䡁䅍兢摂䕁䅙兡畂䝁䅅杢橂䝁䅫兙獂䙁䄸睕あ䝁䅅䅤求䝁䄰党畂䡁䅑督桁䍁䅑䅒歁䑁䅫杏歁䕁䅑䅊硁䑁䅁兏㑁䅁䅁朵䅙䩁䅑䅁扂䕁䄰兓時䙁䅍䅤桂䝁䄴䅚桂䡁䅉䅚䝂䝁䅫杢桂䝁䄴睙灂䝁䅅䅢穂䙁䄸睑療䝁䄰䅣穂䙁䄸杤硁䍁䄴䅥獂䡁䅍兢摂䕁䅙兡畂䝁䅅杢橂䝁䅫兙獂䙁䄸睕あ䝁䅅䅤求䝁䄰党畂䡁䅑督桁䍁䅑兒歁䑁䅅䅍睁䑁䅧杏歁䙁䅁䅊硁䑁䅁䅍㑁䅁䅁杧䅙䩁䅑䅁扂䕁䄰兓時䙁䅍䅤桂䝁䄴䅚桂䡁䅉䅚䝂䝁䅫杢桂䝁䄴睙灂䝁䅅䅢穂䙁䄸睑療䝁䄰䅣穂䙁䄸杤硁䍁䄴䅥獂䡁䅍兢摂䕁䅙兡畂䝁䅅杢橂䝁䅫兙獂䙁䄸睕あ䝁䅅䅤求䝁䄰党畂䡁䅑督桁䍁䅑兒歁䑁䅅䅍睁䑁䅫杏歁䙁䅁䅊硁䑁䅁䅍㕁䅁䅁䅨䅙䥁䅧䅁扂䕁䄰兓時䙁䅍䅤桂䝁䄴䅚桂䡁䅉䅚䝂䝁䅫杢桂䝁䄴睙灂䝁䅅䅢穂䙁䄸睑療䝁䄰䅣穂䙁䄸杤硁䍁䄴䅥獂䡁䅍兢摂䕁䅙兡畂䝁䅅杢橂䝁䅫兙獂䙁䄸睕あ䝁䅅䅤求䝁䄰党畂䡁䅑督桁䍁䅑兒歁䑁䅑杏歁䙁䅁䅊ぁ䅁䅁䅩䅙䥁䅧䅁扂䕁䄰兓時䙁䅍䅤桂䝁䄴䅚桂䡁䅉䅚䝂䝁䅫杢桂䝁䄴睙灂䝁䅅䅢穂䙁䄸睑療䝁䄰䅣穂䙁䄸杤硁䍁䄴䅥獂䡁䅍兢摂䕁䅙兡畂䝁䅅杢橂䝁䅫兙獂䙁䄸睕あ䝁䅅䅤求䝁䄰党畂䡁䅑督桁䍁䅑兒歁䑁䅕杏歁䙁䅁䅊ㅁ䅁䅁杩䅙䡁䅙䅁扂䕁䄰兓時䙁䅣睢祂䝁䅷䅚㍂䝁䅫䅚求䕁䅉兙畂䝁䅳督時䑁䅉䅕桂䝁䅣党兂䡁䅉睢浂䝁䅫䅢求䙁䄸杤硁䍁䄴䅥獂䡁䅍兢摂䕁䅍睢瑂䡁䅁兙畂䡁䅫睘䵂䝁䅫督あ䍁䅅䅊䍂䍁䅑免祁䅁䅁杇䅁䥁䅉䅁扂䕁䄰兓時䙁䅣睢祂䝁䅷䅚㍂䝁䅫䅚求䕁䅉兙畂䝁䅳督時䑁䅉䅕桂䝁䅣党兂䡁䅉睢浂䝁䅫䅢求䙁䄸杤硁䍁䄴䅥獂䡁䅍兢摂䕁䅍睢瑂䡁䅁兙畂䡁䅫睘䵂䝁䅫督あ䍁䅅䅊䙂䍁䅑免㕁䑁䅯䅊䡂䍁䅑免㕁䅁䅁䅈䅁䥁䅉䅁扂䕁䄰兓時䙁䅣睢祂䝁䅷䅚㍂䝁䅫䅚求䕁䅉兙畂䝁䅳督時䑁䅉䅕桂䝁䅣党兂䡁䅉睢浂䝁䅫䅢求䙁䄸杤硁䍁䄴䅥獂䡁䅍兢摂䕁䅍睢瑂䡁䅁兙畂䡁䅫睘䵂䝁䅫督あ䍁䅅䅊䙂䍁䅑免㕁䑁䅯䅊䥂䍁䅑免㕁䅁䅁䅉䅁䡁䅧䅁扂䕁䄰兓時䙁䅣睢祂䝁䅷䅚㍂䝁䅫䅚求䕁䅉兙畂䝁䅳督時䑁䅉䅕桂䝁䅣党兂䡁䅉睢浂䝁䅫䅢求䙁䄸杤硁䍁䄴䅥獂䡁䅍兢摂䕁䅫杢穂䡁䅑杣ㅂ䝁䅍䅤灂䝁䄸杢穂䍁䅅䅊噂䍁䅑免穁䑁䅕䅁桁䅁䅁䅥䅁䙁䅳兔䩂䙁䄸睖療䡁䅉䅢歂䡁䅣兡歂䝁䅕村桂䝁䄴睡穂䙁䄸杍兂䝁䅅睚求䙁䅁杣療䝁䅙兡獂䝁䅕睘㉂䑁䅅杌㑂䝁䅷督瑂䙁䄰兓畂䡁䅍䅤祂䡁䅕睙あ䝁䅫睢畂䡁䅍光歁䙁䅕䅊硁䑁䅍兏䅁䍁䅉䅁㑂䅁䅁睗乂䕁䅫睘塂䝁䄸杣獂䝁䅑睤灂䝁䅑党䍂䝁䅅杢牂䡁䅍睘祁䙁䅁兙湂䝁䅕䅕祂䝁䄸杚灂䝁䅷党時䡁䅙免畁䡁䅧䅢穂䝁䄰兘䩂䝁䄴督あ䡁䅉兤橂䡁䅑兡療䝁䄴督桁䍁䅑杖歁䑁䅅睍㉁䅁䅁睉䅁䝁䅷䅁扂䕁䄰兓時䙁䅣睢祂䝁䅷䅚㍂䝁䅫䅚求䕁䅉兙畂䝁䅳督時䑁䅉䅕桂䝁䅣党兂䡁䅉睢浂䝁䅫䅢求䙁䄸杤硁䍁䄴䅥獂䡁䅍兢摂䕁䄰兓時䕁䅑兙あ䝁䅅光歁䕁䅅䅓歁䑁䅣䅁啁䅁䅁䅦䅁䙁䅳兔䩂䙁䄸睖療䡁䅉䅢歂䡁䅣兡歂䝁䅕村桂䝁䄴睡穂䙁䄸杍兂䝁䅅睚求䙁䅁杣療䝁䅙兡獂䝁䅕睘㉂䑁䅅杌㑂䝁䅷督瑂䙁䄰兔䩂䙁䄸䅒桂䡁䅑兙桁䍁䅑兑䭂䍁䅑免硁䑁䅯䅊䉂䙁䅅䅊硁䑁䅅䅁坁䅁䅁条䅁䙁䅳兔䩂䙁䄸睖療䡁䅉䅢歂䡁䅣兡歂䝁䅕村桂䝁䄴睡穂䙁䄸杍兂䝁䅅睚求䙁䅁杣療䝁䅙兡獂䝁䅕睘㉂䑁䅅杌㑂䝁䅷督瑂䙁䄰兔䩂䙁䄸䅒桂䡁䅑兙桁䍁䅑睑歁䑁䅙䅁剁䅁䅁䅥䅁䙁䅳兔䩂䙁䄸睖療䡁䅉䅢歂䡁䅣兡歂䝁䅕村桂䝁䄴睡穂䙁䄸杍兂䝁䅅睚求䙁䅁杣療䝁䅙兡獂䝁䅕睘㉂䑁䅅杌㑂䝁䅷督瑂䙁䄰兔䩂䙁䄸䅒桂䡁䅑兙桁䍁䅑兒歁䑁䅅免㙁䍁䅑兒歁䑁䅫杍䅁䉁䅍䅁煂䅁䅁睗乂䕁䅫睘塂䝁䄸杣獂䝁䅑睤灂䝁䅑党䍂䝁䅅杢牂䡁䅍睘祁䙁䅁兙湂䝁䅕䅕祂䝁䄸杚灂䝁䅷党時䡁䅙免畁䡁䅧䅢穂䝁䄰兘乂䕁䅫睘䕂䝁䅅䅤桂䍁䅅䅊䥂䍁䅑李䅁䉁䅉䅁あ䅁䅁睗乂䕁䅫睘塂䝁䄸杣獂䝁䅑睤灂䝁䅑党䍂䝁䅅杢牂䡁䅍睘祁䙁䅁兙湂䝁䅕䅕祂䝁䄸杚灂䝁䅷党時䡁䅙免畁䡁䅧䅢穂䝁䄰兘乂䕁䅫睘䕂䝁䅅䅤桂䙁䄸兑䝂䕁䅫睒桁䍁䅑兕歁䑁䅣䅁橁允䅁杧䅁䙁䅳兔䩂䙁䄸睖療䡁䅉䅢歂䡁䅣兡歂䝁䅕村桂䝁䄴睡穂䙁䄸杍兂䝁䅅睚求䙁䅁杣療䝁䅙兡獂䝁䅕睘㉂䑁䅅杌㑂䝁䅷督瑂䙁䄰兔䩂䙁䄸䅒桂䡁䅑兙時䕁䅅杒䩂䕁䅣光歁䙁䅍䅊硁䑁䅉杏歁䙁䅍䅊㉁䑁䅣䅁汁允䅁䅤䅁䙁䅳兔䩂䙁䄸睖療䡁䅉䅢歂䡁䅣兡歂䝁䅕村桂䝁䄴睡穂䙁䄸杍兂䝁䅅睚求䙁䅁杣療䝁䅙兡獂䝁䅕睘㉂䑁䅅杌㑂䝁䅷督瑂䙁䄰兔䩂䙁䄸䅒桂䡁䅑兙時䕁䅅杒䩂䕁䅣光歁䙁䅙䅊㍁䅁䅁䅊䅅䡁䅷䅁扂䕁䄰兓時䙁䅣睢祂䝁䅷䅚㍂䝁䅫䅚求䕁䅉兙畂䝁䅳督時䑁䅉䅕桂䝁䅣党兂䡁䅉睢浂䝁䅫䅢求䙁䄸杤硁䍁䄴䅥獂䡁䅍兢摂䙁䅍兤瑂䝁䄰兙祂䡁䅫睘兂䡁䅉睢浂䝁䅫䅢求䍁䅅䅊䑂䍁䅑睍睁䅁䅁睂䅁䥁䅯䅁扂䕁䄰兓時䙁䅣睢祂䝁䅷䅚㍂䝁䅫䅚求䕁䅉兙畂䝁䅳督時䑁䅉䅕桂䝁䅣党兂䡁䅉睢浂䝁䅫䅢求䙁䄸杤硁䍁䄴䅥獂䡁䅍兢摂䙁䅍兤瑂䝁䄰兙祂䡁䅫睘兂䡁䅉睢浂䝁䅫䅢求䍁䅅䅊䕂䍁䅑兏穁䑁䅯䅊䕂䍁䅑杍穁䑁䅑䅁䩁䅁䅁䅩䅁䙁䅳兔䩂䙁䄸睖療䡁䅉䅢歂䡁䅣兡歂䝁䅕村桂䝁䄴睡穂䙁䄸杍兂䝁䅅睚求䙁䅁杣療䝁䅙兡獂䝁䅕睘㉂䑁䅅杌㑂䝁䅷督瑂䙁䄰睕ㅂ䝁䄰兢桂䡁䅉入時䙁䅁杣療䝁䅙兡獂䝁䅕光歁䕁䅕䅊穁䑁䅅杏歁䕁䅫䅊穁䑁䅅䅁䥁䅁䅁䅩䅁䙁䅳兔䩂䙁䄸睖療䡁䅉䅢歂䡁䅣兡歂䝁䅕村桂䝁䄴睡穂䙁䄸杍兂䝁䅅睚求䙁䅁杣療䝁䅙兡獂䝁䅕睘㉂䑁䅅杌㑂䝁䅷督瑂䙁䄰睕ㅂ䝁䄰兢桂䡁䅉入時䙁䅁杣療䝁䅙兡獂䝁䅕光歁䕁䅕䅊穁䑁䅉杏歁䕁䅫䅊穁䑁䅉䅁䭁䅁䅁䅦䅁䙁䅳兔䩂䙁䄸睖療䡁䅉䅢歂䡁䅣兡歂䝁䅕村桂䝁䄴睡穂䙁䄸杍兂䝁䅅睚求䙁䅁杣療䝁䅙兡獂䝁䅕睘㉂䑁䅅杌㑂䝁䅷督瑂䙁䄰睕ㅂ䝁䄰兢桂䡁䅉入時䙁䅁杣療䝁䅙兡獂䝁䅕光歁䕁䅳䅊穁䑁䅁䅁乁䅁䅁杩䅁䙁䅳兔䩂䙁䄸睖療䡁䅉䅢歂䡁䅣兡歂䝁䅕村桂䝁䄴睡穂䙁䄸杍兂䝁䅅睚求䙁䅁杣療䝁䅙兡獂䝁䅕睘㉂䑁䅅杌㑂䝁䅷督瑂䙁䄰睕ㅂ䝁䄰兢桂䡁䅉入時䙁䅁杣療䝁䅙兡獂䝁䅕光歁䕁䅷䅊ㅁ䑁䅕杏歁䕁䅷䅊祁䑁䅅兏䅁䅁䄸䅁䥃䅁䅁睗乂䕁䅫睘塂䝁䄸杣獂䝁䅑睤灂䝁䅑党䍂䝁䅅杢牂䡁䅍睘祁䙁䅁兙湂䝁䅕䅕祂䝁䄸杚灂䝁䅷党時䡁䅙免畁䡁䅧䅢穂䝁䄰兘呂䡁䅕兢瑂䝁䅅杣㕂䙁䄸䅕祂䝁䄸杚灂䝁䅷党桁䍁䅑兔歁䑁䅍免㙁䍁䅑兕歁䑁䅍免䅁䅁䄴䅁䥃䅁䅁睗乂䕁䅫睘塂䝁䄸杣獂䝁䅑睤灂䝁䅑党䍂䝁䅅杢牂䡁䅍睘祁䙁䅁兙湂䝁䅕䅕祂䝁䄸杚灂䝁䅷党時䡁䅙免畁䡁䅧䅢穂䝁䄰兘呂䡁䅕兢瑂䝁䅅杣㕂䙁䄸䅕祂䝁䄸杚灂䝁䅷党桁䍁䅑兔歁䑁䅍杍㙁䍁䅑兕歁䑁䅍杍䅁䉁䅁䅁佃䅁䅁睗呂䙁䅁睒時䙁䅍䅤桂䝁䄴䅚桂䡁䅉䅚䝂䝁䅫杢桂䝁䄴睙灂䝁䅅䅢穂䙁䄸睑療䝁䄰䅣桂䡁䅉兙楂䝁䅷党穂䙁䄸杤硁䍁䄴䅥獂䡁䅍兢摂䕁䅑党あ䝁䅅兡獂䝁䅕䅚時䕁䅍睢瑂䡁䅁督桁䍁䅑村歁䑁䅅杍㙁䍁䅑村歁䑁䅉䅏䅁䕁䡕䅁䅃䅁䅁睗呂䙁䅁睒時䙁䅍䅤桂䝁䄴䅚桂䡁䅉䅚䝂䝁䅫杢桂䝁䄴睙灂䝁䅅䅢穂䙁䄸睑療䝁䄰䅣桂䡁䅉兙楂䝁䅷党穂䙁䄸杤硁䍁䄴䅥獂䡁䅍兢摂䕁䅑党あ䝁䅅兡獂䝁䅕䅚時䕁䅍睢瑂䡁䅁督桁䍁䅑村歁䑁䅑䅁䕂睂䅁䅧䅁䙁䅳睕兂䕁䅣睘呂䡁䅑兙畂䝁䅑兙祂䝁䅑杒灂䝁䄴兙畂䝁䅍兡桂䝁䅷督時䕁䅍睢瑂䡁䅁兙祂䝁䅅杙獂䝁䅕督時䡁䅙免畁䡁䅧䅢穂䝁䄰兘䕂䝁䅕䅤桂䝁䅫䅢求䝁䅑睘䑂䝁䄸兢睂䡁䅍光歁䕁䅉䅊ㅁ䅁䅁睒䅣䥁䅯䅁扂䙁䅍䅕䡂䙁䄸睕あ䝁䅅杢歂䝁䅅杣歂䕁䅙兡畂䝁䅅杢橂䝁䅫兙獂䡁䅍睘䑂䝁䄸兢睂䝁䅅杣桂䝁䅉䅢求䡁䅍睘㉂䑁䅅杌㑂䝁䅷督瑂䙁䄰䅒求䡁䅑兙灂䝁䅷党歂䙁䄸睑療䝁䄰䅣穂䍁䅅䅊䕂䍁䅑兎㙁䍁䅑杓歁䑁䅕䅁䝂睂䅁䅪䅁䙁䅳睕兂䕁䅣睘呂䡁䅑兙畂䝁䅑兙祂䝁䅑杒灂䝁䄴兙畂䝁䅍兡桂䝁䅷督時䕁䅍睢瑂䡁䅁兙祂䝁䅅杙獂䝁䅕督時䡁䅙免畁䡁䅧䅢穂䝁䄰兘䕂䝁䅕䅤桂䝁䅫䅢求䝁䅑睘䑂䝁䄸兢睂䡁䅍光歁䕁䅷䅊ㅁ䑁䅯䅊䝂䙁䅑䅊ㅁ䅁䅁䅓䅣䩁䅉䅁扂䙁䅍䅕䡂䙁䄸睕あ䝁䅅杢歂䝁䅅杣歂䕁䅙兡畂䝁䅅杢橂䝁䅫兙獂䡁䅍睘䑂䝁䄸兢睂䝁䅅杣桂䝁䅉䅢求䡁䅍睘㉂䑁䅅杌㑂䝁䅷督瑂䙁䄰杒灂䝁䄴兙畂䝁䅍兡桂䝁䅷睘呂䡁䅑兙あ䝁䅕兢求䝁䄴䅤穂䍁䅅䅊䑂䍁䅑免睁䑁䅁䅏䅁䕁䡁䅁䵃䅁䅁睗呂䙁䅁睒時䙁䅍䅤桂䝁䄴䅚桂䡁䅉䅚䝂䝁䅫杢桂䝁䄴睙灂䝁䅅䅢穂䙁䄸睑療䝁䄰䅣桂䡁䅉兙楂䝁䅷党穂䙁䄸杤硁䍁䄴䅥獂䡁䅍兢摂䕁䅙兡畂䝁䅅杢橂䝁䅫兙獂䙁䄸睕あ䝁䅅䅤求䝁䄰党畂䡁䅑督桁䍁䅑睑歁䑁䅑䅁ぁ睂䅁䅪䅁䙁䅳睕兂䕁䅣睘呂䡁䅑兙畂䝁䅑兙祂䝁䅑杒灂䝁䄴兙畂䝁䅍兡桂䝁䅷督時䕁䅍睢瑂䡁䅁兙祂䝁䅅杙獂䝁䅕督時䡁䅙免畁䡁䅧䅢穂䝁䄰兘䝂䝁䅫杢桂䝁䄴睙灂䝁䅅䅢時䙁䅍䅤桂䡁䅑党瑂䝁䅕杢あ䡁䅍光歁䕁䅍䅊ㅁ䅁䅁杏䅣䥁䅷䅁扂䙁䅍䅕䡂䙁䄸睕あ䝁䅅杢歂䝁䅅杣歂䕁䅙兡畂䝁䅅杢橂䝁䅫兙獂䡁䅍睘䑂䝁䄸兢睂䝁䅅杣桂䝁䅉䅢求䡁䅍睘㉂䑁䅅杌㑂䝁䅷督瑂䙁䄰杒灂䝁䄴兙畂䝁䅍兡桂䝁䅷睘呂䡁䅑兙あ䝁䅕兢求䝁䄴䅤穂䍁䅅䅊䑂䍁䅑李䅁䑁䡷䅁䵃䅁䅁睗呂䙁䅁睒時䙁䅍䅤桂䝁䄴䅚桂䡁䅉䅚䝂䝁䅫杢桂䝁䄴睙灂䝁䅅䅢穂䙁䄸睑療䝁䄰䅣桂䡁䅉兙楂䝁䅷党穂䙁䄸杤硁䍁䄴䅥獂䡁䅍兢摂䕁䅙兡畂䝁䅅杢橂䝁䅫兙獂䙁䄸睕あ䝁䅅䅤求䝁䄰党畂䡁䅑督桁䍁䅑睑歁䑁䅣䅁⭁睂䅁䅪䅁䙁䅳睕兂䕁䅣睘呂䡁䅑兙畂䝁䅑兙祂䝁䅑杒灂䝁䄴兙畂䝁䅍兡桂䝁䅷督時䕁䅍睢瑂䡁䅁兙祂䝁䅅杙獂䝁䅕督時䡁䅙免畁䡁䅧䅢穂䝁䄰兘䝂䝁䅫杢桂䝁䄴睙灂䝁䅅䅢時䙁䅍䅤桂䡁䅑党瑂䝁䅕杢あ䡁䅍光歁䕁䅍䅊㑁䅁䅁䅏䅣䩁䄴䅁扂䙁䅍䅕䡂䙁䄸睕あ䝁䅅杢歂䝁䅅杣歂䕁䅙兡畂䝁䅅杢橂䝁䅫兙獂䡁䅍睘䑂䝁䄸兢睂䝁䅅杣桂䝁䅉䅢求䡁䅍睘㉂䑁䅅杌㑂䝁䅷督瑂䙁䄰杒灂䝁䄴兙畂䝁䅍兡桂䝁䅷睘呂䡁䅑兙あ䝁䅕兢求䝁䄴䅤穂䍁䅅䅊䕂䍁䅑免㉁䑁䅁杏歁䕁䅑䅊穁䑁䅉睍䅁䑁䡳䅁敃䅁䅁睗呂䙁䅁睒時䙁䅍䅤桂䝁䄴䅚桂䡁䅉䅚䝂䝁䅫杢桂䝁䄴睙灂䝁䅅䅢穂䙁䄸睑療䝁䄰䅣桂䡁䅉兙楂䝁䅷党穂䙁䄸杤硁䍁䄴䅥獂䡁䅍兢摂䕁䅙兡畂䝁䅅杢橂䝁䅫兙獂䙁䄸睕あ䝁䅅䅤求䝁䄰党畂䡁䅑督桁䍁䅑䅒歁䑁䅍杍㉁䑁䅯䅊䕂䍁䅑䅎㉁䑁䅕䅁㥁睂䅁杮䅁䙁䅳睕兂䕁䅣睘呂䡁䅑兙畂䝁䅑兙祂䝁䅑杒灂䝁䄴兙畂䝁䅍兡桂䝁䅷督時䕁䅍睢瑂䡁䅁兙祂䝁䅅杙獂䝁䅕督時䡁䅙免畁䡁䅧䅢穂䝁䄰兘䝂䝁䅫杢桂䝁䄴睙灂䝁䅅䅢時䙁䅍䅤桂䡁䅑党瑂䝁䅕杢あ䡁䅍光歁䕁䅑䅊ぁ䑁䅙兏㙁䍁䅑䅒歁䑁䅣䅎硁䅁䅁睐䅣䭁䅁䅁扂䙁䅍䅕䡂䙁䄸睕あ䝁䅅杢歂䝁䅅杣歂䕁䅙兡畂䝁䅅杢橂䝁䅫兙獂䡁䅍睘䑂䝁䄸兢睂䝁䅅杣桂䝁䅉䅢求䡁䅍睘㉂䑁䅅杌㑂䝁䅷督瑂䙁䄰杒灂䝁䄴兙畂䝁䅍兡桂䝁䅷睘呂䡁䅑兙あ䝁䅕兢求䝁䄴䅤穂䍁䅅䅊䕂䍁䅑睎ぁ䑁䅕杏歁䕁䅑䅊硁䑁䅁兏㑁䅁䅁兏䅣䩁䅯䅁扂䙁䅍䅕䡂䙁䄸睕あ䝁䅅杢歂䝁䅅杣歂䕁䅙兡畂䝁䅅杢橂䝁䅫兙獂䡁䅍睘䑂䝁䄸兢睂䝁䅅杣桂䝁䅉䅢求䡁䅍睘㉂䑁䅅杌㑂䝁䅷督瑂䙁䄰杒灂䝁䄴兙畂䝁䅍兡桂䝁䅷睘呂䡁䅑兙あ䝁䅕兢求䝁䄴䅤穂䍁䅅䅊䕂䍁䅑兏㙁䍁䅑䅒歁䑁䅅兎㉁䅁䅁李䅣䭁䅉䅁扂䙁䅍䅕䡂䙁䄸睕あ䝁䅅杢歂䝁䅅杣歂䕁䅙兡畂䝁䅅杢橂䝁䅫兙獂䡁䅍睘䑂䝁䄸兢睂䝁䅅杣桂䝁䅉䅢求䡁䅍睘㉂䑁䅅杌㑂䝁䅷督瑂䙁䄰杒灂䝁䄴兙畂䝁䅍兡桂䝁䅷睘呂䡁䅑兙あ䝁䅕兢求䝁䄴䅤穂䍁䅅䅊䙂䍁䅑免睁䑁䅉䅍㙁䍁䅑兒歁䑁䅅䅍祁䑁䅑䅁䍂睂䅁杯䅁䙁䅳睕兂䕁䅣睘呂䡁䅑兙畂䝁䅑兙祂䝁䅑杒灂䝁䄴兙畂䝁䅍兡桂䝁䅷督時䕁䅍睢瑂䡁䅁兙祂䝁䅅杙獂䝁䅕督時䡁䅙免畁䡁䅧䅢穂䝁䄰兘䝂䝁䅫杢桂䝁䄴睙灂䝁䅅䅢時䙁䅍䅤桂䡁䅑党瑂䝁䅕杢あ䡁䅍光歁䕁䅙䅊硁䑁䅁䅍㑁䑁䅯䅊剂䍁䅑免睁䑁䅁䅏䅁䕁䡅䅁楃䅁䅁睗呂䙁䅁睒時䙁䅍䅤桂䝁䄴䅚桂䡁䅉䅚䝂䝁䅫杢桂䝁䄴睙灂䝁䅅䅢穂䙁䄸睑療䝁䄰䅣桂䡁䅉兙楂䝁䅷党穂䙁䄸杤硁䍁䄴䅥獂䡁䅍兢摂䕁䅙兡畂䝁䅅杢橂䝁䅫兙獂䙁䄸睕あ䝁䅅䅤求䝁䄰党畂䡁䅑督桁䍁䅑杒歁䑁䅅䅍睁䑁䅫杏歁䙁䅅䅊硁䑁䅁䅍㕁䅁䅁睑䅣䩁䅙䅁扂䙁䅍䅕䡂䙁䄸睕あ䝁䅅杢歂䝁䅅杣歂䕁䅙兡畂䝁䅅杢橂䝁䅫兙獂䡁䅍睘䑂䝁䄸兢睂䝁䅅杣桂䝁䅉䅢求䡁䅍睘㉂䑁䅅杌㑂䝁䅷督瑂䙁䄰杒灂䝁䄴兙畂䝁䅍兡桂䝁䅷睘呂䡁䅑兙あ䝁䅕兢求䝁䄴䅤穂䍁䅅䅊䝂䍁䅑䅎㙁䍁䅑兕歁䑁䅑䅁ㅁ睂䅁杬䅁䙁䅳睕兂䕁䅣睘呂䡁䅑兙畂䝁䅑兙祂䝁䅑杒灂䝁䄴兙畂䝁䅍兡桂䝁䅷督時䕁䅍睢瑂䡁䅁兙祂䝁䅅杙獂䝁䅕督時䡁䅙免畁䡁䅧䅢穂䝁䄰兘䝂䝁䅫杢桂䝁䄴睙灂䝁䅅䅢時䙁䅍䅤桂䡁䅑党瑂䝁䅕杢あ䡁䅍光歁䕁䅙䅊ㅁ䑁䅯䅊剂䍁䅑兎䅁䑁䡣䅁⭂䅁䅁睗呂䙁䅁睒時䙁䅍䅤桂䝁䄴䅚桂䡁䅉䅚䝂䝁䅫杢桂䝁䄴睙灂䝁䅅䅢穂䙁䄸睑療䝁䄰䅣桂䡁䅉兙楂䝁䅷党穂䙁䄸杤硁䍁䄴䅥獂䡁䅍兢摂䕁䅫杢穂䡁䅑杣ㅂ䝁䅍䅤灂䝁䄸杢穂䍁䅅䅊䝂䍁䅑免祁䅁䅁睓䅣䡁䅷䅁扂䙁䅍䅕䡂䙁䄸睕あ䝁䅅杢歂䝁䅅杣歂䕁䅙兡畂䝁䅅杢橂䝁䅫兙獂䡁䅍睘䑂䝁䄸兢睂䝁䅅杣桂䝁䅉䅢求䡁䅍睘㉂䑁䅅杌㑂䝁䅷督瑂䙁䄰兓畂䡁䅍䅤祂䡁䅕睙あ䝁䅫睢畂䡁䅍光歁䕁䅙䅊㕁䅁䅁䅔䅣䅁䅑䅁橂䅁䅁睘䅣䅁䅯䅁橂䡁䅍杣桂䅁䅁儴䅙䅁䅯䅁潂䡁䅍杙桂䅁䅁䅚䅣䉁䅷䅁瑂䝁䅅杣牂䝁䅕䅤穂䍁䄴杣桂䝁䄴睚求䅁䅁䅁䅁䅁䅧䅁瑂䝁䄰兢䅁䝁䡉䅁煁䅁䅁督桂䝁䅷党穂䝁䅙睢祂䝁䅍党畁䝁䅍睢瑂䍁䅷䅉灂䝁䄴睙畁䅁䅁䅆䅣䅁䅧䅁㍂䝁䅙睙䅁䝁䡅䅁啁䅁䅁䍄䉁䅁䅁睁䅁䅁䅍䅄䅁䅁䅯兩䅣䅁䅯杓䅣䅁䅅䅁䉁䅁䅁权䭃睂䅁䍄䉁䅁䅁杂䅁䅁杷允䅁䅁䅕䅁䭁䕁䡳䅁䭁䕁䡷䅁䭁䕁䠰䅁䙁䅁䅁䅁䅁偁⽁兂䅁䅁䅁䅁歁䉑䅑䕱癬䩯㙨卆唰偁偅游䝱獬䝘䅆䙁潋䝯汐奒硦䅑䉵㘲呋灊慳啯䕁扈即祣䕙漲允䅁䅁䅅䅁䭁䕁䠴䅁䵁䅉䅅䅁䑁䅁䅁睁䵁䅁䅁权㥂睂䅁权䭂睂䅁允䅁䅁䅅䅁䭁䡁䠴䅁䵁䅉䅅䅁䑁䅁䅁睁䵁䅁䅁权䡃睂䅁权䭂睂䅁允䅁䅁䅅䅁䭁䥁䡧䅁䵁䅉䅅䅁䑁䅁䅁睁䵁䅁䅁权⽂睂䅁权䭂睂䅁允䅁䅁䅅䅁䭁䥁䡁䅁䵁䅉䅅䅁䑁䅁䅁睁䵁䅁䅁权䉃睂䅁权䭂睂䅁允䅁䅁䅅䅁䭁䥁䡉䅁䵁䅉䅅䅁䑁䅁䅁睁䵁䅁䅁权䑃睂䅁权䭂睂䅁允䅁䅁䅅䅁䭁䥁䡑䅁䵁䅉䅅䅁䑁䅁䅁睁䵁䅁䅁权䙃睂䅁权䭂睂䅁允䅁䅁䅅䅁䭁䥁䡙䅁䵁䅉䅅䅁䑁䅁䅁睁䵁䅁䅁权䱃睂䅁权䭂睂䅁允䅁䅁䅅䅁䭁䥁䡷䅁䵁䅉䅅䅁䑁䅁䅁睁䵁䅁䅁权乃睂䅁权䭂睂䅁允䅁䅁䅅䅁䭁䥁䠴䅁䵁䅉䅅䅁䑁䅁䅁睁䵁䅁䅁权偃睂䅁权䭂睂䅁允䅁䅁䅅䅁䭁䩁䡁䅁䵁䅉䅅䅁䑁䅁䅁睁䵁䅁䅁权剃睂䅁权䭂睂䅁允䅁䅁䅅䅁䭁䩁䡉䅁䵁䅉䅅䅁䥁䅁䅁䍄䉁䅁䅁杂䅁䅁䅯杏䅣䅁䅯兎䅣䅁䅯睏䅣䅁䅯睎䅣䅁䅯条䅙䅁䅯杚䅣䉁䅑㍗儸㝯⭆兂唰䉁獋ㄶ敔敉䕙䅆剄体㍃㙂晪桔䅑晃䅓偔㙬䝥啉佁琴啗牪敬剖䅆潃⽺㍧㥆䱎桗䅑㜸⭃汔浥武䉑䅁䅁允䅁䅁䅯䅢䅙䅁杷允䅁䅁䅧䅁䵁䅉䅅䅁䝁䅁䅁权ぁ睂䅁权ㅁ睂䅁权㉁睂䅁权㍁睂䅁权煂杂䅁权浂睂䅁䅆扂硦橃塳䘴剄䅑さ瑲硷䝘潲啑乁䥆䰴䡣乱伹䅆捁㕄⽑䬷䔸桺䅑椷娱体噵嘵啅䭁偪䐫塣〰慴䅆穄䱳伵㙖⭚䅒䅅䅁䉁䅁䅁权獂杂䅁䍄䉁䅁䅁䅃䅁䅁杷允䅁䅁䅙䅁䭁䑁䡧䅁䭁䑁䡕䅁䭁䑁䡫䅁䭁䑁䡣䅁䭁䝁䝯䅁䭁䝁䡙䅁啁䙁⽴䭅硏杦乕䅆䕄捂䩱な㉹䉦䅑唰杪睴潥〳唴䥁佯䤷扡獆灰䅆畄噌䥬㔶汘剕䅑䵱㐯硎呦ㅓ啯偁睏歶堵湰䔵允䅁䅁䅅䅁䭁䝁䝷䅁䵁䅉䅅䅁䥁䅁䅁䍄䉁䅁䅁杂䅁䅁䅯䅐䅣䅁䅯兎䅣䅁䅯児䅣䅁䅯睎䅣䅁䅯条䅙䅁䅯杚䅣䉁䅑㍗儸㝯⭆兂唰䅁䔱坫䱲潩然䅆剄体㍃㙂晪桔䅑敏呎癔䉒㑲啍佁琴啗牪敬剖䅆潃⽺㍧㥆䱎桗䅑㜸⭃汔浥武䉑䅁䅁允䅁䅁䅯䅢䅙䅁杷允䅁䅁䅧䅁䵁䅉䅅䅁䝁䅁䅁权⭁睂䅁权ㅁ睂䅁权⽁睂䅁权㍁睂䅁权煂杂䅁权浂睂䅁䅆扂硦橃塳䘴剄䅑嘴慷坘扨䥷啍乁䥆䰴䡣乱伹䅆㝂硔祃搵婙桃䅑椷娱体噵嘵啅䭁偪䐫塣〰慴䅆穄䱳伵㙖⭚䅒䅅䅁䉁䅁䅁权獂杂䅁䍄䉁䅁䅁䅃䅁䅁杷允䅁䅁䅙䅁䭁䕁䡁䅁䭁䕁䡅䅁䭁䕁䡉䅁䭁䕁䡍䅁䭁䝁䝯䅁䭁䝁䡙䅁啁䙁⽴䭅硏杦乕䅆䉃剄⭦睋楳刱䅑唰杪睴潥〳唴偁⼰楂䝢䔲杨䅆䭂昳稲摲畮档䅑䵱㐯硎呦ㅓ啯偁睏歶堵湰䔵允䅁䅁䅅䅁䭁䝁䝷䅁䵁䅉䅅䅁䥁䅁䅁䍄䉁䅁䅁杂䅁䅁䅯睒䅣䅁䅯兒䅣䅁䅯䅓䅣䅁䅯䅂䍁䅧䅯条䅙䅁䅯杚䅣䉁䅑㍗儸㝯⭆兂唰偁䭍牎煒㐳坕䅆灂睔慔眵穖䉓䅑䄶楮㑨⭁堶啁䝁塒䕭㍤楹瑱䅆潃⽺㍧㥆䱎桗䅑㜸⭃汔浥武䉑䅁䅁允䅁䅁䅯䅢䅙䅁杷允䅁䅁䅧䅁䵁䅉䅅䅁䝁䅁䅁权䕂睂䅁权䙂睂䅁权䝂睂䅁权䕁䅁䅋权煂杂䅁权浂睂䅁䅆扂硦橃塳䘴剄䅑祗䔫慑⭕档啣䝁偬乂湲塂䥎䅆㡁伵摈ね卪桙䅑䙚奥㍒䭦煋唰䭁偪䐫塣〰慴䅆穄䱳伵㙖⭚䅒䅅䅁䉁䅁䅁权獂杂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</si>
</sst>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7" formatCode="&quot;$&quot;#,##0.00_);\(&quot;$&quot;#,##0.00\)"/>
    <numFmt numFmtId="164" formatCode="#,##0.0_);\(#,##0.0\)"/>
    <numFmt numFmtId="165" formatCode="_(#,##0.0_);_(\(#,##0.0\);_(&quot; - &quot;??_);_(@_)"/>
    <numFmt numFmtId="166" formatCode="&quot;$&quot;#,##0.0_);\(&quot;$&quot;#,##0.0\)"/>
    <numFmt numFmtId="167" formatCode="_(#,##0_);_(\(#,##0\);_(&quot; - &quot;??_);_(@_)"/>
    <numFmt numFmtId="168" formatCode="0.0\x"/>
    <numFmt numFmtId="169" formatCode="_(* #,##0.0_);_(* \(#,##0.0\);_(* &quot; - &quot;_);_(@_)"/>
    <numFmt numFmtId="170" formatCode="_(#,##0.00_);_(\(#,##0.00\);_(&quot; - &quot;??_);_(@_)"/>
    <numFmt numFmtId="171" formatCode="0.0%"/>
    <numFmt numFmtId="172" formatCode="mm/dd/yy"/>
    <numFmt numFmtId="173" formatCode="m/d/yy"/>
    <numFmt numFmtId="174" formatCode="#,##0.0"/>
  </numFmts>
  <fonts count="33" x14ac:knownFonts="1">
    <font>
      <sz val="8"/>
      <color theme="1"/>
      <name val="Arial"/>
      <family val="2"/>
    </font>
    <font>
      <sz val="8"/>
      <color indexed="8"/>
      <name val="Arial"/>
      <family val="2"/>
    </font>
    <font>
      <sz val="8"/>
      <name val="Arial"/>
      <family val="2"/>
    </font>
    <font>
      <b/>
      <u/>
      <sz val="8"/>
      <name val="Arial"/>
      <family val="2"/>
    </font>
    <font>
      <b/>
      <sz val="8"/>
      <name val="Arial"/>
      <family val="2"/>
    </font>
    <font>
      <i/>
      <sz val="8"/>
      <name val="Arial"/>
      <family val="2"/>
    </font>
    <font>
      <u/>
      <sz val="8"/>
      <color indexed="12"/>
      <name val="Arial"/>
      <family val="2"/>
    </font>
    <font>
      <sz val="8"/>
      <color indexed="12"/>
      <name val="Arial"/>
      <family val="2"/>
    </font>
    <font>
      <b/>
      <sz val="12"/>
      <name val="Arial"/>
      <family val="2"/>
    </font>
    <font>
      <sz val="8"/>
      <color indexed="17"/>
      <name val="Arial"/>
      <family val="2"/>
    </font>
    <font>
      <b/>
      <sz val="8"/>
      <color indexed="17"/>
      <name val="Arial"/>
      <family val="2"/>
    </font>
    <font>
      <b/>
      <sz val="8"/>
      <color indexed="8"/>
      <name val="Arial"/>
      <family val="2"/>
    </font>
    <font>
      <b/>
      <sz val="9"/>
      <color indexed="81"/>
      <name val="Tahoma"/>
      <family val="2"/>
    </font>
    <font>
      <sz val="9"/>
      <color indexed="81"/>
      <name val="Tahoma"/>
      <family val="2"/>
    </font>
    <font>
      <b/>
      <sz val="8"/>
      <color indexed="81"/>
      <name val="Tahoma"/>
      <family val="2"/>
    </font>
    <font>
      <b/>
      <sz val="18"/>
      <name val="Arial"/>
      <family val="2"/>
    </font>
    <font>
      <b/>
      <u/>
      <sz val="9"/>
      <color indexed="8"/>
      <name val="Arial"/>
      <family val="2"/>
    </font>
    <font>
      <b/>
      <u/>
      <sz val="9"/>
      <name val="Arial"/>
      <family val="2"/>
    </font>
    <font>
      <sz val="9"/>
      <name val="Arial"/>
      <family val="2"/>
    </font>
    <font>
      <sz val="9"/>
      <color theme="1"/>
      <name val="Arial"/>
      <family val="2"/>
    </font>
    <font>
      <i/>
      <sz val="8"/>
      <color rgb="FF525252"/>
      <name val="Arial"/>
      <family val="2"/>
    </font>
    <font>
      <sz val="8"/>
      <color rgb="FF525252"/>
      <name val="Arial"/>
      <family val="2"/>
    </font>
    <font>
      <sz val="8"/>
      <color rgb="FF0000FF"/>
      <name val="Arial"/>
      <family val="2"/>
    </font>
    <font>
      <sz val="9"/>
      <color indexed="62"/>
      <name val="Arial"/>
      <family val="2"/>
    </font>
    <font>
      <sz val="8"/>
      <color rgb="FF000000"/>
      <name val="Arial"/>
      <family val="2"/>
    </font>
    <font>
      <b/>
      <sz val="8"/>
      <color theme="1"/>
      <name val="Arial"/>
      <family val="2"/>
    </font>
    <font>
      <sz val="8"/>
      <color rgb="FF008000"/>
      <name val="Arial"/>
      <family val="2"/>
    </font>
    <font>
      <b/>
      <sz val="8"/>
      <color rgb="FF008000"/>
      <name val="Arial"/>
      <family val="2"/>
    </font>
    <font>
      <sz val="10"/>
      <name val="Arial"/>
      <family val="2"/>
    </font>
    <font>
      <sz val="10"/>
      <name val="MS Sans Serif"/>
      <family val="2"/>
    </font>
    <font>
      <b/>
      <i/>
      <sz val="8"/>
      <name val="Arial"/>
      <family val="2"/>
    </font>
    <font>
      <i/>
      <sz val="8"/>
      <color theme="1"/>
      <name val="Arial"/>
      <family val="2"/>
    </font>
    <font>
      <b/>
      <u/>
      <sz val="9"/>
      <color theme="1"/>
      <name val="Arial"/>
      <family val="2"/>
    </font>
  </fonts>
  <fills count="6">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s>
  <borders count="18">
    <border>
      <left/>
      <right/>
      <top/>
      <bottom/>
      <diagonal/>
    </border>
    <border>
      <left style="thin">
        <color indexed="23"/>
      </left>
      <right style="thin">
        <color indexed="23"/>
      </right>
      <top style="thin">
        <color indexed="23"/>
      </top>
      <bottom style="thin">
        <color indexed="23"/>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thin">
        <color rgb="FF525252"/>
      </bottom>
      <diagonal/>
    </border>
    <border>
      <left style="thin">
        <color rgb="FF525252"/>
      </left>
      <right style="thin">
        <color rgb="FF525252"/>
      </right>
      <top style="thin">
        <color rgb="FF525252"/>
      </top>
      <bottom style="thin">
        <color rgb="FF525252"/>
      </bottom>
      <diagonal/>
    </border>
    <border>
      <left/>
      <right/>
      <top style="thin">
        <color indexed="64"/>
      </top>
      <bottom style="double">
        <color indexed="64"/>
      </bottom>
      <diagonal/>
    </border>
    <border>
      <left/>
      <right/>
      <top style="thin">
        <color indexed="8"/>
      </top>
      <bottom/>
      <diagonal/>
    </border>
    <border>
      <left/>
      <right/>
      <top style="thin">
        <color indexed="64"/>
      </top>
      <bottom/>
      <diagonal/>
    </border>
    <border>
      <left/>
      <right style="thin">
        <color indexed="64"/>
      </right>
      <top/>
      <bottom style="thin">
        <color indexed="64"/>
      </bottom>
      <diagonal/>
    </border>
    <border>
      <left/>
      <right/>
      <top style="thin">
        <color indexed="64"/>
      </top>
      <bottom style="thin">
        <color indexed="64"/>
      </bottom>
      <diagonal/>
    </border>
    <border>
      <left/>
      <right/>
      <top/>
      <bottom style="medium">
        <color rgb="FF525252"/>
      </bottom>
      <diagonal/>
    </border>
    <border>
      <left/>
      <right/>
      <top/>
      <bottom style="double">
        <color indexed="64"/>
      </bottom>
      <diagonal/>
    </border>
  </borders>
  <cellStyleXfs count="9">
    <xf numFmtId="0" fontId="0" fillId="0" borderId="0"/>
    <xf numFmtId="0" fontId="6" fillId="0" borderId="0" applyNumberFormat="0" applyFill="0" applyBorder="0" applyAlignment="0" applyProtection="0">
      <alignment vertical="top"/>
      <protection locked="0"/>
    </xf>
    <xf numFmtId="0" fontId="2" fillId="0" borderId="0"/>
    <xf numFmtId="0" fontId="2" fillId="0" borderId="0"/>
    <xf numFmtId="0" fontId="28" fillId="0" borderId="0"/>
    <xf numFmtId="0" fontId="28" fillId="0" borderId="0"/>
    <xf numFmtId="9" fontId="28" fillId="0" borderId="0" applyFont="0" applyFill="0" applyBorder="0" applyAlignment="0" applyProtection="0"/>
    <xf numFmtId="0" fontId="29" fillId="0" borderId="0"/>
    <xf numFmtId="0" fontId="2" fillId="0" borderId="0"/>
  </cellStyleXfs>
  <cellXfs count="242">
    <xf numFmtId="0" fontId="0" fillId="0" borderId="0" xfId="0"/>
    <xf numFmtId="0" fontId="15" fillId="0" borderId="9" xfId="0" applyFont="1" applyBorder="1" applyAlignment="1">
      <alignment horizontal="left" vertical="center"/>
    </xf>
    <xf numFmtId="0" fontId="15" fillId="0" borderId="9" xfId="0" applyFont="1" applyBorder="1" applyAlignment="1">
      <alignment horizontal="left" vertical="center" indent="1"/>
    </xf>
    <xf numFmtId="0" fontId="22" fillId="2" borderId="10" xfId="0" applyFont="1" applyFill="1" applyBorder="1" applyAlignment="1">
      <alignment horizontal="center" vertical="center"/>
    </xf>
    <xf numFmtId="0" fontId="22" fillId="2" borderId="10" xfId="0" applyFont="1" applyFill="1" applyBorder="1" applyAlignment="1">
      <alignment horizontal="left" vertical="center"/>
    </xf>
    <xf numFmtId="0" fontId="2" fillId="0" borderId="0" xfId="4" applyFont="1"/>
    <xf numFmtId="0" fontId="9" fillId="0" borderId="0" xfId="4" applyFont="1"/>
    <xf numFmtId="0" fontId="4" fillId="0" borderId="0" xfId="4" applyFont="1" applyAlignment="1">
      <alignment horizontal="left"/>
    </xf>
    <xf numFmtId="0" fontId="4" fillId="0" borderId="0" xfId="4" applyFont="1"/>
    <xf numFmtId="0" fontId="10" fillId="0" borderId="0" xfId="4" applyFont="1" applyAlignment="1">
      <alignment horizontal="left"/>
    </xf>
    <xf numFmtId="0" fontId="2" fillId="0" borderId="0" xfId="4" applyFont="1" applyAlignment="1">
      <alignment horizontal="centerContinuous"/>
    </xf>
    <xf numFmtId="167" fontId="2" fillId="0" borderId="0" xfId="4" applyNumberFormat="1" applyFont="1"/>
    <xf numFmtId="165" fontId="2" fillId="0" borderId="0" xfId="4" applyNumberFormat="1" applyFont="1"/>
    <xf numFmtId="0" fontId="2" fillId="0" borderId="0" xfId="4" applyFont="1" applyAlignment="1">
      <alignment horizontal="right"/>
    </xf>
    <xf numFmtId="165" fontId="4" fillId="0" borderId="0" xfId="4" applyNumberFormat="1" applyFont="1" applyAlignment="1">
      <alignment horizontal="left" indent="1"/>
    </xf>
    <xf numFmtId="167" fontId="4" fillId="0" borderId="0" xfId="4" applyNumberFormat="1" applyFont="1" applyAlignment="1">
      <alignment horizontal="centerContinuous"/>
    </xf>
    <xf numFmtId="167" fontId="4" fillId="0" borderId="4" xfId="4" applyNumberFormat="1" applyFont="1" applyBorder="1" applyAlignment="1">
      <alignment horizontal="centerContinuous"/>
    </xf>
    <xf numFmtId="0" fontId="4" fillId="0" borderId="4" xfId="4" applyFont="1" applyBorder="1" applyAlignment="1">
      <alignment horizontal="centerContinuous"/>
    </xf>
    <xf numFmtId="170" fontId="2" fillId="0" borderId="0" xfId="4" applyNumberFormat="1" applyFont="1"/>
    <xf numFmtId="0" fontId="2" fillId="0" borderId="4" xfId="4" applyFont="1" applyBorder="1" applyAlignment="1">
      <alignment horizontal="centerContinuous"/>
    </xf>
    <xf numFmtId="167" fontId="4" fillId="0" borderId="0" xfId="4" applyNumberFormat="1" applyFont="1"/>
    <xf numFmtId="164" fontId="2" fillId="0" borderId="0" xfId="4" applyNumberFormat="1" applyFont="1" applyAlignment="1">
      <alignment horizontal="right"/>
    </xf>
    <xf numFmtId="165" fontId="2" fillId="0" borderId="0" xfId="4" applyNumberFormat="1" applyFont="1" applyAlignment="1">
      <alignment horizontal="right"/>
    </xf>
    <xf numFmtId="165" fontId="2" fillId="0" borderId="0" xfId="4" applyNumberFormat="1" applyFont="1" applyAlignment="1">
      <alignment horizontal="left"/>
    </xf>
    <xf numFmtId="167" fontId="2" fillId="0" borderId="4" xfId="4" applyNumberFormat="1" applyFont="1" applyBorder="1" applyAlignment="1">
      <alignment horizontal="centerContinuous"/>
    </xf>
    <xf numFmtId="167" fontId="4" fillId="0" borderId="0" xfId="4" applyNumberFormat="1" applyFont="1" applyAlignment="1">
      <alignment horizontal="left"/>
    </xf>
    <xf numFmtId="165" fontId="4" fillId="0" borderId="0" xfId="4" applyNumberFormat="1" applyFont="1"/>
    <xf numFmtId="14" fontId="4" fillId="0" borderId="0" xfId="4" applyNumberFormat="1" applyFont="1"/>
    <xf numFmtId="0" fontId="5" fillId="0" borderId="0" xfId="5" applyFont="1"/>
    <xf numFmtId="0" fontId="4" fillId="0" borderId="0" xfId="4" applyFont="1" applyAlignment="1">
      <alignment horizontal="left" vertical="top"/>
    </xf>
    <xf numFmtId="0" fontId="2" fillId="0" borderId="0" xfId="4" applyFont="1" applyAlignment="1">
      <alignment horizontal="left"/>
    </xf>
    <xf numFmtId="0" fontId="2" fillId="0" borderId="4" xfId="4" applyFont="1" applyBorder="1"/>
    <xf numFmtId="0" fontId="2" fillId="0" borderId="0" xfId="5" applyFont="1"/>
    <xf numFmtId="169" fontId="2" fillId="0" borderId="0" xfId="4" applyNumberFormat="1" applyFont="1" applyAlignment="1">
      <alignment horizontal="right"/>
    </xf>
    <xf numFmtId="39" fontId="2" fillId="0" borderId="0" xfId="4" applyNumberFormat="1" applyFont="1" applyAlignment="1">
      <alignment horizontal="right"/>
    </xf>
    <xf numFmtId="167" fontId="2" fillId="0" borderId="0" xfId="4" applyNumberFormat="1" applyFont="1" applyAlignment="1">
      <alignment horizontal="right"/>
    </xf>
    <xf numFmtId="168" fontId="2" fillId="0" borderId="0" xfId="4" applyNumberFormat="1" applyFont="1" applyAlignment="1">
      <alignment horizontal="right"/>
    </xf>
    <xf numFmtId="0" fontId="8" fillId="0" borderId="16" xfId="4" applyFont="1" applyBorder="1" applyAlignment="1">
      <alignment horizontal="left"/>
    </xf>
    <xf numFmtId="0" fontId="2" fillId="0" borderId="16" xfId="4" applyFont="1" applyBorder="1" applyAlignment="1">
      <alignment horizontal="centerContinuous"/>
    </xf>
    <xf numFmtId="0" fontId="2" fillId="0" borderId="16" xfId="4" applyFont="1" applyBorder="1"/>
    <xf numFmtId="167" fontId="2" fillId="3" borderId="0" xfId="4" applyNumberFormat="1" applyFont="1" applyFill="1"/>
    <xf numFmtId="0" fontId="26" fillId="3" borderId="0" xfId="4" applyFont="1" applyFill="1" applyAlignment="1">
      <alignment horizontal="right"/>
    </xf>
    <xf numFmtId="0" fontId="2" fillId="0" borderId="16" xfId="4" applyFont="1" applyBorder="1" applyAlignment="1">
      <alignment horizontal="right"/>
    </xf>
    <xf numFmtId="0" fontId="2" fillId="3" borderId="0" xfId="4" applyFont="1" applyFill="1" applyAlignment="1">
      <alignment horizontal="right"/>
    </xf>
    <xf numFmtId="0" fontId="26" fillId="3" borderId="0" xfId="4" applyFont="1" applyFill="1" applyAlignment="1">
      <alignment horizontal="left" indent="8"/>
    </xf>
    <xf numFmtId="0" fontId="26" fillId="3" borderId="0" xfId="4" applyFont="1" applyFill="1" applyAlignment="1">
      <alignment horizontal="right" indent="1"/>
    </xf>
    <xf numFmtId="0" fontId="26" fillId="3" borderId="0" xfId="4" applyFont="1" applyFill="1" applyAlignment="1">
      <alignment horizontal="left"/>
    </xf>
    <xf numFmtId="0" fontId="27" fillId="3" borderId="0" xfId="4" applyFont="1" applyFill="1" applyAlignment="1">
      <alignment horizontal="centerContinuous"/>
    </xf>
    <xf numFmtId="0" fontId="27" fillId="3" borderId="0" xfId="4" applyFont="1" applyFill="1" applyAlignment="1">
      <alignment horizontal="right"/>
    </xf>
    <xf numFmtId="14" fontId="4" fillId="0" borderId="4" xfId="4" applyNumberFormat="1" applyFont="1" applyBorder="1" applyAlignment="1">
      <alignment horizontal="right"/>
    </xf>
    <xf numFmtId="14" fontId="2" fillId="0" borderId="0" xfId="4" applyNumberFormat="1" applyFont="1" applyAlignment="1">
      <alignment horizontal="right"/>
    </xf>
    <xf numFmtId="37" fontId="2" fillId="0" borderId="0" xfId="4" applyNumberFormat="1" applyFont="1" applyAlignment="1">
      <alignment horizontal="right"/>
    </xf>
    <xf numFmtId="0" fontId="20" fillId="0" borderId="0" xfId="4" applyFont="1" applyAlignment="1">
      <alignment horizontal="left" vertical="top"/>
    </xf>
    <xf numFmtId="0" fontId="27" fillId="3" borderId="0" xfId="4" applyFont="1" applyFill="1" applyAlignment="1">
      <alignment horizontal="left"/>
    </xf>
    <xf numFmtId="0" fontId="26" fillId="3" borderId="0" xfId="4" applyFont="1" applyFill="1"/>
    <xf numFmtId="0" fontId="2" fillId="0" borderId="4" xfId="4" applyFont="1" applyBorder="1" applyAlignment="1">
      <alignment horizontal="right"/>
    </xf>
    <xf numFmtId="171" fontId="2" fillId="0" borderId="0" xfId="4" applyNumberFormat="1" applyFont="1" applyAlignment="1">
      <alignment horizontal="right"/>
    </xf>
    <xf numFmtId="171" fontId="4" fillId="0" borderId="12" xfId="4" applyNumberFormat="1" applyFont="1" applyBorder="1" applyAlignment="1">
      <alignment horizontal="right"/>
    </xf>
    <xf numFmtId="164" fontId="4" fillId="0" borderId="0" xfId="4" applyNumberFormat="1" applyFont="1" applyAlignment="1">
      <alignment horizontal="right"/>
    </xf>
    <xf numFmtId="166" fontId="2" fillId="0" borderId="0" xfId="4" applyNumberFormat="1" applyFont="1"/>
    <xf numFmtId="171" fontId="2" fillId="0" borderId="4" xfId="4" applyNumberFormat="1" applyFont="1" applyBorder="1" applyAlignment="1">
      <alignment horizontal="right"/>
    </xf>
    <xf numFmtId="171" fontId="4" fillId="0" borderId="0" xfId="4" applyNumberFormat="1" applyFont="1" applyAlignment="1">
      <alignment horizontal="right"/>
    </xf>
    <xf numFmtId="171" fontId="4" fillId="0" borderId="11" xfId="4" applyNumberFormat="1" applyFont="1" applyBorder="1" applyAlignment="1">
      <alignment horizontal="right"/>
    </xf>
    <xf numFmtId="171" fontId="4" fillId="0" borderId="13" xfId="4" applyNumberFormat="1" applyFont="1" applyBorder="1" applyAlignment="1">
      <alignment horizontal="right"/>
    </xf>
    <xf numFmtId="7" fontId="2" fillId="0" borderId="0" xfId="4" applyNumberFormat="1" applyFont="1"/>
    <xf numFmtId="166" fontId="4" fillId="0" borderId="0" xfId="4" applyNumberFormat="1" applyFont="1"/>
    <xf numFmtId="165" fontId="4" fillId="0" borderId="17" xfId="4" applyNumberFormat="1" applyFont="1" applyBorder="1"/>
    <xf numFmtId="0" fontId="5" fillId="0" borderId="0" xfId="4" applyFont="1"/>
    <xf numFmtId="0" fontId="4" fillId="0" borderId="0" xfId="4" applyFont="1" applyAlignment="1">
      <alignment horizontal="center"/>
    </xf>
    <xf numFmtId="10" fontId="4" fillId="0" borderId="4" xfId="4" applyNumberFormat="1" applyFont="1" applyBorder="1" applyAlignment="1">
      <alignment horizontal="centerContinuous"/>
    </xf>
    <xf numFmtId="0" fontId="4" fillId="0" borderId="15" xfId="4" applyFont="1" applyBorder="1" applyAlignment="1">
      <alignment horizontal="centerContinuous"/>
    </xf>
    <xf numFmtId="0" fontId="4" fillId="0" borderId="13" xfId="4" applyFont="1" applyBorder="1"/>
    <xf numFmtId="0" fontId="4" fillId="0" borderId="4" xfId="4" applyFont="1" applyBorder="1" applyAlignment="1">
      <alignment horizontal="left"/>
    </xf>
    <xf numFmtId="0" fontId="4" fillId="0" borderId="4" xfId="4" applyFont="1" applyBorder="1" applyAlignment="1">
      <alignment horizontal="center"/>
    </xf>
    <xf numFmtId="0" fontId="4" fillId="0" borderId="15" xfId="4" applyFont="1" applyBorder="1" applyAlignment="1">
      <alignment horizontal="center"/>
    </xf>
    <xf numFmtId="0" fontId="2" fillId="0" borderId="0" xfId="4" applyFont="1" applyAlignment="1">
      <alignment horizontal="center"/>
    </xf>
    <xf numFmtId="14" fontId="7" fillId="0" borderId="0" xfId="4" applyNumberFormat="1" applyFont="1" applyAlignment="1">
      <alignment horizontal="center"/>
    </xf>
    <xf numFmtId="10" fontId="2" fillId="0" borderId="0" xfId="4" applyNumberFormat="1" applyFont="1" applyAlignment="1">
      <alignment horizontal="center"/>
    </xf>
    <xf numFmtId="10" fontId="2" fillId="0" borderId="0" xfId="4" applyNumberFormat="1" applyFont="1" applyAlignment="1">
      <alignment horizontal="centerContinuous"/>
    </xf>
    <xf numFmtId="171" fontId="2" fillId="0" borderId="0" xfId="6" applyNumberFormat="1" applyFont="1" applyAlignment="1">
      <alignment horizontal="right"/>
    </xf>
    <xf numFmtId="168" fontId="9" fillId="0" borderId="0" xfId="4" applyNumberFormat="1" applyFont="1" applyAlignment="1">
      <alignment horizontal="right"/>
    </xf>
    <xf numFmtId="164" fontId="2" fillId="0" borderId="0" xfId="4" applyNumberFormat="1" applyFont="1"/>
    <xf numFmtId="0" fontId="3" fillId="0" borderId="0" xfId="4" applyFont="1" applyAlignment="1">
      <alignment horizontal="left"/>
    </xf>
    <xf numFmtId="1" fontId="4" fillId="0" borderId="0" xfId="4" applyNumberFormat="1" applyFont="1" applyAlignment="1">
      <alignment horizontal="left"/>
    </xf>
    <xf numFmtId="168" fontId="2" fillId="0" borderId="0" xfId="4" applyNumberFormat="1" applyFont="1" applyAlignment="1">
      <alignment horizontal="center"/>
    </xf>
    <xf numFmtId="0" fontId="2" fillId="0" borderId="17" xfId="4" applyFont="1" applyBorder="1"/>
    <xf numFmtId="0" fontId="5" fillId="0" borderId="0" xfId="7" applyFont="1"/>
    <xf numFmtId="0" fontId="30" fillId="0" borderId="0" xfId="4" applyFont="1" applyAlignment="1">
      <alignment horizontal="right"/>
    </xf>
    <xf numFmtId="0" fontId="3" fillId="0" borderId="0" xfId="4" applyFont="1"/>
    <xf numFmtId="173" fontId="4" fillId="0" borderId="4" xfId="4" applyNumberFormat="1" applyFont="1" applyBorder="1" applyAlignment="1">
      <alignment horizontal="center"/>
    </xf>
    <xf numFmtId="172" fontId="4" fillId="0" borderId="4" xfId="4" applyNumberFormat="1" applyFont="1" applyBorder="1" applyAlignment="1">
      <alignment horizontal="center"/>
    </xf>
    <xf numFmtId="4" fontId="2" fillId="0" borderId="0" xfId="4" applyNumberFormat="1" applyFont="1" applyAlignment="1">
      <alignment horizontal="right"/>
    </xf>
    <xf numFmtId="0" fontId="4" fillId="0" borderId="0" xfId="4" applyFont="1" applyAlignment="1">
      <alignment horizontal="centerContinuous"/>
    </xf>
    <xf numFmtId="0" fontId="27" fillId="3" borderId="0" xfId="4" applyFont="1" applyFill="1"/>
    <xf numFmtId="0" fontId="4" fillId="3" borderId="13" xfId="4" applyFont="1" applyFill="1" applyBorder="1" applyAlignment="1">
      <alignment horizontal="right"/>
    </xf>
    <xf numFmtId="171" fontId="4" fillId="3" borderId="13" xfId="6" applyNumberFormat="1" applyFont="1" applyFill="1" applyBorder="1" applyAlignment="1">
      <alignment horizontal="right"/>
    </xf>
    <xf numFmtId="0" fontId="4" fillId="3" borderId="0" xfId="4" applyFont="1" applyFill="1" applyAlignment="1">
      <alignment horizontal="right"/>
    </xf>
    <xf numFmtId="171" fontId="4" fillId="3" borderId="0" xfId="6" applyNumberFormat="1" applyFont="1" applyFill="1" applyBorder="1" applyAlignment="1">
      <alignment horizontal="right"/>
    </xf>
    <xf numFmtId="164" fontId="4" fillId="3" borderId="0" xfId="4" applyNumberFormat="1" applyFont="1" applyFill="1" applyAlignment="1">
      <alignment horizontal="right"/>
    </xf>
    <xf numFmtId="0" fontId="4" fillId="3" borderId="4" xfId="4" applyFont="1" applyFill="1" applyBorder="1" applyAlignment="1">
      <alignment horizontal="right"/>
    </xf>
    <xf numFmtId="171" fontId="4" fillId="3" borderId="4" xfId="6" applyNumberFormat="1" applyFont="1" applyFill="1" applyBorder="1" applyAlignment="1">
      <alignment horizontal="right"/>
    </xf>
    <xf numFmtId="164" fontId="4" fillId="3" borderId="4" xfId="4" applyNumberFormat="1" applyFont="1" applyFill="1" applyBorder="1" applyAlignment="1">
      <alignment horizontal="right"/>
    </xf>
    <xf numFmtId="0" fontId="4" fillId="3" borderId="5" xfId="4" applyFont="1" applyFill="1" applyBorder="1"/>
    <xf numFmtId="0" fontId="4" fillId="3" borderId="13" xfId="4" applyFont="1" applyFill="1" applyBorder="1"/>
    <xf numFmtId="0" fontId="4" fillId="3" borderId="2" xfId="4" applyFont="1" applyFill="1" applyBorder="1"/>
    <xf numFmtId="0" fontId="4" fillId="3" borderId="0" xfId="4" applyFont="1" applyFill="1"/>
    <xf numFmtId="0" fontId="4" fillId="3" borderId="7" xfId="4" applyFont="1" applyFill="1" applyBorder="1"/>
    <xf numFmtId="0" fontId="4" fillId="3" borderId="4" xfId="4" applyFont="1" applyFill="1" applyBorder="1"/>
    <xf numFmtId="39" fontId="2" fillId="0" borderId="0" xfId="4" applyNumberFormat="1" applyFont="1"/>
    <xf numFmtId="3" fontId="2" fillId="0" borderId="0" xfId="4" applyNumberFormat="1" applyFont="1" applyAlignment="1">
      <alignment horizontal="right"/>
    </xf>
    <xf numFmtId="174" fontId="2" fillId="0" borderId="0" xfId="4" applyNumberFormat="1" applyFont="1" applyAlignment="1">
      <alignment horizontal="right"/>
    </xf>
    <xf numFmtId="0" fontId="2" fillId="3" borderId="13" xfId="4" applyFont="1" applyFill="1" applyBorder="1" applyAlignment="1">
      <alignment horizontal="right"/>
    </xf>
    <xf numFmtId="0" fontId="2" fillId="3" borderId="4" xfId="4" applyFont="1" applyFill="1" applyBorder="1" applyAlignment="1">
      <alignment horizontal="right"/>
    </xf>
    <xf numFmtId="0" fontId="4" fillId="0" borderId="0" xfId="4" applyFont="1" applyAlignment="1">
      <alignment horizontal="right"/>
    </xf>
    <xf numFmtId="14" fontId="27" fillId="3" borderId="0" xfId="4" applyNumberFormat="1" applyFont="1" applyFill="1"/>
    <xf numFmtId="14" fontId="26" fillId="3" borderId="0" xfId="4" applyNumberFormat="1" applyFont="1" applyFill="1" applyAlignment="1">
      <alignment horizontal="right"/>
    </xf>
    <xf numFmtId="14" fontId="11" fillId="0" borderId="4" xfId="4" applyNumberFormat="1" applyFont="1" applyBorder="1" applyAlignment="1">
      <alignment horizontal="center"/>
    </xf>
    <xf numFmtId="0" fontId="2" fillId="3" borderId="0" xfId="4" applyFont="1" applyFill="1"/>
    <xf numFmtId="165" fontId="2" fillId="3" borderId="0" xfId="4" applyNumberFormat="1" applyFont="1" applyFill="1" applyAlignment="1">
      <alignment horizontal="left"/>
    </xf>
    <xf numFmtId="165" fontId="2" fillId="3" borderId="0" xfId="4" applyNumberFormat="1" applyFont="1" applyFill="1" applyAlignment="1">
      <alignment horizontal="left" indent="1"/>
    </xf>
    <xf numFmtId="167" fontId="2" fillId="3" borderId="0" xfId="4" applyNumberFormat="1" applyFont="1" applyFill="1" applyAlignment="1">
      <alignment horizontal="left"/>
    </xf>
    <xf numFmtId="170" fontId="2" fillId="3" borderId="0" xfId="4" applyNumberFormat="1" applyFont="1" applyFill="1" applyAlignment="1">
      <alignment horizontal="left"/>
    </xf>
    <xf numFmtId="0" fontId="2" fillId="3" borderId="0" xfId="4" applyFont="1" applyFill="1" applyAlignment="1">
      <alignment horizontal="left"/>
    </xf>
    <xf numFmtId="14" fontId="2" fillId="3" borderId="0" xfId="4" applyNumberFormat="1" applyFont="1" applyFill="1" applyAlignment="1">
      <alignment horizontal="left"/>
    </xf>
    <xf numFmtId="10" fontId="4" fillId="0" borderId="0" xfId="4" applyNumberFormat="1" applyFont="1" applyAlignment="1">
      <alignment horizontal="centerContinuous"/>
    </xf>
    <xf numFmtId="3" fontId="2" fillId="0" borderId="0" xfId="4" applyNumberFormat="1" applyFont="1"/>
    <xf numFmtId="4" fontId="4" fillId="0" borderId="0" xfId="4" applyNumberFormat="1" applyFont="1" applyAlignment="1">
      <alignment horizontal="right"/>
    </xf>
    <xf numFmtId="0" fontId="15" fillId="0" borderId="9" xfId="0" applyFont="1" applyBorder="1" applyAlignment="1">
      <alignment horizontal="left" vertical="center" indent="5"/>
    </xf>
    <xf numFmtId="167" fontId="27" fillId="3" borderId="0" xfId="4" applyNumberFormat="1" applyFont="1" applyFill="1" applyAlignment="1">
      <alignment horizontal="left"/>
    </xf>
    <xf numFmtId="14" fontId="26" fillId="0" borderId="4" xfId="4" applyNumberFormat="1" applyFont="1" applyBorder="1" applyAlignment="1">
      <alignment horizontal="right"/>
    </xf>
    <xf numFmtId="0" fontId="2" fillId="3" borderId="0" xfId="4" applyFont="1" applyFill="1" applyAlignment="1">
      <alignment horizontal="left" wrapText="1"/>
    </xf>
    <xf numFmtId="0" fontId="2" fillId="3" borderId="0" xfId="4" applyFont="1" applyFill="1" applyAlignment="1">
      <alignment wrapText="1"/>
    </xf>
    <xf numFmtId="0" fontId="2" fillId="3" borderId="0" xfId="4" applyFont="1" applyFill="1" applyAlignment="1">
      <alignment horizontal="right" wrapText="1"/>
    </xf>
    <xf numFmtId="169" fontId="2" fillId="0" borderId="0" xfId="4" applyNumberFormat="1" applyFont="1" applyAlignment="1">
      <alignment horizontal="right" wrapText="1"/>
    </xf>
    <xf numFmtId="38" fontId="2" fillId="0" borderId="0" xfId="4" applyNumberFormat="1" applyFont="1" applyAlignment="1">
      <alignment horizontal="right"/>
    </xf>
    <xf numFmtId="38" fontId="4" fillId="0" borderId="12" xfId="4" applyNumberFormat="1" applyFont="1" applyBorder="1" applyAlignment="1">
      <alignment horizontal="right"/>
    </xf>
    <xf numFmtId="38" fontId="2" fillId="0" borderId="4" xfId="4" applyNumberFormat="1" applyFont="1" applyBorder="1" applyAlignment="1">
      <alignment horizontal="right"/>
    </xf>
    <xf numFmtId="38" fontId="4" fillId="0" borderId="0" xfId="4" applyNumberFormat="1" applyFont="1" applyAlignment="1">
      <alignment horizontal="right"/>
    </xf>
    <xf numFmtId="38" fontId="4" fillId="0" borderId="11" xfId="4" applyNumberFormat="1" applyFont="1" applyBorder="1" applyAlignment="1">
      <alignment horizontal="right"/>
    </xf>
    <xf numFmtId="38" fontId="4" fillId="0" borderId="13" xfId="4" applyNumberFormat="1" applyFont="1" applyBorder="1" applyAlignment="1">
      <alignment horizontal="right"/>
    </xf>
    <xf numFmtId="40" fontId="2" fillId="0" borderId="0" xfId="4" applyNumberFormat="1" applyFont="1" applyAlignment="1">
      <alignment horizontal="right"/>
    </xf>
    <xf numFmtId="40" fontId="2" fillId="0" borderId="0" xfId="4" applyNumberFormat="1" applyFont="1"/>
    <xf numFmtId="38" fontId="2" fillId="0" borderId="0" xfId="4" applyNumberFormat="1" applyFont="1"/>
    <xf numFmtId="38" fontId="4" fillId="0" borderId="4" xfId="4" applyNumberFormat="1" applyFont="1" applyBorder="1" applyAlignment="1">
      <alignment horizontal="centerContinuous"/>
    </xf>
    <xf numFmtId="40" fontId="4" fillId="3" borderId="13" xfId="4" applyNumberFormat="1" applyFont="1" applyFill="1" applyBorder="1" applyAlignment="1">
      <alignment horizontal="right"/>
    </xf>
    <xf numFmtId="40" fontId="4" fillId="3" borderId="0" xfId="4" applyNumberFormat="1" applyFont="1" applyFill="1" applyAlignment="1">
      <alignment horizontal="right"/>
    </xf>
    <xf numFmtId="40" fontId="4" fillId="3" borderId="4" xfId="4" applyNumberFormat="1" applyFont="1" applyFill="1" applyBorder="1" applyAlignment="1">
      <alignment horizontal="right"/>
    </xf>
    <xf numFmtId="38" fontId="4" fillId="3" borderId="13" xfId="4" applyNumberFormat="1" applyFont="1" applyFill="1" applyBorder="1" applyAlignment="1">
      <alignment horizontal="right"/>
    </xf>
    <xf numFmtId="38" fontId="4" fillId="3" borderId="0" xfId="4" applyNumberFormat="1" applyFont="1" applyFill="1" applyAlignment="1">
      <alignment horizontal="right"/>
    </xf>
    <xf numFmtId="38" fontId="4" fillId="3" borderId="4" xfId="4" applyNumberFormat="1" applyFont="1" applyFill="1" applyBorder="1" applyAlignment="1">
      <alignment horizontal="right"/>
    </xf>
    <xf numFmtId="38" fontId="4" fillId="3" borderId="6" xfId="4" applyNumberFormat="1" applyFont="1" applyFill="1" applyBorder="1" applyAlignment="1">
      <alignment horizontal="right"/>
    </xf>
    <xf numFmtId="38" fontId="4" fillId="3" borderId="3" xfId="4" applyNumberFormat="1" applyFont="1" applyFill="1" applyBorder="1" applyAlignment="1">
      <alignment horizontal="right"/>
    </xf>
    <xf numFmtId="38" fontId="4" fillId="3" borderId="14" xfId="4" applyNumberFormat="1" applyFont="1" applyFill="1" applyBorder="1" applyAlignment="1">
      <alignment horizontal="right"/>
    </xf>
    <xf numFmtId="38" fontId="4" fillId="3" borderId="5" xfId="4" applyNumberFormat="1" applyFont="1" applyFill="1" applyBorder="1" applyAlignment="1">
      <alignment horizontal="right"/>
    </xf>
    <xf numFmtId="38" fontId="4" fillId="3" borderId="2" xfId="4" applyNumberFormat="1" applyFont="1" applyFill="1" applyBorder="1" applyAlignment="1">
      <alignment horizontal="right"/>
    </xf>
    <xf numFmtId="38" fontId="4" fillId="3" borderId="7" xfId="4" applyNumberFormat="1" applyFont="1" applyFill="1" applyBorder="1" applyAlignment="1">
      <alignment horizontal="right"/>
    </xf>
    <xf numFmtId="40" fontId="4" fillId="3" borderId="6" xfId="4" applyNumberFormat="1" applyFont="1" applyFill="1" applyBorder="1" applyAlignment="1">
      <alignment horizontal="right"/>
    </xf>
    <xf numFmtId="40" fontId="4" fillId="3" borderId="3" xfId="4" applyNumberFormat="1" applyFont="1" applyFill="1" applyBorder="1" applyAlignment="1">
      <alignment horizontal="right"/>
    </xf>
    <xf numFmtId="40" fontId="4" fillId="3" borderId="14" xfId="4" applyNumberFormat="1" applyFont="1" applyFill="1" applyBorder="1" applyAlignment="1">
      <alignment horizontal="right"/>
    </xf>
    <xf numFmtId="40" fontId="4" fillId="3" borderId="5" xfId="4" applyNumberFormat="1" applyFont="1" applyFill="1" applyBorder="1" applyAlignment="1">
      <alignment horizontal="right"/>
    </xf>
    <xf numFmtId="40" fontId="4" fillId="3" borderId="2" xfId="4" applyNumberFormat="1" applyFont="1" applyFill="1" applyBorder="1" applyAlignment="1">
      <alignment horizontal="right"/>
    </xf>
    <xf numFmtId="40" fontId="4" fillId="3" borderId="7" xfId="4" applyNumberFormat="1" applyFont="1" applyFill="1" applyBorder="1" applyAlignment="1">
      <alignment horizontal="right"/>
    </xf>
    <xf numFmtId="40" fontId="4" fillId="0" borderId="0" xfId="4" applyNumberFormat="1" applyFont="1" applyAlignment="1">
      <alignment horizontal="right"/>
    </xf>
    <xf numFmtId="40" fontId="2" fillId="3" borderId="13" xfId="4" applyNumberFormat="1" applyFont="1" applyFill="1" applyBorder="1" applyAlignment="1">
      <alignment horizontal="right"/>
    </xf>
    <xf numFmtId="40" fontId="2" fillId="3" borderId="0" xfId="4" applyNumberFormat="1" applyFont="1" applyFill="1" applyAlignment="1">
      <alignment horizontal="right"/>
    </xf>
    <xf numFmtId="40" fontId="2" fillId="3" borderId="4" xfId="4" applyNumberFormat="1" applyFont="1" applyFill="1" applyBorder="1" applyAlignment="1">
      <alignment horizontal="right"/>
    </xf>
    <xf numFmtId="38" fontId="2" fillId="3" borderId="13" xfId="4" applyNumberFormat="1" applyFont="1" applyFill="1" applyBorder="1" applyAlignment="1">
      <alignment horizontal="right"/>
    </xf>
    <xf numFmtId="38" fontId="2" fillId="3" borderId="0" xfId="4" applyNumberFormat="1" applyFont="1" applyFill="1" applyAlignment="1">
      <alignment horizontal="right"/>
    </xf>
    <xf numFmtId="38" fontId="2" fillId="3" borderId="4" xfId="4" applyNumberFormat="1" applyFont="1" applyFill="1" applyBorder="1" applyAlignment="1">
      <alignment horizontal="right"/>
    </xf>
    <xf numFmtId="40" fontId="2" fillId="3" borderId="6" xfId="4" applyNumberFormat="1" applyFont="1" applyFill="1" applyBorder="1" applyAlignment="1">
      <alignment horizontal="right"/>
    </xf>
    <xf numFmtId="40" fontId="2" fillId="3" borderId="3" xfId="4" applyNumberFormat="1" applyFont="1" applyFill="1" applyBorder="1" applyAlignment="1">
      <alignment horizontal="right"/>
    </xf>
    <xf numFmtId="40" fontId="2" fillId="3" borderId="14" xfId="4" applyNumberFormat="1" applyFont="1" applyFill="1" applyBorder="1" applyAlignment="1">
      <alignment horizontal="right"/>
    </xf>
    <xf numFmtId="40" fontId="0" fillId="0" borderId="0" xfId="0" applyNumberFormat="1"/>
    <xf numFmtId="40" fontId="2" fillId="3" borderId="13" xfId="4" applyNumberFormat="1" applyFont="1" applyFill="1" applyBorder="1"/>
    <xf numFmtId="40" fontId="2" fillId="3" borderId="0" xfId="4" applyNumberFormat="1" applyFont="1" applyFill="1"/>
    <xf numFmtId="40" fontId="4" fillId="0" borderId="0" xfId="4" applyNumberFormat="1" applyFont="1"/>
    <xf numFmtId="14" fontId="4" fillId="0" borderId="4" xfId="4" applyNumberFormat="1" applyFont="1" applyBorder="1" applyAlignment="1">
      <alignment horizontal="center"/>
    </xf>
    <xf numFmtId="14" fontId="4" fillId="0" borderId="4" xfId="4" applyNumberFormat="1" applyFont="1" applyBorder="1" applyAlignment="1">
      <alignment horizontal="centerContinuous"/>
    </xf>
    <xf numFmtId="0" fontId="22" fillId="2" borderId="10" xfId="0" quotePrefix="1" applyFont="1" applyFill="1" applyBorder="1" applyAlignment="1">
      <alignment horizontal="center" vertical="center"/>
    </xf>
    <xf numFmtId="0" fontId="20" fillId="0" borderId="0" xfId="0" applyFont="1" applyAlignment="1">
      <alignment horizontal="left" indent="1"/>
    </xf>
    <xf numFmtId="0" fontId="23" fillId="0" borderId="0" xfId="0" applyFont="1"/>
    <xf numFmtId="0" fontId="0" fillId="0" borderId="0" xfId="0" applyAlignment="1">
      <alignment horizontal="right"/>
    </xf>
    <xf numFmtId="0" fontId="0" fillId="0" borderId="0" xfId="0" applyAlignment="1">
      <alignment horizontal="center"/>
    </xf>
    <xf numFmtId="0" fontId="0" fillId="0" borderId="0" xfId="0" applyAlignment="1">
      <alignment vertical="top" wrapText="1"/>
    </xf>
    <xf numFmtId="0" fontId="20" fillId="0" borderId="0" xfId="0" applyFont="1" applyAlignment="1">
      <alignment horizontal="left"/>
    </xf>
    <xf numFmtId="0" fontId="16" fillId="0" borderId="0" xfId="0" applyFont="1"/>
    <xf numFmtId="0" fontId="19" fillId="0" borderId="0" xfId="0" applyFont="1"/>
    <xf numFmtId="0" fontId="17" fillId="0" borderId="0" xfId="0" applyFont="1" applyAlignment="1">
      <alignment horizontal="left" indent="1"/>
    </xf>
    <xf numFmtId="0" fontId="18" fillId="0" borderId="0" xfId="0" applyFont="1"/>
    <xf numFmtId="0" fontId="1" fillId="0" borderId="0" xfId="0" applyFont="1"/>
    <xf numFmtId="0" fontId="2" fillId="0" borderId="0" xfId="0" applyFont="1" applyAlignment="1">
      <alignment horizontal="left" indent="1"/>
    </xf>
    <xf numFmtId="0" fontId="2" fillId="0" borderId="0" xfId="0" applyFont="1"/>
    <xf numFmtId="0" fontId="2" fillId="0" borderId="0" xfId="0" applyFont="1" applyAlignment="1">
      <alignment horizontal="right"/>
    </xf>
    <xf numFmtId="49" fontId="2" fillId="0" borderId="0" xfId="0" quotePrefix="1" applyNumberFormat="1" applyFont="1" applyAlignment="1">
      <alignment horizontal="left"/>
    </xf>
    <xf numFmtId="0" fontId="0" fillId="0" borderId="0" xfId="0" quotePrefix="1"/>
    <xf numFmtId="0" fontId="17" fillId="0" borderId="0" xfId="0" applyFont="1"/>
    <xf numFmtId="0" fontId="0" fillId="0" borderId="0" xfId="0" quotePrefix="1" applyAlignment="1">
      <alignment horizontal="left"/>
    </xf>
    <xf numFmtId="0" fontId="4" fillId="0" borderId="0" xfId="0" applyFont="1"/>
    <xf numFmtId="0" fontId="20" fillId="0" borderId="0" xfId="0" applyFont="1" applyAlignment="1">
      <alignment horizontal="left" indent="5"/>
    </xf>
    <xf numFmtId="0" fontId="21" fillId="0" borderId="0" xfId="0" applyFont="1"/>
    <xf numFmtId="0" fontId="25" fillId="0" borderId="0" xfId="0" applyFont="1"/>
    <xf numFmtId="0" fontId="20" fillId="0" borderId="0" xfId="0" applyFont="1" applyAlignment="1">
      <alignment horizontal="right" indent="1"/>
    </xf>
    <xf numFmtId="0" fontId="0" fillId="0" borderId="9" xfId="0" applyBorder="1"/>
    <xf numFmtId="0" fontId="25" fillId="0" borderId="0" xfId="0" applyFont="1" applyAlignment="1">
      <alignment horizontal="center"/>
    </xf>
    <xf numFmtId="0" fontId="31" fillId="0" borderId="0" xfId="0" applyFont="1"/>
    <xf numFmtId="0" fontId="7" fillId="0" borderId="1" xfId="0" applyFont="1" applyBorder="1" applyAlignment="1">
      <alignment horizontal="center"/>
    </xf>
    <xf numFmtId="0" fontId="9" fillId="0" borderId="0" xfId="0" applyFont="1"/>
    <xf numFmtId="14" fontId="4" fillId="0" borderId="0" xfId="4" applyNumberFormat="1" applyFont="1" applyAlignment="1">
      <alignment horizontal="right"/>
    </xf>
    <xf numFmtId="171" fontId="4" fillId="0" borderId="0" xfId="6" applyNumberFormat="1" applyFont="1" applyAlignment="1">
      <alignment horizontal="right"/>
    </xf>
    <xf numFmtId="0" fontId="26" fillId="3" borderId="0" xfId="4" applyFont="1" applyFill="1" applyAlignment="1">
      <alignment horizontal="left" indent="1"/>
    </xf>
    <xf numFmtId="0" fontId="32" fillId="4" borderId="0" xfId="0" applyFont="1" applyFill="1"/>
    <xf numFmtId="0" fontId="0" fillId="4" borderId="0" xfId="0" applyFill="1"/>
    <xf numFmtId="0" fontId="27" fillId="3" borderId="0" xfId="4" applyFont="1" applyFill="1" applyAlignment="1">
      <alignment horizontal="center"/>
    </xf>
    <xf numFmtId="0" fontId="6" fillId="0" borderId="0" xfId="1" applyAlignment="1" applyProtection="1"/>
    <xf numFmtId="0" fontId="20" fillId="0" borderId="0" xfId="0" applyFont="1"/>
    <xf numFmtId="0" fontId="22" fillId="2" borderId="10" xfId="0" applyFont="1" applyFill="1" applyBorder="1" applyAlignment="1">
      <alignment vertical="center"/>
    </xf>
    <xf numFmtId="0" fontId="20" fillId="0" borderId="0" xfId="0" applyFont="1" applyAlignment="1">
      <alignment horizontal="right"/>
    </xf>
    <xf numFmtId="0" fontId="4" fillId="0" borderId="0" xfId="0" applyFont="1" applyAlignment="1">
      <alignment horizontal="center"/>
    </xf>
    <xf numFmtId="0" fontId="4" fillId="0" borderId="0" xfId="8" applyFont="1"/>
    <xf numFmtId="0" fontId="2" fillId="0" borderId="0" xfId="8"/>
    <xf numFmtId="0" fontId="22" fillId="5" borderId="10" xfId="0" applyFont="1" applyFill="1" applyBorder="1" applyAlignment="1">
      <alignment horizontal="center" vertical="center"/>
    </xf>
    <xf numFmtId="0" fontId="22" fillId="5" borderId="10" xfId="0" quotePrefix="1" applyFont="1" applyFill="1" applyBorder="1" applyAlignment="1">
      <alignment horizontal="center" vertical="center"/>
    </xf>
    <xf numFmtId="0" fontId="27" fillId="0" borderId="0" xfId="0" applyFont="1" applyAlignment="1">
      <alignment horizontal="center"/>
    </xf>
    <xf numFmtId="4" fontId="2" fillId="0" borderId="8" xfId="0" applyNumberFormat="1" applyFont="1" applyBorder="1" applyAlignment="1">
      <alignment horizontal="left"/>
    </xf>
    <xf numFmtId="0" fontId="4" fillId="0" borderId="4" xfId="0" applyFont="1" applyBorder="1"/>
    <xf numFmtId="4" fontId="2" fillId="0" borderId="0" xfId="0" applyNumberFormat="1" applyFont="1" applyAlignment="1">
      <alignment horizontal="left"/>
    </xf>
    <xf numFmtId="4" fontId="2" fillId="0" borderId="0" xfId="0" quotePrefix="1" applyNumberFormat="1" applyFont="1" applyAlignment="1">
      <alignment horizontal="left"/>
    </xf>
    <xf numFmtId="3" fontId="4" fillId="0" borderId="4" xfId="4" applyNumberFormat="1" applyFont="1" applyBorder="1" applyAlignment="1">
      <alignment horizontal="right"/>
    </xf>
    <xf numFmtId="3" fontId="2" fillId="0" borderId="4" xfId="4" applyNumberFormat="1" applyFont="1" applyBorder="1" applyAlignment="1">
      <alignment horizontal="right"/>
    </xf>
    <xf numFmtId="3" fontId="4" fillId="0" borderId="0" xfId="4" applyNumberFormat="1" applyFont="1" applyAlignment="1">
      <alignment horizontal="right"/>
    </xf>
    <xf numFmtId="4" fontId="26" fillId="0" borderId="0" xfId="4" applyNumberFormat="1" applyFont="1" applyAlignment="1">
      <alignment horizontal="right"/>
    </xf>
    <xf numFmtId="4" fontId="4" fillId="0" borderId="4" xfId="4" applyNumberFormat="1" applyFont="1" applyBorder="1" applyAlignment="1">
      <alignment horizontal="right"/>
    </xf>
    <xf numFmtId="0" fontId="2" fillId="0" borderId="0" xfId="4" applyFont="1" applyAlignment="1"/>
    <xf numFmtId="14" fontId="2" fillId="0" borderId="0" xfId="4" applyNumberFormat="1" applyFont="1" applyAlignment="1"/>
    <xf numFmtId="14" fontId="4" fillId="0" borderId="0" xfId="4" applyNumberFormat="1" applyFont="1" applyAlignment="1"/>
    <xf numFmtId="0" fontId="4" fillId="0" borderId="0" xfId="4" applyFont="1" applyAlignment="1"/>
    <xf numFmtId="0" fontId="4" fillId="0" borderId="3" xfId="4" applyFont="1" applyBorder="1" applyAlignment="1"/>
    <xf numFmtId="0" fontId="4" fillId="3" borderId="5" xfId="4" applyFont="1" applyFill="1" applyBorder="1" applyAlignment="1"/>
    <xf numFmtId="0" fontId="4" fillId="3" borderId="2" xfId="4" applyFont="1" applyFill="1" applyBorder="1" applyAlignment="1"/>
    <xf numFmtId="0" fontId="4" fillId="3" borderId="7" xfId="4" applyFont="1" applyFill="1" applyBorder="1" applyAlignment="1"/>
    <xf numFmtId="40" fontId="2" fillId="0" borderId="0" xfId="4" applyNumberFormat="1" applyFont="1" applyAlignment="1"/>
    <xf numFmtId="38" fontId="2" fillId="0" borderId="0" xfId="4" applyNumberFormat="1" applyFont="1" applyAlignment="1"/>
  </cellXfs>
  <cellStyles count="9">
    <cellStyle name="Hyperlink" xfId="1" builtinId="8"/>
    <cellStyle name="Normal" xfId="0" builtinId="0"/>
    <cellStyle name="Normal 2" xfId="2" xr:uid="{00000000-0005-0000-0000-000002000000}"/>
    <cellStyle name="Normal 3" xfId="4" xr:uid="{00000000-0005-0000-0000-000003000000}"/>
    <cellStyle name="Normal 4" xfId="3" xr:uid="{00000000-0005-0000-0000-000004000000}"/>
    <cellStyle name="Normal_eps-stock_9zdq01_" xfId="5" xr:uid="{00000000-0005-0000-0000-000005000000}"/>
    <cellStyle name="Normal_Life" xfId="8" xr:uid="{B9276432-74DF-45EC-92A0-3767D495AB63}"/>
    <cellStyle name="Normal_VF Corp" xfId="7" xr:uid="{00000000-0005-0000-0000-000006000000}"/>
    <cellStyle name="Percent 2" xfId="6" xr:uid="{00000000-0005-0000-0000-000007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DDDDDD"/>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000"/>
      <color rgb="FF525252"/>
      <color rgb="FFFFFFCC"/>
      <color rgb="FF2C3D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30</xdr:row>
          <xdr:rowOff>99060</xdr:rowOff>
        </xdr:from>
        <xdr:to>
          <xdr:col>6</xdr:col>
          <xdr:colOff>0</xdr:colOff>
          <xdr:row>32</xdr:row>
          <xdr:rowOff>60960</xdr:rowOff>
        </xdr:to>
        <xdr:sp macro="" textlink="">
          <xdr:nvSpPr>
            <xdr:cNvPr id="1395717" name="Button 5" hidden="1">
              <a:extLst>
                <a:ext uri="{63B3BB69-23CF-44E3-9099-C40C66FF867C}">
                  <a14:compatExt spid="_x0000_s1395717"/>
                </a:ext>
                <a:ext uri="{FF2B5EF4-FFF2-40B4-BE49-F238E27FC236}">
                  <a16:creationId xmlns:a16="http://schemas.microsoft.com/office/drawing/2014/main" id="{00000000-0008-0000-0100-0000054C1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REFRESH</a:t>
              </a:r>
            </a:p>
          </xdr:txBody>
        </xdr:sp>
        <xdr:clientData fPrintsWithSheet="0"/>
      </xdr:twoCellAnchor>
    </mc:Choice>
    <mc:Fallback/>
  </mc:AlternateContent>
  <xdr:twoCellAnchor editAs="oneCell">
    <xdr:from>
      <xdr:col>1</xdr:col>
      <xdr:colOff>0</xdr:colOff>
      <xdr:row>1</xdr:row>
      <xdr:rowOff>0</xdr:rowOff>
    </xdr:from>
    <xdr:to>
      <xdr:col>3</xdr:col>
      <xdr:colOff>371285</xdr:colOff>
      <xdr:row>1</xdr:row>
      <xdr:rowOff>467995</xdr:rowOff>
    </xdr:to>
    <xdr:pic>
      <xdr:nvPicPr>
        <xdr:cNvPr id="4" name="Graphic 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6200" y="127000"/>
          <a:ext cx="2663635" cy="467995"/>
        </a:xfrm>
        <a:prstGeom prst="rect">
          <a:avLst/>
        </a:prstGeom>
        <a:solidFill>
          <a:schemeClr val="bg1"/>
        </a:solidFill>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4"/>
  <sheetViews>
    <sheetView workbookViewId="0"/>
  </sheetViews>
  <sheetFormatPr defaultRowHeight="10.199999999999999" x14ac:dyDescent="0.2"/>
  <sheetData>
    <row r="1" spans="1:1" x14ac:dyDescent="0.2">
      <c r="A1" t="s">
        <v>2020</v>
      </c>
    </row>
    <row r="2" spans="1:1" x14ac:dyDescent="0.2">
      <c r="A2" t="s">
        <v>2021</v>
      </c>
    </row>
    <row r="3" spans="1:1" x14ac:dyDescent="0.2">
      <c r="A3" t="s">
        <v>2022</v>
      </c>
    </row>
    <row r="4" spans="1:1" x14ac:dyDescent="0.2">
      <c r="A4" t="s">
        <v>2023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B2:X145"/>
  <sheetViews>
    <sheetView showGridLines="0" tabSelected="1" zoomScaleNormal="100" workbookViewId="0">
      <selection activeCell="G30" sqref="G30"/>
    </sheetView>
  </sheetViews>
  <sheetFormatPr defaultColWidth="9.28515625" defaultRowHeight="10.199999999999999" outlineLevelRow="1" outlineLevelCol="1" x14ac:dyDescent="0.2"/>
  <cols>
    <col min="1" max="1" width="2.7109375" customWidth="1"/>
    <col min="2" max="2" width="7.42578125" customWidth="1"/>
    <col min="3" max="3" width="32.7109375" customWidth="1"/>
    <col min="4" max="4" width="23.140625" customWidth="1"/>
    <col min="5" max="5" width="19.42578125" customWidth="1"/>
    <col min="6" max="6" width="20.7109375" customWidth="1"/>
    <col min="7" max="7" width="21.140625" customWidth="1"/>
    <col min="8" max="8" width="21.28515625" customWidth="1"/>
    <col min="9" max="9" width="20.7109375" customWidth="1"/>
    <col min="10" max="14" width="13.28515625" customWidth="1"/>
    <col min="16" max="16" width="9.28515625" hidden="1" customWidth="1" outlineLevel="1"/>
    <col min="17" max="17" width="21" hidden="1" customWidth="1" outlineLevel="1"/>
    <col min="18" max="18" width="37.7109375" hidden="1" customWidth="1" outlineLevel="1"/>
    <col min="19" max="19" width="12" hidden="1" customWidth="1" outlineLevel="1"/>
    <col min="20" max="20" width="32.7109375" hidden="1" customWidth="1" outlineLevel="1"/>
    <col min="21" max="21" width="18.7109375" hidden="1" customWidth="1" outlineLevel="1"/>
    <col min="22" max="22" width="9.7109375" hidden="1" customWidth="1" outlineLevel="1"/>
    <col min="23" max="23" width="30.42578125" hidden="1" customWidth="1" outlineLevel="1"/>
    <col min="24" max="24" width="9.28515625" collapsed="1"/>
  </cols>
  <sheetData>
    <row r="2" spans="2:14" ht="45" customHeight="1" x14ac:dyDescent="0.2">
      <c r="B2" s="1"/>
      <c r="C2" s="1"/>
      <c r="D2" s="127"/>
      <c r="E2" s="127" t="s">
        <v>1977</v>
      </c>
      <c r="F2" s="2"/>
      <c r="G2" s="1"/>
      <c r="H2" s="1"/>
      <c r="I2" s="1"/>
      <c r="J2" s="1"/>
      <c r="K2" s="1"/>
      <c r="L2" s="1"/>
      <c r="M2" s="1"/>
      <c r="N2" s="1"/>
    </row>
    <row r="3" spans="2:14" ht="12" x14ac:dyDescent="0.25">
      <c r="B3" s="185" t="s">
        <v>243</v>
      </c>
      <c r="C3" s="185"/>
      <c r="D3" s="186"/>
      <c r="E3" s="186"/>
      <c r="F3" s="186"/>
      <c r="G3" s="186"/>
      <c r="H3" s="186"/>
      <c r="I3" s="187" t="s">
        <v>3</v>
      </c>
      <c r="K3" s="188"/>
      <c r="L3" s="186"/>
      <c r="M3" s="186"/>
      <c r="N3" s="186"/>
    </row>
    <row r="4" spans="2:14" x14ac:dyDescent="0.2">
      <c r="B4" s="189" t="s">
        <v>1981</v>
      </c>
      <c r="C4" s="189"/>
      <c r="I4" s="190" t="s">
        <v>1943</v>
      </c>
      <c r="K4" s="191"/>
    </row>
    <row r="5" spans="2:14" x14ac:dyDescent="0.2">
      <c r="B5" s="189" t="s">
        <v>1982</v>
      </c>
      <c r="C5" s="189"/>
      <c r="I5" s="192" t="s">
        <v>4</v>
      </c>
      <c r="J5" s="193" t="s">
        <v>245</v>
      </c>
      <c r="L5" s="181"/>
    </row>
    <row r="6" spans="2:14" x14ac:dyDescent="0.2">
      <c r="B6" s="189" t="s">
        <v>244</v>
      </c>
      <c r="C6" s="189"/>
      <c r="I6" s="181"/>
      <c r="J6" s="194" t="s">
        <v>196</v>
      </c>
      <c r="L6" s="181"/>
    </row>
    <row r="7" spans="2:14" x14ac:dyDescent="0.2">
      <c r="I7" s="181"/>
      <c r="J7" s="194" t="s">
        <v>1939</v>
      </c>
      <c r="L7" s="181"/>
    </row>
    <row r="8" spans="2:14" ht="12" x14ac:dyDescent="0.25">
      <c r="B8" s="195" t="s">
        <v>2</v>
      </c>
      <c r="C8" s="195"/>
      <c r="I8" s="181"/>
      <c r="J8" s="196" t="s">
        <v>195</v>
      </c>
      <c r="L8" s="181"/>
    </row>
    <row r="9" spans="2:14" x14ac:dyDescent="0.2">
      <c r="B9" s="197" t="s">
        <v>248</v>
      </c>
      <c r="C9" s="191" t="s">
        <v>1979</v>
      </c>
      <c r="E9" s="216" t="s">
        <v>1980</v>
      </c>
      <c r="F9" s="3" t="s">
        <v>1984</v>
      </c>
      <c r="G9" s="179" t="str" cm="1">
        <f t="array" ref="G9">IF(F9="","",_xll.SNL.Clients.Office.Excel.Functions.SPG(F9,"SP_COMPANY_NAME"))</f>
        <v>FMC Corporation</v>
      </c>
      <c r="I9" s="192" t="s">
        <v>5</v>
      </c>
      <c r="J9" s="213" t="s">
        <v>1951</v>
      </c>
    </row>
    <row r="10" spans="2:14" ht="11.4" x14ac:dyDescent="0.2">
      <c r="I10" s="181"/>
      <c r="M10" s="180"/>
    </row>
    <row r="11" spans="2:14" ht="11.4" x14ac:dyDescent="0.2">
      <c r="F11" s="217" t="s">
        <v>1969</v>
      </c>
      <c r="I11" s="217" t="s">
        <v>1970</v>
      </c>
      <c r="M11" s="180"/>
    </row>
    <row r="12" spans="2:14" hidden="1" outlineLevel="1" x14ac:dyDescent="0.2">
      <c r="D12" s="181"/>
      <c r="F12" s="222" t="str" cm="1">
        <f t="array" ref="F12">_xll.SNL.Clients.Office.Excel.Functions.SPGRANGEV(Target_1,"SP_QUICK_COMP",1,10)</f>
        <v>Quick Comps</v>
      </c>
      <c r="J12" s="183"/>
      <c r="K12" s="183"/>
      <c r="L12" s="183"/>
      <c r="M12" s="183"/>
      <c r="N12" s="183"/>
    </row>
    <row r="13" spans="2:14" collapsed="1" x14ac:dyDescent="0.2">
      <c r="B13" s="197" t="s">
        <v>1952</v>
      </c>
      <c r="C13" t="s">
        <v>1971</v>
      </c>
      <c r="E13" s="216" t="s">
        <v>1955</v>
      </c>
      <c r="F13" s="220" t="s">
        <v>1985</v>
      </c>
      <c r="G13" s="179" t="str" cm="1">
        <f t="array" ref="G13">IF(F13="","",_xll.SNL.Clients.Office.Excel.Functions.SPG(F13,"SP_COMPANY_NAME"))</f>
        <v>The Mosaic Company</v>
      </c>
      <c r="I13" s="3"/>
      <c r="J13" s="179" t="str" cm="1">
        <f t="array" ref="J13">IF(I13="","-",_xll.SNL.Clients.Office.Excel.Functions.SPG(I13,"SP_COMPANY_NAME"))</f>
        <v>-</v>
      </c>
      <c r="K13" s="183"/>
      <c r="L13" s="183"/>
      <c r="M13" s="183"/>
      <c r="N13" s="183"/>
    </row>
    <row r="14" spans="2:14" x14ac:dyDescent="0.2">
      <c r="C14" s="218" t="s">
        <v>1972</v>
      </c>
      <c r="E14" s="216" t="s">
        <v>1956</v>
      </c>
      <c r="F14" s="220" t="s">
        <v>1986</v>
      </c>
      <c r="G14" s="179" t="str" cm="1">
        <f t="array" ref="G14">IF(F14="","",_xll.SNL.Clients.Office.Excel.Functions.SPG(F14,"SP_COMPANY_NAME"))</f>
        <v>CF Industries Holdings, Inc.</v>
      </c>
      <c r="I14" s="3"/>
      <c r="J14" s="179" t="str" cm="1">
        <f t="array" ref="J14">IF(I14="","-",_xll.SNL.Clients.Office.Excel.Functions.SPG(I14,"SP_COMPANY_NAME"))</f>
        <v>-</v>
      </c>
      <c r="K14" s="183"/>
      <c r="L14" s="183"/>
      <c r="M14" s="183"/>
      <c r="N14" s="183"/>
    </row>
    <row r="15" spans="2:14" x14ac:dyDescent="0.2">
      <c r="C15" s="219" t="s">
        <v>1973</v>
      </c>
      <c r="E15" s="216" t="s">
        <v>1957</v>
      </c>
      <c r="F15" s="220" t="s">
        <v>1987</v>
      </c>
      <c r="G15" s="179" t="str" cm="1">
        <f t="array" ref="G15">IF(F15="","",_xll.SNL.Clients.Office.Excel.Functions.SPG(F15,"SP_COMPANY_NAME"))</f>
        <v>The Scotts Miracle-Gro Company</v>
      </c>
      <c r="I15" s="3"/>
      <c r="J15" s="179" t="str" cm="1">
        <f t="array" ref="J15">IF(I15="","-",_xll.SNL.Clients.Office.Excel.Functions.SPG(I15,"SP_COMPANY_NAME"))</f>
        <v>-</v>
      </c>
      <c r="K15" s="183"/>
      <c r="L15" s="183"/>
      <c r="M15" s="183"/>
      <c r="N15" s="183"/>
    </row>
    <row r="16" spans="2:14" x14ac:dyDescent="0.2">
      <c r="C16" s="214" t="s">
        <v>1974</v>
      </c>
      <c r="E16" s="216" t="s">
        <v>1958</v>
      </c>
      <c r="F16" s="221" t="s">
        <v>1988</v>
      </c>
      <c r="G16" s="179" t="str" cm="1">
        <f t="array" ref="G16">IF(F16="","",_xll.SNL.Clients.Office.Excel.Functions.SPG(F16,"SP_COMPANY_NAME"))</f>
        <v>Corteva, Inc.</v>
      </c>
      <c r="I16" s="178"/>
      <c r="J16" s="179" t="str" cm="1">
        <f t="array" ref="J16">IF(I16="","-",_xll.SNL.Clients.Office.Excel.Functions.SPG(I16,"SP_COMPANY_NAME"))</f>
        <v>-</v>
      </c>
      <c r="K16" s="183"/>
      <c r="L16" s="183"/>
      <c r="M16" s="183"/>
      <c r="N16" s="183"/>
    </row>
    <row r="17" spans="2:14" x14ac:dyDescent="0.2">
      <c r="E17" s="216" t="s">
        <v>1959</v>
      </c>
      <c r="F17" s="220" t="s">
        <v>1989</v>
      </c>
      <c r="G17" s="179" t="str" cm="1">
        <f t="array" ref="G17">IF(F17="","",_xll.SNL.Clients.Office.Excel.Functions.SPG(F17,"SP_COMPANY_NAME"))</f>
        <v>Axalta Coating Systems Ltd.</v>
      </c>
      <c r="I17" s="3"/>
      <c r="J17" s="179" t="str" cm="1">
        <f t="array" ref="J17">IF(I17="","-",_xll.SNL.Clients.Office.Excel.Functions.SPG(I17,"SP_COMPANY_NAME"))</f>
        <v>-</v>
      </c>
      <c r="K17" s="183"/>
      <c r="L17" s="183"/>
      <c r="M17" s="183"/>
      <c r="N17" s="183"/>
    </row>
    <row r="18" spans="2:14" x14ac:dyDescent="0.2">
      <c r="E18" s="216" t="s">
        <v>1960</v>
      </c>
      <c r="F18" s="220" t="s">
        <v>1990</v>
      </c>
      <c r="G18" s="179" t="str" cm="1">
        <f t="array" ref="G18">IF(F18="","",_xll.SNL.Clients.Office.Excel.Functions.SPG(F18,"SP_COMPANY_NAME"))</f>
        <v>Albemarle Corporation</v>
      </c>
      <c r="I18" s="3"/>
      <c r="J18" s="179" t="str" cm="1">
        <f t="array" ref="J18">IF(I18="","-",_xll.SNL.Clients.Office.Excel.Functions.SPG(I18,"SP_COMPANY_NAME"))</f>
        <v>-</v>
      </c>
      <c r="K18" s="183"/>
      <c r="L18" s="183"/>
      <c r="M18" s="183"/>
      <c r="N18" s="183"/>
    </row>
    <row r="19" spans="2:14" x14ac:dyDescent="0.2">
      <c r="E19" s="216" t="s">
        <v>1961</v>
      </c>
      <c r="F19" s="220" t="s">
        <v>1991</v>
      </c>
      <c r="G19" s="179" t="str" cm="1">
        <f t="array" ref="G19">IF(F19="","",_xll.SNL.Clients.Office.Excel.Functions.SPG(F19,"SP_COMPANY_NAME"))</f>
        <v>Huntsman Corporation</v>
      </c>
      <c r="I19" s="3"/>
      <c r="J19" s="179" t="str" cm="1">
        <f t="array" ref="J19">IF(I19="","-",_xll.SNL.Clients.Office.Excel.Functions.SPG(I19,"SP_COMPANY_NAME"))</f>
        <v>-</v>
      </c>
      <c r="K19" s="183"/>
      <c r="L19" s="183"/>
      <c r="M19" s="183"/>
      <c r="N19" s="183"/>
    </row>
    <row r="20" spans="2:14" x14ac:dyDescent="0.2">
      <c r="E20" s="216" t="s">
        <v>1962</v>
      </c>
      <c r="F20" s="220" t="s">
        <v>1992</v>
      </c>
      <c r="G20" s="179" t="str" cm="1">
        <f t="array" ref="G20">IF(F20="","",_xll.SNL.Clients.Office.Excel.Functions.SPG(F20,"SP_COMPANY_NAME"))</f>
        <v>Olin Corporation</v>
      </c>
      <c r="I20" s="3"/>
      <c r="J20" s="179" t="str" cm="1">
        <f t="array" ref="J20">IF(I20="","-",_xll.SNL.Clients.Office.Excel.Functions.SPG(I20,"SP_COMPANY_NAME"))</f>
        <v>-</v>
      </c>
      <c r="K20" s="183"/>
      <c r="L20" s="183"/>
      <c r="M20" s="183"/>
      <c r="N20" s="183"/>
    </row>
    <row r="21" spans="2:14" x14ac:dyDescent="0.2">
      <c r="E21" s="216" t="s">
        <v>1963</v>
      </c>
      <c r="F21" s="220" t="s">
        <v>1993</v>
      </c>
      <c r="G21" s="179" t="str" cm="1">
        <f t="array" ref="G21">IF(F21="","",_xll.SNL.Clients.Office.Excel.Functions.SPG(F21,"SP_COMPANY_NAME"))</f>
        <v>RPM International Inc.</v>
      </c>
      <c r="I21" s="3"/>
      <c r="J21" s="179" t="str" cm="1">
        <f t="array" ref="J21">IF(I21="","-",_xll.SNL.Clients.Office.Excel.Functions.SPG(I21,"SP_COMPANY_NAME"))</f>
        <v>-</v>
      </c>
      <c r="K21" s="183"/>
      <c r="L21" s="183"/>
      <c r="M21" s="183"/>
      <c r="N21" s="183"/>
    </row>
    <row r="22" spans="2:14" x14ac:dyDescent="0.2">
      <c r="E22" s="216" t="s">
        <v>1964</v>
      </c>
      <c r="F22" s="220" t="s">
        <v>1994</v>
      </c>
      <c r="G22" s="179" t="str" cm="1">
        <f t="array" ref="G22">IF(F22="","",_xll.SNL.Clients.Office.Excel.Functions.SPG(F22,"SP_COMPANY_NAME"))</f>
        <v>CVR Partners, LP</v>
      </c>
      <c r="I22" s="3"/>
      <c r="J22" s="179" t="str" cm="1">
        <f t="array" ref="J22">IF(I22="","-",_xll.SNL.Clients.Office.Excel.Functions.SPG(I22,"SP_COMPANY_NAME"))</f>
        <v>-</v>
      </c>
      <c r="K22" s="183"/>
      <c r="L22" s="183"/>
      <c r="M22" s="183"/>
      <c r="N22" s="183"/>
    </row>
    <row r="23" spans="2:14" x14ac:dyDescent="0.2">
      <c r="E23" s="201"/>
      <c r="F23" s="201"/>
      <c r="G23" s="179"/>
      <c r="J23" s="183"/>
      <c r="K23" s="183"/>
      <c r="L23" s="183"/>
      <c r="M23" s="183"/>
      <c r="N23" s="183"/>
    </row>
    <row r="24" spans="2:14" x14ac:dyDescent="0.2">
      <c r="B24" s="197" t="s">
        <v>246</v>
      </c>
      <c r="C24" s="191" t="s">
        <v>1975</v>
      </c>
      <c r="E24" s="216" t="s">
        <v>1968</v>
      </c>
      <c r="F24" s="3" t="s">
        <v>1995</v>
      </c>
      <c r="K24" s="181"/>
      <c r="L24" s="181"/>
      <c r="M24" s="182"/>
    </row>
    <row r="25" spans="2:14" x14ac:dyDescent="0.2">
      <c r="B25" s="198" t="s">
        <v>1403</v>
      </c>
      <c r="C25" s="199"/>
      <c r="K25" s="181"/>
      <c r="L25" s="181"/>
      <c r="M25" s="182"/>
      <c r="N25" s="181"/>
    </row>
    <row r="26" spans="2:14" ht="12" x14ac:dyDescent="0.25">
      <c r="B26" s="198" t="s">
        <v>1404</v>
      </c>
      <c r="D26" s="181"/>
      <c r="I26" s="210" t="s">
        <v>1940</v>
      </c>
      <c r="K26" s="181"/>
      <c r="L26" s="181"/>
      <c r="M26" s="182"/>
    </row>
    <row r="27" spans="2:14" x14ac:dyDescent="0.2">
      <c r="D27" s="181"/>
      <c r="I27" s="211" t="str" cm="1">
        <f t="array" ref="I27">"Copyright © "&amp;YEAR(_xll.SNL.Clients.Office.Excel.Functions.SPGDATE())&amp;" S&amp;P Global Market Intelligence LLC (and its affiliates as applicable) – All rights reserved."</f>
        <v>Copyright © 2024 S&amp;P Global Market Intelligence LLC (and its affiliates as applicable) – All rights reserved.</v>
      </c>
      <c r="K27" s="181"/>
      <c r="L27" s="181"/>
      <c r="M27" s="182"/>
    </row>
    <row r="28" spans="2:14" x14ac:dyDescent="0.2">
      <c r="B28" s="200" t="s">
        <v>1953</v>
      </c>
      <c r="C28" s="191" t="s">
        <v>1954</v>
      </c>
      <c r="E28" s="216" t="s">
        <v>1965</v>
      </c>
      <c r="F28" s="215" t="s">
        <v>1514</v>
      </c>
      <c r="G28" s="214"/>
      <c r="H28" s="184"/>
      <c r="I28" s="211" t="s">
        <v>1942</v>
      </c>
      <c r="J28" s="181"/>
      <c r="K28" s="181"/>
      <c r="L28" s="181"/>
      <c r="M28" s="181"/>
    </row>
    <row r="29" spans="2:14" x14ac:dyDescent="0.2">
      <c r="D29" s="181"/>
      <c r="E29" s="216" t="s">
        <v>1966</v>
      </c>
      <c r="F29" s="4" t="s">
        <v>68</v>
      </c>
      <c r="G29" s="214"/>
      <c r="H29" s="184"/>
      <c r="I29" s="211" t="s">
        <v>1941</v>
      </c>
      <c r="J29" s="181"/>
      <c r="K29" s="183"/>
      <c r="L29" s="183"/>
      <c r="M29" s="183"/>
      <c r="N29" s="183"/>
    </row>
    <row r="30" spans="2:14" x14ac:dyDescent="0.2">
      <c r="D30" s="181"/>
      <c r="E30" s="216" t="s">
        <v>1967</v>
      </c>
      <c r="F30" s="4" t="s">
        <v>1978</v>
      </c>
      <c r="G30" s="214"/>
      <c r="H30" s="184"/>
      <c r="I30" s="184"/>
      <c r="J30" s="181"/>
      <c r="K30" s="183"/>
      <c r="L30" s="183"/>
      <c r="M30" s="183"/>
      <c r="N30" s="183"/>
    </row>
    <row r="31" spans="2:14" x14ac:dyDescent="0.2">
      <c r="D31" s="181"/>
      <c r="J31" s="183"/>
      <c r="K31" s="183"/>
      <c r="L31" s="183"/>
      <c r="M31" s="183"/>
      <c r="N31" s="183"/>
    </row>
    <row r="32" spans="2:14" x14ac:dyDescent="0.2">
      <c r="B32" s="197" t="s">
        <v>1439</v>
      </c>
      <c r="C32" s="191" t="s">
        <v>1976</v>
      </c>
      <c r="D32" s="181"/>
      <c r="J32" s="183"/>
      <c r="K32" s="183"/>
      <c r="L32" s="183"/>
      <c r="M32" s="183"/>
      <c r="N32" s="183"/>
    </row>
    <row r="33" spans="2:23" x14ac:dyDescent="0.2">
      <c r="B33" s="202"/>
      <c r="C33" s="202"/>
      <c r="D33" s="202"/>
      <c r="E33" s="202"/>
      <c r="F33" s="202"/>
      <c r="G33" s="202"/>
      <c r="H33" s="202"/>
      <c r="I33" s="202"/>
      <c r="J33" s="202"/>
      <c r="K33" s="202"/>
      <c r="L33" s="202"/>
      <c r="M33" s="202"/>
      <c r="N33" s="202"/>
    </row>
    <row r="38" spans="2:23" x14ac:dyDescent="0.2">
      <c r="T38" s="191"/>
      <c r="U38" s="191"/>
      <c r="V38" s="191"/>
      <c r="W38" s="191"/>
    </row>
    <row r="39" spans="2:23" x14ac:dyDescent="0.2">
      <c r="T39" s="191"/>
      <c r="U39" s="191"/>
      <c r="V39" s="223" t="str">
        <f>"("&amp;V40&amp;")"</f>
        <v>($)</v>
      </c>
      <c r="W39" s="223" t="str">
        <f>"("&amp;V40&amp;W40&amp;")"</f>
        <v>($M)</v>
      </c>
    </row>
    <row r="40" spans="2:23" x14ac:dyDescent="0.2">
      <c r="T40" s="223" t="str">
        <f>Instructions!F28</f>
        <v>U.S. Dollar</v>
      </c>
      <c r="U40" s="223" t="str">
        <f>VLOOKUP(T40,$T$43:$U$122,2,FALSE)</f>
        <v>USD</v>
      </c>
      <c r="V40" s="223" t="str">
        <f>IF(ISERROR(VLOOKUP(T40,$T$43:$W$122,3,FALSE)),"Reported",VLOOKUP(T40,$T$43:$W$122,3,FALSE))</f>
        <v>$</v>
      </c>
      <c r="W40" s="223" t="str">
        <f>U124</f>
        <v>M</v>
      </c>
    </row>
    <row r="41" spans="2:23" x14ac:dyDescent="0.2">
      <c r="T41" s="191"/>
      <c r="U41" s="191"/>
      <c r="V41" s="191"/>
      <c r="W41" s="191"/>
    </row>
    <row r="42" spans="2:23" x14ac:dyDescent="0.2">
      <c r="Q42" s="203" t="s">
        <v>247</v>
      </c>
      <c r="R42" t="s">
        <v>1516</v>
      </c>
      <c r="T42" s="224" t="s">
        <v>6</v>
      </c>
      <c r="U42" s="224" t="s">
        <v>7</v>
      </c>
      <c r="V42" s="224" t="s">
        <v>37</v>
      </c>
      <c r="W42" s="224" t="s">
        <v>40</v>
      </c>
    </row>
    <row r="43" spans="2:23" x14ac:dyDescent="0.2">
      <c r="P43" s="204" t="s">
        <v>1428</v>
      </c>
      <c r="Q43" s="205" t="str">
        <f>IF(F9="","",F9)</f>
        <v>FMC</v>
      </c>
      <c r="R43" s="205"/>
      <c r="T43" s="225"/>
      <c r="U43" s="225"/>
      <c r="V43" s="226"/>
      <c r="W43" s="226"/>
    </row>
    <row r="44" spans="2:23" x14ac:dyDescent="0.2">
      <c r="P44" s="204"/>
      <c r="T44" s="225" t="s">
        <v>19</v>
      </c>
      <c r="U44" s="225" t="s">
        <v>20</v>
      </c>
      <c r="V44" s="225" t="s">
        <v>63</v>
      </c>
      <c r="W44" s="226" t="s">
        <v>194</v>
      </c>
    </row>
    <row r="45" spans="2:23" x14ac:dyDescent="0.2">
      <c r="P45" s="204" t="s">
        <v>1429</v>
      </c>
      <c r="Q45" s="205" t="str">
        <f t="shared" ref="Q45:Q54" si="0">IF(I13&lt;&gt;"",I13,IF(F13="","",F13))</f>
        <v>NYSE:MOS</v>
      </c>
      <c r="R45" s="205"/>
      <c r="T45" s="225" t="s">
        <v>1512</v>
      </c>
      <c r="U45" s="225" t="s">
        <v>12</v>
      </c>
      <c r="V45" s="225" t="s">
        <v>59</v>
      </c>
      <c r="W45" s="226" t="s">
        <v>194</v>
      </c>
    </row>
    <row r="46" spans="2:23" x14ac:dyDescent="0.2">
      <c r="P46" s="204" t="s">
        <v>1430</v>
      </c>
      <c r="Q46" s="205" t="str">
        <f t="shared" si="0"/>
        <v>NYSE:CF</v>
      </c>
      <c r="R46" s="205"/>
      <c r="T46" s="225" t="s">
        <v>1513</v>
      </c>
      <c r="U46" s="225" t="s">
        <v>23</v>
      </c>
      <c r="V46" s="225" t="s">
        <v>54</v>
      </c>
      <c r="W46" s="226" t="s">
        <v>41</v>
      </c>
    </row>
    <row r="47" spans="2:23" x14ac:dyDescent="0.2">
      <c r="P47" s="204" t="s">
        <v>1431</v>
      </c>
      <c r="Q47" s="205" t="str">
        <f t="shared" si="0"/>
        <v>NYSE:SMG</v>
      </c>
      <c r="R47" s="205"/>
      <c r="T47" s="225" t="s">
        <v>1514</v>
      </c>
      <c r="U47" s="225" t="s">
        <v>36</v>
      </c>
      <c r="V47" s="225" t="s">
        <v>42</v>
      </c>
      <c r="W47" s="226" t="s">
        <v>194</v>
      </c>
    </row>
    <row r="48" spans="2:23" x14ac:dyDescent="0.2">
      <c r="P48" s="204" t="s">
        <v>1432</v>
      </c>
      <c r="Q48" s="205" t="str">
        <f t="shared" si="0"/>
        <v>NYSE:CTVA</v>
      </c>
      <c r="R48" s="205"/>
      <c r="T48" s="225" t="s">
        <v>76</v>
      </c>
      <c r="U48" s="225" t="s">
        <v>8</v>
      </c>
      <c r="V48" s="225" t="s">
        <v>8</v>
      </c>
      <c r="W48" s="226" t="s">
        <v>194</v>
      </c>
    </row>
    <row r="49" spans="16:23" x14ac:dyDescent="0.2">
      <c r="P49" s="204" t="s">
        <v>1433</v>
      </c>
      <c r="Q49" s="205" t="str">
        <f t="shared" si="0"/>
        <v>NYSE:AXTA</v>
      </c>
      <c r="R49" s="205"/>
      <c r="T49" s="225" t="s">
        <v>198</v>
      </c>
      <c r="U49" s="225" t="s">
        <v>199</v>
      </c>
      <c r="V49" s="225" t="s">
        <v>199</v>
      </c>
      <c r="W49" s="226" t="s">
        <v>194</v>
      </c>
    </row>
    <row r="50" spans="16:23" x14ac:dyDescent="0.2">
      <c r="P50" s="204" t="s">
        <v>1434</v>
      </c>
      <c r="Q50" s="205" t="str">
        <f t="shared" si="0"/>
        <v>NYSE:ALB</v>
      </c>
      <c r="R50" s="205"/>
      <c r="T50" s="225" t="s">
        <v>77</v>
      </c>
      <c r="U50" s="225" t="s">
        <v>9</v>
      </c>
      <c r="V50" s="225" t="s">
        <v>56</v>
      </c>
      <c r="W50" s="226" t="s">
        <v>194</v>
      </c>
    </row>
    <row r="51" spans="16:23" x14ac:dyDescent="0.2">
      <c r="P51" s="204" t="s">
        <v>1435</v>
      </c>
      <c r="Q51" s="205" t="str">
        <f t="shared" si="0"/>
        <v>NYSE:HUN</v>
      </c>
      <c r="R51" s="205"/>
      <c r="T51" s="225" t="s">
        <v>78</v>
      </c>
      <c r="U51" s="225" t="s">
        <v>79</v>
      </c>
      <c r="V51" s="225" t="s">
        <v>80</v>
      </c>
      <c r="W51" s="226" t="s">
        <v>194</v>
      </c>
    </row>
    <row r="52" spans="16:23" x14ac:dyDescent="0.2">
      <c r="P52" s="204" t="s">
        <v>1436</v>
      </c>
      <c r="Q52" s="205" t="str">
        <f t="shared" si="0"/>
        <v>NYSE:OLN</v>
      </c>
      <c r="R52" s="205"/>
      <c r="T52" s="225" t="s">
        <v>81</v>
      </c>
      <c r="U52" s="225" t="s">
        <v>10</v>
      </c>
      <c r="V52" s="225" t="s">
        <v>57</v>
      </c>
      <c r="W52" s="226" t="s">
        <v>194</v>
      </c>
    </row>
    <row r="53" spans="16:23" x14ac:dyDescent="0.2">
      <c r="P53" s="204" t="s">
        <v>1437</v>
      </c>
      <c r="Q53" s="205" t="str">
        <f t="shared" si="0"/>
        <v>NYSE:RPM</v>
      </c>
      <c r="R53" s="205"/>
      <c r="T53" s="225" t="s">
        <v>200</v>
      </c>
      <c r="U53" s="225" t="s">
        <v>201</v>
      </c>
      <c r="V53" s="225" t="s">
        <v>202</v>
      </c>
      <c r="W53" s="226" t="s">
        <v>194</v>
      </c>
    </row>
    <row r="54" spans="16:23" x14ac:dyDescent="0.2">
      <c r="P54" s="204" t="s">
        <v>1438</v>
      </c>
      <c r="Q54" s="205" t="str">
        <f t="shared" si="0"/>
        <v>NYSE:UAN</v>
      </c>
      <c r="R54" s="205"/>
      <c r="T54" s="225" t="s">
        <v>82</v>
      </c>
      <c r="U54" s="225" t="s">
        <v>83</v>
      </c>
      <c r="V54" s="225" t="s">
        <v>84</v>
      </c>
      <c r="W54" s="226" t="s">
        <v>194</v>
      </c>
    </row>
    <row r="55" spans="16:23" x14ac:dyDescent="0.2">
      <c r="T55" s="225" t="s">
        <v>85</v>
      </c>
      <c r="U55" s="225" t="s">
        <v>86</v>
      </c>
      <c r="V55" s="225" t="s">
        <v>87</v>
      </c>
      <c r="W55" s="226" t="s">
        <v>194</v>
      </c>
    </row>
    <row r="56" spans="16:23" x14ac:dyDescent="0.2">
      <c r="T56" s="225" t="s">
        <v>88</v>
      </c>
      <c r="U56" s="225" t="s">
        <v>89</v>
      </c>
      <c r="V56" s="225" t="s">
        <v>90</v>
      </c>
      <c r="W56" s="226" t="s">
        <v>194</v>
      </c>
    </row>
    <row r="57" spans="16:23" x14ac:dyDescent="0.2">
      <c r="T57" s="225" t="s">
        <v>91</v>
      </c>
      <c r="U57" s="225" t="s">
        <v>197</v>
      </c>
      <c r="V57" s="225" t="s">
        <v>92</v>
      </c>
      <c r="W57" s="226" t="s">
        <v>194</v>
      </c>
    </row>
    <row r="58" spans="16:23" x14ac:dyDescent="0.2">
      <c r="T58" s="225" t="s">
        <v>93</v>
      </c>
      <c r="U58" s="225" t="s">
        <v>94</v>
      </c>
      <c r="V58" s="225" t="s">
        <v>203</v>
      </c>
      <c r="W58" s="226" t="s">
        <v>194</v>
      </c>
    </row>
    <row r="59" spans="16:23" x14ac:dyDescent="0.2">
      <c r="T59" s="225" t="s">
        <v>95</v>
      </c>
      <c r="U59" s="225" t="s">
        <v>11</v>
      </c>
      <c r="V59" s="225" t="s">
        <v>58</v>
      </c>
      <c r="W59" s="226" t="s">
        <v>194</v>
      </c>
    </row>
    <row r="60" spans="16:23" x14ac:dyDescent="0.2">
      <c r="T60" s="225" t="s">
        <v>96</v>
      </c>
      <c r="U60" s="225" t="s">
        <v>97</v>
      </c>
      <c r="V60" s="225" t="s">
        <v>97</v>
      </c>
      <c r="W60" s="226" t="s">
        <v>194</v>
      </c>
    </row>
    <row r="61" spans="16:23" x14ac:dyDescent="0.2">
      <c r="T61" s="225" t="s">
        <v>204</v>
      </c>
      <c r="U61" s="225" t="s">
        <v>205</v>
      </c>
      <c r="V61" s="225" t="s">
        <v>206</v>
      </c>
      <c r="W61" s="226" t="s">
        <v>41</v>
      </c>
    </row>
    <row r="62" spans="16:23" x14ac:dyDescent="0.2">
      <c r="T62" s="225" t="s">
        <v>98</v>
      </c>
      <c r="U62" s="225" t="s">
        <v>13</v>
      </c>
      <c r="V62" s="225" t="s">
        <v>60</v>
      </c>
      <c r="W62" s="226" t="s">
        <v>194</v>
      </c>
    </row>
    <row r="63" spans="16:23" x14ac:dyDescent="0.2">
      <c r="T63" s="225" t="s">
        <v>99</v>
      </c>
      <c r="U63" s="225" t="s">
        <v>14</v>
      </c>
      <c r="V63" s="225" t="s">
        <v>64</v>
      </c>
      <c r="W63" s="226" t="s">
        <v>41</v>
      </c>
    </row>
    <row r="64" spans="16:23" x14ac:dyDescent="0.2">
      <c r="T64" s="225" t="s">
        <v>100</v>
      </c>
      <c r="U64" s="225" t="s">
        <v>15</v>
      </c>
      <c r="V64" s="225" t="s">
        <v>0</v>
      </c>
      <c r="W64" s="226" t="s">
        <v>194</v>
      </c>
    </row>
    <row r="65" spans="20:23" x14ac:dyDescent="0.2">
      <c r="T65" s="225" t="s">
        <v>101</v>
      </c>
      <c r="U65" s="225" t="s">
        <v>16</v>
      </c>
      <c r="V65" s="225" t="s">
        <v>65</v>
      </c>
      <c r="W65" s="226" t="s">
        <v>41</v>
      </c>
    </row>
    <row r="66" spans="20:23" x14ac:dyDescent="0.2">
      <c r="T66" s="225" t="s">
        <v>102</v>
      </c>
      <c r="U66" s="225" t="s">
        <v>103</v>
      </c>
      <c r="V66" s="225" t="s">
        <v>104</v>
      </c>
      <c r="W66" s="226" t="s">
        <v>194</v>
      </c>
    </row>
    <row r="67" spans="20:23" x14ac:dyDescent="0.2">
      <c r="T67" s="225" t="s">
        <v>105</v>
      </c>
      <c r="U67" s="225" t="s">
        <v>106</v>
      </c>
      <c r="V67" s="225" t="s">
        <v>107</v>
      </c>
      <c r="W67" s="226" t="s">
        <v>194</v>
      </c>
    </row>
    <row r="68" spans="20:23" x14ac:dyDescent="0.2">
      <c r="T68" s="225" t="s">
        <v>108</v>
      </c>
      <c r="U68" s="225" t="s">
        <v>17</v>
      </c>
      <c r="V68" s="225" t="s">
        <v>61</v>
      </c>
      <c r="W68" s="226" t="s">
        <v>194</v>
      </c>
    </row>
    <row r="69" spans="20:23" x14ac:dyDescent="0.2">
      <c r="T69" s="225" t="s">
        <v>109</v>
      </c>
      <c r="U69" s="225" t="s">
        <v>18</v>
      </c>
      <c r="V69" s="225" t="s">
        <v>62</v>
      </c>
      <c r="W69" s="226" t="s">
        <v>194</v>
      </c>
    </row>
    <row r="70" spans="20:23" x14ac:dyDescent="0.2">
      <c r="T70" s="225" t="s">
        <v>110</v>
      </c>
      <c r="U70" s="225" t="s">
        <v>111</v>
      </c>
      <c r="V70" s="225" t="s">
        <v>112</v>
      </c>
      <c r="W70" s="226" t="s">
        <v>194</v>
      </c>
    </row>
    <row r="71" spans="20:23" x14ac:dyDescent="0.2">
      <c r="T71" s="225" t="s">
        <v>113</v>
      </c>
      <c r="U71" s="225" t="s">
        <v>114</v>
      </c>
      <c r="V71" s="225" t="s">
        <v>207</v>
      </c>
      <c r="W71" s="226" t="s">
        <v>194</v>
      </c>
    </row>
    <row r="72" spans="20:23" x14ac:dyDescent="0.2">
      <c r="T72" s="225" t="s">
        <v>208</v>
      </c>
      <c r="U72" s="225" t="s">
        <v>209</v>
      </c>
      <c r="V72" s="225" t="s">
        <v>210</v>
      </c>
      <c r="W72" s="226" t="s">
        <v>194</v>
      </c>
    </row>
    <row r="73" spans="20:23" x14ac:dyDescent="0.2">
      <c r="T73" s="225" t="s">
        <v>115</v>
      </c>
      <c r="U73" s="225" t="s">
        <v>116</v>
      </c>
      <c r="V73" s="225" t="s">
        <v>211</v>
      </c>
      <c r="W73" s="226" t="s">
        <v>194</v>
      </c>
    </row>
    <row r="74" spans="20:23" x14ac:dyDescent="0.2">
      <c r="T74" s="225" t="s">
        <v>117</v>
      </c>
      <c r="U74" s="225" t="s">
        <v>118</v>
      </c>
      <c r="V74" s="225" t="s">
        <v>212</v>
      </c>
      <c r="W74" s="226" t="s">
        <v>194</v>
      </c>
    </row>
    <row r="75" spans="20:23" x14ac:dyDescent="0.2">
      <c r="T75" s="225" t="s">
        <v>120</v>
      </c>
      <c r="U75" s="225" t="s">
        <v>21</v>
      </c>
      <c r="V75" s="225" t="s">
        <v>55</v>
      </c>
      <c r="W75" s="226" t="s">
        <v>194</v>
      </c>
    </row>
    <row r="76" spans="20:23" x14ac:dyDescent="0.2">
      <c r="T76" s="225" t="s">
        <v>121</v>
      </c>
      <c r="U76" s="225" t="s">
        <v>122</v>
      </c>
      <c r="V76" s="225" t="s">
        <v>123</v>
      </c>
      <c r="W76" s="226" t="s">
        <v>41</v>
      </c>
    </row>
    <row r="77" spans="20:23" x14ac:dyDescent="0.2">
      <c r="T77" s="225" t="s">
        <v>124</v>
      </c>
      <c r="U77" s="225" t="s">
        <v>125</v>
      </c>
      <c r="V77" s="225" t="s">
        <v>46</v>
      </c>
      <c r="W77" s="226" t="s">
        <v>41</v>
      </c>
    </row>
    <row r="78" spans="20:23" x14ac:dyDescent="0.2">
      <c r="T78" s="225" t="s">
        <v>126</v>
      </c>
      <c r="U78" s="225" t="s">
        <v>22</v>
      </c>
      <c r="V78" s="225" t="s">
        <v>213</v>
      </c>
      <c r="W78" s="226" t="s">
        <v>194</v>
      </c>
    </row>
    <row r="79" spans="20:23" x14ac:dyDescent="0.2">
      <c r="T79" s="225" t="s">
        <v>127</v>
      </c>
      <c r="U79" s="225" t="s">
        <v>128</v>
      </c>
      <c r="V79" s="225" t="s">
        <v>129</v>
      </c>
      <c r="W79" s="226" t="s">
        <v>41</v>
      </c>
    </row>
    <row r="80" spans="20:23" x14ac:dyDescent="0.2">
      <c r="T80" s="225" t="s">
        <v>130</v>
      </c>
      <c r="U80" s="225" t="s">
        <v>131</v>
      </c>
      <c r="V80" s="225" t="s">
        <v>132</v>
      </c>
      <c r="W80" s="226" t="s">
        <v>194</v>
      </c>
    </row>
    <row r="81" spans="20:23" x14ac:dyDescent="0.2">
      <c r="T81" s="225" t="s">
        <v>133</v>
      </c>
      <c r="U81" s="225" t="s">
        <v>134</v>
      </c>
      <c r="V81" s="225" t="s">
        <v>134</v>
      </c>
      <c r="W81" s="226" t="s">
        <v>194</v>
      </c>
    </row>
    <row r="82" spans="20:23" x14ac:dyDescent="0.2">
      <c r="T82" s="225" t="s">
        <v>135</v>
      </c>
      <c r="U82" s="225" t="s">
        <v>136</v>
      </c>
      <c r="V82" s="225" t="s">
        <v>214</v>
      </c>
      <c r="W82" s="226" t="s">
        <v>194</v>
      </c>
    </row>
    <row r="83" spans="20:23" x14ac:dyDescent="0.2">
      <c r="T83" s="225" t="s">
        <v>137</v>
      </c>
      <c r="U83" s="225" t="s">
        <v>138</v>
      </c>
      <c r="V83" s="225" t="s">
        <v>139</v>
      </c>
      <c r="W83" s="226" t="s">
        <v>194</v>
      </c>
    </row>
    <row r="84" spans="20:23" x14ac:dyDescent="0.2">
      <c r="T84" s="225" t="s">
        <v>215</v>
      </c>
      <c r="U84" s="225" t="s">
        <v>216</v>
      </c>
      <c r="V84" s="225" t="s">
        <v>217</v>
      </c>
      <c r="W84" s="226" t="s">
        <v>194</v>
      </c>
    </row>
    <row r="85" spans="20:23" x14ac:dyDescent="0.2">
      <c r="T85" s="225" t="s">
        <v>140</v>
      </c>
      <c r="U85" s="225" t="s">
        <v>141</v>
      </c>
      <c r="V85" s="225" t="s">
        <v>141</v>
      </c>
      <c r="W85" s="226" t="s">
        <v>194</v>
      </c>
    </row>
    <row r="86" spans="20:23" x14ac:dyDescent="0.2">
      <c r="T86" s="225" t="s">
        <v>142</v>
      </c>
      <c r="U86" s="225" t="s">
        <v>143</v>
      </c>
      <c r="V86" s="225" t="s">
        <v>144</v>
      </c>
      <c r="W86" s="226" t="s">
        <v>194</v>
      </c>
    </row>
    <row r="87" spans="20:23" x14ac:dyDescent="0.2">
      <c r="T87" s="225" t="s">
        <v>145</v>
      </c>
      <c r="U87" s="225" t="s">
        <v>24</v>
      </c>
      <c r="V87" s="225" t="s">
        <v>53</v>
      </c>
      <c r="W87" s="226" t="s">
        <v>194</v>
      </c>
    </row>
    <row r="88" spans="20:23" x14ac:dyDescent="0.2">
      <c r="T88" s="225" t="s">
        <v>218</v>
      </c>
      <c r="U88" s="225" t="s">
        <v>219</v>
      </c>
      <c r="V88" s="225" t="s">
        <v>219</v>
      </c>
      <c r="W88" s="226" t="s">
        <v>194</v>
      </c>
    </row>
    <row r="89" spans="20:23" x14ac:dyDescent="0.2">
      <c r="T89" s="225" t="s">
        <v>220</v>
      </c>
      <c r="U89" s="225" t="s">
        <v>221</v>
      </c>
      <c r="V89" s="225" t="s">
        <v>222</v>
      </c>
      <c r="W89" s="226" t="s">
        <v>41</v>
      </c>
    </row>
    <row r="90" spans="20:23" x14ac:dyDescent="0.2">
      <c r="T90" s="225" t="s">
        <v>223</v>
      </c>
      <c r="U90" s="225" t="s">
        <v>224</v>
      </c>
      <c r="V90" s="225" t="s">
        <v>225</v>
      </c>
      <c r="W90" s="226" t="s">
        <v>194</v>
      </c>
    </row>
    <row r="91" spans="20:23" x14ac:dyDescent="0.2">
      <c r="T91" s="225" t="s">
        <v>146</v>
      </c>
      <c r="U91" s="225" t="s">
        <v>147</v>
      </c>
      <c r="V91" s="225" t="s">
        <v>148</v>
      </c>
      <c r="W91" s="226" t="s">
        <v>194</v>
      </c>
    </row>
    <row r="92" spans="20:23" x14ac:dyDescent="0.2">
      <c r="T92" s="225" t="s">
        <v>149</v>
      </c>
      <c r="U92" s="225" t="s">
        <v>150</v>
      </c>
      <c r="V92" s="225" t="s">
        <v>151</v>
      </c>
      <c r="W92" s="226" t="s">
        <v>194</v>
      </c>
    </row>
    <row r="93" spans="20:23" x14ac:dyDescent="0.2">
      <c r="T93" s="225" t="s">
        <v>152</v>
      </c>
      <c r="U93" s="225" t="s">
        <v>25</v>
      </c>
      <c r="V93" s="225" t="s">
        <v>52</v>
      </c>
      <c r="W93" s="226" t="s">
        <v>194</v>
      </c>
    </row>
    <row r="94" spans="20:23" x14ac:dyDescent="0.2">
      <c r="T94" s="225" t="s">
        <v>153</v>
      </c>
      <c r="U94" s="225" t="s">
        <v>26</v>
      </c>
      <c r="V94" s="225" t="s">
        <v>51</v>
      </c>
      <c r="W94" s="226" t="s">
        <v>194</v>
      </c>
    </row>
    <row r="95" spans="20:23" x14ac:dyDescent="0.2">
      <c r="T95" s="225" t="s">
        <v>226</v>
      </c>
      <c r="U95" s="225" t="s">
        <v>227</v>
      </c>
      <c r="V95" s="225" t="s">
        <v>228</v>
      </c>
      <c r="W95" s="226" t="s">
        <v>194</v>
      </c>
    </row>
    <row r="96" spans="20:23" x14ac:dyDescent="0.2">
      <c r="T96" s="225" t="s">
        <v>154</v>
      </c>
      <c r="U96" s="225" t="s">
        <v>155</v>
      </c>
      <c r="V96" s="225" t="s">
        <v>156</v>
      </c>
      <c r="W96" s="226" t="s">
        <v>194</v>
      </c>
    </row>
    <row r="97" spans="20:23" x14ac:dyDescent="0.2">
      <c r="T97" s="225" t="s">
        <v>157</v>
      </c>
      <c r="U97" s="225" t="s">
        <v>158</v>
      </c>
      <c r="V97" s="225" t="s">
        <v>71</v>
      </c>
      <c r="W97" s="226" t="s">
        <v>194</v>
      </c>
    </row>
    <row r="98" spans="20:23" x14ac:dyDescent="0.2">
      <c r="T98" s="225" t="s">
        <v>229</v>
      </c>
      <c r="U98" s="225" t="s">
        <v>159</v>
      </c>
      <c r="V98" s="225" t="s">
        <v>160</v>
      </c>
      <c r="W98" s="226" t="s">
        <v>194</v>
      </c>
    </row>
    <row r="99" spans="20:23" x14ac:dyDescent="0.2">
      <c r="T99" s="225" t="s">
        <v>161</v>
      </c>
      <c r="U99" s="225" t="s">
        <v>162</v>
      </c>
      <c r="V99" s="225" t="s">
        <v>162</v>
      </c>
      <c r="W99" s="226" t="s">
        <v>194</v>
      </c>
    </row>
    <row r="100" spans="20:23" x14ac:dyDescent="0.2">
      <c r="T100" s="225" t="s">
        <v>163</v>
      </c>
      <c r="U100" s="225" t="s">
        <v>27</v>
      </c>
      <c r="V100" s="225" t="s">
        <v>50</v>
      </c>
      <c r="W100" s="226" t="s">
        <v>194</v>
      </c>
    </row>
    <row r="101" spans="20:23" x14ac:dyDescent="0.2">
      <c r="T101" s="225" t="s">
        <v>164</v>
      </c>
      <c r="U101" s="225" t="s">
        <v>165</v>
      </c>
      <c r="V101" s="225" t="s">
        <v>166</v>
      </c>
      <c r="W101" s="226" t="s">
        <v>194</v>
      </c>
    </row>
    <row r="102" spans="20:23" x14ac:dyDescent="0.2">
      <c r="T102" s="225" t="s">
        <v>167</v>
      </c>
      <c r="U102" s="225" t="s">
        <v>168</v>
      </c>
      <c r="V102" s="225" t="s">
        <v>119</v>
      </c>
      <c r="W102" s="226" t="s">
        <v>194</v>
      </c>
    </row>
    <row r="103" spans="20:23" x14ac:dyDescent="0.2">
      <c r="T103" s="225" t="s">
        <v>169</v>
      </c>
      <c r="U103" s="225" t="s">
        <v>28</v>
      </c>
      <c r="V103" s="225" t="s">
        <v>28</v>
      </c>
      <c r="W103" s="226" t="s">
        <v>194</v>
      </c>
    </row>
    <row r="104" spans="20:23" x14ac:dyDescent="0.2">
      <c r="T104" s="225" t="s">
        <v>230</v>
      </c>
      <c r="U104" s="225" t="s">
        <v>231</v>
      </c>
      <c r="V104" s="225" t="s">
        <v>232</v>
      </c>
      <c r="W104" s="226" t="s">
        <v>194</v>
      </c>
    </row>
    <row r="105" spans="20:23" x14ac:dyDescent="0.2">
      <c r="T105" s="225" t="s">
        <v>170</v>
      </c>
      <c r="U105" s="225" t="s">
        <v>171</v>
      </c>
      <c r="V105" s="225" t="s">
        <v>172</v>
      </c>
      <c r="W105" s="226" t="s">
        <v>194</v>
      </c>
    </row>
    <row r="106" spans="20:23" x14ac:dyDescent="0.2">
      <c r="T106" s="225" t="s">
        <v>173</v>
      </c>
      <c r="U106" s="225" t="s">
        <v>174</v>
      </c>
      <c r="V106" s="225" t="s">
        <v>174</v>
      </c>
      <c r="W106" s="226" t="s">
        <v>194</v>
      </c>
    </row>
    <row r="107" spans="20:23" x14ac:dyDescent="0.2">
      <c r="T107" s="225" t="s">
        <v>175</v>
      </c>
      <c r="U107" s="225" t="s">
        <v>29</v>
      </c>
      <c r="V107" s="225" t="s">
        <v>49</v>
      </c>
      <c r="W107" s="226" t="s">
        <v>194</v>
      </c>
    </row>
    <row r="108" spans="20:23" x14ac:dyDescent="0.2">
      <c r="T108" s="225" t="s">
        <v>176</v>
      </c>
      <c r="U108" s="225" t="s">
        <v>30</v>
      </c>
      <c r="V108" s="225" t="s">
        <v>48</v>
      </c>
      <c r="W108" s="226" t="s">
        <v>194</v>
      </c>
    </row>
    <row r="109" spans="20:23" x14ac:dyDescent="0.2">
      <c r="T109" s="225" t="s">
        <v>177</v>
      </c>
      <c r="U109" s="225" t="s">
        <v>31</v>
      </c>
      <c r="V109" s="225" t="s">
        <v>47</v>
      </c>
      <c r="W109" s="226" t="s">
        <v>41</v>
      </c>
    </row>
    <row r="110" spans="20:23" x14ac:dyDescent="0.2">
      <c r="T110" s="225" t="s">
        <v>178</v>
      </c>
      <c r="U110" s="225" t="s">
        <v>179</v>
      </c>
      <c r="V110" s="225" t="s">
        <v>180</v>
      </c>
      <c r="W110" s="226" t="s">
        <v>194</v>
      </c>
    </row>
    <row r="111" spans="20:23" x14ac:dyDescent="0.2">
      <c r="T111" s="225" t="s">
        <v>181</v>
      </c>
      <c r="U111" s="225" t="s">
        <v>32</v>
      </c>
      <c r="V111" s="225" t="s">
        <v>46</v>
      </c>
      <c r="W111" s="226" t="s">
        <v>194</v>
      </c>
    </row>
    <row r="112" spans="20:23" x14ac:dyDescent="0.2">
      <c r="T112" s="225" t="s">
        <v>182</v>
      </c>
      <c r="U112" s="225" t="s">
        <v>33</v>
      </c>
      <c r="V112" s="225" t="s">
        <v>45</v>
      </c>
      <c r="W112" s="226" t="s">
        <v>194</v>
      </c>
    </row>
    <row r="113" spans="20:23" x14ac:dyDescent="0.2">
      <c r="T113" s="225" t="s">
        <v>233</v>
      </c>
      <c r="U113" s="225" t="s">
        <v>234</v>
      </c>
      <c r="V113" s="225" t="s">
        <v>235</v>
      </c>
      <c r="W113" s="226" t="s">
        <v>194</v>
      </c>
    </row>
    <row r="114" spans="20:23" x14ac:dyDescent="0.2">
      <c r="T114" s="225" t="s">
        <v>183</v>
      </c>
      <c r="U114" s="225" t="s">
        <v>34</v>
      </c>
      <c r="V114" s="225" t="s">
        <v>44</v>
      </c>
      <c r="W114" s="226" t="s">
        <v>194</v>
      </c>
    </row>
    <row r="115" spans="20:23" x14ac:dyDescent="0.2">
      <c r="T115" s="225" t="s">
        <v>236</v>
      </c>
      <c r="U115" s="225" t="s">
        <v>237</v>
      </c>
      <c r="V115" s="225" t="s">
        <v>238</v>
      </c>
      <c r="W115" s="226" t="s">
        <v>194</v>
      </c>
    </row>
    <row r="116" spans="20:23" x14ac:dyDescent="0.2">
      <c r="T116" s="225" t="s">
        <v>184</v>
      </c>
      <c r="U116" s="225" t="s">
        <v>35</v>
      </c>
      <c r="V116" s="225" t="s">
        <v>43</v>
      </c>
      <c r="W116" s="226" t="s">
        <v>194</v>
      </c>
    </row>
    <row r="117" spans="20:23" x14ac:dyDescent="0.2">
      <c r="T117" s="225" t="s">
        <v>239</v>
      </c>
      <c r="U117" s="225" t="s">
        <v>240</v>
      </c>
      <c r="V117" s="225" t="s">
        <v>202</v>
      </c>
      <c r="W117" s="226" t="s">
        <v>194</v>
      </c>
    </row>
    <row r="118" spans="20:23" x14ac:dyDescent="0.2">
      <c r="T118" s="225" t="s">
        <v>1515</v>
      </c>
      <c r="U118" s="225" t="s">
        <v>185</v>
      </c>
      <c r="V118" s="225" t="s">
        <v>186</v>
      </c>
      <c r="W118" s="226" t="s">
        <v>194</v>
      </c>
    </row>
    <row r="119" spans="20:23" x14ac:dyDescent="0.2">
      <c r="T119" s="225" t="s">
        <v>187</v>
      </c>
      <c r="U119" s="225" t="s">
        <v>188</v>
      </c>
      <c r="V119" s="225" t="s">
        <v>188</v>
      </c>
      <c r="W119" s="226" t="s">
        <v>194</v>
      </c>
    </row>
    <row r="120" spans="20:23" x14ac:dyDescent="0.2">
      <c r="T120" s="225" t="s">
        <v>241</v>
      </c>
      <c r="U120" s="225" t="s">
        <v>242</v>
      </c>
      <c r="V120" s="225" t="s">
        <v>242</v>
      </c>
      <c r="W120" s="226" t="s">
        <v>41</v>
      </c>
    </row>
    <row r="121" spans="20:23" x14ac:dyDescent="0.2">
      <c r="T121" s="225" t="s">
        <v>1517</v>
      </c>
      <c r="U121" s="225" t="s">
        <v>1518</v>
      </c>
      <c r="V121" s="225" t="s">
        <v>1519</v>
      </c>
      <c r="W121" s="226" t="s">
        <v>194</v>
      </c>
    </row>
    <row r="122" spans="20:23" x14ac:dyDescent="0.2">
      <c r="T122" s="225" t="s">
        <v>189</v>
      </c>
      <c r="U122" s="225" t="s">
        <v>190</v>
      </c>
      <c r="V122" s="225" t="s">
        <v>191</v>
      </c>
      <c r="W122" s="226" t="s">
        <v>41</v>
      </c>
    </row>
    <row r="123" spans="20:23" x14ac:dyDescent="0.2">
      <c r="T123" s="191"/>
      <c r="U123" s="191"/>
      <c r="V123" s="191"/>
      <c r="W123" s="191"/>
    </row>
    <row r="124" spans="20:23" x14ac:dyDescent="0.2">
      <c r="T124" s="225" t="str">
        <f>IF(Instructions!F29=T127,"MIStandard",Instructions!F29)</f>
        <v>Millions</v>
      </c>
      <c r="U124" s="225" t="str">
        <f>IF(Instructions!F29=T127,U127,VLOOKUP(T124,Instructions!$T$127:$U$132,2,FALSE))</f>
        <v>M</v>
      </c>
      <c r="V124" s="191"/>
      <c r="W124" s="191"/>
    </row>
    <row r="125" spans="20:23" x14ac:dyDescent="0.2">
      <c r="T125" s="191"/>
      <c r="U125" s="191"/>
      <c r="V125" s="191"/>
      <c r="W125" s="191"/>
    </row>
    <row r="126" spans="20:23" x14ac:dyDescent="0.2">
      <c r="T126" s="224" t="s">
        <v>39</v>
      </c>
      <c r="U126" s="224" t="s">
        <v>73</v>
      </c>
      <c r="V126" s="191"/>
      <c r="W126" s="191"/>
    </row>
    <row r="127" spans="20:23" x14ac:dyDescent="0.2">
      <c r="T127" s="225" t="s">
        <v>1451</v>
      </c>
      <c r="U127" s="225" t="str">
        <f>IF(V40="Reported","",VLOOKUP(V40,$V$43:$W$122,2,FALSE))</f>
        <v>000</v>
      </c>
      <c r="V127" s="191"/>
      <c r="W127" s="191"/>
    </row>
    <row r="128" spans="20:23" x14ac:dyDescent="0.2">
      <c r="T128" s="225" t="s">
        <v>66</v>
      </c>
      <c r="U128" s="226" t="s">
        <v>192</v>
      </c>
      <c r="V128" s="191"/>
      <c r="W128" s="191"/>
    </row>
    <row r="129" spans="20:23" x14ac:dyDescent="0.2">
      <c r="T129" s="225" t="s">
        <v>67</v>
      </c>
      <c r="U129" s="226" t="s">
        <v>194</v>
      </c>
      <c r="V129" s="191"/>
      <c r="W129" s="191"/>
    </row>
    <row r="130" spans="20:23" x14ac:dyDescent="0.2">
      <c r="T130" s="225" t="s">
        <v>68</v>
      </c>
      <c r="U130" s="225" t="s">
        <v>41</v>
      </c>
      <c r="V130" s="191"/>
      <c r="W130" s="191"/>
    </row>
    <row r="131" spans="20:23" x14ac:dyDescent="0.2">
      <c r="T131" s="225" t="s">
        <v>69</v>
      </c>
      <c r="U131" s="225" t="s">
        <v>71</v>
      </c>
      <c r="V131" s="191"/>
      <c r="W131" s="191"/>
    </row>
    <row r="132" spans="20:23" x14ac:dyDescent="0.2">
      <c r="T132" s="225" t="s">
        <v>70</v>
      </c>
      <c r="U132" s="225" t="s">
        <v>72</v>
      </c>
      <c r="V132" s="191"/>
      <c r="W132" s="191"/>
    </row>
    <row r="133" spans="20:23" x14ac:dyDescent="0.2">
      <c r="T133" s="191"/>
      <c r="U133" s="191"/>
      <c r="V133" s="191"/>
      <c r="W133" s="191"/>
    </row>
    <row r="134" spans="20:23" x14ac:dyDescent="0.2">
      <c r="T134" s="224" t="s">
        <v>38</v>
      </c>
      <c r="U134" s="224" t="str">
        <f>VLOOKUP(F30,T135:U136,2,0)</f>
        <v>Recommended</v>
      </c>
      <c r="V134" s="224"/>
      <c r="W134" s="191"/>
    </row>
    <row r="135" spans="20:23" x14ac:dyDescent="0.2">
      <c r="T135" s="225" t="s">
        <v>1978</v>
      </c>
      <c r="U135" s="225" t="s">
        <v>1978</v>
      </c>
      <c r="V135" s="225"/>
      <c r="W135" s="191"/>
    </row>
    <row r="136" spans="20:23" x14ac:dyDescent="0.2">
      <c r="T136" s="225" t="s">
        <v>1520</v>
      </c>
      <c r="U136" s="225" t="s">
        <v>74</v>
      </c>
      <c r="V136" s="225"/>
      <c r="W136" s="191"/>
    </row>
    <row r="137" spans="20:23" x14ac:dyDescent="0.2">
      <c r="T137" s="191"/>
      <c r="U137" s="191"/>
      <c r="V137" s="191"/>
      <c r="W137" s="191"/>
    </row>
    <row r="145" spans="20:22" x14ac:dyDescent="0.2">
      <c r="T145" s="206"/>
      <c r="U145" s="206"/>
      <c r="V145" s="206"/>
    </row>
  </sheetData>
  <phoneticPr fontId="2" type="noConversion"/>
  <dataValidations count="3">
    <dataValidation type="list" allowBlank="1" showInputMessage="1" showErrorMessage="1" sqref="F28" xr:uid="{00000000-0002-0000-0100-000001000000}">
      <formula1>Currency_Name</formula1>
    </dataValidation>
    <dataValidation type="list" allowBlank="1" showInputMessage="1" showErrorMessage="1" sqref="F29 F29" xr:uid="{00000000-0002-0000-0100-000000000000}">
      <formula1>Magnitude</formula1>
    </dataValidation>
    <dataValidation type="list" allowBlank="1" showInputMessage="1" showErrorMessage="1" sqref="F30" xr:uid="{00000000-0002-0000-0100-000002000000}">
      <formula1>Conv_List</formula1>
    </dataValidation>
  </dataValidations>
  <pageMargins left="0.7" right="0.7" top="0.75" bottom="0.75" header="0.3" footer="0.3"/>
  <pageSetup scale="5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395717" r:id="rId4" name="Button 5">
              <controlPr defaultSize="0" print="0" autoFill="0" autoPict="0" macro="[0]!Refresh">
                <anchor moveWithCells="1" sizeWithCells="1">
                  <from>
                    <xdr:col>5</xdr:col>
                    <xdr:colOff>0</xdr:colOff>
                    <xdr:row>30</xdr:row>
                    <xdr:rowOff>99060</xdr:rowOff>
                  </from>
                  <to>
                    <xdr:col>6</xdr:col>
                    <xdr:colOff>0</xdr:colOff>
                    <xdr:row>32</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
  <sheetViews>
    <sheetView workbookViewId="0"/>
  </sheetViews>
  <sheetFormatPr defaultRowHeight="10.199999999999999" x14ac:dyDescent="0.2"/>
  <sheetData/>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E4"/>
  <sheetViews>
    <sheetView workbookViewId="0"/>
  </sheetViews>
  <sheetFormatPr defaultRowHeight="10.199999999999999" x14ac:dyDescent="0.2"/>
  <sheetData>
    <row r="2" spans="1:5" x14ac:dyDescent="0.2">
      <c r="A2" t="s">
        <v>75</v>
      </c>
      <c r="B2">
        <v>130500</v>
      </c>
      <c r="C2">
        <v>2</v>
      </c>
    </row>
    <row r="3" spans="1:5" x14ac:dyDescent="0.2">
      <c r="A3" t="s">
        <v>193</v>
      </c>
      <c r="B3">
        <v>227539</v>
      </c>
      <c r="C3">
        <v>2</v>
      </c>
    </row>
    <row r="4" spans="1:5" x14ac:dyDescent="0.2">
      <c r="A4" t="s">
        <v>1</v>
      </c>
      <c r="B4">
        <v>130500</v>
      </c>
      <c r="C4">
        <v>2</v>
      </c>
    </row>
  </sheetData>
  <phoneticPr fontId="2" type="noConversion"/>
  <pageMargins left="0.75" right="0.75" top="1" bottom="1" header="0.5" footer="0.5"/>
  <pageSetup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rgb="FF525252"/>
    <outlinePr summaryBelow="0"/>
  </sheetPr>
  <dimension ref="B1:V1103"/>
  <sheetViews>
    <sheetView showGridLines="0" zoomScaleNormal="100" zoomScaleSheetLayoutView="100" workbookViewId="0">
      <pane xSplit="5" ySplit="2" topLeftCell="F3" activePane="bottomRight" state="frozen"/>
      <selection activeCell="F3" sqref="F3"/>
      <selection pane="topRight" activeCell="F3" sqref="F3"/>
      <selection pane="bottomLeft" activeCell="F3" sqref="F3"/>
      <selection pane="bottomRight"/>
    </sheetView>
  </sheetViews>
  <sheetFormatPr defaultColWidth="9.28515625" defaultRowHeight="12.75" customHeight="1" outlineLevelRow="1" outlineLevelCol="1" x14ac:dyDescent="0.2"/>
  <cols>
    <col min="1" max="1" width="1.7109375" style="5" customWidth="1"/>
    <col min="2" max="2" width="45.28515625" style="5" customWidth="1"/>
    <col min="3" max="3" width="47.7109375" style="5" hidden="1" customWidth="1" outlineLevel="1"/>
    <col min="4" max="5" width="19.140625" style="13" hidden="1" customWidth="1" outlineLevel="1"/>
    <col min="6" max="6" width="13.7109375" style="5" customWidth="1" collapsed="1"/>
    <col min="7" max="17" width="13.7109375" style="5" customWidth="1"/>
    <col min="18" max="18" width="4.42578125" style="5" customWidth="1"/>
    <col min="19" max="22" width="13.7109375" style="5" bestFit="1" customWidth="1"/>
    <col min="23" max="16384" width="9.28515625" style="5"/>
  </cols>
  <sheetData>
    <row r="1" spans="2:22" ht="10.199999999999999" x14ac:dyDescent="0.2">
      <c r="H1" s="6"/>
    </row>
    <row r="2" spans="2:22" ht="16.2" thickBot="1" x14ac:dyDescent="0.35">
      <c r="B2" s="37" t="str">
        <f>F9&amp;IF(F10="",""," ("&amp;F10&amp;")")</f>
        <v>FMC Corporation (NYSE:FMC) (FMC-US)</v>
      </c>
      <c r="C2" s="38"/>
      <c r="D2" s="42"/>
      <c r="E2" s="42"/>
      <c r="F2" s="39"/>
      <c r="G2" s="39"/>
      <c r="H2" s="39"/>
      <c r="I2" s="39"/>
      <c r="J2" s="39"/>
      <c r="K2" s="39"/>
      <c r="L2" s="39"/>
      <c r="M2" s="39"/>
      <c r="N2" s="39"/>
      <c r="O2" s="38"/>
      <c r="P2" s="38"/>
      <c r="Q2" s="38"/>
    </row>
    <row r="3" spans="2:22" ht="17.25" customHeight="1" collapsed="1" x14ac:dyDescent="0.2">
      <c r="B3" s="52" t="str">
        <f>"Data in "&amp;Curr_Sym</f>
        <v>Data in ($M)</v>
      </c>
      <c r="C3" s="10"/>
      <c r="O3" s="10"/>
      <c r="P3" s="10"/>
      <c r="Q3" s="10"/>
    </row>
    <row r="4" spans="2:22" ht="10.199999999999999" hidden="1" outlineLevel="1" x14ac:dyDescent="0.2">
      <c r="B4" s="9"/>
      <c r="C4" s="212" t="str">
        <f>_xll.SNL.Clients.Office.Excel.Functions.SPGTable(ENT_CD,$D$9:$D$156,S_KEY,"NA","Options:Curr="&amp;Sel_Curr&amp;",Mag="&amp;Sel_Mag&amp;",ConvMethod="&amp;Sel_Conv)</f>
        <v>SPGTable</v>
      </c>
      <c r="D4" s="48"/>
      <c r="E4" s="48"/>
      <c r="F4" s="41" t="str">
        <f t="shared" ref="F4:P4" si="0">Entity_Code</f>
        <v>FMC</v>
      </c>
      <c r="G4" s="41" t="str">
        <f t="shared" si="0"/>
        <v>FMC</v>
      </c>
      <c r="H4" s="41" t="str">
        <f t="shared" si="0"/>
        <v>FMC</v>
      </c>
      <c r="I4" s="41" t="str">
        <f t="shared" si="0"/>
        <v>FMC</v>
      </c>
      <c r="J4" s="41" t="str">
        <f t="shared" si="0"/>
        <v>FMC</v>
      </c>
      <c r="K4" s="41" t="str">
        <f t="shared" si="0"/>
        <v>FMC</v>
      </c>
      <c r="L4" s="41" t="str">
        <f t="shared" si="0"/>
        <v>FMC</v>
      </c>
      <c r="M4" s="41" t="str">
        <f t="shared" si="0"/>
        <v>FMC</v>
      </c>
      <c r="N4" s="41" t="str">
        <f t="shared" si="0"/>
        <v>FMC</v>
      </c>
      <c r="O4" s="41" t="str">
        <f t="shared" si="0"/>
        <v>FMC</v>
      </c>
      <c r="P4" s="41" t="str">
        <f t="shared" si="0"/>
        <v>FMC</v>
      </c>
      <c r="Q4" s="41" t="str">
        <f>Entity_Code</f>
        <v>FMC</v>
      </c>
    </row>
    <row r="5" spans="2:22" ht="10.199999999999999" hidden="1" outlineLevel="1" x14ac:dyDescent="0.2">
      <c r="B5" s="9"/>
      <c r="C5" s="47" t="str">
        <f>_xll.SNL.Clients.Office.Excel.Functions.SPGTable(ENT_CD,$D$160:$D$323,S_KEY,"NA","Options:Curr="&amp;Sel_Curr&amp;",Mag="&amp;Sel_Mag&amp;",ConvMethod="&amp;Sel_Conv)</f>
        <v>SPGTable</v>
      </c>
      <c r="D5" s="48"/>
      <c r="E5" s="48"/>
      <c r="F5" s="41" t="str">
        <f t="shared" ref="F5:K5" si="1">IF(LEFT(G5,2)="FY","FY"&amp;RIGHT(G5,4)-1,IF(MID(G5,2,1)="Q",IF(MID(G5,3,1)="1",LEFT(G5,2)&amp;"4"&amp;RIGHT(G5,4)-1,LEFT(G5,2)&amp;MID(G5,3,1)-1&amp;RIGHT(G5,4)),IF(OR(LEFT(G5,3)="YTD",LEFT(G5,3)="LTM"),IF(MID(G5,4,1)="1",LEFT(G5,3)&amp;"4"&amp;RIGHT(G5,4)-1,LEFT(G5,3)&amp;MID(G5,4,1)-1&amp;RIGHT(G5,4)),IF(LEFT(G5,3)="FH2","FH1"&amp;RIGHT(G5,4),IF(LEFT(G5,3)="FH1","FH2"&amp;RIGHT(G5,4)-1)))))</f>
        <v>FQ32021</v>
      </c>
      <c r="G5" s="41" t="str">
        <f t="shared" si="1"/>
        <v>FQ42021</v>
      </c>
      <c r="H5" s="41" t="str">
        <f t="shared" si="1"/>
        <v>FQ12022</v>
      </c>
      <c r="I5" s="41" t="str">
        <f t="shared" si="1"/>
        <v>FQ22022</v>
      </c>
      <c r="J5" s="41" t="str">
        <f t="shared" si="1"/>
        <v>FQ32022</v>
      </c>
      <c r="K5" s="41" t="str">
        <f t="shared" si="1"/>
        <v>FQ42022</v>
      </c>
      <c r="L5" s="41" t="str">
        <f t="shared" ref="L5:P5" si="2">IF(LEFT(M5,2)="FY","FY"&amp;RIGHT(M5,4)-1,IF(MID(M5,2,1)="Q",IF(MID(M5,3,1)="1",LEFT(M5,2)&amp;"4"&amp;RIGHT(M5,4)-1,LEFT(M5,2)&amp;MID(M5,3,1)-1&amp;RIGHT(M5,4)),IF(OR(LEFT(M5,3)="YTD",LEFT(M5,3)="LTM"),IF(MID(M5,4,1)="1",LEFT(M5,3)&amp;"4"&amp;RIGHT(M5,4)-1,LEFT(M5,3)&amp;MID(M5,4,1)-1&amp;RIGHT(M5,4)),IF(LEFT(M5,3)="FH2","FH1"&amp;RIGHT(M5,4),IF(LEFT(M5,3)="FH1","FH2"&amp;RIGHT(M5,4)-1)))))</f>
        <v>FQ12023</v>
      </c>
      <c r="M5" s="41" t="str">
        <f t="shared" si="2"/>
        <v>FQ22023</v>
      </c>
      <c r="N5" s="41" t="str">
        <f t="shared" si="2"/>
        <v>FQ32023</v>
      </c>
      <c r="O5" s="41" t="str">
        <f t="shared" si="2"/>
        <v>FQ42023</v>
      </c>
      <c r="P5" s="41" t="str">
        <f t="shared" si="2"/>
        <v>FQ12024</v>
      </c>
      <c r="Q5" s="41" t="str">
        <f>Period</f>
        <v>FQ22024</v>
      </c>
    </row>
    <row r="6" spans="2:22" ht="10.199999999999999" hidden="1" outlineLevel="1" x14ac:dyDescent="0.2">
      <c r="B6" s="9"/>
      <c r="C6" s="47" t="str">
        <f>_xll.SNL.Clients.Office.Excel.Functions.SPGTable(ENT_CD,$D$326:$D$465,S_KEY,"NA","Options:Curr="&amp;Sel_Curr&amp;",Mag="&amp;Sel_Mag&amp;",ConvMethod="&amp;Sel_Conv)</f>
        <v>SPGTable</v>
      </c>
      <c r="D6" s="48"/>
      <c r="E6" s="48"/>
      <c r="F6" s="41">
        <v>1</v>
      </c>
      <c r="G6" s="41">
        <v>1</v>
      </c>
      <c r="H6" s="41">
        <v>1</v>
      </c>
      <c r="I6" s="41">
        <v>1</v>
      </c>
      <c r="J6" s="41">
        <v>1</v>
      </c>
      <c r="K6" s="41">
        <v>1</v>
      </c>
      <c r="L6" s="41">
        <v>1</v>
      </c>
      <c r="M6" s="41">
        <v>1</v>
      </c>
      <c r="N6" s="41">
        <v>1</v>
      </c>
      <c r="O6" s="41">
        <v>1</v>
      </c>
      <c r="P6" s="41">
        <v>1</v>
      </c>
      <c r="Q6" s="41">
        <v>1</v>
      </c>
    </row>
    <row r="7" spans="2:22" ht="10.199999999999999" hidden="1" outlineLevel="1" x14ac:dyDescent="0.2">
      <c r="B7" s="9"/>
      <c r="C7" s="47" t="str">
        <f>_xll.SNL.Clients.Office.Excel.Functions.SPGTable(ENT_CD,$D$469:$D$741,S_KEY,"NA","Options:Curr="&amp;Sel_Curr&amp;",Mag="&amp;Sel_Mag&amp;",ConvMethod="&amp;Sel_Conv)</f>
        <v>SPGTable</v>
      </c>
      <c r="D7" s="43"/>
      <c r="E7" s="43"/>
      <c r="O7" s="10"/>
      <c r="P7" s="10"/>
      <c r="Q7" s="10"/>
    </row>
    <row r="8" spans="2:22" ht="10.199999999999999" hidden="1" outlineLevel="1" x14ac:dyDescent="0.2">
      <c r="B8" s="9"/>
      <c r="C8" s="47" t="str">
        <f>_xll.SNL.Clients.Office.Excel.Functions.SPGTable(ENT_CD,$D$745:$D$1098,S_KEY,"NA","Options:Curr="&amp;Sel_Curr&amp;",Mag="&amp;Sel_Mag&amp;",ConvMethod="&amp;Sel_Conv)</f>
        <v>SPGTable</v>
      </c>
      <c r="D8" s="43"/>
      <c r="E8" s="43"/>
      <c r="O8" s="10"/>
      <c r="P8" s="10"/>
      <c r="Q8" s="10"/>
    </row>
    <row r="9" spans="2:22" ht="10.199999999999999" hidden="1" outlineLevel="1" x14ac:dyDescent="0.2">
      <c r="B9" s="9"/>
      <c r="C9" s="117" t="s">
        <v>1407</v>
      </c>
      <c r="D9" s="46" t="s">
        <v>1929</v>
      </c>
      <c r="E9" s="41"/>
      <c r="F9" s="5" t="s">
        <v>1996</v>
      </c>
      <c r="G9" s="5" t="s">
        <v>1996</v>
      </c>
      <c r="H9" s="5" t="s">
        <v>1996</v>
      </c>
      <c r="I9" s="5" t="s">
        <v>1996</v>
      </c>
      <c r="J9" s="5" t="s">
        <v>1996</v>
      </c>
      <c r="K9" s="5" t="s">
        <v>1996</v>
      </c>
      <c r="L9" s="5" t="s">
        <v>1996</v>
      </c>
      <c r="M9" s="5" t="s">
        <v>1996</v>
      </c>
      <c r="N9" s="5" t="s">
        <v>1996</v>
      </c>
      <c r="O9" s="10" t="s">
        <v>1996</v>
      </c>
      <c r="P9" s="10" t="s">
        <v>1996</v>
      </c>
      <c r="Q9" s="10" t="s">
        <v>1996</v>
      </c>
    </row>
    <row r="10" spans="2:22" ht="10.199999999999999" hidden="1" outlineLevel="1" x14ac:dyDescent="0.2">
      <c r="B10" s="9"/>
      <c r="C10" s="117" t="s">
        <v>1408</v>
      </c>
      <c r="D10" s="46" t="s">
        <v>1938</v>
      </c>
      <c r="E10" s="41"/>
      <c r="F10" s="5" t="s">
        <v>1997</v>
      </c>
      <c r="G10" s="5" t="s">
        <v>1997</v>
      </c>
      <c r="H10" s="5" t="s">
        <v>1997</v>
      </c>
      <c r="I10" s="5" t="s">
        <v>1997</v>
      </c>
      <c r="J10" s="5" t="s">
        <v>1997</v>
      </c>
      <c r="K10" s="5" t="s">
        <v>1997</v>
      </c>
      <c r="L10" s="5" t="s">
        <v>1997</v>
      </c>
      <c r="M10" s="5" t="s">
        <v>1997</v>
      </c>
      <c r="N10" s="5" t="s">
        <v>1997</v>
      </c>
      <c r="O10" s="10" t="s">
        <v>1997</v>
      </c>
      <c r="P10" s="10" t="s">
        <v>1997</v>
      </c>
      <c r="Q10" s="10" t="s">
        <v>1997</v>
      </c>
    </row>
    <row r="11" spans="2:22" ht="12.75" customHeight="1" x14ac:dyDescent="0.2">
      <c r="B11" s="8" t="s">
        <v>615</v>
      </c>
      <c r="C11" s="117" t="s">
        <v>1405</v>
      </c>
      <c r="D11" s="46" t="s">
        <v>1820</v>
      </c>
      <c r="E11" s="41"/>
      <c r="F11" s="49">
        <v>44469</v>
      </c>
      <c r="G11" s="49">
        <v>44561</v>
      </c>
      <c r="H11" s="49">
        <v>44651</v>
      </c>
      <c r="I11" s="49">
        <v>44742</v>
      </c>
      <c r="J11" s="49">
        <v>44834</v>
      </c>
      <c r="K11" s="49">
        <v>44926</v>
      </c>
      <c r="L11" s="49">
        <v>45016</v>
      </c>
      <c r="M11" s="49">
        <v>45107</v>
      </c>
      <c r="N11" s="49">
        <v>45199</v>
      </c>
      <c r="O11" s="49">
        <v>45291</v>
      </c>
      <c r="P11" s="49">
        <v>45382</v>
      </c>
      <c r="Q11" s="49">
        <v>45473</v>
      </c>
    </row>
    <row r="12" spans="2:22" ht="12.75" customHeight="1" x14ac:dyDescent="0.2">
      <c r="B12" s="11"/>
      <c r="C12" s="40"/>
      <c r="D12" s="122" t="s">
        <v>192</v>
      </c>
      <c r="E12" s="43"/>
      <c r="F12" s="109"/>
      <c r="G12" s="109"/>
      <c r="H12" s="109"/>
      <c r="I12" s="109"/>
      <c r="J12" s="109"/>
      <c r="K12" s="109"/>
      <c r="L12" s="109"/>
      <c r="M12" s="109"/>
      <c r="N12" s="109"/>
      <c r="O12" s="109"/>
      <c r="P12" s="109"/>
      <c r="Q12" s="109"/>
    </row>
    <row r="13" spans="2:22" ht="12.75" customHeight="1" x14ac:dyDescent="0.2">
      <c r="B13" s="5" t="s">
        <v>828</v>
      </c>
      <c r="C13" s="118" t="s">
        <v>828</v>
      </c>
      <c r="D13" s="46" t="s">
        <v>1849</v>
      </c>
      <c r="E13" s="41"/>
      <c r="F13" s="134">
        <v>1194</v>
      </c>
      <c r="G13" s="134">
        <v>1413.6000000000001</v>
      </c>
      <c r="H13" s="134">
        <v>1350.8</v>
      </c>
      <c r="I13" s="134">
        <v>1452.3</v>
      </c>
      <c r="J13" s="134">
        <v>1377.2</v>
      </c>
      <c r="K13" s="134">
        <v>1622</v>
      </c>
      <c r="L13" s="134">
        <v>1344.3</v>
      </c>
      <c r="M13" s="134">
        <v>1014.5</v>
      </c>
      <c r="N13" s="134">
        <v>981.9</v>
      </c>
      <c r="O13" s="134">
        <v>1146.1000000000001</v>
      </c>
      <c r="P13" s="134">
        <v>918</v>
      </c>
      <c r="Q13" s="134">
        <v>1038.4000000000001</v>
      </c>
      <c r="R13" s="109"/>
      <c r="S13" s="109"/>
      <c r="T13" s="109"/>
      <c r="U13" s="109"/>
      <c r="V13" s="109"/>
    </row>
    <row r="14" spans="2:22" ht="12.75" customHeight="1" x14ac:dyDescent="0.2">
      <c r="B14" s="5" t="s">
        <v>982</v>
      </c>
      <c r="C14" s="118" t="s">
        <v>982</v>
      </c>
      <c r="D14" s="46" t="s">
        <v>1689</v>
      </c>
      <c r="E14" s="41"/>
      <c r="F14" s="134" t="s">
        <v>1443</v>
      </c>
      <c r="G14" s="134" t="s">
        <v>1443</v>
      </c>
      <c r="H14" s="134" t="s">
        <v>1443</v>
      </c>
      <c r="I14" s="134" t="s">
        <v>1443</v>
      </c>
      <c r="J14" s="134" t="s">
        <v>1443</v>
      </c>
      <c r="K14" s="134" t="s">
        <v>1443</v>
      </c>
      <c r="L14" s="134" t="s">
        <v>1443</v>
      </c>
      <c r="M14" s="134" t="s">
        <v>1443</v>
      </c>
      <c r="N14" s="134" t="s">
        <v>1443</v>
      </c>
      <c r="O14" s="134" t="s">
        <v>1443</v>
      </c>
      <c r="P14" s="134" t="s">
        <v>1443</v>
      </c>
      <c r="Q14" s="134" t="s">
        <v>1443</v>
      </c>
      <c r="R14" s="109"/>
      <c r="S14" s="109"/>
      <c r="T14" s="109"/>
      <c r="U14" s="109"/>
      <c r="V14" s="109"/>
    </row>
    <row r="15" spans="2:22" ht="12.75" customHeight="1" x14ac:dyDescent="0.2">
      <c r="B15" s="5" t="s">
        <v>983</v>
      </c>
      <c r="C15" s="118" t="s">
        <v>983</v>
      </c>
      <c r="D15" s="46" t="s">
        <v>1719</v>
      </c>
      <c r="E15" s="41"/>
      <c r="F15" s="134" t="s">
        <v>1443</v>
      </c>
      <c r="G15" s="134" t="s">
        <v>1443</v>
      </c>
      <c r="H15" s="134" t="s">
        <v>1443</v>
      </c>
      <c r="I15" s="134" t="s">
        <v>1443</v>
      </c>
      <c r="J15" s="134" t="s">
        <v>1443</v>
      </c>
      <c r="K15" s="134" t="s">
        <v>1443</v>
      </c>
      <c r="L15" s="134" t="s">
        <v>1443</v>
      </c>
      <c r="M15" s="134" t="s">
        <v>1443</v>
      </c>
      <c r="N15" s="134" t="s">
        <v>1443</v>
      </c>
      <c r="O15" s="134" t="s">
        <v>1443</v>
      </c>
      <c r="P15" s="134" t="s">
        <v>1443</v>
      </c>
      <c r="Q15" s="134" t="s">
        <v>1443</v>
      </c>
      <c r="R15" s="109"/>
      <c r="S15" s="109"/>
      <c r="T15" s="109"/>
      <c r="U15" s="109"/>
      <c r="V15" s="109"/>
    </row>
    <row r="16" spans="2:22" ht="12.75" customHeight="1" x14ac:dyDescent="0.2">
      <c r="B16" s="5" t="s">
        <v>779</v>
      </c>
      <c r="C16" s="118" t="s">
        <v>984</v>
      </c>
      <c r="D16" s="46" t="s">
        <v>1696</v>
      </c>
      <c r="E16" s="41"/>
      <c r="F16" s="134" t="s">
        <v>1443</v>
      </c>
      <c r="G16" s="134" t="s">
        <v>1443</v>
      </c>
      <c r="H16" s="134" t="s">
        <v>1443</v>
      </c>
      <c r="I16" s="134" t="s">
        <v>1443</v>
      </c>
      <c r="J16" s="134" t="s">
        <v>1443</v>
      </c>
      <c r="K16" s="134" t="s">
        <v>1443</v>
      </c>
      <c r="L16" s="134" t="s">
        <v>1443</v>
      </c>
      <c r="M16" s="134" t="s">
        <v>1443</v>
      </c>
      <c r="N16" s="134" t="s">
        <v>1443</v>
      </c>
      <c r="O16" s="134" t="s">
        <v>1443</v>
      </c>
      <c r="P16" s="134" t="s">
        <v>1443</v>
      </c>
      <c r="Q16" s="134" t="s">
        <v>1443</v>
      </c>
      <c r="R16" s="109"/>
      <c r="S16" s="109"/>
      <c r="T16" s="109"/>
      <c r="U16" s="109"/>
      <c r="V16" s="109"/>
    </row>
    <row r="17" spans="2:22" ht="12.75" customHeight="1" x14ac:dyDescent="0.2">
      <c r="B17" s="5" t="s">
        <v>778</v>
      </c>
      <c r="C17" s="118" t="s">
        <v>985</v>
      </c>
      <c r="D17" s="46" t="s">
        <v>1699</v>
      </c>
      <c r="E17" s="41"/>
      <c r="F17" s="134" t="s">
        <v>1443</v>
      </c>
      <c r="G17" s="134" t="s">
        <v>1443</v>
      </c>
      <c r="H17" s="134" t="s">
        <v>1443</v>
      </c>
      <c r="I17" s="134" t="s">
        <v>1443</v>
      </c>
      <c r="J17" s="134" t="s">
        <v>1443</v>
      </c>
      <c r="K17" s="134" t="s">
        <v>1443</v>
      </c>
      <c r="L17" s="134" t="s">
        <v>1443</v>
      </c>
      <c r="M17" s="134" t="s">
        <v>1443</v>
      </c>
      <c r="N17" s="134" t="s">
        <v>1443</v>
      </c>
      <c r="O17" s="134" t="s">
        <v>1443</v>
      </c>
      <c r="P17" s="134" t="s">
        <v>1443</v>
      </c>
      <c r="Q17" s="134" t="s">
        <v>1443</v>
      </c>
      <c r="R17" s="109"/>
      <c r="S17" s="109"/>
      <c r="T17" s="109"/>
      <c r="U17" s="109"/>
      <c r="V17" s="109"/>
    </row>
    <row r="18" spans="2:22" ht="12.75" customHeight="1" x14ac:dyDescent="0.2">
      <c r="B18" s="5" t="s">
        <v>777</v>
      </c>
      <c r="C18" s="118" t="s">
        <v>777</v>
      </c>
      <c r="D18" s="46" t="s">
        <v>1722</v>
      </c>
      <c r="E18" s="41"/>
      <c r="F18" s="134" t="s">
        <v>1443</v>
      </c>
      <c r="G18" s="134" t="s">
        <v>1443</v>
      </c>
      <c r="H18" s="134" t="s">
        <v>1443</v>
      </c>
      <c r="I18" s="134" t="s">
        <v>1443</v>
      </c>
      <c r="J18" s="134" t="s">
        <v>1443</v>
      </c>
      <c r="K18" s="134" t="s">
        <v>1443</v>
      </c>
      <c r="L18" s="134" t="s">
        <v>1443</v>
      </c>
      <c r="M18" s="134" t="s">
        <v>1443</v>
      </c>
      <c r="N18" s="134" t="s">
        <v>1443</v>
      </c>
      <c r="O18" s="134" t="s">
        <v>1443</v>
      </c>
      <c r="P18" s="134" t="s">
        <v>1443</v>
      </c>
      <c r="Q18" s="134" t="s">
        <v>1443</v>
      </c>
      <c r="R18" s="109"/>
      <c r="S18" s="109"/>
      <c r="T18" s="109"/>
      <c r="U18" s="109"/>
      <c r="V18" s="109"/>
    </row>
    <row r="19" spans="2:22" ht="12.75" customHeight="1" x14ac:dyDescent="0.2">
      <c r="B19" s="5" t="s">
        <v>986</v>
      </c>
      <c r="C19" s="118" t="s">
        <v>986</v>
      </c>
      <c r="D19" s="46" t="s">
        <v>1813</v>
      </c>
      <c r="E19" s="41"/>
      <c r="F19" s="134" t="s">
        <v>1443</v>
      </c>
      <c r="G19" s="134" t="s">
        <v>1443</v>
      </c>
      <c r="H19" s="134" t="s">
        <v>1443</v>
      </c>
      <c r="I19" s="134" t="s">
        <v>1443</v>
      </c>
      <c r="J19" s="134" t="s">
        <v>1443</v>
      </c>
      <c r="K19" s="134" t="s">
        <v>1443</v>
      </c>
      <c r="L19" s="134" t="s">
        <v>1443</v>
      </c>
      <c r="M19" s="134" t="s">
        <v>1443</v>
      </c>
      <c r="N19" s="134" t="s">
        <v>1443</v>
      </c>
      <c r="O19" s="134" t="s">
        <v>1443</v>
      </c>
      <c r="P19" s="134" t="s">
        <v>1443</v>
      </c>
      <c r="Q19" s="134" t="s">
        <v>1443</v>
      </c>
      <c r="R19" s="109"/>
      <c r="S19" s="109"/>
      <c r="T19" s="109"/>
      <c r="U19" s="109"/>
      <c r="V19" s="109"/>
    </row>
    <row r="20" spans="2:22" ht="12.75" customHeight="1" x14ac:dyDescent="0.2">
      <c r="B20" s="14" t="s">
        <v>817</v>
      </c>
      <c r="C20" s="119" t="s">
        <v>817</v>
      </c>
      <c r="D20" s="46" t="s">
        <v>1915</v>
      </c>
      <c r="E20" s="44"/>
      <c r="F20" s="135">
        <v>1194</v>
      </c>
      <c r="G20" s="135">
        <v>1413.6000000000001</v>
      </c>
      <c r="H20" s="135">
        <v>1350.8</v>
      </c>
      <c r="I20" s="135">
        <v>1452.3</v>
      </c>
      <c r="J20" s="135">
        <v>1377.2</v>
      </c>
      <c r="K20" s="135">
        <v>1622</v>
      </c>
      <c r="L20" s="135">
        <v>1344.3</v>
      </c>
      <c r="M20" s="135">
        <v>1014.5</v>
      </c>
      <c r="N20" s="135">
        <v>981.9</v>
      </c>
      <c r="O20" s="135">
        <v>1146.1000000000001</v>
      </c>
      <c r="P20" s="135">
        <v>918</v>
      </c>
      <c r="Q20" s="135">
        <v>1038.4000000000001</v>
      </c>
      <c r="R20" s="59"/>
      <c r="S20" s="109"/>
      <c r="T20" s="109"/>
      <c r="U20" s="109"/>
      <c r="V20" s="109"/>
    </row>
    <row r="21" spans="2:22" ht="12.75" customHeight="1" x14ac:dyDescent="0.2">
      <c r="B21" s="11"/>
      <c r="C21" s="120" t="s">
        <v>192</v>
      </c>
      <c r="D21" s="46" t="s">
        <v>192</v>
      </c>
      <c r="E21" s="41"/>
      <c r="F21" s="134"/>
      <c r="G21" s="134"/>
      <c r="H21" s="134"/>
      <c r="I21" s="134"/>
      <c r="J21" s="134"/>
      <c r="K21" s="134"/>
      <c r="L21" s="134"/>
      <c r="M21" s="134"/>
      <c r="N21" s="134"/>
      <c r="O21" s="134"/>
      <c r="P21" s="134"/>
      <c r="Q21" s="134"/>
    </row>
    <row r="22" spans="2:22" ht="12.75" customHeight="1" x14ac:dyDescent="0.2">
      <c r="B22" s="5" t="s">
        <v>774</v>
      </c>
      <c r="C22" s="118" t="s">
        <v>774</v>
      </c>
      <c r="D22" s="46" t="s">
        <v>1604</v>
      </c>
      <c r="E22" s="41"/>
      <c r="F22" s="134">
        <v>682.5</v>
      </c>
      <c r="G22" s="134">
        <v>805.5</v>
      </c>
      <c r="H22" s="134">
        <v>778.1</v>
      </c>
      <c r="I22" s="134">
        <v>861.30000000000007</v>
      </c>
      <c r="J22" s="134">
        <v>899.7</v>
      </c>
      <c r="K22" s="134">
        <v>936.4</v>
      </c>
      <c r="L22" s="134">
        <v>763</v>
      </c>
      <c r="M22" s="134">
        <v>581.70000000000005</v>
      </c>
      <c r="N22" s="134">
        <v>600.70000000000005</v>
      </c>
      <c r="O22" s="134">
        <v>710.4</v>
      </c>
      <c r="P22" s="134">
        <v>578.30000000000007</v>
      </c>
      <c r="Q22" s="134">
        <v>640.30000000000007</v>
      </c>
      <c r="R22" s="59"/>
      <c r="S22" s="109"/>
      <c r="T22" s="109"/>
      <c r="U22" s="109"/>
      <c r="V22" s="109"/>
    </row>
    <row r="23" spans="2:22" ht="12.75" customHeight="1" x14ac:dyDescent="0.2">
      <c r="B23" s="5" t="s">
        <v>773</v>
      </c>
      <c r="C23" s="118" t="s">
        <v>773</v>
      </c>
      <c r="D23" s="46" t="s">
        <v>1683</v>
      </c>
      <c r="E23" s="41"/>
      <c r="F23" s="134" t="s">
        <v>1443</v>
      </c>
      <c r="G23" s="134" t="s">
        <v>1443</v>
      </c>
      <c r="H23" s="134" t="s">
        <v>1443</v>
      </c>
      <c r="I23" s="134" t="s">
        <v>1443</v>
      </c>
      <c r="J23" s="134" t="s">
        <v>1443</v>
      </c>
      <c r="K23" s="134" t="s">
        <v>1443</v>
      </c>
      <c r="L23" s="134" t="s">
        <v>1443</v>
      </c>
      <c r="M23" s="134" t="s">
        <v>1443</v>
      </c>
      <c r="N23" s="134" t="s">
        <v>1443</v>
      </c>
      <c r="O23" s="134" t="s">
        <v>1443</v>
      </c>
      <c r="P23" s="134" t="s">
        <v>1443</v>
      </c>
      <c r="Q23" s="134" t="s">
        <v>1443</v>
      </c>
      <c r="R23" s="109"/>
      <c r="S23" s="109"/>
      <c r="T23" s="109"/>
      <c r="U23" s="109"/>
      <c r="V23" s="109"/>
    </row>
    <row r="24" spans="2:22" ht="12.75" customHeight="1" x14ac:dyDescent="0.2">
      <c r="B24" s="5" t="s">
        <v>772</v>
      </c>
      <c r="C24" s="118" t="s">
        <v>772</v>
      </c>
      <c r="D24" s="46" t="s">
        <v>1718</v>
      </c>
      <c r="E24" s="41"/>
      <c r="F24" s="134" t="s">
        <v>1443</v>
      </c>
      <c r="G24" s="134" t="s">
        <v>1443</v>
      </c>
      <c r="H24" s="134" t="s">
        <v>1443</v>
      </c>
      <c r="I24" s="134" t="s">
        <v>1443</v>
      </c>
      <c r="J24" s="134" t="s">
        <v>1443</v>
      </c>
      <c r="K24" s="134" t="s">
        <v>1443</v>
      </c>
      <c r="L24" s="134" t="s">
        <v>1443</v>
      </c>
      <c r="M24" s="134" t="s">
        <v>1443</v>
      </c>
      <c r="N24" s="134" t="s">
        <v>1443</v>
      </c>
      <c r="O24" s="134" t="s">
        <v>1443</v>
      </c>
      <c r="P24" s="134" t="s">
        <v>1443</v>
      </c>
      <c r="Q24" s="134" t="s">
        <v>1443</v>
      </c>
      <c r="R24" s="109"/>
      <c r="S24" s="109"/>
      <c r="T24" s="109"/>
      <c r="U24" s="109"/>
      <c r="V24" s="109"/>
    </row>
    <row r="25" spans="2:22" ht="12.75" customHeight="1" x14ac:dyDescent="0.2">
      <c r="B25" s="5" t="s">
        <v>771</v>
      </c>
      <c r="C25" s="118" t="s">
        <v>771</v>
      </c>
      <c r="D25" s="46" t="s">
        <v>1684</v>
      </c>
      <c r="E25" s="41"/>
      <c r="F25" s="134" t="s">
        <v>1443</v>
      </c>
      <c r="G25" s="134" t="s">
        <v>1443</v>
      </c>
      <c r="H25" s="134" t="s">
        <v>1443</v>
      </c>
      <c r="I25" s="134" t="s">
        <v>1443</v>
      </c>
      <c r="J25" s="134" t="s">
        <v>1443</v>
      </c>
      <c r="K25" s="134" t="s">
        <v>1443</v>
      </c>
      <c r="L25" s="134" t="s">
        <v>1443</v>
      </c>
      <c r="M25" s="134" t="s">
        <v>1443</v>
      </c>
      <c r="N25" s="134" t="s">
        <v>1443</v>
      </c>
      <c r="O25" s="134" t="s">
        <v>1443</v>
      </c>
      <c r="P25" s="134" t="s">
        <v>1443</v>
      </c>
      <c r="Q25" s="134" t="s">
        <v>1443</v>
      </c>
      <c r="R25" s="109"/>
      <c r="S25" s="109"/>
      <c r="T25" s="109"/>
      <c r="U25" s="109"/>
      <c r="V25" s="109"/>
    </row>
    <row r="26" spans="2:22" ht="12.75" customHeight="1" x14ac:dyDescent="0.2">
      <c r="B26" s="14" t="s">
        <v>770</v>
      </c>
      <c r="C26" s="119" t="s">
        <v>770</v>
      </c>
      <c r="D26" s="44" t="s">
        <v>1701</v>
      </c>
      <c r="E26" s="44"/>
      <c r="F26" s="135">
        <v>511.5</v>
      </c>
      <c r="G26" s="135">
        <v>608.1</v>
      </c>
      <c r="H26" s="135">
        <v>572.70000000000005</v>
      </c>
      <c r="I26" s="135">
        <v>591</v>
      </c>
      <c r="J26" s="135">
        <v>477.5</v>
      </c>
      <c r="K26" s="135">
        <v>685.6</v>
      </c>
      <c r="L26" s="135">
        <v>581.30000000000007</v>
      </c>
      <c r="M26" s="135">
        <v>432.8</v>
      </c>
      <c r="N26" s="135">
        <v>381.2</v>
      </c>
      <c r="O26" s="135">
        <v>435.7</v>
      </c>
      <c r="P26" s="135">
        <v>339.7</v>
      </c>
      <c r="Q26" s="135">
        <v>398.1</v>
      </c>
      <c r="R26" s="59"/>
      <c r="S26" s="109"/>
      <c r="T26" s="109"/>
      <c r="U26" s="109"/>
      <c r="V26" s="109"/>
    </row>
    <row r="27" spans="2:22" ht="12.75" customHeight="1" x14ac:dyDescent="0.2">
      <c r="B27" s="11"/>
      <c r="C27" s="120" t="s">
        <v>192</v>
      </c>
      <c r="D27" s="46" t="s">
        <v>192</v>
      </c>
      <c r="E27" s="41"/>
      <c r="F27" s="134"/>
      <c r="G27" s="134"/>
      <c r="H27" s="134"/>
      <c r="I27" s="134"/>
      <c r="J27" s="134"/>
      <c r="K27" s="134"/>
      <c r="L27" s="134"/>
      <c r="M27" s="134"/>
      <c r="N27" s="134"/>
      <c r="O27" s="134"/>
      <c r="P27" s="134"/>
      <c r="Q27" s="134"/>
    </row>
    <row r="28" spans="2:22" ht="12.75" customHeight="1" x14ac:dyDescent="0.2">
      <c r="B28" s="5" t="s">
        <v>769</v>
      </c>
      <c r="C28" s="118" t="s">
        <v>769</v>
      </c>
      <c r="D28" s="46" t="s">
        <v>1859</v>
      </c>
      <c r="E28" s="41"/>
      <c r="F28" s="134">
        <v>183.5</v>
      </c>
      <c r="G28" s="134">
        <v>195.1</v>
      </c>
      <c r="H28" s="134">
        <v>188.5</v>
      </c>
      <c r="I28" s="134">
        <v>194.8</v>
      </c>
      <c r="J28" s="134">
        <v>179.4</v>
      </c>
      <c r="K28" s="134">
        <v>212.5</v>
      </c>
      <c r="L28" s="134">
        <v>185.9</v>
      </c>
      <c r="M28" s="134">
        <v>205.6</v>
      </c>
      <c r="N28" s="134">
        <v>171.3</v>
      </c>
      <c r="O28" s="134">
        <v>171.5</v>
      </c>
      <c r="P28" s="134">
        <v>163.9</v>
      </c>
      <c r="Q28" s="134">
        <v>164.8</v>
      </c>
      <c r="R28" s="59"/>
      <c r="S28" s="109"/>
      <c r="T28" s="109"/>
      <c r="U28" s="109"/>
      <c r="V28" s="109"/>
    </row>
    <row r="29" spans="2:22" ht="12.75" customHeight="1" x14ac:dyDescent="0.2">
      <c r="B29" s="5" t="s">
        <v>768</v>
      </c>
      <c r="C29" s="118" t="s">
        <v>768</v>
      </c>
      <c r="D29" s="46" t="s">
        <v>1675</v>
      </c>
      <c r="E29" s="41"/>
      <c r="F29" s="134" t="s">
        <v>1443</v>
      </c>
      <c r="G29" s="134" t="s">
        <v>1443</v>
      </c>
      <c r="H29" s="134" t="s">
        <v>1443</v>
      </c>
      <c r="I29" s="134" t="s">
        <v>1443</v>
      </c>
      <c r="J29" s="134" t="s">
        <v>1443</v>
      </c>
      <c r="K29" s="134" t="s">
        <v>1443</v>
      </c>
      <c r="L29" s="134" t="s">
        <v>1443</v>
      </c>
      <c r="M29" s="134" t="s">
        <v>1443</v>
      </c>
      <c r="N29" s="134" t="s">
        <v>1443</v>
      </c>
      <c r="O29" s="134" t="s">
        <v>1443</v>
      </c>
      <c r="P29" s="134" t="s">
        <v>1443</v>
      </c>
      <c r="Q29" s="134" t="s">
        <v>1443</v>
      </c>
      <c r="R29" s="109"/>
      <c r="S29" s="109"/>
      <c r="T29" s="109"/>
      <c r="U29" s="109"/>
      <c r="V29" s="109"/>
    </row>
    <row r="30" spans="2:22" ht="12.75" customHeight="1" x14ac:dyDescent="0.2">
      <c r="B30" s="5" t="s">
        <v>767</v>
      </c>
      <c r="C30" s="118" t="s">
        <v>767</v>
      </c>
      <c r="D30" s="46" t="s">
        <v>1831</v>
      </c>
      <c r="E30" s="41"/>
      <c r="F30" s="134" t="s">
        <v>1443</v>
      </c>
      <c r="G30" s="134" t="s">
        <v>1443</v>
      </c>
      <c r="H30" s="134" t="s">
        <v>1443</v>
      </c>
      <c r="I30" s="134" t="s">
        <v>1443</v>
      </c>
      <c r="J30" s="134" t="s">
        <v>1443</v>
      </c>
      <c r="K30" s="134" t="s">
        <v>1443</v>
      </c>
      <c r="L30" s="134" t="s">
        <v>1443</v>
      </c>
      <c r="M30" s="134" t="s">
        <v>1443</v>
      </c>
      <c r="N30" s="134" t="s">
        <v>1443</v>
      </c>
      <c r="O30" s="134" t="s">
        <v>1443</v>
      </c>
      <c r="P30" s="134" t="s">
        <v>1443</v>
      </c>
      <c r="Q30" s="134" t="s">
        <v>1443</v>
      </c>
      <c r="R30" s="109"/>
      <c r="S30" s="109"/>
      <c r="T30" s="109"/>
      <c r="U30" s="109"/>
      <c r="V30" s="109"/>
    </row>
    <row r="31" spans="2:22" ht="12.75" customHeight="1" x14ac:dyDescent="0.2">
      <c r="B31" s="5" t="s">
        <v>668</v>
      </c>
      <c r="C31" s="118" t="s">
        <v>668</v>
      </c>
      <c r="D31" s="46" t="s">
        <v>1869</v>
      </c>
      <c r="E31" s="41"/>
      <c r="F31" s="134" t="s">
        <v>1443</v>
      </c>
      <c r="G31" s="134" t="s">
        <v>1443</v>
      </c>
      <c r="H31" s="134" t="s">
        <v>1443</v>
      </c>
      <c r="I31" s="134" t="s">
        <v>1443</v>
      </c>
      <c r="J31" s="134" t="s">
        <v>1443</v>
      </c>
      <c r="K31" s="134" t="s">
        <v>1443</v>
      </c>
      <c r="L31" s="134" t="s">
        <v>1443</v>
      </c>
      <c r="M31" s="134" t="s">
        <v>1443</v>
      </c>
      <c r="N31" s="134" t="s">
        <v>1443</v>
      </c>
      <c r="O31" s="134" t="s">
        <v>1443</v>
      </c>
      <c r="P31" s="134" t="s">
        <v>1443</v>
      </c>
      <c r="Q31" s="134" t="s">
        <v>1443</v>
      </c>
      <c r="R31" s="109"/>
      <c r="S31" s="109"/>
      <c r="T31" s="109"/>
      <c r="U31" s="109"/>
      <c r="V31" s="109"/>
    </row>
    <row r="32" spans="2:22" ht="12.75" customHeight="1" x14ac:dyDescent="0.2">
      <c r="B32" s="5" t="s">
        <v>766</v>
      </c>
      <c r="C32" s="118" t="s">
        <v>766</v>
      </c>
      <c r="D32" s="46" t="s">
        <v>1821</v>
      </c>
      <c r="E32" s="41"/>
      <c r="F32" s="134" t="s">
        <v>1443</v>
      </c>
      <c r="G32" s="134" t="s">
        <v>1443</v>
      </c>
      <c r="H32" s="134" t="s">
        <v>1443</v>
      </c>
      <c r="I32" s="134" t="s">
        <v>1443</v>
      </c>
      <c r="J32" s="134" t="s">
        <v>1443</v>
      </c>
      <c r="K32" s="134" t="s">
        <v>1443</v>
      </c>
      <c r="L32" s="134" t="s">
        <v>1443</v>
      </c>
      <c r="M32" s="134" t="s">
        <v>1443</v>
      </c>
      <c r="N32" s="134" t="s">
        <v>1443</v>
      </c>
      <c r="O32" s="134" t="s">
        <v>1443</v>
      </c>
      <c r="P32" s="134" t="s">
        <v>1443</v>
      </c>
      <c r="Q32" s="134" t="s">
        <v>1443</v>
      </c>
      <c r="R32" s="109"/>
      <c r="S32" s="109"/>
      <c r="T32" s="109"/>
      <c r="U32" s="109"/>
      <c r="V32" s="109"/>
    </row>
    <row r="33" spans="2:22" ht="12.75" customHeight="1" x14ac:dyDescent="0.2">
      <c r="B33" s="5" t="s">
        <v>765</v>
      </c>
      <c r="C33" s="118" t="s">
        <v>765</v>
      </c>
      <c r="D33" s="46" t="s">
        <v>1836</v>
      </c>
      <c r="E33" s="41"/>
      <c r="F33" s="134">
        <v>79.5</v>
      </c>
      <c r="G33" s="134">
        <v>85.3</v>
      </c>
      <c r="H33" s="134">
        <v>71.8</v>
      </c>
      <c r="I33" s="134">
        <v>79.5</v>
      </c>
      <c r="J33" s="134">
        <v>78.5</v>
      </c>
      <c r="K33" s="134">
        <v>84.4</v>
      </c>
      <c r="L33" s="134">
        <v>78.400000000000006</v>
      </c>
      <c r="M33" s="134">
        <v>87.7</v>
      </c>
      <c r="N33" s="134">
        <v>80.900000000000006</v>
      </c>
      <c r="O33" s="134">
        <v>81.8</v>
      </c>
      <c r="P33" s="134">
        <v>60.9</v>
      </c>
      <c r="Q33" s="134">
        <v>75.900000000000006</v>
      </c>
      <c r="R33" s="109"/>
      <c r="S33" s="109"/>
      <c r="T33" s="109"/>
      <c r="U33" s="109"/>
      <c r="V33" s="109"/>
    </row>
    <row r="34" spans="2:22" ht="12.75" customHeight="1" x14ac:dyDescent="0.2">
      <c r="B34" s="5" t="s">
        <v>680</v>
      </c>
      <c r="C34" s="118" t="s">
        <v>680</v>
      </c>
      <c r="D34" s="46" t="s">
        <v>1621</v>
      </c>
      <c r="E34" s="41"/>
      <c r="F34" s="134" t="s">
        <v>1443</v>
      </c>
      <c r="G34" s="134" t="s">
        <v>1443</v>
      </c>
      <c r="H34" s="134" t="s">
        <v>1443</v>
      </c>
      <c r="I34" s="134" t="s">
        <v>1443</v>
      </c>
      <c r="J34" s="134" t="s">
        <v>1443</v>
      </c>
      <c r="K34" s="134" t="s">
        <v>1443</v>
      </c>
      <c r="L34" s="134" t="s">
        <v>1443</v>
      </c>
      <c r="M34" s="134" t="s">
        <v>1443</v>
      </c>
      <c r="N34" s="134" t="s">
        <v>1443</v>
      </c>
      <c r="O34" s="134" t="s">
        <v>1443</v>
      </c>
      <c r="P34" s="134" t="s">
        <v>1443</v>
      </c>
      <c r="Q34" s="134" t="s">
        <v>1443</v>
      </c>
      <c r="R34" s="109"/>
      <c r="S34" s="109"/>
      <c r="T34" s="109"/>
      <c r="U34" s="109"/>
      <c r="V34" s="109"/>
    </row>
    <row r="35" spans="2:22" ht="12.75" customHeight="1" x14ac:dyDescent="0.2">
      <c r="B35" s="5" t="s">
        <v>679</v>
      </c>
      <c r="C35" s="118" t="s">
        <v>679</v>
      </c>
      <c r="D35" s="46" t="s">
        <v>1707</v>
      </c>
      <c r="E35" s="41"/>
      <c r="F35" s="134" t="s">
        <v>1443</v>
      </c>
      <c r="G35" s="134" t="s">
        <v>1443</v>
      </c>
      <c r="H35" s="134" t="s">
        <v>1443</v>
      </c>
      <c r="I35" s="134" t="s">
        <v>1443</v>
      </c>
      <c r="J35" s="134" t="s">
        <v>1443</v>
      </c>
      <c r="K35" s="134" t="s">
        <v>1443</v>
      </c>
      <c r="L35" s="134" t="s">
        <v>1443</v>
      </c>
      <c r="M35" s="134" t="s">
        <v>1443</v>
      </c>
      <c r="N35" s="134" t="s">
        <v>1443</v>
      </c>
      <c r="O35" s="134" t="s">
        <v>1443</v>
      </c>
      <c r="P35" s="134" t="s">
        <v>1443</v>
      </c>
      <c r="Q35" s="134" t="s">
        <v>1443</v>
      </c>
      <c r="R35" s="109"/>
      <c r="S35" s="109"/>
      <c r="T35" s="109"/>
      <c r="U35" s="109"/>
      <c r="V35" s="109"/>
    </row>
    <row r="36" spans="2:22" ht="12.75" customHeight="1" x14ac:dyDescent="0.2">
      <c r="B36" s="5" t="s">
        <v>678</v>
      </c>
      <c r="C36" s="118" t="s">
        <v>678</v>
      </c>
      <c r="D36" s="46" t="s">
        <v>1710</v>
      </c>
      <c r="E36" s="41"/>
      <c r="F36" s="134" t="s">
        <v>1443</v>
      </c>
      <c r="G36" s="134" t="s">
        <v>1443</v>
      </c>
      <c r="H36" s="134" t="s">
        <v>1443</v>
      </c>
      <c r="I36" s="134" t="s">
        <v>1443</v>
      </c>
      <c r="J36" s="134" t="s">
        <v>1443</v>
      </c>
      <c r="K36" s="134" t="s">
        <v>1443</v>
      </c>
      <c r="L36" s="134" t="s">
        <v>1443</v>
      </c>
      <c r="M36" s="134" t="s">
        <v>1443</v>
      </c>
      <c r="N36" s="134" t="s">
        <v>1443</v>
      </c>
      <c r="O36" s="134" t="s">
        <v>1443</v>
      </c>
      <c r="P36" s="134" t="s">
        <v>1443</v>
      </c>
      <c r="Q36" s="134" t="s">
        <v>1443</v>
      </c>
      <c r="R36" s="109"/>
      <c r="S36" s="109"/>
      <c r="T36" s="109"/>
      <c r="U36" s="109"/>
      <c r="V36" s="109"/>
    </row>
    <row r="37" spans="2:22" ht="12.75" customHeight="1" x14ac:dyDescent="0.2">
      <c r="B37" s="5" t="s">
        <v>764</v>
      </c>
      <c r="C37" s="118" t="s">
        <v>987</v>
      </c>
      <c r="D37" s="46" t="s">
        <v>1810</v>
      </c>
      <c r="E37" s="41"/>
      <c r="F37" s="136" t="s">
        <v>1443</v>
      </c>
      <c r="G37" s="136" t="s">
        <v>1443</v>
      </c>
      <c r="H37" s="136" t="s">
        <v>1443</v>
      </c>
      <c r="I37" s="136" t="s">
        <v>1443</v>
      </c>
      <c r="J37" s="136" t="s">
        <v>1443</v>
      </c>
      <c r="K37" s="136" t="s">
        <v>1443</v>
      </c>
      <c r="L37" s="136" t="s">
        <v>1443</v>
      </c>
      <c r="M37" s="136" t="s">
        <v>1443</v>
      </c>
      <c r="N37" s="136" t="s">
        <v>1443</v>
      </c>
      <c r="O37" s="136">
        <v>88.7</v>
      </c>
      <c r="P37" s="136" t="s">
        <v>1443</v>
      </c>
      <c r="Q37" s="136" t="s">
        <v>1443</v>
      </c>
      <c r="R37" s="109"/>
      <c r="S37" s="109"/>
      <c r="T37" s="109"/>
      <c r="U37" s="109"/>
      <c r="V37" s="109"/>
    </row>
    <row r="38" spans="2:22" ht="12.75" customHeight="1" x14ac:dyDescent="0.2">
      <c r="B38" s="14" t="s">
        <v>763</v>
      </c>
      <c r="C38" s="119" t="s">
        <v>763</v>
      </c>
      <c r="D38" s="44" t="s">
        <v>1912</v>
      </c>
      <c r="E38" s="44"/>
      <c r="F38" s="137">
        <v>263</v>
      </c>
      <c r="G38" s="137">
        <v>280.40000000000003</v>
      </c>
      <c r="H38" s="137">
        <v>260.3</v>
      </c>
      <c r="I38" s="137">
        <v>274.3</v>
      </c>
      <c r="J38" s="137">
        <v>257.89999999999998</v>
      </c>
      <c r="K38" s="137">
        <v>296.90000000000003</v>
      </c>
      <c r="L38" s="137">
        <v>264.3</v>
      </c>
      <c r="M38" s="137">
        <v>293.3</v>
      </c>
      <c r="N38" s="137">
        <v>252.20000000000002</v>
      </c>
      <c r="O38" s="137">
        <v>342</v>
      </c>
      <c r="P38" s="137">
        <v>224.8</v>
      </c>
      <c r="Q38" s="137">
        <v>240.70000000000002</v>
      </c>
      <c r="R38" s="59"/>
      <c r="S38" s="109"/>
      <c r="T38" s="109"/>
      <c r="U38" s="109"/>
      <c r="V38" s="109"/>
    </row>
    <row r="39" spans="2:22" ht="12.75" customHeight="1" x14ac:dyDescent="0.2">
      <c r="B39" s="11"/>
      <c r="C39" s="120" t="s">
        <v>192</v>
      </c>
      <c r="D39" s="46" t="s">
        <v>192</v>
      </c>
      <c r="E39" s="41"/>
      <c r="F39" s="134"/>
      <c r="G39" s="134"/>
      <c r="H39" s="134"/>
      <c r="I39" s="134"/>
      <c r="J39" s="134"/>
      <c r="K39" s="134"/>
      <c r="L39" s="134"/>
      <c r="M39" s="134"/>
      <c r="N39" s="134"/>
      <c r="O39" s="134"/>
      <c r="P39" s="134"/>
      <c r="Q39" s="134"/>
    </row>
    <row r="40" spans="2:22" ht="12.75" customHeight="1" thickBot="1" x14ac:dyDescent="0.25">
      <c r="B40" s="14" t="s">
        <v>762</v>
      </c>
      <c r="C40" s="119" t="s">
        <v>762</v>
      </c>
      <c r="D40" s="44" t="s">
        <v>1797</v>
      </c>
      <c r="E40" s="44"/>
      <c r="F40" s="138">
        <v>248.5</v>
      </c>
      <c r="G40" s="138">
        <v>327.7</v>
      </c>
      <c r="H40" s="138">
        <v>312.40000000000003</v>
      </c>
      <c r="I40" s="138">
        <v>316.7</v>
      </c>
      <c r="J40" s="138">
        <v>219.6</v>
      </c>
      <c r="K40" s="138">
        <v>388.7</v>
      </c>
      <c r="L40" s="138">
        <v>317</v>
      </c>
      <c r="M40" s="138">
        <v>139.5</v>
      </c>
      <c r="N40" s="138">
        <v>129</v>
      </c>
      <c r="O40" s="138">
        <v>93.7</v>
      </c>
      <c r="P40" s="138">
        <v>114.9</v>
      </c>
      <c r="Q40" s="138">
        <v>157.4</v>
      </c>
      <c r="R40" s="59"/>
      <c r="S40" s="109"/>
      <c r="T40" s="109"/>
      <c r="U40" s="109"/>
      <c r="V40" s="109"/>
    </row>
    <row r="41" spans="2:22" ht="12.75" customHeight="1" thickTop="1" x14ac:dyDescent="0.2">
      <c r="B41" s="11"/>
      <c r="C41" s="120" t="s">
        <v>192</v>
      </c>
      <c r="D41" s="46" t="s">
        <v>192</v>
      </c>
      <c r="E41" s="41"/>
      <c r="F41" s="134"/>
      <c r="G41" s="134"/>
      <c r="H41" s="134"/>
      <c r="I41" s="134"/>
      <c r="J41" s="134"/>
      <c r="K41" s="134"/>
      <c r="L41" s="134"/>
      <c r="M41" s="134"/>
      <c r="N41" s="134"/>
      <c r="O41" s="134"/>
      <c r="P41" s="134"/>
      <c r="Q41" s="134"/>
    </row>
    <row r="42" spans="2:22" ht="12.75" customHeight="1" x14ac:dyDescent="0.2">
      <c r="B42" s="5" t="s">
        <v>761</v>
      </c>
      <c r="C42" s="118" t="s">
        <v>761</v>
      </c>
      <c r="D42" s="46" t="s">
        <v>1723</v>
      </c>
      <c r="E42" s="41"/>
      <c r="F42" s="134">
        <v>-33.1</v>
      </c>
      <c r="G42" s="134">
        <v>-33</v>
      </c>
      <c r="H42" s="134">
        <v>-29.900000000000002</v>
      </c>
      <c r="I42" s="134">
        <v>-35.300000000000004</v>
      </c>
      <c r="J42" s="134">
        <v>-41.800000000000004</v>
      </c>
      <c r="K42" s="134">
        <v>-44.800000000000004</v>
      </c>
      <c r="L42" s="134">
        <v>-51.4</v>
      </c>
      <c r="M42" s="134">
        <v>-64.5</v>
      </c>
      <c r="N42" s="134">
        <v>-64.599999999999994</v>
      </c>
      <c r="O42" s="134">
        <v>-56.7</v>
      </c>
      <c r="P42" s="134">
        <v>-61.7</v>
      </c>
      <c r="Q42" s="134">
        <v>-63.6</v>
      </c>
      <c r="R42" s="59"/>
      <c r="S42" s="109"/>
      <c r="T42" s="109"/>
      <c r="U42" s="109"/>
      <c r="V42" s="109"/>
    </row>
    <row r="43" spans="2:22" ht="12.75" customHeight="1" x14ac:dyDescent="0.2">
      <c r="B43" s="5" t="s">
        <v>760</v>
      </c>
      <c r="C43" s="118" t="s">
        <v>760</v>
      </c>
      <c r="D43" s="46" t="s">
        <v>1724</v>
      </c>
      <c r="E43" s="41"/>
      <c r="F43" s="134" t="s">
        <v>1443</v>
      </c>
      <c r="G43" s="134" t="s">
        <v>1443</v>
      </c>
      <c r="H43" s="134" t="s">
        <v>1443</v>
      </c>
      <c r="I43" s="134" t="s">
        <v>1443</v>
      </c>
      <c r="J43" s="134" t="s">
        <v>1443</v>
      </c>
      <c r="K43" s="134" t="s">
        <v>1443</v>
      </c>
      <c r="L43" s="134" t="s">
        <v>1443</v>
      </c>
      <c r="M43" s="134" t="s">
        <v>1443</v>
      </c>
      <c r="N43" s="134" t="s">
        <v>1443</v>
      </c>
      <c r="O43" s="134" t="s">
        <v>1443</v>
      </c>
      <c r="P43" s="134" t="s">
        <v>1443</v>
      </c>
      <c r="Q43" s="134" t="s">
        <v>1443</v>
      </c>
      <c r="R43" s="109"/>
      <c r="S43" s="109"/>
      <c r="T43" s="109"/>
      <c r="U43" s="109"/>
      <c r="V43" s="109"/>
    </row>
    <row r="44" spans="2:22" ht="12.75" customHeight="1" x14ac:dyDescent="0.2">
      <c r="B44" s="14" t="s">
        <v>759</v>
      </c>
      <c r="C44" s="119" t="s">
        <v>759</v>
      </c>
      <c r="D44" s="44" t="s">
        <v>1774</v>
      </c>
      <c r="E44" s="44"/>
      <c r="F44" s="135">
        <v>-33.1</v>
      </c>
      <c r="G44" s="135">
        <v>-33</v>
      </c>
      <c r="H44" s="135">
        <v>-29.900000000000002</v>
      </c>
      <c r="I44" s="135">
        <v>-35.300000000000004</v>
      </c>
      <c r="J44" s="135">
        <v>-41.800000000000004</v>
      </c>
      <c r="K44" s="135">
        <v>-44.800000000000004</v>
      </c>
      <c r="L44" s="135">
        <v>-51.4</v>
      </c>
      <c r="M44" s="135">
        <v>-64.5</v>
      </c>
      <c r="N44" s="135">
        <v>-64.599999999999994</v>
      </c>
      <c r="O44" s="135">
        <v>-56.7</v>
      </c>
      <c r="P44" s="135">
        <v>-61.7</v>
      </c>
      <c r="Q44" s="135">
        <v>-63.6</v>
      </c>
      <c r="R44" s="109"/>
      <c r="S44" s="109"/>
      <c r="T44" s="109"/>
      <c r="U44" s="109"/>
      <c r="V44" s="109"/>
    </row>
    <row r="45" spans="2:22" ht="12.75" customHeight="1" x14ac:dyDescent="0.2">
      <c r="B45" s="11"/>
      <c r="C45" s="120" t="s">
        <v>192</v>
      </c>
      <c r="D45" s="46" t="s">
        <v>192</v>
      </c>
      <c r="E45" s="41"/>
      <c r="F45" s="134"/>
      <c r="G45" s="134"/>
      <c r="H45" s="134"/>
      <c r="I45" s="134"/>
      <c r="J45" s="134"/>
      <c r="K45" s="134"/>
      <c r="L45" s="134"/>
      <c r="M45" s="134"/>
      <c r="N45" s="134"/>
      <c r="O45" s="134"/>
      <c r="P45" s="134"/>
      <c r="Q45" s="134"/>
    </row>
    <row r="46" spans="2:22" ht="12.75" customHeight="1" x14ac:dyDescent="0.2">
      <c r="B46" s="5" t="s">
        <v>758</v>
      </c>
      <c r="C46" s="120" t="s">
        <v>988</v>
      </c>
      <c r="D46" s="46" t="s">
        <v>1714</v>
      </c>
      <c r="E46" s="41"/>
      <c r="F46" s="134" t="s">
        <v>1443</v>
      </c>
      <c r="G46" s="134" t="s">
        <v>1443</v>
      </c>
      <c r="H46" s="134" t="s">
        <v>1443</v>
      </c>
      <c r="I46" s="134" t="s">
        <v>1443</v>
      </c>
      <c r="J46" s="134" t="s">
        <v>1443</v>
      </c>
      <c r="K46" s="134" t="s">
        <v>1443</v>
      </c>
      <c r="L46" s="134" t="s">
        <v>1443</v>
      </c>
      <c r="M46" s="134" t="s">
        <v>1443</v>
      </c>
      <c r="N46" s="134" t="s">
        <v>1443</v>
      </c>
      <c r="O46" s="134" t="s">
        <v>1443</v>
      </c>
      <c r="P46" s="134" t="s">
        <v>1443</v>
      </c>
      <c r="Q46" s="134" t="s">
        <v>1443</v>
      </c>
      <c r="R46" s="59"/>
      <c r="S46" s="109"/>
      <c r="T46" s="109"/>
      <c r="U46" s="109"/>
      <c r="V46" s="109"/>
    </row>
    <row r="47" spans="2:22" ht="12.75" customHeight="1" x14ac:dyDescent="0.2">
      <c r="B47" s="5" t="s">
        <v>757</v>
      </c>
      <c r="C47" s="120" t="s">
        <v>989</v>
      </c>
      <c r="D47" s="46" t="s">
        <v>1616</v>
      </c>
      <c r="E47" s="41"/>
      <c r="F47" s="134" t="s">
        <v>1443</v>
      </c>
      <c r="G47" s="134" t="s">
        <v>1443</v>
      </c>
      <c r="H47" s="134" t="s">
        <v>1443</v>
      </c>
      <c r="I47" s="134" t="s">
        <v>1443</v>
      </c>
      <c r="J47" s="134" t="s">
        <v>1443</v>
      </c>
      <c r="K47" s="134" t="s">
        <v>1443</v>
      </c>
      <c r="L47" s="134" t="s">
        <v>1443</v>
      </c>
      <c r="M47" s="134" t="s">
        <v>1443</v>
      </c>
      <c r="N47" s="134" t="s">
        <v>1443</v>
      </c>
      <c r="O47" s="134">
        <v>-75.2</v>
      </c>
      <c r="P47" s="134" t="s">
        <v>1443</v>
      </c>
      <c r="Q47" s="134" t="s">
        <v>1443</v>
      </c>
      <c r="R47" s="109"/>
      <c r="S47" s="109"/>
      <c r="T47" s="109"/>
      <c r="U47" s="109"/>
      <c r="V47" s="109"/>
    </row>
    <row r="48" spans="2:22" ht="12.75" customHeight="1" x14ac:dyDescent="0.2">
      <c r="B48" s="5" t="s">
        <v>756</v>
      </c>
      <c r="C48" s="118" t="s">
        <v>990</v>
      </c>
      <c r="D48" s="46" t="s">
        <v>1809</v>
      </c>
      <c r="E48" s="41"/>
      <c r="F48" s="134" t="s">
        <v>1443</v>
      </c>
      <c r="G48" s="134" t="s">
        <v>1443</v>
      </c>
      <c r="H48" s="134" t="s">
        <v>1443</v>
      </c>
      <c r="I48" s="134" t="s">
        <v>1443</v>
      </c>
      <c r="J48" s="134" t="s">
        <v>1443</v>
      </c>
      <c r="K48" s="134" t="s">
        <v>1443</v>
      </c>
      <c r="L48" s="134" t="s">
        <v>1443</v>
      </c>
      <c r="M48" s="134" t="s">
        <v>1443</v>
      </c>
      <c r="N48" s="134" t="s">
        <v>1443</v>
      </c>
      <c r="O48" s="134" t="s">
        <v>1443</v>
      </c>
      <c r="P48" s="134" t="s">
        <v>1443</v>
      </c>
      <c r="Q48" s="134" t="s">
        <v>1443</v>
      </c>
      <c r="R48" s="109"/>
      <c r="S48" s="109"/>
      <c r="T48" s="109"/>
      <c r="U48" s="109"/>
      <c r="V48" s="109"/>
    </row>
    <row r="49" spans="2:22" ht="12.75" customHeight="1" x14ac:dyDescent="0.2">
      <c r="B49" s="14" t="s">
        <v>755</v>
      </c>
      <c r="C49" s="119" t="s">
        <v>755</v>
      </c>
      <c r="D49" s="44" t="s">
        <v>1669</v>
      </c>
      <c r="E49" s="44"/>
      <c r="F49" s="135">
        <v>215.4</v>
      </c>
      <c r="G49" s="135">
        <v>294.7</v>
      </c>
      <c r="H49" s="135">
        <v>282.5</v>
      </c>
      <c r="I49" s="135">
        <v>281.40000000000003</v>
      </c>
      <c r="J49" s="135">
        <v>177.8</v>
      </c>
      <c r="K49" s="135">
        <v>343.90000000000003</v>
      </c>
      <c r="L49" s="135">
        <v>265.60000000000002</v>
      </c>
      <c r="M49" s="135">
        <v>75</v>
      </c>
      <c r="N49" s="135">
        <v>64.400000000000006</v>
      </c>
      <c r="O49" s="135">
        <v>-38.200000000000003</v>
      </c>
      <c r="P49" s="135">
        <v>53.2</v>
      </c>
      <c r="Q49" s="135">
        <v>93.8</v>
      </c>
      <c r="R49" s="59"/>
      <c r="S49" s="109"/>
      <c r="T49" s="109"/>
      <c r="U49" s="109"/>
      <c r="V49" s="109"/>
    </row>
    <row r="50" spans="2:22" ht="12.75" customHeight="1" x14ac:dyDescent="0.2">
      <c r="B50" s="11"/>
      <c r="C50" s="120" t="s">
        <v>192</v>
      </c>
      <c r="D50" s="46" t="s">
        <v>192</v>
      </c>
      <c r="E50" s="41"/>
      <c r="F50" s="134"/>
      <c r="G50" s="134"/>
      <c r="H50" s="134"/>
      <c r="I50" s="134"/>
      <c r="J50" s="134"/>
      <c r="K50" s="134"/>
      <c r="L50" s="134"/>
      <c r="M50" s="134"/>
      <c r="N50" s="134"/>
      <c r="O50" s="134"/>
      <c r="P50" s="134"/>
      <c r="Q50" s="134"/>
    </row>
    <row r="51" spans="2:22" ht="12.75" customHeight="1" x14ac:dyDescent="0.2">
      <c r="B51" s="5" t="s">
        <v>754</v>
      </c>
      <c r="C51" s="120" t="s">
        <v>754</v>
      </c>
      <c r="D51" s="46" t="s">
        <v>1847</v>
      </c>
      <c r="E51" s="41"/>
      <c r="F51" s="134">
        <v>-1.3</v>
      </c>
      <c r="G51" s="134">
        <v>-11.3</v>
      </c>
      <c r="H51" s="134">
        <v>-10.9</v>
      </c>
      <c r="I51" s="134">
        <v>-79.5</v>
      </c>
      <c r="J51" s="134">
        <v>-2</v>
      </c>
      <c r="K51" s="134">
        <v>42</v>
      </c>
      <c r="L51" s="134">
        <v>-0.5</v>
      </c>
      <c r="M51" s="134">
        <v>0.9</v>
      </c>
      <c r="N51" s="134">
        <v>-2.9</v>
      </c>
      <c r="O51" s="134">
        <v>-45.5</v>
      </c>
      <c r="P51" s="134">
        <v>-0.3</v>
      </c>
      <c r="Q51" s="134">
        <v>-83.8</v>
      </c>
      <c r="R51" s="59"/>
      <c r="S51" s="109"/>
      <c r="T51" s="109"/>
      <c r="U51" s="109"/>
      <c r="V51" s="109"/>
    </row>
    <row r="52" spans="2:22" ht="12.75" customHeight="1" x14ac:dyDescent="0.2">
      <c r="B52" s="5" t="s">
        <v>753</v>
      </c>
      <c r="C52" s="118" t="s">
        <v>753</v>
      </c>
      <c r="D52" s="46" t="s">
        <v>1759</v>
      </c>
      <c r="E52" s="41"/>
      <c r="F52" s="134">
        <v>-0.8</v>
      </c>
      <c r="G52" s="134">
        <v>-10.9</v>
      </c>
      <c r="H52" s="134">
        <v>-0.3</v>
      </c>
      <c r="I52" s="134" t="s">
        <v>1443</v>
      </c>
      <c r="J52" s="134" t="s">
        <v>1443</v>
      </c>
      <c r="K52" s="134" t="s">
        <v>1443</v>
      </c>
      <c r="L52" s="134">
        <v>-0.4</v>
      </c>
      <c r="M52" s="134" t="s">
        <v>1443</v>
      </c>
      <c r="N52" s="134" t="s">
        <v>1443</v>
      </c>
      <c r="O52" s="134" t="s">
        <v>1443</v>
      </c>
      <c r="P52" s="134">
        <v>-33.4</v>
      </c>
      <c r="Q52" s="134" t="s">
        <v>1443</v>
      </c>
      <c r="R52" s="109"/>
      <c r="S52" s="109"/>
      <c r="T52" s="109"/>
      <c r="U52" s="109"/>
      <c r="V52" s="109"/>
    </row>
    <row r="53" spans="2:22" ht="12.75" customHeight="1" x14ac:dyDescent="0.2">
      <c r="B53" s="5" t="s">
        <v>752</v>
      </c>
      <c r="C53" s="118" t="s">
        <v>752</v>
      </c>
      <c r="D53" s="46" t="s">
        <v>1711</v>
      </c>
      <c r="E53" s="41"/>
      <c r="F53" s="134" t="s">
        <v>1443</v>
      </c>
      <c r="G53" s="134" t="s">
        <v>1443</v>
      </c>
      <c r="H53" s="134" t="s">
        <v>1443</v>
      </c>
      <c r="I53" s="134" t="s">
        <v>1443</v>
      </c>
      <c r="J53" s="134" t="s">
        <v>1443</v>
      </c>
      <c r="K53" s="134" t="s">
        <v>1443</v>
      </c>
      <c r="L53" s="134" t="s">
        <v>1443</v>
      </c>
      <c r="M53" s="134" t="s">
        <v>1443</v>
      </c>
      <c r="N53" s="134" t="s">
        <v>1443</v>
      </c>
      <c r="O53" s="134" t="s">
        <v>1443</v>
      </c>
      <c r="P53" s="134" t="s">
        <v>1443</v>
      </c>
      <c r="Q53" s="134" t="s">
        <v>1443</v>
      </c>
      <c r="R53" s="109"/>
      <c r="S53" s="109"/>
      <c r="T53" s="109"/>
      <c r="U53" s="109"/>
      <c r="V53" s="109"/>
    </row>
    <row r="54" spans="2:22" ht="12.75" customHeight="1" x14ac:dyDescent="0.2">
      <c r="B54" s="5" t="s">
        <v>751</v>
      </c>
      <c r="C54" s="118" t="s">
        <v>751</v>
      </c>
      <c r="D54" s="46" t="s">
        <v>1697</v>
      </c>
      <c r="E54" s="41"/>
      <c r="F54" s="134" t="s">
        <v>1443</v>
      </c>
      <c r="G54" s="134" t="s">
        <v>1443</v>
      </c>
      <c r="H54" s="134" t="s">
        <v>1443</v>
      </c>
      <c r="I54" s="134" t="s">
        <v>1443</v>
      </c>
      <c r="J54" s="134" t="s">
        <v>1443</v>
      </c>
      <c r="K54" s="134" t="s">
        <v>1443</v>
      </c>
      <c r="L54" s="134" t="s">
        <v>1443</v>
      </c>
      <c r="M54" s="134" t="s">
        <v>1443</v>
      </c>
      <c r="N54" s="134" t="s">
        <v>1443</v>
      </c>
      <c r="O54" s="134" t="s">
        <v>1443</v>
      </c>
      <c r="P54" s="134" t="s">
        <v>1443</v>
      </c>
      <c r="Q54" s="134" t="s">
        <v>1443</v>
      </c>
      <c r="R54" s="109"/>
      <c r="S54" s="109"/>
      <c r="T54" s="109"/>
      <c r="U54" s="109"/>
      <c r="V54" s="109"/>
    </row>
    <row r="55" spans="2:22" ht="12.75" customHeight="1" x14ac:dyDescent="0.2">
      <c r="B55" s="5" t="s">
        <v>750</v>
      </c>
      <c r="C55" s="118" t="s">
        <v>750</v>
      </c>
      <c r="D55" s="46" t="s">
        <v>1694</v>
      </c>
      <c r="E55" s="41"/>
      <c r="F55" s="134" t="s">
        <v>1443</v>
      </c>
      <c r="G55" s="134" t="s">
        <v>1443</v>
      </c>
      <c r="H55" s="134" t="s">
        <v>1443</v>
      </c>
      <c r="I55" s="134" t="s">
        <v>1443</v>
      </c>
      <c r="J55" s="134" t="s">
        <v>1443</v>
      </c>
      <c r="K55" s="134" t="s">
        <v>1443</v>
      </c>
      <c r="L55" s="134" t="s">
        <v>1443</v>
      </c>
      <c r="M55" s="134" t="s">
        <v>1443</v>
      </c>
      <c r="N55" s="134" t="s">
        <v>1443</v>
      </c>
      <c r="O55" s="134" t="s">
        <v>1443</v>
      </c>
      <c r="P55" s="134" t="s">
        <v>1443</v>
      </c>
      <c r="Q55" s="134" t="s">
        <v>1443</v>
      </c>
      <c r="R55" s="109"/>
      <c r="S55" s="109"/>
      <c r="T55" s="109"/>
      <c r="U55" s="109"/>
      <c r="V55" s="109"/>
    </row>
    <row r="56" spans="2:22" ht="12.75" customHeight="1" x14ac:dyDescent="0.2">
      <c r="B56" s="5" t="s">
        <v>749</v>
      </c>
      <c r="C56" s="118" t="s">
        <v>749</v>
      </c>
      <c r="D56" s="46" t="s">
        <v>1534</v>
      </c>
      <c r="E56" s="41"/>
      <c r="F56" s="134" t="s">
        <v>1443</v>
      </c>
      <c r="G56" s="134" t="s">
        <v>1443</v>
      </c>
      <c r="H56" s="134" t="s">
        <v>1443</v>
      </c>
      <c r="I56" s="134" t="s">
        <v>1443</v>
      </c>
      <c r="J56" s="134" t="s">
        <v>1443</v>
      </c>
      <c r="K56" s="134" t="s">
        <v>1443</v>
      </c>
      <c r="L56" s="134" t="s">
        <v>1443</v>
      </c>
      <c r="M56" s="134" t="s">
        <v>1443</v>
      </c>
      <c r="N56" s="134" t="s">
        <v>1443</v>
      </c>
      <c r="O56" s="134" t="s">
        <v>1443</v>
      </c>
      <c r="P56" s="134" t="s">
        <v>1443</v>
      </c>
      <c r="Q56" s="134" t="s">
        <v>1443</v>
      </c>
      <c r="R56" s="109"/>
      <c r="S56" s="109"/>
      <c r="T56" s="109"/>
      <c r="U56" s="109"/>
      <c r="V56" s="109"/>
    </row>
    <row r="57" spans="2:22" ht="12.75" customHeight="1" x14ac:dyDescent="0.2">
      <c r="B57" s="5" t="s">
        <v>748</v>
      </c>
      <c r="C57" s="118" t="s">
        <v>748</v>
      </c>
      <c r="D57" s="46" t="s">
        <v>1733</v>
      </c>
      <c r="E57" s="41"/>
      <c r="F57" s="134" t="s">
        <v>1443</v>
      </c>
      <c r="G57" s="134" t="s">
        <v>1443</v>
      </c>
      <c r="H57" s="134" t="s">
        <v>1443</v>
      </c>
      <c r="I57" s="134" t="s">
        <v>1443</v>
      </c>
      <c r="J57" s="134" t="s">
        <v>1443</v>
      </c>
      <c r="K57" s="134" t="s">
        <v>1443</v>
      </c>
      <c r="L57" s="134" t="s">
        <v>1443</v>
      </c>
      <c r="M57" s="134" t="s">
        <v>1443</v>
      </c>
      <c r="N57" s="134" t="s">
        <v>1443</v>
      </c>
      <c r="O57" s="134" t="s">
        <v>1443</v>
      </c>
      <c r="P57" s="134" t="s">
        <v>1443</v>
      </c>
      <c r="Q57" s="134" t="s">
        <v>1443</v>
      </c>
      <c r="R57" s="109"/>
      <c r="S57" s="109"/>
      <c r="T57" s="109"/>
      <c r="U57" s="109"/>
      <c r="V57" s="109"/>
    </row>
    <row r="58" spans="2:22" ht="12.75" customHeight="1" x14ac:dyDescent="0.2">
      <c r="B58" s="5" t="s">
        <v>747</v>
      </c>
      <c r="C58" s="118" t="s">
        <v>747</v>
      </c>
      <c r="D58" s="46" t="s">
        <v>1720</v>
      </c>
      <c r="E58" s="41"/>
      <c r="F58" s="134" t="s">
        <v>1443</v>
      </c>
      <c r="G58" s="134" t="s">
        <v>1443</v>
      </c>
      <c r="H58" s="134" t="s">
        <v>1443</v>
      </c>
      <c r="I58" s="134" t="s">
        <v>1443</v>
      </c>
      <c r="J58" s="134" t="s">
        <v>1443</v>
      </c>
      <c r="K58" s="134" t="s">
        <v>1443</v>
      </c>
      <c r="L58" s="134" t="s">
        <v>1443</v>
      </c>
      <c r="M58" s="134" t="s">
        <v>1443</v>
      </c>
      <c r="N58" s="134" t="s">
        <v>1443</v>
      </c>
      <c r="O58" s="134" t="s">
        <v>1443</v>
      </c>
      <c r="P58" s="134" t="s">
        <v>1443</v>
      </c>
      <c r="Q58" s="134" t="s">
        <v>1443</v>
      </c>
      <c r="R58" s="109"/>
      <c r="S58" s="109"/>
      <c r="T58" s="109"/>
      <c r="U58" s="109"/>
      <c r="V58" s="109"/>
    </row>
    <row r="59" spans="2:22" ht="12.75" customHeight="1" x14ac:dyDescent="0.2">
      <c r="B59" s="5" t="s">
        <v>746</v>
      </c>
      <c r="C59" s="118" t="s">
        <v>746</v>
      </c>
      <c r="D59" s="46" t="s">
        <v>1737</v>
      </c>
      <c r="E59" s="41"/>
      <c r="F59" s="134" t="s">
        <v>1443</v>
      </c>
      <c r="G59" s="134" t="s">
        <v>1443</v>
      </c>
      <c r="H59" s="134" t="s">
        <v>1443</v>
      </c>
      <c r="I59" s="134" t="s">
        <v>1443</v>
      </c>
      <c r="J59" s="134" t="s">
        <v>1443</v>
      </c>
      <c r="K59" s="134" t="s">
        <v>1443</v>
      </c>
      <c r="L59" s="134" t="s">
        <v>1443</v>
      </c>
      <c r="M59" s="134" t="s">
        <v>1443</v>
      </c>
      <c r="N59" s="134" t="s">
        <v>1443</v>
      </c>
      <c r="O59" s="134" t="s">
        <v>1443</v>
      </c>
      <c r="P59" s="134" t="s">
        <v>1443</v>
      </c>
      <c r="Q59" s="134" t="s">
        <v>1443</v>
      </c>
      <c r="R59" s="109"/>
      <c r="S59" s="109"/>
      <c r="T59" s="109"/>
      <c r="U59" s="109"/>
      <c r="V59" s="109"/>
    </row>
    <row r="60" spans="2:22" ht="12.75" customHeight="1" x14ac:dyDescent="0.2">
      <c r="B60" s="5" t="s">
        <v>745</v>
      </c>
      <c r="C60" s="118" t="s">
        <v>745</v>
      </c>
      <c r="D60" s="46" t="s">
        <v>1814</v>
      </c>
      <c r="E60" s="41"/>
      <c r="F60" s="136">
        <v>-32.200000000000003</v>
      </c>
      <c r="G60" s="136">
        <v>-35.200000000000003</v>
      </c>
      <c r="H60" s="136">
        <v>-2.2000000000000002</v>
      </c>
      <c r="I60" s="136">
        <v>-5.2</v>
      </c>
      <c r="J60" s="136">
        <v>-5.3</v>
      </c>
      <c r="K60" s="136">
        <v>-38.300000000000004</v>
      </c>
      <c r="L60" s="136">
        <v>-16.2</v>
      </c>
      <c r="M60" s="136">
        <v>-12.8</v>
      </c>
      <c r="N60" s="136">
        <v>-29.5</v>
      </c>
      <c r="O60" s="136">
        <v>40.300000000000004</v>
      </c>
      <c r="P60" s="136">
        <v>-11.5</v>
      </c>
      <c r="Q60" s="136">
        <v>-15.5</v>
      </c>
      <c r="R60" s="109"/>
      <c r="S60" s="109"/>
      <c r="T60" s="109"/>
      <c r="U60" s="109"/>
      <c r="V60" s="109"/>
    </row>
    <row r="61" spans="2:22" ht="12.75" customHeight="1" x14ac:dyDescent="0.2">
      <c r="B61" s="14" t="s">
        <v>744</v>
      </c>
      <c r="C61" s="119" t="s">
        <v>991</v>
      </c>
      <c r="D61" s="44" t="s">
        <v>1668</v>
      </c>
      <c r="E61" s="44"/>
      <c r="F61" s="135">
        <v>181.1</v>
      </c>
      <c r="G61" s="135">
        <v>237.3</v>
      </c>
      <c r="H61" s="135">
        <v>269.10000000000002</v>
      </c>
      <c r="I61" s="135">
        <v>196.70000000000002</v>
      </c>
      <c r="J61" s="135">
        <v>170.5</v>
      </c>
      <c r="K61" s="135">
        <v>347.6</v>
      </c>
      <c r="L61" s="135">
        <v>248.5</v>
      </c>
      <c r="M61" s="135">
        <v>63.1</v>
      </c>
      <c r="N61" s="135">
        <v>32</v>
      </c>
      <c r="O61" s="135">
        <v>-43.4</v>
      </c>
      <c r="P61" s="135">
        <v>8</v>
      </c>
      <c r="Q61" s="135">
        <v>-5.5</v>
      </c>
      <c r="R61" s="59"/>
      <c r="S61" s="109"/>
      <c r="T61" s="109"/>
      <c r="U61" s="109"/>
      <c r="V61" s="109"/>
    </row>
    <row r="62" spans="2:22" ht="12.75" customHeight="1" x14ac:dyDescent="0.2">
      <c r="B62" s="11"/>
      <c r="C62" s="120" t="s">
        <v>192</v>
      </c>
      <c r="D62" s="46" t="s">
        <v>192</v>
      </c>
      <c r="E62" s="41"/>
      <c r="F62" s="134"/>
      <c r="G62" s="134"/>
      <c r="H62" s="134"/>
      <c r="I62" s="134"/>
      <c r="J62" s="134"/>
      <c r="K62" s="134"/>
      <c r="L62" s="134"/>
      <c r="M62" s="134"/>
      <c r="N62" s="134"/>
      <c r="O62" s="134"/>
      <c r="P62" s="134"/>
      <c r="Q62" s="134"/>
    </row>
    <row r="63" spans="2:22" ht="12.75" customHeight="1" x14ac:dyDescent="0.2">
      <c r="B63" s="5" t="s">
        <v>743</v>
      </c>
      <c r="C63" s="118" t="s">
        <v>743</v>
      </c>
      <c r="D63" s="44" t="s">
        <v>1716</v>
      </c>
      <c r="E63" s="44"/>
      <c r="F63" s="134">
        <v>9.2000000000000011</v>
      </c>
      <c r="G63" s="134">
        <v>16.7</v>
      </c>
      <c r="H63" s="134">
        <v>42.300000000000004</v>
      </c>
      <c r="I63" s="134">
        <v>54.7</v>
      </c>
      <c r="J63" s="134">
        <v>36</v>
      </c>
      <c r="K63" s="134">
        <v>12.200000000000001</v>
      </c>
      <c r="L63" s="134">
        <v>41.1</v>
      </c>
      <c r="M63" s="134">
        <v>9.2000000000000011</v>
      </c>
      <c r="N63" s="134">
        <v>27.400000000000002</v>
      </c>
      <c r="O63" s="134">
        <v>-1197</v>
      </c>
      <c r="P63" s="134">
        <v>-1.4000000000000001</v>
      </c>
      <c r="Q63" s="134">
        <v>-303.5</v>
      </c>
      <c r="R63" s="59"/>
      <c r="S63" s="109"/>
      <c r="T63" s="109"/>
      <c r="U63" s="109"/>
      <c r="V63" s="109"/>
    </row>
    <row r="64" spans="2:22" ht="12.75" customHeight="1" x14ac:dyDescent="0.2">
      <c r="B64" s="14" t="s">
        <v>742</v>
      </c>
      <c r="C64" s="119" t="s">
        <v>742</v>
      </c>
      <c r="D64" s="44" t="s">
        <v>1652</v>
      </c>
      <c r="E64" s="44"/>
      <c r="F64" s="135">
        <v>171.9</v>
      </c>
      <c r="G64" s="135">
        <v>220.6</v>
      </c>
      <c r="H64" s="135">
        <v>226.8</v>
      </c>
      <c r="I64" s="135">
        <v>142</v>
      </c>
      <c r="J64" s="135">
        <v>134.5</v>
      </c>
      <c r="K64" s="135">
        <v>335.40000000000003</v>
      </c>
      <c r="L64" s="135">
        <v>207.4</v>
      </c>
      <c r="M64" s="135">
        <v>53.9</v>
      </c>
      <c r="N64" s="135">
        <v>4.6000000000000005</v>
      </c>
      <c r="O64" s="135">
        <v>1153.6000000000001</v>
      </c>
      <c r="P64" s="135">
        <v>9.4</v>
      </c>
      <c r="Q64" s="135">
        <v>298</v>
      </c>
      <c r="R64" s="59"/>
      <c r="S64" s="109"/>
      <c r="T64" s="109"/>
      <c r="U64" s="109"/>
      <c r="V64" s="109"/>
    </row>
    <row r="65" spans="2:22" ht="12.75" customHeight="1" x14ac:dyDescent="0.2">
      <c r="B65" s="11"/>
      <c r="C65" s="120" t="s">
        <v>192</v>
      </c>
      <c r="D65" s="46" t="s">
        <v>192</v>
      </c>
      <c r="E65" s="41"/>
      <c r="F65" s="134"/>
      <c r="G65" s="134"/>
      <c r="H65" s="134"/>
      <c r="I65" s="134"/>
      <c r="J65" s="134"/>
      <c r="K65" s="134"/>
      <c r="L65" s="134"/>
      <c r="M65" s="134"/>
      <c r="N65" s="134"/>
      <c r="O65" s="134"/>
      <c r="P65" s="134"/>
      <c r="Q65" s="134"/>
    </row>
    <row r="66" spans="2:22" ht="12.75" customHeight="1" x14ac:dyDescent="0.2">
      <c r="B66" s="5" t="s">
        <v>741</v>
      </c>
      <c r="C66" s="118" t="s">
        <v>741</v>
      </c>
      <c r="D66" s="46" t="s">
        <v>1653</v>
      </c>
      <c r="E66" s="41"/>
      <c r="F66" s="134">
        <v>-9.7000000000000011</v>
      </c>
      <c r="G66" s="134">
        <v>-35.800000000000004</v>
      </c>
      <c r="H66" s="134">
        <v>-15.200000000000001</v>
      </c>
      <c r="I66" s="134">
        <v>-10.8</v>
      </c>
      <c r="J66" s="134">
        <v>-16.2</v>
      </c>
      <c r="K66" s="134">
        <v>-55</v>
      </c>
      <c r="L66" s="134">
        <v>-11.5</v>
      </c>
      <c r="M66" s="134">
        <v>-21.5</v>
      </c>
      <c r="N66" s="134">
        <v>-8.3000000000000007</v>
      </c>
      <c r="O66" s="134">
        <v>-57.2</v>
      </c>
      <c r="P66" s="134">
        <v>-12.5</v>
      </c>
      <c r="Q66" s="134">
        <v>-2.8000000000000003</v>
      </c>
      <c r="R66" s="59"/>
      <c r="S66" s="109"/>
      <c r="T66" s="109"/>
      <c r="U66" s="109"/>
      <c r="V66" s="109"/>
    </row>
    <row r="67" spans="2:22" ht="12.75" customHeight="1" x14ac:dyDescent="0.2">
      <c r="B67" s="5" t="s">
        <v>740</v>
      </c>
      <c r="C67" s="118" t="s">
        <v>740</v>
      </c>
      <c r="D67" s="46" t="s">
        <v>1677</v>
      </c>
      <c r="E67" s="41"/>
      <c r="F67" s="134" t="s">
        <v>1443</v>
      </c>
      <c r="G67" s="134" t="s">
        <v>1443</v>
      </c>
      <c r="H67" s="134" t="s">
        <v>1443</v>
      </c>
      <c r="I67" s="134" t="s">
        <v>1443</v>
      </c>
      <c r="J67" s="134" t="s">
        <v>1443</v>
      </c>
      <c r="K67" s="134" t="s">
        <v>1443</v>
      </c>
      <c r="L67" s="134" t="s">
        <v>1443</v>
      </c>
      <c r="M67" s="134" t="s">
        <v>1443</v>
      </c>
      <c r="N67" s="134" t="s">
        <v>1443</v>
      </c>
      <c r="O67" s="134" t="s">
        <v>1443</v>
      </c>
      <c r="P67" s="134" t="s">
        <v>1443</v>
      </c>
      <c r="Q67" s="134" t="s">
        <v>1443</v>
      </c>
      <c r="R67" s="109"/>
      <c r="S67" s="109"/>
      <c r="T67" s="109"/>
      <c r="U67" s="109"/>
      <c r="V67" s="109"/>
    </row>
    <row r="68" spans="2:22" ht="12.75" customHeight="1" x14ac:dyDescent="0.2">
      <c r="B68" s="14" t="s">
        <v>739</v>
      </c>
      <c r="C68" s="119" t="s">
        <v>739</v>
      </c>
      <c r="D68" s="44" t="s">
        <v>1772</v>
      </c>
      <c r="E68" s="44"/>
      <c r="F68" s="139">
        <v>162.20000000000002</v>
      </c>
      <c r="G68" s="139">
        <v>184.8</v>
      </c>
      <c r="H68" s="139">
        <v>211.6</v>
      </c>
      <c r="I68" s="139">
        <v>131.19999999999999</v>
      </c>
      <c r="J68" s="139">
        <v>118.3</v>
      </c>
      <c r="K68" s="139">
        <v>280.40000000000003</v>
      </c>
      <c r="L68" s="139">
        <v>195.9</v>
      </c>
      <c r="M68" s="139">
        <v>32.4</v>
      </c>
      <c r="N68" s="139">
        <v>-3.7</v>
      </c>
      <c r="O68" s="139">
        <v>1096.4000000000001</v>
      </c>
      <c r="P68" s="139">
        <v>-3.1</v>
      </c>
      <c r="Q68" s="139">
        <v>295.2</v>
      </c>
      <c r="R68" s="59"/>
      <c r="S68" s="109"/>
      <c r="T68" s="109"/>
      <c r="U68" s="109"/>
      <c r="V68" s="109"/>
    </row>
    <row r="69" spans="2:22" ht="12.75" customHeight="1" x14ac:dyDescent="0.2">
      <c r="B69" s="14"/>
      <c r="C69" s="119" t="s">
        <v>192</v>
      </c>
      <c r="D69" s="209" t="s">
        <v>192</v>
      </c>
      <c r="E69" s="45"/>
      <c r="F69" s="137"/>
      <c r="G69" s="137"/>
      <c r="H69" s="137"/>
      <c r="I69" s="137"/>
      <c r="J69" s="137"/>
      <c r="K69" s="137"/>
      <c r="L69" s="137"/>
      <c r="M69" s="137"/>
      <c r="N69" s="137"/>
      <c r="O69" s="137"/>
      <c r="P69" s="137"/>
      <c r="Q69" s="137"/>
      <c r="R69" s="59"/>
    </row>
    <row r="70" spans="2:22" ht="12.75" customHeight="1" x14ac:dyDescent="0.2">
      <c r="B70" s="5" t="s">
        <v>675</v>
      </c>
      <c r="C70" s="118" t="s">
        <v>675</v>
      </c>
      <c r="D70" s="46" t="s">
        <v>1762</v>
      </c>
      <c r="E70" s="41"/>
      <c r="F70" s="134">
        <v>-2.5</v>
      </c>
      <c r="G70" s="134">
        <v>5.9</v>
      </c>
      <c r="H70" s="134">
        <v>-4.2</v>
      </c>
      <c r="I70" s="134">
        <v>3</v>
      </c>
      <c r="J70" s="134">
        <v>2.7</v>
      </c>
      <c r="K70" s="134">
        <v>-6.5</v>
      </c>
      <c r="L70" s="134">
        <v>0.1</v>
      </c>
      <c r="M70" s="134">
        <v>-1.9000000000000001</v>
      </c>
      <c r="N70" s="134">
        <v>0.2</v>
      </c>
      <c r="O70" s="134">
        <v>2.1</v>
      </c>
      <c r="P70" s="134">
        <v>0.4</v>
      </c>
      <c r="Q70" s="134">
        <v>-0.1</v>
      </c>
      <c r="R70" s="109"/>
      <c r="S70" s="109"/>
      <c r="T70" s="109"/>
      <c r="U70" s="109"/>
      <c r="V70" s="109"/>
    </row>
    <row r="71" spans="2:22" ht="12.75" customHeight="1" thickBot="1" x14ac:dyDescent="0.25">
      <c r="B71" s="14" t="s">
        <v>738</v>
      </c>
      <c r="C71" s="120" t="s">
        <v>681</v>
      </c>
      <c r="D71" s="46" t="s">
        <v>1773</v>
      </c>
      <c r="E71" s="41"/>
      <c r="F71" s="138">
        <v>159.70000000000002</v>
      </c>
      <c r="G71" s="138">
        <v>190.70000000000002</v>
      </c>
      <c r="H71" s="138">
        <v>207.4</v>
      </c>
      <c r="I71" s="138">
        <v>134.19999999999999</v>
      </c>
      <c r="J71" s="138">
        <v>121</v>
      </c>
      <c r="K71" s="138">
        <v>273.90000000000003</v>
      </c>
      <c r="L71" s="138">
        <v>196</v>
      </c>
      <c r="M71" s="138">
        <v>30.5</v>
      </c>
      <c r="N71" s="138">
        <v>-3.5</v>
      </c>
      <c r="O71" s="138">
        <v>1098.5</v>
      </c>
      <c r="P71" s="138">
        <v>-2.7</v>
      </c>
      <c r="Q71" s="138">
        <v>295.10000000000002</v>
      </c>
      <c r="R71" s="109"/>
      <c r="S71" s="109"/>
      <c r="T71" s="109"/>
      <c r="U71" s="109"/>
      <c r="V71" s="109"/>
    </row>
    <row r="72" spans="2:22" ht="12.75" customHeight="1" thickTop="1" x14ac:dyDescent="0.2">
      <c r="B72" s="11"/>
      <c r="C72" s="120" t="s">
        <v>192</v>
      </c>
      <c r="D72" s="46" t="s">
        <v>192</v>
      </c>
      <c r="E72" s="41"/>
      <c r="F72" s="134"/>
      <c r="G72" s="134"/>
      <c r="H72" s="134"/>
      <c r="I72" s="134"/>
      <c r="J72" s="134"/>
      <c r="K72" s="134"/>
      <c r="L72" s="134"/>
      <c r="M72" s="134"/>
      <c r="N72" s="134"/>
      <c r="O72" s="134"/>
      <c r="P72" s="134"/>
      <c r="Q72" s="134"/>
    </row>
    <row r="73" spans="2:22" ht="12.75" customHeight="1" x14ac:dyDescent="0.2">
      <c r="B73" s="5" t="s">
        <v>737</v>
      </c>
      <c r="C73" s="118" t="s">
        <v>737</v>
      </c>
      <c r="D73" s="46" t="s">
        <v>1824</v>
      </c>
      <c r="E73" s="41"/>
      <c r="F73" s="134">
        <v>0.4</v>
      </c>
      <c r="G73" s="134">
        <v>0.5</v>
      </c>
      <c r="H73" s="134">
        <v>0.4</v>
      </c>
      <c r="I73" s="134">
        <v>0.3</v>
      </c>
      <c r="J73" s="134">
        <v>0.3</v>
      </c>
      <c r="K73" s="134">
        <v>0.6</v>
      </c>
      <c r="L73" s="134">
        <v>0.4</v>
      </c>
      <c r="M73" s="134">
        <v>0.1</v>
      </c>
      <c r="N73" s="134" t="s">
        <v>1443</v>
      </c>
      <c r="O73" s="134">
        <v>3</v>
      </c>
      <c r="P73" s="134" t="s">
        <v>1443</v>
      </c>
      <c r="Q73" s="134">
        <v>0.9</v>
      </c>
      <c r="R73" s="59"/>
      <c r="S73" s="109"/>
      <c r="T73" s="109"/>
      <c r="U73" s="109"/>
      <c r="V73" s="109"/>
    </row>
    <row r="74" spans="2:22" ht="12.75" customHeight="1" x14ac:dyDescent="0.2">
      <c r="B74" s="11"/>
      <c r="C74" s="120" t="s">
        <v>192</v>
      </c>
      <c r="D74" s="46" t="s">
        <v>192</v>
      </c>
      <c r="E74" s="41"/>
      <c r="F74" s="134"/>
      <c r="G74" s="134"/>
      <c r="H74" s="134"/>
      <c r="I74" s="134"/>
      <c r="J74" s="134"/>
      <c r="K74" s="134"/>
      <c r="L74" s="134"/>
      <c r="M74" s="134"/>
      <c r="N74" s="134"/>
      <c r="O74" s="134"/>
      <c r="P74" s="134"/>
      <c r="Q74" s="134"/>
      <c r="R74" s="59"/>
    </row>
    <row r="75" spans="2:22" ht="12.75" customHeight="1" x14ac:dyDescent="0.2">
      <c r="B75" s="14" t="s">
        <v>736</v>
      </c>
      <c r="C75" s="118" t="s">
        <v>736</v>
      </c>
      <c r="D75" s="44" t="s">
        <v>1781</v>
      </c>
      <c r="E75" s="44"/>
      <c r="F75" s="137">
        <v>159.30000000000001</v>
      </c>
      <c r="G75" s="137">
        <v>190.20000000000002</v>
      </c>
      <c r="H75" s="137">
        <v>207</v>
      </c>
      <c r="I75" s="137">
        <v>133.9</v>
      </c>
      <c r="J75" s="137">
        <v>120.7</v>
      </c>
      <c r="K75" s="137">
        <v>273.3</v>
      </c>
      <c r="L75" s="137">
        <v>195.6</v>
      </c>
      <c r="M75" s="137">
        <v>30.400000000000002</v>
      </c>
      <c r="N75" s="137">
        <v>-3.5</v>
      </c>
      <c r="O75" s="137">
        <v>1095.5</v>
      </c>
      <c r="P75" s="137">
        <v>-2.7</v>
      </c>
      <c r="Q75" s="137">
        <v>294.2</v>
      </c>
      <c r="R75" s="59"/>
      <c r="S75" s="109"/>
      <c r="T75" s="109"/>
      <c r="U75" s="109"/>
      <c r="V75" s="109"/>
    </row>
    <row r="76" spans="2:22" ht="12.75" customHeight="1" x14ac:dyDescent="0.2">
      <c r="B76" s="14" t="s">
        <v>735</v>
      </c>
      <c r="C76" s="118" t="s">
        <v>992</v>
      </c>
      <c r="D76" s="44" t="s">
        <v>1780</v>
      </c>
      <c r="E76" s="44"/>
      <c r="F76" s="137">
        <v>169</v>
      </c>
      <c r="G76" s="137">
        <v>226</v>
      </c>
      <c r="H76" s="137">
        <v>222.20000000000002</v>
      </c>
      <c r="I76" s="137">
        <v>144.70000000000002</v>
      </c>
      <c r="J76" s="137">
        <v>136.9</v>
      </c>
      <c r="K76" s="137">
        <v>328.3</v>
      </c>
      <c r="L76" s="137">
        <v>207.1</v>
      </c>
      <c r="M76" s="137">
        <v>51.9</v>
      </c>
      <c r="N76" s="137">
        <v>4.8</v>
      </c>
      <c r="O76" s="137">
        <v>1152.7</v>
      </c>
      <c r="P76" s="137">
        <v>9.8000000000000007</v>
      </c>
      <c r="Q76" s="137">
        <v>297</v>
      </c>
      <c r="R76" s="59"/>
      <c r="S76" s="109"/>
      <c r="T76" s="109"/>
      <c r="U76" s="109"/>
      <c r="V76" s="109"/>
    </row>
    <row r="77" spans="2:22" ht="12.75" customHeight="1" x14ac:dyDescent="0.2">
      <c r="B77" s="11"/>
      <c r="C77" s="120" t="s">
        <v>192</v>
      </c>
      <c r="D77" s="46" t="s">
        <v>192</v>
      </c>
      <c r="E77" s="41"/>
      <c r="F77" s="11"/>
      <c r="G77" s="11"/>
      <c r="H77" s="11"/>
      <c r="I77" s="11"/>
      <c r="J77" s="11"/>
      <c r="K77" s="11"/>
      <c r="L77" s="11"/>
      <c r="M77" s="11"/>
      <c r="N77" s="11"/>
      <c r="O77" s="11"/>
      <c r="P77" s="11"/>
      <c r="Q77" s="11"/>
    </row>
    <row r="78" spans="2:22" ht="12.75" customHeight="1" x14ac:dyDescent="0.2">
      <c r="B78" s="15"/>
      <c r="C78" s="120" t="s">
        <v>192</v>
      </c>
      <c r="D78" s="46" t="s">
        <v>192</v>
      </c>
      <c r="E78" s="41"/>
      <c r="F78" s="16"/>
      <c r="G78" s="16"/>
      <c r="H78" s="231"/>
      <c r="I78" s="231"/>
      <c r="J78" s="231"/>
      <c r="K78" s="231"/>
      <c r="L78" s="231"/>
      <c r="M78" s="231"/>
      <c r="N78" s="231"/>
      <c r="O78" s="231"/>
      <c r="P78" s="231"/>
      <c r="Q78" s="231"/>
    </row>
    <row r="79" spans="2:22" ht="12.75" customHeight="1" x14ac:dyDescent="0.2">
      <c r="B79" s="5" t="str">
        <f>"Basic EPS "&amp;Cu_Sym</f>
        <v>Basic EPS ($)</v>
      </c>
      <c r="C79" s="121" t="s">
        <v>734</v>
      </c>
      <c r="D79" s="46" t="s">
        <v>1553</v>
      </c>
      <c r="E79" s="41"/>
      <c r="F79" s="140">
        <v>1.2410000000000001</v>
      </c>
      <c r="G79" s="140">
        <v>1.502</v>
      </c>
      <c r="H79" s="140">
        <v>1.6419999999999999</v>
      </c>
      <c r="I79" s="140">
        <v>1.0609999999999999</v>
      </c>
      <c r="J79" s="140">
        <v>0.95599999999999996</v>
      </c>
      <c r="K79" s="140">
        <v>2.1760000000000002</v>
      </c>
      <c r="L79" s="140">
        <v>1.5609999999999999</v>
      </c>
      <c r="M79" s="140">
        <v>0.24299999999999999</v>
      </c>
      <c r="N79" s="140">
        <v>-2.8000000000000001E-2</v>
      </c>
      <c r="O79" s="140">
        <v>8.7710000000000008</v>
      </c>
      <c r="P79" s="140">
        <v>-2.1999999999999999E-2</v>
      </c>
      <c r="Q79" s="140">
        <v>2.3530000000000002</v>
      </c>
      <c r="R79" s="108"/>
      <c r="S79" s="91"/>
      <c r="T79" s="91"/>
      <c r="U79" s="91"/>
      <c r="V79" s="91"/>
    </row>
    <row r="80" spans="2:22" ht="12.75" customHeight="1" x14ac:dyDescent="0.2">
      <c r="B80" s="5" t="str">
        <f>"Basic EPS Excl. Extra Items "&amp;Cu_Sym</f>
        <v>Basic EPS Excl. Extra Items ($)</v>
      </c>
      <c r="C80" s="121" t="s">
        <v>733</v>
      </c>
      <c r="D80" s="46" t="s">
        <v>1554</v>
      </c>
      <c r="E80" s="41"/>
      <c r="F80" s="140">
        <v>1.3169999999999999</v>
      </c>
      <c r="G80" s="140">
        <v>1.7849999999999999</v>
      </c>
      <c r="H80" s="140">
        <v>1.7629999999999999</v>
      </c>
      <c r="I80" s="140">
        <v>1.147</v>
      </c>
      <c r="J80" s="140">
        <v>1.085</v>
      </c>
      <c r="K80" s="140">
        <v>2.6139999999999999</v>
      </c>
      <c r="L80" s="140">
        <v>1.6519999999999999</v>
      </c>
      <c r="M80" s="140">
        <v>0.41499999999999998</v>
      </c>
      <c r="N80" s="140">
        <v>3.7999999999999999E-2</v>
      </c>
      <c r="O80" s="140">
        <v>9.2289999999999992</v>
      </c>
      <c r="P80" s="140">
        <v>7.8E-2</v>
      </c>
      <c r="Q80" s="140">
        <v>2.3759999999999999</v>
      </c>
      <c r="R80" s="108"/>
      <c r="S80" s="91"/>
      <c r="T80" s="91"/>
      <c r="U80" s="91"/>
      <c r="V80" s="91"/>
    </row>
    <row r="81" spans="2:22" ht="12.75" customHeight="1" x14ac:dyDescent="0.2">
      <c r="B81" s="5" t="str">
        <f>"Weighted Avg. Basic Shares Out. (actual)"</f>
        <v>Weighted Avg. Basic Shares Out. (actual)</v>
      </c>
      <c r="C81" s="118" t="s">
        <v>838</v>
      </c>
      <c r="D81" s="46" t="s">
        <v>1550</v>
      </c>
      <c r="E81" s="41"/>
      <c r="F81" s="51">
        <v>128313000</v>
      </c>
      <c r="G81" s="51">
        <v>126600000</v>
      </c>
      <c r="H81" s="51">
        <v>126064000</v>
      </c>
      <c r="I81" s="51">
        <v>126204000</v>
      </c>
      <c r="J81" s="51">
        <v>126224000</v>
      </c>
      <c r="K81" s="51">
        <v>125600000</v>
      </c>
      <c r="L81" s="51">
        <v>125341000</v>
      </c>
      <c r="M81" s="51">
        <v>125085000</v>
      </c>
      <c r="N81" s="51">
        <v>124887000</v>
      </c>
      <c r="O81" s="51">
        <v>124900000</v>
      </c>
      <c r="P81" s="51">
        <v>124945000</v>
      </c>
      <c r="Q81" s="51">
        <v>125009000</v>
      </c>
      <c r="R81" s="109"/>
      <c r="S81" s="109"/>
      <c r="T81" s="109"/>
      <c r="U81" s="109"/>
      <c r="V81" s="109"/>
    </row>
    <row r="82" spans="2:22" ht="12.75" customHeight="1" x14ac:dyDescent="0.2">
      <c r="C82" s="120" t="s">
        <v>192</v>
      </c>
      <c r="D82" s="46" t="s">
        <v>192</v>
      </c>
      <c r="E82" s="41"/>
      <c r="F82" s="35"/>
      <c r="G82" s="35"/>
      <c r="H82" s="35"/>
      <c r="I82" s="35"/>
      <c r="J82" s="35"/>
      <c r="K82" s="35"/>
      <c r="L82" s="35"/>
      <c r="M82" s="35"/>
      <c r="N82" s="35"/>
      <c r="O82" s="35"/>
      <c r="P82" s="35"/>
      <c r="Q82" s="35"/>
    </row>
    <row r="83" spans="2:22" ht="12.75" customHeight="1" x14ac:dyDescent="0.2">
      <c r="B83" s="5" t="str">
        <f>"Diluted EPS "&amp;Cu_Sym</f>
        <v>Diluted EPS ($)</v>
      </c>
      <c r="C83" s="121" t="s">
        <v>1396</v>
      </c>
      <c r="D83" s="46" t="s">
        <v>1639</v>
      </c>
      <c r="E83" s="41"/>
      <c r="F83" s="140">
        <v>1.2410000000000001</v>
      </c>
      <c r="G83" s="140">
        <v>1.484</v>
      </c>
      <c r="H83" s="140">
        <v>1.6319999999999999</v>
      </c>
      <c r="I83" s="140">
        <v>1.0609999999999999</v>
      </c>
      <c r="J83" s="140">
        <v>0.95199999999999996</v>
      </c>
      <c r="K83" s="140">
        <v>2.149</v>
      </c>
      <c r="L83" s="140">
        <v>1.5489999999999999</v>
      </c>
      <c r="M83" s="140">
        <v>0.23899999999999999</v>
      </c>
      <c r="N83" s="140">
        <v>-2.8000000000000001E-2</v>
      </c>
      <c r="O83" s="140">
        <v>8.7550000000000008</v>
      </c>
      <c r="P83" s="140">
        <v>-2.1999999999999999E-2</v>
      </c>
      <c r="Q83" s="140">
        <v>2.3479999999999999</v>
      </c>
      <c r="R83" s="64"/>
      <c r="S83" s="91"/>
      <c r="T83" s="91"/>
      <c r="U83" s="91"/>
      <c r="V83" s="91"/>
    </row>
    <row r="84" spans="2:22" ht="12.75" customHeight="1" x14ac:dyDescent="0.2">
      <c r="B84" s="5" t="str">
        <f>"Diluted EPS Excl Extra Items "&amp;Cu_Sym</f>
        <v>Diluted EPS Excl Extra Items ($)</v>
      </c>
      <c r="C84" s="121" t="s">
        <v>1397</v>
      </c>
      <c r="D84" s="46" t="s">
        <v>1640</v>
      </c>
      <c r="E84" s="41"/>
      <c r="F84" s="140">
        <v>1.3169999999999999</v>
      </c>
      <c r="G84" s="140">
        <v>1.7649999999999999</v>
      </c>
      <c r="H84" s="140">
        <v>1.752</v>
      </c>
      <c r="I84" s="140">
        <v>1.147</v>
      </c>
      <c r="J84" s="140">
        <v>1.08</v>
      </c>
      <c r="K84" s="140">
        <v>2.585</v>
      </c>
      <c r="L84" s="140">
        <v>1.64</v>
      </c>
      <c r="M84" s="140">
        <v>0.41</v>
      </c>
      <c r="N84" s="140">
        <v>3.7999999999999999E-2</v>
      </c>
      <c r="O84" s="140">
        <v>9.2119999999999997</v>
      </c>
      <c r="P84" s="140">
        <v>7.8E-2</v>
      </c>
      <c r="Q84" s="140">
        <v>2.37</v>
      </c>
      <c r="R84" s="64"/>
      <c r="S84" s="91"/>
      <c r="T84" s="91"/>
      <c r="U84" s="91"/>
      <c r="V84" s="91"/>
    </row>
    <row r="85" spans="2:22" ht="12.75" customHeight="1" x14ac:dyDescent="0.2">
      <c r="B85" s="5" t="s">
        <v>839</v>
      </c>
      <c r="C85" s="118" t="s">
        <v>839</v>
      </c>
      <c r="D85" s="46" t="s">
        <v>1551</v>
      </c>
      <c r="E85" s="41"/>
      <c r="F85" s="51">
        <v>128991000</v>
      </c>
      <c r="G85" s="51">
        <v>127400000</v>
      </c>
      <c r="H85" s="51">
        <v>126839000</v>
      </c>
      <c r="I85" s="51">
        <v>126946000</v>
      </c>
      <c r="J85" s="51">
        <v>126891000</v>
      </c>
      <c r="K85" s="51">
        <v>126400000</v>
      </c>
      <c r="L85" s="51">
        <v>126131000</v>
      </c>
      <c r="M85" s="51">
        <v>125664000</v>
      </c>
      <c r="N85" s="51">
        <v>125260000</v>
      </c>
      <c r="O85" s="51">
        <v>125200000</v>
      </c>
      <c r="P85" s="51">
        <v>125242000</v>
      </c>
      <c r="Q85" s="51">
        <v>125352000</v>
      </c>
      <c r="R85" s="109"/>
      <c r="S85" s="109"/>
      <c r="T85" s="109"/>
      <c r="U85" s="109"/>
      <c r="V85" s="109"/>
    </row>
    <row r="86" spans="2:22" ht="12.75" customHeight="1" x14ac:dyDescent="0.2">
      <c r="C86" s="118" t="s">
        <v>192</v>
      </c>
      <c r="D86" s="46" t="s">
        <v>192</v>
      </c>
      <c r="E86" s="41"/>
      <c r="F86" s="22"/>
      <c r="G86" s="22"/>
      <c r="H86" s="22"/>
      <c r="I86" s="22"/>
      <c r="J86" s="22"/>
      <c r="K86" s="22"/>
      <c r="L86" s="22"/>
      <c r="M86" s="22"/>
      <c r="N86" s="22"/>
      <c r="O86" s="22"/>
      <c r="P86" s="22"/>
      <c r="Q86" s="22"/>
    </row>
    <row r="87" spans="2:22" ht="12.75" customHeight="1" x14ac:dyDescent="0.2">
      <c r="B87" s="5" t="str">
        <f>"Normalized Basic EPS "&amp;Cu_Sym</f>
        <v>Normalized Basic EPS ($)</v>
      </c>
      <c r="C87" s="118" t="s">
        <v>732</v>
      </c>
      <c r="D87" s="46" t="s">
        <v>1555</v>
      </c>
      <c r="E87" s="41"/>
      <c r="F87" s="140">
        <v>1.03</v>
      </c>
      <c r="G87" s="140">
        <v>1.5009999999999999</v>
      </c>
      <c r="H87" s="140">
        <v>1.367</v>
      </c>
      <c r="I87" s="140">
        <v>1.417</v>
      </c>
      <c r="J87" s="140">
        <v>0.90200000000000002</v>
      </c>
      <c r="K87" s="140">
        <v>1.66</v>
      </c>
      <c r="L87" s="140">
        <v>1.325</v>
      </c>
      <c r="M87" s="140">
        <v>0.36</v>
      </c>
      <c r="N87" s="140">
        <v>0.32400000000000001</v>
      </c>
      <c r="O87" s="140">
        <v>-0.17399999999999999</v>
      </c>
      <c r="P87" s="140">
        <v>0.26900000000000002</v>
      </c>
      <c r="Q87" s="140">
        <v>0.46800000000000003</v>
      </c>
      <c r="R87" s="91"/>
      <c r="S87" s="91"/>
      <c r="T87" s="91"/>
      <c r="U87" s="91"/>
      <c r="V87" s="91"/>
    </row>
    <row r="88" spans="2:22" ht="12.75" customHeight="1" x14ac:dyDescent="0.2">
      <c r="B88" s="5" t="str">
        <f>"Normalized Diluted EPS "&amp;Cu_Sym</f>
        <v>Normalized Diluted EPS ($)</v>
      </c>
      <c r="C88" s="120" t="s">
        <v>731</v>
      </c>
      <c r="D88" s="46" t="s">
        <v>1641</v>
      </c>
      <c r="E88" s="41"/>
      <c r="F88" s="140">
        <v>1.024</v>
      </c>
      <c r="G88" s="140">
        <v>1.492</v>
      </c>
      <c r="H88" s="140">
        <v>1.359</v>
      </c>
      <c r="I88" s="140">
        <v>1.409</v>
      </c>
      <c r="J88" s="140">
        <v>0.89700000000000002</v>
      </c>
      <c r="K88" s="140">
        <v>1.649</v>
      </c>
      <c r="L88" s="140">
        <v>1.3169999999999999</v>
      </c>
      <c r="M88" s="140">
        <v>0.35799999999999998</v>
      </c>
      <c r="N88" s="140">
        <v>0.32300000000000001</v>
      </c>
      <c r="O88" s="140">
        <v>-0.17399999999999999</v>
      </c>
      <c r="P88" s="140">
        <v>0.26900000000000002</v>
      </c>
      <c r="Q88" s="140">
        <v>0.46700000000000003</v>
      </c>
      <c r="R88" s="91"/>
      <c r="S88" s="91"/>
      <c r="T88" s="91"/>
      <c r="U88" s="91"/>
      <c r="V88" s="91"/>
    </row>
    <row r="89" spans="2:22" ht="12.75" customHeight="1" x14ac:dyDescent="0.2">
      <c r="C89" s="122" t="s">
        <v>192</v>
      </c>
      <c r="D89" s="46" t="s">
        <v>192</v>
      </c>
      <c r="E89" s="41"/>
      <c r="F89" s="141"/>
      <c r="G89" s="141"/>
      <c r="H89" s="141"/>
      <c r="I89" s="141"/>
      <c r="J89" s="141"/>
      <c r="K89" s="141"/>
      <c r="L89" s="141"/>
      <c r="M89" s="141"/>
      <c r="N89" s="141"/>
      <c r="O89" s="141"/>
      <c r="P89" s="141"/>
      <c r="Q89" s="141"/>
    </row>
    <row r="90" spans="2:22" ht="12.75" customHeight="1" x14ac:dyDescent="0.2">
      <c r="B90" s="5" t="str">
        <f>"Distributable Cash per Share "&amp;Cu_Sym</f>
        <v>Distributable Cash per Share ($)</v>
      </c>
      <c r="C90" s="118" t="s">
        <v>730</v>
      </c>
      <c r="D90" s="46" t="s">
        <v>1644</v>
      </c>
      <c r="E90" s="41"/>
      <c r="F90" s="140" t="s">
        <v>1443</v>
      </c>
      <c r="G90" s="140" t="s">
        <v>1443</v>
      </c>
      <c r="H90" s="140" t="s">
        <v>1443</v>
      </c>
      <c r="I90" s="140" t="s">
        <v>1443</v>
      </c>
      <c r="J90" s="140" t="s">
        <v>1443</v>
      </c>
      <c r="K90" s="140" t="s">
        <v>1443</v>
      </c>
      <c r="L90" s="140" t="s">
        <v>1443</v>
      </c>
      <c r="M90" s="140" t="s">
        <v>1443</v>
      </c>
      <c r="N90" s="140" t="s">
        <v>1443</v>
      </c>
      <c r="O90" s="140" t="s">
        <v>1443</v>
      </c>
      <c r="P90" s="140" t="s">
        <v>1443</v>
      </c>
      <c r="Q90" s="140" t="s">
        <v>1443</v>
      </c>
      <c r="R90" s="91"/>
      <c r="S90" s="91"/>
      <c r="T90" s="91"/>
      <c r="U90" s="91"/>
      <c r="V90" s="91"/>
    </row>
    <row r="91" spans="2:22" ht="12.75" customHeight="1" x14ac:dyDescent="0.2">
      <c r="B91" s="5" t="s">
        <v>840</v>
      </c>
      <c r="C91" s="118" t="s">
        <v>840</v>
      </c>
      <c r="D91" s="46" t="s">
        <v>1645</v>
      </c>
      <c r="E91" s="41"/>
      <c r="F91" s="21" t="s">
        <v>1443</v>
      </c>
      <c r="G91" s="21" t="s">
        <v>1443</v>
      </c>
      <c r="H91" s="21" t="s">
        <v>1443</v>
      </c>
      <c r="I91" s="21" t="s">
        <v>1443</v>
      </c>
      <c r="J91" s="21" t="s">
        <v>1443</v>
      </c>
      <c r="K91" s="21" t="s">
        <v>1443</v>
      </c>
      <c r="L91" s="21" t="s">
        <v>1443</v>
      </c>
      <c r="M91" s="21" t="s">
        <v>1443</v>
      </c>
      <c r="N91" s="21" t="s">
        <v>1443</v>
      </c>
      <c r="O91" s="21" t="s">
        <v>1443</v>
      </c>
      <c r="P91" s="21" t="s">
        <v>1443</v>
      </c>
      <c r="Q91" s="21" t="s">
        <v>1443</v>
      </c>
      <c r="R91" s="21"/>
      <c r="S91" s="109"/>
      <c r="T91" s="109"/>
      <c r="U91" s="109"/>
      <c r="V91" s="109"/>
    </row>
    <row r="92" spans="2:22" ht="12.75" customHeight="1" x14ac:dyDescent="0.2">
      <c r="B92" s="5" t="s">
        <v>841</v>
      </c>
      <c r="C92" s="118" t="s">
        <v>841</v>
      </c>
      <c r="D92" s="46" t="s">
        <v>1646</v>
      </c>
      <c r="E92" s="41"/>
      <c r="F92" s="21" t="s">
        <v>1443</v>
      </c>
      <c r="G92" s="21" t="s">
        <v>1443</v>
      </c>
      <c r="H92" s="21" t="s">
        <v>1443</v>
      </c>
      <c r="I92" s="21" t="s">
        <v>1443</v>
      </c>
      <c r="J92" s="21" t="s">
        <v>1443</v>
      </c>
      <c r="K92" s="21" t="s">
        <v>1443</v>
      </c>
      <c r="L92" s="21" t="s">
        <v>1443</v>
      </c>
      <c r="M92" s="21" t="s">
        <v>1443</v>
      </c>
      <c r="N92" s="21" t="s">
        <v>1443</v>
      </c>
      <c r="O92" s="21" t="s">
        <v>1443</v>
      </c>
      <c r="P92" s="21" t="s">
        <v>1443</v>
      </c>
      <c r="Q92" s="21" t="s">
        <v>1443</v>
      </c>
      <c r="R92" s="21"/>
      <c r="S92" s="109"/>
      <c r="T92" s="109"/>
      <c r="U92" s="109"/>
      <c r="V92" s="109"/>
    </row>
    <row r="93" spans="2:22" ht="12.75" customHeight="1" x14ac:dyDescent="0.2">
      <c r="C93" s="122" t="s">
        <v>192</v>
      </c>
      <c r="D93" s="46" t="s">
        <v>192</v>
      </c>
      <c r="E93" s="41"/>
      <c r="F93" s="109"/>
      <c r="G93" s="109"/>
      <c r="H93" s="109"/>
      <c r="I93" s="109"/>
      <c r="J93" s="109"/>
      <c r="K93" s="109"/>
      <c r="L93" s="109"/>
      <c r="M93" s="109"/>
      <c r="N93" s="109"/>
      <c r="O93" s="109"/>
      <c r="P93" s="109"/>
      <c r="Q93" s="109"/>
      <c r="R93" s="21"/>
    </row>
    <row r="94" spans="2:22" ht="12.75" customHeight="1" x14ac:dyDescent="0.2">
      <c r="B94" s="5" t="str">
        <f>"Dividends per Share "&amp;Cu_Sym</f>
        <v>Dividends per Share ($)</v>
      </c>
      <c r="C94" s="121" t="s">
        <v>1398</v>
      </c>
      <c r="D94" s="46" t="s">
        <v>1606</v>
      </c>
      <c r="E94" s="41"/>
      <c r="F94" s="140">
        <v>0.48</v>
      </c>
      <c r="G94" s="140">
        <v>0.53</v>
      </c>
      <c r="H94" s="140">
        <v>0.53</v>
      </c>
      <c r="I94" s="140">
        <v>0.53</v>
      </c>
      <c r="J94" s="140">
        <v>0.53</v>
      </c>
      <c r="K94" s="140">
        <v>0.57999999999999996</v>
      </c>
      <c r="L94" s="140">
        <v>0.57999999999999996</v>
      </c>
      <c r="M94" s="140">
        <v>0.57999999999999996</v>
      </c>
      <c r="N94" s="140">
        <v>0.57999999999999996</v>
      </c>
      <c r="O94" s="140">
        <v>0.57999999999999996</v>
      </c>
      <c r="P94" s="140">
        <v>0.57999999999999996</v>
      </c>
      <c r="Q94" s="140">
        <v>0.57999999999999996</v>
      </c>
      <c r="R94" s="108"/>
      <c r="S94" s="91"/>
      <c r="T94" s="91"/>
      <c r="U94" s="91"/>
      <c r="V94" s="91"/>
    </row>
    <row r="95" spans="2:22" ht="12.75" customHeight="1" x14ac:dyDescent="0.2">
      <c r="B95" s="5" t="s">
        <v>1452</v>
      </c>
      <c r="C95" s="121" t="s">
        <v>842</v>
      </c>
      <c r="D95" s="46" t="s">
        <v>1862</v>
      </c>
      <c r="E95" s="41"/>
      <c r="F95" s="140" t="s">
        <v>1443</v>
      </c>
      <c r="G95" s="140" t="s">
        <v>1443</v>
      </c>
      <c r="H95" s="140" t="s">
        <v>1443</v>
      </c>
      <c r="I95" s="140" t="s">
        <v>1443</v>
      </c>
      <c r="J95" s="140" t="s">
        <v>1443</v>
      </c>
      <c r="K95" s="140" t="s">
        <v>1443</v>
      </c>
      <c r="L95" s="140" t="s">
        <v>1443</v>
      </c>
      <c r="M95" s="140" t="s">
        <v>1443</v>
      </c>
      <c r="N95" s="140" t="s">
        <v>1443</v>
      </c>
      <c r="O95" s="140" t="s">
        <v>1443</v>
      </c>
      <c r="P95" s="140" t="s">
        <v>1443</v>
      </c>
      <c r="Q95" s="140" t="s">
        <v>1443</v>
      </c>
      <c r="R95" s="64"/>
      <c r="S95" s="109"/>
      <c r="T95" s="109"/>
      <c r="U95" s="109"/>
      <c r="V95" s="109"/>
    </row>
    <row r="96" spans="2:22" ht="12.75" customHeight="1" x14ac:dyDescent="0.2">
      <c r="B96" s="5" t="str">
        <f>"Distributable Cash per Share "&amp;Cu_Sym</f>
        <v>Distributable Cash per Share ($)</v>
      </c>
      <c r="C96" s="121" t="s">
        <v>730</v>
      </c>
      <c r="D96" s="46" t="s">
        <v>1644</v>
      </c>
      <c r="E96" s="41"/>
      <c r="F96" s="140" t="s">
        <v>1443</v>
      </c>
      <c r="G96" s="140" t="s">
        <v>1443</v>
      </c>
      <c r="H96" s="140" t="s">
        <v>1443</v>
      </c>
      <c r="I96" s="140" t="s">
        <v>1443</v>
      </c>
      <c r="J96" s="140" t="s">
        <v>1443</v>
      </c>
      <c r="K96" s="140" t="s">
        <v>1443</v>
      </c>
      <c r="L96" s="140" t="s">
        <v>1443</v>
      </c>
      <c r="M96" s="140" t="s">
        <v>1443</v>
      </c>
      <c r="N96" s="140" t="s">
        <v>1443</v>
      </c>
      <c r="O96" s="140" t="s">
        <v>1443</v>
      </c>
      <c r="P96" s="140" t="s">
        <v>1443</v>
      </c>
      <c r="Q96" s="140" t="s">
        <v>1443</v>
      </c>
      <c r="R96" s="64"/>
      <c r="S96" s="91"/>
      <c r="T96" s="91"/>
      <c r="U96" s="91"/>
      <c r="V96" s="91"/>
    </row>
    <row r="97" spans="2:22" ht="12.75" customHeight="1" x14ac:dyDescent="0.2">
      <c r="B97" s="18"/>
      <c r="C97" s="121" t="s">
        <v>192</v>
      </c>
      <c r="D97" s="46" t="s">
        <v>192</v>
      </c>
      <c r="E97" s="41"/>
      <c r="F97" s="64"/>
      <c r="G97" s="64"/>
      <c r="H97" s="64"/>
      <c r="I97" s="64"/>
      <c r="J97" s="64"/>
      <c r="K97" s="64"/>
      <c r="L97" s="64"/>
      <c r="M97" s="64"/>
      <c r="N97" s="64"/>
      <c r="O97" s="64"/>
      <c r="P97" s="64"/>
      <c r="Q97" s="64"/>
      <c r="R97" s="64"/>
    </row>
    <row r="98" spans="2:22" ht="12.75" customHeight="1" x14ac:dyDescent="0.2">
      <c r="B98" s="8" t="s">
        <v>729</v>
      </c>
      <c r="C98" s="120" t="s">
        <v>192</v>
      </c>
      <c r="D98" s="46" t="s">
        <v>192</v>
      </c>
      <c r="E98" s="41"/>
      <c r="F98" s="227"/>
      <c r="G98" s="227"/>
      <c r="H98" s="228"/>
      <c r="I98" s="228"/>
      <c r="J98" s="228"/>
      <c r="K98" s="228"/>
      <c r="L98" s="228"/>
      <c r="M98" s="228"/>
      <c r="N98" s="228"/>
      <c r="O98" s="228"/>
      <c r="P98" s="228"/>
      <c r="Q98" s="227"/>
      <c r="R98" s="64"/>
    </row>
    <row r="99" spans="2:22" ht="12.75" customHeight="1" x14ac:dyDescent="0.2">
      <c r="B99" s="8"/>
      <c r="C99" s="117" t="s">
        <v>1405</v>
      </c>
      <c r="D99" s="46" t="s">
        <v>1820</v>
      </c>
      <c r="E99" s="41"/>
      <c r="F99" s="49">
        <v>44469</v>
      </c>
      <c r="G99" s="49">
        <v>44561</v>
      </c>
      <c r="H99" s="49">
        <v>44651</v>
      </c>
      <c r="I99" s="49">
        <v>44742</v>
      </c>
      <c r="J99" s="49">
        <v>44834</v>
      </c>
      <c r="K99" s="49">
        <v>44926</v>
      </c>
      <c r="L99" s="49">
        <v>45016</v>
      </c>
      <c r="M99" s="49">
        <v>45107</v>
      </c>
      <c r="N99" s="49">
        <v>45199</v>
      </c>
      <c r="O99" s="49">
        <v>45291</v>
      </c>
      <c r="P99" s="49">
        <v>45382</v>
      </c>
      <c r="Q99" s="49">
        <v>45473</v>
      </c>
      <c r="R99" s="64"/>
      <c r="S99" s="50"/>
      <c r="T99" s="50"/>
      <c r="U99" s="50"/>
      <c r="V99" s="50"/>
    </row>
    <row r="100" spans="2:22" ht="12.75" customHeight="1" x14ac:dyDescent="0.2">
      <c r="B100" s="8" t="s">
        <v>544</v>
      </c>
      <c r="C100" s="120" t="s">
        <v>192</v>
      </c>
      <c r="D100" s="46" t="s">
        <v>192</v>
      </c>
      <c r="E100" s="41"/>
      <c r="F100" s="20"/>
      <c r="G100" s="20"/>
      <c r="H100" s="126"/>
      <c r="I100" s="126"/>
      <c r="J100" s="126"/>
      <c r="K100" s="126"/>
      <c r="L100" s="126"/>
      <c r="M100" s="126"/>
      <c r="N100" s="126"/>
      <c r="O100" s="126"/>
      <c r="P100" s="126"/>
      <c r="Q100" s="126"/>
    </row>
    <row r="101" spans="2:22" ht="12.75" customHeight="1" x14ac:dyDescent="0.2">
      <c r="B101" s="5" t="s">
        <v>728</v>
      </c>
      <c r="C101" s="120" t="s">
        <v>728</v>
      </c>
      <c r="D101" s="46" t="s">
        <v>1661</v>
      </c>
      <c r="E101" s="41"/>
      <c r="F101" s="134">
        <v>291.90000000000003</v>
      </c>
      <c r="G101" s="134">
        <v>370.1</v>
      </c>
      <c r="H101" s="134">
        <v>354.8</v>
      </c>
      <c r="I101" s="134">
        <v>359.5</v>
      </c>
      <c r="J101" s="134">
        <v>261</v>
      </c>
      <c r="K101" s="134">
        <v>431.5</v>
      </c>
      <c r="L101" s="134">
        <v>361.7</v>
      </c>
      <c r="M101" s="134">
        <v>187.6</v>
      </c>
      <c r="N101" s="134">
        <v>174.6</v>
      </c>
      <c r="O101" s="134">
        <v>139.6</v>
      </c>
      <c r="P101" s="134">
        <v>160.6</v>
      </c>
      <c r="Q101" s="134">
        <v>201.70000000000002</v>
      </c>
      <c r="R101" s="109"/>
      <c r="S101" s="109"/>
      <c r="T101" s="109"/>
      <c r="U101" s="109"/>
      <c r="V101" s="109"/>
    </row>
    <row r="102" spans="2:22" ht="12.75" customHeight="1" x14ac:dyDescent="0.2">
      <c r="B102" s="5" t="s">
        <v>727</v>
      </c>
      <c r="C102" s="118" t="s">
        <v>727</v>
      </c>
      <c r="D102" s="46" t="s">
        <v>1654</v>
      </c>
      <c r="E102" s="41"/>
      <c r="F102" s="134">
        <v>248.5</v>
      </c>
      <c r="G102" s="134">
        <v>327.7</v>
      </c>
      <c r="H102" s="134">
        <v>312.40000000000003</v>
      </c>
      <c r="I102" s="134">
        <v>316.7</v>
      </c>
      <c r="J102" s="134">
        <v>219.6</v>
      </c>
      <c r="K102" s="134">
        <v>388.7</v>
      </c>
      <c r="L102" s="134">
        <v>317</v>
      </c>
      <c r="M102" s="134">
        <v>139.5</v>
      </c>
      <c r="N102" s="134">
        <v>129</v>
      </c>
      <c r="O102" s="134">
        <v>93.7</v>
      </c>
      <c r="P102" s="134">
        <v>114.9</v>
      </c>
      <c r="Q102" s="134">
        <v>157.4</v>
      </c>
      <c r="R102" s="81"/>
      <c r="S102" s="109"/>
      <c r="T102" s="109"/>
      <c r="U102" s="109"/>
      <c r="V102" s="109"/>
    </row>
    <row r="103" spans="2:22" ht="12.75" customHeight="1" x14ac:dyDescent="0.2">
      <c r="B103" s="5" t="s">
        <v>726</v>
      </c>
      <c r="C103" s="118" t="s">
        <v>726</v>
      </c>
      <c r="D103" s="46" t="s">
        <v>1660</v>
      </c>
      <c r="E103" s="41"/>
      <c r="F103" s="134">
        <v>264.2</v>
      </c>
      <c r="G103" s="134">
        <v>343.2</v>
      </c>
      <c r="H103" s="134">
        <v>327.8</v>
      </c>
      <c r="I103" s="134">
        <v>332</v>
      </c>
      <c r="J103" s="134">
        <v>234.6</v>
      </c>
      <c r="K103" s="134">
        <v>403.6</v>
      </c>
      <c r="L103" s="134">
        <v>333</v>
      </c>
      <c r="M103" s="134">
        <v>155.6</v>
      </c>
      <c r="N103" s="134">
        <v>145.20000000000002</v>
      </c>
      <c r="O103" s="134">
        <v>109.7</v>
      </c>
      <c r="P103" s="134">
        <v>131.30000000000001</v>
      </c>
      <c r="Q103" s="134">
        <v>173.8</v>
      </c>
      <c r="R103" s="81"/>
      <c r="S103" s="109"/>
      <c r="T103" s="109"/>
      <c r="U103" s="109"/>
      <c r="V103" s="109"/>
    </row>
    <row r="104" spans="2:22" ht="12.75" customHeight="1" x14ac:dyDescent="0.2">
      <c r="B104" s="5" t="s">
        <v>725</v>
      </c>
      <c r="C104" s="118" t="s">
        <v>725</v>
      </c>
      <c r="D104" s="46" t="s">
        <v>1667</v>
      </c>
      <c r="E104" s="41"/>
      <c r="F104" s="134">
        <v>301.40000000000003</v>
      </c>
      <c r="G104" s="134" t="s">
        <v>1443</v>
      </c>
      <c r="H104" s="134">
        <v>365</v>
      </c>
      <c r="I104" s="134">
        <v>368.7</v>
      </c>
      <c r="J104" s="134">
        <v>271.3</v>
      </c>
      <c r="K104" s="134" t="s">
        <v>1443</v>
      </c>
      <c r="L104" s="134">
        <v>372.5</v>
      </c>
      <c r="M104" s="134">
        <v>198.5</v>
      </c>
      <c r="N104" s="134">
        <v>186.8</v>
      </c>
      <c r="O104" s="134" t="s">
        <v>1443</v>
      </c>
      <c r="P104" s="134">
        <v>172.70000000000002</v>
      </c>
      <c r="Q104" s="134">
        <v>213.20000000000002</v>
      </c>
      <c r="R104" s="81"/>
      <c r="S104" s="109"/>
      <c r="T104" s="109"/>
      <c r="U104" s="109"/>
      <c r="V104" s="109"/>
    </row>
    <row r="105" spans="2:22" ht="12.75" customHeight="1" x14ac:dyDescent="0.2">
      <c r="B105" s="5" t="s">
        <v>724</v>
      </c>
      <c r="C105" s="118" t="s">
        <v>993</v>
      </c>
      <c r="D105" s="46" t="s">
        <v>1919</v>
      </c>
      <c r="E105" s="41"/>
      <c r="F105" s="134" t="s">
        <v>1443</v>
      </c>
      <c r="G105" s="134" t="s">
        <v>1443</v>
      </c>
      <c r="H105" s="134" t="s">
        <v>1443</v>
      </c>
      <c r="I105" s="134" t="s">
        <v>1443</v>
      </c>
      <c r="J105" s="134" t="s">
        <v>1443</v>
      </c>
      <c r="K105" s="134" t="s">
        <v>1443</v>
      </c>
      <c r="L105" s="134" t="s">
        <v>1443</v>
      </c>
      <c r="M105" s="134" t="s">
        <v>1443</v>
      </c>
      <c r="N105" s="134" t="s">
        <v>1443</v>
      </c>
      <c r="O105" s="134" t="s">
        <v>1443</v>
      </c>
      <c r="P105" s="134" t="s">
        <v>1443</v>
      </c>
      <c r="Q105" s="134" t="s">
        <v>1443</v>
      </c>
      <c r="R105" s="21"/>
      <c r="S105" s="109"/>
      <c r="T105" s="109"/>
      <c r="U105" s="109"/>
      <c r="V105" s="109"/>
    </row>
    <row r="106" spans="2:22" ht="12.75" customHeight="1" x14ac:dyDescent="0.2">
      <c r="B106" s="5" t="s">
        <v>723</v>
      </c>
      <c r="C106" s="118" t="s">
        <v>994</v>
      </c>
      <c r="D106" s="46" t="s">
        <v>1785</v>
      </c>
      <c r="E106" s="41"/>
      <c r="F106" s="134" t="s">
        <v>1443</v>
      </c>
      <c r="G106" s="134" t="s">
        <v>1443</v>
      </c>
      <c r="H106" s="134" t="s">
        <v>1443</v>
      </c>
      <c r="I106" s="134" t="s">
        <v>1443</v>
      </c>
      <c r="J106" s="134" t="s">
        <v>1443</v>
      </c>
      <c r="K106" s="134" t="s">
        <v>1443</v>
      </c>
      <c r="L106" s="134" t="s">
        <v>1443</v>
      </c>
      <c r="M106" s="134" t="s">
        <v>1443</v>
      </c>
      <c r="N106" s="134" t="s">
        <v>1443</v>
      </c>
      <c r="O106" s="134" t="s">
        <v>1443</v>
      </c>
      <c r="P106" s="134" t="s">
        <v>1443</v>
      </c>
      <c r="Q106" s="134" t="s">
        <v>1443</v>
      </c>
      <c r="R106" s="21"/>
      <c r="S106" s="109"/>
      <c r="T106" s="109"/>
      <c r="U106" s="109"/>
      <c r="V106" s="109"/>
    </row>
    <row r="107" spans="2:22" ht="12.75" customHeight="1" x14ac:dyDescent="0.2">
      <c r="B107" s="5" t="s">
        <v>722</v>
      </c>
      <c r="C107" s="118" t="s">
        <v>722</v>
      </c>
      <c r="D107" s="46" t="s">
        <v>1612</v>
      </c>
      <c r="E107" s="41"/>
      <c r="F107" s="134" t="s">
        <v>1443</v>
      </c>
      <c r="G107" s="134">
        <v>-14.700000000000001</v>
      </c>
      <c r="H107" s="134" t="s">
        <v>1443</v>
      </c>
      <c r="I107" s="134" t="s">
        <v>1443</v>
      </c>
      <c r="J107" s="134" t="s">
        <v>1443</v>
      </c>
      <c r="K107" s="134">
        <v>45.800000000000004</v>
      </c>
      <c r="L107" s="134" t="s">
        <v>1443</v>
      </c>
      <c r="M107" s="134" t="s">
        <v>1443</v>
      </c>
      <c r="N107" s="134" t="s">
        <v>1443</v>
      </c>
      <c r="O107" s="134">
        <v>59.6</v>
      </c>
      <c r="P107" s="134" t="s">
        <v>1443</v>
      </c>
      <c r="Q107" s="134" t="s">
        <v>1443</v>
      </c>
      <c r="R107" s="21"/>
      <c r="S107" s="109"/>
      <c r="T107" s="109"/>
      <c r="U107" s="109"/>
      <c r="V107" s="109"/>
    </row>
    <row r="108" spans="2:22" ht="12.75" customHeight="1" x14ac:dyDescent="0.2">
      <c r="B108" s="5" t="s">
        <v>721</v>
      </c>
      <c r="C108" s="118" t="s">
        <v>721</v>
      </c>
      <c r="D108" s="46" t="s">
        <v>1613</v>
      </c>
      <c r="E108" s="41"/>
      <c r="F108" s="134" t="s">
        <v>1443</v>
      </c>
      <c r="G108" s="134">
        <v>96.600000000000009</v>
      </c>
      <c r="H108" s="134" t="s">
        <v>1443</v>
      </c>
      <c r="I108" s="134" t="s">
        <v>1443</v>
      </c>
      <c r="J108" s="134" t="s">
        <v>1443</v>
      </c>
      <c r="K108" s="134">
        <v>152.1</v>
      </c>
      <c r="L108" s="134" t="s">
        <v>1443</v>
      </c>
      <c r="M108" s="134" t="s">
        <v>1443</v>
      </c>
      <c r="N108" s="134" t="s">
        <v>1443</v>
      </c>
      <c r="O108" s="134">
        <v>113.9</v>
      </c>
      <c r="P108" s="134" t="s">
        <v>1443</v>
      </c>
      <c r="Q108" s="134" t="s">
        <v>1443</v>
      </c>
      <c r="R108" s="21"/>
      <c r="S108" s="109"/>
      <c r="T108" s="109"/>
      <c r="U108" s="109"/>
      <c r="V108" s="109"/>
    </row>
    <row r="109" spans="2:22" ht="12.75" customHeight="1" x14ac:dyDescent="0.2">
      <c r="B109" s="5" t="s">
        <v>720</v>
      </c>
      <c r="C109" s="118" t="s">
        <v>720</v>
      </c>
      <c r="D109" s="46" t="s">
        <v>1614</v>
      </c>
      <c r="E109" s="41"/>
      <c r="F109" s="134" t="s">
        <v>1443</v>
      </c>
      <c r="G109" s="134">
        <v>81.900000000000006</v>
      </c>
      <c r="H109" s="134" t="s">
        <v>1443</v>
      </c>
      <c r="I109" s="134" t="s">
        <v>1443</v>
      </c>
      <c r="J109" s="134" t="s">
        <v>1443</v>
      </c>
      <c r="K109" s="134">
        <v>197.9</v>
      </c>
      <c r="L109" s="134" t="s">
        <v>1443</v>
      </c>
      <c r="M109" s="134" t="s">
        <v>1443</v>
      </c>
      <c r="N109" s="134" t="s">
        <v>1443</v>
      </c>
      <c r="O109" s="134">
        <v>173.5</v>
      </c>
      <c r="P109" s="134" t="s">
        <v>1443</v>
      </c>
      <c r="Q109" s="134" t="s">
        <v>1443</v>
      </c>
      <c r="R109" s="21"/>
      <c r="S109" s="109"/>
      <c r="T109" s="109"/>
      <c r="U109" s="109"/>
      <c r="V109" s="109"/>
    </row>
    <row r="110" spans="2:22" ht="12.75" customHeight="1" x14ac:dyDescent="0.2">
      <c r="B110" s="5" t="s">
        <v>719</v>
      </c>
      <c r="C110" s="118" t="s">
        <v>719</v>
      </c>
      <c r="D110" s="46" t="s">
        <v>1636</v>
      </c>
      <c r="E110" s="41"/>
      <c r="F110" s="134" t="s">
        <v>1443</v>
      </c>
      <c r="G110" s="134">
        <v>17.7</v>
      </c>
      <c r="H110" s="134" t="s">
        <v>1443</v>
      </c>
      <c r="I110" s="134" t="s">
        <v>1443</v>
      </c>
      <c r="J110" s="134" t="s">
        <v>1443</v>
      </c>
      <c r="K110" s="134">
        <v>-25.3</v>
      </c>
      <c r="L110" s="134" t="s">
        <v>1443</v>
      </c>
      <c r="M110" s="134" t="s">
        <v>1443</v>
      </c>
      <c r="N110" s="134" t="s">
        <v>1443</v>
      </c>
      <c r="O110" s="134">
        <v>-80.8</v>
      </c>
      <c r="P110" s="134" t="s">
        <v>1443</v>
      </c>
      <c r="Q110" s="134" t="s">
        <v>1443</v>
      </c>
      <c r="R110" s="21"/>
      <c r="S110" s="109"/>
      <c r="T110" s="109"/>
      <c r="U110" s="109"/>
      <c r="V110" s="109"/>
    </row>
    <row r="111" spans="2:22" ht="12.75" customHeight="1" x14ac:dyDescent="0.2">
      <c r="B111" s="5" t="s">
        <v>718</v>
      </c>
      <c r="C111" s="118" t="s">
        <v>718</v>
      </c>
      <c r="D111" s="46" t="s">
        <v>1637</v>
      </c>
      <c r="E111" s="41"/>
      <c r="F111" s="134" t="s">
        <v>1443</v>
      </c>
      <c r="G111" s="134">
        <v>-7.1000000000000005</v>
      </c>
      <c r="H111" s="134" t="s">
        <v>1443</v>
      </c>
      <c r="I111" s="134" t="s">
        <v>1443</v>
      </c>
      <c r="J111" s="134" t="s">
        <v>1443</v>
      </c>
      <c r="K111" s="134">
        <v>-27.400000000000002</v>
      </c>
      <c r="L111" s="134" t="s">
        <v>1443</v>
      </c>
      <c r="M111" s="134" t="s">
        <v>1443</v>
      </c>
      <c r="N111" s="134" t="s">
        <v>1443</v>
      </c>
      <c r="O111" s="134">
        <v>-1212</v>
      </c>
      <c r="P111" s="134" t="s">
        <v>1443</v>
      </c>
      <c r="Q111" s="134" t="s">
        <v>1443</v>
      </c>
      <c r="R111" s="21"/>
      <c r="S111" s="109"/>
      <c r="T111" s="109"/>
      <c r="U111" s="109"/>
      <c r="V111" s="109"/>
    </row>
    <row r="112" spans="2:22" ht="12.75" customHeight="1" x14ac:dyDescent="0.2">
      <c r="B112" s="5" t="s">
        <v>717</v>
      </c>
      <c r="C112" s="118" t="s">
        <v>717</v>
      </c>
      <c r="D112" s="46" t="s">
        <v>1638</v>
      </c>
      <c r="E112" s="41"/>
      <c r="F112" s="134" t="s">
        <v>1443</v>
      </c>
      <c r="G112" s="134">
        <v>10.6</v>
      </c>
      <c r="H112" s="134" t="s">
        <v>1443</v>
      </c>
      <c r="I112" s="134" t="s">
        <v>1443</v>
      </c>
      <c r="J112" s="134" t="s">
        <v>1443</v>
      </c>
      <c r="K112" s="134">
        <v>-52.7</v>
      </c>
      <c r="L112" s="134" t="s">
        <v>1443</v>
      </c>
      <c r="M112" s="134" t="s">
        <v>1443</v>
      </c>
      <c r="N112" s="134" t="s">
        <v>1443</v>
      </c>
      <c r="O112" s="134">
        <v>-1292.8</v>
      </c>
      <c r="P112" s="134" t="s">
        <v>1443</v>
      </c>
      <c r="Q112" s="134" t="s">
        <v>1443</v>
      </c>
      <c r="R112" s="21"/>
      <c r="S112" s="109"/>
      <c r="T112" s="109"/>
      <c r="U112" s="109"/>
      <c r="V112" s="109"/>
    </row>
    <row r="113" spans="2:22" ht="12.75" customHeight="1" x14ac:dyDescent="0.2">
      <c r="B113" s="5" t="s">
        <v>716</v>
      </c>
      <c r="C113" s="118" t="s">
        <v>716</v>
      </c>
      <c r="D113" s="46" t="s">
        <v>1784</v>
      </c>
      <c r="E113" s="41"/>
      <c r="F113" s="134">
        <v>132.125</v>
      </c>
      <c r="G113" s="134">
        <v>190.08750000000001</v>
      </c>
      <c r="H113" s="134">
        <v>172.36250000000001</v>
      </c>
      <c r="I113" s="134">
        <v>178.875</v>
      </c>
      <c r="J113" s="134">
        <v>113.825</v>
      </c>
      <c r="K113" s="134">
        <v>208.4375</v>
      </c>
      <c r="L113" s="134">
        <v>166.1</v>
      </c>
      <c r="M113" s="134">
        <v>44.975000000000001</v>
      </c>
      <c r="N113" s="134">
        <v>40.450000000000003</v>
      </c>
      <c r="O113" s="134">
        <v>-21.775000000000002</v>
      </c>
      <c r="P113" s="134">
        <v>33.65</v>
      </c>
      <c r="Q113" s="134">
        <v>58.524999999999999</v>
      </c>
      <c r="R113" s="21"/>
      <c r="S113" s="109"/>
      <c r="T113" s="109"/>
      <c r="U113" s="109"/>
      <c r="V113" s="109"/>
    </row>
    <row r="114" spans="2:22" ht="12.75" customHeight="1" x14ac:dyDescent="0.2">
      <c r="B114" s="5" t="s">
        <v>715</v>
      </c>
      <c r="C114" s="118" t="s">
        <v>1417</v>
      </c>
      <c r="D114" s="46" t="s">
        <v>1573</v>
      </c>
      <c r="E114" s="41"/>
      <c r="F114" s="134" t="s">
        <v>1443</v>
      </c>
      <c r="G114" s="134" t="s">
        <v>1443</v>
      </c>
      <c r="H114" s="134" t="s">
        <v>1443</v>
      </c>
      <c r="I114" s="134" t="s">
        <v>1443</v>
      </c>
      <c r="J114" s="134" t="s">
        <v>1443</v>
      </c>
      <c r="K114" s="134" t="s">
        <v>1443</v>
      </c>
      <c r="L114" s="134" t="s">
        <v>1443</v>
      </c>
      <c r="M114" s="134" t="s">
        <v>1443</v>
      </c>
      <c r="N114" s="134" t="s">
        <v>1443</v>
      </c>
      <c r="O114" s="134" t="s">
        <v>1443</v>
      </c>
      <c r="P114" s="134" t="s">
        <v>1443</v>
      </c>
      <c r="Q114" s="134" t="s">
        <v>1443</v>
      </c>
      <c r="R114" s="21"/>
      <c r="S114" s="109"/>
      <c r="T114" s="109"/>
      <c r="U114" s="109"/>
      <c r="V114" s="109"/>
    </row>
    <row r="115" spans="2:22" ht="12.75" customHeight="1" x14ac:dyDescent="0.2">
      <c r="B115" s="5" t="s">
        <v>714</v>
      </c>
      <c r="C115" s="118" t="s">
        <v>995</v>
      </c>
      <c r="D115" s="46" t="s">
        <v>1721</v>
      </c>
      <c r="E115" s="41"/>
      <c r="F115" s="134" t="s">
        <v>1443</v>
      </c>
      <c r="G115" s="134" t="s">
        <v>1443</v>
      </c>
      <c r="H115" s="134" t="s">
        <v>1443</v>
      </c>
      <c r="I115" s="134" t="s">
        <v>1443</v>
      </c>
      <c r="J115" s="134" t="s">
        <v>1443</v>
      </c>
      <c r="K115" s="134" t="s">
        <v>1443</v>
      </c>
      <c r="L115" s="134" t="s">
        <v>1443</v>
      </c>
      <c r="M115" s="134" t="s">
        <v>1443</v>
      </c>
      <c r="N115" s="134" t="s">
        <v>1443</v>
      </c>
      <c r="O115" s="134" t="s">
        <v>1443</v>
      </c>
      <c r="P115" s="134" t="s">
        <v>1443</v>
      </c>
      <c r="Q115" s="134" t="s">
        <v>1443</v>
      </c>
      <c r="R115" s="21"/>
      <c r="S115" s="109"/>
      <c r="T115" s="109"/>
      <c r="U115" s="109"/>
      <c r="V115" s="109"/>
    </row>
    <row r="116" spans="2:22" ht="12.75" customHeight="1" x14ac:dyDescent="0.2">
      <c r="B116" s="5" t="s">
        <v>713</v>
      </c>
      <c r="C116" s="118" t="s">
        <v>713</v>
      </c>
      <c r="D116" s="46" t="s">
        <v>1794</v>
      </c>
      <c r="E116" s="41"/>
      <c r="F116" s="134">
        <v>1.7</v>
      </c>
      <c r="G116" s="134" t="s">
        <v>1443</v>
      </c>
      <c r="H116" s="134">
        <v>4.4000000000000004</v>
      </c>
      <c r="I116" s="134">
        <v>4.0999999999999996</v>
      </c>
      <c r="J116" s="134">
        <v>-1.5</v>
      </c>
      <c r="K116" s="134" t="s">
        <v>1443</v>
      </c>
      <c r="L116" s="134">
        <v>4.7</v>
      </c>
      <c r="M116" s="134">
        <v>4.6000000000000005</v>
      </c>
      <c r="N116" s="134">
        <v>4.5</v>
      </c>
      <c r="O116" s="134" t="s">
        <v>1443</v>
      </c>
      <c r="P116" s="134">
        <v>4.3</v>
      </c>
      <c r="Q116" s="134">
        <v>4.3</v>
      </c>
      <c r="R116" s="21"/>
      <c r="S116" s="109"/>
      <c r="T116" s="109"/>
      <c r="U116" s="109"/>
      <c r="V116" s="109"/>
    </row>
    <row r="117" spans="2:22" ht="12.75" customHeight="1" x14ac:dyDescent="0.2">
      <c r="B117" s="5" t="s">
        <v>712</v>
      </c>
      <c r="C117" s="118" t="s">
        <v>712</v>
      </c>
      <c r="D117" s="46" t="s">
        <v>1642</v>
      </c>
      <c r="E117" s="41"/>
      <c r="F117" s="134" t="s">
        <v>1443</v>
      </c>
      <c r="G117" s="134" t="s">
        <v>1443</v>
      </c>
      <c r="H117" s="134" t="s">
        <v>1443</v>
      </c>
      <c r="I117" s="134" t="s">
        <v>1443</v>
      </c>
      <c r="J117" s="134" t="s">
        <v>1443</v>
      </c>
      <c r="K117" s="134" t="s">
        <v>1443</v>
      </c>
      <c r="L117" s="134" t="s">
        <v>1443</v>
      </c>
      <c r="M117" s="134" t="s">
        <v>1443</v>
      </c>
      <c r="N117" s="134" t="s">
        <v>1443</v>
      </c>
      <c r="O117" s="134" t="s">
        <v>1443</v>
      </c>
      <c r="P117" s="134" t="s">
        <v>1443</v>
      </c>
      <c r="Q117" s="134" t="s">
        <v>1443</v>
      </c>
      <c r="R117" s="21"/>
      <c r="S117" s="109"/>
      <c r="T117" s="109"/>
      <c r="U117" s="109"/>
      <c r="V117" s="109"/>
    </row>
    <row r="118" spans="2:22" ht="12.75" customHeight="1" x14ac:dyDescent="0.2">
      <c r="B118" s="5" t="str">
        <f>"Standardized Distributable Cash "</f>
        <v xml:space="preserve">Standardized Distributable Cash </v>
      </c>
      <c r="C118" s="118" t="s">
        <v>1418</v>
      </c>
      <c r="D118" s="46" t="s">
        <v>1647</v>
      </c>
      <c r="E118" s="41"/>
      <c r="F118" s="134" t="s">
        <v>1443</v>
      </c>
      <c r="G118" s="134" t="s">
        <v>1443</v>
      </c>
      <c r="H118" s="134" t="s">
        <v>1443</v>
      </c>
      <c r="I118" s="134" t="s">
        <v>1443</v>
      </c>
      <c r="J118" s="134" t="s">
        <v>1443</v>
      </c>
      <c r="K118" s="134" t="s">
        <v>1443</v>
      </c>
      <c r="L118" s="134" t="s">
        <v>1443</v>
      </c>
      <c r="M118" s="134" t="s">
        <v>1443</v>
      </c>
      <c r="N118" s="134" t="s">
        <v>1443</v>
      </c>
      <c r="O118" s="134" t="s">
        <v>1443</v>
      </c>
      <c r="P118" s="134" t="s">
        <v>1443</v>
      </c>
      <c r="Q118" s="134" t="s">
        <v>1443</v>
      </c>
      <c r="R118" s="21"/>
      <c r="S118" s="109"/>
      <c r="T118" s="109"/>
      <c r="U118" s="109"/>
      <c r="V118" s="109"/>
    </row>
    <row r="119" spans="2:22" ht="12.75" customHeight="1" x14ac:dyDescent="0.2">
      <c r="B119" s="5" t="s">
        <v>840</v>
      </c>
      <c r="C119" s="118" t="s">
        <v>840</v>
      </c>
      <c r="D119" s="46" t="s">
        <v>1645</v>
      </c>
      <c r="E119" s="41"/>
      <c r="F119" s="134" t="s">
        <v>1443</v>
      </c>
      <c r="G119" s="134" t="s">
        <v>1443</v>
      </c>
      <c r="H119" s="134" t="s">
        <v>1443</v>
      </c>
      <c r="I119" s="134" t="s">
        <v>1443</v>
      </c>
      <c r="J119" s="134" t="s">
        <v>1443</v>
      </c>
      <c r="K119" s="134" t="s">
        <v>1443</v>
      </c>
      <c r="L119" s="134" t="s">
        <v>1443</v>
      </c>
      <c r="M119" s="134" t="s">
        <v>1443</v>
      </c>
      <c r="N119" s="134" t="s">
        <v>1443</v>
      </c>
      <c r="O119" s="134" t="s">
        <v>1443</v>
      </c>
      <c r="P119" s="134" t="s">
        <v>1443</v>
      </c>
      <c r="Q119" s="134" t="s">
        <v>1443</v>
      </c>
      <c r="R119" s="21"/>
      <c r="S119" s="109"/>
      <c r="T119" s="109"/>
      <c r="U119" s="109"/>
      <c r="V119" s="109"/>
    </row>
    <row r="120" spans="2:22" ht="12.75" customHeight="1" x14ac:dyDescent="0.2">
      <c r="B120" s="5" t="s">
        <v>841</v>
      </c>
      <c r="C120" s="118" t="s">
        <v>841</v>
      </c>
      <c r="D120" s="46" t="s">
        <v>1646</v>
      </c>
      <c r="E120" s="41"/>
      <c r="F120" s="134" t="s">
        <v>1443</v>
      </c>
      <c r="G120" s="134" t="s">
        <v>1443</v>
      </c>
      <c r="H120" s="134" t="s">
        <v>1443</v>
      </c>
      <c r="I120" s="134" t="s">
        <v>1443</v>
      </c>
      <c r="J120" s="134" t="s">
        <v>1443</v>
      </c>
      <c r="K120" s="134" t="s">
        <v>1443</v>
      </c>
      <c r="L120" s="134" t="s">
        <v>1443</v>
      </c>
      <c r="M120" s="134" t="s">
        <v>1443</v>
      </c>
      <c r="N120" s="134" t="s">
        <v>1443</v>
      </c>
      <c r="O120" s="134" t="s">
        <v>1443</v>
      </c>
      <c r="P120" s="134" t="s">
        <v>1443</v>
      </c>
      <c r="Q120" s="134" t="s">
        <v>1443</v>
      </c>
      <c r="R120" s="21"/>
      <c r="S120" s="109"/>
      <c r="T120" s="109"/>
      <c r="U120" s="109"/>
      <c r="V120" s="109"/>
    </row>
    <row r="121" spans="2:22" ht="12.75" customHeight="1" x14ac:dyDescent="0.2">
      <c r="B121" s="5" t="s">
        <v>1414</v>
      </c>
      <c r="C121" s="118" t="s">
        <v>1414</v>
      </c>
      <c r="D121" s="46" t="s">
        <v>1643</v>
      </c>
      <c r="E121" s="41"/>
      <c r="F121" s="140" t="s">
        <v>1443</v>
      </c>
      <c r="G121" s="140" t="s">
        <v>1443</v>
      </c>
      <c r="H121" s="140" t="s">
        <v>1443</v>
      </c>
      <c r="I121" s="140" t="s">
        <v>1443</v>
      </c>
      <c r="J121" s="140" t="s">
        <v>1443</v>
      </c>
      <c r="K121" s="140" t="s">
        <v>1443</v>
      </c>
      <c r="L121" s="140" t="s">
        <v>1443</v>
      </c>
      <c r="M121" s="140" t="s">
        <v>1443</v>
      </c>
      <c r="N121" s="140" t="s">
        <v>1443</v>
      </c>
      <c r="O121" s="140" t="s">
        <v>1443</v>
      </c>
      <c r="P121" s="140" t="s">
        <v>1443</v>
      </c>
      <c r="Q121" s="140" t="s">
        <v>1443</v>
      </c>
      <c r="R121" s="21"/>
      <c r="S121" s="91"/>
      <c r="T121" s="91"/>
      <c r="U121" s="91"/>
      <c r="V121" s="91"/>
    </row>
    <row r="122" spans="2:22" ht="12.75" customHeight="1" x14ac:dyDescent="0.2">
      <c r="B122" s="5" t="s">
        <v>711</v>
      </c>
      <c r="C122" s="118" t="s">
        <v>711</v>
      </c>
      <c r="D122" s="46" t="s">
        <v>1670</v>
      </c>
      <c r="E122" s="41"/>
      <c r="F122" s="140">
        <v>5.08</v>
      </c>
      <c r="G122" s="140">
        <v>7.0380000000000003</v>
      </c>
      <c r="H122" s="140">
        <v>15.718999999999999</v>
      </c>
      <c r="I122" s="140">
        <v>27.809000000000001</v>
      </c>
      <c r="J122" s="140">
        <v>21.114000000000001</v>
      </c>
      <c r="K122" s="140">
        <v>3.51</v>
      </c>
      <c r="L122" s="140">
        <v>16.539000000000001</v>
      </c>
      <c r="M122" s="140">
        <v>14.58</v>
      </c>
      <c r="N122" s="140">
        <v>85.625</v>
      </c>
      <c r="O122" s="140">
        <v>2758.0650000000001</v>
      </c>
      <c r="P122" s="140" t="s">
        <v>1444</v>
      </c>
      <c r="Q122" s="140">
        <v>5518.1819999999998</v>
      </c>
      <c r="R122" s="21"/>
      <c r="S122" s="91"/>
      <c r="T122" s="91"/>
      <c r="U122" s="91"/>
      <c r="V122" s="91"/>
    </row>
    <row r="123" spans="2:22" ht="12.75" customHeight="1" x14ac:dyDescent="0.2">
      <c r="B123" s="5" t="s">
        <v>710</v>
      </c>
      <c r="C123" s="118" t="s">
        <v>710</v>
      </c>
      <c r="D123" s="46" t="s">
        <v>1816</v>
      </c>
      <c r="E123" s="41"/>
      <c r="F123" s="140">
        <v>38.76</v>
      </c>
      <c r="G123" s="140">
        <v>31.986999999999998</v>
      </c>
      <c r="H123" s="140">
        <v>32.207999999999998</v>
      </c>
      <c r="I123" s="140">
        <v>49.850999999999999</v>
      </c>
      <c r="J123" s="140">
        <v>55.289000000000001</v>
      </c>
      <c r="K123" s="140">
        <v>24.425000000000001</v>
      </c>
      <c r="L123" s="140">
        <v>37.091999999999999</v>
      </c>
      <c r="M123" s="140">
        <v>238.36099999999999</v>
      </c>
      <c r="N123" s="140" t="s">
        <v>1444</v>
      </c>
      <c r="O123" s="140">
        <v>6.609</v>
      </c>
      <c r="P123" s="140" t="s">
        <v>1444</v>
      </c>
      <c r="Q123" s="140">
        <v>24.635999999999999</v>
      </c>
      <c r="R123" s="21"/>
      <c r="S123" s="91"/>
      <c r="T123" s="91"/>
      <c r="U123" s="91"/>
      <c r="V123" s="91"/>
    </row>
    <row r="124" spans="2:22" ht="12.75" customHeight="1" x14ac:dyDescent="0.2">
      <c r="B124" s="5" t="s">
        <v>510</v>
      </c>
      <c r="C124" s="118" t="s">
        <v>1427</v>
      </c>
      <c r="D124" s="46" t="s">
        <v>1615</v>
      </c>
      <c r="E124" s="41"/>
      <c r="F124" s="33" t="s">
        <v>36</v>
      </c>
      <c r="G124" s="33" t="s">
        <v>36</v>
      </c>
      <c r="H124" s="33" t="s">
        <v>36</v>
      </c>
      <c r="I124" s="33" t="s">
        <v>36</v>
      </c>
      <c r="J124" s="33" t="s">
        <v>36</v>
      </c>
      <c r="K124" s="33" t="s">
        <v>36</v>
      </c>
      <c r="L124" s="33" t="s">
        <v>36</v>
      </c>
      <c r="M124" s="33" t="s">
        <v>36</v>
      </c>
      <c r="N124" s="33" t="s">
        <v>36</v>
      </c>
      <c r="O124" s="33" t="s">
        <v>36</v>
      </c>
      <c r="P124" s="33" t="s">
        <v>36</v>
      </c>
      <c r="Q124" s="33" t="s">
        <v>36</v>
      </c>
      <c r="R124" s="21"/>
    </row>
    <row r="125" spans="2:22" ht="12.75" customHeight="1" x14ac:dyDescent="0.2">
      <c r="B125" s="5" t="s">
        <v>509</v>
      </c>
      <c r="C125" s="118" t="s">
        <v>1949</v>
      </c>
      <c r="D125" s="46" t="s">
        <v>1842</v>
      </c>
      <c r="E125" s="41"/>
      <c r="F125" s="33" t="s">
        <v>1445</v>
      </c>
      <c r="G125" s="33" t="s">
        <v>1445</v>
      </c>
      <c r="H125" s="33" t="s">
        <v>1450</v>
      </c>
      <c r="I125" s="33" t="s">
        <v>1450</v>
      </c>
      <c r="J125" s="33" t="s">
        <v>1450</v>
      </c>
      <c r="K125" s="33" t="s">
        <v>1450</v>
      </c>
      <c r="L125" s="33" t="s">
        <v>1450</v>
      </c>
      <c r="M125" s="33" t="s">
        <v>1450</v>
      </c>
      <c r="N125" s="33" t="s">
        <v>1983</v>
      </c>
      <c r="O125" s="33" t="s">
        <v>1983</v>
      </c>
      <c r="P125" s="33" t="s">
        <v>1983</v>
      </c>
      <c r="Q125" s="33" t="s">
        <v>1983</v>
      </c>
      <c r="R125" s="21"/>
    </row>
    <row r="126" spans="2:22" ht="30.6" x14ac:dyDescent="0.2">
      <c r="B126" s="5" t="s">
        <v>508</v>
      </c>
      <c r="C126" s="118" t="s">
        <v>1950</v>
      </c>
      <c r="D126" s="46" t="s">
        <v>1561</v>
      </c>
      <c r="E126" s="41"/>
      <c r="F126" s="133" t="s">
        <v>1446</v>
      </c>
      <c r="G126" s="133" t="s">
        <v>1998</v>
      </c>
      <c r="H126" s="133" t="s">
        <v>1446</v>
      </c>
      <c r="I126" s="133" t="s">
        <v>1446</v>
      </c>
      <c r="J126" s="133" t="s">
        <v>1446</v>
      </c>
      <c r="K126" s="133" t="s">
        <v>1998</v>
      </c>
      <c r="L126" s="133" t="s">
        <v>1446</v>
      </c>
      <c r="M126" s="133" t="s">
        <v>1446</v>
      </c>
      <c r="N126" s="133" t="s">
        <v>1446</v>
      </c>
      <c r="O126" s="133" t="s">
        <v>1998</v>
      </c>
      <c r="P126" s="133" t="s">
        <v>1446</v>
      </c>
      <c r="Q126" s="133" t="s">
        <v>1446</v>
      </c>
      <c r="R126" s="21"/>
    </row>
    <row r="127" spans="2:22" ht="12.75" customHeight="1" x14ac:dyDescent="0.2">
      <c r="B127" s="23"/>
      <c r="C127" s="118" t="s">
        <v>192</v>
      </c>
      <c r="D127" s="46" t="s">
        <v>192</v>
      </c>
      <c r="E127" s="41"/>
      <c r="F127" s="50"/>
      <c r="G127" s="50"/>
      <c r="H127" s="50"/>
      <c r="I127" s="50"/>
      <c r="J127" s="50"/>
      <c r="K127" s="50"/>
      <c r="L127" s="50"/>
      <c r="M127" s="50"/>
      <c r="N127" s="50"/>
      <c r="O127" s="50"/>
      <c r="P127" s="50"/>
      <c r="Q127" s="50"/>
      <c r="R127" s="21"/>
    </row>
    <row r="128" spans="2:22" ht="12.75" customHeight="1" x14ac:dyDescent="0.2">
      <c r="B128" s="11"/>
      <c r="C128" s="120" t="s">
        <v>192</v>
      </c>
      <c r="D128" s="46" t="s">
        <v>192</v>
      </c>
      <c r="E128" s="41"/>
      <c r="F128" s="16"/>
      <c r="G128" s="24"/>
      <c r="H128" s="228"/>
      <c r="I128" s="228"/>
      <c r="J128" s="228"/>
      <c r="K128" s="228"/>
      <c r="L128" s="228"/>
      <c r="M128" s="228"/>
      <c r="N128" s="228"/>
      <c r="O128" s="228"/>
      <c r="P128" s="228"/>
      <c r="Q128" s="228"/>
    </row>
    <row r="129" spans="2:22" ht="12.75" customHeight="1" x14ac:dyDescent="0.2">
      <c r="B129" s="5" t="s">
        <v>709</v>
      </c>
      <c r="C129" s="118" t="s">
        <v>709</v>
      </c>
      <c r="D129" s="46" t="s">
        <v>1525</v>
      </c>
      <c r="E129" s="41"/>
      <c r="F129" s="134" t="s">
        <v>1443</v>
      </c>
      <c r="G129" s="134" t="s">
        <v>1443</v>
      </c>
      <c r="H129" s="134" t="s">
        <v>1443</v>
      </c>
      <c r="I129" s="134" t="s">
        <v>1443</v>
      </c>
      <c r="J129" s="134" t="s">
        <v>1443</v>
      </c>
      <c r="K129" s="134" t="s">
        <v>1443</v>
      </c>
      <c r="L129" s="134" t="s">
        <v>1443</v>
      </c>
      <c r="M129" s="134" t="s">
        <v>1443</v>
      </c>
      <c r="N129" s="134" t="s">
        <v>1443</v>
      </c>
      <c r="O129" s="134" t="s">
        <v>1443</v>
      </c>
      <c r="P129" s="134" t="s">
        <v>1443</v>
      </c>
      <c r="Q129" s="134" t="s">
        <v>1443</v>
      </c>
      <c r="R129" s="21"/>
      <c r="S129" s="109"/>
      <c r="T129" s="109"/>
      <c r="U129" s="109"/>
      <c r="V129" s="109"/>
    </row>
    <row r="130" spans="2:22" ht="12.75" customHeight="1" x14ac:dyDescent="0.2">
      <c r="B130" s="5" t="s">
        <v>708</v>
      </c>
      <c r="C130" s="118" t="s">
        <v>708</v>
      </c>
      <c r="D130" s="46" t="s">
        <v>1755</v>
      </c>
      <c r="E130" s="41"/>
      <c r="F130" s="134" t="s">
        <v>1443</v>
      </c>
      <c r="G130" s="134" t="s">
        <v>1443</v>
      </c>
      <c r="H130" s="134" t="s">
        <v>1443</v>
      </c>
      <c r="I130" s="134" t="s">
        <v>1443</v>
      </c>
      <c r="J130" s="134" t="s">
        <v>1443</v>
      </c>
      <c r="K130" s="134" t="s">
        <v>1443</v>
      </c>
      <c r="L130" s="134" t="s">
        <v>1443</v>
      </c>
      <c r="M130" s="134" t="s">
        <v>1443</v>
      </c>
      <c r="N130" s="134" t="s">
        <v>1443</v>
      </c>
      <c r="O130" s="134" t="s">
        <v>1443</v>
      </c>
      <c r="P130" s="134" t="s">
        <v>1443</v>
      </c>
      <c r="Q130" s="134" t="s">
        <v>1443</v>
      </c>
      <c r="R130" s="21"/>
      <c r="S130" s="109"/>
      <c r="T130" s="109"/>
      <c r="U130" s="109"/>
      <c r="V130" s="109"/>
    </row>
    <row r="131" spans="2:22" ht="12.75" customHeight="1" x14ac:dyDescent="0.2">
      <c r="B131" s="5" t="s">
        <v>707</v>
      </c>
      <c r="C131" s="118" t="s">
        <v>996</v>
      </c>
      <c r="D131" s="46" t="s">
        <v>1857</v>
      </c>
      <c r="E131" s="41"/>
      <c r="F131" s="134" t="s">
        <v>1443</v>
      </c>
      <c r="G131" s="134" t="s">
        <v>1443</v>
      </c>
      <c r="H131" s="134" t="s">
        <v>1443</v>
      </c>
      <c r="I131" s="134" t="s">
        <v>1443</v>
      </c>
      <c r="J131" s="134" t="s">
        <v>1443</v>
      </c>
      <c r="K131" s="134" t="s">
        <v>1443</v>
      </c>
      <c r="L131" s="134" t="s">
        <v>1443</v>
      </c>
      <c r="M131" s="134" t="s">
        <v>1443</v>
      </c>
      <c r="N131" s="134" t="s">
        <v>1443</v>
      </c>
      <c r="O131" s="134" t="s">
        <v>1443</v>
      </c>
      <c r="P131" s="134" t="s">
        <v>1443</v>
      </c>
      <c r="Q131" s="134" t="s">
        <v>1443</v>
      </c>
      <c r="R131" s="21"/>
      <c r="S131" s="109"/>
      <c r="T131" s="109"/>
      <c r="U131" s="109"/>
      <c r="V131" s="109"/>
    </row>
    <row r="132" spans="2:22" ht="12.75" customHeight="1" x14ac:dyDescent="0.2">
      <c r="B132" s="5" t="s">
        <v>706</v>
      </c>
      <c r="C132" s="122" t="s">
        <v>706</v>
      </c>
      <c r="D132" s="46" t="s">
        <v>1693</v>
      </c>
      <c r="E132" s="41"/>
      <c r="F132" s="134" t="s">
        <v>1443</v>
      </c>
      <c r="G132" s="134" t="s">
        <v>1443</v>
      </c>
      <c r="H132" s="134" t="s">
        <v>1443</v>
      </c>
      <c r="I132" s="134" t="s">
        <v>1443</v>
      </c>
      <c r="J132" s="134" t="s">
        <v>1443</v>
      </c>
      <c r="K132" s="134" t="s">
        <v>1443</v>
      </c>
      <c r="L132" s="134" t="s">
        <v>1443</v>
      </c>
      <c r="M132" s="134" t="s">
        <v>1443</v>
      </c>
      <c r="N132" s="134" t="s">
        <v>1443</v>
      </c>
      <c r="O132" s="134" t="s">
        <v>1443</v>
      </c>
      <c r="P132" s="134" t="s">
        <v>1443</v>
      </c>
      <c r="Q132" s="134" t="s">
        <v>1443</v>
      </c>
      <c r="R132" s="21"/>
      <c r="S132" s="109"/>
      <c r="T132" s="109"/>
      <c r="U132" s="109"/>
      <c r="V132" s="109"/>
    </row>
    <row r="133" spans="2:22" ht="12.75" customHeight="1" x14ac:dyDescent="0.2">
      <c r="B133" s="5" t="s">
        <v>705</v>
      </c>
      <c r="C133" s="122" t="s">
        <v>997</v>
      </c>
      <c r="D133" s="46" t="s">
        <v>1837</v>
      </c>
      <c r="E133" s="41"/>
      <c r="F133" s="134">
        <v>79.5</v>
      </c>
      <c r="G133" s="134">
        <v>85.3</v>
      </c>
      <c r="H133" s="134">
        <v>71.8</v>
      </c>
      <c r="I133" s="134">
        <v>79.5</v>
      </c>
      <c r="J133" s="134">
        <v>78.5</v>
      </c>
      <c r="K133" s="134">
        <v>84.4</v>
      </c>
      <c r="L133" s="134">
        <v>78.400000000000006</v>
      </c>
      <c r="M133" s="134">
        <v>87.7</v>
      </c>
      <c r="N133" s="134">
        <v>80.900000000000006</v>
      </c>
      <c r="O133" s="134">
        <v>81.8</v>
      </c>
      <c r="P133" s="134">
        <v>60.9</v>
      </c>
      <c r="Q133" s="134">
        <v>75.900000000000006</v>
      </c>
      <c r="R133" s="21"/>
      <c r="S133" s="109"/>
      <c r="T133" s="109"/>
      <c r="U133" s="109"/>
      <c r="V133" s="109"/>
    </row>
    <row r="134" spans="2:22" ht="12.75" customHeight="1" x14ac:dyDescent="0.2">
      <c r="B134" s="5" t="s">
        <v>704</v>
      </c>
      <c r="C134" s="122" t="s">
        <v>704</v>
      </c>
      <c r="D134" s="46" t="s">
        <v>1776</v>
      </c>
      <c r="E134" s="41"/>
      <c r="F134" s="134">
        <v>9.5</v>
      </c>
      <c r="G134" s="134" t="s">
        <v>1443</v>
      </c>
      <c r="H134" s="134">
        <v>10.200000000000001</v>
      </c>
      <c r="I134" s="134">
        <v>9.2000000000000011</v>
      </c>
      <c r="J134" s="134">
        <v>10.3</v>
      </c>
      <c r="K134" s="134" t="s">
        <v>1443</v>
      </c>
      <c r="L134" s="134">
        <v>10.8</v>
      </c>
      <c r="M134" s="134">
        <v>10.9</v>
      </c>
      <c r="N134" s="134">
        <v>12.200000000000001</v>
      </c>
      <c r="O134" s="134" t="s">
        <v>1443</v>
      </c>
      <c r="P134" s="134">
        <v>12.1</v>
      </c>
      <c r="Q134" s="134">
        <v>11.5</v>
      </c>
      <c r="R134" s="21"/>
      <c r="S134" s="109"/>
      <c r="T134" s="109"/>
      <c r="U134" s="109"/>
      <c r="V134" s="109"/>
    </row>
    <row r="135" spans="2:22" ht="12.75" customHeight="1" x14ac:dyDescent="0.2">
      <c r="B135" s="5" t="s">
        <v>703</v>
      </c>
      <c r="C135" s="122" t="s">
        <v>998</v>
      </c>
      <c r="D135" s="46" t="s">
        <v>1676</v>
      </c>
      <c r="E135" s="41"/>
      <c r="F135" s="134" t="s">
        <v>1443</v>
      </c>
      <c r="G135" s="134" t="s">
        <v>1443</v>
      </c>
      <c r="H135" s="134" t="s">
        <v>1443</v>
      </c>
      <c r="I135" s="134" t="s">
        <v>1443</v>
      </c>
      <c r="J135" s="134" t="s">
        <v>1443</v>
      </c>
      <c r="K135" s="134" t="s">
        <v>1443</v>
      </c>
      <c r="L135" s="134" t="s">
        <v>1443</v>
      </c>
      <c r="M135" s="134" t="s">
        <v>1443</v>
      </c>
      <c r="N135" s="134" t="s">
        <v>1443</v>
      </c>
      <c r="O135" s="134" t="s">
        <v>1443</v>
      </c>
      <c r="P135" s="134" t="s">
        <v>1443</v>
      </c>
      <c r="Q135" s="134" t="s">
        <v>1443</v>
      </c>
      <c r="R135" s="21"/>
      <c r="S135" s="109"/>
      <c r="T135" s="109"/>
      <c r="U135" s="109"/>
      <c r="V135" s="109"/>
    </row>
    <row r="136" spans="2:22" ht="12.75" customHeight="1" x14ac:dyDescent="0.2">
      <c r="B136" s="5" t="s">
        <v>702</v>
      </c>
      <c r="C136" s="122" t="s">
        <v>702</v>
      </c>
      <c r="D136" s="46" t="s">
        <v>1754</v>
      </c>
      <c r="E136" s="41"/>
      <c r="F136" s="134" t="s">
        <v>1443</v>
      </c>
      <c r="G136" s="134" t="s">
        <v>1443</v>
      </c>
      <c r="H136" s="134" t="s">
        <v>1443</v>
      </c>
      <c r="I136" s="134" t="s">
        <v>1443</v>
      </c>
      <c r="J136" s="134" t="s">
        <v>1443</v>
      </c>
      <c r="K136" s="134" t="s">
        <v>1443</v>
      </c>
      <c r="L136" s="134" t="s">
        <v>1443</v>
      </c>
      <c r="M136" s="134" t="s">
        <v>1443</v>
      </c>
      <c r="N136" s="134" t="s">
        <v>1443</v>
      </c>
      <c r="O136" s="134" t="s">
        <v>1443</v>
      </c>
      <c r="P136" s="134" t="s">
        <v>1443</v>
      </c>
      <c r="Q136" s="134" t="s">
        <v>1443</v>
      </c>
      <c r="R136" s="21"/>
      <c r="S136" s="109"/>
      <c r="T136" s="109"/>
      <c r="U136" s="109"/>
      <c r="V136" s="109"/>
    </row>
    <row r="137" spans="2:22" ht="12.75" customHeight="1" x14ac:dyDescent="0.2">
      <c r="B137" s="5" t="s">
        <v>701</v>
      </c>
      <c r="C137" s="122" t="s">
        <v>999</v>
      </c>
      <c r="D137" s="46" t="s">
        <v>1713</v>
      </c>
      <c r="E137" s="41"/>
      <c r="F137" s="134" t="s">
        <v>1443</v>
      </c>
      <c r="G137" s="134" t="s">
        <v>1443</v>
      </c>
      <c r="H137" s="134" t="s">
        <v>1443</v>
      </c>
      <c r="I137" s="134" t="s">
        <v>1443</v>
      </c>
      <c r="J137" s="134" t="s">
        <v>1443</v>
      </c>
      <c r="K137" s="134" t="s">
        <v>1443</v>
      </c>
      <c r="L137" s="134" t="s">
        <v>1443</v>
      </c>
      <c r="M137" s="134" t="s">
        <v>1443</v>
      </c>
      <c r="N137" s="134" t="s">
        <v>1443</v>
      </c>
      <c r="O137" s="134" t="s">
        <v>1443</v>
      </c>
      <c r="P137" s="134" t="s">
        <v>1443</v>
      </c>
      <c r="Q137" s="134" t="s">
        <v>1443</v>
      </c>
      <c r="R137" s="21"/>
      <c r="S137" s="109"/>
      <c r="T137" s="109"/>
      <c r="U137" s="109"/>
      <c r="V137" s="109"/>
    </row>
    <row r="138" spans="2:22" ht="12.75" customHeight="1" x14ac:dyDescent="0.2">
      <c r="B138" s="5" t="s">
        <v>700</v>
      </c>
      <c r="C138" s="122" t="s">
        <v>700</v>
      </c>
      <c r="D138" s="46" t="s">
        <v>1712</v>
      </c>
      <c r="E138" s="41"/>
      <c r="F138" s="134" t="s">
        <v>1443</v>
      </c>
      <c r="G138" s="134" t="s">
        <v>1443</v>
      </c>
      <c r="H138" s="134" t="s">
        <v>1443</v>
      </c>
      <c r="I138" s="134" t="s">
        <v>1443</v>
      </c>
      <c r="J138" s="134" t="s">
        <v>1443</v>
      </c>
      <c r="K138" s="134" t="s">
        <v>1443</v>
      </c>
      <c r="L138" s="134" t="s">
        <v>1443</v>
      </c>
      <c r="M138" s="134" t="s">
        <v>1443</v>
      </c>
      <c r="N138" s="134" t="s">
        <v>1443</v>
      </c>
      <c r="O138" s="134" t="s">
        <v>1443</v>
      </c>
      <c r="P138" s="134" t="s">
        <v>1443</v>
      </c>
      <c r="Q138" s="134" t="s">
        <v>1443</v>
      </c>
      <c r="R138" s="21"/>
      <c r="S138" s="109"/>
      <c r="T138" s="109"/>
      <c r="U138" s="109"/>
      <c r="V138" s="109"/>
    </row>
    <row r="139" spans="2:22" ht="12.75" customHeight="1" x14ac:dyDescent="0.2">
      <c r="B139" s="5" t="s">
        <v>699</v>
      </c>
      <c r="C139" s="122" t="s">
        <v>699</v>
      </c>
      <c r="D139" s="46" t="s">
        <v>1872</v>
      </c>
      <c r="E139" s="41"/>
      <c r="F139" s="134" t="s">
        <v>1443</v>
      </c>
      <c r="G139" s="134" t="s">
        <v>1443</v>
      </c>
      <c r="H139" s="134" t="s">
        <v>1443</v>
      </c>
      <c r="I139" s="134" t="s">
        <v>1443</v>
      </c>
      <c r="J139" s="134" t="s">
        <v>1443</v>
      </c>
      <c r="K139" s="134" t="s">
        <v>1443</v>
      </c>
      <c r="L139" s="134" t="s">
        <v>1443</v>
      </c>
      <c r="M139" s="134" t="s">
        <v>1443</v>
      </c>
      <c r="N139" s="134" t="s">
        <v>1443</v>
      </c>
      <c r="O139" s="134" t="s">
        <v>1443</v>
      </c>
      <c r="P139" s="134" t="s">
        <v>1443</v>
      </c>
      <c r="Q139" s="134" t="s">
        <v>1443</v>
      </c>
      <c r="R139" s="21"/>
      <c r="S139" s="109"/>
      <c r="T139" s="109"/>
      <c r="U139" s="109"/>
      <c r="V139" s="109"/>
    </row>
    <row r="140" spans="2:22" ht="12.75" customHeight="1" x14ac:dyDescent="0.2">
      <c r="B140" s="5" t="s">
        <v>698</v>
      </c>
      <c r="C140" s="122" t="s">
        <v>1000</v>
      </c>
      <c r="D140" s="46" t="s">
        <v>1879</v>
      </c>
      <c r="E140" s="41"/>
      <c r="F140" s="134" t="s">
        <v>1443</v>
      </c>
      <c r="G140" s="134" t="s">
        <v>1443</v>
      </c>
      <c r="H140" s="134" t="s">
        <v>1443</v>
      </c>
      <c r="I140" s="134" t="s">
        <v>1443</v>
      </c>
      <c r="J140" s="134" t="s">
        <v>1443</v>
      </c>
      <c r="K140" s="134" t="s">
        <v>1443</v>
      </c>
      <c r="L140" s="134" t="s">
        <v>1443</v>
      </c>
      <c r="M140" s="134" t="s">
        <v>1443</v>
      </c>
      <c r="N140" s="134" t="s">
        <v>1443</v>
      </c>
      <c r="O140" s="134" t="s">
        <v>1443</v>
      </c>
      <c r="P140" s="134" t="s">
        <v>1443</v>
      </c>
      <c r="Q140" s="134" t="s">
        <v>1443</v>
      </c>
      <c r="R140" s="21"/>
      <c r="S140" s="109"/>
      <c r="T140" s="109"/>
      <c r="U140" s="109"/>
      <c r="V140" s="109"/>
    </row>
    <row r="141" spans="2:22" ht="12.75" customHeight="1" x14ac:dyDescent="0.2">
      <c r="B141" s="5" t="s">
        <v>697</v>
      </c>
      <c r="C141" s="122" t="s">
        <v>1001</v>
      </c>
      <c r="D141" s="46" t="s">
        <v>1881</v>
      </c>
      <c r="E141" s="41"/>
      <c r="F141" s="134" t="s">
        <v>1443</v>
      </c>
      <c r="G141" s="134" t="s">
        <v>1443</v>
      </c>
      <c r="H141" s="134" t="s">
        <v>1443</v>
      </c>
      <c r="I141" s="134" t="s">
        <v>1443</v>
      </c>
      <c r="J141" s="134" t="s">
        <v>1443</v>
      </c>
      <c r="K141" s="134" t="s">
        <v>1443</v>
      </c>
      <c r="L141" s="134" t="s">
        <v>1443</v>
      </c>
      <c r="M141" s="134" t="s">
        <v>1443</v>
      </c>
      <c r="N141" s="134" t="s">
        <v>1443</v>
      </c>
      <c r="O141" s="134" t="s">
        <v>1443</v>
      </c>
      <c r="P141" s="134" t="s">
        <v>1443</v>
      </c>
      <c r="Q141" s="134" t="s">
        <v>1443</v>
      </c>
      <c r="R141" s="21"/>
      <c r="S141" s="109"/>
      <c r="T141" s="109"/>
      <c r="U141" s="109"/>
      <c r="V141" s="109"/>
    </row>
    <row r="142" spans="2:22" ht="12.75" customHeight="1" x14ac:dyDescent="0.2">
      <c r="B142" s="5" t="s">
        <v>696</v>
      </c>
      <c r="C142" s="122" t="s">
        <v>1002</v>
      </c>
      <c r="D142" s="46" t="s">
        <v>1877</v>
      </c>
      <c r="E142" s="41"/>
      <c r="F142" s="134" t="s">
        <v>1443</v>
      </c>
      <c r="G142" s="134" t="s">
        <v>1443</v>
      </c>
      <c r="H142" s="134" t="s">
        <v>1443</v>
      </c>
      <c r="I142" s="134" t="s">
        <v>1443</v>
      </c>
      <c r="J142" s="134" t="s">
        <v>1443</v>
      </c>
      <c r="K142" s="134" t="s">
        <v>1443</v>
      </c>
      <c r="L142" s="134" t="s">
        <v>1443</v>
      </c>
      <c r="M142" s="134" t="s">
        <v>1443</v>
      </c>
      <c r="N142" s="134" t="s">
        <v>1443</v>
      </c>
      <c r="O142" s="134" t="s">
        <v>1443</v>
      </c>
      <c r="P142" s="134" t="s">
        <v>1443</v>
      </c>
      <c r="Q142" s="134" t="s">
        <v>1443</v>
      </c>
      <c r="R142" s="21"/>
      <c r="S142" s="109"/>
      <c r="T142" s="109"/>
      <c r="U142" s="109"/>
      <c r="V142" s="109"/>
    </row>
    <row r="143" spans="2:22" ht="12.75" customHeight="1" x14ac:dyDescent="0.2">
      <c r="B143" s="5" t="s">
        <v>695</v>
      </c>
      <c r="C143" s="122" t="s">
        <v>1003</v>
      </c>
      <c r="D143" s="46" t="s">
        <v>1880</v>
      </c>
      <c r="E143" s="41"/>
      <c r="F143" s="134" t="s">
        <v>1443</v>
      </c>
      <c r="G143" s="134">
        <v>17.8</v>
      </c>
      <c r="H143" s="134" t="s">
        <v>1443</v>
      </c>
      <c r="I143" s="134" t="s">
        <v>1443</v>
      </c>
      <c r="J143" s="134" t="s">
        <v>1443</v>
      </c>
      <c r="K143" s="134">
        <v>24.2</v>
      </c>
      <c r="L143" s="134" t="s">
        <v>1443</v>
      </c>
      <c r="M143" s="134" t="s">
        <v>1443</v>
      </c>
      <c r="N143" s="134" t="s">
        <v>1443</v>
      </c>
      <c r="O143" s="134">
        <v>25.900000000000002</v>
      </c>
      <c r="P143" s="134" t="s">
        <v>1443</v>
      </c>
      <c r="Q143" s="134" t="s">
        <v>1443</v>
      </c>
      <c r="R143" s="21"/>
      <c r="S143" s="109"/>
      <c r="T143" s="109"/>
      <c r="U143" s="109"/>
      <c r="V143" s="109"/>
    </row>
    <row r="144" spans="2:22" ht="12.75" customHeight="1" x14ac:dyDescent="0.2">
      <c r="B144" s="5" t="s">
        <v>694</v>
      </c>
      <c r="C144" s="122" t="s">
        <v>694</v>
      </c>
      <c r="D144" s="46" t="s">
        <v>1876</v>
      </c>
      <c r="E144" s="41"/>
      <c r="F144" s="134" t="s">
        <v>1443</v>
      </c>
      <c r="G144" s="134" t="s">
        <v>1443</v>
      </c>
      <c r="H144" s="134" t="s">
        <v>1443</v>
      </c>
      <c r="I144" s="134" t="s">
        <v>1443</v>
      </c>
      <c r="J144" s="134" t="s">
        <v>1443</v>
      </c>
      <c r="K144" s="134" t="s">
        <v>1443</v>
      </c>
      <c r="L144" s="134" t="s">
        <v>1443</v>
      </c>
      <c r="M144" s="134" t="s">
        <v>1443</v>
      </c>
      <c r="N144" s="134" t="s">
        <v>1443</v>
      </c>
      <c r="O144" s="134" t="s">
        <v>1443</v>
      </c>
      <c r="P144" s="134" t="s">
        <v>1443</v>
      </c>
      <c r="Q144" s="134" t="s">
        <v>1443</v>
      </c>
      <c r="R144" s="21"/>
      <c r="S144" s="109"/>
      <c r="T144" s="109"/>
      <c r="U144" s="109"/>
      <c r="V144" s="109"/>
    </row>
    <row r="145" spans="2:22" ht="12.75" customHeight="1" x14ac:dyDescent="0.2">
      <c r="B145" s="5" t="s">
        <v>693</v>
      </c>
      <c r="C145" s="122" t="s">
        <v>693</v>
      </c>
      <c r="D145" s="46" t="s">
        <v>1878</v>
      </c>
      <c r="E145" s="41"/>
      <c r="F145" s="134" t="s">
        <v>1443</v>
      </c>
      <c r="G145" s="134">
        <v>-13.5</v>
      </c>
      <c r="H145" s="134">
        <v>7.3</v>
      </c>
      <c r="I145" s="134" t="s">
        <v>1443</v>
      </c>
      <c r="J145" s="134" t="s">
        <v>1443</v>
      </c>
      <c r="K145" s="134">
        <v>-18.900000000000002</v>
      </c>
      <c r="L145" s="134">
        <v>7.3</v>
      </c>
      <c r="M145" s="134" t="s">
        <v>1443</v>
      </c>
      <c r="N145" s="134" t="s">
        <v>1443</v>
      </c>
      <c r="O145" s="134">
        <v>-19.8</v>
      </c>
      <c r="P145" s="134">
        <v>7.5</v>
      </c>
      <c r="Q145" s="134" t="s">
        <v>1443</v>
      </c>
      <c r="R145" s="21"/>
      <c r="S145" s="109"/>
      <c r="T145" s="109"/>
      <c r="U145" s="109"/>
      <c r="V145" s="109"/>
    </row>
    <row r="146" spans="2:22" ht="12.75" customHeight="1" x14ac:dyDescent="0.2">
      <c r="B146" s="5" t="s">
        <v>692</v>
      </c>
      <c r="C146" s="122" t="s">
        <v>692</v>
      </c>
      <c r="D146" s="46" t="s">
        <v>1870</v>
      </c>
      <c r="E146" s="41"/>
      <c r="F146" s="134" t="s">
        <v>1443</v>
      </c>
      <c r="G146" s="134" t="s">
        <v>1443</v>
      </c>
      <c r="H146" s="134" t="s">
        <v>1443</v>
      </c>
      <c r="I146" s="134" t="s">
        <v>1443</v>
      </c>
      <c r="J146" s="134" t="s">
        <v>1443</v>
      </c>
      <c r="K146" s="134" t="s">
        <v>1443</v>
      </c>
      <c r="L146" s="134" t="s">
        <v>1443</v>
      </c>
      <c r="M146" s="134" t="s">
        <v>1443</v>
      </c>
      <c r="N146" s="134" t="s">
        <v>1443</v>
      </c>
      <c r="O146" s="134" t="s">
        <v>1443</v>
      </c>
      <c r="P146" s="134" t="s">
        <v>1443</v>
      </c>
      <c r="Q146" s="134" t="s">
        <v>1443</v>
      </c>
      <c r="R146" s="21"/>
      <c r="S146" s="109"/>
      <c r="T146" s="109"/>
      <c r="U146" s="109"/>
      <c r="V146" s="109"/>
    </row>
    <row r="147" spans="2:22" ht="12.75" customHeight="1" x14ac:dyDescent="0.2">
      <c r="B147" s="5" t="s">
        <v>691</v>
      </c>
      <c r="C147" s="122" t="s">
        <v>691</v>
      </c>
      <c r="D147" s="46" t="s">
        <v>1882</v>
      </c>
      <c r="E147" s="41"/>
      <c r="F147" s="134" t="s">
        <v>1443</v>
      </c>
      <c r="G147" s="134">
        <v>4.3</v>
      </c>
      <c r="H147" s="134">
        <v>7.3</v>
      </c>
      <c r="I147" s="134" t="s">
        <v>1443</v>
      </c>
      <c r="J147" s="134" t="s">
        <v>1443</v>
      </c>
      <c r="K147" s="134">
        <v>5.3</v>
      </c>
      <c r="L147" s="134">
        <v>7.3</v>
      </c>
      <c r="M147" s="134" t="s">
        <v>1443</v>
      </c>
      <c r="N147" s="134" t="s">
        <v>1443</v>
      </c>
      <c r="O147" s="134">
        <v>6.1000000000000005</v>
      </c>
      <c r="P147" s="134">
        <v>7.5</v>
      </c>
      <c r="Q147" s="134" t="s">
        <v>1443</v>
      </c>
      <c r="R147" s="21"/>
      <c r="S147" s="109"/>
      <c r="T147" s="109"/>
      <c r="U147" s="109"/>
      <c r="V147" s="109"/>
    </row>
    <row r="148" spans="2:22" ht="12.75" customHeight="1" x14ac:dyDescent="0.2">
      <c r="B148" s="5" t="s">
        <v>690</v>
      </c>
      <c r="C148" s="118" t="s">
        <v>690</v>
      </c>
      <c r="D148" s="46" t="s">
        <v>1844</v>
      </c>
      <c r="E148" s="41"/>
      <c r="F148" s="134" t="s">
        <v>1443</v>
      </c>
      <c r="G148" s="134" t="s">
        <v>1443</v>
      </c>
      <c r="H148" s="134" t="s">
        <v>1443</v>
      </c>
      <c r="I148" s="134" t="s">
        <v>1443</v>
      </c>
      <c r="J148" s="134" t="s">
        <v>1443</v>
      </c>
      <c r="K148" s="134" t="s">
        <v>1443</v>
      </c>
      <c r="L148" s="134" t="s">
        <v>1443</v>
      </c>
      <c r="M148" s="134" t="s">
        <v>1443</v>
      </c>
      <c r="N148" s="134" t="s">
        <v>1443</v>
      </c>
      <c r="O148" s="134" t="s">
        <v>1443</v>
      </c>
      <c r="P148" s="134" t="s">
        <v>1443</v>
      </c>
      <c r="Q148" s="134" t="s">
        <v>1443</v>
      </c>
      <c r="R148" s="21"/>
      <c r="S148" s="109"/>
      <c r="T148" s="109"/>
      <c r="U148" s="109"/>
      <c r="V148" s="109"/>
    </row>
    <row r="149" spans="2:22" ht="12.75" customHeight="1" x14ac:dyDescent="0.2">
      <c r="B149" s="5" t="s">
        <v>689</v>
      </c>
      <c r="C149" s="118" t="s">
        <v>689</v>
      </c>
      <c r="D149" s="46" t="s">
        <v>1845</v>
      </c>
      <c r="E149" s="41"/>
      <c r="F149" s="134" t="s">
        <v>1443</v>
      </c>
      <c r="G149" s="134">
        <v>-1.9000000000000001</v>
      </c>
      <c r="H149" s="134" t="s">
        <v>1443</v>
      </c>
      <c r="I149" s="134" t="s">
        <v>1443</v>
      </c>
      <c r="J149" s="134" t="s">
        <v>1443</v>
      </c>
      <c r="K149" s="134">
        <v>-2.3000000000000003</v>
      </c>
      <c r="L149" s="134" t="s">
        <v>1443</v>
      </c>
      <c r="M149" s="134" t="s">
        <v>1443</v>
      </c>
      <c r="N149" s="134" t="s">
        <v>1443</v>
      </c>
      <c r="O149" s="134">
        <v>-2.4</v>
      </c>
      <c r="P149" s="134" t="s">
        <v>1443</v>
      </c>
      <c r="Q149" s="134" t="s">
        <v>1443</v>
      </c>
      <c r="R149" s="21"/>
      <c r="S149" s="109"/>
      <c r="T149" s="109"/>
      <c r="U149" s="109"/>
      <c r="V149" s="109"/>
    </row>
    <row r="150" spans="2:22" ht="12.75" customHeight="1" x14ac:dyDescent="0.2">
      <c r="B150" s="5" t="s">
        <v>688</v>
      </c>
      <c r="C150" s="118" t="s">
        <v>688</v>
      </c>
      <c r="D150" s="46" t="s">
        <v>1843</v>
      </c>
      <c r="E150" s="41"/>
      <c r="F150" s="134" t="s">
        <v>1443</v>
      </c>
      <c r="G150" s="134">
        <v>7.2</v>
      </c>
      <c r="H150" s="134" t="s">
        <v>1443</v>
      </c>
      <c r="I150" s="134" t="s">
        <v>1443</v>
      </c>
      <c r="J150" s="134" t="s">
        <v>1443</v>
      </c>
      <c r="K150" s="134">
        <v>8.5</v>
      </c>
      <c r="L150" s="134" t="s">
        <v>1443</v>
      </c>
      <c r="M150" s="134" t="s">
        <v>1443</v>
      </c>
      <c r="N150" s="134" t="s">
        <v>1443</v>
      </c>
      <c r="O150" s="134">
        <v>9</v>
      </c>
      <c r="P150" s="134" t="s">
        <v>1443</v>
      </c>
      <c r="Q150" s="134" t="s">
        <v>1443</v>
      </c>
      <c r="R150" s="21"/>
      <c r="S150" s="109"/>
      <c r="T150" s="109"/>
      <c r="U150" s="109"/>
      <c r="V150" s="109"/>
    </row>
    <row r="151" spans="2:22" ht="12.75" customHeight="1" x14ac:dyDescent="0.2">
      <c r="B151" s="5" t="s">
        <v>687</v>
      </c>
      <c r="C151" s="118" t="s">
        <v>687</v>
      </c>
      <c r="D151" s="46" t="s">
        <v>1884</v>
      </c>
      <c r="E151" s="41"/>
      <c r="F151" s="134" t="s">
        <v>1443</v>
      </c>
      <c r="G151" s="134" t="s">
        <v>1443</v>
      </c>
      <c r="H151" s="134" t="s">
        <v>1443</v>
      </c>
      <c r="I151" s="134" t="s">
        <v>1443</v>
      </c>
      <c r="J151" s="134" t="s">
        <v>1443</v>
      </c>
      <c r="K151" s="134" t="s">
        <v>1443</v>
      </c>
      <c r="L151" s="134" t="s">
        <v>1443</v>
      </c>
      <c r="M151" s="134" t="s">
        <v>1443</v>
      </c>
      <c r="N151" s="134" t="s">
        <v>1443</v>
      </c>
      <c r="O151" s="134" t="s">
        <v>1443</v>
      </c>
      <c r="P151" s="134" t="s">
        <v>1443</v>
      </c>
      <c r="Q151" s="134" t="s">
        <v>1443</v>
      </c>
      <c r="R151" s="21"/>
      <c r="S151" s="109"/>
      <c r="T151" s="109"/>
      <c r="U151" s="109"/>
      <c r="V151" s="109"/>
    </row>
    <row r="152" spans="2:22" ht="12.75" customHeight="1" x14ac:dyDescent="0.2">
      <c r="B152" s="5" t="s">
        <v>686</v>
      </c>
      <c r="C152" s="118" t="s">
        <v>686</v>
      </c>
      <c r="D152" s="46" t="s">
        <v>1885</v>
      </c>
      <c r="E152" s="41"/>
      <c r="F152" s="134" t="s">
        <v>1443</v>
      </c>
      <c r="G152" s="134">
        <v>-1</v>
      </c>
      <c r="H152" s="134" t="s">
        <v>1443</v>
      </c>
      <c r="I152" s="134" t="s">
        <v>1443</v>
      </c>
      <c r="J152" s="134" t="s">
        <v>1443</v>
      </c>
      <c r="K152" s="134">
        <v>-1.3</v>
      </c>
      <c r="L152" s="134" t="s">
        <v>1443</v>
      </c>
      <c r="M152" s="134" t="s">
        <v>1443</v>
      </c>
      <c r="N152" s="134" t="s">
        <v>1443</v>
      </c>
      <c r="O152" s="134">
        <v>-1.5</v>
      </c>
      <c r="P152" s="134" t="s">
        <v>1443</v>
      </c>
      <c r="Q152" s="134" t="s">
        <v>1443</v>
      </c>
      <c r="R152" s="21"/>
      <c r="S152" s="109"/>
      <c r="T152" s="109"/>
      <c r="U152" s="109"/>
      <c r="V152" s="109"/>
    </row>
    <row r="153" spans="2:22" ht="12.75" customHeight="1" x14ac:dyDescent="0.2">
      <c r="B153" s="5" t="s">
        <v>685</v>
      </c>
      <c r="C153" s="118" t="s">
        <v>685</v>
      </c>
      <c r="D153" s="46" t="s">
        <v>1883</v>
      </c>
      <c r="E153" s="41"/>
      <c r="F153" s="134" t="s">
        <v>1443</v>
      </c>
      <c r="G153" s="134">
        <v>3.7</v>
      </c>
      <c r="H153" s="134" t="s">
        <v>1443</v>
      </c>
      <c r="I153" s="134" t="s">
        <v>1443</v>
      </c>
      <c r="J153" s="134" t="s">
        <v>1443</v>
      </c>
      <c r="K153" s="134">
        <v>4.9000000000000004</v>
      </c>
      <c r="L153" s="134" t="s">
        <v>1443</v>
      </c>
      <c r="M153" s="134" t="s">
        <v>1443</v>
      </c>
      <c r="N153" s="134" t="s">
        <v>1443</v>
      </c>
      <c r="O153" s="134">
        <v>5.9</v>
      </c>
      <c r="P153" s="134" t="s">
        <v>1443</v>
      </c>
      <c r="Q153" s="134" t="s">
        <v>1443</v>
      </c>
      <c r="R153" s="21"/>
      <c r="S153" s="109"/>
      <c r="T153" s="109"/>
      <c r="U153" s="109"/>
      <c r="V153" s="109"/>
    </row>
    <row r="154" spans="2:22" ht="12.75" customHeight="1" x14ac:dyDescent="0.2">
      <c r="B154" s="5" t="s">
        <v>684</v>
      </c>
      <c r="C154" s="118" t="s">
        <v>684</v>
      </c>
      <c r="D154" s="46" t="s">
        <v>1874</v>
      </c>
      <c r="E154" s="41"/>
      <c r="F154" s="134" t="s">
        <v>1443</v>
      </c>
      <c r="G154" s="134">
        <v>4.3</v>
      </c>
      <c r="H154" s="134">
        <v>7.3</v>
      </c>
      <c r="I154" s="134" t="s">
        <v>1443</v>
      </c>
      <c r="J154" s="134" t="s">
        <v>1443</v>
      </c>
      <c r="K154" s="134">
        <v>5.3</v>
      </c>
      <c r="L154" s="134">
        <v>7.3</v>
      </c>
      <c r="M154" s="134" t="s">
        <v>1443</v>
      </c>
      <c r="N154" s="134" t="s">
        <v>1443</v>
      </c>
      <c r="O154" s="134">
        <v>6.1000000000000005</v>
      </c>
      <c r="P154" s="134">
        <v>7.5</v>
      </c>
      <c r="Q154" s="134" t="s">
        <v>1443</v>
      </c>
      <c r="R154" s="21"/>
      <c r="S154" s="109"/>
      <c r="T154" s="109"/>
      <c r="U154" s="109"/>
      <c r="V154" s="109"/>
    </row>
    <row r="155" spans="2:22" ht="12.75" customHeight="1" x14ac:dyDescent="0.2">
      <c r="B155" s="5" t="s">
        <v>683</v>
      </c>
      <c r="C155" s="118" t="s">
        <v>683</v>
      </c>
      <c r="D155" s="46" t="s">
        <v>1875</v>
      </c>
      <c r="E155" s="41"/>
      <c r="F155" s="134" t="s">
        <v>1443</v>
      </c>
      <c r="G155" s="134">
        <v>-3.7</v>
      </c>
      <c r="H155" s="134" t="s">
        <v>1443</v>
      </c>
      <c r="I155" s="134" t="s">
        <v>1443</v>
      </c>
      <c r="J155" s="134" t="s">
        <v>1443</v>
      </c>
      <c r="K155" s="134">
        <v>-5.1000000000000005</v>
      </c>
      <c r="L155" s="134" t="s">
        <v>1443</v>
      </c>
      <c r="M155" s="134" t="s">
        <v>1443</v>
      </c>
      <c r="N155" s="134" t="s">
        <v>1443</v>
      </c>
      <c r="O155" s="134">
        <v>-5.4</v>
      </c>
      <c r="P155" s="134" t="s">
        <v>1443</v>
      </c>
      <c r="Q155" s="134" t="s">
        <v>1443</v>
      </c>
      <c r="R155" s="21"/>
      <c r="S155" s="109"/>
      <c r="T155" s="109"/>
      <c r="U155" s="109"/>
      <c r="V155" s="109"/>
    </row>
    <row r="156" spans="2:22" ht="12.75" customHeight="1" x14ac:dyDescent="0.2">
      <c r="B156" s="5" t="s">
        <v>682</v>
      </c>
      <c r="C156" s="118" t="s">
        <v>682</v>
      </c>
      <c r="D156" s="46" t="s">
        <v>1873</v>
      </c>
      <c r="E156" s="41"/>
      <c r="F156" s="134" t="s">
        <v>1443</v>
      </c>
      <c r="G156" s="134">
        <v>14.1</v>
      </c>
      <c r="H156" s="134" t="s">
        <v>1443</v>
      </c>
      <c r="I156" s="134" t="s">
        <v>1443</v>
      </c>
      <c r="J156" s="134" t="s">
        <v>1443</v>
      </c>
      <c r="K156" s="134">
        <v>19.100000000000001</v>
      </c>
      <c r="L156" s="134" t="s">
        <v>1443</v>
      </c>
      <c r="M156" s="134" t="s">
        <v>1443</v>
      </c>
      <c r="N156" s="134" t="s">
        <v>1443</v>
      </c>
      <c r="O156" s="134">
        <v>20.5</v>
      </c>
      <c r="P156" s="134" t="s">
        <v>1443</v>
      </c>
      <c r="Q156" s="134" t="s">
        <v>1443</v>
      </c>
      <c r="R156" s="21"/>
      <c r="S156" s="109"/>
      <c r="T156" s="109"/>
      <c r="U156" s="109"/>
      <c r="V156" s="109"/>
    </row>
    <row r="157" spans="2:22" ht="12.75" customHeight="1" x14ac:dyDescent="0.2">
      <c r="B157" s="12"/>
      <c r="C157" s="118" t="s">
        <v>192</v>
      </c>
      <c r="D157" s="46" t="s">
        <v>192</v>
      </c>
      <c r="E157" s="41"/>
      <c r="F157" s="12"/>
      <c r="G157" s="12"/>
      <c r="H157" s="12"/>
      <c r="I157" s="12"/>
      <c r="J157" s="12"/>
      <c r="K157" s="12"/>
      <c r="L157" s="12"/>
      <c r="M157" s="12"/>
      <c r="N157" s="12"/>
      <c r="O157" s="12"/>
      <c r="P157" s="12"/>
      <c r="Q157" s="12"/>
    </row>
    <row r="158" spans="2:22" ht="12.75" customHeight="1" x14ac:dyDescent="0.2">
      <c r="B158" s="12"/>
      <c r="C158" s="118" t="s">
        <v>192</v>
      </c>
      <c r="D158" s="46" t="s">
        <v>192</v>
      </c>
      <c r="E158" s="41"/>
      <c r="F158" s="12"/>
      <c r="G158" s="12"/>
      <c r="H158" s="12"/>
      <c r="I158" s="12"/>
      <c r="J158" s="12"/>
      <c r="K158" s="12"/>
      <c r="L158" s="12"/>
      <c r="M158" s="12"/>
      <c r="N158" s="12"/>
      <c r="O158" s="12"/>
      <c r="P158" s="12"/>
      <c r="Q158" s="12"/>
    </row>
    <row r="159" spans="2:22" ht="12.75" customHeight="1" x14ac:dyDescent="0.2">
      <c r="B159" s="8" t="s">
        <v>1402</v>
      </c>
      <c r="C159" s="120" t="s">
        <v>192</v>
      </c>
      <c r="D159" s="46" t="s">
        <v>192</v>
      </c>
      <c r="E159" s="41"/>
      <c r="F159" s="17"/>
      <c r="G159" s="17"/>
      <c r="H159" s="19"/>
      <c r="I159" s="19"/>
      <c r="J159" s="19"/>
      <c r="K159" s="19"/>
      <c r="L159" s="19"/>
      <c r="M159" s="19"/>
      <c r="N159" s="19"/>
      <c r="O159" s="19"/>
      <c r="P159" s="19"/>
      <c r="Q159" s="17"/>
    </row>
    <row r="160" spans="2:22" ht="12.75" customHeight="1" x14ac:dyDescent="0.2">
      <c r="B160" s="8" t="s">
        <v>615</v>
      </c>
      <c r="C160" s="117" t="s">
        <v>1405</v>
      </c>
      <c r="D160" s="46" t="s">
        <v>1820</v>
      </c>
      <c r="E160" s="41"/>
      <c r="F160" s="49">
        <v>44469</v>
      </c>
      <c r="G160" s="49">
        <v>44561</v>
      </c>
      <c r="H160" s="49">
        <v>44651</v>
      </c>
      <c r="I160" s="49">
        <v>44742</v>
      </c>
      <c r="J160" s="49">
        <v>44834</v>
      </c>
      <c r="K160" s="49">
        <v>44926</v>
      </c>
      <c r="L160" s="49">
        <v>45016</v>
      </c>
      <c r="M160" s="49">
        <v>45107</v>
      </c>
      <c r="N160" s="49">
        <v>45199</v>
      </c>
      <c r="O160" s="49">
        <v>45291</v>
      </c>
      <c r="P160" s="49">
        <v>45382</v>
      </c>
      <c r="Q160" s="49">
        <v>45473</v>
      </c>
      <c r="R160" s="50"/>
      <c r="S160" s="50"/>
      <c r="T160" s="50"/>
      <c r="U160" s="50"/>
      <c r="V160" s="50"/>
    </row>
    <row r="161" spans="2:22" ht="12.75" customHeight="1" x14ac:dyDescent="0.2">
      <c r="B161" s="25"/>
      <c r="C161" s="120" t="s">
        <v>192</v>
      </c>
      <c r="D161" s="46" t="s">
        <v>192</v>
      </c>
      <c r="E161" s="41"/>
      <c r="F161" s="109"/>
      <c r="G161" s="109"/>
      <c r="H161" s="109"/>
      <c r="I161" s="109"/>
      <c r="J161" s="109"/>
      <c r="K161" s="109"/>
      <c r="L161" s="109"/>
      <c r="M161" s="109"/>
      <c r="N161" s="109"/>
      <c r="O161" s="109"/>
      <c r="P161" s="109"/>
      <c r="Q161" s="109"/>
    </row>
    <row r="162" spans="2:22" ht="12.75" customHeight="1" x14ac:dyDescent="0.2">
      <c r="B162" s="8" t="s">
        <v>681</v>
      </c>
      <c r="C162" s="118" t="s">
        <v>1004</v>
      </c>
      <c r="D162" s="46" t="s">
        <v>1782</v>
      </c>
      <c r="E162" s="41"/>
      <c r="F162" s="137">
        <v>163.4</v>
      </c>
      <c r="G162" s="137">
        <v>190.70000000000002</v>
      </c>
      <c r="H162" s="137">
        <v>207.4</v>
      </c>
      <c r="I162" s="137">
        <v>134.19999999999999</v>
      </c>
      <c r="J162" s="137">
        <v>121</v>
      </c>
      <c r="K162" s="137">
        <v>273.90000000000003</v>
      </c>
      <c r="L162" s="137">
        <v>196</v>
      </c>
      <c r="M162" s="137">
        <v>30.5</v>
      </c>
      <c r="N162" s="137">
        <v>-3.5</v>
      </c>
      <c r="O162" s="137">
        <v>1098.5</v>
      </c>
      <c r="P162" s="137">
        <v>-2.7</v>
      </c>
      <c r="Q162" s="137">
        <v>295.10000000000002</v>
      </c>
      <c r="R162" s="109"/>
      <c r="S162" s="109"/>
      <c r="T162" s="109"/>
      <c r="U162" s="109"/>
      <c r="V162" s="109"/>
    </row>
    <row r="163" spans="2:22" ht="12.75" customHeight="1" x14ac:dyDescent="0.2">
      <c r="B163" s="5" t="s">
        <v>680</v>
      </c>
      <c r="C163" s="118" t="s">
        <v>680</v>
      </c>
      <c r="D163" s="46" t="s">
        <v>1622</v>
      </c>
      <c r="E163" s="41"/>
      <c r="F163" s="134">
        <v>27.7</v>
      </c>
      <c r="G163" s="134">
        <v>26.900000000000002</v>
      </c>
      <c r="H163" s="134">
        <v>27</v>
      </c>
      <c r="I163" s="134">
        <v>27.5</v>
      </c>
      <c r="J163" s="134">
        <v>26.400000000000002</v>
      </c>
      <c r="K163" s="134">
        <v>27.900000000000002</v>
      </c>
      <c r="L163" s="134">
        <v>28.7</v>
      </c>
      <c r="M163" s="134">
        <v>32</v>
      </c>
      <c r="N163" s="134">
        <v>29.400000000000002</v>
      </c>
      <c r="O163" s="134">
        <v>29.900000000000002</v>
      </c>
      <c r="P163" s="134">
        <v>29.3</v>
      </c>
      <c r="Q163" s="134">
        <v>27.900000000000002</v>
      </c>
      <c r="R163" s="109"/>
      <c r="S163" s="109"/>
      <c r="T163" s="109"/>
      <c r="U163" s="109"/>
      <c r="V163" s="109"/>
    </row>
    <row r="164" spans="2:22" ht="12.75" customHeight="1" x14ac:dyDescent="0.2">
      <c r="B164" s="5" t="s">
        <v>679</v>
      </c>
      <c r="C164" s="118" t="s">
        <v>679</v>
      </c>
      <c r="D164" s="46" t="s">
        <v>1708</v>
      </c>
      <c r="E164" s="41"/>
      <c r="F164" s="134">
        <v>15.700000000000001</v>
      </c>
      <c r="G164" s="134">
        <v>15.5</v>
      </c>
      <c r="H164" s="134">
        <v>15.4</v>
      </c>
      <c r="I164" s="134">
        <v>15.3</v>
      </c>
      <c r="J164" s="134">
        <v>15</v>
      </c>
      <c r="K164" s="134">
        <v>14.9</v>
      </c>
      <c r="L164" s="134">
        <v>16</v>
      </c>
      <c r="M164" s="134">
        <v>16.100000000000001</v>
      </c>
      <c r="N164" s="134">
        <v>16.2</v>
      </c>
      <c r="O164" s="134">
        <v>16</v>
      </c>
      <c r="P164" s="134">
        <v>16.399999999999999</v>
      </c>
      <c r="Q164" s="134">
        <v>16.399999999999999</v>
      </c>
      <c r="R164" s="109"/>
      <c r="S164" s="109"/>
      <c r="T164" s="109"/>
      <c r="U164" s="109"/>
      <c r="V164" s="109"/>
    </row>
    <row r="165" spans="2:22" ht="12.75" customHeight="1" x14ac:dyDescent="0.2">
      <c r="B165" s="5" t="s">
        <v>678</v>
      </c>
      <c r="C165" s="118" t="s">
        <v>678</v>
      </c>
      <c r="D165" s="46" t="s">
        <v>1796</v>
      </c>
      <c r="E165" s="41"/>
      <c r="F165" s="134" t="s">
        <v>1443</v>
      </c>
      <c r="G165" s="134" t="s">
        <v>1443</v>
      </c>
      <c r="H165" s="134" t="s">
        <v>1443</v>
      </c>
      <c r="I165" s="134" t="s">
        <v>1443</v>
      </c>
      <c r="J165" s="134" t="s">
        <v>1443</v>
      </c>
      <c r="K165" s="134" t="s">
        <v>1443</v>
      </c>
      <c r="L165" s="134" t="s">
        <v>1443</v>
      </c>
      <c r="M165" s="134" t="s">
        <v>1443</v>
      </c>
      <c r="N165" s="134" t="s">
        <v>1443</v>
      </c>
      <c r="O165" s="134" t="s">
        <v>1443</v>
      </c>
      <c r="P165" s="134" t="s">
        <v>1443</v>
      </c>
      <c r="Q165" s="134" t="s">
        <v>1443</v>
      </c>
      <c r="R165" s="109"/>
      <c r="S165" s="109"/>
      <c r="T165" s="109"/>
      <c r="U165" s="109"/>
      <c r="V165" s="109"/>
    </row>
    <row r="166" spans="2:22" ht="12.75" customHeight="1" x14ac:dyDescent="0.2">
      <c r="B166" s="14" t="s">
        <v>677</v>
      </c>
      <c r="C166" s="119" t="s">
        <v>677</v>
      </c>
      <c r="D166" s="44" t="s">
        <v>1620</v>
      </c>
      <c r="E166" s="44"/>
      <c r="F166" s="135">
        <v>43.4</v>
      </c>
      <c r="G166" s="135">
        <v>42.4</v>
      </c>
      <c r="H166" s="135">
        <v>42.4</v>
      </c>
      <c r="I166" s="135">
        <v>42.800000000000004</v>
      </c>
      <c r="J166" s="135">
        <v>41.4</v>
      </c>
      <c r="K166" s="135">
        <v>42.800000000000004</v>
      </c>
      <c r="L166" s="135">
        <v>44.7</v>
      </c>
      <c r="M166" s="135">
        <v>48.1</v>
      </c>
      <c r="N166" s="135">
        <v>45.6</v>
      </c>
      <c r="O166" s="135">
        <v>45.9</v>
      </c>
      <c r="P166" s="135">
        <v>45.7</v>
      </c>
      <c r="Q166" s="135">
        <v>44.300000000000004</v>
      </c>
      <c r="R166" s="109"/>
      <c r="S166" s="109"/>
      <c r="T166" s="109"/>
      <c r="U166" s="109"/>
      <c r="V166" s="109"/>
    </row>
    <row r="167" spans="2:22" ht="12.75" customHeight="1" x14ac:dyDescent="0.2">
      <c r="B167" s="11"/>
      <c r="C167" s="120" t="s">
        <v>192</v>
      </c>
      <c r="D167" s="46" t="s">
        <v>192</v>
      </c>
      <c r="E167" s="41"/>
      <c r="F167" s="134"/>
      <c r="G167" s="134"/>
      <c r="H167" s="134"/>
      <c r="I167" s="134"/>
      <c r="J167" s="134"/>
      <c r="K167" s="134"/>
      <c r="L167" s="134"/>
      <c r="M167" s="134"/>
      <c r="N167" s="134"/>
      <c r="O167" s="134"/>
      <c r="P167" s="134"/>
      <c r="Q167" s="134"/>
    </row>
    <row r="168" spans="2:22" ht="12.75" customHeight="1" x14ac:dyDescent="0.2">
      <c r="B168" s="5" t="s">
        <v>676</v>
      </c>
      <c r="C168" s="120" t="s">
        <v>676</v>
      </c>
      <c r="D168" s="46" t="s">
        <v>1799</v>
      </c>
      <c r="E168" s="41"/>
      <c r="F168" s="134" t="s">
        <v>1443</v>
      </c>
      <c r="G168" s="134" t="s">
        <v>1443</v>
      </c>
      <c r="H168" s="134" t="s">
        <v>1443</v>
      </c>
      <c r="I168" s="134" t="s">
        <v>1443</v>
      </c>
      <c r="J168" s="134" t="s">
        <v>1443</v>
      </c>
      <c r="K168" s="134" t="s">
        <v>1443</v>
      </c>
      <c r="L168" s="134" t="s">
        <v>1443</v>
      </c>
      <c r="M168" s="134" t="s">
        <v>1443</v>
      </c>
      <c r="N168" s="134" t="s">
        <v>1443</v>
      </c>
      <c r="O168" s="134" t="s">
        <v>1443</v>
      </c>
      <c r="P168" s="134" t="s">
        <v>1443</v>
      </c>
      <c r="Q168" s="134" t="s">
        <v>1443</v>
      </c>
      <c r="R168" s="109"/>
      <c r="S168" s="109"/>
      <c r="T168" s="109"/>
      <c r="U168" s="109"/>
      <c r="V168" s="109"/>
    </row>
    <row r="169" spans="2:22" ht="12.75" customHeight="1" x14ac:dyDescent="0.2">
      <c r="B169" s="5" t="s">
        <v>675</v>
      </c>
      <c r="C169" s="118" t="s">
        <v>675</v>
      </c>
      <c r="D169" s="46" t="s">
        <v>1761</v>
      </c>
      <c r="E169" s="41"/>
      <c r="F169" s="134" t="s">
        <v>1443</v>
      </c>
      <c r="G169" s="134" t="s">
        <v>1443</v>
      </c>
      <c r="H169" s="134" t="s">
        <v>1443</v>
      </c>
      <c r="I169" s="134" t="s">
        <v>1443</v>
      </c>
      <c r="J169" s="134" t="s">
        <v>1443</v>
      </c>
      <c r="K169" s="134" t="s">
        <v>1443</v>
      </c>
      <c r="L169" s="134" t="s">
        <v>1443</v>
      </c>
      <c r="M169" s="134" t="s">
        <v>1443</v>
      </c>
      <c r="N169" s="134" t="s">
        <v>1443</v>
      </c>
      <c r="O169" s="134" t="s">
        <v>1443</v>
      </c>
      <c r="P169" s="134" t="s">
        <v>1443</v>
      </c>
      <c r="Q169" s="134" t="s">
        <v>1443</v>
      </c>
      <c r="R169" s="109"/>
      <c r="S169" s="109"/>
      <c r="T169" s="109"/>
      <c r="U169" s="109"/>
      <c r="V169" s="109"/>
    </row>
    <row r="170" spans="2:22" ht="12.75" customHeight="1" x14ac:dyDescent="0.2">
      <c r="B170" s="5" t="s">
        <v>674</v>
      </c>
      <c r="C170" s="120" t="s">
        <v>1005</v>
      </c>
      <c r="D170" s="46" t="s">
        <v>1695</v>
      </c>
      <c r="E170" s="41"/>
      <c r="F170" s="134" t="s">
        <v>1443</v>
      </c>
      <c r="G170" s="134" t="s">
        <v>1443</v>
      </c>
      <c r="H170" s="134" t="s">
        <v>1443</v>
      </c>
      <c r="I170" s="134" t="s">
        <v>1443</v>
      </c>
      <c r="J170" s="134" t="s">
        <v>1443</v>
      </c>
      <c r="K170" s="134" t="s">
        <v>1443</v>
      </c>
      <c r="L170" s="134" t="s">
        <v>1443</v>
      </c>
      <c r="M170" s="134" t="s">
        <v>1443</v>
      </c>
      <c r="N170" s="134" t="s">
        <v>1443</v>
      </c>
      <c r="O170" s="134" t="s">
        <v>1443</v>
      </c>
      <c r="P170" s="134" t="s">
        <v>1443</v>
      </c>
      <c r="Q170" s="134" t="s">
        <v>1443</v>
      </c>
      <c r="R170" s="109"/>
      <c r="S170" s="109"/>
      <c r="T170" s="109"/>
      <c r="U170" s="109"/>
      <c r="V170" s="109"/>
    </row>
    <row r="171" spans="2:22" ht="12.75" customHeight="1" x14ac:dyDescent="0.2">
      <c r="B171" s="5" t="s">
        <v>673</v>
      </c>
      <c r="C171" s="118" t="s">
        <v>1006</v>
      </c>
      <c r="D171" s="46" t="s">
        <v>1698</v>
      </c>
      <c r="E171" s="41"/>
      <c r="F171" s="134" t="s">
        <v>1443</v>
      </c>
      <c r="G171" s="134" t="s">
        <v>1443</v>
      </c>
      <c r="H171" s="134" t="s">
        <v>1443</v>
      </c>
      <c r="I171" s="134" t="s">
        <v>1443</v>
      </c>
      <c r="J171" s="134" t="s">
        <v>1443</v>
      </c>
      <c r="K171" s="134" t="s">
        <v>1443</v>
      </c>
      <c r="L171" s="134" t="s">
        <v>1443</v>
      </c>
      <c r="M171" s="134" t="s">
        <v>1443</v>
      </c>
      <c r="N171" s="134" t="s">
        <v>1443</v>
      </c>
      <c r="O171" s="134" t="s">
        <v>1443</v>
      </c>
      <c r="P171" s="134" t="s">
        <v>1443</v>
      </c>
      <c r="Q171" s="134" t="s">
        <v>1443</v>
      </c>
      <c r="R171" s="109"/>
      <c r="S171" s="109"/>
      <c r="T171" s="109"/>
      <c r="U171" s="109"/>
      <c r="V171" s="109"/>
    </row>
    <row r="172" spans="2:22" ht="12.75" customHeight="1" x14ac:dyDescent="0.2">
      <c r="B172" s="5" t="s">
        <v>672</v>
      </c>
      <c r="C172" s="118" t="s">
        <v>672</v>
      </c>
      <c r="D172" s="46" t="s">
        <v>1535</v>
      </c>
      <c r="E172" s="41"/>
      <c r="F172" s="134">
        <v>32.799999999999997</v>
      </c>
      <c r="G172" s="134">
        <v>55.7</v>
      </c>
      <c r="H172" s="134">
        <v>9.1</v>
      </c>
      <c r="I172" s="134">
        <v>80.8</v>
      </c>
      <c r="J172" s="134">
        <v>9</v>
      </c>
      <c r="K172" s="134">
        <v>-5.8</v>
      </c>
      <c r="L172" s="134">
        <v>12.5</v>
      </c>
      <c r="M172" s="134">
        <v>7.3</v>
      </c>
      <c r="N172" s="134">
        <v>28.2</v>
      </c>
      <c r="O172" s="134">
        <v>164.3</v>
      </c>
      <c r="P172" s="134">
        <v>40.9</v>
      </c>
      <c r="Q172" s="134">
        <v>95.100000000000009</v>
      </c>
      <c r="R172" s="109"/>
      <c r="S172" s="109"/>
      <c r="T172" s="109"/>
      <c r="U172" s="109"/>
      <c r="V172" s="109"/>
    </row>
    <row r="173" spans="2:22" ht="12.75" customHeight="1" x14ac:dyDescent="0.2">
      <c r="B173" s="5" t="s">
        <v>671</v>
      </c>
      <c r="C173" s="118" t="s">
        <v>1007</v>
      </c>
      <c r="D173" s="46" t="s">
        <v>1745</v>
      </c>
      <c r="E173" s="41"/>
      <c r="F173" s="134" t="s">
        <v>1443</v>
      </c>
      <c r="G173" s="134" t="s">
        <v>1443</v>
      </c>
      <c r="H173" s="134" t="s">
        <v>1443</v>
      </c>
      <c r="I173" s="134" t="s">
        <v>1443</v>
      </c>
      <c r="J173" s="134" t="s">
        <v>1443</v>
      </c>
      <c r="K173" s="134" t="s">
        <v>1443</v>
      </c>
      <c r="L173" s="134" t="s">
        <v>1443</v>
      </c>
      <c r="M173" s="134" t="s">
        <v>1443</v>
      </c>
      <c r="N173" s="134" t="s">
        <v>1443</v>
      </c>
      <c r="O173" s="134" t="s">
        <v>1443</v>
      </c>
      <c r="P173" s="134" t="s">
        <v>1443</v>
      </c>
      <c r="Q173" s="134" t="s">
        <v>1443</v>
      </c>
      <c r="R173" s="109"/>
      <c r="S173" s="109"/>
      <c r="T173" s="109"/>
      <c r="U173" s="109"/>
      <c r="V173" s="109"/>
    </row>
    <row r="174" spans="2:22" ht="12.75" customHeight="1" x14ac:dyDescent="0.2">
      <c r="B174" s="5" t="s">
        <v>670</v>
      </c>
      <c r="C174" s="118" t="s">
        <v>670</v>
      </c>
      <c r="D174" s="46" t="s">
        <v>1611</v>
      </c>
      <c r="E174" s="41"/>
      <c r="F174" s="134" t="s">
        <v>1443</v>
      </c>
      <c r="G174" s="134" t="s">
        <v>1443</v>
      </c>
      <c r="H174" s="134" t="s">
        <v>1443</v>
      </c>
      <c r="I174" s="134" t="s">
        <v>1443</v>
      </c>
      <c r="J174" s="134" t="s">
        <v>1443</v>
      </c>
      <c r="K174" s="134" t="s">
        <v>1443</v>
      </c>
      <c r="L174" s="134" t="s">
        <v>1443</v>
      </c>
      <c r="M174" s="134" t="s">
        <v>1443</v>
      </c>
      <c r="N174" s="134" t="s">
        <v>1443</v>
      </c>
      <c r="O174" s="134" t="s">
        <v>1443</v>
      </c>
      <c r="P174" s="134" t="s">
        <v>1443</v>
      </c>
      <c r="Q174" s="134" t="s">
        <v>1443</v>
      </c>
      <c r="R174" s="109"/>
      <c r="S174" s="109"/>
      <c r="T174" s="109"/>
      <c r="U174" s="109"/>
      <c r="V174" s="109"/>
    </row>
    <row r="175" spans="2:22" ht="12.75" customHeight="1" x14ac:dyDescent="0.2">
      <c r="B175" s="5" t="s">
        <v>669</v>
      </c>
      <c r="C175" s="118" t="s">
        <v>1008</v>
      </c>
      <c r="D175" s="46" t="s">
        <v>1715</v>
      </c>
      <c r="E175" s="41"/>
      <c r="F175" s="134" t="s">
        <v>1443</v>
      </c>
      <c r="G175" s="134" t="s">
        <v>1443</v>
      </c>
      <c r="H175" s="134" t="s">
        <v>1443</v>
      </c>
      <c r="I175" s="134" t="s">
        <v>1443</v>
      </c>
      <c r="J175" s="134" t="s">
        <v>1443</v>
      </c>
      <c r="K175" s="134" t="s">
        <v>1443</v>
      </c>
      <c r="L175" s="134" t="s">
        <v>1443</v>
      </c>
      <c r="M175" s="134" t="s">
        <v>1443</v>
      </c>
      <c r="N175" s="134" t="s">
        <v>1443</v>
      </c>
      <c r="O175" s="134" t="s">
        <v>1443</v>
      </c>
      <c r="P175" s="134" t="s">
        <v>1443</v>
      </c>
      <c r="Q175" s="134" t="s">
        <v>1443</v>
      </c>
      <c r="R175" s="109"/>
      <c r="S175" s="109"/>
      <c r="T175" s="109"/>
      <c r="U175" s="109"/>
      <c r="V175" s="109"/>
    </row>
    <row r="176" spans="2:22" ht="12.75" customHeight="1" x14ac:dyDescent="0.2">
      <c r="B176" s="5" t="s">
        <v>668</v>
      </c>
      <c r="C176" s="118" t="s">
        <v>668</v>
      </c>
      <c r="D176" s="46" t="s">
        <v>1871</v>
      </c>
      <c r="E176" s="41"/>
      <c r="F176" s="134">
        <v>3.8000000000000003</v>
      </c>
      <c r="G176" s="134">
        <v>4.3</v>
      </c>
      <c r="H176" s="134">
        <v>7.3</v>
      </c>
      <c r="I176" s="134">
        <v>5.8</v>
      </c>
      <c r="J176" s="134">
        <v>5.8</v>
      </c>
      <c r="K176" s="134">
        <v>5.3</v>
      </c>
      <c r="L176" s="134">
        <v>7.3</v>
      </c>
      <c r="M176" s="134">
        <v>6.3</v>
      </c>
      <c r="N176" s="134">
        <v>6.2</v>
      </c>
      <c r="O176" s="134">
        <v>6.1000000000000005</v>
      </c>
      <c r="P176" s="134">
        <v>7.5</v>
      </c>
      <c r="Q176" s="134">
        <v>4.9000000000000004</v>
      </c>
      <c r="R176" s="109"/>
      <c r="S176" s="109"/>
      <c r="T176" s="109"/>
      <c r="U176" s="109"/>
      <c r="V176" s="109"/>
    </row>
    <row r="177" spans="2:22" ht="12.75" customHeight="1" x14ac:dyDescent="0.2">
      <c r="B177" s="5" t="s">
        <v>667</v>
      </c>
      <c r="C177" s="118" t="s">
        <v>1009</v>
      </c>
      <c r="D177" s="46" t="s">
        <v>1895</v>
      </c>
      <c r="E177" s="41"/>
      <c r="F177" s="134" t="s">
        <v>1443</v>
      </c>
      <c r="G177" s="134" t="s">
        <v>1443</v>
      </c>
      <c r="H177" s="134" t="s">
        <v>1443</v>
      </c>
      <c r="I177" s="134" t="s">
        <v>1443</v>
      </c>
      <c r="J177" s="134" t="s">
        <v>1443</v>
      </c>
      <c r="K177" s="134" t="s">
        <v>1443</v>
      </c>
      <c r="L177" s="134" t="s">
        <v>1443</v>
      </c>
      <c r="M177" s="134" t="s">
        <v>1443</v>
      </c>
      <c r="N177" s="134" t="s">
        <v>1443</v>
      </c>
      <c r="O177" s="134" t="s">
        <v>1443</v>
      </c>
      <c r="P177" s="134" t="s">
        <v>1443</v>
      </c>
      <c r="Q177" s="134" t="s">
        <v>1443</v>
      </c>
      <c r="R177" s="109"/>
      <c r="S177" s="109"/>
      <c r="T177" s="109"/>
      <c r="U177" s="109"/>
      <c r="V177" s="109"/>
    </row>
    <row r="178" spans="2:22" ht="12.75" customHeight="1" x14ac:dyDescent="0.2">
      <c r="B178" s="5" t="s">
        <v>666</v>
      </c>
      <c r="C178" s="118" t="s">
        <v>666</v>
      </c>
      <c r="D178" s="46" t="s">
        <v>1832</v>
      </c>
      <c r="E178" s="41"/>
      <c r="F178" s="134" t="s">
        <v>1443</v>
      </c>
      <c r="G178" s="134" t="s">
        <v>1443</v>
      </c>
      <c r="H178" s="134" t="s">
        <v>1443</v>
      </c>
      <c r="I178" s="134" t="s">
        <v>1443</v>
      </c>
      <c r="J178" s="134" t="s">
        <v>1443</v>
      </c>
      <c r="K178" s="134" t="s">
        <v>1443</v>
      </c>
      <c r="L178" s="134" t="s">
        <v>1443</v>
      </c>
      <c r="M178" s="134" t="s">
        <v>1443</v>
      </c>
      <c r="N178" s="134" t="s">
        <v>1443</v>
      </c>
      <c r="O178" s="134" t="s">
        <v>1443</v>
      </c>
      <c r="P178" s="134" t="s">
        <v>1443</v>
      </c>
      <c r="Q178" s="134" t="s">
        <v>1443</v>
      </c>
      <c r="R178" s="109"/>
      <c r="S178" s="109"/>
      <c r="T178" s="109"/>
      <c r="U178" s="109"/>
      <c r="V178" s="109"/>
    </row>
    <row r="179" spans="2:22" ht="12.75" customHeight="1" x14ac:dyDescent="0.2">
      <c r="B179" s="5" t="s">
        <v>665</v>
      </c>
      <c r="C179" s="118" t="s">
        <v>665</v>
      </c>
      <c r="D179" s="46" t="s">
        <v>1649</v>
      </c>
      <c r="E179" s="41"/>
      <c r="F179" s="134">
        <v>-21.5</v>
      </c>
      <c r="G179" s="134">
        <v>-24.6</v>
      </c>
      <c r="H179" s="134">
        <v>-11</v>
      </c>
      <c r="I179" s="134">
        <v>-20.6</v>
      </c>
      <c r="J179" s="134">
        <v>-20.2</v>
      </c>
      <c r="K179" s="134">
        <v>-25.8</v>
      </c>
      <c r="L179" s="134">
        <v>-12.6</v>
      </c>
      <c r="M179" s="134">
        <v>-14.3</v>
      </c>
      <c r="N179" s="134">
        <v>-34.1</v>
      </c>
      <c r="O179" s="134">
        <v>-25.1</v>
      </c>
      <c r="P179" s="134">
        <v>-21.5</v>
      </c>
      <c r="Q179" s="134">
        <v>2.6</v>
      </c>
      <c r="R179" s="109"/>
      <c r="S179" s="109"/>
      <c r="T179" s="109"/>
      <c r="U179" s="109"/>
      <c r="V179" s="109"/>
    </row>
    <row r="180" spans="2:22" ht="12.75" customHeight="1" x14ac:dyDescent="0.2">
      <c r="B180" s="5" t="s">
        <v>664</v>
      </c>
      <c r="C180" s="118" t="s">
        <v>664</v>
      </c>
      <c r="D180" s="46" t="s">
        <v>1811</v>
      </c>
      <c r="E180" s="41"/>
      <c r="F180" s="134">
        <v>19.600000000000001</v>
      </c>
      <c r="G180" s="134">
        <v>34.200000000000003</v>
      </c>
      <c r="H180" s="134">
        <v>18.600000000000001</v>
      </c>
      <c r="I180" s="134">
        <v>18.600000000000001</v>
      </c>
      <c r="J180" s="134">
        <v>22.900000000000002</v>
      </c>
      <c r="K180" s="134">
        <v>1.9000000000000001</v>
      </c>
      <c r="L180" s="134">
        <v>11.200000000000001</v>
      </c>
      <c r="M180" s="134">
        <v>32.5</v>
      </c>
      <c r="N180" s="134">
        <v>17.100000000000001</v>
      </c>
      <c r="O180" s="134">
        <v>-1234.7</v>
      </c>
      <c r="P180" s="134">
        <v>-39.6</v>
      </c>
      <c r="Q180" s="134">
        <v>-356.90000000000003</v>
      </c>
      <c r="R180" s="109"/>
      <c r="S180" s="109"/>
      <c r="T180" s="109"/>
      <c r="U180" s="109"/>
      <c r="V180" s="109"/>
    </row>
    <row r="181" spans="2:22" ht="12.75" customHeight="1" x14ac:dyDescent="0.2">
      <c r="B181" s="5" t="s">
        <v>663</v>
      </c>
      <c r="C181" s="118" t="s">
        <v>663</v>
      </c>
      <c r="D181" s="46" t="s">
        <v>1599</v>
      </c>
      <c r="E181" s="41"/>
      <c r="F181" s="134" t="s">
        <v>1443</v>
      </c>
      <c r="G181" s="134" t="s">
        <v>1443</v>
      </c>
      <c r="H181" s="134" t="s">
        <v>1443</v>
      </c>
      <c r="I181" s="134" t="s">
        <v>1443</v>
      </c>
      <c r="J181" s="134" t="s">
        <v>1443</v>
      </c>
      <c r="K181" s="134" t="s">
        <v>1443</v>
      </c>
      <c r="L181" s="134" t="s">
        <v>1443</v>
      </c>
      <c r="M181" s="134" t="s">
        <v>1443</v>
      </c>
      <c r="N181" s="134" t="s">
        <v>1443</v>
      </c>
      <c r="O181" s="134" t="s">
        <v>1443</v>
      </c>
      <c r="P181" s="134" t="s">
        <v>1443</v>
      </c>
      <c r="Q181" s="134" t="s">
        <v>1443</v>
      </c>
      <c r="R181" s="109"/>
      <c r="S181" s="109"/>
      <c r="T181" s="109"/>
      <c r="U181" s="109"/>
      <c r="V181" s="109"/>
    </row>
    <row r="182" spans="2:22" ht="12.75" customHeight="1" x14ac:dyDescent="0.2">
      <c r="B182" s="5" t="s">
        <v>662</v>
      </c>
      <c r="C182" s="118" t="s">
        <v>662</v>
      </c>
      <c r="D182" s="46" t="s">
        <v>1593</v>
      </c>
      <c r="E182" s="41"/>
      <c r="F182" s="134">
        <v>112.10000000000001</v>
      </c>
      <c r="G182" s="134">
        <v>-70.3</v>
      </c>
      <c r="H182" s="134">
        <v>-317.5</v>
      </c>
      <c r="I182" s="134">
        <v>-115.10000000000001</v>
      </c>
      <c r="J182" s="134">
        <v>229.1</v>
      </c>
      <c r="K182" s="134">
        <v>-240.4</v>
      </c>
      <c r="L182" s="134">
        <v>-288.8</v>
      </c>
      <c r="M182" s="134">
        <v>421</v>
      </c>
      <c r="N182" s="134">
        <v>180.20000000000002</v>
      </c>
      <c r="O182" s="134">
        <v>-120</v>
      </c>
      <c r="P182" s="134">
        <v>-143.6</v>
      </c>
      <c r="Q182" s="134">
        <v>48.800000000000004</v>
      </c>
      <c r="R182" s="109"/>
      <c r="S182" s="109"/>
      <c r="T182" s="109"/>
      <c r="U182" s="109"/>
      <c r="V182" s="109"/>
    </row>
    <row r="183" spans="2:22" ht="12.75" customHeight="1" x14ac:dyDescent="0.2">
      <c r="B183" s="5" t="s">
        <v>661</v>
      </c>
      <c r="C183" s="118" t="s">
        <v>661</v>
      </c>
      <c r="D183" s="46" t="s">
        <v>1596</v>
      </c>
      <c r="E183" s="41"/>
      <c r="F183" s="134">
        <v>-57</v>
      </c>
      <c r="G183" s="134">
        <v>46.7</v>
      </c>
      <c r="H183" s="134">
        <v>-192.1</v>
      </c>
      <c r="I183" s="134">
        <v>-43.7</v>
      </c>
      <c r="J183" s="134">
        <v>-46.5</v>
      </c>
      <c r="K183" s="134">
        <v>100</v>
      </c>
      <c r="L183" s="134">
        <v>-257.89999999999998</v>
      </c>
      <c r="M183" s="134">
        <v>-165.4</v>
      </c>
      <c r="N183" s="134">
        <v>60.1</v>
      </c>
      <c r="O183" s="134">
        <v>290.40000000000003</v>
      </c>
      <c r="P183" s="134">
        <v>127.3</v>
      </c>
      <c r="Q183" s="134">
        <v>116.8</v>
      </c>
      <c r="R183" s="109"/>
      <c r="S183" s="109"/>
      <c r="T183" s="109"/>
      <c r="U183" s="109"/>
      <c r="V183" s="109"/>
    </row>
    <row r="184" spans="2:22" ht="12.75" customHeight="1" x14ac:dyDescent="0.2">
      <c r="B184" s="5" t="s">
        <v>660</v>
      </c>
      <c r="C184" s="118" t="s">
        <v>660</v>
      </c>
      <c r="D184" s="46" t="s">
        <v>1592</v>
      </c>
      <c r="E184" s="41"/>
      <c r="F184" s="134">
        <v>-60.300000000000004</v>
      </c>
      <c r="G184" s="134">
        <v>-2.8000000000000003</v>
      </c>
      <c r="H184" s="134">
        <v>-54.5</v>
      </c>
      <c r="I184" s="134">
        <v>93.3</v>
      </c>
      <c r="J184" s="134">
        <v>-57.9</v>
      </c>
      <c r="K184" s="134">
        <v>184.4</v>
      </c>
      <c r="L184" s="134">
        <v>-53.9</v>
      </c>
      <c r="M184" s="134">
        <v>-143.4</v>
      </c>
      <c r="N184" s="134">
        <v>-364.7</v>
      </c>
      <c r="O184" s="134">
        <v>-64</v>
      </c>
      <c r="P184" s="134">
        <v>1.6</v>
      </c>
      <c r="Q184" s="134">
        <v>107.2</v>
      </c>
      <c r="R184" s="109"/>
      <c r="S184" s="109"/>
      <c r="T184" s="109"/>
      <c r="U184" s="109"/>
      <c r="V184" s="109"/>
    </row>
    <row r="185" spans="2:22" ht="12.75" customHeight="1" x14ac:dyDescent="0.2">
      <c r="B185" s="5" t="s">
        <v>659</v>
      </c>
      <c r="C185" s="118" t="s">
        <v>659</v>
      </c>
      <c r="D185" s="46" t="s">
        <v>1600</v>
      </c>
      <c r="E185" s="41"/>
      <c r="F185" s="134">
        <v>0.4</v>
      </c>
      <c r="G185" s="134">
        <v>627.5</v>
      </c>
      <c r="H185" s="134">
        <v>-590.70000000000005</v>
      </c>
      <c r="I185" s="134">
        <v>-38.1</v>
      </c>
      <c r="J185" s="134">
        <v>1.7</v>
      </c>
      <c r="K185" s="134">
        <v>679.2</v>
      </c>
      <c r="L185" s="134">
        <v>-665.9</v>
      </c>
      <c r="M185" s="134">
        <v>-11.200000000000001</v>
      </c>
      <c r="N185" s="134">
        <v>-1.1000000000000001</v>
      </c>
      <c r="O185" s="134">
        <v>479.1</v>
      </c>
      <c r="P185" s="134">
        <v>-393.40000000000003</v>
      </c>
      <c r="Q185" s="134">
        <v>-88</v>
      </c>
      <c r="R185" s="109"/>
      <c r="S185" s="109"/>
      <c r="T185" s="109"/>
      <c r="U185" s="109"/>
      <c r="V185" s="109"/>
    </row>
    <row r="186" spans="2:22" ht="12.75" customHeight="1" x14ac:dyDescent="0.2">
      <c r="B186" s="5" t="s">
        <v>658</v>
      </c>
      <c r="C186" s="118" t="s">
        <v>1010</v>
      </c>
      <c r="D186" s="46" t="s">
        <v>1595</v>
      </c>
      <c r="E186" s="41"/>
      <c r="F186" s="134">
        <v>-12.3</v>
      </c>
      <c r="G186" s="134">
        <v>-68.3</v>
      </c>
      <c r="H186" s="134">
        <v>24</v>
      </c>
      <c r="I186" s="134">
        <v>-4.3</v>
      </c>
      <c r="J186" s="134">
        <v>-23.2</v>
      </c>
      <c r="K186" s="134">
        <v>22.6</v>
      </c>
      <c r="L186" s="134">
        <v>23</v>
      </c>
      <c r="M186" s="134">
        <v>-95.600000000000009</v>
      </c>
      <c r="N186" s="134">
        <v>-24.3</v>
      </c>
      <c r="O186" s="134">
        <v>34.1</v>
      </c>
      <c r="P186" s="134">
        <v>27.400000000000002</v>
      </c>
      <c r="Q186" s="134">
        <v>-23.900000000000002</v>
      </c>
      <c r="R186" s="109"/>
      <c r="S186" s="109"/>
      <c r="T186" s="109"/>
      <c r="U186" s="109"/>
      <c r="V186" s="109"/>
    </row>
    <row r="187" spans="2:22" ht="12.75" customHeight="1" x14ac:dyDescent="0.2">
      <c r="B187" s="5" t="s">
        <v>657</v>
      </c>
      <c r="C187" s="118" t="s">
        <v>657</v>
      </c>
      <c r="D187" s="46" t="s">
        <v>1594</v>
      </c>
      <c r="E187" s="41"/>
      <c r="F187" s="134" t="s">
        <v>1443</v>
      </c>
      <c r="G187" s="134" t="s">
        <v>1443</v>
      </c>
      <c r="H187" s="134" t="s">
        <v>1443</v>
      </c>
      <c r="I187" s="134" t="s">
        <v>1443</v>
      </c>
      <c r="J187" s="134" t="s">
        <v>1443</v>
      </c>
      <c r="K187" s="134" t="s">
        <v>1443</v>
      </c>
      <c r="L187" s="134" t="s">
        <v>1443</v>
      </c>
      <c r="M187" s="134" t="s">
        <v>1443</v>
      </c>
      <c r="N187" s="134" t="s">
        <v>1443</v>
      </c>
      <c r="O187" s="134" t="s">
        <v>1443</v>
      </c>
      <c r="P187" s="134" t="s">
        <v>1443</v>
      </c>
      <c r="Q187" s="134" t="s">
        <v>1443</v>
      </c>
      <c r="R187" s="109"/>
      <c r="S187" s="109"/>
      <c r="T187" s="109"/>
      <c r="U187" s="109"/>
      <c r="V187" s="109"/>
    </row>
    <row r="188" spans="2:22" ht="12.75" customHeight="1" x14ac:dyDescent="0.2">
      <c r="B188" s="5" t="s">
        <v>656</v>
      </c>
      <c r="C188" s="118" t="s">
        <v>1011</v>
      </c>
      <c r="D188" s="46" t="s">
        <v>1598</v>
      </c>
      <c r="E188" s="41"/>
      <c r="F188" s="134">
        <v>91.7</v>
      </c>
      <c r="G188" s="134">
        <v>-259.7</v>
      </c>
      <c r="H188" s="134">
        <v>248.20000000000002</v>
      </c>
      <c r="I188" s="134">
        <v>21.6</v>
      </c>
      <c r="J188" s="134">
        <v>114.3</v>
      </c>
      <c r="K188" s="134">
        <v>-419.6</v>
      </c>
      <c r="L188" s="134">
        <v>120.5</v>
      </c>
      <c r="M188" s="134">
        <v>1.4000000000000001</v>
      </c>
      <c r="N188" s="134">
        <v>157.80000000000001</v>
      </c>
      <c r="O188" s="134">
        <v>-381.8</v>
      </c>
      <c r="P188" s="134">
        <v>186</v>
      </c>
      <c r="Q188" s="134">
        <v>48.800000000000004</v>
      </c>
      <c r="R188" s="109"/>
      <c r="S188" s="109"/>
      <c r="T188" s="109"/>
      <c r="U188" s="109"/>
      <c r="V188" s="109"/>
    </row>
    <row r="189" spans="2:22" ht="12.75" customHeight="1" thickBot="1" x14ac:dyDescent="0.25">
      <c r="B189" s="14" t="s">
        <v>655</v>
      </c>
      <c r="C189" s="119" t="s">
        <v>655</v>
      </c>
      <c r="D189" s="44" t="s">
        <v>1588</v>
      </c>
      <c r="E189" s="44"/>
      <c r="F189" s="138">
        <v>316.10000000000002</v>
      </c>
      <c r="G189" s="138">
        <v>575.80000000000007</v>
      </c>
      <c r="H189" s="138">
        <v>-608.80000000000007</v>
      </c>
      <c r="I189" s="138">
        <v>175.3</v>
      </c>
      <c r="J189" s="138">
        <v>397.40000000000003</v>
      </c>
      <c r="K189" s="138">
        <v>618.5</v>
      </c>
      <c r="L189" s="138">
        <v>-863.9</v>
      </c>
      <c r="M189" s="138">
        <v>117.2</v>
      </c>
      <c r="N189" s="138">
        <v>67.5</v>
      </c>
      <c r="O189" s="138">
        <v>292.8</v>
      </c>
      <c r="P189" s="138">
        <v>-164.4</v>
      </c>
      <c r="Q189" s="138">
        <v>294.8</v>
      </c>
      <c r="R189" s="109"/>
      <c r="S189" s="109"/>
      <c r="T189" s="109"/>
      <c r="U189" s="109"/>
      <c r="V189" s="109"/>
    </row>
    <row r="190" spans="2:22" ht="12.75" customHeight="1" thickTop="1" x14ac:dyDescent="0.2">
      <c r="B190" s="11"/>
      <c r="C190" s="120" t="s">
        <v>192</v>
      </c>
      <c r="D190" s="46" t="s">
        <v>192</v>
      </c>
      <c r="E190" s="41"/>
      <c r="F190" s="134"/>
      <c r="G190" s="134"/>
      <c r="H190" s="134"/>
      <c r="I190" s="134"/>
      <c r="J190" s="134"/>
      <c r="K190" s="134"/>
      <c r="L190" s="134"/>
      <c r="M190" s="134"/>
      <c r="N190" s="134"/>
      <c r="O190" s="134"/>
      <c r="P190" s="134"/>
      <c r="Q190" s="134"/>
    </row>
    <row r="191" spans="2:22" ht="12.75" customHeight="1" x14ac:dyDescent="0.2">
      <c r="B191" s="5" t="s">
        <v>654</v>
      </c>
      <c r="C191" s="118" t="s">
        <v>654</v>
      </c>
      <c r="D191" s="46" t="s">
        <v>1570</v>
      </c>
      <c r="E191" s="41"/>
      <c r="F191" s="134">
        <v>-29.5</v>
      </c>
      <c r="G191" s="134">
        <v>-23.7</v>
      </c>
      <c r="H191" s="134">
        <v>-50.300000000000004</v>
      </c>
      <c r="I191" s="134">
        <v>-23.400000000000002</v>
      </c>
      <c r="J191" s="134">
        <v>-34.700000000000003</v>
      </c>
      <c r="K191" s="134">
        <v>-33.9</v>
      </c>
      <c r="L191" s="134">
        <v>-46.9</v>
      </c>
      <c r="M191" s="134">
        <v>-28.900000000000002</v>
      </c>
      <c r="N191" s="134">
        <v>-33</v>
      </c>
      <c r="O191" s="134">
        <v>-25.1</v>
      </c>
      <c r="P191" s="134">
        <v>-20.7</v>
      </c>
      <c r="Q191" s="134">
        <v>-9.9</v>
      </c>
      <c r="R191" s="109"/>
      <c r="S191" s="109"/>
      <c r="T191" s="109"/>
      <c r="U191" s="109"/>
      <c r="V191" s="109"/>
    </row>
    <row r="192" spans="2:22" ht="12.75" customHeight="1" x14ac:dyDescent="0.2">
      <c r="B192" s="5" t="s">
        <v>653</v>
      </c>
      <c r="C192" s="118" t="s">
        <v>1012</v>
      </c>
      <c r="D192" s="46" t="s">
        <v>1855</v>
      </c>
      <c r="E192" s="41"/>
      <c r="F192" s="134" t="s">
        <v>1443</v>
      </c>
      <c r="G192" s="134" t="s">
        <v>1443</v>
      </c>
      <c r="H192" s="134" t="s">
        <v>1443</v>
      </c>
      <c r="I192" s="134" t="s">
        <v>1443</v>
      </c>
      <c r="J192" s="134" t="s">
        <v>1443</v>
      </c>
      <c r="K192" s="134" t="s">
        <v>1443</v>
      </c>
      <c r="L192" s="134" t="s">
        <v>1443</v>
      </c>
      <c r="M192" s="134" t="s">
        <v>1443</v>
      </c>
      <c r="N192" s="134" t="s">
        <v>1443</v>
      </c>
      <c r="O192" s="134" t="s">
        <v>1443</v>
      </c>
      <c r="P192" s="134" t="s">
        <v>1443</v>
      </c>
      <c r="Q192" s="134" t="s">
        <v>1443</v>
      </c>
      <c r="R192" s="109"/>
      <c r="S192" s="109"/>
      <c r="T192" s="109"/>
      <c r="U192" s="109"/>
      <c r="V192" s="109"/>
    </row>
    <row r="193" spans="2:22" ht="12.75" customHeight="1" x14ac:dyDescent="0.2">
      <c r="B193" s="5" t="s">
        <v>652</v>
      </c>
      <c r="C193" s="118" t="s">
        <v>652</v>
      </c>
      <c r="D193" s="46" t="s">
        <v>1579</v>
      </c>
      <c r="E193" s="41"/>
      <c r="F193" s="134">
        <v>-2</v>
      </c>
      <c r="G193" s="134">
        <v>-0.6</v>
      </c>
      <c r="H193" s="134">
        <v>-1</v>
      </c>
      <c r="I193" s="134">
        <v>0.5</v>
      </c>
      <c r="J193" s="134">
        <v>-191</v>
      </c>
      <c r="K193" s="134">
        <v>-6.7</v>
      </c>
      <c r="L193" s="134">
        <v>-3.1</v>
      </c>
      <c r="M193" s="134">
        <v>-0.1</v>
      </c>
      <c r="N193" s="134">
        <v>-0.9</v>
      </c>
      <c r="O193" s="134">
        <v>-12.4</v>
      </c>
      <c r="P193" s="134">
        <v>-0.3</v>
      </c>
      <c r="Q193" s="134">
        <v>-1.5</v>
      </c>
      <c r="R193" s="109"/>
      <c r="S193" s="109"/>
      <c r="T193" s="109"/>
      <c r="U193" s="109"/>
      <c r="V193" s="109"/>
    </row>
    <row r="194" spans="2:22" ht="12.75" customHeight="1" x14ac:dyDescent="0.2">
      <c r="B194" s="5" t="s">
        <v>651</v>
      </c>
      <c r="C194" s="118" t="s">
        <v>651</v>
      </c>
      <c r="D194" s="46" t="s">
        <v>1648</v>
      </c>
      <c r="E194" s="41"/>
      <c r="F194" s="134" t="s">
        <v>1443</v>
      </c>
      <c r="G194" s="134" t="s">
        <v>1443</v>
      </c>
      <c r="H194" s="134" t="s">
        <v>1443</v>
      </c>
      <c r="I194" s="134" t="s">
        <v>1443</v>
      </c>
      <c r="J194" s="134" t="s">
        <v>1443</v>
      </c>
      <c r="K194" s="134" t="s">
        <v>1443</v>
      </c>
      <c r="L194" s="134" t="s">
        <v>1443</v>
      </c>
      <c r="M194" s="134" t="s">
        <v>1443</v>
      </c>
      <c r="N194" s="134" t="s">
        <v>1443</v>
      </c>
      <c r="O194" s="134" t="s">
        <v>1443</v>
      </c>
      <c r="P194" s="134" t="s">
        <v>1443</v>
      </c>
      <c r="Q194" s="134" t="s">
        <v>1443</v>
      </c>
      <c r="R194" s="109"/>
      <c r="S194" s="109"/>
      <c r="T194" s="109"/>
      <c r="U194" s="109"/>
      <c r="V194" s="109"/>
    </row>
    <row r="195" spans="2:22" ht="12.75" customHeight="1" x14ac:dyDescent="0.2">
      <c r="B195" s="5" t="s">
        <v>650</v>
      </c>
      <c r="C195" s="118" t="s">
        <v>1013</v>
      </c>
      <c r="D195" s="46" t="s">
        <v>1856</v>
      </c>
      <c r="E195" s="41"/>
      <c r="F195" s="134" t="s">
        <v>1443</v>
      </c>
      <c r="G195" s="134" t="s">
        <v>1443</v>
      </c>
      <c r="H195" s="134" t="s">
        <v>1443</v>
      </c>
      <c r="I195" s="134" t="s">
        <v>1443</v>
      </c>
      <c r="J195" s="134" t="s">
        <v>1443</v>
      </c>
      <c r="K195" s="134">
        <v>50.5</v>
      </c>
      <c r="L195" s="134" t="s">
        <v>1443</v>
      </c>
      <c r="M195" s="134">
        <v>5.8</v>
      </c>
      <c r="N195" s="134">
        <v>0</v>
      </c>
      <c r="O195" s="134">
        <v>0</v>
      </c>
      <c r="P195" s="134" t="s">
        <v>1443</v>
      </c>
      <c r="Q195" s="134" t="s">
        <v>1443</v>
      </c>
      <c r="R195" s="109"/>
      <c r="S195" s="109"/>
      <c r="T195" s="109"/>
      <c r="U195" s="109"/>
      <c r="V195" s="109"/>
    </row>
    <row r="196" spans="2:22" ht="12.75" customHeight="1" x14ac:dyDescent="0.2">
      <c r="B196" s="5" t="s">
        <v>649</v>
      </c>
      <c r="C196" s="118" t="s">
        <v>1014</v>
      </c>
      <c r="D196" s="46" t="s">
        <v>1854</v>
      </c>
      <c r="E196" s="41"/>
      <c r="F196" s="134">
        <v>0</v>
      </c>
      <c r="G196" s="134">
        <v>18.8</v>
      </c>
      <c r="H196" s="134" t="s">
        <v>1443</v>
      </c>
      <c r="I196" s="134" t="s">
        <v>1443</v>
      </c>
      <c r="J196" s="134" t="s">
        <v>1443</v>
      </c>
      <c r="K196" s="134">
        <v>6.8</v>
      </c>
      <c r="L196" s="134" t="s">
        <v>1443</v>
      </c>
      <c r="M196" s="134" t="s">
        <v>1443</v>
      </c>
      <c r="N196" s="134">
        <v>-11.9</v>
      </c>
      <c r="O196" s="134">
        <v>14.8</v>
      </c>
      <c r="P196" s="134" t="s">
        <v>1443</v>
      </c>
      <c r="Q196" s="134" t="s">
        <v>1443</v>
      </c>
      <c r="R196" s="109"/>
      <c r="S196" s="109"/>
      <c r="T196" s="109"/>
      <c r="U196" s="109"/>
      <c r="V196" s="109"/>
    </row>
    <row r="197" spans="2:22" ht="12.75" customHeight="1" x14ac:dyDescent="0.2">
      <c r="B197" s="5" t="s">
        <v>648</v>
      </c>
      <c r="C197" s="118" t="s">
        <v>1015</v>
      </c>
      <c r="D197" s="46" t="s">
        <v>1732</v>
      </c>
      <c r="E197" s="41"/>
      <c r="F197" s="134" t="s">
        <v>1443</v>
      </c>
      <c r="G197" s="134" t="s">
        <v>1443</v>
      </c>
      <c r="H197" s="134" t="s">
        <v>1443</v>
      </c>
      <c r="I197" s="134" t="s">
        <v>1443</v>
      </c>
      <c r="J197" s="134" t="s">
        <v>1443</v>
      </c>
      <c r="K197" s="134" t="s">
        <v>1443</v>
      </c>
      <c r="L197" s="134" t="s">
        <v>1443</v>
      </c>
      <c r="M197" s="134" t="s">
        <v>1443</v>
      </c>
      <c r="N197" s="134" t="s">
        <v>1443</v>
      </c>
      <c r="O197" s="134" t="s">
        <v>1443</v>
      </c>
      <c r="P197" s="134" t="s">
        <v>1443</v>
      </c>
      <c r="Q197" s="134" t="s">
        <v>1443</v>
      </c>
      <c r="R197" s="109"/>
      <c r="S197" s="109"/>
      <c r="T197" s="109"/>
      <c r="U197" s="109"/>
      <c r="V197" s="109"/>
    </row>
    <row r="198" spans="2:22" ht="12.75" customHeight="1" x14ac:dyDescent="0.2">
      <c r="B198" s="5" t="s">
        <v>647</v>
      </c>
      <c r="C198" s="118" t="s">
        <v>1016</v>
      </c>
      <c r="D198" s="46" t="s">
        <v>1731</v>
      </c>
      <c r="E198" s="41"/>
      <c r="F198" s="134" t="s">
        <v>1443</v>
      </c>
      <c r="G198" s="134" t="s">
        <v>1443</v>
      </c>
      <c r="H198" s="134" t="s">
        <v>1443</v>
      </c>
      <c r="I198" s="134" t="s">
        <v>1443</v>
      </c>
      <c r="J198" s="134" t="s">
        <v>1443</v>
      </c>
      <c r="K198" s="134" t="s">
        <v>1443</v>
      </c>
      <c r="L198" s="134" t="s">
        <v>1443</v>
      </c>
      <c r="M198" s="134" t="s">
        <v>1443</v>
      </c>
      <c r="N198" s="134" t="s">
        <v>1443</v>
      </c>
      <c r="O198" s="134" t="s">
        <v>1443</v>
      </c>
      <c r="P198" s="134" t="s">
        <v>1443</v>
      </c>
      <c r="Q198" s="134" t="s">
        <v>1443</v>
      </c>
      <c r="R198" s="109"/>
      <c r="S198" s="109"/>
      <c r="T198" s="109"/>
      <c r="U198" s="109"/>
      <c r="V198" s="109"/>
    </row>
    <row r="199" spans="2:22" ht="12.75" customHeight="1" x14ac:dyDescent="0.2">
      <c r="B199" s="5" t="s">
        <v>646</v>
      </c>
      <c r="C199" s="118" t="s">
        <v>646</v>
      </c>
      <c r="D199" s="46" t="s">
        <v>1806</v>
      </c>
      <c r="E199" s="41"/>
      <c r="F199" s="134">
        <v>13.6</v>
      </c>
      <c r="G199" s="134">
        <v>-7.4</v>
      </c>
      <c r="H199" s="134">
        <v>-4.6000000000000005</v>
      </c>
      <c r="I199" s="134">
        <v>13.5</v>
      </c>
      <c r="J199" s="134">
        <v>-3.2</v>
      </c>
      <c r="K199" s="134">
        <v>11.1</v>
      </c>
      <c r="L199" s="134">
        <v>-4.4000000000000004</v>
      </c>
      <c r="M199" s="134">
        <v>-0.9</v>
      </c>
      <c r="N199" s="134">
        <v>-2.5</v>
      </c>
      <c r="O199" s="134">
        <v>-4.9000000000000004</v>
      </c>
      <c r="P199" s="134">
        <v>-2.7</v>
      </c>
      <c r="Q199" s="134">
        <v>-4.5</v>
      </c>
      <c r="R199" s="109"/>
      <c r="S199" s="109"/>
      <c r="T199" s="109"/>
      <c r="U199" s="109"/>
      <c r="V199" s="109"/>
    </row>
    <row r="200" spans="2:22" ht="12.75" customHeight="1" thickBot="1" x14ac:dyDescent="0.25">
      <c r="B200" s="14" t="s">
        <v>645</v>
      </c>
      <c r="C200" s="119" t="s">
        <v>645</v>
      </c>
      <c r="D200" s="44" t="s">
        <v>1585</v>
      </c>
      <c r="E200" s="44"/>
      <c r="F200" s="138">
        <v>-17.900000000000002</v>
      </c>
      <c r="G200" s="138">
        <v>-12.9</v>
      </c>
      <c r="H200" s="138">
        <v>-55.9</v>
      </c>
      <c r="I200" s="138">
        <v>-9.4</v>
      </c>
      <c r="J200" s="138">
        <v>-228.9</v>
      </c>
      <c r="K200" s="138">
        <v>27.8</v>
      </c>
      <c r="L200" s="138">
        <v>-54.4</v>
      </c>
      <c r="M200" s="138">
        <v>-24.1</v>
      </c>
      <c r="N200" s="138">
        <v>-48.300000000000004</v>
      </c>
      <c r="O200" s="138">
        <v>-27.6</v>
      </c>
      <c r="P200" s="138">
        <v>-23.7</v>
      </c>
      <c r="Q200" s="138">
        <v>-15.9</v>
      </c>
      <c r="R200" s="109"/>
      <c r="S200" s="109"/>
      <c r="T200" s="109"/>
      <c r="U200" s="109"/>
      <c r="V200" s="109"/>
    </row>
    <row r="201" spans="2:22" ht="12.75" customHeight="1" thickTop="1" x14ac:dyDescent="0.2">
      <c r="B201" s="11"/>
      <c r="C201" s="120" t="s">
        <v>192</v>
      </c>
      <c r="D201" s="46" t="s">
        <v>192</v>
      </c>
      <c r="E201" s="41"/>
      <c r="F201" s="134"/>
      <c r="G201" s="134"/>
      <c r="H201" s="134"/>
      <c r="I201" s="134"/>
      <c r="J201" s="134"/>
      <c r="K201" s="134"/>
      <c r="L201" s="134"/>
      <c r="M201" s="134"/>
      <c r="N201" s="134"/>
      <c r="O201" s="134"/>
      <c r="P201" s="134"/>
      <c r="Q201" s="134"/>
    </row>
    <row r="202" spans="2:22" ht="12.75" customHeight="1" x14ac:dyDescent="0.2">
      <c r="B202" s="5" t="s">
        <v>644</v>
      </c>
      <c r="C202" s="118" t="s">
        <v>644</v>
      </c>
      <c r="D202" s="46" t="s">
        <v>1865</v>
      </c>
      <c r="E202" s="41"/>
      <c r="F202" s="134" t="s">
        <v>1443</v>
      </c>
      <c r="G202" s="134" t="s">
        <v>1443</v>
      </c>
      <c r="H202" s="134">
        <v>583.30000000000007</v>
      </c>
      <c r="I202" s="134" t="s">
        <v>1443</v>
      </c>
      <c r="J202" s="134" t="s">
        <v>1443</v>
      </c>
      <c r="K202" s="134" t="s">
        <v>1443</v>
      </c>
      <c r="L202" s="134">
        <v>941.4</v>
      </c>
      <c r="M202" s="134" t="s">
        <v>1443</v>
      </c>
      <c r="N202" s="134" t="s">
        <v>1443</v>
      </c>
      <c r="O202" s="134" t="s">
        <v>1443</v>
      </c>
      <c r="P202" s="134">
        <v>379.90000000000003</v>
      </c>
      <c r="Q202" s="134" t="s">
        <v>1443</v>
      </c>
      <c r="R202" s="109"/>
      <c r="S202" s="109"/>
      <c r="T202" s="109"/>
      <c r="U202" s="109"/>
      <c r="V202" s="109"/>
    </row>
    <row r="203" spans="2:22" ht="12.75" customHeight="1" x14ac:dyDescent="0.2">
      <c r="B203" s="5" t="s">
        <v>643</v>
      </c>
      <c r="C203" s="118" t="s">
        <v>643</v>
      </c>
      <c r="D203" s="46" t="s">
        <v>1749</v>
      </c>
      <c r="E203" s="41"/>
      <c r="F203" s="134" t="s">
        <v>1443</v>
      </c>
      <c r="G203" s="134" t="s">
        <v>1443</v>
      </c>
      <c r="H203" s="134">
        <v>0.5</v>
      </c>
      <c r="I203" s="134" t="s">
        <v>1443</v>
      </c>
      <c r="J203" s="134" t="s">
        <v>1443</v>
      </c>
      <c r="K203" s="134" t="s">
        <v>1443</v>
      </c>
      <c r="L203" s="134" t="s">
        <v>1443</v>
      </c>
      <c r="M203" s="134" t="s">
        <v>1443</v>
      </c>
      <c r="N203" s="134" t="s">
        <v>1443</v>
      </c>
      <c r="O203" s="134" t="s">
        <v>1443</v>
      </c>
      <c r="P203" s="134" t="s">
        <v>1443</v>
      </c>
      <c r="Q203" s="134" t="s">
        <v>1443</v>
      </c>
      <c r="R203" s="109"/>
      <c r="S203" s="109"/>
      <c r="T203" s="109"/>
      <c r="U203" s="109"/>
      <c r="V203" s="109"/>
    </row>
    <row r="204" spans="2:22" ht="12.75" customHeight="1" x14ac:dyDescent="0.2">
      <c r="B204" s="14" t="s">
        <v>642</v>
      </c>
      <c r="C204" s="119" t="s">
        <v>642</v>
      </c>
      <c r="D204" s="44" t="s">
        <v>1906</v>
      </c>
      <c r="E204" s="44"/>
      <c r="F204" s="135">
        <v>-421.2</v>
      </c>
      <c r="G204" s="135">
        <v>979.30000000000007</v>
      </c>
      <c r="H204" s="135">
        <v>583.80000000000007</v>
      </c>
      <c r="I204" s="135">
        <v>137.70000000000002</v>
      </c>
      <c r="J204" s="135">
        <v>-320.10000000000002</v>
      </c>
      <c r="K204" s="135">
        <v>-286.2</v>
      </c>
      <c r="L204" s="135">
        <v>941.4</v>
      </c>
      <c r="M204" s="135">
        <v>1276.3</v>
      </c>
      <c r="N204" s="135">
        <v>-560.70000000000005</v>
      </c>
      <c r="O204" s="135">
        <v>242.3</v>
      </c>
      <c r="P204" s="135">
        <v>379.90000000000003</v>
      </c>
      <c r="Q204" s="135">
        <v>-148.4</v>
      </c>
      <c r="R204" s="109"/>
      <c r="S204" s="109"/>
      <c r="T204" s="109"/>
      <c r="U204" s="109"/>
      <c r="V204" s="109"/>
    </row>
    <row r="205" spans="2:22" ht="12.75" customHeight="1" x14ac:dyDescent="0.2">
      <c r="B205" s="5" t="s">
        <v>641</v>
      </c>
      <c r="C205" s="118" t="s">
        <v>641</v>
      </c>
      <c r="D205" s="46" t="s">
        <v>1866</v>
      </c>
      <c r="E205" s="41"/>
      <c r="F205" s="134" t="s">
        <v>1443</v>
      </c>
      <c r="G205" s="134" t="s">
        <v>1443</v>
      </c>
      <c r="H205" s="134" t="s">
        <v>1443</v>
      </c>
      <c r="I205" s="134" t="s">
        <v>1443</v>
      </c>
      <c r="J205" s="134" t="s">
        <v>1443</v>
      </c>
      <c r="K205" s="134" t="s">
        <v>1443</v>
      </c>
      <c r="L205" s="134" t="s">
        <v>1443</v>
      </c>
      <c r="M205" s="134" t="s">
        <v>1443</v>
      </c>
      <c r="N205" s="134" t="s">
        <v>1443</v>
      </c>
      <c r="O205" s="134" t="s">
        <v>1443</v>
      </c>
      <c r="P205" s="134" t="s">
        <v>1443</v>
      </c>
      <c r="Q205" s="134" t="s">
        <v>1443</v>
      </c>
      <c r="R205" s="109"/>
      <c r="S205" s="109"/>
      <c r="T205" s="109"/>
      <c r="U205" s="109"/>
      <c r="V205" s="109"/>
    </row>
    <row r="206" spans="2:22" ht="12.75" customHeight="1" x14ac:dyDescent="0.2">
      <c r="B206" s="5" t="s">
        <v>640</v>
      </c>
      <c r="C206" s="118" t="s">
        <v>640</v>
      </c>
      <c r="D206" s="46" t="s">
        <v>1750</v>
      </c>
      <c r="E206" s="41"/>
      <c r="F206" s="134" t="s">
        <v>1443</v>
      </c>
      <c r="G206" s="134" t="s">
        <v>1443</v>
      </c>
      <c r="H206" s="134" t="s">
        <v>1443</v>
      </c>
      <c r="I206" s="134" t="s">
        <v>1443</v>
      </c>
      <c r="J206" s="134" t="s">
        <v>1443</v>
      </c>
      <c r="K206" s="134" t="s">
        <v>1443</v>
      </c>
      <c r="L206" s="134" t="s">
        <v>1443</v>
      </c>
      <c r="M206" s="134" t="s">
        <v>1443</v>
      </c>
      <c r="N206" s="134" t="s">
        <v>1443</v>
      </c>
      <c r="O206" s="134" t="s">
        <v>1443</v>
      </c>
      <c r="P206" s="134" t="s">
        <v>1443</v>
      </c>
      <c r="Q206" s="134" t="s">
        <v>1443</v>
      </c>
      <c r="R206" s="109"/>
      <c r="S206" s="109"/>
      <c r="T206" s="109"/>
      <c r="U206" s="109"/>
      <c r="V206" s="109"/>
    </row>
    <row r="207" spans="2:22" ht="12.75" customHeight="1" x14ac:dyDescent="0.2">
      <c r="B207" s="14" t="s">
        <v>639</v>
      </c>
      <c r="C207" s="119" t="s">
        <v>639</v>
      </c>
      <c r="D207" s="44" t="s">
        <v>1907</v>
      </c>
      <c r="E207" s="44"/>
      <c r="F207" s="135">
        <v>0</v>
      </c>
      <c r="G207" s="135">
        <v>-1200.5</v>
      </c>
      <c r="H207" s="135" t="s">
        <v>1443</v>
      </c>
      <c r="I207" s="135">
        <v>-0.3</v>
      </c>
      <c r="J207" s="135">
        <v>-0.8</v>
      </c>
      <c r="K207" s="135">
        <v>-0.3</v>
      </c>
      <c r="L207" s="135" t="s">
        <v>1443</v>
      </c>
      <c r="M207" s="135">
        <v>-800</v>
      </c>
      <c r="N207" s="135">
        <v>0</v>
      </c>
      <c r="O207" s="135">
        <v>-400</v>
      </c>
      <c r="P207" s="135" t="s">
        <v>1443</v>
      </c>
      <c r="Q207" s="135" t="s">
        <v>1443</v>
      </c>
      <c r="R207" s="109"/>
      <c r="S207" s="109"/>
      <c r="T207" s="109"/>
      <c r="U207" s="109"/>
      <c r="V207" s="109"/>
    </row>
    <row r="208" spans="2:22" ht="12.75" customHeight="1" x14ac:dyDescent="0.2">
      <c r="B208" s="11"/>
      <c r="C208" s="120" t="s">
        <v>192</v>
      </c>
      <c r="D208" s="46" t="s">
        <v>192</v>
      </c>
      <c r="E208" s="41"/>
      <c r="F208" s="134"/>
      <c r="G208" s="134"/>
      <c r="H208" s="134"/>
      <c r="I208" s="134"/>
      <c r="J208" s="134"/>
      <c r="K208" s="134"/>
      <c r="L208" s="134"/>
      <c r="M208" s="134"/>
      <c r="N208" s="134"/>
      <c r="O208" s="134"/>
      <c r="P208" s="134"/>
      <c r="Q208" s="134"/>
    </row>
    <row r="209" spans="2:22" ht="12.75" customHeight="1" x14ac:dyDescent="0.2">
      <c r="B209" s="5" t="s">
        <v>638</v>
      </c>
      <c r="C209" s="118" t="s">
        <v>638</v>
      </c>
      <c r="D209" s="46" t="s">
        <v>1607</v>
      </c>
      <c r="E209" s="41"/>
      <c r="F209" s="134">
        <v>0.3</v>
      </c>
      <c r="G209" s="134">
        <v>2</v>
      </c>
      <c r="H209" s="134">
        <v>7.1000000000000005</v>
      </c>
      <c r="I209" s="134">
        <v>1.2</v>
      </c>
      <c r="J209" s="134">
        <v>0.1</v>
      </c>
      <c r="K209" s="134">
        <v>1</v>
      </c>
      <c r="L209" s="134">
        <v>2.3000000000000003</v>
      </c>
      <c r="M209" s="134">
        <v>1.6</v>
      </c>
      <c r="N209" s="134">
        <v>1.3</v>
      </c>
      <c r="O209" s="134">
        <v>0.1</v>
      </c>
      <c r="P209" s="134" t="s">
        <v>1443</v>
      </c>
      <c r="Q209" s="134">
        <v>0.2</v>
      </c>
      <c r="R209" s="109"/>
      <c r="S209" s="109"/>
      <c r="T209" s="109"/>
      <c r="U209" s="109"/>
      <c r="V209" s="109"/>
    </row>
    <row r="210" spans="2:22" ht="12.75" customHeight="1" x14ac:dyDescent="0.2">
      <c r="B210" s="5" t="s">
        <v>637</v>
      </c>
      <c r="C210" s="118" t="s">
        <v>1017</v>
      </c>
      <c r="D210" s="46" t="s">
        <v>1609</v>
      </c>
      <c r="E210" s="41"/>
      <c r="F210" s="134">
        <v>-200.1</v>
      </c>
      <c r="G210" s="134">
        <v>-100</v>
      </c>
      <c r="H210" s="134">
        <v>-8.6</v>
      </c>
      <c r="I210" s="134">
        <v>0</v>
      </c>
      <c r="J210" s="134">
        <v>-0.3</v>
      </c>
      <c r="K210" s="134">
        <v>-100</v>
      </c>
      <c r="L210" s="134">
        <v>-30.7</v>
      </c>
      <c r="M210" s="134">
        <v>-50.5</v>
      </c>
      <c r="N210" s="134">
        <v>0</v>
      </c>
      <c r="O210" s="134">
        <v>0</v>
      </c>
      <c r="P210" s="134">
        <v>-1.7</v>
      </c>
      <c r="Q210" s="134">
        <v>-0.1</v>
      </c>
      <c r="R210" s="109"/>
      <c r="S210" s="109"/>
      <c r="T210" s="109"/>
      <c r="U210" s="109"/>
      <c r="V210" s="109"/>
    </row>
    <row r="211" spans="2:22" ht="12.75" customHeight="1" x14ac:dyDescent="0.2">
      <c r="B211" s="5" t="s">
        <v>636</v>
      </c>
      <c r="C211" s="118" t="s">
        <v>636</v>
      </c>
      <c r="D211" s="46" t="s">
        <v>1825</v>
      </c>
      <c r="E211" s="41"/>
      <c r="F211" s="134" t="s">
        <v>1443</v>
      </c>
      <c r="G211" s="134" t="s">
        <v>1443</v>
      </c>
      <c r="H211" s="134" t="s">
        <v>1443</v>
      </c>
      <c r="I211" s="134" t="s">
        <v>1443</v>
      </c>
      <c r="J211" s="134" t="s">
        <v>1443</v>
      </c>
      <c r="K211" s="134" t="s">
        <v>1443</v>
      </c>
      <c r="L211" s="134" t="s">
        <v>1443</v>
      </c>
      <c r="M211" s="134" t="s">
        <v>1443</v>
      </c>
      <c r="N211" s="134" t="s">
        <v>1443</v>
      </c>
      <c r="O211" s="134" t="s">
        <v>1443</v>
      </c>
      <c r="P211" s="134" t="s">
        <v>1443</v>
      </c>
      <c r="Q211" s="134" t="s">
        <v>1443</v>
      </c>
      <c r="R211" s="109"/>
      <c r="S211" s="109"/>
      <c r="T211" s="109"/>
      <c r="U211" s="109"/>
      <c r="V211" s="109"/>
    </row>
    <row r="212" spans="2:22" ht="12.75" customHeight="1" x14ac:dyDescent="0.2">
      <c r="B212" s="5" t="s">
        <v>635</v>
      </c>
      <c r="C212" s="118" t="s">
        <v>1018</v>
      </c>
      <c r="D212" s="46" t="s">
        <v>1829</v>
      </c>
      <c r="E212" s="41"/>
      <c r="F212" s="134" t="s">
        <v>1443</v>
      </c>
      <c r="G212" s="134" t="s">
        <v>1443</v>
      </c>
      <c r="H212" s="134" t="s">
        <v>1443</v>
      </c>
      <c r="I212" s="134" t="s">
        <v>1443</v>
      </c>
      <c r="J212" s="134" t="s">
        <v>1443</v>
      </c>
      <c r="K212" s="134" t="s">
        <v>1443</v>
      </c>
      <c r="L212" s="134" t="s">
        <v>1443</v>
      </c>
      <c r="M212" s="134" t="s">
        <v>1443</v>
      </c>
      <c r="N212" s="134" t="s">
        <v>1443</v>
      </c>
      <c r="O212" s="134" t="s">
        <v>1443</v>
      </c>
      <c r="P212" s="134" t="s">
        <v>1443</v>
      </c>
      <c r="Q212" s="134" t="s">
        <v>1443</v>
      </c>
      <c r="R212" s="109"/>
      <c r="S212" s="109"/>
      <c r="T212" s="109"/>
      <c r="U212" s="109"/>
      <c r="V212" s="109"/>
    </row>
    <row r="213" spans="2:22" ht="12.75" customHeight="1" x14ac:dyDescent="0.2">
      <c r="C213" s="120" t="s">
        <v>192</v>
      </c>
      <c r="D213" s="46" t="s">
        <v>192</v>
      </c>
      <c r="E213" s="41"/>
      <c r="F213" s="134"/>
      <c r="G213" s="134"/>
      <c r="H213" s="134"/>
      <c r="I213" s="134"/>
      <c r="J213" s="134"/>
      <c r="K213" s="134"/>
      <c r="L213" s="134"/>
      <c r="M213" s="134"/>
      <c r="N213" s="134"/>
      <c r="O213" s="134"/>
      <c r="P213" s="134"/>
      <c r="Q213" s="134"/>
    </row>
    <row r="214" spans="2:22" ht="12.75" customHeight="1" x14ac:dyDescent="0.2">
      <c r="B214" s="5" t="s">
        <v>634</v>
      </c>
      <c r="C214" s="118" t="s">
        <v>634</v>
      </c>
      <c r="D214" s="46" t="s">
        <v>1605</v>
      </c>
      <c r="E214" s="41"/>
      <c r="F214" s="134">
        <v>-61.9</v>
      </c>
      <c r="G214" s="134">
        <v>-61</v>
      </c>
      <c r="H214" s="134">
        <v>-66.8</v>
      </c>
      <c r="I214" s="134">
        <v>-66.900000000000006</v>
      </c>
      <c r="J214" s="134">
        <v>-66.900000000000006</v>
      </c>
      <c r="K214" s="134">
        <v>-66.900000000000006</v>
      </c>
      <c r="L214" s="134">
        <v>-72.7</v>
      </c>
      <c r="M214" s="134">
        <v>-72.7</v>
      </c>
      <c r="N214" s="134">
        <v>-72.5</v>
      </c>
      <c r="O214" s="134">
        <v>-72.600000000000009</v>
      </c>
      <c r="P214" s="134">
        <v>-72.5</v>
      </c>
      <c r="Q214" s="134">
        <v>-72.7</v>
      </c>
      <c r="R214" s="109"/>
      <c r="S214" s="109"/>
      <c r="T214" s="109"/>
      <c r="U214" s="109"/>
      <c r="V214" s="109"/>
    </row>
    <row r="215" spans="2:22" ht="12.75" customHeight="1" x14ac:dyDescent="0.2">
      <c r="B215" s="5" t="s">
        <v>633</v>
      </c>
      <c r="C215" s="118" t="s">
        <v>633</v>
      </c>
      <c r="D215" s="46" t="s">
        <v>1823</v>
      </c>
      <c r="E215" s="41"/>
      <c r="F215" s="134" t="s">
        <v>1443</v>
      </c>
      <c r="G215" s="134" t="s">
        <v>1443</v>
      </c>
      <c r="H215" s="134" t="s">
        <v>1443</v>
      </c>
      <c r="I215" s="134" t="s">
        <v>1443</v>
      </c>
      <c r="J215" s="134" t="s">
        <v>1443</v>
      </c>
      <c r="K215" s="134" t="s">
        <v>1443</v>
      </c>
      <c r="L215" s="134" t="s">
        <v>1443</v>
      </c>
      <c r="M215" s="134" t="s">
        <v>1443</v>
      </c>
      <c r="N215" s="134" t="s">
        <v>1443</v>
      </c>
      <c r="O215" s="134" t="s">
        <v>1443</v>
      </c>
      <c r="P215" s="134" t="s">
        <v>1443</v>
      </c>
      <c r="Q215" s="134" t="s">
        <v>1443</v>
      </c>
      <c r="R215" s="109"/>
      <c r="S215" s="109"/>
      <c r="T215" s="109"/>
      <c r="U215" s="109"/>
      <c r="V215" s="109"/>
    </row>
    <row r="216" spans="2:22" ht="12.75" customHeight="1" x14ac:dyDescent="0.2">
      <c r="B216" s="5" t="s">
        <v>632</v>
      </c>
      <c r="C216" s="118" t="s">
        <v>632</v>
      </c>
      <c r="D216" s="46" t="s">
        <v>1608</v>
      </c>
      <c r="E216" s="41"/>
      <c r="F216" s="134" t="s">
        <v>1443</v>
      </c>
      <c r="G216" s="134" t="s">
        <v>1443</v>
      </c>
      <c r="H216" s="134" t="s">
        <v>1443</v>
      </c>
      <c r="I216" s="134" t="s">
        <v>1443</v>
      </c>
      <c r="J216" s="134" t="s">
        <v>1443</v>
      </c>
      <c r="K216" s="134" t="s">
        <v>1443</v>
      </c>
      <c r="L216" s="134" t="s">
        <v>1443</v>
      </c>
      <c r="M216" s="134" t="s">
        <v>1443</v>
      </c>
      <c r="N216" s="134" t="s">
        <v>1443</v>
      </c>
      <c r="O216" s="134" t="s">
        <v>1443</v>
      </c>
      <c r="P216" s="134" t="s">
        <v>1443</v>
      </c>
      <c r="Q216" s="134" t="s">
        <v>1443</v>
      </c>
      <c r="R216" s="109"/>
      <c r="S216" s="109"/>
      <c r="T216" s="109"/>
      <c r="U216" s="109"/>
      <c r="V216" s="109"/>
    </row>
    <row r="217" spans="2:22" ht="12.75" customHeight="1" x14ac:dyDescent="0.2">
      <c r="B217" s="5" t="s">
        <v>631</v>
      </c>
      <c r="C217" s="119" t="s">
        <v>631</v>
      </c>
      <c r="D217" s="44" t="s">
        <v>1908</v>
      </c>
      <c r="E217" s="44"/>
      <c r="F217" s="135">
        <v>-61.9</v>
      </c>
      <c r="G217" s="135">
        <v>-61</v>
      </c>
      <c r="H217" s="135">
        <v>-66.8</v>
      </c>
      <c r="I217" s="135">
        <v>-66.900000000000006</v>
      </c>
      <c r="J217" s="135">
        <v>-66.900000000000006</v>
      </c>
      <c r="K217" s="135">
        <v>-66.900000000000006</v>
      </c>
      <c r="L217" s="135">
        <v>-72.7</v>
      </c>
      <c r="M217" s="135">
        <v>-72.7</v>
      </c>
      <c r="N217" s="135">
        <v>-72.5</v>
      </c>
      <c r="O217" s="135">
        <v>-72.600000000000009</v>
      </c>
      <c r="P217" s="135">
        <v>-72.5</v>
      </c>
      <c r="Q217" s="135">
        <v>-72.7</v>
      </c>
      <c r="R217" s="109"/>
      <c r="S217" s="109"/>
      <c r="T217" s="109"/>
      <c r="U217" s="109"/>
      <c r="V217" s="109"/>
    </row>
    <row r="218" spans="2:22" ht="12.75" customHeight="1" x14ac:dyDescent="0.2">
      <c r="B218" s="11"/>
      <c r="C218" s="120" t="s">
        <v>192</v>
      </c>
      <c r="D218" s="46" t="s">
        <v>192</v>
      </c>
      <c r="E218" s="41"/>
      <c r="F218" s="134"/>
      <c r="G218" s="134"/>
      <c r="H218" s="134"/>
      <c r="I218" s="134"/>
      <c r="J218" s="134"/>
      <c r="K218" s="134"/>
      <c r="L218" s="134"/>
      <c r="M218" s="134"/>
      <c r="N218" s="134"/>
      <c r="O218" s="134"/>
      <c r="P218" s="134"/>
      <c r="Q218" s="134"/>
    </row>
    <row r="219" spans="2:22" ht="12.75" customHeight="1" x14ac:dyDescent="0.2">
      <c r="B219" s="5" t="s">
        <v>630</v>
      </c>
      <c r="C219" s="118" t="s">
        <v>630</v>
      </c>
      <c r="D219" s="46" t="s">
        <v>1863</v>
      </c>
      <c r="E219" s="41"/>
      <c r="F219" s="134" t="s">
        <v>1443</v>
      </c>
      <c r="G219" s="134" t="s">
        <v>1443</v>
      </c>
      <c r="H219" s="134" t="s">
        <v>1443</v>
      </c>
      <c r="I219" s="134" t="s">
        <v>1443</v>
      </c>
      <c r="J219" s="134" t="s">
        <v>1443</v>
      </c>
      <c r="K219" s="134" t="s">
        <v>1443</v>
      </c>
      <c r="L219" s="134" t="s">
        <v>1443</v>
      </c>
      <c r="M219" s="134" t="s">
        <v>1443</v>
      </c>
      <c r="N219" s="134" t="s">
        <v>1443</v>
      </c>
      <c r="O219" s="134" t="s">
        <v>1443</v>
      </c>
      <c r="P219" s="134" t="s">
        <v>1443</v>
      </c>
      <c r="Q219" s="134" t="s">
        <v>1443</v>
      </c>
      <c r="R219" s="109"/>
      <c r="S219" s="109"/>
      <c r="T219" s="109"/>
      <c r="U219" s="109"/>
      <c r="V219" s="109"/>
    </row>
    <row r="220" spans="2:22" ht="12.75" customHeight="1" x14ac:dyDescent="0.2">
      <c r="B220" s="5" t="s">
        <v>629</v>
      </c>
      <c r="C220" s="118" t="s">
        <v>629</v>
      </c>
      <c r="D220" s="46" t="s">
        <v>1803</v>
      </c>
      <c r="E220" s="41"/>
      <c r="F220" s="134">
        <v>0</v>
      </c>
      <c r="G220" s="134">
        <v>-0.70000000000000007</v>
      </c>
      <c r="H220" s="134" t="s">
        <v>1443</v>
      </c>
      <c r="I220" s="134">
        <v>-1.5</v>
      </c>
      <c r="J220" s="134">
        <v>0</v>
      </c>
      <c r="K220" s="134">
        <v>17.3</v>
      </c>
      <c r="L220" s="134" t="s">
        <v>1443</v>
      </c>
      <c r="M220" s="134">
        <v>-0.4</v>
      </c>
      <c r="N220" s="134">
        <v>-0.6</v>
      </c>
      <c r="O220" s="134">
        <v>-0.4</v>
      </c>
      <c r="P220" s="134" t="s">
        <v>1443</v>
      </c>
      <c r="Q220" s="134" t="s">
        <v>1443</v>
      </c>
      <c r="R220" s="109"/>
      <c r="S220" s="109"/>
      <c r="T220" s="109"/>
      <c r="U220" s="109"/>
      <c r="V220" s="109"/>
    </row>
    <row r="221" spans="2:22" ht="12.75" customHeight="1" thickBot="1" x14ac:dyDescent="0.25">
      <c r="B221" s="14" t="s">
        <v>628</v>
      </c>
      <c r="C221" s="119" t="s">
        <v>628</v>
      </c>
      <c r="D221" s="44" t="s">
        <v>1582</v>
      </c>
      <c r="E221" s="44"/>
      <c r="F221" s="138">
        <v>-682.9</v>
      </c>
      <c r="G221" s="138">
        <v>-380.90000000000003</v>
      </c>
      <c r="H221" s="138">
        <v>515.5</v>
      </c>
      <c r="I221" s="138">
        <v>70.2</v>
      </c>
      <c r="J221" s="138">
        <v>-388</v>
      </c>
      <c r="K221" s="138">
        <v>-435.1</v>
      </c>
      <c r="L221" s="138">
        <v>840.30000000000007</v>
      </c>
      <c r="M221" s="138">
        <v>354.3</v>
      </c>
      <c r="N221" s="138">
        <v>-632.5</v>
      </c>
      <c r="O221" s="138">
        <v>-230.6</v>
      </c>
      <c r="P221" s="138">
        <v>305.7</v>
      </c>
      <c r="Q221" s="138">
        <v>-221</v>
      </c>
      <c r="R221" s="109"/>
      <c r="S221" s="109"/>
      <c r="T221" s="109"/>
      <c r="U221" s="109"/>
      <c r="V221" s="109"/>
    </row>
    <row r="222" spans="2:22" ht="12.75" customHeight="1" thickTop="1" x14ac:dyDescent="0.2">
      <c r="B222" s="11"/>
      <c r="C222" s="120" t="s">
        <v>192</v>
      </c>
      <c r="D222" s="46" t="s">
        <v>192</v>
      </c>
      <c r="E222" s="41"/>
      <c r="F222" s="134"/>
      <c r="G222" s="134"/>
      <c r="H222" s="134"/>
      <c r="I222" s="134"/>
      <c r="J222" s="134"/>
      <c r="K222" s="134"/>
      <c r="L222" s="134"/>
      <c r="M222" s="134"/>
      <c r="N222" s="134"/>
      <c r="O222" s="134"/>
      <c r="P222" s="134"/>
      <c r="Q222" s="134"/>
    </row>
    <row r="223" spans="2:22" ht="12.75" customHeight="1" x14ac:dyDescent="0.2">
      <c r="B223" s="5" t="s">
        <v>627</v>
      </c>
      <c r="C223" s="118" t="s">
        <v>627</v>
      </c>
      <c r="D223" s="46" t="s">
        <v>1583</v>
      </c>
      <c r="E223" s="41"/>
      <c r="F223" s="134">
        <v>-2.8000000000000003</v>
      </c>
      <c r="G223" s="134">
        <v>-6.2</v>
      </c>
      <c r="H223" s="134">
        <v>-2.5</v>
      </c>
      <c r="I223" s="134">
        <v>-9.7000000000000011</v>
      </c>
      <c r="J223" s="134">
        <v>-8.1999999999999993</v>
      </c>
      <c r="K223" s="134">
        <v>-3</v>
      </c>
      <c r="L223" s="134">
        <v>0.4</v>
      </c>
      <c r="M223" s="134">
        <v>-0.3</v>
      </c>
      <c r="N223" s="134">
        <v>-4.4000000000000004</v>
      </c>
      <c r="O223" s="134">
        <v>-56</v>
      </c>
      <c r="P223" s="134">
        <v>-2.2000000000000002</v>
      </c>
      <c r="Q223" s="134">
        <v>-4.2</v>
      </c>
      <c r="R223" s="109"/>
      <c r="S223" s="109"/>
      <c r="T223" s="109"/>
      <c r="U223" s="109"/>
      <c r="V223" s="109"/>
    </row>
    <row r="224" spans="2:22" ht="12.75" customHeight="1" x14ac:dyDescent="0.2">
      <c r="B224" s="5" t="s">
        <v>626</v>
      </c>
      <c r="C224" s="118" t="s">
        <v>626</v>
      </c>
      <c r="D224" s="46" t="s">
        <v>1586</v>
      </c>
      <c r="E224" s="41"/>
      <c r="F224" s="134" t="s">
        <v>1443</v>
      </c>
      <c r="G224" s="134" t="s">
        <v>1443</v>
      </c>
      <c r="H224" s="134" t="s">
        <v>1443</v>
      </c>
      <c r="I224" s="134" t="s">
        <v>1443</v>
      </c>
      <c r="J224" s="134" t="s">
        <v>1443</v>
      </c>
      <c r="K224" s="134" t="s">
        <v>1443</v>
      </c>
      <c r="L224" s="134" t="s">
        <v>1443</v>
      </c>
      <c r="M224" s="134" t="s">
        <v>1443</v>
      </c>
      <c r="N224" s="134" t="s">
        <v>1443</v>
      </c>
      <c r="O224" s="134" t="s">
        <v>1443</v>
      </c>
      <c r="P224" s="134" t="s">
        <v>1443</v>
      </c>
      <c r="Q224" s="134" t="s">
        <v>1443</v>
      </c>
      <c r="R224" s="109"/>
      <c r="S224" s="109"/>
      <c r="T224" s="109"/>
      <c r="U224" s="109"/>
      <c r="V224" s="109"/>
    </row>
    <row r="225" spans="2:22" ht="12.75" customHeight="1" thickBot="1" x14ac:dyDescent="0.25">
      <c r="B225" s="14" t="s">
        <v>625</v>
      </c>
      <c r="C225" s="119" t="s">
        <v>625</v>
      </c>
      <c r="D225" s="44" t="s">
        <v>1587</v>
      </c>
      <c r="E225" s="44"/>
      <c r="F225" s="138">
        <v>-387.5</v>
      </c>
      <c r="G225" s="138">
        <v>175.8</v>
      </c>
      <c r="H225" s="138">
        <v>-151.70000000000002</v>
      </c>
      <c r="I225" s="138">
        <v>226.4</v>
      </c>
      <c r="J225" s="138">
        <v>-227.70000000000002</v>
      </c>
      <c r="K225" s="138">
        <v>208.20000000000002</v>
      </c>
      <c r="L225" s="138">
        <v>-77.600000000000009</v>
      </c>
      <c r="M225" s="138">
        <v>447.1</v>
      </c>
      <c r="N225" s="138">
        <v>-617.70000000000005</v>
      </c>
      <c r="O225" s="138">
        <v>-21.400000000000002</v>
      </c>
      <c r="P225" s="138">
        <v>115.4</v>
      </c>
      <c r="Q225" s="138">
        <v>53.7</v>
      </c>
      <c r="R225" s="109"/>
      <c r="S225" s="109"/>
      <c r="T225" s="109"/>
      <c r="U225" s="109"/>
      <c r="V225" s="109"/>
    </row>
    <row r="226" spans="2:22" ht="12.75" customHeight="1" thickTop="1" x14ac:dyDescent="0.2">
      <c r="B226" s="11"/>
      <c r="C226" s="120" t="s">
        <v>192</v>
      </c>
      <c r="D226" s="46" t="s">
        <v>192</v>
      </c>
      <c r="E226" s="41"/>
      <c r="F226" s="142"/>
      <c r="G226" s="142"/>
      <c r="H226" s="142"/>
      <c r="I226" s="142"/>
      <c r="J226" s="142"/>
      <c r="K226" s="142"/>
      <c r="L226" s="142"/>
      <c r="M226" s="142"/>
      <c r="N226" s="142"/>
      <c r="O226" s="142"/>
      <c r="P226" s="142"/>
      <c r="Q226" s="142"/>
    </row>
    <row r="227" spans="2:22" ht="12.75" customHeight="1" x14ac:dyDescent="0.2">
      <c r="B227" s="15"/>
      <c r="C227" s="120" t="s">
        <v>192</v>
      </c>
      <c r="D227" s="46" t="s">
        <v>192</v>
      </c>
      <c r="E227" s="41"/>
      <c r="F227" s="143"/>
      <c r="G227" s="143"/>
      <c r="H227" s="143"/>
      <c r="I227" s="143"/>
      <c r="J227" s="143"/>
      <c r="K227" s="143"/>
      <c r="L227" s="143"/>
      <c r="M227" s="143"/>
      <c r="N227" s="143"/>
      <c r="O227" s="143"/>
      <c r="P227" s="143"/>
      <c r="Q227" s="143"/>
    </row>
    <row r="228" spans="2:22" ht="12.75" customHeight="1" x14ac:dyDescent="0.2">
      <c r="B228" s="5" t="s">
        <v>615</v>
      </c>
      <c r="C228" s="117" t="s">
        <v>1405</v>
      </c>
      <c r="D228" s="46" t="s">
        <v>1820</v>
      </c>
      <c r="E228" s="41"/>
      <c r="F228" s="134">
        <v>44469</v>
      </c>
      <c r="G228" s="134">
        <v>44561</v>
      </c>
      <c r="H228" s="134">
        <v>44651</v>
      </c>
      <c r="I228" s="134">
        <v>44742</v>
      </c>
      <c r="J228" s="134">
        <v>44834</v>
      </c>
      <c r="K228" s="134">
        <v>44926</v>
      </c>
      <c r="L228" s="134">
        <v>45016</v>
      </c>
      <c r="M228" s="134">
        <v>45107</v>
      </c>
      <c r="N228" s="134">
        <v>45199</v>
      </c>
      <c r="O228" s="134">
        <v>45291</v>
      </c>
      <c r="P228" s="134">
        <v>45382</v>
      </c>
      <c r="Q228" s="134">
        <v>45473</v>
      </c>
      <c r="R228" s="50"/>
      <c r="S228" s="50"/>
      <c r="T228" s="50"/>
      <c r="U228" s="50"/>
      <c r="V228" s="50"/>
    </row>
    <row r="229" spans="2:22" ht="12.75" customHeight="1" x14ac:dyDescent="0.2">
      <c r="B229" s="5" t="s">
        <v>624</v>
      </c>
      <c r="C229" s="118" t="s">
        <v>624</v>
      </c>
      <c r="D229" s="46" t="s">
        <v>1584</v>
      </c>
      <c r="E229" s="41"/>
      <c r="F229" s="134">
        <v>24.900000000000002</v>
      </c>
      <c r="G229" s="134">
        <v>40.800000000000004</v>
      </c>
      <c r="H229" s="134">
        <v>14.9</v>
      </c>
      <c r="I229" s="134">
        <v>46.300000000000004</v>
      </c>
      <c r="J229" s="134">
        <v>30</v>
      </c>
      <c r="K229" s="134">
        <v>52.800000000000004</v>
      </c>
      <c r="L229" s="134">
        <v>39.6</v>
      </c>
      <c r="M229" s="134">
        <v>61.5</v>
      </c>
      <c r="N229" s="134">
        <v>33.9</v>
      </c>
      <c r="O229" s="134">
        <v>94.600000000000009</v>
      </c>
      <c r="P229" s="134">
        <v>27.2</v>
      </c>
      <c r="Q229" s="134">
        <v>98</v>
      </c>
      <c r="R229" s="21"/>
      <c r="S229" s="109"/>
      <c r="T229" s="109"/>
      <c r="U229" s="109"/>
      <c r="V229" s="109"/>
    </row>
    <row r="230" spans="2:22" ht="12.75" customHeight="1" x14ac:dyDescent="0.2">
      <c r="B230" s="5" t="s">
        <v>623</v>
      </c>
      <c r="C230" s="118" t="s">
        <v>623</v>
      </c>
      <c r="D230" s="46" t="s">
        <v>1590</v>
      </c>
      <c r="E230" s="41"/>
      <c r="F230" s="134">
        <v>22</v>
      </c>
      <c r="G230" s="134">
        <v>52</v>
      </c>
      <c r="H230" s="134">
        <v>11.4</v>
      </c>
      <c r="I230" s="134">
        <v>41.800000000000004</v>
      </c>
      <c r="J230" s="134">
        <v>38.5</v>
      </c>
      <c r="K230" s="134">
        <v>30.3</v>
      </c>
      <c r="L230" s="134">
        <v>23.2</v>
      </c>
      <c r="M230" s="134">
        <v>82</v>
      </c>
      <c r="N230" s="134">
        <v>38</v>
      </c>
      <c r="O230" s="134">
        <v>36.9</v>
      </c>
      <c r="P230" s="134">
        <v>20.900000000000002</v>
      </c>
      <c r="Q230" s="134">
        <v>87</v>
      </c>
      <c r="R230" s="21"/>
      <c r="S230" s="109"/>
      <c r="T230" s="109"/>
      <c r="U230" s="109"/>
      <c r="V230" s="109"/>
    </row>
    <row r="231" spans="2:22" ht="12.75" customHeight="1" x14ac:dyDescent="0.2">
      <c r="B231" s="5" t="s">
        <v>622</v>
      </c>
      <c r="C231" s="118" t="s">
        <v>622</v>
      </c>
      <c r="D231" s="46" t="s">
        <v>1597</v>
      </c>
      <c r="E231" s="41"/>
      <c r="F231" s="134">
        <v>-93.600000000000009</v>
      </c>
      <c r="G231" s="134">
        <v>-263.8</v>
      </c>
      <c r="H231" s="134">
        <v>680.6</v>
      </c>
      <c r="I231" s="134">
        <v>-57.6</v>
      </c>
      <c r="J231" s="134">
        <v>-165.5</v>
      </c>
      <c r="K231" s="134">
        <v>-317.40000000000003</v>
      </c>
      <c r="L231" s="134">
        <v>1136.4000000000001</v>
      </c>
      <c r="M231" s="134">
        <v>-98.4</v>
      </c>
      <c r="N231" s="134">
        <v>12.9</v>
      </c>
      <c r="O231" s="134">
        <v>-267.8</v>
      </c>
      <c r="P231" s="134">
        <v>163.30000000000001</v>
      </c>
      <c r="Q231" s="134">
        <v>-167.9</v>
      </c>
      <c r="R231" s="21"/>
      <c r="S231" s="109"/>
      <c r="T231" s="109"/>
      <c r="U231" s="109"/>
      <c r="V231" s="109"/>
    </row>
    <row r="232" spans="2:22" ht="12.75" customHeight="1" x14ac:dyDescent="0.2">
      <c r="B232" s="5" t="s">
        <v>621</v>
      </c>
      <c r="C232" s="118" t="s">
        <v>1019</v>
      </c>
      <c r="D232" s="46" t="s">
        <v>1738</v>
      </c>
      <c r="E232" s="41"/>
      <c r="F232" s="134">
        <v>242.125</v>
      </c>
      <c r="G232" s="134">
        <v>489.78750000000002</v>
      </c>
      <c r="H232" s="134">
        <v>-504.63749999999999</v>
      </c>
      <c r="I232" s="134">
        <v>252.875</v>
      </c>
      <c r="J232" s="134">
        <v>283.32499999999999</v>
      </c>
      <c r="K232" s="134">
        <v>553.33749999999998</v>
      </c>
      <c r="L232" s="134">
        <v>-965.30000000000007</v>
      </c>
      <c r="M232" s="134">
        <v>164.47499999999999</v>
      </c>
      <c r="N232" s="134">
        <v>28.05</v>
      </c>
      <c r="O232" s="134">
        <v>332.625</v>
      </c>
      <c r="P232" s="134">
        <v>-97.55</v>
      </c>
      <c r="Q232" s="134">
        <v>260.92500000000001</v>
      </c>
      <c r="R232" s="21"/>
      <c r="S232" s="109"/>
      <c r="T232" s="109"/>
      <c r="U232" s="109"/>
      <c r="V232" s="109"/>
    </row>
    <row r="233" spans="2:22" ht="12.75" customHeight="1" x14ac:dyDescent="0.2">
      <c r="B233" s="5" t="s">
        <v>620</v>
      </c>
      <c r="C233" s="118" t="s">
        <v>1020</v>
      </c>
      <c r="D233" s="46" t="s">
        <v>1923</v>
      </c>
      <c r="E233" s="41"/>
      <c r="F233" s="134">
        <v>262.8125</v>
      </c>
      <c r="G233" s="134">
        <v>510.41250000000002</v>
      </c>
      <c r="H233" s="134">
        <v>-485.95</v>
      </c>
      <c r="I233" s="134">
        <v>274.9375</v>
      </c>
      <c r="J233" s="134">
        <v>309.45</v>
      </c>
      <c r="K233" s="134">
        <v>581.33749999999998</v>
      </c>
      <c r="L233" s="134">
        <v>-933.17500000000007</v>
      </c>
      <c r="M233" s="134">
        <v>204.78749999999999</v>
      </c>
      <c r="N233" s="134">
        <v>68.424999999999997</v>
      </c>
      <c r="O233" s="134">
        <v>368.0625</v>
      </c>
      <c r="P233" s="134">
        <v>-58.987500000000004</v>
      </c>
      <c r="Q233" s="134">
        <v>300.67500000000001</v>
      </c>
      <c r="R233" s="21"/>
      <c r="S233" s="109"/>
      <c r="T233" s="109"/>
      <c r="U233" s="109"/>
      <c r="V233" s="109"/>
    </row>
    <row r="234" spans="2:22" ht="12.75" customHeight="1" x14ac:dyDescent="0.2">
      <c r="B234" s="5" t="s">
        <v>619</v>
      </c>
      <c r="C234" s="118" t="s">
        <v>619</v>
      </c>
      <c r="D234" s="46" t="s">
        <v>1771</v>
      </c>
      <c r="E234" s="41"/>
      <c r="F234" s="134">
        <v>-421.2</v>
      </c>
      <c r="G234" s="134">
        <v>-221.20000000000002</v>
      </c>
      <c r="H234" s="134">
        <v>583.80000000000007</v>
      </c>
      <c r="I234" s="134">
        <v>137.4</v>
      </c>
      <c r="J234" s="134">
        <v>-320.90000000000003</v>
      </c>
      <c r="K234" s="134">
        <v>-286.5</v>
      </c>
      <c r="L234" s="134">
        <v>941.4</v>
      </c>
      <c r="M234" s="134">
        <v>476.3</v>
      </c>
      <c r="N234" s="134">
        <v>-560.70000000000005</v>
      </c>
      <c r="O234" s="134">
        <v>-157.70000000000002</v>
      </c>
      <c r="P234" s="134">
        <v>379.90000000000003</v>
      </c>
      <c r="Q234" s="134">
        <v>-148.4</v>
      </c>
      <c r="R234" s="21"/>
      <c r="S234" s="109"/>
      <c r="T234" s="109"/>
      <c r="U234" s="109"/>
      <c r="V234" s="109"/>
    </row>
    <row r="235" spans="2:22" ht="12.75" customHeight="1" x14ac:dyDescent="0.2">
      <c r="B235" s="5" t="s">
        <v>618</v>
      </c>
      <c r="C235" s="118" t="s">
        <v>618</v>
      </c>
      <c r="D235" s="46" t="s">
        <v>1753</v>
      </c>
      <c r="E235" s="41"/>
      <c r="F235" s="134" t="s">
        <v>1443</v>
      </c>
      <c r="G235" s="134" t="s">
        <v>1443</v>
      </c>
      <c r="H235" s="134" t="s">
        <v>1443</v>
      </c>
      <c r="I235" s="134" t="s">
        <v>1443</v>
      </c>
      <c r="J235" s="134" t="s">
        <v>1443</v>
      </c>
      <c r="K235" s="134" t="s">
        <v>1443</v>
      </c>
      <c r="L235" s="134" t="s">
        <v>1443</v>
      </c>
      <c r="M235" s="134" t="s">
        <v>1443</v>
      </c>
      <c r="N235" s="134" t="s">
        <v>1443</v>
      </c>
      <c r="O235" s="134" t="s">
        <v>1443</v>
      </c>
      <c r="P235" s="134" t="s">
        <v>1443</v>
      </c>
      <c r="Q235" s="134" t="s">
        <v>1443</v>
      </c>
      <c r="R235" s="21"/>
      <c r="S235" s="109"/>
      <c r="T235" s="109"/>
      <c r="U235" s="109"/>
      <c r="V235" s="109"/>
    </row>
    <row r="236" spans="2:22" ht="12.75" customHeight="1" x14ac:dyDescent="0.2">
      <c r="B236" s="5" t="s">
        <v>617</v>
      </c>
      <c r="C236" s="118" t="s">
        <v>1021</v>
      </c>
      <c r="D236" s="46" t="s">
        <v>1651</v>
      </c>
      <c r="E236" s="41"/>
      <c r="F236" s="134">
        <v>16.8</v>
      </c>
      <c r="G236" s="134">
        <v>2.9</v>
      </c>
      <c r="H236" s="134" t="s">
        <v>1443</v>
      </c>
      <c r="I236" s="134" t="s">
        <v>1443</v>
      </c>
      <c r="J236" s="134" t="s">
        <v>1443</v>
      </c>
      <c r="K236" s="134" t="s">
        <v>1443</v>
      </c>
      <c r="L236" s="134" t="s">
        <v>1443</v>
      </c>
      <c r="M236" s="134" t="s">
        <v>1443</v>
      </c>
      <c r="N236" s="134" t="s">
        <v>1443</v>
      </c>
      <c r="O236" s="134" t="s">
        <v>1443</v>
      </c>
      <c r="P236" s="134" t="s">
        <v>1443</v>
      </c>
      <c r="Q236" s="134" t="s">
        <v>1443</v>
      </c>
      <c r="R236" s="21"/>
      <c r="S236" s="109"/>
      <c r="T236" s="109"/>
      <c r="U236" s="109"/>
      <c r="V236" s="109"/>
    </row>
    <row r="237" spans="2:22" ht="12.75" customHeight="1" x14ac:dyDescent="0.2">
      <c r="B237" s="5" t="s">
        <v>616</v>
      </c>
      <c r="C237" s="118" t="s">
        <v>1022</v>
      </c>
      <c r="D237" s="46" t="s">
        <v>1650</v>
      </c>
      <c r="E237" s="41"/>
      <c r="F237" s="134" t="s">
        <v>1443</v>
      </c>
      <c r="G237" s="134" t="s">
        <v>1443</v>
      </c>
      <c r="H237" s="134" t="s">
        <v>1443</v>
      </c>
      <c r="I237" s="134" t="s">
        <v>1443</v>
      </c>
      <c r="J237" s="134" t="s">
        <v>1443</v>
      </c>
      <c r="K237" s="134" t="s">
        <v>1443</v>
      </c>
      <c r="L237" s="134" t="s">
        <v>1443</v>
      </c>
      <c r="M237" s="134" t="s">
        <v>1443</v>
      </c>
      <c r="N237" s="134" t="s">
        <v>1443</v>
      </c>
      <c r="O237" s="134" t="s">
        <v>1443</v>
      </c>
      <c r="P237" s="134" t="s">
        <v>1443</v>
      </c>
      <c r="Q237" s="134" t="s">
        <v>1443</v>
      </c>
      <c r="R237" s="21"/>
      <c r="S237" s="109"/>
      <c r="T237" s="109"/>
      <c r="U237" s="109"/>
      <c r="V237" s="109"/>
    </row>
    <row r="238" spans="2:22" ht="12.75" customHeight="1" x14ac:dyDescent="0.2">
      <c r="B238" s="5" t="s">
        <v>509</v>
      </c>
      <c r="C238" s="118" t="s">
        <v>1949</v>
      </c>
      <c r="D238" s="46" t="s">
        <v>1841</v>
      </c>
      <c r="E238" s="41"/>
      <c r="F238" s="33" t="s">
        <v>1445</v>
      </c>
      <c r="G238" s="33" t="s">
        <v>1445</v>
      </c>
      <c r="H238" s="33" t="s">
        <v>1450</v>
      </c>
      <c r="I238" s="33" t="s">
        <v>1450</v>
      </c>
      <c r="J238" s="33" t="s">
        <v>1450</v>
      </c>
      <c r="K238" s="33" t="s">
        <v>1450</v>
      </c>
      <c r="L238" s="33" t="s">
        <v>1450</v>
      </c>
      <c r="M238" s="33" t="s">
        <v>1450</v>
      </c>
      <c r="N238" s="33" t="s">
        <v>1983</v>
      </c>
      <c r="O238" s="33" t="s">
        <v>1983</v>
      </c>
      <c r="P238" s="33" t="s">
        <v>1983</v>
      </c>
      <c r="Q238" s="33" t="s">
        <v>1983</v>
      </c>
      <c r="R238" s="21"/>
    </row>
    <row r="239" spans="2:22" ht="112.2" x14ac:dyDescent="0.2">
      <c r="B239" s="5" t="s">
        <v>508</v>
      </c>
      <c r="C239" s="118" t="s">
        <v>1950</v>
      </c>
      <c r="D239" s="46" t="s">
        <v>1560</v>
      </c>
      <c r="E239" s="41"/>
      <c r="F239" s="133" t="s">
        <v>1999</v>
      </c>
      <c r="G239" s="133" t="s">
        <v>1999</v>
      </c>
      <c r="H239" s="133" t="s">
        <v>1446</v>
      </c>
      <c r="I239" s="133" t="s">
        <v>1999</v>
      </c>
      <c r="J239" s="133" t="s">
        <v>1999</v>
      </c>
      <c r="K239" s="133" t="s">
        <v>1999</v>
      </c>
      <c r="L239" s="133" t="s">
        <v>1446</v>
      </c>
      <c r="M239" s="133" t="s">
        <v>1999</v>
      </c>
      <c r="N239" s="133" t="s">
        <v>1999</v>
      </c>
      <c r="O239" s="133" t="s">
        <v>1999</v>
      </c>
      <c r="P239" s="133" t="s">
        <v>1446</v>
      </c>
      <c r="Q239" s="133" t="s">
        <v>1999</v>
      </c>
      <c r="R239" s="21"/>
    </row>
    <row r="240" spans="2:22" ht="12.75" customHeight="1" x14ac:dyDescent="0.2">
      <c r="B240" s="12"/>
      <c r="C240" s="118" t="s">
        <v>192</v>
      </c>
      <c r="D240" s="46" t="s">
        <v>192</v>
      </c>
      <c r="E240" s="41"/>
      <c r="F240" s="12"/>
      <c r="G240" s="12"/>
      <c r="H240" s="12"/>
      <c r="I240" s="12"/>
      <c r="J240" s="12"/>
      <c r="K240" s="12"/>
      <c r="L240" s="12"/>
      <c r="M240" s="12"/>
      <c r="N240" s="12"/>
      <c r="O240" s="12"/>
      <c r="P240" s="12"/>
      <c r="Q240" s="12"/>
    </row>
    <row r="241" spans="2:22" ht="12.75" customHeight="1" x14ac:dyDescent="0.2">
      <c r="B241" s="12"/>
      <c r="C241" s="118" t="s">
        <v>192</v>
      </c>
      <c r="D241" s="46" t="s">
        <v>192</v>
      </c>
      <c r="E241" s="41"/>
      <c r="F241" s="12"/>
      <c r="G241" s="12"/>
      <c r="H241" s="12"/>
      <c r="I241" s="12"/>
      <c r="J241" s="12"/>
      <c r="K241" s="12"/>
      <c r="L241" s="12"/>
      <c r="M241" s="12"/>
      <c r="N241" s="12"/>
      <c r="O241" s="12"/>
      <c r="P241" s="12"/>
      <c r="Q241" s="12"/>
    </row>
    <row r="242" spans="2:22" ht="12.75" customHeight="1" x14ac:dyDescent="0.2">
      <c r="B242" s="8" t="s">
        <v>785</v>
      </c>
      <c r="C242" s="120" t="s">
        <v>192</v>
      </c>
      <c r="D242" s="46" t="s">
        <v>192</v>
      </c>
      <c r="E242" s="41"/>
      <c r="F242" s="227"/>
      <c r="G242" s="227"/>
      <c r="H242" s="228"/>
      <c r="I242" s="228"/>
      <c r="J242" s="228"/>
      <c r="K242" s="228"/>
      <c r="L242" s="228"/>
      <c r="M242" s="228"/>
      <c r="N242" s="228"/>
      <c r="O242" s="228"/>
      <c r="P242" s="228"/>
      <c r="Q242" s="227"/>
    </row>
    <row r="243" spans="2:22" ht="12.75" customHeight="1" x14ac:dyDescent="0.2">
      <c r="B243" s="8" t="s">
        <v>615</v>
      </c>
      <c r="C243" s="117" t="s">
        <v>1405</v>
      </c>
      <c r="D243" s="46" t="s">
        <v>1820</v>
      </c>
      <c r="E243" s="41"/>
      <c r="F243" s="49">
        <v>44469</v>
      </c>
      <c r="G243" s="49">
        <v>44561</v>
      </c>
      <c r="H243" s="49">
        <v>44651</v>
      </c>
      <c r="I243" s="49">
        <v>44742</v>
      </c>
      <c r="J243" s="49">
        <v>44834</v>
      </c>
      <c r="K243" s="49">
        <v>44926</v>
      </c>
      <c r="L243" s="49">
        <v>45016</v>
      </c>
      <c r="M243" s="49">
        <v>45107</v>
      </c>
      <c r="N243" s="49">
        <v>45199</v>
      </c>
      <c r="O243" s="49">
        <v>45291</v>
      </c>
      <c r="P243" s="49">
        <v>45382</v>
      </c>
      <c r="Q243" s="49">
        <v>45473</v>
      </c>
      <c r="R243" s="50"/>
      <c r="S243" s="50"/>
      <c r="T243" s="50"/>
      <c r="U243" s="50"/>
      <c r="V243" s="50"/>
    </row>
    <row r="244" spans="2:22" ht="12.75" customHeight="1" x14ac:dyDescent="0.2">
      <c r="B244" s="27"/>
      <c r="C244" s="123" t="s">
        <v>192</v>
      </c>
      <c r="D244" s="46" t="s">
        <v>192</v>
      </c>
      <c r="E244" s="41"/>
      <c r="F244" s="27"/>
      <c r="G244" s="27"/>
      <c r="H244" s="27"/>
      <c r="I244" s="27"/>
      <c r="J244" s="27"/>
      <c r="K244" s="27"/>
      <c r="L244" s="27"/>
      <c r="M244" s="27"/>
      <c r="N244" s="27"/>
      <c r="O244" s="27"/>
      <c r="P244" s="27"/>
      <c r="Q244" s="27"/>
    </row>
    <row r="245" spans="2:22" ht="12.75" customHeight="1" x14ac:dyDescent="0.2">
      <c r="B245" s="8" t="s">
        <v>614</v>
      </c>
      <c r="C245" s="120" t="s">
        <v>192</v>
      </c>
      <c r="D245" s="46" t="s">
        <v>192</v>
      </c>
      <c r="E245" s="41"/>
      <c r="F245" s="109"/>
      <c r="G245" s="109"/>
      <c r="H245" s="109"/>
      <c r="I245" s="109"/>
      <c r="J245" s="109"/>
      <c r="K245" s="109"/>
      <c r="L245" s="109"/>
      <c r="M245" s="109"/>
      <c r="N245" s="109"/>
      <c r="O245" s="109"/>
      <c r="P245" s="109"/>
      <c r="Q245" s="109"/>
    </row>
    <row r="246" spans="2:22" ht="12.75" customHeight="1" x14ac:dyDescent="0.2">
      <c r="B246" s="5" t="s">
        <v>613</v>
      </c>
      <c r="C246" s="118" t="s">
        <v>1023</v>
      </c>
      <c r="D246" s="46" t="s">
        <v>1581</v>
      </c>
      <c r="E246" s="41"/>
      <c r="F246" s="134">
        <v>341</v>
      </c>
      <c r="G246" s="134">
        <v>516.79999999999995</v>
      </c>
      <c r="H246" s="134">
        <v>365.1</v>
      </c>
      <c r="I246" s="134">
        <v>591.5</v>
      </c>
      <c r="J246" s="134">
        <v>363.8</v>
      </c>
      <c r="K246" s="134">
        <v>572</v>
      </c>
      <c r="L246" s="134">
        <v>494.40000000000003</v>
      </c>
      <c r="M246" s="134">
        <v>941.5</v>
      </c>
      <c r="N246" s="134">
        <v>323.8</v>
      </c>
      <c r="O246" s="134">
        <v>302.40000000000003</v>
      </c>
      <c r="P246" s="134">
        <v>417.8</v>
      </c>
      <c r="Q246" s="134">
        <v>471.5</v>
      </c>
      <c r="R246" s="59"/>
      <c r="S246" s="109"/>
      <c r="T246" s="109"/>
      <c r="U246" s="109"/>
      <c r="V246" s="109"/>
    </row>
    <row r="247" spans="2:22" ht="12.75" customHeight="1" x14ac:dyDescent="0.2">
      <c r="B247" s="5" t="s">
        <v>612</v>
      </c>
      <c r="C247" s="118" t="s">
        <v>612</v>
      </c>
      <c r="D247" s="46" t="s">
        <v>1867</v>
      </c>
      <c r="E247" s="41"/>
      <c r="F247" s="134" t="s">
        <v>1443</v>
      </c>
      <c r="G247" s="134" t="s">
        <v>1443</v>
      </c>
      <c r="H247" s="134" t="s">
        <v>1443</v>
      </c>
      <c r="I247" s="134" t="s">
        <v>1443</v>
      </c>
      <c r="J247" s="134" t="s">
        <v>1443</v>
      </c>
      <c r="K247" s="134" t="s">
        <v>1443</v>
      </c>
      <c r="L247" s="134" t="s">
        <v>1443</v>
      </c>
      <c r="M247" s="134" t="s">
        <v>1443</v>
      </c>
      <c r="N247" s="134" t="s">
        <v>1443</v>
      </c>
      <c r="O247" s="134" t="s">
        <v>1443</v>
      </c>
      <c r="P247" s="134" t="s">
        <v>1443</v>
      </c>
      <c r="Q247" s="134" t="s">
        <v>1443</v>
      </c>
      <c r="R247" s="109"/>
      <c r="S247" s="109"/>
      <c r="T247" s="109"/>
      <c r="U247" s="109"/>
      <c r="V247" s="109"/>
    </row>
    <row r="248" spans="2:22" ht="12.75" customHeight="1" x14ac:dyDescent="0.2">
      <c r="B248" s="5" t="s">
        <v>611</v>
      </c>
      <c r="C248" s="118" t="s">
        <v>611</v>
      </c>
      <c r="D248" s="46" t="s">
        <v>1920</v>
      </c>
      <c r="E248" s="41"/>
      <c r="F248" s="134">
        <v>4.3</v>
      </c>
      <c r="G248" s="134">
        <v>3.7</v>
      </c>
      <c r="H248" s="134">
        <v>10</v>
      </c>
      <c r="I248" s="134">
        <v>17.7</v>
      </c>
      <c r="J248" s="134">
        <v>28.6</v>
      </c>
      <c r="K248" s="134">
        <v>12.4</v>
      </c>
      <c r="L248" s="134">
        <v>6.7</v>
      </c>
      <c r="M248" s="134" t="s">
        <v>1443</v>
      </c>
      <c r="N248" s="134" t="s">
        <v>1443</v>
      </c>
      <c r="O248" s="134" t="s">
        <v>1443</v>
      </c>
      <c r="P248" s="134">
        <v>2.7</v>
      </c>
      <c r="Q248" s="134" t="s">
        <v>1443</v>
      </c>
      <c r="R248" s="109"/>
      <c r="S248" s="109"/>
      <c r="T248" s="109"/>
      <c r="U248" s="109"/>
      <c r="V248" s="109"/>
    </row>
    <row r="249" spans="2:22" ht="12.75" customHeight="1" x14ac:dyDescent="0.2">
      <c r="B249" s="14" t="s">
        <v>610</v>
      </c>
      <c r="C249" s="119" t="s">
        <v>1024</v>
      </c>
      <c r="D249" s="44" t="s">
        <v>1589</v>
      </c>
      <c r="E249" s="44"/>
      <c r="F249" s="135">
        <v>345.3</v>
      </c>
      <c r="G249" s="135">
        <v>520.5</v>
      </c>
      <c r="H249" s="135">
        <v>375.1</v>
      </c>
      <c r="I249" s="135">
        <v>609.20000000000005</v>
      </c>
      <c r="J249" s="135">
        <v>392.40000000000003</v>
      </c>
      <c r="K249" s="135">
        <v>584.4</v>
      </c>
      <c r="L249" s="135">
        <v>501.1</v>
      </c>
      <c r="M249" s="135">
        <v>941.5</v>
      </c>
      <c r="N249" s="135">
        <v>323.8</v>
      </c>
      <c r="O249" s="135">
        <v>302.40000000000003</v>
      </c>
      <c r="P249" s="135">
        <v>420.5</v>
      </c>
      <c r="Q249" s="135">
        <v>471.5</v>
      </c>
      <c r="R249" s="59"/>
      <c r="S249" s="109"/>
      <c r="T249" s="109"/>
      <c r="U249" s="109"/>
      <c r="V249" s="109"/>
    </row>
    <row r="250" spans="2:22" ht="12.75" customHeight="1" x14ac:dyDescent="0.2">
      <c r="B250" s="11"/>
      <c r="C250" s="120" t="s">
        <v>192</v>
      </c>
      <c r="D250" s="46" t="s">
        <v>192</v>
      </c>
      <c r="E250" s="41"/>
      <c r="F250" s="134"/>
      <c r="G250" s="134"/>
      <c r="H250" s="134"/>
      <c r="I250" s="134"/>
      <c r="J250" s="134"/>
      <c r="K250" s="134"/>
      <c r="L250" s="134"/>
      <c r="M250" s="134"/>
      <c r="N250" s="134"/>
      <c r="O250" s="134"/>
      <c r="P250" s="134"/>
      <c r="Q250" s="134"/>
      <c r="R250" s="59"/>
    </row>
    <row r="251" spans="2:22" ht="12.75" customHeight="1" x14ac:dyDescent="0.2">
      <c r="B251" s="5" t="s">
        <v>609</v>
      </c>
      <c r="C251" s="118" t="s">
        <v>609</v>
      </c>
      <c r="D251" s="46" t="s">
        <v>1530</v>
      </c>
      <c r="E251" s="41"/>
      <c r="F251" s="134">
        <v>2503.5</v>
      </c>
      <c r="G251" s="134">
        <v>2583.7000000000003</v>
      </c>
      <c r="H251" s="134">
        <v>2868.6</v>
      </c>
      <c r="I251" s="134">
        <v>2885.1</v>
      </c>
      <c r="J251" s="134">
        <v>2599.9</v>
      </c>
      <c r="K251" s="134">
        <v>2871.4</v>
      </c>
      <c r="L251" s="134">
        <v>3202.1</v>
      </c>
      <c r="M251" s="134">
        <v>2782.8</v>
      </c>
      <c r="N251" s="134">
        <v>2564.5</v>
      </c>
      <c r="O251" s="134">
        <v>2703.2000000000003</v>
      </c>
      <c r="P251" s="134">
        <v>2817.9</v>
      </c>
      <c r="Q251" s="134">
        <v>2702.4</v>
      </c>
      <c r="R251" s="59"/>
      <c r="S251" s="109"/>
      <c r="T251" s="109"/>
      <c r="U251" s="109"/>
      <c r="V251" s="109"/>
    </row>
    <row r="252" spans="2:22" ht="12.75" customHeight="1" x14ac:dyDescent="0.2">
      <c r="B252" s="5" t="s">
        <v>608</v>
      </c>
      <c r="C252" s="118" t="s">
        <v>608</v>
      </c>
      <c r="D252" s="46" t="s">
        <v>1812</v>
      </c>
      <c r="E252" s="41"/>
      <c r="F252" s="134" t="s">
        <v>1443</v>
      </c>
      <c r="G252" s="134">
        <v>228.4</v>
      </c>
      <c r="H252" s="134" t="s">
        <v>1443</v>
      </c>
      <c r="I252" s="134" t="s">
        <v>1443</v>
      </c>
      <c r="J252" s="134" t="s">
        <v>1443</v>
      </c>
      <c r="K252" s="134">
        <v>175.6</v>
      </c>
      <c r="L252" s="134" t="s">
        <v>1443</v>
      </c>
      <c r="M252" s="134" t="s">
        <v>1443</v>
      </c>
      <c r="N252" s="134" t="s">
        <v>1443</v>
      </c>
      <c r="O252" s="134">
        <v>243.4</v>
      </c>
      <c r="P252" s="134" t="s">
        <v>1443</v>
      </c>
      <c r="Q252" s="134" t="s">
        <v>1443</v>
      </c>
      <c r="R252" s="109"/>
      <c r="S252" s="109"/>
      <c r="T252" s="109"/>
      <c r="U252" s="109"/>
      <c r="V252" s="109"/>
    </row>
    <row r="253" spans="2:22" ht="12.75" customHeight="1" x14ac:dyDescent="0.2">
      <c r="B253" s="5" t="s">
        <v>607</v>
      </c>
      <c r="C253" s="118" t="s">
        <v>607</v>
      </c>
      <c r="D253" s="46" t="s">
        <v>1868</v>
      </c>
      <c r="E253" s="41"/>
      <c r="F253" s="134" t="s">
        <v>1443</v>
      </c>
      <c r="G253" s="134" t="s">
        <v>1443</v>
      </c>
      <c r="H253" s="134" t="s">
        <v>1443</v>
      </c>
      <c r="I253" s="134" t="s">
        <v>1443</v>
      </c>
      <c r="J253" s="134" t="s">
        <v>1443</v>
      </c>
      <c r="K253" s="134" t="s">
        <v>1443</v>
      </c>
      <c r="L253" s="134" t="s">
        <v>1443</v>
      </c>
      <c r="M253" s="134" t="s">
        <v>1443</v>
      </c>
      <c r="N253" s="134" t="s">
        <v>1443</v>
      </c>
      <c r="O253" s="134" t="s">
        <v>1443</v>
      </c>
      <c r="P253" s="134" t="s">
        <v>1443</v>
      </c>
      <c r="Q253" s="134" t="s">
        <v>1443</v>
      </c>
      <c r="R253" s="109"/>
      <c r="S253" s="109"/>
      <c r="T253" s="109"/>
      <c r="U253" s="109"/>
      <c r="V253" s="109"/>
    </row>
    <row r="254" spans="2:22" ht="12.75" customHeight="1" x14ac:dyDescent="0.2">
      <c r="B254" s="14" t="s">
        <v>606</v>
      </c>
      <c r="C254" s="119" t="s">
        <v>606</v>
      </c>
      <c r="D254" s="44" t="s">
        <v>1914</v>
      </c>
      <c r="E254" s="44"/>
      <c r="F254" s="135">
        <v>2503.5</v>
      </c>
      <c r="G254" s="135">
        <v>2812.1</v>
      </c>
      <c r="H254" s="135">
        <v>2868.6</v>
      </c>
      <c r="I254" s="135">
        <v>2885.1</v>
      </c>
      <c r="J254" s="135">
        <v>2599.9</v>
      </c>
      <c r="K254" s="135">
        <v>3047</v>
      </c>
      <c r="L254" s="135">
        <v>3202.1</v>
      </c>
      <c r="M254" s="135">
        <v>2782.8</v>
      </c>
      <c r="N254" s="135">
        <v>2564.5</v>
      </c>
      <c r="O254" s="135">
        <v>2946.6</v>
      </c>
      <c r="P254" s="135">
        <v>2817.9</v>
      </c>
      <c r="Q254" s="135">
        <v>2702.4</v>
      </c>
      <c r="R254" s="59"/>
      <c r="S254" s="109"/>
      <c r="T254" s="109"/>
      <c r="U254" s="109"/>
      <c r="V254" s="109"/>
    </row>
    <row r="255" spans="2:22" ht="12.75" customHeight="1" x14ac:dyDescent="0.2">
      <c r="B255" s="11"/>
      <c r="C255" s="120" t="s">
        <v>192</v>
      </c>
      <c r="D255" s="46" t="s">
        <v>192</v>
      </c>
      <c r="E255" s="41"/>
      <c r="F255" s="134"/>
      <c r="G255" s="134"/>
      <c r="H255" s="134"/>
      <c r="I255" s="134"/>
      <c r="J255" s="134"/>
      <c r="K255" s="134"/>
      <c r="L255" s="134"/>
      <c r="M255" s="134"/>
      <c r="N255" s="134"/>
      <c r="O255" s="134"/>
      <c r="P255" s="134"/>
      <c r="Q255" s="134"/>
    </row>
    <row r="256" spans="2:22" ht="12.75" customHeight="1" x14ac:dyDescent="0.2">
      <c r="B256" s="5" t="s">
        <v>605</v>
      </c>
      <c r="C256" s="118" t="s">
        <v>605</v>
      </c>
      <c r="D256" s="46" t="s">
        <v>1729</v>
      </c>
      <c r="E256" s="41"/>
      <c r="F256" s="134">
        <v>1450.5</v>
      </c>
      <c r="G256" s="134">
        <v>1521.9</v>
      </c>
      <c r="H256" s="134">
        <v>1590.7</v>
      </c>
      <c r="I256" s="134">
        <v>1590.4</v>
      </c>
      <c r="J256" s="134">
        <v>1731.5</v>
      </c>
      <c r="K256" s="134">
        <v>1651.6000000000001</v>
      </c>
      <c r="L256" s="134">
        <v>1910.9</v>
      </c>
      <c r="M256" s="134">
        <v>2072.3000000000002</v>
      </c>
      <c r="N256" s="134">
        <v>1998.6000000000001</v>
      </c>
      <c r="O256" s="134">
        <v>1724.6000000000001</v>
      </c>
      <c r="P256" s="134">
        <v>1587.1000000000001</v>
      </c>
      <c r="Q256" s="134">
        <v>1435</v>
      </c>
      <c r="R256" s="59"/>
      <c r="S256" s="109"/>
      <c r="T256" s="109"/>
      <c r="U256" s="109"/>
      <c r="V256" s="109"/>
    </row>
    <row r="257" spans="2:22" ht="12.75" customHeight="1" x14ac:dyDescent="0.2">
      <c r="B257" s="5" t="s">
        <v>604</v>
      </c>
      <c r="C257" s="118" t="s">
        <v>604</v>
      </c>
      <c r="D257" s="46" t="s">
        <v>1830</v>
      </c>
      <c r="E257" s="41"/>
      <c r="F257" s="134">
        <v>406.7</v>
      </c>
      <c r="G257" s="134">
        <v>140.20000000000002</v>
      </c>
      <c r="H257" s="134">
        <v>456.7</v>
      </c>
      <c r="I257" s="134">
        <v>411.2</v>
      </c>
      <c r="J257" s="134">
        <v>371.3</v>
      </c>
      <c r="K257" s="134">
        <v>118</v>
      </c>
      <c r="L257" s="134">
        <v>407.7</v>
      </c>
      <c r="M257" s="134">
        <v>470.2</v>
      </c>
      <c r="N257" s="134">
        <v>434.5</v>
      </c>
      <c r="O257" s="134">
        <v>95.8</v>
      </c>
      <c r="P257" s="134">
        <v>372.5</v>
      </c>
      <c r="Q257" s="134">
        <v>584.20000000000005</v>
      </c>
      <c r="R257" s="109"/>
      <c r="S257" s="109"/>
      <c r="T257" s="109"/>
      <c r="U257" s="109"/>
      <c r="V257" s="109"/>
    </row>
    <row r="258" spans="2:22" ht="12.75" customHeight="1" x14ac:dyDescent="0.2">
      <c r="B258" s="5" t="s">
        <v>603</v>
      </c>
      <c r="C258" s="118" t="s">
        <v>603</v>
      </c>
      <c r="D258" s="46" t="s">
        <v>1687</v>
      </c>
      <c r="E258" s="41"/>
      <c r="F258" s="134" t="s">
        <v>1443</v>
      </c>
      <c r="G258" s="134" t="s">
        <v>1443</v>
      </c>
      <c r="H258" s="134" t="s">
        <v>1443</v>
      </c>
      <c r="I258" s="134" t="s">
        <v>1443</v>
      </c>
      <c r="J258" s="134" t="s">
        <v>1443</v>
      </c>
      <c r="K258" s="134" t="s">
        <v>1443</v>
      </c>
      <c r="L258" s="134" t="s">
        <v>1443</v>
      </c>
      <c r="M258" s="134" t="s">
        <v>1443</v>
      </c>
      <c r="N258" s="134" t="s">
        <v>1443</v>
      </c>
      <c r="O258" s="134" t="s">
        <v>1443</v>
      </c>
      <c r="P258" s="134" t="s">
        <v>1443</v>
      </c>
      <c r="Q258" s="134" t="s">
        <v>1443</v>
      </c>
      <c r="R258" s="109"/>
      <c r="S258" s="109"/>
      <c r="T258" s="109"/>
      <c r="U258" s="109"/>
      <c r="V258" s="109"/>
    </row>
    <row r="259" spans="2:22" ht="12.75" customHeight="1" x14ac:dyDescent="0.2">
      <c r="B259" s="5" t="s">
        <v>602</v>
      </c>
      <c r="C259" s="118" t="s">
        <v>602</v>
      </c>
      <c r="D259" s="46" t="s">
        <v>1679</v>
      </c>
      <c r="E259" s="41"/>
      <c r="F259" s="134" t="s">
        <v>1443</v>
      </c>
      <c r="G259" s="134" t="s">
        <v>1443</v>
      </c>
      <c r="H259" s="134" t="s">
        <v>1443</v>
      </c>
      <c r="I259" s="134" t="s">
        <v>1443</v>
      </c>
      <c r="J259" s="134" t="s">
        <v>1443</v>
      </c>
      <c r="K259" s="134" t="s">
        <v>1443</v>
      </c>
      <c r="L259" s="134" t="s">
        <v>1443</v>
      </c>
      <c r="M259" s="134" t="s">
        <v>1443</v>
      </c>
      <c r="N259" s="134" t="s">
        <v>1443</v>
      </c>
      <c r="O259" s="134" t="s">
        <v>1443</v>
      </c>
      <c r="P259" s="134" t="s">
        <v>1443</v>
      </c>
      <c r="Q259" s="134" t="s">
        <v>1443</v>
      </c>
      <c r="R259" s="109"/>
      <c r="S259" s="109"/>
      <c r="T259" s="109"/>
      <c r="U259" s="109"/>
      <c r="V259" s="109"/>
    </row>
    <row r="260" spans="2:22" ht="12.75" customHeight="1" x14ac:dyDescent="0.2">
      <c r="B260" s="5" t="s">
        <v>601</v>
      </c>
      <c r="C260" s="118" t="s">
        <v>601</v>
      </c>
      <c r="D260" s="46" t="s">
        <v>1746</v>
      </c>
      <c r="E260" s="41"/>
      <c r="F260" s="134" t="s">
        <v>1443</v>
      </c>
      <c r="G260" s="134" t="s">
        <v>1443</v>
      </c>
      <c r="H260" s="134" t="s">
        <v>1443</v>
      </c>
      <c r="I260" s="134" t="s">
        <v>1443</v>
      </c>
      <c r="J260" s="134" t="s">
        <v>1443</v>
      </c>
      <c r="K260" s="134" t="s">
        <v>1443</v>
      </c>
      <c r="L260" s="134" t="s">
        <v>1443</v>
      </c>
      <c r="M260" s="134" t="s">
        <v>1443</v>
      </c>
      <c r="N260" s="134" t="s">
        <v>1443</v>
      </c>
      <c r="O260" s="134" t="s">
        <v>1443</v>
      </c>
      <c r="P260" s="134" t="s">
        <v>1443</v>
      </c>
      <c r="Q260" s="134" t="s">
        <v>1443</v>
      </c>
      <c r="R260" s="109"/>
      <c r="S260" s="109"/>
      <c r="T260" s="109"/>
      <c r="U260" s="109"/>
      <c r="V260" s="109"/>
    </row>
    <row r="261" spans="2:22" ht="12.75" customHeight="1" x14ac:dyDescent="0.2">
      <c r="B261" s="5" t="s">
        <v>600</v>
      </c>
      <c r="C261" s="118" t="s">
        <v>600</v>
      </c>
      <c r="D261" s="46" t="s">
        <v>1632</v>
      </c>
      <c r="E261" s="41"/>
      <c r="F261" s="134" t="s">
        <v>1443</v>
      </c>
      <c r="G261" s="134" t="s">
        <v>1443</v>
      </c>
      <c r="H261" s="134" t="s">
        <v>1443</v>
      </c>
      <c r="I261" s="134" t="s">
        <v>1443</v>
      </c>
      <c r="J261" s="134" t="s">
        <v>1443</v>
      </c>
      <c r="K261" s="134" t="s">
        <v>1443</v>
      </c>
      <c r="L261" s="134" t="s">
        <v>1443</v>
      </c>
      <c r="M261" s="134" t="s">
        <v>1443</v>
      </c>
      <c r="N261" s="134" t="s">
        <v>1443</v>
      </c>
      <c r="O261" s="134" t="s">
        <v>1443</v>
      </c>
      <c r="P261" s="134" t="s">
        <v>1443</v>
      </c>
      <c r="Q261" s="134" t="s">
        <v>1443</v>
      </c>
      <c r="R261" s="109"/>
      <c r="S261" s="109"/>
      <c r="T261" s="109"/>
      <c r="U261" s="109"/>
      <c r="V261" s="109"/>
    </row>
    <row r="262" spans="2:22" ht="12.75" customHeight="1" x14ac:dyDescent="0.2">
      <c r="B262" s="5" t="s">
        <v>599</v>
      </c>
      <c r="C262" s="118" t="s">
        <v>599</v>
      </c>
      <c r="D262" s="46" t="s">
        <v>1846</v>
      </c>
      <c r="E262" s="41"/>
      <c r="F262" s="134" t="s">
        <v>1443</v>
      </c>
      <c r="G262" s="134" t="s">
        <v>1443</v>
      </c>
      <c r="H262" s="134" t="s">
        <v>1443</v>
      </c>
      <c r="I262" s="134" t="s">
        <v>1443</v>
      </c>
      <c r="J262" s="134" t="s">
        <v>1443</v>
      </c>
      <c r="K262" s="134" t="s">
        <v>1443</v>
      </c>
      <c r="L262" s="134" t="s">
        <v>1443</v>
      </c>
      <c r="M262" s="134" t="s">
        <v>1443</v>
      </c>
      <c r="N262" s="134" t="s">
        <v>1443</v>
      </c>
      <c r="O262" s="134" t="s">
        <v>1443</v>
      </c>
      <c r="P262" s="134" t="s">
        <v>1443</v>
      </c>
      <c r="Q262" s="134" t="s">
        <v>1443</v>
      </c>
      <c r="R262" s="109"/>
      <c r="S262" s="109"/>
      <c r="T262" s="109"/>
      <c r="U262" s="109"/>
      <c r="V262" s="109"/>
    </row>
    <row r="263" spans="2:22" ht="12.75" customHeight="1" x14ac:dyDescent="0.2">
      <c r="B263" s="5" t="s">
        <v>598</v>
      </c>
      <c r="C263" s="118" t="s">
        <v>598</v>
      </c>
      <c r="D263" s="46" t="s">
        <v>1800</v>
      </c>
      <c r="E263" s="41"/>
      <c r="F263" s="134">
        <v>22.2</v>
      </c>
      <c r="G263" s="134">
        <v>59.1</v>
      </c>
      <c r="H263" s="134">
        <v>7.3</v>
      </c>
      <c r="I263" s="134">
        <v>21.5</v>
      </c>
      <c r="J263" s="134">
        <v>15.5</v>
      </c>
      <c r="K263" s="134">
        <v>37.6</v>
      </c>
      <c r="L263" s="134" t="s">
        <v>1443</v>
      </c>
      <c r="M263" s="134" t="s">
        <v>1443</v>
      </c>
      <c r="N263" s="134">
        <v>0.9</v>
      </c>
      <c r="O263" s="134">
        <v>59.7</v>
      </c>
      <c r="P263" s="134" t="s">
        <v>1443</v>
      </c>
      <c r="Q263" s="134">
        <v>17.100000000000001</v>
      </c>
      <c r="R263" s="109"/>
      <c r="S263" s="109"/>
      <c r="T263" s="109"/>
      <c r="U263" s="109"/>
      <c r="V263" s="109"/>
    </row>
    <row r="264" spans="2:22" ht="12.75" customHeight="1" x14ac:dyDescent="0.2">
      <c r="B264" s="14" t="s">
        <v>597</v>
      </c>
      <c r="C264" s="119" t="s">
        <v>597</v>
      </c>
      <c r="D264" s="44" t="s">
        <v>1900</v>
      </c>
      <c r="E264" s="44"/>
      <c r="F264" s="135">
        <v>4728.2</v>
      </c>
      <c r="G264" s="135">
        <v>5053.8</v>
      </c>
      <c r="H264" s="135">
        <v>5298.4000000000015</v>
      </c>
      <c r="I264" s="135">
        <v>5517.4000000000015</v>
      </c>
      <c r="J264" s="135">
        <v>5110.6000000000004</v>
      </c>
      <c r="K264" s="135">
        <v>5438.6</v>
      </c>
      <c r="L264" s="135">
        <v>6021.8</v>
      </c>
      <c r="M264" s="135">
        <v>6266.8</v>
      </c>
      <c r="N264" s="135">
        <v>5322.3</v>
      </c>
      <c r="O264" s="135">
        <v>5129.1000000000004</v>
      </c>
      <c r="P264" s="135">
        <v>5198</v>
      </c>
      <c r="Q264" s="135">
        <v>5210.2</v>
      </c>
      <c r="R264" s="59"/>
      <c r="S264" s="109"/>
      <c r="T264" s="109"/>
      <c r="U264" s="109"/>
      <c r="V264" s="109"/>
    </row>
    <row r="265" spans="2:22" ht="12.75" customHeight="1" x14ac:dyDescent="0.2">
      <c r="B265" s="11"/>
      <c r="C265" s="120" t="s">
        <v>192</v>
      </c>
      <c r="D265" s="46" t="s">
        <v>192</v>
      </c>
      <c r="E265" s="41"/>
      <c r="F265" s="134"/>
      <c r="G265" s="134"/>
      <c r="H265" s="134"/>
      <c r="I265" s="134"/>
      <c r="J265" s="134"/>
      <c r="K265" s="134"/>
      <c r="L265" s="134"/>
      <c r="M265" s="134"/>
      <c r="N265" s="134"/>
      <c r="O265" s="134"/>
      <c r="P265" s="134"/>
      <c r="Q265" s="134"/>
    </row>
    <row r="266" spans="2:22" ht="12.75" customHeight="1" x14ac:dyDescent="0.2">
      <c r="B266" s="5" t="s">
        <v>596</v>
      </c>
      <c r="C266" s="118" t="s">
        <v>596</v>
      </c>
      <c r="D266" s="46" t="s">
        <v>1705</v>
      </c>
      <c r="E266" s="41"/>
      <c r="F266" s="134">
        <v>1432.1000000000001</v>
      </c>
      <c r="G266" s="134">
        <v>1464.7</v>
      </c>
      <c r="H266" s="134">
        <v>1476.1000000000001</v>
      </c>
      <c r="I266" s="134">
        <v>1482</v>
      </c>
      <c r="J266" s="134">
        <v>1485.5</v>
      </c>
      <c r="K266" s="134">
        <v>1539.3</v>
      </c>
      <c r="L266" s="134">
        <v>1575.2</v>
      </c>
      <c r="M266" s="134">
        <v>1604.6000000000001</v>
      </c>
      <c r="N266" s="134">
        <v>1633.8</v>
      </c>
      <c r="O266" s="134">
        <v>1681.6000000000001</v>
      </c>
      <c r="P266" s="134">
        <v>1692.8</v>
      </c>
      <c r="Q266" s="134">
        <v>1688.6000000000001</v>
      </c>
      <c r="R266" s="59"/>
      <c r="S266" s="109"/>
      <c r="T266" s="109"/>
      <c r="U266" s="109"/>
      <c r="V266" s="109"/>
    </row>
    <row r="267" spans="2:22" ht="12.75" customHeight="1" x14ac:dyDescent="0.2">
      <c r="B267" s="5" t="s">
        <v>595</v>
      </c>
      <c r="C267" s="118" t="s">
        <v>595</v>
      </c>
      <c r="D267" s="46" t="s">
        <v>1522</v>
      </c>
      <c r="E267" s="41"/>
      <c r="F267" s="134">
        <v>-509.6</v>
      </c>
      <c r="G267" s="134">
        <v>-512.5</v>
      </c>
      <c r="H267" s="134">
        <v>-537.29999999999995</v>
      </c>
      <c r="I267" s="134">
        <v>-556.4</v>
      </c>
      <c r="J267" s="134">
        <v>-572</v>
      </c>
      <c r="K267" s="134">
        <v>-565.9</v>
      </c>
      <c r="L267" s="134">
        <v>-585.5</v>
      </c>
      <c r="M267" s="134">
        <v>-613.9</v>
      </c>
      <c r="N267" s="134">
        <v>-638.80000000000007</v>
      </c>
      <c r="O267" s="134">
        <v>-667.30000000000007</v>
      </c>
      <c r="P267" s="134">
        <v>-692.2</v>
      </c>
      <c r="Q267" s="134">
        <v>-707.4</v>
      </c>
      <c r="R267" s="109"/>
      <c r="S267" s="109"/>
      <c r="T267" s="109"/>
      <c r="U267" s="109"/>
      <c r="V267" s="109"/>
    </row>
    <row r="268" spans="2:22" ht="12.75" customHeight="1" x14ac:dyDescent="0.2">
      <c r="B268" s="14" t="s">
        <v>594</v>
      </c>
      <c r="C268" s="119" t="s">
        <v>594</v>
      </c>
      <c r="D268" s="44" t="s">
        <v>1795</v>
      </c>
      <c r="E268" s="44"/>
      <c r="F268" s="135">
        <v>922.5</v>
      </c>
      <c r="G268" s="135">
        <v>952.2</v>
      </c>
      <c r="H268" s="135">
        <v>938.80000000000007</v>
      </c>
      <c r="I268" s="135">
        <v>925.6</v>
      </c>
      <c r="J268" s="135">
        <v>913.5</v>
      </c>
      <c r="K268" s="135">
        <v>973.4</v>
      </c>
      <c r="L268" s="135">
        <v>989.7</v>
      </c>
      <c r="M268" s="135">
        <v>990.7</v>
      </c>
      <c r="N268" s="135">
        <v>995</v>
      </c>
      <c r="O268" s="135">
        <v>1014.3000000000001</v>
      </c>
      <c r="P268" s="135">
        <v>1000.6</v>
      </c>
      <c r="Q268" s="135">
        <v>981.2</v>
      </c>
      <c r="R268" s="59"/>
      <c r="S268" s="109"/>
      <c r="T268" s="109"/>
      <c r="U268" s="109"/>
      <c r="V268" s="109"/>
    </row>
    <row r="269" spans="2:22" ht="12.75" customHeight="1" x14ac:dyDescent="0.2">
      <c r="B269" s="11"/>
      <c r="C269" s="120" t="s">
        <v>192</v>
      </c>
      <c r="D269" s="46" t="s">
        <v>192</v>
      </c>
      <c r="E269" s="41"/>
      <c r="F269" s="134"/>
      <c r="G269" s="134"/>
      <c r="H269" s="134"/>
      <c r="I269" s="134"/>
      <c r="J269" s="134"/>
      <c r="K269" s="134"/>
      <c r="L269" s="134"/>
      <c r="M269" s="134"/>
      <c r="N269" s="134"/>
      <c r="O269" s="134"/>
      <c r="P269" s="134"/>
      <c r="Q269" s="134"/>
    </row>
    <row r="270" spans="2:22" ht="12.75" customHeight="1" x14ac:dyDescent="0.2">
      <c r="B270" s="5" t="s">
        <v>593</v>
      </c>
      <c r="C270" s="120" t="s">
        <v>593</v>
      </c>
      <c r="D270" s="46" t="s">
        <v>1751</v>
      </c>
      <c r="E270" s="41"/>
      <c r="F270" s="134">
        <v>8.6</v>
      </c>
      <c r="G270" s="134">
        <v>9.2000000000000011</v>
      </c>
      <c r="H270" s="134">
        <v>10.200000000000001</v>
      </c>
      <c r="I270" s="134">
        <v>10.1</v>
      </c>
      <c r="J270" s="134">
        <v>10.3</v>
      </c>
      <c r="K270" s="134">
        <v>14.5</v>
      </c>
      <c r="L270" s="134">
        <v>17.7</v>
      </c>
      <c r="M270" s="134">
        <v>17.8</v>
      </c>
      <c r="N270" s="134">
        <v>19.3</v>
      </c>
      <c r="O270" s="134">
        <v>19.8</v>
      </c>
      <c r="P270" s="134">
        <v>20.100000000000001</v>
      </c>
      <c r="Q270" s="134">
        <v>22.8</v>
      </c>
      <c r="R270" s="59"/>
      <c r="S270" s="109"/>
      <c r="T270" s="109"/>
      <c r="U270" s="109"/>
      <c r="V270" s="109"/>
    </row>
    <row r="271" spans="2:22" ht="12.75" customHeight="1" x14ac:dyDescent="0.2">
      <c r="B271" s="5" t="s">
        <v>592</v>
      </c>
      <c r="C271" s="118" t="s">
        <v>592</v>
      </c>
      <c r="D271" s="46" t="s">
        <v>1700</v>
      </c>
      <c r="E271" s="41"/>
      <c r="F271" s="134">
        <v>1464.3</v>
      </c>
      <c r="G271" s="134">
        <v>1463.3</v>
      </c>
      <c r="H271" s="134">
        <v>1463.1000000000001</v>
      </c>
      <c r="I271" s="134">
        <v>1455.8</v>
      </c>
      <c r="J271" s="134">
        <v>1574.1000000000001</v>
      </c>
      <c r="K271" s="134">
        <v>1589.3</v>
      </c>
      <c r="L271" s="134">
        <v>1592</v>
      </c>
      <c r="M271" s="134">
        <v>1592.3</v>
      </c>
      <c r="N271" s="134">
        <v>1584.7</v>
      </c>
      <c r="O271" s="134">
        <v>1593.6000000000001</v>
      </c>
      <c r="P271" s="134">
        <v>1587.9</v>
      </c>
      <c r="Q271" s="134">
        <v>1509.2</v>
      </c>
      <c r="R271" s="109"/>
      <c r="S271" s="109"/>
      <c r="T271" s="109"/>
      <c r="U271" s="109"/>
      <c r="V271" s="109"/>
    </row>
    <row r="272" spans="2:22" ht="12.75" customHeight="1" x14ac:dyDescent="0.2">
      <c r="B272" s="5" t="s">
        <v>591</v>
      </c>
      <c r="C272" s="118" t="s">
        <v>591</v>
      </c>
      <c r="D272" s="46" t="s">
        <v>1804</v>
      </c>
      <c r="E272" s="41"/>
      <c r="F272" s="134">
        <v>2546.2000000000003</v>
      </c>
      <c r="G272" s="134">
        <v>2665.7000000000003</v>
      </c>
      <c r="H272" s="134">
        <v>2491.5</v>
      </c>
      <c r="I272" s="134">
        <v>2446.4</v>
      </c>
      <c r="J272" s="134">
        <v>2472.7000000000003</v>
      </c>
      <c r="K272" s="134">
        <v>2641.1</v>
      </c>
      <c r="L272" s="134">
        <v>2500.1</v>
      </c>
      <c r="M272" s="134">
        <v>2488.6</v>
      </c>
      <c r="N272" s="134">
        <v>2453.1</v>
      </c>
      <c r="O272" s="134">
        <v>2588.4</v>
      </c>
      <c r="P272" s="134">
        <v>2432.9</v>
      </c>
      <c r="Q272" s="134">
        <v>2413.2000000000003</v>
      </c>
      <c r="R272" s="109"/>
      <c r="S272" s="109"/>
      <c r="T272" s="109"/>
      <c r="U272" s="109"/>
      <c r="V272" s="109"/>
    </row>
    <row r="273" spans="2:22" ht="12.75" customHeight="1" x14ac:dyDescent="0.2">
      <c r="B273" s="5" t="s">
        <v>590</v>
      </c>
      <c r="C273" s="118" t="s">
        <v>590</v>
      </c>
      <c r="D273" s="46" t="s">
        <v>1688</v>
      </c>
      <c r="E273" s="41"/>
      <c r="F273" s="134" t="s">
        <v>1443</v>
      </c>
      <c r="G273" s="134" t="s">
        <v>1443</v>
      </c>
      <c r="H273" s="134" t="s">
        <v>1443</v>
      </c>
      <c r="I273" s="134" t="s">
        <v>1443</v>
      </c>
      <c r="J273" s="134" t="s">
        <v>1443</v>
      </c>
      <c r="K273" s="134" t="s">
        <v>1443</v>
      </c>
      <c r="L273" s="134" t="s">
        <v>1443</v>
      </c>
      <c r="M273" s="134" t="s">
        <v>1443</v>
      </c>
      <c r="N273" s="134" t="s">
        <v>1443</v>
      </c>
      <c r="O273" s="134" t="s">
        <v>1443</v>
      </c>
      <c r="P273" s="134" t="s">
        <v>1443</v>
      </c>
      <c r="Q273" s="134" t="s">
        <v>1443</v>
      </c>
      <c r="R273" s="109"/>
      <c r="S273" s="109"/>
      <c r="T273" s="109"/>
      <c r="U273" s="109"/>
      <c r="V273" s="109"/>
    </row>
    <row r="274" spans="2:22" ht="12.75" customHeight="1" x14ac:dyDescent="0.2">
      <c r="B274" s="5" t="s">
        <v>589</v>
      </c>
      <c r="C274" s="118" t="s">
        <v>589</v>
      </c>
      <c r="D274" s="46" t="s">
        <v>1680</v>
      </c>
      <c r="E274" s="41"/>
      <c r="F274" s="134" t="s">
        <v>1443</v>
      </c>
      <c r="G274" s="134" t="s">
        <v>1443</v>
      </c>
      <c r="H274" s="134" t="s">
        <v>1443</v>
      </c>
      <c r="I274" s="134" t="s">
        <v>1443</v>
      </c>
      <c r="J274" s="134" t="s">
        <v>1443</v>
      </c>
      <c r="K274" s="134" t="s">
        <v>1443</v>
      </c>
      <c r="L274" s="134" t="s">
        <v>1443</v>
      </c>
      <c r="M274" s="134" t="s">
        <v>1443</v>
      </c>
      <c r="N274" s="134" t="s">
        <v>1443</v>
      </c>
      <c r="O274" s="134" t="s">
        <v>1443</v>
      </c>
      <c r="P274" s="134" t="s">
        <v>1443</v>
      </c>
      <c r="Q274" s="134" t="s">
        <v>1443</v>
      </c>
      <c r="R274" s="109"/>
      <c r="S274" s="109"/>
      <c r="T274" s="109"/>
      <c r="U274" s="109"/>
      <c r="V274" s="109"/>
    </row>
    <row r="275" spans="2:22" ht="12.75" customHeight="1" x14ac:dyDescent="0.2">
      <c r="B275" s="5" t="s">
        <v>588</v>
      </c>
      <c r="C275" s="118" t="s">
        <v>588</v>
      </c>
      <c r="D275" s="46" t="s">
        <v>1531</v>
      </c>
      <c r="E275" s="41"/>
      <c r="F275" s="134">
        <v>69.600000000000009</v>
      </c>
      <c r="G275" s="134">
        <v>57.4</v>
      </c>
      <c r="H275" s="134">
        <v>68</v>
      </c>
      <c r="I275" s="134">
        <v>68.400000000000006</v>
      </c>
      <c r="J275" s="134">
        <v>64.599999999999994</v>
      </c>
      <c r="K275" s="134">
        <v>60.800000000000004</v>
      </c>
      <c r="L275" s="134">
        <v>25</v>
      </c>
      <c r="M275" s="134">
        <v>22.400000000000002</v>
      </c>
      <c r="N275" s="134">
        <v>23.5</v>
      </c>
      <c r="O275" s="134">
        <v>19.5</v>
      </c>
      <c r="P275" s="134">
        <v>15</v>
      </c>
      <c r="Q275" s="134" t="s">
        <v>1443</v>
      </c>
      <c r="R275" s="109"/>
      <c r="S275" s="109"/>
      <c r="T275" s="109"/>
      <c r="U275" s="109"/>
      <c r="V275" s="109"/>
    </row>
    <row r="276" spans="2:22" ht="12.75" customHeight="1" x14ac:dyDescent="0.2">
      <c r="B276" s="5" t="s">
        <v>587</v>
      </c>
      <c r="C276" s="118" t="s">
        <v>587</v>
      </c>
      <c r="D276" s="46" t="s">
        <v>1747</v>
      </c>
      <c r="E276" s="41"/>
      <c r="F276" s="134" t="s">
        <v>1443</v>
      </c>
      <c r="G276" s="134" t="s">
        <v>1443</v>
      </c>
      <c r="H276" s="134" t="s">
        <v>1443</v>
      </c>
      <c r="I276" s="134" t="s">
        <v>1443</v>
      </c>
      <c r="J276" s="134" t="s">
        <v>1443</v>
      </c>
      <c r="K276" s="134" t="s">
        <v>1443</v>
      </c>
      <c r="L276" s="134" t="s">
        <v>1443</v>
      </c>
      <c r="M276" s="134" t="s">
        <v>1443</v>
      </c>
      <c r="N276" s="134" t="s">
        <v>1443</v>
      </c>
      <c r="O276" s="134" t="s">
        <v>1443</v>
      </c>
      <c r="P276" s="134" t="s">
        <v>1443</v>
      </c>
      <c r="Q276" s="134" t="s">
        <v>1443</v>
      </c>
      <c r="R276" s="109"/>
      <c r="S276" s="109"/>
      <c r="T276" s="109"/>
      <c r="U276" s="109"/>
      <c r="V276" s="109"/>
    </row>
    <row r="277" spans="2:22" ht="12.75" customHeight="1" x14ac:dyDescent="0.2">
      <c r="B277" s="5" t="s">
        <v>586</v>
      </c>
      <c r="C277" s="118" t="s">
        <v>586</v>
      </c>
      <c r="D277" s="46" t="s">
        <v>1633</v>
      </c>
      <c r="E277" s="41"/>
      <c r="F277" s="134">
        <v>213.4</v>
      </c>
      <c r="G277" s="134">
        <v>194.1</v>
      </c>
      <c r="H277" s="134">
        <v>223.4</v>
      </c>
      <c r="I277" s="134">
        <v>214.9</v>
      </c>
      <c r="J277" s="134">
        <v>184.1</v>
      </c>
      <c r="K277" s="134">
        <v>210.70000000000002</v>
      </c>
      <c r="L277" s="134">
        <v>218.8</v>
      </c>
      <c r="M277" s="134">
        <v>218.5</v>
      </c>
      <c r="N277" s="134">
        <v>209.3</v>
      </c>
      <c r="O277" s="134">
        <v>1336.6000000000001</v>
      </c>
      <c r="P277" s="134">
        <v>1375.1000000000001</v>
      </c>
      <c r="Q277" s="134">
        <v>1664.1000000000001</v>
      </c>
      <c r="R277" s="109"/>
      <c r="S277" s="109"/>
      <c r="T277" s="109"/>
      <c r="U277" s="109"/>
      <c r="V277" s="109"/>
    </row>
    <row r="278" spans="2:22" ht="12.75" customHeight="1" x14ac:dyDescent="0.2">
      <c r="B278" s="5" t="s">
        <v>585</v>
      </c>
      <c r="C278" s="118" t="s">
        <v>585</v>
      </c>
      <c r="D278" s="46" t="s">
        <v>1631</v>
      </c>
      <c r="E278" s="41"/>
      <c r="F278" s="134" t="s">
        <v>1443</v>
      </c>
      <c r="G278" s="134" t="s">
        <v>1443</v>
      </c>
      <c r="H278" s="134" t="s">
        <v>1443</v>
      </c>
      <c r="I278" s="134" t="s">
        <v>1443</v>
      </c>
      <c r="J278" s="134" t="s">
        <v>1443</v>
      </c>
      <c r="K278" s="134" t="s">
        <v>1443</v>
      </c>
      <c r="L278" s="134" t="s">
        <v>1443</v>
      </c>
      <c r="M278" s="134" t="s">
        <v>1443</v>
      </c>
      <c r="N278" s="134" t="s">
        <v>1443</v>
      </c>
      <c r="O278" s="134" t="s">
        <v>1443</v>
      </c>
      <c r="P278" s="134" t="s">
        <v>1443</v>
      </c>
      <c r="Q278" s="134" t="s">
        <v>1443</v>
      </c>
      <c r="R278" s="109"/>
      <c r="S278" s="109"/>
      <c r="T278" s="109"/>
      <c r="U278" s="109"/>
      <c r="V278" s="109"/>
    </row>
    <row r="279" spans="2:22" ht="12.75" customHeight="1" x14ac:dyDescent="0.2">
      <c r="B279" s="5" t="s">
        <v>584</v>
      </c>
      <c r="C279" s="118" t="s">
        <v>584</v>
      </c>
      <c r="D279" s="46" t="s">
        <v>1808</v>
      </c>
      <c r="E279" s="41"/>
      <c r="F279" s="134">
        <v>457.40000000000003</v>
      </c>
      <c r="G279" s="134">
        <v>277.40000000000003</v>
      </c>
      <c r="H279" s="134">
        <v>411.40000000000003</v>
      </c>
      <c r="I279" s="134">
        <v>405.6</v>
      </c>
      <c r="J279" s="134">
        <v>434.8</v>
      </c>
      <c r="K279" s="134">
        <v>242.9</v>
      </c>
      <c r="L279" s="134">
        <v>367</v>
      </c>
      <c r="M279" s="134">
        <v>354.6</v>
      </c>
      <c r="N279" s="134">
        <v>349.2</v>
      </c>
      <c r="O279" s="134">
        <v>224.9</v>
      </c>
      <c r="P279" s="134">
        <v>348.8</v>
      </c>
      <c r="Q279" s="134">
        <v>330</v>
      </c>
      <c r="R279" s="109"/>
      <c r="S279" s="109"/>
      <c r="T279" s="109"/>
      <c r="U279" s="109"/>
      <c r="V279" s="109"/>
    </row>
    <row r="280" spans="2:22" ht="12.75" customHeight="1" thickBot="1" x14ac:dyDescent="0.25">
      <c r="B280" s="26" t="s">
        <v>583</v>
      </c>
      <c r="C280" s="118" t="s">
        <v>792</v>
      </c>
      <c r="D280" s="46" t="s">
        <v>1899</v>
      </c>
      <c r="E280" s="41"/>
      <c r="F280" s="138">
        <v>10410.200000000001</v>
      </c>
      <c r="G280" s="138">
        <v>10673.1</v>
      </c>
      <c r="H280" s="138">
        <v>10904.800000000001</v>
      </c>
      <c r="I280" s="138">
        <v>11044.2</v>
      </c>
      <c r="J280" s="138">
        <v>10764.7</v>
      </c>
      <c r="K280" s="138">
        <v>11171.300000000001</v>
      </c>
      <c r="L280" s="138">
        <v>11732.1</v>
      </c>
      <c r="M280" s="138">
        <v>11951.7</v>
      </c>
      <c r="N280" s="138">
        <v>10956.4</v>
      </c>
      <c r="O280" s="138">
        <v>11926.2</v>
      </c>
      <c r="P280" s="138">
        <v>11978.4</v>
      </c>
      <c r="Q280" s="138">
        <v>12130.7</v>
      </c>
      <c r="R280" s="59"/>
      <c r="S280" s="109"/>
      <c r="T280" s="109"/>
      <c r="U280" s="109"/>
      <c r="V280" s="109"/>
    </row>
    <row r="281" spans="2:22" ht="12.75" customHeight="1" thickTop="1" x14ac:dyDescent="0.2">
      <c r="B281" s="11"/>
      <c r="C281" s="120" t="s">
        <v>192</v>
      </c>
      <c r="D281" s="46" t="s">
        <v>192</v>
      </c>
      <c r="E281" s="41"/>
      <c r="F281" s="134"/>
      <c r="G281" s="134"/>
      <c r="H281" s="134"/>
      <c r="I281" s="134"/>
      <c r="J281" s="134"/>
      <c r="K281" s="134"/>
      <c r="L281" s="134"/>
      <c r="M281" s="134"/>
      <c r="N281" s="134"/>
      <c r="O281" s="134"/>
      <c r="P281" s="134"/>
      <c r="Q281" s="134"/>
    </row>
    <row r="282" spans="2:22" ht="12.75" customHeight="1" x14ac:dyDescent="0.2">
      <c r="B282" s="8" t="s">
        <v>582</v>
      </c>
      <c r="C282" s="120" t="s">
        <v>192</v>
      </c>
      <c r="D282" s="46" t="s">
        <v>192</v>
      </c>
      <c r="E282" s="41"/>
      <c r="F282" s="134"/>
      <c r="G282" s="134"/>
      <c r="H282" s="134"/>
      <c r="I282" s="134"/>
      <c r="J282" s="134"/>
      <c r="K282" s="134"/>
      <c r="L282" s="134"/>
      <c r="M282" s="134"/>
      <c r="N282" s="134"/>
      <c r="O282" s="134"/>
      <c r="P282" s="134"/>
      <c r="Q282" s="134"/>
    </row>
    <row r="283" spans="2:22" ht="12.75" customHeight="1" x14ac:dyDescent="0.2">
      <c r="B283" s="5" t="s">
        <v>581</v>
      </c>
      <c r="C283" s="118" t="s">
        <v>581</v>
      </c>
      <c r="D283" s="46" t="s">
        <v>1528</v>
      </c>
      <c r="E283" s="41"/>
      <c r="F283" s="134">
        <v>1101.4000000000001</v>
      </c>
      <c r="G283" s="134">
        <v>1135</v>
      </c>
      <c r="H283" s="134">
        <v>1057.4000000000001</v>
      </c>
      <c r="I283" s="134">
        <v>1122.2</v>
      </c>
      <c r="J283" s="134">
        <v>1045.7</v>
      </c>
      <c r="K283" s="134">
        <v>1252.2</v>
      </c>
      <c r="L283" s="134">
        <v>1182.8</v>
      </c>
      <c r="M283" s="134">
        <v>1032.7</v>
      </c>
      <c r="N283" s="134">
        <v>662.5</v>
      </c>
      <c r="O283" s="134">
        <v>602.4</v>
      </c>
      <c r="P283" s="134">
        <v>589.30000000000007</v>
      </c>
      <c r="Q283" s="134">
        <v>697.30000000000007</v>
      </c>
      <c r="R283" s="59"/>
      <c r="S283" s="109"/>
      <c r="T283" s="109"/>
      <c r="U283" s="109"/>
      <c r="V283" s="109"/>
    </row>
    <row r="284" spans="2:22" ht="12.75" customHeight="1" x14ac:dyDescent="0.2">
      <c r="B284" s="5" t="s">
        <v>580</v>
      </c>
      <c r="C284" s="118" t="s">
        <v>580</v>
      </c>
      <c r="D284" s="46" t="s">
        <v>1526</v>
      </c>
      <c r="E284" s="41"/>
      <c r="F284" s="134">
        <v>1211.7</v>
      </c>
      <c r="G284" s="134">
        <v>845.5</v>
      </c>
      <c r="H284" s="134">
        <v>1145.5</v>
      </c>
      <c r="I284" s="134">
        <v>1276.8</v>
      </c>
      <c r="J284" s="134">
        <v>1374.8</v>
      </c>
      <c r="K284" s="134">
        <v>939.30000000000007</v>
      </c>
      <c r="L284" s="134">
        <v>1188.9000000000001</v>
      </c>
      <c r="M284" s="134">
        <v>1254.5</v>
      </c>
      <c r="N284" s="134">
        <v>1431.9</v>
      </c>
      <c r="O284" s="134">
        <v>1011.2</v>
      </c>
      <c r="P284" s="134">
        <v>1261.3</v>
      </c>
      <c r="Q284" s="134">
        <v>1384</v>
      </c>
      <c r="R284" s="109"/>
      <c r="S284" s="109"/>
      <c r="T284" s="109"/>
      <c r="U284" s="109"/>
      <c r="V284" s="109"/>
    </row>
    <row r="285" spans="2:22" ht="12.75" customHeight="1" x14ac:dyDescent="0.2">
      <c r="B285" s="5" t="s">
        <v>579</v>
      </c>
      <c r="C285" s="118" t="s">
        <v>579</v>
      </c>
      <c r="D285" s="46" t="s">
        <v>1864</v>
      </c>
      <c r="E285" s="41"/>
      <c r="F285" s="134">
        <v>375.40000000000003</v>
      </c>
      <c r="G285" s="134">
        <v>356.3</v>
      </c>
      <c r="H285" s="134">
        <v>941.80000000000007</v>
      </c>
      <c r="I285" s="134">
        <v>1065.9000000000001</v>
      </c>
      <c r="J285" s="134">
        <v>740.4</v>
      </c>
      <c r="K285" s="134">
        <v>452.3</v>
      </c>
      <c r="L285" s="134">
        <v>1387.7</v>
      </c>
      <c r="M285" s="134">
        <v>1164.3</v>
      </c>
      <c r="N285" s="134">
        <v>599.70000000000005</v>
      </c>
      <c r="O285" s="134">
        <v>837.5</v>
      </c>
      <c r="P285" s="134">
        <v>1217.4000000000001</v>
      </c>
      <c r="Q285" s="134">
        <v>1068.9000000000001</v>
      </c>
      <c r="R285" s="109"/>
      <c r="S285" s="109"/>
      <c r="T285" s="109"/>
      <c r="U285" s="109"/>
      <c r="V285" s="109"/>
    </row>
    <row r="286" spans="2:22" ht="12.75" customHeight="1" x14ac:dyDescent="0.2">
      <c r="B286" s="5" t="s">
        <v>578</v>
      </c>
      <c r="C286" s="118" t="s">
        <v>1025</v>
      </c>
      <c r="D286" s="46" t="s">
        <v>1617</v>
      </c>
      <c r="E286" s="41"/>
      <c r="F286" s="134">
        <v>386.6</v>
      </c>
      <c r="G286" s="134">
        <v>84.5</v>
      </c>
      <c r="H286" s="134">
        <v>98.600000000000009</v>
      </c>
      <c r="I286" s="134">
        <v>89.2</v>
      </c>
      <c r="J286" s="134">
        <v>85.9</v>
      </c>
      <c r="K286" s="134">
        <v>88.5</v>
      </c>
      <c r="L286" s="134">
        <v>490.90000000000003</v>
      </c>
      <c r="M286" s="134">
        <v>496.2</v>
      </c>
      <c r="N286" s="134">
        <v>493.1</v>
      </c>
      <c r="O286" s="134">
        <v>96.5</v>
      </c>
      <c r="P286" s="134">
        <v>93.7</v>
      </c>
      <c r="Q286" s="134">
        <v>84.4</v>
      </c>
      <c r="R286" s="109"/>
      <c r="S286" s="109"/>
      <c r="T286" s="109"/>
      <c r="U286" s="109"/>
      <c r="V286" s="109"/>
    </row>
    <row r="287" spans="2:22" ht="12.75" customHeight="1" x14ac:dyDescent="0.2">
      <c r="B287" s="5" t="s">
        <v>577</v>
      </c>
      <c r="C287" s="118" t="s">
        <v>577</v>
      </c>
      <c r="D287" s="46" t="s">
        <v>1618</v>
      </c>
      <c r="E287" s="41"/>
      <c r="F287" s="134">
        <v>23.8</v>
      </c>
      <c r="G287" s="134">
        <v>23.5</v>
      </c>
      <c r="H287" s="134">
        <v>23.5</v>
      </c>
      <c r="I287" s="134">
        <v>22.7</v>
      </c>
      <c r="J287" s="134">
        <v>22.5</v>
      </c>
      <c r="K287" s="134">
        <v>22</v>
      </c>
      <c r="L287" s="134">
        <v>22.8</v>
      </c>
      <c r="M287" s="134">
        <v>22.3</v>
      </c>
      <c r="N287" s="134">
        <v>23.5</v>
      </c>
      <c r="O287" s="134">
        <v>24.400000000000002</v>
      </c>
      <c r="P287" s="134">
        <v>28.1</v>
      </c>
      <c r="Q287" s="134">
        <v>27</v>
      </c>
      <c r="R287" s="109"/>
      <c r="S287" s="109"/>
      <c r="T287" s="109"/>
      <c r="U287" s="109"/>
      <c r="V287" s="109"/>
    </row>
    <row r="288" spans="2:22" ht="12.75" customHeight="1" x14ac:dyDescent="0.2">
      <c r="B288" s="5" t="s">
        <v>576</v>
      </c>
      <c r="C288" s="118" t="s">
        <v>576</v>
      </c>
      <c r="D288" s="46" t="s">
        <v>1681</v>
      </c>
      <c r="E288" s="41"/>
      <c r="F288" s="134" t="s">
        <v>1443</v>
      </c>
      <c r="G288" s="134" t="s">
        <v>1443</v>
      </c>
      <c r="H288" s="134" t="s">
        <v>1443</v>
      </c>
      <c r="I288" s="134" t="s">
        <v>1443</v>
      </c>
      <c r="J288" s="134" t="s">
        <v>1443</v>
      </c>
      <c r="K288" s="134" t="s">
        <v>1443</v>
      </c>
      <c r="L288" s="134" t="s">
        <v>1443</v>
      </c>
      <c r="M288" s="134" t="s">
        <v>1443</v>
      </c>
      <c r="N288" s="134" t="s">
        <v>1443</v>
      </c>
      <c r="O288" s="134" t="s">
        <v>1443</v>
      </c>
      <c r="P288" s="134" t="s">
        <v>1443</v>
      </c>
      <c r="Q288" s="134" t="s">
        <v>1443</v>
      </c>
      <c r="R288" s="109"/>
      <c r="S288" s="109"/>
      <c r="T288" s="109"/>
      <c r="U288" s="109"/>
      <c r="V288" s="109"/>
    </row>
    <row r="289" spans="2:22" ht="12.75" customHeight="1" x14ac:dyDescent="0.2">
      <c r="B289" s="5" t="s">
        <v>575</v>
      </c>
      <c r="C289" s="118" t="s">
        <v>575</v>
      </c>
      <c r="D289" s="46" t="s">
        <v>1685</v>
      </c>
      <c r="E289" s="41"/>
      <c r="F289" s="134" t="s">
        <v>1443</v>
      </c>
      <c r="G289" s="134" t="s">
        <v>1443</v>
      </c>
      <c r="H289" s="134" t="s">
        <v>1443</v>
      </c>
      <c r="I289" s="134" t="s">
        <v>1443</v>
      </c>
      <c r="J289" s="134" t="s">
        <v>1443</v>
      </c>
      <c r="K289" s="134" t="s">
        <v>1443</v>
      </c>
      <c r="L289" s="134" t="s">
        <v>1443</v>
      </c>
      <c r="M289" s="134" t="s">
        <v>1443</v>
      </c>
      <c r="N289" s="134" t="s">
        <v>1443</v>
      </c>
      <c r="O289" s="134" t="s">
        <v>1443</v>
      </c>
      <c r="P289" s="134" t="s">
        <v>1443</v>
      </c>
      <c r="Q289" s="134" t="s">
        <v>1443</v>
      </c>
      <c r="R289" s="109"/>
      <c r="S289" s="109"/>
      <c r="T289" s="109"/>
      <c r="U289" s="109"/>
      <c r="V289" s="109"/>
    </row>
    <row r="290" spans="2:22" ht="12.75" customHeight="1" x14ac:dyDescent="0.2">
      <c r="B290" s="5" t="s">
        <v>574</v>
      </c>
      <c r="C290" s="118" t="s">
        <v>574</v>
      </c>
      <c r="D290" s="46" t="s">
        <v>1717</v>
      </c>
      <c r="E290" s="41"/>
      <c r="F290" s="134">
        <v>108.2</v>
      </c>
      <c r="G290" s="134">
        <v>65.400000000000006</v>
      </c>
      <c r="H290" s="134">
        <v>94</v>
      </c>
      <c r="I290" s="134">
        <v>109.9</v>
      </c>
      <c r="J290" s="134">
        <v>99.3</v>
      </c>
      <c r="K290" s="134">
        <v>114.7</v>
      </c>
      <c r="L290" s="134">
        <v>140.20000000000002</v>
      </c>
      <c r="M290" s="134">
        <v>118.2</v>
      </c>
      <c r="N290" s="134">
        <v>107.8</v>
      </c>
      <c r="O290" s="134">
        <v>124.4</v>
      </c>
      <c r="P290" s="134">
        <v>116.2</v>
      </c>
      <c r="Q290" s="134">
        <v>120.3</v>
      </c>
      <c r="R290" s="109"/>
      <c r="S290" s="109"/>
      <c r="T290" s="109"/>
      <c r="U290" s="109"/>
      <c r="V290" s="109"/>
    </row>
    <row r="291" spans="2:22" ht="12.75" customHeight="1" x14ac:dyDescent="0.2">
      <c r="B291" s="5" t="s">
        <v>573</v>
      </c>
      <c r="C291" s="118" t="s">
        <v>573</v>
      </c>
      <c r="D291" s="46" t="s">
        <v>1921</v>
      </c>
      <c r="E291" s="41"/>
      <c r="F291" s="134">
        <v>3.2</v>
      </c>
      <c r="G291" s="134">
        <v>630.70000000000005</v>
      </c>
      <c r="H291" s="134">
        <v>40</v>
      </c>
      <c r="I291" s="134">
        <v>1.8</v>
      </c>
      <c r="J291" s="134">
        <v>3.3000000000000003</v>
      </c>
      <c r="K291" s="134">
        <v>680.5</v>
      </c>
      <c r="L291" s="134">
        <v>14</v>
      </c>
      <c r="M291" s="134">
        <v>3.4</v>
      </c>
      <c r="N291" s="134">
        <v>1.7</v>
      </c>
      <c r="O291" s="134">
        <v>482.1</v>
      </c>
      <c r="P291" s="134">
        <v>88.7</v>
      </c>
      <c r="Q291" s="134">
        <v>0.8</v>
      </c>
      <c r="R291" s="109"/>
      <c r="S291" s="109"/>
      <c r="T291" s="109"/>
      <c r="U291" s="109"/>
      <c r="V291" s="109"/>
    </row>
    <row r="292" spans="2:22" ht="12.75" customHeight="1" x14ac:dyDescent="0.2">
      <c r="B292" s="5" t="s">
        <v>572</v>
      </c>
      <c r="C292" s="118" t="s">
        <v>572</v>
      </c>
      <c r="D292" s="46" t="s">
        <v>1634</v>
      </c>
      <c r="E292" s="41"/>
      <c r="F292" s="134" t="s">
        <v>1443</v>
      </c>
      <c r="G292" s="134" t="s">
        <v>1443</v>
      </c>
      <c r="H292" s="134" t="s">
        <v>1443</v>
      </c>
      <c r="I292" s="134" t="s">
        <v>1443</v>
      </c>
      <c r="J292" s="134" t="s">
        <v>1443</v>
      </c>
      <c r="K292" s="134" t="s">
        <v>1443</v>
      </c>
      <c r="L292" s="134" t="s">
        <v>1443</v>
      </c>
      <c r="M292" s="134" t="s">
        <v>1443</v>
      </c>
      <c r="N292" s="134" t="s">
        <v>1443</v>
      </c>
      <c r="O292" s="134" t="s">
        <v>1443</v>
      </c>
      <c r="P292" s="134" t="s">
        <v>1443</v>
      </c>
      <c r="Q292" s="134" t="s">
        <v>1443</v>
      </c>
      <c r="R292" s="109"/>
      <c r="S292" s="109"/>
      <c r="T292" s="109"/>
      <c r="U292" s="109"/>
      <c r="V292" s="109"/>
    </row>
    <row r="293" spans="2:22" ht="12.75" customHeight="1" x14ac:dyDescent="0.2">
      <c r="B293" s="5" t="s">
        <v>571</v>
      </c>
      <c r="C293" s="118" t="s">
        <v>571</v>
      </c>
      <c r="D293" s="46" t="s">
        <v>1801</v>
      </c>
      <c r="E293" s="41"/>
      <c r="F293" s="134">
        <v>217.3</v>
      </c>
      <c r="G293" s="134">
        <v>379.40000000000003</v>
      </c>
      <c r="H293" s="134">
        <v>428.5</v>
      </c>
      <c r="I293" s="134">
        <v>297.2</v>
      </c>
      <c r="J293" s="134">
        <v>260.3</v>
      </c>
      <c r="K293" s="134">
        <v>250.1</v>
      </c>
      <c r="L293" s="134">
        <v>241</v>
      </c>
      <c r="M293" s="134">
        <v>261.10000000000002</v>
      </c>
      <c r="N293" s="134">
        <v>126.3</v>
      </c>
      <c r="O293" s="134">
        <v>206.1</v>
      </c>
      <c r="P293" s="134">
        <v>158.20000000000002</v>
      </c>
      <c r="Q293" s="134">
        <v>140.4</v>
      </c>
      <c r="R293" s="109"/>
      <c r="S293" s="109"/>
      <c r="T293" s="109"/>
      <c r="U293" s="109"/>
      <c r="V293" s="109"/>
    </row>
    <row r="294" spans="2:22" ht="12.75" customHeight="1" x14ac:dyDescent="0.2">
      <c r="B294" s="14" t="s">
        <v>570</v>
      </c>
      <c r="C294" s="119" t="s">
        <v>570</v>
      </c>
      <c r="D294" s="44" t="s">
        <v>1902</v>
      </c>
      <c r="E294" s="44"/>
      <c r="F294" s="135">
        <v>3427.6</v>
      </c>
      <c r="G294" s="135">
        <v>3520.3</v>
      </c>
      <c r="H294" s="135">
        <v>3829.3</v>
      </c>
      <c r="I294" s="135">
        <v>3985.7000000000003</v>
      </c>
      <c r="J294" s="135">
        <v>3632.2000000000003</v>
      </c>
      <c r="K294" s="135">
        <v>3799.6</v>
      </c>
      <c r="L294" s="135">
        <v>4668.3</v>
      </c>
      <c r="M294" s="135">
        <v>4352.7</v>
      </c>
      <c r="N294" s="135">
        <v>3446.5</v>
      </c>
      <c r="O294" s="135">
        <v>3384.6</v>
      </c>
      <c r="P294" s="135">
        <v>3552.9</v>
      </c>
      <c r="Q294" s="135">
        <v>3523.1</v>
      </c>
      <c r="R294" s="59"/>
      <c r="S294" s="109"/>
      <c r="T294" s="109"/>
      <c r="U294" s="109"/>
      <c r="V294" s="109"/>
    </row>
    <row r="295" spans="2:22" ht="12.75" customHeight="1" x14ac:dyDescent="0.2">
      <c r="B295" s="11"/>
      <c r="C295" s="120" t="s">
        <v>192</v>
      </c>
      <c r="D295" s="46" t="s">
        <v>192</v>
      </c>
      <c r="E295" s="41"/>
      <c r="F295" s="134"/>
      <c r="G295" s="134"/>
      <c r="H295" s="134"/>
      <c r="I295" s="134"/>
      <c r="J295" s="134"/>
      <c r="K295" s="134"/>
      <c r="L295" s="134"/>
      <c r="M295" s="134"/>
      <c r="N295" s="134"/>
      <c r="O295" s="134"/>
      <c r="P295" s="134"/>
      <c r="Q295" s="134"/>
    </row>
    <row r="296" spans="2:22" ht="12.75" customHeight="1" x14ac:dyDescent="0.2">
      <c r="B296" s="5" t="s">
        <v>569</v>
      </c>
      <c r="C296" s="120" t="s">
        <v>569</v>
      </c>
      <c r="D296" s="46" t="s">
        <v>1748</v>
      </c>
      <c r="E296" s="41"/>
      <c r="F296" s="134">
        <v>2631.7000000000003</v>
      </c>
      <c r="G296" s="134">
        <v>2731.7000000000003</v>
      </c>
      <c r="H296" s="134">
        <v>2732.4</v>
      </c>
      <c r="I296" s="134">
        <v>2731.7000000000003</v>
      </c>
      <c r="J296" s="134">
        <v>2732.5</v>
      </c>
      <c r="K296" s="134">
        <v>2733.2000000000003</v>
      </c>
      <c r="L296" s="134">
        <v>2334</v>
      </c>
      <c r="M296" s="134">
        <v>3022</v>
      </c>
      <c r="N296" s="134">
        <v>3022.9</v>
      </c>
      <c r="O296" s="134">
        <v>3023.6</v>
      </c>
      <c r="P296" s="134">
        <v>3024.6</v>
      </c>
      <c r="Q296" s="134">
        <v>3025.8</v>
      </c>
      <c r="R296" s="59"/>
      <c r="S296" s="109"/>
      <c r="T296" s="109"/>
      <c r="U296" s="109"/>
      <c r="V296" s="109"/>
    </row>
    <row r="297" spans="2:22" ht="12.75" customHeight="1" x14ac:dyDescent="0.2">
      <c r="B297" s="5" t="s">
        <v>568</v>
      </c>
      <c r="C297" s="118" t="s">
        <v>568</v>
      </c>
      <c r="D297" s="46" t="s">
        <v>1572</v>
      </c>
      <c r="E297" s="41"/>
      <c r="F297" s="134">
        <v>144.5</v>
      </c>
      <c r="G297" s="134">
        <v>140</v>
      </c>
      <c r="H297" s="134">
        <v>139.1</v>
      </c>
      <c r="I297" s="134">
        <v>132.6</v>
      </c>
      <c r="J297" s="134">
        <v>127.5</v>
      </c>
      <c r="K297" s="134">
        <v>128.6</v>
      </c>
      <c r="L297" s="134">
        <v>130.4</v>
      </c>
      <c r="M297" s="134">
        <v>126.4</v>
      </c>
      <c r="N297" s="134">
        <v>124.10000000000001</v>
      </c>
      <c r="O297" s="134">
        <v>123.2</v>
      </c>
      <c r="P297" s="134">
        <v>120.9</v>
      </c>
      <c r="Q297" s="134">
        <v>115.9</v>
      </c>
      <c r="R297" s="109"/>
      <c r="S297" s="109"/>
      <c r="T297" s="109"/>
      <c r="U297" s="109"/>
      <c r="V297" s="109"/>
    </row>
    <row r="298" spans="2:22" ht="12.75" customHeight="1" x14ac:dyDescent="0.2">
      <c r="B298" s="5" t="s">
        <v>567</v>
      </c>
      <c r="C298" s="118" t="s">
        <v>567</v>
      </c>
      <c r="D298" s="46" t="s">
        <v>1682</v>
      </c>
      <c r="E298" s="41"/>
      <c r="F298" s="134" t="s">
        <v>1443</v>
      </c>
      <c r="G298" s="134" t="s">
        <v>1443</v>
      </c>
      <c r="H298" s="134" t="s">
        <v>1443</v>
      </c>
      <c r="I298" s="134" t="s">
        <v>1443</v>
      </c>
      <c r="J298" s="134" t="s">
        <v>1443</v>
      </c>
      <c r="K298" s="134" t="s">
        <v>1443</v>
      </c>
      <c r="L298" s="134" t="s">
        <v>1443</v>
      </c>
      <c r="M298" s="134" t="s">
        <v>1443</v>
      </c>
      <c r="N298" s="134" t="s">
        <v>1443</v>
      </c>
      <c r="O298" s="134" t="s">
        <v>1443</v>
      </c>
      <c r="P298" s="134" t="s">
        <v>1443</v>
      </c>
      <c r="Q298" s="134" t="s">
        <v>1443</v>
      </c>
      <c r="R298" s="109"/>
      <c r="S298" s="109"/>
      <c r="T298" s="109"/>
      <c r="U298" s="109"/>
      <c r="V298" s="109"/>
    </row>
    <row r="299" spans="2:22" ht="12.75" customHeight="1" x14ac:dyDescent="0.2">
      <c r="B299" s="5" t="s">
        <v>566</v>
      </c>
      <c r="C299" s="118" t="s">
        <v>566</v>
      </c>
      <c r="D299" s="46" t="s">
        <v>1686</v>
      </c>
      <c r="E299" s="41"/>
      <c r="F299" s="134" t="s">
        <v>1443</v>
      </c>
      <c r="G299" s="134" t="s">
        <v>1443</v>
      </c>
      <c r="H299" s="134" t="s">
        <v>1443</v>
      </c>
      <c r="I299" s="134" t="s">
        <v>1443</v>
      </c>
      <c r="J299" s="134" t="s">
        <v>1443</v>
      </c>
      <c r="K299" s="134" t="s">
        <v>1443</v>
      </c>
      <c r="L299" s="134" t="s">
        <v>1443</v>
      </c>
      <c r="M299" s="134" t="s">
        <v>1443</v>
      </c>
      <c r="N299" s="134" t="s">
        <v>1443</v>
      </c>
      <c r="O299" s="134" t="s">
        <v>1443</v>
      </c>
      <c r="P299" s="134" t="s">
        <v>1443</v>
      </c>
      <c r="Q299" s="134" t="s">
        <v>1443</v>
      </c>
      <c r="R299" s="109"/>
      <c r="S299" s="109"/>
      <c r="T299" s="109"/>
      <c r="U299" s="109"/>
      <c r="V299" s="109"/>
    </row>
    <row r="300" spans="2:22" ht="12.75" customHeight="1" x14ac:dyDescent="0.2">
      <c r="B300" s="5" t="s">
        <v>565</v>
      </c>
      <c r="C300" s="118" t="s">
        <v>565</v>
      </c>
      <c r="D300" s="46" t="s">
        <v>1922</v>
      </c>
      <c r="E300" s="41"/>
      <c r="F300" s="134" t="s">
        <v>1443</v>
      </c>
      <c r="G300" s="134" t="s">
        <v>1443</v>
      </c>
      <c r="H300" s="134" t="s">
        <v>1443</v>
      </c>
      <c r="I300" s="134" t="s">
        <v>1443</v>
      </c>
      <c r="J300" s="134" t="s">
        <v>1443</v>
      </c>
      <c r="K300" s="134" t="s">
        <v>1443</v>
      </c>
      <c r="L300" s="134" t="s">
        <v>1443</v>
      </c>
      <c r="M300" s="134" t="s">
        <v>1443</v>
      </c>
      <c r="N300" s="134" t="s">
        <v>1443</v>
      </c>
      <c r="O300" s="134" t="s">
        <v>1443</v>
      </c>
      <c r="P300" s="134" t="s">
        <v>1443</v>
      </c>
      <c r="Q300" s="134" t="s">
        <v>1443</v>
      </c>
      <c r="R300" s="109"/>
      <c r="S300" s="109"/>
      <c r="T300" s="109"/>
      <c r="U300" s="109"/>
      <c r="V300" s="109"/>
    </row>
    <row r="301" spans="2:22" ht="12.75" customHeight="1" x14ac:dyDescent="0.2">
      <c r="B301" s="5" t="s">
        <v>564</v>
      </c>
      <c r="C301" s="118" t="s">
        <v>564</v>
      </c>
      <c r="D301" s="46" t="s">
        <v>1819</v>
      </c>
      <c r="E301" s="41"/>
      <c r="F301" s="134">
        <v>44.2</v>
      </c>
      <c r="G301" s="134">
        <v>41.800000000000004</v>
      </c>
      <c r="H301" s="134">
        <v>40.200000000000003</v>
      </c>
      <c r="I301" s="134">
        <v>39.5</v>
      </c>
      <c r="J301" s="134">
        <v>38.800000000000004</v>
      </c>
      <c r="K301" s="134">
        <v>31.6</v>
      </c>
      <c r="L301" s="134">
        <v>29.7</v>
      </c>
      <c r="M301" s="134">
        <v>29.7</v>
      </c>
      <c r="N301" s="134">
        <v>29.6</v>
      </c>
      <c r="O301" s="134">
        <v>24.400000000000002</v>
      </c>
      <c r="P301" s="134">
        <v>24.3</v>
      </c>
      <c r="Q301" s="134">
        <v>23.5</v>
      </c>
      <c r="R301" s="109"/>
      <c r="S301" s="109"/>
      <c r="T301" s="109"/>
      <c r="U301" s="109"/>
      <c r="V301" s="109"/>
    </row>
    <row r="302" spans="2:22" ht="12.75" customHeight="1" x14ac:dyDescent="0.2">
      <c r="B302" s="5" t="s">
        <v>563</v>
      </c>
      <c r="C302" s="118" t="s">
        <v>563</v>
      </c>
      <c r="D302" s="46" t="s">
        <v>1635</v>
      </c>
      <c r="E302" s="41"/>
      <c r="F302" s="134">
        <v>345.3</v>
      </c>
      <c r="G302" s="134">
        <v>342.40000000000003</v>
      </c>
      <c r="H302" s="134">
        <v>339.2</v>
      </c>
      <c r="I302" s="134">
        <v>334</v>
      </c>
      <c r="J302" s="134">
        <v>351.7</v>
      </c>
      <c r="K302" s="134">
        <v>321.5</v>
      </c>
      <c r="L302" s="134">
        <v>324</v>
      </c>
      <c r="M302" s="134">
        <v>324.2</v>
      </c>
      <c r="N302" s="134">
        <v>321.10000000000002</v>
      </c>
      <c r="O302" s="134">
        <v>158.1</v>
      </c>
      <c r="P302" s="134">
        <v>151.6</v>
      </c>
      <c r="Q302" s="134">
        <v>109.9</v>
      </c>
      <c r="R302" s="109"/>
      <c r="S302" s="109"/>
      <c r="T302" s="109"/>
      <c r="U302" s="109"/>
      <c r="V302" s="109"/>
    </row>
    <row r="303" spans="2:22" ht="12.75" customHeight="1" x14ac:dyDescent="0.2">
      <c r="B303" s="5" t="s">
        <v>562</v>
      </c>
      <c r="C303" s="118" t="s">
        <v>562</v>
      </c>
      <c r="D303" s="46" t="s">
        <v>1807</v>
      </c>
      <c r="E303" s="41"/>
      <c r="F303" s="134">
        <v>759.9</v>
      </c>
      <c r="G303" s="134">
        <v>753.2</v>
      </c>
      <c r="H303" s="134">
        <v>742.4</v>
      </c>
      <c r="I303" s="134">
        <v>693.4</v>
      </c>
      <c r="J303" s="134">
        <v>678.4</v>
      </c>
      <c r="K303" s="134">
        <v>755.9</v>
      </c>
      <c r="L303" s="134">
        <v>751.2</v>
      </c>
      <c r="M303" s="134">
        <v>719.30000000000007</v>
      </c>
      <c r="N303" s="134">
        <v>697.7</v>
      </c>
      <c r="O303" s="134">
        <v>778.9</v>
      </c>
      <c r="P303" s="134">
        <v>771.2</v>
      </c>
      <c r="Q303" s="134">
        <v>751.80000000000007</v>
      </c>
      <c r="R303" s="109"/>
      <c r="S303" s="109"/>
      <c r="T303" s="109"/>
      <c r="U303" s="109"/>
      <c r="V303" s="109"/>
    </row>
    <row r="304" spans="2:22" ht="12.75" customHeight="1" thickBot="1" x14ac:dyDescent="0.25">
      <c r="B304" s="26" t="s">
        <v>561</v>
      </c>
      <c r="C304" s="118" t="s">
        <v>1026</v>
      </c>
      <c r="D304" s="46" t="s">
        <v>1910</v>
      </c>
      <c r="E304" s="41"/>
      <c r="F304" s="138">
        <v>7353.2</v>
      </c>
      <c r="G304" s="138">
        <v>7529.4000000000015</v>
      </c>
      <c r="H304" s="138">
        <v>7822.6</v>
      </c>
      <c r="I304" s="138">
        <v>7916.9000000000015</v>
      </c>
      <c r="J304" s="138">
        <v>7561.1</v>
      </c>
      <c r="K304" s="138">
        <v>7770.4000000000015</v>
      </c>
      <c r="L304" s="138">
        <v>8237.6</v>
      </c>
      <c r="M304" s="138">
        <v>8574.2999999999993</v>
      </c>
      <c r="N304" s="138">
        <v>7641.9000000000015</v>
      </c>
      <c r="O304" s="138">
        <v>7492.8</v>
      </c>
      <c r="P304" s="138">
        <v>7645.5</v>
      </c>
      <c r="Q304" s="138">
        <v>7550</v>
      </c>
      <c r="R304" s="59"/>
      <c r="S304" s="109"/>
      <c r="T304" s="109"/>
      <c r="U304" s="109"/>
      <c r="V304" s="109"/>
    </row>
    <row r="305" spans="2:22" ht="12.75" customHeight="1" thickTop="1" x14ac:dyDescent="0.2">
      <c r="B305" s="11"/>
      <c r="C305" s="120" t="s">
        <v>192</v>
      </c>
      <c r="D305" s="46" t="s">
        <v>192</v>
      </c>
      <c r="E305" s="41"/>
      <c r="F305" s="134"/>
      <c r="G305" s="134"/>
      <c r="H305" s="134"/>
      <c r="I305" s="134"/>
      <c r="J305" s="134"/>
      <c r="K305" s="134"/>
      <c r="L305" s="134"/>
      <c r="M305" s="134"/>
      <c r="N305" s="134"/>
      <c r="O305" s="134"/>
      <c r="P305" s="134"/>
      <c r="Q305" s="134"/>
    </row>
    <row r="306" spans="2:22" ht="12.75" customHeight="1" x14ac:dyDescent="0.2">
      <c r="B306" s="8" t="s">
        <v>560</v>
      </c>
      <c r="C306" s="120" t="s">
        <v>192</v>
      </c>
      <c r="D306" s="46" t="s">
        <v>192</v>
      </c>
      <c r="E306" s="41"/>
      <c r="F306" s="142"/>
      <c r="G306" s="142"/>
      <c r="H306" s="142"/>
      <c r="I306" s="142"/>
      <c r="J306" s="142"/>
      <c r="K306" s="142"/>
      <c r="L306" s="142"/>
      <c r="M306" s="142"/>
      <c r="N306" s="142"/>
      <c r="O306" s="142"/>
      <c r="P306" s="142"/>
      <c r="Q306" s="142"/>
    </row>
    <row r="307" spans="2:22" ht="12.75" customHeight="1" x14ac:dyDescent="0.2">
      <c r="B307" s="5" t="s">
        <v>559</v>
      </c>
      <c r="C307" s="120" t="s">
        <v>559</v>
      </c>
      <c r="D307" s="46" t="s">
        <v>1828</v>
      </c>
      <c r="E307" s="41"/>
      <c r="F307" s="134" t="s">
        <v>1443</v>
      </c>
      <c r="G307" s="134" t="s">
        <v>1443</v>
      </c>
      <c r="H307" s="134" t="s">
        <v>1443</v>
      </c>
      <c r="I307" s="134" t="s">
        <v>1443</v>
      </c>
      <c r="J307" s="134" t="s">
        <v>1443</v>
      </c>
      <c r="K307" s="134" t="s">
        <v>1443</v>
      </c>
      <c r="L307" s="134" t="s">
        <v>1443</v>
      </c>
      <c r="M307" s="134" t="s">
        <v>1443</v>
      </c>
      <c r="N307" s="134" t="s">
        <v>1443</v>
      </c>
      <c r="O307" s="134" t="s">
        <v>1443</v>
      </c>
      <c r="P307" s="134" t="s">
        <v>1443</v>
      </c>
      <c r="Q307" s="134" t="s">
        <v>1443</v>
      </c>
      <c r="R307" s="59"/>
      <c r="S307" s="109"/>
      <c r="T307" s="109"/>
      <c r="U307" s="109"/>
      <c r="V307" s="109"/>
    </row>
    <row r="308" spans="2:22" ht="12.75" customHeight="1" x14ac:dyDescent="0.2">
      <c r="B308" s="5" t="s">
        <v>558</v>
      </c>
      <c r="C308" s="120" t="s">
        <v>558</v>
      </c>
      <c r="D308" s="46" t="s">
        <v>1826</v>
      </c>
      <c r="E308" s="41"/>
      <c r="F308" s="134" t="s">
        <v>1443</v>
      </c>
      <c r="G308" s="134" t="s">
        <v>1443</v>
      </c>
      <c r="H308" s="134" t="s">
        <v>1443</v>
      </c>
      <c r="I308" s="134" t="s">
        <v>1443</v>
      </c>
      <c r="J308" s="134" t="s">
        <v>1443</v>
      </c>
      <c r="K308" s="134" t="s">
        <v>1443</v>
      </c>
      <c r="L308" s="134" t="s">
        <v>1443</v>
      </c>
      <c r="M308" s="134" t="s">
        <v>1443</v>
      </c>
      <c r="N308" s="134" t="s">
        <v>1443</v>
      </c>
      <c r="O308" s="134" t="s">
        <v>1443</v>
      </c>
      <c r="P308" s="134" t="s">
        <v>1443</v>
      </c>
      <c r="Q308" s="134" t="s">
        <v>1443</v>
      </c>
      <c r="R308" s="109"/>
      <c r="S308" s="109"/>
      <c r="T308" s="109"/>
      <c r="U308" s="109"/>
      <c r="V308" s="109"/>
    </row>
    <row r="309" spans="2:22" ht="12.75" customHeight="1" x14ac:dyDescent="0.2">
      <c r="B309" s="5" t="s">
        <v>557</v>
      </c>
      <c r="C309" s="120" t="s">
        <v>557</v>
      </c>
      <c r="D309" s="46" t="s">
        <v>1822</v>
      </c>
      <c r="E309" s="41"/>
      <c r="F309" s="134" t="s">
        <v>1443</v>
      </c>
      <c r="G309" s="134" t="s">
        <v>1443</v>
      </c>
      <c r="H309" s="134" t="s">
        <v>1443</v>
      </c>
      <c r="I309" s="134" t="s">
        <v>1443</v>
      </c>
      <c r="J309" s="134" t="s">
        <v>1443</v>
      </c>
      <c r="K309" s="134" t="s">
        <v>1443</v>
      </c>
      <c r="L309" s="134" t="s">
        <v>1443</v>
      </c>
      <c r="M309" s="134" t="s">
        <v>1443</v>
      </c>
      <c r="N309" s="134" t="s">
        <v>1443</v>
      </c>
      <c r="O309" s="134" t="s">
        <v>1443</v>
      </c>
      <c r="P309" s="134" t="s">
        <v>1443</v>
      </c>
      <c r="Q309" s="134" t="s">
        <v>1443</v>
      </c>
      <c r="R309" s="109"/>
      <c r="S309" s="109"/>
      <c r="T309" s="109"/>
      <c r="U309" s="109"/>
      <c r="V309" s="109"/>
    </row>
    <row r="310" spans="2:22" ht="12.75" customHeight="1" x14ac:dyDescent="0.2">
      <c r="B310" s="5" t="s">
        <v>556</v>
      </c>
      <c r="C310" s="120" t="s">
        <v>556</v>
      </c>
      <c r="D310" s="46" t="s">
        <v>1827</v>
      </c>
      <c r="E310" s="41"/>
      <c r="F310" s="134" t="s">
        <v>1443</v>
      </c>
      <c r="G310" s="134" t="s">
        <v>1443</v>
      </c>
      <c r="H310" s="134" t="s">
        <v>1443</v>
      </c>
      <c r="I310" s="134" t="s">
        <v>1443</v>
      </c>
      <c r="J310" s="134" t="s">
        <v>1443</v>
      </c>
      <c r="K310" s="134" t="s">
        <v>1443</v>
      </c>
      <c r="L310" s="134" t="s">
        <v>1443</v>
      </c>
      <c r="M310" s="134" t="s">
        <v>1443</v>
      </c>
      <c r="N310" s="134" t="s">
        <v>1443</v>
      </c>
      <c r="O310" s="134" t="s">
        <v>1443</v>
      </c>
      <c r="P310" s="134" t="s">
        <v>1443</v>
      </c>
      <c r="Q310" s="134" t="s">
        <v>1443</v>
      </c>
      <c r="R310" s="109"/>
      <c r="S310" s="109"/>
      <c r="T310" s="109"/>
      <c r="U310" s="109"/>
      <c r="V310" s="109"/>
    </row>
    <row r="311" spans="2:22" ht="12.75" customHeight="1" x14ac:dyDescent="0.2">
      <c r="B311" s="20" t="s">
        <v>555</v>
      </c>
      <c r="C311" s="120" t="s">
        <v>1027</v>
      </c>
      <c r="D311" s="46" t="s">
        <v>1913</v>
      </c>
      <c r="E311" s="41"/>
      <c r="F311" s="139" t="s">
        <v>1443</v>
      </c>
      <c r="G311" s="139" t="s">
        <v>1443</v>
      </c>
      <c r="H311" s="139" t="s">
        <v>1443</v>
      </c>
      <c r="I311" s="139" t="s">
        <v>1443</v>
      </c>
      <c r="J311" s="139" t="s">
        <v>1443</v>
      </c>
      <c r="K311" s="139" t="s">
        <v>1443</v>
      </c>
      <c r="L311" s="139" t="s">
        <v>1443</v>
      </c>
      <c r="M311" s="139" t="s">
        <v>1443</v>
      </c>
      <c r="N311" s="139" t="s">
        <v>1443</v>
      </c>
      <c r="O311" s="139" t="s">
        <v>1443</v>
      </c>
      <c r="P311" s="139" t="s">
        <v>1443</v>
      </c>
      <c r="Q311" s="139" t="s">
        <v>1443</v>
      </c>
      <c r="R311" s="65"/>
      <c r="S311" s="109"/>
      <c r="T311" s="109"/>
      <c r="U311" s="109"/>
      <c r="V311" s="109"/>
    </row>
    <row r="312" spans="2:22" ht="12.75" customHeight="1" x14ac:dyDescent="0.2">
      <c r="B312" s="12"/>
      <c r="C312" s="120" t="s">
        <v>192</v>
      </c>
      <c r="D312" s="46" t="s">
        <v>192</v>
      </c>
      <c r="E312" s="41"/>
      <c r="F312" s="134"/>
      <c r="G312" s="134"/>
      <c r="H312" s="134"/>
      <c r="I312" s="134"/>
      <c r="J312" s="134"/>
      <c r="K312" s="134"/>
      <c r="L312" s="134"/>
      <c r="M312" s="134"/>
      <c r="N312" s="134"/>
      <c r="O312" s="134"/>
      <c r="P312" s="134"/>
      <c r="Q312" s="134"/>
    </row>
    <row r="313" spans="2:22" ht="12.75" customHeight="1" x14ac:dyDescent="0.2">
      <c r="B313" s="5" t="s">
        <v>554</v>
      </c>
      <c r="C313" s="118" t="s">
        <v>554</v>
      </c>
      <c r="D313" s="46" t="s">
        <v>1610</v>
      </c>
      <c r="E313" s="41"/>
      <c r="F313" s="134">
        <v>18.600000000000001</v>
      </c>
      <c r="G313" s="134">
        <v>18.600000000000001</v>
      </c>
      <c r="H313" s="134">
        <v>18.600000000000001</v>
      </c>
      <c r="I313" s="134">
        <v>18.600000000000001</v>
      </c>
      <c r="J313" s="134">
        <v>18.600000000000001</v>
      </c>
      <c r="K313" s="134">
        <v>18.600000000000001</v>
      </c>
      <c r="L313" s="134">
        <v>18.600000000000001</v>
      </c>
      <c r="M313" s="134">
        <v>18.600000000000001</v>
      </c>
      <c r="N313" s="134">
        <v>18.600000000000001</v>
      </c>
      <c r="O313" s="134">
        <v>18.600000000000001</v>
      </c>
      <c r="P313" s="134">
        <v>18.600000000000001</v>
      </c>
      <c r="Q313" s="134">
        <v>18.600000000000001</v>
      </c>
      <c r="R313" s="59"/>
      <c r="S313" s="109"/>
      <c r="T313" s="109"/>
      <c r="U313" s="109"/>
      <c r="V313" s="109"/>
    </row>
    <row r="314" spans="2:22" ht="12.75" customHeight="1" x14ac:dyDescent="0.2">
      <c r="B314" s="5" t="s">
        <v>553</v>
      </c>
      <c r="C314" s="118" t="s">
        <v>553</v>
      </c>
      <c r="D314" s="46" t="s">
        <v>1529</v>
      </c>
      <c r="E314" s="41"/>
      <c r="F314" s="134">
        <v>874.6</v>
      </c>
      <c r="G314" s="134">
        <v>880.4</v>
      </c>
      <c r="H314" s="134">
        <v>890.9</v>
      </c>
      <c r="I314" s="134">
        <v>897.5</v>
      </c>
      <c r="J314" s="134">
        <v>903.30000000000007</v>
      </c>
      <c r="K314" s="134">
        <v>909.2</v>
      </c>
      <c r="L314" s="134">
        <v>916.4</v>
      </c>
      <c r="M314" s="134">
        <v>922.4</v>
      </c>
      <c r="N314" s="134">
        <v>929.5</v>
      </c>
      <c r="O314" s="134">
        <v>935.6</v>
      </c>
      <c r="P314" s="134">
        <v>942.4</v>
      </c>
      <c r="Q314" s="134">
        <v>955.6</v>
      </c>
      <c r="R314" s="109"/>
      <c r="S314" s="109"/>
      <c r="T314" s="109"/>
      <c r="U314" s="109"/>
      <c r="V314" s="109"/>
    </row>
    <row r="315" spans="2:22" ht="12.75" customHeight="1" x14ac:dyDescent="0.2">
      <c r="B315" s="5" t="s">
        <v>552</v>
      </c>
      <c r="C315" s="118" t="s">
        <v>552</v>
      </c>
      <c r="D315" s="46" t="s">
        <v>1848</v>
      </c>
      <c r="E315" s="41"/>
      <c r="F315" s="134">
        <v>4864.9000000000015</v>
      </c>
      <c r="G315" s="134">
        <v>5092.9000000000015</v>
      </c>
      <c r="H315" s="134">
        <v>5131.8</v>
      </c>
      <c r="I315" s="134">
        <v>5199.1000000000004</v>
      </c>
      <c r="J315" s="134">
        <v>5354.8</v>
      </c>
      <c r="K315" s="134">
        <v>5555.9000000000015</v>
      </c>
      <c r="L315" s="134">
        <v>5679.2</v>
      </c>
      <c r="M315" s="134">
        <v>5637.2</v>
      </c>
      <c r="N315" s="134">
        <v>5561.1</v>
      </c>
      <c r="O315" s="134">
        <v>6587.1</v>
      </c>
      <c r="P315" s="134">
        <v>6511.8</v>
      </c>
      <c r="Q315" s="134">
        <v>6734.2</v>
      </c>
      <c r="R315" s="109"/>
      <c r="S315" s="109"/>
      <c r="T315" s="109"/>
      <c r="U315" s="109"/>
      <c r="V315" s="109"/>
    </row>
    <row r="316" spans="2:22" ht="12.75" customHeight="1" x14ac:dyDescent="0.2">
      <c r="B316" s="5" t="s">
        <v>551</v>
      </c>
      <c r="C316" s="118" t="s">
        <v>551</v>
      </c>
      <c r="D316" s="46">
        <v>268582</v>
      </c>
      <c r="E316" s="41"/>
      <c r="F316" s="134">
        <v>-2442.5</v>
      </c>
      <c r="G316" s="134">
        <v>-2542.1</v>
      </c>
      <c r="H316" s="134">
        <v>-2546.6</v>
      </c>
      <c r="I316" s="134">
        <v>-2546.3000000000002</v>
      </c>
      <c r="J316" s="134">
        <v>-2546.5</v>
      </c>
      <c r="K316" s="134">
        <v>-2646.2000000000003</v>
      </c>
      <c r="L316" s="134">
        <v>-2674.7000000000003</v>
      </c>
      <c r="M316" s="134">
        <v>-2724.1</v>
      </c>
      <c r="N316" s="134">
        <v>-2723.8</v>
      </c>
      <c r="O316" s="134">
        <v>-2723.9</v>
      </c>
      <c r="P316" s="134">
        <v>-2724.7000000000003</v>
      </c>
      <c r="Q316" s="134">
        <v>-2724.7000000000003</v>
      </c>
      <c r="R316" s="109"/>
      <c r="S316" s="109"/>
      <c r="T316" s="109"/>
      <c r="U316" s="109"/>
      <c r="V316" s="109"/>
    </row>
    <row r="317" spans="2:22" ht="12.75" customHeight="1" x14ac:dyDescent="0.2">
      <c r="B317" s="5" t="s">
        <v>550</v>
      </c>
      <c r="C317" s="118" t="s">
        <v>550</v>
      </c>
      <c r="D317" s="46" t="s">
        <v>1802</v>
      </c>
      <c r="E317" s="41"/>
      <c r="F317" s="134">
        <v>-284.2</v>
      </c>
      <c r="G317" s="134">
        <v>-325.5</v>
      </c>
      <c r="H317" s="134">
        <v>-435.6</v>
      </c>
      <c r="I317" s="134">
        <v>-460.40000000000003</v>
      </c>
      <c r="J317" s="134">
        <v>-542</v>
      </c>
      <c r="K317" s="134">
        <v>-459.6</v>
      </c>
      <c r="L317" s="134">
        <v>-468.8</v>
      </c>
      <c r="M317" s="134">
        <v>-501.1</v>
      </c>
      <c r="N317" s="134">
        <v>-494.5</v>
      </c>
      <c r="O317" s="134">
        <v>-406.5</v>
      </c>
      <c r="P317" s="134">
        <v>-436.6</v>
      </c>
      <c r="Q317" s="134">
        <v>-424.3</v>
      </c>
      <c r="R317" s="109"/>
      <c r="S317" s="109"/>
      <c r="T317" s="109"/>
      <c r="U317" s="109"/>
      <c r="V317" s="109"/>
    </row>
    <row r="318" spans="2:22" ht="12.75" customHeight="1" x14ac:dyDescent="0.2">
      <c r="B318" s="14" t="s">
        <v>549</v>
      </c>
      <c r="C318" s="119" t="s">
        <v>549</v>
      </c>
      <c r="D318" s="44" t="s">
        <v>1903</v>
      </c>
      <c r="E318" s="44"/>
      <c r="F318" s="135">
        <v>3031.4</v>
      </c>
      <c r="G318" s="135">
        <v>3124.3</v>
      </c>
      <c r="H318" s="135">
        <v>3059.1</v>
      </c>
      <c r="I318" s="135">
        <v>3108.5</v>
      </c>
      <c r="J318" s="135">
        <v>3188.2000000000003</v>
      </c>
      <c r="K318" s="135">
        <v>3377.9</v>
      </c>
      <c r="L318" s="135">
        <v>3470.7000000000003</v>
      </c>
      <c r="M318" s="135">
        <v>3353</v>
      </c>
      <c r="N318" s="135">
        <v>3290.9</v>
      </c>
      <c r="O318" s="135">
        <v>4410.9000000000015</v>
      </c>
      <c r="P318" s="135">
        <v>4311.5</v>
      </c>
      <c r="Q318" s="135">
        <v>4559.4000000000015</v>
      </c>
      <c r="R318" s="59"/>
      <c r="S318" s="109"/>
      <c r="T318" s="109"/>
      <c r="U318" s="109"/>
      <c r="V318" s="109"/>
    </row>
    <row r="319" spans="2:22" ht="12.75" customHeight="1" x14ac:dyDescent="0.2">
      <c r="C319" s="119" t="s">
        <v>192</v>
      </c>
      <c r="D319" s="209" t="s">
        <v>192</v>
      </c>
      <c r="E319" s="45"/>
      <c r="F319" s="137"/>
      <c r="G319" s="137"/>
      <c r="H319" s="137"/>
      <c r="I319" s="137"/>
      <c r="J319" s="137"/>
      <c r="K319" s="137"/>
      <c r="L319" s="137"/>
      <c r="M319" s="137"/>
      <c r="N319" s="137"/>
      <c r="O319" s="137"/>
      <c r="P319" s="137"/>
      <c r="Q319" s="137"/>
      <c r="R319" s="59"/>
    </row>
    <row r="320" spans="2:22" ht="12.75" customHeight="1" x14ac:dyDescent="0.2">
      <c r="B320" s="5" t="s">
        <v>548</v>
      </c>
      <c r="C320" s="120" t="s">
        <v>1028</v>
      </c>
      <c r="D320" s="46" t="s">
        <v>1760</v>
      </c>
      <c r="E320" s="41"/>
      <c r="F320" s="134">
        <v>25.6</v>
      </c>
      <c r="G320" s="134">
        <v>19.400000000000002</v>
      </c>
      <c r="H320" s="134">
        <v>23.1</v>
      </c>
      <c r="I320" s="134">
        <v>18.8</v>
      </c>
      <c r="J320" s="134">
        <v>15.4</v>
      </c>
      <c r="K320" s="134">
        <v>23</v>
      </c>
      <c r="L320" s="134">
        <v>23.8</v>
      </c>
      <c r="M320" s="134">
        <v>24.400000000000002</v>
      </c>
      <c r="N320" s="134">
        <v>23.6</v>
      </c>
      <c r="O320" s="134">
        <v>22.5</v>
      </c>
      <c r="P320" s="134">
        <v>21.400000000000002</v>
      </c>
      <c r="Q320" s="134">
        <v>21.3</v>
      </c>
      <c r="R320" s="109"/>
      <c r="S320" s="109"/>
      <c r="T320" s="109"/>
      <c r="U320" s="109"/>
      <c r="V320" s="109"/>
    </row>
    <row r="321" spans="2:22" ht="12.75" customHeight="1" x14ac:dyDescent="0.2">
      <c r="B321" s="14" t="s">
        <v>547</v>
      </c>
      <c r="C321" s="118" t="s">
        <v>547</v>
      </c>
      <c r="D321" s="46" t="s">
        <v>1909</v>
      </c>
      <c r="E321" s="41"/>
      <c r="F321" s="135">
        <v>3057</v>
      </c>
      <c r="G321" s="135">
        <v>3143.7000000000003</v>
      </c>
      <c r="H321" s="135">
        <v>3082.2000000000003</v>
      </c>
      <c r="I321" s="135">
        <v>3127.3</v>
      </c>
      <c r="J321" s="135">
        <v>3203.6</v>
      </c>
      <c r="K321" s="135">
        <v>3400.9</v>
      </c>
      <c r="L321" s="135">
        <v>3494.5</v>
      </c>
      <c r="M321" s="135">
        <v>3377.4</v>
      </c>
      <c r="N321" s="135">
        <v>3314.5</v>
      </c>
      <c r="O321" s="135">
        <v>4433.4000000000015</v>
      </c>
      <c r="P321" s="135">
        <v>4332.8999999999996</v>
      </c>
      <c r="Q321" s="135">
        <v>4580.7</v>
      </c>
      <c r="R321" s="59"/>
      <c r="S321" s="109"/>
      <c r="T321" s="109"/>
      <c r="U321" s="109"/>
      <c r="V321" s="109"/>
    </row>
    <row r="322" spans="2:22" ht="12.75" customHeight="1" x14ac:dyDescent="0.2">
      <c r="C322" s="120" t="s">
        <v>192</v>
      </c>
      <c r="D322" s="46" t="s">
        <v>192</v>
      </c>
      <c r="E322" s="41"/>
      <c r="F322" s="134"/>
      <c r="G322" s="134"/>
      <c r="H322" s="134"/>
      <c r="I322" s="134"/>
      <c r="J322" s="134"/>
      <c r="K322" s="134"/>
      <c r="L322" s="134"/>
      <c r="M322" s="134"/>
      <c r="N322" s="134"/>
      <c r="O322" s="134"/>
      <c r="P322" s="134"/>
      <c r="Q322" s="134"/>
      <c r="R322" s="59"/>
    </row>
    <row r="323" spans="2:22" ht="12.75" customHeight="1" thickBot="1" x14ac:dyDescent="0.25">
      <c r="B323" s="14" t="s">
        <v>546</v>
      </c>
      <c r="C323" s="118" t="s">
        <v>546</v>
      </c>
      <c r="D323" s="46" t="s">
        <v>1911</v>
      </c>
      <c r="E323" s="41"/>
      <c r="F323" s="138">
        <v>10410.200000000001</v>
      </c>
      <c r="G323" s="138">
        <v>10673.1</v>
      </c>
      <c r="H323" s="138">
        <v>10904.800000000001</v>
      </c>
      <c r="I323" s="138">
        <v>11044.2</v>
      </c>
      <c r="J323" s="138">
        <v>10764.7</v>
      </c>
      <c r="K323" s="138">
        <v>11171.300000000001</v>
      </c>
      <c r="L323" s="138">
        <v>11732.1</v>
      </c>
      <c r="M323" s="138">
        <v>11951.7</v>
      </c>
      <c r="N323" s="138">
        <v>10956.4</v>
      </c>
      <c r="O323" s="138">
        <v>11926.2</v>
      </c>
      <c r="P323" s="138">
        <v>11978.4</v>
      </c>
      <c r="Q323" s="138">
        <v>12130.7</v>
      </c>
      <c r="R323" s="59"/>
      <c r="S323" s="109"/>
      <c r="T323" s="109"/>
      <c r="U323" s="109"/>
      <c r="V323" s="109"/>
    </row>
    <row r="324" spans="2:22" ht="12.75" customHeight="1" thickTop="1" x14ac:dyDescent="0.2">
      <c r="C324" s="120" t="s">
        <v>192</v>
      </c>
      <c r="D324" s="46" t="s">
        <v>192</v>
      </c>
      <c r="E324" s="41"/>
      <c r="F324" s="125"/>
      <c r="G324" s="125"/>
      <c r="H324" s="125"/>
      <c r="I324" s="125"/>
      <c r="J324" s="125"/>
      <c r="K324" s="125"/>
      <c r="L324" s="125"/>
      <c r="M324" s="125"/>
      <c r="N324" s="125"/>
      <c r="O324" s="125"/>
      <c r="P324" s="125"/>
      <c r="Q324" s="125"/>
    </row>
    <row r="325" spans="2:22" ht="12.75" customHeight="1" x14ac:dyDescent="0.2">
      <c r="B325" s="8" t="s">
        <v>545</v>
      </c>
      <c r="C325" s="120" t="s">
        <v>192</v>
      </c>
      <c r="D325" s="46" t="s">
        <v>192</v>
      </c>
      <c r="E325" s="41"/>
      <c r="F325" s="17"/>
      <c r="G325" s="17"/>
      <c r="H325" s="19"/>
      <c r="I325" s="19"/>
      <c r="J325" s="19"/>
      <c r="K325" s="19"/>
      <c r="L325" s="19"/>
      <c r="M325" s="19"/>
      <c r="N325" s="19"/>
      <c r="O325" s="19"/>
      <c r="P325" s="19"/>
      <c r="Q325" s="17"/>
    </row>
    <row r="326" spans="2:22" ht="12.75" customHeight="1" x14ac:dyDescent="0.2">
      <c r="B326" s="8"/>
      <c r="C326" s="117" t="s">
        <v>1405</v>
      </c>
      <c r="D326" s="46" t="s">
        <v>1820</v>
      </c>
      <c r="E326" s="41"/>
      <c r="F326" s="49">
        <v>44469</v>
      </c>
      <c r="G326" s="49">
        <v>44561</v>
      </c>
      <c r="H326" s="49">
        <v>44651</v>
      </c>
      <c r="I326" s="49">
        <v>44742</v>
      </c>
      <c r="J326" s="49">
        <v>44834</v>
      </c>
      <c r="K326" s="49">
        <v>44926</v>
      </c>
      <c r="L326" s="49">
        <v>45016</v>
      </c>
      <c r="M326" s="49">
        <v>45107</v>
      </c>
      <c r="N326" s="49">
        <v>45199</v>
      </c>
      <c r="O326" s="49">
        <v>45291</v>
      </c>
      <c r="P326" s="49">
        <v>45382</v>
      </c>
      <c r="Q326" s="49">
        <v>45473</v>
      </c>
      <c r="R326" s="50"/>
      <c r="S326" s="50"/>
      <c r="T326" s="50"/>
      <c r="U326" s="50"/>
      <c r="V326" s="50"/>
    </row>
    <row r="327" spans="2:22" ht="12.75" customHeight="1" x14ac:dyDescent="0.2">
      <c r="B327" s="8" t="s">
        <v>544</v>
      </c>
      <c r="C327" s="120" t="s">
        <v>192</v>
      </c>
      <c r="D327" s="46" t="s">
        <v>192</v>
      </c>
      <c r="E327" s="41"/>
      <c r="F327" s="20"/>
      <c r="G327" s="20"/>
      <c r="H327" s="229"/>
      <c r="I327" s="229"/>
      <c r="J327" s="229"/>
      <c r="K327" s="229"/>
      <c r="L327" s="229"/>
      <c r="M327" s="229"/>
      <c r="N327" s="229"/>
      <c r="O327" s="229"/>
      <c r="P327" s="229"/>
      <c r="Q327" s="229"/>
    </row>
    <row r="328" spans="2:22" ht="12.75" customHeight="1" x14ac:dyDescent="0.2">
      <c r="B328" s="5" t="s">
        <v>1453</v>
      </c>
      <c r="C328" s="118" t="s">
        <v>843</v>
      </c>
      <c r="D328" s="46" t="s">
        <v>1860</v>
      </c>
      <c r="E328" s="41"/>
      <c r="F328" s="134">
        <v>126751495</v>
      </c>
      <c r="G328" s="134">
        <v>125699479</v>
      </c>
      <c r="H328" s="134">
        <v>125939275</v>
      </c>
      <c r="I328" s="134">
        <v>125959269</v>
      </c>
      <c r="J328" s="134">
        <v>125965923</v>
      </c>
      <c r="K328" s="134">
        <v>125110804</v>
      </c>
      <c r="L328" s="134">
        <v>125039191</v>
      </c>
      <c r="M328" s="134">
        <v>124733535</v>
      </c>
      <c r="N328" s="134">
        <v>124758887</v>
      </c>
      <c r="O328" s="134">
        <v>124760760</v>
      </c>
      <c r="P328" s="134">
        <v>124817570</v>
      </c>
      <c r="Q328" s="134">
        <v>124824364</v>
      </c>
      <c r="R328" s="109"/>
      <c r="S328" s="109"/>
      <c r="T328" s="109"/>
      <c r="U328" s="109"/>
      <c r="V328" s="109"/>
    </row>
    <row r="329" spans="2:22" ht="12.75" customHeight="1" x14ac:dyDescent="0.2">
      <c r="B329" s="5" t="s">
        <v>1454</v>
      </c>
      <c r="C329" s="118" t="s">
        <v>844</v>
      </c>
      <c r="D329" s="46" t="s">
        <v>1861</v>
      </c>
      <c r="E329" s="41"/>
      <c r="F329" s="134">
        <v>126751495</v>
      </c>
      <c r="G329" s="134">
        <v>125699479</v>
      </c>
      <c r="H329" s="134">
        <v>125939275</v>
      </c>
      <c r="I329" s="134">
        <v>125959269</v>
      </c>
      <c r="J329" s="134">
        <v>125965923</v>
      </c>
      <c r="K329" s="134">
        <v>125110804</v>
      </c>
      <c r="L329" s="134">
        <v>125039191</v>
      </c>
      <c r="M329" s="134">
        <v>124733535</v>
      </c>
      <c r="N329" s="134">
        <v>124758887</v>
      </c>
      <c r="O329" s="134">
        <v>124760760</v>
      </c>
      <c r="P329" s="134">
        <v>124817570</v>
      </c>
      <c r="Q329" s="134">
        <v>124824364</v>
      </c>
      <c r="R329" s="109"/>
      <c r="S329" s="109"/>
      <c r="T329" s="109"/>
      <c r="U329" s="109"/>
      <c r="V329" s="109"/>
    </row>
    <row r="330" spans="2:22" ht="12.75" customHeight="1" x14ac:dyDescent="0.2">
      <c r="B330" s="5" t="str">
        <f>"Book Value/Share "&amp;Cu_Sym</f>
        <v>Book Value/Share ($)</v>
      </c>
      <c r="C330" s="118" t="s">
        <v>1399</v>
      </c>
      <c r="D330" s="46" t="s">
        <v>1557</v>
      </c>
      <c r="E330" s="41"/>
      <c r="F330" s="140">
        <v>23.916</v>
      </c>
      <c r="G330" s="140">
        <v>24.855</v>
      </c>
      <c r="H330" s="140">
        <v>24.29</v>
      </c>
      <c r="I330" s="140">
        <v>24.678999999999998</v>
      </c>
      <c r="J330" s="140">
        <v>25.31</v>
      </c>
      <c r="K330" s="140">
        <v>26.998999999999999</v>
      </c>
      <c r="L330" s="140">
        <v>27.757000000000001</v>
      </c>
      <c r="M330" s="140">
        <v>26.881</v>
      </c>
      <c r="N330" s="140">
        <v>26.378</v>
      </c>
      <c r="O330" s="140">
        <v>35.354999999999997</v>
      </c>
      <c r="P330" s="140">
        <v>34.542000000000002</v>
      </c>
      <c r="Q330" s="140">
        <v>36.527000000000001</v>
      </c>
      <c r="R330" s="108"/>
      <c r="S330" s="91"/>
      <c r="T330" s="91"/>
      <c r="U330" s="91"/>
      <c r="V330" s="91"/>
    </row>
    <row r="331" spans="2:22" ht="12.75" customHeight="1" x14ac:dyDescent="0.2">
      <c r="B331" s="5" t="str">
        <f>"Book Value/Share (Reported) "&amp;Cu_Sym</f>
        <v>Book Value/Share (Reported) ($)</v>
      </c>
      <c r="C331" s="118" t="s">
        <v>543</v>
      </c>
      <c r="D331" s="46" t="s">
        <v>1558</v>
      </c>
      <c r="E331" s="41"/>
      <c r="F331" s="140" t="s">
        <v>1443</v>
      </c>
      <c r="G331" s="140" t="s">
        <v>1443</v>
      </c>
      <c r="H331" s="140" t="s">
        <v>1443</v>
      </c>
      <c r="I331" s="140" t="s">
        <v>1443</v>
      </c>
      <c r="J331" s="140" t="s">
        <v>1443</v>
      </c>
      <c r="K331" s="140" t="s">
        <v>1443</v>
      </c>
      <c r="L331" s="140" t="s">
        <v>1443</v>
      </c>
      <c r="M331" s="140" t="s">
        <v>1443</v>
      </c>
      <c r="N331" s="140" t="s">
        <v>1443</v>
      </c>
      <c r="O331" s="140" t="s">
        <v>1443</v>
      </c>
      <c r="P331" s="140" t="s">
        <v>1443</v>
      </c>
      <c r="Q331" s="140" t="s">
        <v>1443</v>
      </c>
      <c r="R331" s="108"/>
      <c r="S331" s="91"/>
      <c r="T331" s="91"/>
      <c r="U331" s="91"/>
      <c r="V331" s="91"/>
    </row>
    <row r="332" spans="2:22" ht="12.75" customHeight="1" x14ac:dyDescent="0.2">
      <c r="B332" s="5" t="s">
        <v>1455</v>
      </c>
      <c r="C332" s="118" t="s">
        <v>1401</v>
      </c>
      <c r="D332" s="46" t="s">
        <v>1897</v>
      </c>
      <c r="E332" s="41"/>
      <c r="F332" s="140" t="s">
        <v>1443</v>
      </c>
      <c r="G332" s="140" t="s">
        <v>1443</v>
      </c>
      <c r="H332" s="140" t="s">
        <v>1443</v>
      </c>
      <c r="I332" s="140" t="s">
        <v>1443</v>
      </c>
      <c r="J332" s="140" t="s">
        <v>1443</v>
      </c>
      <c r="K332" s="140" t="s">
        <v>1443</v>
      </c>
      <c r="L332" s="140" t="s">
        <v>1443</v>
      </c>
      <c r="M332" s="140" t="s">
        <v>1443</v>
      </c>
      <c r="N332" s="140" t="s">
        <v>1443</v>
      </c>
      <c r="O332" s="140" t="s">
        <v>1443</v>
      </c>
      <c r="P332" s="140" t="s">
        <v>1443</v>
      </c>
      <c r="Q332" s="140" t="s">
        <v>1443</v>
      </c>
      <c r="R332" s="108"/>
      <c r="S332" s="109"/>
      <c r="T332" s="109"/>
      <c r="U332" s="109"/>
      <c r="V332" s="109"/>
    </row>
    <row r="333" spans="2:22" ht="12.75" customHeight="1" x14ac:dyDescent="0.2">
      <c r="B333" s="5" t="str">
        <f>"Tangible Book Value Per Share "&amp;Cu_Sym</f>
        <v>Tangible Book Value Per Share ($)</v>
      </c>
      <c r="C333" s="118" t="s">
        <v>1400</v>
      </c>
      <c r="D333" s="46" t="s">
        <v>1896</v>
      </c>
      <c r="E333" s="41"/>
      <c r="F333" s="140">
        <v>-7.7249999999999996</v>
      </c>
      <c r="G333" s="140">
        <v>-7.9930000000000003</v>
      </c>
      <c r="H333" s="140">
        <v>-7.1109999999999998</v>
      </c>
      <c r="I333" s="140">
        <v>-6.3010000000000002</v>
      </c>
      <c r="J333" s="140">
        <v>-6.8159999999999998</v>
      </c>
      <c r="K333" s="140">
        <v>-6.8140000000000001</v>
      </c>
      <c r="L333" s="140">
        <v>-4.97</v>
      </c>
      <c r="M333" s="140">
        <v>-5.8360000000000003</v>
      </c>
      <c r="N333" s="140">
        <v>-5.9870000000000001</v>
      </c>
      <c r="O333" s="140">
        <v>1.835</v>
      </c>
      <c r="P333" s="140">
        <v>2.3290000000000002</v>
      </c>
      <c r="Q333" s="140">
        <v>5.1029999999999998</v>
      </c>
      <c r="R333" s="34"/>
      <c r="S333" s="91"/>
      <c r="T333" s="91"/>
      <c r="U333" s="91"/>
      <c r="V333" s="91"/>
    </row>
    <row r="334" spans="2:22" ht="12.75" customHeight="1" x14ac:dyDescent="0.2">
      <c r="B334" s="5" t="str">
        <f>"Tangible Book Value "&amp;Cu_Sym</f>
        <v>Tangible Book Value ($)</v>
      </c>
      <c r="C334" s="118" t="s">
        <v>542</v>
      </c>
      <c r="D334" s="46" t="s">
        <v>1886</v>
      </c>
      <c r="E334" s="41"/>
      <c r="F334" s="134">
        <v>-979.1</v>
      </c>
      <c r="G334" s="134">
        <v>-1004.7</v>
      </c>
      <c r="H334" s="134">
        <v>-895.5</v>
      </c>
      <c r="I334" s="134">
        <v>-793.7</v>
      </c>
      <c r="J334" s="134">
        <v>-858.6</v>
      </c>
      <c r="K334" s="134">
        <v>-852.5</v>
      </c>
      <c r="L334" s="134">
        <v>-621.4</v>
      </c>
      <c r="M334" s="134">
        <v>-727.9</v>
      </c>
      <c r="N334" s="134">
        <v>-746.9</v>
      </c>
      <c r="O334" s="134">
        <v>228.9</v>
      </c>
      <c r="P334" s="134">
        <v>290.7</v>
      </c>
      <c r="Q334" s="134">
        <v>637</v>
      </c>
      <c r="R334" s="22"/>
      <c r="S334" s="91"/>
      <c r="T334" s="91"/>
      <c r="U334" s="91"/>
      <c r="V334" s="91"/>
    </row>
    <row r="335" spans="2:22" ht="12.75" customHeight="1" x14ac:dyDescent="0.2">
      <c r="B335" s="5" t="s">
        <v>541</v>
      </c>
      <c r="C335" s="118" t="s">
        <v>541</v>
      </c>
      <c r="D335" s="46" t="s">
        <v>1904</v>
      </c>
      <c r="E335" s="41"/>
      <c r="F335" s="134">
        <v>3562</v>
      </c>
      <c r="G335" s="134">
        <v>3336</v>
      </c>
      <c r="H335" s="134">
        <v>3935.4</v>
      </c>
      <c r="I335" s="134">
        <v>4042.1</v>
      </c>
      <c r="J335" s="134">
        <v>3708.8</v>
      </c>
      <c r="K335" s="134">
        <v>3424.6</v>
      </c>
      <c r="L335" s="134">
        <v>4365.8</v>
      </c>
      <c r="M335" s="134">
        <v>4831.2</v>
      </c>
      <c r="N335" s="134">
        <v>4263.3</v>
      </c>
      <c r="O335" s="134">
        <v>4105.2</v>
      </c>
      <c r="P335" s="134">
        <v>4484.7</v>
      </c>
      <c r="Q335" s="134">
        <v>4322</v>
      </c>
      <c r="R335" s="109"/>
      <c r="S335" s="109"/>
      <c r="T335" s="109"/>
      <c r="U335" s="109"/>
      <c r="V335" s="109"/>
    </row>
    <row r="336" spans="2:22" ht="12.75" customHeight="1" x14ac:dyDescent="0.2">
      <c r="B336" s="5" t="s">
        <v>540</v>
      </c>
      <c r="C336" s="118" t="s">
        <v>540</v>
      </c>
      <c r="D336" s="46" t="s">
        <v>1768</v>
      </c>
      <c r="E336" s="41"/>
      <c r="F336" s="134">
        <v>3216.7000000000003</v>
      </c>
      <c r="G336" s="134">
        <v>2815.5</v>
      </c>
      <c r="H336" s="134">
        <v>3560.3</v>
      </c>
      <c r="I336" s="134">
        <v>3432.9</v>
      </c>
      <c r="J336" s="134">
        <v>3316.4</v>
      </c>
      <c r="K336" s="134">
        <v>2840.2000000000003</v>
      </c>
      <c r="L336" s="134">
        <v>3864.7000000000003</v>
      </c>
      <c r="M336" s="134">
        <v>3889.7000000000003</v>
      </c>
      <c r="N336" s="134">
        <v>3939.5</v>
      </c>
      <c r="O336" s="134">
        <v>3802.8</v>
      </c>
      <c r="P336" s="134">
        <v>4064.2000000000003</v>
      </c>
      <c r="Q336" s="134">
        <v>3850.5</v>
      </c>
      <c r="R336" s="109"/>
      <c r="S336" s="109"/>
      <c r="T336" s="109"/>
      <c r="U336" s="109"/>
      <c r="V336" s="109"/>
    </row>
    <row r="337" spans="2:22" ht="12.75" customHeight="1" x14ac:dyDescent="0.2">
      <c r="B337" s="5" t="s">
        <v>539</v>
      </c>
      <c r="C337" s="118" t="s">
        <v>1028</v>
      </c>
      <c r="D337" s="46" t="s">
        <v>1763</v>
      </c>
      <c r="E337" s="41"/>
      <c r="F337" s="134">
        <v>25.6</v>
      </c>
      <c r="G337" s="134">
        <v>19.400000000000002</v>
      </c>
      <c r="H337" s="134">
        <v>23.1</v>
      </c>
      <c r="I337" s="134">
        <v>18.8</v>
      </c>
      <c r="J337" s="134">
        <v>15.4</v>
      </c>
      <c r="K337" s="134">
        <v>23</v>
      </c>
      <c r="L337" s="134">
        <v>23.8</v>
      </c>
      <c r="M337" s="134">
        <v>24.400000000000002</v>
      </c>
      <c r="N337" s="134">
        <v>23.6</v>
      </c>
      <c r="O337" s="134">
        <v>22.5</v>
      </c>
      <c r="P337" s="134">
        <v>21.400000000000002</v>
      </c>
      <c r="Q337" s="134">
        <v>21.3</v>
      </c>
      <c r="R337" s="109"/>
      <c r="S337" s="109"/>
      <c r="T337" s="109"/>
      <c r="U337" s="109"/>
      <c r="V337" s="109"/>
    </row>
    <row r="338" spans="2:22" ht="12.75" customHeight="1" x14ac:dyDescent="0.2">
      <c r="B338" s="5" t="s">
        <v>538</v>
      </c>
      <c r="C338" s="118" t="s">
        <v>1419</v>
      </c>
      <c r="D338" s="46" t="s">
        <v>1901</v>
      </c>
      <c r="E338" s="41"/>
      <c r="F338" s="134">
        <v>6619</v>
      </c>
      <c r="G338" s="134">
        <v>6479.7</v>
      </c>
      <c r="H338" s="134">
        <v>7017.6</v>
      </c>
      <c r="I338" s="134">
        <v>7169.4000000000015</v>
      </c>
      <c r="J338" s="134">
        <v>6912.4000000000015</v>
      </c>
      <c r="K338" s="134">
        <v>6825.5</v>
      </c>
      <c r="L338" s="134">
        <v>7860.3</v>
      </c>
      <c r="M338" s="134">
        <v>8208.6</v>
      </c>
      <c r="N338" s="134">
        <v>7577.8</v>
      </c>
      <c r="O338" s="134">
        <v>8538.6</v>
      </c>
      <c r="P338" s="134">
        <v>8817.6</v>
      </c>
      <c r="Q338" s="134">
        <v>8902.7000000000007</v>
      </c>
      <c r="R338" s="109"/>
      <c r="S338" s="109"/>
      <c r="T338" s="109"/>
      <c r="U338" s="109"/>
      <c r="V338" s="109"/>
    </row>
    <row r="339" spans="2:22" ht="12.75" customHeight="1" x14ac:dyDescent="0.2">
      <c r="B339" s="5" t="s">
        <v>537</v>
      </c>
      <c r="C339" s="118" t="s">
        <v>537</v>
      </c>
      <c r="D339" s="46" t="s">
        <v>1527</v>
      </c>
      <c r="E339" s="41"/>
      <c r="F339" s="134">
        <v>32.9</v>
      </c>
      <c r="G339" s="134">
        <v>37.4</v>
      </c>
      <c r="H339" s="134">
        <v>39.6</v>
      </c>
      <c r="I339" s="134">
        <v>36.5</v>
      </c>
      <c r="J339" s="134">
        <v>34.5</v>
      </c>
      <c r="K339" s="134">
        <v>33.9</v>
      </c>
      <c r="L339" s="134">
        <v>32.799999999999997</v>
      </c>
      <c r="M339" s="134">
        <v>34.4</v>
      </c>
      <c r="N339" s="134">
        <v>36.700000000000003</v>
      </c>
      <c r="O339" s="134">
        <v>29.1</v>
      </c>
      <c r="P339" s="134">
        <v>30.400000000000002</v>
      </c>
      <c r="Q339" s="134">
        <v>34.4</v>
      </c>
      <c r="R339" s="22"/>
      <c r="S339" s="109"/>
      <c r="T339" s="109"/>
      <c r="U339" s="109"/>
      <c r="V339" s="109"/>
    </row>
    <row r="340" spans="2:22" ht="12.75" customHeight="1" x14ac:dyDescent="0.2">
      <c r="B340" s="5" t="s">
        <v>536</v>
      </c>
      <c r="C340" s="118" t="s">
        <v>536</v>
      </c>
      <c r="D340" s="46" t="s">
        <v>1674</v>
      </c>
      <c r="E340" s="41"/>
      <c r="F340" s="134" t="s">
        <v>1443</v>
      </c>
      <c r="G340" s="134" t="s">
        <v>1443</v>
      </c>
      <c r="H340" s="134" t="s">
        <v>1443</v>
      </c>
      <c r="I340" s="134" t="s">
        <v>1443</v>
      </c>
      <c r="J340" s="134" t="s">
        <v>1443</v>
      </c>
      <c r="K340" s="134" t="s">
        <v>1443</v>
      </c>
      <c r="L340" s="134" t="s">
        <v>1443</v>
      </c>
      <c r="M340" s="134" t="s">
        <v>1443</v>
      </c>
      <c r="N340" s="134" t="s">
        <v>1443</v>
      </c>
      <c r="O340" s="134" t="s">
        <v>1443</v>
      </c>
      <c r="P340" s="134" t="s">
        <v>1443</v>
      </c>
      <c r="Q340" s="134" t="s">
        <v>1443</v>
      </c>
      <c r="R340" s="22"/>
      <c r="S340" s="109"/>
      <c r="T340" s="109"/>
      <c r="U340" s="109"/>
      <c r="V340" s="109"/>
    </row>
    <row r="341" spans="2:22" ht="12.75" customHeight="1" x14ac:dyDescent="0.2">
      <c r="B341" s="5" t="s">
        <v>535</v>
      </c>
      <c r="C341" s="118" t="s">
        <v>535</v>
      </c>
      <c r="D341" s="46" t="s">
        <v>1744</v>
      </c>
      <c r="E341" s="41"/>
      <c r="F341" s="134">
        <v>-122.8</v>
      </c>
      <c r="G341" s="134" t="s">
        <v>1443</v>
      </c>
      <c r="H341" s="134">
        <v>-116.2</v>
      </c>
      <c r="I341" s="134">
        <v>-116.2</v>
      </c>
      <c r="J341" s="134" t="s">
        <v>1443</v>
      </c>
      <c r="K341" s="134" t="s">
        <v>1443</v>
      </c>
      <c r="L341" s="134" t="s">
        <v>1443</v>
      </c>
      <c r="M341" s="134" t="s">
        <v>1443</v>
      </c>
      <c r="N341" s="134" t="s">
        <v>1443</v>
      </c>
      <c r="O341" s="134" t="s">
        <v>1443</v>
      </c>
      <c r="P341" s="134" t="s">
        <v>1443</v>
      </c>
      <c r="Q341" s="134" t="s">
        <v>1443</v>
      </c>
      <c r="R341" s="109"/>
      <c r="S341" s="109"/>
      <c r="T341" s="109"/>
      <c r="U341" s="109"/>
      <c r="V341" s="109"/>
    </row>
    <row r="342" spans="2:22" ht="12.75" customHeight="1" x14ac:dyDescent="0.2">
      <c r="B342" s="5" t="s">
        <v>534</v>
      </c>
      <c r="C342" s="118" t="s">
        <v>534</v>
      </c>
      <c r="D342" s="46" t="s">
        <v>1835</v>
      </c>
      <c r="E342" s="41"/>
      <c r="F342" s="134">
        <v>209.3</v>
      </c>
      <c r="G342" s="134">
        <v>231.9</v>
      </c>
      <c r="H342" s="134">
        <v>260.8</v>
      </c>
      <c r="I342" s="134">
        <v>246.70000000000002</v>
      </c>
      <c r="J342" s="134">
        <v>246.6</v>
      </c>
      <c r="K342" s="134">
        <v>266.7</v>
      </c>
      <c r="L342" s="134">
        <v>350</v>
      </c>
      <c r="M342" s="134">
        <v>360.7</v>
      </c>
      <c r="N342" s="134">
        <v>364.7</v>
      </c>
      <c r="O342" s="134">
        <v>348.6</v>
      </c>
      <c r="P342" s="134">
        <v>270.10000000000002</v>
      </c>
      <c r="Q342" s="134">
        <v>224.1</v>
      </c>
      <c r="R342" s="109"/>
      <c r="S342" s="109"/>
      <c r="T342" s="109"/>
      <c r="U342" s="109"/>
      <c r="V342" s="109"/>
    </row>
    <row r="343" spans="2:22" ht="12.75" customHeight="1" x14ac:dyDescent="0.2">
      <c r="B343" s="5" t="s">
        <v>533</v>
      </c>
      <c r="C343" s="118" t="s">
        <v>533</v>
      </c>
      <c r="D343" s="46" t="s">
        <v>1927</v>
      </c>
      <c r="E343" s="41"/>
      <c r="F343" s="134">
        <v>869.5</v>
      </c>
      <c r="G343" s="134">
        <v>730.80000000000007</v>
      </c>
      <c r="H343" s="134">
        <v>889.6</v>
      </c>
      <c r="I343" s="134">
        <v>876.1</v>
      </c>
      <c r="J343" s="134">
        <v>898.5</v>
      </c>
      <c r="K343" s="134">
        <v>807.4</v>
      </c>
      <c r="L343" s="134">
        <v>987.1</v>
      </c>
      <c r="M343" s="134">
        <v>992.7</v>
      </c>
      <c r="N343" s="134">
        <v>1002.7</v>
      </c>
      <c r="O343" s="134">
        <v>732.2</v>
      </c>
      <c r="P343" s="134">
        <v>647.80000000000007</v>
      </c>
      <c r="Q343" s="134">
        <v>660.1</v>
      </c>
      <c r="R343" s="109"/>
      <c r="S343" s="109"/>
      <c r="T343" s="109"/>
      <c r="U343" s="109"/>
      <c r="V343" s="109"/>
    </row>
    <row r="344" spans="2:22" ht="12.75" customHeight="1" x14ac:dyDescent="0.2">
      <c r="B344" s="5" t="s">
        <v>532</v>
      </c>
      <c r="C344" s="118" t="s">
        <v>532</v>
      </c>
      <c r="D344" s="46" t="s">
        <v>1690</v>
      </c>
      <c r="E344" s="41"/>
      <c r="F344" s="134">
        <v>494.5</v>
      </c>
      <c r="G344" s="134">
        <v>559.20000000000005</v>
      </c>
      <c r="H344" s="134">
        <v>556.5</v>
      </c>
      <c r="I344" s="134">
        <v>583.80000000000007</v>
      </c>
      <c r="J344" s="134">
        <v>586.4</v>
      </c>
      <c r="K344" s="134">
        <v>577.5</v>
      </c>
      <c r="L344" s="134">
        <v>573.80000000000007</v>
      </c>
      <c r="M344" s="134">
        <v>718.9</v>
      </c>
      <c r="N344" s="134">
        <v>631.20000000000005</v>
      </c>
      <c r="O344" s="134">
        <v>643.80000000000007</v>
      </c>
      <c r="P344" s="134">
        <v>669.2</v>
      </c>
      <c r="Q344" s="134">
        <v>550.80000000000007</v>
      </c>
      <c r="R344" s="109"/>
      <c r="S344" s="109"/>
      <c r="T344" s="109"/>
      <c r="U344" s="109"/>
      <c r="V344" s="109"/>
    </row>
    <row r="345" spans="2:22" ht="12.75" customHeight="1" x14ac:dyDescent="0.2">
      <c r="B345" s="5" t="s">
        <v>531</v>
      </c>
      <c r="C345" s="118" t="s">
        <v>531</v>
      </c>
      <c r="D345" s="46" t="s">
        <v>1805</v>
      </c>
      <c r="E345" s="41"/>
      <c r="F345" s="134" t="s">
        <v>1443</v>
      </c>
      <c r="G345" s="134" t="s">
        <v>1443</v>
      </c>
      <c r="H345" s="134" t="s">
        <v>1443</v>
      </c>
      <c r="I345" s="134" t="s">
        <v>1443</v>
      </c>
      <c r="J345" s="134" t="s">
        <v>1443</v>
      </c>
      <c r="K345" s="134" t="s">
        <v>1443</v>
      </c>
      <c r="L345" s="134" t="s">
        <v>1443</v>
      </c>
      <c r="M345" s="134" t="s">
        <v>1443</v>
      </c>
      <c r="N345" s="134" t="s">
        <v>1443</v>
      </c>
      <c r="O345" s="134" t="s">
        <v>1443</v>
      </c>
      <c r="P345" s="134" t="s">
        <v>1443</v>
      </c>
      <c r="Q345" s="134" t="s">
        <v>1443</v>
      </c>
      <c r="R345" s="109"/>
      <c r="S345" s="109"/>
      <c r="T345" s="109"/>
      <c r="U345" s="109"/>
      <c r="V345" s="109"/>
    </row>
    <row r="346" spans="2:22" ht="12.75" customHeight="1" x14ac:dyDescent="0.2">
      <c r="B346" s="5" t="s">
        <v>530</v>
      </c>
      <c r="C346" s="118" t="s">
        <v>530</v>
      </c>
      <c r="D346" s="46" t="s">
        <v>1734</v>
      </c>
      <c r="E346" s="41"/>
      <c r="F346" s="134" t="s">
        <v>1443</v>
      </c>
      <c r="G346" s="134">
        <v>103.8</v>
      </c>
      <c r="H346" s="134" t="s">
        <v>1443</v>
      </c>
      <c r="I346" s="134" t="s">
        <v>1443</v>
      </c>
      <c r="J346" s="134" t="s">
        <v>1443</v>
      </c>
      <c r="K346" s="134">
        <v>103.60000000000001</v>
      </c>
      <c r="L346" s="134" t="s">
        <v>1443</v>
      </c>
      <c r="M346" s="134" t="s">
        <v>1443</v>
      </c>
      <c r="N346" s="134" t="s">
        <v>1443</v>
      </c>
      <c r="O346" s="134">
        <v>98.100000000000009</v>
      </c>
      <c r="P346" s="134" t="s">
        <v>1443</v>
      </c>
      <c r="Q346" s="134" t="s">
        <v>1443</v>
      </c>
      <c r="R346" s="109"/>
      <c r="S346" s="109"/>
      <c r="T346" s="109"/>
      <c r="U346" s="109"/>
      <c r="V346" s="109"/>
    </row>
    <row r="347" spans="2:22" ht="12.75" customHeight="1" x14ac:dyDescent="0.2">
      <c r="B347" s="5" t="s">
        <v>529</v>
      </c>
      <c r="C347" s="118" t="s">
        <v>529</v>
      </c>
      <c r="D347" s="46" t="s">
        <v>1556</v>
      </c>
      <c r="E347" s="41"/>
      <c r="F347" s="134" t="s">
        <v>1443</v>
      </c>
      <c r="G347" s="134">
        <v>528.4</v>
      </c>
      <c r="H347" s="134" t="s">
        <v>1443</v>
      </c>
      <c r="I347" s="134" t="s">
        <v>1443</v>
      </c>
      <c r="J347" s="134" t="s">
        <v>1443</v>
      </c>
      <c r="K347" s="134">
        <v>522.9</v>
      </c>
      <c r="L347" s="134" t="s">
        <v>1443</v>
      </c>
      <c r="M347" s="134" t="s">
        <v>1443</v>
      </c>
      <c r="N347" s="134" t="s">
        <v>1443</v>
      </c>
      <c r="O347" s="134">
        <v>540</v>
      </c>
      <c r="P347" s="134" t="s">
        <v>1443</v>
      </c>
      <c r="Q347" s="134" t="s">
        <v>1443</v>
      </c>
      <c r="R347" s="109"/>
      <c r="S347" s="109"/>
      <c r="T347" s="109"/>
      <c r="U347" s="109"/>
      <c r="V347" s="109"/>
    </row>
    <row r="348" spans="2:22" ht="12.75" customHeight="1" x14ac:dyDescent="0.2">
      <c r="B348" s="5" t="s">
        <v>528</v>
      </c>
      <c r="C348" s="118" t="s">
        <v>528</v>
      </c>
      <c r="D348" s="46" t="s">
        <v>1752</v>
      </c>
      <c r="E348" s="41"/>
      <c r="F348" s="134" t="s">
        <v>1443</v>
      </c>
      <c r="G348" s="134">
        <v>551.4</v>
      </c>
      <c r="H348" s="134" t="s">
        <v>1443</v>
      </c>
      <c r="I348" s="134" t="s">
        <v>1443</v>
      </c>
      <c r="J348" s="134" t="s">
        <v>1443</v>
      </c>
      <c r="K348" s="134">
        <v>613.1</v>
      </c>
      <c r="L348" s="134" t="s">
        <v>1443</v>
      </c>
      <c r="M348" s="134" t="s">
        <v>1443</v>
      </c>
      <c r="N348" s="134" t="s">
        <v>1443</v>
      </c>
      <c r="O348" s="134">
        <v>717.2</v>
      </c>
      <c r="P348" s="134" t="s">
        <v>1443</v>
      </c>
      <c r="Q348" s="134" t="s">
        <v>1443</v>
      </c>
      <c r="R348" s="109"/>
      <c r="S348" s="109"/>
      <c r="T348" s="109"/>
      <c r="U348" s="109"/>
      <c r="V348" s="109"/>
    </row>
    <row r="349" spans="2:22" ht="12.75" customHeight="1" x14ac:dyDescent="0.2">
      <c r="B349" s="5" t="s">
        <v>527</v>
      </c>
      <c r="C349" s="118" t="s">
        <v>1029</v>
      </c>
      <c r="D349" s="46" t="s">
        <v>1767</v>
      </c>
      <c r="E349" s="41"/>
      <c r="F349" s="134" t="s">
        <v>1443</v>
      </c>
      <c r="G349" s="134" t="s">
        <v>1443</v>
      </c>
      <c r="H349" s="134" t="s">
        <v>1443</v>
      </c>
      <c r="I349" s="134" t="s">
        <v>1443</v>
      </c>
      <c r="J349" s="134" t="s">
        <v>1443</v>
      </c>
      <c r="K349" s="134" t="s">
        <v>1443</v>
      </c>
      <c r="L349" s="134" t="s">
        <v>1443</v>
      </c>
      <c r="M349" s="134" t="s">
        <v>1443</v>
      </c>
      <c r="N349" s="134" t="s">
        <v>1443</v>
      </c>
      <c r="O349" s="134" t="s">
        <v>1443</v>
      </c>
      <c r="P349" s="134" t="s">
        <v>1443</v>
      </c>
      <c r="Q349" s="134" t="s">
        <v>1443</v>
      </c>
      <c r="R349" s="22"/>
      <c r="S349" s="109"/>
      <c r="T349" s="109"/>
      <c r="U349" s="109"/>
      <c r="V349" s="109"/>
    </row>
    <row r="350" spans="2:22" ht="12.75" customHeight="1" x14ac:dyDescent="0.2">
      <c r="B350" s="5" t="s">
        <v>526</v>
      </c>
      <c r="C350" s="118" t="s">
        <v>526</v>
      </c>
      <c r="D350" s="46" t="s">
        <v>1603</v>
      </c>
      <c r="E350" s="41"/>
      <c r="F350" s="134" t="s">
        <v>1443</v>
      </c>
      <c r="G350" s="134">
        <v>145.9</v>
      </c>
      <c r="H350" s="134" t="s">
        <v>1443</v>
      </c>
      <c r="I350" s="134" t="s">
        <v>1443</v>
      </c>
      <c r="J350" s="134" t="s">
        <v>1443</v>
      </c>
      <c r="K350" s="134">
        <v>175.9</v>
      </c>
      <c r="L350" s="134" t="s">
        <v>1443</v>
      </c>
      <c r="M350" s="134" t="s">
        <v>1443</v>
      </c>
      <c r="N350" s="134" t="s">
        <v>1443</v>
      </c>
      <c r="O350" s="134">
        <v>204.5</v>
      </c>
      <c r="P350" s="134" t="s">
        <v>1443</v>
      </c>
      <c r="Q350" s="134" t="s">
        <v>1443</v>
      </c>
      <c r="R350" s="22"/>
      <c r="S350" s="109"/>
      <c r="T350" s="109"/>
      <c r="U350" s="109"/>
      <c r="V350" s="109"/>
    </row>
    <row r="351" spans="2:22" ht="12.75" customHeight="1" x14ac:dyDescent="0.2">
      <c r="B351" s="5" t="s">
        <v>525</v>
      </c>
      <c r="C351" s="118" t="s">
        <v>525</v>
      </c>
      <c r="D351" s="46" t="s">
        <v>1736</v>
      </c>
      <c r="E351" s="41"/>
      <c r="F351" s="134" t="s">
        <v>1443</v>
      </c>
      <c r="G351" s="134" t="s">
        <v>1443</v>
      </c>
      <c r="H351" s="134" t="s">
        <v>1443</v>
      </c>
      <c r="I351" s="134" t="s">
        <v>1443</v>
      </c>
      <c r="J351" s="134" t="s">
        <v>1443</v>
      </c>
      <c r="K351" s="134" t="s">
        <v>1443</v>
      </c>
      <c r="L351" s="134" t="s">
        <v>1443</v>
      </c>
      <c r="M351" s="134" t="s">
        <v>1443</v>
      </c>
      <c r="N351" s="134" t="s">
        <v>1443</v>
      </c>
      <c r="O351" s="134" t="s">
        <v>1443</v>
      </c>
      <c r="P351" s="134" t="s">
        <v>1443</v>
      </c>
      <c r="Q351" s="134" t="s">
        <v>1443</v>
      </c>
      <c r="R351" s="22"/>
      <c r="S351" s="109"/>
      <c r="T351" s="109"/>
      <c r="U351" s="109"/>
      <c r="V351" s="109"/>
    </row>
    <row r="352" spans="2:22" ht="12.75" customHeight="1" x14ac:dyDescent="0.2">
      <c r="B352" s="5" t="s">
        <v>524</v>
      </c>
      <c r="C352" s="118" t="s">
        <v>524</v>
      </c>
      <c r="D352" s="46" t="s">
        <v>1539</v>
      </c>
      <c r="E352" s="41"/>
      <c r="F352" s="134">
        <v>21</v>
      </c>
      <c r="G352" s="134">
        <v>21.1</v>
      </c>
      <c r="H352" s="134">
        <v>20.900000000000002</v>
      </c>
      <c r="I352" s="134">
        <v>18</v>
      </c>
      <c r="J352" s="134">
        <v>17.100000000000001</v>
      </c>
      <c r="K352" s="134">
        <v>22.5</v>
      </c>
      <c r="L352" s="134">
        <v>20.400000000000002</v>
      </c>
      <c r="M352" s="134">
        <v>20.900000000000002</v>
      </c>
      <c r="N352" s="134">
        <v>19.900000000000002</v>
      </c>
      <c r="O352" s="134">
        <v>23.8</v>
      </c>
      <c r="P352" s="134">
        <v>24.3</v>
      </c>
      <c r="Q352" s="134">
        <v>24.6</v>
      </c>
      <c r="R352" s="22"/>
      <c r="S352" s="109"/>
      <c r="T352" s="109"/>
      <c r="U352" s="109"/>
      <c r="V352" s="109"/>
    </row>
    <row r="353" spans="2:22" ht="12.75" customHeight="1" x14ac:dyDescent="0.2">
      <c r="B353" s="5" t="s">
        <v>523</v>
      </c>
      <c r="C353" s="118" t="s">
        <v>523</v>
      </c>
      <c r="D353" s="46" t="s">
        <v>1540</v>
      </c>
      <c r="E353" s="41"/>
      <c r="F353" s="134">
        <v>26.5</v>
      </c>
      <c r="G353" s="134">
        <v>23.400000000000002</v>
      </c>
      <c r="H353" s="134">
        <v>17.3</v>
      </c>
      <c r="I353" s="134">
        <v>39.200000000000003</v>
      </c>
      <c r="J353" s="134">
        <v>44.1</v>
      </c>
      <c r="K353" s="134">
        <v>13.200000000000001</v>
      </c>
      <c r="L353" s="134">
        <v>6.7</v>
      </c>
      <c r="M353" s="134" t="s">
        <v>1443</v>
      </c>
      <c r="N353" s="134">
        <v>0.9</v>
      </c>
      <c r="O353" s="134">
        <v>0.2</v>
      </c>
      <c r="P353" s="134">
        <v>2.7</v>
      </c>
      <c r="Q353" s="134">
        <v>17.100000000000001</v>
      </c>
      <c r="R353" s="22"/>
      <c r="S353" s="109"/>
      <c r="T353" s="109"/>
      <c r="U353" s="109"/>
      <c r="V353" s="109"/>
    </row>
    <row r="354" spans="2:22" ht="12.75" customHeight="1" x14ac:dyDescent="0.2">
      <c r="B354" s="5" t="s">
        <v>522</v>
      </c>
      <c r="C354" s="118" t="s">
        <v>522</v>
      </c>
      <c r="D354" s="46" t="s">
        <v>1541</v>
      </c>
      <c r="E354" s="41"/>
      <c r="F354" s="134" t="s">
        <v>1443</v>
      </c>
      <c r="G354" s="134" t="s">
        <v>1443</v>
      </c>
      <c r="H354" s="134" t="s">
        <v>1443</v>
      </c>
      <c r="I354" s="134" t="s">
        <v>1443</v>
      </c>
      <c r="J354" s="134">
        <v>19.3</v>
      </c>
      <c r="K354" s="134">
        <v>19.3</v>
      </c>
      <c r="L354" s="134">
        <v>19.3</v>
      </c>
      <c r="M354" s="134">
        <v>19.3</v>
      </c>
      <c r="N354" s="134">
        <v>23.2</v>
      </c>
      <c r="O354" s="134">
        <v>23.3</v>
      </c>
      <c r="P354" s="134">
        <v>29.1</v>
      </c>
      <c r="Q354" s="134">
        <v>34.6</v>
      </c>
      <c r="R354" s="22"/>
      <c r="S354" s="109"/>
      <c r="T354" s="109"/>
      <c r="U354" s="109"/>
      <c r="V354" s="109"/>
    </row>
    <row r="355" spans="2:22" ht="12.75" customHeight="1" x14ac:dyDescent="0.2">
      <c r="B355" s="5" t="s">
        <v>521</v>
      </c>
      <c r="C355" s="118" t="s">
        <v>1030</v>
      </c>
      <c r="D355" s="46" t="s">
        <v>1542</v>
      </c>
      <c r="E355" s="41"/>
      <c r="F355" s="134" t="s">
        <v>1443</v>
      </c>
      <c r="G355" s="134" t="s">
        <v>1443</v>
      </c>
      <c r="H355" s="134" t="s">
        <v>1443</v>
      </c>
      <c r="I355" s="134" t="s">
        <v>1443</v>
      </c>
      <c r="J355" s="134" t="s">
        <v>1443</v>
      </c>
      <c r="K355" s="134" t="s">
        <v>1443</v>
      </c>
      <c r="L355" s="134" t="s">
        <v>1443</v>
      </c>
      <c r="M355" s="134" t="s">
        <v>1443</v>
      </c>
      <c r="N355" s="134" t="s">
        <v>1443</v>
      </c>
      <c r="O355" s="134" t="s">
        <v>1443</v>
      </c>
      <c r="P355" s="134" t="s">
        <v>1443</v>
      </c>
      <c r="Q355" s="134" t="s">
        <v>1443</v>
      </c>
      <c r="R355" s="22"/>
      <c r="S355" s="109"/>
      <c r="T355" s="109"/>
      <c r="U355" s="109"/>
      <c r="V355" s="109"/>
    </row>
    <row r="356" spans="2:22" ht="12.75" customHeight="1" x14ac:dyDescent="0.2">
      <c r="B356" s="5" t="s">
        <v>520</v>
      </c>
      <c r="C356" s="118" t="s">
        <v>520</v>
      </c>
      <c r="D356" s="46" t="s">
        <v>1538</v>
      </c>
      <c r="E356" s="41"/>
      <c r="F356" s="134">
        <v>47.5</v>
      </c>
      <c r="G356" s="134">
        <v>44.5</v>
      </c>
      <c r="H356" s="134">
        <v>38.200000000000003</v>
      </c>
      <c r="I356" s="134">
        <v>57.2</v>
      </c>
      <c r="J356" s="134">
        <v>80.5</v>
      </c>
      <c r="K356" s="134">
        <v>55</v>
      </c>
      <c r="L356" s="134">
        <v>46.4</v>
      </c>
      <c r="M356" s="134">
        <v>40.200000000000003</v>
      </c>
      <c r="N356" s="134">
        <v>44</v>
      </c>
      <c r="O356" s="134">
        <v>47.300000000000004</v>
      </c>
      <c r="P356" s="134">
        <v>56.1</v>
      </c>
      <c r="Q356" s="134">
        <v>76.3</v>
      </c>
      <c r="R356" s="22"/>
      <c r="S356" s="109"/>
      <c r="T356" s="109"/>
      <c r="U356" s="109"/>
      <c r="V356" s="109"/>
    </row>
    <row r="357" spans="2:22" ht="12.75" customHeight="1" x14ac:dyDescent="0.2">
      <c r="B357" s="5" t="s">
        <v>519</v>
      </c>
      <c r="C357" s="118" t="s">
        <v>519</v>
      </c>
      <c r="D357" s="46" t="s">
        <v>1740</v>
      </c>
      <c r="E357" s="41"/>
      <c r="F357" s="134">
        <v>25.3</v>
      </c>
      <c r="G357" s="134">
        <v>26.2</v>
      </c>
      <c r="H357" s="134">
        <v>26.8</v>
      </c>
      <c r="I357" s="134">
        <v>22.900000000000002</v>
      </c>
      <c r="J357" s="134">
        <v>21.900000000000002</v>
      </c>
      <c r="K357" s="134">
        <v>23.5</v>
      </c>
      <c r="L357" s="134">
        <v>26.1</v>
      </c>
      <c r="M357" s="134">
        <v>26.400000000000002</v>
      </c>
      <c r="N357" s="134">
        <v>23.6</v>
      </c>
      <c r="O357" s="134">
        <v>24.400000000000002</v>
      </c>
      <c r="P357" s="134">
        <v>26.2</v>
      </c>
      <c r="Q357" s="134">
        <v>26.2</v>
      </c>
      <c r="R357" s="22"/>
      <c r="S357" s="109"/>
      <c r="T357" s="109"/>
      <c r="U357" s="109"/>
      <c r="V357" s="109"/>
    </row>
    <row r="358" spans="2:22" ht="12.75" customHeight="1" x14ac:dyDescent="0.2">
      <c r="B358" s="5" t="s">
        <v>518</v>
      </c>
      <c r="C358" s="118" t="s">
        <v>518</v>
      </c>
      <c r="D358" s="46" t="s">
        <v>1741</v>
      </c>
      <c r="E358" s="41"/>
      <c r="F358" s="134">
        <v>1.2</v>
      </c>
      <c r="G358" s="134">
        <v>4</v>
      </c>
      <c r="H358" s="134">
        <v>100.5</v>
      </c>
      <c r="I358" s="134">
        <v>25.400000000000002</v>
      </c>
      <c r="J358" s="134">
        <v>9.2000000000000011</v>
      </c>
      <c r="K358" s="134">
        <v>17.8</v>
      </c>
      <c r="L358" s="134">
        <v>53.5</v>
      </c>
      <c r="M358" s="134">
        <v>82.3</v>
      </c>
      <c r="N358" s="134">
        <v>30.7</v>
      </c>
      <c r="O358" s="134">
        <v>11.6</v>
      </c>
      <c r="P358" s="134">
        <v>5.2</v>
      </c>
      <c r="Q358" s="134">
        <v>3.8000000000000003</v>
      </c>
      <c r="R358" s="22"/>
      <c r="S358" s="109"/>
      <c r="T358" s="109"/>
      <c r="U358" s="109"/>
      <c r="V358" s="109"/>
    </row>
    <row r="359" spans="2:22" ht="12.75" customHeight="1" x14ac:dyDescent="0.2">
      <c r="B359" s="5" t="s">
        <v>517</v>
      </c>
      <c r="C359" s="118" t="s">
        <v>517</v>
      </c>
      <c r="D359" s="46" t="s">
        <v>1742</v>
      </c>
      <c r="E359" s="41"/>
      <c r="F359" s="134" t="s">
        <v>1443</v>
      </c>
      <c r="G359" s="134" t="s">
        <v>1443</v>
      </c>
      <c r="H359" s="134" t="s">
        <v>1443</v>
      </c>
      <c r="I359" s="134" t="s">
        <v>1443</v>
      </c>
      <c r="J359" s="134" t="s">
        <v>1443</v>
      </c>
      <c r="K359" s="134" t="s">
        <v>1443</v>
      </c>
      <c r="L359" s="134" t="s">
        <v>1443</v>
      </c>
      <c r="M359" s="134" t="s">
        <v>1443</v>
      </c>
      <c r="N359" s="134" t="s">
        <v>1443</v>
      </c>
      <c r="O359" s="134" t="s">
        <v>1443</v>
      </c>
      <c r="P359" s="134" t="s">
        <v>1443</v>
      </c>
      <c r="Q359" s="134" t="s">
        <v>1443</v>
      </c>
      <c r="R359" s="22"/>
      <c r="S359" s="109"/>
      <c r="T359" s="109"/>
      <c r="U359" s="109"/>
      <c r="V359" s="109"/>
    </row>
    <row r="360" spans="2:22" ht="12.75" customHeight="1" x14ac:dyDescent="0.2">
      <c r="B360" s="5" t="s">
        <v>516</v>
      </c>
      <c r="C360" s="118" t="s">
        <v>1031</v>
      </c>
      <c r="D360" s="46" t="s">
        <v>1743</v>
      </c>
      <c r="E360" s="41"/>
      <c r="F360" s="134" t="s">
        <v>1443</v>
      </c>
      <c r="G360" s="134" t="s">
        <v>1443</v>
      </c>
      <c r="H360" s="134" t="s">
        <v>1443</v>
      </c>
      <c r="I360" s="134" t="s">
        <v>1443</v>
      </c>
      <c r="J360" s="134" t="s">
        <v>1443</v>
      </c>
      <c r="K360" s="134" t="s">
        <v>1443</v>
      </c>
      <c r="L360" s="134" t="s">
        <v>1443</v>
      </c>
      <c r="M360" s="134" t="s">
        <v>1443</v>
      </c>
      <c r="N360" s="134" t="s">
        <v>1443</v>
      </c>
      <c r="O360" s="134" t="s">
        <v>1443</v>
      </c>
      <c r="P360" s="134" t="s">
        <v>1443</v>
      </c>
      <c r="Q360" s="134" t="s">
        <v>1443</v>
      </c>
      <c r="R360" s="22"/>
      <c r="S360" s="109"/>
      <c r="T360" s="109"/>
      <c r="U360" s="109"/>
      <c r="V360" s="109"/>
    </row>
    <row r="361" spans="2:22" ht="12.75" customHeight="1" x14ac:dyDescent="0.2">
      <c r="B361" s="5" t="s">
        <v>515</v>
      </c>
      <c r="C361" s="118" t="s">
        <v>515</v>
      </c>
      <c r="D361" s="46" t="s">
        <v>1739</v>
      </c>
      <c r="E361" s="41"/>
      <c r="F361" s="134">
        <v>26.5</v>
      </c>
      <c r="G361" s="134">
        <v>30.2</v>
      </c>
      <c r="H361" s="134">
        <v>127.3</v>
      </c>
      <c r="I361" s="134">
        <v>48.300000000000004</v>
      </c>
      <c r="J361" s="134">
        <v>31.1</v>
      </c>
      <c r="K361" s="134">
        <v>41.300000000000004</v>
      </c>
      <c r="L361" s="134">
        <v>79.600000000000009</v>
      </c>
      <c r="M361" s="134">
        <v>108.7</v>
      </c>
      <c r="N361" s="134">
        <v>54.300000000000004</v>
      </c>
      <c r="O361" s="134">
        <v>36</v>
      </c>
      <c r="P361" s="134">
        <v>31.400000000000002</v>
      </c>
      <c r="Q361" s="134">
        <v>30</v>
      </c>
      <c r="R361" s="22"/>
      <c r="S361" s="109"/>
      <c r="T361" s="109"/>
      <c r="U361" s="109"/>
      <c r="V361" s="109"/>
    </row>
    <row r="362" spans="2:22" ht="12.75" customHeight="1" x14ac:dyDescent="0.2">
      <c r="B362" s="5" t="s">
        <v>514</v>
      </c>
      <c r="C362" s="118" t="s">
        <v>514</v>
      </c>
      <c r="D362" s="46" t="s">
        <v>1678</v>
      </c>
      <c r="E362" s="41"/>
      <c r="F362" s="134" t="s">
        <v>1443</v>
      </c>
      <c r="G362" s="134" t="s">
        <v>1443</v>
      </c>
      <c r="H362" s="134" t="s">
        <v>1443</v>
      </c>
      <c r="I362" s="134" t="s">
        <v>1443</v>
      </c>
      <c r="J362" s="134" t="s">
        <v>1443</v>
      </c>
      <c r="K362" s="134" t="s">
        <v>1443</v>
      </c>
      <c r="L362" s="134" t="s">
        <v>1443</v>
      </c>
      <c r="M362" s="134" t="s">
        <v>1443</v>
      </c>
      <c r="N362" s="134" t="s">
        <v>1443</v>
      </c>
      <c r="O362" s="134" t="s">
        <v>1443</v>
      </c>
      <c r="P362" s="134" t="s">
        <v>1443</v>
      </c>
      <c r="Q362" s="134" t="s">
        <v>1443</v>
      </c>
      <c r="R362" s="22"/>
      <c r="S362" s="109"/>
      <c r="T362" s="109"/>
      <c r="U362" s="109"/>
      <c r="V362" s="109"/>
    </row>
    <row r="363" spans="2:22" ht="12.75" customHeight="1" x14ac:dyDescent="0.2">
      <c r="B363" s="5" t="s">
        <v>845</v>
      </c>
      <c r="C363" s="118" t="s">
        <v>845</v>
      </c>
      <c r="D363" s="46" t="s">
        <v>1692</v>
      </c>
      <c r="E363" s="41"/>
      <c r="F363" s="134" t="s">
        <v>1443</v>
      </c>
      <c r="G363" s="134">
        <v>6400</v>
      </c>
      <c r="H363" s="134" t="s">
        <v>1443</v>
      </c>
      <c r="I363" s="134" t="s">
        <v>1443</v>
      </c>
      <c r="J363" s="134" t="s">
        <v>1443</v>
      </c>
      <c r="K363" s="134">
        <v>6600</v>
      </c>
      <c r="L363" s="134" t="s">
        <v>1443</v>
      </c>
      <c r="M363" s="134" t="s">
        <v>1443</v>
      </c>
      <c r="N363" s="134" t="s">
        <v>1443</v>
      </c>
      <c r="O363" s="134">
        <v>6600</v>
      </c>
      <c r="P363" s="134" t="s">
        <v>1443</v>
      </c>
      <c r="Q363" s="134" t="s">
        <v>1443</v>
      </c>
      <c r="R363" s="22"/>
      <c r="S363" s="109"/>
      <c r="T363" s="109"/>
      <c r="U363" s="109"/>
      <c r="V363" s="109"/>
    </row>
    <row r="364" spans="2:22" ht="12.75" customHeight="1" x14ac:dyDescent="0.2">
      <c r="B364" s="5" t="s">
        <v>1456</v>
      </c>
      <c r="C364" s="118" t="s">
        <v>846</v>
      </c>
      <c r="D364" s="46" t="s">
        <v>1815</v>
      </c>
      <c r="E364" s="41"/>
      <c r="F364" s="134" t="s">
        <v>1443</v>
      </c>
      <c r="G364" s="134" t="s">
        <v>1443</v>
      </c>
      <c r="H364" s="134" t="s">
        <v>1443</v>
      </c>
      <c r="I364" s="134" t="s">
        <v>1443</v>
      </c>
      <c r="J364" s="134" t="s">
        <v>1443</v>
      </c>
      <c r="K364" s="134" t="s">
        <v>1443</v>
      </c>
      <c r="L364" s="134" t="s">
        <v>1443</v>
      </c>
      <c r="M364" s="134" t="s">
        <v>1443</v>
      </c>
      <c r="N364" s="134" t="s">
        <v>1443</v>
      </c>
      <c r="O364" s="134" t="s">
        <v>1443</v>
      </c>
      <c r="P364" s="134" t="s">
        <v>1443</v>
      </c>
      <c r="Q364" s="134" t="s">
        <v>1443</v>
      </c>
      <c r="R364" s="22"/>
      <c r="S364" s="109"/>
      <c r="T364" s="109"/>
      <c r="U364" s="109"/>
      <c r="V364" s="109"/>
    </row>
    <row r="365" spans="2:22" ht="12.75" customHeight="1" x14ac:dyDescent="0.2">
      <c r="B365" s="5" t="s">
        <v>513</v>
      </c>
      <c r="C365" s="118" t="s">
        <v>1420</v>
      </c>
      <c r="D365" s="46" t="s">
        <v>1626</v>
      </c>
      <c r="E365" s="41"/>
      <c r="F365" s="134" t="s">
        <v>1443</v>
      </c>
      <c r="G365" s="134">
        <v>-18</v>
      </c>
      <c r="H365" s="134" t="s">
        <v>1443</v>
      </c>
      <c r="I365" s="134" t="s">
        <v>1443</v>
      </c>
      <c r="J365" s="134" t="s">
        <v>1443</v>
      </c>
      <c r="K365" s="134">
        <v>0.2</v>
      </c>
      <c r="L365" s="134" t="s">
        <v>1443</v>
      </c>
      <c r="M365" s="134" t="s">
        <v>1443</v>
      </c>
      <c r="N365" s="134" t="s">
        <v>1443</v>
      </c>
      <c r="O365" s="134">
        <v>-9.1</v>
      </c>
      <c r="P365" s="134" t="s">
        <v>1443</v>
      </c>
      <c r="Q365" s="134" t="s">
        <v>1443</v>
      </c>
      <c r="R365" s="22"/>
      <c r="S365" s="109"/>
      <c r="T365" s="109"/>
      <c r="U365" s="109"/>
      <c r="V365" s="109"/>
    </row>
    <row r="366" spans="2:22" ht="12.75" customHeight="1" x14ac:dyDescent="0.2">
      <c r="B366" s="5" t="s">
        <v>512</v>
      </c>
      <c r="C366" s="118" t="s">
        <v>1421</v>
      </c>
      <c r="D366" s="46" t="s">
        <v>1627</v>
      </c>
      <c r="E366" s="41"/>
      <c r="F366" s="134" t="s">
        <v>1443</v>
      </c>
      <c r="G366" s="134" t="s">
        <v>1443</v>
      </c>
      <c r="H366" s="134" t="s">
        <v>1443</v>
      </c>
      <c r="I366" s="134" t="s">
        <v>1443</v>
      </c>
      <c r="J366" s="134" t="s">
        <v>1443</v>
      </c>
      <c r="K366" s="134" t="s">
        <v>1443</v>
      </c>
      <c r="L366" s="134" t="s">
        <v>1443</v>
      </c>
      <c r="M366" s="134" t="s">
        <v>1443</v>
      </c>
      <c r="N366" s="134" t="s">
        <v>1443</v>
      </c>
      <c r="O366" s="134" t="s">
        <v>1443</v>
      </c>
      <c r="P366" s="134" t="s">
        <v>1443</v>
      </c>
      <c r="Q366" s="134" t="s">
        <v>1443</v>
      </c>
      <c r="R366" s="22"/>
      <c r="S366" s="109"/>
      <c r="T366" s="109"/>
      <c r="U366" s="109"/>
      <c r="V366" s="109"/>
    </row>
    <row r="367" spans="2:22" ht="12.75" customHeight="1" x14ac:dyDescent="0.2">
      <c r="B367" s="5" t="s">
        <v>511</v>
      </c>
      <c r="C367" s="118" t="s">
        <v>511</v>
      </c>
      <c r="D367" s="46" t="s">
        <v>1798</v>
      </c>
      <c r="E367" s="41"/>
      <c r="F367" s="134" t="s">
        <v>1443</v>
      </c>
      <c r="G367" s="134" t="s">
        <v>1443</v>
      </c>
      <c r="H367" s="134" t="s">
        <v>1443</v>
      </c>
      <c r="I367" s="134" t="s">
        <v>1443</v>
      </c>
      <c r="J367" s="134" t="s">
        <v>1443</v>
      </c>
      <c r="K367" s="134" t="s">
        <v>1443</v>
      </c>
      <c r="L367" s="134" t="s">
        <v>1443</v>
      </c>
      <c r="M367" s="134" t="s">
        <v>1443</v>
      </c>
      <c r="N367" s="134" t="s">
        <v>1443</v>
      </c>
      <c r="O367" s="134" t="s">
        <v>1443</v>
      </c>
      <c r="P367" s="134" t="s">
        <v>1443</v>
      </c>
      <c r="Q367" s="134" t="s">
        <v>1443</v>
      </c>
      <c r="R367" s="22"/>
      <c r="S367" s="109"/>
      <c r="T367" s="109"/>
      <c r="U367" s="109"/>
      <c r="V367" s="109"/>
    </row>
    <row r="368" spans="2:22" ht="12.75" customHeight="1" x14ac:dyDescent="0.2">
      <c r="B368" s="5" t="s">
        <v>509</v>
      </c>
      <c r="C368" s="118" t="s">
        <v>1949</v>
      </c>
      <c r="D368" s="46" t="s">
        <v>1840</v>
      </c>
      <c r="E368" s="41"/>
      <c r="F368" s="33" t="s">
        <v>1450</v>
      </c>
      <c r="G368" s="33" t="s">
        <v>1445</v>
      </c>
      <c r="H368" s="33" t="s">
        <v>1450</v>
      </c>
      <c r="I368" s="33" t="s">
        <v>1450</v>
      </c>
      <c r="J368" s="33" t="s">
        <v>1450</v>
      </c>
      <c r="K368" s="33" t="s">
        <v>1450</v>
      </c>
      <c r="L368" s="33" t="s">
        <v>1450</v>
      </c>
      <c r="M368" s="33" t="s">
        <v>1450</v>
      </c>
      <c r="N368" s="33" t="s">
        <v>1983</v>
      </c>
      <c r="O368" s="33" t="s">
        <v>1983</v>
      </c>
      <c r="P368" s="33" t="s">
        <v>1983</v>
      </c>
      <c r="Q368" s="33" t="s">
        <v>1983</v>
      </c>
      <c r="R368" s="22"/>
    </row>
    <row r="369" spans="2:22" ht="61.2" collapsed="1" x14ac:dyDescent="0.2">
      <c r="B369" s="5" t="s">
        <v>508</v>
      </c>
      <c r="C369" s="118" t="s">
        <v>1950</v>
      </c>
      <c r="D369" s="46" t="s">
        <v>1559</v>
      </c>
      <c r="E369" s="41"/>
      <c r="F369" s="133" t="s">
        <v>1447</v>
      </c>
      <c r="G369" s="133" t="s">
        <v>1447</v>
      </c>
      <c r="H369" s="133" t="s">
        <v>1447</v>
      </c>
      <c r="I369" s="133" t="s">
        <v>1447</v>
      </c>
      <c r="J369" s="133" t="s">
        <v>1447</v>
      </c>
      <c r="K369" s="133" t="s">
        <v>1446</v>
      </c>
      <c r="L369" s="133" t="s">
        <v>1447</v>
      </c>
      <c r="M369" s="133" t="s">
        <v>1447</v>
      </c>
      <c r="N369" s="133" t="s">
        <v>1446</v>
      </c>
      <c r="O369" s="133" t="s">
        <v>1446</v>
      </c>
      <c r="P369" s="133" t="s">
        <v>1446</v>
      </c>
      <c r="Q369" s="133" t="s">
        <v>1446</v>
      </c>
      <c r="R369" s="22"/>
    </row>
    <row r="370" spans="2:22" ht="12.75" hidden="1" customHeight="1" outlineLevel="1" x14ac:dyDescent="0.2">
      <c r="B370" s="28"/>
      <c r="C370" s="118" t="s">
        <v>192</v>
      </c>
      <c r="D370" s="46" t="s">
        <v>192</v>
      </c>
      <c r="E370" s="41"/>
      <c r="F370" s="21"/>
      <c r="G370" s="21"/>
      <c r="H370" s="21"/>
      <c r="I370" s="21"/>
      <c r="J370" s="21"/>
      <c r="K370" s="21"/>
      <c r="L370" s="21"/>
      <c r="M370" s="21"/>
      <c r="N370" s="21"/>
      <c r="O370" s="21"/>
      <c r="P370" s="21"/>
      <c r="Q370" s="21"/>
    </row>
    <row r="371" spans="2:22" ht="12.75" hidden="1" customHeight="1" outlineLevel="1" x14ac:dyDescent="0.2">
      <c r="B371" s="20"/>
      <c r="C371" s="120" t="s">
        <v>192</v>
      </c>
      <c r="D371" s="46" t="s">
        <v>192</v>
      </c>
      <c r="E371" s="41"/>
      <c r="F371" s="227"/>
      <c r="G371" s="227"/>
      <c r="H371" s="228"/>
      <c r="I371" s="228"/>
      <c r="J371" s="228"/>
      <c r="K371" s="228"/>
      <c r="L371" s="228"/>
      <c r="M371" s="228"/>
      <c r="N371" s="228"/>
      <c r="O371" s="228"/>
      <c r="P371" s="228"/>
      <c r="Q371" s="227"/>
    </row>
    <row r="372" spans="2:22" ht="12.75" hidden="1" customHeight="1" outlineLevel="1" x14ac:dyDescent="0.2">
      <c r="B372" s="20"/>
      <c r="C372" s="117" t="s">
        <v>1405</v>
      </c>
      <c r="D372" s="46" t="s">
        <v>1820</v>
      </c>
      <c r="E372" s="41"/>
      <c r="F372" s="49">
        <v>44469</v>
      </c>
      <c r="G372" s="49">
        <v>44561</v>
      </c>
      <c r="H372" s="49">
        <v>44651</v>
      </c>
      <c r="I372" s="49">
        <v>44742</v>
      </c>
      <c r="J372" s="49">
        <v>44834</v>
      </c>
      <c r="K372" s="49">
        <v>44926</v>
      </c>
      <c r="L372" s="49">
        <v>45016</v>
      </c>
      <c r="M372" s="49">
        <v>45107</v>
      </c>
      <c r="N372" s="49">
        <v>45199</v>
      </c>
      <c r="O372" s="49">
        <v>45291</v>
      </c>
      <c r="P372" s="49">
        <v>45382</v>
      </c>
      <c r="Q372" s="49">
        <v>45473</v>
      </c>
      <c r="R372" s="50"/>
      <c r="S372" s="50"/>
      <c r="T372" s="50"/>
      <c r="U372" s="50"/>
      <c r="V372" s="50"/>
    </row>
    <row r="373" spans="2:22" ht="12.75" hidden="1" customHeight="1" outlineLevel="1" x14ac:dyDescent="0.2">
      <c r="B373" s="8" t="s">
        <v>507</v>
      </c>
      <c r="C373" s="118" t="s">
        <v>192</v>
      </c>
      <c r="D373" s="46" t="s">
        <v>192</v>
      </c>
      <c r="E373" s="41"/>
      <c r="F373" s="109"/>
      <c r="G373" s="109"/>
      <c r="H373" s="109"/>
      <c r="I373" s="109"/>
      <c r="J373" s="109"/>
      <c r="K373" s="109"/>
      <c r="L373" s="109"/>
      <c r="M373" s="109"/>
      <c r="N373" s="109"/>
      <c r="O373" s="109"/>
      <c r="P373" s="109"/>
      <c r="Q373" s="109"/>
    </row>
    <row r="374" spans="2:22" ht="12.75" hidden="1" customHeight="1" outlineLevel="1" x14ac:dyDescent="0.2">
      <c r="B374" s="8" t="s">
        <v>432</v>
      </c>
      <c r="C374" s="118" t="s">
        <v>192</v>
      </c>
      <c r="D374" s="46" t="s">
        <v>192</v>
      </c>
      <c r="E374" s="41"/>
      <c r="F374" s="21"/>
      <c r="G374" s="21"/>
      <c r="H374" s="21"/>
      <c r="I374" s="21"/>
      <c r="J374" s="21"/>
      <c r="K374" s="21"/>
      <c r="L374" s="21"/>
      <c r="M374" s="21"/>
      <c r="N374" s="21"/>
      <c r="O374" s="21"/>
      <c r="P374" s="21"/>
      <c r="Q374" s="21"/>
    </row>
    <row r="375" spans="2:22" ht="12.75" hidden="1" customHeight="1" outlineLevel="1" x14ac:dyDescent="0.2">
      <c r="B375" s="5" t="s">
        <v>494</v>
      </c>
      <c r="C375" s="118" t="s">
        <v>1032</v>
      </c>
      <c r="D375" s="46">
        <v>299254</v>
      </c>
      <c r="E375" s="41"/>
      <c r="F375" s="134">
        <v>0.9</v>
      </c>
      <c r="G375" s="134" t="s">
        <v>1443</v>
      </c>
      <c r="H375" s="134">
        <v>1.1000000000000001</v>
      </c>
      <c r="I375" s="134">
        <v>1.2</v>
      </c>
      <c r="J375" s="134">
        <v>0.4</v>
      </c>
      <c r="K375" s="134" t="s">
        <v>1443</v>
      </c>
      <c r="L375" s="134">
        <v>0.70000000000000007</v>
      </c>
      <c r="M375" s="134">
        <v>0.70000000000000007</v>
      </c>
      <c r="N375" s="134">
        <v>0.6</v>
      </c>
      <c r="O375" s="134" t="s">
        <v>1443</v>
      </c>
      <c r="P375" s="134">
        <v>0.8</v>
      </c>
      <c r="Q375" s="134">
        <v>0.70000000000000007</v>
      </c>
      <c r="R375" s="109"/>
      <c r="S375" s="109"/>
      <c r="T375" s="109"/>
      <c r="U375" s="109"/>
      <c r="V375" s="109"/>
    </row>
    <row r="376" spans="2:22" ht="12.75" hidden="1" customHeight="1" outlineLevel="1" x14ac:dyDescent="0.2">
      <c r="B376" s="5" t="s">
        <v>489</v>
      </c>
      <c r="C376" s="118" t="s">
        <v>1033</v>
      </c>
      <c r="D376" s="46">
        <v>299255</v>
      </c>
      <c r="E376" s="41"/>
      <c r="F376" s="134">
        <v>6.2</v>
      </c>
      <c r="G376" s="134" t="s">
        <v>1443</v>
      </c>
      <c r="H376" s="134">
        <v>7.3</v>
      </c>
      <c r="I376" s="134">
        <v>7.2</v>
      </c>
      <c r="J376" s="134">
        <v>7.5</v>
      </c>
      <c r="K376" s="134" t="s">
        <v>1443</v>
      </c>
      <c r="L376" s="134">
        <v>12.6</v>
      </c>
      <c r="M376" s="134">
        <v>12.5</v>
      </c>
      <c r="N376" s="134">
        <v>12.6</v>
      </c>
      <c r="O376" s="134" t="s">
        <v>1443</v>
      </c>
      <c r="P376" s="134">
        <v>11.9</v>
      </c>
      <c r="Q376" s="134">
        <v>11.9</v>
      </c>
      <c r="R376" s="109"/>
      <c r="S376" s="109"/>
      <c r="T376" s="109"/>
      <c r="U376" s="109"/>
      <c r="V376" s="109"/>
    </row>
    <row r="377" spans="2:22" ht="12.75" hidden="1" customHeight="1" outlineLevel="1" x14ac:dyDescent="0.2">
      <c r="B377" s="5" t="s">
        <v>506</v>
      </c>
      <c r="C377" s="118" t="s">
        <v>1034</v>
      </c>
      <c r="D377" s="46">
        <v>299256</v>
      </c>
      <c r="E377" s="41"/>
      <c r="F377" s="134">
        <v>-8</v>
      </c>
      <c r="G377" s="134" t="s">
        <v>1443</v>
      </c>
      <c r="H377" s="134">
        <v>-7.8</v>
      </c>
      <c r="I377" s="134">
        <v>-7.7</v>
      </c>
      <c r="J377" s="134">
        <v>-9.3000000000000007</v>
      </c>
      <c r="K377" s="134" t="s">
        <v>1443</v>
      </c>
      <c r="L377" s="134">
        <v>-11.9</v>
      </c>
      <c r="M377" s="134">
        <v>-11.8</v>
      </c>
      <c r="N377" s="134">
        <v>-11.8</v>
      </c>
      <c r="O377" s="134" t="s">
        <v>1443</v>
      </c>
      <c r="P377" s="134">
        <v>-11.200000000000001</v>
      </c>
      <c r="Q377" s="134">
        <v>-11.200000000000001</v>
      </c>
      <c r="R377" s="109"/>
      <c r="S377" s="109"/>
      <c r="T377" s="109"/>
      <c r="U377" s="109"/>
      <c r="V377" s="109"/>
    </row>
    <row r="378" spans="2:22" ht="12.75" hidden="1" customHeight="1" outlineLevel="1" x14ac:dyDescent="0.2">
      <c r="B378" s="5" t="s">
        <v>492</v>
      </c>
      <c r="C378" s="118" t="s">
        <v>1035</v>
      </c>
      <c r="D378" s="46">
        <v>299258</v>
      </c>
      <c r="E378" s="41"/>
      <c r="F378" s="134">
        <v>3.5</v>
      </c>
      <c r="G378" s="134" t="s">
        <v>1443</v>
      </c>
      <c r="H378" s="134">
        <v>4.9000000000000004</v>
      </c>
      <c r="I378" s="134">
        <v>4.6000000000000005</v>
      </c>
      <c r="J378" s="134">
        <v>0.3</v>
      </c>
      <c r="K378" s="134" t="s">
        <v>1443</v>
      </c>
      <c r="L378" s="134">
        <v>4</v>
      </c>
      <c r="M378" s="134">
        <v>3.9</v>
      </c>
      <c r="N378" s="134">
        <v>3.7</v>
      </c>
      <c r="O378" s="134" t="s">
        <v>1443</v>
      </c>
      <c r="P378" s="134">
        <v>3.6</v>
      </c>
      <c r="Q378" s="134">
        <v>3.6</v>
      </c>
      <c r="R378" s="109"/>
      <c r="S378" s="109"/>
      <c r="T378" s="109"/>
      <c r="U378" s="109"/>
      <c r="V378" s="109"/>
    </row>
    <row r="379" spans="2:22" ht="12.75" hidden="1" customHeight="1" outlineLevel="1" x14ac:dyDescent="0.2">
      <c r="B379" s="5" t="s">
        <v>505</v>
      </c>
      <c r="C379" s="118" t="s">
        <v>1036</v>
      </c>
      <c r="D379" s="46">
        <v>299259</v>
      </c>
      <c r="E379" s="41"/>
      <c r="F379" s="134">
        <v>2.6</v>
      </c>
      <c r="G379" s="134" t="s">
        <v>1443</v>
      </c>
      <c r="H379" s="134">
        <v>5.5</v>
      </c>
      <c r="I379" s="134">
        <v>5.3</v>
      </c>
      <c r="J379" s="134">
        <v>-1.1000000000000001</v>
      </c>
      <c r="K379" s="134" t="s">
        <v>1443</v>
      </c>
      <c r="L379" s="134">
        <v>5.4</v>
      </c>
      <c r="M379" s="134">
        <v>5.3</v>
      </c>
      <c r="N379" s="134">
        <v>5.1000000000000005</v>
      </c>
      <c r="O379" s="134" t="s">
        <v>1443</v>
      </c>
      <c r="P379" s="134">
        <v>5.1000000000000005</v>
      </c>
      <c r="Q379" s="134">
        <v>5</v>
      </c>
      <c r="R379" s="109"/>
      <c r="S379" s="109"/>
      <c r="T379" s="109"/>
      <c r="U379" s="109"/>
      <c r="V379" s="109"/>
    </row>
    <row r="380" spans="2:22" ht="12.75" hidden="1" customHeight="1" outlineLevel="1" x14ac:dyDescent="0.2">
      <c r="B380" s="5" t="s">
        <v>428</v>
      </c>
      <c r="C380" s="118" t="s">
        <v>1037</v>
      </c>
      <c r="D380" s="46">
        <v>299260</v>
      </c>
      <c r="E380" s="41"/>
      <c r="F380" s="134" t="s">
        <v>1443</v>
      </c>
      <c r="G380" s="134" t="s">
        <v>1443</v>
      </c>
      <c r="H380" s="134" t="s">
        <v>1443</v>
      </c>
      <c r="I380" s="134" t="s">
        <v>1443</v>
      </c>
      <c r="J380" s="134" t="s">
        <v>1443</v>
      </c>
      <c r="K380" s="134" t="s">
        <v>1443</v>
      </c>
      <c r="L380" s="134" t="s">
        <v>1443</v>
      </c>
      <c r="M380" s="134" t="s">
        <v>1443</v>
      </c>
      <c r="N380" s="134" t="s">
        <v>1443</v>
      </c>
      <c r="O380" s="134" t="s">
        <v>1443</v>
      </c>
      <c r="P380" s="134" t="s">
        <v>1443</v>
      </c>
      <c r="Q380" s="134" t="s">
        <v>1443</v>
      </c>
      <c r="R380" s="109"/>
      <c r="S380" s="109"/>
      <c r="T380" s="109"/>
      <c r="U380" s="109"/>
      <c r="V380" s="109"/>
    </row>
    <row r="381" spans="2:22" ht="12.75" hidden="1" customHeight="1" outlineLevel="1" x14ac:dyDescent="0.2">
      <c r="B381" s="5" t="s">
        <v>504</v>
      </c>
      <c r="C381" s="118" t="s">
        <v>1038</v>
      </c>
      <c r="D381" s="46">
        <v>299261</v>
      </c>
      <c r="E381" s="41"/>
      <c r="F381" s="134" t="s">
        <v>1443</v>
      </c>
      <c r="G381" s="134" t="s">
        <v>1443</v>
      </c>
      <c r="H381" s="134" t="s">
        <v>1443</v>
      </c>
      <c r="I381" s="134" t="s">
        <v>1443</v>
      </c>
      <c r="J381" s="134" t="s">
        <v>1443</v>
      </c>
      <c r="K381" s="134" t="s">
        <v>1443</v>
      </c>
      <c r="L381" s="134" t="s">
        <v>1443</v>
      </c>
      <c r="M381" s="134" t="s">
        <v>1443</v>
      </c>
      <c r="N381" s="134" t="s">
        <v>1443</v>
      </c>
      <c r="O381" s="134" t="s">
        <v>1443</v>
      </c>
      <c r="P381" s="134" t="s">
        <v>1443</v>
      </c>
      <c r="Q381" s="134" t="s">
        <v>1443</v>
      </c>
      <c r="R381" s="109"/>
      <c r="S381" s="109"/>
      <c r="T381" s="109"/>
      <c r="U381" s="109"/>
      <c r="V381" s="109"/>
    </row>
    <row r="382" spans="2:22" ht="12.75" hidden="1" customHeight="1" outlineLevel="1" x14ac:dyDescent="0.2">
      <c r="B382" s="5" t="s">
        <v>503</v>
      </c>
      <c r="C382" s="118" t="s">
        <v>503</v>
      </c>
      <c r="D382" s="46">
        <v>299262</v>
      </c>
      <c r="E382" s="41"/>
      <c r="F382" s="134">
        <v>2.6</v>
      </c>
      <c r="G382" s="134" t="s">
        <v>1443</v>
      </c>
      <c r="H382" s="134">
        <v>5.5</v>
      </c>
      <c r="I382" s="134">
        <v>5.3</v>
      </c>
      <c r="J382" s="134">
        <v>-1.1000000000000001</v>
      </c>
      <c r="K382" s="134" t="s">
        <v>1443</v>
      </c>
      <c r="L382" s="134">
        <v>5.4</v>
      </c>
      <c r="M382" s="134">
        <v>5.3</v>
      </c>
      <c r="N382" s="134">
        <v>5.1000000000000005</v>
      </c>
      <c r="O382" s="134" t="s">
        <v>1443</v>
      </c>
      <c r="P382" s="134">
        <v>5.1000000000000005</v>
      </c>
      <c r="Q382" s="134">
        <v>5</v>
      </c>
      <c r="R382" s="109"/>
      <c r="S382" s="109"/>
      <c r="T382" s="109"/>
      <c r="U382" s="109"/>
      <c r="V382" s="109"/>
    </row>
    <row r="383" spans="2:22" ht="12.75" hidden="1" customHeight="1" outlineLevel="1" x14ac:dyDescent="0.2">
      <c r="B383" s="8" t="s">
        <v>426</v>
      </c>
      <c r="C383" s="118" t="s">
        <v>192</v>
      </c>
      <c r="D383" s="46" t="s">
        <v>192</v>
      </c>
      <c r="E383" s="41"/>
      <c r="F383" s="134"/>
      <c r="G383" s="134"/>
      <c r="H383" s="134"/>
      <c r="I383" s="134"/>
      <c r="J383" s="134"/>
      <c r="K383" s="134"/>
      <c r="L383" s="134"/>
      <c r="M383" s="134"/>
      <c r="N383" s="134"/>
      <c r="O383" s="134"/>
      <c r="P383" s="134"/>
      <c r="Q383" s="134"/>
    </row>
    <row r="384" spans="2:22" ht="12.75" hidden="1" customHeight="1" outlineLevel="1" x14ac:dyDescent="0.2">
      <c r="B384" s="5" t="s">
        <v>490</v>
      </c>
      <c r="C384" s="118" t="s">
        <v>1039</v>
      </c>
      <c r="D384" s="46">
        <v>299273</v>
      </c>
      <c r="E384" s="41"/>
      <c r="F384" s="134" t="s">
        <v>1443</v>
      </c>
      <c r="G384" s="134">
        <v>1450.3</v>
      </c>
      <c r="H384" s="134" t="s">
        <v>1443</v>
      </c>
      <c r="I384" s="134" t="s">
        <v>1443</v>
      </c>
      <c r="J384" s="134" t="s">
        <v>1443</v>
      </c>
      <c r="K384" s="134">
        <v>1354</v>
      </c>
      <c r="L384" s="134" t="s">
        <v>1443</v>
      </c>
      <c r="M384" s="134" t="s">
        <v>1443</v>
      </c>
      <c r="N384" s="134" t="s">
        <v>1443</v>
      </c>
      <c r="O384" s="134">
        <v>1044.3</v>
      </c>
      <c r="P384" s="134" t="s">
        <v>1443</v>
      </c>
      <c r="Q384" s="134" t="s">
        <v>1443</v>
      </c>
      <c r="R384" s="109"/>
      <c r="S384" s="109"/>
      <c r="T384" s="109"/>
      <c r="U384" s="109"/>
      <c r="V384" s="109"/>
    </row>
    <row r="385" spans="2:22" ht="12.75" hidden="1" customHeight="1" outlineLevel="1" x14ac:dyDescent="0.2">
      <c r="B385" s="5" t="s">
        <v>424</v>
      </c>
      <c r="C385" s="118" t="s">
        <v>1032</v>
      </c>
      <c r="D385" s="46">
        <v>299274</v>
      </c>
      <c r="E385" s="41"/>
      <c r="F385" s="134" t="s">
        <v>1443</v>
      </c>
      <c r="G385" s="134">
        <v>4.7</v>
      </c>
      <c r="H385" s="134" t="s">
        <v>1443</v>
      </c>
      <c r="I385" s="134" t="s">
        <v>1443</v>
      </c>
      <c r="J385" s="134" t="s">
        <v>1443</v>
      </c>
      <c r="K385" s="134">
        <v>3.6</v>
      </c>
      <c r="L385" s="134" t="s">
        <v>1443</v>
      </c>
      <c r="M385" s="134" t="s">
        <v>1443</v>
      </c>
      <c r="N385" s="134" t="s">
        <v>1443</v>
      </c>
      <c r="O385" s="134">
        <v>2.6</v>
      </c>
      <c r="P385" s="134" t="s">
        <v>1443</v>
      </c>
      <c r="Q385" s="134" t="s">
        <v>1443</v>
      </c>
      <c r="R385" s="109"/>
      <c r="S385" s="109"/>
      <c r="T385" s="109"/>
      <c r="U385" s="109"/>
      <c r="V385" s="109"/>
    </row>
    <row r="386" spans="2:22" ht="12.75" hidden="1" customHeight="1" outlineLevel="1" x14ac:dyDescent="0.2">
      <c r="B386" s="5" t="s">
        <v>489</v>
      </c>
      <c r="C386" s="118" t="s">
        <v>1033</v>
      </c>
      <c r="D386" s="46">
        <v>299275</v>
      </c>
      <c r="E386" s="41"/>
      <c r="F386" s="134" t="s">
        <v>1443</v>
      </c>
      <c r="G386" s="134">
        <v>24.5</v>
      </c>
      <c r="H386" s="134" t="s">
        <v>1443</v>
      </c>
      <c r="I386" s="134" t="s">
        <v>1443</v>
      </c>
      <c r="J386" s="134" t="s">
        <v>1443</v>
      </c>
      <c r="K386" s="134">
        <v>29.3</v>
      </c>
      <c r="L386" s="134" t="s">
        <v>1443</v>
      </c>
      <c r="M386" s="134" t="s">
        <v>1443</v>
      </c>
      <c r="N386" s="134" t="s">
        <v>1443</v>
      </c>
      <c r="O386" s="134">
        <v>50.4</v>
      </c>
      <c r="P386" s="134" t="s">
        <v>1443</v>
      </c>
      <c r="Q386" s="134" t="s">
        <v>1443</v>
      </c>
      <c r="R386" s="109"/>
      <c r="S386" s="109"/>
      <c r="T386" s="109"/>
      <c r="U386" s="109"/>
      <c r="V386" s="109"/>
    </row>
    <row r="387" spans="2:22" ht="12.75" hidden="1" customHeight="1" outlineLevel="1" x14ac:dyDescent="0.2">
      <c r="B387" s="5" t="s">
        <v>488</v>
      </c>
      <c r="C387" s="118" t="s">
        <v>1040</v>
      </c>
      <c r="D387" s="46">
        <v>299276</v>
      </c>
      <c r="E387" s="41"/>
      <c r="F387" s="134" t="s">
        <v>1443</v>
      </c>
      <c r="G387" s="134" t="s">
        <v>1443</v>
      </c>
      <c r="H387" s="134" t="s">
        <v>1443</v>
      </c>
      <c r="I387" s="134" t="s">
        <v>1443</v>
      </c>
      <c r="J387" s="134" t="s">
        <v>1443</v>
      </c>
      <c r="K387" s="134" t="s">
        <v>1443</v>
      </c>
      <c r="L387" s="134" t="s">
        <v>1443</v>
      </c>
      <c r="M387" s="134" t="s">
        <v>1443</v>
      </c>
      <c r="N387" s="134" t="s">
        <v>1443</v>
      </c>
      <c r="O387" s="134" t="s">
        <v>1443</v>
      </c>
      <c r="P387" s="134" t="s">
        <v>1443</v>
      </c>
      <c r="Q387" s="134" t="s">
        <v>1443</v>
      </c>
      <c r="R387" s="109"/>
      <c r="S387" s="109"/>
      <c r="T387" s="109"/>
      <c r="U387" s="109"/>
      <c r="V387" s="109"/>
    </row>
    <row r="388" spans="2:22" ht="12.75" hidden="1" customHeight="1" outlineLevel="1" x14ac:dyDescent="0.2">
      <c r="B388" s="5" t="s">
        <v>487</v>
      </c>
      <c r="C388" s="118" t="s">
        <v>1041</v>
      </c>
      <c r="D388" s="46">
        <v>299277</v>
      </c>
      <c r="E388" s="41"/>
      <c r="F388" s="134" t="s">
        <v>1443</v>
      </c>
      <c r="G388" s="134">
        <v>-38.6</v>
      </c>
      <c r="H388" s="134" t="s">
        <v>1443</v>
      </c>
      <c r="I388" s="134" t="s">
        <v>1443</v>
      </c>
      <c r="J388" s="134" t="s">
        <v>1443</v>
      </c>
      <c r="K388" s="134">
        <v>-256.2</v>
      </c>
      <c r="L388" s="134" t="s">
        <v>1443</v>
      </c>
      <c r="M388" s="134" t="s">
        <v>1443</v>
      </c>
      <c r="N388" s="134" t="s">
        <v>1443</v>
      </c>
      <c r="O388" s="134">
        <v>19</v>
      </c>
      <c r="P388" s="134" t="s">
        <v>1443</v>
      </c>
      <c r="Q388" s="134" t="s">
        <v>1443</v>
      </c>
      <c r="R388" s="109"/>
      <c r="S388" s="109"/>
      <c r="T388" s="109"/>
      <c r="U388" s="109"/>
      <c r="V388" s="109"/>
    </row>
    <row r="389" spans="2:22" ht="12.75" hidden="1" customHeight="1" outlineLevel="1" x14ac:dyDescent="0.2">
      <c r="B389" s="5" t="s">
        <v>420</v>
      </c>
      <c r="C389" s="118" t="s">
        <v>1042</v>
      </c>
      <c r="D389" s="46">
        <v>299278</v>
      </c>
      <c r="E389" s="41"/>
      <c r="F389" s="134" t="s">
        <v>1443</v>
      </c>
      <c r="G389" s="134">
        <v>-83.9</v>
      </c>
      <c r="H389" s="134" t="s">
        <v>1443</v>
      </c>
      <c r="I389" s="134" t="s">
        <v>1443</v>
      </c>
      <c r="J389" s="134" t="s">
        <v>1443</v>
      </c>
      <c r="K389" s="134">
        <v>-83.7</v>
      </c>
      <c r="L389" s="134" t="s">
        <v>1443</v>
      </c>
      <c r="M389" s="134" t="s">
        <v>1443</v>
      </c>
      <c r="N389" s="134" t="s">
        <v>1443</v>
      </c>
      <c r="O389" s="134">
        <v>-83.100000000000009</v>
      </c>
      <c r="P389" s="134" t="s">
        <v>1443</v>
      </c>
      <c r="Q389" s="134" t="s">
        <v>1443</v>
      </c>
      <c r="R389" s="109"/>
      <c r="S389" s="109"/>
      <c r="T389" s="109"/>
      <c r="U389" s="109"/>
      <c r="V389" s="109"/>
    </row>
    <row r="390" spans="2:22" ht="12.75" hidden="1" customHeight="1" outlineLevel="1" x14ac:dyDescent="0.2">
      <c r="B390" s="5" t="s">
        <v>486</v>
      </c>
      <c r="C390" s="118" t="s">
        <v>1043</v>
      </c>
      <c r="D390" s="46">
        <v>299279</v>
      </c>
      <c r="E390" s="41"/>
      <c r="F390" s="134" t="s">
        <v>1443</v>
      </c>
      <c r="G390" s="134" t="s">
        <v>1443</v>
      </c>
      <c r="H390" s="134" t="s">
        <v>1443</v>
      </c>
      <c r="I390" s="134" t="s">
        <v>1443</v>
      </c>
      <c r="J390" s="134" t="s">
        <v>1443</v>
      </c>
      <c r="K390" s="134" t="s">
        <v>1443</v>
      </c>
      <c r="L390" s="134" t="s">
        <v>1443</v>
      </c>
      <c r="M390" s="134" t="s">
        <v>1443</v>
      </c>
      <c r="N390" s="134" t="s">
        <v>1443</v>
      </c>
      <c r="O390" s="134" t="s">
        <v>1443</v>
      </c>
      <c r="P390" s="134" t="s">
        <v>1443</v>
      </c>
      <c r="Q390" s="134" t="s">
        <v>1443</v>
      </c>
      <c r="R390" s="109"/>
      <c r="S390" s="109"/>
      <c r="T390" s="109"/>
      <c r="U390" s="109"/>
      <c r="V390" s="109"/>
    </row>
    <row r="391" spans="2:22" ht="12.75" hidden="1" customHeight="1" outlineLevel="1" x14ac:dyDescent="0.2">
      <c r="B391" s="5" t="s">
        <v>485</v>
      </c>
      <c r="C391" s="118" t="s">
        <v>1044</v>
      </c>
      <c r="D391" s="46">
        <v>299280</v>
      </c>
      <c r="E391" s="41"/>
      <c r="F391" s="134" t="s">
        <v>1443</v>
      </c>
      <c r="G391" s="134" t="s">
        <v>1443</v>
      </c>
      <c r="H391" s="134" t="s">
        <v>1443</v>
      </c>
      <c r="I391" s="134" t="s">
        <v>1443</v>
      </c>
      <c r="J391" s="134" t="s">
        <v>1443</v>
      </c>
      <c r="K391" s="134" t="s">
        <v>1443</v>
      </c>
      <c r="L391" s="134" t="s">
        <v>1443</v>
      </c>
      <c r="M391" s="134" t="s">
        <v>1443</v>
      </c>
      <c r="N391" s="134" t="s">
        <v>1443</v>
      </c>
      <c r="O391" s="134" t="s">
        <v>1443</v>
      </c>
      <c r="P391" s="134" t="s">
        <v>1443</v>
      </c>
      <c r="Q391" s="134" t="s">
        <v>1443</v>
      </c>
      <c r="R391" s="109"/>
      <c r="S391" s="109"/>
      <c r="T391" s="109"/>
      <c r="U391" s="109"/>
      <c r="V391" s="109"/>
    </row>
    <row r="392" spans="2:22" ht="12.75" hidden="1" customHeight="1" outlineLevel="1" x14ac:dyDescent="0.2">
      <c r="B392" s="5" t="s">
        <v>484</v>
      </c>
      <c r="C392" s="118" t="s">
        <v>1045</v>
      </c>
      <c r="D392" s="46">
        <v>299281</v>
      </c>
      <c r="E392" s="41"/>
      <c r="F392" s="134" t="s">
        <v>1443</v>
      </c>
      <c r="G392" s="134">
        <v>-2.5</v>
      </c>
      <c r="H392" s="134" t="s">
        <v>1443</v>
      </c>
      <c r="I392" s="134" t="s">
        <v>1443</v>
      </c>
      <c r="J392" s="134" t="s">
        <v>1443</v>
      </c>
      <c r="K392" s="134">
        <v>-2.2000000000000002</v>
      </c>
      <c r="L392" s="134" t="s">
        <v>1443</v>
      </c>
      <c r="M392" s="134" t="s">
        <v>1443</v>
      </c>
      <c r="N392" s="134" t="s">
        <v>1443</v>
      </c>
      <c r="O392" s="134">
        <v>-1</v>
      </c>
      <c r="P392" s="134" t="s">
        <v>1443</v>
      </c>
      <c r="Q392" s="134" t="s">
        <v>1443</v>
      </c>
      <c r="R392" s="109"/>
      <c r="S392" s="109"/>
      <c r="T392" s="109"/>
      <c r="U392" s="109"/>
      <c r="V392" s="109"/>
    </row>
    <row r="393" spans="2:22" ht="12.75" hidden="1" customHeight="1" outlineLevel="1" x14ac:dyDescent="0.2">
      <c r="B393" s="5" t="s">
        <v>483</v>
      </c>
      <c r="C393" s="118" t="s">
        <v>1046</v>
      </c>
      <c r="D393" s="46">
        <v>299282</v>
      </c>
      <c r="E393" s="41"/>
      <c r="F393" s="134" t="s">
        <v>1443</v>
      </c>
      <c r="G393" s="134">
        <v>-0.5</v>
      </c>
      <c r="H393" s="134" t="s">
        <v>1443</v>
      </c>
      <c r="I393" s="134" t="s">
        <v>1443</v>
      </c>
      <c r="J393" s="134" t="s">
        <v>1443</v>
      </c>
      <c r="K393" s="134">
        <v>-0.5</v>
      </c>
      <c r="L393" s="134" t="s">
        <v>1443</v>
      </c>
      <c r="M393" s="134" t="s">
        <v>1443</v>
      </c>
      <c r="N393" s="134" t="s">
        <v>1443</v>
      </c>
      <c r="O393" s="134" t="s">
        <v>1443</v>
      </c>
      <c r="P393" s="134" t="s">
        <v>1443</v>
      </c>
      <c r="Q393" s="134" t="s">
        <v>1443</v>
      </c>
      <c r="R393" s="109"/>
      <c r="S393" s="109"/>
      <c r="T393" s="109"/>
      <c r="U393" s="109"/>
      <c r="V393" s="109"/>
    </row>
    <row r="394" spans="2:22" ht="12.75" hidden="1" customHeight="1" outlineLevel="1" x14ac:dyDescent="0.2">
      <c r="B394" s="5" t="s">
        <v>502</v>
      </c>
      <c r="C394" s="118" t="s">
        <v>1047</v>
      </c>
      <c r="D394" s="46">
        <v>299283</v>
      </c>
      <c r="E394" s="41"/>
      <c r="F394" s="134" t="s">
        <v>1443</v>
      </c>
      <c r="G394" s="134">
        <v>1354</v>
      </c>
      <c r="H394" s="134" t="s">
        <v>1443</v>
      </c>
      <c r="I394" s="134" t="s">
        <v>1443</v>
      </c>
      <c r="J394" s="134" t="s">
        <v>1443</v>
      </c>
      <c r="K394" s="134">
        <v>1044.3</v>
      </c>
      <c r="L394" s="134" t="s">
        <v>1443</v>
      </c>
      <c r="M394" s="134" t="s">
        <v>1443</v>
      </c>
      <c r="N394" s="134" t="s">
        <v>1443</v>
      </c>
      <c r="O394" s="134">
        <v>1032.2</v>
      </c>
      <c r="P394" s="134" t="s">
        <v>1443</v>
      </c>
      <c r="Q394" s="134" t="s">
        <v>1443</v>
      </c>
      <c r="R394" s="109"/>
      <c r="S394" s="109"/>
      <c r="T394" s="109"/>
      <c r="U394" s="109"/>
      <c r="V394" s="109"/>
    </row>
    <row r="395" spans="2:22" ht="12.75" hidden="1" customHeight="1" outlineLevel="1" x14ac:dyDescent="0.2">
      <c r="B395" s="5" t="s">
        <v>501</v>
      </c>
      <c r="C395" s="118" t="s">
        <v>501</v>
      </c>
      <c r="D395" s="46">
        <v>299284</v>
      </c>
      <c r="E395" s="41"/>
      <c r="F395" s="134" t="s">
        <v>1443</v>
      </c>
      <c r="G395" s="134">
        <v>1340.8</v>
      </c>
      <c r="H395" s="134" t="s">
        <v>1443</v>
      </c>
      <c r="I395" s="134" t="s">
        <v>1443</v>
      </c>
      <c r="J395" s="134" t="s">
        <v>1443</v>
      </c>
      <c r="K395" s="134">
        <v>1036.7</v>
      </c>
      <c r="L395" s="134" t="s">
        <v>1443</v>
      </c>
      <c r="M395" s="134" t="s">
        <v>1443</v>
      </c>
      <c r="N395" s="134" t="s">
        <v>1443</v>
      </c>
      <c r="O395" s="134">
        <v>1027</v>
      </c>
      <c r="P395" s="134" t="s">
        <v>1443</v>
      </c>
      <c r="Q395" s="134" t="s">
        <v>1443</v>
      </c>
      <c r="R395" s="109"/>
      <c r="S395" s="109"/>
      <c r="T395" s="109"/>
      <c r="U395" s="109"/>
      <c r="V395" s="109"/>
    </row>
    <row r="396" spans="2:22" ht="12.75" hidden="1" customHeight="1" outlineLevel="1" x14ac:dyDescent="0.2">
      <c r="B396" s="8" t="s">
        <v>413</v>
      </c>
      <c r="C396" s="118" t="s">
        <v>192</v>
      </c>
      <c r="D396" s="46" t="s">
        <v>192</v>
      </c>
      <c r="E396" s="41"/>
      <c r="F396" s="134"/>
      <c r="G396" s="134"/>
      <c r="H396" s="134"/>
      <c r="I396" s="134"/>
      <c r="J396" s="134"/>
      <c r="K396" s="134"/>
      <c r="L396" s="134"/>
      <c r="M396" s="134"/>
      <c r="N396" s="134"/>
      <c r="O396" s="134"/>
      <c r="P396" s="134"/>
      <c r="Q396" s="134"/>
    </row>
    <row r="397" spans="2:22" ht="12.75" hidden="1" customHeight="1" outlineLevel="1" x14ac:dyDescent="0.2">
      <c r="B397" s="5" t="s">
        <v>481</v>
      </c>
      <c r="C397" s="118" t="s">
        <v>1048</v>
      </c>
      <c r="D397" s="46">
        <v>299289</v>
      </c>
      <c r="E397" s="41"/>
      <c r="F397" s="134" t="s">
        <v>1443</v>
      </c>
      <c r="G397" s="134">
        <v>1484.6000000000001</v>
      </c>
      <c r="H397" s="134" t="s">
        <v>1443</v>
      </c>
      <c r="I397" s="134" t="s">
        <v>1443</v>
      </c>
      <c r="J397" s="134" t="s">
        <v>1443</v>
      </c>
      <c r="K397" s="134">
        <v>1372</v>
      </c>
      <c r="L397" s="134" t="s">
        <v>1443</v>
      </c>
      <c r="M397" s="134" t="s">
        <v>1443</v>
      </c>
      <c r="N397" s="134" t="s">
        <v>1443</v>
      </c>
      <c r="O397" s="134">
        <v>1044.0999999999999</v>
      </c>
      <c r="P397" s="134" t="s">
        <v>1443</v>
      </c>
      <c r="Q397" s="134" t="s">
        <v>1443</v>
      </c>
      <c r="R397" s="109"/>
      <c r="S397" s="109"/>
      <c r="T397" s="109"/>
      <c r="U397" s="109"/>
      <c r="V397" s="109"/>
    </row>
    <row r="398" spans="2:22" ht="12.75" hidden="1" customHeight="1" outlineLevel="1" x14ac:dyDescent="0.2">
      <c r="B398" s="5" t="s">
        <v>480</v>
      </c>
      <c r="C398" s="118" t="s">
        <v>1049</v>
      </c>
      <c r="D398" s="46">
        <v>299290</v>
      </c>
      <c r="E398" s="41"/>
      <c r="F398" s="134" t="s">
        <v>1443</v>
      </c>
      <c r="G398" s="134">
        <v>-26.2</v>
      </c>
      <c r="H398" s="134" t="s">
        <v>1443</v>
      </c>
      <c r="I398" s="134" t="s">
        <v>1443</v>
      </c>
      <c r="J398" s="134" t="s">
        <v>1443</v>
      </c>
      <c r="K398" s="134">
        <v>-245.3</v>
      </c>
      <c r="L398" s="134" t="s">
        <v>1443</v>
      </c>
      <c r="M398" s="134" t="s">
        <v>1443</v>
      </c>
      <c r="N398" s="134" t="s">
        <v>1443</v>
      </c>
      <c r="O398" s="134">
        <v>79.2</v>
      </c>
      <c r="P398" s="134" t="s">
        <v>1443</v>
      </c>
      <c r="Q398" s="134" t="s">
        <v>1443</v>
      </c>
      <c r="R398" s="109"/>
      <c r="S398" s="109"/>
      <c r="T398" s="109"/>
      <c r="U398" s="109"/>
      <c r="V398" s="109"/>
    </row>
    <row r="399" spans="2:22" ht="12.75" hidden="1" customHeight="1" outlineLevel="1" x14ac:dyDescent="0.2">
      <c r="B399" s="5" t="s">
        <v>479</v>
      </c>
      <c r="C399" s="118" t="s">
        <v>1050</v>
      </c>
      <c r="D399" s="46">
        <v>299291</v>
      </c>
      <c r="E399" s="41"/>
      <c r="F399" s="134" t="s">
        <v>1443</v>
      </c>
      <c r="G399" s="134">
        <v>3.8000000000000003</v>
      </c>
      <c r="H399" s="134" t="s">
        <v>1443</v>
      </c>
      <c r="I399" s="134" t="s">
        <v>1443</v>
      </c>
      <c r="J399" s="134" t="s">
        <v>1443</v>
      </c>
      <c r="K399" s="134">
        <v>3.5</v>
      </c>
      <c r="L399" s="134" t="s">
        <v>1443</v>
      </c>
      <c r="M399" s="134" t="s">
        <v>1443</v>
      </c>
      <c r="N399" s="134" t="s">
        <v>1443</v>
      </c>
      <c r="O399" s="134">
        <v>1.2</v>
      </c>
      <c r="P399" s="134" t="s">
        <v>1443</v>
      </c>
      <c r="Q399" s="134" t="s">
        <v>1443</v>
      </c>
      <c r="R399" s="109"/>
      <c r="S399" s="109"/>
      <c r="T399" s="109"/>
      <c r="U399" s="109"/>
      <c r="V399" s="109"/>
    </row>
    <row r="400" spans="2:22" ht="12.75" hidden="1" customHeight="1" outlineLevel="1" x14ac:dyDescent="0.2">
      <c r="B400" s="5" t="s">
        <v>478</v>
      </c>
      <c r="C400" s="118" t="s">
        <v>1051</v>
      </c>
      <c r="D400" s="46">
        <v>299292</v>
      </c>
      <c r="E400" s="41"/>
      <c r="F400" s="134" t="s">
        <v>1443</v>
      </c>
      <c r="G400" s="134" t="s">
        <v>1443</v>
      </c>
      <c r="H400" s="134" t="s">
        <v>1443</v>
      </c>
      <c r="I400" s="134" t="s">
        <v>1443</v>
      </c>
      <c r="J400" s="134" t="s">
        <v>1443</v>
      </c>
      <c r="K400" s="134" t="s">
        <v>1443</v>
      </c>
      <c r="L400" s="134" t="s">
        <v>1443</v>
      </c>
      <c r="M400" s="134" t="s">
        <v>1443</v>
      </c>
      <c r="N400" s="134" t="s">
        <v>1443</v>
      </c>
      <c r="O400" s="134" t="s">
        <v>1443</v>
      </c>
      <c r="P400" s="134" t="s">
        <v>1443</v>
      </c>
      <c r="Q400" s="134" t="s">
        <v>1443</v>
      </c>
      <c r="R400" s="109"/>
      <c r="S400" s="109"/>
      <c r="T400" s="109"/>
      <c r="U400" s="109"/>
      <c r="V400" s="109"/>
    </row>
    <row r="401" spans="2:22" ht="12.75" hidden="1" customHeight="1" outlineLevel="1" x14ac:dyDescent="0.2">
      <c r="B401" s="5" t="s">
        <v>477</v>
      </c>
      <c r="C401" s="118" t="s">
        <v>1052</v>
      </c>
      <c r="D401" s="46">
        <v>299293</v>
      </c>
      <c r="E401" s="41"/>
      <c r="F401" s="134" t="s">
        <v>1443</v>
      </c>
      <c r="G401" s="134">
        <v>-83.9</v>
      </c>
      <c r="H401" s="134" t="s">
        <v>1443</v>
      </c>
      <c r="I401" s="134" t="s">
        <v>1443</v>
      </c>
      <c r="J401" s="134" t="s">
        <v>1443</v>
      </c>
      <c r="K401" s="134">
        <v>-83.7</v>
      </c>
      <c r="L401" s="134" t="s">
        <v>1443</v>
      </c>
      <c r="M401" s="134" t="s">
        <v>1443</v>
      </c>
      <c r="N401" s="134" t="s">
        <v>1443</v>
      </c>
      <c r="O401" s="134">
        <v>-83.100000000000009</v>
      </c>
      <c r="P401" s="134" t="s">
        <v>1443</v>
      </c>
      <c r="Q401" s="134" t="s">
        <v>1443</v>
      </c>
      <c r="R401" s="109"/>
      <c r="S401" s="109"/>
      <c r="T401" s="109"/>
      <c r="U401" s="109"/>
      <c r="V401" s="109"/>
    </row>
    <row r="402" spans="2:22" ht="12.75" hidden="1" customHeight="1" outlineLevel="1" x14ac:dyDescent="0.2">
      <c r="B402" s="5" t="s">
        <v>476</v>
      </c>
      <c r="C402" s="118" t="s">
        <v>1053</v>
      </c>
      <c r="D402" s="46">
        <v>299294</v>
      </c>
      <c r="E402" s="41"/>
      <c r="F402" s="134" t="s">
        <v>1443</v>
      </c>
      <c r="G402" s="134">
        <v>-0.3</v>
      </c>
      <c r="H402" s="134" t="s">
        <v>1443</v>
      </c>
      <c r="I402" s="134" t="s">
        <v>1443</v>
      </c>
      <c r="J402" s="134" t="s">
        <v>1443</v>
      </c>
      <c r="K402" s="134">
        <v>3.1</v>
      </c>
      <c r="L402" s="134" t="s">
        <v>1443</v>
      </c>
      <c r="M402" s="134" t="s">
        <v>1443</v>
      </c>
      <c r="N402" s="134" t="s">
        <v>1443</v>
      </c>
      <c r="O402" s="134">
        <v>0.3</v>
      </c>
      <c r="P402" s="134" t="s">
        <v>1443</v>
      </c>
      <c r="Q402" s="134" t="s">
        <v>1443</v>
      </c>
      <c r="R402" s="109"/>
      <c r="S402" s="109"/>
      <c r="T402" s="109"/>
      <c r="U402" s="109"/>
      <c r="V402" s="109"/>
    </row>
    <row r="403" spans="2:22" ht="12.75" hidden="1" customHeight="1" outlineLevel="1" x14ac:dyDescent="0.2">
      <c r="B403" s="5" t="s">
        <v>475</v>
      </c>
      <c r="C403" s="118" t="s">
        <v>1054</v>
      </c>
      <c r="D403" s="46">
        <v>299295</v>
      </c>
      <c r="E403" s="41"/>
      <c r="F403" s="134" t="s">
        <v>1443</v>
      </c>
      <c r="G403" s="134" t="s">
        <v>1443</v>
      </c>
      <c r="H403" s="134" t="s">
        <v>1443</v>
      </c>
      <c r="I403" s="134" t="s">
        <v>1443</v>
      </c>
      <c r="J403" s="134" t="s">
        <v>1443</v>
      </c>
      <c r="K403" s="134" t="s">
        <v>1443</v>
      </c>
      <c r="L403" s="134" t="s">
        <v>1443</v>
      </c>
      <c r="M403" s="134" t="s">
        <v>1443</v>
      </c>
      <c r="N403" s="134" t="s">
        <v>1443</v>
      </c>
      <c r="O403" s="134" t="s">
        <v>1443</v>
      </c>
      <c r="P403" s="134" t="s">
        <v>1443</v>
      </c>
      <c r="Q403" s="134" t="s">
        <v>1443</v>
      </c>
      <c r="R403" s="109"/>
      <c r="S403" s="109"/>
      <c r="T403" s="109"/>
      <c r="U403" s="109"/>
      <c r="V403" s="109"/>
    </row>
    <row r="404" spans="2:22" ht="12.75" hidden="1" customHeight="1" outlineLevel="1" x14ac:dyDescent="0.2">
      <c r="B404" s="5" t="s">
        <v>474</v>
      </c>
      <c r="C404" s="118" t="s">
        <v>1055</v>
      </c>
      <c r="D404" s="46">
        <v>299296</v>
      </c>
      <c r="E404" s="41"/>
      <c r="F404" s="134" t="s">
        <v>1443</v>
      </c>
      <c r="G404" s="134">
        <v>-6</v>
      </c>
      <c r="H404" s="134" t="s">
        <v>1443</v>
      </c>
      <c r="I404" s="134" t="s">
        <v>1443</v>
      </c>
      <c r="J404" s="134" t="s">
        <v>1443</v>
      </c>
      <c r="K404" s="134">
        <v>-5.5</v>
      </c>
      <c r="L404" s="134" t="s">
        <v>1443</v>
      </c>
      <c r="M404" s="134" t="s">
        <v>1443</v>
      </c>
      <c r="N404" s="134" t="s">
        <v>1443</v>
      </c>
      <c r="O404" s="134">
        <v>-0.4</v>
      </c>
      <c r="P404" s="134" t="s">
        <v>1443</v>
      </c>
      <c r="Q404" s="134" t="s">
        <v>1443</v>
      </c>
      <c r="R404" s="109"/>
      <c r="S404" s="109"/>
      <c r="T404" s="109"/>
      <c r="U404" s="109"/>
      <c r="V404" s="109"/>
    </row>
    <row r="405" spans="2:22" ht="12.75" hidden="1" customHeight="1" outlineLevel="1" x14ac:dyDescent="0.2">
      <c r="B405" s="5" t="s">
        <v>473</v>
      </c>
      <c r="C405" s="118" t="s">
        <v>1056</v>
      </c>
      <c r="D405" s="46">
        <v>299297</v>
      </c>
      <c r="E405" s="41"/>
      <c r="F405" s="134" t="s">
        <v>1443</v>
      </c>
      <c r="G405" s="134" t="s">
        <v>1443</v>
      </c>
      <c r="H405" s="134" t="s">
        <v>1443</v>
      </c>
      <c r="I405" s="134" t="s">
        <v>1443</v>
      </c>
      <c r="J405" s="134" t="s">
        <v>1443</v>
      </c>
      <c r="K405" s="134" t="s">
        <v>1443</v>
      </c>
      <c r="L405" s="134" t="s">
        <v>1443</v>
      </c>
      <c r="M405" s="134" t="s">
        <v>1443</v>
      </c>
      <c r="N405" s="134" t="s">
        <v>1443</v>
      </c>
      <c r="O405" s="134" t="s">
        <v>1443</v>
      </c>
      <c r="P405" s="134" t="s">
        <v>1443</v>
      </c>
      <c r="Q405" s="134" t="s">
        <v>1443</v>
      </c>
      <c r="R405" s="109"/>
      <c r="S405" s="109"/>
      <c r="T405" s="109"/>
      <c r="U405" s="109"/>
      <c r="V405" s="109"/>
    </row>
    <row r="406" spans="2:22" ht="12.75" hidden="1" customHeight="1" outlineLevel="1" x14ac:dyDescent="0.2">
      <c r="B406" s="5" t="s">
        <v>472</v>
      </c>
      <c r="C406" s="118" t="s">
        <v>1057</v>
      </c>
      <c r="D406" s="46">
        <v>299298</v>
      </c>
      <c r="E406" s="41"/>
      <c r="F406" s="134" t="s">
        <v>1443</v>
      </c>
      <c r="G406" s="134">
        <v>1372</v>
      </c>
      <c r="H406" s="134" t="s">
        <v>1443</v>
      </c>
      <c r="I406" s="134" t="s">
        <v>1443</v>
      </c>
      <c r="J406" s="134" t="s">
        <v>1443</v>
      </c>
      <c r="K406" s="134">
        <v>1044.0999999999999</v>
      </c>
      <c r="L406" s="134" t="s">
        <v>1443</v>
      </c>
      <c r="M406" s="134" t="s">
        <v>1443</v>
      </c>
      <c r="N406" s="134" t="s">
        <v>1443</v>
      </c>
      <c r="O406" s="134">
        <v>1041.3</v>
      </c>
      <c r="P406" s="134" t="s">
        <v>1443</v>
      </c>
      <c r="Q406" s="134" t="s">
        <v>1443</v>
      </c>
      <c r="R406" s="109"/>
      <c r="S406" s="109"/>
      <c r="T406" s="109"/>
      <c r="U406" s="109"/>
      <c r="V406" s="109"/>
    </row>
    <row r="407" spans="2:22" ht="12.75" hidden="1" customHeight="1" outlineLevel="1" x14ac:dyDescent="0.2">
      <c r="B407" s="8" t="s">
        <v>402</v>
      </c>
      <c r="C407" s="118" t="s">
        <v>192</v>
      </c>
      <c r="D407" s="46" t="s">
        <v>192</v>
      </c>
      <c r="E407" s="41"/>
      <c r="F407" s="21"/>
      <c r="G407" s="21"/>
      <c r="H407" s="21"/>
      <c r="I407" s="21"/>
      <c r="J407" s="21"/>
      <c r="K407" s="21"/>
      <c r="L407" s="21"/>
      <c r="M407" s="21"/>
      <c r="N407" s="21"/>
      <c r="O407" s="21"/>
      <c r="P407" s="21"/>
      <c r="Q407" s="21"/>
    </row>
    <row r="408" spans="2:22" ht="12.75" hidden="1" customHeight="1" outlineLevel="1" x14ac:dyDescent="0.2">
      <c r="B408" s="5" t="s">
        <v>1457</v>
      </c>
      <c r="C408" s="118" t="s">
        <v>847</v>
      </c>
      <c r="D408" s="46">
        <v>299263</v>
      </c>
      <c r="E408" s="41"/>
      <c r="F408" s="140" t="s">
        <v>1443</v>
      </c>
      <c r="G408" s="140" t="s">
        <v>1443</v>
      </c>
      <c r="H408" s="140" t="s">
        <v>1443</v>
      </c>
      <c r="I408" s="140" t="s">
        <v>1443</v>
      </c>
      <c r="J408" s="140" t="s">
        <v>1443</v>
      </c>
      <c r="K408" s="140" t="s">
        <v>1443</v>
      </c>
      <c r="L408" s="140" t="s">
        <v>1443</v>
      </c>
      <c r="M408" s="140" t="s">
        <v>1443</v>
      </c>
      <c r="N408" s="140" t="s">
        <v>1443</v>
      </c>
      <c r="O408" s="140" t="s">
        <v>1443</v>
      </c>
      <c r="P408" s="140" t="s">
        <v>1443</v>
      </c>
      <c r="Q408" s="140" t="s">
        <v>1443</v>
      </c>
      <c r="R408" s="91"/>
      <c r="S408" s="91"/>
      <c r="T408" s="91"/>
      <c r="U408" s="91"/>
      <c r="V408" s="91"/>
    </row>
    <row r="409" spans="2:22" ht="12.75" hidden="1" customHeight="1" outlineLevel="1" x14ac:dyDescent="0.2">
      <c r="B409" s="5" t="s">
        <v>1458</v>
      </c>
      <c r="C409" s="118" t="s">
        <v>848</v>
      </c>
      <c r="D409" s="46">
        <v>299264</v>
      </c>
      <c r="E409" s="41"/>
      <c r="F409" s="140" t="s">
        <v>1443</v>
      </c>
      <c r="G409" s="140" t="s">
        <v>1443</v>
      </c>
      <c r="H409" s="140" t="s">
        <v>1443</v>
      </c>
      <c r="I409" s="140" t="s">
        <v>1443</v>
      </c>
      <c r="J409" s="140" t="s">
        <v>1443</v>
      </c>
      <c r="K409" s="140" t="s">
        <v>1443</v>
      </c>
      <c r="L409" s="140" t="s">
        <v>1443</v>
      </c>
      <c r="M409" s="140" t="s">
        <v>1443</v>
      </c>
      <c r="N409" s="140" t="s">
        <v>1443</v>
      </c>
      <c r="O409" s="140" t="s">
        <v>1443</v>
      </c>
      <c r="P409" s="140" t="s">
        <v>1443</v>
      </c>
      <c r="Q409" s="140" t="s">
        <v>1443</v>
      </c>
      <c r="R409" s="91"/>
      <c r="S409" s="91"/>
      <c r="T409" s="91"/>
      <c r="U409" s="91"/>
      <c r="V409" s="91"/>
    </row>
    <row r="410" spans="2:22" ht="12.75" hidden="1" customHeight="1" outlineLevel="1" x14ac:dyDescent="0.2">
      <c r="B410" s="5" t="s">
        <v>1459</v>
      </c>
      <c r="C410" s="118" t="s">
        <v>849</v>
      </c>
      <c r="D410" s="46">
        <v>299265</v>
      </c>
      <c r="E410" s="41"/>
      <c r="F410" s="140" t="s">
        <v>1443</v>
      </c>
      <c r="G410" s="140" t="s">
        <v>1443</v>
      </c>
      <c r="H410" s="140" t="s">
        <v>1443</v>
      </c>
      <c r="I410" s="140" t="s">
        <v>1443</v>
      </c>
      <c r="J410" s="140" t="s">
        <v>1443</v>
      </c>
      <c r="K410" s="140" t="s">
        <v>1443</v>
      </c>
      <c r="L410" s="140" t="s">
        <v>1443</v>
      </c>
      <c r="M410" s="140" t="s">
        <v>1443</v>
      </c>
      <c r="N410" s="140" t="s">
        <v>1443</v>
      </c>
      <c r="O410" s="140" t="s">
        <v>1443</v>
      </c>
      <c r="P410" s="140" t="s">
        <v>1443</v>
      </c>
      <c r="Q410" s="140" t="s">
        <v>1443</v>
      </c>
      <c r="R410" s="91"/>
      <c r="S410" s="91"/>
      <c r="T410" s="91"/>
      <c r="U410" s="91"/>
      <c r="V410" s="91"/>
    </row>
    <row r="411" spans="2:22" ht="12.75" hidden="1" customHeight="1" outlineLevel="1" x14ac:dyDescent="0.2">
      <c r="B411" s="5" t="s">
        <v>1460</v>
      </c>
      <c r="C411" s="118" t="s">
        <v>850</v>
      </c>
      <c r="D411" s="46">
        <v>299266</v>
      </c>
      <c r="E411" s="41"/>
      <c r="F411" s="140" t="s">
        <v>1443</v>
      </c>
      <c r="G411" s="140" t="s">
        <v>1443</v>
      </c>
      <c r="H411" s="140" t="s">
        <v>1443</v>
      </c>
      <c r="I411" s="140" t="s">
        <v>1443</v>
      </c>
      <c r="J411" s="140" t="s">
        <v>1443</v>
      </c>
      <c r="K411" s="140" t="s">
        <v>1443</v>
      </c>
      <c r="L411" s="140" t="s">
        <v>1443</v>
      </c>
      <c r="M411" s="140" t="s">
        <v>1443</v>
      </c>
      <c r="N411" s="140" t="s">
        <v>1443</v>
      </c>
      <c r="O411" s="140" t="s">
        <v>1443</v>
      </c>
      <c r="P411" s="140" t="s">
        <v>1443</v>
      </c>
      <c r="Q411" s="140" t="s">
        <v>1443</v>
      </c>
      <c r="R411" s="91"/>
      <c r="S411" s="91"/>
      <c r="T411" s="91"/>
      <c r="U411" s="91"/>
      <c r="V411" s="91"/>
    </row>
    <row r="412" spans="2:22" ht="12.75" hidden="1" customHeight="1" outlineLevel="1" x14ac:dyDescent="0.2">
      <c r="B412" s="5" t="s">
        <v>1461</v>
      </c>
      <c r="C412" s="118" t="s">
        <v>851</v>
      </c>
      <c r="D412" s="46">
        <v>299267</v>
      </c>
      <c r="E412" s="41"/>
      <c r="F412" s="140" t="s">
        <v>1443</v>
      </c>
      <c r="G412" s="140" t="s">
        <v>1443</v>
      </c>
      <c r="H412" s="140" t="s">
        <v>1443</v>
      </c>
      <c r="I412" s="140" t="s">
        <v>1443</v>
      </c>
      <c r="J412" s="140" t="s">
        <v>1443</v>
      </c>
      <c r="K412" s="140" t="s">
        <v>1443</v>
      </c>
      <c r="L412" s="140" t="s">
        <v>1443</v>
      </c>
      <c r="M412" s="140" t="s">
        <v>1443</v>
      </c>
      <c r="N412" s="140" t="s">
        <v>1443</v>
      </c>
      <c r="O412" s="140" t="s">
        <v>1443</v>
      </c>
      <c r="P412" s="140" t="s">
        <v>1443</v>
      </c>
      <c r="Q412" s="140" t="s">
        <v>1443</v>
      </c>
      <c r="R412" s="91"/>
      <c r="S412" s="91"/>
      <c r="T412" s="91"/>
      <c r="U412" s="91"/>
      <c r="V412" s="91"/>
    </row>
    <row r="413" spans="2:22" ht="12.75" hidden="1" customHeight="1" outlineLevel="1" x14ac:dyDescent="0.2">
      <c r="B413" s="5" t="s">
        <v>1462</v>
      </c>
      <c r="C413" s="118" t="s">
        <v>852</v>
      </c>
      <c r="D413" s="46">
        <v>299268</v>
      </c>
      <c r="E413" s="41"/>
      <c r="F413" s="140" t="s">
        <v>1443</v>
      </c>
      <c r="G413" s="140" t="s">
        <v>1443</v>
      </c>
      <c r="H413" s="140" t="s">
        <v>1443</v>
      </c>
      <c r="I413" s="140" t="s">
        <v>1443</v>
      </c>
      <c r="J413" s="140" t="s">
        <v>1443</v>
      </c>
      <c r="K413" s="140" t="s">
        <v>1443</v>
      </c>
      <c r="L413" s="140" t="s">
        <v>1443</v>
      </c>
      <c r="M413" s="140" t="s">
        <v>1443</v>
      </c>
      <c r="N413" s="140" t="s">
        <v>1443</v>
      </c>
      <c r="O413" s="140" t="s">
        <v>1443</v>
      </c>
      <c r="P413" s="140" t="s">
        <v>1443</v>
      </c>
      <c r="Q413" s="140" t="s">
        <v>1443</v>
      </c>
      <c r="R413" s="91"/>
      <c r="S413" s="91"/>
      <c r="T413" s="91"/>
      <c r="U413" s="91"/>
      <c r="V413" s="91"/>
    </row>
    <row r="414" spans="2:22" ht="12.75" hidden="1" customHeight="1" outlineLevel="1" x14ac:dyDescent="0.2">
      <c r="B414" s="8" t="s">
        <v>397</v>
      </c>
      <c r="C414" s="118" t="s">
        <v>192</v>
      </c>
      <c r="D414" s="46" t="s">
        <v>192</v>
      </c>
      <c r="E414" s="41"/>
      <c r="F414" s="21"/>
      <c r="G414" s="21"/>
      <c r="H414" s="21"/>
      <c r="I414" s="21"/>
      <c r="J414" s="21"/>
      <c r="K414" s="21"/>
      <c r="L414" s="21"/>
      <c r="M414" s="21"/>
      <c r="N414" s="21"/>
      <c r="O414" s="21"/>
      <c r="P414" s="21"/>
      <c r="Q414" s="21"/>
    </row>
    <row r="415" spans="2:22" ht="12.75" hidden="1" customHeight="1" outlineLevel="1" x14ac:dyDescent="0.2">
      <c r="B415" s="5" t="s">
        <v>401</v>
      </c>
      <c r="C415" s="118" t="s">
        <v>853</v>
      </c>
      <c r="D415" s="46">
        <v>299299</v>
      </c>
      <c r="E415" s="41"/>
      <c r="F415" s="140" t="s">
        <v>1443</v>
      </c>
      <c r="G415" s="140" t="s">
        <v>1443</v>
      </c>
      <c r="H415" s="140" t="s">
        <v>1443</v>
      </c>
      <c r="I415" s="140" t="s">
        <v>1443</v>
      </c>
      <c r="J415" s="140" t="s">
        <v>1443</v>
      </c>
      <c r="K415" s="140" t="s">
        <v>1443</v>
      </c>
      <c r="L415" s="140" t="s">
        <v>1443</v>
      </c>
      <c r="M415" s="140" t="s">
        <v>1443</v>
      </c>
      <c r="N415" s="140" t="s">
        <v>1443</v>
      </c>
      <c r="O415" s="140" t="s">
        <v>1443</v>
      </c>
      <c r="P415" s="140" t="s">
        <v>1443</v>
      </c>
      <c r="Q415" s="140" t="s">
        <v>1443</v>
      </c>
      <c r="R415" s="91"/>
      <c r="S415" s="91"/>
      <c r="T415" s="91"/>
      <c r="U415" s="91"/>
      <c r="V415" s="91"/>
    </row>
    <row r="416" spans="2:22" ht="12.75" hidden="1" customHeight="1" outlineLevel="1" x14ac:dyDescent="0.2">
      <c r="B416" s="5" t="s">
        <v>400</v>
      </c>
      <c r="C416" s="118" t="s">
        <v>854</v>
      </c>
      <c r="D416" s="46">
        <v>299300</v>
      </c>
      <c r="E416" s="41"/>
      <c r="F416" s="140" t="s">
        <v>1443</v>
      </c>
      <c r="G416" s="140">
        <v>100</v>
      </c>
      <c r="H416" s="140" t="s">
        <v>1443</v>
      </c>
      <c r="I416" s="140" t="s">
        <v>1443</v>
      </c>
      <c r="J416" s="140" t="s">
        <v>1443</v>
      </c>
      <c r="K416" s="140">
        <v>100</v>
      </c>
      <c r="L416" s="140" t="s">
        <v>1443</v>
      </c>
      <c r="M416" s="140" t="s">
        <v>1443</v>
      </c>
      <c r="N416" s="140" t="s">
        <v>1443</v>
      </c>
      <c r="O416" s="140">
        <v>100</v>
      </c>
      <c r="P416" s="140" t="s">
        <v>1443</v>
      </c>
      <c r="Q416" s="140" t="s">
        <v>1443</v>
      </c>
      <c r="R416" s="91"/>
      <c r="S416" s="91"/>
      <c r="T416" s="91"/>
      <c r="U416" s="91"/>
      <c r="V416" s="91"/>
    </row>
    <row r="417" spans="2:22" ht="12.75" hidden="1" customHeight="1" outlineLevel="1" x14ac:dyDescent="0.2">
      <c r="B417" s="5" t="s">
        <v>399</v>
      </c>
      <c r="C417" s="118" t="s">
        <v>855</v>
      </c>
      <c r="D417" s="46">
        <v>299301</v>
      </c>
      <c r="E417" s="41"/>
      <c r="F417" s="140" t="s">
        <v>1443</v>
      </c>
      <c r="G417" s="140" t="s">
        <v>1443</v>
      </c>
      <c r="H417" s="140" t="s">
        <v>1443</v>
      </c>
      <c r="I417" s="140" t="s">
        <v>1443</v>
      </c>
      <c r="J417" s="140" t="s">
        <v>1443</v>
      </c>
      <c r="K417" s="140" t="s">
        <v>1443</v>
      </c>
      <c r="L417" s="140" t="s">
        <v>1443</v>
      </c>
      <c r="M417" s="140" t="s">
        <v>1443</v>
      </c>
      <c r="N417" s="140" t="s">
        <v>1443</v>
      </c>
      <c r="O417" s="140" t="s">
        <v>1443</v>
      </c>
      <c r="P417" s="140" t="s">
        <v>1443</v>
      </c>
      <c r="Q417" s="140" t="s">
        <v>1443</v>
      </c>
      <c r="R417" s="91"/>
      <c r="S417" s="91"/>
      <c r="T417" s="91"/>
      <c r="U417" s="91"/>
      <c r="V417" s="91"/>
    </row>
    <row r="418" spans="2:22" ht="12.75" hidden="1" customHeight="1" outlineLevel="1" x14ac:dyDescent="0.2">
      <c r="B418" s="5" t="s">
        <v>398</v>
      </c>
      <c r="C418" s="118" t="s">
        <v>856</v>
      </c>
      <c r="D418" s="46">
        <v>299302</v>
      </c>
      <c r="E418" s="41"/>
      <c r="F418" s="140" t="s">
        <v>1443</v>
      </c>
      <c r="G418" s="140" t="s">
        <v>1443</v>
      </c>
      <c r="H418" s="140" t="s">
        <v>1443</v>
      </c>
      <c r="I418" s="140" t="s">
        <v>1443</v>
      </c>
      <c r="J418" s="140" t="s">
        <v>1443</v>
      </c>
      <c r="K418" s="140" t="s">
        <v>1443</v>
      </c>
      <c r="L418" s="140" t="s">
        <v>1443</v>
      </c>
      <c r="M418" s="140" t="s">
        <v>1443</v>
      </c>
      <c r="N418" s="140" t="s">
        <v>1443</v>
      </c>
      <c r="O418" s="140" t="s">
        <v>1443</v>
      </c>
      <c r="P418" s="140" t="s">
        <v>1443</v>
      </c>
      <c r="Q418" s="140" t="s">
        <v>1443</v>
      </c>
      <c r="R418" s="91"/>
      <c r="S418" s="91"/>
      <c r="T418" s="91"/>
      <c r="U418" s="91"/>
      <c r="V418" s="91"/>
    </row>
    <row r="419" spans="2:22" ht="12.75" hidden="1" customHeight="1" outlineLevel="1" x14ac:dyDescent="0.2">
      <c r="B419" s="8" t="s">
        <v>397</v>
      </c>
      <c r="C419" s="118" t="s">
        <v>192</v>
      </c>
      <c r="D419" s="46" t="s">
        <v>192</v>
      </c>
      <c r="E419" s="41"/>
      <c r="F419" s="21"/>
      <c r="G419" s="21"/>
      <c r="H419" s="21"/>
      <c r="I419" s="21"/>
      <c r="J419" s="21"/>
      <c r="K419" s="21"/>
      <c r="L419" s="21"/>
      <c r="M419" s="21"/>
      <c r="N419" s="21"/>
      <c r="O419" s="21"/>
      <c r="P419" s="21"/>
      <c r="Q419" s="21"/>
    </row>
    <row r="420" spans="2:22" ht="12.75" hidden="1" customHeight="1" outlineLevel="1" x14ac:dyDescent="0.2">
      <c r="B420" s="5" t="s">
        <v>471</v>
      </c>
      <c r="C420" s="118" t="s">
        <v>1058</v>
      </c>
      <c r="D420" s="46">
        <v>299303</v>
      </c>
      <c r="E420" s="41"/>
      <c r="F420" s="134" t="s">
        <v>1443</v>
      </c>
      <c r="G420" s="134" t="s">
        <v>1443</v>
      </c>
      <c r="H420" s="134" t="s">
        <v>1443</v>
      </c>
      <c r="I420" s="134" t="s">
        <v>1443</v>
      </c>
      <c r="J420" s="134" t="s">
        <v>1443</v>
      </c>
      <c r="K420" s="134" t="s">
        <v>1443</v>
      </c>
      <c r="L420" s="134" t="s">
        <v>1443</v>
      </c>
      <c r="M420" s="134" t="s">
        <v>1443</v>
      </c>
      <c r="N420" s="134" t="s">
        <v>1443</v>
      </c>
      <c r="O420" s="134" t="s">
        <v>1443</v>
      </c>
      <c r="P420" s="134" t="s">
        <v>1443</v>
      </c>
      <c r="Q420" s="134" t="s">
        <v>1443</v>
      </c>
      <c r="R420" s="109"/>
      <c r="S420" s="109"/>
      <c r="T420" s="109"/>
      <c r="U420" s="109"/>
      <c r="V420" s="109"/>
    </row>
    <row r="421" spans="2:22" ht="12.75" hidden="1" customHeight="1" outlineLevel="1" x14ac:dyDescent="0.2">
      <c r="B421" s="5" t="s">
        <v>470</v>
      </c>
      <c r="C421" s="118" t="s">
        <v>1059</v>
      </c>
      <c r="D421" s="46">
        <v>299304</v>
      </c>
      <c r="E421" s="41"/>
      <c r="F421" s="134" t="s">
        <v>1443</v>
      </c>
      <c r="G421" s="134">
        <v>1372</v>
      </c>
      <c r="H421" s="134" t="s">
        <v>1443</v>
      </c>
      <c r="I421" s="134" t="s">
        <v>1443</v>
      </c>
      <c r="J421" s="134" t="s">
        <v>1443</v>
      </c>
      <c r="K421" s="134">
        <v>1044.0999999999999</v>
      </c>
      <c r="L421" s="134" t="s">
        <v>1443</v>
      </c>
      <c r="M421" s="134" t="s">
        <v>1443</v>
      </c>
      <c r="N421" s="134" t="s">
        <v>1443</v>
      </c>
      <c r="O421" s="134">
        <v>1041.3</v>
      </c>
      <c r="P421" s="134" t="s">
        <v>1443</v>
      </c>
      <c r="Q421" s="134" t="s">
        <v>1443</v>
      </c>
      <c r="R421" s="109"/>
      <c r="S421" s="109"/>
      <c r="T421" s="109"/>
      <c r="U421" s="109"/>
      <c r="V421" s="109"/>
    </row>
    <row r="422" spans="2:22" ht="12.75" hidden="1" customHeight="1" outlineLevel="1" x14ac:dyDescent="0.2">
      <c r="B422" s="5" t="s">
        <v>469</v>
      </c>
      <c r="C422" s="118" t="s">
        <v>1060</v>
      </c>
      <c r="D422" s="46">
        <v>299305</v>
      </c>
      <c r="E422" s="41"/>
      <c r="F422" s="134" t="s">
        <v>1443</v>
      </c>
      <c r="G422" s="134" t="s">
        <v>1443</v>
      </c>
      <c r="H422" s="134" t="s">
        <v>1443</v>
      </c>
      <c r="I422" s="134" t="s">
        <v>1443</v>
      </c>
      <c r="J422" s="134" t="s">
        <v>1443</v>
      </c>
      <c r="K422" s="134" t="s">
        <v>1443</v>
      </c>
      <c r="L422" s="134" t="s">
        <v>1443</v>
      </c>
      <c r="M422" s="134" t="s">
        <v>1443</v>
      </c>
      <c r="N422" s="134" t="s">
        <v>1443</v>
      </c>
      <c r="O422" s="134" t="s">
        <v>1443</v>
      </c>
      <c r="P422" s="134" t="s">
        <v>1443</v>
      </c>
      <c r="Q422" s="134" t="s">
        <v>1443</v>
      </c>
      <c r="R422" s="109"/>
      <c r="S422" s="109"/>
      <c r="T422" s="109"/>
      <c r="U422" s="109"/>
      <c r="V422" s="109"/>
    </row>
    <row r="423" spans="2:22" ht="12.75" hidden="1" customHeight="1" outlineLevel="1" x14ac:dyDescent="0.2">
      <c r="B423" s="5" t="s">
        <v>468</v>
      </c>
      <c r="C423" s="118" t="s">
        <v>1061</v>
      </c>
      <c r="D423" s="46">
        <v>299306</v>
      </c>
      <c r="E423" s="41"/>
      <c r="F423" s="134" t="s">
        <v>1443</v>
      </c>
      <c r="G423" s="134" t="s">
        <v>1443</v>
      </c>
      <c r="H423" s="134" t="s">
        <v>1443</v>
      </c>
      <c r="I423" s="134" t="s">
        <v>1443</v>
      </c>
      <c r="J423" s="134" t="s">
        <v>1443</v>
      </c>
      <c r="K423" s="134" t="s">
        <v>1443</v>
      </c>
      <c r="L423" s="134" t="s">
        <v>1443</v>
      </c>
      <c r="M423" s="134" t="s">
        <v>1443</v>
      </c>
      <c r="N423" s="134" t="s">
        <v>1443</v>
      </c>
      <c r="O423" s="134" t="s">
        <v>1443</v>
      </c>
      <c r="P423" s="134" t="s">
        <v>1443</v>
      </c>
      <c r="Q423" s="134" t="s">
        <v>1443</v>
      </c>
      <c r="R423" s="109"/>
      <c r="S423" s="109"/>
      <c r="T423" s="109"/>
      <c r="U423" s="109"/>
      <c r="V423" s="109"/>
    </row>
    <row r="424" spans="2:22" ht="12.75" hidden="1" customHeight="1" outlineLevel="1" x14ac:dyDescent="0.2">
      <c r="B424" s="8" t="s">
        <v>392</v>
      </c>
      <c r="C424" s="118" t="s">
        <v>192</v>
      </c>
      <c r="D424" s="46" t="s">
        <v>192</v>
      </c>
      <c r="E424" s="41"/>
      <c r="F424" s="134"/>
      <c r="G424" s="134"/>
      <c r="H424" s="134"/>
      <c r="I424" s="134"/>
      <c r="J424" s="134"/>
      <c r="K424" s="134"/>
      <c r="L424" s="134"/>
      <c r="M424" s="134"/>
      <c r="N424" s="134"/>
      <c r="O424" s="134"/>
      <c r="P424" s="134"/>
      <c r="Q424" s="134"/>
    </row>
    <row r="425" spans="2:22" ht="12.75" hidden="1" customHeight="1" outlineLevel="1" x14ac:dyDescent="0.2">
      <c r="B425" s="5" t="s">
        <v>391</v>
      </c>
      <c r="C425" s="118" t="s">
        <v>1062</v>
      </c>
      <c r="D425" s="46">
        <v>299321</v>
      </c>
      <c r="E425" s="41"/>
      <c r="F425" s="134" t="s">
        <v>1443</v>
      </c>
      <c r="G425" s="134">
        <v>328.40000000000003</v>
      </c>
      <c r="H425" s="134" t="s">
        <v>1443</v>
      </c>
      <c r="I425" s="134" t="s">
        <v>1443</v>
      </c>
      <c r="J425" s="134" t="s">
        <v>1443</v>
      </c>
      <c r="K425" s="134">
        <v>337.6</v>
      </c>
      <c r="L425" s="134" t="s">
        <v>1443</v>
      </c>
      <c r="M425" s="134" t="s">
        <v>1443</v>
      </c>
      <c r="N425" s="134" t="s">
        <v>1443</v>
      </c>
      <c r="O425" s="134">
        <v>309.90000000000003</v>
      </c>
      <c r="P425" s="134" t="s">
        <v>1443</v>
      </c>
      <c r="Q425" s="134" t="s">
        <v>1443</v>
      </c>
      <c r="R425" s="22"/>
      <c r="S425" s="109"/>
      <c r="T425" s="109"/>
      <c r="U425" s="109"/>
      <c r="V425" s="109"/>
    </row>
    <row r="426" spans="2:22" ht="12.75" hidden="1" customHeight="1" outlineLevel="1" x14ac:dyDescent="0.2">
      <c r="B426" s="5" t="s">
        <v>390</v>
      </c>
      <c r="C426" s="118" t="s">
        <v>1063</v>
      </c>
      <c r="D426" s="46">
        <v>299322</v>
      </c>
      <c r="E426" s="41"/>
      <c r="F426" s="134" t="s">
        <v>1443</v>
      </c>
      <c r="G426" s="134">
        <v>0.5</v>
      </c>
      <c r="H426" s="134" t="s">
        <v>1443</v>
      </c>
      <c r="I426" s="134" t="s">
        <v>1443</v>
      </c>
      <c r="J426" s="134" t="s">
        <v>1443</v>
      </c>
      <c r="K426" s="134">
        <v>0.3</v>
      </c>
      <c r="L426" s="134" t="s">
        <v>1443</v>
      </c>
      <c r="M426" s="134" t="s">
        <v>1443</v>
      </c>
      <c r="N426" s="134" t="s">
        <v>1443</v>
      </c>
      <c r="O426" s="134">
        <v>0.1</v>
      </c>
      <c r="P426" s="134" t="s">
        <v>1443</v>
      </c>
      <c r="Q426" s="134" t="s">
        <v>1443</v>
      </c>
      <c r="R426" s="22"/>
      <c r="S426" s="109"/>
      <c r="T426" s="109"/>
      <c r="U426" s="109"/>
      <c r="V426" s="109"/>
    </row>
    <row r="427" spans="2:22" ht="12.75" hidden="1" customHeight="1" outlineLevel="1" x14ac:dyDescent="0.2">
      <c r="B427" s="5" t="s">
        <v>389</v>
      </c>
      <c r="C427" s="118" t="s">
        <v>1064</v>
      </c>
      <c r="D427" s="46">
        <v>299323</v>
      </c>
      <c r="E427" s="41"/>
      <c r="F427" s="134" t="s">
        <v>1443</v>
      </c>
      <c r="G427" s="134" t="s">
        <v>1443</v>
      </c>
      <c r="H427" s="134" t="s">
        <v>1443</v>
      </c>
      <c r="I427" s="134" t="s">
        <v>1443</v>
      </c>
      <c r="J427" s="134" t="s">
        <v>1443</v>
      </c>
      <c r="K427" s="134" t="s">
        <v>1443</v>
      </c>
      <c r="L427" s="134" t="s">
        <v>1443</v>
      </c>
      <c r="M427" s="134" t="s">
        <v>1443</v>
      </c>
      <c r="N427" s="134" t="s">
        <v>1443</v>
      </c>
      <c r="O427" s="134" t="s">
        <v>1443</v>
      </c>
      <c r="P427" s="134" t="s">
        <v>1443</v>
      </c>
      <c r="Q427" s="134" t="s">
        <v>1443</v>
      </c>
      <c r="R427" s="22"/>
      <c r="S427" s="109"/>
      <c r="T427" s="109"/>
      <c r="U427" s="109"/>
      <c r="V427" s="109"/>
    </row>
    <row r="428" spans="2:22" ht="12.75" hidden="1" customHeight="1" outlineLevel="1" x14ac:dyDescent="0.2">
      <c r="B428" s="5" t="s">
        <v>388</v>
      </c>
      <c r="C428" s="118" t="s">
        <v>1065</v>
      </c>
      <c r="D428" s="46">
        <v>299324</v>
      </c>
      <c r="E428" s="41"/>
      <c r="F428" s="134" t="s">
        <v>1443</v>
      </c>
      <c r="G428" s="134">
        <v>-83.4</v>
      </c>
      <c r="H428" s="134" t="s">
        <v>1443</v>
      </c>
      <c r="I428" s="134" t="s">
        <v>1443</v>
      </c>
      <c r="J428" s="134" t="s">
        <v>1443</v>
      </c>
      <c r="K428" s="134">
        <v>-85.2</v>
      </c>
      <c r="L428" s="134" t="s">
        <v>1443</v>
      </c>
      <c r="M428" s="134" t="s">
        <v>1443</v>
      </c>
      <c r="N428" s="134" t="s">
        <v>1443</v>
      </c>
      <c r="O428" s="134">
        <v>-80.100000000000009</v>
      </c>
      <c r="P428" s="134" t="s">
        <v>1443</v>
      </c>
      <c r="Q428" s="134" t="s">
        <v>1443</v>
      </c>
      <c r="R428" s="22"/>
      <c r="S428" s="109"/>
      <c r="T428" s="109"/>
      <c r="U428" s="109"/>
      <c r="V428" s="109"/>
    </row>
    <row r="429" spans="2:22" ht="12.75" hidden="1" customHeight="1" outlineLevel="1" x14ac:dyDescent="0.2">
      <c r="B429" s="5" t="s">
        <v>387</v>
      </c>
      <c r="C429" s="118" t="s">
        <v>1066</v>
      </c>
      <c r="D429" s="46">
        <v>299325</v>
      </c>
      <c r="E429" s="41"/>
      <c r="F429" s="134" t="s">
        <v>1443</v>
      </c>
      <c r="G429" s="134">
        <v>245.5</v>
      </c>
      <c r="H429" s="134" t="s">
        <v>1443</v>
      </c>
      <c r="I429" s="134" t="s">
        <v>1443</v>
      </c>
      <c r="J429" s="134" t="s">
        <v>1443</v>
      </c>
      <c r="K429" s="134">
        <v>252.70000000000002</v>
      </c>
      <c r="L429" s="134" t="s">
        <v>1443</v>
      </c>
      <c r="M429" s="134" t="s">
        <v>1443</v>
      </c>
      <c r="N429" s="134" t="s">
        <v>1443</v>
      </c>
      <c r="O429" s="134">
        <v>229.9</v>
      </c>
      <c r="P429" s="134" t="s">
        <v>1443</v>
      </c>
      <c r="Q429" s="134" t="s">
        <v>1443</v>
      </c>
      <c r="R429" s="22"/>
      <c r="S429" s="109"/>
      <c r="T429" s="109"/>
      <c r="U429" s="109"/>
      <c r="V429" s="109"/>
    </row>
    <row r="430" spans="2:22" ht="12.75" hidden="1" customHeight="1" outlineLevel="1" x14ac:dyDescent="0.2">
      <c r="B430" s="8" t="s">
        <v>386</v>
      </c>
      <c r="C430" s="118" t="s">
        <v>192</v>
      </c>
      <c r="D430" s="46" t="s">
        <v>192</v>
      </c>
      <c r="E430" s="41"/>
      <c r="F430" s="134"/>
      <c r="G430" s="134"/>
      <c r="H430" s="134"/>
      <c r="I430" s="134"/>
      <c r="J430" s="134"/>
      <c r="K430" s="134"/>
      <c r="L430" s="134"/>
      <c r="M430" s="134"/>
      <c r="N430" s="134"/>
      <c r="O430" s="134"/>
      <c r="P430" s="134"/>
      <c r="Q430" s="134"/>
      <c r="R430" s="22"/>
    </row>
    <row r="431" spans="2:22" ht="12.75" hidden="1" customHeight="1" outlineLevel="1" x14ac:dyDescent="0.2">
      <c r="B431" s="5" t="s">
        <v>385</v>
      </c>
      <c r="C431" s="118" t="s">
        <v>1067</v>
      </c>
      <c r="D431" s="46">
        <v>299269</v>
      </c>
      <c r="E431" s="41"/>
      <c r="F431" s="134" t="s">
        <v>1443</v>
      </c>
      <c r="G431" s="134" t="s">
        <v>1443</v>
      </c>
      <c r="H431" s="134" t="s">
        <v>1443</v>
      </c>
      <c r="I431" s="134" t="s">
        <v>1443</v>
      </c>
      <c r="J431" s="134" t="s">
        <v>1443</v>
      </c>
      <c r="K431" s="134" t="s">
        <v>1443</v>
      </c>
      <c r="L431" s="134" t="s">
        <v>1443</v>
      </c>
      <c r="M431" s="134" t="s">
        <v>1443</v>
      </c>
      <c r="N431" s="134" t="s">
        <v>1443</v>
      </c>
      <c r="O431" s="134" t="s">
        <v>1443</v>
      </c>
      <c r="P431" s="134" t="s">
        <v>1443</v>
      </c>
      <c r="Q431" s="134" t="s">
        <v>1443</v>
      </c>
      <c r="R431" s="22"/>
      <c r="S431" s="109"/>
      <c r="T431" s="109"/>
      <c r="U431" s="109"/>
      <c r="V431" s="109"/>
    </row>
    <row r="432" spans="2:22" ht="12.75" hidden="1" customHeight="1" outlineLevel="1" x14ac:dyDescent="0.2">
      <c r="B432" s="5" t="s">
        <v>384</v>
      </c>
      <c r="C432" s="118" t="s">
        <v>1068</v>
      </c>
      <c r="D432" s="46">
        <v>299270</v>
      </c>
      <c r="E432" s="41"/>
      <c r="F432" s="134" t="s">
        <v>1443</v>
      </c>
      <c r="G432" s="134" t="s">
        <v>1443</v>
      </c>
      <c r="H432" s="134" t="s">
        <v>1443</v>
      </c>
      <c r="I432" s="134" t="s">
        <v>1443</v>
      </c>
      <c r="J432" s="134" t="s">
        <v>1443</v>
      </c>
      <c r="K432" s="134" t="s">
        <v>1443</v>
      </c>
      <c r="L432" s="134" t="s">
        <v>1443</v>
      </c>
      <c r="M432" s="134" t="s">
        <v>1443</v>
      </c>
      <c r="N432" s="134" t="s">
        <v>1443</v>
      </c>
      <c r="O432" s="134" t="s">
        <v>1443</v>
      </c>
      <c r="P432" s="134" t="s">
        <v>1443</v>
      </c>
      <c r="Q432" s="134" t="s">
        <v>1443</v>
      </c>
      <c r="R432" s="22"/>
      <c r="S432" s="109"/>
      <c r="T432" s="109"/>
      <c r="U432" s="109"/>
      <c r="V432" s="109"/>
    </row>
    <row r="433" spans="2:22" ht="12.75" hidden="1" customHeight="1" outlineLevel="1" x14ac:dyDescent="0.2">
      <c r="B433" s="5" t="s">
        <v>383</v>
      </c>
      <c r="C433" s="118" t="s">
        <v>1069</v>
      </c>
      <c r="D433" s="46">
        <v>299271</v>
      </c>
      <c r="E433" s="41"/>
      <c r="F433" s="134" t="s">
        <v>1443</v>
      </c>
      <c r="G433" s="134" t="s">
        <v>1443</v>
      </c>
      <c r="H433" s="134" t="s">
        <v>1443</v>
      </c>
      <c r="I433" s="134" t="s">
        <v>1443</v>
      </c>
      <c r="J433" s="134" t="s">
        <v>1443</v>
      </c>
      <c r="K433" s="134" t="s">
        <v>1443</v>
      </c>
      <c r="L433" s="134" t="s">
        <v>1443</v>
      </c>
      <c r="M433" s="134" t="s">
        <v>1443</v>
      </c>
      <c r="N433" s="134" t="s">
        <v>1443</v>
      </c>
      <c r="O433" s="134" t="s">
        <v>1443</v>
      </c>
      <c r="P433" s="134" t="s">
        <v>1443</v>
      </c>
      <c r="Q433" s="134" t="s">
        <v>1443</v>
      </c>
      <c r="R433" s="22"/>
      <c r="S433" s="109"/>
      <c r="T433" s="109"/>
      <c r="U433" s="109"/>
      <c r="V433" s="109"/>
    </row>
    <row r="434" spans="2:22" ht="12.75" hidden="1" customHeight="1" outlineLevel="1" x14ac:dyDescent="0.2">
      <c r="B434" s="5" t="s">
        <v>382</v>
      </c>
      <c r="C434" s="118" t="s">
        <v>1070</v>
      </c>
      <c r="D434" s="46">
        <v>299272</v>
      </c>
      <c r="E434" s="41"/>
      <c r="F434" s="134" t="s">
        <v>1443</v>
      </c>
      <c r="G434" s="134" t="s">
        <v>1443</v>
      </c>
      <c r="H434" s="134" t="s">
        <v>1443</v>
      </c>
      <c r="I434" s="134" t="s">
        <v>1443</v>
      </c>
      <c r="J434" s="134" t="s">
        <v>1443</v>
      </c>
      <c r="K434" s="134" t="s">
        <v>1443</v>
      </c>
      <c r="L434" s="134" t="s">
        <v>1443</v>
      </c>
      <c r="M434" s="134" t="s">
        <v>1443</v>
      </c>
      <c r="N434" s="134" t="s">
        <v>1443</v>
      </c>
      <c r="O434" s="134" t="s">
        <v>1443</v>
      </c>
      <c r="P434" s="134" t="s">
        <v>1443</v>
      </c>
      <c r="Q434" s="134" t="s">
        <v>1443</v>
      </c>
      <c r="R434" s="22"/>
      <c r="S434" s="109"/>
      <c r="T434" s="109"/>
      <c r="U434" s="109"/>
      <c r="V434" s="109"/>
    </row>
    <row r="435" spans="2:22" ht="12.75" hidden="1" customHeight="1" outlineLevel="1" x14ac:dyDescent="0.2">
      <c r="B435" s="8" t="s">
        <v>381</v>
      </c>
      <c r="C435" s="118" t="s">
        <v>192</v>
      </c>
      <c r="D435" s="46" t="s">
        <v>192</v>
      </c>
      <c r="E435" s="41"/>
      <c r="F435" s="21"/>
      <c r="G435" s="21"/>
      <c r="H435" s="21"/>
      <c r="I435" s="21"/>
      <c r="J435" s="21"/>
      <c r="K435" s="21"/>
      <c r="L435" s="21"/>
      <c r="M435" s="21"/>
      <c r="N435" s="21"/>
      <c r="O435" s="21"/>
      <c r="P435" s="21"/>
      <c r="Q435" s="21"/>
    </row>
    <row r="436" spans="2:22" ht="12.75" hidden="1" customHeight="1" outlineLevel="1" x14ac:dyDescent="0.2">
      <c r="B436" s="5" t="s">
        <v>1463</v>
      </c>
      <c r="C436" s="118" t="s">
        <v>857</v>
      </c>
      <c r="D436" s="46">
        <v>299285</v>
      </c>
      <c r="E436" s="41"/>
      <c r="F436" s="140" t="s">
        <v>1443</v>
      </c>
      <c r="G436" s="140" t="s">
        <v>1443</v>
      </c>
      <c r="H436" s="140" t="s">
        <v>1443</v>
      </c>
      <c r="I436" s="140" t="s">
        <v>1443</v>
      </c>
      <c r="J436" s="140" t="s">
        <v>1443</v>
      </c>
      <c r="K436" s="140" t="s">
        <v>1443</v>
      </c>
      <c r="L436" s="140" t="s">
        <v>1443</v>
      </c>
      <c r="M436" s="140" t="s">
        <v>1443</v>
      </c>
      <c r="N436" s="140" t="s">
        <v>1443</v>
      </c>
      <c r="O436" s="140" t="s">
        <v>1443</v>
      </c>
      <c r="P436" s="140" t="s">
        <v>1443</v>
      </c>
      <c r="Q436" s="140" t="s">
        <v>1443</v>
      </c>
      <c r="R436" s="91"/>
      <c r="S436" s="91"/>
      <c r="T436" s="91"/>
      <c r="U436" s="91"/>
      <c r="V436" s="91"/>
    </row>
    <row r="437" spans="2:22" ht="12.75" hidden="1" customHeight="1" outlineLevel="1" x14ac:dyDescent="0.2">
      <c r="B437" s="5" t="s">
        <v>1464</v>
      </c>
      <c r="C437" s="118" t="s">
        <v>858</v>
      </c>
      <c r="D437" s="46">
        <v>299286</v>
      </c>
      <c r="E437" s="41"/>
      <c r="F437" s="140" t="s">
        <v>1443</v>
      </c>
      <c r="G437" s="140" t="s">
        <v>1443</v>
      </c>
      <c r="H437" s="140" t="s">
        <v>1443</v>
      </c>
      <c r="I437" s="140" t="s">
        <v>1443</v>
      </c>
      <c r="J437" s="140" t="s">
        <v>1443</v>
      </c>
      <c r="K437" s="140" t="s">
        <v>1443</v>
      </c>
      <c r="L437" s="140" t="s">
        <v>1443</v>
      </c>
      <c r="M437" s="140" t="s">
        <v>1443</v>
      </c>
      <c r="N437" s="140" t="s">
        <v>1443</v>
      </c>
      <c r="O437" s="140" t="s">
        <v>1443</v>
      </c>
      <c r="P437" s="140" t="s">
        <v>1443</v>
      </c>
      <c r="Q437" s="140" t="s">
        <v>1443</v>
      </c>
      <c r="R437" s="91"/>
      <c r="S437" s="91"/>
      <c r="T437" s="91"/>
      <c r="U437" s="91"/>
      <c r="V437" s="91"/>
    </row>
    <row r="438" spans="2:22" ht="12.75" hidden="1" customHeight="1" outlineLevel="1" x14ac:dyDescent="0.2">
      <c r="B438" s="5" t="s">
        <v>1465</v>
      </c>
      <c r="C438" s="118" t="s">
        <v>859</v>
      </c>
      <c r="D438" s="46">
        <v>299287</v>
      </c>
      <c r="E438" s="41"/>
      <c r="F438" s="140" t="s">
        <v>1443</v>
      </c>
      <c r="G438" s="140" t="s">
        <v>1443</v>
      </c>
      <c r="H438" s="140" t="s">
        <v>1443</v>
      </c>
      <c r="I438" s="140" t="s">
        <v>1443</v>
      </c>
      <c r="J438" s="140" t="s">
        <v>1443</v>
      </c>
      <c r="K438" s="140" t="s">
        <v>1443</v>
      </c>
      <c r="L438" s="140" t="s">
        <v>1443</v>
      </c>
      <c r="M438" s="140" t="s">
        <v>1443</v>
      </c>
      <c r="N438" s="140" t="s">
        <v>1443</v>
      </c>
      <c r="O438" s="140" t="s">
        <v>1443</v>
      </c>
      <c r="P438" s="140" t="s">
        <v>1443</v>
      </c>
      <c r="Q438" s="140" t="s">
        <v>1443</v>
      </c>
      <c r="R438" s="91"/>
      <c r="S438" s="91"/>
      <c r="T438" s="91"/>
      <c r="U438" s="91"/>
      <c r="V438" s="91"/>
    </row>
    <row r="439" spans="2:22" ht="12.75" hidden="1" customHeight="1" outlineLevel="1" x14ac:dyDescent="0.2">
      <c r="B439" s="5" t="s">
        <v>1466</v>
      </c>
      <c r="C439" s="118" t="s">
        <v>860</v>
      </c>
      <c r="D439" s="46">
        <v>299288</v>
      </c>
      <c r="E439" s="41"/>
      <c r="F439" s="140" t="s">
        <v>1443</v>
      </c>
      <c r="G439" s="140" t="s">
        <v>1443</v>
      </c>
      <c r="H439" s="140" t="s">
        <v>1443</v>
      </c>
      <c r="I439" s="140" t="s">
        <v>1443</v>
      </c>
      <c r="J439" s="140" t="s">
        <v>1443</v>
      </c>
      <c r="K439" s="140" t="s">
        <v>1443</v>
      </c>
      <c r="L439" s="140" t="s">
        <v>1443</v>
      </c>
      <c r="M439" s="140" t="s">
        <v>1443</v>
      </c>
      <c r="N439" s="140" t="s">
        <v>1443</v>
      </c>
      <c r="O439" s="140" t="s">
        <v>1443</v>
      </c>
      <c r="P439" s="140" t="s">
        <v>1443</v>
      </c>
      <c r="Q439" s="140" t="s">
        <v>1443</v>
      </c>
      <c r="R439" s="91"/>
      <c r="S439" s="91"/>
      <c r="T439" s="91"/>
      <c r="U439" s="91"/>
      <c r="V439" s="91"/>
    </row>
    <row r="440" spans="2:22" ht="12.75" hidden="1" customHeight="1" outlineLevel="1" x14ac:dyDescent="0.2">
      <c r="B440" s="8" t="s">
        <v>380</v>
      </c>
      <c r="C440" s="118" t="s">
        <v>192</v>
      </c>
      <c r="D440" s="46" t="s">
        <v>192</v>
      </c>
      <c r="E440" s="41"/>
      <c r="F440" s="21"/>
      <c r="G440" s="21"/>
      <c r="H440" s="21"/>
      <c r="I440" s="21"/>
      <c r="J440" s="21"/>
      <c r="K440" s="21"/>
      <c r="L440" s="21"/>
      <c r="M440" s="21"/>
      <c r="N440" s="21"/>
      <c r="O440" s="21"/>
      <c r="P440" s="21"/>
      <c r="Q440" s="21"/>
    </row>
    <row r="441" spans="2:22" ht="12.75" hidden="1" customHeight="1" outlineLevel="1" x14ac:dyDescent="0.2">
      <c r="B441" s="5" t="s">
        <v>467</v>
      </c>
      <c r="C441" s="118" t="s">
        <v>1071</v>
      </c>
      <c r="D441" s="46">
        <v>299307</v>
      </c>
      <c r="E441" s="41"/>
      <c r="F441" s="134" t="s">
        <v>1443</v>
      </c>
      <c r="G441" s="134">
        <v>86.8</v>
      </c>
      <c r="H441" s="134" t="s">
        <v>1443</v>
      </c>
      <c r="I441" s="134" t="s">
        <v>1443</v>
      </c>
      <c r="J441" s="134" t="s">
        <v>1443</v>
      </c>
      <c r="K441" s="134">
        <v>86.2</v>
      </c>
      <c r="L441" s="134" t="s">
        <v>1443</v>
      </c>
      <c r="M441" s="134" t="s">
        <v>1443</v>
      </c>
      <c r="N441" s="134" t="s">
        <v>1443</v>
      </c>
      <c r="O441" s="134">
        <v>88.5</v>
      </c>
      <c r="P441" s="134" t="s">
        <v>1443</v>
      </c>
      <c r="Q441" s="134" t="s">
        <v>1443</v>
      </c>
      <c r="R441" s="109"/>
      <c r="S441" s="109"/>
      <c r="T441" s="109"/>
      <c r="U441" s="109"/>
      <c r="V441" s="109"/>
    </row>
    <row r="442" spans="2:22" ht="12.75" hidden="1" customHeight="1" outlineLevel="1" x14ac:dyDescent="0.2">
      <c r="B442" s="5" t="s">
        <v>466</v>
      </c>
      <c r="C442" s="118" t="s">
        <v>1072</v>
      </c>
      <c r="D442" s="46">
        <v>299308</v>
      </c>
      <c r="E442" s="41"/>
      <c r="F442" s="134" t="s">
        <v>1443</v>
      </c>
      <c r="G442" s="134">
        <v>86.4</v>
      </c>
      <c r="H442" s="134" t="s">
        <v>1443</v>
      </c>
      <c r="I442" s="134" t="s">
        <v>1443</v>
      </c>
      <c r="J442" s="134" t="s">
        <v>1443</v>
      </c>
      <c r="K442" s="134">
        <v>86.8</v>
      </c>
      <c r="L442" s="134" t="s">
        <v>1443</v>
      </c>
      <c r="M442" s="134" t="s">
        <v>1443</v>
      </c>
      <c r="N442" s="134" t="s">
        <v>1443</v>
      </c>
      <c r="O442" s="134">
        <v>85.5</v>
      </c>
      <c r="P442" s="134" t="s">
        <v>1443</v>
      </c>
      <c r="Q442" s="134" t="s">
        <v>1443</v>
      </c>
      <c r="R442" s="109"/>
      <c r="S442" s="109"/>
      <c r="T442" s="109"/>
      <c r="U442" s="109"/>
      <c r="V442" s="109"/>
    </row>
    <row r="443" spans="2:22" ht="12.75" hidden="1" customHeight="1" outlineLevel="1" x14ac:dyDescent="0.2">
      <c r="B443" s="5" t="s">
        <v>465</v>
      </c>
      <c r="C443" s="118" t="s">
        <v>1073</v>
      </c>
      <c r="D443" s="46">
        <v>299309</v>
      </c>
      <c r="E443" s="41"/>
      <c r="F443" s="134" t="s">
        <v>1443</v>
      </c>
      <c r="G443" s="134">
        <v>86.8</v>
      </c>
      <c r="H443" s="134" t="s">
        <v>1443</v>
      </c>
      <c r="I443" s="134" t="s">
        <v>1443</v>
      </c>
      <c r="J443" s="134" t="s">
        <v>1443</v>
      </c>
      <c r="K443" s="134">
        <v>85.2</v>
      </c>
      <c r="L443" s="134" t="s">
        <v>1443</v>
      </c>
      <c r="M443" s="134" t="s">
        <v>1443</v>
      </c>
      <c r="N443" s="134" t="s">
        <v>1443</v>
      </c>
      <c r="O443" s="134">
        <v>85.3</v>
      </c>
      <c r="P443" s="134" t="s">
        <v>1443</v>
      </c>
      <c r="Q443" s="134" t="s">
        <v>1443</v>
      </c>
      <c r="R443" s="109"/>
      <c r="S443" s="109"/>
      <c r="T443" s="109"/>
      <c r="U443" s="109"/>
      <c r="V443" s="109"/>
    </row>
    <row r="444" spans="2:22" ht="12.75" hidden="1" customHeight="1" outlineLevel="1" x14ac:dyDescent="0.2">
      <c r="B444" s="5" t="s">
        <v>464</v>
      </c>
      <c r="C444" s="118" t="s">
        <v>1074</v>
      </c>
      <c r="D444" s="46">
        <v>299310</v>
      </c>
      <c r="E444" s="41"/>
      <c r="F444" s="134" t="s">
        <v>1443</v>
      </c>
      <c r="G444" s="134">
        <v>85.100000000000009</v>
      </c>
      <c r="H444" s="134" t="s">
        <v>1443</v>
      </c>
      <c r="I444" s="134" t="s">
        <v>1443</v>
      </c>
      <c r="J444" s="134" t="s">
        <v>1443</v>
      </c>
      <c r="K444" s="134">
        <v>85</v>
      </c>
      <c r="L444" s="134" t="s">
        <v>1443</v>
      </c>
      <c r="M444" s="134" t="s">
        <v>1443</v>
      </c>
      <c r="N444" s="134" t="s">
        <v>1443</v>
      </c>
      <c r="O444" s="134">
        <v>83.3</v>
      </c>
      <c r="P444" s="134" t="s">
        <v>1443</v>
      </c>
      <c r="Q444" s="134" t="s">
        <v>1443</v>
      </c>
      <c r="R444" s="109"/>
      <c r="S444" s="109"/>
      <c r="T444" s="109"/>
      <c r="U444" s="109"/>
      <c r="V444" s="109"/>
    </row>
    <row r="445" spans="2:22" ht="12.75" hidden="1" customHeight="1" outlineLevel="1" x14ac:dyDescent="0.2">
      <c r="B445" s="5" t="s">
        <v>463</v>
      </c>
      <c r="C445" s="118" t="s">
        <v>1076</v>
      </c>
      <c r="D445" s="46">
        <v>299311</v>
      </c>
      <c r="E445" s="41"/>
      <c r="F445" s="134" t="s">
        <v>1443</v>
      </c>
      <c r="G445" s="134">
        <v>85.100000000000009</v>
      </c>
      <c r="H445" s="134" t="s">
        <v>1443</v>
      </c>
      <c r="I445" s="134" t="s">
        <v>1443</v>
      </c>
      <c r="J445" s="134" t="s">
        <v>1443</v>
      </c>
      <c r="K445" s="134">
        <v>82.5</v>
      </c>
      <c r="L445" s="134" t="s">
        <v>1443</v>
      </c>
      <c r="M445" s="134" t="s">
        <v>1443</v>
      </c>
      <c r="N445" s="134" t="s">
        <v>1443</v>
      </c>
      <c r="O445" s="134">
        <v>81.900000000000006</v>
      </c>
      <c r="P445" s="134" t="s">
        <v>1443</v>
      </c>
      <c r="Q445" s="134" t="s">
        <v>1443</v>
      </c>
      <c r="R445" s="109"/>
      <c r="S445" s="109"/>
      <c r="T445" s="109"/>
      <c r="U445" s="109"/>
      <c r="V445" s="109"/>
    </row>
    <row r="446" spans="2:22" ht="12.75" hidden="1" customHeight="1" outlineLevel="1" x14ac:dyDescent="0.2">
      <c r="B446" s="5" t="s">
        <v>462</v>
      </c>
      <c r="C446" s="118" t="s">
        <v>1075</v>
      </c>
      <c r="D446" s="46">
        <v>299312</v>
      </c>
      <c r="E446" s="41"/>
      <c r="F446" s="134" t="s">
        <v>1443</v>
      </c>
      <c r="G446" s="134">
        <v>397.3</v>
      </c>
      <c r="H446" s="134" t="s">
        <v>1443</v>
      </c>
      <c r="I446" s="134" t="s">
        <v>1443</v>
      </c>
      <c r="J446" s="134" t="s">
        <v>1443</v>
      </c>
      <c r="K446" s="134">
        <v>390.5</v>
      </c>
      <c r="L446" s="134" t="s">
        <v>1443</v>
      </c>
      <c r="M446" s="134" t="s">
        <v>1443</v>
      </c>
      <c r="N446" s="134" t="s">
        <v>1443</v>
      </c>
      <c r="O446" s="134">
        <v>382.40000000000003</v>
      </c>
      <c r="P446" s="134" t="s">
        <v>1443</v>
      </c>
      <c r="Q446" s="134" t="s">
        <v>1443</v>
      </c>
      <c r="R446" s="109"/>
      <c r="S446" s="109"/>
      <c r="T446" s="109"/>
      <c r="U446" s="109"/>
      <c r="V446" s="109"/>
    </row>
    <row r="447" spans="2:22" ht="12.75" hidden="1" customHeight="1" outlineLevel="1" x14ac:dyDescent="0.2">
      <c r="B447" s="8" t="s">
        <v>373</v>
      </c>
      <c r="C447" s="118"/>
      <c r="D447" s="46"/>
      <c r="E447" s="41"/>
      <c r="F447" s="134"/>
      <c r="G447" s="134"/>
      <c r="H447" s="134"/>
      <c r="I447" s="134"/>
      <c r="J447" s="134"/>
      <c r="K447" s="134"/>
      <c r="L447" s="134"/>
      <c r="M447" s="134"/>
      <c r="N447" s="134"/>
      <c r="O447" s="134"/>
      <c r="P447" s="134"/>
      <c r="Q447" s="134"/>
    </row>
    <row r="448" spans="2:22" ht="12.75" hidden="1" customHeight="1" outlineLevel="1" x14ac:dyDescent="0.2">
      <c r="B448" s="5" t="s">
        <v>461</v>
      </c>
      <c r="C448" s="118" t="s">
        <v>1077</v>
      </c>
      <c r="D448" s="46">
        <v>299313</v>
      </c>
      <c r="E448" s="41"/>
      <c r="F448" s="134" t="s">
        <v>1443</v>
      </c>
      <c r="G448" s="134" t="s">
        <v>1443</v>
      </c>
      <c r="H448" s="134" t="s">
        <v>1443</v>
      </c>
      <c r="I448" s="134" t="s">
        <v>1443</v>
      </c>
      <c r="J448" s="134" t="s">
        <v>1443</v>
      </c>
      <c r="K448" s="134" t="s">
        <v>1443</v>
      </c>
      <c r="L448" s="134" t="s">
        <v>1443</v>
      </c>
      <c r="M448" s="134" t="s">
        <v>1443</v>
      </c>
      <c r="N448" s="134" t="s">
        <v>1443</v>
      </c>
      <c r="O448" s="134" t="s">
        <v>1443</v>
      </c>
      <c r="P448" s="134" t="s">
        <v>1443</v>
      </c>
      <c r="Q448" s="134" t="s">
        <v>1443</v>
      </c>
      <c r="R448" s="109"/>
      <c r="S448" s="109"/>
      <c r="T448" s="109"/>
      <c r="U448" s="109"/>
      <c r="V448" s="109"/>
    </row>
    <row r="449" spans="2:22" ht="12.75" hidden="1" customHeight="1" outlineLevel="1" x14ac:dyDescent="0.2">
      <c r="B449" s="5" t="s">
        <v>460</v>
      </c>
      <c r="C449" s="118" t="s">
        <v>1078</v>
      </c>
      <c r="D449" s="46">
        <v>299314</v>
      </c>
      <c r="E449" s="41"/>
      <c r="F449" s="134" t="s">
        <v>1443</v>
      </c>
      <c r="G449" s="134" t="s">
        <v>1443</v>
      </c>
      <c r="H449" s="134" t="s">
        <v>1443</v>
      </c>
      <c r="I449" s="134" t="s">
        <v>1443</v>
      </c>
      <c r="J449" s="134" t="s">
        <v>1443</v>
      </c>
      <c r="K449" s="134" t="s">
        <v>1443</v>
      </c>
      <c r="L449" s="134" t="s">
        <v>1443</v>
      </c>
      <c r="M449" s="134" t="s">
        <v>1443</v>
      </c>
      <c r="N449" s="134" t="s">
        <v>1443</v>
      </c>
      <c r="O449" s="134" t="s">
        <v>1443</v>
      </c>
      <c r="P449" s="134" t="s">
        <v>1443</v>
      </c>
      <c r="Q449" s="134" t="s">
        <v>1443</v>
      </c>
      <c r="R449" s="109"/>
      <c r="S449" s="109"/>
      <c r="T449" s="109"/>
      <c r="U449" s="109"/>
      <c r="V449" s="109"/>
    </row>
    <row r="450" spans="2:22" ht="12.75" hidden="1" customHeight="1" outlineLevel="1" x14ac:dyDescent="0.2">
      <c r="B450" s="5" t="s">
        <v>459</v>
      </c>
      <c r="C450" s="118" t="s">
        <v>1079</v>
      </c>
      <c r="D450" s="46">
        <v>299315</v>
      </c>
      <c r="E450" s="41"/>
      <c r="F450" s="134" t="s">
        <v>1443</v>
      </c>
      <c r="G450" s="134" t="s">
        <v>1443</v>
      </c>
      <c r="H450" s="134" t="s">
        <v>1443</v>
      </c>
      <c r="I450" s="134" t="s">
        <v>1443</v>
      </c>
      <c r="J450" s="134" t="s">
        <v>1443</v>
      </c>
      <c r="K450" s="134" t="s">
        <v>1443</v>
      </c>
      <c r="L450" s="134" t="s">
        <v>1443</v>
      </c>
      <c r="M450" s="134" t="s">
        <v>1443</v>
      </c>
      <c r="N450" s="134" t="s">
        <v>1443</v>
      </c>
      <c r="O450" s="134" t="s">
        <v>1443</v>
      </c>
      <c r="P450" s="134" t="s">
        <v>1443</v>
      </c>
      <c r="Q450" s="134" t="s">
        <v>1443</v>
      </c>
      <c r="R450" s="109"/>
      <c r="S450" s="109"/>
      <c r="T450" s="109"/>
      <c r="U450" s="109"/>
      <c r="V450" s="109"/>
    </row>
    <row r="451" spans="2:22" ht="12.75" hidden="1" customHeight="1" outlineLevel="1" x14ac:dyDescent="0.2">
      <c r="B451" s="5" t="s">
        <v>458</v>
      </c>
      <c r="C451" s="118" t="s">
        <v>1080</v>
      </c>
      <c r="D451" s="46">
        <v>299316</v>
      </c>
      <c r="E451" s="41"/>
      <c r="F451" s="134" t="s">
        <v>1443</v>
      </c>
      <c r="G451" s="134" t="s">
        <v>1443</v>
      </c>
      <c r="H451" s="134" t="s">
        <v>1443</v>
      </c>
      <c r="I451" s="134" t="s">
        <v>1443</v>
      </c>
      <c r="J451" s="134" t="s">
        <v>1443</v>
      </c>
      <c r="K451" s="134" t="s">
        <v>1443</v>
      </c>
      <c r="L451" s="134" t="s">
        <v>1443</v>
      </c>
      <c r="M451" s="134" t="s">
        <v>1443</v>
      </c>
      <c r="N451" s="134" t="s">
        <v>1443</v>
      </c>
      <c r="O451" s="134" t="s">
        <v>1443</v>
      </c>
      <c r="P451" s="134" t="s">
        <v>1443</v>
      </c>
      <c r="Q451" s="134" t="s">
        <v>1443</v>
      </c>
      <c r="R451" s="109"/>
      <c r="S451" s="109"/>
      <c r="T451" s="109"/>
      <c r="U451" s="109"/>
      <c r="V451" s="109"/>
    </row>
    <row r="452" spans="2:22" ht="12.75" hidden="1" customHeight="1" outlineLevel="1" x14ac:dyDescent="0.2">
      <c r="B452" s="5" t="s">
        <v>368</v>
      </c>
      <c r="C452" s="118" t="s">
        <v>1081</v>
      </c>
      <c r="D452" s="46">
        <v>299326</v>
      </c>
      <c r="E452" s="41"/>
      <c r="F452" s="134" t="s">
        <v>1443</v>
      </c>
      <c r="G452" s="134" t="s">
        <v>1443</v>
      </c>
      <c r="H452" s="134" t="s">
        <v>1443</v>
      </c>
      <c r="I452" s="134" t="s">
        <v>1443</v>
      </c>
      <c r="J452" s="134" t="s">
        <v>1443</v>
      </c>
      <c r="K452" s="134" t="s">
        <v>1443</v>
      </c>
      <c r="L452" s="134" t="s">
        <v>1443</v>
      </c>
      <c r="M452" s="134" t="s">
        <v>1443</v>
      </c>
      <c r="N452" s="134" t="s">
        <v>1443</v>
      </c>
      <c r="O452" s="134" t="s">
        <v>1443</v>
      </c>
      <c r="P452" s="134" t="s">
        <v>1443</v>
      </c>
      <c r="Q452" s="134" t="s">
        <v>1443</v>
      </c>
      <c r="R452" s="22"/>
      <c r="S452" s="109"/>
      <c r="T452" s="109"/>
      <c r="U452" s="109"/>
      <c r="V452" s="109"/>
    </row>
    <row r="453" spans="2:22" ht="12.75" hidden="1" customHeight="1" outlineLevel="1" x14ac:dyDescent="0.2">
      <c r="B453" s="5" t="s">
        <v>367</v>
      </c>
      <c r="C453" s="118" t="s">
        <v>1082</v>
      </c>
      <c r="D453" s="46">
        <v>299327</v>
      </c>
      <c r="E453" s="41"/>
      <c r="F453" s="134" t="s">
        <v>1443</v>
      </c>
      <c r="G453" s="134" t="s">
        <v>1443</v>
      </c>
      <c r="H453" s="134" t="s">
        <v>1443</v>
      </c>
      <c r="I453" s="134" t="s">
        <v>1443</v>
      </c>
      <c r="J453" s="134" t="s">
        <v>1443</v>
      </c>
      <c r="K453" s="134" t="s">
        <v>1443</v>
      </c>
      <c r="L453" s="134" t="s">
        <v>1443</v>
      </c>
      <c r="M453" s="134" t="s">
        <v>1443</v>
      </c>
      <c r="N453" s="134" t="s">
        <v>1443</v>
      </c>
      <c r="O453" s="134" t="s">
        <v>1443</v>
      </c>
      <c r="P453" s="134" t="s">
        <v>1443</v>
      </c>
      <c r="Q453" s="134" t="s">
        <v>1443</v>
      </c>
      <c r="R453" s="22"/>
      <c r="S453" s="109"/>
      <c r="T453" s="109"/>
      <c r="U453" s="109"/>
      <c r="V453" s="109"/>
    </row>
    <row r="454" spans="2:22" ht="12.75" hidden="1" customHeight="1" outlineLevel="1" x14ac:dyDescent="0.2">
      <c r="B454" s="5" t="s">
        <v>366</v>
      </c>
      <c r="C454" s="118" t="s">
        <v>1083</v>
      </c>
      <c r="D454" s="46">
        <v>299328</v>
      </c>
      <c r="E454" s="41"/>
      <c r="F454" s="134" t="s">
        <v>1443</v>
      </c>
      <c r="G454" s="134" t="s">
        <v>1443</v>
      </c>
      <c r="H454" s="134" t="s">
        <v>1443</v>
      </c>
      <c r="I454" s="134" t="s">
        <v>1443</v>
      </c>
      <c r="J454" s="134" t="s">
        <v>1443</v>
      </c>
      <c r="K454" s="134" t="s">
        <v>1443</v>
      </c>
      <c r="L454" s="134" t="s">
        <v>1443</v>
      </c>
      <c r="M454" s="134" t="s">
        <v>1443</v>
      </c>
      <c r="N454" s="134" t="s">
        <v>1443</v>
      </c>
      <c r="O454" s="134" t="s">
        <v>1443</v>
      </c>
      <c r="P454" s="134" t="s">
        <v>1443</v>
      </c>
      <c r="Q454" s="134" t="s">
        <v>1443</v>
      </c>
      <c r="R454" s="22"/>
      <c r="S454" s="109"/>
      <c r="T454" s="109"/>
      <c r="U454" s="109"/>
      <c r="V454" s="109"/>
    </row>
    <row r="455" spans="2:22" ht="12.75" hidden="1" customHeight="1" outlineLevel="1" x14ac:dyDescent="0.2">
      <c r="B455" s="5" t="s">
        <v>457</v>
      </c>
      <c r="C455" s="118" t="s">
        <v>1084</v>
      </c>
      <c r="D455" s="46">
        <v>299317</v>
      </c>
      <c r="E455" s="41"/>
      <c r="F455" s="134" t="s">
        <v>1443</v>
      </c>
      <c r="G455" s="134" t="s">
        <v>1443</v>
      </c>
      <c r="H455" s="134" t="s">
        <v>1443</v>
      </c>
      <c r="I455" s="134" t="s">
        <v>1443</v>
      </c>
      <c r="J455" s="134" t="s">
        <v>1443</v>
      </c>
      <c r="K455" s="134" t="s">
        <v>1443</v>
      </c>
      <c r="L455" s="134" t="s">
        <v>1443</v>
      </c>
      <c r="M455" s="134" t="s">
        <v>1443</v>
      </c>
      <c r="N455" s="134" t="s">
        <v>1443</v>
      </c>
      <c r="O455" s="134" t="s">
        <v>1443</v>
      </c>
      <c r="P455" s="134" t="s">
        <v>1443</v>
      </c>
      <c r="Q455" s="134" t="s">
        <v>1443</v>
      </c>
      <c r="R455" s="109"/>
      <c r="S455" s="109"/>
      <c r="T455" s="109"/>
      <c r="U455" s="109"/>
      <c r="V455" s="109"/>
    </row>
    <row r="456" spans="2:22" ht="12.75" hidden="1" customHeight="1" outlineLevel="1" x14ac:dyDescent="0.2">
      <c r="B456" s="8" t="s">
        <v>364</v>
      </c>
      <c r="C456" s="118" t="s">
        <v>192</v>
      </c>
      <c r="D456" s="46" t="s">
        <v>192</v>
      </c>
      <c r="E456" s="41"/>
      <c r="F456" s="134"/>
      <c r="G456" s="134"/>
      <c r="H456" s="134"/>
      <c r="I456" s="134"/>
      <c r="J456" s="134"/>
      <c r="K456" s="134"/>
      <c r="L456" s="134"/>
      <c r="M456" s="134"/>
      <c r="N456" s="134"/>
      <c r="O456" s="134"/>
      <c r="P456" s="134"/>
      <c r="Q456" s="134"/>
    </row>
    <row r="457" spans="2:22" ht="12.75" hidden="1" customHeight="1" outlineLevel="1" x14ac:dyDescent="0.2">
      <c r="B457" s="5" t="s">
        <v>456</v>
      </c>
      <c r="C457" s="118" t="s">
        <v>1085</v>
      </c>
      <c r="D457" s="46">
        <v>299318</v>
      </c>
      <c r="E457" s="41"/>
      <c r="F457" s="134" t="s">
        <v>1443</v>
      </c>
      <c r="G457" s="134" t="s">
        <v>1443</v>
      </c>
      <c r="H457" s="134" t="s">
        <v>1443</v>
      </c>
      <c r="I457" s="134" t="s">
        <v>1443</v>
      </c>
      <c r="J457" s="134" t="s">
        <v>1443</v>
      </c>
      <c r="K457" s="134" t="s">
        <v>1443</v>
      </c>
      <c r="L457" s="134" t="s">
        <v>1443</v>
      </c>
      <c r="M457" s="134" t="s">
        <v>1443</v>
      </c>
      <c r="N457" s="134" t="s">
        <v>1443</v>
      </c>
      <c r="O457" s="134" t="s">
        <v>1443</v>
      </c>
      <c r="P457" s="134" t="s">
        <v>1443</v>
      </c>
      <c r="Q457" s="134" t="s">
        <v>1443</v>
      </c>
      <c r="R457" s="109"/>
      <c r="S457" s="109"/>
      <c r="T457" s="109"/>
      <c r="U457" s="109"/>
      <c r="V457" s="109"/>
    </row>
    <row r="458" spans="2:22" ht="12.75" hidden="1" customHeight="1" outlineLevel="1" x14ac:dyDescent="0.2">
      <c r="B458" s="5" t="s">
        <v>455</v>
      </c>
      <c r="C458" s="118" t="s">
        <v>1086</v>
      </c>
      <c r="D458" s="46">
        <v>299319</v>
      </c>
      <c r="E458" s="41"/>
      <c r="F458" s="134" t="s">
        <v>1443</v>
      </c>
      <c r="G458" s="134" t="s">
        <v>1443</v>
      </c>
      <c r="H458" s="134" t="s">
        <v>1443</v>
      </c>
      <c r="I458" s="134" t="s">
        <v>1443</v>
      </c>
      <c r="J458" s="134" t="s">
        <v>1443</v>
      </c>
      <c r="K458" s="134" t="s">
        <v>1443</v>
      </c>
      <c r="L458" s="134" t="s">
        <v>1443</v>
      </c>
      <c r="M458" s="134" t="s">
        <v>1443</v>
      </c>
      <c r="N458" s="134" t="s">
        <v>1443</v>
      </c>
      <c r="O458" s="134" t="s">
        <v>1443</v>
      </c>
      <c r="P458" s="134" t="s">
        <v>1443</v>
      </c>
      <c r="Q458" s="134" t="s">
        <v>1443</v>
      </c>
      <c r="R458" s="109"/>
      <c r="S458" s="109"/>
      <c r="T458" s="109"/>
      <c r="U458" s="109"/>
      <c r="V458" s="109"/>
    </row>
    <row r="459" spans="2:22" ht="12.75" hidden="1" customHeight="1" outlineLevel="1" x14ac:dyDescent="0.2">
      <c r="B459" s="5" t="s">
        <v>454</v>
      </c>
      <c r="C459" s="118" t="s">
        <v>1087</v>
      </c>
      <c r="D459" s="46">
        <v>299320</v>
      </c>
      <c r="E459" s="41"/>
      <c r="F459" s="134" t="s">
        <v>1443</v>
      </c>
      <c r="G459" s="134">
        <v>18</v>
      </c>
      <c r="H459" s="134" t="s">
        <v>1443</v>
      </c>
      <c r="I459" s="134" t="s">
        <v>1443</v>
      </c>
      <c r="J459" s="134" t="s">
        <v>1443</v>
      </c>
      <c r="K459" s="134">
        <v>-0.2</v>
      </c>
      <c r="L459" s="134" t="s">
        <v>1443</v>
      </c>
      <c r="M459" s="134" t="s">
        <v>1443</v>
      </c>
      <c r="N459" s="134" t="s">
        <v>1443</v>
      </c>
      <c r="O459" s="134">
        <v>9.1</v>
      </c>
      <c r="P459" s="134" t="s">
        <v>1443</v>
      </c>
      <c r="Q459" s="134" t="s">
        <v>1443</v>
      </c>
      <c r="R459" s="109"/>
      <c r="S459" s="109"/>
      <c r="T459" s="109"/>
      <c r="U459" s="109"/>
      <c r="V459" s="109"/>
    </row>
    <row r="460" spans="2:22" ht="12.75" hidden="1" customHeight="1" outlineLevel="1" x14ac:dyDescent="0.2">
      <c r="B460" s="8" t="s">
        <v>438</v>
      </c>
      <c r="C460" s="118" t="s">
        <v>192</v>
      </c>
      <c r="D460" s="46" t="s">
        <v>192</v>
      </c>
      <c r="E460" s="41"/>
      <c r="F460" s="134"/>
      <c r="G460" s="134"/>
      <c r="H460" s="134"/>
      <c r="I460" s="134"/>
      <c r="J460" s="134"/>
      <c r="K460" s="134"/>
      <c r="L460" s="134"/>
      <c r="M460" s="134"/>
      <c r="N460" s="134"/>
      <c r="O460" s="134"/>
      <c r="P460" s="134"/>
      <c r="Q460" s="134"/>
    </row>
    <row r="461" spans="2:22" ht="12.75" hidden="1" customHeight="1" outlineLevel="1" x14ac:dyDescent="0.2">
      <c r="B461" s="5" t="s">
        <v>500</v>
      </c>
      <c r="C461" s="118" t="s">
        <v>500</v>
      </c>
      <c r="D461" s="46">
        <v>299329</v>
      </c>
      <c r="E461" s="41"/>
      <c r="F461" s="134" t="s">
        <v>1443</v>
      </c>
      <c r="G461" s="134" t="s">
        <v>1443</v>
      </c>
      <c r="H461" s="134" t="s">
        <v>1443</v>
      </c>
      <c r="I461" s="134" t="s">
        <v>1443</v>
      </c>
      <c r="J461" s="134" t="s">
        <v>1443</v>
      </c>
      <c r="K461" s="134" t="s">
        <v>1443</v>
      </c>
      <c r="L461" s="134" t="s">
        <v>1443</v>
      </c>
      <c r="M461" s="134" t="s">
        <v>1443</v>
      </c>
      <c r="N461" s="134" t="s">
        <v>1443</v>
      </c>
      <c r="O461" s="134" t="s">
        <v>1443</v>
      </c>
      <c r="P461" s="134" t="s">
        <v>1443</v>
      </c>
      <c r="Q461" s="134" t="s">
        <v>1443</v>
      </c>
      <c r="R461" s="109"/>
      <c r="S461" s="109"/>
      <c r="T461" s="109"/>
      <c r="U461" s="109"/>
      <c r="V461" s="109"/>
    </row>
    <row r="462" spans="2:22" ht="12.75" hidden="1" customHeight="1" outlineLevel="1" x14ac:dyDescent="0.2">
      <c r="B462" s="5" t="s">
        <v>499</v>
      </c>
      <c r="C462" s="118" t="s">
        <v>1088</v>
      </c>
      <c r="D462" s="46">
        <v>299330</v>
      </c>
      <c r="E462" s="41"/>
      <c r="F462" s="134" t="s">
        <v>1443</v>
      </c>
      <c r="G462" s="134" t="s">
        <v>1443</v>
      </c>
      <c r="H462" s="134" t="s">
        <v>1443</v>
      </c>
      <c r="I462" s="134" t="s">
        <v>1443</v>
      </c>
      <c r="J462" s="134" t="s">
        <v>1443</v>
      </c>
      <c r="K462" s="134" t="s">
        <v>1443</v>
      </c>
      <c r="L462" s="134" t="s">
        <v>1443</v>
      </c>
      <c r="M462" s="134" t="s">
        <v>1443</v>
      </c>
      <c r="N462" s="134" t="s">
        <v>1443</v>
      </c>
      <c r="O462" s="134" t="s">
        <v>1443</v>
      </c>
      <c r="P462" s="134" t="s">
        <v>1443</v>
      </c>
      <c r="Q462" s="134" t="s">
        <v>1443</v>
      </c>
      <c r="R462" s="109"/>
      <c r="S462" s="109"/>
      <c r="T462" s="109"/>
      <c r="U462" s="109"/>
      <c r="V462" s="109"/>
    </row>
    <row r="463" spans="2:22" ht="12.75" hidden="1" customHeight="1" outlineLevel="1" x14ac:dyDescent="0.2">
      <c r="B463" s="5" t="s">
        <v>498</v>
      </c>
      <c r="C463" s="118" t="s">
        <v>1089</v>
      </c>
      <c r="D463" s="46">
        <v>299331</v>
      </c>
      <c r="E463" s="41"/>
      <c r="F463" s="134" t="s">
        <v>1443</v>
      </c>
      <c r="G463" s="134" t="s">
        <v>1443</v>
      </c>
      <c r="H463" s="134">
        <v>1.7</v>
      </c>
      <c r="I463" s="134" t="s">
        <v>1443</v>
      </c>
      <c r="J463" s="134" t="s">
        <v>1443</v>
      </c>
      <c r="K463" s="134" t="s">
        <v>1443</v>
      </c>
      <c r="L463" s="134">
        <v>0.6</v>
      </c>
      <c r="M463" s="134" t="s">
        <v>1443</v>
      </c>
      <c r="N463" s="134" t="s">
        <v>1443</v>
      </c>
      <c r="O463" s="134" t="s">
        <v>1443</v>
      </c>
      <c r="P463" s="134">
        <v>0.5</v>
      </c>
      <c r="Q463" s="134" t="s">
        <v>1443</v>
      </c>
      <c r="R463" s="109"/>
      <c r="S463" s="109"/>
      <c r="T463" s="109"/>
      <c r="U463" s="109"/>
      <c r="V463" s="109"/>
    </row>
    <row r="464" spans="2:22" ht="12.75" hidden="1" customHeight="1" outlineLevel="1" x14ac:dyDescent="0.2">
      <c r="B464" s="5" t="s">
        <v>497</v>
      </c>
      <c r="C464" s="118" t="s">
        <v>1091</v>
      </c>
      <c r="D464" s="46">
        <v>299332</v>
      </c>
      <c r="E464" s="41"/>
      <c r="F464" s="134" t="s">
        <v>1443</v>
      </c>
      <c r="G464" s="134" t="s">
        <v>1443</v>
      </c>
      <c r="H464" s="134" t="s">
        <v>1443</v>
      </c>
      <c r="I464" s="134" t="s">
        <v>1443</v>
      </c>
      <c r="J464" s="134" t="s">
        <v>1443</v>
      </c>
      <c r="K464" s="134" t="s">
        <v>1443</v>
      </c>
      <c r="L464" s="134" t="s">
        <v>1443</v>
      </c>
      <c r="M464" s="134" t="s">
        <v>1443</v>
      </c>
      <c r="N464" s="134" t="s">
        <v>1443</v>
      </c>
      <c r="O464" s="134" t="s">
        <v>1443</v>
      </c>
      <c r="P464" s="134" t="s">
        <v>1443</v>
      </c>
      <c r="Q464" s="134" t="s">
        <v>1443</v>
      </c>
      <c r="R464" s="109"/>
      <c r="S464" s="109"/>
      <c r="T464" s="109"/>
      <c r="U464" s="109"/>
      <c r="V464" s="109"/>
    </row>
    <row r="465" spans="2:22" ht="12.75" hidden="1" customHeight="1" outlineLevel="1" x14ac:dyDescent="0.2">
      <c r="B465" s="5" t="s">
        <v>496</v>
      </c>
      <c r="C465" s="118" t="s">
        <v>1090</v>
      </c>
      <c r="D465" s="46">
        <v>299333</v>
      </c>
      <c r="E465" s="41"/>
      <c r="F465" s="134" t="s">
        <v>1443</v>
      </c>
      <c r="G465" s="134" t="s">
        <v>1443</v>
      </c>
      <c r="H465" s="134" t="s">
        <v>1443</v>
      </c>
      <c r="I465" s="134" t="s">
        <v>1443</v>
      </c>
      <c r="J465" s="134" t="s">
        <v>1443</v>
      </c>
      <c r="K465" s="134" t="s">
        <v>1443</v>
      </c>
      <c r="L465" s="134" t="s">
        <v>1443</v>
      </c>
      <c r="M465" s="134" t="s">
        <v>1443</v>
      </c>
      <c r="N465" s="134" t="s">
        <v>1443</v>
      </c>
      <c r="O465" s="134" t="s">
        <v>1443</v>
      </c>
      <c r="P465" s="134" t="s">
        <v>1443</v>
      </c>
      <c r="Q465" s="134" t="s">
        <v>1443</v>
      </c>
      <c r="R465" s="109"/>
      <c r="S465" s="109"/>
      <c r="T465" s="109"/>
      <c r="U465" s="109"/>
      <c r="V465" s="109"/>
    </row>
    <row r="466" spans="2:22" ht="12.75" hidden="1" customHeight="1" outlineLevel="1" x14ac:dyDescent="0.2">
      <c r="C466" s="118" t="s">
        <v>192</v>
      </c>
      <c r="D466" s="46" t="s">
        <v>192</v>
      </c>
      <c r="E466" s="41"/>
      <c r="F466" s="134"/>
      <c r="G466" s="134"/>
      <c r="H466" s="134"/>
      <c r="I466" s="134"/>
      <c r="J466" s="134"/>
      <c r="K466" s="134"/>
      <c r="L466" s="134"/>
      <c r="M466" s="134"/>
      <c r="N466" s="134"/>
      <c r="O466" s="134"/>
      <c r="P466" s="134"/>
      <c r="Q466" s="134"/>
    </row>
    <row r="467" spans="2:22" ht="12.75" hidden="1" customHeight="1" outlineLevel="1" x14ac:dyDescent="0.2">
      <c r="B467" s="8" t="s">
        <v>495</v>
      </c>
      <c r="C467" s="118" t="s">
        <v>192</v>
      </c>
      <c r="D467" s="46" t="s">
        <v>192</v>
      </c>
      <c r="E467" s="41"/>
      <c r="F467" s="134"/>
      <c r="G467" s="134"/>
      <c r="H467" s="134"/>
      <c r="I467" s="134"/>
      <c r="J467" s="134"/>
      <c r="K467" s="134"/>
      <c r="L467" s="134"/>
      <c r="M467" s="134"/>
      <c r="N467" s="134"/>
      <c r="O467" s="134"/>
      <c r="P467" s="134"/>
      <c r="Q467" s="134"/>
    </row>
    <row r="468" spans="2:22" ht="12.75" hidden="1" customHeight="1" outlineLevel="1" x14ac:dyDescent="0.2">
      <c r="B468" s="8" t="s">
        <v>432</v>
      </c>
      <c r="C468" s="118" t="s">
        <v>192</v>
      </c>
      <c r="D468" s="46" t="s">
        <v>192</v>
      </c>
      <c r="E468" s="41"/>
      <c r="F468" s="134"/>
      <c r="G468" s="134"/>
      <c r="H468" s="134"/>
      <c r="I468" s="134"/>
      <c r="J468" s="134"/>
      <c r="K468" s="134"/>
      <c r="L468" s="134"/>
      <c r="M468" s="134"/>
      <c r="N468" s="134"/>
      <c r="O468" s="134"/>
      <c r="P468" s="134"/>
      <c r="Q468" s="134"/>
    </row>
    <row r="469" spans="2:22" ht="12.75" hidden="1" customHeight="1" outlineLevel="1" x14ac:dyDescent="0.2">
      <c r="B469" s="5" t="s">
        <v>494</v>
      </c>
      <c r="C469" s="118" t="s">
        <v>1092</v>
      </c>
      <c r="D469" s="46">
        <v>299490</v>
      </c>
      <c r="E469" s="41"/>
      <c r="F469" s="134" t="s">
        <v>1443</v>
      </c>
      <c r="G469" s="134" t="s">
        <v>1443</v>
      </c>
      <c r="H469" s="134" t="s">
        <v>1443</v>
      </c>
      <c r="I469" s="134" t="s">
        <v>1443</v>
      </c>
      <c r="J469" s="134" t="s">
        <v>1443</v>
      </c>
      <c r="K469" s="134" t="s">
        <v>1443</v>
      </c>
      <c r="L469" s="134" t="s">
        <v>1443</v>
      </c>
      <c r="M469" s="134" t="s">
        <v>1443</v>
      </c>
      <c r="N469" s="134" t="s">
        <v>1443</v>
      </c>
      <c r="O469" s="134" t="s">
        <v>1443</v>
      </c>
      <c r="P469" s="134" t="s">
        <v>1443</v>
      </c>
      <c r="Q469" s="134" t="s">
        <v>1443</v>
      </c>
      <c r="R469" s="109"/>
      <c r="S469" s="109"/>
      <c r="T469" s="109"/>
      <c r="U469" s="109"/>
      <c r="V469" s="109"/>
    </row>
    <row r="470" spans="2:22" ht="12.75" hidden="1" customHeight="1" outlineLevel="1" x14ac:dyDescent="0.2">
      <c r="B470" s="5" t="s">
        <v>489</v>
      </c>
      <c r="C470" s="118" t="s">
        <v>1093</v>
      </c>
      <c r="D470" s="46">
        <v>299491</v>
      </c>
      <c r="E470" s="41"/>
      <c r="F470" s="134">
        <v>0.1</v>
      </c>
      <c r="G470" s="134" t="s">
        <v>1443</v>
      </c>
      <c r="H470" s="134">
        <v>0.1</v>
      </c>
      <c r="I470" s="134">
        <v>0.1</v>
      </c>
      <c r="J470" s="134" t="s">
        <v>1443</v>
      </c>
      <c r="K470" s="134" t="s">
        <v>1443</v>
      </c>
      <c r="L470" s="134">
        <v>0.1</v>
      </c>
      <c r="M470" s="134">
        <v>0.2</v>
      </c>
      <c r="N470" s="134">
        <v>0.1</v>
      </c>
      <c r="O470" s="134" t="s">
        <v>1443</v>
      </c>
      <c r="P470" s="134">
        <v>0.1</v>
      </c>
      <c r="Q470" s="134">
        <v>0.1</v>
      </c>
      <c r="R470" s="109"/>
      <c r="S470" s="109"/>
      <c r="T470" s="109"/>
      <c r="U470" s="109"/>
      <c r="V470" s="109"/>
    </row>
    <row r="471" spans="2:22" ht="12.75" hidden="1" customHeight="1" outlineLevel="1" x14ac:dyDescent="0.2">
      <c r="B471" s="5" t="s">
        <v>493</v>
      </c>
      <c r="C471" s="118" t="s">
        <v>1094</v>
      </c>
      <c r="D471" s="46">
        <v>299492</v>
      </c>
      <c r="E471" s="41"/>
      <c r="F471" s="134" t="s">
        <v>1443</v>
      </c>
      <c r="G471" s="134" t="s">
        <v>1443</v>
      </c>
      <c r="H471" s="134" t="s">
        <v>1443</v>
      </c>
      <c r="I471" s="134" t="s">
        <v>1443</v>
      </c>
      <c r="J471" s="134" t="s">
        <v>1443</v>
      </c>
      <c r="K471" s="134" t="s">
        <v>1443</v>
      </c>
      <c r="L471" s="134" t="s">
        <v>1443</v>
      </c>
      <c r="M471" s="134" t="s">
        <v>1443</v>
      </c>
      <c r="N471" s="134" t="s">
        <v>1443</v>
      </c>
      <c r="O471" s="134" t="s">
        <v>1443</v>
      </c>
      <c r="P471" s="134" t="s">
        <v>1443</v>
      </c>
      <c r="Q471" s="134" t="s">
        <v>1443</v>
      </c>
      <c r="R471" s="109"/>
      <c r="S471" s="109"/>
      <c r="T471" s="109"/>
      <c r="U471" s="109"/>
      <c r="V471" s="109"/>
    </row>
    <row r="472" spans="2:22" ht="12.75" hidden="1" customHeight="1" outlineLevel="1" x14ac:dyDescent="0.2">
      <c r="B472" s="5" t="s">
        <v>492</v>
      </c>
      <c r="C472" s="118" t="s">
        <v>1095</v>
      </c>
      <c r="D472" s="46">
        <v>299494</v>
      </c>
      <c r="E472" s="41"/>
      <c r="F472" s="134">
        <v>-0.3</v>
      </c>
      <c r="G472" s="134" t="s">
        <v>1443</v>
      </c>
      <c r="H472" s="134">
        <v>-0.2</v>
      </c>
      <c r="I472" s="134">
        <v>-0.2</v>
      </c>
      <c r="J472" s="134">
        <v>-0.2</v>
      </c>
      <c r="K472" s="134" t="s">
        <v>1443</v>
      </c>
      <c r="L472" s="134">
        <v>-0.2</v>
      </c>
      <c r="M472" s="134">
        <v>-0.2</v>
      </c>
      <c r="N472" s="134">
        <v>-0.3</v>
      </c>
      <c r="O472" s="134" t="s">
        <v>1443</v>
      </c>
      <c r="P472" s="134">
        <v>-0.2</v>
      </c>
      <c r="Q472" s="134">
        <v>-0.2</v>
      </c>
      <c r="R472" s="109"/>
      <c r="S472" s="109"/>
      <c r="T472" s="109"/>
      <c r="U472" s="109"/>
      <c r="V472" s="109"/>
    </row>
    <row r="473" spans="2:22" ht="12.75" hidden="1" customHeight="1" outlineLevel="1" x14ac:dyDescent="0.2">
      <c r="B473" s="5" t="s">
        <v>429</v>
      </c>
      <c r="C473" s="118" t="s">
        <v>1096</v>
      </c>
      <c r="D473" s="46">
        <v>299495</v>
      </c>
      <c r="E473" s="41"/>
      <c r="F473" s="134">
        <v>-0.2</v>
      </c>
      <c r="G473" s="134" t="s">
        <v>1443</v>
      </c>
      <c r="H473" s="134">
        <v>-0.1</v>
      </c>
      <c r="I473" s="134">
        <v>-0.1</v>
      </c>
      <c r="J473" s="134">
        <v>-0.2</v>
      </c>
      <c r="K473" s="134" t="s">
        <v>1443</v>
      </c>
      <c r="L473" s="134">
        <v>-0.1</v>
      </c>
      <c r="M473" s="134" t="s">
        <v>1443</v>
      </c>
      <c r="N473" s="134">
        <v>-0.2</v>
      </c>
      <c r="O473" s="134" t="s">
        <v>1443</v>
      </c>
      <c r="P473" s="134">
        <v>-0.1</v>
      </c>
      <c r="Q473" s="134">
        <v>-0.1</v>
      </c>
      <c r="R473" s="109"/>
      <c r="S473" s="109"/>
      <c r="T473" s="109"/>
      <c r="U473" s="109"/>
      <c r="V473" s="109"/>
    </row>
    <row r="474" spans="2:22" ht="12.75" hidden="1" customHeight="1" outlineLevel="1" x14ac:dyDescent="0.2">
      <c r="B474" s="5" t="s">
        <v>428</v>
      </c>
      <c r="C474" s="118" t="s">
        <v>1097</v>
      </c>
      <c r="D474" s="46">
        <v>299496</v>
      </c>
      <c r="E474" s="41"/>
      <c r="F474" s="134" t="s">
        <v>1443</v>
      </c>
      <c r="G474" s="134" t="s">
        <v>1443</v>
      </c>
      <c r="H474" s="134" t="s">
        <v>1443</v>
      </c>
      <c r="I474" s="134" t="s">
        <v>1443</v>
      </c>
      <c r="J474" s="134" t="s">
        <v>1443</v>
      </c>
      <c r="K474" s="134" t="s">
        <v>1443</v>
      </c>
      <c r="L474" s="134" t="s">
        <v>1443</v>
      </c>
      <c r="M474" s="134" t="s">
        <v>1443</v>
      </c>
      <c r="N474" s="134" t="s">
        <v>1443</v>
      </c>
      <c r="O474" s="134" t="s">
        <v>1443</v>
      </c>
      <c r="P474" s="134" t="s">
        <v>1443</v>
      </c>
      <c r="Q474" s="134" t="s">
        <v>1443</v>
      </c>
      <c r="R474" s="109"/>
      <c r="S474" s="109"/>
      <c r="T474" s="109"/>
      <c r="U474" s="109"/>
      <c r="V474" s="109"/>
    </row>
    <row r="475" spans="2:22" ht="12.75" hidden="1" customHeight="1" outlineLevel="1" x14ac:dyDescent="0.2">
      <c r="B475" s="5" t="s">
        <v>491</v>
      </c>
      <c r="C475" s="118" t="s">
        <v>491</v>
      </c>
      <c r="D475" s="46">
        <v>299497</v>
      </c>
      <c r="E475" s="41"/>
      <c r="F475" s="134">
        <v>-0.2</v>
      </c>
      <c r="G475" s="134" t="s">
        <v>1443</v>
      </c>
      <c r="H475" s="134">
        <v>-0.1</v>
      </c>
      <c r="I475" s="134">
        <v>-0.1</v>
      </c>
      <c r="J475" s="134">
        <v>-0.2</v>
      </c>
      <c r="K475" s="134" t="s">
        <v>1443</v>
      </c>
      <c r="L475" s="134">
        <v>-0.1</v>
      </c>
      <c r="M475" s="134" t="s">
        <v>1443</v>
      </c>
      <c r="N475" s="134">
        <v>-0.2</v>
      </c>
      <c r="O475" s="134" t="s">
        <v>1443</v>
      </c>
      <c r="P475" s="134">
        <v>-0.1</v>
      </c>
      <c r="Q475" s="134">
        <v>-0.1</v>
      </c>
      <c r="R475" s="109"/>
      <c r="S475" s="109"/>
      <c r="T475" s="109"/>
      <c r="U475" s="109"/>
      <c r="V475" s="109"/>
    </row>
    <row r="476" spans="2:22" ht="12.75" hidden="1" customHeight="1" outlineLevel="1" x14ac:dyDescent="0.2">
      <c r="B476" s="8" t="s">
        <v>426</v>
      </c>
      <c r="C476" s="118" t="s">
        <v>192</v>
      </c>
      <c r="D476" s="46" t="s">
        <v>192</v>
      </c>
      <c r="E476" s="41"/>
      <c r="F476" s="134"/>
      <c r="G476" s="134"/>
      <c r="H476" s="134"/>
      <c r="I476" s="134"/>
      <c r="J476" s="134"/>
      <c r="K476" s="134"/>
      <c r="L476" s="134"/>
      <c r="M476" s="134"/>
      <c r="N476" s="134"/>
      <c r="O476" s="134"/>
      <c r="P476" s="134"/>
      <c r="Q476" s="134"/>
    </row>
    <row r="477" spans="2:22" ht="12.75" hidden="1" customHeight="1" outlineLevel="1" x14ac:dyDescent="0.2">
      <c r="B477" s="5" t="s">
        <v>490</v>
      </c>
      <c r="C477" s="118" t="s">
        <v>1098</v>
      </c>
      <c r="D477" s="46">
        <v>299508</v>
      </c>
      <c r="E477" s="41"/>
      <c r="F477" s="134" t="s">
        <v>1443</v>
      </c>
      <c r="G477" s="134">
        <v>15.3</v>
      </c>
      <c r="H477" s="134" t="s">
        <v>1443</v>
      </c>
      <c r="I477" s="134" t="s">
        <v>1443</v>
      </c>
      <c r="J477" s="134" t="s">
        <v>1443</v>
      </c>
      <c r="K477" s="134">
        <v>13.700000000000001</v>
      </c>
      <c r="L477" s="134" t="s">
        <v>1443</v>
      </c>
      <c r="M477" s="134" t="s">
        <v>1443</v>
      </c>
      <c r="N477" s="134" t="s">
        <v>1443</v>
      </c>
      <c r="O477" s="134">
        <v>11.200000000000001</v>
      </c>
      <c r="P477" s="134" t="s">
        <v>1443</v>
      </c>
      <c r="Q477" s="134" t="s">
        <v>1443</v>
      </c>
      <c r="R477" s="109"/>
      <c r="S477" s="109"/>
      <c r="T477" s="109"/>
      <c r="U477" s="109"/>
      <c r="V477" s="109"/>
    </row>
    <row r="478" spans="2:22" ht="12.75" hidden="1" customHeight="1" outlineLevel="1" x14ac:dyDescent="0.2">
      <c r="B478" s="5" t="s">
        <v>424</v>
      </c>
      <c r="C478" s="118" t="s">
        <v>1092</v>
      </c>
      <c r="D478" s="46">
        <v>299509</v>
      </c>
      <c r="E478" s="41"/>
      <c r="F478" s="134" t="s">
        <v>1443</v>
      </c>
      <c r="G478" s="134" t="s">
        <v>1443</v>
      </c>
      <c r="H478" s="134" t="s">
        <v>1443</v>
      </c>
      <c r="I478" s="134" t="s">
        <v>1443</v>
      </c>
      <c r="J478" s="134" t="s">
        <v>1443</v>
      </c>
      <c r="K478" s="134" t="s">
        <v>1443</v>
      </c>
      <c r="L478" s="134" t="s">
        <v>1443</v>
      </c>
      <c r="M478" s="134" t="s">
        <v>1443</v>
      </c>
      <c r="N478" s="134" t="s">
        <v>1443</v>
      </c>
      <c r="O478" s="134" t="s">
        <v>1443</v>
      </c>
      <c r="P478" s="134" t="s">
        <v>1443</v>
      </c>
      <c r="Q478" s="134" t="s">
        <v>1443</v>
      </c>
      <c r="R478" s="109"/>
      <c r="S478" s="109"/>
      <c r="T478" s="109"/>
      <c r="U478" s="109"/>
      <c r="V478" s="109"/>
    </row>
    <row r="479" spans="2:22" ht="12.75" hidden="1" customHeight="1" outlineLevel="1" x14ac:dyDescent="0.2">
      <c r="B479" s="5" t="s">
        <v>489</v>
      </c>
      <c r="C479" s="118" t="s">
        <v>1093</v>
      </c>
      <c r="D479" s="46">
        <v>299510</v>
      </c>
      <c r="E479" s="41"/>
      <c r="F479" s="134" t="s">
        <v>1443</v>
      </c>
      <c r="G479" s="134">
        <v>0.3</v>
      </c>
      <c r="H479" s="134" t="s">
        <v>1443</v>
      </c>
      <c r="I479" s="134" t="s">
        <v>1443</v>
      </c>
      <c r="J479" s="134" t="s">
        <v>1443</v>
      </c>
      <c r="K479" s="134">
        <v>0.3</v>
      </c>
      <c r="L479" s="134" t="s">
        <v>1443</v>
      </c>
      <c r="M479" s="134" t="s">
        <v>1443</v>
      </c>
      <c r="N479" s="134" t="s">
        <v>1443</v>
      </c>
      <c r="O479" s="134">
        <v>0.5</v>
      </c>
      <c r="P479" s="134" t="s">
        <v>1443</v>
      </c>
      <c r="Q479" s="134" t="s">
        <v>1443</v>
      </c>
      <c r="R479" s="109"/>
      <c r="S479" s="109"/>
      <c r="T479" s="109"/>
      <c r="U479" s="109"/>
      <c r="V479" s="109"/>
    </row>
    <row r="480" spans="2:22" ht="12.75" hidden="1" customHeight="1" outlineLevel="1" x14ac:dyDescent="0.2">
      <c r="B480" s="5" t="s">
        <v>488</v>
      </c>
      <c r="C480" s="118" t="s">
        <v>1099</v>
      </c>
      <c r="D480" s="46">
        <v>299511</v>
      </c>
      <c r="E480" s="41"/>
      <c r="F480" s="134" t="s">
        <v>1443</v>
      </c>
      <c r="G480" s="134">
        <v>0.4</v>
      </c>
      <c r="H480" s="134" t="s">
        <v>1443</v>
      </c>
      <c r="I480" s="134" t="s">
        <v>1443</v>
      </c>
      <c r="J480" s="134" t="s">
        <v>1443</v>
      </c>
      <c r="K480" s="134">
        <v>0.3</v>
      </c>
      <c r="L480" s="134" t="s">
        <v>1443</v>
      </c>
      <c r="M480" s="134" t="s">
        <v>1443</v>
      </c>
      <c r="N480" s="134" t="s">
        <v>1443</v>
      </c>
      <c r="O480" s="134">
        <v>0.3</v>
      </c>
      <c r="P480" s="134" t="s">
        <v>1443</v>
      </c>
      <c r="Q480" s="134" t="s">
        <v>1443</v>
      </c>
      <c r="R480" s="109"/>
      <c r="S480" s="109"/>
      <c r="T480" s="109"/>
      <c r="U480" s="109"/>
      <c r="V480" s="109"/>
    </row>
    <row r="481" spans="2:22" ht="12.75" hidden="1" customHeight="1" outlineLevel="1" x14ac:dyDescent="0.2">
      <c r="B481" s="5" t="s">
        <v>487</v>
      </c>
      <c r="C481" s="118" t="s">
        <v>1100</v>
      </c>
      <c r="D481" s="46">
        <v>299512</v>
      </c>
      <c r="E481" s="41"/>
      <c r="F481" s="134" t="s">
        <v>1443</v>
      </c>
      <c r="G481" s="134">
        <v>-0.6</v>
      </c>
      <c r="H481" s="134" t="s">
        <v>1443</v>
      </c>
      <c r="I481" s="134" t="s">
        <v>1443</v>
      </c>
      <c r="J481" s="134" t="s">
        <v>1443</v>
      </c>
      <c r="K481" s="134">
        <v>-1.7</v>
      </c>
      <c r="L481" s="134" t="s">
        <v>1443</v>
      </c>
      <c r="M481" s="134" t="s">
        <v>1443</v>
      </c>
      <c r="N481" s="134" t="s">
        <v>1443</v>
      </c>
      <c r="O481" s="134">
        <v>-1.4000000000000001</v>
      </c>
      <c r="P481" s="134" t="s">
        <v>1443</v>
      </c>
      <c r="Q481" s="134" t="s">
        <v>1443</v>
      </c>
      <c r="R481" s="109"/>
      <c r="S481" s="109"/>
      <c r="T481" s="109"/>
      <c r="U481" s="109"/>
      <c r="V481" s="109"/>
    </row>
    <row r="482" spans="2:22" ht="12.75" hidden="1" customHeight="1" outlineLevel="1" x14ac:dyDescent="0.2">
      <c r="B482" s="5" t="s">
        <v>420</v>
      </c>
      <c r="C482" s="118" t="s">
        <v>1101</v>
      </c>
      <c r="D482" s="46">
        <v>299513</v>
      </c>
      <c r="E482" s="41"/>
      <c r="F482" s="134" t="s">
        <v>1443</v>
      </c>
      <c r="G482" s="134">
        <v>-1.7</v>
      </c>
      <c r="H482" s="134" t="s">
        <v>1443</v>
      </c>
      <c r="I482" s="134" t="s">
        <v>1443</v>
      </c>
      <c r="J482" s="134" t="s">
        <v>1443</v>
      </c>
      <c r="K482" s="134">
        <v>-1.4000000000000001</v>
      </c>
      <c r="L482" s="134" t="s">
        <v>1443</v>
      </c>
      <c r="M482" s="134" t="s">
        <v>1443</v>
      </c>
      <c r="N482" s="134" t="s">
        <v>1443</v>
      </c>
      <c r="O482" s="134">
        <v>-1.4000000000000001</v>
      </c>
      <c r="P482" s="134" t="s">
        <v>1443</v>
      </c>
      <c r="Q482" s="134" t="s">
        <v>1443</v>
      </c>
      <c r="R482" s="109"/>
      <c r="S482" s="109"/>
      <c r="T482" s="109"/>
      <c r="U482" s="109"/>
      <c r="V482" s="109"/>
    </row>
    <row r="483" spans="2:22" ht="12.75" hidden="1" customHeight="1" outlineLevel="1" x14ac:dyDescent="0.2">
      <c r="B483" s="5" t="s">
        <v>486</v>
      </c>
      <c r="C483" s="118" t="s">
        <v>1102</v>
      </c>
      <c r="D483" s="46">
        <v>299514</v>
      </c>
      <c r="E483" s="41"/>
      <c r="F483" s="134" t="s">
        <v>1443</v>
      </c>
      <c r="G483" s="134" t="s">
        <v>1443</v>
      </c>
      <c r="H483" s="134" t="s">
        <v>1443</v>
      </c>
      <c r="I483" s="134" t="s">
        <v>1443</v>
      </c>
      <c r="J483" s="134" t="s">
        <v>1443</v>
      </c>
      <c r="K483" s="134" t="s">
        <v>1443</v>
      </c>
      <c r="L483" s="134" t="s">
        <v>1443</v>
      </c>
      <c r="M483" s="134" t="s">
        <v>1443</v>
      </c>
      <c r="N483" s="134" t="s">
        <v>1443</v>
      </c>
      <c r="O483" s="134" t="s">
        <v>1443</v>
      </c>
      <c r="P483" s="134" t="s">
        <v>1443</v>
      </c>
      <c r="Q483" s="134" t="s">
        <v>1443</v>
      </c>
      <c r="R483" s="109"/>
      <c r="S483" s="109"/>
      <c r="T483" s="109"/>
      <c r="U483" s="109"/>
      <c r="V483" s="109"/>
    </row>
    <row r="484" spans="2:22" ht="12.75" hidden="1" customHeight="1" outlineLevel="1" x14ac:dyDescent="0.2">
      <c r="B484" s="5" t="s">
        <v>485</v>
      </c>
      <c r="C484" s="118" t="s">
        <v>1103</v>
      </c>
      <c r="D484" s="46">
        <v>299515</v>
      </c>
      <c r="E484" s="41"/>
      <c r="F484" s="134" t="s">
        <v>1443</v>
      </c>
      <c r="G484" s="134" t="s">
        <v>1443</v>
      </c>
      <c r="H484" s="134" t="s">
        <v>1443</v>
      </c>
      <c r="I484" s="134" t="s">
        <v>1443</v>
      </c>
      <c r="J484" s="134" t="s">
        <v>1443</v>
      </c>
      <c r="K484" s="134" t="s">
        <v>1443</v>
      </c>
      <c r="L484" s="134" t="s">
        <v>1443</v>
      </c>
      <c r="M484" s="134" t="s">
        <v>1443</v>
      </c>
      <c r="N484" s="134" t="s">
        <v>1443</v>
      </c>
      <c r="O484" s="134" t="s">
        <v>1443</v>
      </c>
      <c r="P484" s="134" t="s">
        <v>1443</v>
      </c>
      <c r="Q484" s="134" t="s">
        <v>1443</v>
      </c>
      <c r="R484" s="109"/>
      <c r="S484" s="109"/>
      <c r="T484" s="109"/>
      <c r="U484" s="109"/>
      <c r="V484" s="109"/>
    </row>
    <row r="485" spans="2:22" ht="12.75" hidden="1" customHeight="1" outlineLevel="1" x14ac:dyDescent="0.2">
      <c r="B485" s="5" t="s">
        <v>484</v>
      </c>
      <c r="C485" s="118" t="s">
        <v>1104</v>
      </c>
      <c r="D485" s="46">
        <v>299516</v>
      </c>
      <c r="E485" s="41"/>
      <c r="F485" s="134" t="s">
        <v>1443</v>
      </c>
      <c r="G485" s="134" t="s">
        <v>1443</v>
      </c>
      <c r="H485" s="134" t="s">
        <v>1443</v>
      </c>
      <c r="I485" s="134" t="s">
        <v>1443</v>
      </c>
      <c r="J485" s="134" t="s">
        <v>1443</v>
      </c>
      <c r="K485" s="134" t="s">
        <v>1443</v>
      </c>
      <c r="L485" s="134" t="s">
        <v>1443</v>
      </c>
      <c r="M485" s="134" t="s">
        <v>1443</v>
      </c>
      <c r="N485" s="134" t="s">
        <v>1443</v>
      </c>
      <c r="O485" s="134" t="s">
        <v>1443</v>
      </c>
      <c r="P485" s="134" t="s">
        <v>1443</v>
      </c>
      <c r="Q485" s="134" t="s">
        <v>1443</v>
      </c>
      <c r="R485" s="109"/>
      <c r="S485" s="109"/>
      <c r="T485" s="109"/>
      <c r="U485" s="109"/>
      <c r="V485" s="109"/>
    </row>
    <row r="486" spans="2:22" ht="12.75" hidden="1" customHeight="1" outlineLevel="1" x14ac:dyDescent="0.2">
      <c r="B486" s="5" t="s">
        <v>483</v>
      </c>
      <c r="C486" s="118" t="s">
        <v>1105</v>
      </c>
      <c r="D486" s="46">
        <v>299517</v>
      </c>
      <c r="E486" s="41"/>
      <c r="F486" s="134" t="s">
        <v>1443</v>
      </c>
      <c r="G486" s="134" t="s">
        <v>1443</v>
      </c>
      <c r="H486" s="134" t="s">
        <v>1443</v>
      </c>
      <c r="I486" s="134" t="s">
        <v>1443</v>
      </c>
      <c r="J486" s="134" t="s">
        <v>1443</v>
      </c>
      <c r="K486" s="134" t="s">
        <v>1443</v>
      </c>
      <c r="L486" s="134" t="s">
        <v>1443</v>
      </c>
      <c r="M486" s="134" t="s">
        <v>1443</v>
      </c>
      <c r="N486" s="134" t="s">
        <v>1443</v>
      </c>
      <c r="O486" s="134" t="s">
        <v>1443</v>
      </c>
      <c r="P486" s="134" t="s">
        <v>1443</v>
      </c>
      <c r="Q486" s="134" t="s">
        <v>1443</v>
      </c>
      <c r="R486" s="109"/>
      <c r="S486" s="109"/>
      <c r="T486" s="109"/>
      <c r="U486" s="109"/>
      <c r="V486" s="109"/>
    </row>
    <row r="487" spans="2:22" ht="12.75" hidden="1" customHeight="1" outlineLevel="1" x14ac:dyDescent="0.2">
      <c r="B487" s="5" t="s">
        <v>415</v>
      </c>
      <c r="C487" s="118" t="s">
        <v>1106</v>
      </c>
      <c r="D487" s="46">
        <v>299518</v>
      </c>
      <c r="E487" s="41"/>
      <c r="F487" s="134" t="s">
        <v>1443</v>
      </c>
      <c r="G487" s="134">
        <v>13.700000000000001</v>
      </c>
      <c r="H487" s="134" t="s">
        <v>1443</v>
      </c>
      <c r="I487" s="134" t="s">
        <v>1443</v>
      </c>
      <c r="J487" s="134" t="s">
        <v>1443</v>
      </c>
      <c r="K487" s="134">
        <v>11.200000000000001</v>
      </c>
      <c r="L487" s="134" t="s">
        <v>1443</v>
      </c>
      <c r="M487" s="134" t="s">
        <v>1443</v>
      </c>
      <c r="N487" s="134" t="s">
        <v>1443</v>
      </c>
      <c r="O487" s="134">
        <v>9.2000000000000011</v>
      </c>
      <c r="P487" s="134" t="s">
        <v>1443</v>
      </c>
      <c r="Q487" s="134" t="s">
        <v>1443</v>
      </c>
      <c r="R487" s="109"/>
      <c r="S487" s="109"/>
      <c r="T487" s="109"/>
      <c r="U487" s="109"/>
      <c r="V487" s="109"/>
    </row>
    <row r="488" spans="2:22" ht="12.75" hidden="1" customHeight="1" outlineLevel="1" x14ac:dyDescent="0.2">
      <c r="B488" s="5" t="s">
        <v>482</v>
      </c>
      <c r="C488" s="118" t="s">
        <v>1107</v>
      </c>
      <c r="D488" s="46">
        <v>299519</v>
      </c>
      <c r="E488" s="41"/>
      <c r="F488" s="134" t="s">
        <v>1443</v>
      </c>
      <c r="G488" s="134" t="s">
        <v>1443</v>
      </c>
      <c r="H488" s="134" t="s">
        <v>1443</v>
      </c>
      <c r="I488" s="134" t="s">
        <v>1443</v>
      </c>
      <c r="J488" s="134" t="s">
        <v>1443</v>
      </c>
      <c r="K488" s="134" t="s">
        <v>1443</v>
      </c>
      <c r="L488" s="134" t="s">
        <v>1443</v>
      </c>
      <c r="M488" s="134" t="s">
        <v>1443</v>
      </c>
      <c r="N488" s="134" t="s">
        <v>1443</v>
      </c>
      <c r="O488" s="134" t="s">
        <v>1443</v>
      </c>
      <c r="P488" s="134" t="s">
        <v>1443</v>
      </c>
      <c r="Q488" s="134" t="s">
        <v>1443</v>
      </c>
      <c r="R488" s="109"/>
      <c r="S488" s="109"/>
      <c r="T488" s="109"/>
      <c r="U488" s="109"/>
      <c r="V488" s="109"/>
    </row>
    <row r="489" spans="2:22" ht="12.75" hidden="1" customHeight="1" outlineLevel="1" x14ac:dyDescent="0.2">
      <c r="B489" s="8" t="s">
        <v>413</v>
      </c>
      <c r="C489" s="118" t="s">
        <v>192</v>
      </c>
      <c r="D489" s="46" t="s">
        <v>192</v>
      </c>
      <c r="E489" s="41"/>
      <c r="F489" s="134"/>
      <c r="G489" s="134"/>
      <c r="H489" s="134"/>
      <c r="I489" s="134"/>
      <c r="J489" s="134"/>
      <c r="K489" s="134"/>
      <c r="L489" s="134"/>
      <c r="M489" s="134"/>
      <c r="N489" s="134"/>
      <c r="O489" s="134"/>
      <c r="P489" s="134"/>
      <c r="Q489" s="134"/>
    </row>
    <row r="490" spans="2:22" ht="12.75" hidden="1" customHeight="1" outlineLevel="1" x14ac:dyDescent="0.2">
      <c r="B490" s="5" t="s">
        <v>481</v>
      </c>
      <c r="C490" s="118" t="s">
        <v>1108</v>
      </c>
      <c r="D490" s="46">
        <v>299524</v>
      </c>
      <c r="E490" s="41"/>
      <c r="F490" s="134" t="s">
        <v>1443</v>
      </c>
      <c r="G490" s="134" t="s">
        <v>1443</v>
      </c>
      <c r="H490" s="134" t="s">
        <v>1443</v>
      </c>
      <c r="I490" s="134" t="s">
        <v>1443</v>
      </c>
      <c r="J490" s="134" t="s">
        <v>1443</v>
      </c>
      <c r="K490" s="134" t="s">
        <v>1443</v>
      </c>
      <c r="L490" s="134" t="s">
        <v>1443</v>
      </c>
      <c r="M490" s="134" t="s">
        <v>1443</v>
      </c>
      <c r="N490" s="134" t="s">
        <v>1443</v>
      </c>
      <c r="O490" s="134">
        <v>-0.1</v>
      </c>
      <c r="P490" s="134" t="s">
        <v>1443</v>
      </c>
      <c r="Q490" s="134" t="s">
        <v>1443</v>
      </c>
      <c r="R490" s="109"/>
      <c r="S490" s="109"/>
      <c r="T490" s="109"/>
      <c r="U490" s="109"/>
      <c r="V490" s="109"/>
    </row>
    <row r="491" spans="2:22" ht="12.75" hidden="1" customHeight="1" outlineLevel="1" x14ac:dyDescent="0.2">
      <c r="B491" s="5" t="s">
        <v>480</v>
      </c>
      <c r="C491" s="118" t="s">
        <v>1109</v>
      </c>
      <c r="D491" s="46">
        <v>299525</v>
      </c>
      <c r="E491" s="41"/>
      <c r="F491" s="134" t="s">
        <v>1443</v>
      </c>
      <c r="G491" s="134" t="s">
        <v>1443</v>
      </c>
      <c r="H491" s="134" t="s">
        <v>1443</v>
      </c>
      <c r="I491" s="134" t="s">
        <v>1443</v>
      </c>
      <c r="J491" s="134" t="s">
        <v>1443</v>
      </c>
      <c r="K491" s="134" t="s">
        <v>1443</v>
      </c>
      <c r="L491" s="134" t="s">
        <v>1443</v>
      </c>
      <c r="M491" s="134" t="s">
        <v>1443</v>
      </c>
      <c r="N491" s="134" t="s">
        <v>1443</v>
      </c>
      <c r="O491" s="134" t="s">
        <v>1443</v>
      </c>
      <c r="P491" s="134" t="s">
        <v>1443</v>
      </c>
      <c r="Q491" s="134" t="s">
        <v>1443</v>
      </c>
      <c r="R491" s="109"/>
      <c r="S491" s="109"/>
      <c r="T491" s="109"/>
      <c r="U491" s="109"/>
      <c r="V491" s="109"/>
    </row>
    <row r="492" spans="2:22" ht="12.75" hidden="1" customHeight="1" outlineLevel="1" x14ac:dyDescent="0.2">
      <c r="B492" s="5" t="s">
        <v>479</v>
      </c>
      <c r="C492" s="118" t="s">
        <v>1110</v>
      </c>
      <c r="D492" s="46">
        <v>299526</v>
      </c>
      <c r="E492" s="41"/>
      <c r="F492" s="134" t="s">
        <v>1443</v>
      </c>
      <c r="G492" s="134">
        <v>1.3</v>
      </c>
      <c r="H492" s="134" t="s">
        <v>1443</v>
      </c>
      <c r="I492" s="134" t="s">
        <v>1443</v>
      </c>
      <c r="J492" s="134" t="s">
        <v>1443</v>
      </c>
      <c r="K492" s="134">
        <v>1</v>
      </c>
      <c r="L492" s="134" t="s">
        <v>1443</v>
      </c>
      <c r="M492" s="134" t="s">
        <v>1443</v>
      </c>
      <c r="N492" s="134" t="s">
        <v>1443</v>
      </c>
      <c r="O492" s="134">
        <v>1.2</v>
      </c>
      <c r="P492" s="134" t="s">
        <v>1443</v>
      </c>
      <c r="Q492" s="134" t="s">
        <v>1443</v>
      </c>
      <c r="R492" s="109"/>
      <c r="S492" s="109"/>
      <c r="T492" s="109"/>
      <c r="U492" s="109"/>
      <c r="V492" s="109"/>
    </row>
    <row r="493" spans="2:22" ht="12.75" hidden="1" customHeight="1" outlineLevel="1" x14ac:dyDescent="0.2">
      <c r="B493" s="5" t="s">
        <v>478</v>
      </c>
      <c r="C493" s="118" t="s">
        <v>1111</v>
      </c>
      <c r="D493" s="46">
        <v>299527</v>
      </c>
      <c r="E493" s="41"/>
      <c r="F493" s="134" t="s">
        <v>1443</v>
      </c>
      <c r="G493" s="134">
        <v>0.4</v>
      </c>
      <c r="H493" s="134" t="s">
        <v>1443</v>
      </c>
      <c r="I493" s="134" t="s">
        <v>1443</v>
      </c>
      <c r="J493" s="134" t="s">
        <v>1443</v>
      </c>
      <c r="K493" s="134">
        <v>0.3</v>
      </c>
      <c r="L493" s="134" t="s">
        <v>1443</v>
      </c>
      <c r="M493" s="134" t="s">
        <v>1443</v>
      </c>
      <c r="N493" s="134" t="s">
        <v>1443</v>
      </c>
      <c r="O493" s="134">
        <v>0.3</v>
      </c>
      <c r="P493" s="134" t="s">
        <v>1443</v>
      </c>
      <c r="Q493" s="134" t="s">
        <v>1443</v>
      </c>
      <c r="R493" s="109"/>
      <c r="S493" s="109"/>
      <c r="T493" s="109"/>
      <c r="U493" s="109"/>
      <c r="V493" s="109"/>
    </row>
    <row r="494" spans="2:22" ht="12.75" hidden="1" customHeight="1" outlineLevel="1" x14ac:dyDescent="0.2">
      <c r="B494" s="5" t="s">
        <v>477</v>
      </c>
      <c r="C494" s="118" t="s">
        <v>1112</v>
      </c>
      <c r="D494" s="46">
        <v>299528</v>
      </c>
      <c r="E494" s="41"/>
      <c r="F494" s="134" t="s">
        <v>1443</v>
      </c>
      <c r="G494" s="134">
        <v>-1.7</v>
      </c>
      <c r="H494" s="134" t="s">
        <v>1443</v>
      </c>
      <c r="I494" s="134" t="s">
        <v>1443</v>
      </c>
      <c r="J494" s="134" t="s">
        <v>1443</v>
      </c>
      <c r="K494" s="134">
        <v>-1.4000000000000001</v>
      </c>
      <c r="L494" s="134" t="s">
        <v>1443</v>
      </c>
      <c r="M494" s="134" t="s">
        <v>1443</v>
      </c>
      <c r="N494" s="134" t="s">
        <v>1443</v>
      </c>
      <c r="O494" s="134">
        <v>-1.4000000000000001</v>
      </c>
      <c r="P494" s="134" t="s">
        <v>1443</v>
      </c>
      <c r="Q494" s="134" t="s">
        <v>1443</v>
      </c>
      <c r="R494" s="109"/>
      <c r="S494" s="109"/>
      <c r="T494" s="109"/>
      <c r="U494" s="109"/>
      <c r="V494" s="109"/>
    </row>
    <row r="495" spans="2:22" ht="12.75" hidden="1" customHeight="1" outlineLevel="1" x14ac:dyDescent="0.2">
      <c r="B495" s="5" t="s">
        <v>476</v>
      </c>
      <c r="C495" s="118" t="s">
        <v>1113</v>
      </c>
      <c r="D495" s="46">
        <v>299529</v>
      </c>
      <c r="E495" s="41"/>
      <c r="F495" s="134" t="s">
        <v>1443</v>
      </c>
      <c r="G495" s="134" t="s">
        <v>1443</v>
      </c>
      <c r="H495" s="134" t="s">
        <v>1443</v>
      </c>
      <c r="I495" s="134" t="s">
        <v>1443</v>
      </c>
      <c r="J495" s="134" t="s">
        <v>1443</v>
      </c>
      <c r="K495" s="134" t="s">
        <v>1443</v>
      </c>
      <c r="L495" s="134" t="s">
        <v>1443</v>
      </c>
      <c r="M495" s="134" t="s">
        <v>1443</v>
      </c>
      <c r="N495" s="134" t="s">
        <v>1443</v>
      </c>
      <c r="O495" s="134" t="s">
        <v>1443</v>
      </c>
      <c r="P495" s="134" t="s">
        <v>1443</v>
      </c>
      <c r="Q495" s="134" t="s">
        <v>1443</v>
      </c>
      <c r="R495" s="109"/>
      <c r="S495" s="109"/>
      <c r="T495" s="109"/>
      <c r="U495" s="109"/>
      <c r="V495" s="109"/>
    </row>
    <row r="496" spans="2:22" ht="12.75" hidden="1" customHeight="1" outlineLevel="1" x14ac:dyDescent="0.2">
      <c r="B496" s="5" t="s">
        <v>475</v>
      </c>
      <c r="C496" s="118" t="s">
        <v>1114</v>
      </c>
      <c r="D496" s="46">
        <v>299530</v>
      </c>
      <c r="E496" s="41"/>
      <c r="F496" s="134" t="s">
        <v>1443</v>
      </c>
      <c r="G496" s="134" t="s">
        <v>1443</v>
      </c>
      <c r="H496" s="134" t="s">
        <v>1443</v>
      </c>
      <c r="I496" s="134" t="s">
        <v>1443</v>
      </c>
      <c r="J496" s="134" t="s">
        <v>1443</v>
      </c>
      <c r="K496" s="134" t="s">
        <v>1443</v>
      </c>
      <c r="L496" s="134" t="s">
        <v>1443</v>
      </c>
      <c r="M496" s="134" t="s">
        <v>1443</v>
      </c>
      <c r="N496" s="134" t="s">
        <v>1443</v>
      </c>
      <c r="O496" s="134" t="s">
        <v>1443</v>
      </c>
      <c r="P496" s="134" t="s">
        <v>1443</v>
      </c>
      <c r="Q496" s="134" t="s">
        <v>1443</v>
      </c>
      <c r="R496" s="109"/>
      <c r="S496" s="109"/>
      <c r="T496" s="109"/>
      <c r="U496" s="109"/>
      <c r="V496" s="109"/>
    </row>
    <row r="497" spans="2:22" ht="12.75" hidden="1" customHeight="1" outlineLevel="1" x14ac:dyDescent="0.2">
      <c r="B497" s="5" t="s">
        <v>474</v>
      </c>
      <c r="C497" s="118" t="s">
        <v>1115</v>
      </c>
      <c r="D497" s="46">
        <v>299531</v>
      </c>
      <c r="E497" s="41"/>
      <c r="F497" s="134" t="s">
        <v>1443</v>
      </c>
      <c r="G497" s="134" t="s">
        <v>1443</v>
      </c>
      <c r="H497" s="134" t="s">
        <v>1443</v>
      </c>
      <c r="I497" s="134" t="s">
        <v>1443</v>
      </c>
      <c r="J497" s="134" t="s">
        <v>1443</v>
      </c>
      <c r="K497" s="134" t="s">
        <v>1443</v>
      </c>
      <c r="L497" s="134" t="s">
        <v>1443</v>
      </c>
      <c r="M497" s="134" t="s">
        <v>1443</v>
      </c>
      <c r="N497" s="134" t="s">
        <v>1443</v>
      </c>
      <c r="O497" s="134" t="s">
        <v>1443</v>
      </c>
      <c r="P497" s="134" t="s">
        <v>1443</v>
      </c>
      <c r="Q497" s="134" t="s">
        <v>1443</v>
      </c>
      <c r="R497" s="109"/>
      <c r="S497" s="109"/>
      <c r="T497" s="109"/>
      <c r="U497" s="109"/>
      <c r="V497" s="109"/>
    </row>
    <row r="498" spans="2:22" ht="12.75" hidden="1" customHeight="1" outlineLevel="1" x14ac:dyDescent="0.2">
      <c r="B498" s="5" t="s">
        <v>473</v>
      </c>
      <c r="C498" s="118" t="s">
        <v>1116</v>
      </c>
      <c r="D498" s="46">
        <v>299532</v>
      </c>
      <c r="E498" s="41"/>
      <c r="F498" s="134" t="s">
        <v>1443</v>
      </c>
      <c r="G498" s="134" t="s">
        <v>1443</v>
      </c>
      <c r="H498" s="134" t="s">
        <v>1443</v>
      </c>
      <c r="I498" s="134" t="s">
        <v>1443</v>
      </c>
      <c r="J498" s="134" t="s">
        <v>1443</v>
      </c>
      <c r="K498" s="134" t="s">
        <v>1443</v>
      </c>
      <c r="L498" s="134" t="s">
        <v>1443</v>
      </c>
      <c r="M498" s="134" t="s">
        <v>1443</v>
      </c>
      <c r="N498" s="134" t="s">
        <v>1443</v>
      </c>
      <c r="O498" s="134" t="s">
        <v>1443</v>
      </c>
      <c r="P498" s="134" t="s">
        <v>1443</v>
      </c>
      <c r="Q498" s="134" t="s">
        <v>1443</v>
      </c>
      <c r="R498" s="109"/>
      <c r="S498" s="109"/>
      <c r="T498" s="109"/>
      <c r="U498" s="109"/>
      <c r="V498" s="109"/>
    </row>
    <row r="499" spans="2:22" ht="12.75" hidden="1" customHeight="1" outlineLevel="1" x14ac:dyDescent="0.2">
      <c r="B499" s="5" t="s">
        <v>472</v>
      </c>
      <c r="C499" s="118" t="s">
        <v>1117</v>
      </c>
      <c r="D499" s="46">
        <v>299533</v>
      </c>
      <c r="E499" s="41"/>
      <c r="F499" s="134" t="s">
        <v>1443</v>
      </c>
      <c r="G499" s="134" t="s">
        <v>1443</v>
      </c>
      <c r="H499" s="134" t="s">
        <v>1443</v>
      </c>
      <c r="I499" s="134" t="s">
        <v>1443</v>
      </c>
      <c r="J499" s="134" t="s">
        <v>1443</v>
      </c>
      <c r="K499" s="134">
        <v>-0.1</v>
      </c>
      <c r="L499" s="134" t="s">
        <v>1443</v>
      </c>
      <c r="M499" s="134" t="s">
        <v>1443</v>
      </c>
      <c r="N499" s="134" t="s">
        <v>1443</v>
      </c>
      <c r="O499" s="134" t="s">
        <v>1443</v>
      </c>
      <c r="P499" s="134" t="s">
        <v>1443</v>
      </c>
      <c r="Q499" s="134" t="s">
        <v>1443</v>
      </c>
      <c r="R499" s="109"/>
      <c r="S499" s="109"/>
      <c r="T499" s="109"/>
      <c r="U499" s="109"/>
      <c r="V499" s="109"/>
    </row>
    <row r="500" spans="2:22" ht="12.75" hidden="1" customHeight="1" outlineLevel="1" x14ac:dyDescent="0.2">
      <c r="B500" s="8" t="s">
        <v>402</v>
      </c>
      <c r="C500" s="118" t="s">
        <v>192</v>
      </c>
      <c r="D500" s="46" t="s">
        <v>192</v>
      </c>
      <c r="E500" s="41"/>
      <c r="F500" s="21"/>
      <c r="G500" s="21"/>
      <c r="H500" s="21"/>
      <c r="I500" s="21"/>
      <c r="J500" s="21"/>
      <c r="K500" s="21"/>
      <c r="L500" s="21"/>
      <c r="M500" s="21"/>
      <c r="N500" s="21"/>
      <c r="O500" s="21"/>
      <c r="P500" s="21"/>
      <c r="Q500" s="21"/>
    </row>
    <row r="501" spans="2:22" ht="12.75" hidden="1" customHeight="1" outlineLevel="1" x14ac:dyDescent="0.2">
      <c r="B501" s="5" t="s">
        <v>1457</v>
      </c>
      <c r="C501" s="118" t="s">
        <v>861</v>
      </c>
      <c r="D501" s="46">
        <v>299498</v>
      </c>
      <c r="E501" s="41"/>
      <c r="F501" s="140" t="s">
        <v>1443</v>
      </c>
      <c r="G501" s="140" t="s">
        <v>1443</v>
      </c>
      <c r="H501" s="140" t="s">
        <v>1443</v>
      </c>
      <c r="I501" s="140" t="s">
        <v>1443</v>
      </c>
      <c r="J501" s="140" t="s">
        <v>1443</v>
      </c>
      <c r="K501" s="140" t="s">
        <v>1443</v>
      </c>
      <c r="L501" s="140" t="s">
        <v>1443</v>
      </c>
      <c r="M501" s="140" t="s">
        <v>1443</v>
      </c>
      <c r="N501" s="140" t="s">
        <v>1443</v>
      </c>
      <c r="O501" s="140" t="s">
        <v>1443</v>
      </c>
      <c r="P501" s="140" t="s">
        <v>1443</v>
      </c>
      <c r="Q501" s="140" t="s">
        <v>1443</v>
      </c>
      <c r="R501" s="91"/>
      <c r="S501" s="91"/>
      <c r="T501" s="91"/>
      <c r="U501" s="91"/>
      <c r="V501" s="91"/>
    </row>
    <row r="502" spans="2:22" ht="12.75" hidden="1" customHeight="1" outlineLevel="1" x14ac:dyDescent="0.2">
      <c r="B502" s="5" t="s">
        <v>1458</v>
      </c>
      <c r="C502" s="118" t="s">
        <v>862</v>
      </c>
      <c r="D502" s="46">
        <v>299499</v>
      </c>
      <c r="E502" s="41"/>
      <c r="F502" s="140" t="s">
        <v>1443</v>
      </c>
      <c r="G502" s="140" t="s">
        <v>1443</v>
      </c>
      <c r="H502" s="140" t="s">
        <v>1443</v>
      </c>
      <c r="I502" s="140" t="s">
        <v>1443</v>
      </c>
      <c r="J502" s="140" t="s">
        <v>1443</v>
      </c>
      <c r="K502" s="140" t="s">
        <v>1443</v>
      </c>
      <c r="L502" s="140" t="s">
        <v>1443</v>
      </c>
      <c r="M502" s="140" t="s">
        <v>1443</v>
      </c>
      <c r="N502" s="140" t="s">
        <v>1443</v>
      </c>
      <c r="O502" s="140" t="s">
        <v>1443</v>
      </c>
      <c r="P502" s="140" t="s">
        <v>1443</v>
      </c>
      <c r="Q502" s="140" t="s">
        <v>1443</v>
      </c>
      <c r="R502" s="91"/>
      <c r="S502" s="91"/>
      <c r="T502" s="91"/>
      <c r="U502" s="91"/>
      <c r="V502" s="91"/>
    </row>
    <row r="503" spans="2:22" ht="12.75" hidden="1" customHeight="1" outlineLevel="1" x14ac:dyDescent="0.2">
      <c r="B503" s="5" t="s">
        <v>1459</v>
      </c>
      <c r="C503" s="118" t="s">
        <v>863</v>
      </c>
      <c r="D503" s="46">
        <v>299500</v>
      </c>
      <c r="E503" s="41"/>
      <c r="F503" s="140" t="s">
        <v>1443</v>
      </c>
      <c r="G503" s="140" t="s">
        <v>1443</v>
      </c>
      <c r="H503" s="140" t="s">
        <v>1443</v>
      </c>
      <c r="I503" s="140" t="s">
        <v>1443</v>
      </c>
      <c r="J503" s="140" t="s">
        <v>1443</v>
      </c>
      <c r="K503" s="140" t="s">
        <v>1443</v>
      </c>
      <c r="L503" s="140" t="s">
        <v>1443</v>
      </c>
      <c r="M503" s="140" t="s">
        <v>1443</v>
      </c>
      <c r="N503" s="140" t="s">
        <v>1443</v>
      </c>
      <c r="O503" s="140" t="s">
        <v>1443</v>
      </c>
      <c r="P503" s="140" t="s">
        <v>1443</v>
      </c>
      <c r="Q503" s="140" t="s">
        <v>1443</v>
      </c>
      <c r="R503" s="91"/>
      <c r="S503" s="91"/>
      <c r="T503" s="91"/>
      <c r="U503" s="91"/>
      <c r="V503" s="91"/>
    </row>
    <row r="504" spans="2:22" ht="12.75" hidden="1" customHeight="1" outlineLevel="1" x14ac:dyDescent="0.2">
      <c r="B504" s="5" t="s">
        <v>1460</v>
      </c>
      <c r="C504" s="118" t="s">
        <v>864</v>
      </c>
      <c r="D504" s="46">
        <v>299501</v>
      </c>
      <c r="E504" s="41"/>
      <c r="F504" s="140" t="s">
        <v>1443</v>
      </c>
      <c r="G504" s="140" t="s">
        <v>1443</v>
      </c>
      <c r="H504" s="140" t="s">
        <v>1443</v>
      </c>
      <c r="I504" s="140" t="s">
        <v>1443</v>
      </c>
      <c r="J504" s="140" t="s">
        <v>1443</v>
      </c>
      <c r="K504" s="140" t="s">
        <v>1443</v>
      </c>
      <c r="L504" s="140" t="s">
        <v>1443</v>
      </c>
      <c r="M504" s="140" t="s">
        <v>1443</v>
      </c>
      <c r="N504" s="140" t="s">
        <v>1443</v>
      </c>
      <c r="O504" s="140" t="s">
        <v>1443</v>
      </c>
      <c r="P504" s="140" t="s">
        <v>1443</v>
      </c>
      <c r="Q504" s="140" t="s">
        <v>1443</v>
      </c>
      <c r="R504" s="91"/>
      <c r="S504" s="91"/>
      <c r="T504" s="91"/>
      <c r="U504" s="91"/>
      <c r="V504" s="91"/>
    </row>
    <row r="505" spans="2:22" ht="12.75" hidden="1" customHeight="1" outlineLevel="1" x14ac:dyDescent="0.2">
      <c r="B505" s="5" t="s">
        <v>1461</v>
      </c>
      <c r="C505" s="118" t="s">
        <v>865</v>
      </c>
      <c r="D505" s="46">
        <v>299502</v>
      </c>
      <c r="E505" s="41"/>
      <c r="F505" s="140" t="s">
        <v>1443</v>
      </c>
      <c r="G505" s="140" t="s">
        <v>1443</v>
      </c>
      <c r="H505" s="140" t="s">
        <v>1443</v>
      </c>
      <c r="I505" s="140" t="s">
        <v>1443</v>
      </c>
      <c r="J505" s="140" t="s">
        <v>1443</v>
      </c>
      <c r="K505" s="140" t="s">
        <v>1443</v>
      </c>
      <c r="L505" s="140" t="s">
        <v>1443</v>
      </c>
      <c r="M505" s="140" t="s">
        <v>1443</v>
      </c>
      <c r="N505" s="140" t="s">
        <v>1443</v>
      </c>
      <c r="O505" s="140" t="s">
        <v>1443</v>
      </c>
      <c r="P505" s="140" t="s">
        <v>1443</v>
      </c>
      <c r="Q505" s="140" t="s">
        <v>1443</v>
      </c>
      <c r="R505" s="91"/>
      <c r="S505" s="91"/>
      <c r="T505" s="91"/>
      <c r="U505" s="91"/>
      <c r="V505" s="91"/>
    </row>
    <row r="506" spans="2:22" ht="12.75" hidden="1" customHeight="1" outlineLevel="1" x14ac:dyDescent="0.2">
      <c r="B506" s="5" t="s">
        <v>1462</v>
      </c>
      <c r="C506" s="118" t="s">
        <v>866</v>
      </c>
      <c r="D506" s="46">
        <v>299503</v>
      </c>
      <c r="E506" s="41"/>
      <c r="F506" s="140" t="s">
        <v>1443</v>
      </c>
      <c r="G506" s="140" t="s">
        <v>1443</v>
      </c>
      <c r="H506" s="140" t="s">
        <v>1443</v>
      </c>
      <c r="I506" s="140" t="s">
        <v>1443</v>
      </c>
      <c r="J506" s="140" t="s">
        <v>1443</v>
      </c>
      <c r="K506" s="140" t="s">
        <v>1443</v>
      </c>
      <c r="L506" s="140" t="s">
        <v>1443</v>
      </c>
      <c r="M506" s="140" t="s">
        <v>1443</v>
      </c>
      <c r="N506" s="140" t="s">
        <v>1443</v>
      </c>
      <c r="O506" s="140" t="s">
        <v>1443</v>
      </c>
      <c r="P506" s="140" t="s">
        <v>1443</v>
      </c>
      <c r="Q506" s="140" t="s">
        <v>1443</v>
      </c>
      <c r="R506" s="91"/>
      <c r="S506" s="91"/>
      <c r="T506" s="91"/>
      <c r="U506" s="91"/>
      <c r="V506" s="91"/>
    </row>
    <row r="507" spans="2:22" ht="12.75" hidden="1" customHeight="1" outlineLevel="1" x14ac:dyDescent="0.2">
      <c r="B507" s="8" t="s">
        <v>397</v>
      </c>
      <c r="C507" s="118" t="s">
        <v>192</v>
      </c>
      <c r="D507" s="46" t="s">
        <v>192</v>
      </c>
      <c r="E507" s="41"/>
      <c r="F507" s="21"/>
      <c r="G507" s="21"/>
      <c r="H507" s="21"/>
      <c r="I507" s="21"/>
      <c r="J507" s="21"/>
      <c r="K507" s="21"/>
      <c r="L507" s="21"/>
      <c r="M507" s="21"/>
      <c r="N507" s="21"/>
      <c r="O507" s="21"/>
      <c r="P507" s="21"/>
      <c r="Q507" s="21"/>
    </row>
    <row r="508" spans="2:22" ht="12.75" hidden="1" customHeight="1" outlineLevel="1" x14ac:dyDescent="0.2">
      <c r="B508" s="5" t="s">
        <v>401</v>
      </c>
      <c r="C508" s="118" t="s">
        <v>867</v>
      </c>
      <c r="D508" s="46">
        <v>299534</v>
      </c>
      <c r="E508" s="41"/>
      <c r="F508" s="140" t="s">
        <v>1443</v>
      </c>
      <c r="G508" s="140" t="s">
        <v>1443</v>
      </c>
      <c r="H508" s="140" t="s">
        <v>1443</v>
      </c>
      <c r="I508" s="140" t="s">
        <v>1443</v>
      </c>
      <c r="J508" s="140" t="s">
        <v>1443</v>
      </c>
      <c r="K508" s="140" t="s">
        <v>1443</v>
      </c>
      <c r="L508" s="140" t="s">
        <v>1443</v>
      </c>
      <c r="M508" s="140" t="s">
        <v>1443</v>
      </c>
      <c r="N508" s="140" t="s">
        <v>1443</v>
      </c>
      <c r="O508" s="140" t="s">
        <v>1443</v>
      </c>
      <c r="P508" s="140" t="s">
        <v>1443</v>
      </c>
      <c r="Q508" s="140" t="s">
        <v>1443</v>
      </c>
      <c r="R508" s="91"/>
      <c r="S508" s="91"/>
      <c r="T508" s="91"/>
      <c r="U508" s="91"/>
      <c r="V508" s="91"/>
    </row>
    <row r="509" spans="2:22" ht="12.75" hidden="1" customHeight="1" outlineLevel="1" x14ac:dyDescent="0.2">
      <c r="B509" s="5" t="s">
        <v>400</v>
      </c>
      <c r="C509" s="118" t="s">
        <v>868</v>
      </c>
      <c r="D509" s="46">
        <v>299535</v>
      </c>
      <c r="E509" s="41"/>
      <c r="F509" s="140" t="s">
        <v>1443</v>
      </c>
      <c r="G509" s="140" t="s">
        <v>1443</v>
      </c>
      <c r="H509" s="140" t="s">
        <v>1443</v>
      </c>
      <c r="I509" s="140" t="s">
        <v>1443</v>
      </c>
      <c r="J509" s="140" t="s">
        <v>1443</v>
      </c>
      <c r="K509" s="140" t="s">
        <v>1443</v>
      </c>
      <c r="L509" s="140" t="s">
        <v>1443</v>
      </c>
      <c r="M509" s="140" t="s">
        <v>1443</v>
      </c>
      <c r="N509" s="140" t="s">
        <v>1443</v>
      </c>
      <c r="O509" s="140" t="s">
        <v>1443</v>
      </c>
      <c r="P509" s="140" t="s">
        <v>1443</v>
      </c>
      <c r="Q509" s="140" t="s">
        <v>1443</v>
      </c>
      <c r="R509" s="91"/>
      <c r="S509" s="91"/>
      <c r="T509" s="91"/>
      <c r="U509" s="91"/>
      <c r="V509" s="91"/>
    </row>
    <row r="510" spans="2:22" ht="12.75" hidden="1" customHeight="1" outlineLevel="1" x14ac:dyDescent="0.2">
      <c r="B510" s="5" t="s">
        <v>399</v>
      </c>
      <c r="C510" s="118" t="s">
        <v>869</v>
      </c>
      <c r="D510" s="46">
        <v>299536</v>
      </c>
      <c r="E510" s="41"/>
      <c r="F510" s="140" t="s">
        <v>1443</v>
      </c>
      <c r="G510" s="140" t="s">
        <v>1443</v>
      </c>
      <c r="H510" s="140" t="s">
        <v>1443</v>
      </c>
      <c r="I510" s="140" t="s">
        <v>1443</v>
      </c>
      <c r="J510" s="140" t="s">
        <v>1443</v>
      </c>
      <c r="K510" s="140" t="s">
        <v>1443</v>
      </c>
      <c r="L510" s="140" t="s">
        <v>1443</v>
      </c>
      <c r="M510" s="140" t="s">
        <v>1443</v>
      </c>
      <c r="N510" s="140" t="s">
        <v>1443</v>
      </c>
      <c r="O510" s="140" t="s">
        <v>1443</v>
      </c>
      <c r="P510" s="140" t="s">
        <v>1443</v>
      </c>
      <c r="Q510" s="140" t="s">
        <v>1443</v>
      </c>
      <c r="R510" s="91"/>
      <c r="S510" s="91"/>
      <c r="T510" s="91"/>
      <c r="U510" s="91"/>
      <c r="V510" s="91"/>
    </row>
    <row r="511" spans="2:22" ht="12.75" hidden="1" customHeight="1" outlineLevel="1" x14ac:dyDescent="0.2">
      <c r="B511" s="5" t="s">
        <v>398</v>
      </c>
      <c r="C511" s="118" t="s">
        <v>870</v>
      </c>
      <c r="D511" s="46">
        <v>299537</v>
      </c>
      <c r="E511" s="41"/>
      <c r="F511" s="140" t="s">
        <v>1443</v>
      </c>
      <c r="G511" s="140" t="s">
        <v>1443</v>
      </c>
      <c r="H511" s="140" t="s">
        <v>1443</v>
      </c>
      <c r="I511" s="140" t="s">
        <v>1443</v>
      </c>
      <c r="J511" s="140" t="s">
        <v>1443</v>
      </c>
      <c r="K511" s="140" t="s">
        <v>1443</v>
      </c>
      <c r="L511" s="140" t="s">
        <v>1443</v>
      </c>
      <c r="M511" s="140" t="s">
        <v>1443</v>
      </c>
      <c r="N511" s="140" t="s">
        <v>1443</v>
      </c>
      <c r="O511" s="140" t="s">
        <v>1443</v>
      </c>
      <c r="P511" s="140" t="s">
        <v>1443</v>
      </c>
      <c r="Q511" s="140" t="s">
        <v>1443</v>
      </c>
      <c r="R511" s="91"/>
      <c r="S511" s="91"/>
      <c r="T511" s="91"/>
      <c r="U511" s="91"/>
      <c r="V511" s="91"/>
    </row>
    <row r="512" spans="2:22" ht="12.75" hidden="1" customHeight="1" outlineLevel="1" x14ac:dyDescent="0.2">
      <c r="B512" s="29" t="s">
        <v>397</v>
      </c>
      <c r="C512" s="118" t="s">
        <v>192</v>
      </c>
      <c r="D512" s="46" t="s">
        <v>192</v>
      </c>
      <c r="E512" s="41"/>
      <c r="F512" s="21"/>
      <c r="G512" s="21"/>
      <c r="H512" s="21"/>
      <c r="I512" s="21"/>
      <c r="J512" s="21"/>
      <c r="K512" s="21"/>
      <c r="L512" s="21"/>
      <c r="M512" s="21"/>
      <c r="N512" s="21"/>
      <c r="O512" s="21"/>
      <c r="P512" s="21"/>
      <c r="Q512" s="21"/>
    </row>
    <row r="513" spans="2:22" ht="12.75" hidden="1" customHeight="1" outlineLevel="1" x14ac:dyDescent="0.2">
      <c r="B513" s="5" t="s">
        <v>471</v>
      </c>
      <c r="C513" s="118" t="s">
        <v>1118</v>
      </c>
      <c r="D513" s="46">
        <v>299538</v>
      </c>
      <c r="E513" s="41"/>
      <c r="F513" s="134" t="s">
        <v>1443</v>
      </c>
      <c r="G513" s="134" t="s">
        <v>1443</v>
      </c>
      <c r="H513" s="134" t="s">
        <v>1443</v>
      </c>
      <c r="I513" s="134" t="s">
        <v>1443</v>
      </c>
      <c r="J513" s="134" t="s">
        <v>1443</v>
      </c>
      <c r="K513" s="134" t="s">
        <v>1443</v>
      </c>
      <c r="L513" s="134" t="s">
        <v>1443</v>
      </c>
      <c r="M513" s="134" t="s">
        <v>1443</v>
      </c>
      <c r="N513" s="134" t="s">
        <v>1443</v>
      </c>
      <c r="O513" s="134" t="s">
        <v>1443</v>
      </c>
      <c r="P513" s="134" t="s">
        <v>1443</v>
      </c>
      <c r="Q513" s="134" t="s">
        <v>1443</v>
      </c>
      <c r="R513" s="109"/>
      <c r="S513" s="109"/>
      <c r="T513" s="109"/>
      <c r="U513" s="109"/>
      <c r="V513" s="109"/>
    </row>
    <row r="514" spans="2:22" ht="12.75" hidden="1" customHeight="1" outlineLevel="1" x14ac:dyDescent="0.2">
      <c r="B514" s="5" t="s">
        <v>470</v>
      </c>
      <c r="C514" s="118" t="s">
        <v>1119</v>
      </c>
      <c r="D514" s="46">
        <v>299539</v>
      </c>
      <c r="E514" s="41"/>
      <c r="F514" s="134" t="s">
        <v>1443</v>
      </c>
      <c r="G514" s="134" t="s">
        <v>1443</v>
      </c>
      <c r="H514" s="134" t="s">
        <v>1443</v>
      </c>
      <c r="I514" s="134" t="s">
        <v>1443</v>
      </c>
      <c r="J514" s="134" t="s">
        <v>1443</v>
      </c>
      <c r="K514" s="134" t="s">
        <v>1443</v>
      </c>
      <c r="L514" s="134" t="s">
        <v>1443</v>
      </c>
      <c r="M514" s="134" t="s">
        <v>1443</v>
      </c>
      <c r="N514" s="134" t="s">
        <v>1443</v>
      </c>
      <c r="O514" s="134" t="s">
        <v>1443</v>
      </c>
      <c r="P514" s="134" t="s">
        <v>1443</v>
      </c>
      <c r="Q514" s="134" t="s">
        <v>1443</v>
      </c>
      <c r="R514" s="109"/>
      <c r="S514" s="109"/>
      <c r="T514" s="109"/>
      <c r="U514" s="109"/>
      <c r="V514" s="109"/>
    </row>
    <row r="515" spans="2:22" ht="12.75" hidden="1" customHeight="1" outlineLevel="1" x14ac:dyDescent="0.2">
      <c r="B515" s="5" t="s">
        <v>469</v>
      </c>
      <c r="C515" s="118" t="s">
        <v>1120</v>
      </c>
      <c r="D515" s="46">
        <v>299540</v>
      </c>
      <c r="E515" s="41"/>
      <c r="F515" s="134" t="s">
        <v>1443</v>
      </c>
      <c r="G515" s="134" t="s">
        <v>1443</v>
      </c>
      <c r="H515" s="134" t="s">
        <v>1443</v>
      </c>
      <c r="I515" s="134" t="s">
        <v>1443</v>
      </c>
      <c r="J515" s="134" t="s">
        <v>1443</v>
      </c>
      <c r="K515" s="134" t="s">
        <v>1443</v>
      </c>
      <c r="L515" s="134" t="s">
        <v>1443</v>
      </c>
      <c r="M515" s="134" t="s">
        <v>1443</v>
      </c>
      <c r="N515" s="134" t="s">
        <v>1443</v>
      </c>
      <c r="O515" s="134" t="s">
        <v>1443</v>
      </c>
      <c r="P515" s="134" t="s">
        <v>1443</v>
      </c>
      <c r="Q515" s="134" t="s">
        <v>1443</v>
      </c>
      <c r="R515" s="109"/>
      <c r="S515" s="109"/>
      <c r="T515" s="109"/>
      <c r="U515" s="109"/>
      <c r="V515" s="109"/>
    </row>
    <row r="516" spans="2:22" ht="12.75" hidden="1" customHeight="1" outlineLevel="1" x14ac:dyDescent="0.2">
      <c r="B516" s="5" t="s">
        <v>468</v>
      </c>
      <c r="C516" s="118" t="s">
        <v>1121</v>
      </c>
      <c r="D516" s="46">
        <v>299541</v>
      </c>
      <c r="E516" s="41"/>
      <c r="F516" s="134" t="s">
        <v>1443</v>
      </c>
      <c r="G516" s="134" t="s">
        <v>1443</v>
      </c>
      <c r="H516" s="134" t="s">
        <v>1443</v>
      </c>
      <c r="I516" s="134" t="s">
        <v>1443</v>
      </c>
      <c r="J516" s="134" t="s">
        <v>1443</v>
      </c>
      <c r="K516" s="134" t="s">
        <v>1443</v>
      </c>
      <c r="L516" s="134" t="s">
        <v>1443</v>
      </c>
      <c r="M516" s="134" t="s">
        <v>1443</v>
      </c>
      <c r="N516" s="134" t="s">
        <v>1443</v>
      </c>
      <c r="O516" s="134" t="s">
        <v>1443</v>
      </c>
      <c r="P516" s="134" t="s">
        <v>1443</v>
      </c>
      <c r="Q516" s="134" t="s">
        <v>1443</v>
      </c>
      <c r="R516" s="109"/>
      <c r="S516" s="109"/>
      <c r="T516" s="109"/>
      <c r="U516" s="109"/>
      <c r="V516" s="109"/>
    </row>
    <row r="517" spans="2:22" ht="12.75" hidden="1" customHeight="1" outlineLevel="1" x14ac:dyDescent="0.2">
      <c r="B517" s="8" t="s">
        <v>392</v>
      </c>
      <c r="C517" s="118" t="s">
        <v>192</v>
      </c>
      <c r="D517" s="46" t="s">
        <v>192</v>
      </c>
      <c r="E517" s="41"/>
      <c r="F517" s="134"/>
      <c r="G517" s="134"/>
      <c r="H517" s="134"/>
      <c r="I517" s="134"/>
      <c r="J517" s="134"/>
      <c r="K517" s="134"/>
      <c r="L517" s="134"/>
      <c r="M517" s="134"/>
      <c r="N517" s="134"/>
      <c r="O517" s="134"/>
      <c r="P517" s="134"/>
      <c r="Q517" s="134"/>
    </row>
    <row r="518" spans="2:22" ht="12.75" hidden="1" customHeight="1" outlineLevel="1" x14ac:dyDescent="0.2">
      <c r="B518" s="5" t="s">
        <v>391</v>
      </c>
      <c r="C518" s="118" t="s">
        <v>1122</v>
      </c>
      <c r="D518" s="46">
        <v>299556</v>
      </c>
      <c r="E518" s="41"/>
      <c r="F518" s="134" t="s">
        <v>1443</v>
      </c>
      <c r="G518" s="134">
        <v>-4</v>
      </c>
      <c r="H518" s="134" t="s">
        <v>1443</v>
      </c>
      <c r="I518" s="134" t="s">
        <v>1443</v>
      </c>
      <c r="J518" s="134" t="s">
        <v>1443</v>
      </c>
      <c r="K518" s="134">
        <v>-4.9000000000000004</v>
      </c>
      <c r="L518" s="134" t="s">
        <v>1443</v>
      </c>
      <c r="M518" s="134" t="s">
        <v>1443</v>
      </c>
      <c r="N518" s="134" t="s">
        <v>1443</v>
      </c>
      <c r="O518" s="134">
        <v>-5.3</v>
      </c>
      <c r="P518" s="134" t="s">
        <v>1443</v>
      </c>
      <c r="Q518" s="134" t="s">
        <v>1443</v>
      </c>
      <c r="R518" s="22"/>
      <c r="S518" s="109"/>
      <c r="T518" s="109"/>
      <c r="U518" s="109"/>
      <c r="V518" s="109"/>
    </row>
    <row r="519" spans="2:22" ht="12.75" hidden="1" customHeight="1" outlineLevel="1" x14ac:dyDescent="0.2">
      <c r="B519" s="5" t="s">
        <v>390</v>
      </c>
      <c r="C519" s="118" t="s">
        <v>1123</v>
      </c>
      <c r="D519" s="46">
        <v>299557</v>
      </c>
      <c r="E519" s="41"/>
      <c r="F519" s="134" t="s">
        <v>1443</v>
      </c>
      <c r="G519" s="134" t="s">
        <v>1443</v>
      </c>
      <c r="H519" s="134" t="s">
        <v>1443</v>
      </c>
      <c r="I519" s="134" t="s">
        <v>1443</v>
      </c>
      <c r="J519" s="134" t="s">
        <v>1443</v>
      </c>
      <c r="K519" s="134" t="s">
        <v>1443</v>
      </c>
      <c r="L519" s="134" t="s">
        <v>1443</v>
      </c>
      <c r="M519" s="134" t="s">
        <v>1443</v>
      </c>
      <c r="N519" s="134" t="s">
        <v>1443</v>
      </c>
      <c r="O519" s="134" t="s">
        <v>1443</v>
      </c>
      <c r="P519" s="134" t="s">
        <v>1443</v>
      </c>
      <c r="Q519" s="134" t="s">
        <v>1443</v>
      </c>
      <c r="R519" s="22"/>
      <c r="S519" s="109"/>
      <c r="T519" s="109"/>
      <c r="U519" s="109"/>
      <c r="V519" s="109"/>
    </row>
    <row r="520" spans="2:22" ht="12.75" hidden="1" customHeight="1" outlineLevel="1" x14ac:dyDescent="0.2">
      <c r="B520" s="5" t="s">
        <v>389</v>
      </c>
      <c r="C520" s="118" t="s">
        <v>1124</v>
      </c>
      <c r="D520" s="46">
        <v>299558</v>
      </c>
      <c r="E520" s="41"/>
      <c r="F520" s="134" t="s">
        <v>1443</v>
      </c>
      <c r="G520" s="134" t="s">
        <v>1443</v>
      </c>
      <c r="H520" s="134" t="s">
        <v>1443</v>
      </c>
      <c r="I520" s="134" t="s">
        <v>1443</v>
      </c>
      <c r="J520" s="134" t="s">
        <v>1443</v>
      </c>
      <c r="K520" s="134" t="s">
        <v>1443</v>
      </c>
      <c r="L520" s="134" t="s">
        <v>1443</v>
      </c>
      <c r="M520" s="134" t="s">
        <v>1443</v>
      </c>
      <c r="N520" s="134" t="s">
        <v>1443</v>
      </c>
      <c r="O520" s="134" t="s">
        <v>1443</v>
      </c>
      <c r="P520" s="134" t="s">
        <v>1443</v>
      </c>
      <c r="Q520" s="134" t="s">
        <v>1443</v>
      </c>
      <c r="R520" s="22"/>
      <c r="S520" s="109"/>
      <c r="T520" s="109"/>
      <c r="U520" s="109"/>
      <c r="V520" s="109"/>
    </row>
    <row r="521" spans="2:22" ht="12.75" hidden="1" customHeight="1" outlineLevel="1" x14ac:dyDescent="0.2">
      <c r="B521" s="5" t="s">
        <v>388</v>
      </c>
      <c r="C521" s="118" t="s">
        <v>1125</v>
      </c>
      <c r="D521" s="46">
        <v>299559</v>
      </c>
      <c r="E521" s="41"/>
      <c r="F521" s="134" t="s">
        <v>1443</v>
      </c>
      <c r="G521" s="134">
        <v>1.5</v>
      </c>
      <c r="H521" s="134" t="s">
        <v>1443</v>
      </c>
      <c r="I521" s="134" t="s">
        <v>1443</v>
      </c>
      <c r="J521" s="134" t="s">
        <v>1443</v>
      </c>
      <c r="K521" s="134">
        <v>1.3</v>
      </c>
      <c r="L521" s="134" t="s">
        <v>1443</v>
      </c>
      <c r="M521" s="134" t="s">
        <v>1443</v>
      </c>
      <c r="N521" s="134" t="s">
        <v>1443</v>
      </c>
      <c r="O521" s="134">
        <v>1.4000000000000001</v>
      </c>
      <c r="P521" s="134" t="s">
        <v>1443</v>
      </c>
      <c r="Q521" s="134" t="s">
        <v>1443</v>
      </c>
      <c r="R521" s="22"/>
      <c r="S521" s="109"/>
      <c r="T521" s="109"/>
      <c r="U521" s="109"/>
      <c r="V521" s="109"/>
    </row>
    <row r="522" spans="2:22" ht="12.75" hidden="1" customHeight="1" outlineLevel="1" x14ac:dyDescent="0.2">
      <c r="B522" s="5" t="s">
        <v>387</v>
      </c>
      <c r="C522" s="118" t="s">
        <v>1126</v>
      </c>
      <c r="D522" s="46">
        <v>299560</v>
      </c>
      <c r="E522" s="41"/>
      <c r="F522" s="134" t="s">
        <v>1443</v>
      </c>
      <c r="G522" s="134">
        <v>-2.5</v>
      </c>
      <c r="H522" s="134" t="s">
        <v>1443</v>
      </c>
      <c r="I522" s="134" t="s">
        <v>1443</v>
      </c>
      <c r="J522" s="134" t="s">
        <v>1443</v>
      </c>
      <c r="K522" s="134">
        <v>-3.6</v>
      </c>
      <c r="L522" s="134" t="s">
        <v>1443</v>
      </c>
      <c r="M522" s="134" t="s">
        <v>1443</v>
      </c>
      <c r="N522" s="134" t="s">
        <v>1443</v>
      </c>
      <c r="O522" s="134">
        <v>-3.9</v>
      </c>
      <c r="P522" s="134" t="s">
        <v>1443</v>
      </c>
      <c r="Q522" s="134" t="s">
        <v>1443</v>
      </c>
      <c r="R522" s="22"/>
      <c r="S522" s="109"/>
      <c r="T522" s="109"/>
      <c r="U522" s="109"/>
      <c r="V522" s="109"/>
    </row>
    <row r="523" spans="2:22" ht="12.75" hidden="1" customHeight="1" outlineLevel="1" x14ac:dyDescent="0.2">
      <c r="B523" s="8" t="s">
        <v>386</v>
      </c>
      <c r="C523" s="118" t="s">
        <v>192</v>
      </c>
      <c r="D523" s="46" t="s">
        <v>192</v>
      </c>
      <c r="E523" s="41"/>
      <c r="F523" s="134"/>
      <c r="G523" s="134"/>
      <c r="H523" s="134"/>
      <c r="I523" s="134"/>
      <c r="J523" s="134"/>
      <c r="K523" s="134"/>
      <c r="L523" s="134"/>
      <c r="M523" s="134"/>
      <c r="N523" s="134"/>
      <c r="O523" s="134"/>
      <c r="P523" s="134"/>
      <c r="Q523" s="134"/>
      <c r="R523" s="22"/>
    </row>
    <row r="524" spans="2:22" ht="12.75" hidden="1" customHeight="1" outlineLevel="1" x14ac:dyDescent="0.2">
      <c r="B524" s="5" t="s">
        <v>385</v>
      </c>
      <c r="C524" s="118" t="s">
        <v>1127</v>
      </c>
      <c r="D524" s="46">
        <v>299504</v>
      </c>
      <c r="E524" s="41"/>
      <c r="F524" s="134" t="s">
        <v>1443</v>
      </c>
      <c r="G524" s="134" t="s">
        <v>1443</v>
      </c>
      <c r="H524" s="134" t="s">
        <v>1443</v>
      </c>
      <c r="I524" s="134" t="s">
        <v>1443</v>
      </c>
      <c r="J524" s="134" t="s">
        <v>1443</v>
      </c>
      <c r="K524" s="134" t="s">
        <v>1443</v>
      </c>
      <c r="L524" s="134" t="s">
        <v>1443</v>
      </c>
      <c r="M524" s="134" t="s">
        <v>1443</v>
      </c>
      <c r="N524" s="134" t="s">
        <v>1443</v>
      </c>
      <c r="O524" s="134" t="s">
        <v>1443</v>
      </c>
      <c r="P524" s="134" t="s">
        <v>1443</v>
      </c>
      <c r="Q524" s="134" t="s">
        <v>1443</v>
      </c>
      <c r="R524" s="22"/>
      <c r="S524" s="109"/>
      <c r="T524" s="109"/>
      <c r="U524" s="109"/>
      <c r="V524" s="109"/>
    </row>
    <row r="525" spans="2:22" ht="12.75" hidden="1" customHeight="1" outlineLevel="1" x14ac:dyDescent="0.2">
      <c r="B525" s="5" t="s">
        <v>384</v>
      </c>
      <c r="C525" s="118" t="s">
        <v>1128</v>
      </c>
      <c r="D525" s="46">
        <v>299505</v>
      </c>
      <c r="E525" s="41"/>
      <c r="F525" s="134" t="s">
        <v>1443</v>
      </c>
      <c r="G525" s="134" t="s">
        <v>1443</v>
      </c>
      <c r="H525" s="134" t="s">
        <v>1443</v>
      </c>
      <c r="I525" s="134" t="s">
        <v>1443</v>
      </c>
      <c r="J525" s="134" t="s">
        <v>1443</v>
      </c>
      <c r="K525" s="134" t="s">
        <v>1443</v>
      </c>
      <c r="L525" s="134" t="s">
        <v>1443</v>
      </c>
      <c r="M525" s="134" t="s">
        <v>1443</v>
      </c>
      <c r="N525" s="134" t="s">
        <v>1443</v>
      </c>
      <c r="O525" s="134" t="s">
        <v>1443</v>
      </c>
      <c r="P525" s="134" t="s">
        <v>1443</v>
      </c>
      <c r="Q525" s="134" t="s">
        <v>1443</v>
      </c>
      <c r="R525" s="22"/>
      <c r="S525" s="109"/>
      <c r="T525" s="109"/>
      <c r="U525" s="109"/>
      <c r="V525" s="109"/>
    </row>
    <row r="526" spans="2:22" ht="12.75" hidden="1" customHeight="1" outlineLevel="1" x14ac:dyDescent="0.2">
      <c r="B526" s="5" t="s">
        <v>383</v>
      </c>
      <c r="C526" s="118" t="s">
        <v>1129</v>
      </c>
      <c r="D526" s="46">
        <v>299506</v>
      </c>
      <c r="E526" s="41"/>
      <c r="F526" s="134" t="s">
        <v>1443</v>
      </c>
      <c r="G526" s="134" t="s">
        <v>1443</v>
      </c>
      <c r="H526" s="134" t="s">
        <v>1443</v>
      </c>
      <c r="I526" s="134" t="s">
        <v>1443</v>
      </c>
      <c r="J526" s="134" t="s">
        <v>1443</v>
      </c>
      <c r="K526" s="134" t="s">
        <v>1443</v>
      </c>
      <c r="L526" s="134" t="s">
        <v>1443</v>
      </c>
      <c r="M526" s="134" t="s">
        <v>1443</v>
      </c>
      <c r="N526" s="134" t="s">
        <v>1443</v>
      </c>
      <c r="O526" s="134" t="s">
        <v>1443</v>
      </c>
      <c r="P526" s="134" t="s">
        <v>1443</v>
      </c>
      <c r="Q526" s="134" t="s">
        <v>1443</v>
      </c>
      <c r="R526" s="22"/>
      <c r="S526" s="109"/>
      <c r="T526" s="109"/>
      <c r="U526" s="109"/>
      <c r="V526" s="109"/>
    </row>
    <row r="527" spans="2:22" ht="12.75" hidden="1" customHeight="1" outlineLevel="1" x14ac:dyDescent="0.2">
      <c r="B527" s="5" t="s">
        <v>382</v>
      </c>
      <c r="C527" s="118" t="s">
        <v>1130</v>
      </c>
      <c r="D527" s="46">
        <v>299507</v>
      </c>
      <c r="E527" s="41"/>
      <c r="F527" s="134" t="s">
        <v>1443</v>
      </c>
      <c r="G527" s="134" t="s">
        <v>1443</v>
      </c>
      <c r="H527" s="134" t="s">
        <v>1443</v>
      </c>
      <c r="I527" s="134" t="s">
        <v>1443</v>
      </c>
      <c r="J527" s="134" t="s">
        <v>1443</v>
      </c>
      <c r="K527" s="134" t="s">
        <v>1443</v>
      </c>
      <c r="L527" s="134" t="s">
        <v>1443</v>
      </c>
      <c r="M527" s="134" t="s">
        <v>1443</v>
      </c>
      <c r="N527" s="134" t="s">
        <v>1443</v>
      </c>
      <c r="O527" s="134" t="s">
        <v>1443</v>
      </c>
      <c r="P527" s="134" t="s">
        <v>1443</v>
      </c>
      <c r="Q527" s="134" t="s">
        <v>1443</v>
      </c>
      <c r="R527" s="22"/>
      <c r="S527" s="109"/>
      <c r="T527" s="109"/>
      <c r="U527" s="109"/>
      <c r="V527" s="109"/>
    </row>
    <row r="528" spans="2:22" ht="12.75" hidden="1" customHeight="1" outlineLevel="1" x14ac:dyDescent="0.2">
      <c r="B528" s="8" t="s">
        <v>381</v>
      </c>
      <c r="C528" s="118" t="s">
        <v>192</v>
      </c>
      <c r="D528" s="46" t="s">
        <v>192</v>
      </c>
      <c r="E528" s="41"/>
      <c r="F528" s="21"/>
      <c r="G528" s="21"/>
      <c r="H528" s="21"/>
      <c r="I528" s="21"/>
      <c r="J528" s="21"/>
      <c r="K528" s="21"/>
      <c r="L528" s="21"/>
      <c r="M528" s="21"/>
      <c r="N528" s="21"/>
      <c r="O528" s="21"/>
      <c r="P528" s="21"/>
      <c r="Q528" s="21"/>
    </row>
    <row r="529" spans="2:22" ht="12.75" hidden="1" customHeight="1" outlineLevel="1" x14ac:dyDescent="0.2">
      <c r="B529" s="5" t="s">
        <v>1463</v>
      </c>
      <c r="C529" s="118" t="s">
        <v>871</v>
      </c>
      <c r="D529" s="46">
        <v>299520</v>
      </c>
      <c r="E529" s="41"/>
      <c r="F529" s="140" t="s">
        <v>1443</v>
      </c>
      <c r="G529" s="140" t="s">
        <v>1443</v>
      </c>
      <c r="H529" s="140" t="s">
        <v>1443</v>
      </c>
      <c r="I529" s="140" t="s">
        <v>1443</v>
      </c>
      <c r="J529" s="140" t="s">
        <v>1443</v>
      </c>
      <c r="K529" s="140" t="s">
        <v>1443</v>
      </c>
      <c r="L529" s="140" t="s">
        <v>1443</v>
      </c>
      <c r="M529" s="140" t="s">
        <v>1443</v>
      </c>
      <c r="N529" s="140" t="s">
        <v>1443</v>
      </c>
      <c r="O529" s="140" t="s">
        <v>1443</v>
      </c>
      <c r="P529" s="140" t="s">
        <v>1443</v>
      </c>
      <c r="Q529" s="140" t="s">
        <v>1443</v>
      </c>
      <c r="R529" s="91"/>
      <c r="S529" s="91"/>
      <c r="T529" s="91"/>
      <c r="U529" s="91"/>
      <c r="V529" s="91"/>
    </row>
    <row r="530" spans="2:22" ht="12.75" hidden="1" customHeight="1" outlineLevel="1" x14ac:dyDescent="0.2">
      <c r="B530" s="5" t="s">
        <v>1464</v>
      </c>
      <c r="C530" s="118" t="s">
        <v>872</v>
      </c>
      <c r="D530" s="46">
        <v>299521</v>
      </c>
      <c r="E530" s="41"/>
      <c r="F530" s="140" t="s">
        <v>1443</v>
      </c>
      <c r="G530" s="140" t="s">
        <v>1443</v>
      </c>
      <c r="H530" s="140" t="s">
        <v>1443</v>
      </c>
      <c r="I530" s="140" t="s">
        <v>1443</v>
      </c>
      <c r="J530" s="140" t="s">
        <v>1443</v>
      </c>
      <c r="K530" s="140" t="s">
        <v>1443</v>
      </c>
      <c r="L530" s="140" t="s">
        <v>1443</v>
      </c>
      <c r="M530" s="140" t="s">
        <v>1443</v>
      </c>
      <c r="N530" s="140" t="s">
        <v>1443</v>
      </c>
      <c r="O530" s="140" t="s">
        <v>1443</v>
      </c>
      <c r="P530" s="140" t="s">
        <v>1443</v>
      </c>
      <c r="Q530" s="140" t="s">
        <v>1443</v>
      </c>
      <c r="R530" s="91"/>
      <c r="S530" s="91"/>
      <c r="T530" s="91"/>
      <c r="U530" s="91"/>
      <c r="V530" s="91"/>
    </row>
    <row r="531" spans="2:22" ht="12.75" hidden="1" customHeight="1" outlineLevel="1" x14ac:dyDescent="0.2">
      <c r="B531" s="5" t="s">
        <v>1465</v>
      </c>
      <c r="C531" s="118" t="s">
        <v>873</v>
      </c>
      <c r="D531" s="46">
        <v>299522</v>
      </c>
      <c r="E531" s="41"/>
      <c r="F531" s="140" t="s">
        <v>1443</v>
      </c>
      <c r="G531" s="140" t="s">
        <v>1443</v>
      </c>
      <c r="H531" s="140" t="s">
        <v>1443</v>
      </c>
      <c r="I531" s="140" t="s">
        <v>1443</v>
      </c>
      <c r="J531" s="140" t="s">
        <v>1443</v>
      </c>
      <c r="K531" s="140" t="s">
        <v>1443</v>
      </c>
      <c r="L531" s="140" t="s">
        <v>1443</v>
      </c>
      <c r="M531" s="140" t="s">
        <v>1443</v>
      </c>
      <c r="N531" s="140" t="s">
        <v>1443</v>
      </c>
      <c r="O531" s="140" t="s">
        <v>1443</v>
      </c>
      <c r="P531" s="140" t="s">
        <v>1443</v>
      </c>
      <c r="Q531" s="140" t="s">
        <v>1443</v>
      </c>
      <c r="R531" s="91"/>
      <c r="S531" s="91"/>
      <c r="T531" s="91"/>
      <c r="U531" s="91"/>
      <c r="V531" s="91"/>
    </row>
    <row r="532" spans="2:22" ht="12.75" hidden="1" customHeight="1" outlineLevel="1" x14ac:dyDescent="0.2">
      <c r="B532" s="5" t="s">
        <v>1466</v>
      </c>
      <c r="C532" s="118" t="s">
        <v>874</v>
      </c>
      <c r="D532" s="46">
        <v>299523</v>
      </c>
      <c r="E532" s="41"/>
      <c r="F532" s="140" t="s">
        <v>1443</v>
      </c>
      <c r="G532" s="140" t="s">
        <v>1443</v>
      </c>
      <c r="H532" s="140" t="s">
        <v>1443</v>
      </c>
      <c r="I532" s="140" t="s">
        <v>1443</v>
      </c>
      <c r="J532" s="140" t="s">
        <v>1443</v>
      </c>
      <c r="K532" s="140" t="s">
        <v>1443</v>
      </c>
      <c r="L532" s="140" t="s">
        <v>1443</v>
      </c>
      <c r="M532" s="140" t="s">
        <v>1443</v>
      </c>
      <c r="N532" s="140" t="s">
        <v>1443</v>
      </c>
      <c r="O532" s="140" t="s">
        <v>1443</v>
      </c>
      <c r="P532" s="140" t="s">
        <v>1443</v>
      </c>
      <c r="Q532" s="140" t="s">
        <v>1443</v>
      </c>
      <c r="R532" s="91"/>
      <c r="S532" s="91"/>
      <c r="T532" s="91"/>
      <c r="U532" s="91"/>
      <c r="V532" s="91"/>
    </row>
    <row r="533" spans="2:22" ht="12.75" hidden="1" customHeight="1" outlineLevel="1" x14ac:dyDescent="0.2">
      <c r="B533" s="8" t="s">
        <v>380</v>
      </c>
      <c r="C533" s="118" t="s">
        <v>192</v>
      </c>
      <c r="D533" s="46" t="s">
        <v>192</v>
      </c>
      <c r="E533" s="41"/>
      <c r="F533" s="21"/>
      <c r="G533" s="21"/>
      <c r="H533" s="21"/>
      <c r="I533" s="21"/>
      <c r="J533" s="21"/>
      <c r="K533" s="21"/>
      <c r="L533" s="21"/>
      <c r="M533" s="21"/>
      <c r="N533" s="21"/>
      <c r="O533" s="21"/>
      <c r="P533" s="21"/>
      <c r="Q533" s="21"/>
    </row>
    <row r="534" spans="2:22" ht="12.75" hidden="1" customHeight="1" outlineLevel="1" x14ac:dyDescent="0.2">
      <c r="B534" s="5" t="s">
        <v>467</v>
      </c>
      <c r="C534" s="118" t="s">
        <v>1131</v>
      </c>
      <c r="D534" s="46">
        <v>299542</v>
      </c>
      <c r="E534" s="41"/>
      <c r="F534" s="134" t="s">
        <v>1443</v>
      </c>
      <c r="G534" s="134">
        <v>1.6</v>
      </c>
      <c r="H534" s="134" t="s">
        <v>1443</v>
      </c>
      <c r="I534" s="134" t="s">
        <v>1443</v>
      </c>
      <c r="J534" s="134" t="s">
        <v>1443</v>
      </c>
      <c r="K534" s="134">
        <v>1.6</v>
      </c>
      <c r="L534" s="134" t="s">
        <v>1443</v>
      </c>
      <c r="M534" s="134" t="s">
        <v>1443</v>
      </c>
      <c r="N534" s="134" t="s">
        <v>1443</v>
      </c>
      <c r="O534" s="134">
        <v>1.3</v>
      </c>
      <c r="P534" s="134" t="s">
        <v>1443</v>
      </c>
      <c r="Q534" s="134" t="s">
        <v>1443</v>
      </c>
      <c r="R534" s="109"/>
      <c r="S534" s="109"/>
      <c r="T534" s="109"/>
      <c r="U534" s="109"/>
      <c r="V534" s="109"/>
    </row>
    <row r="535" spans="2:22" ht="12.75" hidden="1" customHeight="1" outlineLevel="1" x14ac:dyDescent="0.2">
      <c r="B535" s="5" t="s">
        <v>466</v>
      </c>
      <c r="C535" s="118" t="s">
        <v>1132</v>
      </c>
      <c r="D535" s="46">
        <v>299543</v>
      </c>
      <c r="E535" s="41"/>
      <c r="F535" s="134" t="s">
        <v>1443</v>
      </c>
      <c r="G535" s="134">
        <v>1.5</v>
      </c>
      <c r="H535" s="134" t="s">
        <v>1443</v>
      </c>
      <c r="I535" s="134" t="s">
        <v>1443</v>
      </c>
      <c r="J535" s="134" t="s">
        <v>1443</v>
      </c>
      <c r="K535" s="134">
        <v>1.5</v>
      </c>
      <c r="L535" s="134" t="s">
        <v>1443</v>
      </c>
      <c r="M535" s="134" t="s">
        <v>1443</v>
      </c>
      <c r="N535" s="134" t="s">
        <v>1443</v>
      </c>
      <c r="O535" s="134">
        <v>1.2</v>
      </c>
      <c r="P535" s="134" t="s">
        <v>1443</v>
      </c>
      <c r="Q535" s="134" t="s">
        <v>1443</v>
      </c>
      <c r="R535" s="109"/>
      <c r="S535" s="109"/>
      <c r="T535" s="109"/>
      <c r="U535" s="109"/>
      <c r="V535" s="109"/>
    </row>
    <row r="536" spans="2:22" ht="12.75" hidden="1" customHeight="1" outlineLevel="1" x14ac:dyDescent="0.2">
      <c r="B536" s="5" t="s">
        <v>465</v>
      </c>
      <c r="C536" s="118" t="s">
        <v>1133</v>
      </c>
      <c r="D536" s="46">
        <v>299544</v>
      </c>
      <c r="E536" s="41"/>
      <c r="F536" s="134" t="s">
        <v>1443</v>
      </c>
      <c r="G536" s="134">
        <v>1.4000000000000001</v>
      </c>
      <c r="H536" s="134" t="s">
        <v>1443</v>
      </c>
      <c r="I536" s="134" t="s">
        <v>1443</v>
      </c>
      <c r="J536" s="134" t="s">
        <v>1443</v>
      </c>
      <c r="K536" s="134">
        <v>1.4000000000000001</v>
      </c>
      <c r="L536" s="134" t="s">
        <v>1443</v>
      </c>
      <c r="M536" s="134" t="s">
        <v>1443</v>
      </c>
      <c r="N536" s="134" t="s">
        <v>1443</v>
      </c>
      <c r="O536" s="134">
        <v>1.1000000000000001</v>
      </c>
      <c r="P536" s="134" t="s">
        <v>1443</v>
      </c>
      <c r="Q536" s="134" t="s">
        <v>1443</v>
      </c>
      <c r="R536" s="109"/>
      <c r="S536" s="109"/>
      <c r="T536" s="109"/>
      <c r="U536" s="109"/>
      <c r="V536" s="109"/>
    </row>
    <row r="537" spans="2:22" ht="12.75" hidden="1" customHeight="1" outlineLevel="1" x14ac:dyDescent="0.2">
      <c r="B537" s="5" t="s">
        <v>464</v>
      </c>
      <c r="C537" s="118" t="s">
        <v>1134</v>
      </c>
      <c r="D537" s="46">
        <v>299545</v>
      </c>
      <c r="E537" s="41"/>
      <c r="F537" s="134" t="s">
        <v>1443</v>
      </c>
      <c r="G537" s="134">
        <v>1.3</v>
      </c>
      <c r="H537" s="134" t="s">
        <v>1443</v>
      </c>
      <c r="I537" s="134" t="s">
        <v>1443</v>
      </c>
      <c r="J537" s="134" t="s">
        <v>1443</v>
      </c>
      <c r="K537" s="134">
        <v>1.3</v>
      </c>
      <c r="L537" s="134" t="s">
        <v>1443</v>
      </c>
      <c r="M537" s="134" t="s">
        <v>1443</v>
      </c>
      <c r="N537" s="134" t="s">
        <v>1443</v>
      </c>
      <c r="O537" s="134">
        <v>1.1000000000000001</v>
      </c>
      <c r="P537" s="134" t="s">
        <v>1443</v>
      </c>
      <c r="Q537" s="134" t="s">
        <v>1443</v>
      </c>
      <c r="R537" s="109"/>
      <c r="S537" s="109"/>
      <c r="T537" s="109"/>
      <c r="U537" s="109"/>
      <c r="V537" s="109"/>
    </row>
    <row r="538" spans="2:22" ht="12.75" hidden="1" customHeight="1" outlineLevel="1" x14ac:dyDescent="0.2">
      <c r="B538" s="5" t="s">
        <v>463</v>
      </c>
      <c r="C538" s="118" t="s">
        <v>1136</v>
      </c>
      <c r="D538" s="46">
        <v>299546</v>
      </c>
      <c r="E538" s="41"/>
      <c r="F538" s="134" t="s">
        <v>1443</v>
      </c>
      <c r="G538" s="134">
        <v>1.2</v>
      </c>
      <c r="H538" s="134" t="s">
        <v>1443</v>
      </c>
      <c r="I538" s="134" t="s">
        <v>1443</v>
      </c>
      <c r="J538" s="134" t="s">
        <v>1443</v>
      </c>
      <c r="K538" s="134">
        <v>1.2</v>
      </c>
      <c r="L538" s="134" t="s">
        <v>1443</v>
      </c>
      <c r="M538" s="134" t="s">
        <v>1443</v>
      </c>
      <c r="N538" s="134" t="s">
        <v>1443</v>
      </c>
      <c r="O538" s="134">
        <v>1</v>
      </c>
      <c r="P538" s="134" t="s">
        <v>1443</v>
      </c>
      <c r="Q538" s="134" t="s">
        <v>1443</v>
      </c>
      <c r="R538" s="109"/>
      <c r="S538" s="109"/>
      <c r="T538" s="109"/>
      <c r="U538" s="109"/>
      <c r="V538" s="109"/>
    </row>
    <row r="539" spans="2:22" ht="12.75" hidden="1" customHeight="1" outlineLevel="1" x14ac:dyDescent="0.2">
      <c r="B539" s="5" t="s">
        <v>462</v>
      </c>
      <c r="C539" s="118" t="s">
        <v>1135</v>
      </c>
      <c r="D539" s="46">
        <v>299547</v>
      </c>
      <c r="E539" s="41"/>
      <c r="F539" s="134" t="s">
        <v>1443</v>
      </c>
      <c r="G539" s="134">
        <v>4.6000000000000005</v>
      </c>
      <c r="H539" s="134" t="s">
        <v>1443</v>
      </c>
      <c r="I539" s="134" t="s">
        <v>1443</v>
      </c>
      <c r="J539" s="134" t="s">
        <v>1443</v>
      </c>
      <c r="K539" s="134">
        <v>4.3</v>
      </c>
      <c r="L539" s="134" t="s">
        <v>1443</v>
      </c>
      <c r="M539" s="134" t="s">
        <v>1443</v>
      </c>
      <c r="N539" s="134" t="s">
        <v>1443</v>
      </c>
      <c r="O539" s="134">
        <v>3.6</v>
      </c>
      <c r="P539" s="134" t="s">
        <v>1443</v>
      </c>
      <c r="Q539" s="134" t="s">
        <v>1443</v>
      </c>
      <c r="R539" s="109"/>
      <c r="S539" s="109"/>
      <c r="T539" s="109"/>
      <c r="U539" s="109"/>
      <c r="V539" s="109"/>
    </row>
    <row r="540" spans="2:22" ht="12.75" hidden="1" customHeight="1" outlineLevel="1" x14ac:dyDescent="0.2">
      <c r="B540" s="8" t="s">
        <v>373</v>
      </c>
      <c r="C540" s="118" t="s">
        <v>192</v>
      </c>
      <c r="D540" s="46" t="s">
        <v>192</v>
      </c>
      <c r="E540" s="41"/>
      <c r="F540" s="134"/>
      <c r="G540" s="134"/>
      <c r="H540" s="134"/>
      <c r="I540" s="134"/>
      <c r="J540" s="134"/>
      <c r="K540" s="134"/>
      <c r="L540" s="134"/>
      <c r="M540" s="134"/>
      <c r="N540" s="134"/>
      <c r="O540" s="134"/>
      <c r="P540" s="134"/>
      <c r="Q540" s="134"/>
    </row>
    <row r="541" spans="2:22" ht="12.75" hidden="1" customHeight="1" outlineLevel="1" x14ac:dyDescent="0.2">
      <c r="B541" s="5" t="s">
        <v>461</v>
      </c>
      <c r="C541" s="118" t="s">
        <v>1137</v>
      </c>
      <c r="D541" s="46">
        <v>299548</v>
      </c>
      <c r="E541" s="41"/>
      <c r="F541" s="134" t="s">
        <v>1443</v>
      </c>
      <c r="G541" s="134" t="s">
        <v>1443</v>
      </c>
      <c r="H541" s="134" t="s">
        <v>1443</v>
      </c>
      <c r="I541" s="134" t="s">
        <v>1443</v>
      </c>
      <c r="J541" s="134" t="s">
        <v>1443</v>
      </c>
      <c r="K541" s="134" t="s">
        <v>1443</v>
      </c>
      <c r="L541" s="134" t="s">
        <v>1443</v>
      </c>
      <c r="M541" s="134" t="s">
        <v>1443</v>
      </c>
      <c r="N541" s="134" t="s">
        <v>1443</v>
      </c>
      <c r="O541" s="134" t="s">
        <v>1443</v>
      </c>
      <c r="P541" s="134" t="s">
        <v>1443</v>
      </c>
      <c r="Q541" s="134" t="s">
        <v>1443</v>
      </c>
      <c r="R541" s="109"/>
      <c r="S541" s="109"/>
      <c r="T541" s="109"/>
      <c r="U541" s="109"/>
      <c r="V541" s="109"/>
    </row>
    <row r="542" spans="2:22" ht="12.75" hidden="1" customHeight="1" outlineLevel="1" x14ac:dyDescent="0.2">
      <c r="B542" s="5" t="s">
        <v>460</v>
      </c>
      <c r="C542" s="118" t="s">
        <v>1138</v>
      </c>
      <c r="D542" s="46">
        <v>299549</v>
      </c>
      <c r="E542" s="41"/>
      <c r="F542" s="134" t="s">
        <v>1443</v>
      </c>
      <c r="G542" s="134" t="s">
        <v>1443</v>
      </c>
      <c r="H542" s="134" t="s">
        <v>1443</v>
      </c>
      <c r="I542" s="134" t="s">
        <v>1443</v>
      </c>
      <c r="J542" s="134" t="s">
        <v>1443</v>
      </c>
      <c r="K542" s="134" t="s">
        <v>1443</v>
      </c>
      <c r="L542" s="134" t="s">
        <v>1443</v>
      </c>
      <c r="M542" s="134" t="s">
        <v>1443</v>
      </c>
      <c r="N542" s="134" t="s">
        <v>1443</v>
      </c>
      <c r="O542" s="134" t="s">
        <v>1443</v>
      </c>
      <c r="P542" s="134" t="s">
        <v>1443</v>
      </c>
      <c r="Q542" s="134" t="s">
        <v>1443</v>
      </c>
      <c r="R542" s="109"/>
      <c r="S542" s="109"/>
      <c r="T542" s="109"/>
      <c r="U542" s="109"/>
      <c r="V542" s="109"/>
    </row>
    <row r="543" spans="2:22" ht="12.75" hidden="1" customHeight="1" outlineLevel="1" x14ac:dyDescent="0.2">
      <c r="B543" s="5" t="s">
        <v>459</v>
      </c>
      <c r="C543" s="118" t="s">
        <v>1139</v>
      </c>
      <c r="D543" s="46">
        <v>299550</v>
      </c>
      <c r="E543" s="41"/>
      <c r="F543" s="134" t="s">
        <v>1443</v>
      </c>
      <c r="G543" s="134" t="s">
        <v>1443</v>
      </c>
      <c r="H543" s="134" t="s">
        <v>1443</v>
      </c>
      <c r="I543" s="134" t="s">
        <v>1443</v>
      </c>
      <c r="J543" s="134" t="s">
        <v>1443</v>
      </c>
      <c r="K543" s="134" t="s">
        <v>1443</v>
      </c>
      <c r="L543" s="134" t="s">
        <v>1443</v>
      </c>
      <c r="M543" s="134" t="s">
        <v>1443</v>
      </c>
      <c r="N543" s="134" t="s">
        <v>1443</v>
      </c>
      <c r="O543" s="134" t="s">
        <v>1443</v>
      </c>
      <c r="P543" s="134" t="s">
        <v>1443</v>
      </c>
      <c r="Q543" s="134" t="s">
        <v>1443</v>
      </c>
      <c r="R543" s="109"/>
      <c r="S543" s="109"/>
      <c r="T543" s="109"/>
      <c r="U543" s="109"/>
      <c r="V543" s="109"/>
    </row>
    <row r="544" spans="2:22" ht="12.75" hidden="1" customHeight="1" outlineLevel="1" x14ac:dyDescent="0.2">
      <c r="B544" s="5" t="s">
        <v>458</v>
      </c>
      <c r="C544" s="118" t="s">
        <v>1140</v>
      </c>
      <c r="D544" s="46">
        <v>299551</v>
      </c>
      <c r="E544" s="41"/>
      <c r="F544" s="134" t="s">
        <v>1443</v>
      </c>
      <c r="G544" s="134" t="s">
        <v>1443</v>
      </c>
      <c r="H544" s="134" t="s">
        <v>1443</v>
      </c>
      <c r="I544" s="134" t="s">
        <v>1443</v>
      </c>
      <c r="J544" s="134" t="s">
        <v>1443</v>
      </c>
      <c r="K544" s="134" t="s">
        <v>1443</v>
      </c>
      <c r="L544" s="134" t="s">
        <v>1443</v>
      </c>
      <c r="M544" s="134" t="s">
        <v>1443</v>
      </c>
      <c r="N544" s="134" t="s">
        <v>1443</v>
      </c>
      <c r="O544" s="134" t="s">
        <v>1443</v>
      </c>
      <c r="P544" s="134" t="s">
        <v>1443</v>
      </c>
      <c r="Q544" s="134" t="s">
        <v>1443</v>
      </c>
      <c r="R544" s="109"/>
      <c r="S544" s="109"/>
      <c r="T544" s="109"/>
      <c r="U544" s="109"/>
      <c r="V544" s="109"/>
    </row>
    <row r="545" spans="2:22" ht="12.75" hidden="1" customHeight="1" outlineLevel="1" x14ac:dyDescent="0.2">
      <c r="B545" s="5" t="s">
        <v>368</v>
      </c>
      <c r="C545" s="118" t="s">
        <v>1141</v>
      </c>
      <c r="D545" s="46">
        <v>299561</v>
      </c>
      <c r="E545" s="41"/>
      <c r="F545" s="134" t="s">
        <v>1443</v>
      </c>
      <c r="G545" s="134" t="s">
        <v>1443</v>
      </c>
      <c r="H545" s="134" t="s">
        <v>1443</v>
      </c>
      <c r="I545" s="134" t="s">
        <v>1443</v>
      </c>
      <c r="J545" s="134" t="s">
        <v>1443</v>
      </c>
      <c r="K545" s="134" t="s">
        <v>1443</v>
      </c>
      <c r="L545" s="134" t="s">
        <v>1443</v>
      </c>
      <c r="M545" s="134" t="s">
        <v>1443</v>
      </c>
      <c r="N545" s="134" t="s">
        <v>1443</v>
      </c>
      <c r="O545" s="134" t="s">
        <v>1443</v>
      </c>
      <c r="P545" s="134" t="s">
        <v>1443</v>
      </c>
      <c r="Q545" s="134" t="s">
        <v>1443</v>
      </c>
      <c r="R545" s="22"/>
      <c r="S545" s="109"/>
      <c r="T545" s="109"/>
      <c r="U545" s="109"/>
      <c r="V545" s="109"/>
    </row>
    <row r="546" spans="2:22" ht="12.75" hidden="1" customHeight="1" outlineLevel="1" x14ac:dyDescent="0.2">
      <c r="B546" s="5" t="s">
        <v>367</v>
      </c>
      <c r="C546" s="118" t="s">
        <v>1142</v>
      </c>
      <c r="D546" s="46">
        <v>299562</v>
      </c>
      <c r="E546" s="41"/>
      <c r="F546" s="134" t="s">
        <v>1443</v>
      </c>
      <c r="G546" s="134" t="s">
        <v>1443</v>
      </c>
      <c r="H546" s="134" t="s">
        <v>1443</v>
      </c>
      <c r="I546" s="134" t="s">
        <v>1443</v>
      </c>
      <c r="J546" s="134" t="s">
        <v>1443</v>
      </c>
      <c r="K546" s="134" t="s">
        <v>1443</v>
      </c>
      <c r="L546" s="134" t="s">
        <v>1443</v>
      </c>
      <c r="M546" s="134" t="s">
        <v>1443</v>
      </c>
      <c r="N546" s="134" t="s">
        <v>1443</v>
      </c>
      <c r="O546" s="134" t="s">
        <v>1443</v>
      </c>
      <c r="P546" s="134" t="s">
        <v>1443</v>
      </c>
      <c r="Q546" s="134" t="s">
        <v>1443</v>
      </c>
      <c r="R546" s="22"/>
      <c r="S546" s="109"/>
      <c r="T546" s="109"/>
      <c r="U546" s="109"/>
      <c r="V546" s="109"/>
    </row>
    <row r="547" spans="2:22" ht="12.75" hidden="1" customHeight="1" outlineLevel="1" x14ac:dyDescent="0.2">
      <c r="B547" s="5" t="s">
        <v>366</v>
      </c>
      <c r="C547" s="118" t="s">
        <v>1143</v>
      </c>
      <c r="D547" s="46">
        <v>299563</v>
      </c>
      <c r="E547" s="41"/>
      <c r="F547" s="134" t="s">
        <v>1443</v>
      </c>
      <c r="G547" s="134" t="s">
        <v>1443</v>
      </c>
      <c r="H547" s="134" t="s">
        <v>1443</v>
      </c>
      <c r="I547" s="134" t="s">
        <v>1443</v>
      </c>
      <c r="J547" s="134" t="s">
        <v>1443</v>
      </c>
      <c r="K547" s="134" t="s">
        <v>1443</v>
      </c>
      <c r="L547" s="134" t="s">
        <v>1443</v>
      </c>
      <c r="M547" s="134" t="s">
        <v>1443</v>
      </c>
      <c r="N547" s="134" t="s">
        <v>1443</v>
      </c>
      <c r="O547" s="134" t="s">
        <v>1443</v>
      </c>
      <c r="P547" s="134" t="s">
        <v>1443</v>
      </c>
      <c r="Q547" s="134" t="s">
        <v>1443</v>
      </c>
      <c r="R547" s="22"/>
      <c r="S547" s="109"/>
      <c r="T547" s="109"/>
      <c r="U547" s="109"/>
      <c r="V547" s="109"/>
    </row>
    <row r="548" spans="2:22" ht="12.75" hidden="1" customHeight="1" outlineLevel="1" x14ac:dyDescent="0.2">
      <c r="B548" s="5" t="s">
        <v>457</v>
      </c>
      <c r="C548" s="118" t="s">
        <v>1144</v>
      </c>
      <c r="D548" s="46">
        <v>299552</v>
      </c>
      <c r="E548" s="41"/>
      <c r="F548" s="134" t="s">
        <v>1443</v>
      </c>
      <c r="G548" s="134" t="s">
        <v>1443</v>
      </c>
      <c r="H548" s="134" t="s">
        <v>1443</v>
      </c>
      <c r="I548" s="134" t="s">
        <v>1443</v>
      </c>
      <c r="J548" s="134" t="s">
        <v>1443</v>
      </c>
      <c r="K548" s="134" t="s">
        <v>1443</v>
      </c>
      <c r="L548" s="134" t="s">
        <v>1443</v>
      </c>
      <c r="M548" s="134" t="s">
        <v>1443</v>
      </c>
      <c r="N548" s="134" t="s">
        <v>1443</v>
      </c>
      <c r="O548" s="134" t="s">
        <v>1443</v>
      </c>
      <c r="P548" s="134" t="s">
        <v>1443</v>
      </c>
      <c r="Q548" s="134" t="s">
        <v>1443</v>
      </c>
      <c r="R548" s="109"/>
      <c r="S548" s="109"/>
      <c r="T548" s="109"/>
      <c r="U548" s="109"/>
      <c r="V548" s="109"/>
    </row>
    <row r="549" spans="2:22" ht="12.75" hidden="1" customHeight="1" outlineLevel="1" x14ac:dyDescent="0.2">
      <c r="B549" s="8" t="s">
        <v>364</v>
      </c>
      <c r="C549" s="118" t="s">
        <v>192</v>
      </c>
      <c r="D549" s="46" t="s">
        <v>192</v>
      </c>
      <c r="E549" s="41"/>
      <c r="F549" s="134"/>
      <c r="G549" s="134"/>
      <c r="H549" s="134"/>
      <c r="I549" s="134"/>
      <c r="J549" s="134"/>
      <c r="K549" s="134"/>
      <c r="L549" s="134"/>
      <c r="M549" s="134"/>
      <c r="N549" s="134"/>
      <c r="O549" s="134"/>
      <c r="P549" s="134"/>
      <c r="Q549" s="134"/>
    </row>
    <row r="550" spans="2:22" ht="12.75" hidden="1" customHeight="1" outlineLevel="1" x14ac:dyDescent="0.2">
      <c r="B550" s="5" t="s">
        <v>456</v>
      </c>
      <c r="C550" s="118" t="s">
        <v>1145</v>
      </c>
      <c r="D550" s="46">
        <v>299553</v>
      </c>
      <c r="E550" s="41"/>
      <c r="F550" s="134" t="s">
        <v>1443</v>
      </c>
      <c r="G550" s="134" t="s">
        <v>1443</v>
      </c>
      <c r="H550" s="134" t="s">
        <v>1443</v>
      </c>
      <c r="I550" s="134" t="s">
        <v>1443</v>
      </c>
      <c r="J550" s="134" t="s">
        <v>1443</v>
      </c>
      <c r="K550" s="134" t="s">
        <v>1443</v>
      </c>
      <c r="L550" s="134" t="s">
        <v>1443</v>
      </c>
      <c r="M550" s="134" t="s">
        <v>1443</v>
      </c>
      <c r="N550" s="134" t="s">
        <v>1443</v>
      </c>
      <c r="O550" s="134" t="s">
        <v>1443</v>
      </c>
      <c r="P550" s="134" t="s">
        <v>1443</v>
      </c>
      <c r="Q550" s="134" t="s">
        <v>1443</v>
      </c>
      <c r="R550" s="109"/>
      <c r="S550" s="109"/>
      <c r="T550" s="109"/>
      <c r="U550" s="109"/>
      <c r="V550" s="109"/>
    </row>
    <row r="551" spans="2:22" ht="12.75" hidden="1" customHeight="1" outlineLevel="1" x14ac:dyDescent="0.2">
      <c r="B551" s="5" t="s">
        <v>455</v>
      </c>
      <c r="C551" s="118" t="s">
        <v>1146</v>
      </c>
      <c r="D551" s="46">
        <v>299554</v>
      </c>
      <c r="E551" s="41"/>
      <c r="F551" s="134" t="s">
        <v>1443</v>
      </c>
      <c r="G551" s="134" t="s">
        <v>1443</v>
      </c>
      <c r="H551" s="134" t="s">
        <v>1443</v>
      </c>
      <c r="I551" s="134" t="s">
        <v>1443</v>
      </c>
      <c r="J551" s="134" t="s">
        <v>1443</v>
      </c>
      <c r="K551" s="134" t="s">
        <v>1443</v>
      </c>
      <c r="L551" s="134" t="s">
        <v>1443</v>
      </c>
      <c r="M551" s="134" t="s">
        <v>1443</v>
      </c>
      <c r="N551" s="134" t="s">
        <v>1443</v>
      </c>
      <c r="O551" s="134" t="s">
        <v>1443</v>
      </c>
      <c r="P551" s="134" t="s">
        <v>1443</v>
      </c>
      <c r="Q551" s="134" t="s">
        <v>1443</v>
      </c>
      <c r="R551" s="109"/>
      <c r="S551" s="109"/>
      <c r="T551" s="109"/>
      <c r="U551" s="109"/>
      <c r="V551" s="109"/>
    </row>
    <row r="552" spans="2:22" ht="12.75" hidden="1" customHeight="1" outlineLevel="1" x14ac:dyDescent="0.2">
      <c r="B552" s="5" t="s">
        <v>454</v>
      </c>
      <c r="C552" s="118" t="s">
        <v>1147</v>
      </c>
      <c r="D552" s="46">
        <v>299555</v>
      </c>
      <c r="E552" s="41"/>
      <c r="F552" s="134" t="s">
        <v>1443</v>
      </c>
      <c r="G552" s="134">
        <v>-13.700000000000001</v>
      </c>
      <c r="H552" s="134" t="s">
        <v>1443</v>
      </c>
      <c r="I552" s="134" t="s">
        <v>1443</v>
      </c>
      <c r="J552" s="134" t="s">
        <v>1443</v>
      </c>
      <c r="K552" s="134">
        <v>-11.3</v>
      </c>
      <c r="L552" s="134" t="s">
        <v>1443</v>
      </c>
      <c r="M552" s="134" t="s">
        <v>1443</v>
      </c>
      <c r="N552" s="134" t="s">
        <v>1443</v>
      </c>
      <c r="O552" s="134">
        <v>-9.2000000000000011</v>
      </c>
      <c r="P552" s="134" t="s">
        <v>1443</v>
      </c>
      <c r="Q552" s="134" t="s">
        <v>1443</v>
      </c>
      <c r="R552" s="109"/>
      <c r="S552" s="109"/>
      <c r="T552" s="109"/>
      <c r="U552" s="109"/>
      <c r="V552" s="109"/>
    </row>
    <row r="553" spans="2:22" ht="12.75" hidden="1" customHeight="1" outlineLevel="1" x14ac:dyDescent="0.2">
      <c r="B553" s="8" t="s">
        <v>360</v>
      </c>
      <c r="C553" s="118" t="s">
        <v>192</v>
      </c>
      <c r="D553" s="46" t="s">
        <v>192</v>
      </c>
      <c r="E553" s="41"/>
      <c r="F553" s="134"/>
      <c r="G553" s="134"/>
      <c r="H553" s="134"/>
      <c r="I553" s="134"/>
      <c r="J553" s="134"/>
      <c r="K553" s="134"/>
      <c r="L553" s="134"/>
      <c r="M553" s="134"/>
      <c r="N553" s="134"/>
      <c r="O553" s="134"/>
      <c r="P553" s="134"/>
      <c r="Q553" s="134"/>
    </row>
    <row r="554" spans="2:22" ht="12.75" hidden="1" customHeight="1" outlineLevel="1" x14ac:dyDescent="0.2">
      <c r="B554" s="5" t="s">
        <v>453</v>
      </c>
      <c r="C554" s="118" t="s">
        <v>1148</v>
      </c>
      <c r="D554" s="46">
        <v>299566</v>
      </c>
      <c r="E554" s="41"/>
      <c r="F554" s="134" t="s">
        <v>1443</v>
      </c>
      <c r="G554" s="134" t="s">
        <v>1443</v>
      </c>
      <c r="H554" s="134" t="s">
        <v>1443</v>
      </c>
      <c r="I554" s="134" t="s">
        <v>1443</v>
      </c>
      <c r="J554" s="134" t="s">
        <v>1443</v>
      </c>
      <c r="K554" s="134" t="s">
        <v>1443</v>
      </c>
      <c r="L554" s="134" t="s">
        <v>1443</v>
      </c>
      <c r="M554" s="134" t="s">
        <v>1443</v>
      </c>
      <c r="N554" s="134" t="s">
        <v>1443</v>
      </c>
      <c r="O554" s="134" t="s">
        <v>1443</v>
      </c>
      <c r="P554" s="134" t="s">
        <v>1443</v>
      </c>
      <c r="Q554" s="134" t="s">
        <v>1443</v>
      </c>
      <c r="R554" s="109"/>
      <c r="S554" s="109"/>
      <c r="T554" s="109"/>
      <c r="U554" s="109"/>
      <c r="V554" s="109"/>
    </row>
    <row r="555" spans="2:22" ht="12.75" hidden="1" customHeight="1" outlineLevel="1" x14ac:dyDescent="0.2">
      <c r="B555" s="5" t="s">
        <v>452</v>
      </c>
      <c r="C555" s="118" t="s">
        <v>1149</v>
      </c>
      <c r="D555" s="46">
        <v>299567</v>
      </c>
      <c r="E555" s="41"/>
      <c r="F555" s="134" t="s">
        <v>1443</v>
      </c>
      <c r="G555" s="134" t="s">
        <v>1443</v>
      </c>
      <c r="H555" s="134" t="s">
        <v>1443</v>
      </c>
      <c r="I555" s="134" t="s">
        <v>1443</v>
      </c>
      <c r="J555" s="134" t="s">
        <v>1443</v>
      </c>
      <c r="K555" s="134" t="s">
        <v>1443</v>
      </c>
      <c r="L555" s="134" t="s">
        <v>1443</v>
      </c>
      <c r="M555" s="134" t="s">
        <v>1443</v>
      </c>
      <c r="N555" s="134" t="s">
        <v>1443</v>
      </c>
      <c r="O555" s="134" t="s">
        <v>1443</v>
      </c>
      <c r="P555" s="134" t="s">
        <v>1443</v>
      </c>
      <c r="Q555" s="134" t="s">
        <v>1443</v>
      </c>
      <c r="R555" s="109"/>
      <c r="S555" s="109"/>
      <c r="T555" s="109"/>
      <c r="U555" s="109"/>
      <c r="V555" s="109"/>
    </row>
    <row r="556" spans="2:22" ht="12.75" hidden="1" customHeight="1" outlineLevel="1" x14ac:dyDescent="0.2">
      <c r="B556" s="5" t="s">
        <v>451</v>
      </c>
      <c r="C556" s="118" t="s">
        <v>1150</v>
      </c>
      <c r="D556" s="46">
        <v>299568</v>
      </c>
      <c r="E556" s="41"/>
      <c r="F556" s="134" t="s">
        <v>1443</v>
      </c>
      <c r="G556" s="134" t="s">
        <v>1443</v>
      </c>
      <c r="H556" s="134" t="s">
        <v>1443</v>
      </c>
      <c r="I556" s="134" t="s">
        <v>1443</v>
      </c>
      <c r="J556" s="134" t="s">
        <v>1443</v>
      </c>
      <c r="K556" s="134" t="s">
        <v>1443</v>
      </c>
      <c r="L556" s="134" t="s">
        <v>1443</v>
      </c>
      <c r="M556" s="134" t="s">
        <v>1443</v>
      </c>
      <c r="N556" s="134" t="s">
        <v>1443</v>
      </c>
      <c r="O556" s="134" t="s">
        <v>1443</v>
      </c>
      <c r="P556" s="134" t="s">
        <v>1443</v>
      </c>
      <c r="Q556" s="134" t="s">
        <v>1443</v>
      </c>
      <c r="R556" s="109"/>
      <c r="S556" s="109"/>
      <c r="T556" s="109"/>
      <c r="U556" s="109"/>
      <c r="V556" s="109"/>
    </row>
    <row r="557" spans="2:22" ht="12.75" hidden="1" customHeight="1" outlineLevel="1" x14ac:dyDescent="0.2">
      <c r="B557" s="5" t="s">
        <v>450</v>
      </c>
      <c r="C557" s="118" t="s">
        <v>1151</v>
      </c>
      <c r="D557" s="46">
        <v>299569</v>
      </c>
      <c r="E557" s="41"/>
      <c r="F557" s="134" t="s">
        <v>1443</v>
      </c>
      <c r="G557" s="134" t="s">
        <v>1443</v>
      </c>
      <c r="H557" s="134" t="s">
        <v>1443</v>
      </c>
      <c r="I557" s="134" t="s">
        <v>1443</v>
      </c>
      <c r="J557" s="134" t="s">
        <v>1443</v>
      </c>
      <c r="K557" s="134" t="s">
        <v>1443</v>
      </c>
      <c r="L557" s="134" t="s">
        <v>1443</v>
      </c>
      <c r="M557" s="134" t="s">
        <v>1443</v>
      </c>
      <c r="N557" s="134" t="s">
        <v>1443</v>
      </c>
      <c r="O557" s="134" t="s">
        <v>1443</v>
      </c>
      <c r="P557" s="134" t="s">
        <v>1443</v>
      </c>
      <c r="Q557" s="134" t="s">
        <v>1443</v>
      </c>
      <c r="R557" s="109"/>
      <c r="S557" s="109"/>
      <c r="T557" s="109"/>
      <c r="U557" s="109"/>
      <c r="V557" s="109"/>
    </row>
    <row r="558" spans="2:22" ht="12.75" hidden="1" customHeight="1" outlineLevel="1" x14ac:dyDescent="0.2">
      <c r="B558" s="8" t="s">
        <v>355</v>
      </c>
      <c r="C558" s="118" t="s">
        <v>192</v>
      </c>
      <c r="D558" s="46" t="s">
        <v>192</v>
      </c>
      <c r="E558" s="41"/>
      <c r="F558" s="134"/>
      <c r="G558" s="134"/>
      <c r="H558" s="134"/>
      <c r="I558" s="134"/>
      <c r="J558" s="134"/>
      <c r="K558" s="134"/>
      <c r="L558" s="134"/>
      <c r="M558" s="134"/>
      <c r="N558" s="134"/>
      <c r="O558" s="134"/>
      <c r="P558" s="134"/>
      <c r="Q558" s="134"/>
    </row>
    <row r="559" spans="2:22" ht="12.75" hidden="1" customHeight="1" outlineLevel="1" x14ac:dyDescent="0.2">
      <c r="B559" s="5" t="s">
        <v>449</v>
      </c>
      <c r="C559" s="118" t="s">
        <v>875</v>
      </c>
      <c r="D559" s="46">
        <v>299564</v>
      </c>
      <c r="E559" s="41"/>
      <c r="F559" s="134" t="s">
        <v>1443</v>
      </c>
      <c r="G559" s="134" t="s">
        <v>1443</v>
      </c>
      <c r="H559" s="134" t="s">
        <v>1443</v>
      </c>
      <c r="I559" s="134" t="s">
        <v>1443</v>
      </c>
      <c r="J559" s="134" t="s">
        <v>1443</v>
      </c>
      <c r="K559" s="134" t="s">
        <v>1443</v>
      </c>
      <c r="L559" s="134" t="s">
        <v>1443</v>
      </c>
      <c r="M559" s="134" t="s">
        <v>1443</v>
      </c>
      <c r="N559" s="134" t="s">
        <v>1443</v>
      </c>
      <c r="O559" s="134" t="s">
        <v>1443</v>
      </c>
      <c r="P559" s="134" t="s">
        <v>1443</v>
      </c>
      <c r="Q559" s="134" t="s">
        <v>1443</v>
      </c>
      <c r="R559" s="91"/>
      <c r="S559" s="91"/>
      <c r="T559" s="91"/>
      <c r="U559" s="91"/>
      <c r="V559" s="91"/>
    </row>
    <row r="560" spans="2:22" ht="12.75" hidden="1" customHeight="1" outlineLevel="1" x14ac:dyDescent="0.2">
      <c r="B560" s="5" t="s">
        <v>448</v>
      </c>
      <c r="C560" s="118" t="s">
        <v>876</v>
      </c>
      <c r="D560" s="46">
        <v>299565</v>
      </c>
      <c r="E560" s="41"/>
      <c r="F560" s="134" t="s">
        <v>1443</v>
      </c>
      <c r="G560" s="134" t="s">
        <v>1443</v>
      </c>
      <c r="H560" s="134" t="s">
        <v>1443</v>
      </c>
      <c r="I560" s="134" t="s">
        <v>1443</v>
      </c>
      <c r="J560" s="134" t="s">
        <v>1443</v>
      </c>
      <c r="K560" s="134" t="s">
        <v>1443</v>
      </c>
      <c r="L560" s="134" t="s">
        <v>1443</v>
      </c>
      <c r="M560" s="134" t="s">
        <v>1443</v>
      </c>
      <c r="N560" s="134" t="s">
        <v>1443</v>
      </c>
      <c r="O560" s="134" t="s">
        <v>1443</v>
      </c>
      <c r="P560" s="134" t="s">
        <v>1443</v>
      </c>
      <c r="Q560" s="134" t="s">
        <v>1443</v>
      </c>
      <c r="R560" s="91"/>
      <c r="S560" s="91"/>
      <c r="T560" s="91"/>
      <c r="U560" s="91"/>
      <c r="V560" s="91"/>
    </row>
    <row r="561" spans="2:22" ht="12.75" hidden="1" customHeight="1" outlineLevel="1" x14ac:dyDescent="0.2">
      <c r="C561" s="118" t="s">
        <v>192</v>
      </c>
      <c r="D561" s="46" t="s">
        <v>192</v>
      </c>
      <c r="E561" s="41"/>
      <c r="F561" s="134"/>
      <c r="G561" s="134"/>
      <c r="H561" s="134"/>
      <c r="I561" s="134"/>
      <c r="J561" s="134"/>
      <c r="K561" s="134"/>
      <c r="L561" s="134"/>
      <c r="M561" s="134"/>
      <c r="N561" s="134"/>
      <c r="O561" s="134"/>
      <c r="P561" s="134"/>
      <c r="Q561" s="134"/>
    </row>
    <row r="562" spans="2:22" ht="12.75" hidden="1" customHeight="1" outlineLevel="1" x14ac:dyDescent="0.2">
      <c r="B562" s="8" t="s">
        <v>447</v>
      </c>
      <c r="C562" s="118" t="s">
        <v>192</v>
      </c>
      <c r="D562" s="46" t="s">
        <v>192</v>
      </c>
      <c r="E562" s="41"/>
      <c r="F562" s="134"/>
      <c r="G562" s="134"/>
      <c r="H562" s="134"/>
      <c r="I562" s="134"/>
      <c r="J562" s="134"/>
      <c r="K562" s="134"/>
      <c r="L562" s="134"/>
      <c r="M562" s="134"/>
      <c r="N562" s="134"/>
      <c r="O562" s="134"/>
      <c r="P562" s="134"/>
      <c r="Q562" s="134"/>
    </row>
    <row r="563" spans="2:22" ht="12.75" hidden="1" customHeight="1" outlineLevel="1" x14ac:dyDescent="0.2">
      <c r="B563" s="8" t="s">
        <v>432</v>
      </c>
      <c r="C563" s="118" t="s">
        <v>192</v>
      </c>
      <c r="D563" s="46" t="s">
        <v>192</v>
      </c>
      <c r="E563" s="41"/>
      <c r="F563" s="134"/>
      <c r="G563" s="134"/>
      <c r="H563" s="134"/>
      <c r="I563" s="134"/>
      <c r="J563" s="134"/>
      <c r="K563" s="134"/>
      <c r="L563" s="134"/>
      <c r="M563" s="134"/>
      <c r="N563" s="134"/>
      <c r="O563" s="134"/>
      <c r="P563" s="134"/>
      <c r="Q563" s="134"/>
    </row>
    <row r="564" spans="2:22" ht="12.75" hidden="1" customHeight="1" outlineLevel="1" x14ac:dyDescent="0.2">
      <c r="B564" s="5" t="s">
        <v>424</v>
      </c>
      <c r="C564" s="118" t="s">
        <v>1152</v>
      </c>
      <c r="D564" s="46">
        <v>299334</v>
      </c>
      <c r="E564" s="41"/>
      <c r="F564" s="134">
        <v>0.9</v>
      </c>
      <c r="G564" s="134" t="s">
        <v>1443</v>
      </c>
      <c r="H564" s="134">
        <v>1.1000000000000001</v>
      </c>
      <c r="I564" s="134">
        <v>1.2</v>
      </c>
      <c r="J564" s="134">
        <v>0.4</v>
      </c>
      <c r="K564" s="134" t="s">
        <v>1443</v>
      </c>
      <c r="L564" s="134">
        <v>0.70000000000000007</v>
      </c>
      <c r="M564" s="134">
        <v>0.70000000000000007</v>
      </c>
      <c r="N564" s="134">
        <v>0.6</v>
      </c>
      <c r="O564" s="134" t="s">
        <v>1443</v>
      </c>
      <c r="P564" s="134">
        <v>0.8</v>
      </c>
      <c r="Q564" s="134">
        <v>0.70000000000000007</v>
      </c>
      <c r="R564" s="109"/>
      <c r="S564" s="109"/>
      <c r="T564" s="109"/>
      <c r="U564" s="109"/>
      <c r="V564" s="109"/>
    </row>
    <row r="565" spans="2:22" ht="12.75" hidden="1" customHeight="1" outlineLevel="1" x14ac:dyDescent="0.2">
      <c r="B565" s="5" t="s">
        <v>423</v>
      </c>
      <c r="C565" s="118" t="s">
        <v>1153</v>
      </c>
      <c r="D565" s="46">
        <v>299335</v>
      </c>
      <c r="E565" s="41"/>
      <c r="F565" s="134">
        <v>6.2</v>
      </c>
      <c r="G565" s="134" t="s">
        <v>1443</v>
      </c>
      <c r="H565" s="134">
        <v>7.3</v>
      </c>
      <c r="I565" s="134">
        <v>7.2</v>
      </c>
      <c r="J565" s="134">
        <v>7.5</v>
      </c>
      <c r="K565" s="134" t="s">
        <v>1443</v>
      </c>
      <c r="L565" s="134">
        <v>12.6</v>
      </c>
      <c r="M565" s="134">
        <v>12.5</v>
      </c>
      <c r="N565" s="134">
        <v>12.6</v>
      </c>
      <c r="O565" s="134" t="s">
        <v>1443</v>
      </c>
      <c r="P565" s="134">
        <v>11.9</v>
      </c>
      <c r="Q565" s="134">
        <v>11.9</v>
      </c>
      <c r="R565" s="109"/>
      <c r="S565" s="109"/>
      <c r="T565" s="109"/>
      <c r="U565" s="109"/>
      <c r="V565" s="109"/>
    </row>
    <row r="566" spans="2:22" ht="12.75" hidden="1" customHeight="1" outlineLevel="1" x14ac:dyDescent="0.2">
      <c r="B566" s="5" t="s">
        <v>446</v>
      </c>
      <c r="C566" s="118" t="s">
        <v>1154</v>
      </c>
      <c r="D566" s="46">
        <v>299336</v>
      </c>
      <c r="E566" s="41"/>
      <c r="F566" s="134">
        <v>-8</v>
      </c>
      <c r="G566" s="134" t="s">
        <v>1443</v>
      </c>
      <c r="H566" s="134">
        <v>-7.8</v>
      </c>
      <c r="I566" s="134">
        <v>-7.7</v>
      </c>
      <c r="J566" s="134">
        <v>-9.3000000000000007</v>
      </c>
      <c r="K566" s="134" t="s">
        <v>1443</v>
      </c>
      <c r="L566" s="134">
        <v>-11.9</v>
      </c>
      <c r="M566" s="134">
        <v>-11.8</v>
      </c>
      <c r="N566" s="134">
        <v>-11.8</v>
      </c>
      <c r="O566" s="134" t="s">
        <v>1443</v>
      </c>
      <c r="P566" s="134">
        <v>-11.200000000000001</v>
      </c>
      <c r="Q566" s="134">
        <v>-11.200000000000001</v>
      </c>
      <c r="R566" s="109"/>
      <c r="S566" s="109"/>
      <c r="T566" s="109"/>
      <c r="U566" s="109"/>
      <c r="V566" s="109"/>
    </row>
    <row r="567" spans="2:22" ht="12.75" hidden="1" customHeight="1" outlineLevel="1" x14ac:dyDescent="0.2">
      <c r="B567" s="5" t="s">
        <v>430</v>
      </c>
      <c r="C567" s="118" t="s">
        <v>1155</v>
      </c>
      <c r="D567" s="46">
        <v>299338</v>
      </c>
      <c r="E567" s="41"/>
      <c r="F567" s="134">
        <v>3.5</v>
      </c>
      <c r="G567" s="134" t="s">
        <v>1443</v>
      </c>
      <c r="H567" s="134">
        <v>4.9000000000000004</v>
      </c>
      <c r="I567" s="134">
        <v>4.6000000000000005</v>
      </c>
      <c r="J567" s="134">
        <v>0.3</v>
      </c>
      <c r="K567" s="134" t="s">
        <v>1443</v>
      </c>
      <c r="L567" s="134">
        <v>4</v>
      </c>
      <c r="M567" s="134">
        <v>3.9</v>
      </c>
      <c r="N567" s="134">
        <v>3.7</v>
      </c>
      <c r="O567" s="134" t="s">
        <v>1443</v>
      </c>
      <c r="P567" s="134">
        <v>3.6</v>
      </c>
      <c r="Q567" s="134">
        <v>3.6</v>
      </c>
      <c r="R567" s="109"/>
      <c r="S567" s="109"/>
      <c r="T567" s="109"/>
      <c r="U567" s="109"/>
      <c r="V567" s="109"/>
    </row>
    <row r="568" spans="2:22" ht="12.75" hidden="1" customHeight="1" outlineLevel="1" x14ac:dyDescent="0.2">
      <c r="B568" s="5" t="s">
        <v>441</v>
      </c>
      <c r="C568" s="118" t="s">
        <v>1156</v>
      </c>
      <c r="D568" s="46">
        <v>299339</v>
      </c>
      <c r="E568" s="41"/>
      <c r="F568" s="134">
        <v>2.6</v>
      </c>
      <c r="G568" s="134" t="s">
        <v>1443</v>
      </c>
      <c r="H568" s="134">
        <v>5.5</v>
      </c>
      <c r="I568" s="134">
        <v>5.3</v>
      </c>
      <c r="J568" s="134">
        <v>-1.1000000000000001</v>
      </c>
      <c r="K568" s="134" t="s">
        <v>1443</v>
      </c>
      <c r="L568" s="134">
        <v>5.4</v>
      </c>
      <c r="M568" s="134">
        <v>5.3</v>
      </c>
      <c r="N568" s="134">
        <v>5.1000000000000005</v>
      </c>
      <c r="O568" s="134" t="s">
        <v>1443</v>
      </c>
      <c r="P568" s="134">
        <v>5.1000000000000005</v>
      </c>
      <c r="Q568" s="134">
        <v>5</v>
      </c>
      <c r="R568" s="109"/>
      <c r="S568" s="109"/>
      <c r="T568" s="109"/>
      <c r="U568" s="109"/>
      <c r="V568" s="109"/>
    </row>
    <row r="569" spans="2:22" ht="12.75" hidden="1" customHeight="1" outlineLevel="1" x14ac:dyDescent="0.2">
      <c r="B569" s="5" t="s">
        <v>428</v>
      </c>
      <c r="C569" s="118" t="s">
        <v>1157</v>
      </c>
      <c r="D569" s="46">
        <v>299340</v>
      </c>
      <c r="E569" s="41"/>
      <c r="F569" s="134" t="s">
        <v>1443</v>
      </c>
      <c r="G569" s="134" t="s">
        <v>1443</v>
      </c>
      <c r="H569" s="134" t="s">
        <v>1443</v>
      </c>
      <c r="I569" s="134" t="s">
        <v>1443</v>
      </c>
      <c r="J569" s="134" t="s">
        <v>1443</v>
      </c>
      <c r="K569" s="134" t="s">
        <v>1443</v>
      </c>
      <c r="L569" s="134" t="s">
        <v>1443</v>
      </c>
      <c r="M569" s="134" t="s">
        <v>1443</v>
      </c>
      <c r="N569" s="134" t="s">
        <v>1443</v>
      </c>
      <c r="O569" s="134" t="s">
        <v>1443</v>
      </c>
      <c r="P569" s="134" t="s">
        <v>1443</v>
      </c>
      <c r="Q569" s="134" t="s">
        <v>1443</v>
      </c>
      <c r="R569" s="109"/>
      <c r="S569" s="109"/>
      <c r="T569" s="109"/>
      <c r="U569" s="109"/>
      <c r="V569" s="109"/>
    </row>
    <row r="570" spans="2:22" ht="12.75" hidden="1" customHeight="1" outlineLevel="1" x14ac:dyDescent="0.2">
      <c r="B570" s="5" t="s">
        <v>427</v>
      </c>
      <c r="C570" s="118" t="s">
        <v>1158</v>
      </c>
      <c r="D570" s="46">
        <v>299341</v>
      </c>
      <c r="E570" s="41"/>
      <c r="F570" s="134" t="s">
        <v>1443</v>
      </c>
      <c r="G570" s="134" t="s">
        <v>1443</v>
      </c>
      <c r="H570" s="134" t="s">
        <v>1443</v>
      </c>
      <c r="I570" s="134" t="s">
        <v>1443</v>
      </c>
      <c r="J570" s="134" t="s">
        <v>1443</v>
      </c>
      <c r="K570" s="134" t="s">
        <v>1443</v>
      </c>
      <c r="L570" s="134" t="s">
        <v>1443</v>
      </c>
      <c r="M570" s="134" t="s">
        <v>1443</v>
      </c>
      <c r="N570" s="134" t="s">
        <v>1443</v>
      </c>
      <c r="O570" s="134" t="s">
        <v>1443</v>
      </c>
      <c r="P570" s="134" t="s">
        <v>1443</v>
      </c>
      <c r="Q570" s="134" t="s">
        <v>1443</v>
      </c>
      <c r="R570" s="109"/>
      <c r="S570" s="109"/>
      <c r="T570" s="109"/>
      <c r="U570" s="109"/>
      <c r="V570" s="109"/>
    </row>
    <row r="571" spans="2:22" ht="12.75" hidden="1" customHeight="1" outlineLevel="1" x14ac:dyDescent="0.2">
      <c r="B571" s="8" t="s">
        <v>426</v>
      </c>
      <c r="C571" s="118" t="s">
        <v>192</v>
      </c>
      <c r="D571" s="46" t="s">
        <v>192</v>
      </c>
      <c r="E571" s="41"/>
      <c r="F571" s="134"/>
      <c r="G571" s="134"/>
      <c r="H571" s="134"/>
      <c r="I571" s="134"/>
      <c r="J571" s="134"/>
      <c r="K571" s="134"/>
      <c r="L571" s="134"/>
      <c r="M571" s="134"/>
      <c r="N571" s="134"/>
      <c r="O571" s="134"/>
      <c r="P571" s="134"/>
      <c r="Q571" s="134"/>
    </row>
    <row r="572" spans="2:22" ht="12.75" hidden="1" customHeight="1" outlineLevel="1" x14ac:dyDescent="0.2">
      <c r="B572" s="5" t="s">
        <v>425</v>
      </c>
      <c r="C572" s="118" t="s">
        <v>1159</v>
      </c>
      <c r="D572" s="46">
        <v>299352</v>
      </c>
      <c r="E572" s="41"/>
      <c r="F572" s="134" t="s">
        <v>1443</v>
      </c>
      <c r="G572" s="134">
        <v>1450.3</v>
      </c>
      <c r="H572" s="134" t="s">
        <v>1443</v>
      </c>
      <c r="I572" s="134" t="s">
        <v>1443</v>
      </c>
      <c r="J572" s="134" t="s">
        <v>1443</v>
      </c>
      <c r="K572" s="134">
        <v>1354</v>
      </c>
      <c r="L572" s="134" t="s">
        <v>1443</v>
      </c>
      <c r="M572" s="134" t="s">
        <v>1443</v>
      </c>
      <c r="N572" s="134" t="s">
        <v>1443</v>
      </c>
      <c r="O572" s="134">
        <v>1044.3</v>
      </c>
      <c r="P572" s="134" t="s">
        <v>1443</v>
      </c>
      <c r="Q572" s="134" t="s">
        <v>1443</v>
      </c>
      <c r="R572" s="109"/>
      <c r="S572" s="109"/>
      <c r="T572" s="109"/>
      <c r="U572" s="109"/>
      <c r="V572" s="109"/>
    </row>
    <row r="573" spans="2:22" ht="12.75" hidden="1" customHeight="1" outlineLevel="1" x14ac:dyDescent="0.2">
      <c r="B573" s="5" t="s">
        <v>424</v>
      </c>
      <c r="C573" s="118" t="s">
        <v>1152</v>
      </c>
      <c r="D573" s="46">
        <v>299353</v>
      </c>
      <c r="E573" s="41"/>
      <c r="F573" s="134" t="s">
        <v>1443</v>
      </c>
      <c r="G573" s="134">
        <v>4.7</v>
      </c>
      <c r="H573" s="134" t="s">
        <v>1443</v>
      </c>
      <c r="I573" s="134" t="s">
        <v>1443</v>
      </c>
      <c r="J573" s="134" t="s">
        <v>1443</v>
      </c>
      <c r="K573" s="134">
        <v>3.6</v>
      </c>
      <c r="L573" s="134" t="s">
        <v>1443</v>
      </c>
      <c r="M573" s="134" t="s">
        <v>1443</v>
      </c>
      <c r="N573" s="134" t="s">
        <v>1443</v>
      </c>
      <c r="O573" s="134">
        <v>2.6</v>
      </c>
      <c r="P573" s="134" t="s">
        <v>1443</v>
      </c>
      <c r="Q573" s="134" t="s">
        <v>1443</v>
      </c>
      <c r="R573" s="109"/>
      <c r="S573" s="109"/>
      <c r="T573" s="109"/>
      <c r="U573" s="109"/>
      <c r="V573" s="109"/>
    </row>
    <row r="574" spans="2:22" ht="12.75" hidden="1" customHeight="1" outlineLevel="1" x14ac:dyDescent="0.2">
      <c r="B574" s="5" t="s">
        <v>423</v>
      </c>
      <c r="C574" s="118" t="s">
        <v>1153</v>
      </c>
      <c r="D574" s="46">
        <v>299354</v>
      </c>
      <c r="E574" s="41"/>
      <c r="F574" s="134" t="s">
        <v>1443</v>
      </c>
      <c r="G574" s="134">
        <v>24.5</v>
      </c>
      <c r="H574" s="134" t="s">
        <v>1443</v>
      </c>
      <c r="I574" s="134" t="s">
        <v>1443</v>
      </c>
      <c r="J574" s="134" t="s">
        <v>1443</v>
      </c>
      <c r="K574" s="134">
        <v>29.3</v>
      </c>
      <c r="L574" s="134" t="s">
        <v>1443</v>
      </c>
      <c r="M574" s="134" t="s">
        <v>1443</v>
      </c>
      <c r="N574" s="134" t="s">
        <v>1443</v>
      </c>
      <c r="O574" s="134">
        <v>50.4</v>
      </c>
      <c r="P574" s="134" t="s">
        <v>1443</v>
      </c>
      <c r="Q574" s="134" t="s">
        <v>1443</v>
      </c>
      <c r="R574" s="109"/>
      <c r="S574" s="109"/>
      <c r="T574" s="109"/>
      <c r="U574" s="109"/>
      <c r="V574" s="109"/>
    </row>
    <row r="575" spans="2:22" ht="12.75" hidden="1" customHeight="1" outlineLevel="1" x14ac:dyDescent="0.2">
      <c r="B575" s="5" t="s">
        <v>422</v>
      </c>
      <c r="C575" s="118" t="s">
        <v>1160</v>
      </c>
      <c r="D575" s="46">
        <v>299355</v>
      </c>
      <c r="E575" s="41"/>
      <c r="F575" s="134" t="s">
        <v>1443</v>
      </c>
      <c r="G575" s="134" t="s">
        <v>1443</v>
      </c>
      <c r="H575" s="134" t="s">
        <v>1443</v>
      </c>
      <c r="I575" s="134" t="s">
        <v>1443</v>
      </c>
      <c r="J575" s="134" t="s">
        <v>1443</v>
      </c>
      <c r="K575" s="134" t="s">
        <v>1443</v>
      </c>
      <c r="L575" s="134" t="s">
        <v>1443</v>
      </c>
      <c r="M575" s="134" t="s">
        <v>1443</v>
      </c>
      <c r="N575" s="134" t="s">
        <v>1443</v>
      </c>
      <c r="O575" s="134" t="s">
        <v>1443</v>
      </c>
      <c r="P575" s="134" t="s">
        <v>1443</v>
      </c>
      <c r="Q575" s="134" t="s">
        <v>1443</v>
      </c>
      <c r="R575" s="109"/>
      <c r="S575" s="109"/>
      <c r="T575" s="109"/>
      <c r="U575" s="109"/>
      <c r="V575" s="109"/>
    </row>
    <row r="576" spans="2:22" ht="12.75" hidden="1" customHeight="1" outlineLevel="1" x14ac:dyDescent="0.2">
      <c r="B576" s="5" t="s">
        <v>421</v>
      </c>
      <c r="C576" s="118" t="s">
        <v>1161</v>
      </c>
      <c r="D576" s="46">
        <v>299356</v>
      </c>
      <c r="E576" s="41"/>
      <c r="F576" s="134" t="s">
        <v>1443</v>
      </c>
      <c r="G576" s="134">
        <v>-38.6</v>
      </c>
      <c r="H576" s="134" t="s">
        <v>1443</v>
      </c>
      <c r="I576" s="134" t="s">
        <v>1443</v>
      </c>
      <c r="J576" s="134" t="s">
        <v>1443</v>
      </c>
      <c r="K576" s="134">
        <v>-256.2</v>
      </c>
      <c r="L576" s="134" t="s">
        <v>1443</v>
      </c>
      <c r="M576" s="134" t="s">
        <v>1443</v>
      </c>
      <c r="N576" s="134" t="s">
        <v>1443</v>
      </c>
      <c r="O576" s="134">
        <v>19</v>
      </c>
      <c r="P576" s="134" t="s">
        <v>1443</v>
      </c>
      <c r="Q576" s="134" t="s">
        <v>1443</v>
      </c>
      <c r="R576" s="109"/>
      <c r="S576" s="109"/>
      <c r="T576" s="109"/>
      <c r="U576" s="109"/>
      <c r="V576" s="109"/>
    </row>
    <row r="577" spans="2:22" ht="12.75" hidden="1" customHeight="1" outlineLevel="1" x14ac:dyDescent="0.2">
      <c r="B577" s="5" t="s">
        <v>420</v>
      </c>
      <c r="C577" s="118" t="s">
        <v>1162</v>
      </c>
      <c r="D577" s="46">
        <v>299357</v>
      </c>
      <c r="E577" s="41"/>
      <c r="F577" s="134" t="s">
        <v>1443</v>
      </c>
      <c r="G577" s="134">
        <v>-83.9</v>
      </c>
      <c r="H577" s="134" t="s">
        <v>1443</v>
      </c>
      <c r="I577" s="134" t="s">
        <v>1443</v>
      </c>
      <c r="J577" s="134" t="s">
        <v>1443</v>
      </c>
      <c r="K577" s="134">
        <v>-83.7</v>
      </c>
      <c r="L577" s="134" t="s">
        <v>1443</v>
      </c>
      <c r="M577" s="134" t="s">
        <v>1443</v>
      </c>
      <c r="N577" s="134" t="s">
        <v>1443</v>
      </c>
      <c r="O577" s="134">
        <v>-83.100000000000009</v>
      </c>
      <c r="P577" s="134" t="s">
        <v>1443</v>
      </c>
      <c r="Q577" s="134" t="s">
        <v>1443</v>
      </c>
      <c r="R577" s="109"/>
      <c r="S577" s="109"/>
      <c r="T577" s="109"/>
      <c r="U577" s="109"/>
      <c r="V577" s="109"/>
    </row>
    <row r="578" spans="2:22" ht="12.75" hidden="1" customHeight="1" outlineLevel="1" x14ac:dyDescent="0.2">
      <c r="B578" s="5" t="s">
        <v>419</v>
      </c>
      <c r="C578" s="118" t="s">
        <v>1163</v>
      </c>
      <c r="D578" s="46">
        <v>299358</v>
      </c>
      <c r="E578" s="41"/>
      <c r="F578" s="134" t="s">
        <v>1443</v>
      </c>
      <c r="G578" s="134" t="s">
        <v>1443</v>
      </c>
      <c r="H578" s="134" t="s">
        <v>1443</v>
      </c>
      <c r="I578" s="134" t="s">
        <v>1443</v>
      </c>
      <c r="J578" s="134" t="s">
        <v>1443</v>
      </c>
      <c r="K578" s="134" t="s">
        <v>1443</v>
      </c>
      <c r="L578" s="134" t="s">
        <v>1443</v>
      </c>
      <c r="M578" s="134" t="s">
        <v>1443</v>
      </c>
      <c r="N578" s="134" t="s">
        <v>1443</v>
      </c>
      <c r="O578" s="134" t="s">
        <v>1443</v>
      </c>
      <c r="P578" s="134" t="s">
        <v>1443</v>
      </c>
      <c r="Q578" s="134" t="s">
        <v>1443</v>
      </c>
      <c r="R578" s="109"/>
      <c r="S578" s="109"/>
      <c r="T578" s="109"/>
      <c r="U578" s="109"/>
      <c r="V578" s="109"/>
    </row>
    <row r="579" spans="2:22" ht="12.75" hidden="1" customHeight="1" outlineLevel="1" x14ac:dyDescent="0.2">
      <c r="B579" s="5" t="s">
        <v>418</v>
      </c>
      <c r="C579" s="118" t="s">
        <v>1164</v>
      </c>
      <c r="D579" s="46">
        <v>299359</v>
      </c>
      <c r="E579" s="41"/>
      <c r="F579" s="134" t="s">
        <v>1443</v>
      </c>
      <c r="G579" s="134" t="s">
        <v>1443</v>
      </c>
      <c r="H579" s="134" t="s">
        <v>1443</v>
      </c>
      <c r="I579" s="134" t="s">
        <v>1443</v>
      </c>
      <c r="J579" s="134" t="s">
        <v>1443</v>
      </c>
      <c r="K579" s="134" t="s">
        <v>1443</v>
      </c>
      <c r="L579" s="134" t="s">
        <v>1443</v>
      </c>
      <c r="M579" s="134" t="s">
        <v>1443</v>
      </c>
      <c r="N579" s="134" t="s">
        <v>1443</v>
      </c>
      <c r="O579" s="134" t="s">
        <v>1443</v>
      </c>
      <c r="P579" s="134" t="s">
        <v>1443</v>
      </c>
      <c r="Q579" s="134" t="s">
        <v>1443</v>
      </c>
      <c r="R579" s="109"/>
      <c r="S579" s="109"/>
      <c r="T579" s="109"/>
      <c r="U579" s="109"/>
      <c r="V579" s="109"/>
    </row>
    <row r="580" spans="2:22" ht="12.75" hidden="1" customHeight="1" outlineLevel="1" x14ac:dyDescent="0.2">
      <c r="B580" s="5" t="s">
        <v>417</v>
      </c>
      <c r="C580" s="118" t="s">
        <v>1165</v>
      </c>
      <c r="D580" s="46">
        <v>299360</v>
      </c>
      <c r="E580" s="41"/>
      <c r="F580" s="134" t="s">
        <v>1443</v>
      </c>
      <c r="G580" s="134">
        <v>-2.5</v>
      </c>
      <c r="H580" s="134" t="s">
        <v>1443</v>
      </c>
      <c r="I580" s="134" t="s">
        <v>1443</v>
      </c>
      <c r="J580" s="134" t="s">
        <v>1443</v>
      </c>
      <c r="K580" s="134">
        <v>-2.2000000000000002</v>
      </c>
      <c r="L580" s="134" t="s">
        <v>1443</v>
      </c>
      <c r="M580" s="134" t="s">
        <v>1443</v>
      </c>
      <c r="N580" s="134" t="s">
        <v>1443</v>
      </c>
      <c r="O580" s="134">
        <v>-1</v>
      </c>
      <c r="P580" s="134" t="s">
        <v>1443</v>
      </c>
      <c r="Q580" s="134" t="s">
        <v>1443</v>
      </c>
      <c r="R580" s="109"/>
      <c r="S580" s="109"/>
      <c r="T580" s="109"/>
      <c r="U580" s="109"/>
      <c r="V580" s="109"/>
    </row>
    <row r="581" spans="2:22" ht="12.75" hidden="1" customHeight="1" outlineLevel="1" x14ac:dyDescent="0.2">
      <c r="B581" s="5" t="s">
        <v>416</v>
      </c>
      <c r="C581" s="118" t="s">
        <v>1166</v>
      </c>
      <c r="D581" s="46">
        <v>299361</v>
      </c>
      <c r="E581" s="41"/>
      <c r="F581" s="134" t="s">
        <v>1443</v>
      </c>
      <c r="G581" s="134">
        <v>-0.5</v>
      </c>
      <c r="H581" s="134" t="s">
        <v>1443</v>
      </c>
      <c r="I581" s="134" t="s">
        <v>1443</v>
      </c>
      <c r="J581" s="134" t="s">
        <v>1443</v>
      </c>
      <c r="K581" s="134">
        <v>-0.5</v>
      </c>
      <c r="L581" s="134" t="s">
        <v>1443</v>
      </c>
      <c r="M581" s="134" t="s">
        <v>1443</v>
      </c>
      <c r="N581" s="134" t="s">
        <v>1443</v>
      </c>
      <c r="O581" s="134" t="s">
        <v>1443</v>
      </c>
      <c r="P581" s="134" t="s">
        <v>1443</v>
      </c>
      <c r="Q581" s="134" t="s">
        <v>1443</v>
      </c>
      <c r="R581" s="109"/>
      <c r="S581" s="109"/>
      <c r="T581" s="109"/>
      <c r="U581" s="109"/>
      <c r="V581" s="109"/>
    </row>
    <row r="582" spans="2:22" ht="12.75" hidden="1" customHeight="1" outlineLevel="1" x14ac:dyDescent="0.2">
      <c r="B582" s="5" t="s">
        <v>440</v>
      </c>
      <c r="C582" s="118" t="s">
        <v>1167</v>
      </c>
      <c r="D582" s="46">
        <v>299362</v>
      </c>
      <c r="E582" s="41"/>
      <c r="F582" s="134" t="s">
        <v>1443</v>
      </c>
      <c r="G582" s="134">
        <v>1354</v>
      </c>
      <c r="H582" s="134" t="s">
        <v>1443</v>
      </c>
      <c r="I582" s="134" t="s">
        <v>1443</v>
      </c>
      <c r="J582" s="134" t="s">
        <v>1443</v>
      </c>
      <c r="K582" s="134">
        <v>1044.3</v>
      </c>
      <c r="L582" s="134" t="s">
        <v>1443</v>
      </c>
      <c r="M582" s="134" t="s">
        <v>1443</v>
      </c>
      <c r="N582" s="134" t="s">
        <v>1443</v>
      </c>
      <c r="O582" s="134">
        <v>1032.2</v>
      </c>
      <c r="P582" s="134" t="s">
        <v>1443</v>
      </c>
      <c r="Q582" s="134" t="s">
        <v>1443</v>
      </c>
      <c r="R582" s="109"/>
      <c r="S582" s="109"/>
      <c r="T582" s="109"/>
      <c r="U582" s="109"/>
      <c r="V582" s="109"/>
    </row>
    <row r="583" spans="2:22" ht="12.75" hidden="1" customHeight="1" outlineLevel="1" x14ac:dyDescent="0.2">
      <c r="B583" s="5" t="s">
        <v>445</v>
      </c>
      <c r="C583" s="118" t="s">
        <v>1168</v>
      </c>
      <c r="D583" s="46">
        <v>299363</v>
      </c>
      <c r="E583" s="41"/>
      <c r="F583" s="134" t="s">
        <v>1443</v>
      </c>
      <c r="G583" s="134">
        <v>1340.8</v>
      </c>
      <c r="H583" s="134" t="s">
        <v>1443</v>
      </c>
      <c r="I583" s="134" t="s">
        <v>1443</v>
      </c>
      <c r="J583" s="134" t="s">
        <v>1443</v>
      </c>
      <c r="K583" s="134">
        <v>1036.7</v>
      </c>
      <c r="L583" s="134" t="s">
        <v>1443</v>
      </c>
      <c r="M583" s="134" t="s">
        <v>1443</v>
      </c>
      <c r="N583" s="134" t="s">
        <v>1443</v>
      </c>
      <c r="O583" s="134">
        <v>1027</v>
      </c>
      <c r="P583" s="134" t="s">
        <v>1443</v>
      </c>
      <c r="Q583" s="134" t="s">
        <v>1443</v>
      </c>
      <c r="R583" s="109"/>
      <c r="S583" s="109"/>
      <c r="T583" s="109"/>
      <c r="U583" s="109"/>
      <c r="V583" s="109"/>
    </row>
    <row r="584" spans="2:22" ht="12.75" hidden="1" customHeight="1" outlineLevel="1" x14ac:dyDescent="0.2">
      <c r="B584" s="8" t="s">
        <v>413</v>
      </c>
      <c r="C584" s="118" t="s">
        <v>192</v>
      </c>
      <c r="D584" s="46" t="s">
        <v>192</v>
      </c>
      <c r="E584" s="41"/>
      <c r="F584" s="134"/>
      <c r="G584" s="134"/>
      <c r="H584" s="134"/>
      <c r="I584" s="134"/>
      <c r="J584" s="134"/>
      <c r="K584" s="134"/>
      <c r="L584" s="134"/>
      <c r="M584" s="134"/>
      <c r="N584" s="134"/>
      <c r="O584" s="134"/>
      <c r="P584" s="134"/>
      <c r="Q584" s="134"/>
    </row>
    <row r="585" spans="2:22" ht="12.75" hidden="1" customHeight="1" outlineLevel="1" x14ac:dyDescent="0.2">
      <c r="B585" s="5" t="s">
        <v>412</v>
      </c>
      <c r="C585" s="118" t="s">
        <v>1169</v>
      </c>
      <c r="D585" s="46">
        <v>299368</v>
      </c>
      <c r="E585" s="41"/>
      <c r="F585" s="134" t="s">
        <v>1443</v>
      </c>
      <c r="G585" s="134">
        <v>1484.6000000000001</v>
      </c>
      <c r="H585" s="134" t="s">
        <v>1443</v>
      </c>
      <c r="I585" s="134" t="s">
        <v>1443</v>
      </c>
      <c r="J585" s="134" t="s">
        <v>1443</v>
      </c>
      <c r="K585" s="134">
        <v>1372</v>
      </c>
      <c r="L585" s="134" t="s">
        <v>1443</v>
      </c>
      <c r="M585" s="134" t="s">
        <v>1443</v>
      </c>
      <c r="N585" s="134" t="s">
        <v>1443</v>
      </c>
      <c r="O585" s="134">
        <v>1044.0999999999999</v>
      </c>
      <c r="P585" s="134" t="s">
        <v>1443</v>
      </c>
      <c r="Q585" s="134" t="s">
        <v>1443</v>
      </c>
      <c r="R585" s="109"/>
      <c r="S585" s="109"/>
      <c r="T585" s="109"/>
      <c r="U585" s="109"/>
      <c r="V585" s="109"/>
    </row>
    <row r="586" spans="2:22" ht="12.75" hidden="1" customHeight="1" outlineLevel="1" x14ac:dyDescent="0.2">
      <c r="B586" s="5" t="s">
        <v>411</v>
      </c>
      <c r="C586" s="118" t="s">
        <v>1170</v>
      </c>
      <c r="D586" s="46">
        <v>299369</v>
      </c>
      <c r="E586" s="41"/>
      <c r="F586" s="134" t="s">
        <v>1443</v>
      </c>
      <c r="G586" s="134">
        <v>-26.2</v>
      </c>
      <c r="H586" s="134" t="s">
        <v>1443</v>
      </c>
      <c r="I586" s="134" t="s">
        <v>1443</v>
      </c>
      <c r="J586" s="134" t="s">
        <v>1443</v>
      </c>
      <c r="K586" s="134">
        <v>-245.3</v>
      </c>
      <c r="L586" s="134" t="s">
        <v>1443</v>
      </c>
      <c r="M586" s="134" t="s">
        <v>1443</v>
      </c>
      <c r="N586" s="134" t="s">
        <v>1443</v>
      </c>
      <c r="O586" s="134">
        <v>79.2</v>
      </c>
      <c r="P586" s="134" t="s">
        <v>1443</v>
      </c>
      <c r="Q586" s="134" t="s">
        <v>1443</v>
      </c>
      <c r="R586" s="109"/>
      <c r="S586" s="109"/>
      <c r="T586" s="109"/>
      <c r="U586" s="109"/>
      <c r="V586" s="109"/>
    </row>
    <row r="587" spans="2:22" ht="12.75" hidden="1" customHeight="1" outlineLevel="1" x14ac:dyDescent="0.2">
      <c r="B587" s="5" t="s">
        <v>410</v>
      </c>
      <c r="C587" s="118" t="s">
        <v>1171</v>
      </c>
      <c r="D587" s="46">
        <v>299370</v>
      </c>
      <c r="E587" s="41"/>
      <c r="F587" s="134" t="s">
        <v>1443</v>
      </c>
      <c r="G587" s="134">
        <v>3.8000000000000003</v>
      </c>
      <c r="H587" s="134" t="s">
        <v>1443</v>
      </c>
      <c r="I587" s="134" t="s">
        <v>1443</v>
      </c>
      <c r="J587" s="134" t="s">
        <v>1443</v>
      </c>
      <c r="K587" s="134">
        <v>3.5</v>
      </c>
      <c r="L587" s="134" t="s">
        <v>1443</v>
      </c>
      <c r="M587" s="134" t="s">
        <v>1443</v>
      </c>
      <c r="N587" s="134" t="s">
        <v>1443</v>
      </c>
      <c r="O587" s="134">
        <v>1.2</v>
      </c>
      <c r="P587" s="134" t="s">
        <v>1443</v>
      </c>
      <c r="Q587" s="134" t="s">
        <v>1443</v>
      </c>
      <c r="R587" s="109"/>
      <c r="S587" s="109"/>
      <c r="T587" s="109"/>
      <c r="U587" s="109"/>
      <c r="V587" s="109"/>
    </row>
    <row r="588" spans="2:22" ht="12.75" hidden="1" customHeight="1" outlineLevel="1" x14ac:dyDescent="0.2">
      <c r="B588" s="5" t="s">
        <v>409</v>
      </c>
      <c r="C588" s="118" t="s">
        <v>1172</v>
      </c>
      <c r="D588" s="46">
        <v>299371</v>
      </c>
      <c r="E588" s="41"/>
      <c r="F588" s="134" t="s">
        <v>1443</v>
      </c>
      <c r="G588" s="134" t="s">
        <v>1443</v>
      </c>
      <c r="H588" s="134" t="s">
        <v>1443</v>
      </c>
      <c r="I588" s="134" t="s">
        <v>1443</v>
      </c>
      <c r="J588" s="134" t="s">
        <v>1443</v>
      </c>
      <c r="K588" s="134" t="s">
        <v>1443</v>
      </c>
      <c r="L588" s="134" t="s">
        <v>1443</v>
      </c>
      <c r="M588" s="134" t="s">
        <v>1443</v>
      </c>
      <c r="N588" s="134" t="s">
        <v>1443</v>
      </c>
      <c r="O588" s="134" t="s">
        <v>1443</v>
      </c>
      <c r="P588" s="134" t="s">
        <v>1443</v>
      </c>
      <c r="Q588" s="134" t="s">
        <v>1443</v>
      </c>
      <c r="R588" s="109"/>
      <c r="S588" s="109"/>
      <c r="T588" s="109"/>
      <c r="U588" s="109"/>
      <c r="V588" s="109"/>
    </row>
    <row r="589" spans="2:22" ht="12.75" hidden="1" customHeight="1" outlineLevel="1" x14ac:dyDescent="0.2">
      <c r="B589" s="5" t="s">
        <v>408</v>
      </c>
      <c r="C589" s="118" t="s">
        <v>1173</v>
      </c>
      <c r="D589" s="46">
        <v>299372</v>
      </c>
      <c r="E589" s="41"/>
      <c r="F589" s="134" t="s">
        <v>1443</v>
      </c>
      <c r="G589" s="134">
        <v>-83.9</v>
      </c>
      <c r="H589" s="134" t="s">
        <v>1443</v>
      </c>
      <c r="I589" s="134" t="s">
        <v>1443</v>
      </c>
      <c r="J589" s="134" t="s">
        <v>1443</v>
      </c>
      <c r="K589" s="134">
        <v>-83.7</v>
      </c>
      <c r="L589" s="134" t="s">
        <v>1443</v>
      </c>
      <c r="M589" s="134" t="s">
        <v>1443</v>
      </c>
      <c r="N589" s="134" t="s">
        <v>1443</v>
      </c>
      <c r="O589" s="134">
        <v>-83.100000000000009</v>
      </c>
      <c r="P589" s="134" t="s">
        <v>1443</v>
      </c>
      <c r="Q589" s="134" t="s">
        <v>1443</v>
      </c>
      <c r="R589" s="109"/>
      <c r="S589" s="109"/>
      <c r="T589" s="109"/>
      <c r="U589" s="109"/>
      <c r="V589" s="109"/>
    </row>
    <row r="590" spans="2:22" ht="12.75" hidden="1" customHeight="1" outlineLevel="1" x14ac:dyDescent="0.2">
      <c r="B590" s="5" t="s">
        <v>407</v>
      </c>
      <c r="C590" s="118" t="s">
        <v>1174</v>
      </c>
      <c r="D590" s="46">
        <v>299373</v>
      </c>
      <c r="E590" s="41"/>
      <c r="F590" s="134" t="s">
        <v>1443</v>
      </c>
      <c r="G590" s="134">
        <v>-0.3</v>
      </c>
      <c r="H590" s="134" t="s">
        <v>1443</v>
      </c>
      <c r="I590" s="134" t="s">
        <v>1443</v>
      </c>
      <c r="J590" s="134" t="s">
        <v>1443</v>
      </c>
      <c r="K590" s="134">
        <v>3.1</v>
      </c>
      <c r="L590" s="134" t="s">
        <v>1443</v>
      </c>
      <c r="M590" s="134" t="s">
        <v>1443</v>
      </c>
      <c r="N590" s="134" t="s">
        <v>1443</v>
      </c>
      <c r="O590" s="134">
        <v>0.3</v>
      </c>
      <c r="P590" s="134" t="s">
        <v>1443</v>
      </c>
      <c r="Q590" s="134" t="s">
        <v>1443</v>
      </c>
      <c r="R590" s="109"/>
      <c r="S590" s="109"/>
      <c r="T590" s="109"/>
      <c r="U590" s="109"/>
      <c r="V590" s="109"/>
    </row>
    <row r="591" spans="2:22" ht="12.75" hidden="1" customHeight="1" outlineLevel="1" x14ac:dyDescent="0.2">
      <c r="B591" s="5" t="s">
        <v>406</v>
      </c>
      <c r="C591" s="118" t="s">
        <v>1175</v>
      </c>
      <c r="D591" s="46">
        <v>299374</v>
      </c>
      <c r="E591" s="41"/>
      <c r="F591" s="134" t="s">
        <v>1443</v>
      </c>
      <c r="G591" s="134" t="s">
        <v>1443</v>
      </c>
      <c r="H591" s="134" t="s">
        <v>1443</v>
      </c>
      <c r="I591" s="134" t="s">
        <v>1443</v>
      </c>
      <c r="J591" s="134" t="s">
        <v>1443</v>
      </c>
      <c r="K591" s="134" t="s">
        <v>1443</v>
      </c>
      <c r="L591" s="134" t="s">
        <v>1443</v>
      </c>
      <c r="M591" s="134" t="s">
        <v>1443</v>
      </c>
      <c r="N591" s="134" t="s">
        <v>1443</v>
      </c>
      <c r="O591" s="134" t="s">
        <v>1443</v>
      </c>
      <c r="P591" s="134" t="s">
        <v>1443</v>
      </c>
      <c r="Q591" s="134" t="s">
        <v>1443</v>
      </c>
      <c r="R591" s="109"/>
      <c r="S591" s="109"/>
      <c r="T591" s="109"/>
      <c r="U591" s="109"/>
      <c r="V591" s="109"/>
    </row>
    <row r="592" spans="2:22" ht="12.75" hidden="1" customHeight="1" outlineLevel="1" x14ac:dyDescent="0.2">
      <c r="B592" s="5" t="s">
        <v>405</v>
      </c>
      <c r="C592" s="118" t="s">
        <v>1176</v>
      </c>
      <c r="D592" s="46">
        <v>299375</v>
      </c>
      <c r="E592" s="41"/>
      <c r="F592" s="134" t="s">
        <v>1443</v>
      </c>
      <c r="G592" s="134">
        <v>-6</v>
      </c>
      <c r="H592" s="134" t="s">
        <v>1443</v>
      </c>
      <c r="I592" s="134" t="s">
        <v>1443</v>
      </c>
      <c r="J592" s="134" t="s">
        <v>1443</v>
      </c>
      <c r="K592" s="134">
        <v>-5.5</v>
      </c>
      <c r="L592" s="134" t="s">
        <v>1443</v>
      </c>
      <c r="M592" s="134" t="s">
        <v>1443</v>
      </c>
      <c r="N592" s="134" t="s">
        <v>1443</v>
      </c>
      <c r="O592" s="134">
        <v>-0.4</v>
      </c>
      <c r="P592" s="134" t="s">
        <v>1443</v>
      </c>
      <c r="Q592" s="134" t="s">
        <v>1443</v>
      </c>
      <c r="R592" s="109"/>
      <c r="S592" s="109"/>
      <c r="T592" s="109"/>
      <c r="U592" s="109"/>
      <c r="V592" s="109"/>
    </row>
    <row r="593" spans="2:22" ht="12.75" hidden="1" customHeight="1" outlineLevel="1" x14ac:dyDescent="0.2">
      <c r="B593" s="5" t="s">
        <v>404</v>
      </c>
      <c r="C593" s="118" t="s">
        <v>1177</v>
      </c>
      <c r="D593" s="46">
        <v>299376</v>
      </c>
      <c r="E593" s="41"/>
      <c r="F593" s="134" t="s">
        <v>1443</v>
      </c>
      <c r="G593" s="134" t="s">
        <v>1443</v>
      </c>
      <c r="H593" s="134" t="s">
        <v>1443</v>
      </c>
      <c r="I593" s="134" t="s">
        <v>1443</v>
      </c>
      <c r="J593" s="134" t="s">
        <v>1443</v>
      </c>
      <c r="K593" s="134" t="s">
        <v>1443</v>
      </c>
      <c r="L593" s="134" t="s">
        <v>1443</v>
      </c>
      <c r="M593" s="134" t="s">
        <v>1443</v>
      </c>
      <c r="N593" s="134" t="s">
        <v>1443</v>
      </c>
      <c r="O593" s="134" t="s">
        <v>1443</v>
      </c>
      <c r="P593" s="134" t="s">
        <v>1443</v>
      </c>
      <c r="Q593" s="134" t="s">
        <v>1443</v>
      </c>
      <c r="R593" s="109"/>
      <c r="S593" s="109"/>
      <c r="T593" s="109"/>
      <c r="U593" s="109"/>
      <c r="V593" s="109"/>
    </row>
    <row r="594" spans="2:22" ht="12.75" hidden="1" customHeight="1" outlineLevel="1" x14ac:dyDescent="0.2">
      <c r="B594" s="5" t="s">
        <v>403</v>
      </c>
      <c r="C594" s="118" t="s">
        <v>1178</v>
      </c>
      <c r="D594" s="46">
        <v>299377</v>
      </c>
      <c r="E594" s="41"/>
      <c r="F594" s="134" t="s">
        <v>1443</v>
      </c>
      <c r="G594" s="134">
        <v>1372</v>
      </c>
      <c r="H594" s="134" t="s">
        <v>1443</v>
      </c>
      <c r="I594" s="134" t="s">
        <v>1443</v>
      </c>
      <c r="J594" s="134" t="s">
        <v>1443</v>
      </c>
      <c r="K594" s="134">
        <v>1044.0999999999999</v>
      </c>
      <c r="L594" s="134" t="s">
        <v>1443</v>
      </c>
      <c r="M594" s="134" t="s">
        <v>1443</v>
      </c>
      <c r="N594" s="134" t="s">
        <v>1443</v>
      </c>
      <c r="O594" s="134">
        <v>1041.3</v>
      </c>
      <c r="P594" s="134" t="s">
        <v>1443</v>
      </c>
      <c r="Q594" s="134" t="s">
        <v>1443</v>
      </c>
      <c r="R594" s="109"/>
      <c r="S594" s="109"/>
      <c r="T594" s="109"/>
      <c r="U594" s="109"/>
      <c r="V594" s="109"/>
    </row>
    <row r="595" spans="2:22" ht="12.75" hidden="1" customHeight="1" outlineLevel="1" x14ac:dyDescent="0.2">
      <c r="B595" s="8" t="s">
        <v>402</v>
      </c>
      <c r="C595" s="118" t="s">
        <v>192</v>
      </c>
      <c r="D595" s="46" t="s">
        <v>192</v>
      </c>
      <c r="E595" s="41"/>
      <c r="F595" s="21"/>
      <c r="G595" s="21"/>
      <c r="H595" s="21"/>
      <c r="I595" s="21"/>
      <c r="J595" s="21"/>
      <c r="K595" s="21"/>
      <c r="L595" s="21"/>
      <c r="M595" s="21"/>
      <c r="N595" s="21"/>
      <c r="O595" s="21"/>
      <c r="P595" s="21"/>
      <c r="Q595" s="21"/>
    </row>
    <row r="596" spans="2:22" ht="12.75" hidden="1" customHeight="1" outlineLevel="1" x14ac:dyDescent="0.2">
      <c r="B596" s="5" t="s">
        <v>1457</v>
      </c>
      <c r="C596" s="118" t="s">
        <v>877</v>
      </c>
      <c r="D596" s="46">
        <v>299342</v>
      </c>
      <c r="E596" s="41"/>
      <c r="F596" s="140" t="s">
        <v>1443</v>
      </c>
      <c r="G596" s="140" t="s">
        <v>1443</v>
      </c>
      <c r="H596" s="140" t="s">
        <v>1443</v>
      </c>
      <c r="I596" s="140" t="s">
        <v>1443</v>
      </c>
      <c r="J596" s="140" t="s">
        <v>1443</v>
      </c>
      <c r="K596" s="140" t="s">
        <v>1443</v>
      </c>
      <c r="L596" s="140" t="s">
        <v>1443</v>
      </c>
      <c r="M596" s="140" t="s">
        <v>1443</v>
      </c>
      <c r="N596" s="140" t="s">
        <v>1443</v>
      </c>
      <c r="O596" s="140" t="s">
        <v>1443</v>
      </c>
      <c r="P596" s="140" t="s">
        <v>1443</v>
      </c>
      <c r="Q596" s="140" t="s">
        <v>1443</v>
      </c>
      <c r="R596" s="91"/>
      <c r="S596" s="91"/>
      <c r="T596" s="91"/>
      <c r="U596" s="91"/>
      <c r="V596" s="91"/>
    </row>
    <row r="597" spans="2:22" ht="12.75" hidden="1" customHeight="1" outlineLevel="1" x14ac:dyDescent="0.2">
      <c r="B597" s="5" t="s">
        <v>1458</v>
      </c>
      <c r="C597" s="118" t="s">
        <v>878</v>
      </c>
      <c r="D597" s="46">
        <v>299343</v>
      </c>
      <c r="E597" s="41"/>
      <c r="F597" s="140" t="s">
        <v>1443</v>
      </c>
      <c r="G597" s="140" t="s">
        <v>1443</v>
      </c>
      <c r="H597" s="140" t="s">
        <v>1443</v>
      </c>
      <c r="I597" s="140" t="s">
        <v>1443</v>
      </c>
      <c r="J597" s="140" t="s">
        <v>1443</v>
      </c>
      <c r="K597" s="140" t="s">
        <v>1443</v>
      </c>
      <c r="L597" s="140" t="s">
        <v>1443</v>
      </c>
      <c r="M597" s="140" t="s">
        <v>1443</v>
      </c>
      <c r="N597" s="140" t="s">
        <v>1443</v>
      </c>
      <c r="O597" s="140" t="s">
        <v>1443</v>
      </c>
      <c r="P597" s="140" t="s">
        <v>1443</v>
      </c>
      <c r="Q597" s="140" t="s">
        <v>1443</v>
      </c>
      <c r="R597" s="91"/>
      <c r="S597" s="91"/>
      <c r="T597" s="91"/>
      <c r="U597" s="91"/>
      <c r="V597" s="91"/>
    </row>
    <row r="598" spans="2:22" ht="12.75" hidden="1" customHeight="1" outlineLevel="1" x14ac:dyDescent="0.2">
      <c r="B598" s="5" t="s">
        <v>1459</v>
      </c>
      <c r="C598" s="118" t="s">
        <v>879</v>
      </c>
      <c r="D598" s="46">
        <v>299344</v>
      </c>
      <c r="E598" s="41"/>
      <c r="F598" s="140" t="s">
        <v>1443</v>
      </c>
      <c r="G598" s="140" t="s">
        <v>1443</v>
      </c>
      <c r="H598" s="140" t="s">
        <v>1443</v>
      </c>
      <c r="I598" s="140" t="s">
        <v>1443</v>
      </c>
      <c r="J598" s="140" t="s">
        <v>1443</v>
      </c>
      <c r="K598" s="140" t="s">
        <v>1443</v>
      </c>
      <c r="L598" s="140" t="s">
        <v>1443</v>
      </c>
      <c r="M598" s="140" t="s">
        <v>1443</v>
      </c>
      <c r="N598" s="140" t="s">
        <v>1443</v>
      </c>
      <c r="O598" s="140" t="s">
        <v>1443</v>
      </c>
      <c r="P598" s="140" t="s">
        <v>1443</v>
      </c>
      <c r="Q598" s="140" t="s">
        <v>1443</v>
      </c>
      <c r="R598" s="91"/>
      <c r="S598" s="91"/>
      <c r="T598" s="91"/>
      <c r="U598" s="91"/>
      <c r="V598" s="91"/>
    </row>
    <row r="599" spans="2:22" ht="12.75" hidden="1" customHeight="1" outlineLevel="1" x14ac:dyDescent="0.2">
      <c r="B599" s="5" t="s">
        <v>1460</v>
      </c>
      <c r="C599" s="118" t="s">
        <v>880</v>
      </c>
      <c r="D599" s="46">
        <v>299345</v>
      </c>
      <c r="E599" s="41"/>
      <c r="F599" s="140" t="s">
        <v>1443</v>
      </c>
      <c r="G599" s="140" t="s">
        <v>1443</v>
      </c>
      <c r="H599" s="140" t="s">
        <v>1443</v>
      </c>
      <c r="I599" s="140" t="s">
        <v>1443</v>
      </c>
      <c r="J599" s="140" t="s">
        <v>1443</v>
      </c>
      <c r="K599" s="140" t="s">
        <v>1443</v>
      </c>
      <c r="L599" s="140" t="s">
        <v>1443</v>
      </c>
      <c r="M599" s="140" t="s">
        <v>1443</v>
      </c>
      <c r="N599" s="140" t="s">
        <v>1443</v>
      </c>
      <c r="O599" s="140" t="s">
        <v>1443</v>
      </c>
      <c r="P599" s="140" t="s">
        <v>1443</v>
      </c>
      <c r="Q599" s="140" t="s">
        <v>1443</v>
      </c>
      <c r="R599" s="91"/>
      <c r="S599" s="91"/>
      <c r="T599" s="91"/>
      <c r="U599" s="91"/>
      <c r="V599" s="91"/>
    </row>
    <row r="600" spans="2:22" ht="12.75" hidden="1" customHeight="1" outlineLevel="1" x14ac:dyDescent="0.2">
      <c r="B600" s="5" t="s">
        <v>1461</v>
      </c>
      <c r="C600" s="118" t="s">
        <v>881</v>
      </c>
      <c r="D600" s="46">
        <v>299346</v>
      </c>
      <c r="E600" s="41"/>
      <c r="F600" s="140" t="s">
        <v>1443</v>
      </c>
      <c r="G600" s="140" t="s">
        <v>1443</v>
      </c>
      <c r="H600" s="140" t="s">
        <v>1443</v>
      </c>
      <c r="I600" s="140" t="s">
        <v>1443</v>
      </c>
      <c r="J600" s="140" t="s">
        <v>1443</v>
      </c>
      <c r="K600" s="140" t="s">
        <v>1443</v>
      </c>
      <c r="L600" s="140" t="s">
        <v>1443</v>
      </c>
      <c r="M600" s="140" t="s">
        <v>1443</v>
      </c>
      <c r="N600" s="140" t="s">
        <v>1443</v>
      </c>
      <c r="O600" s="140" t="s">
        <v>1443</v>
      </c>
      <c r="P600" s="140" t="s">
        <v>1443</v>
      </c>
      <c r="Q600" s="140" t="s">
        <v>1443</v>
      </c>
      <c r="R600" s="91"/>
      <c r="S600" s="91"/>
      <c r="T600" s="91"/>
      <c r="U600" s="91"/>
      <c r="V600" s="91"/>
    </row>
    <row r="601" spans="2:22" ht="12.75" hidden="1" customHeight="1" outlineLevel="1" x14ac:dyDescent="0.2">
      <c r="B601" s="5" t="s">
        <v>1462</v>
      </c>
      <c r="C601" s="118" t="s">
        <v>882</v>
      </c>
      <c r="D601" s="46">
        <v>299347</v>
      </c>
      <c r="E601" s="41"/>
      <c r="F601" s="140" t="s">
        <v>1443</v>
      </c>
      <c r="G601" s="140" t="s">
        <v>1443</v>
      </c>
      <c r="H601" s="140" t="s">
        <v>1443</v>
      </c>
      <c r="I601" s="140" t="s">
        <v>1443</v>
      </c>
      <c r="J601" s="140" t="s">
        <v>1443</v>
      </c>
      <c r="K601" s="140" t="s">
        <v>1443</v>
      </c>
      <c r="L601" s="140" t="s">
        <v>1443</v>
      </c>
      <c r="M601" s="140" t="s">
        <v>1443</v>
      </c>
      <c r="N601" s="140" t="s">
        <v>1443</v>
      </c>
      <c r="O601" s="140" t="s">
        <v>1443</v>
      </c>
      <c r="P601" s="140" t="s">
        <v>1443</v>
      </c>
      <c r="Q601" s="140" t="s">
        <v>1443</v>
      </c>
      <c r="R601" s="91"/>
      <c r="S601" s="91"/>
      <c r="T601" s="91"/>
      <c r="U601" s="91"/>
      <c r="V601" s="91"/>
    </row>
    <row r="602" spans="2:22" ht="12.75" hidden="1" customHeight="1" outlineLevel="1" x14ac:dyDescent="0.2">
      <c r="B602" s="8" t="s">
        <v>397</v>
      </c>
      <c r="C602" s="118" t="s">
        <v>192</v>
      </c>
      <c r="D602" s="46" t="s">
        <v>192</v>
      </c>
      <c r="E602" s="41"/>
      <c r="F602" s="21"/>
      <c r="G602" s="21"/>
      <c r="H602" s="21"/>
      <c r="I602" s="21"/>
      <c r="J602" s="21"/>
      <c r="K602" s="21"/>
      <c r="L602" s="21"/>
      <c r="M602" s="21"/>
      <c r="N602" s="21"/>
      <c r="O602" s="21"/>
      <c r="P602" s="21"/>
      <c r="Q602" s="21"/>
    </row>
    <row r="603" spans="2:22" ht="12.75" hidden="1" customHeight="1" outlineLevel="1" x14ac:dyDescent="0.2">
      <c r="B603" s="5" t="s">
        <v>401</v>
      </c>
      <c r="C603" s="118" t="s">
        <v>883</v>
      </c>
      <c r="D603" s="46">
        <v>299378</v>
      </c>
      <c r="E603" s="41"/>
      <c r="F603" s="140" t="s">
        <v>1443</v>
      </c>
      <c r="G603" s="140" t="s">
        <v>1443</v>
      </c>
      <c r="H603" s="140" t="s">
        <v>1443</v>
      </c>
      <c r="I603" s="140" t="s">
        <v>1443</v>
      </c>
      <c r="J603" s="140" t="s">
        <v>1443</v>
      </c>
      <c r="K603" s="140" t="s">
        <v>1443</v>
      </c>
      <c r="L603" s="140" t="s">
        <v>1443</v>
      </c>
      <c r="M603" s="140" t="s">
        <v>1443</v>
      </c>
      <c r="N603" s="140" t="s">
        <v>1443</v>
      </c>
      <c r="O603" s="140" t="s">
        <v>1443</v>
      </c>
      <c r="P603" s="140" t="s">
        <v>1443</v>
      </c>
      <c r="Q603" s="140" t="s">
        <v>1443</v>
      </c>
      <c r="R603" s="91"/>
      <c r="S603" s="91"/>
      <c r="T603" s="91"/>
      <c r="U603" s="91"/>
      <c r="V603" s="91"/>
    </row>
    <row r="604" spans="2:22" ht="12.75" hidden="1" customHeight="1" outlineLevel="1" x14ac:dyDescent="0.2">
      <c r="B604" s="5" t="s">
        <v>400</v>
      </c>
      <c r="C604" s="118" t="s">
        <v>884</v>
      </c>
      <c r="D604" s="46">
        <v>299379</v>
      </c>
      <c r="E604" s="41"/>
      <c r="F604" s="140" t="s">
        <v>1443</v>
      </c>
      <c r="G604" s="140">
        <v>100</v>
      </c>
      <c r="H604" s="140" t="s">
        <v>1443</v>
      </c>
      <c r="I604" s="140" t="s">
        <v>1443</v>
      </c>
      <c r="J604" s="140" t="s">
        <v>1443</v>
      </c>
      <c r="K604" s="140">
        <v>100</v>
      </c>
      <c r="L604" s="140" t="s">
        <v>1443</v>
      </c>
      <c r="M604" s="140" t="s">
        <v>1443</v>
      </c>
      <c r="N604" s="140" t="s">
        <v>1443</v>
      </c>
      <c r="O604" s="140">
        <v>100</v>
      </c>
      <c r="P604" s="140" t="s">
        <v>1443</v>
      </c>
      <c r="Q604" s="140" t="s">
        <v>1443</v>
      </c>
      <c r="R604" s="91"/>
      <c r="S604" s="91"/>
      <c r="T604" s="91"/>
      <c r="U604" s="91"/>
      <c r="V604" s="91"/>
    </row>
    <row r="605" spans="2:22" ht="12.75" hidden="1" customHeight="1" outlineLevel="1" x14ac:dyDescent="0.2">
      <c r="B605" s="5" t="s">
        <v>399</v>
      </c>
      <c r="C605" s="118" t="s">
        <v>885</v>
      </c>
      <c r="D605" s="46">
        <v>299380</v>
      </c>
      <c r="E605" s="41"/>
      <c r="F605" s="140" t="s">
        <v>1443</v>
      </c>
      <c r="G605" s="140" t="s">
        <v>1443</v>
      </c>
      <c r="H605" s="140" t="s">
        <v>1443</v>
      </c>
      <c r="I605" s="140" t="s">
        <v>1443</v>
      </c>
      <c r="J605" s="140" t="s">
        <v>1443</v>
      </c>
      <c r="K605" s="140" t="s">
        <v>1443</v>
      </c>
      <c r="L605" s="140" t="s">
        <v>1443</v>
      </c>
      <c r="M605" s="140" t="s">
        <v>1443</v>
      </c>
      <c r="N605" s="140" t="s">
        <v>1443</v>
      </c>
      <c r="O605" s="140" t="s">
        <v>1443</v>
      </c>
      <c r="P605" s="140" t="s">
        <v>1443</v>
      </c>
      <c r="Q605" s="140" t="s">
        <v>1443</v>
      </c>
      <c r="R605" s="91"/>
      <c r="S605" s="91"/>
      <c r="T605" s="91"/>
      <c r="U605" s="91"/>
      <c r="V605" s="91"/>
    </row>
    <row r="606" spans="2:22" ht="12.75" hidden="1" customHeight="1" outlineLevel="1" x14ac:dyDescent="0.2">
      <c r="B606" s="5" t="s">
        <v>398</v>
      </c>
      <c r="C606" s="118" t="s">
        <v>886</v>
      </c>
      <c r="D606" s="46">
        <v>299381</v>
      </c>
      <c r="E606" s="41"/>
      <c r="F606" s="140" t="s">
        <v>1443</v>
      </c>
      <c r="G606" s="140" t="s">
        <v>1443</v>
      </c>
      <c r="H606" s="140" t="s">
        <v>1443</v>
      </c>
      <c r="I606" s="140" t="s">
        <v>1443</v>
      </c>
      <c r="J606" s="140" t="s">
        <v>1443</v>
      </c>
      <c r="K606" s="140" t="s">
        <v>1443</v>
      </c>
      <c r="L606" s="140" t="s">
        <v>1443</v>
      </c>
      <c r="M606" s="140" t="s">
        <v>1443</v>
      </c>
      <c r="N606" s="140" t="s">
        <v>1443</v>
      </c>
      <c r="O606" s="140" t="s">
        <v>1443</v>
      </c>
      <c r="P606" s="140" t="s">
        <v>1443</v>
      </c>
      <c r="Q606" s="140" t="s">
        <v>1443</v>
      </c>
      <c r="R606" s="91"/>
      <c r="S606" s="91"/>
      <c r="T606" s="91"/>
      <c r="U606" s="91"/>
      <c r="V606" s="91"/>
    </row>
    <row r="607" spans="2:22" ht="12.75" hidden="1" customHeight="1" outlineLevel="1" x14ac:dyDescent="0.2">
      <c r="B607" s="8" t="s">
        <v>397</v>
      </c>
      <c r="C607" s="118" t="s">
        <v>192</v>
      </c>
      <c r="D607" s="46" t="s">
        <v>192</v>
      </c>
      <c r="E607" s="41"/>
      <c r="F607" s="21"/>
      <c r="G607" s="21"/>
      <c r="H607" s="21"/>
      <c r="I607" s="21"/>
      <c r="J607" s="21"/>
      <c r="K607" s="21"/>
      <c r="L607" s="21"/>
      <c r="M607" s="21"/>
      <c r="N607" s="21"/>
      <c r="O607" s="21"/>
      <c r="P607" s="21"/>
      <c r="Q607" s="21"/>
    </row>
    <row r="608" spans="2:22" ht="12.75" hidden="1" customHeight="1" outlineLevel="1" x14ac:dyDescent="0.2">
      <c r="B608" s="5" t="s">
        <v>396</v>
      </c>
      <c r="C608" s="118" t="s">
        <v>1179</v>
      </c>
      <c r="D608" s="46">
        <v>299382</v>
      </c>
      <c r="E608" s="41"/>
      <c r="F608" s="134" t="s">
        <v>1443</v>
      </c>
      <c r="G608" s="134" t="s">
        <v>1443</v>
      </c>
      <c r="H608" s="134" t="s">
        <v>1443</v>
      </c>
      <c r="I608" s="134" t="s">
        <v>1443</v>
      </c>
      <c r="J608" s="134" t="s">
        <v>1443</v>
      </c>
      <c r="K608" s="134" t="s">
        <v>1443</v>
      </c>
      <c r="L608" s="134" t="s">
        <v>1443</v>
      </c>
      <c r="M608" s="134" t="s">
        <v>1443</v>
      </c>
      <c r="N608" s="134" t="s">
        <v>1443</v>
      </c>
      <c r="O608" s="134" t="s">
        <v>1443</v>
      </c>
      <c r="P608" s="134" t="s">
        <v>1443</v>
      </c>
      <c r="Q608" s="134" t="s">
        <v>1443</v>
      </c>
      <c r="R608" s="109"/>
      <c r="S608" s="109"/>
      <c r="T608" s="109"/>
      <c r="U608" s="109"/>
      <c r="V608" s="109"/>
    </row>
    <row r="609" spans="2:22" ht="12.75" hidden="1" customHeight="1" outlineLevel="1" x14ac:dyDescent="0.2">
      <c r="B609" s="5" t="s">
        <v>395</v>
      </c>
      <c r="C609" s="118" t="s">
        <v>1180</v>
      </c>
      <c r="D609" s="46">
        <v>299383</v>
      </c>
      <c r="E609" s="41"/>
      <c r="F609" s="134" t="s">
        <v>1443</v>
      </c>
      <c r="G609" s="134">
        <v>1372</v>
      </c>
      <c r="H609" s="134" t="s">
        <v>1443</v>
      </c>
      <c r="I609" s="134" t="s">
        <v>1443</v>
      </c>
      <c r="J609" s="134" t="s">
        <v>1443</v>
      </c>
      <c r="K609" s="134">
        <v>1044.0999999999999</v>
      </c>
      <c r="L609" s="134" t="s">
        <v>1443</v>
      </c>
      <c r="M609" s="134" t="s">
        <v>1443</v>
      </c>
      <c r="N609" s="134" t="s">
        <v>1443</v>
      </c>
      <c r="O609" s="134">
        <v>1041.3</v>
      </c>
      <c r="P609" s="134" t="s">
        <v>1443</v>
      </c>
      <c r="Q609" s="134" t="s">
        <v>1443</v>
      </c>
      <c r="R609" s="109"/>
      <c r="S609" s="109"/>
      <c r="T609" s="109"/>
      <c r="U609" s="109"/>
      <c r="V609" s="109"/>
    </row>
    <row r="610" spans="2:22" ht="12.75" hidden="1" customHeight="1" outlineLevel="1" x14ac:dyDescent="0.2">
      <c r="B610" s="5" t="s">
        <v>394</v>
      </c>
      <c r="C610" s="118" t="s">
        <v>1181</v>
      </c>
      <c r="D610" s="46">
        <v>299384</v>
      </c>
      <c r="E610" s="41"/>
      <c r="F610" s="134" t="s">
        <v>1443</v>
      </c>
      <c r="G610" s="134" t="s">
        <v>1443</v>
      </c>
      <c r="H610" s="134" t="s">
        <v>1443</v>
      </c>
      <c r="I610" s="134" t="s">
        <v>1443</v>
      </c>
      <c r="J610" s="134" t="s">
        <v>1443</v>
      </c>
      <c r="K610" s="134" t="s">
        <v>1443</v>
      </c>
      <c r="L610" s="134" t="s">
        <v>1443</v>
      </c>
      <c r="M610" s="134" t="s">
        <v>1443</v>
      </c>
      <c r="N610" s="134" t="s">
        <v>1443</v>
      </c>
      <c r="O610" s="134" t="s">
        <v>1443</v>
      </c>
      <c r="P610" s="134" t="s">
        <v>1443</v>
      </c>
      <c r="Q610" s="134" t="s">
        <v>1443</v>
      </c>
      <c r="R610" s="109"/>
      <c r="S610" s="109"/>
      <c r="T610" s="109"/>
      <c r="U610" s="109"/>
      <c r="V610" s="109"/>
    </row>
    <row r="611" spans="2:22" ht="12.75" hidden="1" customHeight="1" outlineLevel="1" x14ac:dyDescent="0.2">
      <c r="B611" s="5" t="s">
        <v>393</v>
      </c>
      <c r="C611" s="118" t="s">
        <v>1182</v>
      </c>
      <c r="D611" s="46">
        <v>299385</v>
      </c>
      <c r="E611" s="41"/>
      <c r="F611" s="134" t="s">
        <v>1443</v>
      </c>
      <c r="G611" s="134" t="s">
        <v>1443</v>
      </c>
      <c r="H611" s="134" t="s">
        <v>1443</v>
      </c>
      <c r="I611" s="134" t="s">
        <v>1443</v>
      </c>
      <c r="J611" s="134" t="s">
        <v>1443</v>
      </c>
      <c r="K611" s="134" t="s">
        <v>1443</v>
      </c>
      <c r="L611" s="134" t="s">
        <v>1443</v>
      </c>
      <c r="M611" s="134" t="s">
        <v>1443</v>
      </c>
      <c r="N611" s="134" t="s">
        <v>1443</v>
      </c>
      <c r="O611" s="134" t="s">
        <v>1443</v>
      </c>
      <c r="P611" s="134" t="s">
        <v>1443</v>
      </c>
      <c r="Q611" s="134" t="s">
        <v>1443</v>
      </c>
      <c r="R611" s="109"/>
      <c r="S611" s="109"/>
      <c r="T611" s="109"/>
      <c r="U611" s="109"/>
      <c r="V611" s="109"/>
    </row>
    <row r="612" spans="2:22" ht="12.75" hidden="1" customHeight="1" outlineLevel="1" x14ac:dyDescent="0.2">
      <c r="B612" s="8" t="s">
        <v>392</v>
      </c>
      <c r="C612" s="118" t="s">
        <v>192</v>
      </c>
      <c r="D612" s="46" t="s">
        <v>192</v>
      </c>
      <c r="E612" s="41"/>
      <c r="F612" s="134"/>
      <c r="G612" s="134"/>
      <c r="H612" s="134"/>
      <c r="I612" s="134"/>
      <c r="J612" s="134"/>
      <c r="K612" s="134"/>
      <c r="L612" s="134"/>
      <c r="M612" s="134"/>
      <c r="N612" s="134"/>
      <c r="O612" s="134"/>
      <c r="P612" s="134"/>
      <c r="Q612" s="134"/>
    </row>
    <row r="613" spans="2:22" ht="12.75" hidden="1" customHeight="1" outlineLevel="1" x14ac:dyDescent="0.2">
      <c r="B613" s="5" t="s">
        <v>391</v>
      </c>
      <c r="C613" s="118" t="s">
        <v>1183</v>
      </c>
      <c r="D613" s="46">
        <v>299400</v>
      </c>
      <c r="E613" s="41"/>
      <c r="F613" s="134" t="s">
        <v>1443</v>
      </c>
      <c r="G613" s="134">
        <v>328.40000000000003</v>
      </c>
      <c r="H613" s="134" t="s">
        <v>1443</v>
      </c>
      <c r="I613" s="134" t="s">
        <v>1443</v>
      </c>
      <c r="J613" s="134" t="s">
        <v>1443</v>
      </c>
      <c r="K613" s="134">
        <v>337.6</v>
      </c>
      <c r="L613" s="134" t="s">
        <v>1443</v>
      </c>
      <c r="M613" s="134" t="s">
        <v>1443</v>
      </c>
      <c r="N613" s="134" t="s">
        <v>1443</v>
      </c>
      <c r="O613" s="134">
        <v>309.90000000000003</v>
      </c>
      <c r="P613" s="134" t="s">
        <v>1443</v>
      </c>
      <c r="Q613" s="134" t="s">
        <v>1443</v>
      </c>
      <c r="R613" s="22"/>
      <c r="S613" s="109"/>
      <c r="T613" s="109"/>
      <c r="U613" s="109"/>
      <c r="V613" s="109"/>
    </row>
    <row r="614" spans="2:22" ht="12.75" hidden="1" customHeight="1" outlineLevel="1" x14ac:dyDescent="0.2">
      <c r="B614" s="5" t="s">
        <v>390</v>
      </c>
      <c r="C614" s="118" t="s">
        <v>1184</v>
      </c>
      <c r="D614" s="46">
        <v>299401</v>
      </c>
      <c r="E614" s="41"/>
      <c r="F614" s="134" t="s">
        <v>1443</v>
      </c>
      <c r="G614" s="134">
        <v>0.5</v>
      </c>
      <c r="H614" s="134" t="s">
        <v>1443</v>
      </c>
      <c r="I614" s="134" t="s">
        <v>1443</v>
      </c>
      <c r="J614" s="134" t="s">
        <v>1443</v>
      </c>
      <c r="K614" s="134">
        <v>0.3</v>
      </c>
      <c r="L614" s="134" t="s">
        <v>1443</v>
      </c>
      <c r="M614" s="134" t="s">
        <v>1443</v>
      </c>
      <c r="N614" s="134" t="s">
        <v>1443</v>
      </c>
      <c r="O614" s="134">
        <v>0.1</v>
      </c>
      <c r="P614" s="134" t="s">
        <v>1443</v>
      </c>
      <c r="Q614" s="134" t="s">
        <v>1443</v>
      </c>
      <c r="R614" s="22"/>
      <c r="S614" s="109"/>
      <c r="T614" s="109"/>
      <c r="U614" s="109"/>
      <c r="V614" s="109"/>
    </row>
    <row r="615" spans="2:22" ht="12.75" hidden="1" customHeight="1" outlineLevel="1" x14ac:dyDescent="0.2">
      <c r="B615" s="5" t="s">
        <v>389</v>
      </c>
      <c r="C615" s="118" t="s">
        <v>1185</v>
      </c>
      <c r="D615" s="46">
        <v>299402</v>
      </c>
      <c r="E615" s="41"/>
      <c r="F615" s="134" t="s">
        <v>1443</v>
      </c>
      <c r="G615" s="134" t="s">
        <v>1443</v>
      </c>
      <c r="H615" s="134" t="s">
        <v>1443</v>
      </c>
      <c r="I615" s="134" t="s">
        <v>1443</v>
      </c>
      <c r="J615" s="134" t="s">
        <v>1443</v>
      </c>
      <c r="K615" s="134" t="s">
        <v>1443</v>
      </c>
      <c r="L615" s="134" t="s">
        <v>1443</v>
      </c>
      <c r="M615" s="134" t="s">
        <v>1443</v>
      </c>
      <c r="N615" s="134" t="s">
        <v>1443</v>
      </c>
      <c r="O615" s="134" t="s">
        <v>1443</v>
      </c>
      <c r="P615" s="134" t="s">
        <v>1443</v>
      </c>
      <c r="Q615" s="134" t="s">
        <v>1443</v>
      </c>
      <c r="R615" s="22"/>
      <c r="S615" s="109"/>
      <c r="T615" s="109"/>
      <c r="U615" s="109"/>
      <c r="V615" s="109"/>
    </row>
    <row r="616" spans="2:22" ht="12.75" hidden="1" customHeight="1" outlineLevel="1" x14ac:dyDescent="0.2">
      <c r="B616" s="5" t="s">
        <v>388</v>
      </c>
      <c r="C616" s="118" t="s">
        <v>1186</v>
      </c>
      <c r="D616" s="46">
        <v>299403</v>
      </c>
      <c r="E616" s="41"/>
      <c r="F616" s="134" t="s">
        <v>1443</v>
      </c>
      <c r="G616" s="134">
        <v>-83.4</v>
      </c>
      <c r="H616" s="134" t="s">
        <v>1443</v>
      </c>
      <c r="I616" s="134" t="s">
        <v>1443</v>
      </c>
      <c r="J616" s="134" t="s">
        <v>1443</v>
      </c>
      <c r="K616" s="134">
        <v>-85.2</v>
      </c>
      <c r="L616" s="134" t="s">
        <v>1443</v>
      </c>
      <c r="M616" s="134" t="s">
        <v>1443</v>
      </c>
      <c r="N616" s="134" t="s">
        <v>1443</v>
      </c>
      <c r="O616" s="134">
        <v>-80.100000000000009</v>
      </c>
      <c r="P616" s="134" t="s">
        <v>1443</v>
      </c>
      <c r="Q616" s="134" t="s">
        <v>1443</v>
      </c>
      <c r="R616" s="22"/>
      <c r="S616" s="109"/>
      <c r="T616" s="109"/>
      <c r="U616" s="109"/>
      <c r="V616" s="109"/>
    </row>
    <row r="617" spans="2:22" ht="12.75" hidden="1" customHeight="1" outlineLevel="1" x14ac:dyDescent="0.2">
      <c r="B617" s="5" t="s">
        <v>387</v>
      </c>
      <c r="C617" s="118" t="s">
        <v>1187</v>
      </c>
      <c r="D617" s="46">
        <v>299404</v>
      </c>
      <c r="E617" s="41"/>
      <c r="F617" s="134" t="s">
        <v>1443</v>
      </c>
      <c r="G617" s="134">
        <v>245.5</v>
      </c>
      <c r="H617" s="134" t="s">
        <v>1443</v>
      </c>
      <c r="I617" s="134" t="s">
        <v>1443</v>
      </c>
      <c r="J617" s="134" t="s">
        <v>1443</v>
      </c>
      <c r="K617" s="134">
        <v>252.70000000000002</v>
      </c>
      <c r="L617" s="134" t="s">
        <v>1443</v>
      </c>
      <c r="M617" s="134" t="s">
        <v>1443</v>
      </c>
      <c r="N617" s="134" t="s">
        <v>1443</v>
      </c>
      <c r="O617" s="134">
        <v>229.9</v>
      </c>
      <c r="P617" s="134" t="s">
        <v>1443</v>
      </c>
      <c r="Q617" s="134" t="s">
        <v>1443</v>
      </c>
      <c r="R617" s="22"/>
      <c r="S617" s="109"/>
      <c r="T617" s="109"/>
      <c r="U617" s="109"/>
      <c r="V617" s="109"/>
    </row>
    <row r="618" spans="2:22" ht="12.75" hidden="1" customHeight="1" outlineLevel="1" x14ac:dyDescent="0.2">
      <c r="B618" s="8" t="s">
        <v>386</v>
      </c>
      <c r="C618" s="118" t="s">
        <v>192</v>
      </c>
      <c r="D618" s="46" t="s">
        <v>192</v>
      </c>
      <c r="E618" s="41"/>
      <c r="F618" s="134"/>
      <c r="G618" s="134"/>
      <c r="H618" s="134"/>
      <c r="I618" s="134"/>
      <c r="J618" s="134"/>
      <c r="K618" s="134"/>
      <c r="L618" s="134"/>
      <c r="M618" s="134"/>
      <c r="N618" s="134"/>
      <c r="O618" s="134"/>
      <c r="P618" s="134"/>
      <c r="Q618" s="134"/>
      <c r="R618" s="22"/>
    </row>
    <row r="619" spans="2:22" ht="12.75" hidden="1" customHeight="1" outlineLevel="1" x14ac:dyDescent="0.2">
      <c r="B619" s="5" t="s">
        <v>385</v>
      </c>
      <c r="C619" s="118" t="s">
        <v>1188</v>
      </c>
      <c r="D619" s="46">
        <v>299348</v>
      </c>
      <c r="E619" s="41"/>
      <c r="F619" s="134" t="s">
        <v>1443</v>
      </c>
      <c r="G619" s="134" t="s">
        <v>1443</v>
      </c>
      <c r="H619" s="134" t="s">
        <v>1443</v>
      </c>
      <c r="I619" s="134" t="s">
        <v>1443</v>
      </c>
      <c r="J619" s="134" t="s">
        <v>1443</v>
      </c>
      <c r="K619" s="134" t="s">
        <v>1443</v>
      </c>
      <c r="L619" s="134" t="s">
        <v>1443</v>
      </c>
      <c r="M619" s="134" t="s">
        <v>1443</v>
      </c>
      <c r="N619" s="134" t="s">
        <v>1443</v>
      </c>
      <c r="O619" s="134" t="s">
        <v>1443</v>
      </c>
      <c r="P619" s="134" t="s">
        <v>1443</v>
      </c>
      <c r="Q619" s="134" t="s">
        <v>1443</v>
      </c>
      <c r="R619" s="22"/>
      <c r="S619" s="109"/>
      <c r="T619" s="109"/>
      <c r="U619" s="109"/>
      <c r="V619" s="109"/>
    </row>
    <row r="620" spans="2:22" ht="12.75" hidden="1" customHeight="1" outlineLevel="1" x14ac:dyDescent="0.2">
      <c r="B620" s="5" t="s">
        <v>384</v>
      </c>
      <c r="C620" s="118" t="s">
        <v>1189</v>
      </c>
      <c r="D620" s="46">
        <v>299349</v>
      </c>
      <c r="E620" s="41"/>
      <c r="F620" s="134" t="s">
        <v>1443</v>
      </c>
      <c r="G620" s="134" t="s">
        <v>1443</v>
      </c>
      <c r="H620" s="134" t="s">
        <v>1443</v>
      </c>
      <c r="I620" s="134" t="s">
        <v>1443</v>
      </c>
      <c r="J620" s="134" t="s">
        <v>1443</v>
      </c>
      <c r="K620" s="134" t="s">
        <v>1443</v>
      </c>
      <c r="L620" s="134" t="s">
        <v>1443</v>
      </c>
      <c r="M620" s="134" t="s">
        <v>1443</v>
      </c>
      <c r="N620" s="134" t="s">
        <v>1443</v>
      </c>
      <c r="O620" s="134" t="s">
        <v>1443</v>
      </c>
      <c r="P620" s="134" t="s">
        <v>1443</v>
      </c>
      <c r="Q620" s="134" t="s">
        <v>1443</v>
      </c>
      <c r="R620" s="22"/>
      <c r="S620" s="109"/>
      <c r="T620" s="109"/>
      <c r="U620" s="109"/>
      <c r="V620" s="109"/>
    </row>
    <row r="621" spans="2:22" ht="12.75" hidden="1" customHeight="1" outlineLevel="1" x14ac:dyDescent="0.2">
      <c r="B621" s="5" t="s">
        <v>383</v>
      </c>
      <c r="C621" s="118" t="s">
        <v>1190</v>
      </c>
      <c r="D621" s="46">
        <v>299350</v>
      </c>
      <c r="E621" s="41"/>
      <c r="F621" s="134" t="s">
        <v>1443</v>
      </c>
      <c r="G621" s="134" t="s">
        <v>1443</v>
      </c>
      <c r="H621" s="134" t="s">
        <v>1443</v>
      </c>
      <c r="I621" s="134" t="s">
        <v>1443</v>
      </c>
      <c r="J621" s="134" t="s">
        <v>1443</v>
      </c>
      <c r="K621" s="134" t="s">
        <v>1443</v>
      </c>
      <c r="L621" s="134" t="s">
        <v>1443</v>
      </c>
      <c r="M621" s="134" t="s">
        <v>1443</v>
      </c>
      <c r="N621" s="134" t="s">
        <v>1443</v>
      </c>
      <c r="O621" s="134" t="s">
        <v>1443</v>
      </c>
      <c r="P621" s="134" t="s">
        <v>1443</v>
      </c>
      <c r="Q621" s="134" t="s">
        <v>1443</v>
      </c>
      <c r="R621" s="22"/>
      <c r="S621" s="109"/>
      <c r="T621" s="109"/>
      <c r="U621" s="109"/>
      <c r="V621" s="109"/>
    </row>
    <row r="622" spans="2:22" ht="12.75" hidden="1" customHeight="1" outlineLevel="1" x14ac:dyDescent="0.2">
      <c r="B622" s="5" t="s">
        <v>382</v>
      </c>
      <c r="C622" s="118" t="s">
        <v>1191</v>
      </c>
      <c r="D622" s="46">
        <v>299351</v>
      </c>
      <c r="E622" s="41"/>
      <c r="F622" s="134" t="s">
        <v>1443</v>
      </c>
      <c r="G622" s="134" t="s">
        <v>1443</v>
      </c>
      <c r="H622" s="134" t="s">
        <v>1443</v>
      </c>
      <c r="I622" s="134" t="s">
        <v>1443</v>
      </c>
      <c r="J622" s="134" t="s">
        <v>1443</v>
      </c>
      <c r="K622" s="134" t="s">
        <v>1443</v>
      </c>
      <c r="L622" s="134" t="s">
        <v>1443</v>
      </c>
      <c r="M622" s="134" t="s">
        <v>1443</v>
      </c>
      <c r="N622" s="134" t="s">
        <v>1443</v>
      </c>
      <c r="O622" s="134" t="s">
        <v>1443</v>
      </c>
      <c r="P622" s="134" t="s">
        <v>1443</v>
      </c>
      <c r="Q622" s="134" t="s">
        <v>1443</v>
      </c>
      <c r="R622" s="22"/>
      <c r="S622" s="109"/>
      <c r="T622" s="109"/>
      <c r="U622" s="109"/>
      <c r="V622" s="109"/>
    </row>
    <row r="623" spans="2:22" ht="12.75" hidden="1" customHeight="1" outlineLevel="1" x14ac:dyDescent="0.2">
      <c r="B623" s="8" t="s">
        <v>381</v>
      </c>
      <c r="C623" s="118" t="s">
        <v>192</v>
      </c>
      <c r="D623" s="46" t="s">
        <v>192</v>
      </c>
      <c r="E623" s="41"/>
      <c r="F623" s="21"/>
      <c r="G623" s="21"/>
      <c r="H623" s="21"/>
      <c r="I623" s="21"/>
      <c r="J623" s="21"/>
      <c r="K623" s="21"/>
      <c r="L623" s="21"/>
      <c r="M623" s="21"/>
      <c r="N623" s="21"/>
      <c r="O623" s="21"/>
      <c r="P623" s="21"/>
      <c r="Q623" s="21"/>
    </row>
    <row r="624" spans="2:22" ht="12.75" hidden="1" customHeight="1" outlineLevel="1" x14ac:dyDescent="0.2">
      <c r="B624" s="5" t="s">
        <v>1463</v>
      </c>
      <c r="C624" s="118" t="s">
        <v>887</v>
      </c>
      <c r="D624" s="46">
        <v>299364</v>
      </c>
      <c r="E624" s="41"/>
      <c r="F624" s="140" t="s">
        <v>1443</v>
      </c>
      <c r="G624" s="140" t="s">
        <v>1443</v>
      </c>
      <c r="H624" s="140" t="s">
        <v>1443</v>
      </c>
      <c r="I624" s="140" t="s">
        <v>1443</v>
      </c>
      <c r="J624" s="140" t="s">
        <v>1443</v>
      </c>
      <c r="K624" s="140" t="s">
        <v>1443</v>
      </c>
      <c r="L624" s="140" t="s">
        <v>1443</v>
      </c>
      <c r="M624" s="140" t="s">
        <v>1443</v>
      </c>
      <c r="N624" s="140" t="s">
        <v>1443</v>
      </c>
      <c r="O624" s="140" t="s">
        <v>1443</v>
      </c>
      <c r="P624" s="140" t="s">
        <v>1443</v>
      </c>
      <c r="Q624" s="140" t="s">
        <v>1443</v>
      </c>
      <c r="R624" s="91"/>
      <c r="S624" s="91"/>
      <c r="T624" s="91"/>
      <c r="U624" s="91"/>
      <c r="V624" s="91"/>
    </row>
    <row r="625" spans="2:22" ht="12.75" hidden="1" customHeight="1" outlineLevel="1" x14ac:dyDescent="0.2">
      <c r="B625" s="5" t="s">
        <v>1464</v>
      </c>
      <c r="C625" s="118" t="s">
        <v>888</v>
      </c>
      <c r="D625" s="46">
        <v>299365</v>
      </c>
      <c r="E625" s="41"/>
      <c r="F625" s="140" t="s">
        <v>1443</v>
      </c>
      <c r="G625" s="140" t="s">
        <v>1443</v>
      </c>
      <c r="H625" s="140" t="s">
        <v>1443</v>
      </c>
      <c r="I625" s="140" t="s">
        <v>1443</v>
      </c>
      <c r="J625" s="140" t="s">
        <v>1443</v>
      </c>
      <c r="K625" s="140" t="s">
        <v>1443</v>
      </c>
      <c r="L625" s="140" t="s">
        <v>1443</v>
      </c>
      <c r="M625" s="140" t="s">
        <v>1443</v>
      </c>
      <c r="N625" s="140" t="s">
        <v>1443</v>
      </c>
      <c r="O625" s="140" t="s">
        <v>1443</v>
      </c>
      <c r="P625" s="140" t="s">
        <v>1443</v>
      </c>
      <c r="Q625" s="140" t="s">
        <v>1443</v>
      </c>
      <c r="R625" s="91"/>
      <c r="S625" s="91"/>
      <c r="T625" s="91"/>
      <c r="U625" s="91"/>
      <c r="V625" s="91"/>
    </row>
    <row r="626" spans="2:22" ht="12.75" hidden="1" customHeight="1" outlineLevel="1" x14ac:dyDescent="0.2">
      <c r="B626" s="5" t="s">
        <v>1465</v>
      </c>
      <c r="C626" s="118" t="s">
        <v>889</v>
      </c>
      <c r="D626" s="46">
        <v>299366</v>
      </c>
      <c r="E626" s="41"/>
      <c r="F626" s="140" t="s">
        <v>1443</v>
      </c>
      <c r="G626" s="140" t="s">
        <v>1443</v>
      </c>
      <c r="H626" s="140" t="s">
        <v>1443</v>
      </c>
      <c r="I626" s="140" t="s">
        <v>1443</v>
      </c>
      <c r="J626" s="140" t="s">
        <v>1443</v>
      </c>
      <c r="K626" s="140" t="s">
        <v>1443</v>
      </c>
      <c r="L626" s="140" t="s">
        <v>1443</v>
      </c>
      <c r="M626" s="140" t="s">
        <v>1443</v>
      </c>
      <c r="N626" s="140" t="s">
        <v>1443</v>
      </c>
      <c r="O626" s="140" t="s">
        <v>1443</v>
      </c>
      <c r="P626" s="140" t="s">
        <v>1443</v>
      </c>
      <c r="Q626" s="140" t="s">
        <v>1443</v>
      </c>
      <c r="R626" s="91"/>
      <c r="S626" s="91"/>
      <c r="T626" s="91"/>
      <c r="U626" s="91"/>
      <c r="V626" s="91"/>
    </row>
    <row r="627" spans="2:22" ht="12.75" hidden="1" customHeight="1" outlineLevel="1" x14ac:dyDescent="0.2">
      <c r="B627" s="5" t="s">
        <v>1466</v>
      </c>
      <c r="C627" s="118" t="s">
        <v>890</v>
      </c>
      <c r="D627" s="46">
        <v>299367</v>
      </c>
      <c r="E627" s="41"/>
      <c r="F627" s="140" t="s">
        <v>1443</v>
      </c>
      <c r="G627" s="140" t="s">
        <v>1443</v>
      </c>
      <c r="H627" s="140" t="s">
        <v>1443</v>
      </c>
      <c r="I627" s="140" t="s">
        <v>1443</v>
      </c>
      <c r="J627" s="140" t="s">
        <v>1443</v>
      </c>
      <c r="K627" s="140" t="s">
        <v>1443</v>
      </c>
      <c r="L627" s="140" t="s">
        <v>1443</v>
      </c>
      <c r="M627" s="140" t="s">
        <v>1443</v>
      </c>
      <c r="N627" s="140" t="s">
        <v>1443</v>
      </c>
      <c r="O627" s="140" t="s">
        <v>1443</v>
      </c>
      <c r="P627" s="140" t="s">
        <v>1443</v>
      </c>
      <c r="Q627" s="140" t="s">
        <v>1443</v>
      </c>
      <c r="R627" s="91"/>
      <c r="S627" s="91"/>
      <c r="T627" s="91"/>
      <c r="U627" s="91"/>
      <c r="V627" s="91"/>
    </row>
    <row r="628" spans="2:22" ht="12.75" hidden="1" customHeight="1" outlineLevel="1" x14ac:dyDescent="0.2">
      <c r="B628" s="8" t="s">
        <v>380</v>
      </c>
      <c r="C628" s="118" t="s">
        <v>192</v>
      </c>
      <c r="D628" s="46" t="s">
        <v>192</v>
      </c>
      <c r="E628" s="41"/>
      <c r="F628" s="21"/>
      <c r="G628" s="21"/>
      <c r="H628" s="21"/>
      <c r="I628" s="21"/>
      <c r="J628" s="21"/>
      <c r="K628" s="21"/>
      <c r="L628" s="21"/>
      <c r="M628" s="21"/>
      <c r="N628" s="21"/>
      <c r="O628" s="21"/>
      <c r="P628" s="21"/>
      <c r="Q628" s="21"/>
    </row>
    <row r="629" spans="2:22" ht="12.75" hidden="1" customHeight="1" outlineLevel="1" x14ac:dyDescent="0.2">
      <c r="B629" s="5" t="s">
        <v>379</v>
      </c>
      <c r="C629" s="118" t="s">
        <v>1192</v>
      </c>
      <c r="D629" s="46">
        <v>299386</v>
      </c>
      <c r="E629" s="41"/>
      <c r="F629" s="134" t="s">
        <v>1443</v>
      </c>
      <c r="G629" s="134">
        <v>86.8</v>
      </c>
      <c r="H629" s="134" t="s">
        <v>1443</v>
      </c>
      <c r="I629" s="134" t="s">
        <v>1443</v>
      </c>
      <c r="J629" s="134" t="s">
        <v>1443</v>
      </c>
      <c r="K629" s="134">
        <v>86.2</v>
      </c>
      <c r="L629" s="134" t="s">
        <v>1443</v>
      </c>
      <c r="M629" s="134" t="s">
        <v>1443</v>
      </c>
      <c r="N629" s="134" t="s">
        <v>1443</v>
      </c>
      <c r="O629" s="134">
        <v>88.5</v>
      </c>
      <c r="P629" s="134" t="s">
        <v>1443</v>
      </c>
      <c r="Q629" s="134" t="s">
        <v>1443</v>
      </c>
      <c r="R629" s="109"/>
      <c r="S629" s="109"/>
      <c r="T629" s="109"/>
      <c r="U629" s="109"/>
      <c r="V629" s="109"/>
    </row>
    <row r="630" spans="2:22" ht="12.75" hidden="1" customHeight="1" outlineLevel="1" x14ac:dyDescent="0.2">
      <c r="B630" s="5" t="s">
        <v>378</v>
      </c>
      <c r="C630" s="118" t="s">
        <v>1193</v>
      </c>
      <c r="D630" s="46">
        <v>299387</v>
      </c>
      <c r="E630" s="41"/>
      <c r="F630" s="134" t="s">
        <v>1443</v>
      </c>
      <c r="G630" s="134">
        <v>86.4</v>
      </c>
      <c r="H630" s="134" t="s">
        <v>1443</v>
      </c>
      <c r="I630" s="134" t="s">
        <v>1443</v>
      </c>
      <c r="J630" s="134" t="s">
        <v>1443</v>
      </c>
      <c r="K630" s="134">
        <v>86.8</v>
      </c>
      <c r="L630" s="134" t="s">
        <v>1443</v>
      </c>
      <c r="M630" s="134" t="s">
        <v>1443</v>
      </c>
      <c r="N630" s="134" t="s">
        <v>1443</v>
      </c>
      <c r="O630" s="134">
        <v>85.5</v>
      </c>
      <c r="P630" s="134" t="s">
        <v>1443</v>
      </c>
      <c r="Q630" s="134" t="s">
        <v>1443</v>
      </c>
      <c r="R630" s="109"/>
      <c r="S630" s="109"/>
      <c r="T630" s="109"/>
      <c r="U630" s="109"/>
      <c r="V630" s="109"/>
    </row>
    <row r="631" spans="2:22" ht="12.75" hidden="1" customHeight="1" outlineLevel="1" x14ac:dyDescent="0.2">
      <c r="B631" s="5" t="s">
        <v>377</v>
      </c>
      <c r="C631" s="118" t="s">
        <v>1194</v>
      </c>
      <c r="D631" s="46">
        <v>299388</v>
      </c>
      <c r="E631" s="41"/>
      <c r="F631" s="134" t="s">
        <v>1443</v>
      </c>
      <c r="G631" s="134">
        <v>86.8</v>
      </c>
      <c r="H631" s="134" t="s">
        <v>1443</v>
      </c>
      <c r="I631" s="134" t="s">
        <v>1443</v>
      </c>
      <c r="J631" s="134" t="s">
        <v>1443</v>
      </c>
      <c r="K631" s="134">
        <v>85.2</v>
      </c>
      <c r="L631" s="134" t="s">
        <v>1443</v>
      </c>
      <c r="M631" s="134" t="s">
        <v>1443</v>
      </c>
      <c r="N631" s="134" t="s">
        <v>1443</v>
      </c>
      <c r="O631" s="134">
        <v>85.3</v>
      </c>
      <c r="P631" s="134" t="s">
        <v>1443</v>
      </c>
      <c r="Q631" s="134" t="s">
        <v>1443</v>
      </c>
      <c r="R631" s="109"/>
      <c r="S631" s="109"/>
      <c r="T631" s="109"/>
      <c r="U631" s="109"/>
      <c r="V631" s="109"/>
    </row>
    <row r="632" spans="2:22" ht="12.75" hidden="1" customHeight="1" outlineLevel="1" x14ac:dyDescent="0.2">
      <c r="B632" s="5" t="s">
        <v>376</v>
      </c>
      <c r="C632" s="118" t="s">
        <v>1195</v>
      </c>
      <c r="D632" s="46">
        <v>299389</v>
      </c>
      <c r="E632" s="41"/>
      <c r="F632" s="134" t="s">
        <v>1443</v>
      </c>
      <c r="G632" s="134">
        <v>85.100000000000009</v>
      </c>
      <c r="H632" s="134" t="s">
        <v>1443</v>
      </c>
      <c r="I632" s="134" t="s">
        <v>1443</v>
      </c>
      <c r="J632" s="134" t="s">
        <v>1443</v>
      </c>
      <c r="K632" s="134">
        <v>85</v>
      </c>
      <c r="L632" s="134" t="s">
        <v>1443</v>
      </c>
      <c r="M632" s="134" t="s">
        <v>1443</v>
      </c>
      <c r="N632" s="134" t="s">
        <v>1443</v>
      </c>
      <c r="O632" s="134">
        <v>83.3</v>
      </c>
      <c r="P632" s="134" t="s">
        <v>1443</v>
      </c>
      <c r="Q632" s="134" t="s">
        <v>1443</v>
      </c>
      <c r="R632" s="109"/>
      <c r="S632" s="109"/>
      <c r="T632" s="109"/>
      <c r="U632" s="109"/>
      <c r="V632" s="109"/>
    </row>
    <row r="633" spans="2:22" ht="12.75" hidden="1" customHeight="1" outlineLevel="1" x14ac:dyDescent="0.2">
      <c r="B633" s="5" t="s">
        <v>375</v>
      </c>
      <c r="C633" s="118" t="s">
        <v>1197</v>
      </c>
      <c r="D633" s="46">
        <v>299390</v>
      </c>
      <c r="E633" s="41"/>
      <c r="F633" s="134" t="s">
        <v>1443</v>
      </c>
      <c r="G633" s="134">
        <v>85.100000000000009</v>
      </c>
      <c r="H633" s="134" t="s">
        <v>1443</v>
      </c>
      <c r="I633" s="134" t="s">
        <v>1443</v>
      </c>
      <c r="J633" s="134" t="s">
        <v>1443</v>
      </c>
      <c r="K633" s="134">
        <v>82.5</v>
      </c>
      <c r="L633" s="134" t="s">
        <v>1443</v>
      </c>
      <c r="M633" s="134" t="s">
        <v>1443</v>
      </c>
      <c r="N633" s="134" t="s">
        <v>1443</v>
      </c>
      <c r="O633" s="134">
        <v>81.900000000000006</v>
      </c>
      <c r="P633" s="134" t="s">
        <v>1443</v>
      </c>
      <c r="Q633" s="134" t="s">
        <v>1443</v>
      </c>
      <c r="R633" s="109"/>
      <c r="S633" s="109"/>
      <c r="T633" s="109"/>
      <c r="U633" s="109"/>
      <c r="V633" s="109"/>
    </row>
    <row r="634" spans="2:22" ht="12.75" hidden="1" customHeight="1" outlineLevel="1" x14ac:dyDescent="0.2">
      <c r="B634" s="5" t="s">
        <v>374</v>
      </c>
      <c r="C634" s="118" t="s">
        <v>1196</v>
      </c>
      <c r="D634" s="46">
        <v>299391</v>
      </c>
      <c r="E634" s="41"/>
      <c r="F634" s="134" t="s">
        <v>1443</v>
      </c>
      <c r="G634" s="134">
        <v>397.3</v>
      </c>
      <c r="H634" s="134" t="s">
        <v>1443</v>
      </c>
      <c r="I634" s="134" t="s">
        <v>1443</v>
      </c>
      <c r="J634" s="134" t="s">
        <v>1443</v>
      </c>
      <c r="K634" s="134">
        <v>390.5</v>
      </c>
      <c r="L634" s="134" t="s">
        <v>1443</v>
      </c>
      <c r="M634" s="134" t="s">
        <v>1443</v>
      </c>
      <c r="N634" s="134" t="s">
        <v>1443</v>
      </c>
      <c r="O634" s="134">
        <v>382.40000000000003</v>
      </c>
      <c r="P634" s="134" t="s">
        <v>1443</v>
      </c>
      <c r="Q634" s="134" t="s">
        <v>1443</v>
      </c>
      <c r="R634" s="109"/>
      <c r="S634" s="109"/>
      <c r="T634" s="109"/>
      <c r="U634" s="109"/>
      <c r="V634" s="109"/>
    </row>
    <row r="635" spans="2:22" ht="12.75" hidden="1" customHeight="1" outlineLevel="1" x14ac:dyDescent="0.2">
      <c r="B635" s="8" t="s">
        <v>373</v>
      </c>
      <c r="C635" s="118" t="s">
        <v>192</v>
      </c>
      <c r="D635" s="46" t="s">
        <v>192</v>
      </c>
      <c r="E635" s="41"/>
      <c r="F635" s="134"/>
      <c r="G635" s="134"/>
      <c r="H635" s="134"/>
      <c r="I635" s="134"/>
      <c r="J635" s="134"/>
      <c r="K635" s="134"/>
      <c r="L635" s="134"/>
      <c r="M635" s="134"/>
      <c r="N635" s="134"/>
      <c r="O635" s="134"/>
      <c r="P635" s="134"/>
      <c r="Q635" s="134"/>
    </row>
    <row r="636" spans="2:22" ht="12.75" hidden="1" customHeight="1" outlineLevel="1" x14ac:dyDescent="0.2">
      <c r="B636" s="5" t="s">
        <v>372</v>
      </c>
      <c r="C636" s="118" t="s">
        <v>1198</v>
      </c>
      <c r="D636" s="46">
        <v>299392</v>
      </c>
      <c r="E636" s="41"/>
      <c r="F636" s="134" t="s">
        <v>1443</v>
      </c>
      <c r="G636" s="134" t="s">
        <v>1443</v>
      </c>
      <c r="H636" s="134" t="s">
        <v>1443</v>
      </c>
      <c r="I636" s="134" t="s">
        <v>1443</v>
      </c>
      <c r="J636" s="134" t="s">
        <v>1443</v>
      </c>
      <c r="K636" s="134" t="s">
        <v>1443</v>
      </c>
      <c r="L636" s="134" t="s">
        <v>1443</v>
      </c>
      <c r="M636" s="134" t="s">
        <v>1443</v>
      </c>
      <c r="N636" s="134" t="s">
        <v>1443</v>
      </c>
      <c r="O636" s="134" t="s">
        <v>1443</v>
      </c>
      <c r="P636" s="134" t="s">
        <v>1443</v>
      </c>
      <c r="Q636" s="134" t="s">
        <v>1443</v>
      </c>
      <c r="R636" s="109"/>
      <c r="S636" s="109"/>
      <c r="T636" s="109"/>
      <c r="U636" s="109"/>
      <c r="V636" s="109"/>
    </row>
    <row r="637" spans="2:22" ht="12.75" hidden="1" customHeight="1" outlineLevel="1" x14ac:dyDescent="0.2">
      <c r="B637" s="5" t="s">
        <v>371</v>
      </c>
      <c r="C637" s="118" t="s">
        <v>1199</v>
      </c>
      <c r="D637" s="46">
        <v>299393</v>
      </c>
      <c r="E637" s="41"/>
      <c r="F637" s="134" t="s">
        <v>1443</v>
      </c>
      <c r="G637" s="134" t="s">
        <v>1443</v>
      </c>
      <c r="H637" s="134" t="s">
        <v>1443</v>
      </c>
      <c r="I637" s="134" t="s">
        <v>1443</v>
      </c>
      <c r="J637" s="134" t="s">
        <v>1443</v>
      </c>
      <c r="K637" s="134" t="s">
        <v>1443</v>
      </c>
      <c r="L637" s="134" t="s">
        <v>1443</v>
      </c>
      <c r="M637" s="134" t="s">
        <v>1443</v>
      </c>
      <c r="N637" s="134" t="s">
        <v>1443</v>
      </c>
      <c r="O637" s="134" t="s">
        <v>1443</v>
      </c>
      <c r="P637" s="134" t="s">
        <v>1443</v>
      </c>
      <c r="Q637" s="134" t="s">
        <v>1443</v>
      </c>
      <c r="R637" s="109"/>
      <c r="S637" s="109"/>
      <c r="T637" s="109"/>
      <c r="U637" s="109"/>
      <c r="V637" s="109"/>
    </row>
    <row r="638" spans="2:22" ht="12.75" hidden="1" customHeight="1" outlineLevel="1" x14ac:dyDescent="0.2">
      <c r="B638" s="5" t="s">
        <v>370</v>
      </c>
      <c r="C638" s="118" t="s">
        <v>1200</v>
      </c>
      <c r="D638" s="46">
        <v>299394</v>
      </c>
      <c r="E638" s="41"/>
      <c r="F638" s="134" t="s">
        <v>1443</v>
      </c>
      <c r="G638" s="134" t="s">
        <v>1443</v>
      </c>
      <c r="H638" s="134" t="s">
        <v>1443</v>
      </c>
      <c r="I638" s="134" t="s">
        <v>1443</v>
      </c>
      <c r="J638" s="134" t="s">
        <v>1443</v>
      </c>
      <c r="K638" s="134" t="s">
        <v>1443</v>
      </c>
      <c r="L638" s="134" t="s">
        <v>1443</v>
      </c>
      <c r="M638" s="134" t="s">
        <v>1443</v>
      </c>
      <c r="N638" s="134" t="s">
        <v>1443</v>
      </c>
      <c r="O638" s="134" t="s">
        <v>1443</v>
      </c>
      <c r="P638" s="134" t="s">
        <v>1443</v>
      </c>
      <c r="Q638" s="134" t="s">
        <v>1443</v>
      </c>
      <c r="R638" s="109"/>
      <c r="S638" s="109"/>
      <c r="T638" s="109"/>
      <c r="U638" s="109"/>
      <c r="V638" s="109"/>
    </row>
    <row r="639" spans="2:22" ht="12.75" hidden="1" customHeight="1" outlineLevel="1" x14ac:dyDescent="0.2">
      <c r="B639" s="5" t="s">
        <v>369</v>
      </c>
      <c r="C639" s="118" t="s">
        <v>1201</v>
      </c>
      <c r="D639" s="46">
        <v>299395</v>
      </c>
      <c r="E639" s="41"/>
      <c r="F639" s="134" t="s">
        <v>1443</v>
      </c>
      <c r="G639" s="134" t="s">
        <v>1443</v>
      </c>
      <c r="H639" s="134" t="s">
        <v>1443</v>
      </c>
      <c r="I639" s="134" t="s">
        <v>1443</v>
      </c>
      <c r="J639" s="134" t="s">
        <v>1443</v>
      </c>
      <c r="K639" s="134" t="s">
        <v>1443</v>
      </c>
      <c r="L639" s="134" t="s">
        <v>1443</v>
      </c>
      <c r="M639" s="134" t="s">
        <v>1443</v>
      </c>
      <c r="N639" s="134" t="s">
        <v>1443</v>
      </c>
      <c r="O639" s="134" t="s">
        <v>1443</v>
      </c>
      <c r="P639" s="134" t="s">
        <v>1443</v>
      </c>
      <c r="Q639" s="134" t="s">
        <v>1443</v>
      </c>
      <c r="R639" s="109"/>
      <c r="S639" s="109"/>
      <c r="T639" s="109"/>
      <c r="U639" s="109"/>
      <c r="V639" s="109"/>
    </row>
    <row r="640" spans="2:22" ht="12.75" hidden="1" customHeight="1" outlineLevel="1" x14ac:dyDescent="0.2">
      <c r="B640" s="5" t="s">
        <v>368</v>
      </c>
      <c r="C640" s="118" t="s">
        <v>1202</v>
      </c>
      <c r="D640" s="46">
        <v>299405</v>
      </c>
      <c r="E640" s="41"/>
      <c r="F640" s="134" t="s">
        <v>1443</v>
      </c>
      <c r="G640" s="134" t="s">
        <v>1443</v>
      </c>
      <c r="H640" s="134" t="s">
        <v>1443</v>
      </c>
      <c r="I640" s="134" t="s">
        <v>1443</v>
      </c>
      <c r="J640" s="134" t="s">
        <v>1443</v>
      </c>
      <c r="K640" s="134" t="s">
        <v>1443</v>
      </c>
      <c r="L640" s="134" t="s">
        <v>1443</v>
      </c>
      <c r="M640" s="134" t="s">
        <v>1443</v>
      </c>
      <c r="N640" s="134" t="s">
        <v>1443</v>
      </c>
      <c r="O640" s="134" t="s">
        <v>1443</v>
      </c>
      <c r="P640" s="134" t="s">
        <v>1443</v>
      </c>
      <c r="Q640" s="134" t="s">
        <v>1443</v>
      </c>
      <c r="R640" s="22"/>
      <c r="S640" s="109"/>
      <c r="T640" s="109"/>
      <c r="U640" s="109"/>
      <c r="V640" s="109"/>
    </row>
    <row r="641" spans="2:22" ht="12.75" hidden="1" customHeight="1" outlineLevel="1" x14ac:dyDescent="0.2">
      <c r="B641" s="5" t="s">
        <v>367</v>
      </c>
      <c r="C641" s="118" t="s">
        <v>1203</v>
      </c>
      <c r="D641" s="46">
        <v>299406</v>
      </c>
      <c r="E641" s="41"/>
      <c r="F641" s="134" t="s">
        <v>1443</v>
      </c>
      <c r="G641" s="134" t="s">
        <v>1443</v>
      </c>
      <c r="H641" s="134" t="s">
        <v>1443</v>
      </c>
      <c r="I641" s="134" t="s">
        <v>1443</v>
      </c>
      <c r="J641" s="134" t="s">
        <v>1443</v>
      </c>
      <c r="K641" s="134" t="s">
        <v>1443</v>
      </c>
      <c r="L641" s="134" t="s">
        <v>1443</v>
      </c>
      <c r="M641" s="134" t="s">
        <v>1443</v>
      </c>
      <c r="N641" s="134" t="s">
        <v>1443</v>
      </c>
      <c r="O641" s="134" t="s">
        <v>1443</v>
      </c>
      <c r="P641" s="134" t="s">
        <v>1443</v>
      </c>
      <c r="Q641" s="134" t="s">
        <v>1443</v>
      </c>
      <c r="R641" s="22"/>
      <c r="S641" s="109"/>
      <c r="T641" s="109"/>
      <c r="U641" s="109"/>
      <c r="V641" s="109"/>
    </row>
    <row r="642" spans="2:22" ht="12.75" hidden="1" customHeight="1" outlineLevel="1" x14ac:dyDescent="0.2">
      <c r="B642" s="5" t="s">
        <v>366</v>
      </c>
      <c r="C642" s="118" t="s">
        <v>1204</v>
      </c>
      <c r="D642" s="46">
        <v>299407</v>
      </c>
      <c r="E642" s="41"/>
      <c r="F642" s="134" t="s">
        <v>1443</v>
      </c>
      <c r="G642" s="134" t="s">
        <v>1443</v>
      </c>
      <c r="H642" s="134" t="s">
        <v>1443</v>
      </c>
      <c r="I642" s="134" t="s">
        <v>1443</v>
      </c>
      <c r="J642" s="134" t="s">
        <v>1443</v>
      </c>
      <c r="K642" s="134" t="s">
        <v>1443</v>
      </c>
      <c r="L642" s="134" t="s">
        <v>1443</v>
      </c>
      <c r="M642" s="134" t="s">
        <v>1443</v>
      </c>
      <c r="N642" s="134" t="s">
        <v>1443</v>
      </c>
      <c r="O642" s="134" t="s">
        <v>1443</v>
      </c>
      <c r="P642" s="134" t="s">
        <v>1443</v>
      </c>
      <c r="Q642" s="134" t="s">
        <v>1443</v>
      </c>
      <c r="R642" s="22"/>
      <c r="S642" s="109"/>
      <c r="T642" s="109"/>
      <c r="U642" s="109"/>
      <c r="V642" s="109"/>
    </row>
    <row r="643" spans="2:22" ht="12.75" hidden="1" customHeight="1" outlineLevel="1" x14ac:dyDescent="0.2">
      <c r="B643" s="5" t="s">
        <v>365</v>
      </c>
      <c r="C643" s="118" t="s">
        <v>1205</v>
      </c>
      <c r="D643" s="46">
        <v>299396</v>
      </c>
      <c r="E643" s="41"/>
      <c r="F643" s="134" t="s">
        <v>1443</v>
      </c>
      <c r="G643" s="134" t="s">
        <v>1443</v>
      </c>
      <c r="H643" s="134" t="s">
        <v>1443</v>
      </c>
      <c r="I643" s="134" t="s">
        <v>1443</v>
      </c>
      <c r="J643" s="134" t="s">
        <v>1443</v>
      </c>
      <c r="K643" s="134" t="s">
        <v>1443</v>
      </c>
      <c r="L643" s="134" t="s">
        <v>1443</v>
      </c>
      <c r="M643" s="134" t="s">
        <v>1443</v>
      </c>
      <c r="N643" s="134" t="s">
        <v>1443</v>
      </c>
      <c r="O643" s="134" t="s">
        <v>1443</v>
      </c>
      <c r="P643" s="134" t="s">
        <v>1443</v>
      </c>
      <c r="Q643" s="134" t="s">
        <v>1443</v>
      </c>
      <c r="R643" s="109"/>
      <c r="S643" s="109"/>
      <c r="T643" s="109"/>
      <c r="U643" s="109"/>
      <c r="V643" s="109"/>
    </row>
    <row r="644" spans="2:22" ht="12.75" hidden="1" customHeight="1" outlineLevel="1" x14ac:dyDescent="0.2">
      <c r="B644" s="8" t="s">
        <v>364</v>
      </c>
      <c r="C644" s="118" t="s">
        <v>192</v>
      </c>
      <c r="D644" s="46" t="s">
        <v>192</v>
      </c>
      <c r="E644" s="41"/>
      <c r="F644" s="134"/>
      <c r="G644" s="134"/>
      <c r="H644" s="134"/>
      <c r="I644" s="134"/>
      <c r="J644" s="134"/>
      <c r="K644" s="134"/>
      <c r="L644" s="134"/>
      <c r="M644" s="134"/>
      <c r="N644" s="134"/>
      <c r="O644" s="134"/>
      <c r="P644" s="134"/>
      <c r="Q644" s="134"/>
    </row>
    <row r="645" spans="2:22" ht="12.75" hidden="1" customHeight="1" outlineLevel="1" x14ac:dyDescent="0.2">
      <c r="B645" s="5" t="s">
        <v>363</v>
      </c>
      <c r="C645" s="118" t="s">
        <v>1206</v>
      </c>
      <c r="D645" s="46">
        <v>299397</v>
      </c>
      <c r="E645" s="41"/>
      <c r="F645" s="134" t="s">
        <v>1443</v>
      </c>
      <c r="G645" s="134" t="s">
        <v>1443</v>
      </c>
      <c r="H645" s="134" t="s">
        <v>1443</v>
      </c>
      <c r="I645" s="134" t="s">
        <v>1443</v>
      </c>
      <c r="J645" s="134" t="s">
        <v>1443</v>
      </c>
      <c r="K645" s="134" t="s">
        <v>1443</v>
      </c>
      <c r="L645" s="134" t="s">
        <v>1443</v>
      </c>
      <c r="M645" s="134" t="s">
        <v>1443</v>
      </c>
      <c r="N645" s="134" t="s">
        <v>1443</v>
      </c>
      <c r="O645" s="134" t="s">
        <v>1443</v>
      </c>
      <c r="P645" s="134" t="s">
        <v>1443</v>
      </c>
      <c r="Q645" s="134" t="s">
        <v>1443</v>
      </c>
      <c r="R645" s="109"/>
      <c r="S645" s="109"/>
      <c r="T645" s="109"/>
      <c r="U645" s="109"/>
      <c r="V645" s="109"/>
    </row>
    <row r="646" spans="2:22" ht="12.75" hidden="1" customHeight="1" outlineLevel="1" x14ac:dyDescent="0.2">
      <c r="B646" s="5" t="s">
        <v>362</v>
      </c>
      <c r="C646" s="118" t="s">
        <v>1207</v>
      </c>
      <c r="D646" s="46">
        <v>299398</v>
      </c>
      <c r="E646" s="41"/>
      <c r="F646" s="134" t="s">
        <v>1443</v>
      </c>
      <c r="G646" s="134" t="s">
        <v>1443</v>
      </c>
      <c r="H646" s="134" t="s">
        <v>1443</v>
      </c>
      <c r="I646" s="134" t="s">
        <v>1443</v>
      </c>
      <c r="J646" s="134" t="s">
        <v>1443</v>
      </c>
      <c r="K646" s="134" t="s">
        <v>1443</v>
      </c>
      <c r="L646" s="134" t="s">
        <v>1443</v>
      </c>
      <c r="M646" s="134" t="s">
        <v>1443</v>
      </c>
      <c r="N646" s="134" t="s">
        <v>1443</v>
      </c>
      <c r="O646" s="134" t="s">
        <v>1443</v>
      </c>
      <c r="P646" s="134" t="s">
        <v>1443</v>
      </c>
      <c r="Q646" s="134" t="s">
        <v>1443</v>
      </c>
      <c r="R646" s="109"/>
      <c r="S646" s="109"/>
      <c r="T646" s="109"/>
      <c r="U646" s="109"/>
      <c r="V646" s="109"/>
    </row>
    <row r="647" spans="2:22" ht="12.75" hidden="1" customHeight="1" outlineLevel="1" x14ac:dyDescent="0.2">
      <c r="B647" s="5" t="s">
        <v>361</v>
      </c>
      <c r="C647" s="118" t="s">
        <v>1208</v>
      </c>
      <c r="D647" s="46">
        <v>299399</v>
      </c>
      <c r="E647" s="41"/>
      <c r="F647" s="134" t="s">
        <v>1443</v>
      </c>
      <c r="G647" s="134">
        <v>28.3</v>
      </c>
      <c r="H647" s="134" t="s">
        <v>1443</v>
      </c>
      <c r="I647" s="134" t="s">
        <v>1443</v>
      </c>
      <c r="J647" s="134" t="s">
        <v>1443</v>
      </c>
      <c r="K647" s="134">
        <v>7.8</v>
      </c>
      <c r="L647" s="134" t="s">
        <v>1443</v>
      </c>
      <c r="M647" s="134" t="s">
        <v>1443</v>
      </c>
      <c r="N647" s="134" t="s">
        <v>1443</v>
      </c>
      <c r="O647" s="134">
        <v>16</v>
      </c>
      <c r="P647" s="134" t="s">
        <v>1443</v>
      </c>
      <c r="Q647" s="134" t="s">
        <v>1443</v>
      </c>
      <c r="R647" s="109"/>
      <c r="S647" s="109"/>
      <c r="T647" s="109"/>
      <c r="U647" s="109"/>
      <c r="V647" s="109"/>
    </row>
    <row r="648" spans="2:22" ht="12.75" hidden="1" customHeight="1" outlineLevel="1" x14ac:dyDescent="0.2">
      <c r="B648" s="8" t="s">
        <v>438</v>
      </c>
      <c r="C648" s="118" t="s">
        <v>192</v>
      </c>
      <c r="D648" s="46" t="s">
        <v>192</v>
      </c>
      <c r="E648" s="41"/>
      <c r="F648" s="134"/>
      <c r="G648" s="134"/>
      <c r="H648" s="134"/>
      <c r="I648" s="134"/>
      <c r="J648" s="134"/>
      <c r="K648" s="134"/>
      <c r="L648" s="134"/>
      <c r="M648" s="134"/>
      <c r="N648" s="134"/>
      <c r="O648" s="134"/>
      <c r="P648" s="134"/>
      <c r="Q648" s="134"/>
    </row>
    <row r="649" spans="2:22" ht="12.75" hidden="1" customHeight="1" outlineLevel="1" x14ac:dyDescent="0.2">
      <c r="B649" s="5" t="s">
        <v>437</v>
      </c>
      <c r="C649" s="118" t="s">
        <v>1209</v>
      </c>
      <c r="D649" s="46">
        <v>299408</v>
      </c>
      <c r="E649" s="41"/>
      <c r="F649" s="134" t="s">
        <v>1443</v>
      </c>
      <c r="G649" s="134" t="s">
        <v>1443</v>
      </c>
      <c r="H649" s="134" t="s">
        <v>1443</v>
      </c>
      <c r="I649" s="134" t="s">
        <v>1443</v>
      </c>
      <c r="J649" s="134" t="s">
        <v>1443</v>
      </c>
      <c r="K649" s="134" t="s">
        <v>1443</v>
      </c>
      <c r="L649" s="134" t="s">
        <v>1443</v>
      </c>
      <c r="M649" s="134" t="s">
        <v>1443</v>
      </c>
      <c r="N649" s="134" t="s">
        <v>1443</v>
      </c>
      <c r="O649" s="134" t="s">
        <v>1443</v>
      </c>
      <c r="P649" s="134" t="s">
        <v>1443</v>
      </c>
      <c r="Q649" s="134" t="s">
        <v>1443</v>
      </c>
      <c r="R649" s="109"/>
      <c r="S649" s="109"/>
      <c r="T649" s="109"/>
      <c r="U649" s="109"/>
      <c r="V649" s="109"/>
    </row>
    <row r="650" spans="2:22" ht="12.75" hidden="1" customHeight="1" outlineLevel="1" x14ac:dyDescent="0.2">
      <c r="B650" s="5" t="s">
        <v>436</v>
      </c>
      <c r="C650" s="118" t="s">
        <v>1210</v>
      </c>
      <c r="D650" s="46">
        <v>299409</v>
      </c>
      <c r="E650" s="41"/>
      <c r="F650" s="134" t="s">
        <v>1443</v>
      </c>
      <c r="G650" s="134" t="s">
        <v>1443</v>
      </c>
      <c r="H650" s="134">
        <v>1.7</v>
      </c>
      <c r="I650" s="134" t="s">
        <v>1443</v>
      </c>
      <c r="J650" s="134" t="s">
        <v>1443</v>
      </c>
      <c r="K650" s="134" t="s">
        <v>1443</v>
      </c>
      <c r="L650" s="134">
        <v>0.6</v>
      </c>
      <c r="M650" s="134" t="s">
        <v>1443</v>
      </c>
      <c r="N650" s="134" t="s">
        <v>1443</v>
      </c>
      <c r="O650" s="134" t="s">
        <v>1443</v>
      </c>
      <c r="P650" s="134">
        <v>0.5</v>
      </c>
      <c r="Q650" s="134" t="s">
        <v>1443</v>
      </c>
      <c r="R650" s="109"/>
      <c r="S650" s="109"/>
      <c r="T650" s="109"/>
      <c r="U650" s="109"/>
      <c r="V650" s="109"/>
    </row>
    <row r="651" spans="2:22" ht="12.75" hidden="1" customHeight="1" outlineLevel="1" x14ac:dyDescent="0.2">
      <c r="B651" s="5" t="s">
        <v>435</v>
      </c>
      <c r="C651" s="118" t="s">
        <v>1212</v>
      </c>
      <c r="D651" s="46">
        <v>299410</v>
      </c>
      <c r="E651" s="41"/>
      <c r="F651" s="134" t="s">
        <v>1443</v>
      </c>
      <c r="G651" s="134" t="s">
        <v>1443</v>
      </c>
      <c r="H651" s="134" t="s">
        <v>1443</v>
      </c>
      <c r="I651" s="134" t="s">
        <v>1443</v>
      </c>
      <c r="J651" s="134" t="s">
        <v>1443</v>
      </c>
      <c r="K651" s="134" t="s">
        <v>1443</v>
      </c>
      <c r="L651" s="134" t="s">
        <v>1443</v>
      </c>
      <c r="M651" s="134" t="s">
        <v>1443</v>
      </c>
      <c r="N651" s="134" t="s">
        <v>1443</v>
      </c>
      <c r="O651" s="134" t="s">
        <v>1443</v>
      </c>
      <c r="P651" s="134" t="s">
        <v>1443</v>
      </c>
      <c r="Q651" s="134" t="s">
        <v>1443</v>
      </c>
      <c r="R651" s="109"/>
      <c r="S651" s="109"/>
      <c r="T651" s="109"/>
      <c r="U651" s="109"/>
      <c r="V651" s="109"/>
    </row>
    <row r="652" spans="2:22" ht="12.75" hidden="1" customHeight="1" outlineLevel="1" x14ac:dyDescent="0.2">
      <c r="B652" s="5" t="s">
        <v>434</v>
      </c>
      <c r="C652" s="118" t="s">
        <v>1211</v>
      </c>
      <c r="D652" s="46">
        <v>299411</v>
      </c>
      <c r="E652" s="41"/>
      <c r="F652" s="134" t="s">
        <v>1443</v>
      </c>
      <c r="G652" s="134" t="s">
        <v>1443</v>
      </c>
      <c r="H652" s="134" t="s">
        <v>1443</v>
      </c>
      <c r="I652" s="134" t="s">
        <v>1443</v>
      </c>
      <c r="J652" s="134" t="s">
        <v>1443</v>
      </c>
      <c r="K652" s="134" t="s">
        <v>1443</v>
      </c>
      <c r="L652" s="134" t="s">
        <v>1443</v>
      </c>
      <c r="M652" s="134" t="s">
        <v>1443</v>
      </c>
      <c r="N652" s="134" t="s">
        <v>1443</v>
      </c>
      <c r="O652" s="134" t="s">
        <v>1443</v>
      </c>
      <c r="P652" s="134" t="s">
        <v>1443</v>
      </c>
      <c r="Q652" s="134" t="s">
        <v>1443</v>
      </c>
      <c r="R652" s="109"/>
      <c r="S652" s="109"/>
      <c r="T652" s="109"/>
      <c r="U652" s="109"/>
      <c r="V652" s="109"/>
    </row>
    <row r="653" spans="2:22" ht="12.75" hidden="1" customHeight="1" outlineLevel="1" x14ac:dyDescent="0.2">
      <c r="C653" s="118" t="s">
        <v>192</v>
      </c>
      <c r="D653" s="46" t="s">
        <v>192</v>
      </c>
      <c r="E653" s="41"/>
      <c r="F653" s="134"/>
      <c r="G653" s="134"/>
      <c r="H653" s="134"/>
      <c r="I653" s="134"/>
      <c r="J653" s="134"/>
      <c r="K653" s="134"/>
      <c r="L653" s="134"/>
      <c r="M653" s="134"/>
      <c r="N653" s="134"/>
      <c r="O653" s="134"/>
      <c r="P653" s="134"/>
      <c r="Q653" s="134"/>
    </row>
    <row r="654" spans="2:22" ht="12.75" hidden="1" customHeight="1" outlineLevel="1" x14ac:dyDescent="0.2">
      <c r="B654" s="8" t="s">
        <v>444</v>
      </c>
      <c r="C654" s="118" t="s">
        <v>192</v>
      </c>
      <c r="D654" s="46" t="s">
        <v>192</v>
      </c>
      <c r="E654" s="41"/>
      <c r="F654" s="134"/>
      <c r="G654" s="134"/>
      <c r="H654" s="134"/>
      <c r="I654" s="134"/>
      <c r="J654" s="134"/>
      <c r="K654" s="134"/>
      <c r="L654" s="134"/>
      <c r="M654" s="134"/>
      <c r="N654" s="134"/>
      <c r="O654" s="134"/>
      <c r="P654" s="134"/>
      <c r="Q654" s="134"/>
    </row>
    <row r="655" spans="2:22" ht="12.75" hidden="1" customHeight="1" outlineLevel="1" x14ac:dyDescent="0.2">
      <c r="B655" s="8" t="s">
        <v>432</v>
      </c>
      <c r="C655" s="118" t="s">
        <v>192</v>
      </c>
      <c r="D655" s="46" t="s">
        <v>192</v>
      </c>
      <c r="E655" s="41"/>
      <c r="F655" s="134"/>
      <c r="G655" s="134"/>
      <c r="H655" s="134"/>
      <c r="I655" s="134"/>
      <c r="J655" s="134"/>
      <c r="K655" s="134"/>
      <c r="L655" s="134"/>
      <c r="M655" s="134"/>
      <c r="N655" s="134"/>
      <c r="O655" s="134"/>
      <c r="P655" s="134"/>
      <c r="Q655" s="134"/>
    </row>
    <row r="656" spans="2:22" ht="12.75" hidden="1" customHeight="1" outlineLevel="1" x14ac:dyDescent="0.2">
      <c r="B656" s="5" t="s">
        <v>424</v>
      </c>
      <c r="C656" s="118" t="s">
        <v>1213</v>
      </c>
      <c r="D656" s="46">
        <v>299570</v>
      </c>
      <c r="E656" s="41"/>
      <c r="F656" s="134" t="s">
        <v>1443</v>
      </c>
      <c r="G656" s="134" t="s">
        <v>1443</v>
      </c>
      <c r="H656" s="134" t="s">
        <v>1443</v>
      </c>
      <c r="I656" s="134" t="s">
        <v>1443</v>
      </c>
      <c r="J656" s="134" t="s">
        <v>1443</v>
      </c>
      <c r="K656" s="134" t="s">
        <v>1443</v>
      </c>
      <c r="L656" s="134" t="s">
        <v>1443</v>
      </c>
      <c r="M656" s="134" t="s">
        <v>1443</v>
      </c>
      <c r="N656" s="134" t="s">
        <v>1443</v>
      </c>
      <c r="O656" s="134" t="s">
        <v>1443</v>
      </c>
      <c r="P656" s="134" t="s">
        <v>1443</v>
      </c>
      <c r="Q656" s="134" t="s">
        <v>1443</v>
      </c>
      <c r="R656" s="109"/>
      <c r="S656" s="109"/>
      <c r="T656" s="109"/>
      <c r="U656" s="109"/>
      <c r="V656" s="109"/>
    </row>
    <row r="657" spans="2:22" ht="12.75" hidden="1" customHeight="1" outlineLevel="1" x14ac:dyDescent="0.2">
      <c r="B657" s="5" t="s">
        <v>423</v>
      </c>
      <c r="C657" s="118" t="s">
        <v>1214</v>
      </c>
      <c r="D657" s="46">
        <v>299571</v>
      </c>
      <c r="E657" s="41"/>
      <c r="F657" s="134">
        <v>0.1</v>
      </c>
      <c r="G657" s="134" t="s">
        <v>1443</v>
      </c>
      <c r="H657" s="134">
        <v>0.1</v>
      </c>
      <c r="I657" s="134">
        <v>0.1</v>
      </c>
      <c r="J657" s="134" t="s">
        <v>1443</v>
      </c>
      <c r="K657" s="134" t="s">
        <v>1443</v>
      </c>
      <c r="L657" s="134">
        <v>0.1</v>
      </c>
      <c r="M657" s="134">
        <v>0.2</v>
      </c>
      <c r="N657" s="134">
        <v>0.1</v>
      </c>
      <c r="O657" s="134" t="s">
        <v>1443</v>
      </c>
      <c r="P657" s="134">
        <v>0.1</v>
      </c>
      <c r="Q657" s="134">
        <v>0.1</v>
      </c>
      <c r="R657" s="109"/>
      <c r="S657" s="109"/>
      <c r="T657" s="109"/>
      <c r="U657" s="109"/>
      <c r="V657" s="109"/>
    </row>
    <row r="658" spans="2:22" ht="12.75" hidden="1" customHeight="1" outlineLevel="1" x14ac:dyDescent="0.2">
      <c r="B658" s="5" t="s">
        <v>431</v>
      </c>
      <c r="C658" s="118" t="s">
        <v>1215</v>
      </c>
      <c r="D658" s="46">
        <v>299572</v>
      </c>
      <c r="E658" s="41"/>
      <c r="F658" s="134" t="s">
        <v>1443</v>
      </c>
      <c r="G658" s="134" t="s">
        <v>1443</v>
      </c>
      <c r="H658" s="134" t="s">
        <v>1443</v>
      </c>
      <c r="I658" s="134" t="s">
        <v>1443</v>
      </c>
      <c r="J658" s="134" t="s">
        <v>1443</v>
      </c>
      <c r="K658" s="134" t="s">
        <v>1443</v>
      </c>
      <c r="L658" s="134" t="s">
        <v>1443</v>
      </c>
      <c r="M658" s="134" t="s">
        <v>1443</v>
      </c>
      <c r="N658" s="134" t="s">
        <v>1443</v>
      </c>
      <c r="O658" s="134" t="s">
        <v>1443</v>
      </c>
      <c r="P658" s="134" t="s">
        <v>1443</v>
      </c>
      <c r="Q658" s="134" t="s">
        <v>1443</v>
      </c>
      <c r="R658" s="109"/>
      <c r="S658" s="109"/>
      <c r="T658" s="109"/>
      <c r="U658" s="109"/>
      <c r="V658" s="109"/>
    </row>
    <row r="659" spans="2:22" ht="12.75" hidden="1" customHeight="1" outlineLevel="1" x14ac:dyDescent="0.2">
      <c r="B659" s="5" t="s">
        <v>430</v>
      </c>
      <c r="C659" s="118" t="s">
        <v>1216</v>
      </c>
      <c r="D659" s="46">
        <v>299574</v>
      </c>
      <c r="E659" s="41"/>
      <c r="F659" s="134">
        <v>-0.3</v>
      </c>
      <c r="G659" s="134" t="s">
        <v>1443</v>
      </c>
      <c r="H659" s="134">
        <v>-0.2</v>
      </c>
      <c r="I659" s="134">
        <v>-0.2</v>
      </c>
      <c r="J659" s="134">
        <v>-0.2</v>
      </c>
      <c r="K659" s="134" t="s">
        <v>1443</v>
      </c>
      <c r="L659" s="134">
        <v>-0.2</v>
      </c>
      <c r="M659" s="134">
        <v>-0.2</v>
      </c>
      <c r="N659" s="134">
        <v>-0.3</v>
      </c>
      <c r="O659" s="134" t="s">
        <v>1443</v>
      </c>
      <c r="P659" s="134">
        <v>-0.2</v>
      </c>
      <c r="Q659" s="134">
        <v>-0.2</v>
      </c>
      <c r="R659" s="109"/>
      <c r="S659" s="109"/>
      <c r="T659" s="109"/>
      <c r="U659" s="109"/>
      <c r="V659" s="109"/>
    </row>
    <row r="660" spans="2:22" ht="12.75" hidden="1" customHeight="1" outlineLevel="1" x14ac:dyDescent="0.2">
      <c r="B660" s="5" t="s">
        <v>429</v>
      </c>
      <c r="C660" s="118" t="s">
        <v>1217</v>
      </c>
      <c r="D660" s="46">
        <v>299575</v>
      </c>
      <c r="E660" s="41"/>
      <c r="F660" s="134">
        <v>-0.2</v>
      </c>
      <c r="G660" s="134" t="s">
        <v>1443</v>
      </c>
      <c r="H660" s="134">
        <v>-0.1</v>
      </c>
      <c r="I660" s="134">
        <v>-0.1</v>
      </c>
      <c r="J660" s="134">
        <v>-0.2</v>
      </c>
      <c r="K660" s="134" t="s">
        <v>1443</v>
      </c>
      <c r="L660" s="134">
        <v>-0.1</v>
      </c>
      <c r="M660" s="134" t="s">
        <v>1443</v>
      </c>
      <c r="N660" s="134">
        <v>-0.2</v>
      </c>
      <c r="O660" s="134" t="s">
        <v>1443</v>
      </c>
      <c r="P660" s="134">
        <v>-0.1</v>
      </c>
      <c r="Q660" s="134">
        <v>-0.1</v>
      </c>
      <c r="R660" s="109"/>
      <c r="S660" s="109"/>
      <c r="T660" s="109"/>
      <c r="U660" s="109"/>
      <c r="V660" s="109"/>
    </row>
    <row r="661" spans="2:22" ht="12.75" hidden="1" customHeight="1" outlineLevel="1" x14ac:dyDescent="0.2">
      <c r="B661" s="5" t="s">
        <v>428</v>
      </c>
      <c r="C661" s="118" t="s">
        <v>1218</v>
      </c>
      <c r="D661" s="46">
        <v>299576</v>
      </c>
      <c r="E661" s="41"/>
      <c r="F661" s="134" t="s">
        <v>1443</v>
      </c>
      <c r="G661" s="134" t="s">
        <v>1443</v>
      </c>
      <c r="H661" s="134" t="s">
        <v>1443</v>
      </c>
      <c r="I661" s="134" t="s">
        <v>1443</v>
      </c>
      <c r="J661" s="134" t="s">
        <v>1443</v>
      </c>
      <c r="K661" s="134" t="s">
        <v>1443</v>
      </c>
      <c r="L661" s="134" t="s">
        <v>1443</v>
      </c>
      <c r="M661" s="134" t="s">
        <v>1443</v>
      </c>
      <c r="N661" s="134" t="s">
        <v>1443</v>
      </c>
      <c r="O661" s="134" t="s">
        <v>1443</v>
      </c>
      <c r="P661" s="134" t="s">
        <v>1443</v>
      </c>
      <c r="Q661" s="134" t="s">
        <v>1443</v>
      </c>
      <c r="R661" s="109"/>
      <c r="S661" s="109"/>
      <c r="T661" s="109"/>
      <c r="U661" s="109"/>
      <c r="V661" s="109"/>
    </row>
    <row r="662" spans="2:22" ht="12.75" hidden="1" customHeight="1" outlineLevel="1" x14ac:dyDescent="0.2">
      <c r="B662" s="5" t="s">
        <v>427</v>
      </c>
      <c r="C662" s="118" t="s">
        <v>1219</v>
      </c>
      <c r="D662" s="46">
        <v>299577</v>
      </c>
      <c r="E662" s="41"/>
      <c r="F662" s="134" t="s">
        <v>1443</v>
      </c>
      <c r="G662" s="134" t="s">
        <v>1443</v>
      </c>
      <c r="H662" s="134" t="s">
        <v>1443</v>
      </c>
      <c r="I662" s="134" t="s">
        <v>1443</v>
      </c>
      <c r="J662" s="134" t="s">
        <v>1443</v>
      </c>
      <c r="K662" s="134" t="s">
        <v>1443</v>
      </c>
      <c r="L662" s="134" t="s">
        <v>1443</v>
      </c>
      <c r="M662" s="134" t="s">
        <v>1443</v>
      </c>
      <c r="N662" s="134" t="s">
        <v>1443</v>
      </c>
      <c r="O662" s="134" t="s">
        <v>1443</v>
      </c>
      <c r="P662" s="134" t="s">
        <v>1443</v>
      </c>
      <c r="Q662" s="134" t="s">
        <v>1443</v>
      </c>
      <c r="R662" s="109"/>
      <c r="S662" s="109"/>
      <c r="T662" s="109"/>
      <c r="U662" s="109"/>
      <c r="V662" s="109"/>
    </row>
    <row r="663" spans="2:22" ht="12.75" hidden="1" customHeight="1" outlineLevel="1" x14ac:dyDescent="0.2">
      <c r="B663" s="8" t="s">
        <v>426</v>
      </c>
      <c r="C663" s="118" t="s">
        <v>192</v>
      </c>
      <c r="D663" s="46" t="s">
        <v>192</v>
      </c>
      <c r="E663" s="41"/>
      <c r="F663" s="134"/>
      <c r="G663" s="134"/>
      <c r="H663" s="134"/>
      <c r="I663" s="134"/>
      <c r="J663" s="134"/>
      <c r="K663" s="134"/>
      <c r="L663" s="134"/>
      <c r="M663" s="134"/>
      <c r="N663" s="134"/>
      <c r="O663" s="134"/>
      <c r="P663" s="134"/>
      <c r="Q663" s="134"/>
    </row>
    <row r="664" spans="2:22" ht="12.75" hidden="1" customHeight="1" outlineLevel="1" x14ac:dyDescent="0.2">
      <c r="B664" s="5" t="s">
        <v>423</v>
      </c>
      <c r="C664" s="118" t="s">
        <v>1214</v>
      </c>
      <c r="D664" s="46">
        <v>299590</v>
      </c>
      <c r="E664" s="41"/>
      <c r="F664" s="134" t="s">
        <v>1443</v>
      </c>
      <c r="G664" s="134">
        <v>0.3</v>
      </c>
      <c r="H664" s="134" t="s">
        <v>1443</v>
      </c>
      <c r="I664" s="134" t="s">
        <v>1443</v>
      </c>
      <c r="J664" s="134" t="s">
        <v>1443</v>
      </c>
      <c r="K664" s="134">
        <v>0.3</v>
      </c>
      <c r="L664" s="134" t="s">
        <v>1443</v>
      </c>
      <c r="M664" s="134" t="s">
        <v>1443</v>
      </c>
      <c r="N664" s="134" t="s">
        <v>1443</v>
      </c>
      <c r="O664" s="134">
        <v>0.5</v>
      </c>
      <c r="P664" s="134" t="s">
        <v>1443</v>
      </c>
      <c r="Q664" s="134" t="s">
        <v>1443</v>
      </c>
      <c r="R664" s="109"/>
      <c r="S664" s="109"/>
      <c r="T664" s="109"/>
      <c r="U664" s="109"/>
      <c r="V664" s="109"/>
    </row>
    <row r="665" spans="2:22" ht="12.75" hidden="1" customHeight="1" outlineLevel="1" x14ac:dyDescent="0.2">
      <c r="B665" s="5" t="s">
        <v>422</v>
      </c>
      <c r="C665" s="118" t="s">
        <v>1220</v>
      </c>
      <c r="D665" s="46">
        <v>299591</v>
      </c>
      <c r="E665" s="41"/>
      <c r="F665" s="134" t="s">
        <v>1443</v>
      </c>
      <c r="G665" s="134">
        <v>0.4</v>
      </c>
      <c r="H665" s="134" t="s">
        <v>1443</v>
      </c>
      <c r="I665" s="134" t="s">
        <v>1443</v>
      </c>
      <c r="J665" s="134" t="s">
        <v>1443</v>
      </c>
      <c r="K665" s="134">
        <v>0.3</v>
      </c>
      <c r="L665" s="134" t="s">
        <v>1443</v>
      </c>
      <c r="M665" s="134" t="s">
        <v>1443</v>
      </c>
      <c r="N665" s="134" t="s">
        <v>1443</v>
      </c>
      <c r="O665" s="134">
        <v>0.3</v>
      </c>
      <c r="P665" s="134" t="s">
        <v>1443</v>
      </c>
      <c r="Q665" s="134" t="s">
        <v>1443</v>
      </c>
      <c r="R665" s="109"/>
      <c r="S665" s="109"/>
      <c r="T665" s="109"/>
      <c r="U665" s="109"/>
      <c r="V665" s="109"/>
    </row>
    <row r="666" spans="2:22" ht="12.75" hidden="1" customHeight="1" outlineLevel="1" x14ac:dyDescent="0.2">
      <c r="B666" s="5" t="s">
        <v>421</v>
      </c>
      <c r="C666" s="118" t="s">
        <v>1221</v>
      </c>
      <c r="D666" s="46">
        <v>299592</v>
      </c>
      <c r="E666" s="41"/>
      <c r="F666" s="134" t="s">
        <v>1443</v>
      </c>
      <c r="G666" s="134">
        <v>-0.6</v>
      </c>
      <c r="H666" s="134" t="s">
        <v>1443</v>
      </c>
      <c r="I666" s="134" t="s">
        <v>1443</v>
      </c>
      <c r="J666" s="134" t="s">
        <v>1443</v>
      </c>
      <c r="K666" s="134">
        <v>-1.7</v>
      </c>
      <c r="L666" s="134" t="s">
        <v>1443</v>
      </c>
      <c r="M666" s="134" t="s">
        <v>1443</v>
      </c>
      <c r="N666" s="134" t="s">
        <v>1443</v>
      </c>
      <c r="O666" s="134">
        <v>-1.4000000000000001</v>
      </c>
      <c r="P666" s="134" t="s">
        <v>1443</v>
      </c>
      <c r="Q666" s="134" t="s">
        <v>1443</v>
      </c>
      <c r="R666" s="109"/>
      <c r="S666" s="109"/>
      <c r="T666" s="109"/>
      <c r="U666" s="109"/>
      <c r="V666" s="109"/>
    </row>
    <row r="667" spans="2:22" ht="12.75" hidden="1" customHeight="1" outlineLevel="1" x14ac:dyDescent="0.2">
      <c r="B667" s="5" t="s">
        <v>420</v>
      </c>
      <c r="C667" s="118" t="s">
        <v>1222</v>
      </c>
      <c r="D667" s="46">
        <v>299593</v>
      </c>
      <c r="E667" s="41"/>
      <c r="F667" s="134" t="s">
        <v>1443</v>
      </c>
      <c r="G667" s="134">
        <v>-1.7</v>
      </c>
      <c r="H667" s="134" t="s">
        <v>1443</v>
      </c>
      <c r="I667" s="134" t="s">
        <v>1443</v>
      </c>
      <c r="J667" s="134" t="s">
        <v>1443</v>
      </c>
      <c r="K667" s="134">
        <v>-1.4000000000000001</v>
      </c>
      <c r="L667" s="134" t="s">
        <v>1443</v>
      </c>
      <c r="M667" s="134" t="s">
        <v>1443</v>
      </c>
      <c r="N667" s="134" t="s">
        <v>1443</v>
      </c>
      <c r="O667" s="134">
        <v>-1.4000000000000001</v>
      </c>
      <c r="P667" s="134" t="s">
        <v>1443</v>
      </c>
      <c r="Q667" s="134" t="s">
        <v>1443</v>
      </c>
      <c r="R667" s="109"/>
      <c r="S667" s="109"/>
      <c r="T667" s="109"/>
      <c r="U667" s="109"/>
      <c r="V667" s="109"/>
    </row>
    <row r="668" spans="2:22" ht="12.75" hidden="1" customHeight="1" outlineLevel="1" x14ac:dyDescent="0.2">
      <c r="B668" s="5" t="s">
        <v>419</v>
      </c>
      <c r="C668" s="118" t="s">
        <v>1223</v>
      </c>
      <c r="D668" s="46">
        <v>299594</v>
      </c>
      <c r="E668" s="41"/>
      <c r="F668" s="134" t="s">
        <v>1443</v>
      </c>
      <c r="G668" s="134" t="s">
        <v>1443</v>
      </c>
      <c r="H668" s="134" t="s">
        <v>1443</v>
      </c>
      <c r="I668" s="134" t="s">
        <v>1443</v>
      </c>
      <c r="J668" s="134" t="s">
        <v>1443</v>
      </c>
      <c r="K668" s="134" t="s">
        <v>1443</v>
      </c>
      <c r="L668" s="134" t="s">
        <v>1443</v>
      </c>
      <c r="M668" s="134" t="s">
        <v>1443</v>
      </c>
      <c r="N668" s="134" t="s">
        <v>1443</v>
      </c>
      <c r="O668" s="134" t="s">
        <v>1443</v>
      </c>
      <c r="P668" s="134" t="s">
        <v>1443</v>
      </c>
      <c r="Q668" s="134" t="s">
        <v>1443</v>
      </c>
      <c r="R668" s="109"/>
      <c r="S668" s="109"/>
      <c r="T668" s="109"/>
      <c r="U668" s="109"/>
      <c r="V668" s="109"/>
    </row>
    <row r="669" spans="2:22" ht="12.75" hidden="1" customHeight="1" outlineLevel="1" x14ac:dyDescent="0.2">
      <c r="B669" s="5" t="s">
        <v>418</v>
      </c>
      <c r="C669" s="118" t="s">
        <v>1224</v>
      </c>
      <c r="D669" s="46">
        <v>299595</v>
      </c>
      <c r="E669" s="41"/>
      <c r="F669" s="134" t="s">
        <v>1443</v>
      </c>
      <c r="G669" s="134" t="s">
        <v>1443</v>
      </c>
      <c r="H669" s="134" t="s">
        <v>1443</v>
      </c>
      <c r="I669" s="134" t="s">
        <v>1443</v>
      </c>
      <c r="J669" s="134" t="s">
        <v>1443</v>
      </c>
      <c r="K669" s="134" t="s">
        <v>1443</v>
      </c>
      <c r="L669" s="134" t="s">
        <v>1443</v>
      </c>
      <c r="M669" s="134" t="s">
        <v>1443</v>
      </c>
      <c r="N669" s="134" t="s">
        <v>1443</v>
      </c>
      <c r="O669" s="134" t="s">
        <v>1443</v>
      </c>
      <c r="P669" s="134" t="s">
        <v>1443</v>
      </c>
      <c r="Q669" s="134" t="s">
        <v>1443</v>
      </c>
      <c r="R669" s="109"/>
      <c r="S669" s="109"/>
      <c r="T669" s="109"/>
      <c r="U669" s="109"/>
      <c r="V669" s="109"/>
    </row>
    <row r="670" spans="2:22" ht="12.75" hidden="1" customHeight="1" outlineLevel="1" x14ac:dyDescent="0.2">
      <c r="B670" s="5" t="s">
        <v>417</v>
      </c>
      <c r="C670" s="118" t="s">
        <v>1225</v>
      </c>
      <c r="D670" s="46">
        <v>299596</v>
      </c>
      <c r="E670" s="41"/>
      <c r="F670" s="134" t="s">
        <v>1443</v>
      </c>
      <c r="G670" s="134" t="s">
        <v>1443</v>
      </c>
      <c r="H670" s="134" t="s">
        <v>1443</v>
      </c>
      <c r="I670" s="134" t="s">
        <v>1443</v>
      </c>
      <c r="J670" s="134" t="s">
        <v>1443</v>
      </c>
      <c r="K670" s="134" t="s">
        <v>1443</v>
      </c>
      <c r="L670" s="134" t="s">
        <v>1443</v>
      </c>
      <c r="M670" s="134" t="s">
        <v>1443</v>
      </c>
      <c r="N670" s="134" t="s">
        <v>1443</v>
      </c>
      <c r="O670" s="134" t="s">
        <v>1443</v>
      </c>
      <c r="P670" s="134" t="s">
        <v>1443</v>
      </c>
      <c r="Q670" s="134" t="s">
        <v>1443</v>
      </c>
      <c r="R670" s="109"/>
      <c r="S670" s="109"/>
      <c r="T670" s="109"/>
      <c r="U670" s="109"/>
      <c r="V670" s="109"/>
    </row>
    <row r="671" spans="2:22" ht="12.75" hidden="1" customHeight="1" outlineLevel="1" x14ac:dyDescent="0.2">
      <c r="B671" s="5" t="s">
        <v>416</v>
      </c>
      <c r="C671" s="118" t="s">
        <v>1226</v>
      </c>
      <c r="D671" s="46">
        <v>299597</v>
      </c>
      <c r="E671" s="41"/>
      <c r="F671" s="134" t="s">
        <v>1443</v>
      </c>
      <c r="G671" s="134" t="s">
        <v>1443</v>
      </c>
      <c r="H671" s="134" t="s">
        <v>1443</v>
      </c>
      <c r="I671" s="134" t="s">
        <v>1443</v>
      </c>
      <c r="J671" s="134" t="s">
        <v>1443</v>
      </c>
      <c r="K671" s="134" t="s">
        <v>1443</v>
      </c>
      <c r="L671" s="134" t="s">
        <v>1443</v>
      </c>
      <c r="M671" s="134" t="s">
        <v>1443</v>
      </c>
      <c r="N671" s="134" t="s">
        <v>1443</v>
      </c>
      <c r="O671" s="134" t="s">
        <v>1443</v>
      </c>
      <c r="P671" s="134" t="s">
        <v>1443</v>
      </c>
      <c r="Q671" s="134" t="s">
        <v>1443</v>
      </c>
      <c r="R671" s="109"/>
      <c r="S671" s="109"/>
      <c r="T671" s="109"/>
      <c r="U671" s="109"/>
      <c r="V671" s="109"/>
    </row>
    <row r="672" spans="2:22" ht="12.75" hidden="1" customHeight="1" outlineLevel="1" x14ac:dyDescent="0.2">
      <c r="B672" s="5" t="s">
        <v>415</v>
      </c>
      <c r="C672" s="118" t="s">
        <v>1227</v>
      </c>
      <c r="D672" s="46">
        <v>299598</v>
      </c>
      <c r="E672" s="41"/>
      <c r="F672" s="134" t="s">
        <v>1443</v>
      </c>
      <c r="G672" s="134">
        <v>13.700000000000001</v>
      </c>
      <c r="H672" s="134" t="s">
        <v>1443</v>
      </c>
      <c r="I672" s="134" t="s">
        <v>1443</v>
      </c>
      <c r="J672" s="134" t="s">
        <v>1443</v>
      </c>
      <c r="K672" s="134">
        <v>11.200000000000001</v>
      </c>
      <c r="L672" s="134" t="s">
        <v>1443</v>
      </c>
      <c r="M672" s="134" t="s">
        <v>1443</v>
      </c>
      <c r="N672" s="134" t="s">
        <v>1443</v>
      </c>
      <c r="O672" s="134">
        <v>9.2000000000000011</v>
      </c>
      <c r="P672" s="134" t="s">
        <v>1443</v>
      </c>
      <c r="Q672" s="134" t="s">
        <v>1443</v>
      </c>
      <c r="R672" s="109"/>
      <c r="S672" s="109"/>
      <c r="T672" s="109"/>
      <c r="U672" s="109"/>
      <c r="V672" s="109"/>
    </row>
    <row r="673" spans="2:22" ht="12.75" hidden="1" customHeight="1" outlineLevel="1" x14ac:dyDescent="0.2">
      <c r="B673" s="5" t="s">
        <v>414</v>
      </c>
      <c r="C673" s="118" t="s">
        <v>1228</v>
      </c>
      <c r="D673" s="46">
        <v>299599</v>
      </c>
      <c r="E673" s="41"/>
      <c r="F673" s="134" t="s">
        <v>1443</v>
      </c>
      <c r="G673" s="134" t="s">
        <v>1443</v>
      </c>
      <c r="H673" s="134" t="s">
        <v>1443</v>
      </c>
      <c r="I673" s="134" t="s">
        <v>1443</v>
      </c>
      <c r="J673" s="134" t="s">
        <v>1443</v>
      </c>
      <c r="K673" s="134" t="s">
        <v>1443</v>
      </c>
      <c r="L673" s="134" t="s">
        <v>1443</v>
      </c>
      <c r="M673" s="134" t="s">
        <v>1443</v>
      </c>
      <c r="N673" s="134" t="s">
        <v>1443</v>
      </c>
      <c r="O673" s="134" t="s">
        <v>1443</v>
      </c>
      <c r="P673" s="134" t="s">
        <v>1443</v>
      </c>
      <c r="Q673" s="134" t="s">
        <v>1443</v>
      </c>
      <c r="R673" s="109"/>
      <c r="S673" s="109"/>
      <c r="T673" s="109"/>
      <c r="U673" s="109"/>
      <c r="V673" s="109"/>
    </row>
    <row r="674" spans="2:22" ht="12.75" hidden="1" customHeight="1" outlineLevel="1" x14ac:dyDescent="0.2">
      <c r="B674" s="8" t="s">
        <v>413</v>
      </c>
      <c r="C674" s="118" t="s">
        <v>192</v>
      </c>
      <c r="D674" s="46" t="s">
        <v>192</v>
      </c>
      <c r="E674" s="41"/>
      <c r="F674" s="134"/>
      <c r="G674" s="134"/>
      <c r="H674" s="134"/>
      <c r="I674" s="134"/>
      <c r="J674" s="134"/>
      <c r="K674" s="134"/>
      <c r="L674" s="134"/>
      <c r="M674" s="134"/>
      <c r="N674" s="134"/>
      <c r="O674" s="134"/>
      <c r="P674" s="134"/>
      <c r="Q674" s="134"/>
    </row>
    <row r="675" spans="2:22" ht="12.75" hidden="1" customHeight="1" outlineLevel="1" x14ac:dyDescent="0.2">
      <c r="B675" s="5" t="s">
        <v>412</v>
      </c>
      <c r="C675" s="118" t="s">
        <v>1229</v>
      </c>
      <c r="D675" s="46">
        <v>299604</v>
      </c>
      <c r="E675" s="41"/>
      <c r="F675" s="134" t="s">
        <v>1443</v>
      </c>
      <c r="G675" s="134" t="s">
        <v>1443</v>
      </c>
      <c r="H675" s="134" t="s">
        <v>1443</v>
      </c>
      <c r="I675" s="134" t="s">
        <v>1443</v>
      </c>
      <c r="J675" s="134" t="s">
        <v>1443</v>
      </c>
      <c r="K675" s="134" t="s">
        <v>1443</v>
      </c>
      <c r="L675" s="134" t="s">
        <v>1443</v>
      </c>
      <c r="M675" s="134" t="s">
        <v>1443</v>
      </c>
      <c r="N675" s="134" t="s">
        <v>1443</v>
      </c>
      <c r="O675" s="134">
        <v>-0.1</v>
      </c>
      <c r="P675" s="134" t="s">
        <v>1443</v>
      </c>
      <c r="Q675" s="134" t="s">
        <v>1443</v>
      </c>
      <c r="R675" s="109"/>
      <c r="S675" s="109"/>
      <c r="T675" s="109"/>
      <c r="U675" s="109"/>
      <c r="V675" s="109"/>
    </row>
    <row r="676" spans="2:22" ht="12.75" hidden="1" customHeight="1" outlineLevel="1" x14ac:dyDescent="0.2">
      <c r="B676" s="5" t="s">
        <v>411</v>
      </c>
      <c r="C676" s="118" t="s">
        <v>1230</v>
      </c>
      <c r="D676" s="46">
        <v>299605</v>
      </c>
      <c r="E676" s="41"/>
      <c r="F676" s="134" t="s">
        <v>1443</v>
      </c>
      <c r="G676" s="134" t="s">
        <v>1443</v>
      </c>
      <c r="H676" s="134" t="s">
        <v>1443</v>
      </c>
      <c r="I676" s="134" t="s">
        <v>1443</v>
      </c>
      <c r="J676" s="134" t="s">
        <v>1443</v>
      </c>
      <c r="K676" s="134" t="s">
        <v>1443</v>
      </c>
      <c r="L676" s="134" t="s">
        <v>1443</v>
      </c>
      <c r="M676" s="134" t="s">
        <v>1443</v>
      </c>
      <c r="N676" s="134" t="s">
        <v>1443</v>
      </c>
      <c r="O676" s="134" t="s">
        <v>1443</v>
      </c>
      <c r="P676" s="134" t="s">
        <v>1443</v>
      </c>
      <c r="Q676" s="134" t="s">
        <v>1443</v>
      </c>
      <c r="R676" s="109"/>
      <c r="S676" s="109"/>
      <c r="T676" s="109"/>
      <c r="U676" s="109"/>
      <c r="V676" s="109"/>
    </row>
    <row r="677" spans="2:22" ht="12.75" hidden="1" customHeight="1" outlineLevel="1" x14ac:dyDescent="0.2">
      <c r="B677" s="5" t="s">
        <v>410</v>
      </c>
      <c r="C677" s="118" t="s">
        <v>1231</v>
      </c>
      <c r="D677" s="46">
        <v>299606</v>
      </c>
      <c r="E677" s="41"/>
      <c r="F677" s="134" t="s">
        <v>1443</v>
      </c>
      <c r="G677" s="134">
        <v>1.3</v>
      </c>
      <c r="H677" s="134" t="s">
        <v>1443</v>
      </c>
      <c r="I677" s="134" t="s">
        <v>1443</v>
      </c>
      <c r="J677" s="134" t="s">
        <v>1443</v>
      </c>
      <c r="K677" s="134">
        <v>1</v>
      </c>
      <c r="L677" s="134" t="s">
        <v>1443</v>
      </c>
      <c r="M677" s="134" t="s">
        <v>1443</v>
      </c>
      <c r="N677" s="134" t="s">
        <v>1443</v>
      </c>
      <c r="O677" s="134">
        <v>1.2</v>
      </c>
      <c r="P677" s="134" t="s">
        <v>1443</v>
      </c>
      <c r="Q677" s="134" t="s">
        <v>1443</v>
      </c>
      <c r="R677" s="109"/>
      <c r="S677" s="109"/>
      <c r="T677" s="109"/>
      <c r="U677" s="109"/>
      <c r="V677" s="109"/>
    </row>
    <row r="678" spans="2:22" ht="12.75" hidden="1" customHeight="1" outlineLevel="1" x14ac:dyDescent="0.2">
      <c r="B678" s="5" t="s">
        <v>409</v>
      </c>
      <c r="C678" s="118" t="s">
        <v>1232</v>
      </c>
      <c r="D678" s="46">
        <v>299607</v>
      </c>
      <c r="E678" s="41"/>
      <c r="F678" s="134" t="s">
        <v>1443</v>
      </c>
      <c r="G678" s="134">
        <v>0.4</v>
      </c>
      <c r="H678" s="134" t="s">
        <v>1443</v>
      </c>
      <c r="I678" s="134" t="s">
        <v>1443</v>
      </c>
      <c r="J678" s="134" t="s">
        <v>1443</v>
      </c>
      <c r="K678" s="134">
        <v>0.3</v>
      </c>
      <c r="L678" s="134" t="s">
        <v>1443</v>
      </c>
      <c r="M678" s="134" t="s">
        <v>1443</v>
      </c>
      <c r="N678" s="134" t="s">
        <v>1443</v>
      </c>
      <c r="O678" s="134">
        <v>0.3</v>
      </c>
      <c r="P678" s="134" t="s">
        <v>1443</v>
      </c>
      <c r="Q678" s="134" t="s">
        <v>1443</v>
      </c>
      <c r="R678" s="109"/>
      <c r="S678" s="109"/>
      <c r="T678" s="109"/>
      <c r="U678" s="109"/>
      <c r="V678" s="109"/>
    </row>
    <row r="679" spans="2:22" ht="12.75" hidden="1" customHeight="1" outlineLevel="1" x14ac:dyDescent="0.2">
      <c r="B679" s="5" t="s">
        <v>408</v>
      </c>
      <c r="C679" s="118" t="s">
        <v>1233</v>
      </c>
      <c r="D679" s="46">
        <v>299608</v>
      </c>
      <c r="E679" s="41"/>
      <c r="F679" s="134" t="s">
        <v>1443</v>
      </c>
      <c r="G679" s="134">
        <v>-1.7</v>
      </c>
      <c r="H679" s="134" t="s">
        <v>1443</v>
      </c>
      <c r="I679" s="134" t="s">
        <v>1443</v>
      </c>
      <c r="J679" s="134" t="s">
        <v>1443</v>
      </c>
      <c r="K679" s="134">
        <v>-1.4000000000000001</v>
      </c>
      <c r="L679" s="134" t="s">
        <v>1443</v>
      </c>
      <c r="M679" s="134" t="s">
        <v>1443</v>
      </c>
      <c r="N679" s="134" t="s">
        <v>1443</v>
      </c>
      <c r="O679" s="134">
        <v>-1.4000000000000001</v>
      </c>
      <c r="P679" s="134" t="s">
        <v>1443</v>
      </c>
      <c r="Q679" s="134" t="s">
        <v>1443</v>
      </c>
      <c r="R679" s="109"/>
      <c r="S679" s="109"/>
      <c r="T679" s="109"/>
      <c r="U679" s="109"/>
      <c r="V679" s="109"/>
    </row>
    <row r="680" spans="2:22" ht="12.75" hidden="1" customHeight="1" outlineLevel="1" x14ac:dyDescent="0.2">
      <c r="B680" s="5" t="s">
        <v>407</v>
      </c>
      <c r="C680" s="118" t="s">
        <v>1234</v>
      </c>
      <c r="D680" s="46">
        <v>299609</v>
      </c>
      <c r="E680" s="41"/>
      <c r="F680" s="134" t="s">
        <v>1443</v>
      </c>
      <c r="G680" s="134" t="s">
        <v>1443</v>
      </c>
      <c r="H680" s="134" t="s">
        <v>1443</v>
      </c>
      <c r="I680" s="134" t="s">
        <v>1443</v>
      </c>
      <c r="J680" s="134" t="s">
        <v>1443</v>
      </c>
      <c r="K680" s="134" t="s">
        <v>1443</v>
      </c>
      <c r="L680" s="134" t="s">
        <v>1443</v>
      </c>
      <c r="M680" s="134" t="s">
        <v>1443</v>
      </c>
      <c r="N680" s="134" t="s">
        <v>1443</v>
      </c>
      <c r="O680" s="134" t="s">
        <v>1443</v>
      </c>
      <c r="P680" s="134" t="s">
        <v>1443</v>
      </c>
      <c r="Q680" s="134" t="s">
        <v>1443</v>
      </c>
      <c r="R680" s="109"/>
      <c r="S680" s="109"/>
      <c r="T680" s="109"/>
      <c r="U680" s="109"/>
      <c r="V680" s="109"/>
    </row>
    <row r="681" spans="2:22" ht="12.75" hidden="1" customHeight="1" outlineLevel="1" x14ac:dyDescent="0.2">
      <c r="B681" s="5" t="s">
        <v>406</v>
      </c>
      <c r="C681" s="118" t="s">
        <v>1235</v>
      </c>
      <c r="D681" s="46">
        <v>299610</v>
      </c>
      <c r="E681" s="41"/>
      <c r="F681" s="134" t="s">
        <v>1443</v>
      </c>
      <c r="G681" s="134" t="s">
        <v>1443</v>
      </c>
      <c r="H681" s="134" t="s">
        <v>1443</v>
      </c>
      <c r="I681" s="134" t="s">
        <v>1443</v>
      </c>
      <c r="J681" s="134" t="s">
        <v>1443</v>
      </c>
      <c r="K681" s="134" t="s">
        <v>1443</v>
      </c>
      <c r="L681" s="134" t="s">
        <v>1443</v>
      </c>
      <c r="M681" s="134" t="s">
        <v>1443</v>
      </c>
      <c r="N681" s="134" t="s">
        <v>1443</v>
      </c>
      <c r="O681" s="134" t="s">
        <v>1443</v>
      </c>
      <c r="P681" s="134" t="s">
        <v>1443</v>
      </c>
      <c r="Q681" s="134" t="s">
        <v>1443</v>
      </c>
      <c r="R681" s="109"/>
      <c r="S681" s="109"/>
      <c r="T681" s="109"/>
      <c r="U681" s="109"/>
      <c r="V681" s="109"/>
    </row>
    <row r="682" spans="2:22" ht="12.75" hidden="1" customHeight="1" outlineLevel="1" x14ac:dyDescent="0.2">
      <c r="B682" s="5" t="s">
        <v>405</v>
      </c>
      <c r="C682" s="118" t="s">
        <v>1236</v>
      </c>
      <c r="D682" s="46">
        <v>299611</v>
      </c>
      <c r="E682" s="41"/>
      <c r="F682" s="134" t="s">
        <v>1443</v>
      </c>
      <c r="G682" s="134" t="s">
        <v>1443</v>
      </c>
      <c r="H682" s="134" t="s">
        <v>1443</v>
      </c>
      <c r="I682" s="134" t="s">
        <v>1443</v>
      </c>
      <c r="J682" s="134" t="s">
        <v>1443</v>
      </c>
      <c r="K682" s="134" t="s">
        <v>1443</v>
      </c>
      <c r="L682" s="134" t="s">
        <v>1443</v>
      </c>
      <c r="M682" s="134" t="s">
        <v>1443</v>
      </c>
      <c r="N682" s="134" t="s">
        <v>1443</v>
      </c>
      <c r="O682" s="134" t="s">
        <v>1443</v>
      </c>
      <c r="P682" s="134" t="s">
        <v>1443</v>
      </c>
      <c r="Q682" s="134" t="s">
        <v>1443</v>
      </c>
      <c r="R682" s="109"/>
      <c r="S682" s="109"/>
      <c r="T682" s="109"/>
      <c r="U682" s="109"/>
      <c r="V682" s="109"/>
    </row>
    <row r="683" spans="2:22" ht="12.75" hidden="1" customHeight="1" outlineLevel="1" x14ac:dyDescent="0.2">
      <c r="B683" s="5" t="s">
        <v>404</v>
      </c>
      <c r="C683" s="118" t="s">
        <v>1237</v>
      </c>
      <c r="D683" s="46">
        <v>299612</v>
      </c>
      <c r="E683" s="41"/>
      <c r="F683" s="134" t="s">
        <v>1443</v>
      </c>
      <c r="G683" s="134" t="s">
        <v>1443</v>
      </c>
      <c r="H683" s="134" t="s">
        <v>1443</v>
      </c>
      <c r="I683" s="134" t="s">
        <v>1443</v>
      </c>
      <c r="J683" s="134" t="s">
        <v>1443</v>
      </c>
      <c r="K683" s="134" t="s">
        <v>1443</v>
      </c>
      <c r="L683" s="134" t="s">
        <v>1443</v>
      </c>
      <c r="M683" s="134" t="s">
        <v>1443</v>
      </c>
      <c r="N683" s="134" t="s">
        <v>1443</v>
      </c>
      <c r="O683" s="134" t="s">
        <v>1443</v>
      </c>
      <c r="P683" s="134" t="s">
        <v>1443</v>
      </c>
      <c r="Q683" s="134" t="s">
        <v>1443</v>
      </c>
      <c r="R683" s="109"/>
      <c r="S683" s="109"/>
      <c r="T683" s="109"/>
      <c r="U683" s="109"/>
      <c r="V683" s="109"/>
    </row>
    <row r="684" spans="2:22" ht="12.75" hidden="1" customHeight="1" outlineLevel="1" x14ac:dyDescent="0.2">
      <c r="B684" s="5" t="s">
        <v>403</v>
      </c>
      <c r="C684" s="118" t="s">
        <v>1238</v>
      </c>
      <c r="D684" s="46">
        <v>299613</v>
      </c>
      <c r="E684" s="41"/>
      <c r="F684" s="134" t="s">
        <v>1443</v>
      </c>
      <c r="G684" s="134" t="s">
        <v>1443</v>
      </c>
      <c r="H684" s="134" t="s">
        <v>1443</v>
      </c>
      <c r="I684" s="134" t="s">
        <v>1443</v>
      </c>
      <c r="J684" s="134" t="s">
        <v>1443</v>
      </c>
      <c r="K684" s="134">
        <v>-0.1</v>
      </c>
      <c r="L684" s="134" t="s">
        <v>1443</v>
      </c>
      <c r="M684" s="134" t="s">
        <v>1443</v>
      </c>
      <c r="N684" s="134" t="s">
        <v>1443</v>
      </c>
      <c r="O684" s="134" t="s">
        <v>1443</v>
      </c>
      <c r="P684" s="134" t="s">
        <v>1443</v>
      </c>
      <c r="Q684" s="134" t="s">
        <v>1443</v>
      </c>
      <c r="R684" s="109"/>
      <c r="S684" s="109"/>
      <c r="T684" s="109"/>
      <c r="U684" s="109"/>
      <c r="V684" s="109"/>
    </row>
    <row r="685" spans="2:22" ht="12.75" hidden="1" customHeight="1" outlineLevel="1" x14ac:dyDescent="0.2">
      <c r="B685" s="8" t="s">
        <v>402</v>
      </c>
      <c r="C685" s="118" t="s">
        <v>192</v>
      </c>
      <c r="D685" s="46" t="s">
        <v>192</v>
      </c>
      <c r="E685" s="41"/>
      <c r="F685" s="21"/>
      <c r="G685" s="21"/>
      <c r="H685" s="21"/>
      <c r="I685" s="21"/>
      <c r="J685" s="21"/>
      <c r="K685" s="21"/>
      <c r="L685" s="21"/>
      <c r="M685" s="21"/>
      <c r="N685" s="21"/>
      <c r="O685" s="21"/>
      <c r="P685" s="21"/>
      <c r="Q685" s="21"/>
    </row>
    <row r="686" spans="2:22" ht="12.75" hidden="1" customHeight="1" outlineLevel="1" x14ac:dyDescent="0.2">
      <c r="B686" s="5" t="s">
        <v>1457</v>
      </c>
      <c r="C686" s="118" t="s">
        <v>891</v>
      </c>
      <c r="D686" s="46">
        <v>299578</v>
      </c>
      <c r="E686" s="41"/>
      <c r="F686" s="140" t="s">
        <v>1443</v>
      </c>
      <c r="G686" s="140" t="s">
        <v>1443</v>
      </c>
      <c r="H686" s="140" t="s">
        <v>1443</v>
      </c>
      <c r="I686" s="140" t="s">
        <v>1443</v>
      </c>
      <c r="J686" s="140" t="s">
        <v>1443</v>
      </c>
      <c r="K686" s="140" t="s">
        <v>1443</v>
      </c>
      <c r="L686" s="140" t="s">
        <v>1443</v>
      </c>
      <c r="M686" s="140" t="s">
        <v>1443</v>
      </c>
      <c r="N686" s="140" t="s">
        <v>1443</v>
      </c>
      <c r="O686" s="140" t="s">
        <v>1443</v>
      </c>
      <c r="P686" s="140" t="s">
        <v>1443</v>
      </c>
      <c r="Q686" s="140" t="s">
        <v>1443</v>
      </c>
      <c r="R686" s="91"/>
      <c r="S686" s="91"/>
      <c r="T686" s="91"/>
      <c r="U686" s="91"/>
      <c r="V686" s="91"/>
    </row>
    <row r="687" spans="2:22" ht="12.75" hidden="1" customHeight="1" outlineLevel="1" x14ac:dyDescent="0.2">
      <c r="B687" s="5" t="s">
        <v>1458</v>
      </c>
      <c r="C687" s="118" t="s">
        <v>892</v>
      </c>
      <c r="D687" s="46">
        <v>299579</v>
      </c>
      <c r="E687" s="41"/>
      <c r="F687" s="140" t="s">
        <v>1443</v>
      </c>
      <c r="G687" s="140" t="s">
        <v>1443</v>
      </c>
      <c r="H687" s="140" t="s">
        <v>1443</v>
      </c>
      <c r="I687" s="140" t="s">
        <v>1443</v>
      </c>
      <c r="J687" s="140" t="s">
        <v>1443</v>
      </c>
      <c r="K687" s="140" t="s">
        <v>1443</v>
      </c>
      <c r="L687" s="140" t="s">
        <v>1443</v>
      </c>
      <c r="M687" s="140" t="s">
        <v>1443</v>
      </c>
      <c r="N687" s="140" t="s">
        <v>1443</v>
      </c>
      <c r="O687" s="140" t="s">
        <v>1443</v>
      </c>
      <c r="P687" s="140" t="s">
        <v>1443</v>
      </c>
      <c r="Q687" s="140" t="s">
        <v>1443</v>
      </c>
      <c r="R687" s="91"/>
      <c r="S687" s="91"/>
      <c r="T687" s="91"/>
      <c r="U687" s="91"/>
      <c r="V687" s="91"/>
    </row>
    <row r="688" spans="2:22" ht="12.75" hidden="1" customHeight="1" outlineLevel="1" x14ac:dyDescent="0.2">
      <c r="B688" s="5" t="s">
        <v>1459</v>
      </c>
      <c r="C688" s="118" t="s">
        <v>893</v>
      </c>
      <c r="D688" s="46">
        <v>299580</v>
      </c>
      <c r="E688" s="41"/>
      <c r="F688" s="140" t="s">
        <v>1443</v>
      </c>
      <c r="G688" s="140" t="s">
        <v>1443</v>
      </c>
      <c r="H688" s="140" t="s">
        <v>1443</v>
      </c>
      <c r="I688" s="140" t="s">
        <v>1443</v>
      </c>
      <c r="J688" s="140" t="s">
        <v>1443</v>
      </c>
      <c r="K688" s="140" t="s">
        <v>1443</v>
      </c>
      <c r="L688" s="140" t="s">
        <v>1443</v>
      </c>
      <c r="M688" s="140" t="s">
        <v>1443</v>
      </c>
      <c r="N688" s="140" t="s">
        <v>1443</v>
      </c>
      <c r="O688" s="140" t="s">
        <v>1443</v>
      </c>
      <c r="P688" s="140" t="s">
        <v>1443</v>
      </c>
      <c r="Q688" s="140" t="s">
        <v>1443</v>
      </c>
      <c r="R688" s="91"/>
      <c r="S688" s="91"/>
      <c r="T688" s="91"/>
      <c r="U688" s="91"/>
      <c r="V688" s="91"/>
    </row>
    <row r="689" spans="2:22" ht="12.75" hidden="1" customHeight="1" outlineLevel="1" x14ac:dyDescent="0.2">
      <c r="B689" s="5" t="s">
        <v>1460</v>
      </c>
      <c r="C689" s="118" t="s">
        <v>894</v>
      </c>
      <c r="D689" s="46">
        <v>299581</v>
      </c>
      <c r="E689" s="41"/>
      <c r="F689" s="140" t="s">
        <v>1443</v>
      </c>
      <c r="G689" s="140" t="s">
        <v>1443</v>
      </c>
      <c r="H689" s="140" t="s">
        <v>1443</v>
      </c>
      <c r="I689" s="140" t="s">
        <v>1443</v>
      </c>
      <c r="J689" s="140" t="s">
        <v>1443</v>
      </c>
      <c r="K689" s="140" t="s">
        <v>1443</v>
      </c>
      <c r="L689" s="140" t="s">
        <v>1443</v>
      </c>
      <c r="M689" s="140" t="s">
        <v>1443</v>
      </c>
      <c r="N689" s="140" t="s">
        <v>1443</v>
      </c>
      <c r="O689" s="140" t="s">
        <v>1443</v>
      </c>
      <c r="P689" s="140" t="s">
        <v>1443</v>
      </c>
      <c r="Q689" s="140" t="s">
        <v>1443</v>
      </c>
      <c r="R689" s="91"/>
      <c r="S689" s="91"/>
      <c r="T689" s="91"/>
      <c r="U689" s="91"/>
      <c r="V689" s="91"/>
    </row>
    <row r="690" spans="2:22" ht="12.75" hidden="1" customHeight="1" outlineLevel="1" x14ac:dyDescent="0.2">
      <c r="B690" s="5" t="s">
        <v>1461</v>
      </c>
      <c r="C690" s="118" t="s">
        <v>895</v>
      </c>
      <c r="D690" s="46">
        <v>299582</v>
      </c>
      <c r="E690" s="41"/>
      <c r="F690" s="140" t="s">
        <v>1443</v>
      </c>
      <c r="G690" s="140" t="s">
        <v>1443</v>
      </c>
      <c r="H690" s="140" t="s">
        <v>1443</v>
      </c>
      <c r="I690" s="140" t="s">
        <v>1443</v>
      </c>
      <c r="J690" s="140" t="s">
        <v>1443</v>
      </c>
      <c r="K690" s="140" t="s">
        <v>1443</v>
      </c>
      <c r="L690" s="140" t="s">
        <v>1443</v>
      </c>
      <c r="M690" s="140" t="s">
        <v>1443</v>
      </c>
      <c r="N690" s="140" t="s">
        <v>1443</v>
      </c>
      <c r="O690" s="140" t="s">
        <v>1443</v>
      </c>
      <c r="P690" s="140" t="s">
        <v>1443</v>
      </c>
      <c r="Q690" s="140" t="s">
        <v>1443</v>
      </c>
      <c r="R690" s="91"/>
      <c r="S690" s="91"/>
      <c r="T690" s="91"/>
      <c r="U690" s="91"/>
      <c r="V690" s="91"/>
    </row>
    <row r="691" spans="2:22" ht="12.75" hidden="1" customHeight="1" outlineLevel="1" x14ac:dyDescent="0.2">
      <c r="B691" s="5" t="s">
        <v>1462</v>
      </c>
      <c r="C691" s="118" t="s">
        <v>896</v>
      </c>
      <c r="D691" s="46">
        <v>299583</v>
      </c>
      <c r="E691" s="41"/>
      <c r="F691" s="140" t="s">
        <v>1443</v>
      </c>
      <c r="G691" s="140" t="s">
        <v>1443</v>
      </c>
      <c r="H691" s="140" t="s">
        <v>1443</v>
      </c>
      <c r="I691" s="140" t="s">
        <v>1443</v>
      </c>
      <c r="J691" s="140" t="s">
        <v>1443</v>
      </c>
      <c r="K691" s="140" t="s">
        <v>1443</v>
      </c>
      <c r="L691" s="140" t="s">
        <v>1443</v>
      </c>
      <c r="M691" s="140" t="s">
        <v>1443</v>
      </c>
      <c r="N691" s="140" t="s">
        <v>1443</v>
      </c>
      <c r="O691" s="140" t="s">
        <v>1443</v>
      </c>
      <c r="P691" s="140" t="s">
        <v>1443</v>
      </c>
      <c r="Q691" s="140" t="s">
        <v>1443</v>
      </c>
      <c r="R691" s="91"/>
      <c r="S691" s="91"/>
      <c r="T691" s="91"/>
      <c r="U691" s="91"/>
      <c r="V691" s="91"/>
    </row>
    <row r="692" spans="2:22" ht="12.75" hidden="1" customHeight="1" outlineLevel="1" x14ac:dyDescent="0.2">
      <c r="B692" s="8" t="s">
        <v>397</v>
      </c>
      <c r="C692" s="118" t="s">
        <v>192</v>
      </c>
      <c r="D692" s="46" t="s">
        <v>192</v>
      </c>
      <c r="E692" s="41"/>
      <c r="F692" s="140"/>
      <c r="G692" s="140"/>
      <c r="H692" s="140"/>
      <c r="I692" s="140"/>
      <c r="J692" s="140"/>
      <c r="K692" s="140"/>
      <c r="L692" s="140"/>
      <c r="M692" s="140"/>
      <c r="N692" s="140"/>
      <c r="O692" s="140"/>
      <c r="P692" s="140"/>
      <c r="Q692" s="140"/>
    </row>
    <row r="693" spans="2:22" ht="12.75" hidden="1" customHeight="1" outlineLevel="1" x14ac:dyDescent="0.2">
      <c r="B693" s="5" t="s">
        <v>401</v>
      </c>
      <c r="C693" s="118" t="s">
        <v>897</v>
      </c>
      <c r="D693" s="46">
        <v>299614</v>
      </c>
      <c r="E693" s="41"/>
      <c r="F693" s="140" t="s">
        <v>1443</v>
      </c>
      <c r="G693" s="140" t="s">
        <v>1443</v>
      </c>
      <c r="H693" s="140" t="s">
        <v>1443</v>
      </c>
      <c r="I693" s="140" t="s">
        <v>1443</v>
      </c>
      <c r="J693" s="140" t="s">
        <v>1443</v>
      </c>
      <c r="K693" s="140" t="s">
        <v>1443</v>
      </c>
      <c r="L693" s="140" t="s">
        <v>1443</v>
      </c>
      <c r="M693" s="140" t="s">
        <v>1443</v>
      </c>
      <c r="N693" s="140" t="s">
        <v>1443</v>
      </c>
      <c r="O693" s="140" t="s">
        <v>1443</v>
      </c>
      <c r="P693" s="140" t="s">
        <v>1443</v>
      </c>
      <c r="Q693" s="140" t="s">
        <v>1443</v>
      </c>
      <c r="R693" s="91"/>
      <c r="S693" s="91"/>
      <c r="T693" s="91"/>
      <c r="U693" s="91"/>
      <c r="V693" s="91"/>
    </row>
    <row r="694" spans="2:22" ht="12.75" hidden="1" customHeight="1" outlineLevel="1" x14ac:dyDescent="0.2">
      <c r="B694" s="5" t="s">
        <v>400</v>
      </c>
      <c r="C694" s="118" t="s">
        <v>898</v>
      </c>
      <c r="D694" s="46">
        <v>299615</v>
      </c>
      <c r="E694" s="41"/>
      <c r="F694" s="140" t="s">
        <v>1443</v>
      </c>
      <c r="G694" s="140" t="s">
        <v>1443</v>
      </c>
      <c r="H694" s="140" t="s">
        <v>1443</v>
      </c>
      <c r="I694" s="140" t="s">
        <v>1443</v>
      </c>
      <c r="J694" s="140" t="s">
        <v>1443</v>
      </c>
      <c r="K694" s="140" t="s">
        <v>1443</v>
      </c>
      <c r="L694" s="140" t="s">
        <v>1443</v>
      </c>
      <c r="M694" s="140" t="s">
        <v>1443</v>
      </c>
      <c r="N694" s="140" t="s">
        <v>1443</v>
      </c>
      <c r="O694" s="140" t="s">
        <v>1443</v>
      </c>
      <c r="P694" s="140" t="s">
        <v>1443</v>
      </c>
      <c r="Q694" s="140" t="s">
        <v>1443</v>
      </c>
      <c r="R694" s="91"/>
      <c r="S694" s="91"/>
      <c r="T694" s="91"/>
      <c r="U694" s="91"/>
      <c r="V694" s="91"/>
    </row>
    <row r="695" spans="2:22" ht="12.75" hidden="1" customHeight="1" outlineLevel="1" x14ac:dyDescent="0.2">
      <c r="B695" s="5" t="s">
        <v>399</v>
      </c>
      <c r="C695" s="118" t="s">
        <v>899</v>
      </c>
      <c r="D695" s="46">
        <v>299616</v>
      </c>
      <c r="E695" s="41"/>
      <c r="F695" s="140" t="s">
        <v>1443</v>
      </c>
      <c r="G695" s="140" t="s">
        <v>1443</v>
      </c>
      <c r="H695" s="140" t="s">
        <v>1443</v>
      </c>
      <c r="I695" s="140" t="s">
        <v>1443</v>
      </c>
      <c r="J695" s="140" t="s">
        <v>1443</v>
      </c>
      <c r="K695" s="140" t="s">
        <v>1443</v>
      </c>
      <c r="L695" s="140" t="s">
        <v>1443</v>
      </c>
      <c r="M695" s="140" t="s">
        <v>1443</v>
      </c>
      <c r="N695" s="140" t="s">
        <v>1443</v>
      </c>
      <c r="O695" s="140" t="s">
        <v>1443</v>
      </c>
      <c r="P695" s="140" t="s">
        <v>1443</v>
      </c>
      <c r="Q695" s="140" t="s">
        <v>1443</v>
      </c>
      <c r="R695" s="91"/>
      <c r="S695" s="91"/>
      <c r="T695" s="91"/>
      <c r="U695" s="91"/>
      <c r="V695" s="91"/>
    </row>
    <row r="696" spans="2:22" ht="12.75" hidden="1" customHeight="1" outlineLevel="1" x14ac:dyDescent="0.2">
      <c r="B696" s="5" t="s">
        <v>398</v>
      </c>
      <c r="C696" s="118" t="s">
        <v>900</v>
      </c>
      <c r="D696" s="46">
        <v>299617</v>
      </c>
      <c r="E696" s="41"/>
      <c r="F696" s="140" t="s">
        <v>1443</v>
      </c>
      <c r="G696" s="140" t="s">
        <v>1443</v>
      </c>
      <c r="H696" s="140" t="s">
        <v>1443</v>
      </c>
      <c r="I696" s="140" t="s">
        <v>1443</v>
      </c>
      <c r="J696" s="140" t="s">
        <v>1443</v>
      </c>
      <c r="K696" s="140" t="s">
        <v>1443</v>
      </c>
      <c r="L696" s="140" t="s">
        <v>1443</v>
      </c>
      <c r="M696" s="140" t="s">
        <v>1443</v>
      </c>
      <c r="N696" s="140" t="s">
        <v>1443</v>
      </c>
      <c r="O696" s="140" t="s">
        <v>1443</v>
      </c>
      <c r="P696" s="140" t="s">
        <v>1443</v>
      </c>
      <c r="Q696" s="140" t="s">
        <v>1443</v>
      </c>
      <c r="R696" s="91"/>
      <c r="S696" s="91"/>
      <c r="T696" s="91"/>
      <c r="U696" s="91"/>
      <c r="V696" s="91"/>
    </row>
    <row r="697" spans="2:22" ht="12.75" hidden="1" customHeight="1" outlineLevel="1" x14ac:dyDescent="0.2">
      <c r="B697" s="8" t="s">
        <v>397</v>
      </c>
      <c r="C697" s="118" t="s">
        <v>192</v>
      </c>
      <c r="D697" s="46" t="s">
        <v>192</v>
      </c>
      <c r="E697" s="41"/>
      <c r="F697" s="21"/>
      <c r="G697" s="21"/>
      <c r="H697" s="21"/>
      <c r="I697" s="21"/>
      <c r="J697" s="21"/>
      <c r="K697" s="21"/>
      <c r="L697" s="21"/>
      <c r="M697" s="21"/>
      <c r="N697" s="21"/>
      <c r="O697" s="21"/>
      <c r="P697" s="21"/>
      <c r="Q697" s="21"/>
    </row>
    <row r="698" spans="2:22" ht="12.75" hidden="1" customHeight="1" outlineLevel="1" x14ac:dyDescent="0.2">
      <c r="B698" s="5" t="s">
        <v>396</v>
      </c>
      <c r="C698" s="118" t="s">
        <v>1239</v>
      </c>
      <c r="D698" s="46">
        <v>299618</v>
      </c>
      <c r="E698" s="41"/>
      <c r="F698" s="134" t="s">
        <v>1443</v>
      </c>
      <c r="G698" s="134" t="s">
        <v>1443</v>
      </c>
      <c r="H698" s="134" t="s">
        <v>1443</v>
      </c>
      <c r="I698" s="134" t="s">
        <v>1443</v>
      </c>
      <c r="J698" s="134" t="s">
        <v>1443</v>
      </c>
      <c r="K698" s="134" t="s">
        <v>1443</v>
      </c>
      <c r="L698" s="134" t="s">
        <v>1443</v>
      </c>
      <c r="M698" s="134" t="s">
        <v>1443</v>
      </c>
      <c r="N698" s="134" t="s">
        <v>1443</v>
      </c>
      <c r="O698" s="134" t="s">
        <v>1443</v>
      </c>
      <c r="P698" s="134" t="s">
        <v>1443</v>
      </c>
      <c r="Q698" s="134" t="s">
        <v>1443</v>
      </c>
      <c r="R698" s="109"/>
      <c r="S698" s="109"/>
      <c r="T698" s="109"/>
      <c r="U698" s="109"/>
      <c r="V698" s="109"/>
    </row>
    <row r="699" spans="2:22" ht="12.75" hidden="1" customHeight="1" outlineLevel="1" x14ac:dyDescent="0.2">
      <c r="B699" s="5" t="s">
        <v>395</v>
      </c>
      <c r="C699" s="118" t="s">
        <v>1240</v>
      </c>
      <c r="D699" s="46">
        <v>299619</v>
      </c>
      <c r="E699" s="41"/>
      <c r="F699" s="134" t="s">
        <v>1443</v>
      </c>
      <c r="G699" s="134" t="s">
        <v>1443</v>
      </c>
      <c r="H699" s="134" t="s">
        <v>1443</v>
      </c>
      <c r="I699" s="134" t="s">
        <v>1443</v>
      </c>
      <c r="J699" s="134" t="s">
        <v>1443</v>
      </c>
      <c r="K699" s="134" t="s">
        <v>1443</v>
      </c>
      <c r="L699" s="134" t="s">
        <v>1443</v>
      </c>
      <c r="M699" s="134" t="s">
        <v>1443</v>
      </c>
      <c r="N699" s="134" t="s">
        <v>1443</v>
      </c>
      <c r="O699" s="134" t="s">
        <v>1443</v>
      </c>
      <c r="P699" s="134" t="s">
        <v>1443</v>
      </c>
      <c r="Q699" s="134" t="s">
        <v>1443</v>
      </c>
      <c r="R699" s="109"/>
      <c r="S699" s="109"/>
      <c r="T699" s="109"/>
      <c r="U699" s="109"/>
      <c r="V699" s="109"/>
    </row>
    <row r="700" spans="2:22" ht="12.75" hidden="1" customHeight="1" outlineLevel="1" x14ac:dyDescent="0.2">
      <c r="B700" s="5" t="s">
        <v>394</v>
      </c>
      <c r="C700" s="118" t="s">
        <v>1241</v>
      </c>
      <c r="D700" s="46">
        <v>299620</v>
      </c>
      <c r="E700" s="41"/>
      <c r="F700" s="134" t="s">
        <v>1443</v>
      </c>
      <c r="G700" s="134" t="s">
        <v>1443</v>
      </c>
      <c r="H700" s="134" t="s">
        <v>1443</v>
      </c>
      <c r="I700" s="134" t="s">
        <v>1443</v>
      </c>
      <c r="J700" s="134" t="s">
        <v>1443</v>
      </c>
      <c r="K700" s="134" t="s">
        <v>1443</v>
      </c>
      <c r="L700" s="134" t="s">
        <v>1443</v>
      </c>
      <c r="M700" s="134" t="s">
        <v>1443</v>
      </c>
      <c r="N700" s="134" t="s">
        <v>1443</v>
      </c>
      <c r="O700" s="134" t="s">
        <v>1443</v>
      </c>
      <c r="P700" s="134" t="s">
        <v>1443</v>
      </c>
      <c r="Q700" s="134" t="s">
        <v>1443</v>
      </c>
      <c r="R700" s="109"/>
      <c r="S700" s="109"/>
      <c r="T700" s="109"/>
      <c r="U700" s="109"/>
      <c r="V700" s="109"/>
    </row>
    <row r="701" spans="2:22" ht="12.75" hidden="1" customHeight="1" outlineLevel="1" x14ac:dyDescent="0.2">
      <c r="B701" s="5" t="s">
        <v>393</v>
      </c>
      <c r="C701" s="118" t="s">
        <v>1242</v>
      </c>
      <c r="D701" s="46">
        <v>299621</v>
      </c>
      <c r="E701" s="41"/>
      <c r="F701" s="134" t="s">
        <v>1443</v>
      </c>
      <c r="G701" s="134" t="s">
        <v>1443</v>
      </c>
      <c r="H701" s="134" t="s">
        <v>1443</v>
      </c>
      <c r="I701" s="134" t="s">
        <v>1443</v>
      </c>
      <c r="J701" s="134" t="s">
        <v>1443</v>
      </c>
      <c r="K701" s="134" t="s">
        <v>1443</v>
      </c>
      <c r="L701" s="134" t="s">
        <v>1443</v>
      </c>
      <c r="M701" s="134" t="s">
        <v>1443</v>
      </c>
      <c r="N701" s="134" t="s">
        <v>1443</v>
      </c>
      <c r="O701" s="134" t="s">
        <v>1443</v>
      </c>
      <c r="P701" s="134" t="s">
        <v>1443</v>
      </c>
      <c r="Q701" s="134" t="s">
        <v>1443</v>
      </c>
      <c r="R701" s="109"/>
      <c r="S701" s="109"/>
      <c r="T701" s="109"/>
      <c r="U701" s="109"/>
      <c r="V701" s="109"/>
    </row>
    <row r="702" spans="2:22" ht="12.75" hidden="1" customHeight="1" outlineLevel="1" x14ac:dyDescent="0.2">
      <c r="B702" s="8" t="s">
        <v>392</v>
      </c>
      <c r="C702" s="118" t="s">
        <v>192</v>
      </c>
      <c r="D702" s="46" t="s">
        <v>192</v>
      </c>
      <c r="E702" s="41"/>
      <c r="F702" s="134"/>
      <c r="G702" s="134"/>
      <c r="H702" s="134"/>
      <c r="I702" s="134"/>
      <c r="J702" s="134"/>
      <c r="K702" s="134"/>
      <c r="L702" s="134"/>
      <c r="M702" s="134"/>
      <c r="N702" s="134"/>
      <c r="O702" s="134"/>
      <c r="P702" s="134"/>
      <c r="Q702" s="134"/>
    </row>
    <row r="703" spans="2:22" ht="12.75" hidden="1" customHeight="1" outlineLevel="1" x14ac:dyDescent="0.2">
      <c r="B703" s="5" t="s">
        <v>391</v>
      </c>
      <c r="C703" s="118" t="s">
        <v>1243</v>
      </c>
      <c r="D703" s="46">
        <v>299636</v>
      </c>
      <c r="E703" s="41"/>
      <c r="F703" s="134" t="s">
        <v>1443</v>
      </c>
      <c r="G703" s="134">
        <v>-4</v>
      </c>
      <c r="H703" s="134" t="s">
        <v>1443</v>
      </c>
      <c r="I703" s="134" t="s">
        <v>1443</v>
      </c>
      <c r="J703" s="134" t="s">
        <v>1443</v>
      </c>
      <c r="K703" s="134">
        <v>-4.9000000000000004</v>
      </c>
      <c r="L703" s="134" t="s">
        <v>1443</v>
      </c>
      <c r="M703" s="134" t="s">
        <v>1443</v>
      </c>
      <c r="N703" s="134" t="s">
        <v>1443</v>
      </c>
      <c r="O703" s="134">
        <v>-5.3</v>
      </c>
      <c r="P703" s="134" t="s">
        <v>1443</v>
      </c>
      <c r="Q703" s="134" t="s">
        <v>1443</v>
      </c>
      <c r="R703" s="22"/>
      <c r="S703" s="109"/>
      <c r="T703" s="109"/>
      <c r="U703" s="109"/>
      <c r="V703" s="109"/>
    </row>
    <row r="704" spans="2:22" ht="12.75" hidden="1" customHeight="1" outlineLevel="1" x14ac:dyDescent="0.2">
      <c r="B704" s="5" t="s">
        <v>390</v>
      </c>
      <c r="C704" s="118" t="s">
        <v>1244</v>
      </c>
      <c r="D704" s="46">
        <v>299637</v>
      </c>
      <c r="E704" s="41"/>
      <c r="F704" s="134" t="s">
        <v>1443</v>
      </c>
      <c r="G704" s="134" t="s">
        <v>1443</v>
      </c>
      <c r="H704" s="134" t="s">
        <v>1443</v>
      </c>
      <c r="I704" s="134" t="s">
        <v>1443</v>
      </c>
      <c r="J704" s="134" t="s">
        <v>1443</v>
      </c>
      <c r="K704" s="134" t="s">
        <v>1443</v>
      </c>
      <c r="L704" s="134" t="s">
        <v>1443</v>
      </c>
      <c r="M704" s="134" t="s">
        <v>1443</v>
      </c>
      <c r="N704" s="134" t="s">
        <v>1443</v>
      </c>
      <c r="O704" s="134" t="s">
        <v>1443</v>
      </c>
      <c r="P704" s="134" t="s">
        <v>1443</v>
      </c>
      <c r="Q704" s="134" t="s">
        <v>1443</v>
      </c>
      <c r="R704" s="22"/>
      <c r="S704" s="109"/>
      <c r="T704" s="109"/>
      <c r="U704" s="109"/>
      <c r="V704" s="109"/>
    </row>
    <row r="705" spans="2:22" ht="12.75" hidden="1" customHeight="1" outlineLevel="1" x14ac:dyDescent="0.2">
      <c r="B705" s="5" t="s">
        <v>389</v>
      </c>
      <c r="C705" s="118" t="s">
        <v>1245</v>
      </c>
      <c r="D705" s="46">
        <v>299638</v>
      </c>
      <c r="E705" s="41"/>
      <c r="F705" s="134" t="s">
        <v>1443</v>
      </c>
      <c r="G705" s="134" t="s">
        <v>1443</v>
      </c>
      <c r="H705" s="134" t="s">
        <v>1443</v>
      </c>
      <c r="I705" s="134" t="s">
        <v>1443</v>
      </c>
      <c r="J705" s="134" t="s">
        <v>1443</v>
      </c>
      <c r="K705" s="134" t="s">
        <v>1443</v>
      </c>
      <c r="L705" s="134" t="s">
        <v>1443</v>
      </c>
      <c r="M705" s="134" t="s">
        <v>1443</v>
      </c>
      <c r="N705" s="134" t="s">
        <v>1443</v>
      </c>
      <c r="O705" s="134" t="s">
        <v>1443</v>
      </c>
      <c r="P705" s="134" t="s">
        <v>1443</v>
      </c>
      <c r="Q705" s="134" t="s">
        <v>1443</v>
      </c>
      <c r="R705" s="22"/>
      <c r="S705" s="109"/>
      <c r="T705" s="109"/>
      <c r="U705" s="109"/>
      <c r="V705" s="109"/>
    </row>
    <row r="706" spans="2:22" ht="12.75" hidden="1" customHeight="1" outlineLevel="1" x14ac:dyDescent="0.2">
      <c r="B706" s="5" t="s">
        <v>388</v>
      </c>
      <c r="C706" s="118" t="s">
        <v>1246</v>
      </c>
      <c r="D706" s="46">
        <v>299639</v>
      </c>
      <c r="E706" s="41"/>
      <c r="F706" s="134" t="s">
        <v>1443</v>
      </c>
      <c r="G706" s="134">
        <v>1.5</v>
      </c>
      <c r="H706" s="134" t="s">
        <v>1443</v>
      </c>
      <c r="I706" s="134" t="s">
        <v>1443</v>
      </c>
      <c r="J706" s="134" t="s">
        <v>1443</v>
      </c>
      <c r="K706" s="134">
        <v>1.3</v>
      </c>
      <c r="L706" s="134" t="s">
        <v>1443</v>
      </c>
      <c r="M706" s="134" t="s">
        <v>1443</v>
      </c>
      <c r="N706" s="134" t="s">
        <v>1443</v>
      </c>
      <c r="O706" s="134">
        <v>1.4000000000000001</v>
      </c>
      <c r="P706" s="134" t="s">
        <v>1443</v>
      </c>
      <c r="Q706" s="134" t="s">
        <v>1443</v>
      </c>
      <c r="R706" s="22"/>
      <c r="S706" s="109"/>
      <c r="T706" s="109"/>
      <c r="U706" s="109"/>
      <c r="V706" s="109"/>
    </row>
    <row r="707" spans="2:22" ht="12.75" hidden="1" customHeight="1" outlineLevel="1" x14ac:dyDescent="0.2">
      <c r="B707" s="5" t="s">
        <v>387</v>
      </c>
      <c r="C707" s="118" t="s">
        <v>1247</v>
      </c>
      <c r="D707" s="46">
        <v>299640</v>
      </c>
      <c r="E707" s="41"/>
      <c r="F707" s="134" t="s">
        <v>1443</v>
      </c>
      <c r="G707" s="134">
        <v>-2.5</v>
      </c>
      <c r="H707" s="134" t="s">
        <v>1443</v>
      </c>
      <c r="I707" s="134" t="s">
        <v>1443</v>
      </c>
      <c r="J707" s="134" t="s">
        <v>1443</v>
      </c>
      <c r="K707" s="134">
        <v>-3.6</v>
      </c>
      <c r="L707" s="134" t="s">
        <v>1443</v>
      </c>
      <c r="M707" s="134" t="s">
        <v>1443</v>
      </c>
      <c r="N707" s="134" t="s">
        <v>1443</v>
      </c>
      <c r="O707" s="134">
        <v>-3.9</v>
      </c>
      <c r="P707" s="134" t="s">
        <v>1443</v>
      </c>
      <c r="Q707" s="134" t="s">
        <v>1443</v>
      </c>
      <c r="R707" s="22"/>
      <c r="S707" s="109"/>
      <c r="T707" s="109"/>
      <c r="U707" s="109"/>
      <c r="V707" s="109"/>
    </row>
    <row r="708" spans="2:22" ht="12.75" hidden="1" customHeight="1" outlineLevel="1" x14ac:dyDescent="0.2">
      <c r="B708" s="8" t="s">
        <v>381</v>
      </c>
      <c r="C708" s="118" t="s">
        <v>192</v>
      </c>
      <c r="D708" s="46" t="s">
        <v>192</v>
      </c>
      <c r="E708" s="41"/>
      <c r="F708" s="21"/>
      <c r="G708" s="21"/>
      <c r="H708" s="21"/>
      <c r="I708" s="21"/>
      <c r="J708" s="21"/>
      <c r="K708" s="21"/>
      <c r="L708" s="21"/>
      <c r="M708" s="21"/>
      <c r="N708" s="21"/>
      <c r="O708" s="21"/>
      <c r="P708" s="21"/>
      <c r="Q708" s="21"/>
    </row>
    <row r="709" spans="2:22" ht="12.75" hidden="1" customHeight="1" outlineLevel="1" x14ac:dyDescent="0.2">
      <c r="B709" s="5" t="s">
        <v>1463</v>
      </c>
      <c r="C709" s="118" t="s">
        <v>901</v>
      </c>
      <c r="D709" s="46">
        <v>299600</v>
      </c>
      <c r="E709" s="41"/>
      <c r="F709" s="140" t="s">
        <v>1443</v>
      </c>
      <c r="G709" s="140" t="s">
        <v>1443</v>
      </c>
      <c r="H709" s="140" t="s">
        <v>1443</v>
      </c>
      <c r="I709" s="140" t="s">
        <v>1443</v>
      </c>
      <c r="J709" s="140" t="s">
        <v>1443</v>
      </c>
      <c r="K709" s="140" t="s">
        <v>1443</v>
      </c>
      <c r="L709" s="140" t="s">
        <v>1443</v>
      </c>
      <c r="M709" s="140" t="s">
        <v>1443</v>
      </c>
      <c r="N709" s="140" t="s">
        <v>1443</v>
      </c>
      <c r="O709" s="140" t="s">
        <v>1443</v>
      </c>
      <c r="P709" s="140" t="s">
        <v>1443</v>
      </c>
      <c r="Q709" s="140" t="s">
        <v>1443</v>
      </c>
      <c r="R709" s="91"/>
      <c r="S709" s="91"/>
      <c r="T709" s="91"/>
      <c r="U709" s="91"/>
      <c r="V709" s="91"/>
    </row>
    <row r="710" spans="2:22" ht="12.75" hidden="1" customHeight="1" outlineLevel="1" x14ac:dyDescent="0.2">
      <c r="B710" s="5" t="s">
        <v>1464</v>
      </c>
      <c r="C710" s="118" t="s">
        <v>902</v>
      </c>
      <c r="D710" s="46">
        <v>299601</v>
      </c>
      <c r="E710" s="41"/>
      <c r="F710" s="140" t="s">
        <v>1443</v>
      </c>
      <c r="G710" s="140" t="s">
        <v>1443</v>
      </c>
      <c r="H710" s="140" t="s">
        <v>1443</v>
      </c>
      <c r="I710" s="140" t="s">
        <v>1443</v>
      </c>
      <c r="J710" s="140" t="s">
        <v>1443</v>
      </c>
      <c r="K710" s="140" t="s">
        <v>1443</v>
      </c>
      <c r="L710" s="140" t="s">
        <v>1443</v>
      </c>
      <c r="M710" s="140" t="s">
        <v>1443</v>
      </c>
      <c r="N710" s="140" t="s">
        <v>1443</v>
      </c>
      <c r="O710" s="140" t="s">
        <v>1443</v>
      </c>
      <c r="P710" s="140" t="s">
        <v>1443</v>
      </c>
      <c r="Q710" s="140" t="s">
        <v>1443</v>
      </c>
      <c r="R710" s="91"/>
      <c r="S710" s="91"/>
      <c r="T710" s="91"/>
      <c r="U710" s="91"/>
      <c r="V710" s="91"/>
    </row>
    <row r="711" spans="2:22" ht="12.75" hidden="1" customHeight="1" outlineLevel="1" x14ac:dyDescent="0.2">
      <c r="B711" s="5" t="s">
        <v>1465</v>
      </c>
      <c r="C711" s="118" t="s">
        <v>903</v>
      </c>
      <c r="D711" s="46">
        <v>299602</v>
      </c>
      <c r="E711" s="41"/>
      <c r="F711" s="140" t="s">
        <v>1443</v>
      </c>
      <c r="G711" s="140" t="s">
        <v>1443</v>
      </c>
      <c r="H711" s="140" t="s">
        <v>1443</v>
      </c>
      <c r="I711" s="140" t="s">
        <v>1443</v>
      </c>
      <c r="J711" s="140" t="s">
        <v>1443</v>
      </c>
      <c r="K711" s="140" t="s">
        <v>1443</v>
      </c>
      <c r="L711" s="140" t="s">
        <v>1443</v>
      </c>
      <c r="M711" s="140" t="s">
        <v>1443</v>
      </c>
      <c r="N711" s="140" t="s">
        <v>1443</v>
      </c>
      <c r="O711" s="140" t="s">
        <v>1443</v>
      </c>
      <c r="P711" s="140" t="s">
        <v>1443</v>
      </c>
      <c r="Q711" s="140" t="s">
        <v>1443</v>
      </c>
      <c r="R711" s="91"/>
      <c r="S711" s="91"/>
      <c r="T711" s="91"/>
      <c r="U711" s="91"/>
      <c r="V711" s="91"/>
    </row>
    <row r="712" spans="2:22" ht="12.75" hidden="1" customHeight="1" outlineLevel="1" x14ac:dyDescent="0.2">
      <c r="B712" s="5" t="s">
        <v>1466</v>
      </c>
      <c r="C712" s="118" t="s">
        <v>904</v>
      </c>
      <c r="D712" s="46">
        <v>299603</v>
      </c>
      <c r="E712" s="41"/>
      <c r="F712" s="140" t="s">
        <v>1443</v>
      </c>
      <c r="G712" s="140" t="s">
        <v>1443</v>
      </c>
      <c r="H712" s="140" t="s">
        <v>1443</v>
      </c>
      <c r="I712" s="140" t="s">
        <v>1443</v>
      </c>
      <c r="J712" s="140" t="s">
        <v>1443</v>
      </c>
      <c r="K712" s="140" t="s">
        <v>1443</v>
      </c>
      <c r="L712" s="140" t="s">
        <v>1443</v>
      </c>
      <c r="M712" s="140" t="s">
        <v>1443</v>
      </c>
      <c r="N712" s="140" t="s">
        <v>1443</v>
      </c>
      <c r="O712" s="140" t="s">
        <v>1443</v>
      </c>
      <c r="P712" s="140" t="s">
        <v>1443</v>
      </c>
      <c r="Q712" s="140" t="s">
        <v>1443</v>
      </c>
      <c r="R712" s="91"/>
      <c r="S712" s="91"/>
      <c r="T712" s="91"/>
      <c r="U712" s="91"/>
      <c r="V712" s="91"/>
    </row>
    <row r="713" spans="2:22" ht="12.75" hidden="1" customHeight="1" outlineLevel="1" x14ac:dyDescent="0.2">
      <c r="B713" s="8" t="s">
        <v>380</v>
      </c>
      <c r="C713" s="118" t="s">
        <v>192</v>
      </c>
      <c r="D713" s="46" t="s">
        <v>192</v>
      </c>
      <c r="E713" s="41"/>
      <c r="F713" s="21"/>
      <c r="G713" s="21"/>
      <c r="H713" s="21"/>
      <c r="I713" s="21"/>
      <c r="J713" s="21"/>
      <c r="K713" s="21"/>
      <c r="L713" s="21"/>
      <c r="M713" s="21"/>
      <c r="N713" s="21"/>
      <c r="O713" s="21"/>
      <c r="P713" s="21"/>
      <c r="Q713" s="21"/>
    </row>
    <row r="714" spans="2:22" ht="12.75" hidden="1" customHeight="1" outlineLevel="1" x14ac:dyDescent="0.2">
      <c r="B714" s="5" t="s">
        <v>379</v>
      </c>
      <c r="C714" s="118" t="s">
        <v>1248</v>
      </c>
      <c r="D714" s="46">
        <v>299622</v>
      </c>
      <c r="E714" s="41"/>
      <c r="F714" s="134" t="s">
        <v>1443</v>
      </c>
      <c r="G714" s="134">
        <v>1.6</v>
      </c>
      <c r="H714" s="134" t="s">
        <v>1443</v>
      </c>
      <c r="I714" s="134" t="s">
        <v>1443</v>
      </c>
      <c r="J714" s="134" t="s">
        <v>1443</v>
      </c>
      <c r="K714" s="134">
        <v>1.6</v>
      </c>
      <c r="L714" s="134" t="s">
        <v>1443</v>
      </c>
      <c r="M714" s="134" t="s">
        <v>1443</v>
      </c>
      <c r="N714" s="134" t="s">
        <v>1443</v>
      </c>
      <c r="O714" s="134">
        <v>1.3</v>
      </c>
      <c r="P714" s="134" t="s">
        <v>1443</v>
      </c>
      <c r="Q714" s="134" t="s">
        <v>1443</v>
      </c>
      <c r="R714" s="109"/>
      <c r="S714" s="109"/>
      <c r="T714" s="109"/>
      <c r="U714" s="109"/>
      <c r="V714" s="109"/>
    </row>
    <row r="715" spans="2:22" ht="12.75" hidden="1" customHeight="1" outlineLevel="1" x14ac:dyDescent="0.2">
      <c r="B715" s="5" t="s">
        <v>378</v>
      </c>
      <c r="C715" s="118" t="s">
        <v>1249</v>
      </c>
      <c r="D715" s="46">
        <v>299623</v>
      </c>
      <c r="E715" s="41"/>
      <c r="F715" s="134" t="s">
        <v>1443</v>
      </c>
      <c r="G715" s="134">
        <v>1.5</v>
      </c>
      <c r="H715" s="134" t="s">
        <v>1443</v>
      </c>
      <c r="I715" s="134" t="s">
        <v>1443</v>
      </c>
      <c r="J715" s="134" t="s">
        <v>1443</v>
      </c>
      <c r="K715" s="134">
        <v>1.5</v>
      </c>
      <c r="L715" s="134" t="s">
        <v>1443</v>
      </c>
      <c r="M715" s="134" t="s">
        <v>1443</v>
      </c>
      <c r="N715" s="134" t="s">
        <v>1443</v>
      </c>
      <c r="O715" s="134">
        <v>1.2</v>
      </c>
      <c r="P715" s="134" t="s">
        <v>1443</v>
      </c>
      <c r="Q715" s="134" t="s">
        <v>1443</v>
      </c>
      <c r="R715" s="109"/>
      <c r="S715" s="109"/>
      <c r="T715" s="109"/>
      <c r="U715" s="109"/>
      <c r="V715" s="109"/>
    </row>
    <row r="716" spans="2:22" ht="12.75" hidden="1" customHeight="1" outlineLevel="1" x14ac:dyDescent="0.2">
      <c r="B716" s="5" t="s">
        <v>377</v>
      </c>
      <c r="C716" s="118" t="s">
        <v>1250</v>
      </c>
      <c r="D716" s="46">
        <v>299624</v>
      </c>
      <c r="E716" s="41"/>
      <c r="F716" s="134" t="s">
        <v>1443</v>
      </c>
      <c r="G716" s="134">
        <v>1.4000000000000001</v>
      </c>
      <c r="H716" s="134" t="s">
        <v>1443</v>
      </c>
      <c r="I716" s="134" t="s">
        <v>1443</v>
      </c>
      <c r="J716" s="134" t="s">
        <v>1443</v>
      </c>
      <c r="K716" s="134">
        <v>1.4000000000000001</v>
      </c>
      <c r="L716" s="134" t="s">
        <v>1443</v>
      </c>
      <c r="M716" s="134" t="s">
        <v>1443</v>
      </c>
      <c r="N716" s="134" t="s">
        <v>1443</v>
      </c>
      <c r="O716" s="134">
        <v>1.1000000000000001</v>
      </c>
      <c r="P716" s="134" t="s">
        <v>1443</v>
      </c>
      <c r="Q716" s="134" t="s">
        <v>1443</v>
      </c>
      <c r="R716" s="109"/>
      <c r="S716" s="109"/>
      <c r="T716" s="109"/>
      <c r="U716" s="109"/>
      <c r="V716" s="109"/>
    </row>
    <row r="717" spans="2:22" ht="12.75" hidden="1" customHeight="1" outlineLevel="1" x14ac:dyDescent="0.2">
      <c r="B717" s="5" t="s">
        <v>376</v>
      </c>
      <c r="C717" s="118" t="s">
        <v>1251</v>
      </c>
      <c r="D717" s="46">
        <v>299625</v>
      </c>
      <c r="E717" s="41"/>
      <c r="F717" s="134" t="s">
        <v>1443</v>
      </c>
      <c r="G717" s="134">
        <v>1.3</v>
      </c>
      <c r="H717" s="134" t="s">
        <v>1443</v>
      </c>
      <c r="I717" s="134" t="s">
        <v>1443</v>
      </c>
      <c r="J717" s="134" t="s">
        <v>1443</v>
      </c>
      <c r="K717" s="134">
        <v>1.3</v>
      </c>
      <c r="L717" s="134" t="s">
        <v>1443</v>
      </c>
      <c r="M717" s="134" t="s">
        <v>1443</v>
      </c>
      <c r="N717" s="134" t="s">
        <v>1443</v>
      </c>
      <c r="O717" s="134">
        <v>1.1000000000000001</v>
      </c>
      <c r="P717" s="134" t="s">
        <v>1443</v>
      </c>
      <c r="Q717" s="134" t="s">
        <v>1443</v>
      </c>
      <c r="R717" s="109"/>
      <c r="S717" s="109"/>
      <c r="T717" s="109"/>
      <c r="U717" s="109"/>
      <c r="V717" s="109"/>
    </row>
    <row r="718" spans="2:22" ht="12.75" hidden="1" customHeight="1" outlineLevel="1" x14ac:dyDescent="0.2">
      <c r="B718" s="5" t="s">
        <v>375</v>
      </c>
      <c r="C718" s="118" t="s">
        <v>1253</v>
      </c>
      <c r="D718" s="46">
        <v>299626</v>
      </c>
      <c r="E718" s="41"/>
      <c r="F718" s="134" t="s">
        <v>1443</v>
      </c>
      <c r="G718" s="134">
        <v>1.2</v>
      </c>
      <c r="H718" s="134" t="s">
        <v>1443</v>
      </c>
      <c r="I718" s="134" t="s">
        <v>1443</v>
      </c>
      <c r="J718" s="134" t="s">
        <v>1443</v>
      </c>
      <c r="K718" s="134">
        <v>1.2</v>
      </c>
      <c r="L718" s="134" t="s">
        <v>1443</v>
      </c>
      <c r="M718" s="134" t="s">
        <v>1443</v>
      </c>
      <c r="N718" s="134" t="s">
        <v>1443</v>
      </c>
      <c r="O718" s="134">
        <v>1</v>
      </c>
      <c r="P718" s="134" t="s">
        <v>1443</v>
      </c>
      <c r="Q718" s="134" t="s">
        <v>1443</v>
      </c>
      <c r="R718" s="109"/>
      <c r="S718" s="109"/>
      <c r="T718" s="109"/>
      <c r="U718" s="109"/>
      <c r="V718" s="109"/>
    </row>
    <row r="719" spans="2:22" ht="12.75" hidden="1" customHeight="1" outlineLevel="1" x14ac:dyDescent="0.2">
      <c r="B719" s="5" t="s">
        <v>374</v>
      </c>
      <c r="C719" s="118" t="s">
        <v>1252</v>
      </c>
      <c r="D719" s="46">
        <v>299627</v>
      </c>
      <c r="E719" s="41"/>
      <c r="F719" s="134" t="s">
        <v>1443</v>
      </c>
      <c r="G719" s="134">
        <v>4.6000000000000005</v>
      </c>
      <c r="H719" s="134" t="s">
        <v>1443</v>
      </c>
      <c r="I719" s="134" t="s">
        <v>1443</v>
      </c>
      <c r="J719" s="134" t="s">
        <v>1443</v>
      </c>
      <c r="K719" s="134">
        <v>4.3</v>
      </c>
      <c r="L719" s="134" t="s">
        <v>1443</v>
      </c>
      <c r="M719" s="134" t="s">
        <v>1443</v>
      </c>
      <c r="N719" s="134" t="s">
        <v>1443</v>
      </c>
      <c r="O719" s="134">
        <v>3.6</v>
      </c>
      <c r="P719" s="134" t="s">
        <v>1443</v>
      </c>
      <c r="Q719" s="134" t="s">
        <v>1443</v>
      </c>
      <c r="R719" s="109"/>
      <c r="S719" s="109"/>
      <c r="T719" s="109"/>
      <c r="U719" s="109"/>
      <c r="V719" s="109"/>
    </row>
    <row r="720" spans="2:22" ht="12.75" hidden="1" customHeight="1" outlineLevel="1" x14ac:dyDescent="0.2">
      <c r="B720" s="8" t="s">
        <v>373</v>
      </c>
      <c r="C720" s="118" t="s">
        <v>192</v>
      </c>
      <c r="D720" s="46" t="s">
        <v>192</v>
      </c>
      <c r="E720" s="41"/>
      <c r="F720" s="134"/>
      <c r="G720" s="134"/>
      <c r="H720" s="134"/>
      <c r="I720" s="134"/>
      <c r="J720" s="134"/>
      <c r="K720" s="134"/>
      <c r="L720" s="134"/>
      <c r="M720" s="134"/>
      <c r="N720" s="134"/>
      <c r="O720" s="134"/>
      <c r="P720" s="134"/>
      <c r="Q720" s="134"/>
    </row>
    <row r="721" spans="2:22" ht="12.75" hidden="1" customHeight="1" outlineLevel="1" x14ac:dyDescent="0.2">
      <c r="B721" s="5" t="s">
        <v>372</v>
      </c>
      <c r="C721" s="118" t="s">
        <v>1254</v>
      </c>
      <c r="D721" s="46">
        <v>299628</v>
      </c>
      <c r="E721" s="41"/>
      <c r="F721" s="134" t="s">
        <v>1443</v>
      </c>
      <c r="G721" s="134" t="s">
        <v>1443</v>
      </c>
      <c r="H721" s="134" t="s">
        <v>1443</v>
      </c>
      <c r="I721" s="134" t="s">
        <v>1443</v>
      </c>
      <c r="J721" s="134" t="s">
        <v>1443</v>
      </c>
      <c r="K721" s="134" t="s">
        <v>1443</v>
      </c>
      <c r="L721" s="134" t="s">
        <v>1443</v>
      </c>
      <c r="M721" s="134" t="s">
        <v>1443</v>
      </c>
      <c r="N721" s="134" t="s">
        <v>1443</v>
      </c>
      <c r="O721" s="134" t="s">
        <v>1443</v>
      </c>
      <c r="P721" s="134" t="s">
        <v>1443</v>
      </c>
      <c r="Q721" s="134" t="s">
        <v>1443</v>
      </c>
      <c r="R721" s="109"/>
      <c r="S721" s="109"/>
      <c r="T721" s="109"/>
      <c r="U721" s="109"/>
      <c r="V721" s="109"/>
    </row>
    <row r="722" spans="2:22" ht="12.75" hidden="1" customHeight="1" outlineLevel="1" x14ac:dyDescent="0.2">
      <c r="B722" s="5" t="s">
        <v>371</v>
      </c>
      <c r="C722" s="118" t="s">
        <v>1255</v>
      </c>
      <c r="D722" s="46">
        <v>299629</v>
      </c>
      <c r="E722" s="41"/>
      <c r="F722" s="134" t="s">
        <v>1443</v>
      </c>
      <c r="G722" s="134" t="s">
        <v>1443</v>
      </c>
      <c r="H722" s="134" t="s">
        <v>1443</v>
      </c>
      <c r="I722" s="134" t="s">
        <v>1443</v>
      </c>
      <c r="J722" s="134" t="s">
        <v>1443</v>
      </c>
      <c r="K722" s="134" t="s">
        <v>1443</v>
      </c>
      <c r="L722" s="134" t="s">
        <v>1443</v>
      </c>
      <c r="M722" s="134" t="s">
        <v>1443</v>
      </c>
      <c r="N722" s="134" t="s">
        <v>1443</v>
      </c>
      <c r="O722" s="134" t="s">
        <v>1443</v>
      </c>
      <c r="P722" s="134" t="s">
        <v>1443</v>
      </c>
      <c r="Q722" s="134" t="s">
        <v>1443</v>
      </c>
      <c r="R722" s="109"/>
      <c r="S722" s="109"/>
      <c r="T722" s="109"/>
      <c r="U722" s="109"/>
      <c r="V722" s="109"/>
    </row>
    <row r="723" spans="2:22" ht="12.75" hidden="1" customHeight="1" outlineLevel="1" x14ac:dyDescent="0.2">
      <c r="B723" s="5" t="s">
        <v>370</v>
      </c>
      <c r="C723" s="118" t="s">
        <v>1256</v>
      </c>
      <c r="D723" s="46">
        <v>299630</v>
      </c>
      <c r="E723" s="41"/>
      <c r="F723" s="134" t="s">
        <v>1443</v>
      </c>
      <c r="G723" s="134" t="s">
        <v>1443</v>
      </c>
      <c r="H723" s="134" t="s">
        <v>1443</v>
      </c>
      <c r="I723" s="134" t="s">
        <v>1443</v>
      </c>
      <c r="J723" s="134" t="s">
        <v>1443</v>
      </c>
      <c r="K723" s="134" t="s">
        <v>1443</v>
      </c>
      <c r="L723" s="134" t="s">
        <v>1443</v>
      </c>
      <c r="M723" s="134" t="s">
        <v>1443</v>
      </c>
      <c r="N723" s="134" t="s">
        <v>1443</v>
      </c>
      <c r="O723" s="134" t="s">
        <v>1443</v>
      </c>
      <c r="P723" s="134" t="s">
        <v>1443</v>
      </c>
      <c r="Q723" s="134" t="s">
        <v>1443</v>
      </c>
      <c r="R723" s="109"/>
      <c r="S723" s="109"/>
      <c r="T723" s="109"/>
      <c r="U723" s="109"/>
      <c r="V723" s="109"/>
    </row>
    <row r="724" spans="2:22" ht="12.75" hidden="1" customHeight="1" outlineLevel="1" x14ac:dyDescent="0.2">
      <c r="B724" s="5" t="s">
        <v>369</v>
      </c>
      <c r="C724" s="118" t="s">
        <v>1257</v>
      </c>
      <c r="D724" s="46">
        <v>299631</v>
      </c>
      <c r="E724" s="41"/>
      <c r="F724" s="134" t="s">
        <v>1443</v>
      </c>
      <c r="G724" s="134" t="s">
        <v>1443</v>
      </c>
      <c r="H724" s="134" t="s">
        <v>1443</v>
      </c>
      <c r="I724" s="134" t="s">
        <v>1443</v>
      </c>
      <c r="J724" s="134" t="s">
        <v>1443</v>
      </c>
      <c r="K724" s="134" t="s">
        <v>1443</v>
      </c>
      <c r="L724" s="134" t="s">
        <v>1443</v>
      </c>
      <c r="M724" s="134" t="s">
        <v>1443</v>
      </c>
      <c r="N724" s="134" t="s">
        <v>1443</v>
      </c>
      <c r="O724" s="134" t="s">
        <v>1443</v>
      </c>
      <c r="P724" s="134" t="s">
        <v>1443</v>
      </c>
      <c r="Q724" s="134" t="s">
        <v>1443</v>
      </c>
      <c r="R724" s="109"/>
      <c r="S724" s="109"/>
      <c r="T724" s="109"/>
      <c r="U724" s="109"/>
      <c r="V724" s="109"/>
    </row>
    <row r="725" spans="2:22" ht="12.75" hidden="1" customHeight="1" outlineLevel="1" x14ac:dyDescent="0.2">
      <c r="B725" s="5" t="s">
        <v>368</v>
      </c>
      <c r="C725" s="118" t="s">
        <v>1258</v>
      </c>
      <c r="D725" s="46">
        <v>299641</v>
      </c>
      <c r="E725" s="41"/>
      <c r="F725" s="134" t="s">
        <v>1443</v>
      </c>
      <c r="G725" s="134" t="s">
        <v>1443</v>
      </c>
      <c r="H725" s="134" t="s">
        <v>1443</v>
      </c>
      <c r="I725" s="134" t="s">
        <v>1443</v>
      </c>
      <c r="J725" s="134" t="s">
        <v>1443</v>
      </c>
      <c r="K725" s="134" t="s">
        <v>1443</v>
      </c>
      <c r="L725" s="134" t="s">
        <v>1443</v>
      </c>
      <c r="M725" s="134" t="s">
        <v>1443</v>
      </c>
      <c r="N725" s="134" t="s">
        <v>1443</v>
      </c>
      <c r="O725" s="134" t="s">
        <v>1443</v>
      </c>
      <c r="P725" s="134" t="s">
        <v>1443</v>
      </c>
      <c r="Q725" s="134" t="s">
        <v>1443</v>
      </c>
      <c r="R725" s="22"/>
      <c r="S725" s="109"/>
      <c r="T725" s="109"/>
      <c r="U725" s="109"/>
      <c r="V725" s="109"/>
    </row>
    <row r="726" spans="2:22" ht="12.75" hidden="1" customHeight="1" outlineLevel="1" x14ac:dyDescent="0.2">
      <c r="B726" s="5" t="s">
        <v>367</v>
      </c>
      <c r="C726" s="118" t="s">
        <v>1259</v>
      </c>
      <c r="D726" s="46">
        <v>299642</v>
      </c>
      <c r="E726" s="41"/>
      <c r="F726" s="134" t="s">
        <v>1443</v>
      </c>
      <c r="G726" s="134" t="s">
        <v>1443</v>
      </c>
      <c r="H726" s="134" t="s">
        <v>1443</v>
      </c>
      <c r="I726" s="134" t="s">
        <v>1443</v>
      </c>
      <c r="J726" s="134" t="s">
        <v>1443</v>
      </c>
      <c r="K726" s="134" t="s">
        <v>1443</v>
      </c>
      <c r="L726" s="134" t="s">
        <v>1443</v>
      </c>
      <c r="M726" s="134" t="s">
        <v>1443</v>
      </c>
      <c r="N726" s="134" t="s">
        <v>1443</v>
      </c>
      <c r="O726" s="134" t="s">
        <v>1443</v>
      </c>
      <c r="P726" s="134" t="s">
        <v>1443</v>
      </c>
      <c r="Q726" s="134" t="s">
        <v>1443</v>
      </c>
      <c r="R726" s="22"/>
      <c r="S726" s="109"/>
      <c r="T726" s="109"/>
      <c r="U726" s="109"/>
      <c r="V726" s="109"/>
    </row>
    <row r="727" spans="2:22" ht="12.75" hidden="1" customHeight="1" outlineLevel="1" x14ac:dyDescent="0.2">
      <c r="B727" s="5" t="s">
        <v>366</v>
      </c>
      <c r="C727" s="118" t="s">
        <v>1260</v>
      </c>
      <c r="D727" s="46">
        <v>299643</v>
      </c>
      <c r="E727" s="41"/>
      <c r="F727" s="134" t="s">
        <v>1443</v>
      </c>
      <c r="G727" s="134" t="s">
        <v>1443</v>
      </c>
      <c r="H727" s="134" t="s">
        <v>1443</v>
      </c>
      <c r="I727" s="134" t="s">
        <v>1443</v>
      </c>
      <c r="J727" s="134" t="s">
        <v>1443</v>
      </c>
      <c r="K727" s="134" t="s">
        <v>1443</v>
      </c>
      <c r="L727" s="134" t="s">
        <v>1443</v>
      </c>
      <c r="M727" s="134" t="s">
        <v>1443</v>
      </c>
      <c r="N727" s="134" t="s">
        <v>1443</v>
      </c>
      <c r="O727" s="134" t="s">
        <v>1443</v>
      </c>
      <c r="P727" s="134" t="s">
        <v>1443</v>
      </c>
      <c r="Q727" s="134" t="s">
        <v>1443</v>
      </c>
      <c r="R727" s="22"/>
      <c r="S727" s="109"/>
      <c r="T727" s="109"/>
      <c r="U727" s="109"/>
      <c r="V727" s="109"/>
    </row>
    <row r="728" spans="2:22" ht="12.75" hidden="1" customHeight="1" outlineLevel="1" x14ac:dyDescent="0.2">
      <c r="B728" s="5" t="s">
        <v>365</v>
      </c>
      <c r="C728" s="118" t="s">
        <v>1261</v>
      </c>
      <c r="D728" s="46">
        <v>299632</v>
      </c>
      <c r="E728" s="41"/>
      <c r="F728" s="134" t="s">
        <v>1443</v>
      </c>
      <c r="G728" s="134" t="s">
        <v>1443</v>
      </c>
      <c r="H728" s="134" t="s">
        <v>1443</v>
      </c>
      <c r="I728" s="134" t="s">
        <v>1443</v>
      </c>
      <c r="J728" s="134" t="s">
        <v>1443</v>
      </c>
      <c r="K728" s="134" t="s">
        <v>1443</v>
      </c>
      <c r="L728" s="134" t="s">
        <v>1443</v>
      </c>
      <c r="M728" s="134" t="s">
        <v>1443</v>
      </c>
      <c r="N728" s="134" t="s">
        <v>1443</v>
      </c>
      <c r="O728" s="134" t="s">
        <v>1443</v>
      </c>
      <c r="P728" s="134" t="s">
        <v>1443</v>
      </c>
      <c r="Q728" s="134" t="s">
        <v>1443</v>
      </c>
      <c r="R728" s="109"/>
      <c r="S728" s="109"/>
      <c r="T728" s="109"/>
      <c r="U728" s="109"/>
      <c r="V728" s="109"/>
    </row>
    <row r="729" spans="2:22" ht="12.75" hidden="1" customHeight="1" outlineLevel="1" x14ac:dyDescent="0.2">
      <c r="B729" s="8" t="s">
        <v>364</v>
      </c>
      <c r="C729" s="118" t="s">
        <v>192</v>
      </c>
      <c r="D729" s="46" t="s">
        <v>192</v>
      </c>
      <c r="E729" s="41"/>
      <c r="F729" s="134"/>
      <c r="G729" s="134"/>
      <c r="H729" s="134"/>
      <c r="I729" s="134"/>
      <c r="J729" s="134"/>
      <c r="K729" s="134"/>
      <c r="L729" s="134"/>
      <c r="M729" s="134"/>
      <c r="N729" s="134"/>
      <c r="O729" s="134"/>
      <c r="P729" s="134"/>
      <c r="Q729" s="134"/>
    </row>
    <row r="730" spans="2:22" ht="12.75" hidden="1" customHeight="1" outlineLevel="1" x14ac:dyDescent="0.2">
      <c r="B730" s="5" t="s">
        <v>363</v>
      </c>
      <c r="C730" s="118" t="s">
        <v>1262</v>
      </c>
      <c r="D730" s="46">
        <v>299633</v>
      </c>
      <c r="E730" s="41"/>
      <c r="F730" s="134" t="s">
        <v>1443</v>
      </c>
      <c r="G730" s="134" t="s">
        <v>1443</v>
      </c>
      <c r="H730" s="134" t="s">
        <v>1443</v>
      </c>
      <c r="I730" s="134" t="s">
        <v>1443</v>
      </c>
      <c r="J730" s="134" t="s">
        <v>1443</v>
      </c>
      <c r="K730" s="134" t="s">
        <v>1443</v>
      </c>
      <c r="L730" s="134" t="s">
        <v>1443</v>
      </c>
      <c r="M730" s="134" t="s">
        <v>1443</v>
      </c>
      <c r="N730" s="134" t="s">
        <v>1443</v>
      </c>
      <c r="O730" s="134" t="s">
        <v>1443</v>
      </c>
      <c r="P730" s="134" t="s">
        <v>1443</v>
      </c>
      <c r="Q730" s="134" t="s">
        <v>1443</v>
      </c>
      <c r="R730" s="109"/>
      <c r="S730" s="109"/>
      <c r="T730" s="109"/>
      <c r="U730" s="109"/>
      <c r="V730" s="109"/>
    </row>
    <row r="731" spans="2:22" ht="12.75" hidden="1" customHeight="1" outlineLevel="1" x14ac:dyDescent="0.2">
      <c r="B731" s="5" t="s">
        <v>362</v>
      </c>
      <c r="C731" s="118" t="s">
        <v>1263</v>
      </c>
      <c r="D731" s="46">
        <v>299634</v>
      </c>
      <c r="E731" s="41"/>
      <c r="F731" s="134" t="s">
        <v>1443</v>
      </c>
      <c r="G731" s="134" t="s">
        <v>1443</v>
      </c>
      <c r="H731" s="134" t="s">
        <v>1443</v>
      </c>
      <c r="I731" s="134" t="s">
        <v>1443</v>
      </c>
      <c r="J731" s="134" t="s">
        <v>1443</v>
      </c>
      <c r="K731" s="134" t="s">
        <v>1443</v>
      </c>
      <c r="L731" s="134" t="s">
        <v>1443</v>
      </c>
      <c r="M731" s="134" t="s">
        <v>1443</v>
      </c>
      <c r="N731" s="134" t="s">
        <v>1443</v>
      </c>
      <c r="O731" s="134" t="s">
        <v>1443</v>
      </c>
      <c r="P731" s="134" t="s">
        <v>1443</v>
      </c>
      <c r="Q731" s="134" t="s">
        <v>1443</v>
      </c>
      <c r="R731" s="109"/>
      <c r="S731" s="109"/>
      <c r="T731" s="109"/>
      <c r="U731" s="109"/>
      <c r="V731" s="109"/>
    </row>
    <row r="732" spans="2:22" ht="12.75" hidden="1" customHeight="1" outlineLevel="1" x14ac:dyDescent="0.2">
      <c r="B732" s="5" t="s">
        <v>361</v>
      </c>
      <c r="C732" s="118" t="s">
        <v>1264</v>
      </c>
      <c r="D732" s="46">
        <v>299635</v>
      </c>
      <c r="E732" s="41"/>
      <c r="F732" s="134" t="s">
        <v>1443</v>
      </c>
      <c r="G732" s="134">
        <v>-13.700000000000001</v>
      </c>
      <c r="H732" s="134" t="s">
        <v>1443</v>
      </c>
      <c r="I732" s="134" t="s">
        <v>1443</v>
      </c>
      <c r="J732" s="134" t="s">
        <v>1443</v>
      </c>
      <c r="K732" s="134">
        <v>-11.3</v>
      </c>
      <c r="L732" s="134" t="s">
        <v>1443</v>
      </c>
      <c r="M732" s="134" t="s">
        <v>1443</v>
      </c>
      <c r="N732" s="134" t="s">
        <v>1443</v>
      </c>
      <c r="O732" s="134">
        <v>-9.2000000000000011</v>
      </c>
      <c r="P732" s="134" t="s">
        <v>1443</v>
      </c>
      <c r="Q732" s="134" t="s">
        <v>1443</v>
      </c>
      <c r="R732" s="109"/>
      <c r="S732" s="109"/>
      <c r="T732" s="109"/>
      <c r="U732" s="109"/>
      <c r="V732" s="109"/>
    </row>
    <row r="733" spans="2:22" ht="12.75" hidden="1" customHeight="1" outlineLevel="1" x14ac:dyDescent="0.2">
      <c r="B733" s="8" t="s">
        <v>360</v>
      </c>
      <c r="C733" s="118" t="s">
        <v>192</v>
      </c>
      <c r="D733" s="46" t="s">
        <v>192</v>
      </c>
      <c r="E733" s="41"/>
      <c r="F733" s="134"/>
      <c r="G733" s="134"/>
      <c r="H733" s="134"/>
      <c r="I733" s="134"/>
      <c r="J733" s="134"/>
      <c r="K733" s="134"/>
      <c r="L733" s="134"/>
      <c r="M733" s="134"/>
      <c r="N733" s="134"/>
      <c r="O733" s="134"/>
      <c r="P733" s="134"/>
      <c r="Q733" s="134"/>
    </row>
    <row r="734" spans="2:22" ht="12.75" hidden="1" customHeight="1" outlineLevel="1" x14ac:dyDescent="0.2">
      <c r="B734" s="5" t="s">
        <v>359</v>
      </c>
      <c r="C734" s="118" t="s">
        <v>1265</v>
      </c>
      <c r="D734" s="46">
        <v>299646</v>
      </c>
      <c r="E734" s="41"/>
      <c r="F734" s="134" t="s">
        <v>1443</v>
      </c>
      <c r="G734" s="134" t="s">
        <v>1443</v>
      </c>
      <c r="H734" s="134" t="s">
        <v>1443</v>
      </c>
      <c r="I734" s="134" t="s">
        <v>1443</v>
      </c>
      <c r="J734" s="134" t="s">
        <v>1443</v>
      </c>
      <c r="K734" s="134" t="s">
        <v>1443</v>
      </c>
      <c r="L734" s="134" t="s">
        <v>1443</v>
      </c>
      <c r="M734" s="134" t="s">
        <v>1443</v>
      </c>
      <c r="N734" s="134" t="s">
        <v>1443</v>
      </c>
      <c r="O734" s="134" t="s">
        <v>1443</v>
      </c>
      <c r="P734" s="134" t="s">
        <v>1443</v>
      </c>
      <c r="Q734" s="134" t="s">
        <v>1443</v>
      </c>
      <c r="R734" s="109"/>
      <c r="S734" s="109"/>
      <c r="T734" s="109"/>
      <c r="U734" s="109"/>
      <c r="V734" s="109"/>
    </row>
    <row r="735" spans="2:22" ht="12.75" hidden="1" customHeight="1" outlineLevel="1" x14ac:dyDescent="0.2">
      <c r="B735" s="5" t="s">
        <v>358</v>
      </c>
      <c r="C735" s="118" t="s">
        <v>1266</v>
      </c>
      <c r="D735" s="46">
        <v>299647</v>
      </c>
      <c r="E735" s="41"/>
      <c r="F735" s="134" t="s">
        <v>1443</v>
      </c>
      <c r="G735" s="134" t="s">
        <v>1443</v>
      </c>
      <c r="H735" s="134" t="s">
        <v>1443</v>
      </c>
      <c r="I735" s="134" t="s">
        <v>1443</v>
      </c>
      <c r="J735" s="134" t="s">
        <v>1443</v>
      </c>
      <c r="K735" s="134" t="s">
        <v>1443</v>
      </c>
      <c r="L735" s="134" t="s">
        <v>1443</v>
      </c>
      <c r="M735" s="134" t="s">
        <v>1443</v>
      </c>
      <c r="N735" s="134" t="s">
        <v>1443</v>
      </c>
      <c r="O735" s="134" t="s">
        <v>1443</v>
      </c>
      <c r="P735" s="134" t="s">
        <v>1443</v>
      </c>
      <c r="Q735" s="134" t="s">
        <v>1443</v>
      </c>
      <c r="R735" s="109"/>
      <c r="S735" s="109"/>
      <c r="T735" s="109"/>
      <c r="U735" s="109"/>
      <c r="V735" s="109"/>
    </row>
    <row r="736" spans="2:22" ht="12.75" hidden="1" customHeight="1" outlineLevel="1" x14ac:dyDescent="0.2">
      <c r="B736" s="5" t="s">
        <v>357</v>
      </c>
      <c r="C736" s="118" t="s">
        <v>1267</v>
      </c>
      <c r="D736" s="46">
        <v>299648</v>
      </c>
      <c r="E736" s="41"/>
      <c r="F736" s="134" t="s">
        <v>1443</v>
      </c>
      <c r="G736" s="134" t="s">
        <v>1443</v>
      </c>
      <c r="H736" s="134" t="s">
        <v>1443</v>
      </c>
      <c r="I736" s="134" t="s">
        <v>1443</v>
      </c>
      <c r="J736" s="134" t="s">
        <v>1443</v>
      </c>
      <c r="K736" s="134" t="s">
        <v>1443</v>
      </c>
      <c r="L736" s="134" t="s">
        <v>1443</v>
      </c>
      <c r="M736" s="134" t="s">
        <v>1443</v>
      </c>
      <c r="N736" s="134" t="s">
        <v>1443</v>
      </c>
      <c r="O736" s="134" t="s">
        <v>1443</v>
      </c>
      <c r="P736" s="134" t="s">
        <v>1443</v>
      </c>
      <c r="Q736" s="134" t="s">
        <v>1443</v>
      </c>
      <c r="R736" s="109"/>
      <c r="S736" s="109"/>
      <c r="T736" s="109"/>
      <c r="U736" s="109"/>
      <c r="V736" s="109"/>
    </row>
    <row r="737" spans="2:22" ht="12.75" hidden="1" customHeight="1" outlineLevel="1" x14ac:dyDescent="0.2">
      <c r="B737" s="5" t="s">
        <v>356</v>
      </c>
      <c r="C737" s="118" t="s">
        <v>1268</v>
      </c>
      <c r="D737" s="46">
        <v>299649</v>
      </c>
      <c r="E737" s="41"/>
      <c r="F737" s="134" t="s">
        <v>1443</v>
      </c>
      <c r="G737" s="134" t="s">
        <v>1443</v>
      </c>
      <c r="H737" s="134" t="s">
        <v>1443</v>
      </c>
      <c r="I737" s="134" t="s">
        <v>1443</v>
      </c>
      <c r="J737" s="134" t="s">
        <v>1443</v>
      </c>
      <c r="K737" s="134" t="s">
        <v>1443</v>
      </c>
      <c r="L737" s="134" t="s">
        <v>1443</v>
      </c>
      <c r="M737" s="134" t="s">
        <v>1443</v>
      </c>
      <c r="N737" s="134" t="s">
        <v>1443</v>
      </c>
      <c r="O737" s="134" t="s">
        <v>1443</v>
      </c>
      <c r="P737" s="134" t="s">
        <v>1443</v>
      </c>
      <c r="Q737" s="134" t="s">
        <v>1443</v>
      </c>
      <c r="R737" s="109"/>
      <c r="S737" s="109"/>
      <c r="T737" s="109"/>
      <c r="U737" s="109"/>
      <c r="V737" s="109"/>
    </row>
    <row r="738" spans="2:22" ht="12.75" hidden="1" customHeight="1" outlineLevel="1" x14ac:dyDescent="0.2">
      <c r="B738" s="8" t="s">
        <v>355</v>
      </c>
      <c r="C738" s="118" t="s">
        <v>192</v>
      </c>
      <c r="D738" s="46" t="s">
        <v>192</v>
      </c>
      <c r="E738" s="41"/>
      <c r="F738" s="21"/>
      <c r="G738" s="21"/>
      <c r="H738" s="21"/>
      <c r="I738" s="21"/>
      <c r="J738" s="21"/>
      <c r="K738" s="21"/>
      <c r="L738" s="21"/>
      <c r="M738" s="21"/>
      <c r="N738" s="21"/>
      <c r="O738" s="21"/>
      <c r="P738" s="21"/>
      <c r="Q738" s="21"/>
    </row>
    <row r="739" spans="2:22" ht="12.75" hidden="1" customHeight="1" outlineLevel="1" x14ac:dyDescent="0.2">
      <c r="B739" s="5" t="s">
        <v>1467</v>
      </c>
      <c r="C739" s="118" t="s">
        <v>905</v>
      </c>
      <c r="D739" s="46">
        <v>299644</v>
      </c>
      <c r="E739" s="41"/>
      <c r="F739" s="140" t="s">
        <v>1443</v>
      </c>
      <c r="G739" s="140" t="s">
        <v>1443</v>
      </c>
      <c r="H739" s="140" t="s">
        <v>1443</v>
      </c>
      <c r="I739" s="140" t="s">
        <v>1443</v>
      </c>
      <c r="J739" s="140" t="s">
        <v>1443</v>
      </c>
      <c r="K739" s="140" t="s">
        <v>1443</v>
      </c>
      <c r="L739" s="140" t="s">
        <v>1443</v>
      </c>
      <c r="M739" s="140" t="s">
        <v>1443</v>
      </c>
      <c r="N739" s="140" t="s">
        <v>1443</v>
      </c>
      <c r="O739" s="140" t="s">
        <v>1443</v>
      </c>
      <c r="P739" s="140" t="s">
        <v>1443</v>
      </c>
      <c r="Q739" s="140" t="s">
        <v>1443</v>
      </c>
      <c r="R739" s="91"/>
      <c r="S739" s="91"/>
      <c r="T739" s="91"/>
      <c r="U739" s="91"/>
      <c r="V739" s="91"/>
    </row>
    <row r="740" spans="2:22" ht="12.75" hidden="1" customHeight="1" outlineLevel="1" x14ac:dyDescent="0.2">
      <c r="B740" s="5" t="s">
        <v>1468</v>
      </c>
      <c r="C740" s="118" t="s">
        <v>906</v>
      </c>
      <c r="D740" s="46">
        <v>299645</v>
      </c>
      <c r="E740" s="41"/>
      <c r="F740" s="140" t="s">
        <v>1443</v>
      </c>
      <c r="G740" s="140" t="s">
        <v>1443</v>
      </c>
      <c r="H740" s="140" t="s">
        <v>1443</v>
      </c>
      <c r="I740" s="140" t="s">
        <v>1443</v>
      </c>
      <c r="J740" s="140" t="s">
        <v>1443</v>
      </c>
      <c r="K740" s="140" t="s">
        <v>1443</v>
      </c>
      <c r="L740" s="140" t="s">
        <v>1443</v>
      </c>
      <c r="M740" s="140" t="s">
        <v>1443</v>
      </c>
      <c r="N740" s="140" t="s">
        <v>1443</v>
      </c>
      <c r="O740" s="140" t="s">
        <v>1443</v>
      </c>
      <c r="P740" s="140" t="s">
        <v>1443</v>
      </c>
      <c r="Q740" s="140" t="s">
        <v>1443</v>
      </c>
      <c r="R740" s="91"/>
      <c r="S740" s="91"/>
      <c r="T740" s="91"/>
      <c r="U740" s="91"/>
      <c r="V740" s="91"/>
    </row>
    <row r="741" spans="2:22" ht="12.75" hidden="1" customHeight="1" outlineLevel="1" x14ac:dyDescent="0.2">
      <c r="B741" s="5" t="s">
        <v>352</v>
      </c>
      <c r="C741" s="118" t="s">
        <v>352</v>
      </c>
      <c r="D741" s="46" t="s">
        <v>1521</v>
      </c>
      <c r="E741" s="41"/>
      <c r="F741" s="50"/>
      <c r="G741" s="50">
        <v>44561</v>
      </c>
      <c r="H741" s="50"/>
      <c r="I741" s="50"/>
      <c r="J741" s="50"/>
      <c r="K741" s="50">
        <v>44926</v>
      </c>
      <c r="L741" s="50"/>
      <c r="M741" s="50"/>
      <c r="N741" s="50"/>
      <c r="O741" s="50"/>
      <c r="P741" s="50"/>
      <c r="Q741" s="50"/>
      <c r="R741" s="22"/>
      <c r="S741" s="50"/>
      <c r="T741" s="50"/>
      <c r="U741" s="50"/>
      <c r="V741" s="50"/>
    </row>
    <row r="742" spans="2:22" ht="12.75" hidden="1" customHeight="1" outlineLevel="1" x14ac:dyDescent="0.2">
      <c r="C742" s="118" t="s">
        <v>192</v>
      </c>
      <c r="D742" s="46" t="s">
        <v>192</v>
      </c>
      <c r="E742" s="41"/>
      <c r="F742" s="21"/>
      <c r="G742" s="21"/>
      <c r="H742" s="21"/>
      <c r="I742" s="21"/>
      <c r="J742" s="21"/>
      <c r="K742" s="21"/>
      <c r="L742" s="21"/>
      <c r="M742" s="21"/>
      <c r="N742" s="21"/>
      <c r="O742" s="21"/>
      <c r="P742" s="21"/>
      <c r="Q742" s="21"/>
    </row>
    <row r="743" spans="2:22" ht="12.75" hidden="1" customHeight="1" outlineLevel="1" x14ac:dyDescent="0.2">
      <c r="B743" s="8" t="s">
        <v>443</v>
      </c>
      <c r="C743" s="118" t="s">
        <v>192</v>
      </c>
      <c r="D743" s="46" t="s">
        <v>192</v>
      </c>
      <c r="E743" s="41"/>
      <c r="F743" s="21"/>
      <c r="G743" s="21"/>
      <c r="H743" s="21"/>
      <c r="I743" s="21"/>
      <c r="J743" s="21"/>
      <c r="K743" s="21"/>
      <c r="L743" s="21"/>
      <c r="M743" s="21"/>
      <c r="N743" s="21"/>
      <c r="O743" s="21"/>
      <c r="P743" s="21"/>
      <c r="Q743" s="21"/>
    </row>
    <row r="744" spans="2:22" ht="12.75" hidden="1" customHeight="1" outlineLevel="1" x14ac:dyDescent="0.2">
      <c r="B744" s="8" t="s">
        <v>432</v>
      </c>
      <c r="C744" s="118" t="s">
        <v>192</v>
      </c>
      <c r="D744" s="46" t="s">
        <v>192</v>
      </c>
      <c r="E744" s="41"/>
      <c r="F744" s="21"/>
      <c r="G744" s="21"/>
      <c r="H744" s="21"/>
      <c r="I744" s="21"/>
      <c r="J744" s="21"/>
      <c r="K744" s="21"/>
      <c r="L744" s="21"/>
      <c r="M744" s="21"/>
      <c r="N744" s="21"/>
      <c r="O744" s="21"/>
      <c r="P744" s="21"/>
      <c r="Q744" s="21"/>
    </row>
    <row r="745" spans="2:22" ht="12.75" hidden="1" customHeight="1" outlineLevel="1" x14ac:dyDescent="0.2">
      <c r="B745" s="5" t="s">
        <v>424</v>
      </c>
      <c r="C745" s="118" t="s">
        <v>1269</v>
      </c>
      <c r="D745" s="46">
        <v>299412</v>
      </c>
      <c r="E745" s="41"/>
      <c r="F745" s="134" t="s">
        <v>1443</v>
      </c>
      <c r="G745" s="134" t="s">
        <v>1443</v>
      </c>
      <c r="H745" s="134" t="s">
        <v>1443</v>
      </c>
      <c r="I745" s="134" t="s">
        <v>1443</v>
      </c>
      <c r="J745" s="134" t="s">
        <v>1443</v>
      </c>
      <c r="K745" s="134" t="s">
        <v>1443</v>
      </c>
      <c r="L745" s="134" t="s">
        <v>1443</v>
      </c>
      <c r="M745" s="134" t="s">
        <v>1443</v>
      </c>
      <c r="N745" s="134" t="s">
        <v>1443</v>
      </c>
      <c r="O745" s="134" t="s">
        <v>1443</v>
      </c>
      <c r="P745" s="134" t="s">
        <v>1443</v>
      </c>
      <c r="Q745" s="134" t="s">
        <v>1443</v>
      </c>
      <c r="R745" s="109"/>
      <c r="S745" s="109"/>
      <c r="T745" s="109"/>
      <c r="U745" s="109"/>
      <c r="V745" s="109"/>
    </row>
    <row r="746" spans="2:22" ht="12.75" hidden="1" customHeight="1" outlineLevel="1" x14ac:dyDescent="0.2">
      <c r="B746" s="5" t="s">
        <v>423</v>
      </c>
      <c r="C746" s="118" t="s">
        <v>1270</v>
      </c>
      <c r="D746" s="46">
        <v>299413</v>
      </c>
      <c r="E746" s="41"/>
      <c r="F746" s="134" t="s">
        <v>1443</v>
      </c>
      <c r="G746" s="134" t="s">
        <v>1443</v>
      </c>
      <c r="H746" s="134" t="s">
        <v>1443</v>
      </c>
      <c r="I746" s="134" t="s">
        <v>1443</v>
      </c>
      <c r="J746" s="134" t="s">
        <v>1443</v>
      </c>
      <c r="K746" s="134" t="s">
        <v>1443</v>
      </c>
      <c r="L746" s="134" t="s">
        <v>1443</v>
      </c>
      <c r="M746" s="134" t="s">
        <v>1443</v>
      </c>
      <c r="N746" s="134" t="s">
        <v>1443</v>
      </c>
      <c r="O746" s="134" t="s">
        <v>1443</v>
      </c>
      <c r="P746" s="134" t="s">
        <v>1443</v>
      </c>
      <c r="Q746" s="134" t="s">
        <v>1443</v>
      </c>
      <c r="R746" s="109"/>
      <c r="S746" s="109"/>
      <c r="T746" s="109"/>
      <c r="U746" s="109"/>
      <c r="V746" s="109"/>
    </row>
    <row r="747" spans="2:22" ht="12.75" hidden="1" customHeight="1" outlineLevel="1" x14ac:dyDescent="0.2">
      <c r="B747" s="5" t="s">
        <v>442</v>
      </c>
      <c r="C747" s="118" t="s">
        <v>1271</v>
      </c>
      <c r="D747" s="46">
        <v>299414</v>
      </c>
      <c r="E747" s="41"/>
      <c r="F747" s="134" t="s">
        <v>1443</v>
      </c>
      <c r="G747" s="134" t="s">
        <v>1443</v>
      </c>
      <c r="H747" s="134" t="s">
        <v>1443</v>
      </c>
      <c r="I747" s="134" t="s">
        <v>1443</v>
      </c>
      <c r="J747" s="134" t="s">
        <v>1443</v>
      </c>
      <c r="K747" s="134" t="s">
        <v>1443</v>
      </c>
      <c r="L747" s="134" t="s">
        <v>1443</v>
      </c>
      <c r="M747" s="134" t="s">
        <v>1443</v>
      </c>
      <c r="N747" s="134" t="s">
        <v>1443</v>
      </c>
      <c r="O747" s="134" t="s">
        <v>1443</v>
      </c>
      <c r="P747" s="134" t="s">
        <v>1443</v>
      </c>
      <c r="Q747" s="134" t="s">
        <v>1443</v>
      </c>
      <c r="R747" s="109"/>
      <c r="S747" s="109"/>
      <c r="T747" s="109"/>
      <c r="U747" s="109"/>
      <c r="V747" s="109"/>
    </row>
    <row r="748" spans="2:22" ht="12.75" hidden="1" customHeight="1" outlineLevel="1" x14ac:dyDescent="0.2">
      <c r="B748" s="5" t="s">
        <v>430</v>
      </c>
      <c r="C748" s="118" t="s">
        <v>1272</v>
      </c>
      <c r="D748" s="46">
        <v>299416</v>
      </c>
      <c r="E748" s="41"/>
      <c r="F748" s="134" t="s">
        <v>1443</v>
      </c>
      <c r="G748" s="134" t="s">
        <v>1443</v>
      </c>
      <c r="H748" s="134" t="s">
        <v>1443</v>
      </c>
      <c r="I748" s="134" t="s">
        <v>1443</v>
      </c>
      <c r="J748" s="134" t="s">
        <v>1443</v>
      </c>
      <c r="K748" s="134" t="s">
        <v>1443</v>
      </c>
      <c r="L748" s="134" t="s">
        <v>1443</v>
      </c>
      <c r="M748" s="134" t="s">
        <v>1443</v>
      </c>
      <c r="N748" s="134" t="s">
        <v>1443</v>
      </c>
      <c r="O748" s="134" t="s">
        <v>1443</v>
      </c>
      <c r="P748" s="134" t="s">
        <v>1443</v>
      </c>
      <c r="Q748" s="134" t="s">
        <v>1443</v>
      </c>
      <c r="R748" s="109"/>
      <c r="S748" s="109"/>
      <c r="T748" s="109"/>
      <c r="U748" s="109"/>
      <c r="V748" s="109"/>
    </row>
    <row r="749" spans="2:22" ht="12.75" hidden="1" customHeight="1" outlineLevel="1" x14ac:dyDescent="0.2">
      <c r="B749" s="5" t="s">
        <v>441</v>
      </c>
      <c r="C749" s="118" t="s">
        <v>1273</v>
      </c>
      <c r="D749" s="46">
        <v>299417</v>
      </c>
      <c r="E749" s="41"/>
      <c r="F749" s="134" t="s">
        <v>1443</v>
      </c>
      <c r="G749" s="134" t="s">
        <v>1443</v>
      </c>
      <c r="H749" s="134" t="s">
        <v>1443</v>
      </c>
      <c r="I749" s="134" t="s">
        <v>1443</v>
      </c>
      <c r="J749" s="134" t="s">
        <v>1443</v>
      </c>
      <c r="K749" s="134" t="s">
        <v>1443</v>
      </c>
      <c r="L749" s="134" t="s">
        <v>1443</v>
      </c>
      <c r="M749" s="134" t="s">
        <v>1443</v>
      </c>
      <c r="N749" s="134" t="s">
        <v>1443</v>
      </c>
      <c r="O749" s="134" t="s">
        <v>1443</v>
      </c>
      <c r="P749" s="134" t="s">
        <v>1443</v>
      </c>
      <c r="Q749" s="134" t="s">
        <v>1443</v>
      </c>
      <c r="R749" s="109"/>
      <c r="S749" s="109"/>
      <c r="T749" s="109"/>
      <c r="U749" s="109"/>
      <c r="V749" s="109"/>
    </row>
    <row r="750" spans="2:22" ht="12.75" hidden="1" customHeight="1" outlineLevel="1" x14ac:dyDescent="0.2">
      <c r="B750" s="5" t="s">
        <v>428</v>
      </c>
      <c r="C750" s="118" t="s">
        <v>1274</v>
      </c>
      <c r="D750" s="46">
        <v>299418</v>
      </c>
      <c r="E750" s="41"/>
      <c r="F750" s="134" t="s">
        <v>1443</v>
      </c>
      <c r="G750" s="134" t="s">
        <v>1443</v>
      </c>
      <c r="H750" s="134" t="s">
        <v>1443</v>
      </c>
      <c r="I750" s="134" t="s">
        <v>1443</v>
      </c>
      <c r="J750" s="134" t="s">
        <v>1443</v>
      </c>
      <c r="K750" s="134" t="s">
        <v>1443</v>
      </c>
      <c r="L750" s="134" t="s">
        <v>1443</v>
      </c>
      <c r="M750" s="134" t="s">
        <v>1443</v>
      </c>
      <c r="N750" s="134" t="s">
        <v>1443</v>
      </c>
      <c r="O750" s="134" t="s">
        <v>1443</v>
      </c>
      <c r="P750" s="134" t="s">
        <v>1443</v>
      </c>
      <c r="Q750" s="134" t="s">
        <v>1443</v>
      </c>
      <c r="R750" s="109"/>
      <c r="S750" s="109"/>
      <c r="T750" s="109"/>
      <c r="U750" s="109"/>
      <c r="V750" s="109"/>
    </row>
    <row r="751" spans="2:22" ht="12.75" hidden="1" customHeight="1" outlineLevel="1" x14ac:dyDescent="0.2">
      <c r="B751" s="5" t="s">
        <v>427</v>
      </c>
      <c r="C751" s="118" t="s">
        <v>1275</v>
      </c>
      <c r="D751" s="46">
        <v>299419</v>
      </c>
      <c r="E751" s="41"/>
      <c r="F751" s="134" t="s">
        <v>1443</v>
      </c>
      <c r="G751" s="134" t="s">
        <v>1443</v>
      </c>
      <c r="H751" s="134" t="s">
        <v>1443</v>
      </c>
      <c r="I751" s="134" t="s">
        <v>1443</v>
      </c>
      <c r="J751" s="134" t="s">
        <v>1443</v>
      </c>
      <c r="K751" s="134" t="s">
        <v>1443</v>
      </c>
      <c r="L751" s="134" t="s">
        <v>1443</v>
      </c>
      <c r="M751" s="134" t="s">
        <v>1443</v>
      </c>
      <c r="N751" s="134" t="s">
        <v>1443</v>
      </c>
      <c r="O751" s="134" t="s">
        <v>1443</v>
      </c>
      <c r="P751" s="134" t="s">
        <v>1443</v>
      </c>
      <c r="Q751" s="134" t="s">
        <v>1443</v>
      </c>
      <c r="R751" s="109"/>
      <c r="S751" s="109"/>
      <c r="T751" s="109"/>
      <c r="U751" s="109"/>
      <c r="V751" s="109"/>
    </row>
    <row r="752" spans="2:22" ht="12.75" hidden="1" customHeight="1" outlineLevel="1" x14ac:dyDescent="0.2">
      <c r="B752" s="8" t="s">
        <v>426</v>
      </c>
      <c r="C752" s="118" t="s">
        <v>192</v>
      </c>
      <c r="D752" s="46" t="s">
        <v>192</v>
      </c>
      <c r="E752" s="41"/>
      <c r="F752" s="134"/>
      <c r="G752" s="134"/>
      <c r="H752" s="134"/>
      <c r="I752" s="134"/>
      <c r="J752" s="134"/>
      <c r="K752" s="134"/>
      <c r="L752" s="134"/>
      <c r="M752" s="134"/>
      <c r="N752" s="134"/>
      <c r="O752" s="134"/>
      <c r="P752" s="134"/>
      <c r="Q752" s="134"/>
    </row>
    <row r="753" spans="2:22" ht="12.75" hidden="1" customHeight="1" outlineLevel="1" x14ac:dyDescent="0.2">
      <c r="B753" s="5" t="s">
        <v>425</v>
      </c>
      <c r="C753" s="118" t="s">
        <v>1276</v>
      </c>
      <c r="D753" s="46">
        <v>299430</v>
      </c>
      <c r="E753" s="41"/>
      <c r="F753" s="134" t="s">
        <v>1443</v>
      </c>
      <c r="G753" s="134" t="s">
        <v>1443</v>
      </c>
      <c r="H753" s="134" t="s">
        <v>1443</v>
      </c>
      <c r="I753" s="134" t="s">
        <v>1443</v>
      </c>
      <c r="J753" s="134" t="s">
        <v>1443</v>
      </c>
      <c r="K753" s="134" t="s">
        <v>1443</v>
      </c>
      <c r="L753" s="134" t="s">
        <v>1443</v>
      </c>
      <c r="M753" s="134" t="s">
        <v>1443</v>
      </c>
      <c r="N753" s="134" t="s">
        <v>1443</v>
      </c>
      <c r="O753" s="134" t="s">
        <v>1443</v>
      </c>
      <c r="P753" s="134" t="s">
        <v>1443</v>
      </c>
      <c r="Q753" s="134" t="s">
        <v>1443</v>
      </c>
      <c r="R753" s="109"/>
      <c r="S753" s="109"/>
      <c r="T753" s="109"/>
      <c r="U753" s="109"/>
      <c r="V753" s="109"/>
    </row>
    <row r="754" spans="2:22" ht="12.75" hidden="1" customHeight="1" outlineLevel="1" x14ac:dyDescent="0.2">
      <c r="B754" s="5" t="s">
        <v>424</v>
      </c>
      <c r="C754" s="118" t="s">
        <v>1269</v>
      </c>
      <c r="D754" s="46">
        <v>299431</v>
      </c>
      <c r="E754" s="41"/>
      <c r="F754" s="134" t="s">
        <v>1443</v>
      </c>
      <c r="G754" s="134" t="s">
        <v>1443</v>
      </c>
      <c r="H754" s="134" t="s">
        <v>1443</v>
      </c>
      <c r="I754" s="134" t="s">
        <v>1443</v>
      </c>
      <c r="J754" s="134" t="s">
        <v>1443</v>
      </c>
      <c r="K754" s="134" t="s">
        <v>1443</v>
      </c>
      <c r="L754" s="134" t="s">
        <v>1443</v>
      </c>
      <c r="M754" s="134" t="s">
        <v>1443</v>
      </c>
      <c r="N754" s="134" t="s">
        <v>1443</v>
      </c>
      <c r="O754" s="134" t="s">
        <v>1443</v>
      </c>
      <c r="P754" s="134" t="s">
        <v>1443</v>
      </c>
      <c r="Q754" s="134" t="s">
        <v>1443</v>
      </c>
      <c r="R754" s="109"/>
      <c r="S754" s="109"/>
      <c r="T754" s="109"/>
      <c r="U754" s="109"/>
      <c r="V754" s="109"/>
    </row>
    <row r="755" spans="2:22" ht="12.75" hidden="1" customHeight="1" outlineLevel="1" x14ac:dyDescent="0.2">
      <c r="B755" s="5" t="s">
        <v>423</v>
      </c>
      <c r="C755" s="118" t="s">
        <v>1270</v>
      </c>
      <c r="D755" s="46">
        <v>299432</v>
      </c>
      <c r="E755" s="41"/>
      <c r="F755" s="134" t="s">
        <v>1443</v>
      </c>
      <c r="G755" s="134" t="s">
        <v>1443</v>
      </c>
      <c r="H755" s="134" t="s">
        <v>1443</v>
      </c>
      <c r="I755" s="134" t="s">
        <v>1443</v>
      </c>
      <c r="J755" s="134" t="s">
        <v>1443</v>
      </c>
      <c r="K755" s="134" t="s">
        <v>1443</v>
      </c>
      <c r="L755" s="134" t="s">
        <v>1443</v>
      </c>
      <c r="M755" s="134" t="s">
        <v>1443</v>
      </c>
      <c r="N755" s="134" t="s">
        <v>1443</v>
      </c>
      <c r="O755" s="134" t="s">
        <v>1443</v>
      </c>
      <c r="P755" s="134" t="s">
        <v>1443</v>
      </c>
      <c r="Q755" s="134" t="s">
        <v>1443</v>
      </c>
      <c r="R755" s="109"/>
      <c r="S755" s="109"/>
      <c r="T755" s="109"/>
      <c r="U755" s="109"/>
      <c r="V755" s="109"/>
    </row>
    <row r="756" spans="2:22" ht="12.75" hidden="1" customHeight="1" outlineLevel="1" x14ac:dyDescent="0.2">
      <c r="B756" s="5" t="s">
        <v>422</v>
      </c>
      <c r="C756" s="118" t="s">
        <v>1277</v>
      </c>
      <c r="D756" s="46">
        <v>299433</v>
      </c>
      <c r="E756" s="41"/>
      <c r="F756" s="134" t="s">
        <v>1443</v>
      </c>
      <c r="G756" s="134" t="s">
        <v>1443</v>
      </c>
      <c r="H756" s="134" t="s">
        <v>1443</v>
      </c>
      <c r="I756" s="134" t="s">
        <v>1443</v>
      </c>
      <c r="J756" s="134" t="s">
        <v>1443</v>
      </c>
      <c r="K756" s="134" t="s">
        <v>1443</v>
      </c>
      <c r="L756" s="134" t="s">
        <v>1443</v>
      </c>
      <c r="M756" s="134" t="s">
        <v>1443</v>
      </c>
      <c r="N756" s="134" t="s">
        <v>1443</v>
      </c>
      <c r="O756" s="134" t="s">
        <v>1443</v>
      </c>
      <c r="P756" s="134" t="s">
        <v>1443</v>
      </c>
      <c r="Q756" s="134" t="s">
        <v>1443</v>
      </c>
      <c r="R756" s="109"/>
      <c r="S756" s="109"/>
      <c r="T756" s="109"/>
      <c r="U756" s="109"/>
      <c r="V756" s="109"/>
    </row>
    <row r="757" spans="2:22" ht="12.75" hidden="1" customHeight="1" outlineLevel="1" x14ac:dyDescent="0.2">
      <c r="B757" s="5" t="s">
        <v>421</v>
      </c>
      <c r="C757" s="118" t="s">
        <v>1278</v>
      </c>
      <c r="D757" s="46">
        <v>299434</v>
      </c>
      <c r="E757" s="41"/>
      <c r="F757" s="134" t="s">
        <v>1443</v>
      </c>
      <c r="G757" s="134" t="s">
        <v>1443</v>
      </c>
      <c r="H757" s="134" t="s">
        <v>1443</v>
      </c>
      <c r="I757" s="134" t="s">
        <v>1443</v>
      </c>
      <c r="J757" s="134" t="s">
        <v>1443</v>
      </c>
      <c r="K757" s="134" t="s">
        <v>1443</v>
      </c>
      <c r="L757" s="134" t="s">
        <v>1443</v>
      </c>
      <c r="M757" s="134" t="s">
        <v>1443</v>
      </c>
      <c r="N757" s="134" t="s">
        <v>1443</v>
      </c>
      <c r="O757" s="134" t="s">
        <v>1443</v>
      </c>
      <c r="P757" s="134" t="s">
        <v>1443</v>
      </c>
      <c r="Q757" s="134" t="s">
        <v>1443</v>
      </c>
      <c r="R757" s="109"/>
      <c r="S757" s="109"/>
      <c r="T757" s="109"/>
      <c r="U757" s="109"/>
      <c r="V757" s="109"/>
    </row>
    <row r="758" spans="2:22" ht="12.75" hidden="1" customHeight="1" outlineLevel="1" x14ac:dyDescent="0.2">
      <c r="B758" s="5" t="s">
        <v>420</v>
      </c>
      <c r="C758" s="118" t="s">
        <v>1279</v>
      </c>
      <c r="D758" s="46">
        <v>299435</v>
      </c>
      <c r="E758" s="41"/>
      <c r="F758" s="134" t="s">
        <v>1443</v>
      </c>
      <c r="G758" s="134" t="s">
        <v>1443</v>
      </c>
      <c r="H758" s="134" t="s">
        <v>1443</v>
      </c>
      <c r="I758" s="134" t="s">
        <v>1443</v>
      </c>
      <c r="J758" s="134" t="s">
        <v>1443</v>
      </c>
      <c r="K758" s="134" t="s">
        <v>1443</v>
      </c>
      <c r="L758" s="134" t="s">
        <v>1443</v>
      </c>
      <c r="M758" s="134" t="s">
        <v>1443</v>
      </c>
      <c r="N758" s="134" t="s">
        <v>1443</v>
      </c>
      <c r="O758" s="134" t="s">
        <v>1443</v>
      </c>
      <c r="P758" s="134" t="s">
        <v>1443</v>
      </c>
      <c r="Q758" s="134" t="s">
        <v>1443</v>
      </c>
      <c r="R758" s="109"/>
      <c r="S758" s="109"/>
      <c r="T758" s="109"/>
      <c r="U758" s="109"/>
      <c r="V758" s="109"/>
    </row>
    <row r="759" spans="2:22" ht="12.75" hidden="1" customHeight="1" outlineLevel="1" x14ac:dyDescent="0.2">
      <c r="B759" s="5" t="s">
        <v>419</v>
      </c>
      <c r="C759" s="118" t="s">
        <v>1280</v>
      </c>
      <c r="D759" s="46">
        <v>299436</v>
      </c>
      <c r="E759" s="41"/>
      <c r="F759" s="134" t="s">
        <v>1443</v>
      </c>
      <c r="G759" s="134" t="s">
        <v>1443</v>
      </c>
      <c r="H759" s="134" t="s">
        <v>1443</v>
      </c>
      <c r="I759" s="134" t="s">
        <v>1443</v>
      </c>
      <c r="J759" s="134" t="s">
        <v>1443</v>
      </c>
      <c r="K759" s="134" t="s">
        <v>1443</v>
      </c>
      <c r="L759" s="134" t="s">
        <v>1443</v>
      </c>
      <c r="M759" s="134" t="s">
        <v>1443</v>
      </c>
      <c r="N759" s="134" t="s">
        <v>1443</v>
      </c>
      <c r="O759" s="134" t="s">
        <v>1443</v>
      </c>
      <c r="P759" s="134" t="s">
        <v>1443</v>
      </c>
      <c r="Q759" s="134" t="s">
        <v>1443</v>
      </c>
      <c r="R759" s="109"/>
      <c r="S759" s="109"/>
      <c r="T759" s="109"/>
      <c r="U759" s="109"/>
      <c r="V759" s="109"/>
    </row>
    <row r="760" spans="2:22" ht="12.75" hidden="1" customHeight="1" outlineLevel="1" x14ac:dyDescent="0.2">
      <c r="B760" s="5" t="s">
        <v>418</v>
      </c>
      <c r="C760" s="118" t="s">
        <v>1281</v>
      </c>
      <c r="D760" s="46">
        <v>299437</v>
      </c>
      <c r="E760" s="41"/>
      <c r="F760" s="134" t="s">
        <v>1443</v>
      </c>
      <c r="G760" s="134" t="s">
        <v>1443</v>
      </c>
      <c r="H760" s="134" t="s">
        <v>1443</v>
      </c>
      <c r="I760" s="134" t="s">
        <v>1443</v>
      </c>
      <c r="J760" s="134" t="s">
        <v>1443</v>
      </c>
      <c r="K760" s="134" t="s">
        <v>1443</v>
      </c>
      <c r="L760" s="134" t="s">
        <v>1443</v>
      </c>
      <c r="M760" s="134" t="s">
        <v>1443</v>
      </c>
      <c r="N760" s="134" t="s">
        <v>1443</v>
      </c>
      <c r="O760" s="134" t="s">
        <v>1443</v>
      </c>
      <c r="P760" s="134" t="s">
        <v>1443</v>
      </c>
      <c r="Q760" s="134" t="s">
        <v>1443</v>
      </c>
      <c r="R760" s="109"/>
      <c r="S760" s="109"/>
      <c r="T760" s="109"/>
      <c r="U760" s="109"/>
      <c r="V760" s="109"/>
    </row>
    <row r="761" spans="2:22" ht="12.75" hidden="1" customHeight="1" outlineLevel="1" x14ac:dyDescent="0.2">
      <c r="B761" s="5" t="s">
        <v>417</v>
      </c>
      <c r="C761" s="118" t="s">
        <v>1282</v>
      </c>
      <c r="D761" s="46">
        <v>299438</v>
      </c>
      <c r="E761" s="41"/>
      <c r="F761" s="134" t="s">
        <v>1443</v>
      </c>
      <c r="G761" s="134" t="s">
        <v>1443</v>
      </c>
      <c r="H761" s="134" t="s">
        <v>1443</v>
      </c>
      <c r="I761" s="134" t="s">
        <v>1443</v>
      </c>
      <c r="J761" s="134" t="s">
        <v>1443</v>
      </c>
      <c r="K761" s="134" t="s">
        <v>1443</v>
      </c>
      <c r="L761" s="134" t="s">
        <v>1443</v>
      </c>
      <c r="M761" s="134" t="s">
        <v>1443</v>
      </c>
      <c r="N761" s="134" t="s">
        <v>1443</v>
      </c>
      <c r="O761" s="134" t="s">
        <v>1443</v>
      </c>
      <c r="P761" s="134" t="s">
        <v>1443</v>
      </c>
      <c r="Q761" s="134" t="s">
        <v>1443</v>
      </c>
      <c r="R761" s="109"/>
      <c r="S761" s="109"/>
      <c r="T761" s="109"/>
      <c r="U761" s="109"/>
      <c r="V761" s="109"/>
    </row>
    <row r="762" spans="2:22" ht="12.75" hidden="1" customHeight="1" outlineLevel="1" x14ac:dyDescent="0.2">
      <c r="B762" s="5" t="s">
        <v>416</v>
      </c>
      <c r="C762" s="118" t="s">
        <v>1283</v>
      </c>
      <c r="D762" s="46">
        <v>299439</v>
      </c>
      <c r="E762" s="41"/>
      <c r="F762" s="134" t="s">
        <v>1443</v>
      </c>
      <c r="G762" s="134" t="s">
        <v>1443</v>
      </c>
      <c r="H762" s="134" t="s">
        <v>1443</v>
      </c>
      <c r="I762" s="134" t="s">
        <v>1443</v>
      </c>
      <c r="J762" s="134" t="s">
        <v>1443</v>
      </c>
      <c r="K762" s="134" t="s">
        <v>1443</v>
      </c>
      <c r="L762" s="134" t="s">
        <v>1443</v>
      </c>
      <c r="M762" s="134" t="s">
        <v>1443</v>
      </c>
      <c r="N762" s="134" t="s">
        <v>1443</v>
      </c>
      <c r="O762" s="134" t="s">
        <v>1443</v>
      </c>
      <c r="P762" s="134" t="s">
        <v>1443</v>
      </c>
      <c r="Q762" s="134" t="s">
        <v>1443</v>
      </c>
      <c r="R762" s="109"/>
      <c r="S762" s="109"/>
      <c r="T762" s="109"/>
      <c r="U762" s="109"/>
      <c r="V762" s="109"/>
    </row>
    <row r="763" spans="2:22" ht="12.75" hidden="1" customHeight="1" outlineLevel="1" x14ac:dyDescent="0.2">
      <c r="B763" s="5" t="s">
        <v>440</v>
      </c>
      <c r="C763" s="118" t="s">
        <v>1284</v>
      </c>
      <c r="D763" s="46">
        <v>299440</v>
      </c>
      <c r="E763" s="41"/>
      <c r="F763" s="134" t="s">
        <v>1443</v>
      </c>
      <c r="G763" s="134" t="s">
        <v>1443</v>
      </c>
      <c r="H763" s="134" t="s">
        <v>1443</v>
      </c>
      <c r="I763" s="134" t="s">
        <v>1443</v>
      </c>
      <c r="J763" s="134" t="s">
        <v>1443</v>
      </c>
      <c r="K763" s="134" t="s">
        <v>1443</v>
      </c>
      <c r="L763" s="134" t="s">
        <v>1443</v>
      </c>
      <c r="M763" s="134" t="s">
        <v>1443</v>
      </c>
      <c r="N763" s="134" t="s">
        <v>1443</v>
      </c>
      <c r="O763" s="134" t="s">
        <v>1443</v>
      </c>
      <c r="P763" s="134" t="s">
        <v>1443</v>
      </c>
      <c r="Q763" s="134" t="s">
        <v>1443</v>
      </c>
      <c r="R763" s="109"/>
      <c r="S763" s="109"/>
      <c r="T763" s="109"/>
      <c r="U763" s="109"/>
      <c r="V763" s="109"/>
    </row>
    <row r="764" spans="2:22" ht="12.75" hidden="1" customHeight="1" outlineLevel="1" x14ac:dyDescent="0.2">
      <c r="B764" s="5" t="s">
        <v>439</v>
      </c>
      <c r="C764" s="118" t="s">
        <v>1285</v>
      </c>
      <c r="D764" s="46">
        <v>299441</v>
      </c>
      <c r="E764" s="41"/>
      <c r="F764" s="134" t="s">
        <v>1443</v>
      </c>
      <c r="G764" s="134" t="s">
        <v>1443</v>
      </c>
      <c r="H764" s="134" t="s">
        <v>1443</v>
      </c>
      <c r="I764" s="134" t="s">
        <v>1443</v>
      </c>
      <c r="J764" s="134" t="s">
        <v>1443</v>
      </c>
      <c r="K764" s="134" t="s">
        <v>1443</v>
      </c>
      <c r="L764" s="134" t="s">
        <v>1443</v>
      </c>
      <c r="M764" s="134" t="s">
        <v>1443</v>
      </c>
      <c r="N764" s="134" t="s">
        <v>1443</v>
      </c>
      <c r="O764" s="134" t="s">
        <v>1443</v>
      </c>
      <c r="P764" s="134" t="s">
        <v>1443</v>
      </c>
      <c r="Q764" s="134" t="s">
        <v>1443</v>
      </c>
      <c r="R764" s="109"/>
      <c r="S764" s="109"/>
      <c r="T764" s="109"/>
      <c r="U764" s="109"/>
      <c r="V764" s="109"/>
    </row>
    <row r="765" spans="2:22" ht="12.75" hidden="1" customHeight="1" outlineLevel="1" x14ac:dyDescent="0.2">
      <c r="B765" s="8" t="s">
        <v>413</v>
      </c>
      <c r="C765" s="118" t="s">
        <v>192</v>
      </c>
      <c r="D765" s="46" t="s">
        <v>192</v>
      </c>
      <c r="E765" s="41"/>
      <c r="F765" s="134"/>
      <c r="G765" s="134"/>
      <c r="H765" s="134"/>
      <c r="I765" s="134"/>
      <c r="J765" s="134"/>
      <c r="K765" s="134"/>
      <c r="L765" s="134"/>
      <c r="M765" s="134"/>
      <c r="N765" s="134"/>
      <c r="O765" s="134"/>
      <c r="P765" s="134"/>
      <c r="Q765" s="134"/>
    </row>
    <row r="766" spans="2:22" ht="12.75" hidden="1" customHeight="1" outlineLevel="1" x14ac:dyDescent="0.2">
      <c r="B766" s="5" t="s">
        <v>412</v>
      </c>
      <c r="C766" s="118" t="s">
        <v>1286</v>
      </c>
      <c r="D766" s="46">
        <v>299446</v>
      </c>
      <c r="E766" s="41"/>
      <c r="F766" s="134" t="s">
        <v>1443</v>
      </c>
      <c r="G766" s="134" t="s">
        <v>1443</v>
      </c>
      <c r="H766" s="134" t="s">
        <v>1443</v>
      </c>
      <c r="I766" s="134" t="s">
        <v>1443</v>
      </c>
      <c r="J766" s="134" t="s">
        <v>1443</v>
      </c>
      <c r="K766" s="134" t="s">
        <v>1443</v>
      </c>
      <c r="L766" s="134" t="s">
        <v>1443</v>
      </c>
      <c r="M766" s="134" t="s">
        <v>1443</v>
      </c>
      <c r="N766" s="134" t="s">
        <v>1443</v>
      </c>
      <c r="O766" s="134" t="s">
        <v>1443</v>
      </c>
      <c r="P766" s="134" t="s">
        <v>1443</v>
      </c>
      <c r="Q766" s="134" t="s">
        <v>1443</v>
      </c>
      <c r="R766" s="109"/>
      <c r="S766" s="109"/>
      <c r="T766" s="109"/>
      <c r="U766" s="109"/>
      <c r="V766" s="109"/>
    </row>
    <row r="767" spans="2:22" ht="12.75" hidden="1" customHeight="1" outlineLevel="1" x14ac:dyDescent="0.2">
      <c r="B767" s="5" t="s">
        <v>411</v>
      </c>
      <c r="C767" s="118" t="s">
        <v>1287</v>
      </c>
      <c r="D767" s="46">
        <v>299447</v>
      </c>
      <c r="E767" s="41"/>
      <c r="F767" s="134" t="s">
        <v>1443</v>
      </c>
      <c r="G767" s="134" t="s">
        <v>1443</v>
      </c>
      <c r="H767" s="134" t="s">
        <v>1443</v>
      </c>
      <c r="I767" s="134" t="s">
        <v>1443</v>
      </c>
      <c r="J767" s="134" t="s">
        <v>1443</v>
      </c>
      <c r="K767" s="134" t="s">
        <v>1443</v>
      </c>
      <c r="L767" s="134" t="s">
        <v>1443</v>
      </c>
      <c r="M767" s="134" t="s">
        <v>1443</v>
      </c>
      <c r="N767" s="134" t="s">
        <v>1443</v>
      </c>
      <c r="O767" s="134" t="s">
        <v>1443</v>
      </c>
      <c r="P767" s="134" t="s">
        <v>1443</v>
      </c>
      <c r="Q767" s="134" t="s">
        <v>1443</v>
      </c>
      <c r="R767" s="109"/>
      <c r="S767" s="109"/>
      <c r="T767" s="109"/>
      <c r="U767" s="109"/>
      <c r="V767" s="109"/>
    </row>
    <row r="768" spans="2:22" ht="12.75" hidden="1" customHeight="1" outlineLevel="1" x14ac:dyDescent="0.2">
      <c r="B768" s="5" t="s">
        <v>410</v>
      </c>
      <c r="C768" s="118" t="s">
        <v>1288</v>
      </c>
      <c r="D768" s="46">
        <v>299448</v>
      </c>
      <c r="E768" s="41"/>
      <c r="F768" s="134" t="s">
        <v>1443</v>
      </c>
      <c r="G768" s="134" t="s">
        <v>1443</v>
      </c>
      <c r="H768" s="134" t="s">
        <v>1443</v>
      </c>
      <c r="I768" s="134" t="s">
        <v>1443</v>
      </c>
      <c r="J768" s="134" t="s">
        <v>1443</v>
      </c>
      <c r="K768" s="134" t="s">
        <v>1443</v>
      </c>
      <c r="L768" s="134" t="s">
        <v>1443</v>
      </c>
      <c r="M768" s="134" t="s">
        <v>1443</v>
      </c>
      <c r="N768" s="134" t="s">
        <v>1443</v>
      </c>
      <c r="O768" s="134" t="s">
        <v>1443</v>
      </c>
      <c r="P768" s="134" t="s">
        <v>1443</v>
      </c>
      <c r="Q768" s="134" t="s">
        <v>1443</v>
      </c>
      <c r="R768" s="109"/>
      <c r="S768" s="109"/>
      <c r="T768" s="109"/>
      <c r="U768" s="109"/>
      <c r="V768" s="109"/>
    </row>
    <row r="769" spans="2:22" ht="12.75" hidden="1" customHeight="1" outlineLevel="1" x14ac:dyDescent="0.2">
      <c r="B769" s="5" t="s">
        <v>409</v>
      </c>
      <c r="C769" s="118" t="s">
        <v>1289</v>
      </c>
      <c r="D769" s="46">
        <v>299449</v>
      </c>
      <c r="E769" s="41"/>
      <c r="F769" s="134" t="s">
        <v>1443</v>
      </c>
      <c r="G769" s="134" t="s">
        <v>1443</v>
      </c>
      <c r="H769" s="134" t="s">
        <v>1443</v>
      </c>
      <c r="I769" s="134" t="s">
        <v>1443</v>
      </c>
      <c r="J769" s="134" t="s">
        <v>1443</v>
      </c>
      <c r="K769" s="134" t="s">
        <v>1443</v>
      </c>
      <c r="L769" s="134" t="s">
        <v>1443</v>
      </c>
      <c r="M769" s="134" t="s">
        <v>1443</v>
      </c>
      <c r="N769" s="134" t="s">
        <v>1443</v>
      </c>
      <c r="O769" s="134" t="s">
        <v>1443</v>
      </c>
      <c r="P769" s="134" t="s">
        <v>1443</v>
      </c>
      <c r="Q769" s="134" t="s">
        <v>1443</v>
      </c>
      <c r="R769" s="109"/>
      <c r="S769" s="109"/>
      <c r="T769" s="109"/>
      <c r="U769" s="109"/>
      <c r="V769" s="109"/>
    </row>
    <row r="770" spans="2:22" ht="12.75" hidden="1" customHeight="1" outlineLevel="1" x14ac:dyDescent="0.2">
      <c r="B770" s="5" t="s">
        <v>408</v>
      </c>
      <c r="C770" s="118" t="s">
        <v>1290</v>
      </c>
      <c r="D770" s="46">
        <v>299450</v>
      </c>
      <c r="E770" s="41"/>
      <c r="F770" s="134" t="s">
        <v>1443</v>
      </c>
      <c r="G770" s="134" t="s">
        <v>1443</v>
      </c>
      <c r="H770" s="134" t="s">
        <v>1443</v>
      </c>
      <c r="I770" s="134" t="s">
        <v>1443</v>
      </c>
      <c r="J770" s="134" t="s">
        <v>1443</v>
      </c>
      <c r="K770" s="134" t="s">
        <v>1443</v>
      </c>
      <c r="L770" s="134" t="s">
        <v>1443</v>
      </c>
      <c r="M770" s="134" t="s">
        <v>1443</v>
      </c>
      <c r="N770" s="134" t="s">
        <v>1443</v>
      </c>
      <c r="O770" s="134" t="s">
        <v>1443</v>
      </c>
      <c r="P770" s="134" t="s">
        <v>1443</v>
      </c>
      <c r="Q770" s="134" t="s">
        <v>1443</v>
      </c>
      <c r="R770" s="109"/>
      <c r="S770" s="109"/>
      <c r="T770" s="109"/>
      <c r="U770" s="109"/>
      <c r="V770" s="109"/>
    </row>
    <row r="771" spans="2:22" ht="12.75" hidden="1" customHeight="1" outlineLevel="1" x14ac:dyDescent="0.2">
      <c r="B771" s="5" t="s">
        <v>407</v>
      </c>
      <c r="C771" s="118" t="s">
        <v>1291</v>
      </c>
      <c r="D771" s="46">
        <v>299451</v>
      </c>
      <c r="E771" s="41"/>
      <c r="F771" s="134" t="s">
        <v>1443</v>
      </c>
      <c r="G771" s="134" t="s">
        <v>1443</v>
      </c>
      <c r="H771" s="134" t="s">
        <v>1443</v>
      </c>
      <c r="I771" s="134" t="s">
        <v>1443</v>
      </c>
      <c r="J771" s="134" t="s">
        <v>1443</v>
      </c>
      <c r="K771" s="134" t="s">
        <v>1443</v>
      </c>
      <c r="L771" s="134" t="s">
        <v>1443</v>
      </c>
      <c r="M771" s="134" t="s">
        <v>1443</v>
      </c>
      <c r="N771" s="134" t="s">
        <v>1443</v>
      </c>
      <c r="O771" s="134" t="s">
        <v>1443</v>
      </c>
      <c r="P771" s="134" t="s">
        <v>1443</v>
      </c>
      <c r="Q771" s="134" t="s">
        <v>1443</v>
      </c>
      <c r="R771" s="109"/>
      <c r="S771" s="109"/>
      <c r="T771" s="109"/>
      <c r="U771" s="109"/>
      <c r="V771" s="109"/>
    </row>
    <row r="772" spans="2:22" ht="12.75" hidden="1" customHeight="1" outlineLevel="1" x14ac:dyDescent="0.2">
      <c r="B772" s="5" t="s">
        <v>406</v>
      </c>
      <c r="C772" s="118" t="s">
        <v>1292</v>
      </c>
      <c r="D772" s="46">
        <v>299452</v>
      </c>
      <c r="E772" s="41"/>
      <c r="F772" s="134" t="s">
        <v>1443</v>
      </c>
      <c r="G772" s="134" t="s">
        <v>1443</v>
      </c>
      <c r="H772" s="134" t="s">
        <v>1443</v>
      </c>
      <c r="I772" s="134" t="s">
        <v>1443</v>
      </c>
      <c r="J772" s="134" t="s">
        <v>1443</v>
      </c>
      <c r="K772" s="134" t="s">
        <v>1443</v>
      </c>
      <c r="L772" s="134" t="s">
        <v>1443</v>
      </c>
      <c r="M772" s="134" t="s">
        <v>1443</v>
      </c>
      <c r="N772" s="134" t="s">
        <v>1443</v>
      </c>
      <c r="O772" s="134" t="s">
        <v>1443</v>
      </c>
      <c r="P772" s="134" t="s">
        <v>1443</v>
      </c>
      <c r="Q772" s="134" t="s">
        <v>1443</v>
      </c>
      <c r="R772" s="109"/>
      <c r="S772" s="109"/>
      <c r="T772" s="109"/>
      <c r="U772" s="109"/>
      <c r="V772" s="109"/>
    </row>
    <row r="773" spans="2:22" ht="12.75" hidden="1" customHeight="1" outlineLevel="1" x14ac:dyDescent="0.2">
      <c r="B773" s="5" t="s">
        <v>405</v>
      </c>
      <c r="C773" s="118" t="s">
        <v>1293</v>
      </c>
      <c r="D773" s="46">
        <v>299453</v>
      </c>
      <c r="E773" s="41"/>
      <c r="F773" s="134" t="s">
        <v>1443</v>
      </c>
      <c r="G773" s="134" t="s">
        <v>1443</v>
      </c>
      <c r="H773" s="134" t="s">
        <v>1443</v>
      </c>
      <c r="I773" s="134" t="s">
        <v>1443</v>
      </c>
      <c r="J773" s="134" t="s">
        <v>1443</v>
      </c>
      <c r="K773" s="134" t="s">
        <v>1443</v>
      </c>
      <c r="L773" s="134" t="s">
        <v>1443</v>
      </c>
      <c r="M773" s="134" t="s">
        <v>1443</v>
      </c>
      <c r="N773" s="134" t="s">
        <v>1443</v>
      </c>
      <c r="O773" s="134" t="s">
        <v>1443</v>
      </c>
      <c r="P773" s="134" t="s">
        <v>1443</v>
      </c>
      <c r="Q773" s="134" t="s">
        <v>1443</v>
      </c>
      <c r="R773" s="109"/>
      <c r="S773" s="109"/>
      <c r="T773" s="109"/>
      <c r="U773" s="109"/>
      <c r="V773" s="109"/>
    </row>
    <row r="774" spans="2:22" ht="12.75" hidden="1" customHeight="1" outlineLevel="1" x14ac:dyDescent="0.2">
      <c r="B774" s="5" t="s">
        <v>404</v>
      </c>
      <c r="C774" s="118" t="s">
        <v>1294</v>
      </c>
      <c r="D774" s="46">
        <v>299454</v>
      </c>
      <c r="E774" s="41"/>
      <c r="F774" s="134" t="s">
        <v>1443</v>
      </c>
      <c r="G774" s="134" t="s">
        <v>1443</v>
      </c>
      <c r="H774" s="134" t="s">
        <v>1443</v>
      </c>
      <c r="I774" s="134" t="s">
        <v>1443</v>
      </c>
      <c r="J774" s="134" t="s">
        <v>1443</v>
      </c>
      <c r="K774" s="134" t="s">
        <v>1443</v>
      </c>
      <c r="L774" s="134" t="s">
        <v>1443</v>
      </c>
      <c r="M774" s="134" t="s">
        <v>1443</v>
      </c>
      <c r="N774" s="134" t="s">
        <v>1443</v>
      </c>
      <c r="O774" s="134" t="s">
        <v>1443</v>
      </c>
      <c r="P774" s="134" t="s">
        <v>1443</v>
      </c>
      <c r="Q774" s="134" t="s">
        <v>1443</v>
      </c>
      <c r="R774" s="109"/>
      <c r="S774" s="109"/>
      <c r="T774" s="109"/>
      <c r="U774" s="109"/>
      <c r="V774" s="109"/>
    </row>
    <row r="775" spans="2:22" ht="12.75" hidden="1" customHeight="1" outlineLevel="1" x14ac:dyDescent="0.2">
      <c r="B775" s="5" t="s">
        <v>403</v>
      </c>
      <c r="C775" s="118" t="s">
        <v>1295</v>
      </c>
      <c r="D775" s="46">
        <v>299455</v>
      </c>
      <c r="E775" s="41"/>
      <c r="F775" s="134" t="s">
        <v>1443</v>
      </c>
      <c r="G775" s="134" t="s">
        <v>1443</v>
      </c>
      <c r="H775" s="134" t="s">
        <v>1443</v>
      </c>
      <c r="I775" s="134" t="s">
        <v>1443</v>
      </c>
      <c r="J775" s="134" t="s">
        <v>1443</v>
      </c>
      <c r="K775" s="134" t="s">
        <v>1443</v>
      </c>
      <c r="L775" s="134" t="s">
        <v>1443</v>
      </c>
      <c r="M775" s="134" t="s">
        <v>1443</v>
      </c>
      <c r="N775" s="134" t="s">
        <v>1443</v>
      </c>
      <c r="O775" s="134" t="s">
        <v>1443</v>
      </c>
      <c r="P775" s="134" t="s">
        <v>1443</v>
      </c>
      <c r="Q775" s="134" t="s">
        <v>1443</v>
      </c>
      <c r="R775" s="109"/>
      <c r="S775" s="109"/>
      <c r="T775" s="109"/>
      <c r="U775" s="109"/>
      <c r="V775" s="109"/>
    </row>
    <row r="776" spans="2:22" ht="12.75" hidden="1" customHeight="1" outlineLevel="1" x14ac:dyDescent="0.2">
      <c r="B776" s="8" t="s">
        <v>402</v>
      </c>
      <c r="C776" s="118" t="s">
        <v>192</v>
      </c>
      <c r="D776" s="46" t="s">
        <v>192</v>
      </c>
      <c r="E776" s="41"/>
      <c r="F776" s="21"/>
      <c r="G776" s="21"/>
      <c r="H776" s="21"/>
      <c r="I776" s="21"/>
      <c r="J776" s="21"/>
      <c r="K776" s="21"/>
      <c r="L776" s="21"/>
      <c r="M776" s="21"/>
      <c r="N776" s="21"/>
      <c r="O776" s="21"/>
      <c r="P776" s="21"/>
      <c r="Q776" s="21"/>
    </row>
    <row r="777" spans="2:22" ht="12.75" hidden="1" customHeight="1" outlineLevel="1" x14ac:dyDescent="0.2">
      <c r="B777" s="5" t="s">
        <v>1457</v>
      </c>
      <c r="C777" s="118" t="s">
        <v>907</v>
      </c>
      <c r="D777" s="46">
        <v>299420</v>
      </c>
      <c r="E777" s="41"/>
      <c r="F777" s="140" t="s">
        <v>1443</v>
      </c>
      <c r="G777" s="140" t="s">
        <v>1443</v>
      </c>
      <c r="H777" s="140" t="s">
        <v>1443</v>
      </c>
      <c r="I777" s="140" t="s">
        <v>1443</v>
      </c>
      <c r="J777" s="140" t="s">
        <v>1443</v>
      </c>
      <c r="K777" s="140" t="s">
        <v>1443</v>
      </c>
      <c r="L777" s="140" t="s">
        <v>1443</v>
      </c>
      <c r="M777" s="140" t="s">
        <v>1443</v>
      </c>
      <c r="N777" s="140" t="s">
        <v>1443</v>
      </c>
      <c r="O777" s="140" t="s">
        <v>1443</v>
      </c>
      <c r="P777" s="140" t="s">
        <v>1443</v>
      </c>
      <c r="Q777" s="140" t="s">
        <v>1443</v>
      </c>
      <c r="R777" s="91"/>
      <c r="S777" s="91"/>
      <c r="T777" s="91"/>
      <c r="U777" s="91"/>
      <c r="V777" s="91"/>
    </row>
    <row r="778" spans="2:22" ht="12.75" hidden="1" customHeight="1" outlineLevel="1" x14ac:dyDescent="0.2">
      <c r="B778" s="5" t="s">
        <v>1458</v>
      </c>
      <c r="C778" s="118" t="s">
        <v>908</v>
      </c>
      <c r="D778" s="46">
        <v>299421</v>
      </c>
      <c r="E778" s="41"/>
      <c r="F778" s="140" t="s">
        <v>1443</v>
      </c>
      <c r="G778" s="140" t="s">
        <v>1443</v>
      </c>
      <c r="H778" s="140" t="s">
        <v>1443</v>
      </c>
      <c r="I778" s="140" t="s">
        <v>1443</v>
      </c>
      <c r="J778" s="140" t="s">
        <v>1443</v>
      </c>
      <c r="K778" s="140" t="s">
        <v>1443</v>
      </c>
      <c r="L778" s="140" t="s">
        <v>1443</v>
      </c>
      <c r="M778" s="140" t="s">
        <v>1443</v>
      </c>
      <c r="N778" s="140" t="s">
        <v>1443</v>
      </c>
      <c r="O778" s="140" t="s">
        <v>1443</v>
      </c>
      <c r="P778" s="140" t="s">
        <v>1443</v>
      </c>
      <c r="Q778" s="140" t="s">
        <v>1443</v>
      </c>
      <c r="R778" s="91"/>
      <c r="S778" s="91"/>
      <c r="T778" s="91"/>
      <c r="U778" s="91"/>
      <c r="V778" s="91"/>
    </row>
    <row r="779" spans="2:22" ht="12.75" hidden="1" customHeight="1" outlineLevel="1" x14ac:dyDescent="0.2">
      <c r="B779" s="5" t="s">
        <v>1459</v>
      </c>
      <c r="C779" s="118" t="s">
        <v>909</v>
      </c>
      <c r="D779" s="46">
        <v>299422</v>
      </c>
      <c r="E779" s="41"/>
      <c r="F779" s="140" t="s">
        <v>1443</v>
      </c>
      <c r="G779" s="140" t="s">
        <v>1443</v>
      </c>
      <c r="H779" s="140" t="s">
        <v>1443</v>
      </c>
      <c r="I779" s="140" t="s">
        <v>1443</v>
      </c>
      <c r="J779" s="140" t="s">
        <v>1443</v>
      </c>
      <c r="K779" s="140" t="s">
        <v>1443</v>
      </c>
      <c r="L779" s="140" t="s">
        <v>1443</v>
      </c>
      <c r="M779" s="140" t="s">
        <v>1443</v>
      </c>
      <c r="N779" s="140" t="s">
        <v>1443</v>
      </c>
      <c r="O779" s="140" t="s">
        <v>1443</v>
      </c>
      <c r="P779" s="140" t="s">
        <v>1443</v>
      </c>
      <c r="Q779" s="140" t="s">
        <v>1443</v>
      </c>
      <c r="R779" s="91"/>
      <c r="S779" s="91"/>
      <c r="T779" s="91"/>
      <c r="U779" s="91"/>
      <c r="V779" s="91"/>
    </row>
    <row r="780" spans="2:22" ht="12.75" hidden="1" customHeight="1" outlineLevel="1" x14ac:dyDescent="0.2">
      <c r="B780" s="5" t="s">
        <v>1460</v>
      </c>
      <c r="C780" s="118" t="s">
        <v>910</v>
      </c>
      <c r="D780" s="46">
        <v>299423</v>
      </c>
      <c r="E780" s="41"/>
      <c r="F780" s="140" t="s">
        <v>1443</v>
      </c>
      <c r="G780" s="140" t="s">
        <v>1443</v>
      </c>
      <c r="H780" s="140" t="s">
        <v>1443</v>
      </c>
      <c r="I780" s="140" t="s">
        <v>1443</v>
      </c>
      <c r="J780" s="140" t="s">
        <v>1443</v>
      </c>
      <c r="K780" s="140" t="s">
        <v>1443</v>
      </c>
      <c r="L780" s="140" t="s">
        <v>1443</v>
      </c>
      <c r="M780" s="140" t="s">
        <v>1443</v>
      </c>
      <c r="N780" s="140" t="s">
        <v>1443</v>
      </c>
      <c r="O780" s="140" t="s">
        <v>1443</v>
      </c>
      <c r="P780" s="140" t="s">
        <v>1443</v>
      </c>
      <c r="Q780" s="140" t="s">
        <v>1443</v>
      </c>
      <c r="R780" s="91"/>
      <c r="S780" s="91"/>
      <c r="T780" s="91"/>
      <c r="U780" s="91"/>
      <c r="V780" s="91"/>
    </row>
    <row r="781" spans="2:22" ht="12.75" hidden="1" customHeight="1" outlineLevel="1" x14ac:dyDescent="0.2">
      <c r="B781" s="5" t="s">
        <v>1461</v>
      </c>
      <c r="C781" s="118" t="s">
        <v>911</v>
      </c>
      <c r="D781" s="46">
        <v>299424</v>
      </c>
      <c r="E781" s="41"/>
      <c r="F781" s="140" t="s">
        <v>1443</v>
      </c>
      <c r="G781" s="140" t="s">
        <v>1443</v>
      </c>
      <c r="H781" s="140" t="s">
        <v>1443</v>
      </c>
      <c r="I781" s="140" t="s">
        <v>1443</v>
      </c>
      <c r="J781" s="140" t="s">
        <v>1443</v>
      </c>
      <c r="K781" s="140" t="s">
        <v>1443</v>
      </c>
      <c r="L781" s="140" t="s">
        <v>1443</v>
      </c>
      <c r="M781" s="140" t="s">
        <v>1443</v>
      </c>
      <c r="N781" s="140" t="s">
        <v>1443</v>
      </c>
      <c r="O781" s="140" t="s">
        <v>1443</v>
      </c>
      <c r="P781" s="140" t="s">
        <v>1443</v>
      </c>
      <c r="Q781" s="140" t="s">
        <v>1443</v>
      </c>
      <c r="R781" s="91"/>
      <c r="S781" s="91"/>
      <c r="T781" s="91"/>
      <c r="U781" s="91"/>
      <c r="V781" s="91"/>
    </row>
    <row r="782" spans="2:22" ht="12.75" hidden="1" customHeight="1" outlineLevel="1" x14ac:dyDescent="0.2">
      <c r="B782" s="5" t="s">
        <v>1462</v>
      </c>
      <c r="C782" s="118" t="s">
        <v>912</v>
      </c>
      <c r="D782" s="46">
        <v>299425</v>
      </c>
      <c r="E782" s="41"/>
      <c r="F782" s="140" t="s">
        <v>1443</v>
      </c>
      <c r="G782" s="140" t="s">
        <v>1443</v>
      </c>
      <c r="H782" s="140" t="s">
        <v>1443</v>
      </c>
      <c r="I782" s="140" t="s">
        <v>1443</v>
      </c>
      <c r="J782" s="140" t="s">
        <v>1443</v>
      </c>
      <c r="K782" s="140" t="s">
        <v>1443</v>
      </c>
      <c r="L782" s="140" t="s">
        <v>1443</v>
      </c>
      <c r="M782" s="140" t="s">
        <v>1443</v>
      </c>
      <c r="N782" s="140" t="s">
        <v>1443</v>
      </c>
      <c r="O782" s="140" t="s">
        <v>1443</v>
      </c>
      <c r="P782" s="140" t="s">
        <v>1443</v>
      </c>
      <c r="Q782" s="140" t="s">
        <v>1443</v>
      </c>
      <c r="R782" s="91"/>
      <c r="S782" s="91"/>
      <c r="T782" s="91"/>
      <c r="U782" s="91"/>
      <c r="V782" s="91"/>
    </row>
    <row r="783" spans="2:22" ht="12.75" hidden="1" customHeight="1" outlineLevel="1" x14ac:dyDescent="0.2">
      <c r="B783" s="8" t="s">
        <v>397</v>
      </c>
      <c r="C783" s="118" t="s">
        <v>192</v>
      </c>
      <c r="D783" s="46" t="s">
        <v>192</v>
      </c>
      <c r="E783" s="41"/>
      <c r="F783" s="140"/>
      <c r="G783" s="140"/>
      <c r="H783" s="140"/>
      <c r="I783" s="140"/>
      <c r="J783" s="140"/>
      <c r="K783" s="140"/>
      <c r="L783" s="140"/>
      <c r="M783" s="140"/>
      <c r="N783" s="140"/>
      <c r="O783" s="140"/>
      <c r="P783" s="140"/>
      <c r="Q783" s="140"/>
    </row>
    <row r="784" spans="2:22" ht="12.75" hidden="1" customHeight="1" outlineLevel="1" x14ac:dyDescent="0.2">
      <c r="B784" s="5" t="s">
        <v>401</v>
      </c>
      <c r="C784" s="118" t="s">
        <v>913</v>
      </c>
      <c r="D784" s="46">
        <v>299456</v>
      </c>
      <c r="E784" s="41"/>
      <c r="F784" s="140" t="s">
        <v>1443</v>
      </c>
      <c r="G784" s="140" t="s">
        <v>1443</v>
      </c>
      <c r="H784" s="140" t="s">
        <v>1443</v>
      </c>
      <c r="I784" s="140" t="s">
        <v>1443</v>
      </c>
      <c r="J784" s="140" t="s">
        <v>1443</v>
      </c>
      <c r="K784" s="140" t="s">
        <v>1443</v>
      </c>
      <c r="L784" s="140" t="s">
        <v>1443</v>
      </c>
      <c r="M784" s="140" t="s">
        <v>1443</v>
      </c>
      <c r="N784" s="140" t="s">
        <v>1443</v>
      </c>
      <c r="O784" s="140" t="s">
        <v>1443</v>
      </c>
      <c r="P784" s="140" t="s">
        <v>1443</v>
      </c>
      <c r="Q784" s="140" t="s">
        <v>1443</v>
      </c>
      <c r="R784" s="91"/>
      <c r="S784" s="91"/>
      <c r="T784" s="91"/>
      <c r="U784" s="91"/>
      <c r="V784" s="91"/>
    </row>
    <row r="785" spans="2:22" ht="12.75" hidden="1" customHeight="1" outlineLevel="1" x14ac:dyDescent="0.2">
      <c r="B785" s="5" t="s">
        <v>400</v>
      </c>
      <c r="C785" s="118" t="s">
        <v>914</v>
      </c>
      <c r="D785" s="46">
        <v>299457</v>
      </c>
      <c r="E785" s="41"/>
      <c r="F785" s="140" t="s">
        <v>1443</v>
      </c>
      <c r="G785" s="140" t="s">
        <v>1443</v>
      </c>
      <c r="H785" s="140" t="s">
        <v>1443</v>
      </c>
      <c r="I785" s="140" t="s">
        <v>1443</v>
      </c>
      <c r="J785" s="140" t="s">
        <v>1443</v>
      </c>
      <c r="K785" s="140" t="s">
        <v>1443</v>
      </c>
      <c r="L785" s="140" t="s">
        <v>1443</v>
      </c>
      <c r="M785" s="140" t="s">
        <v>1443</v>
      </c>
      <c r="N785" s="140" t="s">
        <v>1443</v>
      </c>
      <c r="O785" s="140" t="s">
        <v>1443</v>
      </c>
      <c r="P785" s="140" t="s">
        <v>1443</v>
      </c>
      <c r="Q785" s="140" t="s">
        <v>1443</v>
      </c>
      <c r="R785" s="91"/>
      <c r="S785" s="91"/>
      <c r="T785" s="91"/>
      <c r="U785" s="91"/>
      <c r="V785" s="91"/>
    </row>
    <row r="786" spans="2:22" ht="12.75" hidden="1" customHeight="1" outlineLevel="1" x14ac:dyDescent="0.2">
      <c r="B786" s="5" t="s">
        <v>399</v>
      </c>
      <c r="C786" s="118" t="s">
        <v>915</v>
      </c>
      <c r="D786" s="46">
        <v>299458</v>
      </c>
      <c r="E786" s="41"/>
      <c r="F786" s="140" t="s">
        <v>1443</v>
      </c>
      <c r="G786" s="140" t="s">
        <v>1443</v>
      </c>
      <c r="H786" s="140" t="s">
        <v>1443</v>
      </c>
      <c r="I786" s="140" t="s">
        <v>1443</v>
      </c>
      <c r="J786" s="140" t="s">
        <v>1443</v>
      </c>
      <c r="K786" s="140" t="s">
        <v>1443</v>
      </c>
      <c r="L786" s="140" t="s">
        <v>1443</v>
      </c>
      <c r="M786" s="140" t="s">
        <v>1443</v>
      </c>
      <c r="N786" s="140" t="s">
        <v>1443</v>
      </c>
      <c r="O786" s="140" t="s">
        <v>1443</v>
      </c>
      <c r="P786" s="140" t="s">
        <v>1443</v>
      </c>
      <c r="Q786" s="140" t="s">
        <v>1443</v>
      </c>
      <c r="R786" s="91"/>
      <c r="S786" s="91"/>
      <c r="T786" s="91"/>
      <c r="U786" s="91"/>
      <c r="V786" s="91"/>
    </row>
    <row r="787" spans="2:22" ht="12.75" hidden="1" customHeight="1" outlineLevel="1" x14ac:dyDescent="0.2">
      <c r="B787" s="5" t="s">
        <v>398</v>
      </c>
      <c r="C787" s="118" t="s">
        <v>916</v>
      </c>
      <c r="D787" s="46">
        <v>299459</v>
      </c>
      <c r="E787" s="41"/>
      <c r="F787" s="140" t="s">
        <v>1443</v>
      </c>
      <c r="G787" s="140" t="s">
        <v>1443</v>
      </c>
      <c r="H787" s="140" t="s">
        <v>1443</v>
      </c>
      <c r="I787" s="140" t="s">
        <v>1443</v>
      </c>
      <c r="J787" s="140" t="s">
        <v>1443</v>
      </c>
      <c r="K787" s="140" t="s">
        <v>1443</v>
      </c>
      <c r="L787" s="140" t="s">
        <v>1443</v>
      </c>
      <c r="M787" s="140" t="s">
        <v>1443</v>
      </c>
      <c r="N787" s="140" t="s">
        <v>1443</v>
      </c>
      <c r="O787" s="140" t="s">
        <v>1443</v>
      </c>
      <c r="P787" s="140" t="s">
        <v>1443</v>
      </c>
      <c r="Q787" s="140" t="s">
        <v>1443</v>
      </c>
      <c r="R787" s="91"/>
      <c r="S787" s="91"/>
      <c r="T787" s="91"/>
      <c r="U787" s="91"/>
      <c r="V787" s="91"/>
    </row>
    <row r="788" spans="2:22" ht="12.75" hidden="1" customHeight="1" outlineLevel="1" x14ac:dyDescent="0.2">
      <c r="B788" s="8" t="s">
        <v>397</v>
      </c>
      <c r="C788" s="118" t="s">
        <v>192</v>
      </c>
      <c r="D788" s="46" t="s">
        <v>192</v>
      </c>
      <c r="E788" s="41"/>
      <c r="F788" s="21"/>
      <c r="G788" s="21"/>
      <c r="H788" s="21"/>
      <c r="I788" s="21"/>
      <c r="J788" s="21"/>
      <c r="K788" s="21"/>
      <c r="L788" s="21"/>
      <c r="M788" s="21"/>
      <c r="N788" s="21"/>
      <c r="O788" s="21"/>
      <c r="P788" s="21"/>
      <c r="Q788" s="21"/>
    </row>
    <row r="789" spans="2:22" ht="12.75" hidden="1" customHeight="1" outlineLevel="1" x14ac:dyDescent="0.2">
      <c r="B789" s="5" t="s">
        <v>396</v>
      </c>
      <c r="C789" s="118" t="s">
        <v>1296</v>
      </c>
      <c r="D789" s="46">
        <v>299460</v>
      </c>
      <c r="E789" s="41"/>
      <c r="F789" s="134" t="s">
        <v>1443</v>
      </c>
      <c r="G789" s="134" t="s">
        <v>1443</v>
      </c>
      <c r="H789" s="134" t="s">
        <v>1443</v>
      </c>
      <c r="I789" s="134" t="s">
        <v>1443</v>
      </c>
      <c r="J789" s="134" t="s">
        <v>1443</v>
      </c>
      <c r="K789" s="134" t="s">
        <v>1443</v>
      </c>
      <c r="L789" s="134" t="s">
        <v>1443</v>
      </c>
      <c r="M789" s="134" t="s">
        <v>1443</v>
      </c>
      <c r="N789" s="134" t="s">
        <v>1443</v>
      </c>
      <c r="O789" s="134" t="s">
        <v>1443</v>
      </c>
      <c r="P789" s="134" t="s">
        <v>1443</v>
      </c>
      <c r="Q789" s="134" t="s">
        <v>1443</v>
      </c>
      <c r="R789" s="109"/>
      <c r="S789" s="109"/>
      <c r="T789" s="109"/>
      <c r="U789" s="109"/>
      <c r="V789" s="109"/>
    </row>
    <row r="790" spans="2:22" ht="12.75" hidden="1" customHeight="1" outlineLevel="1" x14ac:dyDescent="0.2">
      <c r="B790" s="5" t="s">
        <v>395</v>
      </c>
      <c r="C790" s="118" t="s">
        <v>1297</v>
      </c>
      <c r="D790" s="46">
        <v>299461</v>
      </c>
      <c r="E790" s="41"/>
      <c r="F790" s="134" t="s">
        <v>1443</v>
      </c>
      <c r="G790" s="134" t="s">
        <v>1443</v>
      </c>
      <c r="H790" s="134" t="s">
        <v>1443</v>
      </c>
      <c r="I790" s="134" t="s">
        <v>1443</v>
      </c>
      <c r="J790" s="134" t="s">
        <v>1443</v>
      </c>
      <c r="K790" s="134" t="s">
        <v>1443</v>
      </c>
      <c r="L790" s="134" t="s">
        <v>1443</v>
      </c>
      <c r="M790" s="134" t="s">
        <v>1443</v>
      </c>
      <c r="N790" s="134" t="s">
        <v>1443</v>
      </c>
      <c r="O790" s="134" t="s">
        <v>1443</v>
      </c>
      <c r="P790" s="134" t="s">
        <v>1443</v>
      </c>
      <c r="Q790" s="134" t="s">
        <v>1443</v>
      </c>
      <c r="R790" s="109"/>
      <c r="S790" s="109"/>
      <c r="T790" s="109"/>
      <c r="U790" s="109"/>
      <c r="V790" s="109"/>
    </row>
    <row r="791" spans="2:22" ht="12.75" hidden="1" customHeight="1" outlineLevel="1" x14ac:dyDescent="0.2">
      <c r="B791" s="5" t="s">
        <v>394</v>
      </c>
      <c r="C791" s="118" t="s">
        <v>1298</v>
      </c>
      <c r="D791" s="46">
        <v>299462</v>
      </c>
      <c r="E791" s="41"/>
      <c r="F791" s="134" t="s">
        <v>1443</v>
      </c>
      <c r="G791" s="134" t="s">
        <v>1443</v>
      </c>
      <c r="H791" s="134" t="s">
        <v>1443</v>
      </c>
      <c r="I791" s="134" t="s">
        <v>1443</v>
      </c>
      <c r="J791" s="134" t="s">
        <v>1443</v>
      </c>
      <c r="K791" s="134" t="s">
        <v>1443</v>
      </c>
      <c r="L791" s="134" t="s">
        <v>1443</v>
      </c>
      <c r="M791" s="134" t="s">
        <v>1443</v>
      </c>
      <c r="N791" s="134" t="s">
        <v>1443</v>
      </c>
      <c r="O791" s="134" t="s">
        <v>1443</v>
      </c>
      <c r="P791" s="134" t="s">
        <v>1443</v>
      </c>
      <c r="Q791" s="134" t="s">
        <v>1443</v>
      </c>
      <c r="R791" s="109"/>
      <c r="S791" s="109"/>
      <c r="T791" s="109"/>
      <c r="U791" s="109"/>
      <c r="V791" s="109"/>
    </row>
    <row r="792" spans="2:22" ht="12.75" hidden="1" customHeight="1" outlineLevel="1" x14ac:dyDescent="0.2">
      <c r="B792" s="5" t="s">
        <v>393</v>
      </c>
      <c r="C792" s="118" t="s">
        <v>1299</v>
      </c>
      <c r="D792" s="46">
        <v>299463</v>
      </c>
      <c r="E792" s="41"/>
      <c r="F792" s="134" t="s">
        <v>1443</v>
      </c>
      <c r="G792" s="134" t="s">
        <v>1443</v>
      </c>
      <c r="H792" s="134" t="s">
        <v>1443</v>
      </c>
      <c r="I792" s="134" t="s">
        <v>1443</v>
      </c>
      <c r="J792" s="134" t="s">
        <v>1443</v>
      </c>
      <c r="K792" s="134" t="s">
        <v>1443</v>
      </c>
      <c r="L792" s="134" t="s">
        <v>1443</v>
      </c>
      <c r="M792" s="134" t="s">
        <v>1443</v>
      </c>
      <c r="N792" s="134" t="s">
        <v>1443</v>
      </c>
      <c r="O792" s="134" t="s">
        <v>1443</v>
      </c>
      <c r="P792" s="134" t="s">
        <v>1443</v>
      </c>
      <c r="Q792" s="134" t="s">
        <v>1443</v>
      </c>
      <c r="R792" s="109"/>
      <c r="S792" s="109"/>
      <c r="T792" s="109"/>
      <c r="U792" s="109"/>
      <c r="V792" s="109"/>
    </row>
    <row r="793" spans="2:22" ht="12.75" hidden="1" customHeight="1" outlineLevel="1" x14ac:dyDescent="0.2">
      <c r="B793" s="8" t="s">
        <v>392</v>
      </c>
      <c r="C793" s="118" t="s">
        <v>192</v>
      </c>
      <c r="D793" s="46" t="s">
        <v>192</v>
      </c>
      <c r="E793" s="41"/>
      <c r="F793" s="134"/>
      <c r="G793" s="134"/>
      <c r="H793" s="134"/>
      <c r="I793" s="134"/>
      <c r="J793" s="134"/>
      <c r="K793" s="134"/>
      <c r="L793" s="134"/>
      <c r="M793" s="134"/>
      <c r="N793" s="134"/>
      <c r="O793" s="134"/>
      <c r="P793" s="134"/>
      <c r="Q793" s="134"/>
    </row>
    <row r="794" spans="2:22" ht="12.75" hidden="1" customHeight="1" outlineLevel="1" x14ac:dyDescent="0.2">
      <c r="B794" s="5" t="s">
        <v>391</v>
      </c>
      <c r="C794" s="118" t="s">
        <v>1300</v>
      </c>
      <c r="D794" s="46">
        <v>299478</v>
      </c>
      <c r="E794" s="41"/>
      <c r="F794" s="134" t="s">
        <v>1443</v>
      </c>
      <c r="G794" s="134" t="s">
        <v>1443</v>
      </c>
      <c r="H794" s="134" t="s">
        <v>1443</v>
      </c>
      <c r="I794" s="134" t="s">
        <v>1443</v>
      </c>
      <c r="J794" s="134" t="s">
        <v>1443</v>
      </c>
      <c r="K794" s="134" t="s">
        <v>1443</v>
      </c>
      <c r="L794" s="134" t="s">
        <v>1443</v>
      </c>
      <c r="M794" s="134" t="s">
        <v>1443</v>
      </c>
      <c r="N794" s="134" t="s">
        <v>1443</v>
      </c>
      <c r="O794" s="134" t="s">
        <v>1443</v>
      </c>
      <c r="P794" s="134" t="s">
        <v>1443</v>
      </c>
      <c r="Q794" s="134" t="s">
        <v>1443</v>
      </c>
      <c r="R794" s="22"/>
      <c r="S794" s="109"/>
      <c r="T794" s="109"/>
      <c r="U794" s="109"/>
      <c r="V794" s="109"/>
    </row>
    <row r="795" spans="2:22" ht="12.75" hidden="1" customHeight="1" outlineLevel="1" x14ac:dyDescent="0.2">
      <c r="B795" s="5" t="s">
        <v>390</v>
      </c>
      <c r="C795" s="118" t="s">
        <v>1301</v>
      </c>
      <c r="D795" s="46">
        <v>299479</v>
      </c>
      <c r="E795" s="41"/>
      <c r="F795" s="134" t="s">
        <v>1443</v>
      </c>
      <c r="G795" s="134" t="s">
        <v>1443</v>
      </c>
      <c r="H795" s="134" t="s">
        <v>1443</v>
      </c>
      <c r="I795" s="134" t="s">
        <v>1443</v>
      </c>
      <c r="J795" s="134" t="s">
        <v>1443</v>
      </c>
      <c r="K795" s="134" t="s">
        <v>1443</v>
      </c>
      <c r="L795" s="134" t="s">
        <v>1443</v>
      </c>
      <c r="M795" s="134" t="s">
        <v>1443</v>
      </c>
      <c r="N795" s="134" t="s">
        <v>1443</v>
      </c>
      <c r="O795" s="134" t="s">
        <v>1443</v>
      </c>
      <c r="P795" s="134" t="s">
        <v>1443</v>
      </c>
      <c r="Q795" s="134" t="s">
        <v>1443</v>
      </c>
      <c r="R795" s="22"/>
      <c r="S795" s="109"/>
      <c r="T795" s="109"/>
      <c r="U795" s="109"/>
      <c r="V795" s="109"/>
    </row>
    <row r="796" spans="2:22" ht="12.75" hidden="1" customHeight="1" outlineLevel="1" x14ac:dyDescent="0.2">
      <c r="B796" s="5" t="s">
        <v>389</v>
      </c>
      <c r="C796" s="118" t="s">
        <v>1302</v>
      </c>
      <c r="D796" s="46">
        <v>299480</v>
      </c>
      <c r="E796" s="41"/>
      <c r="F796" s="134" t="s">
        <v>1443</v>
      </c>
      <c r="G796" s="134" t="s">
        <v>1443</v>
      </c>
      <c r="H796" s="134" t="s">
        <v>1443</v>
      </c>
      <c r="I796" s="134" t="s">
        <v>1443</v>
      </c>
      <c r="J796" s="134" t="s">
        <v>1443</v>
      </c>
      <c r="K796" s="134" t="s">
        <v>1443</v>
      </c>
      <c r="L796" s="134" t="s">
        <v>1443</v>
      </c>
      <c r="M796" s="134" t="s">
        <v>1443</v>
      </c>
      <c r="N796" s="134" t="s">
        <v>1443</v>
      </c>
      <c r="O796" s="134" t="s">
        <v>1443</v>
      </c>
      <c r="P796" s="134" t="s">
        <v>1443</v>
      </c>
      <c r="Q796" s="134" t="s">
        <v>1443</v>
      </c>
      <c r="R796" s="22"/>
      <c r="S796" s="109"/>
      <c r="T796" s="109"/>
      <c r="U796" s="109"/>
      <c r="V796" s="109"/>
    </row>
    <row r="797" spans="2:22" ht="12.75" hidden="1" customHeight="1" outlineLevel="1" x14ac:dyDescent="0.2">
      <c r="B797" s="5" t="s">
        <v>388</v>
      </c>
      <c r="C797" s="118" t="s">
        <v>1303</v>
      </c>
      <c r="D797" s="46">
        <v>299481</v>
      </c>
      <c r="E797" s="41"/>
      <c r="F797" s="134" t="s">
        <v>1443</v>
      </c>
      <c r="G797" s="134" t="s">
        <v>1443</v>
      </c>
      <c r="H797" s="134" t="s">
        <v>1443</v>
      </c>
      <c r="I797" s="134" t="s">
        <v>1443</v>
      </c>
      <c r="J797" s="134" t="s">
        <v>1443</v>
      </c>
      <c r="K797" s="134" t="s">
        <v>1443</v>
      </c>
      <c r="L797" s="134" t="s">
        <v>1443</v>
      </c>
      <c r="M797" s="134" t="s">
        <v>1443</v>
      </c>
      <c r="N797" s="134" t="s">
        <v>1443</v>
      </c>
      <c r="O797" s="134" t="s">
        <v>1443</v>
      </c>
      <c r="P797" s="134" t="s">
        <v>1443</v>
      </c>
      <c r="Q797" s="134" t="s">
        <v>1443</v>
      </c>
      <c r="R797" s="22"/>
      <c r="S797" s="109"/>
      <c r="T797" s="109"/>
      <c r="U797" s="109"/>
      <c r="V797" s="109"/>
    </row>
    <row r="798" spans="2:22" ht="12.75" hidden="1" customHeight="1" outlineLevel="1" x14ac:dyDescent="0.2">
      <c r="B798" s="5" t="s">
        <v>387</v>
      </c>
      <c r="C798" s="118" t="s">
        <v>1304</v>
      </c>
      <c r="D798" s="46">
        <v>299482</v>
      </c>
      <c r="E798" s="41"/>
      <c r="F798" s="134" t="s">
        <v>1443</v>
      </c>
      <c r="G798" s="134" t="s">
        <v>1443</v>
      </c>
      <c r="H798" s="134" t="s">
        <v>1443</v>
      </c>
      <c r="I798" s="134" t="s">
        <v>1443</v>
      </c>
      <c r="J798" s="134" t="s">
        <v>1443</v>
      </c>
      <c r="K798" s="134" t="s">
        <v>1443</v>
      </c>
      <c r="L798" s="134" t="s">
        <v>1443</v>
      </c>
      <c r="M798" s="134" t="s">
        <v>1443</v>
      </c>
      <c r="N798" s="134" t="s">
        <v>1443</v>
      </c>
      <c r="O798" s="134" t="s">
        <v>1443</v>
      </c>
      <c r="P798" s="134" t="s">
        <v>1443</v>
      </c>
      <c r="Q798" s="134" t="s">
        <v>1443</v>
      </c>
      <c r="R798" s="22"/>
      <c r="S798" s="109"/>
      <c r="T798" s="109"/>
      <c r="U798" s="109"/>
      <c r="V798" s="109"/>
    </row>
    <row r="799" spans="2:22" ht="12.75" hidden="1" customHeight="1" outlineLevel="1" x14ac:dyDescent="0.2">
      <c r="B799" s="8" t="s">
        <v>386</v>
      </c>
      <c r="C799" s="118" t="s">
        <v>192</v>
      </c>
      <c r="D799" s="46" t="s">
        <v>192</v>
      </c>
      <c r="E799" s="41"/>
      <c r="F799" s="134"/>
      <c r="G799" s="134"/>
      <c r="H799" s="134"/>
      <c r="I799" s="134"/>
      <c r="J799" s="134"/>
      <c r="K799" s="134"/>
      <c r="L799" s="134"/>
      <c r="M799" s="134"/>
      <c r="N799" s="134"/>
      <c r="O799" s="134"/>
      <c r="P799" s="134"/>
      <c r="Q799" s="134"/>
      <c r="R799" s="22"/>
    </row>
    <row r="800" spans="2:22" ht="12.75" hidden="1" customHeight="1" outlineLevel="1" x14ac:dyDescent="0.2">
      <c r="B800" s="5" t="s">
        <v>385</v>
      </c>
      <c r="C800" s="118" t="s">
        <v>1305</v>
      </c>
      <c r="D800" s="46">
        <v>299426</v>
      </c>
      <c r="E800" s="41"/>
      <c r="F800" s="134" t="s">
        <v>1443</v>
      </c>
      <c r="G800" s="134" t="s">
        <v>1443</v>
      </c>
      <c r="H800" s="134" t="s">
        <v>1443</v>
      </c>
      <c r="I800" s="134" t="s">
        <v>1443</v>
      </c>
      <c r="J800" s="134" t="s">
        <v>1443</v>
      </c>
      <c r="K800" s="134" t="s">
        <v>1443</v>
      </c>
      <c r="L800" s="134" t="s">
        <v>1443</v>
      </c>
      <c r="M800" s="134" t="s">
        <v>1443</v>
      </c>
      <c r="N800" s="134" t="s">
        <v>1443</v>
      </c>
      <c r="O800" s="134" t="s">
        <v>1443</v>
      </c>
      <c r="P800" s="134" t="s">
        <v>1443</v>
      </c>
      <c r="Q800" s="134" t="s">
        <v>1443</v>
      </c>
      <c r="R800" s="22"/>
      <c r="S800" s="109"/>
      <c r="T800" s="109"/>
      <c r="U800" s="109"/>
      <c r="V800" s="109"/>
    </row>
    <row r="801" spans="2:22" ht="12.75" hidden="1" customHeight="1" outlineLevel="1" x14ac:dyDescent="0.2">
      <c r="B801" s="5" t="s">
        <v>384</v>
      </c>
      <c r="C801" s="118" t="s">
        <v>1306</v>
      </c>
      <c r="D801" s="46">
        <v>299427</v>
      </c>
      <c r="E801" s="41"/>
      <c r="F801" s="134" t="s">
        <v>1443</v>
      </c>
      <c r="G801" s="134" t="s">
        <v>1443</v>
      </c>
      <c r="H801" s="134" t="s">
        <v>1443</v>
      </c>
      <c r="I801" s="134" t="s">
        <v>1443</v>
      </c>
      <c r="J801" s="134" t="s">
        <v>1443</v>
      </c>
      <c r="K801" s="134" t="s">
        <v>1443</v>
      </c>
      <c r="L801" s="134" t="s">
        <v>1443</v>
      </c>
      <c r="M801" s="134" t="s">
        <v>1443</v>
      </c>
      <c r="N801" s="134" t="s">
        <v>1443</v>
      </c>
      <c r="O801" s="134" t="s">
        <v>1443</v>
      </c>
      <c r="P801" s="134" t="s">
        <v>1443</v>
      </c>
      <c r="Q801" s="134" t="s">
        <v>1443</v>
      </c>
      <c r="R801" s="22"/>
      <c r="S801" s="109"/>
      <c r="T801" s="109"/>
      <c r="U801" s="109"/>
      <c r="V801" s="109"/>
    </row>
    <row r="802" spans="2:22" ht="12.75" hidden="1" customHeight="1" outlineLevel="1" x14ac:dyDescent="0.2">
      <c r="B802" s="5" t="s">
        <v>383</v>
      </c>
      <c r="C802" s="118" t="s">
        <v>1307</v>
      </c>
      <c r="D802" s="46">
        <v>299428</v>
      </c>
      <c r="E802" s="41"/>
      <c r="F802" s="134" t="s">
        <v>1443</v>
      </c>
      <c r="G802" s="134" t="s">
        <v>1443</v>
      </c>
      <c r="H802" s="134" t="s">
        <v>1443</v>
      </c>
      <c r="I802" s="134" t="s">
        <v>1443</v>
      </c>
      <c r="J802" s="134" t="s">
        <v>1443</v>
      </c>
      <c r="K802" s="134" t="s">
        <v>1443</v>
      </c>
      <c r="L802" s="134" t="s">
        <v>1443</v>
      </c>
      <c r="M802" s="134" t="s">
        <v>1443</v>
      </c>
      <c r="N802" s="134" t="s">
        <v>1443</v>
      </c>
      <c r="O802" s="134" t="s">
        <v>1443</v>
      </c>
      <c r="P802" s="134" t="s">
        <v>1443</v>
      </c>
      <c r="Q802" s="134" t="s">
        <v>1443</v>
      </c>
      <c r="R802" s="22"/>
      <c r="S802" s="109"/>
      <c r="T802" s="109"/>
      <c r="U802" s="109"/>
      <c r="V802" s="109"/>
    </row>
    <row r="803" spans="2:22" ht="12.75" hidden="1" customHeight="1" outlineLevel="1" x14ac:dyDescent="0.2">
      <c r="B803" s="5" t="s">
        <v>382</v>
      </c>
      <c r="C803" s="118" t="s">
        <v>1308</v>
      </c>
      <c r="D803" s="46">
        <v>299429</v>
      </c>
      <c r="E803" s="41"/>
      <c r="F803" s="134" t="s">
        <v>1443</v>
      </c>
      <c r="G803" s="134" t="s">
        <v>1443</v>
      </c>
      <c r="H803" s="134" t="s">
        <v>1443</v>
      </c>
      <c r="I803" s="134" t="s">
        <v>1443</v>
      </c>
      <c r="J803" s="134" t="s">
        <v>1443</v>
      </c>
      <c r="K803" s="134" t="s">
        <v>1443</v>
      </c>
      <c r="L803" s="134" t="s">
        <v>1443</v>
      </c>
      <c r="M803" s="134" t="s">
        <v>1443</v>
      </c>
      <c r="N803" s="134" t="s">
        <v>1443</v>
      </c>
      <c r="O803" s="134" t="s">
        <v>1443</v>
      </c>
      <c r="P803" s="134" t="s">
        <v>1443</v>
      </c>
      <c r="Q803" s="134" t="s">
        <v>1443</v>
      </c>
      <c r="R803" s="22"/>
      <c r="S803" s="109"/>
      <c r="T803" s="109"/>
      <c r="U803" s="109"/>
      <c r="V803" s="109"/>
    </row>
    <row r="804" spans="2:22" ht="12.75" hidden="1" customHeight="1" outlineLevel="1" x14ac:dyDescent="0.2">
      <c r="B804" s="8" t="s">
        <v>381</v>
      </c>
      <c r="C804" s="118" t="s">
        <v>192</v>
      </c>
      <c r="D804" s="46" t="s">
        <v>192</v>
      </c>
      <c r="E804" s="41"/>
      <c r="F804" s="21"/>
      <c r="G804" s="21"/>
      <c r="H804" s="21"/>
      <c r="I804" s="21"/>
      <c r="J804" s="21"/>
      <c r="K804" s="21"/>
      <c r="L804" s="21"/>
      <c r="M804" s="21"/>
      <c r="N804" s="21"/>
      <c r="O804" s="21"/>
      <c r="P804" s="21"/>
      <c r="Q804" s="21"/>
    </row>
    <row r="805" spans="2:22" ht="12.75" hidden="1" customHeight="1" outlineLevel="1" x14ac:dyDescent="0.2">
      <c r="B805" s="5" t="s">
        <v>1463</v>
      </c>
      <c r="C805" s="118" t="s">
        <v>917</v>
      </c>
      <c r="D805" s="46">
        <v>299442</v>
      </c>
      <c r="E805" s="41"/>
      <c r="F805" s="140" t="s">
        <v>1443</v>
      </c>
      <c r="G805" s="140" t="s">
        <v>1443</v>
      </c>
      <c r="H805" s="140" t="s">
        <v>1443</v>
      </c>
      <c r="I805" s="140" t="s">
        <v>1443</v>
      </c>
      <c r="J805" s="140" t="s">
        <v>1443</v>
      </c>
      <c r="K805" s="140" t="s">
        <v>1443</v>
      </c>
      <c r="L805" s="140" t="s">
        <v>1443</v>
      </c>
      <c r="M805" s="140" t="s">
        <v>1443</v>
      </c>
      <c r="N805" s="140" t="s">
        <v>1443</v>
      </c>
      <c r="O805" s="140" t="s">
        <v>1443</v>
      </c>
      <c r="P805" s="140" t="s">
        <v>1443</v>
      </c>
      <c r="Q805" s="140" t="s">
        <v>1443</v>
      </c>
      <c r="R805" s="91"/>
      <c r="S805" s="91"/>
      <c r="T805" s="91"/>
      <c r="U805" s="91"/>
      <c r="V805" s="91"/>
    </row>
    <row r="806" spans="2:22" ht="12.75" hidden="1" customHeight="1" outlineLevel="1" x14ac:dyDescent="0.2">
      <c r="B806" s="5" t="s">
        <v>1464</v>
      </c>
      <c r="C806" s="118" t="s">
        <v>918</v>
      </c>
      <c r="D806" s="46">
        <v>299443</v>
      </c>
      <c r="E806" s="41"/>
      <c r="F806" s="140" t="s">
        <v>1443</v>
      </c>
      <c r="G806" s="140" t="s">
        <v>1443</v>
      </c>
      <c r="H806" s="140" t="s">
        <v>1443</v>
      </c>
      <c r="I806" s="140" t="s">
        <v>1443</v>
      </c>
      <c r="J806" s="140" t="s">
        <v>1443</v>
      </c>
      <c r="K806" s="140" t="s">
        <v>1443</v>
      </c>
      <c r="L806" s="140" t="s">
        <v>1443</v>
      </c>
      <c r="M806" s="140" t="s">
        <v>1443</v>
      </c>
      <c r="N806" s="140" t="s">
        <v>1443</v>
      </c>
      <c r="O806" s="140" t="s">
        <v>1443</v>
      </c>
      <c r="P806" s="140" t="s">
        <v>1443</v>
      </c>
      <c r="Q806" s="140" t="s">
        <v>1443</v>
      </c>
      <c r="R806" s="91"/>
      <c r="S806" s="91"/>
      <c r="T806" s="91"/>
      <c r="U806" s="91"/>
      <c r="V806" s="91"/>
    </row>
    <row r="807" spans="2:22" ht="12.75" hidden="1" customHeight="1" outlineLevel="1" x14ac:dyDescent="0.2">
      <c r="B807" s="5" t="s">
        <v>1465</v>
      </c>
      <c r="C807" s="118" t="s">
        <v>919</v>
      </c>
      <c r="D807" s="46">
        <v>299444</v>
      </c>
      <c r="E807" s="41"/>
      <c r="F807" s="140" t="s">
        <v>1443</v>
      </c>
      <c r="G807" s="140" t="s">
        <v>1443</v>
      </c>
      <c r="H807" s="140" t="s">
        <v>1443</v>
      </c>
      <c r="I807" s="140" t="s">
        <v>1443</v>
      </c>
      <c r="J807" s="140" t="s">
        <v>1443</v>
      </c>
      <c r="K807" s="140" t="s">
        <v>1443</v>
      </c>
      <c r="L807" s="140" t="s">
        <v>1443</v>
      </c>
      <c r="M807" s="140" t="s">
        <v>1443</v>
      </c>
      <c r="N807" s="140" t="s">
        <v>1443</v>
      </c>
      <c r="O807" s="140" t="s">
        <v>1443</v>
      </c>
      <c r="P807" s="140" t="s">
        <v>1443</v>
      </c>
      <c r="Q807" s="140" t="s">
        <v>1443</v>
      </c>
      <c r="R807" s="91"/>
      <c r="S807" s="91"/>
      <c r="T807" s="91"/>
      <c r="U807" s="91"/>
      <c r="V807" s="91"/>
    </row>
    <row r="808" spans="2:22" ht="12.75" hidden="1" customHeight="1" outlineLevel="1" x14ac:dyDescent="0.2">
      <c r="B808" s="5" t="s">
        <v>1466</v>
      </c>
      <c r="C808" s="118" t="s">
        <v>920</v>
      </c>
      <c r="D808" s="46">
        <v>299445</v>
      </c>
      <c r="E808" s="41"/>
      <c r="F808" s="140" t="s">
        <v>1443</v>
      </c>
      <c r="G808" s="140" t="s">
        <v>1443</v>
      </c>
      <c r="H808" s="140" t="s">
        <v>1443</v>
      </c>
      <c r="I808" s="140" t="s">
        <v>1443</v>
      </c>
      <c r="J808" s="140" t="s">
        <v>1443</v>
      </c>
      <c r="K808" s="140" t="s">
        <v>1443</v>
      </c>
      <c r="L808" s="140" t="s">
        <v>1443</v>
      </c>
      <c r="M808" s="140" t="s">
        <v>1443</v>
      </c>
      <c r="N808" s="140" t="s">
        <v>1443</v>
      </c>
      <c r="O808" s="140" t="s">
        <v>1443</v>
      </c>
      <c r="P808" s="140" t="s">
        <v>1443</v>
      </c>
      <c r="Q808" s="140" t="s">
        <v>1443</v>
      </c>
      <c r="R808" s="91"/>
      <c r="S808" s="91"/>
      <c r="T808" s="91"/>
      <c r="U808" s="91"/>
      <c r="V808" s="91"/>
    </row>
    <row r="809" spans="2:22" ht="12.75" hidden="1" customHeight="1" outlineLevel="1" x14ac:dyDescent="0.2">
      <c r="B809" s="8" t="s">
        <v>380</v>
      </c>
      <c r="C809" s="118" t="s">
        <v>192</v>
      </c>
      <c r="D809" s="46" t="s">
        <v>192</v>
      </c>
      <c r="E809" s="41"/>
      <c r="F809" s="21"/>
      <c r="G809" s="21"/>
      <c r="H809" s="21"/>
      <c r="I809" s="21"/>
      <c r="J809" s="21"/>
      <c r="K809" s="21"/>
      <c r="L809" s="21"/>
      <c r="M809" s="21"/>
      <c r="N809" s="21"/>
      <c r="O809" s="21"/>
      <c r="P809" s="21"/>
      <c r="Q809" s="21"/>
    </row>
    <row r="810" spans="2:22" ht="12.75" hidden="1" customHeight="1" outlineLevel="1" x14ac:dyDescent="0.2">
      <c r="B810" s="5" t="s">
        <v>379</v>
      </c>
      <c r="C810" s="118" t="s">
        <v>1309</v>
      </c>
      <c r="D810" s="46">
        <v>299464</v>
      </c>
      <c r="E810" s="41"/>
      <c r="F810" s="134" t="s">
        <v>1443</v>
      </c>
      <c r="G810" s="134" t="s">
        <v>1443</v>
      </c>
      <c r="H810" s="134" t="s">
        <v>1443</v>
      </c>
      <c r="I810" s="134" t="s">
        <v>1443</v>
      </c>
      <c r="J810" s="134" t="s">
        <v>1443</v>
      </c>
      <c r="K810" s="134" t="s">
        <v>1443</v>
      </c>
      <c r="L810" s="134" t="s">
        <v>1443</v>
      </c>
      <c r="M810" s="134" t="s">
        <v>1443</v>
      </c>
      <c r="N810" s="134" t="s">
        <v>1443</v>
      </c>
      <c r="O810" s="134" t="s">
        <v>1443</v>
      </c>
      <c r="P810" s="134" t="s">
        <v>1443</v>
      </c>
      <c r="Q810" s="134" t="s">
        <v>1443</v>
      </c>
      <c r="R810" s="109"/>
      <c r="S810" s="109"/>
      <c r="T810" s="109"/>
      <c r="U810" s="109"/>
      <c r="V810" s="109"/>
    </row>
    <row r="811" spans="2:22" ht="12.75" hidden="1" customHeight="1" outlineLevel="1" x14ac:dyDescent="0.2">
      <c r="B811" s="5" t="s">
        <v>378</v>
      </c>
      <c r="C811" s="118" t="s">
        <v>1310</v>
      </c>
      <c r="D811" s="46">
        <v>299465</v>
      </c>
      <c r="E811" s="41"/>
      <c r="F811" s="134" t="s">
        <v>1443</v>
      </c>
      <c r="G811" s="134" t="s">
        <v>1443</v>
      </c>
      <c r="H811" s="134" t="s">
        <v>1443</v>
      </c>
      <c r="I811" s="134" t="s">
        <v>1443</v>
      </c>
      <c r="J811" s="134" t="s">
        <v>1443</v>
      </c>
      <c r="K811" s="134" t="s">
        <v>1443</v>
      </c>
      <c r="L811" s="134" t="s">
        <v>1443</v>
      </c>
      <c r="M811" s="134" t="s">
        <v>1443</v>
      </c>
      <c r="N811" s="134" t="s">
        <v>1443</v>
      </c>
      <c r="O811" s="134" t="s">
        <v>1443</v>
      </c>
      <c r="P811" s="134" t="s">
        <v>1443</v>
      </c>
      <c r="Q811" s="134" t="s">
        <v>1443</v>
      </c>
      <c r="R811" s="109"/>
      <c r="S811" s="109"/>
      <c r="T811" s="109"/>
      <c r="U811" s="109"/>
      <c r="V811" s="109"/>
    </row>
    <row r="812" spans="2:22" ht="12.75" hidden="1" customHeight="1" outlineLevel="1" x14ac:dyDescent="0.2">
      <c r="B812" s="5" t="s">
        <v>377</v>
      </c>
      <c r="C812" s="118" t="s">
        <v>1311</v>
      </c>
      <c r="D812" s="46">
        <v>299466</v>
      </c>
      <c r="E812" s="41"/>
      <c r="F812" s="134" t="s">
        <v>1443</v>
      </c>
      <c r="G812" s="134" t="s">
        <v>1443</v>
      </c>
      <c r="H812" s="134" t="s">
        <v>1443</v>
      </c>
      <c r="I812" s="134" t="s">
        <v>1443</v>
      </c>
      <c r="J812" s="134" t="s">
        <v>1443</v>
      </c>
      <c r="K812" s="134" t="s">
        <v>1443</v>
      </c>
      <c r="L812" s="134" t="s">
        <v>1443</v>
      </c>
      <c r="M812" s="134" t="s">
        <v>1443</v>
      </c>
      <c r="N812" s="134" t="s">
        <v>1443</v>
      </c>
      <c r="O812" s="134" t="s">
        <v>1443</v>
      </c>
      <c r="P812" s="134" t="s">
        <v>1443</v>
      </c>
      <c r="Q812" s="134" t="s">
        <v>1443</v>
      </c>
      <c r="R812" s="109"/>
      <c r="S812" s="109"/>
      <c r="T812" s="109"/>
      <c r="U812" s="109"/>
      <c r="V812" s="109"/>
    </row>
    <row r="813" spans="2:22" ht="12.75" hidden="1" customHeight="1" outlineLevel="1" x14ac:dyDescent="0.2">
      <c r="B813" s="5" t="s">
        <v>376</v>
      </c>
      <c r="C813" s="118" t="s">
        <v>1312</v>
      </c>
      <c r="D813" s="46">
        <v>299467</v>
      </c>
      <c r="E813" s="41"/>
      <c r="F813" s="134" t="s">
        <v>1443</v>
      </c>
      <c r="G813" s="134" t="s">
        <v>1443</v>
      </c>
      <c r="H813" s="134" t="s">
        <v>1443</v>
      </c>
      <c r="I813" s="134" t="s">
        <v>1443</v>
      </c>
      <c r="J813" s="134" t="s">
        <v>1443</v>
      </c>
      <c r="K813" s="134" t="s">
        <v>1443</v>
      </c>
      <c r="L813" s="134" t="s">
        <v>1443</v>
      </c>
      <c r="M813" s="134" t="s">
        <v>1443</v>
      </c>
      <c r="N813" s="134" t="s">
        <v>1443</v>
      </c>
      <c r="O813" s="134" t="s">
        <v>1443</v>
      </c>
      <c r="P813" s="134" t="s">
        <v>1443</v>
      </c>
      <c r="Q813" s="134" t="s">
        <v>1443</v>
      </c>
      <c r="R813" s="109"/>
      <c r="S813" s="109"/>
      <c r="T813" s="109"/>
      <c r="U813" s="109"/>
      <c r="V813" s="109"/>
    </row>
    <row r="814" spans="2:22" ht="12.75" hidden="1" customHeight="1" outlineLevel="1" x14ac:dyDescent="0.2">
      <c r="B814" s="5" t="s">
        <v>375</v>
      </c>
      <c r="C814" s="118" t="s">
        <v>1314</v>
      </c>
      <c r="D814" s="46">
        <v>299468</v>
      </c>
      <c r="E814" s="41"/>
      <c r="F814" s="134" t="s">
        <v>1443</v>
      </c>
      <c r="G814" s="134" t="s">
        <v>1443</v>
      </c>
      <c r="H814" s="134" t="s">
        <v>1443</v>
      </c>
      <c r="I814" s="134" t="s">
        <v>1443</v>
      </c>
      <c r="J814" s="134" t="s">
        <v>1443</v>
      </c>
      <c r="K814" s="134" t="s">
        <v>1443</v>
      </c>
      <c r="L814" s="134" t="s">
        <v>1443</v>
      </c>
      <c r="M814" s="134" t="s">
        <v>1443</v>
      </c>
      <c r="N814" s="134" t="s">
        <v>1443</v>
      </c>
      <c r="O814" s="134" t="s">
        <v>1443</v>
      </c>
      <c r="P814" s="134" t="s">
        <v>1443</v>
      </c>
      <c r="Q814" s="134" t="s">
        <v>1443</v>
      </c>
      <c r="R814" s="109"/>
      <c r="S814" s="109"/>
      <c r="T814" s="109"/>
      <c r="U814" s="109"/>
      <c r="V814" s="109"/>
    </row>
    <row r="815" spans="2:22" ht="12.75" hidden="1" customHeight="1" outlineLevel="1" x14ac:dyDescent="0.2">
      <c r="B815" s="5" t="s">
        <v>374</v>
      </c>
      <c r="C815" s="118" t="s">
        <v>1313</v>
      </c>
      <c r="D815" s="46">
        <v>299469</v>
      </c>
      <c r="E815" s="41"/>
      <c r="F815" s="134" t="s">
        <v>1443</v>
      </c>
      <c r="G815" s="134" t="s">
        <v>1443</v>
      </c>
      <c r="H815" s="134" t="s">
        <v>1443</v>
      </c>
      <c r="I815" s="134" t="s">
        <v>1443</v>
      </c>
      <c r="J815" s="134" t="s">
        <v>1443</v>
      </c>
      <c r="K815" s="134" t="s">
        <v>1443</v>
      </c>
      <c r="L815" s="134" t="s">
        <v>1443</v>
      </c>
      <c r="M815" s="134" t="s">
        <v>1443</v>
      </c>
      <c r="N815" s="134" t="s">
        <v>1443</v>
      </c>
      <c r="O815" s="134" t="s">
        <v>1443</v>
      </c>
      <c r="P815" s="134" t="s">
        <v>1443</v>
      </c>
      <c r="Q815" s="134" t="s">
        <v>1443</v>
      </c>
      <c r="R815" s="109"/>
      <c r="S815" s="109"/>
      <c r="T815" s="109"/>
      <c r="U815" s="109"/>
      <c r="V815" s="109"/>
    </row>
    <row r="816" spans="2:22" ht="12.75" hidden="1" customHeight="1" outlineLevel="1" x14ac:dyDescent="0.2">
      <c r="B816" s="8" t="s">
        <v>373</v>
      </c>
      <c r="C816" s="118" t="s">
        <v>192</v>
      </c>
      <c r="D816" s="46" t="s">
        <v>192</v>
      </c>
      <c r="E816" s="41"/>
      <c r="F816" s="134"/>
      <c r="G816" s="134"/>
      <c r="H816" s="134"/>
      <c r="I816" s="134"/>
      <c r="J816" s="134"/>
      <c r="K816" s="134"/>
      <c r="L816" s="134"/>
      <c r="M816" s="134"/>
      <c r="N816" s="134"/>
      <c r="O816" s="134"/>
      <c r="P816" s="134"/>
      <c r="Q816" s="134"/>
    </row>
    <row r="817" spans="2:22" ht="12.75" hidden="1" customHeight="1" outlineLevel="1" x14ac:dyDescent="0.2">
      <c r="B817" s="5" t="s">
        <v>372</v>
      </c>
      <c r="C817" s="118" t="s">
        <v>1315</v>
      </c>
      <c r="D817" s="46">
        <v>299470</v>
      </c>
      <c r="E817" s="41"/>
      <c r="F817" s="134" t="s">
        <v>1443</v>
      </c>
      <c r="G817" s="134" t="s">
        <v>1443</v>
      </c>
      <c r="H817" s="134" t="s">
        <v>1443</v>
      </c>
      <c r="I817" s="134" t="s">
        <v>1443</v>
      </c>
      <c r="J817" s="134" t="s">
        <v>1443</v>
      </c>
      <c r="K817" s="134" t="s">
        <v>1443</v>
      </c>
      <c r="L817" s="134" t="s">
        <v>1443</v>
      </c>
      <c r="M817" s="134" t="s">
        <v>1443</v>
      </c>
      <c r="N817" s="134" t="s">
        <v>1443</v>
      </c>
      <c r="O817" s="134" t="s">
        <v>1443</v>
      </c>
      <c r="P817" s="134" t="s">
        <v>1443</v>
      </c>
      <c r="Q817" s="134" t="s">
        <v>1443</v>
      </c>
      <c r="R817" s="109"/>
      <c r="S817" s="109"/>
      <c r="T817" s="109"/>
      <c r="U817" s="109"/>
      <c r="V817" s="109"/>
    </row>
    <row r="818" spans="2:22" ht="12.75" hidden="1" customHeight="1" outlineLevel="1" x14ac:dyDescent="0.2">
      <c r="B818" s="5" t="s">
        <v>371</v>
      </c>
      <c r="C818" s="118" t="s">
        <v>1316</v>
      </c>
      <c r="D818" s="46">
        <v>299471</v>
      </c>
      <c r="E818" s="41"/>
      <c r="F818" s="134" t="s">
        <v>1443</v>
      </c>
      <c r="G818" s="134" t="s">
        <v>1443</v>
      </c>
      <c r="H818" s="134" t="s">
        <v>1443</v>
      </c>
      <c r="I818" s="134" t="s">
        <v>1443</v>
      </c>
      <c r="J818" s="134" t="s">
        <v>1443</v>
      </c>
      <c r="K818" s="134" t="s">
        <v>1443</v>
      </c>
      <c r="L818" s="134" t="s">
        <v>1443</v>
      </c>
      <c r="M818" s="134" t="s">
        <v>1443</v>
      </c>
      <c r="N818" s="134" t="s">
        <v>1443</v>
      </c>
      <c r="O818" s="134" t="s">
        <v>1443</v>
      </c>
      <c r="P818" s="134" t="s">
        <v>1443</v>
      </c>
      <c r="Q818" s="134" t="s">
        <v>1443</v>
      </c>
      <c r="R818" s="109"/>
      <c r="S818" s="109"/>
      <c r="T818" s="109"/>
      <c r="U818" s="109"/>
      <c r="V818" s="109"/>
    </row>
    <row r="819" spans="2:22" ht="12.75" hidden="1" customHeight="1" outlineLevel="1" x14ac:dyDescent="0.2">
      <c r="B819" s="5" t="s">
        <v>370</v>
      </c>
      <c r="C819" s="118" t="s">
        <v>1317</v>
      </c>
      <c r="D819" s="46">
        <v>299472</v>
      </c>
      <c r="E819" s="41"/>
      <c r="F819" s="134" t="s">
        <v>1443</v>
      </c>
      <c r="G819" s="134" t="s">
        <v>1443</v>
      </c>
      <c r="H819" s="134" t="s">
        <v>1443</v>
      </c>
      <c r="I819" s="134" t="s">
        <v>1443</v>
      </c>
      <c r="J819" s="134" t="s">
        <v>1443</v>
      </c>
      <c r="K819" s="134" t="s">
        <v>1443</v>
      </c>
      <c r="L819" s="134" t="s">
        <v>1443</v>
      </c>
      <c r="M819" s="134" t="s">
        <v>1443</v>
      </c>
      <c r="N819" s="134" t="s">
        <v>1443</v>
      </c>
      <c r="O819" s="134" t="s">
        <v>1443</v>
      </c>
      <c r="P819" s="134" t="s">
        <v>1443</v>
      </c>
      <c r="Q819" s="134" t="s">
        <v>1443</v>
      </c>
      <c r="R819" s="109"/>
      <c r="S819" s="109"/>
      <c r="T819" s="109"/>
      <c r="U819" s="109"/>
      <c r="V819" s="109"/>
    </row>
    <row r="820" spans="2:22" ht="12.75" hidden="1" customHeight="1" outlineLevel="1" x14ac:dyDescent="0.2">
      <c r="B820" s="5" t="s">
        <v>369</v>
      </c>
      <c r="C820" s="118" t="s">
        <v>1318</v>
      </c>
      <c r="D820" s="46">
        <v>299473</v>
      </c>
      <c r="E820" s="41"/>
      <c r="F820" s="134" t="s">
        <v>1443</v>
      </c>
      <c r="G820" s="134" t="s">
        <v>1443</v>
      </c>
      <c r="H820" s="134" t="s">
        <v>1443</v>
      </c>
      <c r="I820" s="134" t="s">
        <v>1443</v>
      </c>
      <c r="J820" s="134" t="s">
        <v>1443</v>
      </c>
      <c r="K820" s="134" t="s">
        <v>1443</v>
      </c>
      <c r="L820" s="134" t="s">
        <v>1443</v>
      </c>
      <c r="M820" s="134" t="s">
        <v>1443</v>
      </c>
      <c r="N820" s="134" t="s">
        <v>1443</v>
      </c>
      <c r="O820" s="134" t="s">
        <v>1443</v>
      </c>
      <c r="P820" s="134" t="s">
        <v>1443</v>
      </c>
      <c r="Q820" s="134" t="s">
        <v>1443</v>
      </c>
      <c r="R820" s="109"/>
      <c r="S820" s="109"/>
      <c r="T820" s="109"/>
      <c r="U820" s="109"/>
      <c r="V820" s="109"/>
    </row>
    <row r="821" spans="2:22" ht="12.75" hidden="1" customHeight="1" outlineLevel="1" x14ac:dyDescent="0.2">
      <c r="B821" s="5" t="s">
        <v>368</v>
      </c>
      <c r="C821" s="118" t="s">
        <v>1319</v>
      </c>
      <c r="D821" s="46">
        <v>299483</v>
      </c>
      <c r="E821" s="41"/>
      <c r="F821" s="134" t="s">
        <v>1443</v>
      </c>
      <c r="G821" s="134" t="s">
        <v>1443</v>
      </c>
      <c r="H821" s="134" t="s">
        <v>1443</v>
      </c>
      <c r="I821" s="134" t="s">
        <v>1443</v>
      </c>
      <c r="J821" s="134" t="s">
        <v>1443</v>
      </c>
      <c r="K821" s="134" t="s">
        <v>1443</v>
      </c>
      <c r="L821" s="134" t="s">
        <v>1443</v>
      </c>
      <c r="M821" s="134" t="s">
        <v>1443</v>
      </c>
      <c r="N821" s="134" t="s">
        <v>1443</v>
      </c>
      <c r="O821" s="134" t="s">
        <v>1443</v>
      </c>
      <c r="P821" s="134" t="s">
        <v>1443</v>
      </c>
      <c r="Q821" s="134" t="s">
        <v>1443</v>
      </c>
      <c r="R821" s="22"/>
      <c r="S821" s="109"/>
      <c r="T821" s="109"/>
      <c r="U821" s="109"/>
      <c r="V821" s="109"/>
    </row>
    <row r="822" spans="2:22" ht="12.75" hidden="1" customHeight="1" outlineLevel="1" x14ac:dyDescent="0.2">
      <c r="B822" s="5" t="s">
        <v>367</v>
      </c>
      <c r="C822" s="118" t="s">
        <v>1320</v>
      </c>
      <c r="D822" s="46">
        <v>299484</v>
      </c>
      <c r="E822" s="41"/>
      <c r="F822" s="134" t="s">
        <v>1443</v>
      </c>
      <c r="G822" s="134" t="s">
        <v>1443</v>
      </c>
      <c r="H822" s="134" t="s">
        <v>1443</v>
      </c>
      <c r="I822" s="134" t="s">
        <v>1443</v>
      </c>
      <c r="J822" s="134" t="s">
        <v>1443</v>
      </c>
      <c r="K822" s="134" t="s">
        <v>1443</v>
      </c>
      <c r="L822" s="134" t="s">
        <v>1443</v>
      </c>
      <c r="M822" s="134" t="s">
        <v>1443</v>
      </c>
      <c r="N822" s="134" t="s">
        <v>1443</v>
      </c>
      <c r="O822" s="134" t="s">
        <v>1443</v>
      </c>
      <c r="P822" s="134" t="s">
        <v>1443</v>
      </c>
      <c r="Q822" s="134" t="s">
        <v>1443</v>
      </c>
      <c r="R822" s="22"/>
      <c r="S822" s="109"/>
      <c r="T822" s="109"/>
      <c r="U822" s="109"/>
      <c r="V822" s="109"/>
    </row>
    <row r="823" spans="2:22" ht="12.75" hidden="1" customHeight="1" outlineLevel="1" x14ac:dyDescent="0.2">
      <c r="B823" s="5" t="s">
        <v>366</v>
      </c>
      <c r="C823" s="118" t="s">
        <v>1321</v>
      </c>
      <c r="D823" s="46">
        <v>299485</v>
      </c>
      <c r="E823" s="41"/>
      <c r="F823" s="134" t="s">
        <v>1443</v>
      </c>
      <c r="G823" s="134" t="s">
        <v>1443</v>
      </c>
      <c r="H823" s="134" t="s">
        <v>1443</v>
      </c>
      <c r="I823" s="134" t="s">
        <v>1443</v>
      </c>
      <c r="J823" s="134" t="s">
        <v>1443</v>
      </c>
      <c r="K823" s="134" t="s">
        <v>1443</v>
      </c>
      <c r="L823" s="134" t="s">
        <v>1443</v>
      </c>
      <c r="M823" s="134" t="s">
        <v>1443</v>
      </c>
      <c r="N823" s="134" t="s">
        <v>1443</v>
      </c>
      <c r="O823" s="134" t="s">
        <v>1443</v>
      </c>
      <c r="P823" s="134" t="s">
        <v>1443</v>
      </c>
      <c r="Q823" s="134" t="s">
        <v>1443</v>
      </c>
      <c r="R823" s="22"/>
      <c r="S823" s="109"/>
      <c r="T823" s="109"/>
      <c r="U823" s="109"/>
      <c r="V823" s="109"/>
    </row>
    <row r="824" spans="2:22" ht="12.75" hidden="1" customHeight="1" outlineLevel="1" x14ac:dyDescent="0.2">
      <c r="B824" s="5" t="s">
        <v>365</v>
      </c>
      <c r="C824" s="118" t="s">
        <v>1322</v>
      </c>
      <c r="D824" s="46">
        <v>299474</v>
      </c>
      <c r="E824" s="41"/>
      <c r="F824" s="134" t="s">
        <v>1443</v>
      </c>
      <c r="G824" s="134" t="s">
        <v>1443</v>
      </c>
      <c r="H824" s="134" t="s">
        <v>1443</v>
      </c>
      <c r="I824" s="134" t="s">
        <v>1443</v>
      </c>
      <c r="J824" s="134" t="s">
        <v>1443</v>
      </c>
      <c r="K824" s="134" t="s">
        <v>1443</v>
      </c>
      <c r="L824" s="134" t="s">
        <v>1443</v>
      </c>
      <c r="M824" s="134" t="s">
        <v>1443</v>
      </c>
      <c r="N824" s="134" t="s">
        <v>1443</v>
      </c>
      <c r="O824" s="134" t="s">
        <v>1443</v>
      </c>
      <c r="P824" s="134" t="s">
        <v>1443</v>
      </c>
      <c r="Q824" s="134" t="s">
        <v>1443</v>
      </c>
      <c r="R824" s="109"/>
      <c r="S824" s="109"/>
      <c r="T824" s="109"/>
      <c r="U824" s="109"/>
      <c r="V824" s="109"/>
    </row>
    <row r="825" spans="2:22" ht="12.75" hidden="1" customHeight="1" outlineLevel="1" x14ac:dyDescent="0.2">
      <c r="B825" s="8" t="s">
        <v>364</v>
      </c>
      <c r="C825" s="118" t="s">
        <v>192</v>
      </c>
      <c r="D825" s="46" t="s">
        <v>192</v>
      </c>
      <c r="E825" s="41"/>
      <c r="F825" s="134"/>
      <c r="G825" s="134"/>
      <c r="H825" s="134"/>
      <c r="I825" s="134"/>
      <c r="J825" s="134"/>
      <c r="K825" s="134"/>
      <c r="L825" s="134"/>
      <c r="M825" s="134"/>
      <c r="N825" s="134"/>
      <c r="O825" s="134"/>
      <c r="P825" s="134"/>
      <c r="Q825" s="134"/>
    </row>
    <row r="826" spans="2:22" ht="12.75" hidden="1" customHeight="1" outlineLevel="1" x14ac:dyDescent="0.2">
      <c r="B826" s="5" t="s">
        <v>363</v>
      </c>
      <c r="C826" s="118" t="s">
        <v>1323</v>
      </c>
      <c r="D826" s="46">
        <v>299475</v>
      </c>
      <c r="E826" s="41"/>
      <c r="F826" s="134" t="s">
        <v>1443</v>
      </c>
      <c r="G826" s="134" t="s">
        <v>1443</v>
      </c>
      <c r="H826" s="134" t="s">
        <v>1443</v>
      </c>
      <c r="I826" s="134" t="s">
        <v>1443</v>
      </c>
      <c r="J826" s="134" t="s">
        <v>1443</v>
      </c>
      <c r="K826" s="134" t="s">
        <v>1443</v>
      </c>
      <c r="L826" s="134" t="s">
        <v>1443</v>
      </c>
      <c r="M826" s="134" t="s">
        <v>1443</v>
      </c>
      <c r="N826" s="134" t="s">
        <v>1443</v>
      </c>
      <c r="O826" s="134" t="s">
        <v>1443</v>
      </c>
      <c r="P826" s="134" t="s">
        <v>1443</v>
      </c>
      <c r="Q826" s="134" t="s">
        <v>1443</v>
      </c>
      <c r="R826" s="109"/>
      <c r="S826" s="109"/>
      <c r="T826" s="109"/>
      <c r="U826" s="109"/>
      <c r="V826" s="109"/>
    </row>
    <row r="827" spans="2:22" ht="12.75" hidden="1" customHeight="1" outlineLevel="1" x14ac:dyDescent="0.2">
      <c r="B827" s="5" t="s">
        <v>362</v>
      </c>
      <c r="C827" s="118" t="s">
        <v>1324</v>
      </c>
      <c r="D827" s="46">
        <v>299476</v>
      </c>
      <c r="E827" s="41"/>
      <c r="F827" s="134" t="s">
        <v>1443</v>
      </c>
      <c r="G827" s="134" t="s">
        <v>1443</v>
      </c>
      <c r="H827" s="134" t="s">
        <v>1443</v>
      </c>
      <c r="I827" s="134" t="s">
        <v>1443</v>
      </c>
      <c r="J827" s="134" t="s">
        <v>1443</v>
      </c>
      <c r="K827" s="134" t="s">
        <v>1443</v>
      </c>
      <c r="L827" s="134" t="s">
        <v>1443</v>
      </c>
      <c r="M827" s="134" t="s">
        <v>1443</v>
      </c>
      <c r="N827" s="134" t="s">
        <v>1443</v>
      </c>
      <c r="O827" s="134" t="s">
        <v>1443</v>
      </c>
      <c r="P827" s="134" t="s">
        <v>1443</v>
      </c>
      <c r="Q827" s="134" t="s">
        <v>1443</v>
      </c>
      <c r="R827" s="109"/>
      <c r="S827" s="109"/>
      <c r="T827" s="109"/>
      <c r="U827" s="109"/>
      <c r="V827" s="109"/>
    </row>
    <row r="828" spans="2:22" ht="12.75" hidden="1" customHeight="1" outlineLevel="1" x14ac:dyDescent="0.2">
      <c r="B828" s="5" t="s">
        <v>361</v>
      </c>
      <c r="C828" s="118" t="s">
        <v>1325</v>
      </c>
      <c r="D828" s="46">
        <v>299477</v>
      </c>
      <c r="E828" s="41"/>
      <c r="F828" s="134" t="s">
        <v>1443</v>
      </c>
      <c r="G828" s="134">
        <v>-10.3</v>
      </c>
      <c r="H828" s="134" t="s">
        <v>1443</v>
      </c>
      <c r="I828" s="134" t="s">
        <v>1443</v>
      </c>
      <c r="J828" s="134" t="s">
        <v>1443</v>
      </c>
      <c r="K828" s="134">
        <v>-8</v>
      </c>
      <c r="L828" s="134" t="s">
        <v>1443</v>
      </c>
      <c r="M828" s="134" t="s">
        <v>1443</v>
      </c>
      <c r="N828" s="134" t="s">
        <v>1443</v>
      </c>
      <c r="O828" s="134">
        <v>-6.9</v>
      </c>
      <c r="P828" s="134" t="s">
        <v>1443</v>
      </c>
      <c r="Q828" s="134" t="s">
        <v>1443</v>
      </c>
      <c r="R828" s="109"/>
      <c r="S828" s="109"/>
      <c r="T828" s="109"/>
      <c r="U828" s="109"/>
      <c r="V828" s="109"/>
    </row>
    <row r="829" spans="2:22" ht="12.75" hidden="1" customHeight="1" outlineLevel="1" x14ac:dyDescent="0.2">
      <c r="B829" s="8" t="s">
        <v>438</v>
      </c>
      <c r="C829" s="118" t="s">
        <v>192</v>
      </c>
      <c r="D829" s="46" t="s">
        <v>192</v>
      </c>
      <c r="E829" s="41"/>
      <c r="F829" s="134"/>
      <c r="G829" s="134"/>
      <c r="H829" s="134"/>
      <c r="I829" s="134"/>
      <c r="J829" s="134"/>
      <c r="K829" s="134"/>
      <c r="L829" s="134"/>
      <c r="M829" s="134"/>
      <c r="N829" s="134"/>
      <c r="O829" s="134"/>
      <c r="P829" s="134"/>
      <c r="Q829" s="134"/>
    </row>
    <row r="830" spans="2:22" ht="12.75" hidden="1" customHeight="1" outlineLevel="1" x14ac:dyDescent="0.2">
      <c r="B830" s="5" t="s">
        <v>437</v>
      </c>
      <c r="C830" s="118" t="s">
        <v>1326</v>
      </c>
      <c r="D830" s="46">
        <v>299486</v>
      </c>
      <c r="E830" s="41"/>
      <c r="F830" s="134" t="s">
        <v>1443</v>
      </c>
      <c r="G830" s="134" t="s">
        <v>1443</v>
      </c>
      <c r="H830" s="134" t="s">
        <v>1443</v>
      </c>
      <c r="I830" s="134" t="s">
        <v>1443</v>
      </c>
      <c r="J830" s="134" t="s">
        <v>1443</v>
      </c>
      <c r="K830" s="134" t="s">
        <v>1443</v>
      </c>
      <c r="L830" s="134" t="s">
        <v>1443</v>
      </c>
      <c r="M830" s="134" t="s">
        <v>1443</v>
      </c>
      <c r="N830" s="134" t="s">
        <v>1443</v>
      </c>
      <c r="O830" s="134" t="s">
        <v>1443</v>
      </c>
      <c r="P830" s="134" t="s">
        <v>1443</v>
      </c>
      <c r="Q830" s="134" t="s">
        <v>1443</v>
      </c>
      <c r="R830" s="109"/>
      <c r="S830" s="109"/>
      <c r="T830" s="109"/>
      <c r="U830" s="109"/>
      <c r="V830" s="109"/>
    </row>
    <row r="831" spans="2:22" ht="12.75" hidden="1" customHeight="1" outlineLevel="1" x14ac:dyDescent="0.2">
      <c r="B831" s="5" t="s">
        <v>436</v>
      </c>
      <c r="C831" s="118" t="s">
        <v>1327</v>
      </c>
      <c r="D831" s="46">
        <v>299487</v>
      </c>
      <c r="E831" s="41"/>
      <c r="F831" s="134" t="s">
        <v>1443</v>
      </c>
      <c r="G831" s="134" t="s">
        <v>1443</v>
      </c>
      <c r="H831" s="134" t="s">
        <v>1443</v>
      </c>
      <c r="I831" s="134" t="s">
        <v>1443</v>
      </c>
      <c r="J831" s="134" t="s">
        <v>1443</v>
      </c>
      <c r="K831" s="134" t="s">
        <v>1443</v>
      </c>
      <c r="L831" s="134" t="s">
        <v>1443</v>
      </c>
      <c r="M831" s="134" t="s">
        <v>1443</v>
      </c>
      <c r="N831" s="134" t="s">
        <v>1443</v>
      </c>
      <c r="O831" s="134" t="s">
        <v>1443</v>
      </c>
      <c r="P831" s="134" t="s">
        <v>1443</v>
      </c>
      <c r="Q831" s="134" t="s">
        <v>1443</v>
      </c>
      <c r="R831" s="109"/>
      <c r="S831" s="109"/>
      <c r="T831" s="109"/>
      <c r="U831" s="109"/>
      <c r="V831" s="109"/>
    </row>
    <row r="832" spans="2:22" ht="12.75" hidden="1" customHeight="1" outlineLevel="1" x14ac:dyDescent="0.2">
      <c r="B832" s="5" t="s">
        <v>435</v>
      </c>
      <c r="C832" s="118" t="s">
        <v>1329</v>
      </c>
      <c r="D832" s="46">
        <v>299488</v>
      </c>
      <c r="E832" s="41"/>
      <c r="F832" s="134" t="s">
        <v>1443</v>
      </c>
      <c r="G832" s="134" t="s">
        <v>1443</v>
      </c>
      <c r="H832" s="134" t="s">
        <v>1443</v>
      </c>
      <c r="I832" s="134" t="s">
        <v>1443</v>
      </c>
      <c r="J832" s="134" t="s">
        <v>1443</v>
      </c>
      <c r="K832" s="134" t="s">
        <v>1443</v>
      </c>
      <c r="L832" s="134" t="s">
        <v>1443</v>
      </c>
      <c r="M832" s="134" t="s">
        <v>1443</v>
      </c>
      <c r="N832" s="134" t="s">
        <v>1443</v>
      </c>
      <c r="O832" s="134" t="s">
        <v>1443</v>
      </c>
      <c r="P832" s="134" t="s">
        <v>1443</v>
      </c>
      <c r="Q832" s="134" t="s">
        <v>1443</v>
      </c>
      <c r="R832" s="109"/>
      <c r="S832" s="109"/>
      <c r="T832" s="109"/>
      <c r="U832" s="109"/>
      <c r="V832" s="109"/>
    </row>
    <row r="833" spans="2:22" ht="12.75" hidden="1" customHeight="1" outlineLevel="1" x14ac:dyDescent="0.2">
      <c r="B833" s="5" t="s">
        <v>434</v>
      </c>
      <c r="C833" s="118" t="s">
        <v>1328</v>
      </c>
      <c r="D833" s="46">
        <v>299489</v>
      </c>
      <c r="E833" s="41"/>
      <c r="F833" s="134" t="s">
        <v>1443</v>
      </c>
      <c r="G833" s="134" t="s">
        <v>1443</v>
      </c>
      <c r="H833" s="134" t="s">
        <v>1443</v>
      </c>
      <c r="I833" s="134" t="s">
        <v>1443</v>
      </c>
      <c r="J833" s="134" t="s">
        <v>1443</v>
      </c>
      <c r="K833" s="134" t="s">
        <v>1443</v>
      </c>
      <c r="L833" s="134" t="s">
        <v>1443</v>
      </c>
      <c r="M833" s="134" t="s">
        <v>1443</v>
      </c>
      <c r="N833" s="134" t="s">
        <v>1443</v>
      </c>
      <c r="O833" s="134" t="s">
        <v>1443</v>
      </c>
      <c r="P833" s="134" t="s">
        <v>1443</v>
      </c>
      <c r="Q833" s="134" t="s">
        <v>1443</v>
      </c>
      <c r="R833" s="109"/>
      <c r="S833" s="109"/>
      <c r="T833" s="109"/>
      <c r="U833" s="109"/>
      <c r="V833" s="109"/>
    </row>
    <row r="834" spans="2:22" ht="12.75" hidden="1" customHeight="1" outlineLevel="1" x14ac:dyDescent="0.2">
      <c r="C834" s="118" t="s">
        <v>192</v>
      </c>
      <c r="D834" s="46" t="s">
        <v>192</v>
      </c>
      <c r="E834" s="41"/>
      <c r="F834" s="134"/>
      <c r="G834" s="134"/>
      <c r="H834" s="134"/>
      <c r="I834" s="134"/>
      <c r="J834" s="134"/>
      <c r="K834" s="134"/>
      <c r="L834" s="134"/>
      <c r="M834" s="134"/>
      <c r="N834" s="134"/>
      <c r="O834" s="134"/>
      <c r="P834" s="134"/>
      <c r="Q834" s="134"/>
    </row>
    <row r="835" spans="2:22" ht="12.75" hidden="1" customHeight="1" outlineLevel="1" x14ac:dyDescent="0.2">
      <c r="B835" s="8" t="s">
        <v>433</v>
      </c>
      <c r="C835" s="118" t="s">
        <v>192</v>
      </c>
      <c r="D835" s="46" t="s">
        <v>192</v>
      </c>
      <c r="E835" s="41"/>
      <c r="F835" s="134"/>
      <c r="G835" s="134"/>
      <c r="H835" s="134"/>
      <c r="I835" s="134"/>
      <c r="J835" s="134"/>
      <c r="K835" s="134"/>
      <c r="L835" s="134"/>
      <c r="M835" s="134"/>
      <c r="N835" s="134"/>
      <c r="O835" s="134"/>
      <c r="P835" s="134"/>
      <c r="Q835" s="134"/>
    </row>
    <row r="836" spans="2:22" ht="12.75" hidden="1" customHeight="1" outlineLevel="1" x14ac:dyDescent="0.2">
      <c r="B836" s="8" t="s">
        <v>432</v>
      </c>
      <c r="C836" s="118" t="s">
        <v>192</v>
      </c>
      <c r="D836" s="46" t="s">
        <v>192</v>
      </c>
      <c r="E836" s="41"/>
      <c r="F836" s="134"/>
      <c r="G836" s="134"/>
      <c r="H836" s="134"/>
      <c r="I836" s="134"/>
      <c r="J836" s="134"/>
      <c r="K836" s="134"/>
      <c r="L836" s="134"/>
      <c r="M836" s="134"/>
      <c r="N836" s="134"/>
      <c r="O836" s="134"/>
      <c r="P836" s="134"/>
      <c r="Q836" s="134"/>
    </row>
    <row r="837" spans="2:22" ht="12.75" hidden="1" customHeight="1" outlineLevel="1" x14ac:dyDescent="0.2">
      <c r="B837" s="5" t="s">
        <v>424</v>
      </c>
      <c r="C837" s="118" t="s">
        <v>1330</v>
      </c>
      <c r="D837" s="46">
        <v>299650</v>
      </c>
      <c r="E837" s="41"/>
      <c r="F837" s="134" t="s">
        <v>1443</v>
      </c>
      <c r="G837" s="134" t="s">
        <v>1443</v>
      </c>
      <c r="H837" s="134" t="s">
        <v>1443</v>
      </c>
      <c r="I837" s="134" t="s">
        <v>1443</v>
      </c>
      <c r="J837" s="134" t="s">
        <v>1443</v>
      </c>
      <c r="K837" s="134" t="s">
        <v>1443</v>
      </c>
      <c r="L837" s="134" t="s">
        <v>1443</v>
      </c>
      <c r="M837" s="134" t="s">
        <v>1443</v>
      </c>
      <c r="N837" s="134" t="s">
        <v>1443</v>
      </c>
      <c r="O837" s="134" t="s">
        <v>1443</v>
      </c>
      <c r="P837" s="134" t="s">
        <v>1443</v>
      </c>
      <c r="Q837" s="134" t="s">
        <v>1443</v>
      </c>
      <c r="R837" s="109"/>
      <c r="S837" s="109"/>
      <c r="T837" s="109"/>
      <c r="U837" s="109"/>
      <c r="V837" s="109"/>
    </row>
    <row r="838" spans="2:22" ht="12.75" hidden="1" customHeight="1" outlineLevel="1" x14ac:dyDescent="0.2">
      <c r="B838" s="5" t="s">
        <v>423</v>
      </c>
      <c r="C838" s="118" t="s">
        <v>1331</v>
      </c>
      <c r="D838" s="46">
        <v>299651</v>
      </c>
      <c r="E838" s="41"/>
      <c r="F838" s="134" t="s">
        <v>1443</v>
      </c>
      <c r="G838" s="134" t="s">
        <v>1443</v>
      </c>
      <c r="H838" s="134" t="s">
        <v>1443</v>
      </c>
      <c r="I838" s="134" t="s">
        <v>1443</v>
      </c>
      <c r="J838" s="134" t="s">
        <v>1443</v>
      </c>
      <c r="K838" s="134" t="s">
        <v>1443</v>
      </c>
      <c r="L838" s="134" t="s">
        <v>1443</v>
      </c>
      <c r="M838" s="134" t="s">
        <v>1443</v>
      </c>
      <c r="N838" s="134" t="s">
        <v>1443</v>
      </c>
      <c r="O838" s="134" t="s">
        <v>1443</v>
      </c>
      <c r="P838" s="134" t="s">
        <v>1443</v>
      </c>
      <c r="Q838" s="134" t="s">
        <v>1443</v>
      </c>
      <c r="R838" s="109"/>
      <c r="S838" s="109"/>
      <c r="T838" s="109"/>
      <c r="U838" s="109"/>
      <c r="V838" s="109"/>
    </row>
    <row r="839" spans="2:22" ht="12.75" hidden="1" customHeight="1" outlineLevel="1" x14ac:dyDescent="0.2">
      <c r="B839" s="5" t="s">
        <v>431</v>
      </c>
      <c r="C839" s="118" t="s">
        <v>1332</v>
      </c>
      <c r="D839" s="46">
        <v>299652</v>
      </c>
      <c r="E839" s="41"/>
      <c r="F839" s="134" t="s">
        <v>1443</v>
      </c>
      <c r="G839" s="134" t="s">
        <v>1443</v>
      </c>
      <c r="H839" s="134" t="s">
        <v>1443</v>
      </c>
      <c r="I839" s="134" t="s">
        <v>1443</v>
      </c>
      <c r="J839" s="134" t="s">
        <v>1443</v>
      </c>
      <c r="K839" s="134" t="s">
        <v>1443</v>
      </c>
      <c r="L839" s="134" t="s">
        <v>1443</v>
      </c>
      <c r="M839" s="134" t="s">
        <v>1443</v>
      </c>
      <c r="N839" s="134" t="s">
        <v>1443</v>
      </c>
      <c r="O839" s="134" t="s">
        <v>1443</v>
      </c>
      <c r="P839" s="134" t="s">
        <v>1443</v>
      </c>
      <c r="Q839" s="134" t="s">
        <v>1443</v>
      </c>
      <c r="R839" s="109"/>
      <c r="S839" s="109"/>
      <c r="T839" s="109"/>
      <c r="U839" s="109"/>
      <c r="V839" s="109"/>
    </row>
    <row r="840" spans="2:22" ht="12.75" hidden="1" customHeight="1" outlineLevel="1" x14ac:dyDescent="0.2">
      <c r="B840" s="5" t="s">
        <v>430</v>
      </c>
      <c r="C840" s="118" t="s">
        <v>1333</v>
      </c>
      <c r="D840" s="46">
        <v>299654</v>
      </c>
      <c r="E840" s="41"/>
      <c r="F840" s="134" t="s">
        <v>1443</v>
      </c>
      <c r="G840" s="134" t="s">
        <v>1443</v>
      </c>
      <c r="H840" s="134" t="s">
        <v>1443</v>
      </c>
      <c r="I840" s="134" t="s">
        <v>1443</v>
      </c>
      <c r="J840" s="134" t="s">
        <v>1443</v>
      </c>
      <c r="K840" s="134" t="s">
        <v>1443</v>
      </c>
      <c r="L840" s="134" t="s">
        <v>1443</v>
      </c>
      <c r="M840" s="134" t="s">
        <v>1443</v>
      </c>
      <c r="N840" s="134" t="s">
        <v>1443</v>
      </c>
      <c r="O840" s="134" t="s">
        <v>1443</v>
      </c>
      <c r="P840" s="134" t="s">
        <v>1443</v>
      </c>
      <c r="Q840" s="134" t="s">
        <v>1443</v>
      </c>
      <c r="R840" s="109"/>
      <c r="S840" s="109"/>
      <c r="T840" s="109"/>
      <c r="U840" s="109"/>
      <c r="V840" s="109"/>
    </row>
    <row r="841" spans="2:22" ht="12.75" hidden="1" customHeight="1" outlineLevel="1" x14ac:dyDescent="0.2">
      <c r="B841" s="5" t="s">
        <v>429</v>
      </c>
      <c r="C841" s="118" t="s">
        <v>1334</v>
      </c>
      <c r="D841" s="46">
        <v>299655</v>
      </c>
      <c r="E841" s="41"/>
      <c r="F841" s="134" t="s">
        <v>1443</v>
      </c>
      <c r="G841" s="134" t="s">
        <v>1443</v>
      </c>
      <c r="H841" s="134" t="s">
        <v>1443</v>
      </c>
      <c r="I841" s="134" t="s">
        <v>1443</v>
      </c>
      <c r="J841" s="134" t="s">
        <v>1443</v>
      </c>
      <c r="K841" s="134" t="s">
        <v>1443</v>
      </c>
      <c r="L841" s="134" t="s">
        <v>1443</v>
      </c>
      <c r="M841" s="134" t="s">
        <v>1443</v>
      </c>
      <c r="N841" s="134" t="s">
        <v>1443</v>
      </c>
      <c r="O841" s="134" t="s">
        <v>1443</v>
      </c>
      <c r="P841" s="134" t="s">
        <v>1443</v>
      </c>
      <c r="Q841" s="134" t="s">
        <v>1443</v>
      </c>
      <c r="R841" s="109"/>
      <c r="S841" s="109"/>
      <c r="T841" s="109"/>
      <c r="U841" s="109"/>
      <c r="V841" s="109"/>
    </row>
    <row r="842" spans="2:22" ht="12.75" hidden="1" customHeight="1" outlineLevel="1" x14ac:dyDescent="0.2">
      <c r="B842" s="5" t="s">
        <v>428</v>
      </c>
      <c r="C842" s="118" t="s">
        <v>1335</v>
      </c>
      <c r="D842" s="46">
        <v>299656</v>
      </c>
      <c r="E842" s="41"/>
      <c r="F842" s="134" t="s">
        <v>1443</v>
      </c>
      <c r="G842" s="134" t="s">
        <v>1443</v>
      </c>
      <c r="H842" s="134" t="s">
        <v>1443</v>
      </c>
      <c r="I842" s="134" t="s">
        <v>1443</v>
      </c>
      <c r="J842" s="134" t="s">
        <v>1443</v>
      </c>
      <c r="K842" s="134" t="s">
        <v>1443</v>
      </c>
      <c r="L842" s="134" t="s">
        <v>1443</v>
      </c>
      <c r="M842" s="134" t="s">
        <v>1443</v>
      </c>
      <c r="N842" s="134" t="s">
        <v>1443</v>
      </c>
      <c r="O842" s="134" t="s">
        <v>1443</v>
      </c>
      <c r="P842" s="134" t="s">
        <v>1443</v>
      </c>
      <c r="Q842" s="134" t="s">
        <v>1443</v>
      </c>
      <c r="R842" s="109"/>
      <c r="S842" s="109"/>
      <c r="T842" s="109"/>
      <c r="U842" s="109"/>
      <c r="V842" s="109"/>
    </row>
    <row r="843" spans="2:22" ht="12.75" hidden="1" customHeight="1" outlineLevel="1" x14ac:dyDescent="0.2">
      <c r="B843" s="5" t="s">
        <v>427</v>
      </c>
      <c r="C843" s="118" t="s">
        <v>1336</v>
      </c>
      <c r="D843" s="46">
        <v>299657</v>
      </c>
      <c r="E843" s="41"/>
      <c r="F843" s="134" t="s">
        <v>1443</v>
      </c>
      <c r="G843" s="134" t="s">
        <v>1443</v>
      </c>
      <c r="H843" s="134" t="s">
        <v>1443</v>
      </c>
      <c r="I843" s="134" t="s">
        <v>1443</v>
      </c>
      <c r="J843" s="134" t="s">
        <v>1443</v>
      </c>
      <c r="K843" s="134" t="s">
        <v>1443</v>
      </c>
      <c r="L843" s="134" t="s">
        <v>1443</v>
      </c>
      <c r="M843" s="134" t="s">
        <v>1443</v>
      </c>
      <c r="N843" s="134" t="s">
        <v>1443</v>
      </c>
      <c r="O843" s="134" t="s">
        <v>1443</v>
      </c>
      <c r="P843" s="134" t="s">
        <v>1443</v>
      </c>
      <c r="Q843" s="134" t="s">
        <v>1443</v>
      </c>
      <c r="R843" s="109"/>
      <c r="S843" s="109"/>
      <c r="T843" s="109"/>
      <c r="U843" s="109"/>
      <c r="V843" s="109"/>
    </row>
    <row r="844" spans="2:22" ht="12.75" hidden="1" customHeight="1" outlineLevel="1" x14ac:dyDescent="0.2">
      <c r="B844" s="8" t="s">
        <v>426</v>
      </c>
      <c r="C844" s="118" t="s">
        <v>192</v>
      </c>
      <c r="D844" s="46" t="s">
        <v>192</v>
      </c>
      <c r="E844" s="41"/>
      <c r="F844" s="134"/>
      <c r="G844" s="134"/>
      <c r="H844" s="134"/>
      <c r="I844" s="134"/>
      <c r="J844" s="134"/>
      <c r="K844" s="134"/>
      <c r="L844" s="134"/>
      <c r="M844" s="134"/>
      <c r="N844" s="134"/>
      <c r="O844" s="134"/>
      <c r="P844" s="134"/>
      <c r="Q844" s="134"/>
    </row>
    <row r="845" spans="2:22" ht="12.75" hidden="1" customHeight="1" outlineLevel="1" x14ac:dyDescent="0.2">
      <c r="B845" s="5" t="s">
        <v>425</v>
      </c>
      <c r="C845" s="118" t="s">
        <v>1337</v>
      </c>
      <c r="D845" s="46">
        <v>299668</v>
      </c>
      <c r="E845" s="41"/>
      <c r="F845" s="134" t="s">
        <v>1443</v>
      </c>
      <c r="G845" s="134" t="s">
        <v>1443</v>
      </c>
      <c r="H845" s="134" t="s">
        <v>1443</v>
      </c>
      <c r="I845" s="134" t="s">
        <v>1443</v>
      </c>
      <c r="J845" s="134" t="s">
        <v>1443</v>
      </c>
      <c r="K845" s="134" t="s">
        <v>1443</v>
      </c>
      <c r="L845" s="134" t="s">
        <v>1443</v>
      </c>
      <c r="M845" s="134" t="s">
        <v>1443</v>
      </c>
      <c r="N845" s="134" t="s">
        <v>1443</v>
      </c>
      <c r="O845" s="134" t="s">
        <v>1443</v>
      </c>
      <c r="P845" s="134" t="s">
        <v>1443</v>
      </c>
      <c r="Q845" s="134" t="s">
        <v>1443</v>
      </c>
      <c r="R845" s="109"/>
      <c r="S845" s="109"/>
      <c r="T845" s="109"/>
      <c r="U845" s="109"/>
      <c r="V845" s="109"/>
    </row>
    <row r="846" spans="2:22" ht="12.75" hidden="1" customHeight="1" outlineLevel="1" x14ac:dyDescent="0.2">
      <c r="B846" s="5" t="s">
        <v>424</v>
      </c>
      <c r="C846" s="118" t="s">
        <v>1330</v>
      </c>
      <c r="D846" s="46">
        <v>299669</v>
      </c>
      <c r="E846" s="41"/>
      <c r="F846" s="134" t="s">
        <v>1443</v>
      </c>
      <c r="G846" s="134" t="s">
        <v>1443</v>
      </c>
      <c r="H846" s="134" t="s">
        <v>1443</v>
      </c>
      <c r="I846" s="134" t="s">
        <v>1443</v>
      </c>
      <c r="J846" s="134" t="s">
        <v>1443</v>
      </c>
      <c r="K846" s="134" t="s">
        <v>1443</v>
      </c>
      <c r="L846" s="134" t="s">
        <v>1443</v>
      </c>
      <c r="M846" s="134" t="s">
        <v>1443</v>
      </c>
      <c r="N846" s="134" t="s">
        <v>1443</v>
      </c>
      <c r="O846" s="134" t="s">
        <v>1443</v>
      </c>
      <c r="P846" s="134" t="s">
        <v>1443</v>
      </c>
      <c r="Q846" s="134" t="s">
        <v>1443</v>
      </c>
      <c r="R846" s="109"/>
      <c r="S846" s="109"/>
      <c r="T846" s="109"/>
      <c r="U846" s="109"/>
      <c r="V846" s="109"/>
    </row>
    <row r="847" spans="2:22" ht="12.75" hidden="1" customHeight="1" outlineLevel="1" x14ac:dyDescent="0.2">
      <c r="B847" s="5" t="s">
        <v>423</v>
      </c>
      <c r="C847" s="118" t="s">
        <v>1331</v>
      </c>
      <c r="D847" s="46">
        <v>299670</v>
      </c>
      <c r="E847" s="41"/>
      <c r="F847" s="134" t="s">
        <v>1443</v>
      </c>
      <c r="G847" s="134" t="s">
        <v>1443</v>
      </c>
      <c r="H847" s="134" t="s">
        <v>1443</v>
      </c>
      <c r="I847" s="134" t="s">
        <v>1443</v>
      </c>
      <c r="J847" s="134" t="s">
        <v>1443</v>
      </c>
      <c r="K847" s="134" t="s">
        <v>1443</v>
      </c>
      <c r="L847" s="134" t="s">
        <v>1443</v>
      </c>
      <c r="M847" s="134" t="s">
        <v>1443</v>
      </c>
      <c r="N847" s="134" t="s">
        <v>1443</v>
      </c>
      <c r="O847" s="134" t="s">
        <v>1443</v>
      </c>
      <c r="P847" s="134" t="s">
        <v>1443</v>
      </c>
      <c r="Q847" s="134" t="s">
        <v>1443</v>
      </c>
      <c r="R847" s="109"/>
      <c r="S847" s="109"/>
      <c r="T847" s="109"/>
      <c r="U847" s="109"/>
      <c r="V847" s="109"/>
    </row>
    <row r="848" spans="2:22" ht="12.75" hidden="1" customHeight="1" outlineLevel="1" x14ac:dyDescent="0.2">
      <c r="B848" s="5" t="s">
        <v>422</v>
      </c>
      <c r="C848" s="118" t="s">
        <v>1338</v>
      </c>
      <c r="D848" s="46">
        <v>299671</v>
      </c>
      <c r="E848" s="41"/>
      <c r="F848" s="134" t="s">
        <v>1443</v>
      </c>
      <c r="G848" s="134" t="s">
        <v>1443</v>
      </c>
      <c r="H848" s="134" t="s">
        <v>1443</v>
      </c>
      <c r="I848" s="134" t="s">
        <v>1443</v>
      </c>
      <c r="J848" s="134" t="s">
        <v>1443</v>
      </c>
      <c r="K848" s="134" t="s">
        <v>1443</v>
      </c>
      <c r="L848" s="134" t="s">
        <v>1443</v>
      </c>
      <c r="M848" s="134" t="s">
        <v>1443</v>
      </c>
      <c r="N848" s="134" t="s">
        <v>1443</v>
      </c>
      <c r="O848" s="134" t="s">
        <v>1443</v>
      </c>
      <c r="P848" s="134" t="s">
        <v>1443</v>
      </c>
      <c r="Q848" s="134" t="s">
        <v>1443</v>
      </c>
      <c r="R848" s="109"/>
      <c r="S848" s="109"/>
      <c r="T848" s="109"/>
      <c r="U848" s="109"/>
      <c r="V848" s="109"/>
    </row>
    <row r="849" spans="2:22" ht="12.75" hidden="1" customHeight="1" outlineLevel="1" x14ac:dyDescent="0.2">
      <c r="B849" s="5" t="s">
        <v>421</v>
      </c>
      <c r="C849" s="118" t="s">
        <v>1339</v>
      </c>
      <c r="D849" s="46">
        <v>299672</v>
      </c>
      <c r="E849" s="41"/>
      <c r="F849" s="134" t="s">
        <v>1443</v>
      </c>
      <c r="G849" s="134" t="s">
        <v>1443</v>
      </c>
      <c r="H849" s="134" t="s">
        <v>1443</v>
      </c>
      <c r="I849" s="134" t="s">
        <v>1443</v>
      </c>
      <c r="J849" s="134" t="s">
        <v>1443</v>
      </c>
      <c r="K849" s="134" t="s">
        <v>1443</v>
      </c>
      <c r="L849" s="134" t="s">
        <v>1443</v>
      </c>
      <c r="M849" s="134" t="s">
        <v>1443</v>
      </c>
      <c r="N849" s="134" t="s">
        <v>1443</v>
      </c>
      <c r="O849" s="134" t="s">
        <v>1443</v>
      </c>
      <c r="P849" s="134" t="s">
        <v>1443</v>
      </c>
      <c r="Q849" s="134" t="s">
        <v>1443</v>
      </c>
      <c r="R849" s="109"/>
      <c r="S849" s="109"/>
      <c r="T849" s="109"/>
      <c r="U849" s="109"/>
      <c r="V849" s="109"/>
    </row>
    <row r="850" spans="2:22" ht="12.75" hidden="1" customHeight="1" outlineLevel="1" x14ac:dyDescent="0.2">
      <c r="B850" s="5" t="s">
        <v>420</v>
      </c>
      <c r="C850" s="118" t="s">
        <v>1340</v>
      </c>
      <c r="D850" s="46">
        <v>299673</v>
      </c>
      <c r="E850" s="41"/>
      <c r="F850" s="134" t="s">
        <v>1443</v>
      </c>
      <c r="G850" s="134" t="s">
        <v>1443</v>
      </c>
      <c r="H850" s="134" t="s">
        <v>1443</v>
      </c>
      <c r="I850" s="134" t="s">
        <v>1443</v>
      </c>
      <c r="J850" s="134" t="s">
        <v>1443</v>
      </c>
      <c r="K850" s="134" t="s">
        <v>1443</v>
      </c>
      <c r="L850" s="134" t="s">
        <v>1443</v>
      </c>
      <c r="M850" s="134" t="s">
        <v>1443</v>
      </c>
      <c r="N850" s="134" t="s">
        <v>1443</v>
      </c>
      <c r="O850" s="134" t="s">
        <v>1443</v>
      </c>
      <c r="P850" s="134" t="s">
        <v>1443</v>
      </c>
      <c r="Q850" s="134" t="s">
        <v>1443</v>
      </c>
      <c r="R850" s="109"/>
      <c r="S850" s="109"/>
      <c r="T850" s="109"/>
      <c r="U850" s="109"/>
      <c r="V850" s="109"/>
    </row>
    <row r="851" spans="2:22" ht="12.75" hidden="1" customHeight="1" outlineLevel="1" x14ac:dyDescent="0.2">
      <c r="B851" s="5" t="s">
        <v>419</v>
      </c>
      <c r="C851" s="118" t="s">
        <v>1341</v>
      </c>
      <c r="D851" s="46">
        <v>299674</v>
      </c>
      <c r="E851" s="41"/>
      <c r="F851" s="134" t="s">
        <v>1443</v>
      </c>
      <c r="G851" s="134" t="s">
        <v>1443</v>
      </c>
      <c r="H851" s="134" t="s">
        <v>1443</v>
      </c>
      <c r="I851" s="134" t="s">
        <v>1443</v>
      </c>
      <c r="J851" s="134" t="s">
        <v>1443</v>
      </c>
      <c r="K851" s="134" t="s">
        <v>1443</v>
      </c>
      <c r="L851" s="134" t="s">
        <v>1443</v>
      </c>
      <c r="M851" s="134" t="s">
        <v>1443</v>
      </c>
      <c r="N851" s="134" t="s">
        <v>1443</v>
      </c>
      <c r="O851" s="134" t="s">
        <v>1443</v>
      </c>
      <c r="P851" s="134" t="s">
        <v>1443</v>
      </c>
      <c r="Q851" s="134" t="s">
        <v>1443</v>
      </c>
      <c r="R851" s="109"/>
      <c r="S851" s="109"/>
      <c r="T851" s="109"/>
      <c r="U851" s="109"/>
      <c r="V851" s="109"/>
    </row>
    <row r="852" spans="2:22" ht="12.75" hidden="1" customHeight="1" outlineLevel="1" x14ac:dyDescent="0.2">
      <c r="B852" s="5" t="s">
        <v>418</v>
      </c>
      <c r="C852" s="118" t="s">
        <v>1342</v>
      </c>
      <c r="D852" s="46">
        <v>299675</v>
      </c>
      <c r="E852" s="41"/>
      <c r="F852" s="134" t="s">
        <v>1443</v>
      </c>
      <c r="G852" s="134" t="s">
        <v>1443</v>
      </c>
      <c r="H852" s="134" t="s">
        <v>1443</v>
      </c>
      <c r="I852" s="134" t="s">
        <v>1443</v>
      </c>
      <c r="J852" s="134" t="s">
        <v>1443</v>
      </c>
      <c r="K852" s="134" t="s">
        <v>1443</v>
      </c>
      <c r="L852" s="134" t="s">
        <v>1443</v>
      </c>
      <c r="M852" s="134" t="s">
        <v>1443</v>
      </c>
      <c r="N852" s="134" t="s">
        <v>1443</v>
      </c>
      <c r="O852" s="134" t="s">
        <v>1443</v>
      </c>
      <c r="P852" s="134" t="s">
        <v>1443</v>
      </c>
      <c r="Q852" s="134" t="s">
        <v>1443</v>
      </c>
      <c r="R852" s="109"/>
      <c r="S852" s="109"/>
      <c r="T852" s="109"/>
      <c r="U852" s="109"/>
      <c r="V852" s="109"/>
    </row>
    <row r="853" spans="2:22" ht="12.75" hidden="1" customHeight="1" outlineLevel="1" x14ac:dyDescent="0.2">
      <c r="B853" s="5" t="s">
        <v>417</v>
      </c>
      <c r="C853" s="118" t="s">
        <v>1343</v>
      </c>
      <c r="D853" s="46">
        <v>299676</v>
      </c>
      <c r="E853" s="41"/>
      <c r="F853" s="134" t="s">
        <v>1443</v>
      </c>
      <c r="G853" s="134" t="s">
        <v>1443</v>
      </c>
      <c r="H853" s="134" t="s">
        <v>1443</v>
      </c>
      <c r="I853" s="134" t="s">
        <v>1443</v>
      </c>
      <c r="J853" s="134" t="s">
        <v>1443</v>
      </c>
      <c r="K853" s="134" t="s">
        <v>1443</v>
      </c>
      <c r="L853" s="134" t="s">
        <v>1443</v>
      </c>
      <c r="M853" s="134" t="s">
        <v>1443</v>
      </c>
      <c r="N853" s="134" t="s">
        <v>1443</v>
      </c>
      <c r="O853" s="134" t="s">
        <v>1443</v>
      </c>
      <c r="P853" s="134" t="s">
        <v>1443</v>
      </c>
      <c r="Q853" s="134" t="s">
        <v>1443</v>
      </c>
      <c r="R853" s="109"/>
      <c r="S853" s="109"/>
      <c r="T853" s="109"/>
      <c r="U853" s="109"/>
      <c r="V853" s="109"/>
    </row>
    <row r="854" spans="2:22" ht="12.75" hidden="1" customHeight="1" outlineLevel="1" x14ac:dyDescent="0.2">
      <c r="B854" s="5" t="s">
        <v>416</v>
      </c>
      <c r="C854" s="118" t="s">
        <v>1344</v>
      </c>
      <c r="D854" s="46">
        <v>299677</v>
      </c>
      <c r="E854" s="41"/>
      <c r="F854" s="134" t="s">
        <v>1443</v>
      </c>
      <c r="G854" s="134" t="s">
        <v>1443</v>
      </c>
      <c r="H854" s="134" t="s">
        <v>1443</v>
      </c>
      <c r="I854" s="134" t="s">
        <v>1443</v>
      </c>
      <c r="J854" s="134" t="s">
        <v>1443</v>
      </c>
      <c r="K854" s="134" t="s">
        <v>1443</v>
      </c>
      <c r="L854" s="134" t="s">
        <v>1443</v>
      </c>
      <c r="M854" s="134" t="s">
        <v>1443</v>
      </c>
      <c r="N854" s="134" t="s">
        <v>1443</v>
      </c>
      <c r="O854" s="134" t="s">
        <v>1443</v>
      </c>
      <c r="P854" s="134" t="s">
        <v>1443</v>
      </c>
      <c r="Q854" s="134" t="s">
        <v>1443</v>
      </c>
      <c r="R854" s="109"/>
      <c r="S854" s="109"/>
      <c r="T854" s="109"/>
      <c r="U854" s="109"/>
      <c r="V854" s="109"/>
    </row>
    <row r="855" spans="2:22" ht="12.75" hidden="1" customHeight="1" outlineLevel="1" x14ac:dyDescent="0.2">
      <c r="B855" s="5" t="s">
        <v>415</v>
      </c>
      <c r="C855" s="118" t="s">
        <v>1345</v>
      </c>
      <c r="D855" s="46">
        <v>299678</v>
      </c>
      <c r="E855" s="41"/>
      <c r="F855" s="134" t="s">
        <v>1443</v>
      </c>
      <c r="G855" s="134" t="s">
        <v>1443</v>
      </c>
      <c r="H855" s="134" t="s">
        <v>1443</v>
      </c>
      <c r="I855" s="134" t="s">
        <v>1443</v>
      </c>
      <c r="J855" s="134" t="s">
        <v>1443</v>
      </c>
      <c r="K855" s="134" t="s">
        <v>1443</v>
      </c>
      <c r="L855" s="134" t="s">
        <v>1443</v>
      </c>
      <c r="M855" s="134" t="s">
        <v>1443</v>
      </c>
      <c r="N855" s="134" t="s">
        <v>1443</v>
      </c>
      <c r="O855" s="134" t="s">
        <v>1443</v>
      </c>
      <c r="P855" s="134" t="s">
        <v>1443</v>
      </c>
      <c r="Q855" s="134" t="s">
        <v>1443</v>
      </c>
      <c r="R855" s="109"/>
      <c r="S855" s="109"/>
      <c r="T855" s="109"/>
      <c r="U855" s="109"/>
      <c r="V855" s="109"/>
    </row>
    <row r="856" spans="2:22" ht="12.75" hidden="1" customHeight="1" outlineLevel="1" x14ac:dyDescent="0.2">
      <c r="B856" s="5" t="s">
        <v>414</v>
      </c>
      <c r="C856" s="118" t="s">
        <v>1346</v>
      </c>
      <c r="D856" s="46">
        <v>299679</v>
      </c>
      <c r="E856" s="41"/>
      <c r="F856" s="134" t="s">
        <v>1443</v>
      </c>
      <c r="G856" s="134" t="s">
        <v>1443</v>
      </c>
      <c r="H856" s="134" t="s">
        <v>1443</v>
      </c>
      <c r="I856" s="134" t="s">
        <v>1443</v>
      </c>
      <c r="J856" s="134" t="s">
        <v>1443</v>
      </c>
      <c r="K856" s="134" t="s">
        <v>1443</v>
      </c>
      <c r="L856" s="134" t="s">
        <v>1443</v>
      </c>
      <c r="M856" s="134" t="s">
        <v>1443</v>
      </c>
      <c r="N856" s="134" t="s">
        <v>1443</v>
      </c>
      <c r="O856" s="134" t="s">
        <v>1443</v>
      </c>
      <c r="P856" s="134" t="s">
        <v>1443</v>
      </c>
      <c r="Q856" s="134" t="s">
        <v>1443</v>
      </c>
      <c r="R856" s="109"/>
      <c r="S856" s="109"/>
      <c r="T856" s="109"/>
      <c r="U856" s="109"/>
      <c r="V856" s="109"/>
    </row>
    <row r="857" spans="2:22" ht="12.75" hidden="1" customHeight="1" outlineLevel="1" x14ac:dyDescent="0.2">
      <c r="B857" s="8" t="s">
        <v>413</v>
      </c>
      <c r="C857" s="118" t="s">
        <v>192</v>
      </c>
      <c r="D857" s="46" t="s">
        <v>192</v>
      </c>
      <c r="E857" s="41"/>
      <c r="F857" s="134"/>
      <c r="G857" s="134"/>
      <c r="H857" s="134"/>
      <c r="I857" s="134"/>
      <c r="J857" s="134"/>
      <c r="K857" s="134"/>
      <c r="L857" s="134"/>
      <c r="M857" s="134"/>
      <c r="N857" s="134"/>
      <c r="O857" s="134"/>
      <c r="P857" s="134"/>
      <c r="Q857" s="134"/>
    </row>
    <row r="858" spans="2:22" ht="12.75" hidden="1" customHeight="1" outlineLevel="1" x14ac:dyDescent="0.2">
      <c r="B858" s="5" t="s">
        <v>412</v>
      </c>
      <c r="C858" s="118" t="s">
        <v>1347</v>
      </c>
      <c r="D858" s="46">
        <v>299684</v>
      </c>
      <c r="E858" s="41"/>
      <c r="F858" s="134" t="s">
        <v>1443</v>
      </c>
      <c r="G858" s="134" t="s">
        <v>1443</v>
      </c>
      <c r="H858" s="134" t="s">
        <v>1443</v>
      </c>
      <c r="I858" s="134" t="s">
        <v>1443</v>
      </c>
      <c r="J858" s="134" t="s">
        <v>1443</v>
      </c>
      <c r="K858" s="134" t="s">
        <v>1443</v>
      </c>
      <c r="L858" s="134" t="s">
        <v>1443</v>
      </c>
      <c r="M858" s="134" t="s">
        <v>1443</v>
      </c>
      <c r="N858" s="134" t="s">
        <v>1443</v>
      </c>
      <c r="O858" s="134" t="s">
        <v>1443</v>
      </c>
      <c r="P858" s="134" t="s">
        <v>1443</v>
      </c>
      <c r="Q858" s="134" t="s">
        <v>1443</v>
      </c>
      <c r="R858" s="109"/>
      <c r="S858" s="109"/>
      <c r="T858" s="109"/>
      <c r="U858" s="109"/>
      <c r="V858" s="109"/>
    </row>
    <row r="859" spans="2:22" ht="12.75" hidden="1" customHeight="1" outlineLevel="1" x14ac:dyDescent="0.2">
      <c r="B859" s="5" t="s">
        <v>411</v>
      </c>
      <c r="C859" s="118" t="s">
        <v>1348</v>
      </c>
      <c r="D859" s="46">
        <v>299685</v>
      </c>
      <c r="E859" s="41"/>
      <c r="F859" s="134" t="s">
        <v>1443</v>
      </c>
      <c r="G859" s="134" t="s">
        <v>1443</v>
      </c>
      <c r="H859" s="134" t="s">
        <v>1443</v>
      </c>
      <c r="I859" s="134" t="s">
        <v>1443</v>
      </c>
      <c r="J859" s="134" t="s">
        <v>1443</v>
      </c>
      <c r="K859" s="134" t="s">
        <v>1443</v>
      </c>
      <c r="L859" s="134" t="s">
        <v>1443</v>
      </c>
      <c r="M859" s="134" t="s">
        <v>1443</v>
      </c>
      <c r="N859" s="134" t="s">
        <v>1443</v>
      </c>
      <c r="O859" s="134" t="s">
        <v>1443</v>
      </c>
      <c r="P859" s="134" t="s">
        <v>1443</v>
      </c>
      <c r="Q859" s="134" t="s">
        <v>1443</v>
      </c>
      <c r="R859" s="109"/>
      <c r="S859" s="109"/>
      <c r="T859" s="109"/>
      <c r="U859" s="109"/>
      <c r="V859" s="109"/>
    </row>
    <row r="860" spans="2:22" ht="12.75" hidden="1" customHeight="1" outlineLevel="1" x14ac:dyDescent="0.2">
      <c r="B860" s="5" t="s">
        <v>410</v>
      </c>
      <c r="C860" s="118" t="s">
        <v>1349</v>
      </c>
      <c r="D860" s="46">
        <v>299686</v>
      </c>
      <c r="E860" s="41"/>
      <c r="F860" s="134" t="s">
        <v>1443</v>
      </c>
      <c r="G860" s="134" t="s">
        <v>1443</v>
      </c>
      <c r="H860" s="134" t="s">
        <v>1443</v>
      </c>
      <c r="I860" s="134" t="s">
        <v>1443</v>
      </c>
      <c r="J860" s="134" t="s">
        <v>1443</v>
      </c>
      <c r="K860" s="134" t="s">
        <v>1443</v>
      </c>
      <c r="L860" s="134" t="s">
        <v>1443</v>
      </c>
      <c r="M860" s="134" t="s">
        <v>1443</v>
      </c>
      <c r="N860" s="134" t="s">
        <v>1443</v>
      </c>
      <c r="O860" s="134" t="s">
        <v>1443</v>
      </c>
      <c r="P860" s="134" t="s">
        <v>1443</v>
      </c>
      <c r="Q860" s="134" t="s">
        <v>1443</v>
      </c>
      <c r="R860" s="109"/>
      <c r="S860" s="109"/>
      <c r="T860" s="109"/>
      <c r="U860" s="109"/>
      <c r="V860" s="109"/>
    </row>
    <row r="861" spans="2:22" ht="12.75" hidden="1" customHeight="1" outlineLevel="1" x14ac:dyDescent="0.2">
      <c r="B861" s="5" t="s">
        <v>409</v>
      </c>
      <c r="C861" s="118" t="s">
        <v>1350</v>
      </c>
      <c r="D861" s="46">
        <v>299687</v>
      </c>
      <c r="E861" s="41"/>
      <c r="F861" s="134" t="s">
        <v>1443</v>
      </c>
      <c r="G861" s="134" t="s">
        <v>1443</v>
      </c>
      <c r="H861" s="134" t="s">
        <v>1443</v>
      </c>
      <c r="I861" s="134" t="s">
        <v>1443</v>
      </c>
      <c r="J861" s="134" t="s">
        <v>1443</v>
      </c>
      <c r="K861" s="134" t="s">
        <v>1443</v>
      </c>
      <c r="L861" s="134" t="s">
        <v>1443</v>
      </c>
      <c r="M861" s="134" t="s">
        <v>1443</v>
      </c>
      <c r="N861" s="134" t="s">
        <v>1443</v>
      </c>
      <c r="O861" s="134" t="s">
        <v>1443</v>
      </c>
      <c r="P861" s="134" t="s">
        <v>1443</v>
      </c>
      <c r="Q861" s="134" t="s">
        <v>1443</v>
      </c>
      <c r="R861" s="109"/>
      <c r="S861" s="109"/>
      <c r="T861" s="109"/>
      <c r="U861" s="109"/>
      <c r="V861" s="109"/>
    </row>
    <row r="862" spans="2:22" ht="12.75" hidden="1" customHeight="1" outlineLevel="1" x14ac:dyDescent="0.2">
      <c r="B862" s="5" t="s">
        <v>408</v>
      </c>
      <c r="C862" s="118" t="s">
        <v>1351</v>
      </c>
      <c r="D862" s="46">
        <v>299688</v>
      </c>
      <c r="E862" s="41"/>
      <c r="F862" s="134" t="s">
        <v>1443</v>
      </c>
      <c r="G862" s="134" t="s">
        <v>1443</v>
      </c>
      <c r="H862" s="134" t="s">
        <v>1443</v>
      </c>
      <c r="I862" s="134" t="s">
        <v>1443</v>
      </c>
      <c r="J862" s="134" t="s">
        <v>1443</v>
      </c>
      <c r="K862" s="134" t="s">
        <v>1443</v>
      </c>
      <c r="L862" s="134" t="s">
        <v>1443</v>
      </c>
      <c r="M862" s="134" t="s">
        <v>1443</v>
      </c>
      <c r="N862" s="134" t="s">
        <v>1443</v>
      </c>
      <c r="O862" s="134" t="s">
        <v>1443</v>
      </c>
      <c r="P862" s="134" t="s">
        <v>1443</v>
      </c>
      <c r="Q862" s="134" t="s">
        <v>1443</v>
      </c>
      <c r="R862" s="109"/>
      <c r="S862" s="109"/>
      <c r="T862" s="109"/>
      <c r="U862" s="109"/>
      <c r="V862" s="109"/>
    </row>
    <row r="863" spans="2:22" ht="12.75" hidden="1" customHeight="1" outlineLevel="1" x14ac:dyDescent="0.2">
      <c r="B863" s="5" t="s">
        <v>407</v>
      </c>
      <c r="C863" s="118" t="s">
        <v>1352</v>
      </c>
      <c r="D863" s="46">
        <v>299689</v>
      </c>
      <c r="E863" s="41"/>
      <c r="F863" s="134" t="s">
        <v>1443</v>
      </c>
      <c r="G863" s="134" t="s">
        <v>1443</v>
      </c>
      <c r="H863" s="134" t="s">
        <v>1443</v>
      </c>
      <c r="I863" s="134" t="s">
        <v>1443</v>
      </c>
      <c r="J863" s="134" t="s">
        <v>1443</v>
      </c>
      <c r="K863" s="134" t="s">
        <v>1443</v>
      </c>
      <c r="L863" s="134" t="s">
        <v>1443</v>
      </c>
      <c r="M863" s="134" t="s">
        <v>1443</v>
      </c>
      <c r="N863" s="134" t="s">
        <v>1443</v>
      </c>
      <c r="O863" s="134" t="s">
        <v>1443</v>
      </c>
      <c r="P863" s="134" t="s">
        <v>1443</v>
      </c>
      <c r="Q863" s="134" t="s">
        <v>1443</v>
      </c>
      <c r="R863" s="109"/>
      <c r="S863" s="109"/>
      <c r="T863" s="109"/>
      <c r="U863" s="109"/>
      <c r="V863" s="109"/>
    </row>
    <row r="864" spans="2:22" ht="12.75" hidden="1" customHeight="1" outlineLevel="1" x14ac:dyDescent="0.2">
      <c r="B864" s="5" t="s">
        <v>406</v>
      </c>
      <c r="C864" s="118" t="s">
        <v>1353</v>
      </c>
      <c r="D864" s="46">
        <v>299690</v>
      </c>
      <c r="E864" s="41"/>
      <c r="F864" s="134" t="s">
        <v>1443</v>
      </c>
      <c r="G864" s="134" t="s">
        <v>1443</v>
      </c>
      <c r="H864" s="134" t="s">
        <v>1443</v>
      </c>
      <c r="I864" s="134" t="s">
        <v>1443</v>
      </c>
      <c r="J864" s="134" t="s">
        <v>1443</v>
      </c>
      <c r="K864" s="134" t="s">
        <v>1443</v>
      </c>
      <c r="L864" s="134" t="s">
        <v>1443</v>
      </c>
      <c r="M864" s="134" t="s">
        <v>1443</v>
      </c>
      <c r="N864" s="134" t="s">
        <v>1443</v>
      </c>
      <c r="O864" s="134" t="s">
        <v>1443</v>
      </c>
      <c r="P864" s="134" t="s">
        <v>1443</v>
      </c>
      <c r="Q864" s="134" t="s">
        <v>1443</v>
      </c>
      <c r="R864" s="109"/>
      <c r="S864" s="109"/>
      <c r="T864" s="109"/>
      <c r="U864" s="109"/>
      <c r="V864" s="109"/>
    </row>
    <row r="865" spans="2:22" ht="12.75" hidden="1" customHeight="1" outlineLevel="1" x14ac:dyDescent="0.2">
      <c r="B865" s="5" t="s">
        <v>405</v>
      </c>
      <c r="C865" s="118" t="s">
        <v>1354</v>
      </c>
      <c r="D865" s="46">
        <v>299691</v>
      </c>
      <c r="E865" s="41"/>
      <c r="F865" s="134" t="s">
        <v>1443</v>
      </c>
      <c r="G865" s="134" t="s">
        <v>1443</v>
      </c>
      <c r="H865" s="134" t="s">
        <v>1443</v>
      </c>
      <c r="I865" s="134" t="s">
        <v>1443</v>
      </c>
      <c r="J865" s="134" t="s">
        <v>1443</v>
      </c>
      <c r="K865" s="134" t="s">
        <v>1443</v>
      </c>
      <c r="L865" s="134" t="s">
        <v>1443</v>
      </c>
      <c r="M865" s="134" t="s">
        <v>1443</v>
      </c>
      <c r="N865" s="134" t="s">
        <v>1443</v>
      </c>
      <c r="O865" s="134" t="s">
        <v>1443</v>
      </c>
      <c r="P865" s="134" t="s">
        <v>1443</v>
      </c>
      <c r="Q865" s="134" t="s">
        <v>1443</v>
      </c>
      <c r="R865" s="109"/>
      <c r="S865" s="109"/>
      <c r="T865" s="109"/>
      <c r="U865" s="109"/>
      <c r="V865" s="109"/>
    </row>
    <row r="866" spans="2:22" ht="12.75" hidden="1" customHeight="1" outlineLevel="1" x14ac:dyDescent="0.2">
      <c r="B866" s="5" t="s">
        <v>404</v>
      </c>
      <c r="C866" s="118" t="s">
        <v>1355</v>
      </c>
      <c r="D866" s="46">
        <v>299692</v>
      </c>
      <c r="E866" s="41"/>
      <c r="F866" s="134" t="s">
        <v>1443</v>
      </c>
      <c r="G866" s="134" t="s">
        <v>1443</v>
      </c>
      <c r="H866" s="134" t="s">
        <v>1443</v>
      </c>
      <c r="I866" s="134" t="s">
        <v>1443</v>
      </c>
      <c r="J866" s="134" t="s">
        <v>1443</v>
      </c>
      <c r="K866" s="134" t="s">
        <v>1443</v>
      </c>
      <c r="L866" s="134" t="s">
        <v>1443</v>
      </c>
      <c r="M866" s="134" t="s">
        <v>1443</v>
      </c>
      <c r="N866" s="134" t="s">
        <v>1443</v>
      </c>
      <c r="O866" s="134" t="s">
        <v>1443</v>
      </c>
      <c r="P866" s="134" t="s">
        <v>1443</v>
      </c>
      <c r="Q866" s="134" t="s">
        <v>1443</v>
      </c>
      <c r="R866" s="109"/>
      <c r="S866" s="109"/>
      <c r="T866" s="109"/>
      <c r="U866" s="109"/>
      <c r="V866" s="109"/>
    </row>
    <row r="867" spans="2:22" ht="12.75" hidden="1" customHeight="1" outlineLevel="1" x14ac:dyDescent="0.2">
      <c r="B867" s="5" t="s">
        <v>403</v>
      </c>
      <c r="C867" s="118" t="s">
        <v>1356</v>
      </c>
      <c r="D867" s="46">
        <v>299693</v>
      </c>
      <c r="E867" s="41"/>
      <c r="F867" s="134" t="s">
        <v>1443</v>
      </c>
      <c r="G867" s="134" t="s">
        <v>1443</v>
      </c>
      <c r="H867" s="134" t="s">
        <v>1443</v>
      </c>
      <c r="I867" s="134" t="s">
        <v>1443</v>
      </c>
      <c r="J867" s="134" t="s">
        <v>1443</v>
      </c>
      <c r="K867" s="134" t="s">
        <v>1443</v>
      </c>
      <c r="L867" s="134" t="s">
        <v>1443</v>
      </c>
      <c r="M867" s="134" t="s">
        <v>1443</v>
      </c>
      <c r="N867" s="134" t="s">
        <v>1443</v>
      </c>
      <c r="O867" s="134" t="s">
        <v>1443</v>
      </c>
      <c r="P867" s="134" t="s">
        <v>1443</v>
      </c>
      <c r="Q867" s="134" t="s">
        <v>1443</v>
      </c>
      <c r="R867" s="109"/>
      <c r="S867" s="109"/>
      <c r="T867" s="109"/>
      <c r="U867" s="109"/>
      <c r="V867" s="109"/>
    </row>
    <row r="868" spans="2:22" ht="12.75" hidden="1" customHeight="1" outlineLevel="1" x14ac:dyDescent="0.2">
      <c r="B868" s="8" t="s">
        <v>402</v>
      </c>
      <c r="C868" s="118" t="s">
        <v>192</v>
      </c>
      <c r="D868" s="46" t="s">
        <v>192</v>
      </c>
      <c r="E868" s="41"/>
      <c r="F868" s="21"/>
      <c r="G868" s="21"/>
      <c r="H868" s="21"/>
      <c r="I868" s="21"/>
      <c r="J868" s="21"/>
      <c r="K868" s="21"/>
      <c r="L868" s="21"/>
      <c r="M868" s="21"/>
      <c r="N868" s="21"/>
      <c r="O868" s="21"/>
      <c r="P868" s="21"/>
      <c r="Q868" s="21"/>
    </row>
    <row r="869" spans="2:22" ht="12.75" hidden="1" customHeight="1" outlineLevel="1" x14ac:dyDescent="0.2">
      <c r="B869" s="5" t="s">
        <v>1457</v>
      </c>
      <c r="C869" s="118" t="s">
        <v>921</v>
      </c>
      <c r="D869" s="46">
        <v>299658</v>
      </c>
      <c r="E869" s="41"/>
      <c r="F869" s="140" t="s">
        <v>1443</v>
      </c>
      <c r="G869" s="140" t="s">
        <v>1443</v>
      </c>
      <c r="H869" s="140" t="s">
        <v>1443</v>
      </c>
      <c r="I869" s="140" t="s">
        <v>1443</v>
      </c>
      <c r="J869" s="140" t="s">
        <v>1443</v>
      </c>
      <c r="K869" s="140" t="s">
        <v>1443</v>
      </c>
      <c r="L869" s="140" t="s">
        <v>1443</v>
      </c>
      <c r="M869" s="140" t="s">
        <v>1443</v>
      </c>
      <c r="N869" s="140" t="s">
        <v>1443</v>
      </c>
      <c r="O869" s="140" t="s">
        <v>1443</v>
      </c>
      <c r="P869" s="140" t="s">
        <v>1443</v>
      </c>
      <c r="Q869" s="140" t="s">
        <v>1443</v>
      </c>
      <c r="R869" s="91"/>
      <c r="S869" s="91"/>
      <c r="T869" s="91"/>
      <c r="U869" s="91"/>
      <c r="V869" s="91"/>
    </row>
    <row r="870" spans="2:22" ht="12.75" hidden="1" customHeight="1" outlineLevel="1" x14ac:dyDescent="0.2">
      <c r="B870" s="5" t="s">
        <v>1458</v>
      </c>
      <c r="C870" s="118" t="s">
        <v>922</v>
      </c>
      <c r="D870" s="46">
        <v>299659</v>
      </c>
      <c r="E870" s="41"/>
      <c r="F870" s="140" t="s">
        <v>1443</v>
      </c>
      <c r="G870" s="140" t="s">
        <v>1443</v>
      </c>
      <c r="H870" s="140" t="s">
        <v>1443</v>
      </c>
      <c r="I870" s="140" t="s">
        <v>1443</v>
      </c>
      <c r="J870" s="140" t="s">
        <v>1443</v>
      </c>
      <c r="K870" s="140" t="s">
        <v>1443</v>
      </c>
      <c r="L870" s="140" t="s">
        <v>1443</v>
      </c>
      <c r="M870" s="140" t="s">
        <v>1443</v>
      </c>
      <c r="N870" s="140" t="s">
        <v>1443</v>
      </c>
      <c r="O870" s="140" t="s">
        <v>1443</v>
      </c>
      <c r="P870" s="140" t="s">
        <v>1443</v>
      </c>
      <c r="Q870" s="140" t="s">
        <v>1443</v>
      </c>
      <c r="R870" s="91"/>
      <c r="S870" s="91"/>
      <c r="T870" s="91"/>
      <c r="U870" s="91"/>
      <c r="V870" s="91"/>
    </row>
    <row r="871" spans="2:22" ht="12.75" hidden="1" customHeight="1" outlineLevel="1" x14ac:dyDescent="0.2">
      <c r="B871" s="5" t="s">
        <v>1459</v>
      </c>
      <c r="C871" s="118" t="s">
        <v>923</v>
      </c>
      <c r="D871" s="46">
        <v>299660</v>
      </c>
      <c r="E871" s="41"/>
      <c r="F871" s="140" t="s">
        <v>1443</v>
      </c>
      <c r="G871" s="140" t="s">
        <v>1443</v>
      </c>
      <c r="H871" s="140" t="s">
        <v>1443</v>
      </c>
      <c r="I871" s="140" t="s">
        <v>1443</v>
      </c>
      <c r="J871" s="140" t="s">
        <v>1443</v>
      </c>
      <c r="K871" s="140" t="s">
        <v>1443</v>
      </c>
      <c r="L871" s="140" t="s">
        <v>1443</v>
      </c>
      <c r="M871" s="140" t="s">
        <v>1443</v>
      </c>
      <c r="N871" s="140" t="s">
        <v>1443</v>
      </c>
      <c r="O871" s="140" t="s">
        <v>1443</v>
      </c>
      <c r="P871" s="140" t="s">
        <v>1443</v>
      </c>
      <c r="Q871" s="140" t="s">
        <v>1443</v>
      </c>
      <c r="R871" s="91"/>
      <c r="S871" s="91"/>
      <c r="T871" s="91"/>
      <c r="U871" s="91"/>
      <c r="V871" s="91"/>
    </row>
    <row r="872" spans="2:22" ht="12.75" hidden="1" customHeight="1" outlineLevel="1" x14ac:dyDescent="0.2">
      <c r="B872" s="5" t="s">
        <v>1460</v>
      </c>
      <c r="C872" s="118" t="s">
        <v>924</v>
      </c>
      <c r="D872" s="46">
        <v>299661</v>
      </c>
      <c r="E872" s="41"/>
      <c r="F872" s="140" t="s">
        <v>1443</v>
      </c>
      <c r="G872" s="140" t="s">
        <v>1443</v>
      </c>
      <c r="H872" s="140" t="s">
        <v>1443</v>
      </c>
      <c r="I872" s="140" t="s">
        <v>1443</v>
      </c>
      <c r="J872" s="140" t="s">
        <v>1443</v>
      </c>
      <c r="K872" s="140" t="s">
        <v>1443</v>
      </c>
      <c r="L872" s="140" t="s">
        <v>1443</v>
      </c>
      <c r="M872" s="140" t="s">
        <v>1443</v>
      </c>
      <c r="N872" s="140" t="s">
        <v>1443</v>
      </c>
      <c r="O872" s="140" t="s">
        <v>1443</v>
      </c>
      <c r="P872" s="140" t="s">
        <v>1443</v>
      </c>
      <c r="Q872" s="140" t="s">
        <v>1443</v>
      </c>
      <c r="R872" s="91"/>
      <c r="S872" s="91"/>
      <c r="T872" s="91"/>
      <c r="U872" s="91"/>
      <c r="V872" s="91"/>
    </row>
    <row r="873" spans="2:22" ht="12.75" hidden="1" customHeight="1" outlineLevel="1" x14ac:dyDescent="0.2">
      <c r="B873" s="5" t="s">
        <v>1461</v>
      </c>
      <c r="C873" s="118" t="s">
        <v>925</v>
      </c>
      <c r="D873" s="46">
        <v>299662</v>
      </c>
      <c r="E873" s="41"/>
      <c r="F873" s="140" t="s">
        <v>1443</v>
      </c>
      <c r="G873" s="140" t="s">
        <v>1443</v>
      </c>
      <c r="H873" s="140" t="s">
        <v>1443</v>
      </c>
      <c r="I873" s="140" t="s">
        <v>1443</v>
      </c>
      <c r="J873" s="140" t="s">
        <v>1443</v>
      </c>
      <c r="K873" s="140" t="s">
        <v>1443</v>
      </c>
      <c r="L873" s="140" t="s">
        <v>1443</v>
      </c>
      <c r="M873" s="140" t="s">
        <v>1443</v>
      </c>
      <c r="N873" s="140" t="s">
        <v>1443</v>
      </c>
      <c r="O873" s="140" t="s">
        <v>1443</v>
      </c>
      <c r="P873" s="140" t="s">
        <v>1443</v>
      </c>
      <c r="Q873" s="140" t="s">
        <v>1443</v>
      </c>
      <c r="R873" s="91"/>
      <c r="S873" s="91"/>
      <c r="T873" s="91"/>
      <c r="U873" s="91"/>
      <c r="V873" s="91"/>
    </row>
    <row r="874" spans="2:22" ht="12.75" hidden="1" customHeight="1" outlineLevel="1" x14ac:dyDescent="0.2">
      <c r="B874" s="5" t="s">
        <v>1462</v>
      </c>
      <c r="C874" s="118" t="s">
        <v>926</v>
      </c>
      <c r="D874" s="46">
        <v>299663</v>
      </c>
      <c r="E874" s="41"/>
      <c r="F874" s="140" t="s">
        <v>1443</v>
      </c>
      <c r="G874" s="140" t="s">
        <v>1443</v>
      </c>
      <c r="H874" s="140" t="s">
        <v>1443</v>
      </c>
      <c r="I874" s="140" t="s">
        <v>1443</v>
      </c>
      <c r="J874" s="140" t="s">
        <v>1443</v>
      </c>
      <c r="K874" s="140" t="s">
        <v>1443</v>
      </c>
      <c r="L874" s="140" t="s">
        <v>1443</v>
      </c>
      <c r="M874" s="140" t="s">
        <v>1443</v>
      </c>
      <c r="N874" s="140" t="s">
        <v>1443</v>
      </c>
      <c r="O874" s="140" t="s">
        <v>1443</v>
      </c>
      <c r="P874" s="140" t="s">
        <v>1443</v>
      </c>
      <c r="Q874" s="140" t="s">
        <v>1443</v>
      </c>
      <c r="R874" s="91"/>
      <c r="S874" s="91"/>
      <c r="T874" s="91"/>
      <c r="U874" s="91"/>
      <c r="V874" s="91"/>
    </row>
    <row r="875" spans="2:22" ht="12.75" hidden="1" customHeight="1" outlineLevel="1" x14ac:dyDescent="0.2">
      <c r="B875" s="8" t="s">
        <v>397</v>
      </c>
      <c r="C875" s="118" t="s">
        <v>192</v>
      </c>
      <c r="D875" s="46" t="s">
        <v>192</v>
      </c>
      <c r="E875" s="41"/>
      <c r="F875" s="140"/>
      <c r="G875" s="140"/>
      <c r="H875" s="140"/>
      <c r="I875" s="140"/>
      <c r="J875" s="140"/>
      <c r="K875" s="140"/>
      <c r="L875" s="140"/>
      <c r="M875" s="140"/>
      <c r="N875" s="140"/>
      <c r="O875" s="140"/>
      <c r="P875" s="140"/>
      <c r="Q875" s="140"/>
    </row>
    <row r="876" spans="2:22" ht="12.75" hidden="1" customHeight="1" outlineLevel="1" x14ac:dyDescent="0.2">
      <c r="B876" s="5" t="s">
        <v>401</v>
      </c>
      <c r="C876" s="118" t="s">
        <v>927</v>
      </c>
      <c r="D876" s="46">
        <v>299694</v>
      </c>
      <c r="E876" s="41"/>
      <c r="F876" s="140" t="s">
        <v>1443</v>
      </c>
      <c r="G876" s="140" t="s">
        <v>1443</v>
      </c>
      <c r="H876" s="140" t="s">
        <v>1443</v>
      </c>
      <c r="I876" s="140" t="s">
        <v>1443</v>
      </c>
      <c r="J876" s="140" t="s">
        <v>1443</v>
      </c>
      <c r="K876" s="140" t="s">
        <v>1443</v>
      </c>
      <c r="L876" s="140" t="s">
        <v>1443</v>
      </c>
      <c r="M876" s="140" t="s">
        <v>1443</v>
      </c>
      <c r="N876" s="140" t="s">
        <v>1443</v>
      </c>
      <c r="O876" s="140" t="s">
        <v>1443</v>
      </c>
      <c r="P876" s="140" t="s">
        <v>1443</v>
      </c>
      <c r="Q876" s="140" t="s">
        <v>1443</v>
      </c>
      <c r="R876" s="91"/>
      <c r="S876" s="91"/>
      <c r="T876" s="91"/>
      <c r="U876" s="91"/>
      <c r="V876" s="91"/>
    </row>
    <row r="877" spans="2:22" ht="12.75" hidden="1" customHeight="1" outlineLevel="1" x14ac:dyDescent="0.2">
      <c r="B877" s="5" t="s">
        <v>400</v>
      </c>
      <c r="C877" s="118" t="s">
        <v>928</v>
      </c>
      <c r="D877" s="46">
        <v>299695</v>
      </c>
      <c r="E877" s="41"/>
      <c r="F877" s="140" t="s">
        <v>1443</v>
      </c>
      <c r="G877" s="140" t="s">
        <v>1443</v>
      </c>
      <c r="H877" s="140" t="s">
        <v>1443</v>
      </c>
      <c r="I877" s="140" t="s">
        <v>1443</v>
      </c>
      <c r="J877" s="140" t="s">
        <v>1443</v>
      </c>
      <c r="K877" s="140" t="s">
        <v>1443</v>
      </c>
      <c r="L877" s="140" t="s">
        <v>1443</v>
      </c>
      <c r="M877" s="140" t="s">
        <v>1443</v>
      </c>
      <c r="N877" s="140" t="s">
        <v>1443</v>
      </c>
      <c r="O877" s="140" t="s">
        <v>1443</v>
      </c>
      <c r="P877" s="140" t="s">
        <v>1443</v>
      </c>
      <c r="Q877" s="140" t="s">
        <v>1443</v>
      </c>
      <c r="R877" s="91"/>
      <c r="S877" s="91"/>
      <c r="T877" s="91"/>
      <c r="U877" s="91"/>
      <c r="V877" s="91"/>
    </row>
    <row r="878" spans="2:22" ht="12.75" hidden="1" customHeight="1" outlineLevel="1" x14ac:dyDescent="0.2">
      <c r="B878" s="5" t="s">
        <v>399</v>
      </c>
      <c r="C878" s="118" t="s">
        <v>929</v>
      </c>
      <c r="D878" s="46">
        <v>299696</v>
      </c>
      <c r="E878" s="41"/>
      <c r="F878" s="140" t="s">
        <v>1443</v>
      </c>
      <c r="G878" s="140" t="s">
        <v>1443</v>
      </c>
      <c r="H878" s="140" t="s">
        <v>1443</v>
      </c>
      <c r="I878" s="140" t="s">
        <v>1443</v>
      </c>
      <c r="J878" s="140" t="s">
        <v>1443</v>
      </c>
      <c r="K878" s="140" t="s">
        <v>1443</v>
      </c>
      <c r="L878" s="140" t="s">
        <v>1443</v>
      </c>
      <c r="M878" s="140" t="s">
        <v>1443</v>
      </c>
      <c r="N878" s="140" t="s">
        <v>1443</v>
      </c>
      <c r="O878" s="140" t="s">
        <v>1443</v>
      </c>
      <c r="P878" s="140" t="s">
        <v>1443</v>
      </c>
      <c r="Q878" s="140" t="s">
        <v>1443</v>
      </c>
      <c r="R878" s="91"/>
      <c r="S878" s="91"/>
      <c r="T878" s="91"/>
      <c r="U878" s="91"/>
      <c r="V878" s="91"/>
    </row>
    <row r="879" spans="2:22" ht="12.75" hidden="1" customHeight="1" outlineLevel="1" x14ac:dyDescent="0.2">
      <c r="B879" s="5" t="s">
        <v>398</v>
      </c>
      <c r="C879" s="118" t="s">
        <v>930</v>
      </c>
      <c r="D879" s="46">
        <v>299697</v>
      </c>
      <c r="E879" s="41"/>
      <c r="F879" s="140" t="s">
        <v>1443</v>
      </c>
      <c r="G879" s="140" t="s">
        <v>1443</v>
      </c>
      <c r="H879" s="140" t="s">
        <v>1443</v>
      </c>
      <c r="I879" s="140" t="s">
        <v>1443</v>
      </c>
      <c r="J879" s="140" t="s">
        <v>1443</v>
      </c>
      <c r="K879" s="140" t="s">
        <v>1443</v>
      </c>
      <c r="L879" s="140" t="s">
        <v>1443</v>
      </c>
      <c r="M879" s="140" t="s">
        <v>1443</v>
      </c>
      <c r="N879" s="140" t="s">
        <v>1443</v>
      </c>
      <c r="O879" s="140" t="s">
        <v>1443</v>
      </c>
      <c r="P879" s="140" t="s">
        <v>1443</v>
      </c>
      <c r="Q879" s="140" t="s">
        <v>1443</v>
      </c>
      <c r="R879" s="91"/>
      <c r="S879" s="91"/>
      <c r="T879" s="91"/>
      <c r="U879" s="91"/>
      <c r="V879" s="91"/>
    </row>
    <row r="880" spans="2:22" ht="12.75" hidden="1" customHeight="1" outlineLevel="1" x14ac:dyDescent="0.2">
      <c r="B880" s="8" t="s">
        <v>397</v>
      </c>
      <c r="C880" s="118" t="s">
        <v>192</v>
      </c>
      <c r="D880" s="46" t="s">
        <v>192</v>
      </c>
      <c r="E880" s="41"/>
      <c r="F880" s="21"/>
      <c r="G880" s="21"/>
      <c r="H880" s="21"/>
      <c r="I880" s="21"/>
      <c r="J880" s="21"/>
      <c r="K880" s="21"/>
      <c r="L880" s="21"/>
      <c r="M880" s="21"/>
      <c r="N880" s="21"/>
      <c r="O880" s="21"/>
      <c r="P880" s="21"/>
      <c r="Q880" s="21"/>
    </row>
    <row r="881" spans="2:22" ht="12.75" hidden="1" customHeight="1" outlineLevel="1" x14ac:dyDescent="0.2">
      <c r="B881" s="5" t="s">
        <v>396</v>
      </c>
      <c r="C881" s="118" t="s">
        <v>1357</v>
      </c>
      <c r="D881" s="46">
        <v>299698</v>
      </c>
      <c r="E881" s="41"/>
      <c r="F881" s="134" t="s">
        <v>1443</v>
      </c>
      <c r="G881" s="134" t="s">
        <v>1443</v>
      </c>
      <c r="H881" s="134" t="s">
        <v>1443</v>
      </c>
      <c r="I881" s="134" t="s">
        <v>1443</v>
      </c>
      <c r="J881" s="134" t="s">
        <v>1443</v>
      </c>
      <c r="K881" s="134" t="s">
        <v>1443</v>
      </c>
      <c r="L881" s="134" t="s">
        <v>1443</v>
      </c>
      <c r="M881" s="134" t="s">
        <v>1443</v>
      </c>
      <c r="N881" s="134" t="s">
        <v>1443</v>
      </c>
      <c r="O881" s="134" t="s">
        <v>1443</v>
      </c>
      <c r="P881" s="134" t="s">
        <v>1443</v>
      </c>
      <c r="Q881" s="134" t="s">
        <v>1443</v>
      </c>
      <c r="R881" s="109"/>
      <c r="S881" s="109"/>
      <c r="T881" s="109"/>
      <c r="U881" s="109"/>
      <c r="V881" s="109"/>
    </row>
    <row r="882" spans="2:22" ht="12.75" hidden="1" customHeight="1" outlineLevel="1" x14ac:dyDescent="0.2">
      <c r="B882" s="5" t="s">
        <v>395</v>
      </c>
      <c r="C882" s="118" t="s">
        <v>1358</v>
      </c>
      <c r="D882" s="46">
        <v>299699</v>
      </c>
      <c r="E882" s="41"/>
      <c r="F882" s="134" t="s">
        <v>1443</v>
      </c>
      <c r="G882" s="134" t="s">
        <v>1443</v>
      </c>
      <c r="H882" s="134" t="s">
        <v>1443</v>
      </c>
      <c r="I882" s="134" t="s">
        <v>1443</v>
      </c>
      <c r="J882" s="134" t="s">
        <v>1443</v>
      </c>
      <c r="K882" s="134" t="s">
        <v>1443</v>
      </c>
      <c r="L882" s="134" t="s">
        <v>1443</v>
      </c>
      <c r="M882" s="134" t="s">
        <v>1443</v>
      </c>
      <c r="N882" s="134" t="s">
        <v>1443</v>
      </c>
      <c r="O882" s="134" t="s">
        <v>1443</v>
      </c>
      <c r="P882" s="134" t="s">
        <v>1443</v>
      </c>
      <c r="Q882" s="134" t="s">
        <v>1443</v>
      </c>
      <c r="R882" s="109"/>
      <c r="S882" s="109"/>
      <c r="T882" s="109"/>
      <c r="U882" s="109"/>
      <c r="V882" s="109"/>
    </row>
    <row r="883" spans="2:22" ht="12.75" hidden="1" customHeight="1" outlineLevel="1" x14ac:dyDescent="0.2">
      <c r="B883" s="5" t="s">
        <v>394</v>
      </c>
      <c r="C883" s="118" t="s">
        <v>1359</v>
      </c>
      <c r="D883" s="46">
        <v>299700</v>
      </c>
      <c r="E883" s="41"/>
      <c r="F883" s="134" t="s">
        <v>1443</v>
      </c>
      <c r="G883" s="134" t="s">
        <v>1443</v>
      </c>
      <c r="H883" s="134" t="s">
        <v>1443</v>
      </c>
      <c r="I883" s="134" t="s">
        <v>1443</v>
      </c>
      <c r="J883" s="134" t="s">
        <v>1443</v>
      </c>
      <c r="K883" s="134" t="s">
        <v>1443</v>
      </c>
      <c r="L883" s="134" t="s">
        <v>1443</v>
      </c>
      <c r="M883" s="134" t="s">
        <v>1443</v>
      </c>
      <c r="N883" s="134" t="s">
        <v>1443</v>
      </c>
      <c r="O883" s="134" t="s">
        <v>1443</v>
      </c>
      <c r="P883" s="134" t="s">
        <v>1443</v>
      </c>
      <c r="Q883" s="134" t="s">
        <v>1443</v>
      </c>
      <c r="R883" s="109"/>
      <c r="S883" s="109"/>
      <c r="T883" s="109"/>
      <c r="U883" s="109"/>
      <c r="V883" s="109"/>
    </row>
    <row r="884" spans="2:22" ht="12.75" hidden="1" customHeight="1" outlineLevel="1" x14ac:dyDescent="0.2">
      <c r="B884" s="5" t="s">
        <v>393</v>
      </c>
      <c r="C884" s="118" t="s">
        <v>1360</v>
      </c>
      <c r="D884" s="46">
        <v>299701</v>
      </c>
      <c r="E884" s="41"/>
      <c r="F884" s="134" t="s">
        <v>1443</v>
      </c>
      <c r="G884" s="134" t="s">
        <v>1443</v>
      </c>
      <c r="H884" s="134" t="s">
        <v>1443</v>
      </c>
      <c r="I884" s="134" t="s">
        <v>1443</v>
      </c>
      <c r="J884" s="134" t="s">
        <v>1443</v>
      </c>
      <c r="K884" s="134" t="s">
        <v>1443</v>
      </c>
      <c r="L884" s="134" t="s">
        <v>1443</v>
      </c>
      <c r="M884" s="134" t="s">
        <v>1443</v>
      </c>
      <c r="N884" s="134" t="s">
        <v>1443</v>
      </c>
      <c r="O884" s="134" t="s">
        <v>1443</v>
      </c>
      <c r="P884" s="134" t="s">
        <v>1443</v>
      </c>
      <c r="Q884" s="134" t="s">
        <v>1443</v>
      </c>
      <c r="R884" s="109"/>
      <c r="S884" s="109"/>
      <c r="T884" s="109"/>
      <c r="U884" s="109"/>
      <c r="V884" s="109"/>
    </row>
    <row r="885" spans="2:22" ht="12.75" hidden="1" customHeight="1" outlineLevel="1" x14ac:dyDescent="0.2">
      <c r="B885" s="8" t="s">
        <v>392</v>
      </c>
      <c r="C885" s="118" t="s">
        <v>192</v>
      </c>
      <c r="D885" s="46" t="s">
        <v>192</v>
      </c>
      <c r="E885" s="41"/>
      <c r="F885" s="134"/>
      <c r="G885" s="134"/>
      <c r="H885" s="134"/>
      <c r="I885" s="134"/>
      <c r="J885" s="134"/>
      <c r="K885" s="134"/>
      <c r="L885" s="134"/>
      <c r="M885" s="134"/>
      <c r="N885" s="134"/>
      <c r="O885" s="134"/>
      <c r="P885" s="134"/>
      <c r="Q885" s="134"/>
    </row>
    <row r="886" spans="2:22" ht="12.75" hidden="1" customHeight="1" outlineLevel="1" x14ac:dyDescent="0.2">
      <c r="B886" s="5" t="s">
        <v>391</v>
      </c>
      <c r="C886" s="118" t="s">
        <v>1361</v>
      </c>
      <c r="D886" s="46">
        <v>299716</v>
      </c>
      <c r="E886" s="41"/>
      <c r="F886" s="134" t="s">
        <v>1443</v>
      </c>
      <c r="G886" s="134" t="s">
        <v>1443</v>
      </c>
      <c r="H886" s="134" t="s">
        <v>1443</v>
      </c>
      <c r="I886" s="134" t="s">
        <v>1443</v>
      </c>
      <c r="J886" s="134" t="s">
        <v>1443</v>
      </c>
      <c r="K886" s="134" t="s">
        <v>1443</v>
      </c>
      <c r="L886" s="134" t="s">
        <v>1443</v>
      </c>
      <c r="M886" s="134" t="s">
        <v>1443</v>
      </c>
      <c r="N886" s="134" t="s">
        <v>1443</v>
      </c>
      <c r="O886" s="134" t="s">
        <v>1443</v>
      </c>
      <c r="P886" s="134" t="s">
        <v>1443</v>
      </c>
      <c r="Q886" s="134" t="s">
        <v>1443</v>
      </c>
      <c r="R886" s="22"/>
      <c r="S886" s="109"/>
      <c r="T886" s="109"/>
      <c r="U886" s="109"/>
      <c r="V886" s="109"/>
    </row>
    <row r="887" spans="2:22" ht="12.75" hidden="1" customHeight="1" outlineLevel="1" x14ac:dyDescent="0.2">
      <c r="B887" s="5" t="s">
        <v>390</v>
      </c>
      <c r="C887" s="118" t="s">
        <v>1362</v>
      </c>
      <c r="D887" s="46">
        <v>299717</v>
      </c>
      <c r="E887" s="41"/>
      <c r="F887" s="134" t="s">
        <v>1443</v>
      </c>
      <c r="G887" s="134" t="s">
        <v>1443</v>
      </c>
      <c r="H887" s="134" t="s">
        <v>1443</v>
      </c>
      <c r="I887" s="134" t="s">
        <v>1443</v>
      </c>
      <c r="J887" s="134" t="s">
        <v>1443</v>
      </c>
      <c r="K887" s="134" t="s">
        <v>1443</v>
      </c>
      <c r="L887" s="134" t="s">
        <v>1443</v>
      </c>
      <c r="M887" s="134" t="s">
        <v>1443</v>
      </c>
      <c r="N887" s="134" t="s">
        <v>1443</v>
      </c>
      <c r="O887" s="134" t="s">
        <v>1443</v>
      </c>
      <c r="P887" s="134" t="s">
        <v>1443</v>
      </c>
      <c r="Q887" s="134" t="s">
        <v>1443</v>
      </c>
      <c r="R887" s="22"/>
      <c r="S887" s="109"/>
      <c r="T887" s="109"/>
      <c r="U887" s="109"/>
      <c r="V887" s="109"/>
    </row>
    <row r="888" spans="2:22" ht="12.75" hidden="1" customHeight="1" outlineLevel="1" x14ac:dyDescent="0.2">
      <c r="B888" s="5" t="s">
        <v>389</v>
      </c>
      <c r="C888" s="118" t="s">
        <v>1363</v>
      </c>
      <c r="D888" s="46">
        <v>299718</v>
      </c>
      <c r="E888" s="41"/>
      <c r="F888" s="134" t="s">
        <v>1443</v>
      </c>
      <c r="G888" s="134" t="s">
        <v>1443</v>
      </c>
      <c r="H888" s="134" t="s">
        <v>1443</v>
      </c>
      <c r="I888" s="134" t="s">
        <v>1443</v>
      </c>
      <c r="J888" s="134" t="s">
        <v>1443</v>
      </c>
      <c r="K888" s="134" t="s">
        <v>1443</v>
      </c>
      <c r="L888" s="134" t="s">
        <v>1443</v>
      </c>
      <c r="M888" s="134" t="s">
        <v>1443</v>
      </c>
      <c r="N888" s="134" t="s">
        <v>1443</v>
      </c>
      <c r="O888" s="134" t="s">
        <v>1443</v>
      </c>
      <c r="P888" s="134" t="s">
        <v>1443</v>
      </c>
      <c r="Q888" s="134" t="s">
        <v>1443</v>
      </c>
      <c r="R888" s="22"/>
      <c r="S888" s="109"/>
      <c r="T888" s="109"/>
      <c r="U888" s="109"/>
      <c r="V888" s="109"/>
    </row>
    <row r="889" spans="2:22" ht="12.75" hidden="1" customHeight="1" outlineLevel="1" x14ac:dyDescent="0.2">
      <c r="B889" s="5" t="s">
        <v>388</v>
      </c>
      <c r="C889" s="118" t="s">
        <v>1364</v>
      </c>
      <c r="D889" s="46">
        <v>299719</v>
      </c>
      <c r="E889" s="41"/>
      <c r="F889" s="134" t="s">
        <v>1443</v>
      </c>
      <c r="G889" s="134" t="s">
        <v>1443</v>
      </c>
      <c r="H889" s="134" t="s">
        <v>1443</v>
      </c>
      <c r="I889" s="134" t="s">
        <v>1443</v>
      </c>
      <c r="J889" s="134" t="s">
        <v>1443</v>
      </c>
      <c r="K889" s="134" t="s">
        <v>1443</v>
      </c>
      <c r="L889" s="134" t="s">
        <v>1443</v>
      </c>
      <c r="M889" s="134" t="s">
        <v>1443</v>
      </c>
      <c r="N889" s="134" t="s">
        <v>1443</v>
      </c>
      <c r="O889" s="134" t="s">
        <v>1443</v>
      </c>
      <c r="P889" s="134" t="s">
        <v>1443</v>
      </c>
      <c r="Q889" s="134" t="s">
        <v>1443</v>
      </c>
      <c r="R889" s="22"/>
      <c r="S889" s="109"/>
      <c r="T889" s="109"/>
      <c r="U889" s="109"/>
      <c r="V889" s="109"/>
    </row>
    <row r="890" spans="2:22" ht="12.75" hidden="1" customHeight="1" outlineLevel="1" x14ac:dyDescent="0.2">
      <c r="B890" s="5" t="s">
        <v>387</v>
      </c>
      <c r="C890" s="118" t="s">
        <v>1365</v>
      </c>
      <c r="D890" s="46">
        <v>299720</v>
      </c>
      <c r="E890" s="41"/>
      <c r="F890" s="134" t="s">
        <v>1443</v>
      </c>
      <c r="G890" s="134" t="s">
        <v>1443</v>
      </c>
      <c r="H890" s="134" t="s">
        <v>1443</v>
      </c>
      <c r="I890" s="134" t="s">
        <v>1443</v>
      </c>
      <c r="J890" s="134" t="s">
        <v>1443</v>
      </c>
      <c r="K890" s="134" t="s">
        <v>1443</v>
      </c>
      <c r="L890" s="134" t="s">
        <v>1443</v>
      </c>
      <c r="M890" s="134" t="s">
        <v>1443</v>
      </c>
      <c r="N890" s="134" t="s">
        <v>1443</v>
      </c>
      <c r="O890" s="134" t="s">
        <v>1443</v>
      </c>
      <c r="P890" s="134" t="s">
        <v>1443</v>
      </c>
      <c r="Q890" s="134" t="s">
        <v>1443</v>
      </c>
      <c r="R890" s="22"/>
      <c r="S890" s="109"/>
      <c r="T890" s="109"/>
      <c r="U890" s="109"/>
      <c r="V890" s="109"/>
    </row>
    <row r="891" spans="2:22" ht="12.75" hidden="1" customHeight="1" outlineLevel="1" x14ac:dyDescent="0.2">
      <c r="B891" s="8" t="s">
        <v>386</v>
      </c>
      <c r="C891" s="118" t="s">
        <v>192</v>
      </c>
      <c r="D891" s="46" t="s">
        <v>192</v>
      </c>
      <c r="E891" s="41"/>
      <c r="F891" s="134"/>
      <c r="G891" s="134"/>
      <c r="H891" s="134"/>
      <c r="I891" s="134"/>
      <c r="J891" s="134"/>
      <c r="K891" s="134"/>
      <c r="L891" s="134"/>
      <c r="M891" s="134"/>
      <c r="N891" s="134"/>
      <c r="O891" s="134"/>
      <c r="P891" s="134"/>
      <c r="Q891" s="134"/>
      <c r="R891" s="22"/>
    </row>
    <row r="892" spans="2:22" ht="12.75" hidden="1" customHeight="1" outlineLevel="1" x14ac:dyDescent="0.2">
      <c r="B892" s="5" t="s">
        <v>385</v>
      </c>
      <c r="C892" s="118" t="s">
        <v>1366</v>
      </c>
      <c r="D892" s="46">
        <v>299664</v>
      </c>
      <c r="E892" s="41"/>
      <c r="F892" s="134" t="s">
        <v>1443</v>
      </c>
      <c r="G892" s="134" t="s">
        <v>1443</v>
      </c>
      <c r="H892" s="134" t="s">
        <v>1443</v>
      </c>
      <c r="I892" s="134" t="s">
        <v>1443</v>
      </c>
      <c r="J892" s="134" t="s">
        <v>1443</v>
      </c>
      <c r="K892" s="134" t="s">
        <v>1443</v>
      </c>
      <c r="L892" s="134" t="s">
        <v>1443</v>
      </c>
      <c r="M892" s="134" t="s">
        <v>1443</v>
      </c>
      <c r="N892" s="134" t="s">
        <v>1443</v>
      </c>
      <c r="O892" s="134" t="s">
        <v>1443</v>
      </c>
      <c r="P892" s="134" t="s">
        <v>1443</v>
      </c>
      <c r="Q892" s="134" t="s">
        <v>1443</v>
      </c>
      <c r="R892" s="22"/>
      <c r="S892" s="109"/>
      <c r="T892" s="109"/>
      <c r="U892" s="109"/>
      <c r="V892" s="109"/>
    </row>
    <row r="893" spans="2:22" ht="12.75" hidden="1" customHeight="1" outlineLevel="1" x14ac:dyDescent="0.2">
      <c r="B893" s="5" t="s">
        <v>384</v>
      </c>
      <c r="C893" s="118" t="s">
        <v>1367</v>
      </c>
      <c r="D893" s="46">
        <v>299665</v>
      </c>
      <c r="E893" s="41"/>
      <c r="F893" s="134" t="s">
        <v>1443</v>
      </c>
      <c r="G893" s="134" t="s">
        <v>1443</v>
      </c>
      <c r="H893" s="134" t="s">
        <v>1443</v>
      </c>
      <c r="I893" s="134" t="s">
        <v>1443</v>
      </c>
      <c r="J893" s="134" t="s">
        <v>1443</v>
      </c>
      <c r="K893" s="134" t="s">
        <v>1443</v>
      </c>
      <c r="L893" s="134" t="s">
        <v>1443</v>
      </c>
      <c r="M893" s="134" t="s">
        <v>1443</v>
      </c>
      <c r="N893" s="134" t="s">
        <v>1443</v>
      </c>
      <c r="O893" s="134" t="s">
        <v>1443</v>
      </c>
      <c r="P893" s="134" t="s">
        <v>1443</v>
      </c>
      <c r="Q893" s="134" t="s">
        <v>1443</v>
      </c>
      <c r="R893" s="22"/>
      <c r="S893" s="109"/>
      <c r="T893" s="109"/>
      <c r="U893" s="109"/>
      <c r="V893" s="109"/>
    </row>
    <row r="894" spans="2:22" ht="12.75" hidden="1" customHeight="1" outlineLevel="1" x14ac:dyDescent="0.2">
      <c r="B894" s="5" t="s">
        <v>383</v>
      </c>
      <c r="C894" s="118" t="s">
        <v>1368</v>
      </c>
      <c r="D894" s="46">
        <v>299666</v>
      </c>
      <c r="E894" s="41"/>
      <c r="F894" s="134" t="s">
        <v>1443</v>
      </c>
      <c r="G894" s="134" t="s">
        <v>1443</v>
      </c>
      <c r="H894" s="134" t="s">
        <v>1443</v>
      </c>
      <c r="I894" s="134" t="s">
        <v>1443</v>
      </c>
      <c r="J894" s="134" t="s">
        <v>1443</v>
      </c>
      <c r="K894" s="134" t="s">
        <v>1443</v>
      </c>
      <c r="L894" s="134" t="s">
        <v>1443</v>
      </c>
      <c r="M894" s="134" t="s">
        <v>1443</v>
      </c>
      <c r="N894" s="134" t="s">
        <v>1443</v>
      </c>
      <c r="O894" s="134" t="s">
        <v>1443</v>
      </c>
      <c r="P894" s="134" t="s">
        <v>1443</v>
      </c>
      <c r="Q894" s="134" t="s">
        <v>1443</v>
      </c>
      <c r="R894" s="22"/>
      <c r="S894" s="109"/>
      <c r="T894" s="109"/>
      <c r="U894" s="109"/>
      <c r="V894" s="109"/>
    </row>
    <row r="895" spans="2:22" ht="12.75" hidden="1" customHeight="1" outlineLevel="1" x14ac:dyDescent="0.2">
      <c r="B895" s="5" t="s">
        <v>382</v>
      </c>
      <c r="C895" s="118" t="s">
        <v>1369</v>
      </c>
      <c r="D895" s="46">
        <v>299667</v>
      </c>
      <c r="E895" s="41"/>
      <c r="F895" s="134" t="s">
        <v>1443</v>
      </c>
      <c r="G895" s="134" t="s">
        <v>1443</v>
      </c>
      <c r="H895" s="134" t="s">
        <v>1443</v>
      </c>
      <c r="I895" s="134" t="s">
        <v>1443</v>
      </c>
      <c r="J895" s="134" t="s">
        <v>1443</v>
      </c>
      <c r="K895" s="134" t="s">
        <v>1443</v>
      </c>
      <c r="L895" s="134" t="s">
        <v>1443</v>
      </c>
      <c r="M895" s="134" t="s">
        <v>1443</v>
      </c>
      <c r="N895" s="134" t="s">
        <v>1443</v>
      </c>
      <c r="O895" s="134" t="s">
        <v>1443</v>
      </c>
      <c r="P895" s="134" t="s">
        <v>1443</v>
      </c>
      <c r="Q895" s="134" t="s">
        <v>1443</v>
      </c>
      <c r="R895" s="22"/>
      <c r="S895" s="109"/>
      <c r="T895" s="109"/>
      <c r="U895" s="109"/>
      <c r="V895" s="109"/>
    </row>
    <row r="896" spans="2:22" ht="12.75" hidden="1" customHeight="1" outlineLevel="1" x14ac:dyDescent="0.2">
      <c r="B896" s="8" t="s">
        <v>381</v>
      </c>
      <c r="C896" s="118" t="s">
        <v>192</v>
      </c>
      <c r="D896" s="46" t="s">
        <v>192</v>
      </c>
      <c r="E896" s="41"/>
      <c r="F896" s="21"/>
      <c r="G896" s="21"/>
      <c r="H896" s="21"/>
      <c r="I896" s="21"/>
      <c r="J896" s="21"/>
      <c r="K896" s="21"/>
      <c r="L896" s="21"/>
      <c r="M896" s="21"/>
      <c r="N896" s="21"/>
      <c r="O896" s="21"/>
      <c r="P896" s="21"/>
      <c r="Q896" s="21"/>
    </row>
    <row r="897" spans="2:22" ht="12.75" hidden="1" customHeight="1" outlineLevel="1" x14ac:dyDescent="0.2">
      <c r="B897" s="5" t="s">
        <v>1463</v>
      </c>
      <c r="C897" s="118" t="s">
        <v>931</v>
      </c>
      <c r="D897" s="46">
        <v>299680</v>
      </c>
      <c r="E897" s="41"/>
      <c r="F897" s="140" t="s">
        <v>1443</v>
      </c>
      <c r="G897" s="140" t="s">
        <v>1443</v>
      </c>
      <c r="H897" s="140" t="s">
        <v>1443</v>
      </c>
      <c r="I897" s="140" t="s">
        <v>1443</v>
      </c>
      <c r="J897" s="140" t="s">
        <v>1443</v>
      </c>
      <c r="K897" s="140" t="s">
        <v>1443</v>
      </c>
      <c r="L897" s="140" t="s">
        <v>1443</v>
      </c>
      <c r="M897" s="140" t="s">
        <v>1443</v>
      </c>
      <c r="N897" s="140" t="s">
        <v>1443</v>
      </c>
      <c r="O897" s="140" t="s">
        <v>1443</v>
      </c>
      <c r="P897" s="140" t="s">
        <v>1443</v>
      </c>
      <c r="Q897" s="140" t="s">
        <v>1443</v>
      </c>
      <c r="R897" s="91"/>
      <c r="S897" s="91"/>
      <c r="T897" s="91"/>
      <c r="U897" s="91"/>
      <c r="V897" s="91"/>
    </row>
    <row r="898" spans="2:22" ht="12.75" hidden="1" customHeight="1" outlineLevel="1" x14ac:dyDescent="0.2">
      <c r="B898" s="5" t="s">
        <v>1464</v>
      </c>
      <c r="C898" s="118" t="s">
        <v>932</v>
      </c>
      <c r="D898" s="46">
        <v>299681</v>
      </c>
      <c r="E898" s="41"/>
      <c r="F898" s="140" t="s">
        <v>1443</v>
      </c>
      <c r="G898" s="140" t="s">
        <v>1443</v>
      </c>
      <c r="H898" s="140" t="s">
        <v>1443</v>
      </c>
      <c r="I898" s="140" t="s">
        <v>1443</v>
      </c>
      <c r="J898" s="140" t="s">
        <v>1443</v>
      </c>
      <c r="K898" s="140" t="s">
        <v>1443</v>
      </c>
      <c r="L898" s="140" t="s">
        <v>1443</v>
      </c>
      <c r="M898" s="140" t="s">
        <v>1443</v>
      </c>
      <c r="N898" s="140" t="s">
        <v>1443</v>
      </c>
      <c r="O898" s="140" t="s">
        <v>1443</v>
      </c>
      <c r="P898" s="140" t="s">
        <v>1443</v>
      </c>
      <c r="Q898" s="140" t="s">
        <v>1443</v>
      </c>
      <c r="R898" s="91"/>
      <c r="S898" s="91"/>
      <c r="T898" s="91"/>
      <c r="U898" s="91"/>
      <c r="V898" s="91"/>
    </row>
    <row r="899" spans="2:22" ht="12.75" hidden="1" customHeight="1" outlineLevel="1" x14ac:dyDescent="0.2">
      <c r="B899" s="5" t="s">
        <v>1465</v>
      </c>
      <c r="C899" s="118" t="s">
        <v>933</v>
      </c>
      <c r="D899" s="46">
        <v>299682</v>
      </c>
      <c r="E899" s="41"/>
      <c r="F899" s="140" t="s">
        <v>1443</v>
      </c>
      <c r="G899" s="140" t="s">
        <v>1443</v>
      </c>
      <c r="H899" s="140" t="s">
        <v>1443</v>
      </c>
      <c r="I899" s="140" t="s">
        <v>1443</v>
      </c>
      <c r="J899" s="140" t="s">
        <v>1443</v>
      </c>
      <c r="K899" s="140" t="s">
        <v>1443</v>
      </c>
      <c r="L899" s="140" t="s">
        <v>1443</v>
      </c>
      <c r="M899" s="140" t="s">
        <v>1443</v>
      </c>
      <c r="N899" s="140" t="s">
        <v>1443</v>
      </c>
      <c r="O899" s="140" t="s">
        <v>1443</v>
      </c>
      <c r="P899" s="140" t="s">
        <v>1443</v>
      </c>
      <c r="Q899" s="140" t="s">
        <v>1443</v>
      </c>
      <c r="R899" s="91"/>
      <c r="S899" s="91"/>
      <c r="T899" s="91"/>
      <c r="U899" s="91"/>
      <c r="V899" s="91"/>
    </row>
    <row r="900" spans="2:22" ht="12.75" hidden="1" customHeight="1" outlineLevel="1" x14ac:dyDescent="0.2">
      <c r="B900" s="5" t="s">
        <v>1466</v>
      </c>
      <c r="C900" s="118" t="s">
        <v>934</v>
      </c>
      <c r="D900" s="46">
        <v>299683</v>
      </c>
      <c r="E900" s="41"/>
      <c r="F900" s="140" t="s">
        <v>1443</v>
      </c>
      <c r="G900" s="140" t="s">
        <v>1443</v>
      </c>
      <c r="H900" s="140" t="s">
        <v>1443</v>
      </c>
      <c r="I900" s="140" t="s">
        <v>1443</v>
      </c>
      <c r="J900" s="140" t="s">
        <v>1443</v>
      </c>
      <c r="K900" s="140" t="s">
        <v>1443</v>
      </c>
      <c r="L900" s="140" t="s">
        <v>1443</v>
      </c>
      <c r="M900" s="140" t="s">
        <v>1443</v>
      </c>
      <c r="N900" s="140" t="s">
        <v>1443</v>
      </c>
      <c r="O900" s="140" t="s">
        <v>1443</v>
      </c>
      <c r="P900" s="140" t="s">
        <v>1443</v>
      </c>
      <c r="Q900" s="140" t="s">
        <v>1443</v>
      </c>
      <c r="R900" s="91"/>
      <c r="S900" s="91"/>
      <c r="T900" s="91"/>
      <c r="U900" s="91"/>
      <c r="V900" s="91"/>
    </row>
    <row r="901" spans="2:22" ht="12.75" hidden="1" customHeight="1" outlineLevel="1" x14ac:dyDescent="0.2">
      <c r="B901" s="8" t="s">
        <v>380</v>
      </c>
      <c r="C901" s="118" t="s">
        <v>192</v>
      </c>
      <c r="D901" s="46" t="s">
        <v>192</v>
      </c>
      <c r="E901" s="41"/>
      <c r="F901" s="21"/>
      <c r="G901" s="21"/>
      <c r="H901" s="21"/>
      <c r="I901" s="21"/>
      <c r="J901" s="21"/>
      <c r="K901" s="21"/>
      <c r="L901" s="21"/>
      <c r="M901" s="21"/>
      <c r="N901" s="21"/>
      <c r="O901" s="21"/>
      <c r="P901" s="21"/>
      <c r="Q901" s="21"/>
    </row>
    <row r="902" spans="2:22" ht="12.75" hidden="1" customHeight="1" outlineLevel="1" x14ac:dyDescent="0.2">
      <c r="B902" s="5" t="s">
        <v>379</v>
      </c>
      <c r="C902" s="118" t="s">
        <v>1370</v>
      </c>
      <c r="D902" s="46">
        <v>299702</v>
      </c>
      <c r="E902" s="41"/>
      <c r="F902" s="134" t="s">
        <v>1443</v>
      </c>
      <c r="G902" s="134" t="s">
        <v>1443</v>
      </c>
      <c r="H902" s="134" t="s">
        <v>1443</v>
      </c>
      <c r="I902" s="134" t="s">
        <v>1443</v>
      </c>
      <c r="J902" s="134" t="s">
        <v>1443</v>
      </c>
      <c r="K902" s="134" t="s">
        <v>1443</v>
      </c>
      <c r="L902" s="134" t="s">
        <v>1443</v>
      </c>
      <c r="M902" s="134" t="s">
        <v>1443</v>
      </c>
      <c r="N902" s="134" t="s">
        <v>1443</v>
      </c>
      <c r="O902" s="134" t="s">
        <v>1443</v>
      </c>
      <c r="P902" s="134" t="s">
        <v>1443</v>
      </c>
      <c r="Q902" s="134" t="s">
        <v>1443</v>
      </c>
      <c r="R902" s="109"/>
      <c r="S902" s="109"/>
      <c r="T902" s="109"/>
      <c r="U902" s="109"/>
      <c r="V902" s="109"/>
    </row>
    <row r="903" spans="2:22" ht="12.75" hidden="1" customHeight="1" outlineLevel="1" x14ac:dyDescent="0.2">
      <c r="B903" s="5" t="s">
        <v>378</v>
      </c>
      <c r="C903" s="118" t="s">
        <v>1371</v>
      </c>
      <c r="D903" s="46">
        <v>299703</v>
      </c>
      <c r="E903" s="41"/>
      <c r="F903" s="134" t="s">
        <v>1443</v>
      </c>
      <c r="G903" s="134" t="s">
        <v>1443</v>
      </c>
      <c r="H903" s="134" t="s">
        <v>1443</v>
      </c>
      <c r="I903" s="134" t="s">
        <v>1443</v>
      </c>
      <c r="J903" s="134" t="s">
        <v>1443</v>
      </c>
      <c r="K903" s="134" t="s">
        <v>1443</v>
      </c>
      <c r="L903" s="134" t="s">
        <v>1443</v>
      </c>
      <c r="M903" s="134" t="s">
        <v>1443</v>
      </c>
      <c r="N903" s="134" t="s">
        <v>1443</v>
      </c>
      <c r="O903" s="134" t="s">
        <v>1443</v>
      </c>
      <c r="P903" s="134" t="s">
        <v>1443</v>
      </c>
      <c r="Q903" s="134" t="s">
        <v>1443</v>
      </c>
      <c r="R903" s="109"/>
      <c r="S903" s="109"/>
      <c r="T903" s="109"/>
      <c r="U903" s="109"/>
      <c r="V903" s="109"/>
    </row>
    <row r="904" spans="2:22" ht="12.75" hidden="1" customHeight="1" outlineLevel="1" x14ac:dyDescent="0.2">
      <c r="B904" s="5" t="s">
        <v>377</v>
      </c>
      <c r="C904" s="118" t="s">
        <v>1372</v>
      </c>
      <c r="D904" s="46">
        <v>299704</v>
      </c>
      <c r="E904" s="41"/>
      <c r="F904" s="134" t="s">
        <v>1443</v>
      </c>
      <c r="G904" s="134" t="s">
        <v>1443</v>
      </c>
      <c r="H904" s="134" t="s">
        <v>1443</v>
      </c>
      <c r="I904" s="134" t="s">
        <v>1443</v>
      </c>
      <c r="J904" s="134" t="s">
        <v>1443</v>
      </c>
      <c r="K904" s="134" t="s">
        <v>1443</v>
      </c>
      <c r="L904" s="134" t="s">
        <v>1443</v>
      </c>
      <c r="M904" s="134" t="s">
        <v>1443</v>
      </c>
      <c r="N904" s="134" t="s">
        <v>1443</v>
      </c>
      <c r="O904" s="134" t="s">
        <v>1443</v>
      </c>
      <c r="P904" s="134" t="s">
        <v>1443</v>
      </c>
      <c r="Q904" s="134" t="s">
        <v>1443</v>
      </c>
      <c r="R904" s="109"/>
      <c r="S904" s="109"/>
      <c r="T904" s="109"/>
      <c r="U904" s="109"/>
      <c r="V904" s="109"/>
    </row>
    <row r="905" spans="2:22" ht="12.75" hidden="1" customHeight="1" outlineLevel="1" x14ac:dyDescent="0.2">
      <c r="B905" s="5" t="s">
        <v>376</v>
      </c>
      <c r="C905" s="118" t="s">
        <v>1373</v>
      </c>
      <c r="D905" s="46">
        <v>299705</v>
      </c>
      <c r="E905" s="41"/>
      <c r="F905" s="134" t="s">
        <v>1443</v>
      </c>
      <c r="G905" s="134" t="s">
        <v>1443</v>
      </c>
      <c r="H905" s="134" t="s">
        <v>1443</v>
      </c>
      <c r="I905" s="134" t="s">
        <v>1443</v>
      </c>
      <c r="J905" s="134" t="s">
        <v>1443</v>
      </c>
      <c r="K905" s="134" t="s">
        <v>1443</v>
      </c>
      <c r="L905" s="134" t="s">
        <v>1443</v>
      </c>
      <c r="M905" s="134" t="s">
        <v>1443</v>
      </c>
      <c r="N905" s="134" t="s">
        <v>1443</v>
      </c>
      <c r="O905" s="134" t="s">
        <v>1443</v>
      </c>
      <c r="P905" s="134" t="s">
        <v>1443</v>
      </c>
      <c r="Q905" s="134" t="s">
        <v>1443</v>
      </c>
      <c r="R905" s="109"/>
      <c r="S905" s="109"/>
      <c r="T905" s="109"/>
      <c r="U905" s="109"/>
      <c r="V905" s="109"/>
    </row>
    <row r="906" spans="2:22" ht="12.75" hidden="1" customHeight="1" outlineLevel="1" x14ac:dyDescent="0.2">
      <c r="B906" s="5" t="s">
        <v>375</v>
      </c>
      <c r="C906" s="118" t="s">
        <v>1374</v>
      </c>
      <c r="D906" s="46">
        <v>299706</v>
      </c>
      <c r="E906" s="41"/>
      <c r="F906" s="134" t="s">
        <v>1443</v>
      </c>
      <c r="G906" s="134" t="s">
        <v>1443</v>
      </c>
      <c r="H906" s="134" t="s">
        <v>1443</v>
      </c>
      <c r="I906" s="134" t="s">
        <v>1443</v>
      </c>
      <c r="J906" s="134" t="s">
        <v>1443</v>
      </c>
      <c r="K906" s="134" t="s">
        <v>1443</v>
      </c>
      <c r="L906" s="134" t="s">
        <v>1443</v>
      </c>
      <c r="M906" s="134" t="s">
        <v>1443</v>
      </c>
      <c r="N906" s="134" t="s">
        <v>1443</v>
      </c>
      <c r="O906" s="134" t="s">
        <v>1443</v>
      </c>
      <c r="P906" s="134" t="s">
        <v>1443</v>
      </c>
      <c r="Q906" s="134" t="s">
        <v>1443</v>
      </c>
      <c r="R906" s="109"/>
      <c r="S906" s="109"/>
      <c r="T906" s="109"/>
      <c r="U906" s="109"/>
      <c r="V906" s="109"/>
    </row>
    <row r="907" spans="2:22" ht="12.75" hidden="1" customHeight="1" outlineLevel="1" x14ac:dyDescent="0.2">
      <c r="B907" s="5" t="s">
        <v>374</v>
      </c>
      <c r="C907" s="118" t="s">
        <v>1375</v>
      </c>
      <c r="D907" s="46">
        <v>299707</v>
      </c>
      <c r="E907" s="41"/>
      <c r="F907" s="134" t="s">
        <v>1443</v>
      </c>
      <c r="G907" s="134" t="s">
        <v>1443</v>
      </c>
      <c r="H907" s="134" t="s">
        <v>1443</v>
      </c>
      <c r="I907" s="134" t="s">
        <v>1443</v>
      </c>
      <c r="J907" s="134" t="s">
        <v>1443</v>
      </c>
      <c r="K907" s="134" t="s">
        <v>1443</v>
      </c>
      <c r="L907" s="134" t="s">
        <v>1443</v>
      </c>
      <c r="M907" s="134" t="s">
        <v>1443</v>
      </c>
      <c r="N907" s="134" t="s">
        <v>1443</v>
      </c>
      <c r="O907" s="134" t="s">
        <v>1443</v>
      </c>
      <c r="P907" s="134" t="s">
        <v>1443</v>
      </c>
      <c r="Q907" s="134" t="s">
        <v>1443</v>
      </c>
      <c r="R907" s="109"/>
      <c r="S907" s="109"/>
      <c r="T907" s="109"/>
      <c r="U907" s="109"/>
      <c r="V907" s="109"/>
    </row>
    <row r="908" spans="2:22" ht="12.75" hidden="1" customHeight="1" outlineLevel="1" x14ac:dyDescent="0.2">
      <c r="B908" s="8" t="s">
        <v>373</v>
      </c>
      <c r="C908" s="118" t="s">
        <v>192</v>
      </c>
      <c r="D908" s="46" t="s">
        <v>192</v>
      </c>
      <c r="E908" s="41"/>
      <c r="F908" s="134"/>
      <c r="G908" s="134"/>
      <c r="H908" s="134"/>
      <c r="I908" s="134"/>
      <c r="J908" s="134"/>
      <c r="K908" s="134"/>
      <c r="L908" s="134"/>
      <c r="M908" s="134"/>
      <c r="N908" s="134"/>
      <c r="O908" s="134"/>
      <c r="P908" s="134"/>
      <c r="Q908" s="134"/>
    </row>
    <row r="909" spans="2:22" ht="12.75" hidden="1" customHeight="1" outlineLevel="1" x14ac:dyDescent="0.2">
      <c r="B909" s="5" t="s">
        <v>372</v>
      </c>
      <c r="C909" s="118" t="s">
        <v>1376</v>
      </c>
      <c r="D909" s="46">
        <v>299708</v>
      </c>
      <c r="E909" s="41"/>
      <c r="F909" s="134" t="s">
        <v>1443</v>
      </c>
      <c r="G909" s="134" t="s">
        <v>1443</v>
      </c>
      <c r="H909" s="134" t="s">
        <v>1443</v>
      </c>
      <c r="I909" s="134" t="s">
        <v>1443</v>
      </c>
      <c r="J909" s="134" t="s">
        <v>1443</v>
      </c>
      <c r="K909" s="134" t="s">
        <v>1443</v>
      </c>
      <c r="L909" s="134" t="s">
        <v>1443</v>
      </c>
      <c r="M909" s="134" t="s">
        <v>1443</v>
      </c>
      <c r="N909" s="134" t="s">
        <v>1443</v>
      </c>
      <c r="O909" s="134" t="s">
        <v>1443</v>
      </c>
      <c r="P909" s="134" t="s">
        <v>1443</v>
      </c>
      <c r="Q909" s="134" t="s">
        <v>1443</v>
      </c>
      <c r="R909" s="109"/>
      <c r="S909" s="109"/>
      <c r="T909" s="109"/>
      <c r="U909" s="109"/>
      <c r="V909" s="109"/>
    </row>
    <row r="910" spans="2:22" ht="12.75" hidden="1" customHeight="1" outlineLevel="1" x14ac:dyDescent="0.2">
      <c r="B910" s="5" t="s">
        <v>371</v>
      </c>
      <c r="C910" s="118" t="s">
        <v>1377</v>
      </c>
      <c r="D910" s="46">
        <v>299709</v>
      </c>
      <c r="E910" s="41"/>
      <c r="F910" s="134" t="s">
        <v>1443</v>
      </c>
      <c r="G910" s="134" t="s">
        <v>1443</v>
      </c>
      <c r="H910" s="134" t="s">
        <v>1443</v>
      </c>
      <c r="I910" s="134" t="s">
        <v>1443</v>
      </c>
      <c r="J910" s="134" t="s">
        <v>1443</v>
      </c>
      <c r="K910" s="134" t="s">
        <v>1443</v>
      </c>
      <c r="L910" s="134" t="s">
        <v>1443</v>
      </c>
      <c r="M910" s="134" t="s">
        <v>1443</v>
      </c>
      <c r="N910" s="134" t="s">
        <v>1443</v>
      </c>
      <c r="O910" s="134" t="s">
        <v>1443</v>
      </c>
      <c r="P910" s="134" t="s">
        <v>1443</v>
      </c>
      <c r="Q910" s="134" t="s">
        <v>1443</v>
      </c>
      <c r="R910" s="109"/>
      <c r="S910" s="109"/>
      <c r="T910" s="109"/>
      <c r="U910" s="109"/>
      <c r="V910" s="109"/>
    </row>
    <row r="911" spans="2:22" ht="12.75" hidden="1" customHeight="1" outlineLevel="1" x14ac:dyDescent="0.2">
      <c r="B911" s="5" t="s">
        <v>370</v>
      </c>
      <c r="C911" s="118" t="s">
        <v>1378</v>
      </c>
      <c r="D911" s="46">
        <v>299710</v>
      </c>
      <c r="E911" s="41"/>
      <c r="F911" s="134" t="s">
        <v>1443</v>
      </c>
      <c r="G911" s="134" t="s">
        <v>1443</v>
      </c>
      <c r="H911" s="134" t="s">
        <v>1443</v>
      </c>
      <c r="I911" s="134" t="s">
        <v>1443</v>
      </c>
      <c r="J911" s="134" t="s">
        <v>1443</v>
      </c>
      <c r="K911" s="134" t="s">
        <v>1443</v>
      </c>
      <c r="L911" s="134" t="s">
        <v>1443</v>
      </c>
      <c r="M911" s="134" t="s">
        <v>1443</v>
      </c>
      <c r="N911" s="134" t="s">
        <v>1443</v>
      </c>
      <c r="O911" s="134" t="s">
        <v>1443</v>
      </c>
      <c r="P911" s="134" t="s">
        <v>1443</v>
      </c>
      <c r="Q911" s="134" t="s">
        <v>1443</v>
      </c>
      <c r="R911" s="109"/>
      <c r="S911" s="109"/>
      <c r="T911" s="109"/>
      <c r="U911" s="109"/>
      <c r="V911" s="109"/>
    </row>
    <row r="912" spans="2:22" ht="12.75" hidden="1" customHeight="1" outlineLevel="1" x14ac:dyDescent="0.2">
      <c r="B912" s="5" t="s">
        <v>369</v>
      </c>
      <c r="C912" s="118" t="s">
        <v>1379</v>
      </c>
      <c r="D912" s="46">
        <v>299711</v>
      </c>
      <c r="E912" s="41"/>
      <c r="F912" s="134" t="s">
        <v>1443</v>
      </c>
      <c r="G912" s="134" t="s">
        <v>1443</v>
      </c>
      <c r="H912" s="134" t="s">
        <v>1443</v>
      </c>
      <c r="I912" s="134" t="s">
        <v>1443</v>
      </c>
      <c r="J912" s="134" t="s">
        <v>1443</v>
      </c>
      <c r="K912" s="134" t="s">
        <v>1443</v>
      </c>
      <c r="L912" s="134" t="s">
        <v>1443</v>
      </c>
      <c r="M912" s="134" t="s">
        <v>1443</v>
      </c>
      <c r="N912" s="134" t="s">
        <v>1443</v>
      </c>
      <c r="O912" s="134" t="s">
        <v>1443</v>
      </c>
      <c r="P912" s="134" t="s">
        <v>1443</v>
      </c>
      <c r="Q912" s="134" t="s">
        <v>1443</v>
      </c>
      <c r="R912" s="109"/>
      <c r="S912" s="109"/>
      <c r="T912" s="109"/>
      <c r="U912" s="109"/>
      <c r="V912" s="109"/>
    </row>
    <row r="913" spans="2:22" ht="12.75" hidden="1" customHeight="1" outlineLevel="1" x14ac:dyDescent="0.2">
      <c r="B913" s="5" t="s">
        <v>368</v>
      </c>
      <c r="C913" s="118" t="s">
        <v>1380</v>
      </c>
      <c r="D913" s="46">
        <v>299721</v>
      </c>
      <c r="E913" s="41"/>
      <c r="F913" s="134" t="s">
        <v>1443</v>
      </c>
      <c r="G913" s="134" t="s">
        <v>1443</v>
      </c>
      <c r="H913" s="134" t="s">
        <v>1443</v>
      </c>
      <c r="I913" s="134" t="s">
        <v>1443</v>
      </c>
      <c r="J913" s="134" t="s">
        <v>1443</v>
      </c>
      <c r="K913" s="134" t="s">
        <v>1443</v>
      </c>
      <c r="L913" s="134" t="s">
        <v>1443</v>
      </c>
      <c r="M913" s="134" t="s">
        <v>1443</v>
      </c>
      <c r="N913" s="134" t="s">
        <v>1443</v>
      </c>
      <c r="O913" s="134" t="s">
        <v>1443</v>
      </c>
      <c r="P913" s="134" t="s">
        <v>1443</v>
      </c>
      <c r="Q913" s="134" t="s">
        <v>1443</v>
      </c>
      <c r="R913" s="22"/>
      <c r="S913" s="109"/>
      <c r="T913" s="109"/>
      <c r="U913" s="109"/>
      <c r="V913" s="109"/>
    </row>
    <row r="914" spans="2:22" ht="12.75" hidden="1" customHeight="1" outlineLevel="1" x14ac:dyDescent="0.2">
      <c r="B914" s="5" t="s">
        <v>367</v>
      </c>
      <c r="C914" s="118" t="s">
        <v>1381</v>
      </c>
      <c r="D914" s="46">
        <v>299722</v>
      </c>
      <c r="E914" s="41"/>
      <c r="F914" s="134" t="s">
        <v>1443</v>
      </c>
      <c r="G914" s="134" t="s">
        <v>1443</v>
      </c>
      <c r="H914" s="134" t="s">
        <v>1443</v>
      </c>
      <c r="I914" s="134" t="s">
        <v>1443</v>
      </c>
      <c r="J914" s="134" t="s">
        <v>1443</v>
      </c>
      <c r="K914" s="134" t="s">
        <v>1443</v>
      </c>
      <c r="L914" s="134" t="s">
        <v>1443</v>
      </c>
      <c r="M914" s="134" t="s">
        <v>1443</v>
      </c>
      <c r="N914" s="134" t="s">
        <v>1443</v>
      </c>
      <c r="O914" s="134" t="s">
        <v>1443</v>
      </c>
      <c r="P914" s="134" t="s">
        <v>1443</v>
      </c>
      <c r="Q914" s="134" t="s">
        <v>1443</v>
      </c>
      <c r="R914" s="22"/>
      <c r="S914" s="109"/>
      <c r="T914" s="109"/>
      <c r="U914" s="109"/>
      <c r="V914" s="109"/>
    </row>
    <row r="915" spans="2:22" ht="12.75" hidden="1" customHeight="1" outlineLevel="1" x14ac:dyDescent="0.2">
      <c r="B915" s="5" t="s">
        <v>366</v>
      </c>
      <c r="C915" s="118" t="s">
        <v>1382</v>
      </c>
      <c r="D915" s="46">
        <v>299723</v>
      </c>
      <c r="E915" s="41"/>
      <c r="F915" s="134" t="s">
        <v>1443</v>
      </c>
      <c r="G915" s="134" t="s">
        <v>1443</v>
      </c>
      <c r="H915" s="134" t="s">
        <v>1443</v>
      </c>
      <c r="I915" s="134" t="s">
        <v>1443</v>
      </c>
      <c r="J915" s="134" t="s">
        <v>1443</v>
      </c>
      <c r="K915" s="134" t="s">
        <v>1443</v>
      </c>
      <c r="L915" s="134" t="s">
        <v>1443</v>
      </c>
      <c r="M915" s="134" t="s">
        <v>1443</v>
      </c>
      <c r="N915" s="134" t="s">
        <v>1443</v>
      </c>
      <c r="O915" s="134" t="s">
        <v>1443</v>
      </c>
      <c r="P915" s="134" t="s">
        <v>1443</v>
      </c>
      <c r="Q915" s="134" t="s">
        <v>1443</v>
      </c>
      <c r="R915" s="22"/>
      <c r="S915" s="109"/>
      <c r="T915" s="109"/>
      <c r="U915" s="109"/>
      <c r="V915" s="109"/>
    </row>
    <row r="916" spans="2:22" ht="12.75" hidden="1" customHeight="1" outlineLevel="1" x14ac:dyDescent="0.2">
      <c r="B916" s="5" t="s">
        <v>365</v>
      </c>
      <c r="C916" s="118" t="s">
        <v>1383</v>
      </c>
      <c r="D916" s="46">
        <v>299712</v>
      </c>
      <c r="E916" s="41"/>
      <c r="F916" s="134" t="s">
        <v>1443</v>
      </c>
      <c r="G916" s="134" t="s">
        <v>1443</v>
      </c>
      <c r="H916" s="134" t="s">
        <v>1443</v>
      </c>
      <c r="I916" s="134" t="s">
        <v>1443</v>
      </c>
      <c r="J916" s="134" t="s">
        <v>1443</v>
      </c>
      <c r="K916" s="134" t="s">
        <v>1443</v>
      </c>
      <c r="L916" s="134" t="s">
        <v>1443</v>
      </c>
      <c r="M916" s="134" t="s">
        <v>1443</v>
      </c>
      <c r="N916" s="134" t="s">
        <v>1443</v>
      </c>
      <c r="O916" s="134" t="s">
        <v>1443</v>
      </c>
      <c r="P916" s="134" t="s">
        <v>1443</v>
      </c>
      <c r="Q916" s="134" t="s">
        <v>1443</v>
      </c>
      <c r="R916" s="109"/>
      <c r="S916" s="109"/>
      <c r="T916" s="109"/>
      <c r="U916" s="109"/>
      <c r="V916" s="109"/>
    </row>
    <row r="917" spans="2:22" ht="12.75" hidden="1" customHeight="1" outlineLevel="1" x14ac:dyDescent="0.2">
      <c r="B917" s="8" t="s">
        <v>364</v>
      </c>
      <c r="C917" s="118" t="s">
        <v>192</v>
      </c>
      <c r="D917" s="46" t="s">
        <v>192</v>
      </c>
      <c r="E917" s="41"/>
      <c r="F917" s="134"/>
      <c r="G917" s="134"/>
      <c r="H917" s="134"/>
      <c r="I917" s="134"/>
      <c r="J917" s="134"/>
      <c r="K917" s="134"/>
      <c r="L917" s="134"/>
      <c r="M917" s="134"/>
      <c r="N917" s="134"/>
      <c r="O917" s="134"/>
      <c r="P917" s="134"/>
      <c r="Q917" s="134"/>
    </row>
    <row r="918" spans="2:22" ht="12.75" hidden="1" customHeight="1" outlineLevel="1" x14ac:dyDescent="0.2">
      <c r="B918" s="5" t="s">
        <v>363</v>
      </c>
      <c r="C918" s="118" t="s">
        <v>1384</v>
      </c>
      <c r="D918" s="46">
        <v>299713</v>
      </c>
      <c r="E918" s="41"/>
      <c r="F918" s="134" t="s">
        <v>1443</v>
      </c>
      <c r="G918" s="134" t="s">
        <v>1443</v>
      </c>
      <c r="H918" s="134" t="s">
        <v>1443</v>
      </c>
      <c r="I918" s="134" t="s">
        <v>1443</v>
      </c>
      <c r="J918" s="134" t="s">
        <v>1443</v>
      </c>
      <c r="K918" s="134" t="s">
        <v>1443</v>
      </c>
      <c r="L918" s="134" t="s">
        <v>1443</v>
      </c>
      <c r="M918" s="134" t="s">
        <v>1443</v>
      </c>
      <c r="N918" s="134" t="s">
        <v>1443</v>
      </c>
      <c r="O918" s="134" t="s">
        <v>1443</v>
      </c>
      <c r="P918" s="134" t="s">
        <v>1443</v>
      </c>
      <c r="Q918" s="134" t="s">
        <v>1443</v>
      </c>
      <c r="R918" s="109"/>
      <c r="S918" s="109"/>
      <c r="T918" s="109"/>
      <c r="U918" s="109"/>
      <c r="V918" s="109"/>
    </row>
    <row r="919" spans="2:22" ht="12.75" hidden="1" customHeight="1" outlineLevel="1" x14ac:dyDescent="0.2">
      <c r="B919" s="5" t="s">
        <v>362</v>
      </c>
      <c r="C919" s="118" t="s">
        <v>1385</v>
      </c>
      <c r="D919" s="46">
        <v>299714</v>
      </c>
      <c r="E919" s="41"/>
      <c r="F919" s="134" t="s">
        <v>1443</v>
      </c>
      <c r="G919" s="134" t="s">
        <v>1443</v>
      </c>
      <c r="H919" s="134" t="s">
        <v>1443</v>
      </c>
      <c r="I919" s="134" t="s">
        <v>1443</v>
      </c>
      <c r="J919" s="134" t="s">
        <v>1443</v>
      </c>
      <c r="K919" s="134" t="s">
        <v>1443</v>
      </c>
      <c r="L919" s="134" t="s">
        <v>1443</v>
      </c>
      <c r="M919" s="134" t="s">
        <v>1443</v>
      </c>
      <c r="N919" s="134" t="s">
        <v>1443</v>
      </c>
      <c r="O919" s="134" t="s">
        <v>1443</v>
      </c>
      <c r="P919" s="134" t="s">
        <v>1443</v>
      </c>
      <c r="Q919" s="134" t="s">
        <v>1443</v>
      </c>
      <c r="R919" s="109"/>
      <c r="S919" s="109"/>
      <c r="T919" s="109"/>
      <c r="U919" s="109"/>
      <c r="V919" s="109"/>
    </row>
    <row r="920" spans="2:22" ht="12.75" hidden="1" customHeight="1" outlineLevel="1" x14ac:dyDescent="0.2">
      <c r="B920" s="5" t="s">
        <v>361</v>
      </c>
      <c r="C920" s="118" t="s">
        <v>1386</v>
      </c>
      <c r="D920" s="46">
        <v>299715</v>
      </c>
      <c r="E920" s="41"/>
      <c r="F920" s="134" t="s">
        <v>1443</v>
      </c>
      <c r="G920" s="134" t="s">
        <v>1443</v>
      </c>
      <c r="H920" s="134" t="s">
        <v>1443</v>
      </c>
      <c r="I920" s="134" t="s">
        <v>1443</v>
      </c>
      <c r="J920" s="134" t="s">
        <v>1443</v>
      </c>
      <c r="K920" s="134" t="s">
        <v>1443</v>
      </c>
      <c r="L920" s="134" t="s">
        <v>1443</v>
      </c>
      <c r="M920" s="134" t="s">
        <v>1443</v>
      </c>
      <c r="N920" s="134" t="s">
        <v>1443</v>
      </c>
      <c r="O920" s="134" t="s">
        <v>1443</v>
      </c>
      <c r="P920" s="134" t="s">
        <v>1443</v>
      </c>
      <c r="Q920" s="134" t="s">
        <v>1443</v>
      </c>
      <c r="R920" s="109"/>
      <c r="S920" s="109"/>
      <c r="T920" s="109"/>
      <c r="U920" s="109"/>
      <c r="V920" s="109"/>
    </row>
    <row r="921" spans="2:22" ht="12.75" hidden="1" customHeight="1" outlineLevel="1" x14ac:dyDescent="0.2">
      <c r="B921" s="8" t="s">
        <v>360</v>
      </c>
      <c r="C921" s="118" t="s">
        <v>192</v>
      </c>
      <c r="D921" s="46" t="s">
        <v>192</v>
      </c>
      <c r="E921" s="41"/>
      <c r="F921" s="134"/>
      <c r="G921" s="134"/>
      <c r="H921" s="134"/>
      <c r="I921" s="134"/>
      <c r="J921" s="134"/>
      <c r="K921" s="134"/>
      <c r="L921" s="134"/>
      <c r="M921" s="134"/>
      <c r="N921" s="134"/>
      <c r="O921" s="134"/>
      <c r="P921" s="134"/>
      <c r="Q921" s="134"/>
    </row>
    <row r="922" spans="2:22" ht="12.75" hidden="1" customHeight="1" outlineLevel="1" x14ac:dyDescent="0.2">
      <c r="B922" s="5" t="s">
        <v>359</v>
      </c>
      <c r="C922" s="118" t="s">
        <v>1387</v>
      </c>
      <c r="D922" s="46">
        <v>299726</v>
      </c>
      <c r="E922" s="41"/>
      <c r="F922" s="134" t="s">
        <v>1443</v>
      </c>
      <c r="G922" s="134" t="s">
        <v>1443</v>
      </c>
      <c r="H922" s="134" t="s">
        <v>1443</v>
      </c>
      <c r="I922" s="134" t="s">
        <v>1443</v>
      </c>
      <c r="J922" s="134" t="s">
        <v>1443</v>
      </c>
      <c r="K922" s="134" t="s">
        <v>1443</v>
      </c>
      <c r="L922" s="134" t="s">
        <v>1443</v>
      </c>
      <c r="M922" s="134" t="s">
        <v>1443</v>
      </c>
      <c r="N922" s="134" t="s">
        <v>1443</v>
      </c>
      <c r="O922" s="134" t="s">
        <v>1443</v>
      </c>
      <c r="P922" s="134" t="s">
        <v>1443</v>
      </c>
      <c r="Q922" s="134" t="s">
        <v>1443</v>
      </c>
      <c r="R922" s="109"/>
      <c r="S922" s="109"/>
      <c r="T922" s="109"/>
      <c r="U922" s="109"/>
      <c r="V922" s="109"/>
    </row>
    <row r="923" spans="2:22" ht="12.75" hidden="1" customHeight="1" outlineLevel="1" x14ac:dyDescent="0.2">
      <c r="B923" s="5" t="s">
        <v>358</v>
      </c>
      <c r="C923" s="118" t="s">
        <v>1388</v>
      </c>
      <c r="D923" s="46">
        <v>299727</v>
      </c>
      <c r="E923" s="41"/>
      <c r="F923" s="134" t="s">
        <v>1443</v>
      </c>
      <c r="G923" s="134" t="s">
        <v>1443</v>
      </c>
      <c r="H923" s="134" t="s">
        <v>1443</v>
      </c>
      <c r="I923" s="134" t="s">
        <v>1443</v>
      </c>
      <c r="J923" s="134" t="s">
        <v>1443</v>
      </c>
      <c r="K923" s="134" t="s">
        <v>1443</v>
      </c>
      <c r="L923" s="134" t="s">
        <v>1443</v>
      </c>
      <c r="M923" s="134" t="s">
        <v>1443</v>
      </c>
      <c r="N923" s="134" t="s">
        <v>1443</v>
      </c>
      <c r="O923" s="134" t="s">
        <v>1443</v>
      </c>
      <c r="P923" s="134" t="s">
        <v>1443</v>
      </c>
      <c r="Q923" s="134" t="s">
        <v>1443</v>
      </c>
      <c r="R923" s="109"/>
      <c r="S923" s="109"/>
      <c r="T923" s="109"/>
      <c r="U923" s="109"/>
      <c r="V923" s="109"/>
    </row>
    <row r="924" spans="2:22" ht="12.75" hidden="1" customHeight="1" outlineLevel="1" x14ac:dyDescent="0.2">
      <c r="B924" s="5" t="s">
        <v>357</v>
      </c>
      <c r="C924" s="118" t="s">
        <v>1390</v>
      </c>
      <c r="D924" s="46">
        <v>299728</v>
      </c>
      <c r="E924" s="41"/>
      <c r="F924" s="134" t="s">
        <v>1443</v>
      </c>
      <c r="G924" s="134" t="s">
        <v>1443</v>
      </c>
      <c r="H924" s="134" t="s">
        <v>1443</v>
      </c>
      <c r="I924" s="134" t="s">
        <v>1443</v>
      </c>
      <c r="J924" s="134" t="s">
        <v>1443</v>
      </c>
      <c r="K924" s="134" t="s">
        <v>1443</v>
      </c>
      <c r="L924" s="134" t="s">
        <v>1443</v>
      </c>
      <c r="M924" s="134" t="s">
        <v>1443</v>
      </c>
      <c r="N924" s="134" t="s">
        <v>1443</v>
      </c>
      <c r="O924" s="134" t="s">
        <v>1443</v>
      </c>
      <c r="P924" s="134" t="s">
        <v>1443</v>
      </c>
      <c r="Q924" s="134" t="s">
        <v>1443</v>
      </c>
      <c r="R924" s="109"/>
      <c r="S924" s="109"/>
      <c r="T924" s="109"/>
      <c r="U924" s="109"/>
      <c r="V924" s="109"/>
    </row>
    <row r="925" spans="2:22" ht="12.75" hidden="1" customHeight="1" outlineLevel="1" x14ac:dyDescent="0.2">
      <c r="B925" s="5" t="s">
        <v>356</v>
      </c>
      <c r="C925" s="118" t="s">
        <v>1389</v>
      </c>
      <c r="D925" s="46">
        <v>299729</v>
      </c>
      <c r="E925" s="41"/>
      <c r="F925" s="134" t="s">
        <v>1443</v>
      </c>
      <c r="G925" s="134" t="s">
        <v>1443</v>
      </c>
      <c r="H925" s="134" t="s">
        <v>1443</v>
      </c>
      <c r="I925" s="134" t="s">
        <v>1443</v>
      </c>
      <c r="J925" s="134" t="s">
        <v>1443</v>
      </c>
      <c r="K925" s="134" t="s">
        <v>1443</v>
      </c>
      <c r="L925" s="134" t="s">
        <v>1443</v>
      </c>
      <c r="M925" s="134" t="s">
        <v>1443</v>
      </c>
      <c r="N925" s="134" t="s">
        <v>1443</v>
      </c>
      <c r="O925" s="134" t="s">
        <v>1443</v>
      </c>
      <c r="P925" s="134" t="s">
        <v>1443</v>
      </c>
      <c r="Q925" s="134" t="s">
        <v>1443</v>
      </c>
      <c r="R925" s="109"/>
      <c r="S925" s="109"/>
      <c r="T925" s="109"/>
      <c r="U925" s="109"/>
      <c r="V925" s="109"/>
    </row>
    <row r="926" spans="2:22" ht="12.75" hidden="1" customHeight="1" outlineLevel="1" x14ac:dyDescent="0.2">
      <c r="B926" s="8" t="s">
        <v>355</v>
      </c>
      <c r="C926" s="118" t="s">
        <v>192</v>
      </c>
      <c r="D926" s="46" t="s">
        <v>192</v>
      </c>
      <c r="E926" s="41"/>
      <c r="F926" s="134"/>
      <c r="G926" s="134"/>
      <c r="H926" s="134"/>
      <c r="I926" s="134"/>
      <c r="J926" s="134"/>
      <c r="K926" s="134"/>
      <c r="L926" s="134"/>
      <c r="M926" s="134"/>
      <c r="N926" s="134"/>
      <c r="O926" s="134"/>
      <c r="P926" s="134"/>
      <c r="Q926" s="134"/>
    </row>
    <row r="927" spans="2:22" ht="12.75" hidden="1" customHeight="1" outlineLevel="1" x14ac:dyDescent="0.2">
      <c r="B927" s="5" t="s">
        <v>354</v>
      </c>
      <c r="C927" s="118" t="s">
        <v>935</v>
      </c>
      <c r="D927" s="46">
        <v>299724</v>
      </c>
      <c r="E927" s="41"/>
      <c r="F927" s="134" t="s">
        <v>1443</v>
      </c>
      <c r="G927" s="134" t="s">
        <v>1443</v>
      </c>
      <c r="H927" s="134" t="s">
        <v>1443</v>
      </c>
      <c r="I927" s="134" t="s">
        <v>1443</v>
      </c>
      <c r="J927" s="134" t="s">
        <v>1443</v>
      </c>
      <c r="K927" s="134" t="s">
        <v>1443</v>
      </c>
      <c r="L927" s="134" t="s">
        <v>1443</v>
      </c>
      <c r="M927" s="134" t="s">
        <v>1443</v>
      </c>
      <c r="N927" s="134" t="s">
        <v>1443</v>
      </c>
      <c r="O927" s="134" t="s">
        <v>1443</v>
      </c>
      <c r="P927" s="134" t="s">
        <v>1443</v>
      </c>
      <c r="Q927" s="134" t="s">
        <v>1443</v>
      </c>
      <c r="R927" s="91"/>
      <c r="S927" s="91"/>
      <c r="T927" s="91"/>
      <c r="U927" s="91"/>
      <c r="V927" s="91"/>
    </row>
    <row r="928" spans="2:22" ht="12.75" hidden="1" customHeight="1" outlineLevel="1" x14ac:dyDescent="0.2">
      <c r="B928" s="5" t="s">
        <v>353</v>
      </c>
      <c r="C928" s="118" t="s">
        <v>936</v>
      </c>
      <c r="D928" s="46">
        <v>299725</v>
      </c>
      <c r="E928" s="41"/>
      <c r="F928" s="134" t="s">
        <v>1443</v>
      </c>
      <c r="G928" s="134" t="s">
        <v>1443</v>
      </c>
      <c r="H928" s="134" t="s">
        <v>1443</v>
      </c>
      <c r="I928" s="134" t="s">
        <v>1443</v>
      </c>
      <c r="J928" s="134" t="s">
        <v>1443</v>
      </c>
      <c r="K928" s="134" t="s">
        <v>1443</v>
      </c>
      <c r="L928" s="134" t="s">
        <v>1443</v>
      </c>
      <c r="M928" s="134" t="s">
        <v>1443</v>
      </c>
      <c r="N928" s="134" t="s">
        <v>1443</v>
      </c>
      <c r="O928" s="134" t="s">
        <v>1443</v>
      </c>
      <c r="P928" s="134" t="s">
        <v>1443</v>
      </c>
      <c r="Q928" s="134" t="s">
        <v>1443</v>
      </c>
      <c r="R928" s="91"/>
      <c r="S928" s="91"/>
      <c r="T928" s="91"/>
      <c r="U928" s="91"/>
      <c r="V928" s="91"/>
    </row>
    <row r="929" spans="2:22" ht="12.75" customHeight="1" collapsed="1" x14ac:dyDescent="0.2">
      <c r="B929" s="28"/>
      <c r="C929" s="120" t="s">
        <v>192</v>
      </c>
      <c r="D929" s="46" t="s">
        <v>192</v>
      </c>
      <c r="E929" s="41"/>
      <c r="F929" s="232"/>
      <c r="G929" s="232"/>
      <c r="H929" s="232"/>
      <c r="I929" s="232"/>
      <c r="J929" s="232"/>
      <c r="K929" s="232"/>
      <c r="L929" s="232"/>
      <c r="M929" s="232"/>
      <c r="N929" s="232"/>
      <c r="O929" s="232"/>
      <c r="P929" s="232"/>
      <c r="Q929" s="232"/>
    </row>
    <row r="930" spans="2:22" ht="12.75" hidden="1" customHeight="1" outlineLevel="1" x14ac:dyDescent="0.2">
      <c r="B930" s="20"/>
      <c r="C930" s="120" t="s">
        <v>192</v>
      </c>
      <c r="D930" s="46" t="s">
        <v>192</v>
      </c>
      <c r="E930" s="41"/>
      <c r="F930" s="227"/>
      <c r="G930" s="227"/>
      <c r="H930" s="228"/>
      <c r="I930" s="228"/>
      <c r="J930" s="228"/>
      <c r="K930" s="228"/>
      <c r="L930" s="228"/>
      <c r="M930" s="228"/>
      <c r="N930" s="228"/>
      <c r="O930" s="228"/>
      <c r="P930" s="228"/>
      <c r="Q930" s="227"/>
    </row>
    <row r="931" spans="2:22" ht="12.75" hidden="1" customHeight="1" outlineLevel="1" x14ac:dyDescent="0.2">
      <c r="B931" s="20"/>
      <c r="C931" s="117" t="s">
        <v>1405</v>
      </c>
      <c r="D931" s="46" t="s">
        <v>1820</v>
      </c>
      <c r="E931" s="41"/>
      <c r="F931" s="49">
        <v>44469</v>
      </c>
      <c r="G931" s="49">
        <v>44561</v>
      </c>
      <c r="H931" s="49">
        <v>44651</v>
      </c>
      <c r="I931" s="49">
        <v>44742</v>
      </c>
      <c r="J931" s="49">
        <v>44834</v>
      </c>
      <c r="K931" s="49">
        <v>44926</v>
      </c>
      <c r="L931" s="49">
        <v>45016</v>
      </c>
      <c r="M931" s="49">
        <v>45107</v>
      </c>
      <c r="N931" s="49">
        <v>45199</v>
      </c>
      <c r="O931" s="49">
        <v>45291</v>
      </c>
      <c r="P931" s="49">
        <v>45382</v>
      </c>
      <c r="Q931" s="49">
        <v>45473</v>
      </c>
      <c r="R931" s="50"/>
      <c r="S931" s="50"/>
      <c r="T931" s="50"/>
      <c r="U931" s="50"/>
      <c r="V931" s="50"/>
    </row>
    <row r="932" spans="2:22" ht="12.75" hidden="1" customHeight="1" outlineLevel="1" x14ac:dyDescent="0.2">
      <c r="B932" s="8" t="s">
        <v>351</v>
      </c>
      <c r="C932" s="120" t="s">
        <v>192</v>
      </c>
      <c r="D932" s="46" t="s">
        <v>192</v>
      </c>
      <c r="E932" s="41"/>
      <c r="F932" s="233"/>
      <c r="G932" s="233"/>
      <c r="H932" s="233"/>
      <c r="I932" s="233"/>
      <c r="J932" s="233"/>
      <c r="K932" s="233"/>
      <c r="L932" s="233"/>
      <c r="M932" s="233"/>
      <c r="N932" s="233"/>
      <c r="O932" s="233"/>
      <c r="P932" s="233"/>
      <c r="Q932" s="233"/>
    </row>
    <row r="933" spans="2:22" ht="12.75" hidden="1" customHeight="1" outlineLevel="1" x14ac:dyDescent="0.2">
      <c r="B933" s="30" t="s">
        <v>350</v>
      </c>
      <c r="C933" s="122" t="s">
        <v>1422</v>
      </c>
      <c r="D933" s="46" t="s">
        <v>1548</v>
      </c>
      <c r="E933" s="41"/>
      <c r="F933" s="134" t="s">
        <v>1443</v>
      </c>
      <c r="G933" s="134" t="s">
        <v>1443</v>
      </c>
      <c r="H933" s="134" t="s">
        <v>1443</v>
      </c>
      <c r="I933" s="134" t="s">
        <v>1443</v>
      </c>
      <c r="J933" s="134" t="s">
        <v>1443</v>
      </c>
      <c r="K933" s="134" t="s">
        <v>1443</v>
      </c>
      <c r="L933" s="134" t="s">
        <v>1443</v>
      </c>
      <c r="M933" s="134" t="s">
        <v>1443</v>
      </c>
      <c r="N933" s="134" t="s">
        <v>1443</v>
      </c>
      <c r="O933" s="134" t="s">
        <v>1443</v>
      </c>
      <c r="P933" s="134" t="s">
        <v>1443</v>
      </c>
      <c r="Q933" s="134" t="s">
        <v>1443</v>
      </c>
      <c r="R933" s="109"/>
      <c r="S933" s="109"/>
      <c r="T933" s="109"/>
      <c r="U933" s="109"/>
      <c r="V933" s="109"/>
    </row>
    <row r="934" spans="2:22" ht="12.75" hidden="1" customHeight="1" outlineLevel="1" x14ac:dyDescent="0.2">
      <c r="B934" s="7" t="s">
        <v>349</v>
      </c>
      <c r="C934" s="122" t="s">
        <v>351</v>
      </c>
      <c r="D934" s="46" t="s">
        <v>1546</v>
      </c>
      <c r="E934" s="41"/>
      <c r="F934" s="137" t="s">
        <v>1443</v>
      </c>
      <c r="G934" s="137" t="s">
        <v>1443</v>
      </c>
      <c r="H934" s="137" t="s">
        <v>1443</v>
      </c>
      <c r="I934" s="137" t="s">
        <v>1443</v>
      </c>
      <c r="J934" s="137" t="s">
        <v>1443</v>
      </c>
      <c r="K934" s="137" t="s">
        <v>1443</v>
      </c>
      <c r="L934" s="137" t="s">
        <v>1443</v>
      </c>
      <c r="M934" s="137" t="s">
        <v>1443</v>
      </c>
      <c r="N934" s="137" t="s">
        <v>1443</v>
      </c>
      <c r="O934" s="137" t="s">
        <v>1443</v>
      </c>
      <c r="P934" s="137" t="s">
        <v>1443</v>
      </c>
      <c r="Q934" s="137" t="s">
        <v>1443</v>
      </c>
      <c r="R934" s="109"/>
      <c r="S934" s="109"/>
      <c r="T934" s="109"/>
      <c r="U934" s="109"/>
      <c r="V934" s="109"/>
    </row>
    <row r="935" spans="2:22" ht="12.75" hidden="1" customHeight="1" outlineLevel="1" x14ac:dyDescent="0.2">
      <c r="B935" s="30" t="s">
        <v>348</v>
      </c>
      <c r="C935" s="122" t="s">
        <v>1423</v>
      </c>
      <c r="D935" s="46" t="s">
        <v>1547</v>
      </c>
      <c r="E935" s="41"/>
      <c r="F935" s="134" t="s">
        <v>1443</v>
      </c>
      <c r="G935" s="134" t="s">
        <v>1443</v>
      </c>
      <c r="H935" s="134" t="s">
        <v>1443</v>
      </c>
      <c r="I935" s="134" t="s">
        <v>1443</v>
      </c>
      <c r="J935" s="134" t="s">
        <v>1443</v>
      </c>
      <c r="K935" s="134" t="s">
        <v>1443</v>
      </c>
      <c r="L935" s="134" t="s">
        <v>1443</v>
      </c>
      <c r="M935" s="134" t="s">
        <v>1443</v>
      </c>
      <c r="N935" s="134" t="s">
        <v>1443</v>
      </c>
      <c r="O935" s="134" t="s">
        <v>1443</v>
      </c>
      <c r="P935" s="134" t="s">
        <v>1443</v>
      </c>
      <c r="Q935" s="134" t="s">
        <v>1443</v>
      </c>
      <c r="R935" s="109"/>
      <c r="S935" s="109"/>
      <c r="T935" s="109"/>
      <c r="U935" s="109"/>
      <c r="V935" s="109"/>
    </row>
    <row r="936" spans="2:22" ht="12.75" hidden="1" customHeight="1" outlineLevel="1" x14ac:dyDescent="0.2">
      <c r="B936" s="30" t="s">
        <v>347</v>
      </c>
      <c r="C936" s="122" t="s">
        <v>1424</v>
      </c>
      <c r="D936" s="46" t="s">
        <v>1549</v>
      </c>
      <c r="E936" s="41"/>
      <c r="F936" s="134" t="s">
        <v>1443</v>
      </c>
      <c r="G936" s="134" t="s">
        <v>1443</v>
      </c>
      <c r="H936" s="134" t="s">
        <v>1443</v>
      </c>
      <c r="I936" s="134" t="s">
        <v>1443</v>
      </c>
      <c r="J936" s="134" t="s">
        <v>1443</v>
      </c>
      <c r="K936" s="134" t="s">
        <v>1443</v>
      </c>
      <c r="L936" s="134" t="s">
        <v>1443</v>
      </c>
      <c r="M936" s="134" t="s">
        <v>1443</v>
      </c>
      <c r="N936" s="134" t="s">
        <v>1443</v>
      </c>
      <c r="O936" s="134" t="s">
        <v>1443</v>
      </c>
      <c r="P936" s="134" t="s">
        <v>1443</v>
      </c>
      <c r="Q936" s="134" t="s">
        <v>1443</v>
      </c>
      <c r="R936" s="109"/>
      <c r="S936" s="109"/>
      <c r="T936" s="109"/>
      <c r="U936" s="109"/>
      <c r="V936" s="109"/>
    </row>
    <row r="937" spans="2:22" ht="12.75" hidden="1" customHeight="1" outlineLevel="1" x14ac:dyDescent="0.2">
      <c r="B937" s="26"/>
      <c r="C937" s="122" t="s">
        <v>192</v>
      </c>
      <c r="D937" s="46" t="s">
        <v>192</v>
      </c>
      <c r="E937" s="41"/>
      <c r="F937" s="137"/>
      <c r="G937" s="137"/>
      <c r="H937" s="137"/>
      <c r="I937" s="137"/>
      <c r="J937" s="137"/>
      <c r="K937" s="137"/>
      <c r="L937" s="137"/>
      <c r="M937" s="137"/>
      <c r="N937" s="137"/>
      <c r="O937" s="137"/>
      <c r="P937" s="137"/>
      <c r="Q937" s="137"/>
    </row>
    <row r="938" spans="2:22" ht="12.75" hidden="1" customHeight="1" outlineLevel="1" x14ac:dyDescent="0.2">
      <c r="B938" s="5" t="s">
        <v>346</v>
      </c>
      <c r="C938" s="122" t="s">
        <v>346</v>
      </c>
      <c r="D938" s="46" t="s">
        <v>1766</v>
      </c>
      <c r="E938" s="41"/>
      <c r="F938" s="134" t="s">
        <v>1443</v>
      </c>
      <c r="G938" s="134" t="s">
        <v>1443</v>
      </c>
      <c r="H938" s="134" t="s">
        <v>1443</v>
      </c>
      <c r="I938" s="134" t="s">
        <v>1443</v>
      </c>
      <c r="J938" s="134" t="s">
        <v>1443</v>
      </c>
      <c r="K938" s="134" t="s">
        <v>1443</v>
      </c>
      <c r="L938" s="134" t="s">
        <v>1443</v>
      </c>
      <c r="M938" s="134" t="s">
        <v>1443</v>
      </c>
      <c r="N938" s="134" t="s">
        <v>1443</v>
      </c>
      <c r="O938" s="134" t="s">
        <v>1443</v>
      </c>
      <c r="P938" s="134" t="s">
        <v>1443</v>
      </c>
      <c r="Q938" s="134" t="s">
        <v>1443</v>
      </c>
      <c r="R938" s="109"/>
      <c r="S938" s="109"/>
      <c r="T938" s="109"/>
      <c r="U938" s="109"/>
      <c r="V938" s="109"/>
    </row>
    <row r="939" spans="2:22" ht="12.75" hidden="1" customHeight="1" outlineLevel="1" x14ac:dyDescent="0.2">
      <c r="B939" s="5" t="s">
        <v>345</v>
      </c>
      <c r="C939" s="122" t="s">
        <v>345</v>
      </c>
      <c r="D939" s="46" t="s">
        <v>1765</v>
      </c>
      <c r="E939" s="41"/>
      <c r="F939" s="134" t="s">
        <v>1443</v>
      </c>
      <c r="G939" s="134" t="s">
        <v>1443</v>
      </c>
      <c r="H939" s="134" t="s">
        <v>1443</v>
      </c>
      <c r="I939" s="134" t="s">
        <v>1443</v>
      </c>
      <c r="J939" s="134" t="s">
        <v>1443</v>
      </c>
      <c r="K939" s="134" t="s">
        <v>1443</v>
      </c>
      <c r="L939" s="134" t="s">
        <v>1443</v>
      </c>
      <c r="M939" s="134" t="s">
        <v>1443</v>
      </c>
      <c r="N939" s="134" t="s">
        <v>1443</v>
      </c>
      <c r="O939" s="134" t="s">
        <v>1443</v>
      </c>
      <c r="P939" s="134" t="s">
        <v>1443</v>
      </c>
      <c r="Q939" s="134" t="s">
        <v>1443</v>
      </c>
      <c r="R939" s="109"/>
      <c r="S939" s="109"/>
      <c r="T939" s="109"/>
      <c r="U939" s="109"/>
      <c r="V939" s="109"/>
    </row>
    <row r="940" spans="2:22" ht="12.75" hidden="1" customHeight="1" outlineLevel="1" x14ac:dyDescent="0.2">
      <c r="B940" s="5" t="s">
        <v>344</v>
      </c>
      <c r="C940" s="122" t="s">
        <v>344</v>
      </c>
      <c r="D940" s="46" t="s">
        <v>1764</v>
      </c>
      <c r="E940" s="41"/>
      <c r="F940" s="134" t="s">
        <v>1443</v>
      </c>
      <c r="G940" s="134" t="s">
        <v>1443</v>
      </c>
      <c r="H940" s="134" t="s">
        <v>1443</v>
      </c>
      <c r="I940" s="134" t="s">
        <v>1443</v>
      </c>
      <c r="J940" s="134" t="s">
        <v>1443</v>
      </c>
      <c r="K940" s="134" t="s">
        <v>1443</v>
      </c>
      <c r="L940" s="134" t="s">
        <v>1443</v>
      </c>
      <c r="M940" s="134" t="s">
        <v>1443</v>
      </c>
      <c r="N940" s="134" t="s">
        <v>1443</v>
      </c>
      <c r="O940" s="134" t="s">
        <v>1443</v>
      </c>
      <c r="P940" s="134" t="s">
        <v>1443</v>
      </c>
      <c r="Q940" s="134" t="s">
        <v>1443</v>
      </c>
      <c r="R940" s="109"/>
      <c r="S940" s="109"/>
      <c r="T940" s="109"/>
      <c r="U940" s="109"/>
      <c r="V940" s="109"/>
    </row>
    <row r="941" spans="2:22" ht="12.75" hidden="1" customHeight="1" outlineLevel="1" x14ac:dyDescent="0.2">
      <c r="C941" s="122" t="s">
        <v>192</v>
      </c>
      <c r="D941" s="46" t="s">
        <v>192</v>
      </c>
      <c r="E941" s="41"/>
      <c r="F941" s="137"/>
      <c r="G941" s="137"/>
      <c r="H941" s="137"/>
      <c r="I941" s="137"/>
      <c r="J941" s="137"/>
      <c r="K941" s="137"/>
      <c r="L941" s="137"/>
      <c r="M941" s="137"/>
      <c r="N941" s="137"/>
      <c r="O941" s="137"/>
      <c r="P941" s="137"/>
      <c r="Q941" s="137"/>
    </row>
    <row r="942" spans="2:22" ht="12.75" hidden="1" customHeight="1" outlineLevel="1" x14ac:dyDescent="0.2">
      <c r="B942" s="5" t="s">
        <v>343</v>
      </c>
      <c r="C942" s="122" t="s">
        <v>343</v>
      </c>
      <c r="D942" s="46" t="s">
        <v>1775</v>
      </c>
      <c r="E942" s="41"/>
      <c r="F942" s="134" t="s">
        <v>1443</v>
      </c>
      <c r="G942" s="134" t="s">
        <v>1443</v>
      </c>
      <c r="H942" s="134" t="s">
        <v>1443</v>
      </c>
      <c r="I942" s="134" t="s">
        <v>1443</v>
      </c>
      <c r="J942" s="134" t="s">
        <v>1443</v>
      </c>
      <c r="K942" s="134" t="s">
        <v>1443</v>
      </c>
      <c r="L942" s="134" t="s">
        <v>1443</v>
      </c>
      <c r="M942" s="134" t="s">
        <v>1443</v>
      </c>
      <c r="N942" s="134" t="s">
        <v>1443</v>
      </c>
      <c r="O942" s="134" t="s">
        <v>1443</v>
      </c>
      <c r="P942" s="134" t="s">
        <v>1443</v>
      </c>
      <c r="Q942" s="134" t="s">
        <v>1443</v>
      </c>
      <c r="R942" s="109"/>
      <c r="S942" s="109"/>
      <c r="T942" s="109"/>
      <c r="U942" s="109"/>
      <c r="V942" s="109"/>
    </row>
    <row r="943" spans="2:22" ht="12.75" hidden="1" customHeight="1" outlineLevel="1" x14ac:dyDescent="0.2">
      <c r="B943" s="5" t="str">
        <f>"Average Revenue Per Trade "&amp;Cu_Sym</f>
        <v>Average Revenue Per Trade ($)</v>
      </c>
      <c r="C943" s="122" t="s">
        <v>342</v>
      </c>
      <c r="D943" s="46" t="s">
        <v>1552</v>
      </c>
      <c r="E943" s="41"/>
      <c r="F943" s="140" t="s">
        <v>1443</v>
      </c>
      <c r="G943" s="140" t="s">
        <v>1443</v>
      </c>
      <c r="H943" s="140" t="s">
        <v>1443</v>
      </c>
      <c r="I943" s="140" t="s">
        <v>1443</v>
      </c>
      <c r="J943" s="140" t="s">
        <v>1443</v>
      </c>
      <c r="K943" s="140" t="s">
        <v>1443</v>
      </c>
      <c r="L943" s="140" t="s">
        <v>1443</v>
      </c>
      <c r="M943" s="140" t="s">
        <v>1443</v>
      </c>
      <c r="N943" s="140" t="s">
        <v>1443</v>
      </c>
      <c r="O943" s="140" t="s">
        <v>1443</v>
      </c>
      <c r="P943" s="140" t="s">
        <v>1443</v>
      </c>
      <c r="Q943" s="140" t="s">
        <v>1443</v>
      </c>
      <c r="R943" s="91"/>
      <c r="S943" s="91"/>
      <c r="T943" s="91"/>
      <c r="U943" s="91"/>
      <c r="V943" s="91"/>
    </row>
    <row r="944" spans="2:22" ht="12.75" hidden="1" customHeight="1" outlineLevel="1" x14ac:dyDescent="0.2">
      <c r="B944" s="5" t="s">
        <v>341</v>
      </c>
      <c r="C944" s="122" t="s">
        <v>341</v>
      </c>
      <c r="D944" s="46" t="s">
        <v>1545</v>
      </c>
      <c r="E944" s="41"/>
      <c r="F944" s="134" t="s">
        <v>1443</v>
      </c>
      <c r="G944" s="134" t="s">
        <v>1443</v>
      </c>
      <c r="H944" s="134" t="s">
        <v>1443</v>
      </c>
      <c r="I944" s="134" t="s">
        <v>1443</v>
      </c>
      <c r="J944" s="134" t="s">
        <v>1443</v>
      </c>
      <c r="K944" s="134" t="s">
        <v>1443</v>
      </c>
      <c r="L944" s="134" t="s">
        <v>1443</v>
      </c>
      <c r="M944" s="134" t="s">
        <v>1443</v>
      </c>
      <c r="N944" s="134" t="s">
        <v>1443</v>
      </c>
      <c r="O944" s="134" t="s">
        <v>1443</v>
      </c>
      <c r="P944" s="134" t="s">
        <v>1443</v>
      </c>
      <c r="Q944" s="134" t="s">
        <v>1443</v>
      </c>
      <c r="R944" s="109"/>
      <c r="S944" s="109"/>
      <c r="T944" s="109"/>
      <c r="U944" s="109"/>
      <c r="V944" s="109"/>
    </row>
    <row r="945" spans="2:22" ht="12.75" hidden="1" customHeight="1" outlineLevel="1" x14ac:dyDescent="0.2">
      <c r="B945" s="12"/>
      <c r="C945" s="122" t="s">
        <v>192</v>
      </c>
      <c r="D945" s="46" t="s">
        <v>192</v>
      </c>
      <c r="E945" s="41"/>
      <c r="F945" s="134"/>
      <c r="G945" s="134"/>
      <c r="H945" s="134"/>
      <c r="I945" s="134"/>
      <c r="J945" s="134"/>
      <c r="K945" s="134"/>
      <c r="L945" s="134"/>
      <c r="M945" s="134"/>
      <c r="N945" s="134"/>
      <c r="O945" s="134"/>
      <c r="P945" s="134"/>
      <c r="Q945" s="134"/>
    </row>
    <row r="946" spans="2:22" ht="12.75" hidden="1" customHeight="1" outlineLevel="1" x14ac:dyDescent="0.2">
      <c r="B946" s="5" t="s">
        <v>340</v>
      </c>
      <c r="C946" s="118" t="s">
        <v>1392</v>
      </c>
      <c r="D946" s="46" t="s">
        <v>1536</v>
      </c>
      <c r="E946" s="41"/>
      <c r="F946" s="134" t="s">
        <v>1443</v>
      </c>
      <c r="G946" s="134" t="s">
        <v>1443</v>
      </c>
      <c r="H946" s="134" t="s">
        <v>1443</v>
      </c>
      <c r="I946" s="134" t="s">
        <v>1443</v>
      </c>
      <c r="J946" s="134" t="s">
        <v>1443</v>
      </c>
      <c r="K946" s="134" t="s">
        <v>1443</v>
      </c>
      <c r="L946" s="134" t="s">
        <v>1443</v>
      </c>
      <c r="M946" s="134" t="s">
        <v>1443</v>
      </c>
      <c r="N946" s="134" t="s">
        <v>1443</v>
      </c>
      <c r="O946" s="134" t="s">
        <v>1443</v>
      </c>
      <c r="P946" s="134" t="s">
        <v>1443</v>
      </c>
      <c r="Q946" s="134" t="s">
        <v>1443</v>
      </c>
      <c r="R946" s="109"/>
      <c r="S946" s="109"/>
      <c r="T946" s="109"/>
      <c r="U946" s="109"/>
      <c r="V946" s="109"/>
    </row>
    <row r="947" spans="2:22" ht="12.75" hidden="1" customHeight="1" outlineLevel="1" x14ac:dyDescent="0.2">
      <c r="B947" s="5" t="s">
        <v>339</v>
      </c>
      <c r="C947" s="118" t="s">
        <v>1391</v>
      </c>
      <c r="D947" s="46" t="s">
        <v>1537</v>
      </c>
      <c r="E947" s="41"/>
      <c r="F947" s="134" t="s">
        <v>1443</v>
      </c>
      <c r="G947" s="134" t="s">
        <v>1443</v>
      </c>
      <c r="H947" s="134" t="s">
        <v>1443</v>
      </c>
      <c r="I947" s="134" t="s">
        <v>1443</v>
      </c>
      <c r="J947" s="134" t="s">
        <v>1443</v>
      </c>
      <c r="K947" s="134" t="s">
        <v>1443</v>
      </c>
      <c r="L947" s="134" t="s">
        <v>1443</v>
      </c>
      <c r="M947" s="134" t="s">
        <v>1443</v>
      </c>
      <c r="N947" s="134" t="s">
        <v>1443</v>
      </c>
      <c r="O947" s="134" t="s">
        <v>1443</v>
      </c>
      <c r="P947" s="134" t="s">
        <v>1443</v>
      </c>
      <c r="Q947" s="134" t="s">
        <v>1443</v>
      </c>
      <c r="R947" s="109"/>
      <c r="S947" s="109"/>
      <c r="T947" s="109"/>
      <c r="U947" s="109"/>
      <c r="V947" s="109"/>
    </row>
    <row r="948" spans="2:22" ht="12.75" hidden="1" customHeight="1" outlineLevel="1" x14ac:dyDescent="0.2">
      <c r="B948" s="5" t="s">
        <v>338</v>
      </c>
      <c r="C948" s="118" t="s">
        <v>1393</v>
      </c>
      <c r="D948" s="46" t="s">
        <v>1543</v>
      </c>
      <c r="E948" s="41"/>
      <c r="F948" s="134" t="s">
        <v>1443</v>
      </c>
      <c r="G948" s="134" t="s">
        <v>1443</v>
      </c>
      <c r="H948" s="134" t="s">
        <v>1443</v>
      </c>
      <c r="I948" s="134" t="s">
        <v>1443</v>
      </c>
      <c r="J948" s="134" t="s">
        <v>1443</v>
      </c>
      <c r="K948" s="134" t="s">
        <v>1443</v>
      </c>
      <c r="L948" s="134" t="s">
        <v>1443</v>
      </c>
      <c r="M948" s="134" t="s">
        <v>1443</v>
      </c>
      <c r="N948" s="134" t="s">
        <v>1443</v>
      </c>
      <c r="O948" s="134" t="s">
        <v>1443</v>
      </c>
      <c r="P948" s="134" t="s">
        <v>1443</v>
      </c>
      <c r="Q948" s="134" t="s">
        <v>1443</v>
      </c>
      <c r="R948" s="109"/>
      <c r="S948" s="109"/>
      <c r="T948" s="109"/>
      <c r="U948" s="109"/>
      <c r="V948" s="109"/>
    </row>
    <row r="949" spans="2:22" ht="12.75" hidden="1" customHeight="1" outlineLevel="1" x14ac:dyDescent="0.2">
      <c r="B949" s="5" t="s">
        <v>337</v>
      </c>
      <c r="C949" s="118" t="s">
        <v>337</v>
      </c>
      <c r="D949" s="46" t="s">
        <v>1544</v>
      </c>
      <c r="E949" s="41"/>
      <c r="F949" s="134" t="s">
        <v>1443</v>
      </c>
      <c r="G949" s="134" t="s">
        <v>1443</v>
      </c>
      <c r="H949" s="134" t="s">
        <v>1443</v>
      </c>
      <c r="I949" s="134" t="s">
        <v>1443</v>
      </c>
      <c r="J949" s="134" t="s">
        <v>1443</v>
      </c>
      <c r="K949" s="134" t="s">
        <v>1443</v>
      </c>
      <c r="L949" s="134" t="s">
        <v>1443</v>
      </c>
      <c r="M949" s="134" t="s">
        <v>1443</v>
      </c>
      <c r="N949" s="134" t="s">
        <v>1443</v>
      </c>
      <c r="O949" s="134" t="s">
        <v>1443</v>
      </c>
      <c r="P949" s="134" t="s">
        <v>1443</v>
      </c>
      <c r="Q949" s="134" t="s">
        <v>1443</v>
      </c>
      <c r="R949" s="109"/>
      <c r="S949" s="109"/>
      <c r="T949" s="109"/>
      <c r="U949" s="109"/>
      <c r="V949" s="109"/>
    </row>
    <row r="950" spans="2:22" ht="12.75" hidden="1" customHeight="1" outlineLevel="1" x14ac:dyDescent="0.2">
      <c r="B950" s="12"/>
      <c r="C950" s="122" t="s">
        <v>192</v>
      </c>
      <c r="D950" s="46" t="s">
        <v>192</v>
      </c>
      <c r="E950" s="41"/>
      <c r="F950" s="134"/>
      <c r="G950" s="134"/>
      <c r="H950" s="134"/>
      <c r="I950" s="134"/>
      <c r="J950" s="134"/>
      <c r="K950" s="134"/>
      <c r="L950" s="134"/>
      <c r="M950" s="134"/>
      <c r="N950" s="134"/>
      <c r="O950" s="134"/>
      <c r="P950" s="134"/>
      <c r="Q950" s="134"/>
      <c r="R950" s="22"/>
    </row>
    <row r="951" spans="2:22" ht="12.75" hidden="1" customHeight="1" outlineLevel="1" x14ac:dyDescent="0.2">
      <c r="B951" s="8" t="s">
        <v>336</v>
      </c>
      <c r="C951" s="118" t="s">
        <v>192</v>
      </c>
      <c r="D951" s="46" t="s">
        <v>192</v>
      </c>
      <c r="E951" s="41"/>
      <c r="F951" s="134"/>
      <c r="G951" s="134"/>
      <c r="H951" s="134"/>
      <c r="I951" s="134"/>
      <c r="J951" s="134"/>
      <c r="K951" s="134"/>
      <c r="L951" s="134"/>
      <c r="M951" s="134"/>
      <c r="N951" s="134"/>
      <c r="O951" s="134"/>
      <c r="P951" s="134"/>
      <c r="Q951" s="134"/>
      <c r="R951" s="22"/>
    </row>
    <row r="952" spans="2:22" ht="12.75" hidden="1" customHeight="1" outlineLevel="1" x14ac:dyDescent="0.2">
      <c r="B952" s="30" t="s">
        <v>335</v>
      </c>
      <c r="C952" s="118" t="s">
        <v>335</v>
      </c>
      <c r="D952" s="46" t="s">
        <v>1574</v>
      </c>
      <c r="E952" s="41"/>
      <c r="F952" s="134" t="s">
        <v>1443</v>
      </c>
      <c r="G952" s="134" t="s">
        <v>1443</v>
      </c>
      <c r="H952" s="134" t="s">
        <v>1443</v>
      </c>
      <c r="I952" s="134" t="s">
        <v>1443</v>
      </c>
      <c r="J952" s="134" t="s">
        <v>1443</v>
      </c>
      <c r="K952" s="134" t="s">
        <v>1443</v>
      </c>
      <c r="L952" s="134" t="s">
        <v>1443</v>
      </c>
      <c r="M952" s="134" t="s">
        <v>1443</v>
      </c>
      <c r="N952" s="134" t="s">
        <v>1443</v>
      </c>
      <c r="O952" s="134" t="s">
        <v>1443</v>
      </c>
      <c r="P952" s="134" t="s">
        <v>1443</v>
      </c>
      <c r="Q952" s="134" t="s">
        <v>1443</v>
      </c>
      <c r="R952" s="22"/>
      <c r="S952" s="109"/>
      <c r="T952" s="109"/>
      <c r="U952" s="109"/>
      <c r="V952" s="109"/>
    </row>
    <row r="953" spans="2:22" ht="12.75" hidden="1" customHeight="1" outlineLevel="1" x14ac:dyDescent="0.2">
      <c r="B953" s="30" t="s">
        <v>334</v>
      </c>
      <c r="C953" s="118" t="s">
        <v>334</v>
      </c>
      <c r="D953" s="46" t="s">
        <v>1576</v>
      </c>
      <c r="E953" s="41"/>
      <c r="F953" s="134" t="s">
        <v>1443</v>
      </c>
      <c r="G953" s="134" t="s">
        <v>1443</v>
      </c>
      <c r="H953" s="134" t="s">
        <v>1443</v>
      </c>
      <c r="I953" s="134" t="s">
        <v>1443</v>
      </c>
      <c r="J953" s="134" t="s">
        <v>1443</v>
      </c>
      <c r="K953" s="134" t="s">
        <v>1443</v>
      </c>
      <c r="L953" s="134" t="s">
        <v>1443</v>
      </c>
      <c r="M953" s="134" t="s">
        <v>1443</v>
      </c>
      <c r="N953" s="134" t="s">
        <v>1443</v>
      </c>
      <c r="O953" s="134" t="s">
        <v>1443</v>
      </c>
      <c r="P953" s="134" t="s">
        <v>1443</v>
      </c>
      <c r="Q953" s="134" t="s">
        <v>1443</v>
      </c>
      <c r="R953" s="22"/>
      <c r="S953" s="109"/>
      <c r="T953" s="109"/>
      <c r="U953" s="109"/>
      <c r="V953" s="109"/>
    </row>
    <row r="954" spans="2:22" ht="12.75" hidden="1" customHeight="1" outlineLevel="1" x14ac:dyDescent="0.2">
      <c r="B954" s="30" t="s">
        <v>333</v>
      </c>
      <c r="C954" s="118" t="s">
        <v>333</v>
      </c>
      <c r="D954" s="46" t="s">
        <v>1578</v>
      </c>
      <c r="E954" s="41"/>
      <c r="F954" s="134" t="s">
        <v>1443</v>
      </c>
      <c r="G954" s="134" t="s">
        <v>1443</v>
      </c>
      <c r="H954" s="134" t="s">
        <v>1443</v>
      </c>
      <c r="I954" s="134" t="s">
        <v>1443</v>
      </c>
      <c r="J954" s="134" t="s">
        <v>1443</v>
      </c>
      <c r="K954" s="134" t="s">
        <v>1443</v>
      </c>
      <c r="L954" s="134" t="s">
        <v>1443</v>
      </c>
      <c r="M954" s="134" t="s">
        <v>1443</v>
      </c>
      <c r="N954" s="134" t="s">
        <v>1443</v>
      </c>
      <c r="O954" s="134" t="s">
        <v>1443</v>
      </c>
      <c r="P954" s="134" t="s">
        <v>1443</v>
      </c>
      <c r="Q954" s="134" t="s">
        <v>1443</v>
      </c>
      <c r="R954" s="109"/>
      <c r="S954" s="109"/>
      <c r="T954" s="109"/>
      <c r="U954" s="109"/>
      <c r="V954" s="109"/>
    </row>
    <row r="955" spans="2:22" ht="12.75" hidden="1" customHeight="1" outlineLevel="1" x14ac:dyDescent="0.2">
      <c r="B955" s="30" t="s">
        <v>332</v>
      </c>
      <c r="C955" s="118" t="s">
        <v>332</v>
      </c>
      <c r="D955" s="46" t="s">
        <v>1577</v>
      </c>
      <c r="E955" s="41"/>
      <c r="F955" s="134" t="s">
        <v>1443</v>
      </c>
      <c r="G955" s="134" t="s">
        <v>1443</v>
      </c>
      <c r="H955" s="134" t="s">
        <v>1443</v>
      </c>
      <c r="I955" s="134" t="s">
        <v>1443</v>
      </c>
      <c r="J955" s="134" t="s">
        <v>1443</v>
      </c>
      <c r="K955" s="134" t="s">
        <v>1443</v>
      </c>
      <c r="L955" s="134" t="s">
        <v>1443</v>
      </c>
      <c r="M955" s="134" t="s">
        <v>1443</v>
      </c>
      <c r="N955" s="134" t="s">
        <v>1443</v>
      </c>
      <c r="O955" s="134" t="s">
        <v>1443</v>
      </c>
      <c r="P955" s="134" t="s">
        <v>1443</v>
      </c>
      <c r="Q955" s="134" t="s">
        <v>1443</v>
      </c>
      <c r="R955" s="109"/>
      <c r="S955" s="109"/>
      <c r="T955" s="109"/>
      <c r="U955" s="109"/>
      <c r="V955" s="109"/>
    </row>
    <row r="956" spans="2:22" ht="12.75" hidden="1" customHeight="1" outlineLevel="1" x14ac:dyDescent="0.2">
      <c r="B956" s="30" t="s">
        <v>331</v>
      </c>
      <c r="C956" s="118" t="s">
        <v>331</v>
      </c>
      <c r="D956" s="46" t="s">
        <v>1575</v>
      </c>
      <c r="E956" s="41"/>
      <c r="F956" s="134" t="s">
        <v>1443</v>
      </c>
      <c r="G956" s="134" t="s">
        <v>1443</v>
      </c>
      <c r="H956" s="134" t="s">
        <v>1443</v>
      </c>
      <c r="I956" s="134" t="s">
        <v>1443</v>
      </c>
      <c r="J956" s="134" t="s">
        <v>1443</v>
      </c>
      <c r="K956" s="134" t="s">
        <v>1443</v>
      </c>
      <c r="L956" s="134" t="s">
        <v>1443</v>
      </c>
      <c r="M956" s="134" t="s">
        <v>1443</v>
      </c>
      <c r="N956" s="134" t="s">
        <v>1443</v>
      </c>
      <c r="O956" s="134" t="s">
        <v>1443</v>
      </c>
      <c r="P956" s="134" t="s">
        <v>1443</v>
      </c>
      <c r="Q956" s="134" t="s">
        <v>1443</v>
      </c>
      <c r="R956" s="109"/>
      <c r="S956" s="109"/>
      <c r="T956" s="109"/>
      <c r="U956" s="109"/>
      <c r="V956" s="109"/>
    </row>
    <row r="957" spans="2:22" ht="12.75" hidden="1" customHeight="1" outlineLevel="1" x14ac:dyDescent="0.2">
      <c r="B957" s="30"/>
      <c r="C957" s="118" t="s">
        <v>192</v>
      </c>
      <c r="D957" s="46" t="s">
        <v>192</v>
      </c>
      <c r="E957" s="41"/>
      <c r="F957" s="134"/>
      <c r="G957" s="134"/>
      <c r="H957" s="134"/>
      <c r="I957" s="134"/>
      <c r="J957" s="134"/>
      <c r="K957" s="134"/>
      <c r="L957" s="134"/>
      <c r="M957" s="134"/>
      <c r="N957" s="134"/>
      <c r="O957" s="134"/>
      <c r="P957" s="134"/>
      <c r="Q957" s="134"/>
    </row>
    <row r="958" spans="2:22" ht="12.75" hidden="1" customHeight="1" outlineLevel="1" x14ac:dyDescent="0.2">
      <c r="B958" s="8" t="s">
        <v>330</v>
      </c>
      <c r="C958" s="118" t="s">
        <v>192</v>
      </c>
      <c r="D958" s="46" t="s">
        <v>192</v>
      </c>
      <c r="E958" s="41"/>
      <c r="F958" s="134"/>
      <c r="G958" s="134"/>
      <c r="H958" s="134"/>
      <c r="I958" s="134"/>
      <c r="J958" s="134"/>
      <c r="K958" s="134"/>
      <c r="L958" s="134"/>
      <c r="M958" s="134"/>
      <c r="N958" s="134"/>
      <c r="O958" s="134"/>
      <c r="P958" s="134"/>
      <c r="Q958" s="134"/>
    </row>
    <row r="959" spans="2:22" ht="12.75" hidden="1" customHeight="1" outlineLevel="1" x14ac:dyDescent="0.2">
      <c r="B959" s="30" t="s">
        <v>329</v>
      </c>
      <c r="C959" s="118" t="s">
        <v>329</v>
      </c>
      <c r="D959" s="46" t="s">
        <v>1786</v>
      </c>
      <c r="E959" s="41"/>
      <c r="F959" s="134" t="s">
        <v>1443</v>
      </c>
      <c r="G959" s="134" t="s">
        <v>1443</v>
      </c>
      <c r="H959" s="134" t="s">
        <v>1443</v>
      </c>
      <c r="I959" s="134" t="s">
        <v>1443</v>
      </c>
      <c r="J959" s="134" t="s">
        <v>1443</v>
      </c>
      <c r="K959" s="134" t="s">
        <v>1443</v>
      </c>
      <c r="L959" s="134" t="s">
        <v>1443</v>
      </c>
      <c r="M959" s="134" t="s">
        <v>1443</v>
      </c>
      <c r="N959" s="134" t="s">
        <v>1443</v>
      </c>
      <c r="O959" s="134" t="s">
        <v>1443</v>
      </c>
      <c r="P959" s="134" t="s">
        <v>1443</v>
      </c>
      <c r="Q959" s="134" t="s">
        <v>1443</v>
      </c>
      <c r="R959" s="109"/>
      <c r="S959" s="109"/>
      <c r="T959" s="109"/>
      <c r="U959" s="109"/>
      <c r="V959" s="109"/>
    </row>
    <row r="960" spans="2:22" ht="12.75" hidden="1" customHeight="1" outlineLevel="1" x14ac:dyDescent="0.2">
      <c r="B960" s="30" t="s">
        <v>328</v>
      </c>
      <c r="C960" s="118" t="s">
        <v>328</v>
      </c>
      <c r="D960" s="46" t="s">
        <v>1787</v>
      </c>
      <c r="E960" s="41"/>
      <c r="F960" s="134" t="s">
        <v>1443</v>
      </c>
      <c r="G960" s="134" t="s">
        <v>1443</v>
      </c>
      <c r="H960" s="134" t="s">
        <v>1443</v>
      </c>
      <c r="I960" s="134" t="s">
        <v>1443</v>
      </c>
      <c r="J960" s="134" t="s">
        <v>1443</v>
      </c>
      <c r="K960" s="134" t="s">
        <v>1443</v>
      </c>
      <c r="L960" s="134" t="s">
        <v>1443</v>
      </c>
      <c r="M960" s="134" t="s">
        <v>1443</v>
      </c>
      <c r="N960" s="134" t="s">
        <v>1443</v>
      </c>
      <c r="O960" s="134" t="s">
        <v>1443</v>
      </c>
      <c r="P960" s="134" t="s">
        <v>1443</v>
      </c>
      <c r="Q960" s="134" t="s">
        <v>1443</v>
      </c>
      <c r="R960" s="109"/>
      <c r="S960" s="109"/>
      <c r="T960" s="109"/>
      <c r="U960" s="109"/>
      <c r="V960" s="109"/>
    </row>
    <row r="961" spans="2:22" ht="12.75" hidden="1" customHeight="1" outlineLevel="1" x14ac:dyDescent="0.2">
      <c r="B961" s="30" t="s">
        <v>327</v>
      </c>
      <c r="C961" s="118" t="s">
        <v>327</v>
      </c>
      <c r="D961" s="46" t="s">
        <v>1788</v>
      </c>
      <c r="E961" s="41"/>
      <c r="F961" s="134" t="s">
        <v>1443</v>
      </c>
      <c r="G961" s="134" t="s">
        <v>1443</v>
      </c>
      <c r="H961" s="134" t="s">
        <v>1443</v>
      </c>
      <c r="I961" s="134" t="s">
        <v>1443</v>
      </c>
      <c r="J961" s="134" t="s">
        <v>1443</v>
      </c>
      <c r="K961" s="134" t="s">
        <v>1443</v>
      </c>
      <c r="L961" s="134" t="s">
        <v>1443</v>
      </c>
      <c r="M961" s="134" t="s">
        <v>1443</v>
      </c>
      <c r="N961" s="134" t="s">
        <v>1443</v>
      </c>
      <c r="O961" s="134" t="s">
        <v>1443</v>
      </c>
      <c r="P961" s="134" t="s">
        <v>1443</v>
      </c>
      <c r="Q961" s="134" t="s">
        <v>1443</v>
      </c>
      <c r="R961" s="109"/>
      <c r="S961" s="109"/>
      <c r="T961" s="109"/>
      <c r="U961" s="109"/>
      <c r="V961" s="109"/>
    </row>
    <row r="962" spans="2:22" ht="12.75" hidden="1" customHeight="1" outlineLevel="1" x14ac:dyDescent="0.2">
      <c r="B962" s="30" t="s">
        <v>326</v>
      </c>
      <c r="C962" s="118" t="s">
        <v>326</v>
      </c>
      <c r="D962" s="46" t="s">
        <v>1789</v>
      </c>
      <c r="E962" s="41"/>
      <c r="F962" s="134" t="s">
        <v>1443</v>
      </c>
      <c r="G962" s="134" t="s">
        <v>1443</v>
      </c>
      <c r="H962" s="134" t="s">
        <v>1443</v>
      </c>
      <c r="I962" s="134" t="s">
        <v>1443</v>
      </c>
      <c r="J962" s="134" t="s">
        <v>1443</v>
      </c>
      <c r="K962" s="134" t="s">
        <v>1443</v>
      </c>
      <c r="L962" s="134" t="s">
        <v>1443</v>
      </c>
      <c r="M962" s="134" t="s">
        <v>1443</v>
      </c>
      <c r="N962" s="134" t="s">
        <v>1443</v>
      </c>
      <c r="O962" s="134" t="s">
        <v>1443</v>
      </c>
      <c r="P962" s="134" t="s">
        <v>1443</v>
      </c>
      <c r="Q962" s="134" t="s">
        <v>1443</v>
      </c>
      <c r="R962" s="109"/>
      <c r="S962" s="109"/>
      <c r="T962" s="109"/>
      <c r="U962" s="109"/>
      <c r="V962" s="109"/>
    </row>
    <row r="963" spans="2:22" ht="12.75" hidden="1" customHeight="1" outlineLevel="1" x14ac:dyDescent="0.2">
      <c r="B963" s="30" t="s">
        <v>325</v>
      </c>
      <c r="C963" s="118" t="s">
        <v>325</v>
      </c>
      <c r="D963" s="46" t="s">
        <v>1790</v>
      </c>
      <c r="E963" s="41"/>
      <c r="F963" s="134" t="s">
        <v>1443</v>
      </c>
      <c r="G963" s="134" t="s">
        <v>1443</v>
      </c>
      <c r="H963" s="134" t="s">
        <v>1443</v>
      </c>
      <c r="I963" s="134" t="s">
        <v>1443</v>
      </c>
      <c r="J963" s="134" t="s">
        <v>1443</v>
      </c>
      <c r="K963" s="134" t="s">
        <v>1443</v>
      </c>
      <c r="L963" s="134" t="s">
        <v>1443</v>
      </c>
      <c r="M963" s="134" t="s">
        <v>1443</v>
      </c>
      <c r="N963" s="134" t="s">
        <v>1443</v>
      </c>
      <c r="O963" s="134" t="s">
        <v>1443</v>
      </c>
      <c r="P963" s="134" t="s">
        <v>1443</v>
      </c>
      <c r="Q963" s="134" t="s">
        <v>1443</v>
      </c>
      <c r="R963" s="109"/>
      <c r="S963" s="109"/>
      <c r="T963" s="109"/>
      <c r="U963" s="109"/>
      <c r="V963" s="109"/>
    </row>
    <row r="964" spans="2:22" ht="12.75" hidden="1" customHeight="1" outlineLevel="1" x14ac:dyDescent="0.2">
      <c r="B964" s="30" t="s">
        <v>324</v>
      </c>
      <c r="C964" s="118" t="s">
        <v>324</v>
      </c>
      <c r="D964" s="46" t="s">
        <v>1791</v>
      </c>
      <c r="E964" s="41"/>
      <c r="F964" s="134" t="s">
        <v>1443</v>
      </c>
      <c r="G964" s="134" t="s">
        <v>1443</v>
      </c>
      <c r="H964" s="134" t="s">
        <v>1443</v>
      </c>
      <c r="I964" s="134" t="s">
        <v>1443</v>
      </c>
      <c r="J964" s="134" t="s">
        <v>1443</v>
      </c>
      <c r="K964" s="134" t="s">
        <v>1443</v>
      </c>
      <c r="L964" s="134" t="s">
        <v>1443</v>
      </c>
      <c r="M964" s="134" t="s">
        <v>1443</v>
      </c>
      <c r="N964" s="134" t="s">
        <v>1443</v>
      </c>
      <c r="O964" s="134" t="s">
        <v>1443</v>
      </c>
      <c r="P964" s="134" t="s">
        <v>1443</v>
      </c>
      <c r="Q964" s="134" t="s">
        <v>1443</v>
      </c>
      <c r="R964" s="109"/>
      <c r="S964" s="109"/>
      <c r="T964" s="109"/>
      <c r="U964" s="109"/>
      <c r="V964" s="109"/>
    </row>
    <row r="965" spans="2:22" ht="12.75" hidden="1" customHeight="1" outlineLevel="1" x14ac:dyDescent="0.2">
      <c r="B965" s="30" t="s">
        <v>323</v>
      </c>
      <c r="C965" s="118" t="s">
        <v>323</v>
      </c>
      <c r="D965" s="46" t="s">
        <v>1792</v>
      </c>
      <c r="E965" s="41"/>
      <c r="F965" s="134" t="s">
        <v>1443</v>
      </c>
      <c r="G965" s="134" t="s">
        <v>1443</v>
      </c>
      <c r="H965" s="134" t="s">
        <v>1443</v>
      </c>
      <c r="I965" s="134" t="s">
        <v>1443</v>
      </c>
      <c r="J965" s="134" t="s">
        <v>1443</v>
      </c>
      <c r="K965" s="134" t="s">
        <v>1443</v>
      </c>
      <c r="L965" s="134" t="s">
        <v>1443</v>
      </c>
      <c r="M965" s="134" t="s">
        <v>1443</v>
      </c>
      <c r="N965" s="134" t="s">
        <v>1443</v>
      </c>
      <c r="O965" s="134" t="s">
        <v>1443</v>
      </c>
      <c r="P965" s="134" t="s">
        <v>1443</v>
      </c>
      <c r="Q965" s="134" t="s">
        <v>1443</v>
      </c>
      <c r="R965" s="109"/>
      <c r="S965" s="109"/>
      <c r="T965" s="109"/>
      <c r="U965" s="109"/>
      <c r="V965" s="109"/>
    </row>
    <row r="966" spans="2:22" ht="12.75" hidden="1" customHeight="1" outlineLevel="1" x14ac:dyDescent="0.2">
      <c r="B966" s="30" t="s">
        <v>322</v>
      </c>
      <c r="C966" s="118" t="s">
        <v>322</v>
      </c>
      <c r="D966" s="46" t="s">
        <v>1793</v>
      </c>
      <c r="E966" s="41"/>
      <c r="F966" s="134" t="s">
        <v>1443</v>
      </c>
      <c r="G966" s="134" t="s">
        <v>1443</v>
      </c>
      <c r="H966" s="134" t="s">
        <v>1443</v>
      </c>
      <c r="I966" s="134" t="s">
        <v>1443</v>
      </c>
      <c r="J966" s="134" t="s">
        <v>1443</v>
      </c>
      <c r="K966" s="134" t="s">
        <v>1443</v>
      </c>
      <c r="L966" s="134" t="s">
        <v>1443</v>
      </c>
      <c r="M966" s="134" t="s">
        <v>1443</v>
      </c>
      <c r="N966" s="134" t="s">
        <v>1443</v>
      </c>
      <c r="O966" s="134" t="s">
        <v>1443</v>
      </c>
      <c r="P966" s="134" t="s">
        <v>1443</v>
      </c>
      <c r="Q966" s="134" t="s">
        <v>1443</v>
      </c>
      <c r="R966" s="109"/>
      <c r="S966" s="109"/>
      <c r="T966" s="109"/>
      <c r="U966" s="109"/>
      <c r="V966" s="109"/>
    </row>
    <row r="967" spans="2:22" ht="12.75" hidden="1" customHeight="1" outlineLevel="1" x14ac:dyDescent="0.2">
      <c r="B967" s="30" t="s">
        <v>321</v>
      </c>
      <c r="C967" s="118" t="s">
        <v>937</v>
      </c>
      <c r="D967" s="46" t="s">
        <v>1757</v>
      </c>
      <c r="E967" s="41"/>
      <c r="F967" s="134" t="s">
        <v>1443</v>
      </c>
      <c r="G967" s="134" t="s">
        <v>1443</v>
      </c>
      <c r="H967" s="134" t="s">
        <v>1443</v>
      </c>
      <c r="I967" s="134" t="s">
        <v>1443</v>
      </c>
      <c r="J967" s="134" t="s">
        <v>1443</v>
      </c>
      <c r="K967" s="134" t="s">
        <v>1443</v>
      </c>
      <c r="L967" s="134" t="s">
        <v>1443</v>
      </c>
      <c r="M967" s="134" t="s">
        <v>1443</v>
      </c>
      <c r="N967" s="134" t="s">
        <v>1443</v>
      </c>
      <c r="O967" s="134" t="s">
        <v>1443</v>
      </c>
      <c r="P967" s="134" t="s">
        <v>1443</v>
      </c>
      <c r="Q967" s="134" t="s">
        <v>1443</v>
      </c>
    </row>
    <row r="968" spans="2:22" ht="12.75" hidden="1" customHeight="1" outlineLevel="1" x14ac:dyDescent="0.2">
      <c r="B968" s="30" t="s">
        <v>320</v>
      </c>
      <c r="C968" s="118" t="s">
        <v>320</v>
      </c>
      <c r="D968" s="46" t="s">
        <v>1562</v>
      </c>
      <c r="E968" s="41"/>
      <c r="F968" s="134" t="s">
        <v>1443</v>
      </c>
      <c r="G968" s="134" t="s">
        <v>1443</v>
      </c>
      <c r="H968" s="134" t="s">
        <v>1443</v>
      </c>
      <c r="I968" s="134" t="s">
        <v>1443</v>
      </c>
      <c r="J968" s="134" t="s">
        <v>1443</v>
      </c>
      <c r="K968" s="134" t="s">
        <v>1443</v>
      </c>
      <c r="L968" s="134" t="s">
        <v>1443</v>
      </c>
      <c r="M968" s="134" t="s">
        <v>1443</v>
      </c>
      <c r="N968" s="134" t="s">
        <v>1443</v>
      </c>
      <c r="O968" s="134" t="s">
        <v>1443</v>
      </c>
      <c r="P968" s="134" t="s">
        <v>1443</v>
      </c>
      <c r="Q968" s="134" t="s">
        <v>1443</v>
      </c>
      <c r="R968" s="109"/>
      <c r="S968" s="109"/>
      <c r="T968" s="109"/>
      <c r="U968" s="109"/>
      <c r="V968" s="109"/>
    </row>
    <row r="969" spans="2:22" ht="12.75" hidden="1" customHeight="1" outlineLevel="1" x14ac:dyDescent="0.2">
      <c r="B969" s="30" t="s">
        <v>319</v>
      </c>
      <c r="C969" s="118" t="s">
        <v>319</v>
      </c>
      <c r="D969" s="46" t="s">
        <v>1563</v>
      </c>
      <c r="E969" s="41"/>
      <c r="F969" s="134" t="s">
        <v>1443</v>
      </c>
      <c r="G969" s="134" t="s">
        <v>1443</v>
      </c>
      <c r="H969" s="134" t="s">
        <v>1443</v>
      </c>
      <c r="I969" s="134" t="s">
        <v>1443</v>
      </c>
      <c r="J969" s="134" t="s">
        <v>1443</v>
      </c>
      <c r="K969" s="134" t="s">
        <v>1443</v>
      </c>
      <c r="L969" s="134" t="s">
        <v>1443</v>
      </c>
      <c r="M969" s="134" t="s">
        <v>1443</v>
      </c>
      <c r="N969" s="134" t="s">
        <v>1443</v>
      </c>
      <c r="O969" s="134" t="s">
        <v>1443</v>
      </c>
      <c r="P969" s="134" t="s">
        <v>1443</v>
      </c>
      <c r="Q969" s="134" t="s">
        <v>1443</v>
      </c>
      <c r="R969" s="109"/>
      <c r="S969" s="109"/>
      <c r="T969" s="109"/>
      <c r="U969" s="109"/>
      <c r="V969" s="109"/>
    </row>
    <row r="970" spans="2:22" ht="12.75" hidden="1" customHeight="1" outlineLevel="1" x14ac:dyDescent="0.2">
      <c r="B970" s="30" t="s">
        <v>318</v>
      </c>
      <c r="C970" s="118" t="s">
        <v>318</v>
      </c>
      <c r="D970" s="46" t="s">
        <v>1564</v>
      </c>
      <c r="E970" s="41"/>
      <c r="F970" s="134" t="s">
        <v>1443</v>
      </c>
      <c r="G970" s="134" t="s">
        <v>1443</v>
      </c>
      <c r="H970" s="134" t="s">
        <v>1443</v>
      </c>
      <c r="I970" s="134" t="s">
        <v>1443</v>
      </c>
      <c r="J970" s="134" t="s">
        <v>1443</v>
      </c>
      <c r="K970" s="134" t="s">
        <v>1443</v>
      </c>
      <c r="L970" s="134" t="s">
        <v>1443</v>
      </c>
      <c r="M970" s="134" t="s">
        <v>1443</v>
      </c>
      <c r="N970" s="134" t="s">
        <v>1443</v>
      </c>
      <c r="O970" s="134" t="s">
        <v>1443</v>
      </c>
      <c r="P970" s="134" t="s">
        <v>1443</v>
      </c>
      <c r="Q970" s="134" t="s">
        <v>1443</v>
      </c>
      <c r="R970" s="109"/>
      <c r="S970" s="109"/>
      <c r="T970" s="109"/>
      <c r="U970" s="109"/>
      <c r="V970" s="109"/>
    </row>
    <row r="971" spans="2:22" ht="12.75" hidden="1" customHeight="1" outlineLevel="1" x14ac:dyDescent="0.2">
      <c r="B971" s="30" t="s">
        <v>317</v>
      </c>
      <c r="C971" s="118" t="s">
        <v>317</v>
      </c>
      <c r="D971" s="46" t="s">
        <v>1565</v>
      </c>
      <c r="E971" s="41"/>
      <c r="F971" s="134" t="s">
        <v>1443</v>
      </c>
      <c r="G971" s="134" t="s">
        <v>1443</v>
      </c>
      <c r="H971" s="134" t="s">
        <v>1443</v>
      </c>
      <c r="I971" s="134" t="s">
        <v>1443</v>
      </c>
      <c r="J971" s="134" t="s">
        <v>1443</v>
      </c>
      <c r="K971" s="134" t="s">
        <v>1443</v>
      </c>
      <c r="L971" s="134" t="s">
        <v>1443</v>
      </c>
      <c r="M971" s="134" t="s">
        <v>1443</v>
      </c>
      <c r="N971" s="134" t="s">
        <v>1443</v>
      </c>
      <c r="O971" s="134" t="s">
        <v>1443</v>
      </c>
      <c r="P971" s="134" t="s">
        <v>1443</v>
      </c>
      <c r="Q971" s="134" t="s">
        <v>1443</v>
      </c>
      <c r="R971" s="109"/>
      <c r="S971" s="109"/>
      <c r="T971" s="109"/>
      <c r="U971" s="109"/>
      <c r="V971" s="109"/>
    </row>
    <row r="972" spans="2:22" ht="12.75" hidden="1" customHeight="1" outlineLevel="1" x14ac:dyDescent="0.2">
      <c r="B972" s="30" t="s">
        <v>316</v>
      </c>
      <c r="C972" s="118" t="s">
        <v>316</v>
      </c>
      <c r="D972" s="46" t="s">
        <v>1566</v>
      </c>
      <c r="E972" s="41"/>
      <c r="F972" s="134" t="s">
        <v>1443</v>
      </c>
      <c r="G972" s="134" t="s">
        <v>1443</v>
      </c>
      <c r="H972" s="134" t="s">
        <v>1443</v>
      </c>
      <c r="I972" s="134" t="s">
        <v>1443</v>
      </c>
      <c r="J972" s="134" t="s">
        <v>1443</v>
      </c>
      <c r="K972" s="134" t="s">
        <v>1443</v>
      </c>
      <c r="L972" s="134" t="s">
        <v>1443</v>
      </c>
      <c r="M972" s="134" t="s">
        <v>1443</v>
      </c>
      <c r="N972" s="134" t="s">
        <v>1443</v>
      </c>
      <c r="O972" s="134" t="s">
        <v>1443</v>
      </c>
      <c r="P972" s="134" t="s">
        <v>1443</v>
      </c>
      <c r="Q972" s="134" t="s">
        <v>1443</v>
      </c>
      <c r="R972" s="109"/>
      <c r="S972" s="109"/>
      <c r="T972" s="109"/>
      <c r="U972" s="109"/>
      <c r="V972" s="109"/>
    </row>
    <row r="973" spans="2:22" ht="12.75" hidden="1" customHeight="1" outlineLevel="1" x14ac:dyDescent="0.2">
      <c r="B973" s="30" t="s">
        <v>315</v>
      </c>
      <c r="C973" s="118" t="s">
        <v>315</v>
      </c>
      <c r="D973" s="46" t="s">
        <v>1567</v>
      </c>
      <c r="E973" s="41"/>
      <c r="F973" s="134" t="s">
        <v>1443</v>
      </c>
      <c r="G973" s="134" t="s">
        <v>1443</v>
      </c>
      <c r="H973" s="134" t="s">
        <v>1443</v>
      </c>
      <c r="I973" s="134" t="s">
        <v>1443</v>
      </c>
      <c r="J973" s="134" t="s">
        <v>1443</v>
      </c>
      <c r="K973" s="134" t="s">
        <v>1443</v>
      </c>
      <c r="L973" s="134" t="s">
        <v>1443</v>
      </c>
      <c r="M973" s="134" t="s">
        <v>1443</v>
      </c>
      <c r="N973" s="134" t="s">
        <v>1443</v>
      </c>
      <c r="O973" s="134" t="s">
        <v>1443</v>
      </c>
      <c r="P973" s="134" t="s">
        <v>1443</v>
      </c>
      <c r="Q973" s="134" t="s">
        <v>1443</v>
      </c>
      <c r="R973" s="109"/>
      <c r="S973" s="109"/>
      <c r="T973" s="109"/>
      <c r="U973" s="109"/>
      <c r="V973" s="109"/>
    </row>
    <row r="974" spans="2:22" ht="12.75" hidden="1" customHeight="1" outlineLevel="1" x14ac:dyDescent="0.2">
      <c r="B974" s="30" t="s">
        <v>314</v>
      </c>
      <c r="C974" s="118" t="s">
        <v>314</v>
      </c>
      <c r="D974" s="46" t="s">
        <v>1568</v>
      </c>
      <c r="E974" s="41"/>
      <c r="F974" s="134" t="s">
        <v>1443</v>
      </c>
      <c r="G974" s="134" t="s">
        <v>1443</v>
      </c>
      <c r="H974" s="134" t="s">
        <v>1443</v>
      </c>
      <c r="I974" s="134" t="s">
        <v>1443</v>
      </c>
      <c r="J974" s="134" t="s">
        <v>1443</v>
      </c>
      <c r="K974" s="134" t="s">
        <v>1443</v>
      </c>
      <c r="L974" s="134" t="s">
        <v>1443</v>
      </c>
      <c r="M974" s="134" t="s">
        <v>1443</v>
      </c>
      <c r="N974" s="134" t="s">
        <v>1443</v>
      </c>
      <c r="O974" s="134" t="s">
        <v>1443</v>
      </c>
      <c r="P974" s="134" t="s">
        <v>1443</v>
      </c>
      <c r="Q974" s="134" t="s">
        <v>1443</v>
      </c>
      <c r="R974" s="109"/>
      <c r="S974" s="109"/>
      <c r="T974" s="109"/>
      <c r="U974" s="109"/>
      <c r="V974" s="109"/>
    </row>
    <row r="975" spans="2:22" ht="12.75" hidden="1" customHeight="1" outlineLevel="1" x14ac:dyDescent="0.2">
      <c r="B975" s="30" t="s">
        <v>313</v>
      </c>
      <c r="C975" s="118" t="s">
        <v>313</v>
      </c>
      <c r="D975" s="46" t="s">
        <v>1569</v>
      </c>
      <c r="E975" s="41"/>
      <c r="F975" s="134" t="s">
        <v>1443</v>
      </c>
      <c r="G975" s="134" t="s">
        <v>1443</v>
      </c>
      <c r="H975" s="134" t="s">
        <v>1443</v>
      </c>
      <c r="I975" s="134" t="s">
        <v>1443</v>
      </c>
      <c r="J975" s="134" t="s">
        <v>1443</v>
      </c>
      <c r="K975" s="134" t="s">
        <v>1443</v>
      </c>
      <c r="L975" s="134" t="s">
        <v>1443</v>
      </c>
      <c r="M975" s="134" t="s">
        <v>1443</v>
      </c>
      <c r="N975" s="134" t="s">
        <v>1443</v>
      </c>
      <c r="O975" s="134" t="s">
        <v>1443</v>
      </c>
      <c r="P975" s="134" t="s">
        <v>1443</v>
      </c>
      <c r="Q975" s="134" t="s">
        <v>1443</v>
      </c>
      <c r="R975" s="109"/>
      <c r="S975" s="109"/>
      <c r="T975" s="109"/>
      <c r="U975" s="109"/>
      <c r="V975" s="109"/>
    </row>
    <row r="976" spans="2:22" ht="12.75" hidden="1" customHeight="1" outlineLevel="1" x14ac:dyDescent="0.2">
      <c r="B976" s="30" t="s">
        <v>312</v>
      </c>
      <c r="C976" s="118" t="s">
        <v>938</v>
      </c>
      <c r="D976" s="46" t="s">
        <v>1756</v>
      </c>
      <c r="E976" s="41"/>
      <c r="F976" s="134" t="s">
        <v>1443</v>
      </c>
      <c r="G976" s="134" t="s">
        <v>1443</v>
      </c>
      <c r="H976" s="134" t="s">
        <v>1443</v>
      </c>
      <c r="I976" s="134" t="s">
        <v>1443</v>
      </c>
      <c r="J976" s="134" t="s">
        <v>1443</v>
      </c>
      <c r="K976" s="134" t="s">
        <v>1443</v>
      </c>
      <c r="L976" s="134" t="s">
        <v>1443</v>
      </c>
      <c r="M976" s="134" t="s">
        <v>1443</v>
      </c>
      <c r="N976" s="134" t="s">
        <v>1443</v>
      </c>
      <c r="O976" s="134" t="s">
        <v>1443</v>
      </c>
      <c r="P976" s="134" t="s">
        <v>1443</v>
      </c>
      <c r="Q976" s="134" t="s">
        <v>1443</v>
      </c>
    </row>
    <row r="977" spans="2:22" ht="12.75" hidden="1" customHeight="1" outlineLevel="1" x14ac:dyDescent="0.2">
      <c r="B977" s="30" t="s">
        <v>311</v>
      </c>
      <c r="C977" s="118" t="s">
        <v>311</v>
      </c>
      <c r="D977" s="46" t="s">
        <v>1887</v>
      </c>
      <c r="E977" s="41"/>
      <c r="F977" s="134" t="s">
        <v>1443</v>
      </c>
      <c r="G977" s="134" t="s">
        <v>1443</v>
      </c>
      <c r="H977" s="134" t="s">
        <v>1443</v>
      </c>
      <c r="I977" s="134" t="s">
        <v>1443</v>
      </c>
      <c r="J977" s="134" t="s">
        <v>1443</v>
      </c>
      <c r="K977" s="134" t="s">
        <v>1443</v>
      </c>
      <c r="L977" s="134" t="s">
        <v>1443</v>
      </c>
      <c r="M977" s="134" t="s">
        <v>1443</v>
      </c>
      <c r="N977" s="134" t="s">
        <v>1443</v>
      </c>
      <c r="O977" s="134" t="s">
        <v>1443</v>
      </c>
      <c r="P977" s="134" t="s">
        <v>1443</v>
      </c>
      <c r="Q977" s="134" t="s">
        <v>1443</v>
      </c>
      <c r="R977" s="109"/>
      <c r="S977" s="109"/>
      <c r="T977" s="109"/>
      <c r="U977" s="109"/>
      <c r="V977" s="109"/>
    </row>
    <row r="978" spans="2:22" ht="12.75" hidden="1" customHeight="1" outlineLevel="1" x14ac:dyDescent="0.2">
      <c r="B978" s="30" t="s">
        <v>310</v>
      </c>
      <c r="C978" s="118" t="s">
        <v>310</v>
      </c>
      <c r="D978" s="46" t="s">
        <v>1888</v>
      </c>
      <c r="E978" s="41"/>
      <c r="F978" s="134" t="s">
        <v>1443</v>
      </c>
      <c r="G978" s="134" t="s">
        <v>1443</v>
      </c>
      <c r="H978" s="134" t="s">
        <v>1443</v>
      </c>
      <c r="I978" s="134" t="s">
        <v>1443</v>
      </c>
      <c r="J978" s="134" t="s">
        <v>1443</v>
      </c>
      <c r="K978" s="134" t="s">
        <v>1443</v>
      </c>
      <c r="L978" s="134" t="s">
        <v>1443</v>
      </c>
      <c r="M978" s="134" t="s">
        <v>1443</v>
      </c>
      <c r="N978" s="134" t="s">
        <v>1443</v>
      </c>
      <c r="O978" s="134" t="s">
        <v>1443</v>
      </c>
      <c r="P978" s="134" t="s">
        <v>1443</v>
      </c>
      <c r="Q978" s="134" t="s">
        <v>1443</v>
      </c>
      <c r="R978" s="109"/>
      <c r="S978" s="109"/>
      <c r="T978" s="109"/>
      <c r="U978" s="109"/>
      <c r="V978" s="109"/>
    </row>
    <row r="979" spans="2:22" ht="12.75" hidden="1" customHeight="1" outlineLevel="1" x14ac:dyDescent="0.2">
      <c r="B979" s="30" t="s">
        <v>309</v>
      </c>
      <c r="C979" s="118" t="s">
        <v>309</v>
      </c>
      <c r="D979" s="46" t="s">
        <v>1889</v>
      </c>
      <c r="E979" s="41"/>
      <c r="F979" s="134" t="s">
        <v>1443</v>
      </c>
      <c r="G979" s="134" t="s">
        <v>1443</v>
      </c>
      <c r="H979" s="134" t="s">
        <v>1443</v>
      </c>
      <c r="I979" s="134" t="s">
        <v>1443</v>
      </c>
      <c r="J979" s="134" t="s">
        <v>1443</v>
      </c>
      <c r="K979" s="134" t="s">
        <v>1443</v>
      </c>
      <c r="L979" s="134" t="s">
        <v>1443</v>
      </c>
      <c r="M979" s="134" t="s">
        <v>1443</v>
      </c>
      <c r="N979" s="134" t="s">
        <v>1443</v>
      </c>
      <c r="O979" s="134" t="s">
        <v>1443</v>
      </c>
      <c r="P979" s="134" t="s">
        <v>1443</v>
      </c>
      <c r="Q979" s="134" t="s">
        <v>1443</v>
      </c>
      <c r="R979" s="109"/>
      <c r="S979" s="109"/>
      <c r="T979" s="109"/>
      <c r="U979" s="109"/>
      <c r="V979" s="109"/>
    </row>
    <row r="980" spans="2:22" ht="12.75" hidden="1" customHeight="1" outlineLevel="1" x14ac:dyDescent="0.2">
      <c r="B980" s="30" t="s">
        <v>308</v>
      </c>
      <c r="C980" s="118" t="s">
        <v>308</v>
      </c>
      <c r="D980" s="46" t="s">
        <v>1890</v>
      </c>
      <c r="E980" s="41"/>
      <c r="F980" s="134" t="s">
        <v>1443</v>
      </c>
      <c r="G980" s="134" t="s">
        <v>1443</v>
      </c>
      <c r="H980" s="134" t="s">
        <v>1443</v>
      </c>
      <c r="I980" s="134" t="s">
        <v>1443</v>
      </c>
      <c r="J980" s="134" t="s">
        <v>1443</v>
      </c>
      <c r="K980" s="134" t="s">
        <v>1443</v>
      </c>
      <c r="L980" s="134" t="s">
        <v>1443</v>
      </c>
      <c r="M980" s="134" t="s">
        <v>1443</v>
      </c>
      <c r="N980" s="134" t="s">
        <v>1443</v>
      </c>
      <c r="O980" s="134" t="s">
        <v>1443</v>
      </c>
      <c r="P980" s="134" t="s">
        <v>1443</v>
      </c>
      <c r="Q980" s="134" t="s">
        <v>1443</v>
      </c>
      <c r="R980" s="109"/>
      <c r="S980" s="109"/>
      <c r="T980" s="109"/>
      <c r="U980" s="109"/>
      <c r="V980" s="109"/>
    </row>
    <row r="981" spans="2:22" ht="12.75" hidden="1" customHeight="1" outlineLevel="1" x14ac:dyDescent="0.2">
      <c r="B981" s="30" t="s">
        <v>307</v>
      </c>
      <c r="C981" s="118" t="s">
        <v>307</v>
      </c>
      <c r="D981" s="46" t="s">
        <v>1891</v>
      </c>
      <c r="E981" s="41"/>
      <c r="F981" s="134" t="s">
        <v>1443</v>
      </c>
      <c r="G981" s="134" t="s">
        <v>1443</v>
      </c>
      <c r="H981" s="134" t="s">
        <v>1443</v>
      </c>
      <c r="I981" s="134" t="s">
        <v>1443</v>
      </c>
      <c r="J981" s="134" t="s">
        <v>1443</v>
      </c>
      <c r="K981" s="134" t="s">
        <v>1443</v>
      </c>
      <c r="L981" s="134" t="s">
        <v>1443</v>
      </c>
      <c r="M981" s="134" t="s">
        <v>1443</v>
      </c>
      <c r="N981" s="134" t="s">
        <v>1443</v>
      </c>
      <c r="O981" s="134" t="s">
        <v>1443</v>
      </c>
      <c r="P981" s="134" t="s">
        <v>1443</v>
      </c>
      <c r="Q981" s="134" t="s">
        <v>1443</v>
      </c>
      <c r="R981" s="109"/>
      <c r="S981" s="109"/>
      <c r="T981" s="109"/>
      <c r="U981" s="109"/>
      <c r="V981" s="109"/>
    </row>
    <row r="982" spans="2:22" ht="12.75" hidden="1" customHeight="1" outlineLevel="1" x14ac:dyDescent="0.2">
      <c r="B982" s="30" t="s">
        <v>306</v>
      </c>
      <c r="C982" s="118" t="s">
        <v>306</v>
      </c>
      <c r="D982" s="46" t="s">
        <v>1892</v>
      </c>
      <c r="E982" s="41"/>
      <c r="F982" s="134" t="s">
        <v>1443</v>
      </c>
      <c r="G982" s="134" t="s">
        <v>1443</v>
      </c>
      <c r="H982" s="134" t="s">
        <v>1443</v>
      </c>
      <c r="I982" s="134" t="s">
        <v>1443</v>
      </c>
      <c r="J982" s="134" t="s">
        <v>1443</v>
      </c>
      <c r="K982" s="134" t="s">
        <v>1443</v>
      </c>
      <c r="L982" s="134" t="s">
        <v>1443</v>
      </c>
      <c r="M982" s="134" t="s">
        <v>1443</v>
      </c>
      <c r="N982" s="134" t="s">
        <v>1443</v>
      </c>
      <c r="O982" s="134" t="s">
        <v>1443</v>
      </c>
      <c r="P982" s="134" t="s">
        <v>1443</v>
      </c>
      <c r="Q982" s="134" t="s">
        <v>1443</v>
      </c>
      <c r="R982" s="109"/>
      <c r="S982" s="109"/>
      <c r="T982" s="109"/>
      <c r="U982" s="109"/>
      <c r="V982" s="109"/>
    </row>
    <row r="983" spans="2:22" ht="12.75" hidden="1" customHeight="1" outlineLevel="1" x14ac:dyDescent="0.2">
      <c r="B983" s="30" t="s">
        <v>305</v>
      </c>
      <c r="C983" s="118" t="s">
        <v>305</v>
      </c>
      <c r="D983" s="46" t="s">
        <v>1893</v>
      </c>
      <c r="E983" s="41"/>
      <c r="F983" s="134" t="s">
        <v>1443</v>
      </c>
      <c r="G983" s="134" t="s">
        <v>1443</v>
      </c>
      <c r="H983" s="134" t="s">
        <v>1443</v>
      </c>
      <c r="I983" s="134" t="s">
        <v>1443</v>
      </c>
      <c r="J983" s="134" t="s">
        <v>1443</v>
      </c>
      <c r="K983" s="134" t="s">
        <v>1443</v>
      </c>
      <c r="L983" s="134" t="s">
        <v>1443</v>
      </c>
      <c r="M983" s="134" t="s">
        <v>1443</v>
      </c>
      <c r="N983" s="134" t="s">
        <v>1443</v>
      </c>
      <c r="O983" s="134" t="s">
        <v>1443</v>
      </c>
      <c r="P983" s="134" t="s">
        <v>1443</v>
      </c>
      <c r="Q983" s="134" t="s">
        <v>1443</v>
      </c>
      <c r="R983" s="109"/>
      <c r="S983" s="109"/>
      <c r="T983" s="109"/>
      <c r="U983" s="109"/>
      <c r="V983" s="109"/>
    </row>
    <row r="984" spans="2:22" ht="12.75" hidden="1" customHeight="1" outlineLevel="1" x14ac:dyDescent="0.2">
      <c r="B984" s="30" t="s">
        <v>304</v>
      </c>
      <c r="C984" s="118" t="s">
        <v>304</v>
      </c>
      <c r="D984" s="46" t="s">
        <v>1894</v>
      </c>
      <c r="E984" s="41"/>
      <c r="F984" s="134" t="s">
        <v>1443</v>
      </c>
      <c r="G984" s="134" t="s">
        <v>1443</v>
      </c>
      <c r="H984" s="134" t="s">
        <v>1443</v>
      </c>
      <c r="I984" s="134" t="s">
        <v>1443</v>
      </c>
      <c r="J984" s="134" t="s">
        <v>1443</v>
      </c>
      <c r="K984" s="134" t="s">
        <v>1443</v>
      </c>
      <c r="L984" s="134" t="s">
        <v>1443</v>
      </c>
      <c r="M984" s="134" t="s">
        <v>1443</v>
      </c>
      <c r="N984" s="134" t="s">
        <v>1443</v>
      </c>
      <c r="O984" s="134" t="s">
        <v>1443</v>
      </c>
      <c r="P984" s="134" t="s">
        <v>1443</v>
      </c>
      <c r="Q984" s="134" t="s">
        <v>1443</v>
      </c>
      <c r="R984" s="109"/>
      <c r="S984" s="109"/>
      <c r="T984" s="109"/>
      <c r="U984" s="109"/>
      <c r="V984" s="109"/>
    </row>
    <row r="985" spans="2:22" ht="12.75" hidden="1" customHeight="1" outlineLevel="1" x14ac:dyDescent="0.2">
      <c r="B985" s="30" t="s">
        <v>303</v>
      </c>
      <c r="C985" s="118" t="s">
        <v>939</v>
      </c>
      <c r="D985" s="46" t="s">
        <v>1758</v>
      </c>
      <c r="E985" s="41"/>
      <c r="F985" s="134" t="s">
        <v>1443</v>
      </c>
      <c r="G985" s="134" t="s">
        <v>1443</v>
      </c>
      <c r="H985" s="134" t="s">
        <v>1443</v>
      </c>
      <c r="I985" s="134" t="s">
        <v>1443</v>
      </c>
      <c r="J985" s="134" t="s">
        <v>1443</v>
      </c>
      <c r="K985" s="134" t="s">
        <v>1443</v>
      </c>
      <c r="L985" s="134" t="s">
        <v>1443</v>
      </c>
      <c r="M985" s="134" t="s">
        <v>1443</v>
      </c>
      <c r="N985" s="134" t="s">
        <v>1443</v>
      </c>
      <c r="O985" s="134" t="s">
        <v>1443</v>
      </c>
      <c r="P985" s="134" t="s">
        <v>1443</v>
      </c>
      <c r="Q985" s="134" t="s">
        <v>1443</v>
      </c>
    </row>
    <row r="986" spans="2:22" ht="12.75" hidden="1" customHeight="1" outlineLevel="1" x14ac:dyDescent="0.2">
      <c r="B986" s="30"/>
      <c r="C986" s="118" t="s">
        <v>192</v>
      </c>
      <c r="D986" s="46" t="s">
        <v>192</v>
      </c>
      <c r="E986" s="41"/>
      <c r="F986" s="134"/>
      <c r="G986" s="134"/>
      <c r="H986" s="134"/>
      <c r="I986" s="134"/>
      <c r="J986" s="134"/>
      <c r="K986" s="134"/>
      <c r="L986" s="134"/>
      <c r="M986" s="134"/>
      <c r="N986" s="134"/>
      <c r="O986" s="134"/>
      <c r="P986" s="134"/>
      <c r="Q986" s="134"/>
    </row>
    <row r="987" spans="2:22" ht="12.75" hidden="1" customHeight="1" outlineLevel="1" x14ac:dyDescent="0.2">
      <c r="B987" s="30"/>
      <c r="C987" s="120" t="s">
        <v>192</v>
      </c>
      <c r="D987" s="46" t="s">
        <v>192</v>
      </c>
      <c r="E987" s="41"/>
      <c r="F987" s="134"/>
      <c r="G987" s="134"/>
      <c r="H987" s="134"/>
      <c r="I987" s="134"/>
      <c r="J987" s="134"/>
      <c r="K987" s="134"/>
      <c r="L987" s="134"/>
      <c r="M987" s="134"/>
      <c r="N987" s="134"/>
      <c r="O987" s="134"/>
      <c r="P987" s="134"/>
      <c r="Q987" s="134"/>
    </row>
    <row r="988" spans="2:22" ht="12.75" hidden="1" customHeight="1" outlineLevel="1" x14ac:dyDescent="0.2">
      <c r="B988" s="30" t="s">
        <v>302</v>
      </c>
      <c r="C988" s="120" t="s">
        <v>302</v>
      </c>
      <c r="D988" s="46" t="s">
        <v>1924</v>
      </c>
      <c r="E988" s="41"/>
      <c r="F988" s="134" t="s">
        <v>1443</v>
      </c>
      <c r="G988" s="134" t="s">
        <v>1443</v>
      </c>
      <c r="H988" s="134" t="s">
        <v>1443</v>
      </c>
      <c r="I988" s="134" t="s">
        <v>1443</v>
      </c>
      <c r="J988" s="134" t="s">
        <v>1443</v>
      </c>
      <c r="K988" s="134" t="s">
        <v>1443</v>
      </c>
      <c r="L988" s="134" t="s">
        <v>1443</v>
      </c>
      <c r="M988" s="134" t="s">
        <v>1443</v>
      </c>
      <c r="N988" s="134" t="s">
        <v>1443</v>
      </c>
      <c r="O988" s="134" t="s">
        <v>1443</v>
      </c>
      <c r="P988" s="134" t="s">
        <v>1443</v>
      </c>
      <c r="Q988" s="134" t="s">
        <v>1443</v>
      </c>
      <c r="R988" s="109"/>
      <c r="S988" s="109"/>
      <c r="T988" s="109"/>
      <c r="U988" s="109"/>
      <c r="V988" s="109"/>
    </row>
    <row r="989" spans="2:22" ht="12.75" hidden="1" customHeight="1" outlineLevel="1" x14ac:dyDescent="0.2">
      <c r="B989" s="30" t="s">
        <v>301</v>
      </c>
      <c r="C989" s="120" t="s">
        <v>301</v>
      </c>
      <c r="D989" s="46" t="s">
        <v>1523</v>
      </c>
      <c r="E989" s="41"/>
      <c r="F989" s="134" t="s">
        <v>1443</v>
      </c>
      <c r="G989" s="134" t="s">
        <v>1443</v>
      </c>
      <c r="H989" s="134" t="s">
        <v>1443</v>
      </c>
      <c r="I989" s="134" t="s">
        <v>1443</v>
      </c>
      <c r="J989" s="134" t="s">
        <v>1443</v>
      </c>
      <c r="K989" s="134" t="s">
        <v>1443</v>
      </c>
      <c r="L989" s="134" t="s">
        <v>1443</v>
      </c>
      <c r="M989" s="134" t="s">
        <v>1443</v>
      </c>
      <c r="N989" s="134" t="s">
        <v>1443</v>
      </c>
      <c r="O989" s="134" t="s">
        <v>1443</v>
      </c>
      <c r="P989" s="134" t="s">
        <v>1443</v>
      </c>
      <c r="Q989" s="134" t="s">
        <v>1443</v>
      </c>
      <c r="R989" s="109"/>
      <c r="S989" s="109"/>
      <c r="T989" s="109"/>
      <c r="U989" s="109"/>
      <c r="V989" s="109"/>
    </row>
    <row r="990" spans="2:22" ht="12.75" hidden="1" customHeight="1" outlineLevel="1" x14ac:dyDescent="0.2">
      <c r="B990" s="30" t="s">
        <v>300</v>
      </c>
      <c r="C990" s="120" t="s">
        <v>300</v>
      </c>
      <c r="D990" s="46" t="s">
        <v>1838</v>
      </c>
      <c r="E990" s="41"/>
      <c r="F990" s="134" t="s">
        <v>1443</v>
      </c>
      <c r="G990" s="134" t="s">
        <v>1443</v>
      </c>
      <c r="H990" s="134" t="s">
        <v>1443</v>
      </c>
      <c r="I990" s="134" t="s">
        <v>1443</v>
      </c>
      <c r="J990" s="134" t="s">
        <v>1443</v>
      </c>
      <c r="K990" s="134" t="s">
        <v>1443</v>
      </c>
      <c r="L990" s="134" t="s">
        <v>1443</v>
      </c>
      <c r="M990" s="134" t="s">
        <v>1443</v>
      </c>
      <c r="N990" s="134" t="s">
        <v>1443</v>
      </c>
      <c r="O990" s="134" t="s">
        <v>1443</v>
      </c>
      <c r="P990" s="134" t="s">
        <v>1443</v>
      </c>
      <c r="Q990" s="134" t="s">
        <v>1443</v>
      </c>
      <c r="R990" s="109"/>
      <c r="S990" s="109"/>
      <c r="T990" s="109"/>
      <c r="U990" s="109"/>
      <c r="V990" s="109"/>
    </row>
    <row r="991" spans="2:22" ht="12.75" hidden="1" customHeight="1" outlineLevel="1" x14ac:dyDescent="0.2">
      <c r="B991" s="30" t="s">
        <v>299</v>
      </c>
      <c r="C991" s="120" t="s">
        <v>299</v>
      </c>
      <c r="D991" s="46" t="s">
        <v>1524</v>
      </c>
      <c r="E991" s="41"/>
      <c r="F991" s="134" t="s">
        <v>1443</v>
      </c>
      <c r="G991" s="134" t="s">
        <v>1443</v>
      </c>
      <c r="H991" s="134" t="s">
        <v>1443</v>
      </c>
      <c r="I991" s="134" t="s">
        <v>1443</v>
      </c>
      <c r="J991" s="134" t="s">
        <v>1443</v>
      </c>
      <c r="K991" s="134" t="s">
        <v>1443</v>
      </c>
      <c r="L991" s="134" t="s">
        <v>1443</v>
      </c>
      <c r="M991" s="134" t="s">
        <v>1443</v>
      </c>
      <c r="N991" s="134" t="s">
        <v>1443</v>
      </c>
      <c r="O991" s="134" t="s">
        <v>1443</v>
      </c>
      <c r="P991" s="134" t="s">
        <v>1443</v>
      </c>
      <c r="Q991" s="134" t="s">
        <v>1443</v>
      </c>
      <c r="R991" s="109"/>
      <c r="S991" s="109"/>
      <c r="T991" s="109"/>
      <c r="U991" s="109"/>
      <c r="V991" s="109"/>
    </row>
    <row r="992" spans="2:22" ht="12.75" hidden="1" customHeight="1" outlineLevel="1" x14ac:dyDescent="0.2">
      <c r="B992" s="30" t="s">
        <v>298</v>
      </c>
      <c r="C992" s="120" t="s">
        <v>298</v>
      </c>
      <c r="D992" s="46" t="s">
        <v>1839</v>
      </c>
      <c r="E992" s="41"/>
      <c r="F992" s="134" t="s">
        <v>1443</v>
      </c>
      <c r="G992" s="134" t="s">
        <v>1443</v>
      </c>
      <c r="H992" s="134" t="s">
        <v>1443</v>
      </c>
      <c r="I992" s="134" t="s">
        <v>1443</v>
      </c>
      <c r="J992" s="134" t="s">
        <v>1443</v>
      </c>
      <c r="K992" s="134" t="s">
        <v>1443</v>
      </c>
      <c r="L992" s="134" t="s">
        <v>1443</v>
      </c>
      <c r="M992" s="134" t="s">
        <v>1443</v>
      </c>
      <c r="N992" s="134" t="s">
        <v>1443</v>
      </c>
      <c r="O992" s="134" t="s">
        <v>1443</v>
      </c>
      <c r="P992" s="134" t="s">
        <v>1443</v>
      </c>
      <c r="Q992" s="134" t="s">
        <v>1443</v>
      </c>
      <c r="R992" s="109"/>
      <c r="S992" s="109"/>
      <c r="T992" s="109"/>
      <c r="U992" s="109"/>
      <c r="V992" s="109"/>
    </row>
    <row r="993" spans="2:22" ht="12.75" hidden="1" customHeight="1" outlineLevel="1" x14ac:dyDescent="0.2">
      <c r="B993" s="30" t="s">
        <v>297</v>
      </c>
      <c r="C993" s="120" t="s">
        <v>297</v>
      </c>
      <c r="D993" s="46" t="s">
        <v>1858</v>
      </c>
      <c r="E993" s="41"/>
      <c r="F993" s="134" t="s">
        <v>1443</v>
      </c>
      <c r="G993" s="134" t="s">
        <v>1443</v>
      </c>
      <c r="H993" s="134" t="s">
        <v>1443</v>
      </c>
      <c r="I993" s="134" t="s">
        <v>1443</v>
      </c>
      <c r="J993" s="134" t="s">
        <v>1443</v>
      </c>
      <c r="K993" s="134" t="s">
        <v>1443</v>
      </c>
      <c r="L993" s="134" t="s">
        <v>1443</v>
      </c>
      <c r="M993" s="134" t="s">
        <v>1443</v>
      </c>
      <c r="N993" s="134" t="s">
        <v>1443</v>
      </c>
      <c r="O993" s="134" t="s">
        <v>1443</v>
      </c>
      <c r="P993" s="134" t="s">
        <v>1443</v>
      </c>
      <c r="Q993" s="134" t="s">
        <v>1443</v>
      </c>
      <c r="R993" s="109"/>
      <c r="S993" s="109"/>
      <c r="T993" s="109"/>
      <c r="U993" s="109"/>
      <c r="V993" s="109"/>
    </row>
    <row r="994" spans="2:22" ht="12.75" hidden="1" customHeight="1" outlineLevel="1" x14ac:dyDescent="0.2">
      <c r="B994" s="30" t="s">
        <v>296</v>
      </c>
      <c r="C994" s="120" t="s">
        <v>296</v>
      </c>
      <c r="D994" s="46" t="s">
        <v>1735</v>
      </c>
      <c r="E994" s="41"/>
      <c r="F994" s="134" t="s">
        <v>1443</v>
      </c>
      <c r="G994" s="134" t="s">
        <v>1443</v>
      </c>
      <c r="H994" s="134" t="s">
        <v>1443</v>
      </c>
      <c r="I994" s="134" t="s">
        <v>1443</v>
      </c>
      <c r="J994" s="134" t="s">
        <v>1443</v>
      </c>
      <c r="K994" s="134" t="s">
        <v>1443</v>
      </c>
      <c r="L994" s="134" t="s">
        <v>1443</v>
      </c>
      <c r="M994" s="134" t="s">
        <v>1443</v>
      </c>
      <c r="N994" s="134" t="s">
        <v>1443</v>
      </c>
      <c r="O994" s="134" t="s">
        <v>1443</v>
      </c>
      <c r="P994" s="134" t="s">
        <v>1443</v>
      </c>
      <c r="Q994" s="134" t="s">
        <v>1443</v>
      </c>
      <c r="R994" s="109"/>
      <c r="S994" s="109"/>
      <c r="T994" s="109"/>
      <c r="U994" s="109"/>
      <c r="V994" s="109"/>
    </row>
    <row r="995" spans="2:22" ht="12.75" hidden="1" customHeight="1" outlineLevel="1" x14ac:dyDescent="0.2">
      <c r="B995" s="30" t="s">
        <v>295</v>
      </c>
      <c r="C995" s="120" t="s">
        <v>295</v>
      </c>
      <c r="D995" s="46" t="s">
        <v>1926</v>
      </c>
      <c r="E995" s="41"/>
      <c r="F995" s="134" t="s">
        <v>1443</v>
      </c>
      <c r="G995" s="134" t="s">
        <v>1443</v>
      </c>
      <c r="H995" s="134" t="s">
        <v>1443</v>
      </c>
      <c r="I995" s="134" t="s">
        <v>1443</v>
      </c>
      <c r="J995" s="134" t="s">
        <v>1443</v>
      </c>
      <c r="K995" s="134" t="s">
        <v>1443</v>
      </c>
      <c r="L995" s="134" t="s">
        <v>1443</v>
      </c>
      <c r="M995" s="134" t="s">
        <v>1443</v>
      </c>
      <c r="N995" s="134" t="s">
        <v>1443</v>
      </c>
      <c r="O995" s="134" t="s">
        <v>1443</v>
      </c>
      <c r="P995" s="134" t="s">
        <v>1443</v>
      </c>
      <c r="Q995" s="134" t="s">
        <v>1443</v>
      </c>
      <c r="R995" s="109"/>
      <c r="S995" s="109"/>
      <c r="T995" s="109"/>
      <c r="U995" s="109"/>
      <c r="V995" s="109"/>
    </row>
    <row r="996" spans="2:22" ht="12.75" hidden="1" customHeight="1" outlineLevel="1" x14ac:dyDescent="0.2">
      <c r="B996" s="5" t="s">
        <v>294</v>
      </c>
      <c r="C996" s="120" t="s">
        <v>294</v>
      </c>
      <c r="D996" s="46" t="s">
        <v>1925</v>
      </c>
      <c r="E996" s="41"/>
      <c r="F996" s="134" t="s">
        <v>1443</v>
      </c>
      <c r="G996" s="134" t="s">
        <v>1443</v>
      </c>
      <c r="H996" s="134" t="s">
        <v>1443</v>
      </c>
      <c r="I996" s="134" t="s">
        <v>1443</v>
      </c>
      <c r="J996" s="134" t="s">
        <v>1443</v>
      </c>
      <c r="K996" s="134" t="s">
        <v>1443</v>
      </c>
      <c r="L996" s="134" t="s">
        <v>1443</v>
      </c>
      <c r="M996" s="134" t="s">
        <v>1443</v>
      </c>
      <c r="N996" s="134" t="s">
        <v>1443</v>
      </c>
      <c r="O996" s="134" t="s">
        <v>1443</v>
      </c>
      <c r="P996" s="134" t="s">
        <v>1443</v>
      </c>
      <c r="Q996" s="134" t="s">
        <v>1443</v>
      </c>
      <c r="R996" s="109"/>
      <c r="S996" s="109"/>
      <c r="T996" s="109"/>
      <c r="U996" s="109"/>
      <c r="V996" s="109"/>
    </row>
    <row r="997" spans="2:22" ht="12.75" hidden="1" customHeight="1" outlineLevel="1" x14ac:dyDescent="0.2">
      <c r="B997" s="12"/>
      <c r="C997" s="120" t="s">
        <v>192</v>
      </c>
      <c r="D997" s="46" t="s">
        <v>192</v>
      </c>
      <c r="E997" s="41"/>
      <c r="F997" s="134"/>
      <c r="G997" s="134"/>
      <c r="H997" s="134"/>
      <c r="I997" s="134"/>
      <c r="J997" s="134"/>
      <c r="K997" s="134"/>
      <c r="L997" s="134"/>
      <c r="M997" s="134"/>
      <c r="N997" s="134"/>
      <c r="O997" s="134"/>
      <c r="P997" s="134"/>
      <c r="Q997" s="134"/>
    </row>
    <row r="998" spans="2:22" ht="12.75" hidden="1" customHeight="1" outlineLevel="1" x14ac:dyDescent="0.2">
      <c r="B998" s="30" t="s">
        <v>293</v>
      </c>
      <c r="C998" s="120" t="s">
        <v>293</v>
      </c>
      <c r="D998" s="46" t="s">
        <v>1728</v>
      </c>
      <c r="E998" s="41"/>
      <c r="F998" s="134" t="s">
        <v>1443</v>
      </c>
      <c r="G998" s="134" t="s">
        <v>1443</v>
      </c>
      <c r="H998" s="134" t="s">
        <v>1443</v>
      </c>
      <c r="I998" s="134" t="s">
        <v>1443</v>
      </c>
      <c r="J998" s="134" t="s">
        <v>1443</v>
      </c>
      <c r="K998" s="134" t="s">
        <v>1443</v>
      </c>
      <c r="L998" s="134" t="s">
        <v>1443</v>
      </c>
      <c r="M998" s="134" t="s">
        <v>1443</v>
      </c>
      <c r="N998" s="134" t="s">
        <v>1443</v>
      </c>
      <c r="O998" s="134" t="s">
        <v>1443</v>
      </c>
      <c r="P998" s="134" t="s">
        <v>1443</v>
      </c>
      <c r="Q998" s="134" t="s">
        <v>1443</v>
      </c>
      <c r="R998" s="109"/>
      <c r="S998" s="109"/>
      <c r="T998" s="109"/>
      <c r="U998" s="109"/>
      <c r="V998" s="109"/>
    </row>
    <row r="999" spans="2:22" ht="12.75" hidden="1" customHeight="1" outlineLevel="1" x14ac:dyDescent="0.2">
      <c r="B999" s="30" t="s">
        <v>292</v>
      </c>
      <c r="C999" s="120" t="s">
        <v>292</v>
      </c>
      <c r="D999" s="46" t="s">
        <v>1727</v>
      </c>
      <c r="E999" s="41"/>
      <c r="F999" s="134" t="s">
        <v>1443</v>
      </c>
      <c r="G999" s="134" t="s">
        <v>1443</v>
      </c>
      <c r="H999" s="134" t="s">
        <v>1443</v>
      </c>
      <c r="I999" s="134" t="s">
        <v>1443</v>
      </c>
      <c r="J999" s="134" t="s">
        <v>1443</v>
      </c>
      <c r="K999" s="134" t="s">
        <v>1443</v>
      </c>
      <c r="L999" s="134" t="s">
        <v>1443</v>
      </c>
      <c r="M999" s="134" t="s">
        <v>1443</v>
      </c>
      <c r="N999" s="134" t="s">
        <v>1443</v>
      </c>
      <c r="O999" s="134" t="s">
        <v>1443</v>
      </c>
      <c r="P999" s="134" t="s">
        <v>1443</v>
      </c>
      <c r="Q999" s="134" t="s">
        <v>1443</v>
      </c>
      <c r="R999" s="109"/>
      <c r="S999" s="109"/>
      <c r="T999" s="109"/>
      <c r="U999" s="109"/>
      <c r="V999" s="109"/>
    </row>
    <row r="1000" spans="2:22" ht="12.75" hidden="1" customHeight="1" outlineLevel="1" x14ac:dyDescent="0.2">
      <c r="B1000" s="30" t="s">
        <v>291</v>
      </c>
      <c r="C1000" s="120" t="s">
        <v>291</v>
      </c>
      <c r="D1000" s="46" t="s">
        <v>1726</v>
      </c>
      <c r="E1000" s="41"/>
      <c r="F1000" s="134" t="s">
        <v>1443</v>
      </c>
      <c r="G1000" s="134" t="s">
        <v>1443</v>
      </c>
      <c r="H1000" s="134" t="s">
        <v>1443</v>
      </c>
      <c r="I1000" s="134" t="s">
        <v>1443</v>
      </c>
      <c r="J1000" s="134" t="s">
        <v>1443</v>
      </c>
      <c r="K1000" s="134" t="s">
        <v>1443</v>
      </c>
      <c r="L1000" s="134" t="s">
        <v>1443</v>
      </c>
      <c r="M1000" s="134" t="s">
        <v>1443</v>
      </c>
      <c r="N1000" s="134" t="s">
        <v>1443</v>
      </c>
      <c r="O1000" s="134" t="s">
        <v>1443</v>
      </c>
      <c r="P1000" s="134" t="s">
        <v>1443</v>
      </c>
      <c r="Q1000" s="134" t="s">
        <v>1443</v>
      </c>
      <c r="R1000" s="109"/>
      <c r="S1000" s="109"/>
      <c r="T1000" s="109"/>
      <c r="U1000" s="109"/>
      <c r="V1000" s="109"/>
    </row>
    <row r="1001" spans="2:22" ht="12.75" hidden="1" customHeight="1" outlineLevel="1" x14ac:dyDescent="0.2">
      <c r="B1001" s="30" t="s">
        <v>290</v>
      </c>
      <c r="C1001" s="120" t="s">
        <v>290</v>
      </c>
      <c r="D1001" s="46" t="s">
        <v>1725</v>
      </c>
      <c r="E1001" s="41"/>
      <c r="F1001" s="134" t="s">
        <v>1443</v>
      </c>
      <c r="G1001" s="134" t="s">
        <v>1443</v>
      </c>
      <c r="H1001" s="134" t="s">
        <v>1443</v>
      </c>
      <c r="I1001" s="134" t="s">
        <v>1443</v>
      </c>
      <c r="J1001" s="134" t="s">
        <v>1443</v>
      </c>
      <c r="K1001" s="134" t="s">
        <v>1443</v>
      </c>
      <c r="L1001" s="134" t="s">
        <v>1443</v>
      </c>
      <c r="M1001" s="134" t="s">
        <v>1443</v>
      </c>
      <c r="N1001" s="134" t="s">
        <v>1443</v>
      </c>
      <c r="O1001" s="134" t="s">
        <v>1443</v>
      </c>
      <c r="P1001" s="134" t="s">
        <v>1443</v>
      </c>
      <c r="Q1001" s="134" t="s">
        <v>1443</v>
      </c>
      <c r="R1001" s="109"/>
      <c r="S1001" s="109"/>
      <c r="T1001" s="109"/>
      <c r="U1001" s="109"/>
      <c r="V1001" s="109"/>
    </row>
    <row r="1002" spans="2:22" ht="12.75" hidden="1" customHeight="1" outlineLevel="1" x14ac:dyDescent="0.2">
      <c r="B1002" s="30"/>
      <c r="C1002" s="120" t="s">
        <v>192</v>
      </c>
      <c r="D1002" s="46" t="s">
        <v>192</v>
      </c>
      <c r="E1002" s="41"/>
      <c r="F1002" s="134"/>
      <c r="G1002" s="134"/>
      <c r="H1002" s="134"/>
      <c r="I1002" s="134"/>
      <c r="J1002" s="134"/>
      <c r="K1002" s="134"/>
      <c r="L1002" s="134"/>
      <c r="M1002" s="134"/>
      <c r="N1002" s="134"/>
      <c r="O1002" s="134"/>
      <c r="P1002" s="134"/>
      <c r="Q1002" s="134"/>
    </row>
    <row r="1003" spans="2:22" ht="12.75" hidden="1" customHeight="1" outlineLevel="1" x14ac:dyDescent="0.2">
      <c r="B1003" s="30" t="s">
        <v>289</v>
      </c>
      <c r="C1003" s="120" t="s">
        <v>1394</v>
      </c>
      <c r="D1003" s="46" t="s">
        <v>1602</v>
      </c>
      <c r="E1003" s="41"/>
      <c r="F1003" s="134" t="s">
        <v>1443</v>
      </c>
      <c r="G1003" s="134" t="s">
        <v>1443</v>
      </c>
      <c r="H1003" s="134" t="s">
        <v>1443</v>
      </c>
      <c r="I1003" s="134" t="s">
        <v>1443</v>
      </c>
      <c r="J1003" s="134" t="s">
        <v>1443</v>
      </c>
      <c r="K1003" s="134" t="s">
        <v>1443</v>
      </c>
      <c r="L1003" s="134" t="s">
        <v>1443</v>
      </c>
      <c r="M1003" s="134" t="s">
        <v>1443</v>
      </c>
      <c r="N1003" s="134" t="s">
        <v>1443</v>
      </c>
      <c r="O1003" s="134" t="s">
        <v>1443</v>
      </c>
      <c r="P1003" s="134" t="s">
        <v>1443</v>
      </c>
      <c r="Q1003" s="134" t="s">
        <v>1443</v>
      </c>
      <c r="R1003" s="109"/>
      <c r="S1003" s="109"/>
      <c r="T1003" s="109"/>
      <c r="U1003" s="109"/>
      <c r="V1003" s="109"/>
    </row>
    <row r="1004" spans="2:22" ht="12.75" hidden="1" customHeight="1" outlineLevel="1" x14ac:dyDescent="0.2">
      <c r="B1004" s="30" t="s">
        <v>288</v>
      </c>
      <c r="C1004" s="120" t="s">
        <v>1395</v>
      </c>
      <c r="D1004" s="46" t="s">
        <v>1601</v>
      </c>
      <c r="E1004" s="41"/>
      <c r="F1004" s="134" t="s">
        <v>1443</v>
      </c>
      <c r="G1004" s="134" t="s">
        <v>1443</v>
      </c>
      <c r="H1004" s="134" t="s">
        <v>1443</v>
      </c>
      <c r="I1004" s="134" t="s">
        <v>1443</v>
      </c>
      <c r="J1004" s="134" t="s">
        <v>1443</v>
      </c>
      <c r="K1004" s="134" t="s">
        <v>1443</v>
      </c>
      <c r="L1004" s="134" t="s">
        <v>1443</v>
      </c>
      <c r="M1004" s="134" t="s">
        <v>1443</v>
      </c>
      <c r="N1004" s="134" t="s">
        <v>1443</v>
      </c>
      <c r="O1004" s="134" t="s">
        <v>1443</v>
      </c>
      <c r="P1004" s="134" t="s">
        <v>1443</v>
      </c>
      <c r="Q1004" s="134" t="s">
        <v>1443</v>
      </c>
      <c r="R1004" s="109"/>
      <c r="S1004" s="109"/>
      <c r="T1004" s="109"/>
      <c r="U1004" s="109"/>
      <c r="V1004" s="109"/>
    </row>
    <row r="1005" spans="2:22" ht="12.75" hidden="1" customHeight="1" outlineLevel="1" x14ac:dyDescent="0.2">
      <c r="B1005" s="30" t="s">
        <v>287</v>
      </c>
      <c r="C1005" s="120" t="s">
        <v>1425</v>
      </c>
      <c r="D1005" s="46" t="s">
        <v>1709</v>
      </c>
      <c r="E1005" s="41"/>
      <c r="F1005" s="134" t="s">
        <v>1443</v>
      </c>
      <c r="G1005" s="134" t="s">
        <v>1443</v>
      </c>
      <c r="H1005" s="134" t="s">
        <v>1443</v>
      </c>
      <c r="I1005" s="134" t="s">
        <v>1443</v>
      </c>
      <c r="J1005" s="134" t="s">
        <v>1443</v>
      </c>
      <c r="K1005" s="134" t="s">
        <v>1443</v>
      </c>
      <c r="L1005" s="134" t="s">
        <v>1443</v>
      </c>
      <c r="M1005" s="134" t="s">
        <v>1443</v>
      </c>
      <c r="N1005" s="134" t="s">
        <v>1443</v>
      </c>
      <c r="O1005" s="134" t="s">
        <v>1443</v>
      </c>
      <c r="P1005" s="134" t="s">
        <v>1443</v>
      </c>
      <c r="Q1005" s="134" t="s">
        <v>1443</v>
      </c>
      <c r="R1005" s="109"/>
      <c r="S1005" s="109"/>
      <c r="T1005" s="109"/>
      <c r="U1005" s="109"/>
      <c r="V1005" s="109"/>
    </row>
    <row r="1006" spans="2:22" ht="12.75" hidden="1" customHeight="1" outlineLevel="1" x14ac:dyDescent="0.2">
      <c r="B1006" s="28"/>
      <c r="C1006" s="118" t="s">
        <v>192</v>
      </c>
      <c r="D1006" s="46" t="s">
        <v>192</v>
      </c>
      <c r="E1006" s="41"/>
      <c r="F1006" s="21"/>
      <c r="G1006" s="21"/>
      <c r="H1006" s="21"/>
      <c r="I1006" s="21"/>
      <c r="J1006" s="21"/>
      <c r="K1006" s="21"/>
      <c r="L1006" s="21"/>
      <c r="M1006" s="21"/>
      <c r="N1006" s="21"/>
      <c r="O1006" s="21"/>
      <c r="P1006" s="21"/>
      <c r="Q1006" s="21"/>
    </row>
    <row r="1007" spans="2:22" ht="12.75" customHeight="1" collapsed="1" x14ac:dyDescent="0.2">
      <c r="B1007" s="20"/>
      <c r="C1007" s="120" t="s">
        <v>192</v>
      </c>
      <c r="D1007" s="46" t="s">
        <v>192</v>
      </c>
      <c r="E1007" s="41"/>
      <c r="F1007" s="233"/>
      <c r="G1007" s="233"/>
      <c r="H1007" s="233"/>
      <c r="I1007" s="233"/>
      <c r="J1007" s="233"/>
      <c r="K1007" s="233"/>
      <c r="L1007" s="233"/>
      <c r="M1007" s="233"/>
      <c r="N1007" s="233"/>
      <c r="O1007" s="233"/>
      <c r="P1007" s="233"/>
      <c r="Q1007" s="233"/>
    </row>
    <row r="1008" spans="2:22" ht="12.75" hidden="1" customHeight="1" outlineLevel="1" x14ac:dyDescent="0.2">
      <c r="C1008" s="128" t="str">
        <f>_xll.SNL.Clients.Office.Excel.Functions.SPGTable(F1008:Q1008,E1020:E1024,F1009:Q1009,"NA","Options:Curr="&amp;Sel_Curr&amp;",Mag="&amp;Sel_Mag&amp;",ConvMethod="&amp;Sel_Conv)</f>
        <v>SPGTable</v>
      </c>
      <c r="D1008" s="46" t="s">
        <v>192</v>
      </c>
      <c r="E1008" s="41"/>
      <c r="F1008" s="230" t="str">
        <f>F4</f>
        <v>FMC</v>
      </c>
      <c r="G1008" s="230" t="str">
        <f>G4</f>
        <v>FMC</v>
      </c>
      <c r="H1008" s="230" t="str">
        <f>H4</f>
        <v>FMC</v>
      </c>
      <c r="I1008" s="230" t="str">
        <f>I4</f>
        <v>FMC</v>
      </c>
      <c r="J1008" s="230" t="str">
        <f>J4</f>
        <v>FMC</v>
      </c>
      <c r="K1008" s="230" t="str">
        <f>K4</f>
        <v>FMC</v>
      </c>
      <c r="L1008" s="230" t="str">
        <f>L4</f>
        <v>FMC</v>
      </c>
      <c r="M1008" s="230" t="str">
        <f>M4</f>
        <v>FMC</v>
      </c>
      <c r="N1008" s="230" t="str">
        <f>N4</f>
        <v>FMC</v>
      </c>
      <c r="O1008" s="230" t="str">
        <f>O4</f>
        <v>FMC</v>
      </c>
      <c r="P1008" s="230" t="str">
        <f>P4</f>
        <v>FMC</v>
      </c>
      <c r="Q1008" s="230" t="str">
        <f>Q4</f>
        <v>FMC</v>
      </c>
    </row>
    <row r="1009" spans="2:22" ht="12.75" hidden="1" customHeight="1" outlineLevel="1" x14ac:dyDescent="0.2">
      <c r="C1009" s="128"/>
      <c r="D1009" s="46" t="s">
        <v>192</v>
      </c>
      <c r="E1009" s="41"/>
      <c r="F1009" s="129">
        <f>IF(WEEKDAY(F1010)=1,F1010-2,IF(WEEKDAY(F1010)=7,F1010-1,F1010))</f>
        <v>44469</v>
      </c>
      <c r="G1009" s="129">
        <f>IF(WEEKDAY(G1010)=1,G1010-2,IF(WEEKDAY(G1010)=7,G1010-1,G1010))</f>
        <v>44561</v>
      </c>
      <c r="H1009" s="129">
        <f>IF(WEEKDAY(H1010)=1,H1010-2,IF(WEEKDAY(H1010)=7,H1010-1,H1010))</f>
        <v>44651</v>
      </c>
      <c r="I1009" s="129">
        <f>IF(WEEKDAY(I1010)=1,I1010-2,IF(WEEKDAY(I1010)=7,I1010-1,I1010))</f>
        <v>44742</v>
      </c>
      <c r="J1009" s="129">
        <f>IF(WEEKDAY(J1010)=1,J1010-2,IF(WEEKDAY(J1010)=7,J1010-1,J1010))</f>
        <v>44834</v>
      </c>
      <c r="K1009" s="129">
        <f>IF(WEEKDAY(K1010)=1,K1010-2,IF(WEEKDAY(K1010)=7,K1010-1,K1010))</f>
        <v>44925</v>
      </c>
      <c r="L1009" s="129">
        <f>IF(WEEKDAY(L1010)=1,L1010-2,IF(WEEKDAY(L1010)=7,L1010-1,L1010))</f>
        <v>45016</v>
      </c>
      <c r="M1009" s="129">
        <f>IF(WEEKDAY(M1010)=1,M1010-2,IF(WEEKDAY(M1010)=7,M1010-1,M1010))</f>
        <v>45107</v>
      </c>
      <c r="N1009" s="129">
        <f>IF(WEEKDAY(N1010)=1,N1010-2,IF(WEEKDAY(N1010)=7,N1010-1,N1010))</f>
        <v>45198</v>
      </c>
      <c r="O1009" s="129">
        <f>IF(WEEKDAY(O1010)=1,O1010-2,IF(WEEKDAY(O1010)=7,O1010-1,O1010))</f>
        <v>45289</v>
      </c>
      <c r="P1009" s="129">
        <f>IF(WEEKDAY(P1010)=1,P1010-2,IF(WEEKDAY(P1010)=7,P1010-1,P1010))</f>
        <v>45380</v>
      </c>
      <c r="Q1009" s="129">
        <f>IF(WEEKDAY(Q1010)=1,Q1010-2,IF(WEEKDAY(Q1010)=7,Q1010-1,Q1010))</f>
        <v>45471</v>
      </c>
    </row>
    <row r="1010" spans="2:22" ht="12.75" customHeight="1" x14ac:dyDescent="0.2">
      <c r="B1010" s="7" t="s">
        <v>286</v>
      </c>
      <c r="C1010" s="117" t="s">
        <v>1405</v>
      </c>
      <c r="D1010" s="46" t="s">
        <v>1820</v>
      </c>
      <c r="E1010" s="41"/>
      <c r="F1010" s="49">
        <v>44469</v>
      </c>
      <c r="G1010" s="49">
        <v>44561</v>
      </c>
      <c r="H1010" s="49">
        <v>44651</v>
      </c>
      <c r="I1010" s="49">
        <v>44742</v>
      </c>
      <c r="J1010" s="49">
        <v>44834</v>
      </c>
      <c r="K1010" s="49">
        <v>44926</v>
      </c>
      <c r="L1010" s="49">
        <v>45016</v>
      </c>
      <c r="M1010" s="49">
        <v>45107</v>
      </c>
      <c r="N1010" s="49">
        <v>45199</v>
      </c>
      <c r="O1010" s="49">
        <v>45291</v>
      </c>
      <c r="P1010" s="49">
        <v>45382</v>
      </c>
      <c r="Q1010" s="49">
        <v>45473</v>
      </c>
      <c r="R1010" s="50"/>
      <c r="S1010" s="50"/>
      <c r="T1010" s="50"/>
      <c r="U1010" s="50"/>
      <c r="V1010" s="50"/>
    </row>
    <row r="1011" spans="2:22" ht="12.75" customHeight="1" collapsed="1" x14ac:dyDescent="0.2">
      <c r="B1011" s="7" t="s">
        <v>284</v>
      </c>
      <c r="C1011" s="123"/>
      <c r="D1011" s="46" t="s">
        <v>192</v>
      </c>
      <c r="E1011" s="41"/>
      <c r="F1011" s="234"/>
      <c r="G1011" s="234"/>
      <c r="H1011" s="234"/>
      <c r="I1011" s="234"/>
      <c r="J1011" s="234"/>
      <c r="K1011" s="234"/>
      <c r="L1011" s="234"/>
      <c r="M1011" s="234"/>
      <c r="N1011" s="234"/>
      <c r="O1011" s="234"/>
      <c r="P1011" s="234"/>
      <c r="Q1011" s="234"/>
      <c r="R1011" s="110"/>
      <c r="S1011" s="110"/>
      <c r="T1011" s="110"/>
      <c r="U1011" s="110"/>
      <c r="V1011" s="110"/>
    </row>
    <row r="1012" spans="2:22" ht="12.75" hidden="1" customHeight="1" outlineLevel="1" x14ac:dyDescent="0.2">
      <c r="B1012" s="30" t="s">
        <v>1481</v>
      </c>
      <c r="C1012" s="123"/>
      <c r="D1012" s="46" t="s">
        <v>192</v>
      </c>
      <c r="E1012" s="41"/>
      <c r="F1012" s="134">
        <f>IFERROR(SUM(F1016:F1018,F1020)-F1019,"NA")</f>
        <v>15026.015873720002</v>
      </c>
      <c r="G1012" s="134">
        <f>IFERROR(SUM(G1016:G1018,G1020)-G1019,"NA")</f>
        <v>16763.62178555</v>
      </c>
      <c r="H1012" s="134">
        <f>IFERROR(SUM(H1016:H1018,H1020)-H1019,"NA")</f>
        <v>20147.154903860002</v>
      </c>
      <c r="I1012" s="134">
        <f>IFERROR(SUM(I1016:I1018,I1020)-I1019,"NA")</f>
        <v>16928.461817750002</v>
      </c>
      <c r="J1012" s="134">
        <f>IFERROR(SUM(J1016:J1018,J1020)-J1019,"NA")</f>
        <v>16645.694733299999</v>
      </c>
      <c r="K1012" s="134">
        <f>IFERROR(SUM(K1016:K1018,K1020)-K1019,"NA")</f>
        <v>18471.427190399998</v>
      </c>
      <c r="L1012" s="134">
        <f>IFERROR(SUM(L1016:L1018,L1020)-L1019,"NA")</f>
        <v>19172.064980750001</v>
      </c>
      <c r="M1012" s="134">
        <f>IFERROR(SUM(M1016:M1018,M1020)-M1019,"NA")</f>
        <v>16971.392803499999</v>
      </c>
      <c r="N1012" s="134">
        <f>IFERROR(SUM(N1016:N1018,N1020)-N1019,"NA")</f>
        <v>12316.504838950001</v>
      </c>
      <c r="O1012" s="134">
        <f>IFERROR(SUM(O1016:O1018,O1020)-O1019,"NA")</f>
        <v>11691.34782535</v>
      </c>
      <c r="P1012" s="134">
        <f>IFERROR(SUM(P1016:P1018,P1020)-P1019,"NA")</f>
        <v>12036.4209235</v>
      </c>
      <c r="Q1012" s="134">
        <f>IFERROR(SUM(Q1016:Q1018,Q1020)-Q1019,"NA")</f>
        <v>11055.051153500001</v>
      </c>
      <c r="R1012" s="110"/>
      <c r="S1012" s="110"/>
      <c r="T1012" s="110"/>
      <c r="U1012" s="110"/>
      <c r="V1012" s="110"/>
    </row>
    <row r="1013" spans="2:22" ht="12.75" hidden="1" customHeight="1" outlineLevel="1" x14ac:dyDescent="0.2">
      <c r="B1013" s="30" t="s">
        <v>817</v>
      </c>
      <c r="C1013" s="123" t="s">
        <v>817</v>
      </c>
      <c r="D1013" s="46" t="s">
        <v>1915</v>
      </c>
      <c r="E1013" s="41"/>
      <c r="F1013" s="134">
        <v>1194</v>
      </c>
      <c r="G1013" s="134">
        <v>1413.6000000000001</v>
      </c>
      <c r="H1013" s="134">
        <v>1350.8</v>
      </c>
      <c r="I1013" s="134">
        <v>1452.3</v>
      </c>
      <c r="J1013" s="134">
        <v>1377.2</v>
      </c>
      <c r="K1013" s="134">
        <v>1622</v>
      </c>
      <c r="L1013" s="134">
        <v>1344.3</v>
      </c>
      <c r="M1013" s="134">
        <v>1014.5</v>
      </c>
      <c r="N1013" s="134">
        <v>981.9</v>
      </c>
      <c r="O1013" s="134">
        <v>1146.1000000000001</v>
      </c>
      <c r="P1013" s="134">
        <v>918</v>
      </c>
      <c r="Q1013" s="134">
        <v>1038.4000000000001</v>
      </c>
      <c r="R1013" s="110"/>
      <c r="S1013" s="110"/>
      <c r="T1013" s="110"/>
      <c r="U1013" s="110"/>
      <c r="V1013" s="110"/>
    </row>
    <row r="1014" spans="2:22" ht="12.75" hidden="1" customHeight="1" outlineLevel="1" x14ac:dyDescent="0.2">
      <c r="B1014" s="30" t="s">
        <v>728</v>
      </c>
      <c r="C1014" s="123" t="s">
        <v>728</v>
      </c>
      <c r="D1014" s="46" t="s">
        <v>1661</v>
      </c>
      <c r="E1014" s="41"/>
      <c r="F1014" s="134">
        <v>291.90000000000003</v>
      </c>
      <c r="G1014" s="134">
        <v>370.1</v>
      </c>
      <c r="H1014" s="134">
        <v>354.8</v>
      </c>
      <c r="I1014" s="134">
        <v>359.5</v>
      </c>
      <c r="J1014" s="134">
        <v>261</v>
      </c>
      <c r="K1014" s="134">
        <v>431.5</v>
      </c>
      <c r="L1014" s="134">
        <v>361.7</v>
      </c>
      <c r="M1014" s="134">
        <v>187.6</v>
      </c>
      <c r="N1014" s="134">
        <v>174.6</v>
      </c>
      <c r="O1014" s="134">
        <v>139.6</v>
      </c>
      <c r="P1014" s="134">
        <v>160.6</v>
      </c>
      <c r="Q1014" s="134">
        <v>201.70000000000002</v>
      </c>
      <c r="R1014" s="110"/>
      <c r="S1014" s="110"/>
      <c r="T1014" s="110"/>
      <c r="U1014" s="110"/>
      <c r="V1014" s="110"/>
    </row>
    <row r="1015" spans="2:22" ht="12.75" hidden="1" customHeight="1" outlineLevel="1" x14ac:dyDescent="0.2">
      <c r="B1015" s="30" t="s">
        <v>727</v>
      </c>
      <c r="C1015" s="123" t="s">
        <v>727</v>
      </c>
      <c r="D1015" s="46" t="s">
        <v>1654</v>
      </c>
      <c r="E1015" s="41"/>
      <c r="F1015" s="134">
        <v>248.5</v>
      </c>
      <c r="G1015" s="134">
        <v>327.7</v>
      </c>
      <c r="H1015" s="134">
        <v>312.40000000000003</v>
      </c>
      <c r="I1015" s="134">
        <v>316.7</v>
      </c>
      <c r="J1015" s="134">
        <v>219.6</v>
      </c>
      <c r="K1015" s="134">
        <v>388.7</v>
      </c>
      <c r="L1015" s="134">
        <v>317</v>
      </c>
      <c r="M1015" s="134">
        <v>139.5</v>
      </c>
      <c r="N1015" s="134">
        <v>129</v>
      </c>
      <c r="O1015" s="134">
        <v>93.7</v>
      </c>
      <c r="P1015" s="134">
        <v>114.9</v>
      </c>
      <c r="Q1015" s="134">
        <v>157.4</v>
      </c>
      <c r="R1015" s="110"/>
      <c r="S1015" s="110"/>
      <c r="T1015" s="110"/>
      <c r="U1015" s="110"/>
      <c r="V1015" s="110"/>
    </row>
    <row r="1016" spans="2:22" ht="12.75" hidden="1" customHeight="1" outlineLevel="1" x14ac:dyDescent="0.2">
      <c r="B1016" s="30" t="s">
        <v>541</v>
      </c>
      <c r="C1016" s="123" t="s">
        <v>541</v>
      </c>
      <c r="D1016" s="46" t="s">
        <v>1904</v>
      </c>
      <c r="E1016" s="41"/>
      <c r="F1016" s="134">
        <v>3562</v>
      </c>
      <c r="G1016" s="134">
        <v>3336</v>
      </c>
      <c r="H1016" s="134">
        <v>3935.4</v>
      </c>
      <c r="I1016" s="134">
        <v>4042.1</v>
      </c>
      <c r="J1016" s="134">
        <v>3708.8</v>
      </c>
      <c r="K1016" s="134">
        <v>3424.6</v>
      </c>
      <c r="L1016" s="134">
        <v>4365.8</v>
      </c>
      <c r="M1016" s="134">
        <v>4831.2</v>
      </c>
      <c r="N1016" s="134">
        <v>4263.3</v>
      </c>
      <c r="O1016" s="134">
        <v>4105.2</v>
      </c>
      <c r="P1016" s="134">
        <v>4484.7</v>
      </c>
      <c r="Q1016" s="134">
        <v>4322</v>
      </c>
      <c r="R1016" s="110"/>
      <c r="S1016" s="110"/>
      <c r="T1016" s="110"/>
      <c r="U1016" s="110"/>
      <c r="V1016" s="110"/>
    </row>
    <row r="1017" spans="2:22" ht="12.75" hidden="1" customHeight="1" outlineLevel="1" x14ac:dyDescent="0.2">
      <c r="B1017" s="30" t="s">
        <v>1027</v>
      </c>
      <c r="C1017" s="123" t="s">
        <v>1027</v>
      </c>
      <c r="D1017" s="46" t="s">
        <v>1913</v>
      </c>
      <c r="E1017" s="41"/>
      <c r="F1017" s="134" t="s">
        <v>1443</v>
      </c>
      <c r="G1017" s="134" t="s">
        <v>1443</v>
      </c>
      <c r="H1017" s="134" t="s">
        <v>1443</v>
      </c>
      <c r="I1017" s="134" t="s">
        <v>1443</v>
      </c>
      <c r="J1017" s="134" t="s">
        <v>1443</v>
      </c>
      <c r="K1017" s="134" t="s">
        <v>1443</v>
      </c>
      <c r="L1017" s="134" t="s">
        <v>1443</v>
      </c>
      <c r="M1017" s="134" t="s">
        <v>1443</v>
      </c>
      <c r="N1017" s="134" t="s">
        <v>1443</v>
      </c>
      <c r="O1017" s="134" t="s">
        <v>1443</v>
      </c>
      <c r="P1017" s="134" t="s">
        <v>1443</v>
      </c>
      <c r="Q1017" s="134" t="s">
        <v>1443</v>
      </c>
      <c r="R1017" s="110"/>
      <c r="S1017" s="110"/>
      <c r="T1017" s="110"/>
      <c r="U1017" s="110"/>
      <c r="V1017" s="110"/>
    </row>
    <row r="1018" spans="2:22" ht="12.75" hidden="1" customHeight="1" outlineLevel="1" x14ac:dyDescent="0.2">
      <c r="B1018" s="30" t="s">
        <v>1028</v>
      </c>
      <c r="C1018" s="123" t="s">
        <v>1028</v>
      </c>
      <c r="D1018" s="46" t="s">
        <v>1760</v>
      </c>
      <c r="E1018" s="41"/>
      <c r="F1018" s="134">
        <v>25.6</v>
      </c>
      <c r="G1018" s="134">
        <v>19.400000000000002</v>
      </c>
      <c r="H1018" s="134">
        <v>23.1</v>
      </c>
      <c r="I1018" s="134">
        <v>18.8</v>
      </c>
      <c r="J1018" s="134">
        <v>15.4</v>
      </c>
      <c r="K1018" s="134">
        <v>23</v>
      </c>
      <c r="L1018" s="134">
        <v>23.8</v>
      </c>
      <c r="M1018" s="134">
        <v>24.400000000000002</v>
      </c>
      <c r="N1018" s="134">
        <v>23.6</v>
      </c>
      <c r="O1018" s="134">
        <v>22.5</v>
      </c>
      <c r="P1018" s="134">
        <v>21.400000000000002</v>
      </c>
      <c r="Q1018" s="134">
        <v>21.3</v>
      </c>
      <c r="R1018" s="110"/>
      <c r="S1018" s="110"/>
      <c r="T1018" s="110"/>
      <c r="U1018" s="110"/>
      <c r="V1018" s="110"/>
    </row>
    <row r="1019" spans="2:22" ht="12.75" hidden="1" customHeight="1" outlineLevel="1" x14ac:dyDescent="0.2">
      <c r="B1019" s="30" t="s">
        <v>1024</v>
      </c>
      <c r="C1019" s="123" t="s">
        <v>1024</v>
      </c>
      <c r="D1019" s="46" t="s">
        <v>1589</v>
      </c>
      <c r="E1019" s="41"/>
      <c r="F1019" s="134">
        <v>345.3</v>
      </c>
      <c r="G1019" s="134">
        <v>520.5</v>
      </c>
      <c r="H1019" s="134">
        <v>375.1</v>
      </c>
      <c r="I1019" s="134">
        <v>609.20000000000005</v>
      </c>
      <c r="J1019" s="134">
        <v>392.40000000000003</v>
      </c>
      <c r="K1019" s="134">
        <v>584.4</v>
      </c>
      <c r="L1019" s="134">
        <v>501.1</v>
      </c>
      <c r="M1019" s="134">
        <v>941.5</v>
      </c>
      <c r="N1019" s="134">
        <v>323.8</v>
      </c>
      <c r="O1019" s="134">
        <v>302.40000000000003</v>
      </c>
      <c r="P1019" s="134">
        <v>420.5</v>
      </c>
      <c r="Q1019" s="134">
        <v>471.5</v>
      </c>
      <c r="R1019" s="110"/>
      <c r="S1019" s="110"/>
      <c r="T1019" s="110"/>
      <c r="U1019" s="110"/>
      <c r="V1019" s="110"/>
    </row>
    <row r="1020" spans="2:22" ht="12.75" hidden="1" customHeight="1" outlineLevel="1" x14ac:dyDescent="0.2">
      <c r="B1020" s="30" t="s">
        <v>804</v>
      </c>
      <c r="C1020" s="123" t="s">
        <v>804</v>
      </c>
      <c r="D1020" s="46" t="s">
        <v>192</v>
      </c>
      <c r="E1020" s="41" t="s">
        <v>1931</v>
      </c>
      <c r="F1020" s="134">
        <v>11783.715873720001</v>
      </c>
      <c r="G1020" s="134">
        <v>13928.72178555</v>
      </c>
      <c r="H1020" s="134">
        <v>16563.754903860001</v>
      </c>
      <c r="I1020" s="134">
        <v>13476.761817750001</v>
      </c>
      <c r="J1020" s="134">
        <v>13313.8947333</v>
      </c>
      <c r="K1020" s="134">
        <v>15608.227190400001</v>
      </c>
      <c r="L1020" s="134">
        <v>15283.564980749999</v>
      </c>
      <c r="M1020" s="134">
        <v>13057.2928035</v>
      </c>
      <c r="N1020" s="134">
        <v>8353.4048389500003</v>
      </c>
      <c r="O1020" s="134">
        <v>7866.0478253499996</v>
      </c>
      <c r="P1020" s="134">
        <v>7950.8209235000004</v>
      </c>
      <c r="Q1020" s="134">
        <v>7183.2511535000003</v>
      </c>
      <c r="R1020" s="110"/>
      <c r="S1020" s="110"/>
      <c r="T1020" s="110"/>
      <c r="U1020" s="110"/>
      <c r="V1020" s="110"/>
    </row>
    <row r="1021" spans="2:22" ht="12.75" hidden="1" customHeight="1" outlineLevel="1" x14ac:dyDescent="0.2">
      <c r="B1021" s="30" t="s">
        <v>1409</v>
      </c>
      <c r="C1021" s="123" t="s">
        <v>1409</v>
      </c>
      <c r="D1021" s="46" t="s">
        <v>192</v>
      </c>
      <c r="E1021" s="41" t="s">
        <v>1933</v>
      </c>
      <c r="F1021" s="140">
        <v>91.56</v>
      </c>
      <c r="G1021" s="140">
        <v>109.89</v>
      </c>
      <c r="H1021" s="140">
        <v>131.57</v>
      </c>
      <c r="I1021" s="140">
        <v>107.01</v>
      </c>
      <c r="J1021" s="140">
        <v>105.7</v>
      </c>
      <c r="K1021" s="140">
        <v>124.8</v>
      </c>
      <c r="L1021" s="140">
        <v>122.13</v>
      </c>
      <c r="M1021" s="140">
        <v>104.34</v>
      </c>
      <c r="N1021" s="140">
        <v>66.97</v>
      </c>
      <c r="O1021" s="140">
        <v>63.05</v>
      </c>
      <c r="P1021" s="140">
        <v>63.7</v>
      </c>
      <c r="Q1021" s="140">
        <v>57.55</v>
      </c>
      <c r="R1021" s="110"/>
      <c r="S1021" s="110"/>
      <c r="T1021" s="110"/>
      <c r="U1021" s="110"/>
      <c r="V1021" s="110"/>
    </row>
    <row r="1022" spans="2:22" ht="12.75" hidden="1" customHeight="1" outlineLevel="1" x14ac:dyDescent="0.2">
      <c r="B1022" s="30" t="s">
        <v>1482</v>
      </c>
      <c r="C1022" s="123" t="s">
        <v>1482</v>
      </c>
      <c r="D1022" s="46" t="s">
        <v>192</v>
      </c>
      <c r="E1022" s="41" t="s">
        <v>1818</v>
      </c>
      <c r="F1022" s="140">
        <v>21.815583</v>
      </c>
      <c r="G1022" s="140">
        <v>24.051214999999999</v>
      </c>
      <c r="H1022" s="140">
        <v>23.074359999999999</v>
      </c>
      <c r="I1022" s="140">
        <v>18.009087999999998</v>
      </c>
      <c r="J1022" s="140">
        <v>19.46593</v>
      </c>
      <c r="K1022" s="140">
        <v>24.355972000000001</v>
      </c>
      <c r="L1022" s="140">
        <v>21.060528000000001</v>
      </c>
      <c r="M1022" s="140">
        <v>18.257218000000002</v>
      </c>
      <c r="N1022" s="140">
        <v>13.650632</v>
      </c>
      <c r="O1022" s="140">
        <v>16.047339999999998</v>
      </c>
      <c r="P1022" s="140">
        <v>6.0632020000000004</v>
      </c>
      <c r="Q1022" s="140">
        <v>6.4337619999999998</v>
      </c>
      <c r="R1022" s="110"/>
      <c r="S1022" s="110"/>
      <c r="T1022" s="110"/>
      <c r="U1022" s="110"/>
      <c r="V1022" s="110"/>
    </row>
    <row r="1023" spans="2:22" ht="12.75" hidden="1" customHeight="1" outlineLevel="1" x14ac:dyDescent="0.2">
      <c r="B1023" s="30" t="s">
        <v>1483</v>
      </c>
      <c r="C1023" s="123" t="s">
        <v>1483</v>
      </c>
      <c r="D1023" s="46" t="s">
        <v>192</v>
      </c>
      <c r="E1023" s="41" t="s">
        <v>1817</v>
      </c>
      <c r="F1023" s="140">
        <v>378.81671499999999</v>
      </c>
      <c r="G1023" s="140">
        <v>459.48319099999998</v>
      </c>
      <c r="H1023" s="140">
        <v>545.36787600000002</v>
      </c>
      <c r="I1023" s="140">
        <v>440.55166700000001</v>
      </c>
      <c r="J1023" s="140">
        <v>428.29936400000003</v>
      </c>
      <c r="K1023" s="140">
        <v>493.08573699999999</v>
      </c>
      <c r="L1023" s="140">
        <v>452.35008699999997</v>
      </c>
      <c r="M1023" s="140">
        <v>375.90517699999998</v>
      </c>
      <c r="N1023" s="140">
        <v>249.135077</v>
      </c>
      <c r="O1023" s="140">
        <v>239.024945</v>
      </c>
      <c r="P1023" s="140" t="s">
        <v>1443</v>
      </c>
      <c r="Q1023" s="140">
        <v>166.608766</v>
      </c>
      <c r="R1023" s="110"/>
      <c r="S1023" s="110"/>
      <c r="T1023" s="110"/>
      <c r="U1023" s="110"/>
      <c r="V1023" s="110"/>
    </row>
    <row r="1024" spans="2:22" ht="12.75" hidden="1" customHeight="1" outlineLevel="1" x14ac:dyDescent="0.2">
      <c r="B1024" s="30" t="s">
        <v>1484</v>
      </c>
      <c r="C1024" s="123" t="s">
        <v>1484</v>
      </c>
      <c r="D1024" s="46" t="s">
        <v>192</v>
      </c>
      <c r="E1024" s="41" t="s">
        <v>1833</v>
      </c>
      <c r="F1024" s="140" t="s">
        <v>1444</v>
      </c>
      <c r="G1024" s="140" t="s">
        <v>1444</v>
      </c>
      <c r="H1024" s="140" t="s">
        <v>1444</v>
      </c>
      <c r="I1024" s="140" t="s">
        <v>1444</v>
      </c>
      <c r="J1024" s="140" t="s">
        <v>1444</v>
      </c>
      <c r="K1024" s="140" t="s">
        <v>1444</v>
      </c>
      <c r="L1024" s="140" t="s">
        <v>1444</v>
      </c>
      <c r="M1024" s="140" t="s">
        <v>1444</v>
      </c>
      <c r="N1024" s="140" t="s">
        <v>1444</v>
      </c>
      <c r="O1024" s="140" t="s">
        <v>1444</v>
      </c>
      <c r="P1024" s="140" t="s">
        <v>1443</v>
      </c>
      <c r="Q1024" s="140" t="s">
        <v>1444</v>
      </c>
      <c r="R1024" s="110"/>
      <c r="S1024" s="110"/>
      <c r="T1024" s="110"/>
      <c r="U1024" s="110"/>
      <c r="V1024" s="110"/>
    </row>
    <row r="1025" spans="2:22" ht="12.75" customHeight="1" x14ac:dyDescent="0.2">
      <c r="B1025" s="30" t="s">
        <v>283</v>
      </c>
      <c r="C1025" s="123"/>
      <c r="D1025" s="46" t="s">
        <v>192</v>
      </c>
      <c r="E1025" s="41"/>
      <c r="F1025" s="140">
        <f>IFERROR(F$1012/F1013,"NA")</f>
        <v>12.584602909313235</v>
      </c>
      <c r="G1025" s="140">
        <f>IFERROR(G$1012/G1013,"NA")</f>
        <v>11.858815637768815</v>
      </c>
      <c r="H1025" s="140">
        <f>IFERROR(H$1012/H1013,"NA")</f>
        <v>14.914979940672197</v>
      </c>
      <c r="I1025" s="140">
        <f>IFERROR(I$1012/I1013,"NA")</f>
        <v>11.656311931246989</v>
      </c>
      <c r="J1025" s="140">
        <f>IFERROR(J$1012/J1013,"NA")</f>
        <v>12.086621212097008</v>
      </c>
      <c r="K1025" s="140">
        <f>IFERROR(K$1012/K1013,"NA")</f>
        <v>11.388056220961774</v>
      </c>
      <c r="L1025" s="140">
        <f>IFERROR(L$1012/L1013,"NA")</f>
        <v>14.261745875734585</v>
      </c>
      <c r="M1025" s="140">
        <f>IFERROR(M$1012/M1013,"NA")</f>
        <v>16.728824843272548</v>
      </c>
      <c r="N1025" s="140">
        <f>IFERROR(N$1012/N1013,"NA")</f>
        <v>12.543542966646299</v>
      </c>
      <c r="O1025" s="140">
        <f>IFERROR(O$1012/O1013,"NA")</f>
        <v>10.200984054925398</v>
      </c>
      <c r="P1025" s="140">
        <f>IFERROR(P$1012/P1013,"NA")</f>
        <v>13.111569633442265</v>
      </c>
      <c r="Q1025" s="140">
        <f>IFERROR(Q$1012/Q1013,"NA")</f>
        <v>10.646235702523112</v>
      </c>
      <c r="R1025" s="109"/>
      <c r="S1025" s="109"/>
      <c r="T1025" s="109"/>
      <c r="U1025" s="109"/>
      <c r="V1025" s="109"/>
    </row>
    <row r="1026" spans="2:22" ht="12.75" customHeight="1" x14ac:dyDescent="0.2">
      <c r="B1026" s="30" t="s">
        <v>282</v>
      </c>
      <c r="C1026" s="123"/>
      <c r="D1026" s="46" t="s">
        <v>192</v>
      </c>
      <c r="E1026" s="41"/>
      <c r="F1026" s="140">
        <f>IFERROR(F$1012/F1014,"NA")</f>
        <v>51.476587439945185</v>
      </c>
      <c r="G1026" s="140">
        <f>IFERROR(G$1012/G1014,"NA")</f>
        <v>45.294844057146712</v>
      </c>
      <c r="H1026" s="140">
        <f>IFERROR(H$1012/H1014,"NA")</f>
        <v>56.784540315276217</v>
      </c>
      <c r="I1026" s="140">
        <f>IFERROR(I$1012/I1014,"NA")</f>
        <v>47.088906308066761</v>
      </c>
      <c r="J1026" s="140">
        <f>IFERROR(J$1012/J1014,"NA")</f>
        <v>63.776608173563211</v>
      </c>
      <c r="K1026" s="140">
        <f>IFERROR(K$1012/K1014,"NA")</f>
        <v>42.807479004403241</v>
      </c>
      <c r="L1026" s="140">
        <f>IFERROR(L$1012/L1014,"NA")</f>
        <v>53.00543262579486</v>
      </c>
      <c r="M1026" s="140">
        <f>IFERROR(M$1012/M1014,"NA")</f>
        <v>90.465846500533047</v>
      </c>
      <c r="N1026" s="140">
        <f>IFERROR(N$1012/N1014,"NA")</f>
        <v>70.541264827892334</v>
      </c>
      <c r="O1026" s="140">
        <f>IFERROR(O$1012/O1014,"NA")</f>
        <v>83.748909923710599</v>
      </c>
      <c r="P1026" s="140">
        <f>IFERROR(P$1012/P1014,"NA")</f>
        <v>74.946581092777095</v>
      </c>
      <c r="Q1026" s="140">
        <f>IFERROR(Q$1012/Q1014,"NA")</f>
        <v>54.809376070897372</v>
      </c>
      <c r="R1026" s="109"/>
      <c r="S1026" s="109"/>
      <c r="T1026" s="109"/>
      <c r="U1026" s="109"/>
      <c r="V1026" s="109"/>
    </row>
    <row r="1027" spans="2:22" ht="12.75" customHeight="1" x14ac:dyDescent="0.2">
      <c r="B1027" s="30" t="s">
        <v>281</v>
      </c>
      <c r="C1027" s="123"/>
      <c r="D1027" s="46" t="s">
        <v>192</v>
      </c>
      <c r="E1027" s="41"/>
      <c r="F1027" s="140">
        <f>IFERROR(F$1012/F1015,"NA")</f>
        <v>60.466864682977871</v>
      </c>
      <c r="G1027" s="140">
        <f>IFERROR(G$1012/G1015,"NA")</f>
        <v>51.155391472535861</v>
      </c>
      <c r="H1027" s="140">
        <f>IFERROR(H$1012/H1015,"NA")</f>
        <v>64.491532982906534</v>
      </c>
      <c r="I1027" s="140">
        <f>IFERROR(I$1012/I1015,"NA")</f>
        <v>53.452673879854757</v>
      </c>
      <c r="J1027" s="140">
        <f>IFERROR(J$1012/J1015,"NA")</f>
        <v>75.800067091530053</v>
      </c>
      <c r="K1027" s="140">
        <f>IFERROR(K$1012/K1015,"NA")</f>
        <v>47.521037279135577</v>
      </c>
      <c r="L1027" s="140">
        <f>IFERROR(L$1012/L1015,"NA")</f>
        <v>60.479700254731867</v>
      </c>
      <c r="M1027" s="140">
        <f>IFERROR(M$1012/M1015,"NA")</f>
        <v>121.65872977419355</v>
      </c>
      <c r="N1027" s="140">
        <f>IFERROR(N$1012/N1015,"NA")</f>
        <v>95.476781697286825</v>
      </c>
      <c r="O1027" s="140">
        <f>IFERROR(O$1012/O1015,"NA")</f>
        <v>124.77425640715047</v>
      </c>
      <c r="P1027" s="140">
        <f>IFERROR(P$1012/P1015,"NA")</f>
        <v>104.75562161444734</v>
      </c>
      <c r="Q1027" s="140">
        <f>IFERROR(Q$1012/Q1015,"NA")</f>
        <v>70.235394876111812</v>
      </c>
      <c r="R1027" s="109"/>
      <c r="S1027" s="109"/>
      <c r="T1027" s="109"/>
      <c r="U1027" s="109"/>
      <c r="V1027" s="109"/>
    </row>
    <row r="1028" spans="2:22" ht="12.75" customHeight="1" x14ac:dyDescent="0.2">
      <c r="B1028" s="30" t="s">
        <v>1485</v>
      </c>
      <c r="C1028" s="123"/>
      <c r="D1028" s="46" t="s">
        <v>192</v>
      </c>
      <c r="E1028" s="41"/>
      <c r="F1028" s="140">
        <f>F1022</f>
        <v>21.815583</v>
      </c>
      <c r="G1028" s="140">
        <f>G1022</f>
        <v>24.051214999999999</v>
      </c>
      <c r="H1028" s="140">
        <f>H1022</f>
        <v>23.074359999999999</v>
      </c>
      <c r="I1028" s="140">
        <f>I1022</f>
        <v>18.009087999999998</v>
      </c>
      <c r="J1028" s="140">
        <f>J1022</f>
        <v>19.46593</v>
      </c>
      <c r="K1028" s="140">
        <f>K1022</f>
        <v>24.355972000000001</v>
      </c>
      <c r="L1028" s="140">
        <f>L1022</f>
        <v>21.060528000000001</v>
      </c>
      <c r="M1028" s="140">
        <f>M1022</f>
        <v>18.257218000000002</v>
      </c>
      <c r="N1028" s="140">
        <f>N1022</f>
        <v>13.650632</v>
      </c>
      <c r="O1028" s="140">
        <f>O1022</f>
        <v>16.047339999999998</v>
      </c>
      <c r="P1028" s="140">
        <f>P1022</f>
        <v>6.0632020000000004</v>
      </c>
      <c r="Q1028" s="140">
        <f>Q1022</f>
        <v>6.4337619999999998</v>
      </c>
      <c r="R1028" s="109"/>
      <c r="S1028" s="109"/>
      <c r="T1028" s="109"/>
      <c r="U1028" s="109"/>
      <c r="V1028" s="109"/>
    </row>
    <row r="1029" spans="2:22" ht="12.75" customHeight="1" x14ac:dyDescent="0.2">
      <c r="B1029" s="30" t="s">
        <v>1486</v>
      </c>
      <c r="C1029" s="123"/>
      <c r="D1029" s="46" t="s">
        <v>192</v>
      </c>
      <c r="E1029" s="41"/>
      <c r="F1029" s="140">
        <f>F1023</f>
        <v>378.81671499999999</v>
      </c>
      <c r="G1029" s="140">
        <f>G1023</f>
        <v>459.48319099999998</v>
      </c>
      <c r="H1029" s="140">
        <f>H1023</f>
        <v>545.36787600000002</v>
      </c>
      <c r="I1029" s="140">
        <f>I1023</f>
        <v>440.55166700000001</v>
      </c>
      <c r="J1029" s="140">
        <f>J1023</f>
        <v>428.29936400000003</v>
      </c>
      <c r="K1029" s="140">
        <f>K1023</f>
        <v>493.08573699999999</v>
      </c>
      <c r="L1029" s="140">
        <f>L1023</f>
        <v>452.35008699999997</v>
      </c>
      <c r="M1029" s="140">
        <f>M1023</f>
        <v>375.90517699999998</v>
      </c>
      <c r="N1029" s="140">
        <f>N1023</f>
        <v>249.135077</v>
      </c>
      <c r="O1029" s="140">
        <f>O1023</f>
        <v>239.024945</v>
      </c>
      <c r="P1029" s="140" t="str">
        <f>P1023</f>
        <v>NA</v>
      </c>
      <c r="Q1029" s="140">
        <f>Q1023</f>
        <v>166.608766</v>
      </c>
      <c r="R1029" s="109"/>
      <c r="S1029" s="109"/>
      <c r="T1029" s="109"/>
      <c r="U1029" s="109"/>
      <c r="V1029" s="109"/>
    </row>
    <row r="1030" spans="2:22" ht="12.75" customHeight="1" x14ac:dyDescent="0.2">
      <c r="B1030" s="30" t="s">
        <v>1487</v>
      </c>
      <c r="C1030" s="123"/>
      <c r="D1030" s="46" t="s">
        <v>192</v>
      </c>
      <c r="E1030" s="41"/>
      <c r="F1030" s="140" t="str">
        <f>F1024</f>
        <v>NM</v>
      </c>
      <c r="G1030" s="140" t="str">
        <f>G1024</f>
        <v>NM</v>
      </c>
      <c r="H1030" s="140" t="str">
        <f>H1024</f>
        <v>NM</v>
      </c>
      <c r="I1030" s="140" t="str">
        <f>I1024</f>
        <v>NM</v>
      </c>
      <c r="J1030" s="140" t="str">
        <f>J1024</f>
        <v>NM</v>
      </c>
      <c r="K1030" s="140" t="str">
        <f>K1024</f>
        <v>NM</v>
      </c>
      <c r="L1030" s="140" t="str">
        <f>L1024</f>
        <v>NM</v>
      </c>
      <c r="M1030" s="140" t="str">
        <f>M1024</f>
        <v>NM</v>
      </c>
      <c r="N1030" s="140" t="str">
        <f>N1024</f>
        <v>NM</v>
      </c>
      <c r="O1030" s="140" t="str">
        <f>O1024</f>
        <v>NM</v>
      </c>
      <c r="P1030" s="140" t="str">
        <f>P1024</f>
        <v>NA</v>
      </c>
      <c r="Q1030" s="140" t="str">
        <f>Q1024</f>
        <v>NM</v>
      </c>
      <c r="R1030" s="109"/>
      <c r="S1030" s="109"/>
      <c r="T1030" s="109"/>
      <c r="U1030" s="109"/>
      <c r="V1030" s="109"/>
    </row>
    <row r="1031" spans="2:22" ht="12.75" customHeight="1" x14ac:dyDescent="0.2">
      <c r="B1031" s="27"/>
      <c r="C1031" s="123" t="s">
        <v>192</v>
      </c>
      <c r="D1031" s="46" t="s">
        <v>192</v>
      </c>
      <c r="E1031" s="41"/>
      <c r="F1031" s="126"/>
      <c r="G1031" s="126"/>
      <c r="H1031" s="126"/>
      <c r="I1031" s="126"/>
      <c r="J1031" s="126"/>
      <c r="K1031" s="126"/>
      <c r="L1031" s="126"/>
      <c r="M1031" s="126"/>
      <c r="N1031" s="126"/>
      <c r="O1031" s="126"/>
      <c r="P1031" s="126"/>
      <c r="Q1031" s="126"/>
    </row>
    <row r="1032" spans="2:22" ht="12.75" customHeight="1" x14ac:dyDescent="0.2">
      <c r="B1032" s="7" t="s">
        <v>280</v>
      </c>
      <c r="C1032" s="120" t="s">
        <v>192</v>
      </c>
      <c r="D1032" s="46" t="s">
        <v>192</v>
      </c>
      <c r="E1032" s="41"/>
      <c r="F1032" s="91"/>
      <c r="G1032" s="91"/>
      <c r="H1032" s="91"/>
      <c r="I1032" s="91"/>
      <c r="J1032" s="91"/>
      <c r="K1032" s="91"/>
      <c r="L1032" s="91"/>
      <c r="M1032" s="91"/>
      <c r="N1032" s="91"/>
      <c r="O1032" s="91"/>
      <c r="P1032" s="91"/>
      <c r="Q1032" s="91"/>
    </row>
    <row r="1033" spans="2:22" ht="12.75" customHeight="1" x14ac:dyDescent="0.2">
      <c r="B1033" s="30" t="s">
        <v>279</v>
      </c>
      <c r="C1033" s="118" t="s">
        <v>279</v>
      </c>
      <c r="D1033" s="46" t="s">
        <v>1850</v>
      </c>
      <c r="E1033" s="41"/>
      <c r="F1033" s="140">
        <v>5.819</v>
      </c>
      <c r="G1033" s="140">
        <v>7.7709999999999999</v>
      </c>
      <c r="H1033" s="140">
        <v>7.2389999999999999</v>
      </c>
      <c r="I1033" s="140">
        <v>7.2140000000000004</v>
      </c>
      <c r="J1033" s="140">
        <v>5.0339999999999998</v>
      </c>
      <c r="K1033" s="140">
        <v>8.86</v>
      </c>
      <c r="L1033" s="140">
        <v>6.92</v>
      </c>
      <c r="M1033" s="140">
        <v>2.9449999999999998</v>
      </c>
      <c r="N1033" s="140">
        <v>2.8149999999999999</v>
      </c>
      <c r="O1033" s="140">
        <v>2.0470000000000002</v>
      </c>
      <c r="P1033" s="140">
        <v>2.403</v>
      </c>
      <c r="Q1033" s="140">
        <v>3.2639999999999998</v>
      </c>
      <c r="R1033" s="91"/>
      <c r="S1033" s="91"/>
      <c r="T1033" s="91"/>
      <c r="U1033" s="91"/>
      <c r="V1033" s="91"/>
    </row>
    <row r="1034" spans="2:22" ht="12.75" customHeight="1" x14ac:dyDescent="0.2">
      <c r="B1034" s="30" t="s">
        <v>278</v>
      </c>
      <c r="C1034" s="118" t="s">
        <v>278</v>
      </c>
      <c r="D1034" s="46" t="s">
        <v>1851</v>
      </c>
      <c r="E1034" s="41"/>
      <c r="F1034" s="140">
        <v>9.0380000000000003</v>
      </c>
      <c r="G1034" s="140">
        <v>12.509</v>
      </c>
      <c r="H1034" s="140">
        <v>11.571999999999999</v>
      </c>
      <c r="I1034" s="140">
        <v>11.162000000000001</v>
      </c>
      <c r="J1034" s="140">
        <v>7.7969999999999997</v>
      </c>
      <c r="K1034" s="140">
        <v>14.147</v>
      </c>
      <c r="L1034" s="140">
        <v>10.792</v>
      </c>
      <c r="M1034" s="140">
        <v>4.34</v>
      </c>
      <c r="N1034" s="140">
        <v>4.0860000000000003</v>
      </c>
      <c r="O1034" s="140">
        <v>2.907</v>
      </c>
      <c r="P1034" s="140">
        <v>3.31</v>
      </c>
      <c r="Q1034" s="140">
        <v>4.4409999999999998</v>
      </c>
      <c r="R1034" s="91"/>
      <c r="S1034" s="91"/>
      <c r="T1034" s="91"/>
      <c r="U1034" s="91"/>
      <c r="V1034" s="91"/>
    </row>
    <row r="1035" spans="2:22" ht="12.75" customHeight="1" x14ac:dyDescent="0.2">
      <c r="B1035" s="30" t="s">
        <v>277</v>
      </c>
      <c r="C1035" s="118" t="s">
        <v>277</v>
      </c>
      <c r="D1035" s="46" t="s">
        <v>1853</v>
      </c>
      <c r="E1035" s="41"/>
      <c r="F1035" s="140">
        <v>22.212</v>
      </c>
      <c r="G1035" s="140">
        <v>28.460999999999999</v>
      </c>
      <c r="H1035" s="140">
        <v>29.141999999999999</v>
      </c>
      <c r="I1035" s="140">
        <v>18.294</v>
      </c>
      <c r="J1035" s="140">
        <v>16.995999999999999</v>
      </c>
      <c r="K1035" s="140">
        <v>40.627000000000002</v>
      </c>
      <c r="L1035" s="140">
        <v>24.062000000000001</v>
      </c>
      <c r="M1035" s="140">
        <v>6.2750000000000004</v>
      </c>
      <c r="N1035" s="140">
        <v>0.55000000000000004</v>
      </c>
      <c r="O1035" s="140">
        <v>119.113</v>
      </c>
      <c r="P1035" s="140">
        <v>0.85799999999999998</v>
      </c>
      <c r="Q1035" s="140">
        <v>26.745999999999999</v>
      </c>
      <c r="R1035" s="91"/>
      <c r="S1035" s="91"/>
      <c r="T1035" s="91"/>
      <c r="U1035" s="91"/>
      <c r="V1035" s="91"/>
    </row>
    <row r="1036" spans="2:22" ht="12.75" customHeight="1" x14ac:dyDescent="0.2">
      <c r="B1036" s="30" t="s">
        <v>276</v>
      </c>
      <c r="C1036" s="118" t="s">
        <v>276</v>
      </c>
      <c r="D1036" s="46" t="s">
        <v>1852</v>
      </c>
      <c r="E1036" s="41"/>
      <c r="F1036" s="140">
        <v>22.012</v>
      </c>
      <c r="G1036" s="140">
        <v>29.370999999999999</v>
      </c>
      <c r="H1036" s="140">
        <v>28.748000000000001</v>
      </c>
      <c r="I1036" s="140">
        <v>18.768999999999998</v>
      </c>
      <c r="J1036" s="140">
        <v>17.393000000000001</v>
      </c>
      <c r="K1036" s="140">
        <v>39.999000000000002</v>
      </c>
      <c r="L1036" s="140">
        <v>24.192</v>
      </c>
      <c r="M1036" s="140">
        <v>6.0839999999999996</v>
      </c>
      <c r="N1036" s="140">
        <v>0.57799999999999996</v>
      </c>
      <c r="O1036" s="140">
        <v>119.733</v>
      </c>
      <c r="P1036" s="140">
        <v>0.89900000000000002</v>
      </c>
      <c r="Q1036" s="140">
        <v>26.783999999999999</v>
      </c>
      <c r="R1036" s="91"/>
      <c r="S1036" s="91"/>
      <c r="T1036" s="91"/>
      <c r="U1036" s="91"/>
      <c r="V1036" s="91"/>
    </row>
    <row r="1037" spans="2:22" ht="12.75" customHeight="1" x14ac:dyDescent="0.2">
      <c r="B1037" s="11"/>
      <c r="C1037" s="120" t="s">
        <v>192</v>
      </c>
      <c r="D1037" s="46" t="s">
        <v>192</v>
      </c>
      <c r="E1037" s="41"/>
      <c r="F1037" s="140"/>
      <c r="G1037" s="140"/>
      <c r="H1037" s="140"/>
      <c r="I1037" s="140"/>
      <c r="J1037" s="140"/>
      <c r="K1037" s="140"/>
      <c r="L1037" s="140"/>
      <c r="M1037" s="140"/>
      <c r="N1037" s="140"/>
      <c r="O1037" s="140"/>
      <c r="P1037" s="140"/>
      <c r="Q1037" s="140"/>
    </row>
    <row r="1038" spans="2:22" ht="12.75" customHeight="1" x14ac:dyDescent="0.2">
      <c r="B1038" s="7" t="s">
        <v>275</v>
      </c>
      <c r="C1038" s="118" t="s">
        <v>192</v>
      </c>
      <c r="D1038" s="46" t="s">
        <v>192</v>
      </c>
      <c r="E1038" s="41"/>
      <c r="F1038" s="140"/>
      <c r="G1038" s="140"/>
      <c r="H1038" s="140"/>
      <c r="I1038" s="140"/>
      <c r="J1038" s="140"/>
      <c r="K1038" s="140"/>
      <c r="L1038" s="140"/>
      <c r="M1038" s="140"/>
      <c r="N1038" s="140"/>
      <c r="O1038" s="140"/>
      <c r="P1038" s="140"/>
      <c r="Q1038" s="140"/>
    </row>
    <row r="1039" spans="2:22" ht="12.75" customHeight="1" x14ac:dyDescent="0.2">
      <c r="B1039" s="30" t="s">
        <v>274</v>
      </c>
      <c r="C1039" s="118" t="s">
        <v>940</v>
      </c>
      <c r="D1039" s="46" t="s">
        <v>1706</v>
      </c>
      <c r="E1039" s="41"/>
      <c r="F1039" s="140">
        <v>42.838999999999999</v>
      </c>
      <c r="G1039" s="140">
        <v>43.018000000000001</v>
      </c>
      <c r="H1039" s="140">
        <v>42.396999999999998</v>
      </c>
      <c r="I1039" s="140">
        <v>40.694000000000003</v>
      </c>
      <c r="J1039" s="140">
        <v>34.671999999999997</v>
      </c>
      <c r="K1039" s="140">
        <v>42.268999999999998</v>
      </c>
      <c r="L1039" s="140">
        <v>43.241999999999997</v>
      </c>
      <c r="M1039" s="140">
        <v>42.661000000000001</v>
      </c>
      <c r="N1039" s="140">
        <v>38.823</v>
      </c>
      <c r="O1039" s="140">
        <v>38.015999999999998</v>
      </c>
      <c r="P1039" s="140">
        <v>37.003999999999998</v>
      </c>
      <c r="Q1039" s="140">
        <v>38.338000000000001</v>
      </c>
      <c r="R1039" s="21"/>
      <c r="S1039" s="91"/>
      <c r="T1039" s="91"/>
      <c r="U1039" s="91"/>
      <c r="V1039" s="91"/>
    </row>
    <row r="1040" spans="2:22" ht="12.75" customHeight="1" x14ac:dyDescent="0.2">
      <c r="B1040" s="30" t="s">
        <v>273</v>
      </c>
      <c r="C1040" s="118" t="s">
        <v>273</v>
      </c>
      <c r="D1040" s="46" t="s">
        <v>1666</v>
      </c>
      <c r="E1040" s="41"/>
      <c r="F1040" s="140">
        <v>24.446999999999999</v>
      </c>
      <c r="G1040" s="140">
        <v>26.181000000000001</v>
      </c>
      <c r="H1040" s="140">
        <v>26.265999999999998</v>
      </c>
      <c r="I1040" s="140">
        <v>24.754000000000001</v>
      </c>
      <c r="J1040" s="140">
        <v>18.951000000000001</v>
      </c>
      <c r="K1040" s="140">
        <v>26.603000000000002</v>
      </c>
      <c r="L1040" s="140">
        <v>26.905999999999999</v>
      </c>
      <c r="M1040" s="140">
        <v>18.492000000000001</v>
      </c>
      <c r="N1040" s="140">
        <v>17.782</v>
      </c>
      <c r="O1040" s="140">
        <v>12.18</v>
      </c>
      <c r="P1040" s="140">
        <v>17.495000000000001</v>
      </c>
      <c r="Q1040" s="140">
        <v>19.423999999999999</v>
      </c>
      <c r="R1040" s="21"/>
      <c r="S1040" s="91"/>
      <c r="T1040" s="91"/>
      <c r="U1040" s="91"/>
      <c r="V1040" s="91"/>
    </row>
    <row r="1041" spans="2:22" ht="12.75" customHeight="1" x14ac:dyDescent="0.2">
      <c r="B1041" s="30" t="s">
        <v>272</v>
      </c>
      <c r="C1041" s="118" t="s">
        <v>272</v>
      </c>
      <c r="D1041" s="46" t="s">
        <v>1659</v>
      </c>
      <c r="E1041" s="41"/>
      <c r="F1041" s="140">
        <v>20.812000000000001</v>
      </c>
      <c r="G1041" s="140">
        <v>23.181999999999999</v>
      </c>
      <c r="H1041" s="140">
        <v>23.126999999999999</v>
      </c>
      <c r="I1041" s="140">
        <v>21.806999999999999</v>
      </c>
      <c r="J1041" s="140">
        <v>15.945</v>
      </c>
      <c r="K1041" s="140">
        <v>23.963999999999999</v>
      </c>
      <c r="L1041" s="140">
        <v>23.581</v>
      </c>
      <c r="M1041" s="140">
        <v>13.750999999999999</v>
      </c>
      <c r="N1041" s="140">
        <v>13.138</v>
      </c>
      <c r="O1041" s="140">
        <v>8.1760000000000002</v>
      </c>
      <c r="P1041" s="140">
        <v>12.516</v>
      </c>
      <c r="Q1041" s="140">
        <v>15.157999999999999</v>
      </c>
      <c r="R1041" s="21"/>
      <c r="S1041" s="91"/>
      <c r="T1041" s="91"/>
      <c r="U1041" s="91"/>
      <c r="V1041" s="91"/>
    </row>
    <row r="1042" spans="2:22" ht="12.75" customHeight="1" x14ac:dyDescent="0.2">
      <c r="B1042" s="30" t="s">
        <v>271</v>
      </c>
      <c r="C1042" s="118" t="s">
        <v>271</v>
      </c>
      <c r="D1042" s="46" t="s">
        <v>1783</v>
      </c>
      <c r="E1042" s="41"/>
      <c r="F1042" s="140">
        <v>13.375</v>
      </c>
      <c r="G1042" s="140">
        <v>13.49</v>
      </c>
      <c r="H1042" s="140">
        <v>15.353999999999999</v>
      </c>
      <c r="I1042" s="140">
        <v>9.2409999999999997</v>
      </c>
      <c r="J1042" s="140">
        <v>8.7859999999999996</v>
      </c>
      <c r="K1042" s="140">
        <v>16.887</v>
      </c>
      <c r="L1042" s="140">
        <v>14.58</v>
      </c>
      <c r="M1042" s="140">
        <v>3.0059999999999998</v>
      </c>
      <c r="N1042" s="140">
        <v>-0.35599999999999998</v>
      </c>
      <c r="O1042" s="140">
        <v>95.846999999999994</v>
      </c>
      <c r="P1042" s="140">
        <v>-0.29399999999999998</v>
      </c>
      <c r="Q1042" s="140">
        <v>28.419</v>
      </c>
      <c r="R1042" s="21"/>
      <c r="S1042" s="91"/>
      <c r="T1042" s="91"/>
      <c r="U1042" s="91"/>
      <c r="V1042" s="91"/>
    </row>
    <row r="1043" spans="2:22" ht="12.75" customHeight="1" x14ac:dyDescent="0.2">
      <c r="B1043" s="30" t="s">
        <v>270</v>
      </c>
      <c r="C1043" s="118" t="s">
        <v>941</v>
      </c>
      <c r="D1043" s="46" t="s">
        <v>1571</v>
      </c>
      <c r="E1043" s="41"/>
      <c r="F1043" s="140">
        <v>2.4710000000000001</v>
      </c>
      <c r="G1043" s="140">
        <v>1.677</v>
      </c>
      <c r="H1043" s="140">
        <v>3.7240000000000002</v>
      </c>
      <c r="I1043" s="140">
        <v>1.611</v>
      </c>
      <c r="J1043" s="140">
        <v>2.52</v>
      </c>
      <c r="K1043" s="140">
        <v>2.09</v>
      </c>
      <c r="L1043" s="140">
        <v>3.4889999999999999</v>
      </c>
      <c r="M1043" s="140">
        <v>2.8490000000000002</v>
      </c>
      <c r="N1043" s="140">
        <v>3.3610000000000002</v>
      </c>
      <c r="O1043" s="140">
        <v>2.19</v>
      </c>
      <c r="P1043" s="140">
        <v>2.2549999999999999</v>
      </c>
      <c r="Q1043" s="140">
        <v>0.95299999999999996</v>
      </c>
      <c r="R1043" s="35"/>
      <c r="S1043" s="91"/>
      <c r="T1043" s="91"/>
      <c r="U1043" s="91"/>
      <c r="V1043" s="91"/>
    </row>
    <row r="1044" spans="2:22" ht="12.75" customHeight="1" x14ac:dyDescent="0.2">
      <c r="B1044" s="12"/>
      <c r="C1044" s="118" t="s">
        <v>192</v>
      </c>
      <c r="D1044" s="46" t="s">
        <v>192</v>
      </c>
      <c r="E1044" s="41"/>
      <c r="F1044" s="140"/>
      <c r="G1044" s="140"/>
      <c r="H1044" s="140"/>
      <c r="I1044" s="140"/>
      <c r="J1044" s="140"/>
      <c r="K1044" s="140"/>
      <c r="L1044" s="140"/>
      <c r="M1044" s="140"/>
      <c r="N1044" s="140"/>
      <c r="O1044" s="140"/>
      <c r="P1044" s="140"/>
      <c r="Q1044" s="140"/>
      <c r="R1044" s="35"/>
    </row>
    <row r="1045" spans="2:22" ht="12.75" customHeight="1" x14ac:dyDescent="0.2">
      <c r="B1045" s="7" t="s">
        <v>269</v>
      </c>
      <c r="C1045" s="118" t="s">
        <v>192</v>
      </c>
      <c r="D1045" s="46" t="s">
        <v>192</v>
      </c>
      <c r="E1045" s="41"/>
      <c r="F1045" s="140"/>
      <c r="G1045" s="140"/>
      <c r="H1045" s="140"/>
      <c r="I1045" s="140"/>
      <c r="J1045" s="140"/>
      <c r="K1045" s="140"/>
      <c r="L1045" s="140"/>
      <c r="M1045" s="140"/>
      <c r="N1045" s="140"/>
      <c r="O1045" s="140"/>
      <c r="P1045" s="140"/>
      <c r="Q1045" s="140"/>
    </row>
    <row r="1046" spans="2:22" ht="12.75" customHeight="1" x14ac:dyDescent="0.2">
      <c r="B1046" s="30" t="s">
        <v>942</v>
      </c>
      <c r="C1046" s="118" t="s">
        <v>942</v>
      </c>
      <c r="D1046" s="46" t="s">
        <v>1533</v>
      </c>
      <c r="E1046" s="41"/>
      <c r="F1046" s="140">
        <v>0.44700000000000001</v>
      </c>
      <c r="G1046" s="140">
        <v>0.53600000000000003</v>
      </c>
      <c r="H1046" s="140">
        <v>0.501</v>
      </c>
      <c r="I1046" s="140">
        <v>0.52900000000000003</v>
      </c>
      <c r="J1046" s="140">
        <v>0.505</v>
      </c>
      <c r="K1046" s="140">
        <v>0.59199999999999997</v>
      </c>
      <c r="L1046" s="140">
        <v>0.47</v>
      </c>
      <c r="M1046" s="140">
        <v>0.34300000000000003</v>
      </c>
      <c r="N1046" s="140">
        <v>0.34300000000000003</v>
      </c>
      <c r="O1046" s="140">
        <v>0.40100000000000002</v>
      </c>
      <c r="P1046" s="140">
        <v>0.307</v>
      </c>
      <c r="Q1046" s="140">
        <v>0.34499999999999997</v>
      </c>
      <c r="R1046" s="91"/>
      <c r="S1046" s="91"/>
      <c r="T1046" s="91"/>
      <c r="U1046" s="91"/>
      <c r="V1046" s="91"/>
    </row>
    <row r="1047" spans="2:22" ht="12.75" customHeight="1" x14ac:dyDescent="0.2">
      <c r="B1047" s="30" t="s">
        <v>943</v>
      </c>
      <c r="C1047" s="118" t="s">
        <v>943</v>
      </c>
      <c r="D1047" s="46" t="s">
        <v>1691</v>
      </c>
      <c r="E1047" s="41"/>
      <c r="F1047" s="140">
        <v>5.17</v>
      </c>
      <c r="G1047" s="140">
        <v>6.032</v>
      </c>
      <c r="H1047" s="140">
        <v>5.7149999999999999</v>
      </c>
      <c r="I1047" s="140">
        <v>6.2320000000000002</v>
      </c>
      <c r="J1047" s="140">
        <v>5.9909999999999997</v>
      </c>
      <c r="K1047" s="140">
        <v>6.8769999999999998</v>
      </c>
      <c r="L1047" s="140">
        <v>5.4779999999999998</v>
      </c>
      <c r="M1047" s="140">
        <v>4.0979999999999999</v>
      </c>
      <c r="N1047" s="140">
        <v>3.956</v>
      </c>
      <c r="O1047" s="140">
        <v>4.5629999999999997</v>
      </c>
      <c r="P1047" s="140">
        <v>3.645</v>
      </c>
      <c r="Q1047" s="140">
        <v>4.1920000000000002</v>
      </c>
      <c r="R1047" s="91"/>
      <c r="S1047" s="91"/>
      <c r="T1047" s="91"/>
      <c r="U1047" s="91"/>
      <c r="V1047" s="91"/>
    </row>
    <row r="1048" spans="2:22" ht="12.75" customHeight="1" x14ac:dyDescent="0.2">
      <c r="B1048" s="30" t="s">
        <v>944</v>
      </c>
      <c r="C1048" s="118" t="s">
        <v>944</v>
      </c>
      <c r="D1048" s="46" t="s">
        <v>1532</v>
      </c>
      <c r="E1048" s="41"/>
      <c r="F1048" s="140">
        <v>1.8620000000000001</v>
      </c>
      <c r="G1048" s="140">
        <v>2.2229999999999999</v>
      </c>
      <c r="H1048" s="140">
        <v>1.982</v>
      </c>
      <c r="I1048" s="140">
        <v>2.0190000000000001</v>
      </c>
      <c r="J1048" s="140">
        <v>2.0089999999999999</v>
      </c>
      <c r="K1048" s="140">
        <v>2.3719999999999999</v>
      </c>
      <c r="L1048" s="140">
        <v>1.7709999999999999</v>
      </c>
      <c r="M1048" s="140">
        <v>1.3560000000000001</v>
      </c>
      <c r="N1048" s="140">
        <v>1.4690000000000001</v>
      </c>
      <c r="O1048" s="140">
        <v>1.7410000000000001</v>
      </c>
      <c r="P1048" s="140">
        <v>1.33</v>
      </c>
      <c r="Q1048" s="140">
        <v>1.5049999999999999</v>
      </c>
      <c r="R1048" s="91"/>
      <c r="S1048" s="91"/>
      <c r="T1048" s="91"/>
      <c r="U1048" s="91"/>
      <c r="V1048" s="91"/>
    </row>
    <row r="1049" spans="2:22" ht="12.75" customHeight="1" x14ac:dyDescent="0.2">
      <c r="B1049" s="30" t="s">
        <v>945</v>
      </c>
      <c r="C1049" s="118" t="s">
        <v>945</v>
      </c>
      <c r="D1049" s="46" t="s">
        <v>1730</v>
      </c>
      <c r="E1049" s="41"/>
      <c r="F1049" s="140">
        <v>1.917</v>
      </c>
      <c r="G1049" s="140">
        <v>2.1680000000000001</v>
      </c>
      <c r="H1049" s="140">
        <v>2</v>
      </c>
      <c r="I1049" s="140">
        <v>2.1659999999999999</v>
      </c>
      <c r="J1049" s="140">
        <v>2.1669999999999998</v>
      </c>
      <c r="K1049" s="140">
        <v>2.214</v>
      </c>
      <c r="L1049" s="140">
        <v>1.7130000000000001</v>
      </c>
      <c r="M1049" s="140">
        <v>1.1679999999999999</v>
      </c>
      <c r="N1049" s="140">
        <v>1.18</v>
      </c>
      <c r="O1049" s="140">
        <v>1.526</v>
      </c>
      <c r="P1049" s="140">
        <v>1.397</v>
      </c>
      <c r="Q1049" s="140">
        <v>1.6950000000000001</v>
      </c>
      <c r="R1049" s="91"/>
      <c r="S1049" s="91"/>
      <c r="T1049" s="91"/>
      <c r="U1049" s="91"/>
      <c r="V1049" s="91"/>
    </row>
    <row r="1050" spans="2:22" ht="12.75" customHeight="1" x14ac:dyDescent="0.2">
      <c r="B1050" s="11"/>
      <c r="C1050" s="120" t="s">
        <v>192</v>
      </c>
      <c r="D1050" s="46" t="s">
        <v>192</v>
      </c>
      <c r="E1050" s="41"/>
      <c r="F1050" s="140"/>
      <c r="G1050" s="140"/>
      <c r="H1050" s="140"/>
      <c r="I1050" s="140"/>
      <c r="J1050" s="140"/>
      <c r="K1050" s="140"/>
      <c r="L1050" s="140"/>
      <c r="M1050" s="140"/>
      <c r="N1050" s="140"/>
      <c r="O1050" s="140"/>
      <c r="P1050" s="140"/>
      <c r="Q1050" s="140"/>
    </row>
    <row r="1051" spans="2:22" ht="12.75" customHeight="1" x14ac:dyDescent="0.2">
      <c r="B1051" s="7" t="s">
        <v>268</v>
      </c>
      <c r="C1051" s="118" t="s">
        <v>192</v>
      </c>
      <c r="D1051" s="46" t="s">
        <v>192</v>
      </c>
      <c r="E1051" s="41"/>
      <c r="F1051" s="140"/>
      <c r="G1051" s="140"/>
      <c r="H1051" s="140"/>
      <c r="I1051" s="140"/>
      <c r="J1051" s="140"/>
      <c r="K1051" s="140"/>
      <c r="L1051" s="140"/>
      <c r="M1051" s="140"/>
      <c r="N1051" s="140"/>
      <c r="O1051" s="140"/>
      <c r="P1051" s="140"/>
      <c r="Q1051" s="140"/>
    </row>
    <row r="1052" spans="2:22" ht="12.75" customHeight="1" x14ac:dyDescent="0.2">
      <c r="B1052" s="30" t="s">
        <v>946</v>
      </c>
      <c r="C1052" s="118" t="s">
        <v>946</v>
      </c>
      <c r="D1052" s="46" t="s">
        <v>1619</v>
      </c>
      <c r="E1052" s="41"/>
      <c r="F1052" s="140">
        <v>1.379</v>
      </c>
      <c r="G1052" s="140">
        <v>1.4359999999999999</v>
      </c>
      <c r="H1052" s="140">
        <v>1.3839999999999999</v>
      </c>
      <c r="I1052" s="140">
        <v>1.3839999999999999</v>
      </c>
      <c r="J1052" s="140">
        <v>1.407</v>
      </c>
      <c r="K1052" s="140">
        <v>1.431</v>
      </c>
      <c r="L1052" s="140">
        <v>1.29</v>
      </c>
      <c r="M1052" s="140">
        <v>1.44</v>
      </c>
      <c r="N1052" s="140">
        <v>1.544</v>
      </c>
      <c r="O1052" s="140">
        <v>1.5149999999999999</v>
      </c>
      <c r="P1052" s="140">
        <v>1.4630000000000001</v>
      </c>
      <c r="Q1052" s="140">
        <v>1.4790000000000001</v>
      </c>
      <c r="R1052" s="91"/>
      <c r="S1052" s="91"/>
      <c r="T1052" s="91"/>
      <c r="U1052" s="91"/>
      <c r="V1052" s="91"/>
    </row>
    <row r="1053" spans="2:22" ht="12.75" customHeight="1" x14ac:dyDescent="0.2">
      <c r="B1053" s="30" t="s">
        <v>947</v>
      </c>
      <c r="C1053" s="118" t="s">
        <v>947</v>
      </c>
      <c r="D1053" s="44" t="s">
        <v>1834</v>
      </c>
      <c r="E1053" s="44"/>
      <c r="F1053" s="140">
        <v>0.83099999999999996</v>
      </c>
      <c r="G1053" s="140">
        <v>0.94699999999999995</v>
      </c>
      <c r="H1053" s="140">
        <v>0.84699999999999998</v>
      </c>
      <c r="I1053" s="140">
        <v>0.877</v>
      </c>
      <c r="J1053" s="140">
        <v>0.82399999999999995</v>
      </c>
      <c r="K1053" s="140">
        <v>0.95599999999999996</v>
      </c>
      <c r="L1053" s="140">
        <v>0.79300000000000004</v>
      </c>
      <c r="M1053" s="140">
        <v>0.85599999999999998</v>
      </c>
      <c r="N1053" s="140">
        <v>0.83799999999999997</v>
      </c>
      <c r="O1053" s="140">
        <v>0.96</v>
      </c>
      <c r="P1053" s="140">
        <v>0.91100000000000003</v>
      </c>
      <c r="Q1053" s="140">
        <v>0.90100000000000002</v>
      </c>
      <c r="R1053" s="91"/>
      <c r="S1053" s="91"/>
      <c r="T1053" s="91"/>
      <c r="U1053" s="91"/>
      <c r="V1053" s="91"/>
    </row>
    <row r="1054" spans="2:22" ht="12.75" customHeight="1" x14ac:dyDescent="0.2">
      <c r="B1054" s="30" t="s">
        <v>1480</v>
      </c>
      <c r="C1054" s="120" t="s">
        <v>948</v>
      </c>
      <c r="D1054" s="46" t="s">
        <v>1591</v>
      </c>
      <c r="E1054" s="41"/>
      <c r="F1054" s="140">
        <v>0.36899999999999999</v>
      </c>
      <c r="G1054" s="140">
        <v>0.65400000000000003</v>
      </c>
      <c r="H1054" s="140" t="s">
        <v>1444</v>
      </c>
      <c r="I1054" s="140">
        <v>0.17599999999999999</v>
      </c>
      <c r="J1054" s="140">
        <v>0.438</v>
      </c>
      <c r="K1054" s="140">
        <v>0.65100000000000002</v>
      </c>
      <c r="L1054" s="140" t="s">
        <v>1444</v>
      </c>
      <c r="M1054" s="140">
        <v>0.108</v>
      </c>
      <c r="N1054" s="140">
        <v>7.8E-2</v>
      </c>
      <c r="O1054" s="140">
        <v>0.34599999999999997</v>
      </c>
      <c r="P1054" s="140" t="s">
        <v>1444</v>
      </c>
      <c r="Q1054" s="140">
        <v>0.33500000000000002</v>
      </c>
      <c r="R1054" s="91"/>
      <c r="S1054" s="91"/>
      <c r="T1054" s="91"/>
      <c r="U1054" s="91"/>
      <c r="V1054" s="91"/>
    </row>
    <row r="1055" spans="2:22" ht="12.75" customHeight="1" x14ac:dyDescent="0.2">
      <c r="B1055" s="30"/>
      <c r="C1055" s="120" t="s">
        <v>192</v>
      </c>
      <c r="D1055" s="46" t="s">
        <v>192</v>
      </c>
      <c r="E1055" s="41"/>
      <c r="F1055" s="21"/>
      <c r="G1055" s="21"/>
      <c r="H1055" s="21"/>
      <c r="I1055" s="21"/>
      <c r="J1055" s="21"/>
      <c r="K1055" s="21"/>
      <c r="L1055" s="21"/>
      <c r="M1055" s="21"/>
      <c r="N1055" s="21"/>
      <c r="O1055" s="21"/>
      <c r="P1055" s="21"/>
      <c r="Q1055" s="21"/>
    </row>
    <row r="1056" spans="2:22" ht="12.75" customHeight="1" x14ac:dyDescent="0.2">
      <c r="B1056" s="30" t="s">
        <v>267</v>
      </c>
      <c r="C1056" s="120" t="s">
        <v>949</v>
      </c>
      <c r="D1056" s="46" t="s">
        <v>1625</v>
      </c>
      <c r="E1056" s="41"/>
      <c r="F1056" s="134">
        <v>197.66900000000001</v>
      </c>
      <c r="G1056" s="134">
        <v>165.54300000000001</v>
      </c>
      <c r="H1056" s="134">
        <v>181.636</v>
      </c>
      <c r="I1056" s="134">
        <v>180.261</v>
      </c>
      <c r="J1056" s="134">
        <v>183.20500000000001</v>
      </c>
      <c r="K1056" s="134">
        <v>155.166</v>
      </c>
      <c r="L1056" s="134">
        <v>203.30799999999999</v>
      </c>
      <c r="M1056" s="134">
        <v>268.42099999999999</v>
      </c>
      <c r="N1056" s="134">
        <v>250.51</v>
      </c>
      <c r="O1056" s="134">
        <v>211.42500000000001</v>
      </c>
      <c r="P1056" s="134">
        <v>273.649</v>
      </c>
      <c r="Q1056" s="134">
        <v>241.88499999999999</v>
      </c>
      <c r="R1056" s="110"/>
      <c r="S1056" s="110"/>
      <c r="T1056" s="110"/>
      <c r="U1056" s="110"/>
      <c r="V1056" s="110"/>
    </row>
    <row r="1057" spans="2:22" ht="12.75" customHeight="1" x14ac:dyDescent="0.2">
      <c r="B1057" s="30" t="s">
        <v>266</v>
      </c>
      <c r="C1057" s="118" t="s">
        <v>950</v>
      </c>
      <c r="D1057" s="46" t="s">
        <v>1623</v>
      </c>
      <c r="E1057" s="41"/>
      <c r="F1057" s="134">
        <v>191.994</v>
      </c>
      <c r="G1057" s="134">
        <v>169.74600000000001</v>
      </c>
      <c r="H1057" s="134">
        <v>180.012</v>
      </c>
      <c r="I1057" s="134">
        <v>168.048</v>
      </c>
      <c r="J1057" s="134">
        <v>169.84299999999999</v>
      </c>
      <c r="K1057" s="134">
        <v>166.19200000000001</v>
      </c>
      <c r="L1057" s="134">
        <v>210.108</v>
      </c>
      <c r="M1057" s="134">
        <v>311.56200000000001</v>
      </c>
      <c r="N1057" s="134">
        <v>311.73899999999998</v>
      </c>
      <c r="O1057" s="134">
        <v>241.08600000000001</v>
      </c>
      <c r="P1057" s="134">
        <v>260.56099999999998</v>
      </c>
      <c r="Q1057" s="134">
        <v>214.75200000000001</v>
      </c>
      <c r="R1057" s="110"/>
      <c r="S1057" s="110"/>
      <c r="T1057" s="110"/>
      <c r="U1057" s="110"/>
      <c r="V1057" s="110"/>
    </row>
    <row r="1058" spans="2:22" ht="12.75" customHeight="1" x14ac:dyDescent="0.2">
      <c r="B1058" s="30" t="s">
        <v>265</v>
      </c>
      <c r="C1058" s="118" t="s">
        <v>951</v>
      </c>
      <c r="D1058" s="46" t="s">
        <v>1624</v>
      </c>
      <c r="E1058" s="41"/>
      <c r="F1058" s="134">
        <v>141.42400000000001</v>
      </c>
      <c r="G1058" s="134">
        <v>117.316</v>
      </c>
      <c r="H1058" s="134">
        <v>116.49299999999999</v>
      </c>
      <c r="I1058" s="134">
        <v>115.182</v>
      </c>
      <c r="J1058" s="134">
        <v>95.813999999999993</v>
      </c>
      <c r="K1058" s="134">
        <v>123.413</v>
      </c>
      <c r="L1058" s="134">
        <v>107.185</v>
      </c>
      <c r="M1058" s="134">
        <v>135.655</v>
      </c>
      <c r="N1058" s="134">
        <v>147.96799999999999</v>
      </c>
      <c r="O1058" s="134">
        <v>133.33000000000001</v>
      </c>
      <c r="P1058" s="134">
        <v>123.009</v>
      </c>
      <c r="Q1058" s="134">
        <v>119.91</v>
      </c>
      <c r="R1058" s="110"/>
      <c r="S1058" s="110"/>
      <c r="T1058" s="110"/>
      <c r="U1058" s="110"/>
      <c r="V1058" s="110"/>
    </row>
    <row r="1059" spans="2:22" ht="12.75" customHeight="1" x14ac:dyDescent="0.2">
      <c r="B1059" s="30" t="s">
        <v>264</v>
      </c>
      <c r="C1059" s="118" t="s">
        <v>952</v>
      </c>
      <c r="D1059" s="46" t="s">
        <v>1580</v>
      </c>
      <c r="E1059" s="41"/>
      <c r="F1059" s="134">
        <v>248.239</v>
      </c>
      <c r="G1059" s="134">
        <v>217.97300000000001</v>
      </c>
      <c r="H1059" s="134">
        <v>245.154</v>
      </c>
      <c r="I1059" s="134">
        <v>233.12700000000001</v>
      </c>
      <c r="J1059" s="134">
        <v>257.233</v>
      </c>
      <c r="K1059" s="134">
        <v>197.946</v>
      </c>
      <c r="L1059" s="134">
        <v>306.23200000000003</v>
      </c>
      <c r="M1059" s="134">
        <v>444.32799999999997</v>
      </c>
      <c r="N1059" s="134">
        <v>414.28100000000001</v>
      </c>
      <c r="O1059" s="134">
        <v>319.18</v>
      </c>
      <c r="P1059" s="134">
        <v>411.20100000000002</v>
      </c>
      <c r="Q1059" s="134">
        <v>336.726</v>
      </c>
      <c r="R1059" s="110"/>
      <c r="S1059" s="110"/>
      <c r="T1059" s="110"/>
      <c r="U1059" s="110"/>
      <c r="V1059" s="110"/>
    </row>
    <row r="1060" spans="2:22" ht="12.75" customHeight="1" x14ac:dyDescent="0.2">
      <c r="B1060" s="11"/>
      <c r="C1060" s="120" t="s">
        <v>192</v>
      </c>
      <c r="D1060" s="46" t="s">
        <v>192</v>
      </c>
      <c r="E1060" s="41"/>
      <c r="F1060" s="21"/>
      <c r="G1060" s="21"/>
      <c r="H1060" s="21"/>
      <c r="I1060" s="21"/>
      <c r="J1060" s="21"/>
      <c r="K1060" s="21"/>
      <c r="L1060" s="21"/>
      <c r="M1060" s="21"/>
      <c r="N1060" s="21"/>
      <c r="O1060" s="21"/>
      <c r="P1060" s="21"/>
      <c r="Q1060" s="21"/>
    </row>
    <row r="1061" spans="2:22" ht="12.75" customHeight="1" x14ac:dyDescent="0.2">
      <c r="B1061" s="7" t="s">
        <v>263</v>
      </c>
      <c r="C1061" s="120" t="s">
        <v>192</v>
      </c>
      <c r="D1061" s="46" t="s">
        <v>192</v>
      </c>
      <c r="E1061" s="41"/>
      <c r="F1061" s="13"/>
      <c r="G1061" s="13"/>
      <c r="H1061" s="13"/>
      <c r="I1061" s="13"/>
      <c r="J1061" s="13"/>
      <c r="K1061" s="13"/>
      <c r="L1061" s="13"/>
      <c r="M1061" s="13"/>
      <c r="N1061" s="13"/>
      <c r="O1061" s="13"/>
      <c r="P1061" s="13"/>
      <c r="Q1061" s="13"/>
    </row>
    <row r="1062" spans="2:22" ht="12.75" customHeight="1" x14ac:dyDescent="0.2">
      <c r="B1062" s="30" t="s">
        <v>262</v>
      </c>
      <c r="C1062" s="118" t="s">
        <v>953</v>
      </c>
      <c r="D1062" s="46" t="s">
        <v>1630</v>
      </c>
      <c r="E1062" s="41"/>
      <c r="F1062" s="140">
        <v>116.51900000000001</v>
      </c>
      <c r="G1062" s="140">
        <v>106.117</v>
      </c>
      <c r="H1062" s="140">
        <v>127.682</v>
      </c>
      <c r="I1062" s="140">
        <v>129.25200000000001</v>
      </c>
      <c r="J1062" s="140">
        <v>115.77</v>
      </c>
      <c r="K1062" s="140">
        <v>100.697</v>
      </c>
      <c r="L1062" s="140">
        <v>124.93300000000001</v>
      </c>
      <c r="M1062" s="140">
        <v>143.04499999999999</v>
      </c>
      <c r="N1062" s="140">
        <v>128.626</v>
      </c>
      <c r="O1062" s="140">
        <v>92.596999999999994</v>
      </c>
      <c r="P1062" s="140">
        <v>103.503</v>
      </c>
      <c r="Q1062" s="140">
        <v>94.352000000000004</v>
      </c>
      <c r="R1062" s="91"/>
      <c r="S1062" s="91"/>
      <c r="T1062" s="91"/>
      <c r="U1062" s="91"/>
      <c r="V1062" s="91"/>
    </row>
    <row r="1063" spans="2:22" ht="12.75" customHeight="1" x14ac:dyDescent="0.2">
      <c r="B1063" s="30" t="s">
        <v>261</v>
      </c>
      <c r="C1063" s="118" t="s">
        <v>954</v>
      </c>
      <c r="D1063" s="46" t="s">
        <v>1628</v>
      </c>
      <c r="E1063" s="41"/>
      <c r="F1063" s="140">
        <v>53.814999999999998</v>
      </c>
      <c r="G1063" s="140">
        <v>51.484000000000002</v>
      </c>
      <c r="H1063" s="140">
        <v>56.079000000000001</v>
      </c>
      <c r="I1063" s="140">
        <v>56.38</v>
      </c>
      <c r="J1063" s="140">
        <v>53.654000000000003</v>
      </c>
      <c r="K1063" s="140">
        <v>50.173999999999999</v>
      </c>
      <c r="L1063" s="140">
        <v>55.542000000000002</v>
      </c>
      <c r="M1063" s="140">
        <v>58.854999999999997</v>
      </c>
      <c r="N1063" s="140">
        <v>56.26</v>
      </c>
      <c r="O1063" s="140">
        <v>48.078000000000003</v>
      </c>
      <c r="P1063" s="140">
        <v>50.860999999999997</v>
      </c>
      <c r="Q1063" s="140">
        <v>48.546999999999997</v>
      </c>
      <c r="R1063" s="91"/>
      <c r="S1063" s="91"/>
      <c r="T1063" s="91"/>
      <c r="U1063" s="91"/>
      <c r="V1063" s="91"/>
    </row>
    <row r="1064" spans="2:22" ht="12.75" customHeight="1" x14ac:dyDescent="0.2">
      <c r="B1064" s="30" t="s">
        <v>260</v>
      </c>
      <c r="C1064" s="118" t="s">
        <v>955</v>
      </c>
      <c r="D1064" s="46">
        <v>275301</v>
      </c>
      <c r="E1064" s="41"/>
      <c r="F1064" s="140">
        <v>90.814999999999998</v>
      </c>
      <c r="G1064" s="140">
        <v>91.347999999999999</v>
      </c>
      <c r="H1064" s="140">
        <v>93.164000000000001</v>
      </c>
      <c r="I1064" s="140">
        <v>91.59</v>
      </c>
      <c r="J1064" s="140">
        <v>89.275000000000006</v>
      </c>
      <c r="K1064" s="140">
        <v>84.147999999999996</v>
      </c>
      <c r="L1064" s="140">
        <v>70.522000000000006</v>
      </c>
      <c r="M1064" s="140">
        <v>93.22</v>
      </c>
      <c r="N1064" s="140">
        <v>94.945999999999998</v>
      </c>
      <c r="O1064" s="140">
        <v>70.978999999999999</v>
      </c>
      <c r="P1064" s="140">
        <v>72.596000000000004</v>
      </c>
      <c r="Q1064" s="140">
        <v>68.585999999999999</v>
      </c>
      <c r="R1064" s="91"/>
      <c r="S1064" s="91"/>
      <c r="T1064" s="91"/>
      <c r="U1064" s="91"/>
      <c r="V1064" s="91"/>
    </row>
    <row r="1065" spans="2:22" ht="12.75" customHeight="1" x14ac:dyDescent="0.2">
      <c r="B1065" s="30" t="s">
        <v>259</v>
      </c>
      <c r="C1065" s="118" t="s">
        <v>956</v>
      </c>
      <c r="D1065" s="46">
        <v>275302</v>
      </c>
      <c r="E1065" s="41"/>
      <c r="F1065" s="140">
        <v>41.942999999999998</v>
      </c>
      <c r="G1065" s="140">
        <v>44.317999999999998</v>
      </c>
      <c r="H1065" s="140">
        <v>40.918999999999997</v>
      </c>
      <c r="I1065" s="140">
        <v>39.951999999999998</v>
      </c>
      <c r="J1065" s="140">
        <v>41.375</v>
      </c>
      <c r="K1065" s="140">
        <v>41.927999999999997</v>
      </c>
      <c r="L1065" s="140">
        <v>31.352</v>
      </c>
      <c r="M1065" s="140">
        <v>38.354999999999997</v>
      </c>
      <c r="N1065" s="140">
        <v>41.529000000000003</v>
      </c>
      <c r="O1065" s="140">
        <v>36.853999999999999</v>
      </c>
      <c r="P1065" s="140">
        <v>35.673000000000002</v>
      </c>
      <c r="Q1065" s="140">
        <v>35.289000000000001</v>
      </c>
      <c r="R1065" s="91"/>
      <c r="S1065" s="91"/>
      <c r="T1065" s="91"/>
      <c r="U1065" s="91"/>
      <c r="V1065" s="91"/>
    </row>
    <row r="1066" spans="2:22" ht="12.75" customHeight="1" x14ac:dyDescent="0.2">
      <c r="B1066" s="30" t="s">
        <v>258</v>
      </c>
      <c r="C1066" s="118" t="s">
        <v>258</v>
      </c>
      <c r="D1066" s="46">
        <v>275303</v>
      </c>
      <c r="E1066" s="41"/>
      <c r="F1066" s="140">
        <v>70.635000000000005</v>
      </c>
      <c r="G1066" s="140">
        <v>70.546000000000006</v>
      </c>
      <c r="H1066" s="140">
        <v>71.734999999999999</v>
      </c>
      <c r="I1066" s="140">
        <v>71.683999999999997</v>
      </c>
      <c r="J1066" s="140">
        <v>70.239999999999995</v>
      </c>
      <c r="K1066" s="140">
        <v>69.557000000000002</v>
      </c>
      <c r="L1066" s="140">
        <v>70.213999999999999</v>
      </c>
      <c r="M1066" s="140">
        <v>71.741</v>
      </c>
      <c r="N1066" s="140">
        <v>69.748000000000005</v>
      </c>
      <c r="O1066" s="140">
        <v>62.826000000000001</v>
      </c>
      <c r="P1066" s="140">
        <v>63.826999999999998</v>
      </c>
      <c r="Q1066" s="140">
        <v>62.238999999999997</v>
      </c>
      <c r="R1066" s="91"/>
      <c r="S1066" s="91"/>
      <c r="T1066" s="91"/>
      <c r="U1066" s="91"/>
      <c r="V1066" s="91"/>
    </row>
    <row r="1067" spans="2:22" ht="12.75" customHeight="1" x14ac:dyDescent="0.2">
      <c r="B1067" s="30"/>
      <c r="C1067" s="118" t="s">
        <v>192</v>
      </c>
      <c r="D1067" s="46" t="s">
        <v>192</v>
      </c>
      <c r="E1067" s="41"/>
      <c r="F1067" s="140"/>
      <c r="G1067" s="140"/>
      <c r="H1067" s="140"/>
      <c r="I1067" s="140"/>
      <c r="J1067" s="140"/>
      <c r="K1067" s="140"/>
      <c r="L1067" s="140"/>
      <c r="M1067" s="140"/>
      <c r="N1067" s="140"/>
      <c r="O1067" s="140"/>
      <c r="P1067" s="140"/>
      <c r="Q1067" s="140"/>
    </row>
    <row r="1068" spans="2:22" ht="12.75" customHeight="1" x14ac:dyDescent="0.2">
      <c r="B1068" s="30" t="s">
        <v>957</v>
      </c>
      <c r="C1068" s="118" t="s">
        <v>957</v>
      </c>
      <c r="D1068" s="46" t="s">
        <v>1658</v>
      </c>
      <c r="E1068" s="41"/>
      <c r="F1068" s="140">
        <v>7.508</v>
      </c>
      <c r="G1068" s="140">
        <v>9.93</v>
      </c>
      <c r="H1068" s="140">
        <v>10.448</v>
      </c>
      <c r="I1068" s="140">
        <v>8.9719999999999995</v>
      </c>
      <c r="J1068" s="140">
        <v>5.2539999999999996</v>
      </c>
      <c r="K1068" s="140">
        <v>8.6760000000000002</v>
      </c>
      <c r="L1068" s="140">
        <v>6.1669999999999998</v>
      </c>
      <c r="M1068" s="140">
        <v>2.1629999999999998</v>
      </c>
      <c r="N1068" s="140">
        <v>1.9970000000000001</v>
      </c>
      <c r="O1068" s="140">
        <v>1.653</v>
      </c>
      <c r="P1068" s="140">
        <v>1.8620000000000001</v>
      </c>
      <c r="Q1068" s="140">
        <v>2.4750000000000001</v>
      </c>
      <c r="R1068" s="91"/>
      <c r="S1068" s="91"/>
      <c r="T1068" s="91"/>
      <c r="U1068" s="91"/>
      <c r="V1068" s="91"/>
    </row>
    <row r="1069" spans="2:22" ht="12.75" customHeight="1" x14ac:dyDescent="0.2">
      <c r="B1069" s="30" t="s">
        <v>958</v>
      </c>
      <c r="C1069" s="118" t="s">
        <v>958</v>
      </c>
      <c r="D1069" s="46" t="s">
        <v>1665</v>
      </c>
      <c r="E1069" s="41"/>
      <c r="F1069" s="140">
        <v>9.1059999999999999</v>
      </c>
      <c r="G1069" s="140">
        <v>11.507999999999999</v>
      </c>
      <c r="H1069" s="140">
        <v>12.207000000000001</v>
      </c>
      <c r="I1069" s="140">
        <v>10.445</v>
      </c>
      <c r="J1069" s="140">
        <v>6.49</v>
      </c>
      <c r="K1069" s="140">
        <v>9.85</v>
      </c>
      <c r="L1069" s="140">
        <v>7.2469999999999999</v>
      </c>
      <c r="M1069" s="140">
        <v>3.0779999999999998</v>
      </c>
      <c r="N1069" s="140">
        <v>2.8919999999999999</v>
      </c>
      <c r="O1069" s="140">
        <v>2.6669999999999998</v>
      </c>
      <c r="P1069" s="140">
        <v>2.7989999999999999</v>
      </c>
      <c r="Q1069" s="140">
        <v>3.3519999999999999</v>
      </c>
      <c r="R1069" s="91"/>
      <c r="S1069" s="91"/>
      <c r="T1069" s="91"/>
      <c r="U1069" s="91"/>
      <c r="V1069" s="91"/>
    </row>
    <row r="1070" spans="2:22" ht="12.75" customHeight="1" x14ac:dyDescent="0.2">
      <c r="B1070" s="30" t="s">
        <v>1469</v>
      </c>
      <c r="C1070" s="118" t="s">
        <v>959</v>
      </c>
      <c r="D1070" s="46">
        <v>275306</v>
      </c>
      <c r="E1070" s="41"/>
      <c r="F1070" s="140">
        <v>8.2149999999999999</v>
      </c>
      <c r="G1070" s="140">
        <v>10.789</v>
      </c>
      <c r="H1070" s="140">
        <v>10.525</v>
      </c>
      <c r="I1070" s="140">
        <v>9.782</v>
      </c>
      <c r="J1070" s="140">
        <v>5.66</v>
      </c>
      <c r="K1070" s="140">
        <v>9.0939999999999994</v>
      </c>
      <c r="L1070" s="140">
        <v>6.335</v>
      </c>
      <c r="M1070" s="140">
        <v>2.629</v>
      </c>
      <c r="N1070" s="140">
        <v>2.3809999999999998</v>
      </c>
      <c r="O1070" s="140">
        <v>2.2240000000000002</v>
      </c>
      <c r="P1070" s="140">
        <v>2.464</v>
      </c>
      <c r="Q1070" s="140">
        <v>3.1970000000000001</v>
      </c>
      <c r="R1070" s="91"/>
      <c r="S1070" s="91"/>
      <c r="T1070" s="91"/>
      <c r="U1070" s="91"/>
      <c r="V1070" s="91"/>
    </row>
    <row r="1071" spans="2:22" ht="12.75" customHeight="1" x14ac:dyDescent="0.2">
      <c r="B1071" s="30" t="s">
        <v>960</v>
      </c>
      <c r="C1071" s="118" t="s">
        <v>960</v>
      </c>
      <c r="D1071" s="46" t="s">
        <v>1629</v>
      </c>
      <c r="E1071" s="41"/>
      <c r="F1071" s="140">
        <v>2.9550000000000001</v>
      </c>
      <c r="G1071" s="140">
        <v>2.1960000000000002</v>
      </c>
      <c r="H1071" s="140">
        <v>2.6949999999999998</v>
      </c>
      <c r="I1071" s="140">
        <v>2.7410000000000001</v>
      </c>
      <c r="J1071" s="140">
        <v>3.4180000000000001</v>
      </c>
      <c r="K1071" s="140">
        <v>1.94</v>
      </c>
      <c r="L1071" s="140">
        <v>2.93</v>
      </c>
      <c r="M1071" s="140">
        <v>6.085</v>
      </c>
      <c r="N1071" s="140">
        <v>5.7060000000000004</v>
      </c>
      <c r="O1071" s="140">
        <v>6.7869999999999999</v>
      </c>
      <c r="P1071" s="140">
        <v>6.492</v>
      </c>
      <c r="Q1071" s="140">
        <v>5.0679999999999996</v>
      </c>
      <c r="R1071" s="91"/>
      <c r="S1071" s="91"/>
      <c r="T1071" s="91"/>
      <c r="U1071" s="91"/>
      <c r="V1071" s="91"/>
    </row>
    <row r="1072" spans="2:22" ht="12.75" customHeight="1" x14ac:dyDescent="0.2">
      <c r="B1072" s="30" t="s">
        <v>961</v>
      </c>
      <c r="C1072" s="118" t="s">
        <v>961</v>
      </c>
      <c r="D1072" s="46" t="s">
        <v>1769</v>
      </c>
      <c r="E1072" s="41"/>
      <c r="F1072" s="140">
        <v>2.6680000000000001</v>
      </c>
      <c r="G1072" s="140">
        <v>1.8540000000000001</v>
      </c>
      <c r="H1072" s="140">
        <v>2.4390000000000001</v>
      </c>
      <c r="I1072" s="140">
        <v>2.3279999999999998</v>
      </c>
      <c r="J1072" s="140">
        <v>3.056</v>
      </c>
      <c r="K1072" s="140">
        <v>1.609</v>
      </c>
      <c r="L1072" s="140">
        <v>2.5939999999999999</v>
      </c>
      <c r="M1072" s="140">
        <v>4.899</v>
      </c>
      <c r="N1072" s="140">
        <v>5.2720000000000002</v>
      </c>
      <c r="O1072" s="140">
        <v>6.2869999999999999</v>
      </c>
      <c r="P1072" s="140">
        <v>5.883</v>
      </c>
      <c r="Q1072" s="140">
        <v>4.5149999999999997</v>
      </c>
      <c r="R1072" s="91"/>
      <c r="S1072" s="91"/>
      <c r="T1072" s="91"/>
      <c r="U1072" s="91"/>
      <c r="V1072" s="91"/>
    </row>
    <row r="1073" spans="2:22" ht="12.75" customHeight="1" x14ac:dyDescent="0.2">
      <c r="B1073" s="30" t="s">
        <v>1470</v>
      </c>
      <c r="C1073" s="118" t="s">
        <v>962</v>
      </c>
      <c r="D1073" s="46" t="s">
        <v>1905</v>
      </c>
      <c r="E1073" s="41"/>
      <c r="F1073" s="140">
        <v>3.2749999999999999</v>
      </c>
      <c r="G1073" s="140">
        <v>2.3420000000000001</v>
      </c>
      <c r="H1073" s="140">
        <v>3.1259999999999999</v>
      </c>
      <c r="I1073" s="140">
        <v>2.927</v>
      </c>
      <c r="J1073" s="140">
        <v>3.919</v>
      </c>
      <c r="K1073" s="140">
        <v>2.101</v>
      </c>
      <c r="L1073" s="140">
        <v>3.3519999999999999</v>
      </c>
      <c r="M1073" s="140">
        <v>7.1210000000000004</v>
      </c>
      <c r="N1073" s="140">
        <v>6.93</v>
      </c>
      <c r="O1073" s="140">
        <v>8.1370000000000005</v>
      </c>
      <c r="P1073" s="140">
        <v>7.3760000000000003</v>
      </c>
      <c r="Q1073" s="140">
        <v>5.3150000000000004</v>
      </c>
      <c r="R1073" s="36"/>
      <c r="S1073" s="91"/>
      <c r="T1073" s="91"/>
      <c r="U1073" s="91"/>
      <c r="V1073" s="91"/>
    </row>
    <row r="1074" spans="2:22" ht="12.75" customHeight="1" x14ac:dyDescent="0.2">
      <c r="B1074" s="30" t="s">
        <v>1471</v>
      </c>
      <c r="C1074" s="118" t="s">
        <v>963</v>
      </c>
      <c r="D1074" s="46" t="s">
        <v>1770</v>
      </c>
      <c r="E1074" s="41"/>
      <c r="F1074" s="140">
        <v>2.9580000000000002</v>
      </c>
      <c r="G1074" s="140">
        <v>1.9770000000000001</v>
      </c>
      <c r="H1074" s="140">
        <v>2.8279999999999998</v>
      </c>
      <c r="I1074" s="140">
        <v>2.4849999999999999</v>
      </c>
      <c r="J1074" s="140">
        <v>3.504</v>
      </c>
      <c r="K1074" s="140">
        <v>1.7430000000000001</v>
      </c>
      <c r="L1074" s="140">
        <v>2.9670000000000001</v>
      </c>
      <c r="M1074" s="140">
        <v>5.734</v>
      </c>
      <c r="N1074" s="140">
        <v>6.4039999999999999</v>
      </c>
      <c r="O1074" s="140">
        <v>7.5380000000000003</v>
      </c>
      <c r="P1074" s="140">
        <v>6.6849999999999996</v>
      </c>
      <c r="Q1074" s="140">
        <v>4.7350000000000003</v>
      </c>
      <c r="R1074" s="36"/>
      <c r="S1074" s="91"/>
      <c r="T1074" s="91"/>
      <c r="U1074" s="91"/>
      <c r="V1074" s="91"/>
    </row>
    <row r="1075" spans="2:22" ht="12.75" customHeight="1" x14ac:dyDescent="0.2">
      <c r="B1075" s="11"/>
      <c r="C1075" s="120" t="s">
        <v>192</v>
      </c>
      <c r="D1075" s="46" t="s">
        <v>192</v>
      </c>
      <c r="E1075" s="41"/>
      <c r="F1075" s="140"/>
      <c r="G1075" s="140"/>
      <c r="H1075" s="140"/>
      <c r="I1075" s="140"/>
      <c r="J1075" s="140"/>
      <c r="K1075" s="140"/>
      <c r="L1075" s="140"/>
      <c r="M1075" s="140"/>
      <c r="N1075" s="140"/>
      <c r="O1075" s="140"/>
      <c r="P1075" s="140"/>
      <c r="Q1075" s="140"/>
    </row>
    <row r="1076" spans="2:22" ht="12.75" customHeight="1" x14ac:dyDescent="0.2">
      <c r="B1076" s="7" t="s">
        <v>257</v>
      </c>
      <c r="C1076" s="118" t="s">
        <v>192</v>
      </c>
      <c r="D1076" s="46" t="s">
        <v>192</v>
      </c>
      <c r="E1076" s="41"/>
      <c r="F1076" s="140"/>
      <c r="G1076" s="140"/>
      <c r="H1076" s="140"/>
      <c r="I1076" s="140"/>
      <c r="J1076" s="140"/>
      <c r="K1076" s="140"/>
      <c r="L1076" s="140"/>
      <c r="M1076" s="140"/>
      <c r="N1076" s="140"/>
      <c r="O1076" s="140"/>
      <c r="P1076" s="140"/>
      <c r="Q1076" s="140"/>
    </row>
    <row r="1077" spans="2:22" ht="12.75" customHeight="1" x14ac:dyDescent="0.2">
      <c r="B1077" s="30" t="s">
        <v>254</v>
      </c>
      <c r="C1077" s="118" t="s">
        <v>964</v>
      </c>
      <c r="D1077" s="46" t="s">
        <v>1916</v>
      </c>
      <c r="E1077" s="41"/>
      <c r="F1077" s="140">
        <v>10.087</v>
      </c>
      <c r="G1077" s="140">
        <v>22.687000000000001</v>
      </c>
      <c r="H1077" s="140">
        <v>12.981</v>
      </c>
      <c r="I1077" s="140">
        <v>16.931999999999999</v>
      </c>
      <c r="J1077" s="140">
        <v>15.343</v>
      </c>
      <c r="K1077" s="140">
        <v>14.743</v>
      </c>
      <c r="L1077" s="140">
        <v>-0.48099999999999998</v>
      </c>
      <c r="M1077" s="140">
        <v>-30.145</v>
      </c>
      <c r="N1077" s="140">
        <v>-28.702999999999999</v>
      </c>
      <c r="O1077" s="140">
        <v>-29.34</v>
      </c>
      <c r="P1077" s="140">
        <v>-31.712</v>
      </c>
      <c r="Q1077" s="140">
        <v>2.3559999999999999</v>
      </c>
      <c r="R1077" s="91"/>
      <c r="S1077" s="91"/>
      <c r="T1077" s="91"/>
      <c r="U1077" s="91"/>
      <c r="V1077" s="91"/>
    </row>
    <row r="1078" spans="2:22" ht="12.75" customHeight="1" x14ac:dyDescent="0.2">
      <c r="B1078" s="30" t="s">
        <v>253</v>
      </c>
      <c r="C1078" s="118" t="s">
        <v>965</v>
      </c>
      <c r="D1078" s="46" t="s">
        <v>1702</v>
      </c>
      <c r="E1078" s="41"/>
      <c r="F1078" s="140">
        <v>9.67</v>
      </c>
      <c r="G1078" s="140">
        <v>21.28</v>
      </c>
      <c r="H1078" s="140">
        <v>11.768000000000001</v>
      </c>
      <c r="I1078" s="140">
        <v>11.657</v>
      </c>
      <c r="J1078" s="140">
        <v>-6.6470000000000002</v>
      </c>
      <c r="K1078" s="140">
        <v>12.744999999999999</v>
      </c>
      <c r="L1078" s="140">
        <v>1.502</v>
      </c>
      <c r="M1078" s="140">
        <v>-26.768000000000001</v>
      </c>
      <c r="N1078" s="140">
        <v>-20.167999999999999</v>
      </c>
      <c r="O1078" s="140">
        <v>-36.450000000000003</v>
      </c>
      <c r="P1078" s="140">
        <v>-41.561999999999998</v>
      </c>
      <c r="Q1078" s="140">
        <v>-8.0180000000000007</v>
      </c>
      <c r="R1078" s="91"/>
      <c r="S1078" s="91"/>
      <c r="T1078" s="91"/>
      <c r="U1078" s="91"/>
      <c r="V1078" s="91"/>
    </row>
    <row r="1079" spans="2:22" ht="12.75" customHeight="1" x14ac:dyDescent="0.2">
      <c r="B1079" s="30" t="s">
        <v>252</v>
      </c>
      <c r="C1079" s="118" t="s">
        <v>966</v>
      </c>
      <c r="D1079" s="46" t="s">
        <v>1662</v>
      </c>
      <c r="E1079" s="41"/>
      <c r="F1079" s="140">
        <v>11.031000000000001</v>
      </c>
      <c r="G1079" s="140">
        <v>27.577000000000002</v>
      </c>
      <c r="H1079" s="140">
        <v>15.608000000000001</v>
      </c>
      <c r="I1079" s="140">
        <v>4.2329999999999997</v>
      </c>
      <c r="J1079" s="140">
        <v>-10.586</v>
      </c>
      <c r="K1079" s="140">
        <v>16.59</v>
      </c>
      <c r="L1079" s="140">
        <v>1.9450000000000001</v>
      </c>
      <c r="M1079" s="140">
        <v>-47.817</v>
      </c>
      <c r="N1079" s="140">
        <v>-33.103999999999999</v>
      </c>
      <c r="O1079" s="140">
        <v>-67.647999999999996</v>
      </c>
      <c r="P1079" s="140">
        <v>-55.598999999999997</v>
      </c>
      <c r="Q1079" s="140">
        <v>7.516</v>
      </c>
      <c r="R1079" s="91"/>
      <c r="S1079" s="91"/>
      <c r="T1079" s="91"/>
      <c r="U1079" s="91"/>
      <c r="V1079" s="91"/>
    </row>
    <row r="1080" spans="2:22" ht="12.75" customHeight="1" x14ac:dyDescent="0.2">
      <c r="B1080" s="30" t="s">
        <v>251</v>
      </c>
      <c r="C1080" s="118" t="s">
        <v>967</v>
      </c>
      <c r="D1080" s="46" t="s">
        <v>1655</v>
      </c>
      <c r="E1080" s="41"/>
      <c r="F1080" s="140">
        <v>12.24</v>
      </c>
      <c r="G1080" s="140">
        <v>32.084000000000003</v>
      </c>
      <c r="H1080" s="140">
        <v>18.199000000000002</v>
      </c>
      <c r="I1080" s="140">
        <v>4.7290000000000001</v>
      </c>
      <c r="J1080" s="140">
        <v>-11.63</v>
      </c>
      <c r="K1080" s="140">
        <v>18.614999999999998</v>
      </c>
      <c r="L1080" s="140">
        <v>1.472</v>
      </c>
      <c r="M1080" s="140">
        <v>-55.951999999999998</v>
      </c>
      <c r="N1080" s="140">
        <v>-41.256999999999998</v>
      </c>
      <c r="O1080" s="140">
        <v>-75.894000000000005</v>
      </c>
      <c r="P1080" s="140">
        <v>-63.753999999999998</v>
      </c>
      <c r="Q1080" s="140">
        <v>12.832000000000001</v>
      </c>
      <c r="R1080" s="91"/>
      <c r="S1080" s="91"/>
      <c r="T1080" s="91"/>
      <c r="U1080" s="91"/>
      <c r="V1080" s="91"/>
    </row>
    <row r="1081" spans="2:22" ht="12.75" customHeight="1" x14ac:dyDescent="0.2">
      <c r="B1081" s="30" t="s">
        <v>250</v>
      </c>
      <c r="C1081" s="118" t="s">
        <v>968</v>
      </c>
      <c r="D1081" s="46" t="s">
        <v>1777</v>
      </c>
      <c r="E1081" s="41"/>
      <c r="F1081" s="140">
        <v>43.356999999999999</v>
      </c>
      <c r="G1081" s="140">
        <v>285.25299999999999</v>
      </c>
      <c r="H1081" s="140">
        <v>13.582000000000001</v>
      </c>
      <c r="I1081" s="140">
        <v>-35.043999999999997</v>
      </c>
      <c r="J1081" s="140">
        <v>-24.233000000000001</v>
      </c>
      <c r="K1081" s="140">
        <v>43.628999999999998</v>
      </c>
      <c r="L1081" s="140">
        <v>-5.4969999999999999</v>
      </c>
      <c r="M1081" s="140">
        <v>-77.272999999999996</v>
      </c>
      <c r="N1081" s="140" t="s">
        <v>1444</v>
      </c>
      <c r="O1081" s="140" t="s">
        <v>1444</v>
      </c>
      <c r="P1081" s="140" t="s">
        <v>1444</v>
      </c>
      <c r="Q1081" s="140" t="s">
        <v>1444</v>
      </c>
      <c r="R1081" s="91"/>
      <c r="S1081" s="91"/>
      <c r="T1081" s="91"/>
      <c r="U1081" s="91"/>
      <c r="V1081" s="91"/>
    </row>
    <row r="1082" spans="2:22" ht="12.75" customHeight="1" x14ac:dyDescent="0.2">
      <c r="B1082" s="30" t="s">
        <v>249</v>
      </c>
      <c r="C1082" s="118" t="s">
        <v>969</v>
      </c>
      <c r="D1082" s="46" t="s">
        <v>1671</v>
      </c>
      <c r="E1082" s="41"/>
      <c r="F1082" s="140">
        <v>33.039400000000001</v>
      </c>
      <c r="G1082" s="140" t="s">
        <v>1444</v>
      </c>
      <c r="H1082" s="140">
        <v>19.988099999999999</v>
      </c>
      <c r="I1082" s="140">
        <v>-32.471400000000003</v>
      </c>
      <c r="J1082" s="140">
        <v>-18.001200000000001</v>
      </c>
      <c r="K1082" s="140">
        <v>46.403700000000001</v>
      </c>
      <c r="L1082" s="140">
        <v>-6.3834999999999997</v>
      </c>
      <c r="M1082" s="140">
        <v>-64.240799999999993</v>
      </c>
      <c r="N1082" s="140">
        <v>-96.441299999999998</v>
      </c>
      <c r="O1082" s="140">
        <v>256.4273</v>
      </c>
      <c r="P1082" s="140">
        <v>-95.217500000000001</v>
      </c>
      <c r="Q1082" s="140" t="s">
        <v>1444</v>
      </c>
      <c r="R1082" s="91"/>
      <c r="S1082" s="91"/>
      <c r="T1082" s="91"/>
      <c r="U1082" s="91"/>
      <c r="V1082" s="91"/>
    </row>
    <row r="1083" spans="2:22" ht="12.75" customHeight="1" x14ac:dyDescent="0.2">
      <c r="C1083" s="122" t="s">
        <v>192</v>
      </c>
      <c r="D1083" s="46" t="s">
        <v>192</v>
      </c>
      <c r="E1083" s="41"/>
      <c r="F1083" s="140"/>
      <c r="G1083" s="140"/>
      <c r="H1083" s="140"/>
      <c r="I1083" s="140"/>
      <c r="J1083" s="140"/>
      <c r="K1083" s="140"/>
      <c r="L1083" s="140"/>
      <c r="M1083" s="140"/>
      <c r="N1083" s="140"/>
      <c r="O1083" s="140"/>
      <c r="P1083" s="140"/>
      <c r="Q1083" s="140"/>
    </row>
    <row r="1084" spans="2:22" ht="12.75" customHeight="1" x14ac:dyDescent="0.2">
      <c r="B1084" s="7" t="s">
        <v>256</v>
      </c>
      <c r="C1084" s="118" t="s">
        <v>192</v>
      </c>
      <c r="D1084" s="46" t="s">
        <v>192</v>
      </c>
      <c r="E1084" s="41"/>
      <c r="F1084" s="140"/>
      <c r="G1084" s="140"/>
      <c r="H1084" s="140"/>
      <c r="I1084" s="140"/>
      <c r="J1084" s="140"/>
      <c r="K1084" s="140"/>
      <c r="L1084" s="140"/>
      <c r="M1084" s="140"/>
      <c r="N1084" s="140"/>
      <c r="O1084" s="140"/>
      <c r="P1084" s="140"/>
      <c r="Q1084" s="140"/>
    </row>
    <row r="1085" spans="2:22" ht="12.75" customHeight="1" x14ac:dyDescent="0.2">
      <c r="B1085" s="30" t="s">
        <v>254</v>
      </c>
      <c r="C1085" s="118" t="s">
        <v>970</v>
      </c>
      <c r="D1085" s="46" t="s">
        <v>1917</v>
      </c>
      <c r="E1085" s="41"/>
      <c r="F1085" s="140">
        <v>8.9369999999999994</v>
      </c>
      <c r="G1085" s="140">
        <v>8.74</v>
      </c>
      <c r="H1085" s="140">
        <v>4.2539999999999996</v>
      </c>
      <c r="I1085" s="140">
        <v>6.3879999999999999</v>
      </c>
      <c r="J1085" s="140">
        <v>10.733000000000001</v>
      </c>
      <c r="K1085" s="140">
        <v>10.648999999999999</v>
      </c>
      <c r="L1085" s="140">
        <v>2.4540000000000002</v>
      </c>
      <c r="M1085" s="140">
        <v>-4.24</v>
      </c>
      <c r="N1085" s="140">
        <v>-3.262</v>
      </c>
      <c r="O1085" s="140">
        <v>-0.17699999999999999</v>
      </c>
      <c r="P1085" s="140">
        <v>-8.43</v>
      </c>
      <c r="Q1085" s="140">
        <v>-5.7939999999999996</v>
      </c>
      <c r="R1085" s="91"/>
      <c r="S1085" s="91"/>
      <c r="T1085" s="91"/>
      <c r="U1085" s="91"/>
      <c r="V1085" s="91"/>
    </row>
    <row r="1086" spans="2:22" ht="12.75" customHeight="1" x14ac:dyDescent="0.2">
      <c r="B1086" s="30" t="s">
        <v>253</v>
      </c>
      <c r="C1086" s="118" t="s">
        <v>971</v>
      </c>
      <c r="D1086" s="46" t="s">
        <v>1703</v>
      </c>
      <c r="E1086" s="41"/>
      <c r="F1086" s="140">
        <v>8.86</v>
      </c>
      <c r="G1086" s="140">
        <v>7.3390000000000004</v>
      </c>
      <c r="H1086" s="140">
        <v>1.6850000000000001</v>
      </c>
      <c r="I1086" s="140">
        <v>2.395</v>
      </c>
      <c r="J1086" s="140">
        <v>3.3620000000000001</v>
      </c>
      <c r="K1086" s="140">
        <v>7.234</v>
      </c>
      <c r="L1086" s="140">
        <v>1.1619999999999999</v>
      </c>
      <c r="M1086" s="140">
        <v>-6.0970000000000004</v>
      </c>
      <c r="N1086" s="140">
        <v>-6.5030000000000001</v>
      </c>
      <c r="O1086" s="140">
        <v>-4.5739999999999998</v>
      </c>
      <c r="P1086" s="140">
        <v>-12.804</v>
      </c>
      <c r="Q1086" s="140">
        <v>-9.0579999999999998</v>
      </c>
      <c r="R1086" s="91"/>
      <c r="S1086" s="91"/>
      <c r="T1086" s="91"/>
      <c r="U1086" s="91"/>
      <c r="V1086" s="91"/>
    </row>
    <row r="1087" spans="2:22" ht="12.75" customHeight="1" x14ac:dyDescent="0.2">
      <c r="B1087" s="30" t="s">
        <v>252</v>
      </c>
      <c r="C1087" s="118" t="s">
        <v>972</v>
      </c>
      <c r="D1087" s="46" t="s">
        <v>1663</v>
      </c>
      <c r="E1087" s="41"/>
      <c r="F1087" s="140">
        <v>16.105</v>
      </c>
      <c r="G1087" s="140">
        <v>13.087999999999999</v>
      </c>
      <c r="H1087" s="140">
        <v>1.095</v>
      </c>
      <c r="I1087" s="140">
        <v>2.097</v>
      </c>
      <c r="J1087" s="140">
        <v>5.9740000000000002</v>
      </c>
      <c r="K1087" s="140">
        <v>10.478</v>
      </c>
      <c r="L1087" s="140">
        <v>0.44600000000000001</v>
      </c>
      <c r="M1087" s="140">
        <v>-18.021000000000001</v>
      </c>
      <c r="N1087" s="140">
        <v>-12.753</v>
      </c>
      <c r="O1087" s="140">
        <v>-21.637</v>
      </c>
      <c r="P1087" s="140">
        <v>-19.416</v>
      </c>
      <c r="Q1087" s="140">
        <v>-16.375</v>
      </c>
      <c r="R1087" s="91"/>
      <c r="S1087" s="91"/>
      <c r="T1087" s="91"/>
      <c r="U1087" s="91"/>
      <c r="V1087" s="91"/>
    </row>
    <row r="1088" spans="2:22" ht="12.75" customHeight="1" x14ac:dyDescent="0.2">
      <c r="B1088" s="30" t="s">
        <v>251</v>
      </c>
      <c r="C1088" s="118" t="s">
        <v>973</v>
      </c>
      <c r="D1088" s="46" t="s">
        <v>1656</v>
      </c>
      <c r="E1088" s="41"/>
      <c r="F1088" s="140">
        <v>18.669</v>
      </c>
      <c r="G1088" s="140">
        <v>11.801</v>
      </c>
      <c r="H1088" s="140">
        <v>0.68100000000000005</v>
      </c>
      <c r="I1088" s="140">
        <v>1.754</v>
      </c>
      <c r="J1088" s="140">
        <v>6.3239999999999998</v>
      </c>
      <c r="K1088" s="140">
        <v>11.422000000000001</v>
      </c>
      <c r="L1088" s="140">
        <v>-8.4000000000000005E-2</v>
      </c>
      <c r="M1088" s="140">
        <v>-22.561</v>
      </c>
      <c r="N1088" s="140">
        <v>-16.477</v>
      </c>
      <c r="O1088" s="140">
        <v>-27.716999999999999</v>
      </c>
      <c r="P1088" s="140">
        <v>-24.245999999999999</v>
      </c>
      <c r="Q1088" s="140">
        <v>-19.559999999999999</v>
      </c>
      <c r="R1088" s="91"/>
      <c r="S1088" s="91"/>
      <c r="T1088" s="91"/>
      <c r="U1088" s="91"/>
      <c r="V1088" s="91"/>
    </row>
    <row r="1089" spans="2:22" ht="12.75" customHeight="1" x14ac:dyDescent="0.2">
      <c r="B1089" s="30" t="s">
        <v>250</v>
      </c>
      <c r="C1089" s="118" t="s">
        <v>974</v>
      </c>
      <c r="D1089" s="46" t="s">
        <v>1778</v>
      </c>
      <c r="E1089" s="41"/>
      <c r="F1089" s="140">
        <v>29.934999999999999</v>
      </c>
      <c r="G1089" s="140">
        <v>80.552000000000007</v>
      </c>
      <c r="H1089" s="140">
        <v>-1.3</v>
      </c>
      <c r="I1089" s="140">
        <v>-8.3810000000000002</v>
      </c>
      <c r="J1089" s="140">
        <v>10.206</v>
      </c>
      <c r="K1089" s="140" t="s">
        <v>1444</v>
      </c>
      <c r="L1089" s="140">
        <v>-1.677</v>
      </c>
      <c r="M1089" s="140">
        <v>-45.107999999999997</v>
      </c>
      <c r="N1089" s="140">
        <v>-68.445999999999998</v>
      </c>
      <c r="O1089" s="140">
        <v>181.01599999999999</v>
      </c>
      <c r="P1089" s="140">
        <v>-75.456000000000003</v>
      </c>
      <c r="Q1089" s="140">
        <v>12.619</v>
      </c>
      <c r="R1089" s="91"/>
      <c r="S1089" s="91"/>
      <c r="T1089" s="91"/>
      <c r="U1089" s="91"/>
      <c r="V1089" s="91"/>
    </row>
    <row r="1090" spans="2:22" ht="12.75" customHeight="1" x14ac:dyDescent="0.2">
      <c r="B1090" s="30" t="s">
        <v>249</v>
      </c>
      <c r="C1090" s="118" t="s">
        <v>975</v>
      </c>
      <c r="D1090" s="46" t="s">
        <v>1672</v>
      </c>
      <c r="E1090" s="41"/>
      <c r="F1090" s="140">
        <v>54.088999999999999</v>
      </c>
      <c r="G1090" s="140">
        <v>15.647</v>
      </c>
      <c r="H1090" s="140">
        <v>4.165</v>
      </c>
      <c r="I1090" s="140">
        <v>-7.74</v>
      </c>
      <c r="J1090" s="140">
        <v>8.31</v>
      </c>
      <c r="K1090" s="140">
        <v>122.824</v>
      </c>
      <c r="L1090" s="140">
        <v>0</v>
      </c>
      <c r="M1090" s="140">
        <v>-34.957000000000001</v>
      </c>
      <c r="N1090" s="140">
        <v>-66.14</v>
      </c>
      <c r="O1090" s="140">
        <v>207.81100000000001</v>
      </c>
      <c r="P1090" s="140">
        <v>-62.268000000000001</v>
      </c>
      <c r="Q1090" s="140">
        <v>11.757999999999999</v>
      </c>
      <c r="R1090" s="91"/>
      <c r="S1090" s="91"/>
      <c r="T1090" s="91"/>
      <c r="U1090" s="91"/>
      <c r="V1090" s="91"/>
    </row>
    <row r="1091" spans="2:22" ht="12.75" customHeight="1" x14ac:dyDescent="0.2">
      <c r="C1091" s="122" t="s">
        <v>192</v>
      </c>
      <c r="D1091" s="46" t="s">
        <v>192</v>
      </c>
      <c r="E1091" s="41"/>
      <c r="F1091" s="140"/>
      <c r="G1091" s="140"/>
      <c r="H1091" s="140"/>
      <c r="I1091" s="140"/>
      <c r="J1091" s="140"/>
      <c r="K1091" s="140"/>
      <c r="L1091" s="140"/>
      <c r="M1091" s="140"/>
      <c r="N1091" s="140"/>
      <c r="O1091" s="140"/>
      <c r="P1091" s="140"/>
      <c r="Q1091" s="140"/>
    </row>
    <row r="1092" spans="2:22" ht="12.75" customHeight="1" x14ac:dyDescent="0.2">
      <c r="B1092" s="7" t="s">
        <v>255</v>
      </c>
      <c r="C1092" s="118" t="s">
        <v>192</v>
      </c>
      <c r="D1092" s="46" t="s">
        <v>192</v>
      </c>
      <c r="E1092" s="41"/>
      <c r="F1092" s="140"/>
      <c r="G1092" s="140"/>
      <c r="H1092" s="140"/>
      <c r="I1092" s="140"/>
      <c r="J1092" s="140"/>
      <c r="K1092" s="140"/>
      <c r="L1092" s="140"/>
      <c r="M1092" s="140"/>
      <c r="N1092" s="140"/>
      <c r="O1092" s="140"/>
      <c r="P1092" s="140"/>
      <c r="Q1092" s="140"/>
    </row>
    <row r="1093" spans="2:22" ht="12.75" customHeight="1" x14ac:dyDescent="0.2">
      <c r="B1093" s="30" t="s">
        <v>254</v>
      </c>
      <c r="C1093" s="118" t="s">
        <v>976</v>
      </c>
      <c r="D1093" s="46" t="s">
        <v>1918</v>
      </c>
      <c r="E1093" s="41"/>
      <c r="F1093" s="140">
        <v>13.683999999999999</v>
      </c>
      <c r="G1093" s="140">
        <v>15.477</v>
      </c>
      <c r="H1093" s="140">
        <v>17.779</v>
      </c>
      <c r="I1093" s="140">
        <v>17.199000000000002</v>
      </c>
      <c r="J1093" s="140">
        <v>16.338999999999999</v>
      </c>
      <c r="K1093" s="140">
        <v>10.612</v>
      </c>
      <c r="L1093" s="140">
        <v>3.944</v>
      </c>
      <c r="M1093" s="140">
        <v>-2.5510000000000002</v>
      </c>
      <c r="N1093" s="140">
        <v>1.232</v>
      </c>
      <c r="O1093" s="140">
        <v>0.83599999999999997</v>
      </c>
      <c r="P1093" s="140">
        <v>-5.0910000000000002</v>
      </c>
      <c r="Q1093" s="140">
        <v>-2.95</v>
      </c>
      <c r="R1093" s="91"/>
      <c r="S1093" s="91"/>
      <c r="T1093" s="91"/>
      <c r="U1093" s="91"/>
      <c r="V1093" s="91"/>
    </row>
    <row r="1094" spans="2:22" ht="12.75" customHeight="1" x14ac:dyDescent="0.2">
      <c r="B1094" s="30" t="s">
        <v>253</v>
      </c>
      <c r="C1094" s="118" t="s">
        <v>977</v>
      </c>
      <c r="D1094" s="46" t="s">
        <v>1704</v>
      </c>
      <c r="E1094" s="41"/>
      <c r="F1094" s="140">
        <v>18.972000000000001</v>
      </c>
      <c r="G1094" s="140">
        <v>18.053999999999998</v>
      </c>
      <c r="H1094" s="140">
        <v>21.510999999999999</v>
      </c>
      <c r="I1094" s="140">
        <v>20.317</v>
      </c>
      <c r="J1094" s="140">
        <v>12.422000000000001</v>
      </c>
      <c r="K1094" s="140">
        <v>11.102</v>
      </c>
      <c r="L1094" s="140">
        <v>1.7729999999999999</v>
      </c>
      <c r="M1094" s="140">
        <v>-3.9279999999999999</v>
      </c>
      <c r="N1094" s="140">
        <v>-0.78400000000000003</v>
      </c>
      <c r="O1094" s="140">
        <v>-2.3889999999999998</v>
      </c>
      <c r="P1094" s="140">
        <v>-9.0109999999999992</v>
      </c>
      <c r="Q1094" s="140">
        <v>-6.2770000000000001</v>
      </c>
      <c r="R1094" s="91"/>
      <c r="S1094" s="91"/>
      <c r="T1094" s="91"/>
      <c r="U1094" s="91"/>
      <c r="V1094" s="91"/>
    </row>
    <row r="1095" spans="2:22" ht="12.75" customHeight="1" x14ac:dyDescent="0.2">
      <c r="B1095" s="30" t="s">
        <v>252</v>
      </c>
      <c r="C1095" s="118" t="s">
        <v>978</v>
      </c>
      <c r="D1095" s="46" t="s">
        <v>1664</v>
      </c>
      <c r="E1095" s="41"/>
      <c r="F1095" s="140">
        <v>20.625</v>
      </c>
      <c r="G1095" s="140">
        <v>20.829000000000001</v>
      </c>
      <c r="H1095" s="140">
        <v>27.212</v>
      </c>
      <c r="I1095" s="140">
        <v>25.581</v>
      </c>
      <c r="J1095" s="140">
        <v>10.97</v>
      </c>
      <c r="K1095" s="140">
        <v>11.885999999999999</v>
      </c>
      <c r="L1095" s="140">
        <v>1.95</v>
      </c>
      <c r="M1095" s="140">
        <v>-10.163</v>
      </c>
      <c r="N1095" s="140">
        <v>-1.31</v>
      </c>
      <c r="O1095" s="140">
        <v>-11.414</v>
      </c>
      <c r="P1095" s="140">
        <v>-14.101000000000001</v>
      </c>
      <c r="Q1095" s="140">
        <v>-9.8000000000000007</v>
      </c>
      <c r="R1095" s="91"/>
      <c r="S1095" s="91"/>
      <c r="T1095" s="91"/>
      <c r="U1095" s="91"/>
      <c r="V1095" s="91"/>
    </row>
    <row r="1096" spans="2:22" ht="12.75" customHeight="1" x14ac:dyDescent="0.2">
      <c r="B1096" s="30" t="s">
        <v>251</v>
      </c>
      <c r="C1096" s="118" t="s">
        <v>979</v>
      </c>
      <c r="D1096" s="46" t="s">
        <v>1657</v>
      </c>
      <c r="E1096" s="41"/>
      <c r="F1096" s="140">
        <v>22.88</v>
      </c>
      <c r="G1096" s="140">
        <v>22.602</v>
      </c>
      <c r="H1096" s="140">
        <v>30.385999999999999</v>
      </c>
      <c r="I1096" s="140">
        <v>27.881</v>
      </c>
      <c r="J1096" s="140">
        <v>11.055</v>
      </c>
      <c r="K1096" s="140">
        <v>13.728999999999999</v>
      </c>
      <c r="L1096" s="140">
        <v>1.4770000000000001</v>
      </c>
      <c r="M1096" s="140">
        <v>-13.057</v>
      </c>
      <c r="N1096" s="140">
        <v>-2.802</v>
      </c>
      <c r="O1096" s="140">
        <v>-16.763000000000002</v>
      </c>
      <c r="P1096" s="140">
        <v>-17.795999999999999</v>
      </c>
      <c r="Q1096" s="140">
        <v>-12.138</v>
      </c>
      <c r="R1096" s="91"/>
      <c r="S1096" s="91"/>
      <c r="T1096" s="91"/>
      <c r="U1096" s="91"/>
      <c r="V1096" s="91"/>
    </row>
    <row r="1097" spans="2:22" ht="12.75" customHeight="1" x14ac:dyDescent="0.2">
      <c r="B1097" s="30" t="s">
        <v>250</v>
      </c>
      <c r="C1097" s="118" t="s">
        <v>980</v>
      </c>
      <c r="D1097" s="46" t="s">
        <v>1779</v>
      </c>
      <c r="E1097" s="41"/>
      <c r="F1097" s="140">
        <v>14.913</v>
      </c>
      <c r="G1097" s="140">
        <v>64.358000000000004</v>
      </c>
      <c r="H1097" s="140">
        <v>10.798999999999999</v>
      </c>
      <c r="I1097" s="140">
        <v>12.430999999999999</v>
      </c>
      <c r="J1097" s="140">
        <v>16.995999999999999</v>
      </c>
      <c r="K1097" s="140">
        <v>-12.371</v>
      </c>
      <c r="L1097" s="140">
        <v>-6.01</v>
      </c>
      <c r="M1097" s="140">
        <v>-25.135999999999999</v>
      </c>
      <c r="N1097" s="140">
        <v>-45.500999999999998</v>
      </c>
      <c r="O1097" s="140">
        <v>102.32599999999999</v>
      </c>
      <c r="P1097" s="140">
        <v>-58.360999999999997</v>
      </c>
      <c r="Q1097" s="140">
        <v>11.08</v>
      </c>
      <c r="R1097" s="91"/>
      <c r="S1097" s="91"/>
      <c r="T1097" s="91"/>
      <c r="U1097" s="91"/>
      <c r="V1097" s="91"/>
    </row>
    <row r="1098" spans="2:22" ht="12.75" customHeight="1" x14ac:dyDescent="0.2">
      <c r="B1098" s="30" t="s">
        <v>249</v>
      </c>
      <c r="C1098" s="118" t="s">
        <v>981</v>
      </c>
      <c r="D1098" s="46" t="s">
        <v>1673</v>
      </c>
      <c r="E1098" s="41"/>
      <c r="F1098" s="140">
        <v>29.617000000000001</v>
      </c>
      <c r="G1098" s="140">
        <v>93.12</v>
      </c>
      <c r="H1098" s="140">
        <v>39.634999999999998</v>
      </c>
      <c r="I1098" s="140">
        <v>26.295000000000002</v>
      </c>
      <c r="J1098" s="140">
        <v>15.74</v>
      </c>
      <c r="K1098" s="140">
        <v>6.9409999999999998</v>
      </c>
      <c r="L1098" s="140">
        <v>-0.36199999999999999</v>
      </c>
      <c r="M1098" s="140">
        <v>-10.571</v>
      </c>
      <c r="N1098" s="140">
        <v>-36.073</v>
      </c>
      <c r="O1098" s="140">
        <v>51.838999999999999</v>
      </c>
      <c r="P1098" s="140">
        <v>-44.94</v>
      </c>
      <c r="Q1098" s="140">
        <v>10.173999999999999</v>
      </c>
      <c r="R1098" s="91"/>
      <c r="S1098" s="91"/>
      <c r="T1098" s="91"/>
      <c r="U1098" s="91"/>
      <c r="V1098" s="91"/>
    </row>
    <row r="1099" spans="2:22" ht="3.75" customHeight="1" x14ac:dyDescent="0.2">
      <c r="B1099" s="31"/>
      <c r="C1099" s="31"/>
      <c r="D1099" s="55"/>
      <c r="E1099" s="55"/>
      <c r="F1099" s="55"/>
      <c r="G1099" s="55"/>
      <c r="H1099" s="55"/>
      <c r="I1099" s="55"/>
      <c r="J1099" s="55"/>
      <c r="K1099" s="55"/>
      <c r="L1099" s="55"/>
      <c r="M1099" s="55"/>
      <c r="N1099" s="55"/>
      <c r="O1099" s="55"/>
      <c r="P1099" s="55"/>
      <c r="Q1099" s="55"/>
    </row>
    <row r="1100" spans="2:22" ht="12.75" customHeight="1" x14ac:dyDescent="0.2">
      <c r="B1100" s="32" t="s">
        <v>1944</v>
      </c>
      <c r="F1100" s="13"/>
      <c r="G1100" s="13"/>
      <c r="H1100" s="13"/>
      <c r="I1100" s="13"/>
      <c r="J1100" s="13"/>
      <c r="K1100" s="13"/>
      <c r="L1100" s="13"/>
      <c r="M1100" s="13"/>
      <c r="N1100" s="13"/>
      <c r="O1100" s="13"/>
      <c r="P1100" s="13"/>
      <c r="Q1100" s="13"/>
    </row>
    <row r="1101" spans="2:22" ht="12.75" customHeight="1" x14ac:dyDescent="0.2">
      <c r="B1101" s="28"/>
      <c r="F1101" s="13"/>
      <c r="G1101" s="13"/>
      <c r="H1101" s="13"/>
      <c r="I1101" s="13"/>
      <c r="J1101" s="13"/>
      <c r="K1101" s="13"/>
      <c r="L1101" s="13"/>
      <c r="M1101" s="13"/>
      <c r="N1101" s="13"/>
      <c r="O1101" s="13"/>
      <c r="P1101" s="13"/>
      <c r="Q1101" s="13"/>
    </row>
    <row r="1102" spans="2:22" ht="12.75" customHeight="1" x14ac:dyDescent="0.2">
      <c r="F1102" s="13"/>
      <c r="G1102" s="13"/>
      <c r="H1102" s="13"/>
      <c r="I1102" s="13"/>
      <c r="J1102" s="13"/>
      <c r="K1102" s="13"/>
      <c r="L1102" s="13"/>
      <c r="M1102" s="13"/>
      <c r="N1102" s="13"/>
      <c r="O1102" s="13"/>
      <c r="P1102" s="13"/>
      <c r="Q1102" s="13"/>
    </row>
    <row r="1103" spans="2:22" ht="12.75" customHeight="1" x14ac:dyDescent="0.2">
      <c r="F1103" s="13"/>
      <c r="G1103" s="13"/>
      <c r="H1103" s="13"/>
      <c r="I1103" s="13"/>
      <c r="J1103" s="13"/>
      <c r="K1103" s="13"/>
      <c r="L1103" s="13"/>
      <c r="M1103" s="13"/>
      <c r="N1103" s="13"/>
      <c r="O1103" s="13"/>
      <c r="P1103" s="13"/>
      <c r="Q1103" s="13"/>
    </row>
  </sheetData>
  <printOptions horizontalCentered="1"/>
  <pageMargins left="0.25" right="0.25" top="0.25" bottom="0.25" header="0.25" footer="0.25"/>
  <pageSetup scale="5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525252"/>
    <pageSetUpPr fitToPage="1"/>
  </sheetPr>
  <dimension ref="B1:O157"/>
  <sheetViews>
    <sheetView showGridLines="0" zoomScaleNormal="100" zoomScaleSheetLayoutView="85" workbookViewId="0">
      <pane xSplit="2" ySplit="5" topLeftCell="C6" activePane="bottomRight" state="frozen"/>
      <selection activeCell="F3" sqref="F3"/>
      <selection pane="topRight" activeCell="F3" sqref="F3"/>
      <selection pane="bottomLeft" activeCell="F3" sqref="F3"/>
      <selection pane="bottomRight" activeCell="H147" sqref="H147"/>
    </sheetView>
  </sheetViews>
  <sheetFormatPr defaultColWidth="9.28515625" defaultRowHeight="12.75" customHeight="1" x14ac:dyDescent="0.2"/>
  <cols>
    <col min="1" max="1" width="1.7109375" style="5" customWidth="1"/>
    <col min="2" max="2" width="33.7109375" style="5" customWidth="1"/>
    <col min="3" max="14" width="13.7109375" style="5" customWidth="1"/>
    <col min="15" max="15" width="4.42578125" style="5" customWidth="1"/>
    <col min="16" max="16384" width="9.28515625" style="5"/>
  </cols>
  <sheetData>
    <row r="1" spans="2:15" ht="10.199999999999999" x14ac:dyDescent="0.2">
      <c r="E1" s="6"/>
    </row>
    <row r="2" spans="2:15" ht="15.75" customHeight="1" thickBot="1" x14ac:dyDescent="0.35">
      <c r="B2" s="37" t="str">
        <f>Financial_Statements!B2</f>
        <v>FMC Corporation (NYSE:FMC) (FMC-US)</v>
      </c>
      <c r="C2" s="39"/>
      <c r="D2" s="39"/>
      <c r="E2" s="39"/>
      <c r="F2" s="39"/>
      <c r="G2" s="39"/>
      <c r="H2" s="39"/>
      <c r="I2" s="39"/>
      <c r="J2" s="39"/>
      <c r="K2" s="39"/>
      <c r="L2" s="38"/>
      <c r="M2" s="38"/>
      <c r="N2" s="38"/>
    </row>
    <row r="3" spans="2:15" ht="4.5" customHeight="1" x14ac:dyDescent="0.2">
      <c r="B3" s="9"/>
      <c r="L3" s="10"/>
      <c r="M3" s="10"/>
      <c r="N3" s="10"/>
    </row>
    <row r="4" spans="2:15" ht="12.75" customHeight="1" x14ac:dyDescent="0.2">
      <c r="C4" s="17"/>
      <c r="D4" s="19"/>
      <c r="E4" s="19"/>
      <c r="F4" s="19"/>
      <c r="G4" s="19"/>
      <c r="H4" s="19"/>
      <c r="I4" s="19"/>
      <c r="J4" s="19"/>
      <c r="K4" s="19"/>
      <c r="L4" s="19"/>
      <c r="M4" s="19"/>
      <c r="N4" s="17"/>
    </row>
    <row r="5" spans="2:15" ht="12.75" customHeight="1" x14ac:dyDescent="0.2">
      <c r="C5" s="49">
        <f>Financial_Statements!F$11</f>
        <v>44469</v>
      </c>
      <c r="D5" s="49">
        <f>Financial_Statements!G$11</f>
        <v>44561</v>
      </c>
      <c r="E5" s="49">
        <f>Financial_Statements!H$11</f>
        <v>44651</v>
      </c>
      <c r="F5" s="49">
        <f>Financial_Statements!I$11</f>
        <v>44742</v>
      </c>
      <c r="G5" s="49">
        <f>Financial_Statements!J$11</f>
        <v>44834</v>
      </c>
      <c r="H5" s="49">
        <f>Financial_Statements!K$11</f>
        <v>44926</v>
      </c>
      <c r="I5" s="49">
        <f>Financial_Statements!L$11</f>
        <v>45016</v>
      </c>
      <c r="J5" s="49">
        <f>Financial_Statements!M$11</f>
        <v>45107</v>
      </c>
      <c r="K5" s="49">
        <f>Financial_Statements!N$11</f>
        <v>45199</v>
      </c>
      <c r="L5" s="49">
        <f>Financial_Statements!O$11</f>
        <v>45291</v>
      </c>
      <c r="M5" s="49">
        <f>Financial_Statements!P$11</f>
        <v>45382</v>
      </c>
      <c r="N5" s="49">
        <f>Financial_Statements!Q$11</f>
        <v>45473</v>
      </c>
    </row>
    <row r="6" spans="2:15" ht="12.75" customHeight="1" x14ac:dyDescent="0.2">
      <c r="B6" s="8" t="s">
        <v>786</v>
      </c>
    </row>
    <row r="7" spans="2:15" ht="12.75" customHeight="1" x14ac:dyDescent="0.2">
      <c r="B7" s="5" t="s">
        <v>782</v>
      </c>
      <c r="C7" s="56">
        <f>IF(ISERROR(Financial_Statements!F13/Financial_Statements!F$20),"NA",Financial_Statements!F13/Financial_Statements!F$20)</f>
        <v>1</v>
      </c>
      <c r="D7" s="56">
        <f>IF(ISERROR(Financial_Statements!G13/Financial_Statements!G$20),"NA",Financial_Statements!G13/Financial_Statements!G$20)</f>
        <v>1</v>
      </c>
      <c r="E7" s="56">
        <f>IF(ISERROR(Financial_Statements!H13/Financial_Statements!H$20),"NA",Financial_Statements!H13/Financial_Statements!H$20)</f>
        <v>1</v>
      </c>
      <c r="F7" s="56">
        <f>IF(ISERROR(Financial_Statements!I13/Financial_Statements!I$20),"NA",Financial_Statements!I13/Financial_Statements!I$20)</f>
        <v>1</v>
      </c>
      <c r="G7" s="56">
        <f>IF(ISERROR(Financial_Statements!J13/Financial_Statements!J$20),"NA",Financial_Statements!J13/Financial_Statements!J$20)</f>
        <v>1</v>
      </c>
      <c r="H7" s="56">
        <f>IF(ISERROR(Financial_Statements!K13/Financial_Statements!K$20),"NA",Financial_Statements!K13/Financial_Statements!K$20)</f>
        <v>1</v>
      </c>
      <c r="I7" s="56">
        <f>IF(ISERROR(Financial_Statements!L13/Financial_Statements!L$20),"NA",Financial_Statements!L13/Financial_Statements!L$20)</f>
        <v>1</v>
      </c>
      <c r="J7" s="56">
        <f>IF(ISERROR(Financial_Statements!M13/Financial_Statements!M$20),"NA",Financial_Statements!M13/Financial_Statements!M$20)</f>
        <v>1</v>
      </c>
      <c r="K7" s="56">
        <f>IF(ISERROR(Financial_Statements!N13/Financial_Statements!N$20),"NA",Financial_Statements!N13/Financial_Statements!N$20)</f>
        <v>1</v>
      </c>
      <c r="L7" s="56">
        <f>IF(ISERROR(Financial_Statements!O13/Financial_Statements!O$20),"NA",Financial_Statements!O13/Financial_Statements!O$20)</f>
        <v>1</v>
      </c>
      <c r="M7" s="56">
        <f>IF(ISERROR(Financial_Statements!P13/Financial_Statements!P$20),"NA",Financial_Statements!P13/Financial_Statements!P$20)</f>
        <v>1</v>
      </c>
      <c r="N7" s="56">
        <f>IF(ISERROR(Financial_Statements!Q13/Financial_Statements!Q$20),"NA",Financial_Statements!Q13/Financial_Statements!Q$20)</f>
        <v>1</v>
      </c>
    </row>
    <row r="8" spans="2:15" ht="12.75" customHeight="1" x14ac:dyDescent="0.2">
      <c r="B8" s="5" t="s">
        <v>781</v>
      </c>
      <c r="C8" s="56" t="str">
        <f>IF(ISERROR(Financial_Statements!F14/Financial_Statements!F$20),"NA",Financial_Statements!F14/Financial_Statements!F$20)</f>
        <v>NA</v>
      </c>
      <c r="D8" s="56" t="str">
        <f>IF(ISERROR(Financial_Statements!G14/Financial_Statements!G$20),"NA",Financial_Statements!G14/Financial_Statements!G$20)</f>
        <v>NA</v>
      </c>
      <c r="E8" s="56" t="str">
        <f>IF(ISERROR(Financial_Statements!H14/Financial_Statements!H$20),"NA",Financial_Statements!H14/Financial_Statements!H$20)</f>
        <v>NA</v>
      </c>
      <c r="F8" s="56" t="str">
        <f>IF(ISERROR(Financial_Statements!I14/Financial_Statements!I$20),"NA",Financial_Statements!I14/Financial_Statements!I$20)</f>
        <v>NA</v>
      </c>
      <c r="G8" s="56" t="str">
        <f>IF(ISERROR(Financial_Statements!J14/Financial_Statements!J$20),"NA",Financial_Statements!J14/Financial_Statements!J$20)</f>
        <v>NA</v>
      </c>
      <c r="H8" s="56" t="str">
        <f>IF(ISERROR(Financial_Statements!K14/Financial_Statements!K$20),"NA",Financial_Statements!K14/Financial_Statements!K$20)</f>
        <v>NA</v>
      </c>
      <c r="I8" s="56" t="str">
        <f>IF(ISERROR(Financial_Statements!L14/Financial_Statements!L$20),"NA",Financial_Statements!L14/Financial_Statements!L$20)</f>
        <v>NA</v>
      </c>
      <c r="J8" s="56" t="str">
        <f>IF(ISERROR(Financial_Statements!M14/Financial_Statements!M$20),"NA",Financial_Statements!M14/Financial_Statements!M$20)</f>
        <v>NA</v>
      </c>
      <c r="K8" s="56" t="str">
        <f>IF(ISERROR(Financial_Statements!N14/Financial_Statements!N$20),"NA",Financial_Statements!N14/Financial_Statements!N$20)</f>
        <v>NA</v>
      </c>
      <c r="L8" s="56" t="str">
        <f>IF(ISERROR(Financial_Statements!O14/Financial_Statements!O$20),"NA",Financial_Statements!O14/Financial_Statements!O$20)</f>
        <v>NA</v>
      </c>
      <c r="M8" s="56" t="str">
        <f>IF(ISERROR(Financial_Statements!P14/Financial_Statements!P$20),"NA",Financial_Statements!P14/Financial_Statements!P$20)</f>
        <v>NA</v>
      </c>
      <c r="N8" s="56" t="str">
        <f>IF(ISERROR(Financial_Statements!Q14/Financial_Statements!Q$20),"NA",Financial_Statements!Q14/Financial_Statements!Q$20)</f>
        <v>NA</v>
      </c>
    </row>
    <row r="9" spans="2:15" ht="12.75" customHeight="1" x14ac:dyDescent="0.2">
      <c r="B9" s="5" t="s">
        <v>780</v>
      </c>
      <c r="C9" s="56" t="str">
        <f>IF(ISERROR(Financial_Statements!F15/Financial_Statements!F$20),"NA",Financial_Statements!F15/Financial_Statements!F$20)</f>
        <v>NA</v>
      </c>
      <c r="D9" s="56" t="str">
        <f>IF(ISERROR(Financial_Statements!G15/Financial_Statements!G$20),"NA",Financial_Statements!G15/Financial_Statements!G$20)</f>
        <v>NA</v>
      </c>
      <c r="E9" s="56" t="str">
        <f>IF(ISERROR(Financial_Statements!H15/Financial_Statements!H$20),"NA",Financial_Statements!H15/Financial_Statements!H$20)</f>
        <v>NA</v>
      </c>
      <c r="F9" s="56" t="str">
        <f>IF(ISERROR(Financial_Statements!I15/Financial_Statements!I$20),"NA",Financial_Statements!I15/Financial_Statements!I$20)</f>
        <v>NA</v>
      </c>
      <c r="G9" s="56" t="str">
        <f>IF(ISERROR(Financial_Statements!J15/Financial_Statements!J$20),"NA",Financial_Statements!J15/Financial_Statements!J$20)</f>
        <v>NA</v>
      </c>
      <c r="H9" s="56" t="str">
        <f>IF(ISERROR(Financial_Statements!K15/Financial_Statements!K$20),"NA",Financial_Statements!K15/Financial_Statements!K$20)</f>
        <v>NA</v>
      </c>
      <c r="I9" s="56" t="str">
        <f>IF(ISERROR(Financial_Statements!L15/Financial_Statements!L$20),"NA",Financial_Statements!L15/Financial_Statements!L$20)</f>
        <v>NA</v>
      </c>
      <c r="J9" s="56" t="str">
        <f>IF(ISERROR(Financial_Statements!M15/Financial_Statements!M$20),"NA",Financial_Statements!M15/Financial_Statements!M$20)</f>
        <v>NA</v>
      </c>
      <c r="K9" s="56" t="str">
        <f>IF(ISERROR(Financial_Statements!N15/Financial_Statements!N$20),"NA",Financial_Statements!N15/Financial_Statements!N$20)</f>
        <v>NA</v>
      </c>
      <c r="L9" s="56" t="str">
        <f>IF(ISERROR(Financial_Statements!O15/Financial_Statements!O$20),"NA",Financial_Statements!O15/Financial_Statements!O$20)</f>
        <v>NA</v>
      </c>
      <c r="M9" s="56" t="str">
        <f>IF(ISERROR(Financial_Statements!P15/Financial_Statements!P$20),"NA",Financial_Statements!P15/Financial_Statements!P$20)</f>
        <v>NA</v>
      </c>
      <c r="N9" s="56" t="str">
        <f>IF(ISERROR(Financial_Statements!Q15/Financial_Statements!Q$20),"NA",Financial_Statements!Q15/Financial_Statements!Q$20)</f>
        <v>NA</v>
      </c>
    </row>
    <row r="10" spans="2:15" ht="12.75" customHeight="1" x14ac:dyDescent="0.2">
      <c r="B10" s="5" t="s">
        <v>779</v>
      </c>
      <c r="C10" s="56" t="str">
        <f>IF(ISERROR(Financial_Statements!F16/Financial_Statements!F$20),"NA",Financial_Statements!F16/Financial_Statements!F$20)</f>
        <v>NA</v>
      </c>
      <c r="D10" s="56" t="str">
        <f>IF(ISERROR(Financial_Statements!G16/Financial_Statements!G$20),"NA",Financial_Statements!G16/Financial_Statements!G$20)</f>
        <v>NA</v>
      </c>
      <c r="E10" s="56" t="str">
        <f>IF(ISERROR(Financial_Statements!H16/Financial_Statements!H$20),"NA",Financial_Statements!H16/Financial_Statements!H$20)</f>
        <v>NA</v>
      </c>
      <c r="F10" s="56" t="str">
        <f>IF(ISERROR(Financial_Statements!I16/Financial_Statements!I$20),"NA",Financial_Statements!I16/Financial_Statements!I$20)</f>
        <v>NA</v>
      </c>
      <c r="G10" s="56" t="str">
        <f>IF(ISERROR(Financial_Statements!J16/Financial_Statements!J$20),"NA",Financial_Statements!J16/Financial_Statements!J$20)</f>
        <v>NA</v>
      </c>
      <c r="H10" s="56" t="str">
        <f>IF(ISERROR(Financial_Statements!K16/Financial_Statements!K$20),"NA",Financial_Statements!K16/Financial_Statements!K$20)</f>
        <v>NA</v>
      </c>
      <c r="I10" s="56" t="str">
        <f>IF(ISERROR(Financial_Statements!L16/Financial_Statements!L$20),"NA",Financial_Statements!L16/Financial_Statements!L$20)</f>
        <v>NA</v>
      </c>
      <c r="J10" s="56" t="str">
        <f>IF(ISERROR(Financial_Statements!M16/Financial_Statements!M$20),"NA",Financial_Statements!M16/Financial_Statements!M$20)</f>
        <v>NA</v>
      </c>
      <c r="K10" s="56" t="str">
        <f>IF(ISERROR(Financial_Statements!N16/Financial_Statements!N$20),"NA",Financial_Statements!N16/Financial_Statements!N$20)</f>
        <v>NA</v>
      </c>
      <c r="L10" s="56" t="str">
        <f>IF(ISERROR(Financial_Statements!O16/Financial_Statements!O$20),"NA",Financial_Statements!O16/Financial_Statements!O$20)</f>
        <v>NA</v>
      </c>
      <c r="M10" s="56" t="str">
        <f>IF(ISERROR(Financial_Statements!P16/Financial_Statements!P$20),"NA",Financial_Statements!P16/Financial_Statements!P$20)</f>
        <v>NA</v>
      </c>
      <c r="N10" s="56" t="str">
        <f>IF(ISERROR(Financial_Statements!Q16/Financial_Statements!Q$20),"NA",Financial_Statements!Q16/Financial_Statements!Q$20)</f>
        <v>NA</v>
      </c>
    </row>
    <row r="11" spans="2:15" ht="12.75" customHeight="1" x14ac:dyDescent="0.2">
      <c r="B11" s="5" t="s">
        <v>778</v>
      </c>
      <c r="C11" s="56" t="str">
        <f>IF(ISERROR(Financial_Statements!F17/Financial_Statements!F$20),"NA",Financial_Statements!F17/Financial_Statements!F$20)</f>
        <v>NA</v>
      </c>
      <c r="D11" s="56" t="str">
        <f>IF(ISERROR(Financial_Statements!G17/Financial_Statements!G$20),"NA",Financial_Statements!G17/Financial_Statements!G$20)</f>
        <v>NA</v>
      </c>
      <c r="E11" s="56" t="str">
        <f>IF(ISERROR(Financial_Statements!H17/Financial_Statements!H$20),"NA",Financial_Statements!H17/Financial_Statements!H$20)</f>
        <v>NA</v>
      </c>
      <c r="F11" s="56" t="str">
        <f>IF(ISERROR(Financial_Statements!I17/Financial_Statements!I$20),"NA",Financial_Statements!I17/Financial_Statements!I$20)</f>
        <v>NA</v>
      </c>
      <c r="G11" s="56" t="str">
        <f>IF(ISERROR(Financial_Statements!J17/Financial_Statements!J$20),"NA",Financial_Statements!J17/Financial_Statements!J$20)</f>
        <v>NA</v>
      </c>
      <c r="H11" s="56" t="str">
        <f>IF(ISERROR(Financial_Statements!K17/Financial_Statements!K$20),"NA",Financial_Statements!K17/Financial_Statements!K$20)</f>
        <v>NA</v>
      </c>
      <c r="I11" s="56" t="str">
        <f>IF(ISERROR(Financial_Statements!L17/Financial_Statements!L$20),"NA",Financial_Statements!L17/Financial_Statements!L$20)</f>
        <v>NA</v>
      </c>
      <c r="J11" s="56" t="str">
        <f>IF(ISERROR(Financial_Statements!M17/Financial_Statements!M$20),"NA",Financial_Statements!M17/Financial_Statements!M$20)</f>
        <v>NA</v>
      </c>
      <c r="K11" s="56" t="str">
        <f>IF(ISERROR(Financial_Statements!N17/Financial_Statements!N$20),"NA",Financial_Statements!N17/Financial_Statements!N$20)</f>
        <v>NA</v>
      </c>
      <c r="L11" s="56" t="str">
        <f>IF(ISERROR(Financial_Statements!O17/Financial_Statements!O$20),"NA",Financial_Statements!O17/Financial_Statements!O$20)</f>
        <v>NA</v>
      </c>
      <c r="M11" s="56" t="str">
        <f>IF(ISERROR(Financial_Statements!P17/Financial_Statements!P$20),"NA",Financial_Statements!P17/Financial_Statements!P$20)</f>
        <v>NA</v>
      </c>
      <c r="N11" s="56" t="str">
        <f>IF(ISERROR(Financial_Statements!Q17/Financial_Statements!Q$20),"NA",Financial_Statements!Q17/Financial_Statements!Q$20)</f>
        <v>NA</v>
      </c>
    </row>
    <row r="12" spans="2:15" ht="12.75" customHeight="1" x14ac:dyDescent="0.2">
      <c r="B12" s="5" t="s">
        <v>777</v>
      </c>
      <c r="C12" s="56" t="str">
        <f>IF(ISERROR(Financial_Statements!F18/Financial_Statements!F$20),"NA",Financial_Statements!F18/Financial_Statements!F$20)</f>
        <v>NA</v>
      </c>
      <c r="D12" s="56" t="str">
        <f>IF(ISERROR(Financial_Statements!G18/Financial_Statements!G$20),"NA",Financial_Statements!G18/Financial_Statements!G$20)</f>
        <v>NA</v>
      </c>
      <c r="E12" s="56" t="str">
        <f>IF(ISERROR(Financial_Statements!H18/Financial_Statements!H$20),"NA",Financial_Statements!H18/Financial_Statements!H$20)</f>
        <v>NA</v>
      </c>
      <c r="F12" s="56" t="str">
        <f>IF(ISERROR(Financial_Statements!I18/Financial_Statements!I$20),"NA",Financial_Statements!I18/Financial_Statements!I$20)</f>
        <v>NA</v>
      </c>
      <c r="G12" s="56" t="str">
        <f>IF(ISERROR(Financial_Statements!J18/Financial_Statements!J$20),"NA",Financial_Statements!J18/Financial_Statements!J$20)</f>
        <v>NA</v>
      </c>
      <c r="H12" s="56" t="str">
        <f>IF(ISERROR(Financial_Statements!K18/Financial_Statements!K$20),"NA",Financial_Statements!K18/Financial_Statements!K$20)</f>
        <v>NA</v>
      </c>
      <c r="I12" s="56" t="str">
        <f>IF(ISERROR(Financial_Statements!L18/Financial_Statements!L$20),"NA",Financial_Statements!L18/Financial_Statements!L$20)</f>
        <v>NA</v>
      </c>
      <c r="J12" s="56" t="str">
        <f>IF(ISERROR(Financial_Statements!M18/Financial_Statements!M$20),"NA",Financial_Statements!M18/Financial_Statements!M$20)</f>
        <v>NA</v>
      </c>
      <c r="K12" s="56" t="str">
        <f>IF(ISERROR(Financial_Statements!N18/Financial_Statements!N$20),"NA",Financial_Statements!N18/Financial_Statements!N$20)</f>
        <v>NA</v>
      </c>
      <c r="L12" s="56" t="str">
        <f>IF(ISERROR(Financial_Statements!O18/Financial_Statements!O$20),"NA",Financial_Statements!O18/Financial_Statements!O$20)</f>
        <v>NA</v>
      </c>
      <c r="M12" s="56" t="str">
        <f>IF(ISERROR(Financial_Statements!P18/Financial_Statements!P$20),"NA",Financial_Statements!P18/Financial_Statements!P$20)</f>
        <v>NA</v>
      </c>
      <c r="N12" s="56" t="str">
        <f>IF(ISERROR(Financial_Statements!Q18/Financial_Statements!Q$20),"NA",Financial_Statements!Q18/Financial_Statements!Q$20)</f>
        <v>NA</v>
      </c>
    </row>
    <row r="13" spans="2:15" ht="12.75" customHeight="1" x14ac:dyDescent="0.2">
      <c r="B13" s="5" t="s">
        <v>776</v>
      </c>
      <c r="C13" s="56" t="str">
        <f>IF(ISERROR(Financial_Statements!F19/Financial_Statements!F$20),"NA",Financial_Statements!F19/Financial_Statements!F$20)</f>
        <v>NA</v>
      </c>
      <c r="D13" s="56" t="str">
        <f>IF(ISERROR(Financial_Statements!G19/Financial_Statements!G$20),"NA",Financial_Statements!G19/Financial_Statements!G$20)</f>
        <v>NA</v>
      </c>
      <c r="E13" s="56" t="str">
        <f>IF(ISERROR(Financial_Statements!H19/Financial_Statements!H$20),"NA",Financial_Statements!H19/Financial_Statements!H$20)</f>
        <v>NA</v>
      </c>
      <c r="F13" s="56" t="str">
        <f>IF(ISERROR(Financial_Statements!I19/Financial_Statements!I$20),"NA",Financial_Statements!I19/Financial_Statements!I$20)</f>
        <v>NA</v>
      </c>
      <c r="G13" s="56" t="str">
        <f>IF(ISERROR(Financial_Statements!J19/Financial_Statements!J$20),"NA",Financial_Statements!J19/Financial_Statements!J$20)</f>
        <v>NA</v>
      </c>
      <c r="H13" s="56" t="str">
        <f>IF(ISERROR(Financial_Statements!K19/Financial_Statements!K$20),"NA",Financial_Statements!K19/Financial_Statements!K$20)</f>
        <v>NA</v>
      </c>
      <c r="I13" s="56" t="str">
        <f>IF(ISERROR(Financial_Statements!L19/Financial_Statements!L$20),"NA",Financial_Statements!L19/Financial_Statements!L$20)</f>
        <v>NA</v>
      </c>
      <c r="J13" s="56" t="str">
        <f>IF(ISERROR(Financial_Statements!M19/Financial_Statements!M$20),"NA",Financial_Statements!M19/Financial_Statements!M$20)</f>
        <v>NA</v>
      </c>
      <c r="K13" s="56" t="str">
        <f>IF(ISERROR(Financial_Statements!N19/Financial_Statements!N$20),"NA",Financial_Statements!N19/Financial_Statements!N$20)</f>
        <v>NA</v>
      </c>
      <c r="L13" s="56" t="str">
        <f>IF(ISERROR(Financial_Statements!O19/Financial_Statements!O$20),"NA",Financial_Statements!O19/Financial_Statements!O$20)</f>
        <v>NA</v>
      </c>
      <c r="M13" s="56" t="str">
        <f>IF(ISERROR(Financial_Statements!P19/Financial_Statements!P$20),"NA",Financial_Statements!P19/Financial_Statements!P$20)</f>
        <v>NA</v>
      </c>
      <c r="N13" s="56" t="str">
        <f>IF(ISERROR(Financial_Statements!Q19/Financial_Statements!Q$20),"NA",Financial_Statements!Q19/Financial_Statements!Q$20)</f>
        <v>NA</v>
      </c>
    </row>
    <row r="14" spans="2:15" ht="12.75" customHeight="1" x14ac:dyDescent="0.2">
      <c r="B14" s="14" t="s">
        <v>775</v>
      </c>
      <c r="C14" s="57">
        <f>IF(ISERROR(Financial_Statements!F20/Financial_Statements!F$20),"NA",Financial_Statements!F20/Financial_Statements!F$20)</f>
        <v>1</v>
      </c>
      <c r="D14" s="57">
        <f>IF(ISERROR(Financial_Statements!G20/Financial_Statements!G$20),"NA",Financial_Statements!G20/Financial_Statements!G$20)</f>
        <v>1</v>
      </c>
      <c r="E14" s="57">
        <f>IF(ISERROR(Financial_Statements!H20/Financial_Statements!H$20),"NA",Financial_Statements!H20/Financial_Statements!H$20)</f>
        <v>1</v>
      </c>
      <c r="F14" s="57">
        <f>IF(ISERROR(Financial_Statements!I20/Financial_Statements!I$20),"NA",Financial_Statements!I20/Financial_Statements!I$20)</f>
        <v>1</v>
      </c>
      <c r="G14" s="57">
        <f>IF(ISERROR(Financial_Statements!J20/Financial_Statements!J$20),"NA",Financial_Statements!J20/Financial_Statements!J$20)</f>
        <v>1</v>
      </c>
      <c r="H14" s="57">
        <f>IF(ISERROR(Financial_Statements!K20/Financial_Statements!K$20),"NA",Financial_Statements!K20/Financial_Statements!K$20)</f>
        <v>1</v>
      </c>
      <c r="I14" s="57">
        <f>IF(ISERROR(Financial_Statements!L20/Financial_Statements!L$20),"NA",Financial_Statements!L20/Financial_Statements!L$20)</f>
        <v>1</v>
      </c>
      <c r="J14" s="57">
        <f>IF(ISERROR(Financial_Statements!M20/Financial_Statements!M$20),"NA",Financial_Statements!M20/Financial_Statements!M$20)</f>
        <v>1</v>
      </c>
      <c r="K14" s="57">
        <f>IF(ISERROR(Financial_Statements!N20/Financial_Statements!N$20),"NA",Financial_Statements!N20/Financial_Statements!N$20)</f>
        <v>1</v>
      </c>
      <c r="L14" s="57">
        <f>IF(ISERROR(Financial_Statements!O20/Financial_Statements!O$20),"NA",Financial_Statements!O20/Financial_Statements!O$20)</f>
        <v>1</v>
      </c>
      <c r="M14" s="57">
        <f>IF(ISERROR(Financial_Statements!P20/Financial_Statements!P$20),"NA",Financial_Statements!P20/Financial_Statements!P$20)</f>
        <v>1</v>
      </c>
      <c r="N14" s="57">
        <f>IF(ISERROR(Financial_Statements!Q20/Financial_Statements!Q$20),"NA",Financial_Statements!Q20/Financial_Statements!Q$20)</f>
        <v>1</v>
      </c>
      <c r="O14" s="59"/>
    </row>
    <row r="15" spans="2:15" ht="12.75" customHeight="1" x14ac:dyDescent="0.2">
      <c r="B15" s="11"/>
      <c r="C15" s="56"/>
      <c r="D15" s="56"/>
      <c r="E15" s="56"/>
      <c r="F15" s="56"/>
      <c r="G15" s="56"/>
      <c r="H15" s="56"/>
      <c r="I15" s="56"/>
      <c r="J15" s="56"/>
      <c r="K15" s="56"/>
      <c r="L15" s="56"/>
      <c r="M15" s="56"/>
      <c r="N15" s="56"/>
    </row>
    <row r="16" spans="2:15" ht="12.75" customHeight="1" x14ac:dyDescent="0.2">
      <c r="B16" s="5" t="s">
        <v>774</v>
      </c>
      <c r="C16" s="56">
        <f>IF(ISERROR(Financial_Statements!F22/Financial_Statements!F$20),"NA",Financial_Statements!F22/Financial_Statements!F$20)</f>
        <v>0.57160804020100497</v>
      </c>
      <c r="D16" s="56">
        <f>IF(ISERROR(Financial_Statements!G22/Financial_Statements!G$20),"NA",Financial_Statements!G22/Financial_Statements!G$20)</f>
        <v>0.56982173174872663</v>
      </c>
      <c r="E16" s="56">
        <f>IF(ISERROR(Financial_Statements!H22/Financial_Statements!H$20),"NA",Financial_Statements!H22/Financial_Statements!H$20)</f>
        <v>0.5760290198400948</v>
      </c>
      <c r="F16" s="56">
        <f>IF(ISERROR(Financial_Statements!I22/Financial_Statements!I$20),"NA",Financial_Statements!I22/Financial_Statements!I$20)</f>
        <v>0.5930592852716382</v>
      </c>
      <c r="G16" s="56">
        <f>IF(ISERROR(Financial_Statements!J22/Financial_Statements!J$20),"NA",Financial_Statements!J22/Financial_Statements!J$20)</f>
        <v>0.65328202149288417</v>
      </c>
      <c r="H16" s="56">
        <f>IF(ISERROR(Financial_Statements!K22/Financial_Statements!K$20),"NA",Financial_Statements!K22/Financial_Statements!K$20)</f>
        <v>0.57731196054254008</v>
      </c>
      <c r="I16" s="56">
        <f>IF(ISERROR(Financial_Statements!L22/Financial_Statements!L$20),"NA",Financial_Statements!L22/Financial_Statements!L$20)</f>
        <v>0.56758164100275244</v>
      </c>
      <c r="J16" s="56">
        <f>IF(ISERROR(Financial_Statements!M22/Financial_Statements!M$20),"NA",Financial_Statements!M22/Financial_Statements!M$20)</f>
        <v>0.57338590438639725</v>
      </c>
      <c r="K16" s="56">
        <f>IF(ISERROR(Financial_Statements!N22/Financial_Statements!N$20),"NA",Financial_Statements!N22/Financial_Statements!N$20)</f>
        <v>0.61177309298299221</v>
      </c>
      <c r="L16" s="56">
        <f>IF(ISERROR(Financial_Statements!O22/Financial_Statements!O$20),"NA",Financial_Statements!O22/Financial_Statements!O$20)</f>
        <v>0.61984120059331638</v>
      </c>
      <c r="M16" s="56">
        <f>IF(ISERROR(Financial_Statements!P22/Financial_Statements!P$20),"NA",Financial_Statements!P22/Financial_Statements!P$20)</f>
        <v>0.62995642701525056</v>
      </c>
      <c r="N16" s="56">
        <f>IF(ISERROR(Financial_Statements!Q22/Financial_Statements!Q$20),"NA",Financial_Statements!Q22/Financial_Statements!Q$20)</f>
        <v>0.61662172573189522</v>
      </c>
      <c r="O16" s="59"/>
    </row>
    <row r="17" spans="2:15" ht="12.75" customHeight="1" x14ac:dyDescent="0.2">
      <c r="B17" s="5" t="s">
        <v>773</v>
      </c>
      <c r="C17" s="56" t="str">
        <f>IF(ISERROR(Financial_Statements!F23/Financial_Statements!F$20),"NA",Financial_Statements!F23/Financial_Statements!F$20)</f>
        <v>NA</v>
      </c>
      <c r="D17" s="56" t="str">
        <f>IF(ISERROR(Financial_Statements!G23/Financial_Statements!G$20),"NA",Financial_Statements!G23/Financial_Statements!G$20)</f>
        <v>NA</v>
      </c>
      <c r="E17" s="56" t="str">
        <f>IF(ISERROR(Financial_Statements!H23/Financial_Statements!H$20),"NA",Financial_Statements!H23/Financial_Statements!H$20)</f>
        <v>NA</v>
      </c>
      <c r="F17" s="56" t="str">
        <f>IF(ISERROR(Financial_Statements!I23/Financial_Statements!I$20),"NA",Financial_Statements!I23/Financial_Statements!I$20)</f>
        <v>NA</v>
      </c>
      <c r="G17" s="56" t="str">
        <f>IF(ISERROR(Financial_Statements!J23/Financial_Statements!J$20),"NA",Financial_Statements!J23/Financial_Statements!J$20)</f>
        <v>NA</v>
      </c>
      <c r="H17" s="56" t="str">
        <f>IF(ISERROR(Financial_Statements!K23/Financial_Statements!K$20),"NA",Financial_Statements!K23/Financial_Statements!K$20)</f>
        <v>NA</v>
      </c>
      <c r="I17" s="56" t="str">
        <f>IF(ISERROR(Financial_Statements!L23/Financial_Statements!L$20),"NA",Financial_Statements!L23/Financial_Statements!L$20)</f>
        <v>NA</v>
      </c>
      <c r="J17" s="56" t="str">
        <f>IF(ISERROR(Financial_Statements!M23/Financial_Statements!M$20),"NA",Financial_Statements!M23/Financial_Statements!M$20)</f>
        <v>NA</v>
      </c>
      <c r="K17" s="56" t="str">
        <f>IF(ISERROR(Financial_Statements!N23/Financial_Statements!N$20),"NA",Financial_Statements!N23/Financial_Statements!N$20)</f>
        <v>NA</v>
      </c>
      <c r="L17" s="56" t="str">
        <f>IF(ISERROR(Financial_Statements!O23/Financial_Statements!O$20),"NA",Financial_Statements!O23/Financial_Statements!O$20)</f>
        <v>NA</v>
      </c>
      <c r="M17" s="56" t="str">
        <f>IF(ISERROR(Financial_Statements!P23/Financial_Statements!P$20),"NA",Financial_Statements!P23/Financial_Statements!P$20)</f>
        <v>NA</v>
      </c>
      <c r="N17" s="56" t="str">
        <f>IF(ISERROR(Financial_Statements!Q23/Financial_Statements!Q$20),"NA",Financial_Statements!Q23/Financial_Statements!Q$20)</f>
        <v>NA</v>
      </c>
    </row>
    <row r="18" spans="2:15" ht="12.75" customHeight="1" x14ac:dyDescent="0.2">
      <c r="B18" s="5" t="s">
        <v>772</v>
      </c>
      <c r="C18" s="56" t="str">
        <f>IF(ISERROR(Financial_Statements!F24/Financial_Statements!F$20),"NA",Financial_Statements!F24/Financial_Statements!F$20)</f>
        <v>NA</v>
      </c>
      <c r="D18" s="56" t="str">
        <f>IF(ISERROR(Financial_Statements!G24/Financial_Statements!G$20),"NA",Financial_Statements!G24/Financial_Statements!G$20)</f>
        <v>NA</v>
      </c>
      <c r="E18" s="56" t="str">
        <f>IF(ISERROR(Financial_Statements!H24/Financial_Statements!H$20),"NA",Financial_Statements!H24/Financial_Statements!H$20)</f>
        <v>NA</v>
      </c>
      <c r="F18" s="56" t="str">
        <f>IF(ISERROR(Financial_Statements!I24/Financial_Statements!I$20),"NA",Financial_Statements!I24/Financial_Statements!I$20)</f>
        <v>NA</v>
      </c>
      <c r="G18" s="56" t="str">
        <f>IF(ISERROR(Financial_Statements!J24/Financial_Statements!J$20),"NA",Financial_Statements!J24/Financial_Statements!J$20)</f>
        <v>NA</v>
      </c>
      <c r="H18" s="56" t="str">
        <f>IF(ISERROR(Financial_Statements!K24/Financial_Statements!K$20),"NA",Financial_Statements!K24/Financial_Statements!K$20)</f>
        <v>NA</v>
      </c>
      <c r="I18" s="56" t="str">
        <f>IF(ISERROR(Financial_Statements!L24/Financial_Statements!L$20),"NA",Financial_Statements!L24/Financial_Statements!L$20)</f>
        <v>NA</v>
      </c>
      <c r="J18" s="56" t="str">
        <f>IF(ISERROR(Financial_Statements!M24/Financial_Statements!M$20),"NA",Financial_Statements!M24/Financial_Statements!M$20)</f>
        <v>NA</v>
      </c>
      <c r="K18" s="56" t="str">
        <f>IF(ISERROR(Financial_Statements!N24/Financial_Statements!N$20),"NA",Financial_Statements!N24/Financial_Statements!N$20)</f>
        <v>NA</v>
      </c>
      <c r="L18" s="56" t="str">
        <f>IF(ISERROR(Financial_Statements!O24/Financial_Statements!O$20),"NA",Financial_Statements!O24/Financial_Statements!O$20)</f>
        <v>NA</v>
      </c>
      <c r="M18" s="56" t="str">
        <f>IF(ISERROR(Financial_Statements!P24/Financial_Statements!P$20),"NA",Financial_Statements!P24/Financial_Statements!P$20)</f>
        <v>NA</v>
      </c>
      <c r="N18" s="56" t="str">
        <f>IF(ISERROR(Financial_Statements!Q24/Financial_Statements!Q$20),"NA",Financial_Statements!Q24/Financial_Statements!Q$20)</f>
        <v>NA</v>
      </c>
    </row>
    <row r="19" spans="2:15" ht="12.75" customHeight="1" x14ac:dyDescent="0.2">
      <c r="B19" s="5" t="s">
        <v>771</v>
      </c>
      <c r="C19" s="56" t="str">
        <f>IF(ISERROR(Financial_Statements!F25/Financial_Statements!F$20),"NA",Financial_Statements!F25/Financial_Statements!F$20)</f>
        <v>NA</v>
      </c>
      <c r="D19" s="56" t="str">
        <f>IF(ISERROR(Financial_Statements!G25/Financial_Statements!G$20),"NA",Financial_Statements!G25/Financial_Statements!G$20)</f>
        <v>NA</v>
      </c>
      <c r="E19" s="56" t="str">
        <f>IF(ISERROR(Financial_Statements!H25/Financial_Statements!H$20),"NA",Financial_Statements!H25/Financial_Statements!H$20)</f>
        <v>NA</v>
      </c>
      <c r="F19" s="56" t="str">
        <f>IF(ISERROR(Financial_Statements!I25/Financial_Statements!I$20),"NA",Financial_Statements!I25/Financial_Statements!I$20)</f>
        <v>NA</v>
      </c>
      <c r="G19" s="56" t="str">
        <f>IF(ISERROR(Financial_Statements!J25/Financial_Statements!J$20),"NA",Financial_Statements!J25/Financial_Statements!J$20)</f>
        <v>NA</v>
      </c>
      <c r="H19" s="56" t="str">
        <f>IF(ISERROR(Financial_Statements!K25/Financial_Statements!K$20),"NA",Financial_Statements!K25/Financial_Statements!K$20)</f>
        <v>NA</v>
      </c>
      <c r="I19" s="56" t="str">
        <f>IF(ISERROR(Financial_Statements!L25/Financial_Statements!L$20),"NA",Financial_Statements!L25/Financial_Statements!L$20)</f>
        <v>NA</v>
      </c>
      <c r="J19" s="56" t="str">
        <f>IF(ISERROR(Financial_Statements!M25/Financial_Statements!M$20),"NA",Financial_Statements!M25/Financial_Statements!M$20)</f>
        <v>NA</v>
      </c>
      <c r="K19" s="56" t="str">
        <f>IF(ISERROR(Financial_Statements!N25/Financial_Statements!N$20),"NA",Financial_Statements!N25/Financial_Statements!N$20)</f>
        <v>NA</v>
      </c>
      <c r="L19" s="56" t="str">
        <f>IF(ISERROR(Financial_Statements!O25/Financial_Statements!O$20),"NA",Financial_Statements!O25/Financial_Statements!O$20)</f>
        <v>NA</v>
      </c>
      <c r="M19" s="56" t="str">
        <f>IF(ISERROR(Financial_Statements!P25/Financial_Statements!P$20),"NA",Financial_Statements!P25/Financial_Statements!P$20)</f>
        <v>NA</v>
      </c>
      <c r="N19" s="56" t="str">
        <f>IF(ISERROR(Financial_Statements!Q25/Financial_Statements!Q$20),"NA",Financial_Statements!Q25/Financial_Statements!Q$20)</f>
        <v>NA</v>
      </c>
    </row>
    <row r="20" spans="2:15" ht="12.75" customHeight="1" x14ac:dyDescent="0.2">
      <c r="B20" s="14" t="s">
        <v>770</v>
      </c>
      <c r="C20" s="57">
        <f>IF(ISERROR(Financial_Statements!F26/Financial_Statements!F$20),"NA",Financial_Statements!F26/Financial_Statements!F$20)</f>
        <v>0.42839195979899497</v>
      </c>
      <c r="D20" s="57">
        <f>IF(ISERROR(Financial_Statements!G26/Financial_Statements!G$20),"NA",Financial_Statements!G26/Financial_Statements!G$20)</f>
        <v>0.43017826825127331</v>
      </c>
      <c r="E20" s="57">
        <f>IF(ISERROR(Financial_Statements!H26/Financial_Statements!H$20),"NA",Financial_Statements!H26/Financial_Statements!H$20)</f>
        <v>0.42397098015990531</v>
      </c>
      <c r="F20" s="57">
        <f>IF(ISERROR(Financial_Statements!I26/Financial_Statements!I$20),"NA",Financial_Statements!I26/Financial_Statements!I$20)</f>
        <v>0.40694071472836191</v>
      </c>
      <c r="G20" s="57">
        <f>IF(ISERROR(Financial_Statements!J26/Financial_Statements!J$20),"NA",Financial_Statements!J26/Financial_Statements!J$20)</f>
        <v>0.34671797850711589</v>
      </c>
      <c r="H20" s="57">
        <f>IF(ISERROR(Financial_Statements!K26/Financial_Statements!K$20),"NA",Financial_Statements!K26/Financial_Statements!K$20)</f>
        <v>0.42268803945745992</v>
      </c>
      <c r="I20" s="57">
        <f>IF(ISERROR(Financial_Statements!L26/Financial_Statements!L$20),"NA",Financial_Statements!L26/Financial_Statements!L$20)</f>
        <v>0.43241835899724768</v>
      </c>
      <c r="J20" s="57">
        <f>IF(ISERROR(Financial_Statements!M26/Financial_Statements!M$20),"NA",Financial_Statements!M26/Financial_Statements!M$20)</f>
        <v>0.42661409561360275</v>
      </c>
      <c r="K20" s="57">
        <f>IF(ISERROR(Financial_Statements!N26/Financial_Statements!N$20),"NA",Financial_Statements!N26/Financial_Statements!N$20)</f>
        <v>0.38822690701700785</v>
      </c>
      <c r="L20" s="57">
        <f>IF(ISERROR(Financial_Statements!O26/Financial_Statements!O$20),"NA",Financial_Statements!O26/Financial_Statements!O$20)</f>
        <v>0.38015879940668346</v>
      </c>
      <c r="M20" s="57">
        <f>IF(ISERROR(Financial_Statements!P26/Financial_Statements!P$20),"NA",Financial_Statements!P26/Financial_Statements!P$20)</f>
        <v>0.37004357298474944</v>
      </c>
      <c r="N20" s="57">
        <f>IF(ISERROR(Financial_Statements!Q26/Financial_Statements!Q$20),"NA",Financial_Statements!Q26/Financial_Statements!Q$20)</f>
        <v>0.38337827426810478</v>
      </c>
      <c r="O20" s="59"/>
    </row>
    <row r="21" spans="2:15" ht="12.75" customHeight="1" x14ac:dyDescent="0.2">
      <c r="B21" s="11"/>
      <c r="C21" s="56"/>
      <c r="D21" s="56"/>
      <c r="E21" s="56"/>
      <c r="F21" s="56"/>
      <c r="G21" s="56"/>
      <c r="H21" s="56"/>
      <c r="I21" s="56"/>
      <c r="J21" s="56"/>
      <c r="K21" s="56"/>
      <c r="L21" s="56"/>
      <c r="M21" s="56"/>
      <c r="N21" s="56"/>
    </row>
    <row r="22" spans="2:15" ht="12.75" customHeight="1" x14ac:dyDescent="0.2">
      <c r="B22" s="5" t="s">
        <v>769</v>
      </c>
      <c r="C22" s="56">
        <f>IF(ISERROR(Financial_Statements!F28/Financial_Statements!F$20),"NA",Financial_Statements!F28/Financial_Statements!F$20)</f>
        <v>0.15368509212730319</v>
      </c>
      <c r="D22" s="56">
        <f>IF(ISERROR(Financial_Statements!G28/Financial_Statements!G$20),"NA",Financial_Statements!G28/Financial_Statements!G$20)</f>
        <v>0.13801641199773626</v>
      </c>
      <c r="E22" s="56">
        <f>IF(ISERROR(Financial_Statements!H28/Financial_Statements!H$20),"NA",Financial_Statements!H28/Financial_Statements!H$20)</f>
        <v>0.13954693514954103</v>
      </c>
      <c r="F22" s="56">
        <f>IF(ISERROR(Financial_Statements!I28/Financial_Statements!I$20),"NA",Financial_Statements!I28/Financial_Statements!I$20)</f>
        <v>0.13413206637747024</v>
      </c>
      <c r="G22" s="56">
        <f>IF(ISERROR(Financial_Statements!J28/Financial_Statements!J$20),"NA",Financial_Statements!J28/Financial_Statements!J$20)</f>
        <v>0.13026430438571013</v>
      </c>
      <c r="H22" s="56">
        <f>IF(ISERROR(Financial_Statements!K28/Financial_Statements!K$20),"NA",Financial_Statements!K28/Financial_Statements!K$20)</f>
        <v>0.13101109741060418</v>
      </c>
      <c r="I22" s="56">
        <f>IF(ISERROR(Financial_Statements!L28/Financial_Statements!L$20),"NA",Financial_Statements!L28/Financial_Statements!L$20)</f>
        <v>0.13828758461652907</v>
      </c>
      <c r="J22" s="56">
        <f>IF(ISERROR(Financial_Statements!M28/Financial_Statements!M$20),"NA",Financial_Statements!M28/Financial_Statements!M$20)</f>
        <v>0.20266140956136028</v>
      </c>
      <c r="K22" s="56">
        <f>IF(ISERROR(Financial_Statements!N28/Financial_Statements!N$20),"NA",Financial_Statements!N28/Financial_Statements!N$20)</f>
        <v>0.17445768408188209</v>
      </c>
      <c r="L22" s="56">
        <f>IF(ISERROR(Financial_Statements!O28/Financial_Statements!O$20),"NA",Financial_Statements!O28/Financial_Statements!O$20)</f>
        <v>0.14963790245179301</v>
      </c>
      <c r="M22" s="56">
        <f>IF(ISERROR(Financial_Statements!P28/Financial_Statements!P$20),"NA",Financial_Statements!P28/Financial_Statements!P$20)</f>
        <v>0.17854030501089324</v>
      </c>
      <c r="N22" s="56">
        <f>IF(ISERROR(Financial_Statements!Q28/Financial_Statements!Q$20),"NA",Financial_Statements!Q28/Financial_Statements!Q$20)</f>
        <v>0.15870570107858242</v>
      </c>
      <c r="O22" s="59"/>
    </row>
    <row r="23" spans="2:15" ht="12.75" customHeight="1" x14ac:dyDescent="0.2">
      <c r="B23" s="5" t="s">
        <v>768</v>
      </c>
      <c r="C23" s="56" t="str">
        <f>IF(ISERROR(Financial_Statements!F29/Financial_Statements!F$20),"NA",Financial_Statements!F29/Financial_Statements!F$20)</f>
        <v>NA</v>
      </c>
      <c r="D23" s="56" t="str">
        <f>IF(ISERROR(Financial_Statements!G29/Financial_Statements!G$20),"NA",Financial_Statements!G29/Financial_Statements!G$20)</f>
        <v>NA</v>
      </c>
      <c r="E23" s="56" t="str">
        <f>IF(ISERROR(Financial_Statements!H29/Financial_Statements!H$20),"NA",Financial_Statements!H29/Financial_Statements!H$20)</f>
        <v>NA</v>
      </c>
      <c r="F23" s="56" t="str">
        <f>IF(ISERROR(Financial_Statements!I29/Financial_Statements!I$20),"NA",Financial_Statements!I29/Financial_Statements!I$20)</f>
        <v>NA</v>
      </c>
      <c r="G23" s="56" t="str">
        <f>IF(ISERROR(Financial_Statements!J29/Financial_Statements!J$20),"NA",Financial_Statements!J29/Financial_Statements!J$20)</f>
        <v>NA</v>
      </c>
      <c r="H23" s="56" t="str">
        <f>IF(ISERROR(Financial_Statements!K29/Financial_Statements!K$20),"NA",Financial_Statements!K29/Financial_Statements!K$20)</f>
        <v>NA</v>
      </c>
      <c r="I23" s="56" t="str">
        <f>IF(ISERROR(Financial_Statements!L29/Financial_Statements!L$20),"NA",Financial_Statements!L29/Financial_Statements!L$20)</f>
        <v>NA</v>
      </c>
      <c r="J23" s="56" t="str">
        <f>IF(ISERROR(Financial_Statements!M29/Financial_Statements!M$20),"NA",Financial_Statements!M29/Financial_Statements!M$20)</f>
        <v>NA</v>
      </c>
      <c r="K23" s="56" t="str">
        <f>IF(ISERROR(Financial_Statements!N29/Financial_Statements!N$20),"NA",Financial_Statements!N29/Financial_Statements!N$20)</f>
        <v>NA</v>
      </c>
      <c r="L23" s="56" t="str">
        <f>IF(ISERROR(Financial_Statements!O29/Financial_Statements!O$20),"NA",Financial_Statements!O29/Financial_Statements!O$20)</f>
        <v>NA</v>
      </c>
      <c r="M23" s="56" t="str">
        <f>IF(ISERROR(Financial_Statements!P29/Financial_Statements!P$20),"NA",Financial_Statements!P29/Financial_Statements!P$20)</f>
        <v>NA</v>
      </c>
      <c r="N23" s="56" t="str">
        <f>IF(ISERROR(Financial_Statements!Q29/Financial_Statements!Q$20),"NA",Financial_Statements!Q29/Financial_Statements!Q$20)</f>
        <v>NA</v>
      </c>
    </row>
    <row r="24" spans="2:15" ht="12.75" customHeight="1" x14ac:dyDescent="0.2">
      <c r="B24" s="5" t="s">
        <v>767</v>
      </c>
      <c r="C24" s="56" t="str">
        <f>IF(ISERROR(Financial_Statements!F30/Financial_Statements!F$20),"NA",Financial_Statements!F30/Financial_Statements!F$20)</f>
        <v>NA</v>
      </c>
      <c r="D24" s="56" t="str">
        <f>IF(ISERROR(Financial_Statements!G30/Financial_Statements!G$20),"NA",Financial_Statements!G30/Financial_Statements!G$20)</f>
        <v>NA</v>
      </c>
      <c r="E24" s="56" t="str">
        <f>IF(ISERROR(Financial_Statements!H30/Financial_Statements!H$20),"NA",Financial_Statements!H30/Financial_Statements!H$20)</f>
        <v>NA</v>
      </c>
      <c r="F24" s="56" t="str">
        <f>IF(ISERROR(Financial_Statements!I30/Financial_Statements!I$20),"NA",Financial_Statements!I30/Financial_Statements!I$20)</f>
        <v>NA</v>
      </c>
      <c r="G24" s="56" t="str">
        <f>IF(ISERROR(Financial_Statements!J30/Financial_Statements!J$20),"NA",Financial_Statements!J30/Financial_Statements!J$20)</f>
        <v>NA</v>
      </c>
      <c r="H24" s="56" t="str">
        <f>IF(ISERROR(Financial_Statements!K30/Financial_Statements!K$20),"NA",Financial_Statements!K30/Financial_Statements!K$20)</f>
        <v>NA</v>
      </c>
      <c r="I24" s="56" t="str">
        <f>IF(ISERROR(Financial_Statements!L30/Financial_Statements!L$20),"NA",Financial_Statements!L30/Financial_Statements!L$20)</f>
        <v>NA</v>
      </c>
      <c r="J24" s="56" t="str">
        <f>IF(ISERROR(Financial_Statements!M30/Financial_Statements!M$20),"NA",Financial_Statements!M30/Financial_Statements!M$20)</f>
        <v>NA</v>
      </c>
      <c r="K24" s="56" t="str">
        <f>IF(ISERROR(Financial_Statements!N30/Financial_Statements!N$20),"NA",Financial_Statements!N30/Financial_Statements!N$20)</f>
        <v>NA</v>
      </c>
      <c r="L24" s="56" t="str">
        <f>IF(ISERROR(Financial_Statements!O30/Financial_Statements!O$20),"NA",Financial_Statements!O30/Financial_Statements!O$20)</f>
        <v>NA</v>
      </c>
      <c r="M24" s="56" t="str">
        <f>IF(ISERROR(Financial_Statements!P30/Financial_Statements!P$20),"NA",Financial_Statements!P30/Financial_Statements!P$20)</f>
        <v>NA</v>
      </c>
      <c r="N24" s="56" t="str">
        <f>IF(ISERROR(Financial_Statements!Q30/Financial_Statements!Q$20),"NA",Financial_Statements!Q30/Financial_Statements!Q$20)</f>
        <v>NA</v>
      </c>
    </row>
    <row r="25" spans="2:15" ht="12.75" customHeight="1" x14ac:dyDescent="0.2">
      <c r="B25" s="5" t="s">
        <v>668</v>
      </c>
      <c r="C25" s="56" t="str">
        <f>IF(ISERROR(Financial_Statements!F31/Financial_Statements!F$20),"NA",Financial_Statements!F31/Financial_Statements!F$20)</f>
        <v>NA</v>
      </c>
      <c r="D25" s="56" t="str">
        <f>IF(ISERROR(Financial_Statements!G31/Financial_Statements!G$20),"NA",Financial_Statements!G31/Financial_Statements!G$20)</f>
        <v>NA</v>
      </c>
      <c r="E25" s="56" t="str">
        <f>IF(ISERROR(Financial_Statements!H31/Financial_Statements!H$20),"NA",Financial_Statements!H31/Financial_Statements!H$20)</f>
        <v>NA</v>
      </c>
      <c r="F25" s="56" t="str">
        <f>IF(ISERROR(Financial_Statements!I31/Financial_Statements!I$20),"NA",Financial_Statements!I31/Financial_Statements!I$20)</f>
        <v>NA</v>
      </c>
      <c r="G25" s="56" t="str">
        <f>IF(ISERROR(Financial_Statements!J31/Financial_Statements!J$20),"NA",Financial_Statements!J31/Financial_Statements!J$20)</f>
        <v>NA</v>
      </c>
      <c r="H25" s="56" t="str">
        <f>IF(ISERROR(Financial_Statements!K31/Financial_Statements!K$20),"NA",Financial_Statements!K31/Financial_Statements!K$20)</f>
        <v>NA</v>
      </c>
      <c r="I25" s="56" t="str">
        <f>IF(ISERROR(Financial_Statements!L31/Financial_Statements!L$20),"NA",Financial_Statements!L31/Financial_Statements!L$20)</f>
        <v>NA</v>
      </c>
      <c r="J25" s="56" t="str">
        <f>IF(ISERROR(Financial_Statements!M31/Financial_Statements!M$20),"NA",Financial_Statements!M31/Financial_Statements!M$20)</f>
        <v>NA</v>
      </c>
      <c r="K25" s="56" t="str">
        <f>IF(ISERROR(Financial_Statements!N31/Financial_Statements!N$20),"NA",Financial_Statements!N31/Financial_Statements!N$20)</f>
        <v>NA</v>
      </c>
      <c r="L25" s="56" t="str">
        <f>IF(ISERROR(Financial_Statements!O31/Financial_Statements!O$20),"NA",Financial_Statements!O31/Financial_Statements!O$20)</f>
        <v>NA</v>
      </c>
      <c r="M25" s="56" t="str">
        <f>IF(ISERROR(Financial_Statements!P31/Financial_Statements!P$20),"NA",Financial_Statements!P31/Financial_Statements!P$20)</f>
        <v>NA</v>
      </c>
      <c r="N25" s="56" t="str">
        <f>IF(ISERROR(Financial_Statements!Q31/Financial_Statements!Q$20),"NA",Financial_Statements!Q31/Financial_Statements!Q$20)</f>
        <v>NA</v>
      </c>
    </row>
    <row r="26" spans="2:15" ht="12.75" customHeight="1" x14ac:dyDescent="0.2">
      <c r="B26" s="5" t="s">
        <v>766</v>
      </c>
      <c r="C26" s="56" t="str">
        <f>IF(ISERROR(Financial_Statements!F32/Financial_Statements!F$20),"NA",Financial_Statements!F32/Financial_Statements!F$20)</f>
        <v>NA</v>
      </c>
      <c r="D26" s="56" t="str">
        <f>IF(ISERROR(Financial_Statements!G32/Financial_Statements!G$20),"NA",Financial_Statements!G32/Financial_Statements!G$20)</f>
        <v>NA</v>
      </c>
      <c r="E26" s="56" t="str">
        <f>IF(ISERROR(Financial_Statements!H32/Financial_Statements!H$20),"NA",Financial_Statements!H32/Financial_Statements!H$20)</f>
        <v>NA</v>
      </c>
      <c r="F26" s="56" t="str">
        <f>IF(ISERROR(Financial_Statements!I32/Financial_Statements!I$20),"NA",Financial_Statements!I32/Financial_Statements!I$20)</f>
        <v>NA</v>
      </c>
      <c r="G26" s="56" t="str">
        <f>IF(ISERROR(Financial_Statements!J32/Financial_Statements!J$20),"NA",Financial_Statements!J32/Financial_Statements!J$20)</f>
        <v>NA</v>
      </c>
      <c r="H26" s="56" t="str">
        <f>IF(ISERROR(Financial_Statements!K32/Financial_Statements!K$20),"NA",Financial_Statements!K32/Financial_Statements!K$20)</f>
        <v>NA</v>
      </c>
      <c r="I26" s="56" t="str">
        <f>IF(ISERROR(Financial_Statements!L32/Financial_Statements!L$20),"NA",Financial_Statements!L32/Financial_Statements!L$20)</f>
        <v>NA</v>
      </c>
      <c r="J26" s="56" t="str">
        <f>IF(ISERROR(Financial_Statements!M32/Financial_Statements!M$20),"NA",Financial_Statements!M32/Financial_Statements!M$20)</f>
        <v>NA</v>
      </c>
      <c r="K26" s="56" t="str">
        <f>IF(ISERROR(Financial_Statements!N32/Financial_Statements!N$20),"NA",Financial_Statements!N32/Financial_Statements!N$20)</f>
        <v>NA</v>
      </c>
      <c r="L26" s="56" t="str">
        <f>IF(ISERROR(Financial_Statements!O32/Financial_Statements!O$20),"NA",Financial_Statements!O32/Financial_Statements!O$20)</f>
        <v>NA</v>
      </c>
      <c r="M26" s="56" t="str">
        <f>IF(ISERROR(Financial_Statements!P32/Financial_Statements!P$20),"NA",Financial_Statements!P32/Financial_Statements!P$20)</f>
        <v>NA</v>
      </c>
      <c r="N26" s="56" t="str">
        <f>IF(ISERROR(Financial_Statements!Q32/Financial_Statements!Q$20),"NA",Financial_Statements!Q32/Financial_Statements!Q$20)</f>
        <v>NA</v>
      </c>
    </row>
    <row r="27" spans="2:15" ht="12.75" customHeight="1" x14ac:dyDescent="0.2">
      <c r="B27" s="5" t="s">
        <v>765</v>
      </c>
      <c r="C27" s="56">
        <f>IF(ISERROR(Financial_Statements!F33/Financial_Statements!F$20),"NA",Financial_Statements!F33/Financial_Statements!F$20)</f>
        <v>6.6582914572864318E-2</v>
      </c>
      <c r="D27" s="56">
        <f>IF(ISERROR(Financial_Statements!G33/Financial_Statements!G$20),"NA",Financial_Statements!G33/Financial_Statements!G$20)</f>
        <v>6.03423882286361E-2</v>
      </c>
      <c r="E27" s="56">
        <f>IF(ISERROR(Financial_Statements!H33/Financial_Statements!H$20),"NA",Financial_Statements!H33/Financial_Statements!H$20)</f>
        <v>5.31536867041753E-2</v>
      </c>
      <c r="F27" s="56">
        <f>IF(ISERROR(Financial_Statements!I33/Financial_Statements!I$20),"NA",Financial_Statements!I33/Financial_Statements!I$20)</f>
        <v>5.4740756042140057E-2</v>
      </c>
      <c r="G27" s="56">
        <f>IF(ISERROR(Financial_Statements!J33/Financial_Statements!J$20),"NA",Financial_Statements!J33/Financial_Statements!J$20)</f>
        <v>5.6999709555620094E-2</v>
      </c>
      <c r="H27" s="56">
        <f>IF(ISERROR(Financial_Statements!K33/Financial_Statements!K$20),"NA",Financial_Statements!K33/Financial_Statements!K$20)</f>
        <v>5.2034525277435267E-2</v>
      </c>
      <c r="I27" s="56">
        <f>IF(ISERROR(Financial_Statements!L33/Financial_Statements!L$20),"NA",Financial_Statements!L33/Financial_Statements!L$20)</f>
        <v>5.8320315405787408E-2</v>
      </c>
      <c r="J27" s="56">
        <f>IF(ISERROR(Financial_Statements!M33/Financial_Statements!M$20),"NA",Financial_Statements!M33/Financial_Statements!M$20)</f>
        <v>8.6446525381961556E-2</v>
      </c>
      <c r="K27" s="56">
        <f>IF(ISERROR(Financial_Statements!N33/Financial_Statements!N$20),"NA",Financial_Statements!N33/Financial_Statements!N$20)</f>
        <v>8.2391282207964156E-2</v>
      </c>
      <c r="L27" s="56">
        <f>IF(ISERROR(Financial_Statements!O33/Financial_Statements!O$20),"NA",Financial_Statements!O33/Financial_Statements!O$20)</f>
        <v>7.1372480586336259E-2</v>
      </c>
      <c r="M27" s="56">
        <f>IF(ISERROR(Financial_Statements!P33/Financial_Statements!P$20),"NA",Financial_Statements!P33/Financial_Statements!P$20)</f>
        <v>6.6339869281045752E-2</v>
      </c>
      <c r="N27" s="56">
        <f>IF(ISERROR(Financial_Statements!Q33/Financial_Statements!Q$20),"NA",Financial_Statements!Q33/Financial_Statements!Q$20)</f>
        <v>7.309322033898305E-2</v>
      </c>
    </row>
    <row r="28" spans="2:15" ht="12.75" customHeight="1" x14ac:dyDescent="0.2">
      <c r="B28" s="5" t="s">
        <v>680</v>
      </c>
      <c r="C28" s="56" t="str">
        <f>IF(ISERROR(Financial_Statements!F34/Financial_Statements!F$20),"NA",Financial_Statements!F34/Financial_Statements!F$20)</f>
        <v>NA</v>
      </c>
      <c r="D28" s="56" t="str">
        <f>IF(ISERROR(Financial_Statements!G34/Financial_Statements!G$20),"NA",Financial_Statements!G34/Financial_Statements!G$20)</f>
        <v>NA</v>
      </c>
      <c r="E28" s="56" t="str">
        <f>IF(ISERROR(Financial_Statements!H34/Financial_Statements!H$20),"NA",Financial_Statements!H34/Financial_Statements!H$20)</f>
        <v>NA</v>
      </c>
      <c r="F28" s="56" t="str">
        <f>IF(ISERROR(Financial_Statements!I34/Financial_Statements!I$20),"NA",Financial_Statements!I34/Financial_Statements!I$20)</f>
        <v>NA</v>
      </c>
      <c r="G28" s="56" t="str">
        <f>IF(ISERROR(Financial_Statements!J34/Financial_Statements!J$20),"NA",Financial_Statements!J34/Financial_Statements!J$20)</f>
        <v>NA</v>
      </c>
      <c r="H28" s="56" t="str">
        <f>IF(ISERROR(Financial_Statements!K34/Financial_Statements!K$20),"NA",Financial_Statements!K34/Financial_Statements!K$20)</f>
        <v>NA</v>
      </c>
      <c r="I28" s="56" t="str">
        <f>IF(ISERROR(Financial_Statements!L34/Financial_Statements!L$20),"NA",Financial_Statements!L34/Financial_Statements!L$20)</f>
        <v>NA</v>
      </c>
      <c r="J28" s="56" t="str">
        <f>IF(ISERROR(Financial_Statements!M34/Financial_Statements!M$20),"NA",Financial_Statements!M34/Financial_Statements!M$20)</f>
        <v>NA</v>
      </c>
      <c r="K28" s="56" t="str">
        <f>IF(ISERROR(Financial_Statements!N34/Financial_Statements!N$20),"NA",Financial_Statements!N34/Financial_Statements!N$20)</f>
        <v>NA</v>
      </c>
      <c r="L28" s="56" t="str">
        <f>IF(ISERROR(Financial_Statements!O34/Financial_Statements!O$20),"NA",Financial_Statements!O34/Financial_Statements!O$20)</f>
        <v>NA</v>
      </c>
      <c r="M28" s="56" t="str">
        <f>IF(ISERROR(Financial_Statements!P34/Financial_Statements!P$20),"NA",Financial_Statements!P34/Financial_Statements!P$20)</f>
        <v>NA</v>
      </c>
      <c r="N28" s="56" t="str">
        <f>IF(ISERROR(Financial_Statements!Q34/Financial_Statements!Q$20),"NA",Financial_Statements!Q34/Financial_Statements!Q$20)</f>
        <v>NA</v>
      </c>
    </row>
    <row r="29" spans="2:15" ht="12.75" customHeight="1" x14ac:dyDescent="0.2">
      <c r="B29" s="5" t="s">
        <v>679</v>
      </c>
      <c r="C29" s="56" t="str">
        <f>IF(ISERROR(Financial_Statements!F35/Financial_Statements!F$20),"NA",Financial_Statements!F35/Financial_Statements!F$20)</f>
        <v>NA</v>
      </c>
      <c r="D29" s="56" t="str">
        <f>IF(ISERROR(Financial_Statements!G35/Financial_Statements!G$20),"NA",Financial_Statements!G35/Financial_Statements!G$20)</f>
        <v>NA</v>
      </c>
      <c r="E29" s="56" t="str">
        <f>IF(ISERROR(Financial_Statements!H35/Financial_Statements!H$20),"NA",Financial_Statements!H35/Financial_Statements!H$20)</f>
        <v>NA</v>
      </c>
      <c r="F29" s="56" t="str">
        <f>IF(ISERROR(Financial_Statements!I35/Financial_Statements!I$20),"NA",Financial_Statements!I35/Financial_Statements!I$20)</f>
        <v>NA</v>
      </c>
      <c r="G29" s="56" t="str">
        <f>IF(ISERROR(Financial_Statements!J35/Financial_Statements!J$20),"NA",Financial_Statements!J35/Financial_Statements!J$20)</f>
        <v>NA</v>
      </c>
      <c r="H29" s="56" t="str">
        <f>IF(ISERROR(Financial_Statements!K35/Financial_Statements!K$20),"NA",Financial_Statements!K35/Financial_Statements!K$20)</f>
        <v>NA</v>
      </c>
      <c r="I29" s="56" t="str">
        <f>IF(ISERROR(Financial_Statements!L35/Financial_Statements!L$20),"NA",Financial_Statements!L35/Financial_Statements!L$20)</f>
        <v>NA</v>
      </c>
      <c r="J29" s="56" t="str">
        <f>IF(ISERROR(Financial_Statements!M35/Financial_Statements!M$20),"NA",Financial_Statements!M35/Financial_Statements!M$20)</f>
        <v>NA</v>
      </c>
      <c r="K29" s="56" t="str">
        <f>IF(ISERROR(Financial_Statements!N35/Financial_Statements!N$20),"NA",Financial_Statements!N35/Financial_Statements!N$20)</f>
        <v>NA</v>
      </c>
      <c r="L29" s="56" t="str">
        <f>IF(ISERROR(Financial_Statements!O35/Financial_Statements!O$20),"NA",Financial_Statements!O35/Financial_Statements!O$20)</f>
        <v>NA</v>
      </c>
      <c r="M29" s="56" t="str">
        <f>IF(ISERROR(Financial_Statements!P35/Financial_Statements!P$20),"NA",Financial_Statements!P35/Financial_Statements!P$20)</f>
        <v>NA</v>
      </c>
      <c r="N29" s="56" t="str">
        <f>IF(ISERROR(Financial_Statements!Q35/Financial_Statements!Q$20),"NA",Financial_Statements!Q35/Financial_Statements!Q$20)</f>
        <v>NA</v>
      </c>
    </row>
    <row r="30" spans="2:15" ht="12.75" customHeight="1" x14ac:dyDescent="0.2">
      <c r="B30" s="5" t="s">
        <v>678</v>
      </c>
      <c r="C30" s="56" t="str">
        <f>IF(ISERROR(Financial_Statements!F36/Financial_Statements!F$20),"NA",Financial_Statements!F36/Financial_Statements!F$20)</f>
        <v>NA</v>
      </c>
      <c r="D30" s="56" t="str">
        <f>IF(ISERROR(Financial_Statements!G36/Financial_Statements!G$20),"NA",Financial_Statements!G36/Financial_Statements!G$20)</f>
        <v>NA</v>
      </c>
      <c r="E30" s="56" t="str">
        <f>IF(ISERROR(Financial_Statements!H36/Financial_Statements!H$20),"NA",Financial_Statements!H36/Financial_Statements!H$20)</f>
        <v>NA</v>
      </c>
      <c r="F30" s="56" t="str">
        <f>IF(ISERROR(Financial_Statements!I36/Financial_Statements!I$20),"NA",Financial_Statements!I36/Financial_Statements!I$20)</f>
        <v>NA</v>
      </c>
      <c r="G30" s="56" t="str">
        <f>IF(ISERROR(Financial_Statements!J36/Financial_Statements!J$20),"NA",Financial_Statements!J36/Financial_Statements!J$20)</f>
        <v>NA</v>
      </c>
      <c r="H30" s="56" t="str">
        <f>IF(ISERROR(Financial_Statements!K36/Financial_Statements!K$20),"NA",Financial_Statements!K36/Financial_Statements!K$20)</f>
        <v>NA</v>
      </c>
      <c r="I30" s="56" t="str">
        <f>IF(ISERROR(Financial_Statements!L36/Financial_Statements!L$20),"NA",Financial_Statements!L36/Financial_Statements!L$20)</f>
        <v>NA</v>
      </c>
      <c r="J30" s="56" t="str">
        <f>IF(ISERROR(Financial_Statements!M36/Financial_Statements!M$20),"NA",Financial_Statements!M36/Financial_Statements!M$20)</f>
        <v>NA</v>
      </c>
      <c r="K30" s="56" t="str">
        <f>IF(ISERROR(Financial_Statements!N36/Financial_Statements!N$20),"NA",Financial_Statements!N36/Financial_Statements!N$20)</f>
        <v>NA</v>
      </c>
      <c r="L30" s="56" t="str">
        <f>IF(ISERROR(Financial_Statements!O36/Financial_Statements!O$20),"NA",Financial_Statements!O36/Financial_Statements!O$20)</f>
        <v>NA</v>
      </c>
      <c r="M30" s="56" t="str">
        <f>IF(ISERROR(Financial_Statements!P36/Financial_Statements!P$20),"NA",Financial_Statements!P36/Financial_Statements!P$20)</f>
        <v>NA</v>
      </c>
      <c r="N30" s="56" t="str">
        <f>IF(ISERROR(Financial_Statements!Q36/Financial_Statements!Q$20),"NA",Financial_Statements!Q36/Financial_Statements!Q$20)</f>
        <v>NA</v>
      </c>
    </row>
    <row r="31" spans="2:15" ht="12.75" customHeight="1" x14ac:dyDescent="0.2">
      <c r="B31" s="5" t="s">
        <v>764</v>
      </c>
      <c r="C31" s="60" t="str">
        <f>IF(ISERROR(Financial_Statements!F37/Financial_Statements!F$20),"NA",Financial_Statements!F37/Financial_Statements!F$20)</f>
        <v>NA</v>
      </c>
      <c r="D31" s="60" t="str">
        <f>IF(ISERROR(Financial_Statements!G37/Financial_Statements!G$20),"NA",Financial_Statements!G37/Financial_Statements!G$20)</f>
        <v>NA</v>
      </c>
      <c r="E31" s="60" t="str">
        <f>IF(ISERROR(Financial_Statements!H37/Financial_Statements!H$20),"NA",Financial_Statements!H37/Financial_Statements!H$20)</f>
        <v>NA</v>
      </c>
      <c r="F31" s="60" t="str">
        <f>IF(ISERROR(Financial_Statements!I37/Financial_Statements!I$20),"NA",Financial_Statements!I37/Financial_Statements!I$20)</f>
        <v>NA</v>
      </c>
      <c r="G31" s="60" t="str">
        <f>IF(ISERROR(Financial_Statements!J37/Financial_Statements!J$20),"NA",Financial_Statements!J37/Financial_Statements!J$20)</f>
        <v>NA</v>
      </c>
      <c r="H31" s="60" t="str">
        <f>IF(ISERROR(Financial_Statements!K37/Financial_Statements!K$20),"NA",Financial_Statements!K37/Financial_Statements!K$20)</f>
        <v>NA</v>
      </c>
      <c r="I31" s="60" t="str">
        <f>IF(ISERROR(Financial_Statements!L37/Financial_Statements!L$20),"NA",Financial_Statements!L37/Financial_Statements!L$20)</f>
        <v>NA</v>
      </c>
      <c r="J31" s="60" t="str">
        <f>IF(ISERROR(Financial_Statements!M37/Financial_Statements!M$20),"NA",Financial_Statements!M37/Financial_Statements!M$20)</f>
        <v>NA</v>
      </c>
      <c r="K31" s="60" t="str">
        <f>IF(ISERROR(Financial_Statements!N37/Financial_Statements!N$20),"NA",Financial_Statements!N37/Financial_Statements!N$20)</f>
        <v>NA</v>
      </c>
      <c r="L31" s="60">
        <f>IF(ISERROR(Financial_Statements!O37/Financial_Statements!O$20),"NA",Financial_Statements!O37/Financial_Statements!O$20)</f>
        <v>7.7392897652909867E-2</v>
      </c>
      <c r="M31" s="60" t="str">
        <f>IF(ISERROR(Financial_Statements!P37/Financial_Statements!P$20),"NA",Financial_Statements!P37/Financial_Statements!P$20)</f>
        <v>NA</v>
      </c>
      <c r="N31" s="60" t="str">
        <f>IF(ISERROR(Financial_Statements!Q37/Financial_Statements!Q$20),"NA",Financial_Statements!Q37/Financial_Statements!Q$20)</f>
        <v>NA</v>
      </c>
    </row>
    <row r="32" spans="2:15" ht="12.75" customHeight="1" x14ac:dyDescent="0.2">
      <c r="B32" s="14" t="s">
        <v>763</v>
      </c>
      <c r="C32" s="61">
        <f>IF(ISERROR(Financial_Statements!F38/Financial_Statements!F$20),"NA",Financial_Statements!F38/Financial_Statements!F$20)</f>
        <v>0.2202680067001675</v>
      </c>
      <c r="D32" s="61">
        <f>IF(ISERROR(Financial_Statements!G38/Financial_Statements!G$20),"NA",Financial_Statements!G38/Financial_Statements!G$20)</f>
        <v>0.19835880022637239</v>
      </c>
      <c r="E32" s="61">
        <f>IF(ISERROR(Financial_Statements!H38/Financial_Statements!H$20),"NA",Financial_Statements!H38/Financial_Statements!H$20)</f>
        <v>0.19270062185371634</v>
      </c>
      <c r="F32" s="61">
        <f>IF(ISERROR(Financial_Statements!I38/Financial_Statements!I$20),"NA",Financial_Statements!I38/Financial_Statements!I$20)</f>
        <v>0.18887282241961029</v>
      </c>
      <c r="G32" s="61">
        <f>IF(ISERROR(Financial_Statements!J38/Financial_Statements!J$20),"NA",Financial_Statements!J38/Financial_Statements!J$20)</f>
        <v>0.18726401394133022</v>
      </c>
      <c r="H32" s="61">
        <f>IF(ISERROR(Financial_Statements!K38/Financial_Statements!K$20),"NA",Financial_Statements!K38/Financial_Statements!K$20)</f>
        <v>0.18304562268803948</v>
      </c>
      <c r="I32" s="61">
        <f>IF(ISERROR(Financial_Statements!L38/Financial_Statements!L$20),"NA",Financial_Statements!L38/Financial_Statements!L$20)</f>
        <v>0.19660790002231646</v>
      </c>
      <c r="J32" s="61">
        <f>IF(ISERROR(Financial_Statements!M38/Financial_Statements!M$20),"NA",Financial_Statements!M38/Financial_Statements!M$20)</f>
        <v>0.28910793494332182</v>
      </c>
      <c r="K32" s="61">
        <f>IF(ISERROR(Financial_Statements!N38/Financial_Statements!N$20),"NA",Financial_Statements!N38/Financial_Statements!N$20)</f>
        <v>0.25684896628984621</v>
      </c>
      <c r="L32" s="61">
        <f>IF(ISERROR(Financial_Statements!O38/Financial_Statements!O$20),"NA",Financial_Statements!O38/Financial_Statements!O$20)</f>
        <v>0.29840328069103916</v>
      </c>
      <c r="M32" s="61">
        <f>IF(ISERROR(Financial_Statements!P38/Financial_Statements!P$20),"NA",Financial_Statements!P38/Financial_Statements!P$20)</f>
        <v>0.24488017429193901</v>
      </c>
      <c r="N32" s="61">
        <f>IF(ISERROR(Financial_Statements!Q38/Financial_Statements!Q$20),"NA",Financial_Statements!Q38/Financial_Statements!Q$20)</f>
        <v>0.23179892141756547</v>
      </c>
      <c r="O32" s="59"/>
    </row>
    <row r="33" spans="2:15" ht="12.75" customHeight="1" x14ac:dyDescent="0.2">
      <c r="B33" s="11"/>
      <c r="C33" s="56"/>
      <c r="D33" s="56"/>
      <c r="E33" s="56"/>
      <c r="F33" s="56"/>
      <c r="G33" s="56"/>
      <c r="H33" s="56"/>
      <c r="I33" s="56"/>
      <c r="J33" s="56"/>
      <c r="K33" s="56"/>
      <c r="L33" s="56"/>
      <c r="M33" s="56"/>
      <c r="N33" s="56"/>
    </row>
    <row r="34" spans="2:15" ht="12.75" customHeight="1" thickBot="1" x14ac:dyDescent="0.25">
      <c r="B34" s="14" t="s">
        <v>762</v>
      </c>
      <c r="C34" s="62">
        <f>IF(ISERROR(Financial_Statements!F40/Financial_Statements!F$20),"NA",Financial_Statements!F40/Financial_Statements!F$20)</f>
        <v>0.20812395309882747</v>
      </c>
      <c r="D34" s="62">
        <f>IF(ISERROR(Financial_Statements!G40/Financial_Statements!G$20),"NA",Financial_Statements!G40/Financial_Statements!G$20)</f>
        <v>0.23181946802490094</v>
      </c>
      <c r="E34" s="62">
        <f>IF(ISERROR(Financial_Statements!H40/Financial_Statements!H$20),"NA",Financial_Statements!H40/Financial_Statements!H$20)</f>
        <v>0.23127035830618894</v>
      </c>
      <c r="F34" s="62">
        <f>IF(ISERROR(Financial_Statements!I40/Financial_Statements!I$20),"NA",Financial_Statements!I40/Financial_Statements!I$20)</f>
        <v>0.21806789230875162</v>
      </c>
      <c r="G34" s="62">
        <f>IF(ISERROR(Financial_Statements!J40/Financial_Statements!J$20),"NA",Financial_Statements!J40/Financial_Statements!J$20)</f>
        <v>0.15945396456578564</v>
      </c>
      <c r="H34" s="62">
        <f>IF(ISERROR(Financial_Statements!K40/Financial_Statements!K$20),"NA",Financial_Statements!K40/Financial_Statements!K$20)</f>
        <v>0.23964241676942047</v>
      </c>
      <c r="I34" s="62">
        <f>IF(ISERROR(Financial_Statements!L40/Financial_Statements!L$20),"NA",Financial_Statements!L40/Financial_Statements!L$20)</f>
        <v>0.23581045897493119</v>
      </c>
      <c r="J34" s="62">
        <f>IF(ISERROR(Financial_Statements!M40/Financial_Statements!M$20),"NA",Financial_Statements!M40/Financial_Statements!M$20)</f>
        <v>0.13750616067028093</v>
      </c>
      <c r="K34" s="62">
        <f>IF(ISERROR(Financial_Statements!N40/Financial_Statements!N$20),"NA",Financial_Statements!N40/Financial_Statements!N$20)</f>
        <v>0.13137794072716164</v>
      </c>
      <c r="L34" s="62">
        <f>IF(ISERROR(Financial_Statements!O40/Financial_Statements!O$20),"NA",Financial_Statements!O40/Financial_Statements!O$20)</f>
        <v>8.1755518715644349E-2</v>
      </c>
      <c r="M34" s="62">
        <f>IF(ISERROR(Financial_Statements!P40/Financial_Statements!P$20),"NA",Financial_Statements!P40/Financial_Statements!P$20)</f>
        <v>0.12516339869281046</v>
      </c>
      <c r="N34" s="62">
        <f>IF(ISERROR(Financial_Statements!Q40/Financial_Statements!Q$20),"NA",Financial_Statements!Q40/Financial_Statements!Q$20)</f>
        <v>0.15157935285053928</v>
      </c>
      <c r="O34" s="59"/>
    </row>
    <row r="35" spans="2:15" ht="12.75" customHeight="1" thickTop="1" x14ac:dyDescent="0.2">
      <c r="B35" s="11"/>
      <c r="C35" s="56"/>
      <c r="D35" s="56"/>
      <c r="E35" s="56"/>
      <c r="F35" s="56"/>
      <c r="G35" s="56"/>
      <c r="H35" s="56"/>
      <c r="I35" s="56"/>
      <c r="J35" s="56"/>
      <c r="K35" s="56"/>
      <c r="L35" s="56"/>
      <c r="M35" s="56"/>
      <c r="N35" s="56"/>
    </row>
    <row r="36" spans="2:15" ht="12.75" customHeight="1" x14ac:dyDescent="0.2">
      <c r="B36" s="5" t="s">
        <v>761</v>
      </c>
      <c r="C36" s="56">
        <f>IF(ISERROR(Financial_Statements!F42/Financial_Statements!F$20),"NA",Financial_Statements!F42/Financial_Statements!F$20)</f>
        <v>-2.7721943048576215E-2</v>
      </c>
      <c r="D36" s="56">
        <f>IF(ISERROR(Financial_Statements!G42/Financial_Statements!G$20),"NA",Financial_Statements!G42/Financial_Statements!G$20)</f>
        <v>-2.3344651952461798E-2</v>
      </c>
      <c r="E36" s="56">
        <f>IF(ISERROR(Financial_Statements!H42/Financial_Statements!H$20),"NA",Financial_Statements!H42/Financial_Statements!H$20)</f>
        <v>-2.2135031092685817E-2</v>
      </c>
      <c r="F36" s="56">
        <f>IF(ISERROR(Financial_Statements!I42/Financial_Statements!I$20),"NA",Financial_Statements!I42/Financial_Statements!I$20)</f>
        <v>-2.4306272808648353E-2</v>
      </c>
      <c r="G36" s="56">
        <f>IF(ISERROR(Financial_Statements!J42/Financial_Statements!J$20),"NA",Financial_Statements!J42/Financial_Statements!J$20)</f>
        <v>-3.0351437699680513E-2</v>
      </c>
      <c r="H36" s="56">
        <f>IF(ISERROR(Financial_Statements!K42/Financial_Statements!K$20),"NA",Financial_Statements!K42/Financial_Statements!K$20)</f>
        <v>-2.7620221948212086E-2</v>
      </c>
      <c r="I36" s="56">
        <f>IF(ISERROR(Financial_Statements!L42/Financial_Statements!L$20),"NA",Financial_Statements!L42/Financial_Statements!L$20)</f>
        <v>-3.8235512906345311E-2</v>
      </c>
      <c r="J36" s="56">
        <f>IF(ISERROR(Financial_Statements!M42/Financial_Statements!M$20),"NA",Financial_Statements!M42/Financial_Statements!M$20)</f>
        <v>-6.3578117299162143E-2</v>
      </c>
      <c r="K36" s="56">
        <f>IF(ISERROR(Financial_Statements!N42/Financial_Statements!N$20),"NA",Financial_Statements!N42/Financial_Statements!N$20)</f>
        <v>-6.5790813728485581E-2</v>
      </c>
      <c r="L36" s="56">
        <f>IF(ISERROR(Financial_Statements!O42/Financial_Statements!O$20),"NA",Financial_Statements!O42/Financial_Statements!O$20)</f>
        <v>-4.9472122851409124E-2</v>
      </c>
      <c r="M36" s="56">
        <f>IF(ISERROR(Financial_Statements!P42/Financial_Statements!P$20),"NA",Financial_Statements!P42/Financial_Statements!P$20)</f>
        <v>-6.7211328976034865E-2</v>
      </c>
      <c r="N36" s="56">
        <f>IF(ISERROR(Financial_Statements!Q42/Financial_Statements!Q$20),"NA",Financial_Statements!Q42/Financial_Statements!Q$20)</f>
        <v>-6.1248073959938365E-2</v>
      </c>
      <c r="O36" s="59"/>
    </row>
    <row r="37" spans="2:15" ht="12.75" customHeight="1" x14ac:dyDescent="0.2">
      <c r="B37" s="5" t="s">
        <v>760</v>
      </c>
      <c r="C37" s="56" t="str">
        <f>IF(ISERROR(Financial_Statements!F43/Financial_Statements!F$20),"NA",Financial_Statements!F43/Financial_Statements!F$20)</f>
        <v>NA</v>
      </c>
      <c r="D37" s="56" t="str">
        <f>IF(ISERROR(Financial_Statements!G43/Financial_Statements!G$20),"NA",Financial_Statements!G43/Financial_Statements!G$20)</f>
        <v>NA</v>
      </c>
      <c r="E37" s="56" t="str">
        <f>IF(ISERROR(Financial_Statements!H43/Financial_Statements!H$20),"NA",Financial_Statements!H43/Financial_Statements!H$20)</f>
        <v>NA</v>
      </c>
      <c r="F37" s="56" t="str">
        <f>IF(ISERROR(Financial_Statements!I43/Financial_Statements!I$20),"NA",Financial_Statements!I43/Financial_Statements!I$20)</f>
        <v>NA</v>
      </c>
      <c r="G37" s="56" t="str">
        <f>IF(ISERROR(Financial_Statements!J43/Financial_Statements!J$20),"NA",Financial_Statements!J43/Financial_Statements!J$20)</f>
        <v>NA</v>
      </c>
      <c r="H37" s="56" t="str">
        <f>IF(ISERROR(Financial_Statements!K43/Financial_Statements!K$20),"NA",Financial_Statements!K43/Financial_Statements!K$20)</f>
        <v>NA</v>
      </c>
      <c r="I37" s="56" t="str">
        <f>IF(ISERROR(Financial_Statements!L43/Financial_Statements!L$20),"NA",Financial_Statements!L43/Financial_Statements!L$20)</f>
        <v>NA</v>
      </c>
      <c r="J37" s="56" t="str">
        <f>IF(ISERROR(Financial_Statements!M43/Financial_Statements!M$20),"NA",Financial_Statements!M43/Financial_Statements!M$20)</f>
        <v>NA</v>
      </c>
      <c r="K37" s="56" t="str">
        <f>IF(ISERROR(Financial_Statements!N43/Financial_Statements!N$20),"NA",Financial_Statements!N43/Financial_Statements!N$20)</f>
        <v>NA</v>
      </c>
      <c r="L37" s="56" t="str">
        <f>IF(ISERROR(Financial_Statements!O43/Financial_Statements!O$20),"NA",Financial_Statements!O43/Financial_Statements!O$20)</f>
        <v>NA</v>
      </c>
      <c r="M37" s="56" t="str">
        <f>IF(ISERROR(Financial_Statements!P43/Financial_Statements!P$20),"NA",Financial_Statements!P43/Financial_Statements!P$20)</f>
        <v>NA</v>
      </c>
      <c r="N37" s="56" t="str">
        <f>IF(ISERROR(Financial_Statements!Q43/Financial_Statements!Q$20),"NA",Financial_Statements!Q43/Financial_Statements!Q$20)</f>
        <v>NA</v>
      </c>
    </row>
    <row r="38" spans="2:15" ht="12.75" customHeight="1" x14ac:dyDescent="0.2">
      <c r="B38" s="14" t="s">
        <v>759</v>
      </c>
      <c r="C38" s="57">
        <f>IF(ISERROR(Financial_Statements!F44/Financial_Statements!F$20),"NA",Financial_Statements!F44/Financial_Statements!F$20)</f>
        <v>-2.7721943048576215E-2</v>
      </c>
      <c r="D38" s="57">
        <f>IF(ISERROR(Financial_Statements!G44/Financial_Statements!G$20),"NA",Financial_Statements!G44/Financial_Statements!G$20)</f>
        <v>-2.3344651952461798E-2</v>
      </c>
      <c r="E38" s="57">
        <f>IF(ISERROR(Financial_Statements!H44/Financial_Statements!H$20),"NA",Financial_Statements!H44/Financial_Statements!H$20)</f>
        <v>-2.2135031092685817E-2</v>
      </c>
      <c r="F38" s="57">
        <f>IF(ISERROR(Financial_Statements!I44/Financial_Statements!I$20),"NA",Financial_Statements!I44/Financial_Statements!I$20)</f>
        <v>-2.4306272808648353E-2</v>
      </c>
      <c r="G38" s="57">
        <f>IF(ISERROR(Financial_Statements!J44/Financial_Statements!J$20),"NA",Financial_Statements!J44/Financial_Statements!J$20)</f>
        <v>-3.0351437699680513E-2</v>
      </c>
      <c r="H38" s="57">
        <f>IF(ISERROR(Financial_Statements!K44/Financial_Statements!K$20),"NA",Financial_Statements!K44/Financial_Statements!K$20)</f>
        <v>-2.7620221948212086E-2</v>
      </c>
      <c r="I38" s="57">
        <f>IF(ISERROR(Financial_Statements!L44/Financial_Statements!L$20),"NA",Financial_Statements!L44/Financial_Statements!L$20)</f>
        <v>-3.8235512906345311E-2</v>
      </c>
      <c r="J38" s="57">
        <f>IF(ISERROR(Financial_Statements!M44/Financial_Statements!M$20),"NA",Financial_Statements!M44/Financial_Statements!M$20)</f>
        <v>-6.3578117299162143E-2</v>
      </c>
      <c r="K38" s="57">
        <f>IF(ISERROR(Financial_Statements!N44/Financial_Statements!N$20),"NA",Financial_Statements!N44/Financial_Statements!N$20)</f>
        <v>-6.5790813728485581E-2</v>
      </c>
      <c r="L38" s="57">
        <f>IF(ISERROR(Financial_Statements!O44/Financial_Statements!O$20),"NA",Financial_Statements!O44/Financial_Statements!O$20)</f>
        <v>-4.9472122851409124E-2</v>
      </c>
      <c r="M38" s="57">
        <f>IF(ISERROR(Financial_Statements!P44/Financial_Statements!P$20),"NA",Financial_Statements!P44/Financial_Statements!P$20)</f>
        <v>-6.7211328976034865E-2</v>
      </c>
      <c r="N38" s="57">
        <f>IF(ISERROR(Financial_Statements!Q44/Financial_Statements!Q$20),"NA",Financial_Statements!Q44/Financial_Statements!Q$20)</f>
        <v>-6.1248073959938365E-2</v>
      </c>
    </row>
    <row r="39" spans="2:15" ht="12.75" customHeight="1" x14ac:dyDescent="0.2">
      <c r="B39" s="11"/>
      <c r="C39" s="56"/>
      <c r="D39" s="56"/>
      <c r="E39" s="56"/>
      <c r="F39" s="56"/>
      <c r="G39" s="56"/>
      <c r="H39" s="56"/>
      <c r="I39" s="56"/>
      <c r="J39" s="56"/>
      <c r="K39" s="56"/>
      <c r="L39" s="56"/>
      <c r="M39" s="56"/>
      <c r="N39" s="56"/>
    </row>
    <row r="40" spans="2:15" ht="12.75" customHeight="1" x14ac:dyDescent="0.2">
      <c r="B40" s="5" t="s">
        <v>758</v>
      </c>
      <c r="C40" s="56" t="str">
        <f>IF(ISERROR(Financial_Statements!F46/Financial_Statements!F$20),"NA",Financial_Statements!F46/Financial_Statements!F$20)</f>
        <v>NA</v>
      </c>
      <c r="D40" s="56" t="str">
        <f>IF(ISERROR(Financial_Statements!G46/Financial_Statements!G$20),"NA",Financial_Statements!G46/Financial_Statements!G$20)</f>
        <v>NA</v>
      </c>
      <c r="E40" s="56" t="str">
        <f>IF(ISERROR(Financial_Statements!H46/Financial_Statements!H$20),"NA",Financial_Statements!H46/Financial_Statements!H$20)</f>
        <v>NA</v>
      </c>
      <c r="F40" s="56" t="str">
        <f>IF(ISERROR(Financial_Statements!I46/Financial_Statements!I$20),"NA",Financial_Statements!I46/Financial_Statements!I$20)</f>
        <v>NA</v>
      </c>
      <c r="G40" s="56" t="str">
        <f>IF(ISERROR(Financial_Statements!J46/Financial_Statements!J$20),"NA",Financial_Statements!J46/Financial_Statements!J$20)</f>
        <v>NA</v>
      </c>
      <c r="H40" s="56" t="str">
        <f>IF(ISERROR(Financial_Statements!K46/Financial_Statements!K$20),"NA",Financial_Statements!K46/Financial_Statements!K$20)</f>
        <v>NA</v>
      </c>
      <c r="I40" s="56" t="str">
        <f>IF(ISERROR(Financial_Statements!L46/Financial_Statements!L$20),"NA",Financial_Statements!L46/Financial_Statements!L$20)</f>
        <v>NA</v>
      </c>
      <c r="J40" s="56" t="str">
        <f>IF(ISERROR(Financial_Statements!M46/Financial_Statements!M$20),"NA",Financial_Statements!M46/Financial_Statements!M$20)</f>
        <v>NA</v>
      </c>
      <c r="K40" s="56" t="str">
        <f>IF(ISERROR(Financial_Statements!N46/Financial_Statements!N$20),"NA",Financial_Statements!N46/Financial_Statements!N$20)</f>
        <v>NA</v>
      </c>
      <c r="L40" s="56" t="str">
        <f>IF(ISERROR(Financial_Statements!O46/Financial_Statements!O$20),"NA",Financial_Statements!O46/Financial_Statements!O$20)</f>
        <v>NA</v>
      </c>
      <c r="M40" s="56" t="str">
        <f>IF(ISERROR(Financial_Statements!P46/Financial_Statements!P$20),"NA",Financial_Statements!P46/Financial_Statements!P$20)</f>
        <v>NA</v>
      </c>
      <c r="N40" s="56" t="str">
        <f>IF(ISERROR(Financial_Statements!Q46/Financial_Statements!Q$20),"NA",Financial_Statements!Q46/Financial_Statements!Q$20)</f>
        <v>NA</v>
      </c>
      <c r="O40" s="59"/>
    </row>
    <row r="41" spans="2:15" ht="12.75" customHeight="1" x14ac:dyDescent="0.2">
      <c r="B41" s="5" t="s">
        <v>757</v>
      </c>
      <c r="C41" s="56" t="str">
        <f>IF(ISERROR(Financial_Statements!F47/Financial_Statements!F$20),"NA",Financial_Statements!F47/Financial_Statements!F$20)</f>
        <v>NA</v>
      </c>
      <c r="D41" s="56" t="str">
        <f>IF(ISERROR(Financial_Statements!G47/Financial_Statements!G$20),"NA",Financial_Statements!G47/Financial_Statements!G$20)</f>
        <v>NA</v>
      </c>
      <c r="E41" s="56" t="str">
        <f>IF(ISERROR(Financial_Statements!H47/Financial_Statements!H$20),"NA",Financial_Statements!H47/Financial_Statements!H$20)</f>
        <v>NA</v>
      </c>
      <c r="F41" s="56" t="str">
        <f>IF(ISERROR(Financial_Statements!I47/Financial_Statements!I$20),"NA",Financial_Statements!I47/Financial_Statements!I$20)</f>
        <v>NA</v>
      </c>
      <c r="G41" s="56" t="str">
        <f>IF(ISERROR(Financial_Statements!J47/Financial_Statements!J$20),"NA",Financial_Statements!J47/Financial_Statements!J$20)</f>
        <v>NA</v>
      </c>
      <c r="H41" s="56" t="str">
        <f>IF(ISERROR(Financial_Statements!K47/Financial_Statements!K$20),"NA",Financial_Statements!K47/Financial_Statements!K$20)</f>
        <v>NA</v>
      </c>
      <c r="I41" s="56" t="str">
        <f>IF(ISERROR(Financial_Statements!L47/Financial_Statements!L$20),"NA",Financial_Statements!L47/Financial_Statements!L$20)</f>
        <v>NA</v>
      </c>
      <c r="J41" s="56" t="str">
        <f>IF(ISERROR(Financial_Statements!M47/Financial_Statements!M$20),"NA",Financial_Statements!M47/Financial_Statements!M$20)</f>
        <v>NA</v>
      </c>
      <c r="K41" s="56" t="str">
        <f>IF(ISERROR(Financial_Statements!N47/Financial_Statements!N$20),"NA",Financial_Statements!N47/Financial_Statements!N$20)</f>
        <v>NA</v>
      </c>
      <c r="L41" s="56">
        <f>IF(ISERROR(Financial_Statements!O47/Financial_Statements!O$20),"NA",Financial_Statements!O47/Financial_Statements!O$20)</f>
        <v>-6.5613820783526733E-2</v>
      </c>
      <c r="M41" s="56" t="str">
        <f>IF(ISERROR(Financial_Statements!P47/Financial_Statements!P$20),"NA",Financial_Statements!P47/Financial_Statements!P$20)</f>
        <v>NA</v>
      </c>
      <c r="N41" s="56" t="str">
        <f>IF(ISERROR(Financial_Statements!Q47/Financial_Statements!Q$20),"NA",Financial_Statements!Q47/Financial_Statements!Q$20)</f>
        <v>NA</v>
      </c>
    </row>
    <row r="42" spans="2:15" ht="12.75" customHeight="1" x14ac:dyDescent="0.2">
      <c r="B42" s="5" t="s">
        <v>756</v>
      </c>
      <c r="C42" s="56" t="str">
        <f>IF(ISERROR(Financial_Statements!F48/Financial_Statements!F$20),"NA",Financial_Statements!F48/Financial_Statements!F$20)</f>
        <v>NA</v>
      </c>
      <c r="D42" s="56" t="str">
        <f>IF(ISERROR(Financial_Statements!G48/Financial_Statements!G$20),"NA",Financial_Statements!G48/Financial_Statements!G$20)</f>
        <v>NA</v>
      </c>
      <c r="E42" s="56" t="str">
        <f>IF(ISERROR(Financial_Statements!H48/Financial_Statements!H$20),"NA",Financial_Statements!H48/Financial_Statements!H$20)</f>
        <v>NA</v>
      </c>
      <c r="F42" s="56" t="str">
        <f>IF(ISERROR(Financial_Statements!I48/Financial_Statements!I$20),"NA",Financial_Statements!I48/Financial_Statements!I$20)</f>
        <v>NA</v>
      </c>
      <c r="G42" s="56" t="str">
        <f>IF(ISERROR(Financial_Statements!J48/Financial_Statements!J$20),"NA",Financial_Statements!J48/Financial_Statements!J$20)</f>
        <v>NA</v>
      </c>
      <c r="H42" s="56" t="str">
        <f>IF(ISERROR(Financial_Statements!K48/Financial_Statements!K$20),"NA",Financial_Statements!K48/Financial_Statements!K$20)</f>
        <v>NA</v>
      </c>
      <c r="I42" s="56" t="str">
        <f>IF(ISERROR(Financial_Statements!L48/Financial_Statements!L$20),"NA",Financial_Statements!L48/Financial_Statements!L$20)</f>
        <v>NA</v>
      </c>
      <c r="J42" s="56" t="str">
        <f>IF(ISERROR(Financial_Statements!M48/Financial_Statements!M$20),"NA",Financial_Statements!M48/Financial_Statements!M$20)</f>
        <v>NA</v>
      </c>
      <c r="K42" s="56" t="str">
        <f>IF(ISERROR(Financial_Statements!N48/Financial_Statements!N$20),"NA",Financial_Statements!N48/Financial_Statements!N$20)</f>
        <v>NA</v>
      </c>
      <c r="L42" s="56" t="str">
        <f>IF(ISERROR(Financial_Statements!O48/Financial_Statements!O$20),"NA",Financial_Statements!O48/Financial_Statements!O$20)</f>
        <v>NA</v>
      </c>
      <c r="M42" s="56" t="str">
        <f>IF(ISERROR(Financial_Statements!P48/Financial_Statements!P$20),"NA",Financial_Statements!P48/Financial_Statements!P$20)</f>
        <v>NA</v>
      </c>
      <c r="N42" s="56" t="str">
        <f>IF(ISERROR(Financial_Statements!Q48/Financial_Statements!Q$20),"NA",Financial_Statements!Q48/Financial_Statements!Q$20)</f>
        <v>NA</v>
      </c>
    </row>
    <row r="43" spans="2:15" ht="12.75" customHeight="1" x14ac:dyDescent="0.2">
      <c r="B43" s="14" t="s">
        <v>755</v>
      </c>
      <c r="C43" s="57">
        <f>IF(ISERROR(Financial_Statements!F49/Financial_Statements!F$20),"NA",Financial_Statements!F49/Financial_Statements!F$20)</f>
        <v>0.18040201005025125</v>
      </c>
      <c r="D43" s="57">
        <f>IF(ISERROR(Financial_Statements!G49/Financial_Statements!G$20),"NA",Financial_Statements!G49/Financial_Statements!G$20)</f>
        <v>0.20847481607243915</v>
      </c>
      <c r="E43" s="57">
        <f>IF(ISERROR(Financial_Statements!H49/Financial_Statements!H$20),"NA",Financial_Statements!H49/Financial_Statements!H$20)</f>
        <v>0.20913532721350311</v>
      </c>
      <c r="F43" s="57">
        <f>IF(ISERROR(Financial_Statements!I49/Financial_Statements!I$20),"NA",Financial_Statements!I49/Financial_Statements!I$20)</f>
        <v>0.19376161950010332</v>
      </c>
      <c r="G43" s="57">
        <f>IF(ISERROR(Financial_Statements!J49/Financial_Statements!J$20),"NA",Financial_Statements!J49/Financial_Statements!J$20)</f>
        <v>0.12910252686610516</v>
      </c>
      <c r="H43" s="57">
        <f>IF(ISERROR(Financial_Statements!K49/Financial_Statements!K$20),"NA",Financial_Statements!K49/Financial_Statements!K$20)</f>
        <v>0.2120221948212084</v>
      </c>
      <c r="I43" s="57">
        <f>IF(ISERROR(Financial_Statements!L49/Financial_Statements!L$20),"NA",Financial_Statements!L49/Financial_Statements!L$20)</f>
        <v>0.19757494606858592</v>
      </c>
      <c r="J43" s="57">
        <f>IF(ISERROR(Financial_Statements!M49/Financial_Statements!M$20),"NA",Financial_Statements!M49/Financial_Statements!M$20)</f>
        <v>7.3928043371118773E-2</v>
      </c>
      <c r="K43" s="57">
        <f>IF(ISERROR(Financial_Statements!N49/Financial_Statements!N$20),"NA",Financial_Statements!N49/Financial_Statements!N$20)</f>
        <v>6.558712699867604E-2</v>
      </c>
      <c r="L43" s="57">
        <f>IF(ISERROR(Financial_Statements!O49/Financial_Statements!O$20),"NA",Financial_Statements!O49/Financial_Statements!O$20)</f>
        <v>-3.3330424919291508E-2</v>
      </c>
      <c r="M43" s="57">
        <f>IF(ISERROR(Financial_Statements!P49/Financial_Statements!P$20),"NA",Financial_Statements!P49/Financial_Statements!P$20)</f>
        <v>5.7952069716775599E-2</v>
      </c>
      <c r="N43" s="57">
        <f>IF(ISERROR(Financial_Statements!Q49/Financial_Statements!Q$20),"NA",Financial_Statements!Q49/Financial_Statements!Q$20)</f>
        <v>9.0331278890600913E-2</v>
      </c>
      <c r="O43" s="59"/>
    </row>
    <row r="44" spans="2:15" ht="12.75" customHeight="1" x14ac:dyDescent="0.2">
      <c r="B44" s="11"/>
      <c r="C44" s="56"/>
      <c r="D44" s="56"/>
      <c r="E44" s="56"/>
      <c r="F44" s="56"/>
      <c r="G44" s="56"/>
      <c r="H44" s="56"/>
      <c r="I44" s="56"/>
      <c r="J44" s="56"/>
      <c r="K44" s="56"/>
      <c r="L44" s="56"/>
      <c r="M44" s="56"/>
      <c r="N44" s="56"/>
    </row>
    <row r="45" spans="2:15" ht="12.75" customHeight="1" x14ac:dyDescent="0.2">
      <c r="B45" s="5" t="s">
        <v>754</v>
      </c>
      <c r="C45" s="56">
        <f>IF(ISERROR(Financial_Statements!F51/Financial_Statements!F$20),"NA",Financial_Statements!F51/Financial_Statements!F$20)</f>
        <v>-1.0887772194304857E-3</v>
      </c>
      <c r="D45" s="56">
        <f>IF(ISERROR(Financial_Statements!G51/Financial_Statements!G$20),"NA",Financial_Statements!G51/Financial_Statements!G$20)</f>
        <v>-7.9937747594793426E-3</v>
      </c>
      <c r="E45" s="56">
        <f>IF(ISERROR(Financial_Statements!H51/Financial_Statements!H$20),"NA",Financial_Statements!H51/Financial_Statements!H$20)</f>
        <v>-8.0692922712466697E-3</v>
      </c>
      <c r="F45" s="56">
        <f>IF(ISERROR(Financial_Statements!I51/Financial_Statements!I$20),"NA",Financial_Statements!I51/Financial_Statements!I$20)</f>
        <v>-5.4740756042140057E-2</v>
      </c>
      <c r="G45" s="56">
        <f>IF(ISERROR(Financial_Statements!J51/Financial_Statements!J$20),"NA",Financial_Statements!J51/Financial_Statements!J$20)</f>
        <v>-1.4522218995062445E-3</v>
      </c>
      <c r="H45" s="56">
        <f>IF(ISERROR(Financial_Statements!K51/Financial_Statements!K$20),"NA",Financial_Statements!K51/Financial_Statements!K$20)</f>
        <v>2.5893958076448828E-2</v>
      </c>
      <c r="I45" s="56">
        <f>IF(ISERROR(Financial_Statements!L51/Financial_Statements!L$20),"NA",Financial_Statements!L51/Financial_Statements!L$20)</f>
        <v>-3.7194078702670538E-4</v>
      </c>
      <c r="J45" s="56">
        <f>IF(ISERROR(Financial_Statements!M51/Financial_Statements!M$20),"NA",Financial_Statements!M51/Financial_Statements!M$20)</f>
        <v>8.8713652045342532E-4</v>
      </c>
      <c r="K45" s="56">
        <f>IF(ISERROR(Financial_Statements!N51/Financial_Statements!N$20),"NA",Financial_Statements!N51/Financial_Statements!N$20)</f>
        <v>-2.953457582238517E-3</v>
      </c>
      <c r="L45" s="56">
        <f>IF(ISERROR(Financial_Statements!O51/Financial_Statements!O$20),"NA",Financial_Statements!O51/Financial_Statements!O$20)</f>
        <v>-3.9699851670883864E-2</v>
      </c>
      <c r="M45" s="56">
        <f>IF(ISERROR(Financial_Statements!P51/Financial_Statements!P$20),"NA",Financial_Statements!P51/Financial_Statements!P$20)</f>
        <v>-3.2679738562091501E-4</v>
      </c>
      <c r="N45" s="56">
        <f>IF(ISERROR(Financial_Statements!Q51/Financial_Statements!Q$20),"NA",Financial_Statements!Q51/Financial_Statements!Q$20)</f>
        <v>-8.0701078582434499E-2</v>
      </c>
      <c r="O45" s="59"/>
    </row>
    <row r="46" spans="2:15" ht="12.75" customHeight="1" x14ac:dyDescent="0.2">
      <c r="B46" s="5" t="s">
        <v>753</v>
      </c>
      <c r="C46" s="56">
        <f>IF(ISERROR(Financial_Statements!F52/Financial_Statements!F$20),"NA",Financial_Statements!F52/Financial_Statements!F$20)</f>
        <v>-6.700167504187605E-4</v>
      </c>
      <c r="D46" s="56">
        <f>IF(ISERROR(Financial_Statements!G52/Financial_Statements!G$20),"NA",Financial_Statements!G52/Financial_Statements!G$20)</f>
        <v>-7.7108092812676853E-3</v>
      </c>
      <c r="E46" s="56">
        <f>IF(ISERROR(Financial_Statements!H52/Financial_Statements!H$20),"NA",Financial_Statements!H52/Financial_Statements!H$20)</f>
        <v>-2.220906129700918E-4</v>
      </c>
      <c r="F46" s="56" t="str">
        <f>IF(ISERROR(Financial_Statements!I52/Financial_Statements!I$20),"NA",Financial_Statements!I52/Financial_Statements!I$20)</f>
        <v>NA</v>
      </c>
      <c r="G46" s="56" t="str">
        <f>IF(ISERROR(Financial_Statements!J52/Financial_Statements!J$20),"NA",Financial_Statements!J52/Financial_Statements!J$20)</f>
        <v>NA</v>
      </c>
      <c r="H46" s="56" t="str">
        <f>IF(ISERROR(Financial_Statements!K52/Financial_Statements!K$20),"NA",Financial_Statements!K52/Financial_Statements!K$20)</f>
        <v>NA</v>
      </c>
      <c r="I46" s="56">
        <f>IF(ISERROR(Financial_Statements!L52/Financial_Statements!L$20),"NA",Financial_Statements!L52/Financial_Statements!L$20)</f>
        <v>-2.975526296213643E-4</v>
      </c>
      <c r="J46" s="56" t="str">
        <f>IF(ISERROR(Financial_Statements!M52/Financial_Statements!M$20),"NA",Financial_Statements!M52/Financial_Statements!M$20)</f>
        <v>NA</v>
      </c>
      <c r="K46" s="56" t="str">
        <f>IF(ISERROR(Financial_Statements!N52/Financial_Statements!N$20),"NA",Financial_Statements!N52/Financial_Statements!N$20)</f>
        <v>NA</v>
      </c>
      <c r="L46" s="56" t="str">
        <f>IF(ISERROR(Financial_Statements!O52/Financial_Statements!O$20),"NA",Financial_Statements!O52/Financial_Statements!O$20)</f>
        <v>NA</v>
      </c>
      <c r="M46" s="56">
        <f>IF(ISERROR(Financial_Statements!P52/Financial_Statements!P$20),"NA",Financial_Statements!P52/Financial_Statements!P$20)</f>
        <v>-3.6383442265795207E-2</v>
      </c>
      <c r="N46" s="56" t="str">
        <f>IF(ISERROR(Financial_Statements!Q52/Financial_Statements!Q$20),"NA",Financial_Statements!Q52/Financial_Statements!Q$20)</f>
        <v>NA</v>
      </c>
    </row>
    <row r="47" spans="2:15" ht="12.75" customHeight="1" x14ac:dyDescent="0.2">
      <c r="B47" s="5" t="s">
        <v>752</v>
      </c>
      <c r="C47" s="56" t="str">
        <f>IF(ISERROR(Financial_Statements!F53/Financial_Statements!F$20),"NA",Financial_Statements!F53/Financial_Statements!F$20)</f>
        <v>NA</v>
      </c>
      <c r="D47" s="56" t="str">
        <f>IF(ISERROR(Financial_Statements!G53/Financial_Statements!G$20),"NA",Financial_Statements!G53/Financial_Statements!G$20)</f>
        <v>NA</v>
      </c>
      <c r="E47" s="56" t="str">
        <f>IF(ISERROR(Financial_Statements!H53/Financial_Statements!H$20),"NA",Financial_Statements!H53/Financial_Statements!H$20)</f>
        <v>NA</v>
      </c>
      <c r="F47" s="56" t="str">
        <f>IF(ISERROR(Financial_Statements!I53/Financial_Statements!I$20),"NA",Financial_Statements!I53/Financial_Statements!I$20)</f>
        <v>NA</v>
      </c>
      <c r="G47" s="56" t="str">
        <f>IF(ISERROR(Financial_Statements!J53/Financial_Statements!J$20),"NA",Financial_Statements!J53/Financial_Statements!J$20)</f>
        <v>NA</v>
      </c>
      <c r="H47" s="56" t="str">
        <f>IF(ISERROR(Financial_Statements!K53/Financial_Statements!K$20),"NA",Financial_Statements!K53/Financial_Statements!K$20)</f>
        <v>NA</v>
      </c>
      <c r="I47" s="56" t="str">
        <f>IF(ISERROR(Financial_Statements!L53/Financial_Statements!L$20),"NA",Financial_Statements!L53/Financial_Statements!L$20)</f>
        <v>NA</v>
      </c>
      <c r="J47" s="56" t="str">
        <f>IF(ISERROR(Financial_Statements!M53/Financial_Statements!M$20),"NA",Financial_Statements!M53/Financial_Statements!M$20)</f>
        <v>NA</v>
      </c>
      <c r="K47" s="56" t="str">
        <f>IF(ISERROR(Financial_Statements!N53/Financial_Statements!N$20),"NA",Financial_Statements!N53/Financial_Statements!N$20)</f>
        <v>NA</v>
      </c>
      <c r="L47" s="56" t="str">
        <f>IF(ISERROR(Financial_Statements!O53/Financial_Statements!O$20),"NA",Financial_Statements!O53/Financial_Statements!O$20)</f>
        <v>NA</v>
      </c>
      <c r="M47" s="56" t="str">
        <f>IF(ISERROR(Financial_Statements!P53/Financial_Statements!P$20),"NA",Financial_Statements!P53/Financial_Statements!P$20)</f>
        <v>NA</v>
      </c>
      <c r="N47" s="56" t="str">
        <f>IF(ISERROR(Financial_Statements!Q53/Financial_Statements!Q$20),"NA",Financial_Statements!Q53/Financial_Statements!Q$20)</f>
        <v>NA</v>
      </c>
    </row>
    <row r="48" spans="2:15" ht="12.75" customHeight="1" x14ac:dyDescent="0.2">
      <c r="B48" s="5" t="s">
        <v>751</v>
      </c>
      <c r="C48" s="56" t="str">
        <f>IF(ISERROR(Financial_Statements!F54/Financial_Statements!F$20),"NA",Financial_Statements!F54/Financial_Statements!F$20)</f>
        <v>NA</v>
      </c>
      <c r="D48" s="56" t="str">
        <f>IF(ISERROR(Financial_Statements!G54/Financial_Statements!G$20),"NA",Financial_Statements!G54/Financial_Statements!G$20)</f>
        <v>NA</v>
      </c>
      <c r="E48" s="56" t="str">
        <f>IF(ISERROR(Financial_Statements!H54/Financial_Statements!H$20),"NA",Financial_Statements!H54/Financial_Statements!H$20)</f>
        <v>NA</v>
      </c>
      <c r="F48" s="56" t="str">
        <f>IF(ISERROR(Financial_Statements!I54/Financial_Statements!I$20),"NA",Financial_Statements!I54/Financial_Statements!I$20)</f>
        <v>NA</v>
      </c>
      <c r="G48" s="56" t="str">
        <f>IF(ISERROR(Financial_Statements!J54/Financial_Statements!J$20),"NA",Financial_Statements!J54/Financial_Statements!J$20)</f>
        <v>NA</v>
      </c>
      <c r="H48" s="56" t="str">
        <f>IF(ISERROR(Financial_Statements!K54/Financial_Statements!K$20),"NA",Financial_Statements!K54/Financial_Statements!K$20)</f>
        <v>NA</v>
      </c>
      <c r="I48" s="56" t="str">
        <f>IF(ISERROR(Financial_Statements!L54/Financial_Statements!L$20),"NA",Financial_Statements!L54/Financial_Statements!L$20)</f>
        <v>NA</v>
      </c>
      <c r="J48" s="56" t="str">
        <f>IF(ISERROR(Financial_Statements!M54/Financial_Statements!M$20),"NA",Financial_Statements!M54/Financial_Statements!M$20)</f>
        <v>NA</v>
      </c>
      <c r="K48" s="56" t="str">
        <f>IF(ISERROR(Financial_Statements!N54/Financial_Statements!N$20),"NA",Financial_Statements!N54/Financial_Statements!N$20)</f>
        <v>NA</v>
      </c>
      <c r="L48" s="56" t="str">
        <f>IF(ISERROR(Financial_Statements!O54/Financial_Statements!O$20),"NA",Financial_Statements!O54/Financial_Statements!O$20)</f>
        <v>NA</v>
      </c>
      <c r="M48" s="56" t="str">
        <f>IF(ISERROR(Financial_Statements!P54/Financial_Statements!P$20),"NA",Financial_Statements!P54/Financial_Statements!P$20)</f>
        <v>NA</v>
      </c>
      <c r="N48" s="56" t="str">
        <f>IF(ISERROR(Financial_Statements!Q54/Financial_Statements!Q$20),"NA",Financial_Statements!Q54/Financial_Statements!Q$20)</f>
        <v>NA</v>
      </c>
    </row>
    <row r="49" spans="2:15" ht="12.75" customHeight="1" x14ac:dyDescent="0.2">
      <c r="B49" s="5" t="s">
        <v>750</v>
      </c>
      <c r="C49" s="56" t="str">
        <f>IF(ISERROR(Financial_Statements!F55/Financial_Statements!F$20),"NA",Financial_Statements!F55/Financial_Statements!F$20)</f>
        <v>NA</v>
      </c>
      <c r="D49" s="56" t="str">
        <f>IF(ISERROR(Financial_Statements!G55/Financial_Statements!G$20),"NA",Financial_Statements!G55/Financial_Statements!G$20)</f>
        <v>NA</v>
      </c>
      <c r="E49" s="56" t="str">
        <f>IF(ISERROR(Financial_Statements!H55/Financial_Statements!H$20),"NA",Financial_Statements!H55/Financial_Statements!H$20)</f>
        <v>NA</v>
      </c>
      <c r="F49" s="56" t="str">
        <f>IF(ISERROR(Financial_Statements!I55/Financial_Statements!I$20),"NA",Financial_Statements!I55/Financial_Statements!I$20)</f>
        <v>NA</v>
      </c>
      <c r="G49" s="56" t="str">
        <f>IF(ISERROR(Financial_Statements!J55/Financial_Statements!J$20),"NA",Financial_Statements!J55/Financial_Statements!J$20)</f>
        <v>NA</v>
      </c>
      <c r="H49" s="56" t="str">
        <f>IF(ISERROR(Financial_Statements!K55/Financial_Statements!K$20),"NA",Financial_Statements!K55/Financial_Statements!K$20)</f>
        <v>NA</v>
      </c>
      <c r="I49" s="56" t="str">
        <f>IF(ISERROR(Financial_Statements!L55/Financial_Statements!L$20),"NA",Financial_Statements!L55/Financial_Statements!L$20)</f>
        <v>NA</v>
      </c>
      <c r="J49" s="56" t="str">
        <f>IF(ISERROR(Financial_Statements!M55/Financial_Statements!M$20),"NA",Financial_Statements!M55/Financial_Statements!M$20)</f>
        <v>NA</v>
      </c>
      <c r="K49" s="56" t="str">
        <f>IF(ISERROR(Financial_Statements!N55/Financial_Statements!N$20),"NA",Financial_Statements!N55/Financial_Statements!N$20)</f>
        <v>NA</v>
      </c>
      <c r="L49" s="56" t="str">
        <f>IF(ISERROR(Financial_Statements!O55/Financial_Statements!O$20),"NA",Financial_Statements!O55/Financial_Statements!O$20)</f>
        <v>NA</v>
      </c>
      <c r="M49" s="56" t="str">
        <f>IF(ISERROR(Financial_Statements!P55/Financial_Statements!P$20),"NA",Financial_Statements!P55/Financial_Statements!P$20)</f>
        <v>NA</v>
      </c>
      <c r="N49" s="56" t="str">
        <f>IF(ISERROR(Financial_Statements!Q55/Financial_Statements!Q$20),"NA",Financial_Statements!Q55/Financial_Statements!Q$20)</f>
        <v>NA</v>
      </c>
    </row>
    <row r="50" spans="2:15" ht="12.75" customHeight="1" x14ac:dyDescent="0.2">
      <c r="B50" s="5" t="s">
        <v>749</v>
      </c>
      <c r="C50" s="56" t="str">
        <f>IF(ISERROR(Financial_Statements!F56/Financial_Statements!F$20),"NA",Financial_Statements!F56/Financial_Statements!F$20)</f>
        <v>NA</v>
      </c>
      <c r="D50" s="56" t="str">
        <f>IF(ISERROR(Financial_Statements!G56/Financial_Statements!G$20),"NA",Financial_Statements!G56/Financial_Statements!G$20)</f>
        <v>NA</v>
      </c>
      <c r="E50" s="56" t="str">
        <f>IF(ISERROR(Financial_Statements!H56/Financial_Statements!H$20),"NA",Financial_Statements!H56/Financial_Statements!H$20)</f>
        <v>NA</v>
      </c>
      <c r="F50" s="56" t="str">
        <f>IF(ISERROR(Financial_Statements!I56/Financial_Statements!I$20),"NA",Financial_Statements!I56/Financial_Statements!I$20)</f>
        <v>NA</v>
      </c>
      <c r="G50" s="56" t="str">
        <f>IF(ISERROR(Financial_Statements!J56/Financial_Statements!J$20),"NA",Financial_Statements!J56/Financial_Statements!J$20)</f>
        <v>NA</v>
      </c>
      <c r="H50" s="56" t="str">
        <f>IF(ISERROR(Financial_Statements!K56/Financial_Statements!K$20),"NA",Financial_Statements!K56/Financial_Statements!K$20)</f>
        <v>NA</v>
      </c>
      <c r="I50" s="56" t="str">
        <f>IF(ISERROR(Financial_Statements!L56/Financial_Statements!L$20),"NA",Financial_Statements!L56/Financial_Statements!L$20)</f>
        <v>NA</v>
      </c>
      <c r="J50" s="56" t="str">
        <f>IF(ISERROR(Financial_Statements!M56/Financial_Statements!M$20),"NA",Financial_Statements!M56/Financial_Statements!M$20)</f>
        <v>NA</v>
      </c>
      <c r="K50" s="56" t="str">
        <f>IF(ISERROR(Financial_Statements!N56/Financial_Statements!N$20),"NA",Financial_Statements!N56/Financial_Statements!N$20)</f>
        <v>NA</v>
      </c>
      <c r="L50" s="56" t="str">
        <f>IF(ISERROR(Financial_Statements!O56/Financial_Statements!O$20),"NA",Financial_Statements!O56/Financial_Statements!O$20)</f>
        <v>NA</v>
      </c>
      <c r="M50" s="56" t="str">
        <f>IF(ISERROR(Financial_Statements!P56/Financial_Statements!P$20),"NA",Financial_Statements!P56/Financial_Statements!P$20)</f>
        <v>NA</v>
      </c>
      <c r="N50" s="56" t="str">
        <f>IF(ISERROR(Financial_Statements!Q56/Financial_Statements!Q$20),"NA",Financial_Statements!Q56/Financial_Statements!Q$20)</f>
        <v>NA</v>
      </c>
    </row>
    <row r="51" spans="2:15" ht="12.75" customHeight="1" x14ac:dyDescent="0.2">
      <c r="B51" s="5" t="s">
        <v>748</v>
      </c>
      <c r="C51" s="56" t="str">
        <f>IF(ISERROR(Financial_Statements!F57/Financial_Statements!F$20),"NA",Financial_Statements!F57/Financial_Statements!F$20)</f>
        <v>NA</v>
      </c>
      <c r="D51" s="56" t="str">
        <f>IF(ISERROR(Financial_Statements!G57/Financial_Statements!G$20),"NA",Financial_Statements!G57/Financial_Statements!G$20)</f>
        <v>NA</v>
      </c>
      <c r="E51" s="56" t="str">
        <f>IF(ISERROR(Financial_Statements!H57/Financial_Statements!H$20),"NA",Financial_Statements!H57/Financial_Statements!H$20)</f>
        <v>NA</v>
      </c>
      <c r="F51" s="56" t="str">
        <f>IF(ISERROR(Financial_Statements!I57/Financial_Statements!I$20),"NA",Financial_Statements!I57/Financial_Statements!I$20)</f>
        <v>NA</v>
      </c>
      <c r="G51" s="56" t="str">
        <f>IF(ISERROR(Financial_Statements!J57/Financial_Statements!J$20),"NA",Financial_Statements!J57/Financial_Statements!J$20)</f>
        <v>NA</v>
      </c>
      <c r="H51" s="56" t="str">
        <f>IF(ISERROR(Financial_Statements!K57/Financial_Statements!K$20),"NA",Financial_Statements!K57/Financial_Statements!K$20)</f>
        <v>NA</v>
      </c>
      <c r="I51" s="56" t="str">
        <f>IF(ISERROR(Financial_Statements!L57/Financial_Statements!L$20),"NA",Financial_Statements!L57/Financial_Statements!L$20)</f>
        <v>NA</v>
      </c>
      <c r="J51" s="56" t="str">
        <f>IF(ISERROR(Financial_Statements!M57/Financial_Statements!M$20),"NA",Financial_Statements!M57/Financial_Statements!M$20)</f>
        <v>NA</v>
      </c>
      <c r="K51" s="56" t="str">
        <f>IF(ISERROR(Financial_Statements!N57/Financial_Statements!N$20),"NA",Financial_Statements!N57/Financial_Statements!N$20)</f>
        <v>NA</v>
      </c>
      <c r="L51" s="56" t="str">
        <f>IF(ISERROR(Financial_Statements!O57/Financial_Statements!O$20),"NA",Financial_Statements!O57/Financial_Statements!O$20)</f>
        <v>NA</v>
      </c>
      <c r="M51" s="56" t="str">
        <f>IF(ISERROR(Financial_Statements!P57/Financial_Statements!P$20),"NA",Financial_Statements!P57/Financial_Statements!P$20)</f>
        <v>NA</v>
      </c>
      <c r="N51" s="56" t="str">
        <f>IF(ISERROR(Financial_Statements!Q57/Financial_Statements!Q$20),"NA",Financial_Statements!Q57/Financial_Statements!Q$20)</f>
        <v>NA</v>
      </c>
    </row>
    <row r="52" spans="2:15" ht="12.75" customHeight="1" x14ac:dyDescent="0.2">
      <c r="B52" s="5" t="s">
        <v>747</v>
      </c>
      <c r="C52" s="56" t="str">
        <f>IF(ISERROR(Financial_Statements!F58/Financial_Statements!F$20),"NA",Financial_Statements!F58/Financial_Statements!F$20)</f>
        <v>NA</v>
      </c>
      <c r="D52" s="56" t="str">
        <f>IF(ISERROR(Financial_Statements!G58/Financial_Statements!G$20),"NA",Financial_Statements!G58/Financial_Statements!G$20)</f>
        <v>NA</v>
      </c>
      <c r="E52" s="56" t="str">
        <f>IF(ISERROR(Financial_Statements!H58/Financial_Statements!H$20),"NA",Financial_Statements!H58/Financial_Statements!H$20)</f>
        <v>NA</v>
      </c>
      <c r="F52" s="56" t="str">
        <f>IF(ISERROR(Financial_Statements!I58/Financial_Statements!I$20),"NA",Financial_Statements!I58/Financial_Statements!I$20)</f>
        <v>NA</v>
      </c>
      <c r="G52" s="56" t="str">
        <f>IF(ISERROR(Financial_Statements!J58/Financial_Statements!J$20),"NA",Financial_Statements!J58/Financial_Statements!J$20)</f>
        <v>NA</v>
      </c>
      <c r="H52" s="56" t="str">
        <f>IF(ISERROR(Financial_Statements!K58/Financial_Statements!K$20),"NA",Financial_Statements!K58/Financial_Statements!K$20)</f>
        <v>NA</v>
      </c>
      <c r="I52" s="56" t="str">
        <f>IF(ISERROR(Financial_Statements!L58/Financial_Statements!L$20),"NA",Financial_Statements!L58/Financial_Statements!L$20)</f>
        <v>NA</v>
      </c>
      <c r="J52" s="56" t="str">
        <f>IF(ISERROR(Financial_Statements!M58/Financial_Statements!M$20),"NA",Financial_Statements!M58/Financial_Statements!M$20)</f>
        <v>NA</v>
      </c>
      <c r="K52" s="56" t="str">
        <f>IF(ISERROR(Financial_Statements!N58/Financial_Statements!N$20),"NA",Financial_Statements!N58/Financial_Statements!N$20)</f>
        <v>NA</v>
      </c>
      <c r="L52" s="56" t="str">
        <f>IF(ISERROR(Financial_Statements!O58/Financial_Statements!O$20),"NA",Financial_Statements!O58/Financial_Statements!O$20)</f>
        <v>NA</v>
      </c>
      <c r="M52" s="56" t="str">
        <f>IF(ISERROR(Financial_Statements!P58/Financial_Statements!P$20),"NA",Financial_Statements!P58/Financial_Statements!P$20)</f>
        <v>NA</v>
      </c>
      <c r="N52" s="56" t="str">
        <f>IF(ISERROR(Financial_Statements!Q58/Financial_Statements!Q$20),"NA",Financial_Statements!Q58/Financial_Statements!Q$20)</f>
        <v>NA</v>
      </c>
    </row>
    <row r="53" spans="2:15" ht="12.75" customHeight="1" x14ac:dyDescent="0.2">
      <c r="B53" s="5" t="s">
        <v>746</v>
      </c>
      <c r="C53" s="56" t="str">
        <f>IF(ISERROR(Financial_Statements!F59/Financial_Statements!F$20),"NA",Financial_Statements!F59/Financial_Statements!F$20)</f>
        <v>NA</v>
      </c>
      <c r="D53" s="56" t="str">
        <f>IF(ISERROR(Financial_Statements!G59/Financial_Statements!G$20),"NA",Financial_Statements!G59/Financial_Statements!G$20)</f>
        <v>NA</v>
      </c>
      <c r="E53" s="56" t="str">
        <f>IF(ISERROR(Financial_Statements!H59/Financial_Statements!H$20),"NA",Financial_Statements!H59/Financial_Statements!H$20)</f>
        <v>NA</v>
      </c>
      <c r="F53" s="56" t="str">
        <f>IF(ISERROR(Financial_Statements!I59/Financial_Statements!I$20),"NA",Financial_Statements!I59/Financial_Statements!I$20)</f>
        <v>NA</v>
      </c>
      <c r="G53" s="56" t="str">
        <f>IF(ISERROR(Financial_Statements!J59/Financial_Statements!J$20),"NA",Financial_Statements!J59/Financial_Statements!J$20)</f>
        <v>NA</v>
      </c>
      <c r="H53" s="56" t="str">
        <f>IF(ISERROR(Financial_Statements!K59/Financial_Statements!K$20),"NA",Financial_Statements!K59/Financial_Statements!K$20)</f>
        <v>NA</v>
      </c>
      <c r="I53" s="56" t="str">
        <f>IF(ISERROR(Financial_Statements!L59/Financial_Statements!L$20),"NA",Financial_Statements!L59/Financial_Statements!L$20)</f>
        <v>NA</v>
      </c>
      <c r="J53" s="56" t="str">
        <f>IF(ISERROR(Financial_Statements!M59/Financial_Statements!M$20),"NA",Financial_Statements!M59/Financial_Statements!M$20)</f>
        <v>NA</v>
      </c>
      <c r="K53" s="56" t="str">
        <f>IF(ISERROR(Financial_Statements!N59/Financial_Statements!N$20),"NA",Financial_Statements!N59/Financial_Statements!N$20)</f>
        <v>NA</v>
      </c>
      <c r="L53" s="56" t="str">
        <f>IF(ISERROR(Financial_Statements!O59/Financial_Statements!O$20),"NA",Financial_Statements!O59/Financial_Statements!O$20)</f>
        <v>NA</v>
      </c>
      <c r="M53" s="56" t="str">
        <f>IF(ISERROR(Financial_Statements!P59/Financial_Statements!P$20),"NA",Financial_Statements!P59/Financial_Statements!P$20)</f>
        <v>NA</v>
      </c>
      <c r="N53" s="56" t="str">
        <f>IF(ISERROR(Financial_Statements!Q59/Financial_Statements!Q$20),"NA",Financial_Statements!Q59/Financial_Statements!Q$20)</f>
        <v>NA</v>
      </c>
    </row>
    <row r="54" spans="2:15" ht="12.75" customHeight="1" x14ac:dyDescent="0.2">
      <c r="B54" s="5" t="s">
        <v>745</v>
      </c>
      <c r="C54" s="60">
        <f>IF(ISERROR(Financial_Statements!F60/Financial_Statements!F$20),"NA",Financial_Statements!F60/Financial_Statements!F$20)</f>
        <v>-2.696817420435511E-2</v>
      </c>
      <c r="D54" s="60">
        <f>IF(ISERROR(Financial_Statements!G60/Financial_Statements!G$20),"NA",Financial_Statements!G60/Financial_Statements!G$20)</f>
        <v>-2.4900962082625919E-2</v>
      </c>
      <c r="E54" s="60">
        <f>IF(ISERROR(Financial_Statements!H60/Financial_Statements!H$20),"NA",Financial_Statements!H60/Financial_Statements!H$20)</f>
        <v>-1.6286644951140068E-3</v>
      </c>
      <c r="F54" s="60">
        <f>IF(ISERROR(Financial_Statements!I60/Financial_Statements!I$20),"NA",Financial_Statements!I60/Financial_Statements!I$20)</f>
        <v>-3.5805274392343182E-3</v>
      </c>
      <c r="G54" s="60">
        <f>IF(ISERROR(Financial_Statements!J60/Financial_Statements!J$20),"NA",Financial_Statements!J60/Financial_Statements!J$20)</f>
        <v>-3.8483880336915477E-3</v>
      </c>
      <c r="H54" s="60">
        <f>IF(ISERROR(Financial_Statements!K60/Financial_Statements!K$20),"NA",Financial_Statements!K60/Financial_Statements!K$20)</f>
        <v>-2.3612823674475959E-2</v>
      </c>
      <c r="I54" s="60">
        <f>IF(ISERROR(Financial_Statements!L60/Financial_Statements!L$20),"NA",Financial_Statements!L60/Financial_Statements!L$20)</f>
        <v>-1.2050881499665253E-2</v>
      </c>
      <c r="J54" s="60">
        <f>IF(ISERROR(Financial_Statements!M60/Financial_Statements!M$20),"NA",Financial_Statements!M60/Financial_Statements!M$20)</f>
        <v>-1.2617052735337605E-2</v>
      </c>
      <c r="K54" s="60">
        <f>IF(ISERROR(Financial_Statements!N60/Financial_Statements!N$20),"NA",Financial_Statements!N60/Financial_Statements!N$20)</f>
        <v>-3.0043792646909054E-2</v>
      </c>
      <c r="L54" s="60">
        <f>IF(ISERROR(Financial_Statements!O60/Financial_Statements!O$20),"NA",Financial_Statements!O60/Financial_Statements!O$20)</f>
        <v>3.5162725765639995E-2</v>
      </c>
      <c r="M54" s="60">
        <f>IF(ISERROR(Financial_Statements!P60/Financial_Statements!P$20),"NA",Financial_Statements!P60/Financial_Statements!P$20)</f>
        <v>-1.252723311546841E-2</v>
      </c>
      <c r="N54" s="60">
        <f>IF(ISERROR(Financial_Statements!Q60/Financial_Statements!Q$20),"NA",Financial_Statements!Q60/Financial_Statements!Q$20)</f>
        <v>-1.4926810477657934E-2</v>
      </c>
    </row>
    <row r="55" spans="2:15" ht="12.75" customHeight="1" x14ac:dyDescent="0.2">
      <c r="B55" s="14" t="s">
        <v>744</v>
      </c>
      <c r="C55" s="57">
        <f>IF(ISERROR(Financial_Statements!F61/Financial_Statements!F$20),"NA",Financial_Statements!F61/Financial_Statements!F$20)</f>
        <v>0.15167504187604688</v>
      </c>
      <c r="D55" s="57">
        <f>IF(ISERROR(Financial_Statements!G61/Financial_Statements!G$20),"NA",Financial_Statements!G61/Financial_Statements!G$20)</f>
        <v>0.1678692699490662</v>
      </c>
      <c r="E55" s="57">
        <f>IF(ISERROR(Financial_Statements!H61/Financial_Statements!H$20),"NA",Financial_Statements!H61/Financial_Statements!H$20)</f>
        <v>0.19921527983417237</v>
      </c>
      <c r="F55" s="57">
        <f>IF(ISERROR(Financial_Statements!I61/Financial_Statements!I$20),"NA",Financial_Statements!I61/Financial_Statements!I$20)</f>
        <v>0.13544033601872893</v>
      </c>
      <c r="G55" s="57">
        <f>IF(ISERROR(Financial_Statements!J61/Financial_Statements!J$20),"NA",Financial_Statements!J61/Financial_Statements!J$20)</f>
        <v>0.12380191693290735</v>
      </c>
      <c r="H55" s="57">
        <f>IF(ISERROR(Financial_Statements!K61/Financial_Statements!K$20),"NA",Financial_Statements!K61/Financial_Statements!K$20)</f>
        <v>0.21430332922318127</v>
      </c>
      <c r="I55" s="57">
        <f>IF(ISERROR(Financial_Statements!L61/Financial_Statements!L$20),"NA",Financial_Statements!L61/Financial_Statements!L$20)</f>
        <v>0.18485457115227255</v>
      </c>
      <c r="J55" s="57">
        <f>IF(ISERROR(Financial_Statements!M61/Financial_Statements!M$20),"NA",Financial_Statements!M61/Financial_Statements!M$20)</f>
        <v>6.2198127156234601E-2</v>
      </c>
      <c r="K55" s="57">
        <f>IF(ISERROR(Financial_Statements!N61/Financial_Statements!N$20),"NA",Financial_Statements!N61/Financial_Statements!N$20)</f>
        <v>3.2589876769528466E-2</v>
      </c>
      <c r="L55" s="57">
        <f>IF(ISERROR(Financial_Statements!O61/Financial_Statements!O$20),"NA",Financial_Statements!O61/Financial_Statements!O$20)</f>
        <v>-3.7867550824535377E-2</v>
      </c>
      <c r="M55" s="57">
        <f>IF(ISERROR(Financial_Statements!P61/Financial_Statements!P$20),"NA",Financial_Statements!P61/Financial_Statements!P$20)</f>
        <v>8.7145969498910684E-3</v>
      </c>
      <c r="N55" s="57">
        <f>IF(ISERROR(Financial_Statements!Q61/Financial_Statements!Q$20),"NA",Financial_Statements!Q61/Financial_Statements!Q$20)</f>
        <v>-5.2966101694915252E-3</v>
      </c>
      <c r="O55" s="59"/>
    </row>
    <row r="56" spans="2:15" ht="12.75" customHeight="1" x14ac:dyDescent="0.2">
      <c r="B56" s="11"/>
      <c r="C56" s="56"/>
      <c r="D56" s="56"/>
      <c r="E56" s="56"/>
      <c r="F56" s="56"/>
      <c r="G56" s="56"/>
      <c r="H56" s="56"/>
      <c r="I56" s="56"/>
      <c r="J56" s="56"/>
      <c r="K56" s="56"/>
      <c r="L56" s="56"/>
      <c r="M56" s="56"/>
      <c r="N56" s="56"/>
    </row>
    <row r="57" spans="2:15" ht="12.75" customHeight="1" x14ac:dyDescent="0.2">
      <c r="B57" s="5" t="s">
        <v>743</v>
      </c>
      <c r="C57" s="56">
        <f>IF(ISERROR(Financial_Statements!F63/Financial_Statements!F$20),"NA",Financial_Statements!F63/Financial_Statements!F$20)</f>
        <v>7.705192629815746E-3</v>
      </c>
      <c r="D57" s="56">
        <f>IF(ISERROR(Financial_Statements!G63/Financial_Statements!G$20),"NA",Financial_Statements!G63/Financial_Statements!G$20)</f>
        <v>1.1813808715336728E-2</v>
      </c>
      <c r="E57" s="56">
        <f>IF(ISERROR(Financial_Statements!H63/Financial_Statements!H$20),"NA",Financial_Statements!H63/Financial_Statements!H$20)</f>
        <v>3.1314776428782949E-2</v>
      </c>
      <c r="F57" s="56">
        <f>IF(ISERROR(Financial_Statements!I63/Financial_Statements!I$20),"NA",Financial_Statements!I63/Financial_Statements!I$20)</f>
        <v>3.7664394408868693E-2</v>
      </c>
      <c r="G57" s="56">
        <f>IF(ISERROR(Financial_Statements!J63/Financial_Statements!J$20),"NA",Financial_Statements!J63/Financial_Statements!J$20)</f>
        <v>2.61399941911124E-2</v>
      </c>
      <c r="H57" s="56">
        <f>IF(ISERROR(Financial_Statements!K63/Financial_Statements!K$20),"NA",Financial_Statements!K63/Financial_Statements!K$20)</f>
        <v>7.5215782983970416E-3</v>
      </c>
      <c r="I57" s="56">
        <f>IF(ISERROR(Financial_Statements!L63/Financial_Statements!L$20),"NA",Financial_Statements!L63/Financial_Statements!L$20)</f>
        <v>3.0573532693595182E-2</v>
      </c>
      <c r="J57" s="56">
        <f>IF(ISERROR(Financial_Statements!M63/Financial_Statements!M$20),"NA",Financial_Statements!M63/Financial_Statements!M$20)</f>
        <v>9.0685066535239039E-3</v>
      </c>
      <c r="K57" s="56">
        <f>IF(ISERROR(Financial_Statements!N63/Financial_Statements!N$20),"NA",Financial_Statements!N63/Financial_Statements!N$20)</f>
        <v>2.7905081983908751E-2</v>
      </c>
      <c r="L57" s="56">
        <f>IF(ISERROR(Financial_Statements!O63/Financial_Statements!O$20),"NA",Financial_Statements!O63/Financial_Statements!O$20)</f>
        <v>-1.044411482418637</v>
      </c>
      <c r="M57" s="56">
        <f>IF(ISERROR(Financial_Statements!P63/Financial_Statements!P$20),"NA",Financial_Statements!P63/Financial_Statements!P$20)</f>
        <v>-1.525054466230937E-3</v>
      </c>
      <c r="N57" s="56">
        <f>IF(ISERROR(Financial_Statements!Q63/Financial_Statements!Q$20),"NA",Financial_Statements!Q63/Financial_Statements!Q$20)</f>
        <v>-0.29227657935285051</v>
      </c>
      <c r="O57" s="59"/>
    </row>
    <row r="58" spans="2:15" ht="12.75" customHeight="1" x14ac:dyDescent="0.2">
      <c r="B58" s="14" t="s">
        <v>742</v>
      </c>
      <c r="C58" s="57">
        <f>IF(ISERROR(Financial_Statements!F64/Financial_Statements!F$20),"NA",Financial_Statements!F64/Financial_Statements!F$20)</f>
        <v>0.14396984924623116</v>
      </c>
      <c r="D58" s="57">
        <f>IF(ISERROR(Financial_Statements!G64/Financial_Statements!G$20),"NA",Financial_Statements!G64/Financial_Statements!G$20)</f>
        <v>0.15605546123372946</v>
      </c>
      <c r="E58" s="57">
        <f>IF(ISERROR(Financial_Statements!H64/Financial_Statements!H$20),"NA",Financial_Statements!H64/Financial_Statements!H$20)</f>
        <v>0.16790050340538942</v>
      </c>
      <c r="F58" s="57">
        <f>IF(ISERROR(Financial_Statements!I64/Financial_Statements!I$20),"NA",Financial_Statements!I64/Financial_Statements!I$20)</f>
        <v>9.7775941609860223E-2</v>
      </c>
      <c r="G58" s="57">
        <f>IF(ISERROR(Financial_Statements!J64/Financial_Statements!J$20),"NA",Financial_Statements!J64/Financial_Statements!J$20)</f>
        <v>9.7661922741794943E-2</v>
      </c>
      <c r="H58" s="57">
        <f>IF(ISERROR(Financial_Statements!K64/Financial_Statements!K$20),"NA",Financial_Statements!K64/Financial_Statements!K$20)</f>
        <v>0.20678175092478424</v>
      </c>
      <c r="I58" s="57">
        <f>IF(ISERROR(Financial_Statements!L64/Financial_Statements!L$20),"NA",Financial_Statements!L64/Financial_Statements!L$20)</f>
        <v>0.15428103845867738</v>
      </c>
      <c r="J58" s="57">
        <f>IF(ISERROR(Financial_Statements!M64/Financial_Statements!M$20),"NA",Financial_Statements!M64/Financial_Statements!M$20)</f>
        <v>5.3129620502710695E-2</v>
      </c>
      <c r="K58" s="57">
        <f>IF(ISERROR(Financial_Statements!N64/Financial_Statements!N$20),"NA",Financial_Statements!N64/Financial_Statements!N$20)</f>
        <v>4.6847947856197177E-3</v>
      </c>
      <c r="L58" s="57">
        <f>IF(ISERROR(Financial_Statements!O64/Financial_Statements!O$20),"NA",Financial_Statements!O64/Financial_Statements!O$20)</f>
        <v>1.0065439315941018</v>
      </c>
      <c r="M58" s="57">
        <f>IF(ISERROR(Financial_Statements!P64/Financial_Statements!P$20),"NA",Financial_Statements!P64/Financial_Statements!P$20)</f>
        <v>1.0239651416122006E-2</v>
      </c>
      <c r="N58" s="57">
        <f>IF(ISERROR(Financial_Statements!Q64/Financial_Statements!Q$20),"NA",Financial_Statements!Q64/Financial_Statements!Q$20)</f>
        <v>0.286979969183359</v>
      </c>
      <c r="O58" s="59"/>
    </row>
    <row r="59" spans="2:15" ht="12.75" customHeight="1" x14ac:dyDescent="0.2">
      <c r="B59" s="11"/>
      <c r="C59" s="56"/>
      <c r="D59" s="56"/>
      <c r="E59" s="56"/>
      <c r="F59" s="56"/>
      <c r="G59" s="56"/>
      <c r="H59" s="56"/>
      <c r="I59" s="56"/>
      <c r="J59" s="56"/>
      <c r="K59" s="56"/>
      <c r="L59" s="56"/>
      <c r="M59" s="56"/>
      <c r="N59" s="56"/>
    </row>
    <row r="60" spans="2:15" ht="12.75" customHeight="1" x14ac:dyDescent="0.2">
      <c r="B60" s="5" t="s">
        <v>741</v>
      </c>
      <c r="C60" s="56">
        <f>IF(ISERROR(Financial_Statements!F66/Financial_Statements!F$20),"NA",Financial_Statements!F66/Financial_Statements!F$20)</f>
        <v>-8.123953098827472E-3</v>
      </c>
      <c r="D60" s="56">
        <f>IF(ISERROR(Financial_Statements!G66/Financial_Statements!G$20),"NA",Financial_Statements!G66/Financial_Statements!G$20)</f>
        <v>-2.5325410299943407E-2</v>
      </c>
      <c r="E60" s="56">
        <f>IF(ISERROR(Financial_Statements!H66/Financial_Statements!H$20),"NA",Financial_Statements!H66/Financial_Statements!H$20)</f>
        <v>-1.1252591057151319E-2</v>
      </c>
      <c r="F60" s="56">
        <f>IF(ISERROR(Financial_Statements!I66/Financial_Statements!I$20),"NA",Financial_Statements!I66/Financial_Statements!I$20)</f>
        <v>-7.4364800661020454E-3</v>
      </c>
      <c r="G60" s="56">
        <f>IF(ISERROR(Financial_Statements!J66/Financial_Statements!J$20),"NA",Financial_Statements!J66/Financial_Statements!J$20)</f>
        <v>-1.1762997386000579E-2</v>
      </c>
      <c r="H60" s="56">
        <f>IF(ISERROR(Financial_Statements!K66/Financial_Statements!K$20),"NA",Financial_Statements!K66/Financial_Statements!K$20)</f>
        <v>-3.3908754623921088E-2</v>
      </c>
      <c r="I60" s="56">
        <f>IF(ISERROR(Financial_Statements!L66/Financial_Statements!L$20),"NA",Financial_Statements!L66/Financial_Statements!L$20)</f>
        <v>-8.5546381016142238E-3</v>
      </c>
      <c r="J60" s="56">
        <f>IF(ISERROR(Financial_Statements!M66/Financial_Statements!M$20),"NA",Financial_Statements!M66/Financial_Statements!M$20)</f>
        <v>-2.1192705766387383E-2</v>
      </c>
      <c r="K60" s="56">
        <f>IF(ISERROR(Financial_Statements!N66/Financial_Statements!N$20),"NA",Financial_Statements!N66/Financial_Statements!N$20)</f>
        <v>-8.4529992870964465E-3</v>
      </c>
      <c r="L60" s="56">
        <f>IF(ISERROR(Financial_Statements!O66/Financial_Statements!O$20),"NA",Financial_Statements!O66/Financial_Statements!O$20)</f>
        <v>-4.9908384957682572E-2</v>
      </c>
      <c r="M60" s="56">
        <f>IF(ISERROR(Financial_Statements!P66/Financial_Statements!P$20),"NA",Financial_Statements!P66/Financial_Statements!P$20)</f>
        <v>-1.3616557734204794E-2</v>
      </c>
      <c r="N60" s="56">
        <f>IF(ISERROR(Financial_Statements!Q66/Financial_Statements!Q$20),"NA",Financial_Statements!Q66/Financial_Statements!Q$20)</f>
        <v>-2.6964560862865949E-3</v>
      </c>
      <c r="O60" s="59"/>
    </row>
    <row r="61" spans="2:15" ht="12.75" customHeight="1" x14ac:dyDescent="0.2">
      <c r="B61" s="5" t="s">
        <v>740</v>
      </c>
      <c r="C61" s="56" t="str">
        <f>IF(ISERROR(Financial_Statements!F67/Financial_Statements!F$20),"NA",Financial_Statements!F67/Financial_Statements!F$20)</f>
        <v>NA</v>
      </c>
      <c r="D61" s="56" t="str">
        <f>IF(ISERROR(Financial_Statements!G67/Financial_Statements!G$20),"NA",Financial_Statements!G67/Financial_Statements!G$20)</f>
        <v>NA</v>
      </c>
      <c r="E61" s="56" t="str">
        <f>IF(ISERROR(Financial_Statements!H67/Financial_Statements!H$20),"NA",Financial_Statements!H67/Financial_Statements!H$20)</f>
        <v>NA</v>
      </c>
      <c r="F61" s="56" t="str">
        <f>IF(ISERROR(Financial_Statements!I67/Financial_Statements!I$20),"NA",Financial_Statements!I67/Financial_Statements!I$20)</f>
        <v>NA</v>
      </c>
      <c r="G61" s="56" t="str">
        <f>IF(ISERROR(Financial_Statements!J67/Financial_Statements!J$20),"NA",Financial_Statements!J67/Financial_Statements!J$20)</f>
        <v>NA</v>
      </c>
      <c r="H61" s="56" t="str">
        <f>IF(ISERROR(Financial_Statements!K67/Financial_Statements!K$20),"NA",Financial_Statements!K67/Financial_Statements!K$20)</f>
        <v>NA</v>
      </c>
      <c r="I61" s="56" t="str">
        <f>IF(ISERROR(Financial_Statements!L67/Financial_Statements!L$20),"NA",Financial_Statements!L67/Financial_Statements!L$20)</f>
        <v>NA</v>
      </c>
      <c r="J61" s="56" t="str">
        <f>IF(ISERROR(Financial_Statements!M67/Financial_Statements!M$20),"NA",Financial_Statements!M67/Financial_Statements!M$20)</f>
        <v>NA</v>
      </c>
      <c r="K61" s="56" t="str">
        <f>IF(ISERROR(Financial_Statements!N67/Financial_Statements!N$20),"NA",Financial_Statements!N67/Financial_Statements!N$20)</f>
        <v>NA</v>
      </c>
      <c r="L61" s="56" t="str">
        <f>IF(ISERROR(Financial_Statements!O67/Financial_Statements!O$20),"NA",Financial_Statements!O67/Financial_Statements!O$20)</f>
        <v>NA</v>
      </c>
      <c r="M61" s="56" t="str">
        <f>IF(ISERROR(Financial_Statements!P67/Financial_Statements!P$20),"NA",Financial_Statements!P67/Financial_Statements!P$20)</f>
        <v>NA</v>
      </c>
      <c r="N61" s="56" t="str">
        <f>IF(ISERROR(Financial_Statements!Q67/Financial_Statements!Q$20),"NA",Financial_Statements!Q67/Financial_Statements!Q$20)</f>
        <v>NA</v>
      </c>
    </row>
    <row r="62" spans="2:15" ht="12.75" customHeight="1" x14ac:dyDescent="0.2">
      <c r="B62" s="14" t="s">
        <v>739</v>
      </c>
      <c r="C62" s="63">
        <f>IF(ISERROR(Financial_Statements!F68/Financial_Statements!F$20),"NA",Financial_Statements!F68/Financial_Statements!F$20)</f>
        <v>0.13584589614740369</v>
      </c>
      <c r="D62" s="63">
        <f>IF(ISERROR(Financial_Statements!G68/Financial_Statements!G$20),"NA",Financial_Statements!G68/Financial_Statements!G$20)</f>
        <v>0.13073005093378606</v>
      </c>
      <c r="E62" s="63">
        <f>IF(ISERROR(Financial_Statements!H68/Financial_Statements!H$20),"NA",Financial_Statements!H68/Financial_Statements!H$20)</f>
        <v>0.15664791234823808</v>
      </c>
      <c r="F62" s="63">
        <f>IF(ISERROR(Financial_Statements!I68/Financial_Statements!I$20),"NA",Financial_Statements!I68/Financial_Statements!I$20)</f>
        <v>9.0339461543758173E-2</v>
      </c>
      <c r="G62" s="63">
        <f>IF(ISERROR(Financial_Statements!J68/Financial_Statements!J$20),"NA",Financial_Statements!J68/Financial_Statements!J$20)</f>
        <v>8.5898925355794367E-2</v>
      </c>
      <c r="H62" s="63">
        <f>IF(ISERROR(Financial_Statements!K68/Financial_Statements!K$20),"NA",Financial_Statements!K68/Financial_Statements!K$20)</f>
        <v>0.17287299630086314</v>
      </c>
      <c r="I62" s="63">
        <f>IF(ISERROR(Financial_Statements!L68/Financial_Statements!L$20),"NA",Financial_Statements!L68/Financial_Statements!L$20)</f>
        <v>0.14572640035706316</v>
      </c>
      <c r="J62" s="63">
        <f>IF(ISERROR(Financial_Statements!M68/Financial_Statements!M$20),"NA",Financial_Statements!M68/Financial_Statements!M$20)</f>
        <v>3.1936914736323312E-2</v>
      </c>
      <c r="K62" s="63">
        <f>IF(ISERROR(Financial_Statements!N68/Financial_Statements!N$20),"NA",Financial_Statements!N68/Financial_Statements!N$20)</f>
        <v>-3.7682045014767289E-3</v>
      </c>
      <c r="L62" s="63">
        <f>IF(ISERROR(Financial_Statements!O68/Financial_Statements!O$20),"NA",Financial_Statements!O68/Financial_Statements!O$20)</f>
        <v>0.95663554663641914</v>
      </c>
      <c r="M62" s="63">
        <f>IF(ISERROR(Financial_Statements!P68/Financial_Statements!P$20),"NA",Financial_Statements!P68/Financial_Statements!P$20)</f>
        <v>-3.3769063180827887E-3</v>
      </c>
      <c r="N62" s="63">
        <f>IF(ISERROR(Financial_Statements!Q68/Financial_Statements!Q$20),"NA",Financial_Statements!Q68/Financial_Statements!Q$20)</f>
        <v>0.28428351309707239</v>
      </c>
      <c r="O62" s="59"/>
    </row>
    <row r="63" spans="2:15" ht="12.75" customHeight="1" x14ac:dyDescent="0.2">
      <c r="B63" s="14"/>
      <c r="C63" s="61"/>
      <c r="D63" s="61"/>
      <c r="E63" s="61"/>
      <c r="F63" s="61"/>
      <c r="G63" s="61"/>
      <c r="H63" s="61"/>
      <c r="I63" s="61"/>
      <c r="J63" s="61"/>
      <c r="K63" s="61"/>
      <c r="L63" s="61"/>
      <c r="M63" s="61"/>
      <c r="N63" s="61"/>
      <c r="O63" s="59"/>
    </row>
    <row r="64" spans="2:15" ht="12.75" customHeight="1" x14ac:dyDescent="0.2">
      <c r="B64" s="5" t="s">
        <v>675</v>
      </c>
      <c r="C64" s="56">
        <f>IF(ISERROR(Financial_Statements!F70/Financial_Statements!F$20),"NA",Financial_Statements!F70/Financial_Statements!F$20)</f>
        <v>-2.0938023450586263E-3</v>
      </c>
      <c r="D64" s="56">
        <f>IF(ISERROR(Financial_Statements!G70/Financial_Statements!G$20),"NA",Financial_Statements!G70/Financial_Statements!G$20)</f>
        <v>4.1737408036219576E-3</v>
      </c>
      <c r="E64" s="56">
        <f>IF(ISERROR(Financial_Statements!H70/Financial_Statements!H$20),"NA",Financial_Statements!H70/Financial_Statements!H$20)</f>
        <v>-3.1092685815812854E-3</v>
      </c>
      <c r="F64" s="56">
        <f>IF(ISERROR(Financial_Statements!I70/Financial_Statements!I$20),"NA",Financial_Statements!I70/Financial_Statements!I$20)</f>
        <v>2.0656889072505681E-3</v>
      </c>
      <c r="G64" s="56">
        <f>IF(ISERROR(Financial_Statements!J70/Financial_Statements!J$20),"NA",Financial_Statements!J70/Financial_Statements!J$20)</f>
        <v>1.9604995643334303E-3</v>
      </c>
      <c r="H64" s="56">
        <f>IF(ISERROR(Financial_Statements!K70/Financial_Statements!K$20),"NA",Financial_Statements!K70/Financial_Statements!K$20)</f>
        <v>-4.0073982737361281E-3</v>
      </c>
      <c r="I64" s="56">
        <f>IF(ISERROR(Financial_Statements!L70/Financial_Statements!L$20),"NA",Financial_Statements!L70/Financial_Statements!L$20)</f>
        <v>7.4388157405341074E-5</v>
      </c>
      <c r="J64" s="56">
        <f>IF(ISERROR(Financial_Statements!M70/Financial_Statements!M$20),"NA",Financial_Statements!M70/Financial_Statements!M$20)</f>
        <v>-1.8728437654016758E-3</v>
      </c>
      <c r="K64" s="56">
        <f>IF(ISERROR(Financial_Statements!N70/Financial_Statements!N$20),"NA",Financial_Statements!N70/Financial_Statements!N$20)</f>
        <v>2.0368672980955292E-4</v>
      </c>
      <c r="L64" s="56">
        <f>IF(ISERROR(Financial_Statements!O70/Financial_Statements!O$20),"NA",Financial_Statements!O70/Financial_Statements!O$20)</f>
        <v>1.8323008463484861E-3</v>
      </c>
      <c r="M64" s="56">
        <f>IF(ISERROR(Financial_Statements!P70/Financial_Statements!P$20),"NA",Financial_Statements!P70/Financial_Statements!P$20)</f>
        <v>4.3572984749455342E-4</v>
      </c>
      <c r="N64" s="56">
        <f>IF(ISERROR(Financial_Statements!Q70/Financial_Statements!Q$20),"NA",Financial_Statements!Q70/Financial_Statements!Q$20)</f>
        <v>-9.6302003081664102E-5</v>
      </c>
    </row>
    <row r="65" spans="2:15" ht="12.75" customHeight="1" thickBot="1" x14ac:dyDescent="0.25">
      <c r="B65" s="14" t="s">
        <v>738</v>
      </c>
      <c r="C65" s="62">
        <f>IF(ISERROR(Financial_Statements!F71/Financial_Statements!F$20),"NA",Financial_Statements!F71/Financial_Statements!F$20)</f>
        <v>0.13375209380234507</v>
      </c>
      <c r="D65" s="62">
        <f>IF(ISERROR(Financial_Statements!G71/Financial_Statements!G$20),"NA",Financial_Statements!G71/Financial_Statements!G$20)</f>
        <v>0.13490379173740805</v>
      </c>
      <c r="E65" s="62">
        <f>IF(ISERROR(Financial_Statements!H71/Financial_Statements!H$20),"NA",Financial_Statements!H71/Financial_Statements!H$20)</f>
        <v>0.1535386437666568</v>
      </c>
      <c r="F65" s="62">
        <f>IF(ISERROR(Financial_Statements!I71/Financial_Statements!I$20),"NA",Financial_Statements!I71/Financial_Statements!I$20)</f>
        <v>9.2405150451008736E-2</v>
      </c>
      <c r="G65" s="62">
        <f>IF(ISERROR(Financial_Statements!J71/Financial_Statements!J$20),"NA",Financial_Statements!J71/Financial_Statements!J$20)</f>
        <v>8.7859424920127799E-2</v>
      </c>
      <c r="H65" s="62">
        <f>IF(ISERROR(Financial_Statements!K71/Financial_Statements!K$20),"NA",Financial_Statements!K71/Financial_Statements!K$20)</f>
        <v>0.16886559802712703</v>
      </c>
      <c r="I65" s="62">
        <f>IF(ISERROR(Financial_Statements!L71/Financial_Statements!L$20),"NA",Financial_Statements!L71/Financial_Statements!L$20)</f>
        <v>0.14580078851446851</v>
      </c>
      <c r="J65" s="62">
        <f>IF(ISERROR(Financial_Statements!M71/Financial_Statements!M$20),"NA",Financial_Statements!M71/Financial_Statements!M$20)</f>
        <v>3.0064070970921637E-2</v>
      </c>
      <c r="K65" s="62">
        <f>IF(ISERROR(Financial_Statements!N71/Financial_Statements!N$20),"NA",Financial_Statements!N71/Financial_Statements!N$20)</f>
        <v>-3.564517771667176E-3</v>
      </c>
      <c r="L65" s="62">
        <f>IF(ISERROR(Financial_Statements!O71/Financial_Statements!O$20),"NA",Financial_Statements!O71/Financial_Statements!O$20)</f>
        <v>0.95846784748276759</v>
      </c>
      <c r="M65" s="62">
        <f>IF(ISERROR(Financial_Statements!P71/Financial_Statements!P$20),"NA",Financial_Statements!P71/Financial_Statements!P$20)</f>
        <v>-2.9411764705882357E-3</v>
      </c>
      <c r="N65" s="62">
        <f>IF(ISERROR(Financial_Statements!Q71/Financial_Statements!Q$20),"NA",Financial_Statements!Q71/Financial_Statements!Q$20)</f>
        <v>0.28418721109399075</v>
      </c>
    </row>
    <row r="66" spans="2:15" ht="12.75" customHeight="1" thickTop="1" x14ac:dyDescent="0.2">
      <c r="B66" s="11"/>
      <c r="C66" s="56"/>
      <c r="D66" s="56"/>
      <c r="E66" s="56"/>
      <c r="F66" s="56"/>
      <c r="G66" s="56"/>
      <c r="H66" s="56"/>
      <c r="I66" s="56"/>
      <c r="J66" s="56"/>
      <c r="K66" s="56"/>
      <c r="L66" s="56"/>
      <c r="M66" s="56"/>
      <c r="N66" s="56"/>
    </row>
    <row r="67" spans="2:15" ht="12.75" customHeight="1" x14ac:dyDescent="0.2">
      <c r="B67" s="5" t="s">
        <v>737</v>
      </c>
      <c r="C67" s="56">
        <f>IF(ISERROR(Financial_Statements!F73/Financial_Statements!F$20),"NA",Financial_Statements!F73/Financial_Statements!F$20)</f>
        <v>3.3500837520938025E-4</v>
      </c>
      <c r="D67" s="56">
        <f>IF(ISERROR(Financial_Statements!G73/Financial_Statements!G$20),"NA",Financial_Statements!G73/Financial_Statements!G$20)</f>
        <v>3.537068477645727E-4</v>
      </c>
      <c r="E67" s="56">
        <f>IF(ISERROR(Financial_Statements!H73/Financial_Statements!H$20),"NA",Financial_Statements!H73/Financial_Statements!H$20)</f>
        <v>2.9612081729345576E-4</v>
      </c>
      <c r="F67" s="56">
        <f>IF(ISERROR(Financial_Statements!I73/Financial_Statements!I$20),"NA",Financial_Statements!I73/Financial_Statements!I$20)</f>
        <v>2.065688907250568E-4</v>
      </c>
      <c r="G67" s="56">
        <f>IF(ISERROR(Financial_Statements!J73/Financial_Statements!J$20),"NA",Financial_Statements!J73/Financial_Statements!J$20)</f>
        <v>2.1783328492593667E-4</v>
      </c>
      <c r="H67" s="56">
        <f>IF(ISERROR(Financial_Statements!K73/Financial_Statements!K$20),"NA",Financial_Statements!K73/Financial_Statements!K$20)</f>
        <v>3.699136868064118E-4</v>
      </c>
      <c r="I67" s="56">
        <f>IF(ISERROR(Financial_Statements!L73/Financial_Statements!L$20),"NA",Financial_Statements!L73/Financial_Statements!L$20)</f>
        <v>2.975526296213643E-4</v>
      </c>
      <c r="J67" s="56">
        <f>IF(ISERROR(Financial_Statements!M73/Financial_Statements!M$20),"NA",Financial_Statements!M73/Financial_Statements!M$20)</f>
        <v>9.857072449482504E-5</v>
      </c>
      <c r="K67" s="56" t="str">
        <f>IF(ISERROR(Financial_Statements!N73/Financial_Statements!N$20),"NA",Financial_Statements!N73/Financial_Statements!N$20)</f>
        <v>NA</v>
      </c>
      <c r="L67" s="56">
        <f>IF(ISERROR(Financial_Statements!O73/Financial_Statements!O$20),"NA",Financial_Statements!O73/Financial_Statements!O$20)</f>
        <v>2.617572637640694E-3</v>
      </c>
      <c r="M67" s="56" t="str">
        <f>IF(ISERROR(Financial_Statements!P73/Financial_Statements!P$20),"NA",Financial_Statements!P73/Financial_Statements!P$20)</f>
        <v>NA</v>
      </c>
      <c r="N67" s="56">
        <f>IF(ISERROR(Financial_Statements!Q73/Financial_Statements!Q$20),"NA",Financial_Statements!Q73/Financial_Statements!Q$20)</f>
        <v>8.667180277349768E-4</v>
      </c>
      <c r="O67" s="59"/>
    </row>
    <row r="68" spans="2:15" ht="12.75" customHeight="1" x14ac:dyDescent="0.2">
      <c r="B68" s="11"/>
      <c r="C68" s="56"/>
      <c r="D68" s="56"/>
      <c r="E68" s="56"/>
      <c r="F68" s="56"/>
      <c r="G68" s="56"/>
      <c r="H68" s="56"/>
      <c r="I68" s="56"/>
      <c r="J68" s="56"/>
      <c r="K68" s="56"/>
      <c r="L68" s="56"/>
      <c r="M68" s="56"/>
      <c r="N68" s="56"/>
      <c r="O68" s="59"/>
    </row>
    <row r="69" spans="2:15" ht="12.75" customHeight="1" x14ac:dyDescent="0.2">
      <c r="B69" s="14" t="s">
        <v>736</v>
      </c>
      <c r="C69" s="61">
        <f>IF(ISERROR(Financial_Statements!F75/Financial_Statements!F$20),"NA",Financial_Statements!F75/Financial_Statements!F$20)</f>
        <v>0.13341708542713568</v>
      </c>
      <c r="D69" s="61">
        <f>IF(ISERROR(Financial_Statements!G75/Financial_Statements!G$20),"NA",Financial_Statements!G75/Financial_Statements!G$20)</f>
        <v>0.13455008488964346</v>
      </c>
      <c r="E69" s="61">
        <f>IF(ISERROR(Financial_Statements!H75/Financial_Statements!H$20),"NA",Financial_Statements!H75/Financial_Statements!H$20)</f>
        <v>0.15324252294936336</v>
      </c>
      <c r="F69" s="61">
        <f>IF(ISERROR(Financial_Statements!I75/Financial_Statements!I$20),"NA",Financial_Statements!I75/Financial_Statements!I$20)</f>
        <v>9.2198581560283696E-2</v>
      </c>
      <c r="G69" s="61">
        <f>IF(ISERROR(Financial_Statements!J75/Financial_Statements!J$20),"NA",Financial_Statements!J75/Financial_Statements!J$20)</f>
        <v>8.7641591635201854E-2</v>
      </c>
      <c r="H69" s="61">
        <f>IF(ISERROR(Financial_Statements!K75/Financial_Statements!K$20),"NA",Financial_Statements!K75/Financial_Statements!K$20)</f>
        <v>0.16849568434032061</v>
      </c>
      <c r="I69" s="61">
        <f>IF(ISERROR(Financial_Statements!L75/Financial_Statements!L$20),"NA",Financial_Statements!L75/Financial_Statements!L$20)</f>
        <v>0.14550323588484712</v>
      </c>
      <c r="J69" s="61">
        <f>IF(ISERROR(Financial_Statements!M75/Financial_Statements!M$20),"NA",Financial_Statements!M75/Financial_Statements!M$20)</f>
        <v>2.9965500246426812E-2</v>
      </c>
      <c r="K69" s="61">
        <f>IF(ISERROR(Financial_Statements!N75/Financial_Statements!N$20),"NA",Financial_Statements!N75/Financial_Statements!N$20)</f>
        <v>-3.564517771667176E-3</v>
      </c>
      <c r="L69" s="61">
        <f>IF(ISERROR(Financial_Statements!O75/Financial_Statements!O$20),"NA",Financial_Statements!O75/Financial_Statements!O$20)</f>
        <v>0.95585027484512686</v>
      </c>
      <c r="M69" s="61">
        <f>IF(ISERROR(Financial_Statements!P75/Financial_Statements!P$20),"NA",Financial_Statements!P75/Financial_Statements!P$20)</f>
        <v>-2.9411764705882357E-3</v>
      </c>
      <c r="N69" s="61">
        <f>IF(ISERROR(Financial_Statements!Q75/Financial_Statements!Q$20),"NA",Financial_Statements!Q75/Financial_Statements!Q$20)</f>
        <v>0.28332049306625573</v>
      </c>
      <c r="O69" s="59"/>
    </row>
    <row r="70" spans="2:15" ht="12.75" customHeight="1" x14ac:dyDescent="0.2">
      <c r="B70" s="14" t="s">
        <v>735</v>
      </c>
      <c r="C70" s="61">
        <f>IF(ISERROR(Financial_Statements!F76/Financial_Statements!F$20),"NA",Financial_Statements!F76/Financial_Statements!F$20)</f>
        <v>0.14154103852596314</v>
      </c>
      <c r="D70" s="61">
        <f>IF(ISERROR(Financial_Statements!G76/Financial_Statements!G$20),"NA",Financial_Statements!G76/Financial_Statements!G$20)</f>
        <v>0.15987549518958685</v>
      </c>
      <c r="E70" s="61">
        <f>IF(ISERROR(Financial_Statements!H76/Financial_Statements!H$20),"NA",Financial_Statements!H76/Financial_Statements!H$20)</f>
        <v>0.16449511400651468</v>
      </c>
      <c r="F70" s="61">
        <f>IF(ISERROR(Financial_Statements!I76/Financial_Statements!I$20),"NA",Financial_Statements!I76/Financial_Statements!I$20)</f>
        <v>9.9635061626385746E-2</v>
      </c>
      <c r="G70" s="61">
        <f>IF(ISERROR(Financial_Statements!J76/Financial_Statements!J$20),"NA",Financial_Statements!J76/Financial_Statements!J$20)</f>
        <v>9.9404589021202444E-2</v>
      </c>
      <c r="H70" s="61">
        <f>IF(ISERROR(Financial_Statements!K76/Financial_Statements!K$20),"NA",Financial_Statements!K76/Financial_Statements!K$20)</f>
        <v>0.20240443896424168</v>
      </c>
      <c r="I70" s="61">
        <f>IF(ISERROR(Financial_Statements!L76/Financial_Statements!L$20),"NA",Financial_Statements!L76/Financial_Statements!L$20)</f>
        <v>0.15405787398646137</v>
      </c>
      <c r="J70" s="61">
        <f>IF(ISERROR(Financial_Statements!M76/Financial_Statements!M$20),"NA",Financial_Statements!M76/Financial_Statements!M$20)</f>
        <v>5.1158206012814192E-2</v>
      </c>
      <c r="K70" s="61">
        <f>IF(ISERROR(Financial_Statements!N76/Financial_Statements!N$20),"NA",Financial_Statements!N76/Financial_Statements!N$20)</f>
        <v>4.8884815154292697E-3</v>
      </c>
      <c r="L70" s="61">
        <f>IF(ISERROR(Financial_Statements!O76/Financial_Statements!O$20),"NA",Financial_Statements!O76/Financial_Statements!O$20)</f>
        <v>1.0057586598028094</v>
      </c>
      <c r="M70" s="61">
        <f>IF(ISERROR(Financial_Statements!P76/Financial_Statements!P$20),"NA",Financial_Statements!P76/Financial_Statements!P$20)</f>
        <v>1.0675381263616559E-2</v>
      </c>
      <c r="N70" s="61">
        <f>IF(ISERROR(Financial_Statements!Q76/Financial_Statements!Q$20),"NA",Financial_Statements!Q76/Financial_Statements!Q$20)</f>
        <v>0.28601694915254233</v>
      </c>
      <c r="O70" s="59"/>
    </row>
    <row r="71" spans="2:15" ht="12.75" customHeight="1" x14ac:dyDescent="0.2">
      <c r="B71" s="18"/>
      <c r="C71" s="64"/>
      <c r="D71" s="64"/>
      <c r="E71" s="64"/>
      <c r="F71" s="64"/>
      <c r="G71" s="64"/>
      <c r="H71" s="64"/>
      <c r="I71" s="64"/>
      <c r="J71" s="64"/>
      <c r="K71" s="64"/>
      <c r="L71" s="64"/>
      <c r="M71" s="64"/>
      <c r="N71" s="64"/>
      <c r="O71" s="64"/>
    </row>
    <row r="72" spans="2:15" ht="12.75" customHeight="1" x14ac:dyDescent="0.2">
      <c r="B72" s="12"/>
      <c r="C72" s="12"/>
      <c r="D72" s="12"/>
      <c r="E72" s="12"/>
      <c r="F72" s="12"/>
      <c r="G72" s="12"/>
      <c r="H72" s="12"/>
      <c r="I72" s="12"/>
      <c r="J72" s="12"/>
      <c r="K72" s="12"/>
      <c r="L72" s="12"/>
      <c r="M72" s="12"/>
      <c r="N72" s="12"/>
    </row>
    <row r="73" spans="2:15" ht="12.75" customHeight="1" x14ac:dyDescent="0.2">
      <c r="B73" s="8" t="s">
        <v>785</v>
      </c>
      <c r="C73" s="49">
        <f t="shared" ref="C73:M73" si="0">C$5</f>
        <v>44469</v>
      </c>
      <c r="D73" s="49">
        <f t="shared" si="0"/>
        <v>44561</v>
      </c>
      <c r="E73" s="49">
        <f t="shared" si="0"/>
        <v>44651</v>
      </c>
      <c r="F73" s="49">
        <f t="shared" si="0"/>
        <v>44742</v>
      </c>
      <c r="G73" s="49">
        <f t="shared" si="0"/>
        <v>44834</v>
      </c>
      <c r="H73" s="49">
        <f t="shared" si="0"/>
        <v>44926</v>
      </c>
      <c r="I73" s="49">
        <f t="shared" si="0"/>
        <v>45016</v>
      </c>
      <c r="J73" s="49">
        <f t="shared" si="0"/>
        <v>45107</v>
      </c>
      <c r="K73" s="49">
        <f t="shared" si="0"/>
        <v>45199</v>
      </c>
      <c r="L73" s="49">
        <f t="shared" si="0"/>
        <v>45291</v>
      </c>
      <c r="M73" s="49">
        <f t="shared" si="0"/>
        <v>45382</v>
      </c>
      <c r="N73" s="49">
        <f>N$5</f>
        <v>45473</v>
      </c>
    </row>
    <row r="74" spans="2:15" ht="12.75" customHeight="1" x14ac:dyDescent="0.2">
      <c r="B74" s="27"/>
      <c r="C74" s="27"/>
      <c r="D74" s="27"/>
      <c r="E74" s="27"/>
      <c r="F74" s="27"/>
      <c r="G74" s="27"/>
      <c r="H74" s="27"/>
      <c r="I74" s="27"/>
      <c r="J74" s="27"/>
      <c r="K74" s="27"/>
      <c r="L74" s="27"/>
      <c r="M74" s="27"/>
      <c r="N74" s="27"/>
    </row>
    <row r="75" spans="2:15" ht="12.75" customHeight="1" x14ac:dyDescent="0.2">
      <c r="B75" s="8" t="s">
        <v>614</v>
      </c>
    </row>
    <row r="76" spans="2:15" ht="12.75" customHeight="1" x14ac:dyDescent="0.2">
      <c r="B76" s="5" t="s">
        <v>613</v>
      </c>
      <c r="C76" s="56">
        <f>IF(ISERROR(Financial_Statements!F246/Financial_Statements!F$280),"NA",Financial_Statements!F246/Financial_Statements!F$280)</f>
        <v>3.2756335132850471E-2</v>
      </c>
      <c r="D76" s="56">
        <f>IF(ISERROR(Financial_Statements!G246/Financial_Statements!G$280),"NA",Financial_Statements!G246/Financial_Statements!G$280)</f>
        <v>4.8420796207287474E-2</v>
      </c>
      <c r="E76" s="56">
        <f>IF(ISERROR(Financial_Statements!H246/Financial_Statements!H$280),"NA",Financial_Statements!H246/Financial_Statements!H$280)</f>
        <v>3.3480669063164846E-2</v>
      </c>
      <c r="F76" s="56">
        <f>IF(ISERROR(Financial_Statements!I246/Financial_Statements!I$280),"NA",Financial_Statements!I246/Financial_Statements!I$280)</f>
        <v>5.355752340595063E-2</v>
      </c>
      <c r="G76" s="56">
        <f>IF(ISERROR(Financial_Statements!J246/Financial_Statements!J$280),"NA",Financial_Statements!J246/Financial_Statements!J$280)</f>
        <v>3.3795646882867146E-2</v>
      </c>
      <c r="H76" s="56">
        <f>IF(ISERROR(Financial_Statements!K246/Financial_Statements!K$280),"NA",Financial_Statements!K246/Financial_Statements!K$280)</f>
        <v>5.1202635324447465E-2</v>
      </c>
      <c r="I76" s="56">
        <f>IF(ISERROR(Financial_Statements!L246/Financial_Statements!L$280),"NA",Financial_Statements!L246/Financial_Statements!L$280)</f>
        <v>4.214079320837702E-2</v>
      </c>
      <c r="J76" s="56">
        <f>IF(ISERROR(Financial_Statements!M246/Financial_Statements!M$280),"NA",Financial_Statements!M246/Financial_Statements!M$280)</f>
        <v>7.8775404335784865E-2</v>
      </c>
      <c r="K76" s="56">
        <f>IF(ISERROR(Financial_Statements!N246/Financial_Statements!N$280),"NA",Financial_Statements!N246/Financial_Statements!N$280)</f>
        <v>2.9553502975429888E-2</v>
      </c>
      <c r="L76" s="56">
        <f>IF(ISERROR(Financial_Statements!O246/Financial_Statements!O$280),"NA",Financial_Statements!O246/Financial_Statements!O$280)</f>
        <v>2.5355939025003774E-2</v>
      </c>
      <c r="M76" s="56">
        <f>IF(ISERROR(Financial_Statements!P246/Financial_Statements!P$280),"NA",Financial_Statements!P246/Financial_Statements!P$280)</f>
        <v>3.487944967608362E-2</v>
      </c>
      <c r="N76" s="56">
        <f>IF(ISERROR(Financial_Statements!Q246/Financial_Statements!Q$280),"NA",Financial_Statements!Q246/Financial_Statements!Q$280)</f>
        <v>3.8868325817965982E-2</v>
      </c>
      <c r="O76" s="21"/>
    </row>
    <row r="77" spans="2:15" ht="12.75" customHeight="1" x14ac:dyDescent="0.2">
      <c r="B77" s="5" t="s">
        <v>612</v>
      </c>
      <c r="C77" s="56" t="str">
        <f>IF(ISERROR(Financial_Statements!F247/Financial_Statements!F$280),"NA",Financial_Statements!F247/Financial_Statements!F$280)</f>
        <v>NA</v>
      </c>
      <c r="D77" s="56" t="str">
        <f>IF(ISERROR(Financial_Statements!G247/Financial_Statements!G$280),"NA",Financial_Statements!G247/Financial_Statements!G$280)</f>
        <v>NA</v>
      </c>
      <c r="E77" s="56" t="str">
        <f>IF(ISERROR(Financial_Statements!H247/Financial_Statements!H$280),"NA",Financial_Statements!H247/Financial_Statements!H$280)</f>
        <v>NA</v>
      </c>
      <c r="F77" s="56" t="str">
        <f>IF(ISERROR(Financial_Statements!I247/Financial_Statements!I$280),"NA",Financial_Statements!I247/Financial_Statements!I$280)</f>
        <v>NA</v>
      </c>
      <c r="G77" s="56" t="str">
        <f>IF(ISERROR(Financial_Statements!J247/Financial_Statements!J$280),"NA",Financial_Statements!J247/Financial_Statements!J$280)</f>
        <v>NA</v>
      </c>
      <c r="H77" s="56" t="str">
        <f>IF(ISERROR(Financial_Statements!K247/Financial_Statements!K$280),"NA",Financial_Statements!K247/Financial_Statements!K$280)</f>
        <v>NA</v>
      </c>
      <c r="I77" s="56" t="str">
        <f>IF(ISERROR(Financial_Statements!L247/Financial_Statements!L$280),"NA",Financial_Statements!L247/Financial_Statements!L$280)</f>
        <v>NA</v>
      </c>
      <c r="J77" s="56" t="str">
        <f>IF(ISERROR(Financial_Statements!M247/Financial_Statements!M$280),"NA",Financial_Statements!M247/Financial_Statements!M$280)</f>
        <v>NA</v>
      </c>
      <c r="K77" s="56" t="str">
        <f>IF(ISERROR(Financial_Statements!N247/Financial_Statements!N$280),"NA",Financial_Statements!N247/Financial_Statements!N$280)</f>
        <v>NA</v>
      </c>
      <c r="L77" s="56" t="str">
        <f>IF(ISERROR(Financial_Statements!O247/Financial_Statements!O$280),"NA",Financial_Statements!O247/Financial_Statements!O$280)</f>
        <v>NA</v>
      </c>
      <c r="M77" s="56" t="str">
        <f>IF(ISERROR(Financial_Statements!P247/Financial_Statements!P$280),"NA",Financial_Statements!P247/Financial_Statements!P$280)</f>
        <v>NA</v>
      </c>
      <c r="N77" s="56" t="str">
        <f>IF(ISERROR(Financial_Statements!Q247/Financial_Statements!Q$280),"NA",Financial_Statements!Q247/Financial_Statements!Q$280)</f>
        <v>NA</v>
      </c>
      <c r="O77" s="21"/>
    </row>
    <row r="78" spans="2:15" ht="12.75" customHeight="1" x14ac:dyDescent="0.2">
      <c r="B78" s="5" t="s">
        <v>611</v>
      </c>
      <c r="C78" s="56">
        <f>IF(ISERROR(Financial_Statements!F248/Financial_Statements!F$280),"NA",Financial_Statements!F248/Financial_Statements!F$280)</f>
        <v>4.1305642542890621E-4</v>
      </c>
      <c r="D78" s="56">
        <f>IF(ISERROR(Financial_Statements!G248/Financial_Statements!G$280),"NA",Financial_Statements!G248/Financial_Statements!G$280)</f>
        <v>3.4666591711873774E-4</v>
      </c>
      <c r="E78" s="56">
        <f>IF(ISERROR(Financial_Statements!H248/Financial_Statements!H$280),"NA",Financial_Statements!H248/Financial_Statements!H$280)</f>
        <v>9.1702736409654453E-4</v>
      </c>
      <c r="F78" s="56">
        <f>IF(ISERROR(Financial_Statements!I248/Financial_Statements!I$280),"NA",Financial_Statements!I248/Financial_Statements!I$280)</f>
        <v>1.6026511653175421E-3</v>
      </c>
      <c r="G78" s="56">
        <f>IF(ISERROR(Financial_Statements!J248/Financial_Statements!J$280),"NA",Financial_Statements!J248/Financial_Statements!J$280)</f>
        <v>2.65683205291369E-3</v>
      </c>
      <c r="H78" s="56">
        <f>IF(ISERROR(Financial_Statements!K248/Financial_Statements!K$280),"NA",Financial_Statements!K248/Financial_Statements!K$280)</f>
        <v>1.1099871993411688E-3</v>
      </c>
      <c r="I78" s="56">
        <f>IF(ISERROR(Financial_Statements!L248/Financial_Statements!L$280),"NA",Financial_Statements!L248/Financial_Statements!L$280)</f>
        <v>5.7108275585786002E-4</v>
      </c>
      <c r="J78" s="56" t="str">
        <f>IF(ISERROR(Financial_Statements!M248/Financial_Statements!M$280),"NA",Financial_Statements!M248/Financial_Statements!M$280)</f>
        <v>NA</v>
      </c>
      <c r="K78" s="56" t="str">
        <f>IF(ISERROR(Financial_Statements!N248/Financial_Statements!N$280),"NA",Financial_Statements!N248/Financial_Statements!N$280)</f>
        <v>NA</v>
      </c>
      <c r="L78" s="56" t="str">
        <f>IF(ISERROR(Financial_Statements!O248/Financial_Statements!O$280),"NA",Financial_Statements!O248/Financial_Statements!O$280)</f>
        <v>NA</v>
      </c>
      <c r="M78" s="56">
        <f>IF(ISERROR(Financial_Statements!P248/Financial_Statements!P$280),"NA",Financial_Statements!P248/Financial_Statements!P$280)</f>
        <v>2.2540573031456623E-4</v>
      </c>
      <c r="N78" s="56" t="str">
        <f>IF(ISERROR(Financial_Statements!Q248/Financial_Statements!Q$280),"NA",Financial_Statements!Q248/Financial_Statements!Q$280)</f>
        <v>NA</v>
      </c>
      <c r="O78" s="21"/>
    </row>
    <row r="79" spans="2:15" ht="12.75" customHeight="1" x14ac:dyDescent="0.2">
      <c r="B79" s="14" t="s">
        <v>610</v>
      </c>
      <c r="C79" s="57">
        <f>IF(ISERROR(Financial_Statements!F249/Financial_Statements!F$280),"NA",Financial_Statements!F249/Financial_Statements!F$280)</f>
        <v>3.3169391558279381E-2</v>
      </c>
      <c r="D79" s="57">
        <f>IF(ISERROR(Financial_Statements!G249/Financial_Statements!G$280),"NA",Financial_Statements!G249/Financial_Statements!G$280)</f>
        <v>4.8767462124406219E-2</v>
      </c>
      <c r="E79" s="57">
        <f>IF(ISERROR(Financial_Statements!H249/Financial_Statements!H$280),"NA",Financial_Statements!H249/Financial_Statements!H$280)</f>
        <v>3.4397696427261391E-2</v>
      </c>
      <c r="F79" s="57">
        <f>IF(ISERROR(Financial_Statements!I249/Financial_Statements!I$280),"NA",Financial_Statements!I249/Financial_Statements!I$280)</f>
        <v>5.5160174571268178E-2</v>
      </c>
      <c r="G79" s="57">
        <f>IF(ISERROR(Financial_Statements!J249/Financial_Statements!J$280),"NA",Financial_Statements!J249/Financial_Statements!J$280)</f>
        <v>3.6452478935780838E-2</v>
      </c>
      <c r="H79" s="57">
        <f>IF(ISERROR(Financial_Statements!K249/Financial_Statements!K$280),"NA",Financial_Statements!K249/Financial_Statements!K$280)</f>
        <v>5.2312622523788627E-2</v>
      </c>
      <c r="I79" s="57">
        <f>IF(ISERROR(Financial_Statements!L249/Financial_Statements!L$280),"NA",Financial_Statements!L249/Financial_Statements!L$280)</f>
        <v>4.2711875964234876E-2</v>
      </c>
      <c r="J79" s="57">
        <f>IF(ISERROR(Financial_Statements!M249/Financial_Statements!M$280),"NA",Financial_Statements!M249/Financial_Statements!M$280)</f>
        <v>7.8775404335784865E-2</v>
      </c>
      <c r="K79" s="57">
        <f>IF(ISERROR(Financial_Statements!N249/Financial_Statements!N$280),"NA",Financial_Statements!N249/Financial_Statements!N$280)</f>
        <v>2.9553502975429888E-2</v>
      </c>
      <c r="L79" s="57">
        <f>IF(ISERROR(Financial_Statements!O249/Financial_Statements!O$280),"NA",Financial_Statements!O249/Financial_Statements!O$280)</f>
        <v>2.5355939025003774E-2</v>
      </c>
      <c r="M79" s="57">
        <f>IF(ISERROR(Financial_Statements!P249/Financial_Statements!P$280),"NA",Financial_Statements!P249/Financial_Statements!P$280)</f>
        <v>3.5104855406398183E-2</v>
      </c>
      <c r="N79" s="57">
        <f>IF(ISERROR(Financial_Statements!Q249/Financial_Statements!Q$280),"NA",Financial_Statements!Q249/Financial_Statements!Q$280)</f>
        <v>3.8868325817965982E-2</v>
      </c>
      <c r="O79" s="58"/>
    </row>
    <row r="80" spans="2:15" ht="12.75" customHeight="1" x14ac:dyDescent="0.2">
      <c r="B80" s="11"/>
      <c r="C80" s="56"/>
      <c r="D80" s="56"/>
      <c r="E80" s="56"/>
      <c r="F80" s="56"/>
      <c r="G80" s="56"/>
      <c r="H80" s="56"/>
      <c r="I80" s="56"/>
      <c r="J80" s="56"/>
      <c r="K80" s="56"/>
      <c r="L80" s="56"/>
      <c r="M80" s="56"/>
      <c r="N80" s="56"/>
      <c r="O80" s="21"/>
    </row>
    <row r="81" spans="2:15" ht="12.75" customHeight="1" x14ac:dyDescent="0.2">
      <c r="B81" s="5" t="s">
        <v>609</v>
      </c>
      <c r="C81" s="56">
        <f>IF(ISERROR(Financial_Statements!F251/Financial_Statements!F$280),"NA",Financial_Statements!F251/Financial_Statements!F$280)</f>
        <v>0.24048529327006204</v>
      </c>
      <c r="D81" s="56">
        <f>IF(ISERROR(Financial_Statements!G251/Financial_Statements!G$280),"NA",Financial_Statements!G251/Financial_Statements!G$280)</f>
        <v>0.24207587298910346</v>
      </c>
      <c r="E81" s="56">
        <f>IF(ISERROR(Financial_Statements!H251/Financial_Statements!H$280),"NA",Financial_Statements!H251/Financial_Statements!H$280)</f>
        <v>0.26305846966473478</v>
      </c>
      <c r="F81" s="56">
        <f>IF(ISERROR(Financial_Statements!I251/Financial_Statements!I$280),"NA",Financial_Statements!I251/Financial_Statements!I$280)</f>
        <v>0.26123213994675937</v>
      </c>
      <c r="G81" s="56">
        <f>IF(ISERROR(Financial_Statements!J251/Financial_Statements!J$280),"NA",Financial_Statements!J251/Financial_Statements!J$280)</f>
        <v>0.24152089700595464</v>
      </c>
      <c r="H81" s="56">
        <f>IF(ISERROR(Financial_Statements!K251/Financial_Statements!K$280),"NA",Financial_Statements!K251/Financial_Statements!K$280)</f>
        <v>0.25703364872485746</v>
      </c>
      <c r="I81" s="56">
        <f>IF(ISERROR(Financial_Statements!L251/Financial_Statements!L$280),"NA",Financial_Statements!L251/Financial_Statements!L$280)</f>
        <v>0.27293493918394829</v>
      </c>
      <c r="J81" s="56">
        <f>IF(ISERROR(Financial_Statements!M251/Financial_Statements!M$280),"NA",Financial_Statements!M251/Financial_Statements!M$280)</f>
        <v>0.23283716960767087</v>
      </c>
      <c r="K81" s="56">
        <f>IF(ISERROR(Financial_Statements!N251/Financial_Statements!N$280),"NA",Financial_Statements!N251/Financial_Statements!N$280)</f>
        <v>0.23406410864882626</v>
      </c>
      <c r="L81" s="56">
        <f>IF(ISERROR(Financial_Statements!O251/Financial_Statements!O$280),"NA",Financial_Statements!O251/Financial_Statements!O$280)</f>
        <v>0.22666062953832739</v>
      </c>
      <c r="M81" s="56">
        <f>IF(ISERROR(Financial_Statements!P251/Financial_Statements!P$280),"NA",Financial_Statements!P251/Financial_Statements!P$280)</f>
        <v>0.23524844720496896</v>
      </c>
      <c r="N81" s="56">
        <f>IF(ISERROR(Financial_Statements!Q251/Financial_Statements!Q$280),"NA",Financial_Statements!Q251/Financial_Statements!Q$280)</f>
        <v>0.22277362394585637</v>
      </c>
      <c r="O81" s="21"/>
    </row>
    <row r="82" spans="2:15" ht="12.75" customHeight="1" x14ac:dyDescent="0.2">
      <c r="B82" s="5" t="s">
        <v>608</v>
      </c>
      <c r="C82" s="56" t="str">
        <f>IF(ISERROR(Financial_Statements!F252/Financial_Statements!F$280),"NA",Financial_Statements!F252/Financial_Statements!F$280)</f>
        <v>NA</v>
      </c>
      <c r="D82" s="56">
        <f>IF(ISERROR(Financial_Statements!G252/Financial_Statements!G$280),"NA",Financial_Statements!G252/Financial_Statements!G$280)</f>
        <v>2.1399593370248569E-2</v>
      </c>
      <c r="E82" s="56" t="str">
        <f>IF(ISERROR(Financial_Statements!H252/Financial_Statements!H$280),"NA",Financial_Statements!H252/Financial_Statements!H$280)</f>
        <v>NA</v>
      </c>
      <c r="F82" s="56" t="str">
        <f>IF(ISERROR(Financial_Statements!I252/Financial_Statements!I$280),"NA",Financial_Statements!I252/Financial_Statements!I$280)</f>
        <v>NA</v>
      </c>
      <c r="G82" s="56" t="str">
        <f>IF(ISERROR(Financial_Statements!J252/Financial_Statements!J$280),"NA",Financial_Statements!J252/Financial_Statements!J$280)</f>
        <v>NA</v>
      </c>
      <c r="H82" s="56">
        <f>IF(ISERROR(Financial_Statements!K252/Financial_Statements!K$280),"NA",Financial_Statements!K252/Financial_Statements!K$280)</f>
        <v>1.5718850984218487E-2</v>
      </c>
      <c r="I82" s="56" t="str">
        <f>IF(ISERROR(Financial_Statements!L252/Financial_Statements!L$280),"NA",Financial_Statements!L252/Financial_Statements!L$280)</f>
        <v>NA</v>
      </c>
      <c r="J82" s="56" t="str">
        <f>IF(ISERROR(Financial_Statements!M252/Financial_Statements!M$280),"NA",Financial_Statements!M252/Financial_Statements!M$280)</f>
        <v>NA</v>
      </c>
      <c r="K82" s="56" t="str">
        <f>IF(ISERROR(Financial_Statements!N252/Financial_Statements!N$280),"NA",Financial_Statements!N252/Financial_Statements!N$280)</f>
        <v>NA</v>
      </c>
      <c r="L82" s="56">
        <f>IF(ISERROR(Financial_Statements!O252/Financial_Statements!O$280),"NA",Financial_Statements!O252/Financial_Statements!O$280)</f>
        <v>2.0408847746977241E-2</v>
      </c>
      <c r="M82" s="56" t="str">
        <f>IF(ISERROR(Financial_Statements!P252/Financial_Statements!P$280),"NA",Financial_Statements!P252/Financial_Statements!P$280)</f>
        <v>NA</v>
      </c>
      <c r="N82" s="56" t="str">
        <f>IF(ISERROR(Financial_Statements!Q252/Financial_Statements!Q$280),"NA",Financial_Statements!Q252/Financial_Statements!Q$280)</f>
        <v>NA</v>
      </c>
      <c r="O82" s="21"/>
    </row>
    <row r="83" spans="2:15" ht="12.75" customHeight="1" x14ac:dyDescent="0.2">
      <c r="B83" s="5" t="s">
        <v>607</v>
      </c>
      <c r="C83" s="56" t="str">
        <f>IF(ISERROR(Financial_Statements!F253/Financial_Statements!F$280),"NA",Financial_Statements!F253/Financial_Statements!F$280)</f>
        <v>NA</v>
      </c>
      <c r="D83" s="56" t="str">
        <f>IF(ISERROR(Financial_Statements!G253/Financial_Statements!G$280),"NA",Financial_Statements!G253/Financial_Statements!G$280)</f>
        <v>NA</v>
      </c>
      <c r="E83" s="56" t="str">
        <f>IF(ISERROR(Financial_Statements!H253/Financial_Statements!H$280),"NA",Financial_Statements!H253/Financial_Statements!H$280)</f>
        <v>NA</v>
      </c>
      <c r="F83" s="56" t="str">
        <f>IF(ISERROR(Financial_Statements!I253/Financial_Statements!I$280),"NA",Financial_Statements!I253/Financial_Statements!I$280)</f>
        <v>NA</v>
      </c>
      <c r="G83" s="56" t="str">
        <f>IF(ISERROR(Financial_Statements!J253/Financial_Statements!J$280),"NA",Financial_Statements!J253/Financial_Statements!J$280)</f>
        <v>NA</v>
      </c>
      <c r="H83" s="56" t="str">
        <f>IF(ISERROR(Financial_Statements!K253/Financial_Statements!K$280),"NA",Financial_Statements!K253/Financial_Statements!K$280)</f>
        <v>NA</v>
      </c>
      <c r="I83" s="56" t="str">
        <f>IF(ISERROR(Financial_Statements!L253/Financial_Statements!L$280),"NA",Financial_Statements!L253/Financial_Statements!L$280)</f>
        <v>NA</v>
      </c>
      <c r="J83" s="56" t="str">
        <f>IF(ISERROR(Financial_Statements!M253/Financial_Statements!M$280),"NA",Financial_Statements!M253/Financial_Statements!M$280)</f>
        <v>NA</v>
      </c>
      <c r="K83" s="56" t="str">
        <f>IF(ISERROR(Financial_Statements!N253/Financial_Statements!N$280),"NA",Financial_Statements!N253/Financial_Statements!N$280)</f>
        <v>NA</v>
      </c>
      <c r="L83" s="56" t="str">
        <f>IF(ISERROR(Financial_Statements!O253/Financial_Statements!O$280),"NA",Financial_Statements!O253/Financial_Statements!O$280)</f>
        <v>NA</v>
      </c>
      <c r="M83" s="56" t="str">
        <f>IF(ISERROR(Financial_Statements!P253/Financial_Statements!P$280),"NA",Financial_Statements!P253/Financial_Statements!P$280)</f>
        <v>NA</v>
      </c>
      <c r="N83" s="56" t="str">
        <f>IF(ISERROR(Financial_Statements!Q253/Financial_Statements!Q$280),"NA",Financial_Statements!Q253/Financial_Statements!Q$280)</f>
        <v>NA</v>
      </c>
      <c r="O83" s="21"/>
    </row>
    <row r="84" spans="2:15" ht="12.75" customHeight="1" x14ac:dyDescent="0.2">
      <c r="B84" s="14" t="s">
        <v>606</v>
      </c>
      <c r="C84" s="57">
        <f>IF(ISERROR(Financial_Statements!F254/Financial_Statements!F$280),"NA",Financial_Statements!F254/Financial_Statements!F$280)</f>
        <v>0.24048529327006204</v>
      </c>
      <c r="D84" s="57">
        <f>IF(ISERROR(Financial_Statements!G254/Financial_Statements!G$280),"NA",Financial_Statements!G254/Financial_Statements!G$280)</f>
        <v>0.26347546635935198</v>
      </c>
      <c r="E84" s="57">
        <f>IF(ISERROR(Financial_Statements!H254/Financial_Statements!H$280),"NA",Financial_Statements!H254/Financial_Statements!H$280)</f>
        <v>0.26305846966473478</v>
      </c>
      <c r="F84" s="57">
        <f>IF(ISERROR(Financial_Statements!I254/Financial_Statements!I$280),"NA",Financial_Statements!I254/Financial_Statements!I$280)</f>
        <v>0.26123213994675937</v>
      </c>
      <c r="G84" s="57">
        <f>IF(ISERROR(Financial_Statements!J254/Financial_Statements!J$280),"NA",Financial_Statements!J254/Financial_Statements!J$280)</f>
        <v>0.24152089700595464</v>
      </c>
      <c r="H84" s="57">
        <f>IF(ISERROR(Financial_Statements!K254/Financial_Statements!K$280),"NA",Financial_Statements!K254/Financial_Statements!K$280)</f>
        <v>0.27275249970907589</v>
      </c>
      <c r="I84" s="57">
        <f>IF(ISERROR(Financial_Statements!L254/Financial_Statements!L$280),"NA",Financial_Statements!L254/Financial_Statements!L$280)</f>
        <v>0.27293493918394829</v>
      </c>
      <c r="J84" s="57">
        <f>IF(ISERROR(Financial_Statements!M254/Financial_Statements!M$280),"NA",Financial_Statements!M254/Financial_Statements!M$280)</f>
        <v>0.23283716960767087</v>
      </c>
      <c r="K84" s="57">
        <f>IF(ISERROR(Financial_Statements!N254/Financial_Statements!N$280),"NA",Financial_Statements!N254/Financial_Statements!N$280)</f>
        <v>0.23406410864882626</v>
      </c>
      <c r="L84" s="57">
        <f>IF(ISERROR(Financial_Statements!O254/Financial_Statements!O$280),"NA",Financial_Statements!O254/Financial_Statements!O$280)</f>
        <v>0.2470694772853046</v>
      </c>
      <c r="M84" s="57">
        <f>IF(ISERROR(Financial_Statements!P254/Financial_Statements!P$280),"NA",Financial_Statements!P254/Financial_Statements!P$280)</f>
        <v>0.23524844720496896</v>
      </c>
      <c r="N84" s="57">
        <f>IF(ISERROR(Financial_Statements!Q254/Financial_Statements!Q$280),"NA",Financial_Statements!Q254/Financial_Statements!Q$280)</f>
        <v>0.22277362394585637</v>
      </c>
      <c r="O84" s="58"/>
    </row>
    <row r="85" spans="2:15" ht="12.75" customHeight="1" x14ac:dyDescent="0.2">
      <c r="B85" s="11"/>
      <c r="C85" s="56"/>
      <c r="D85" s="56"/>
      <c r="E85" s="56"/>
      <c r="F85" s="56"/>
      <c r="G85" s="56"/>
      <c r="H85" s="56"/>
      <c r="I85" s="56"/>
      <c r="J85" s="56"/>
      <c r="K85" s="56"/>
      <c r="L85" s="56"/>
      <c r="M85" s="56"/>
      <c r="N85" s="56"/>
      <c r="O85" s="21"/>
    </row>
    <row r="86" spans="2:15" ht="12.75" customHeight="1" x14ac:dyDescent="0.2">
      <c r="B86" s="5" t="s">
        <v>605</v>
      </c>
      <c r="C86" s="56">
        <f>IF(ISERROR(Financial_Statements!F256/Financial_Statements!F$280),"NA",Financial_Statements!F256/Financial_Statements!F$280)</f>
        <v>0.13933449885689034</v>
      </c>
      <c r="D86" s="56">
        <f>IF(ISERROR(Financial_Statements!G256/Financial_Statements!G$280),"NA",Financial_Statements!G256/Financial_Statements!G$280)</f>
        <v>0.14259212412513703</v>
      </c>
      <c r="E86" s="56">
        <f>IF(ISERROR(Financial_Statements!H256/Financial_Statements!H$280),"NA",Financial_Statements!H256/Financial_Statements!H$280)</f>
        <v>0.14587154280683734</v>
      </c>
      <c r="F86" s="56">
        <f>IF(ISERROR(Financial_Statements!I256/Financial_Statements!I$280),"NA",Financial_Statements!I256/Financial_Statements!I$280)</f>
        <v>0.14400318719327793</v>
      </c>
      <c r="G86" s="56">
        <f>IF(ISERROR(Financial_Statements!J256/Financial_Statements!J$280),"NA",Financial_Statements!J256/Financial_Statements!J$280)</f>
        <v>0.16084981467202986</v>
      </c>
      <c r="H86" s="56">
        <f>IF(ISERROR(Financial_Statements!K256/Financial_Statements!K$280),"NA",Financial_Statements!K256/Financial_Statements!K$280)</f>
        <v>0.147843133744506</v>
      </c>
      <c r="I86" s="56">
        <f>IF(ISERROR(Financial_Statements!L256/Financial_Statements!L$280),"NA",Financial_Statements!L256/Financial_Statements!L$280)</f>
        <v>0.16287791614459474</v>
      </c>
      <c r="J86" s="56">
        <f>IF(ISERROR(Financial_Statements!M256/Financial_Statements!M$280),"NA",Financial_Statements!M256/Financial_Statements!M$280)</f>
        <v>0.17338955964423472</v>
      </c>
      <c r="K86" s="56">
        <f>IF(ISERROR(Financial_Statements!N256/Financial_Statements!N$280),"NA",Financial_Statements!N256/Financial_Statements!N$280)</f>
        <v>0.18241393158336683</v>
      </c>
      <c r="L86" s="56">
        <f>IF(ISERROR(Financial_Statements!O256/Financial_Statements!O$280),"NA",Financial_Statements!O256/Financial_Statements!O$280)</f>
        <v>0.14460599352685685</v>
      </c>
      <c r="M86" s="56">
        <f>IF(ISERROR(Financial_Statements!P256/Financial_Statements!P$280),"NA",Financial_Statements!P256/Financial_Statements!P$280)</f>
        <v>0.13249682762305484</v>
      </c>
      <c r="N86" s="56">
        <f>IF(ISERROR(Financial_Statements!Q256/Financial_Statements!Q$280),"NA",Financial_Statements!Q256/Financial_Statements!Q$280)</f>
        <v>0.11829490466337474</v>
      </c>
      <c r="O86" s="21"/>
    </row>
    <row r="87" spans="2:15" ht="12.75" customHeight="1" x14ac:dyDescent="0.2">
      <c r="B87" s="5" t="s">
        <v>604</v>
      </c>
      <c r="C87" s="56">
        <f>IF(ISERROR(Financial_Statements!F257/Financial_Statements!F$280),"NA",Financial_Statements!F257/Financial_Statements!F$280)</f>
        <v>3.9067453074868877E-2</v>
      </c>
      <c r="D87" s="56">
        <f>IF(ISERROR(Financial_Statements!G257/Financial_Statements!G$280),"NA",Financial_Statements!G257/Financial_Statements!G$280)</f>
        <v>1.3135827454066768E-2</v>
      </c>
      <c r="E87" s="56">
        <f>IF(ISERROR(Financial_Statements!H257/Financial_Statements!H$280),"NA",Financial_Statements!H257/Financial_Statements!H$280)</f>
        <v>4.1880639718289189E-2</v>
      </c>
      <c r="F87" s="56">
        <f>IF(ISERROR(Financial_Statements!I257/Financial_Statements!I$280),"NA",Financial_Statements!I257/Financial_Statements!I$280)</f>
        <v>3.7232212382970246E-2</v>
      </c>
      <c r="G87" s="56">
        <f>IF(ISERROR(Financial_Statements!J257/Financial_Statements!J$280),"NA",Financial_Statements!J257/Financial_Statements!J$280)</f>
        <v>3.4492368575064797E-2</v>
      </c>
      <c r="H87" s="56">
        <f>IF(ISERROR(Financial_Statements!K257/Financial_Statements!K$280),"NA",Financial_Statements!K257/Financial_Statements!K$280)</f>
        <v>1.0562781413085316E-2</v>
      </c>
      <c r="I87" s="56">
        <f>IF(ISERROR(Financial_Statements!L257/Financial_Statements!L$280),"NA",Financial_Statements!L257/Financial_Statements!L$280)</f>
        <v>3.4750811875111871E-2</v>
      </c>
      <c r="J87" s="56">
        <f>IF(ISERROR(Financial_Statements!M257/Financial_Statements!M$280),"NA",Financial_Statements!M257/Financial_Statements!M$280)</f>
        <v>3.934168360986303E-2</v>
      </c>
      <c r="K87" s="56">
        <f>IF(ISERROR(Financial_Statements!N257/Financial_Statements!N$280),"NA",Financial_Statements!N257/Financial_Statements!N$280)</f>
        <v>3.9657186667153448E-2</v>
      </c>
      <c r="L87" s="56">
        <f>IF(ISERROR(Financial_Statements!O257/Financial_Statements!O$280),"NA",Financial_Statements!O257/Financial_Statements!O$280)</f>
        <v>8.0327346514396866E-3</v>
      </c>
      <c r="M87" s="56">
        <f>IF(ISERROR(Financial_Statements!P257/Financial_Statements!P$280),"NA",Financial_Statements!P257/Financial_Statements!P$280)</f>
        <v>3.1097642423028118E-2</v>
      </c>
      <c r="N87" s="56">
        <f>IF(ISERROR(Financial_Statements!Q257/Financial_Statements!Q$280),"NA",Financial_Statements!Q257/Financial_Statements!Q$280)</f>
        <v>4.8158803696406641E-2</v>
      </c>
      <c r="O87" s="21"/>
    </row>
    <row r="88" spans="2:15" ht="12.75" customHeight="1" x14ac:dyDescent="0.2">
      <c r="B88" s="5" t="s">
        <v>603</v>
      </c>
      <c r="C88" s="56" t="str">
        <f>IF(ISERROR(Financial_Statements!F258/Financial_Statements!F$280),"NA",Financial_Statements!F258/Financial_Statements!F$280)</f>
        <v>NA</v>
      </c>
      <c r="D88" s="56" t="str">
        <f>IF(ISERROR(Financial_Statements!G258/Financial_Statements!G$280),"NA",Financial_Statements!G258/Financial_Statements!G$280)</f>
        <v>NA</v>
      </c>
      <c r="E88" s="56" t="str">
        <f>IF(ISERROR(Financial_Statements!H258/Financial_Statements!H$280),"NA",Financial_Statements!H258/Financial_Statements!H$280)</f>
        <v>NA</v>
      </c>
      <c r="F88" s="56" t="str">
        <f>IF(ISERROR(Financial_Statements!I258/Financial_Statements!I$280),"NA",Financial_Statements!I258/Financial_Statements!I$280)</f>
        <v>NA</v>
      </c>
      <c r="G88" s="56" t="str">
        <f>IF(ISERROR(Financial_Statements!J258/Financial_Statements!J$280),"NA",Financial_Statements!J258/Financial_Statements!J$280)</f>
        <v>NA</v>
      </c>
      <c r="H88" s="56" t="str">
        <f>IF(ISERROR(Financial_Statements!K258/Financial_Statements!K$280),"NA",Financial_Statements!K258/Financial_Statements!K$280)</f>
        <v>NA</v>
      </c>
      <c r="I88" s="56" t="str">
        <f>IF(ISERROR(Financial_Statements!L258/Financial_Statements!L$280),"NA",Financial_Statements!L258/Financial_Statements!L$280)</f>
        <v>NA</v>
      </c>
      <c r="J88" s="56" t="str">
        <f>IF(ISERROR(Financial_Statements!M258/Financial_Statements!M$280),"NA",Financial_Statements!M258/Financial_Statements!M$280)</f>
        <v>NA</v>
      </c>
      <c r="K88" s="56" t="str">
        <f>IF(ISERROR(Financial_Statements!N258/Financial_Statements!N$280),"NA",Financial_Statements!N258/Financial_Statements!N$280)</f>
        <v>NA</v>
      </c>
      <c r="L88" s="56" t="str">
        <f>IF(ISERROR(Financial_Statements!O258/Financial_Statements!O$280),"NA",Financial_Statements!O258/Financial_Statements!O$280)</f>
        <v>NA</v>
      </c>
      <c r="M88" s="56" t="str">
        <f>IF(ISERROR(Financial_Statements!P258/Financial_Statements!P$280),"NA",Financial_Statements!P258/Financial_Statements!P$280)</f>
        <v>NA</v>
      </c>
      <c r="N88" s="56" t="str">
        <f>IF(ISERROR(Financial_Statements!Q258/Financial_Statements!Q$280),"NA",Financial_Statements!Q258/Financial_Statements!Q$280)</f>
        <v>NA</v>
      </c>
      <c r="O88" s="21"/>
    </row>
    <row r="89" spans="2:15" ht="12.75" customHeight="1" x14ac:dyDescent="0.2">
      <c r="B89" s="5" t="s">
        <v>602</v>
      </c>
      <c r="C89" s="56" t="str">
        <f>IF(ISERROR(Financial_Statements!F259/Financial_Statements!F$280),"NA",Financial_Statements!F259/Financial_Statements!F$280)</f>
        <v>NA</v>
      </c>
      <c r="D89" s="56" t="str">
        <f>IF(ISERROR(Financial_Statements!G259/Financial_Statements!G$280),"NA",Financial_Statements!G259/Financial_Statements!G$280)</f>
        <v>NA</v>
      </c>
      <c r="E89" s="56" t="str">
        <f>IF(ISERROR(Financial_Statements!H259/Financial_Statements!H$280),"NA",Financial_Statements!H259/Financial_Statements!H$280)</f>
        <v>NA</v>
      </c>
      <c r="F89" s="56" t="str">
        <f>IF(ISERROR(Financial_Statements!I259/Financial_Statements!I$280),"NA",Financial_Statements!I259/Financial_Statements!I$280)</f>
        <v>NA</v>
      </c>
      <c r="G89" s="56" t="str">
        <f>IF(ISERROR(Financial_Statements!J259/Financial_Statements!J$280),"NA",Financial_Statements!J259/Financial_Statements!J$280)</f>
        <v>NA</v>
      </c>
      <c r="H89" s="56" t="str">
        <f>IF(ISERROR(Financial_Statements!K259/Financial_Statements!K$280),"NA",Financial_Statements!K259/Financial_Statements!K$280)</f>
        <v>NA</v>
      </c>
      <c r="I89" s="56" t="str">
        <f>IF(ISERROR(Financial_Statements!L259/Financial_Statements!L$280),"NA",Financial_Statements!L259/Financial_Statements!L$280)</f>
        <v>NA</v>
      </c>
      <c r="J89" s="56" t="str">
        <f>IF(ISERROR(Financial_Statements!M259/Financial_Statements!M$280),"NA",Financial_Statements!M259/Financial_Statements!M$280)</f>
        <v>NA</v>
      </c>
      <c r="K89" s="56" t="str">
        <f>IF(ISERROR(Financial_Statements!N259/Financial_Statements!N$280),"NA",Financial_Statements!N259/Financial_Statements!N$280)</f>
        <v>NA</v>
      </c>
      <c r="L89" s="56" t="str">
        <f>IF(ISERROR(Financial_Statements!O259/Financial_Statements!O$280),"NA",Financial_Statements!O259/Financial_Statements!O$280)</f>
        <v>NA</v>
      </c>
      <c r="M89" s="56" t="str">
        <f>IF(ISERROR(Financial_Statements!P259/Financial_Statements!P$280),"NA",Financial_Statements!P259/Financial_Statements!P$280)</f>
        <v>NA</v>
      </c>
      <c r="N89" s="56" t="str">
        <f>IF(ISERROR(Financial_Statements!Q259/Financial_Statements!Q$280),"NA",Financial_Statements!Q259/Financial_Statements!Q$280)</f>
        <v>NA</v>
      </c>
      <c r="O89" s="21"/>
    </row>
    <row r="90" spans="2:15" ht="12.75" customHeight="1" x14ac:dyDescent="0.2">
      <c r="B90" s="5" t="s">
        <v>601</v>
      </c>
      <c r="C90" s="56" t="str">
        <f>IF(ISERROR(Financial_Statements!F260/Financial_Statements!F$280),"NA",Financial_Statements!F260/Financial_Statements!F$280)</f>
        <v>NA</v>
      </c>
      <c r="D90" s="56" t="str">
        <f>IF(ISERROR(Financial_Statements!G260/Financial_Statements!G$280),"NA",Financial_Statements!G260/Financial_Statements!G$280)</f>
        <v>NA</v>
      </c>
      <c r="E90" s="56" t="str">
        <f>IF(ISERROR(Financial_Statements!H260/Financial_Statements!H$280),"NA",Financial_Statements!H260/Financial_Statements!H$280)</f>
        <v>NA</v>
      </c>
      <c r="F90" s="56" t="str">
        <f>IF(ISERROR(Financial_Statements!I260/Financial_Statements!I$280),"NA",Financial_Statements!I260/Financial_Statements!I$280)</f>
        <v>NA</v>
      </c>
      <c r="G90" s="56" t="str">
        <f>IF(ISERROR(Financial_Statements!J260/Financial_Statements!J$280),"NA",Financial_Statements!J260/Financial_Statements!J$280)</f>
        <v>NA</v>
      </c>
      <c r="H90" s="56" t="str">
        <f>IF(ISERROR(Financial_Statements!K260/Financial_Statements!K$280),"NA",Financial_Statements!K260/Financial_Statements!K$280)</f>
        <v>NA</v>
      </c>
      <c r="I90" s="56" t="str">
        <f>IF(ISERROR(Financial_Statements!L260/Financial_Statements!L$280),"NA",Financial_Statements!L260/Financial_Statements!L$280)</f>
        <v>NA</v>
      </c>
      <c r="J90" s="56" t="str">
        <f>IF(ISERROR(Financial_Statements!M260/Financial_Statements!M$280),"NA",Financial_Statements!M260/Financial_Statements!M$280)</f>
        <v>NA</v>
      </c>
      <c r="K90" s="56" t="str">
        <f>IF(ISERROR(Financial_Statements!N260/Financial_Statements!N$280),"NA",Financial_Statements!N260/Financial_Statements!N$280)</f>
        <v>NA</v>
      </c>
      <c r="L90" s="56" t="str">
        <f>IF(ISERROR(Financial_Statements!O260/Financial_Statements!O$280),"NA",Financial_Statements!O260/Financial_Statements!O$280)</f>
        <v>NA</v>
      </c>
      <c r="M90" s="56" t="str">
        <f>IF(ISERROR(Financial_Statements!P260/Financial_Statements!P$280),"NA",Financial_Statements!P260/Financial_Statements!P$280)</f>
        <v>NA</v>
      </c>
      <c r="N90" s="56" t="str">
        <f>IF(ISERROR(Financial_Statements!Q260/Financial_Statements!Q$280),"NA",Financial_Statements!Q260/Financial_Statements!Q$280)</f>
        <v>NA</v>
      </c>
      <c r="O90" s="21"/>
    </row>
    <row r="91" spans="2:15" ht="12.75" customHeight="1" x14ac:dyDescent="0.2">
      <c r="B91" s="5" t="s">
        <v>600</v>
      </c>
      <c r="C91" s="56" t="str">
        <f>IF(ISERROR(Financial_Statements!F261/Financial_Statements!F$280),"NA",Financial_Statements!F261/Financial_Statements!F$280)</f>
        <v>NA</v>
      </c>
      <c r="D91" s="56" t="str">
        <f>IF(ISERROR(Financial_Statements!G261/Financial_Statements!G$280),"NA",Financial_Statements!G261/Financial_Statements!G$280)</f>
        <v>NA</v>
      </c>
      <c r="E91" s="56" t="str">
        <f>IF(ISERROR(Financial_Statements!H261/Financial_Statements!H$280),"NA",Financial_Statements!H261/Financial_Statements!H$280)</f>
        <v>NA</v>
      </c>
      <c r="F91" s="56" t="str">
        <f>IF(ISERROR(Financial_Statements!I261/Financial_Statements!I$280),"NA",Financial_Statements!I261/Financial_Statements!I$280)</f>
        <v>NA</v>
      </c>
      <c r="G91" s="56" t="str">
        <f>IF(ISERROR(Financial_Statements!J261/Financial_Statements!J$280),"NA",Financial_Statements!J261/Financial_Statements!J$280)</f>
        <v>NA</v>
      </c>
      <c r="H91" s="56" t="str">
        <f>IF(ISERROR(Financial_Statements!K261/Financial_Statements!K$280),"NA",Financial_Statements!K261/Financial_Statements!K$280)</f>
        <v>NA</v>
      </c>
      <c r="I91" s="56" t="str">
        <f>IF(ISERROR(Financial_Statements!L261/Financial_Statements!L$280),"NA",Financial_Statements!L261/Financial_Statements!L$280)</f>
        <v>NA</v>
      </c>
      <c r="J91" s="56" t="str">
        <f>IF(ISERROR(Financial_Statements!M261/Financial_Statements!M$280),"NA",Financial_Statements!M261/Financial_Statements!M$280)</f>
        <v>NA</v>
      </c>
      <c r="K91" s="56" t="str">
        <f>IF(ISERROR(Financial_Statements!N261/Financial_Statements!N$280),"NA",Financial_Statements!N261/Financial_Statements!N$280)</f>
        <v>NA</v>
      </c>
      <c r="L91" s="56" t="str">
        <f>IF(ISERROR(Financial_Statements!O261/Financial_Statements!O$280),"NA",Financial_Statements!O261/Financial_Statements!O$280)</f>
        <v>NA</v>
      </c>
      <c r="M91" s="56" t="str">
        <f>IF(ISERROR(Financial_Statements!P261/Financial_Statements!P$280),"NA",Financial_Statements!P261/Financial_Statements!P$280)</f>
        <v>NA</v>
      </c>
      <c r="N91" s="56" t="str">
        <f>IF(ISERROR(Financial_Statements!Q261/Financial_Statements!Q$280),"NA",Financial_Statements!Q261/Financial_Statements!Q$280)</f>
        <v>NA</v>
      </c>
      <c r="O91" s="21"/>
    </row>
    <row r="92" spans="2:15" ht="12.75" customHeight="1" x14ac:dyDescent="0.2">
      <c r="B92" s="5" t="s">
        <v>599</v>
      </c>
      <c r="C92" s="56" t="str">
        <f>IF(ISERROR(Financial_Statements!F262/Financial_Statements!F$280),"NA",Financial_Statements!F262/Financial_Statements!F$280)</f>
        <v>NA</v>
      </c>
      <c r="D92" s="56" t="str">
        <f>IF(ISERROR(Financial_Statements!G262/Financial_Statements!G$280),"NA",Financial_Statements!G262/Financial_Statements!G$280)</f>
        <v>NA</v>
      </c>
      <c r="E92" s="56" t="str">
        <f>IF(ISERROR(Financial_Statements!H262/Financial_Statements!H$280),"NA",Financial_Statements!H262/Financial_Statements!H$280)</f>
        <v>NA</v>
      </c>
      <c r="F92" s="56" t="str">
        <f>IF(ISERROR(Financial_Statements!I262/Financial_Statements!I$280),"NA",Financial_Statements!I262/Financial_Statements!I$280)</f>
        <v>NA</v>
      </c>
      <c r="G92" s="56" t="str">
        <f>IF(ISERROR(Financial_Statements!J262/Financial_Statements!J$280),"NA",Financial_Statements!J262/Financial_Statements!J$280)</f>
        <v>NA</v>
      </c>
      <c r="H92" s="56" t="str">
        <f>IF(ISERROR(Financial_Statements!K262/Financial_Statements!K$280),"NA",Financial_Statements!K262/Financial_Statements!K$280)</f>
        <v>NA</v>
      </c>
      <c r="I92" s="56" t="str">
        <f>IF(ISERROR(Financial_Statements!L262/Financial_Statements!L$280),"NA",Financial_Statements!L262/Financial_Statements!L$280)</f>
        <v>NA</v>
      </c>
      <c r="J92" s="56" t="str">
        <f>IF(ISERROR(Financial_Statements!M262/Financial_Statements!M$280),"NA",Financial_Statements!M262/Financial_Statements!M$280)</f>
        <v>NA</v>
      </c>
      <c r="K92" s="56" t="str">
        <f>IF(ISERROR(Financial_Statements!N262/Financial_Statements!N$280),"NA",Financial_Statements!N262/Financial_Statements!N$280)</f>
        <v>NA</v>
      </c>
      <c r="L92" s="56" t="str">
        <f>IF(ISERROR(Financial_Statements!O262/Financial_Statements!O$280),"NA",Financial_Statements!O262/Financial_Statements!O$280)</f>
        <v>NA</v>
      </c>
      <c r="M92" s="56" t="str">
        <f>IF(ISERROR(Financial_Statements!P262/Financial_Statements!P$280),"NA",Financial_Statements!P262/Financial_Statements!P$280)</f>
        <v>NA</v>
      </c>
      <c r="N92" s="56" t="str">
        <f>IF(ISERROR(Financial_Statements!Q262/Financial_Statements!Q$280),"NA",Financial_Statements!Q262/Financial_Statements!Q$280)</f>
        <v>NA</v>
      </c>
      <c r="O92" s="21"/>
    </row>
    <row r="93" spans="2:15" ht="12.75" customHeight="1" x14ac:dyDescent="0.2">
      <c r="B93" s="5" t="s">
        <v>598</v>
      </c>
      <c r="C93" s="56">
        <f>IF(ISERROR(Financial_Statements!F263/Financial_Statements!F$280),"NA",Financial_Statements!F263/Financial_Statements!F$280)</f>
        <v>2.132523870819004E-3</v>
      </c>
      <c r="D93" s="56">
        <f>IF(ISERROR(Financial_Statements!G263/Financial_Statements!G$280),"NA",Financial_Statements!G263/Financial_Statements!G$280)</f>
        <v>5.5372853247884872E-3</v>
      </c>
      <c r="E93" s="56">
        <f>IF(ISERROR(Financial_Statements!H263/Financial_Statements!H$280),"NA",Financial_Statements!H263/Financial_Statements!H$280)</f>
        <v>6.6942997579047753E-4</v>
      </c>
      <c r="F93" s="56">
        <f>IF(ISERROR(Financial_Statements!I263/Financial_Statements!I$280),"NA",Financial_Statements!I263/Financial_Statements!I$280)</f>
        <v>1.9467231669111388E-3</v>
      </c>
      <c r="G93" s="56">
        <f>IF(ISERROR(Financial_Statements!J263/Financial_Statements!J$280),"NA",Financial_Statements!J263/Financial_Statements!J$280)</f>
        <v>1.4398914972084684E-3</v>
      </c>
      <c r="H93" s="56">
        <f>IF(ISERROR(Financial_Statements!K263/Financial_Statements!K$280),"NA",Financial_Statements!K263/Financial_Statements!K$280)</f>
        <v>3.3657676367119314E-3</v>
      </c>
      <c r="I93" s="56" t="str">
        <f>IF(ISERROR(Financial_Statements!L263/Financial_Statements!L$280),"NA",Financial_Statements!L263/Financial_Statements!L$280)</f>
        <v>NA</v>
      </c>
      <c r="J93" s="56" t="str">
        <f>IF(ISERROR(Financial_Statements!M263/Financial_Statements!M$280),"NA",Financial_Statements!M263/Financial_Statements!M$280)</f>
        <v>NA</v>
      </c>
      <c r="K93" s="56">
        <f>IF(ISERROR(Financial_Statements!N263/Financial_Statements!N$280),"NA",Financial_Statements!N263/Financial_Statements!N$280)</f>
        <v>8.2143769851411057E-5</v>
      </c>
      <c r="L93" s="56">
        <f>IF(ISERROR(Financial_Statements!O263/Financial_Statements!O$280),"NA",Financial_Statements!O263/Financial_Statements!O$280)</f>
        <v>5.0057855813251499E-3</v>
      </c>
      <c r="M93" s="56" t="str">
        <f>IF(ISERROR(Financial_Statements!P263/Financial_Statements!P$280),"NA",Financial_Statements!P263/Financial_Statements!P$280)</f>
        <v>NA</v>
      </c>
      <c r="N93" s="56">
        <f>IF(ISERROR(Financial_Statements!Q263/Financial_Statements!Q$280),"NA",Financial_Statements!Q263/Financial_Statements!Q$280)</f>
        <v>1.4096465991245352E-3</v>
      </c>
      <c r="O93" s="21"/>
    </row>
    <row r="94" spans="2:15" ht="12.75" customHeight="1" x14ac:dyDescent="0.2">
      <c r="B94" s="14" t="s">
        <v>597</v>
      </c>
      <c r="C94" s="57">
        <f>IF(ISERROR(Financial_Statements!F264/Financial_Statements!F$280),"NA",Financial_Statements!F264/Financial_Statements!F$280)</f>
        <v>0.45418916063091963</v>
      </c>
      <c r="D94" s="57">
        <f>IF(ISERROR(Financial_Statements!G264/Financial_Statements!G$280),"NA",Financial_Statements!G264/Financial_Statements!G$280)</f>
        <v>0.47350816538775053</v>
      </c>
      <c r="E94" s="57">
        <f>IF(ISERROR(Financial_Statements!H264/Financial_Statements!H$280),"NA",Financial_Statements!H264/Financial_Statements!H$280)</f>
        <v>0.48587777859291331</v>
      </c>
      <c r="F94" s="57">
        <f>IF(ISERROR(Financial_Statements!I264/Financial_Statements!I$280),"NA",Financial_Statements!I264/Financial_Statements!I$280)</f>
        <v>0.49957443726118694</v>
      </c>
      <c r="G94" s="57">
        <f>IF(ISERROR(Financial_Statements!J264/Financial_Statements!J$280),"NA",Financial_Statements!J264/Financial_Statements!J$280)</f>
        <v>0.47475545068603864</v>
      </c>
      <c r="H94" s="57">
        <f>IF(ISERROR(Financial_Statements!K264/Financial_Statements!K$280),"NA",Financial_Statements!K264/Financial_Statements!K$280)</f>
        <v>0.48683680502716781</v>
      </c>
      <c r="I94" s="57">
        <f>IF(ISERROR(Financial_Statements!L264/Financial_Statements!L$280),"NA",Financial_Statements!L264/Financial_Statements!L$280)</f>
        <v>0.51327554316788981</v>
      </c>
      <c r="J94" s="57">
        <f>IF(ISERROR(Financial_Statements!M264/Financial_Statements!M$280),"NA",Financial_Statements!M264/Financial_Statements!M$280)</f>
        <v>0.52434381719755352</v>
      </c>
      <c r="K94" s="57">
        <f>IF(ISERROR(Financial_Statements!N264/Financial_Statements!N$280),"NA",Financial_Statements!N264/Financial_Statements!N$280)</f>
        <v>0.48577087364462784</v>
      </c>
      <c r="L94" s="57">
        <f>IF(ISERROR(Financial_Statements!O264/Financial_Statements!O$280),"NA",Financial_Statements!O264/Financial_Statements!O$280)</f>
        <v>0.43006993006993005</v>
      </c>
      <c r="M94" s="57">
        <f>IF(ISERROR(Financial_Statements!P264/Financial_Statements!P$280),"NA",Financial_Statements!P264/Financial_Statements!P$280)</f>
        <v>0.4339477726574501</v>
      </c>
      <c r="N94" s="57">
        <f>IF(ISERROR(Financial_Statements!Q264/Financial_Statements!Q$280),"NA",Financial_Statements!Q264/Financial_Statements!Q$280)</f>
        <v>0.42950530472272824</v>
      </c>
      <c r="O94" s="58"/>
    </row>
    <row r="95" spans="2:15" ht="12.75" customHeight="1" x14ac:dyDescent="0.2">
      <c r="B95" s="11"/>
      <c r="C95" s="56"/>
      <c r="D95" s="56"/>
      <c r="E95" s="56"/>
      <c r="F95" s="56"/>
      <c r="G95" s="56"/>
      <c r="H95" s="56"/>
      <c r="I95" s="56"/>
      <c r="J95" s="56"/>
      <c r="K95" s="56"/>
      <c r="L95" s="56"/>
      <c r="M95" s="56"/>
      <c r="N95" s="56"/>
      <c r="O95" s="21"/>
    </row>
    <row r="96" spans="2:15" ht="12.75" customHeight="1" x14ac:dyDescent="0.2">
      <c r="B96" s="5" t="s">
        <v>596</v>
      </c>
      <c r="C96" s="56">
        <f>IF(ISERROR(Financial_Statements!F266/Financial_Statements!F$280),"NA",Financial_Statements!F266/Financial_Statements!F$280)</f>
        <v>0.13756700159458993</v>
      </c>
      <c r="D96" s="56">
        <f>IF(ISERROR(Financial_Statements!G266/Financial_Statements!G$280),"NA",Financial_Statements!G266/Financial_Statements!G$280)</f>
        <v>0.13723285643346356</v>
      </c>
      <c r="E96" s="56">
        <f>IF(ISERROR(Financial_Statements!H266/Financial_Statements!H$280),"NA",Financial_Statements!H266/Financial_Statements!H$280)</f>
        <v>0.13536240921429096</v>
      </c>
      <c r="F96" s="56">
        <f>IF(ISERROR(Financial_Statements!I266/Financial_Statements!I$280),"NA",Financial_Statements!I266/Financial_Statements!I$280)</f>
        <v>0.13418808062150267</v>
      </c>
      <c r="G96" s="56">
        <f>IF(ISERROR(Financial_Statements!J266/Financial_Statements!J$280),"NA",Financial_Statements!J266/Financial_Statements!J$280)</f>
        <v>0.13799734316794707</v>
      </c>
      <c r="H96" s="56">
        <f>IF(ISERROR(Financial_Statements!K266/Financial_Statements!K$280),"NA",Financial_Statements!K266/Financial_Statements!K$280)</f>
        <v>0.13779058838273073</v>
      </c>
      <c r="I96" s="56">
        <f>IF(ISERROR(Financial_Statements!L266/Financial_Statements!L$280),"NA",Financial_Statements!L266/Financial_Statements!L$280)</f>
        <v>0.13426411298914942</v>
      </c>
      <c r="J96" s="56">
        <f>IF(ISERROR(Financial_Statements!M266/Financial_Statements!M$280),"NA",Financial_Statements!M266/Financial_Statements!M$280)</f>
        <v>0.13425705129814169</v>
      </c>
      <c r="K96" s="56">
        <f>IF(ISERROR(Financial_Statements!N266/Financial_Statements!N$280),"NA",Financial_Statements!N266/Financial_Statements!N$280)</f>
        <v>0.14911832353692819</v>
      </c>
      <c r="L96" s="56">
        <f>IF(ISERROR(Financial_Statements!O266/Financial_Statements!O$280),"NA",Financial_Statements!O266/Financial_Statements!O$280)</f>
        <v>0.14100048632422735</v>
      </c>
      <c r="M96" s="56">
        <f>IF(ISERROR(Financial_Statements!P266/Financial_Statements!P$280),"NA",Financial_Statements!P266/Financial_Statements!P$280)</f>
        <v>0.14132104454685099</v>
      </c>
      <c r="N96" s="56">
        <f>IF(ISERROR(Financial_Statements!Q266/Financial_Statements!Q$280),"NA",Financial_Statements!Q266/Financial_Statements!Q$280)</f>
        <v>0.13920054077670704</v>
      </c>
      <c r="O96" s="21"/>
    </row>
    <row r="97" spans="2:15" ht="12.75" customHeight="1" x14ac:dyDescent="0.2">
      <c r="B97" s="5" t="s">
        <v>595</v>
      </c>
      <c r="C97" s="56">
        <f>IF(ISERROR(Financial_Statements!F267/Financial_Statements!F$280),"NA",Financial_Statements!F267/Financial_Statements!F$280)</f>
        <v>-4.8951989395016424E-2</v>
      </c>
      <c r="D97" s="56">
        <f>IF(ISERROR(Financial_Statements!G267/Financial_Statements!G$280),"NA",Financial_Statements!G267/Financial_Statements!G$280)</f>
        <v>-4.801791419550084E-2</v>
      </c>
      <c r="E97" s="56">
        <f>IF(ISERROR(Financial_Statements!H267/Financial_Statements!H$280),"NA",Financial_Statements!H267/Financial_Statements!H$280)</f>
        <v>-4.9271880272907333E-2</v>
      </c>
      <c r="F97" s="56">
        <f>IF(ISERROR(Financial_Statements!I267/Financial_Statements!I$280),"NA",Financial_Statements!I267/Financial_Statements!I$280)</f>
        <v>-5.0379384654388723E-2</v>
      </c>
      <c r="G97" s="56">
        <f>IF(ISERROR(Financial_Statements!J267/Financial_Statements!J$280),"NA",Financial_Statements!J267/Financial_Statements!J$280)</f>
        <v>-5.3136641058273801E-2</v>
      </c>
      <c r="H97" s="56">
        <f>IF(ISERROR(Financial_Statements!K267/Financial_Statements!K$280),"NA",Financial_Statements!K267/Financial_Statements!K$280)</f>
        <v>-5.0656593234448981E-2</v>
      </c>
      <c r="I97" s="56">
        <f>IF(ISERROR(Financial_Statements!L267/Financial_Statements!L$280),"NA",Financial_Statements!L267/Financial_Statements!L$280)</f>
        <v>-4.9905813963399562E-2</v>
      </c>
      <c r="J97" s="56">
        <f>IF(ISERROR(Financial_Statements!M267/Financial_Statements!M$280),"NA",Financial_Statements!M267/Financial_Statements!M$280)</f>
        <v>-5.1365077771363066E-2</v>
      </c>
      <c r="K97" s="56">
        <f>IF(ISERROR(Financial_Statements!N267/Financial_Statements!N$280),"NA",Financial_Statements!N267/Financial_Statements!N$280)</f>
        <v>-5.830382242342376E-2</v>
      </c>
      <c r="L97" s="56">
        <f>IF(ISERROR(Financial_Statements!O267/Financial_Statements!O$280),"NA",Financial_Statements!O267/Financial_Statements!O$280)</f>
        <v>-5.5952440844527176E-2</v>
      </c>
      <c r="M97" s="56">
        <f>IF(ISERROR(Financial_Statements!P267/Financial_Statements!P$280),"NA",Financial_Statements!P267/Financial_Statements!P$280)</f>
        <v>-5.7787350564349166E-2</v>
      </c>
      <c r="N97" s="56">
        <f>IF(ISERROR(Financial_Statements!Q267/Financial_Statements!Q$280),"NA",Financial_Statements!Q267/Financial_Statements!Q$280)</f>
        <v>-5.8314854047993928E-2</v>
      </c>
      <c r="O97" s="21"/>
    </row>
    <row r="98" spans="2:15" ht="12.75" customHeight="1" x14ac:dyDescent="0.2">
      <c r="B98" s="14" t="s">
        <v>594</v>
      </c>
      <c r="C98" s="57">
        <f>IF(ISERROR(Financial_Statements!F268/Financial_Statements!F$280),"NA",Financial_Statements!F268/Financial_Statements!F$280)</f>
        <v>8.861501219957349E-2</v>
      </c>
      <c r="D98" s="57">
        <f>IF(ISERROR(Financial_Statements!G268/Financial_Statements!G$280),"NA",Financial_Statements!G268/Financial_Statements!G$280)</f>
        <v>8.9214942237962724E-2</v>
      </c>
      <c r="E98" s="57">
        <f>IF(ISERROR(Financial_Statements!H268/Financial_Statements!H$280),"NA",Financial_Statements!H268/Financial_Statements!H$280)</f>
        <v>8.6090528941383609E-2</v>
      </c>
      <c r="F98" s="57">
        <f>IF(ISERROR(Financial_Statements!I268/Financial_Statements!I$280),"NA",Financial_Statements!I268/Financial_Statements!I$280)</f>
        <v>8.3808695967113961E-2</v>
      </c>
      <c r="G98" s="57">
        <f>IF(ISERROR(Financial_Statements!J268/Financial_Statements!J$280),"NA",Financial_Statements!J268/Financial_Statements!J$280)</f>
        <v>8.4860702109673281E-2</v>
      </c>
      <c r="H98" s="57">
        <f>IF(ISERROR(Financial_Statements!K268/Financial_Statements!K$280),"NA",Financial_Statements!K268/Financial_Statements!K$280)</f>
        <v>8.7133995148281754E-2</v>
      </c>
      <c r="I98" s="57">
        <f>IF(ISERROR(Financial_Statements!L268/Financial_Statements!L$280),"NA",Financial_Statements!L268/Financial_Statements!L$280)</f>
        <v>8.4358299025749872E-2</v>
      </c>
      <c r="J98" s="57">
        <f>IF(ISERROR(Financial_Statements!M268/Financial_Statements!M$280),"NA",Financial_Statements!M268/Financial_Statements!M$280)</f>
        <v>8.2891973526778615E-2</v>
      </c>
      <c r="K98" s="57">
        <f>IF(ISERROR(Financial_Statements!N268/Financial_Statements!N$280),"NA",Financial_Statements!N268/Financial_Statements!N$280)</f>
        <v>9.0814501113504434E-2</v>
      </c>
      <c r="L98" s="57">
        <f>IF(ISERROR(Financial_Statements!O268/Financial_Statements!O$280),"NA",Financial_Statements!O268/Financial_Statements!O$280)</f>
        <v>8.5048045479700157E-2</v>
      </c>
      <c r="M98" s="57">
        <f>IF(ISERROR(Financial_Statements!P268/Financial_Statements!P$280),"NA",Financial_Statements!P268/Financial_Statements!P$280)</f>
        <v>8.3533693982501836E-2</v>
      </c>
      <c r="N98" s="57">
        <f>IF(ISERROR(Financial_Statements!Q268/Financial_Statements!Q$280),"NA",Financial_Statements!Q268/Financial_Statements!Q$280)</f>
        <v>8.0885686728713102E-2</v>
      </c>
      <c r="O98" s="58"/>
    </row>
    <row r="99" spans="2:15" ht="12.75" customHeight="1" x14ac:dyDescent="0.2">
      <c r="B99" s="11"/>
      <c r="C99" s="56"/>
      <c r="D99" s="56"/>
      <c r="E99" s="56"/>
      <c r="F99" s="56"/>
      <c r="G99" s="56"/>
      <c r="H99" s="56"/>
      <c r="I99" s="56"/>
      <c r="J99" s="56"/>
      <c r="K99" s="56"/>
      <c r="L99" s="56"/>
      <c r="M99" s="56"/>
      <c r="N99" s="56"/>
      <c r="O99" s="21"/>
    </row>
    <row r="100" spans="2:15" ht="12.75" customHeight="1" x14ac:dyDescent="0.2">
      <c r="B100" s="5" t="s">
        <v>593</v>
      </c>
      <c r="C100" s="56">
        <f>IF(ISERROR(Financial_Statements!F270/Financial_Statements!F$280),"NA",Financial_Statements!F270/Financial_Statements!F$280)</f>
        <v>8.2611285085781242E-4</v>
      </c>
      <c r="D100" s="56">
        <f>IF(ISERROR(Financial_Statements!G270/Financial_Statements!G$280),"NA",Financial_Statements!G270/Financial_Statements!G$280)</f>
        <v>8.6198011824118587E-4</v>
      </c>
      <c r="E100" s="56">
        <f>IF(ISERROR(Financial_Statements!H270/Financial_Statements!H$280),"NA",Financial_Statements!H270/Financial_Statements!H$280)</f>
        <v>9.353679113784755E-4</v>
      </c>
      <c r="F100" s="56">
        <f>IF(ISERROR(Financial_Statements!I270/Financial_Statements!I$280),"NA",Financial_Statements!I270/Financial_Statements!I$280)</f>
        <v>9.1450716213034892E-4</v>
      </c>
      <c r="G100" s="56">
        <f>IF(ISERROR(Financial_Statements!J270/Financial_Statements!J$280),"NA",Financial_Statements!J270/Financial_Statements!J$280)</f>
        <v>9.5683112395143386E-4</v>
      </c>
      <c r="H100" s="56">
        <f>IF(ISERROR(Financial_Statements!K270/Financial_Statements!K$280),"NA",Financial_Statements!K270/Financial_Statements!K$280)</f>
        <v>1.2979689024553991E-3</v>
      </c>
      <c r="I100" s="56">
        <f>IF(ISERROR(Financial_Statements!L270/Financial_Statements!L$280),"NA",Financial_Statements!L270/Financial_Statements!L$280)</f>
        <v>1.5086813102513615E-3</v>
      </c>
      <c r="J100" s="56">
        <f>IF(ISERROR(Financial_Statements!M270/Financial_Statements!M$280),"NA",Financial_Statements!M270/Financial_Statements!M$280)</f>
        <v>1.4893278780424542E-3</v>
      </c>
      <c r="K100" s="56">
        <f>IF(ISERROR(Financial_Statements!N270/Financial_Statements!N$280),"NA",Financial_Statements!N270/Financial_Statements!N$280)</f>
        <v>1.7615275090358147E-3</v>
      </c>
      <c r="L100" s="56">
        <f>IF(ISERROR(Financial_Statements!O270/Financial_Statements!O$280),"NA",Financial_Statements!O270/Financial_Statements!O$280)</f>
        <v>1.6602102933038184E-3</v>
      </c>
      <c r="M100" s="56">
        <f>IF(ISERROR(Financial_Statements!P270/Financial_Statements!P$280),"NA",Financial_Statements!P270/Financial_Statements!P$280)</f>
        <v>1.6780204367862154E-3</v>
      </c>
      <c r="N100" s="56">
        <f>IF(ISERROR(Financial_Statements!Q270/Financial_Statements!Q$280),"NA",Financial_Statements!Q270/Financial_Statements!Q$280)</f>
        <v>1.8795287988327136E-3</v>
      </c>
      <c r="O100" s="21"/>
    </row>
    <row r="101" spans="2:15" ht="12.75" customHeight="1" x14ac:dyDescent="0.2">
      <c r="B101" s="5" t="s">
        <v>592</v>
      </c>
      <c r="C101" s="56">
        <f>IF(ISERROR(Financial_Statements!F271/Financial_Statements!F$280),"NA",Financial_Statements!F271/Financial_Statements!F$280)</f>
        <v>0.14066012180361567</v>
      </c>
      <c r="D101" s="56">
        <f>IF(ISERROR(Financial_Statements!G271/Financial_Statements!G$280),"NA",Financial_Statements!G271/Financial_Statements!G$280)</f>
        <v>0.13710168554590513</v>
      </c>
      <c r="E101" s="56">
        <f>IF(ISERROR(Financial_Statements!H271/Financial_Statements!H$280),"NA",Financial_Statements!H271/Financial_Statements!H$280)</f>
        <v>0.13417027364096545</v>
      </c>
      <c r="F101" s="56">
        <f>IF(ISERROR(Financial_Statements!I271/Financial_Statements!I$280),"NA",Financial_Statements!I271/Financial_Statements!I$280)</f>
        <v>0.13181579471577839</v>
      </c>
      <c r="G101" s="56">
        <f>IF(ISERROR(Financial_Statements!J271/Financial_Statements!J$280),"NA",Financial_Statements!J271/Financial_Statements!J$280)</f>
        <v>0.14622794875844194</v>
      </c>
      <c r="H101" s="56">
        <f>IF(ISERROR(Financial_Statements!K271/Financial_Statements!K$280),"NA",Financial_Statements!K271/Financial_Statements!K$280)</f>
        <v>0.14226634321878384</v>
      </c>
      <c r="I101" s="56">
        <f>IF(ISERROR(Financial_Statements!L271/Financial_Statements!L$280),"NA",Financial_Statements!L271/Financial_Statements!L$280)</f>
        <v>0.13569608169040495</v>
      </c>
      <c r="J101" s="56">
        <f>IF(ISERROR(Financial_Statements!M271/Financial_Statements!M$280),"NA",Financial_Statements!M271/Financial_Statements!M$280)</f>
        <v>0.13322790900039325</v>
      </c>
      <c r="K101" s="56">
        <f>IF(ISERROR(Financial_Statements!N271/Financial_Statements!N$280),"NA",Financial_Statements!N271/Financial_Statements!N$280)</f>
        <v>0.14463692453725677</v>
      </c>
      <c r="L101" s="56">
        <f>IF(ISERROR(Financial_Statements!O271/Financial_Statements!O$280),"NA",Financial_Statements!O271/Financial_Statements!O$280)</f>
        <v>0.13362177390954369</v>
      </c>
      <c r="M101" s="56">
        <f>IF(ISERROR(Financial_Statements!P271/Financial_Statements!P$280),"NA",Financial_Statements!P271/Financial_Statements!P$280)</f>
        <v>0.13256361450611101</v>
      </c>
      <c r="N101" s="56">
        <f>IF(ISERROR(Financial_Statements!Q271/Financial_Statements!Q$280),"NA",Financial_Statements!Q271/Financial_Statements!Q$280)</f>
        <v>0.12441161680694436</v>
      </c>
      <c r="O101" s="21"/>
    </row>
    <row r="102" spans="2:15" ht="12.75" customHeight="1" x14ac:dyDescent="0.2">
      <c r="B102" s="5" t="s">
        <v>591</v>
      </c>
      <c r="C102" s="56">
        <f>IF(ISERROR(Financial_Statements!F272/Financial_Statements!F$280),"NA",Financial_Statements!F272/Financial_Statements!F$280)</f>
        <v>0.24458703963420492</v>
      </c>
      <c r="D102" s="56">
        <f>IF(ISERROR(Financial_Statements!G272/Financial_Statements!G$280),"NA",Financial_Statements!G272/Financial_Statements!G$280)</f>
        <v>0.24975873926038361</v>
      </c>
      <c r="E102" s="56">
        <f>IF(ISERROR(Financial_Statements!H272/Financial_Statements!H$280),"NA",Financial_Statements!H272/Financial_Statements!H$280)</f>
        <v>0.22847736776465408</v>
      </c>
      <c r="F102" s="56">
        <f>IF(ISERROR(Financial_Statements!I272/Financial_Statements!I$280),"NA",Financial_Statements!I272/Financial_Statements!I$280)</f>
        <v>0.22150993281541442</v>
      </c>
      <c r="G102" s="56">
        <f>IF(ISERROR(Financial_Statements!J272/Financial_Statements!J$280),"NA",Financial_Statements!J272/Financial_Statements!J$280)</f>
        <v>0.22970449710628257</v>
      </c>
      <c r="H102" s="56">
        <f>IF(ISERROR(Financial_Statements!K272/Financial_Statements!K$280),"NA",Financial_Statements!K272/Financial_Statements!K$280)</f>
        <v>0.23641832194999685</v>
      </c>
      <c r="I102" s="56">
        <f>IF(ISERROR(Financial_Statements!L272/Financial_Statements!L$280),"NA",Financial_Statements!L272/Financial_Statements!L$280)</f>
        <v>0.21309910416719938</v>
      </c>
      <c r="J102" s="56">
        <f>IF(ISERROR(Financial_Statements!M272/Financial_Statements!M$280),"NA",Financial_Statements!M272/Financial_Statements!M$280)</f>
        <v>0.20822142456721635</v>
      </c>
      <c r="K102" s="56">
        <f>IF(ISERROR(Financial_Statements!N272/Financial_Statements!N$280),"NA",Financial_Statements!N272/Financial_Statements!N$280)</f>
        <v>0.22389653535832937</v>
      </c>
      <c r="L102" s="56">
        <f>IF(ISERROR(Financial_Statements!O272/Financial_Statements!O$280),"NA",Financial_Statements!O272/Financial_Statements!O$280)</f>
        <v>0.21703476379735373</v>
      </c>
      <c r="M102" s="56">
        <f>IF(ISERROR(Financial_Statements!P272/Financial_Statements!P$280),"NA",Financial_Statements!P272/Financial_Statements!P$280)</f>
        <v>0.20310725973418822</v>
      </c>
      <c r="N102" s="56">
        <f>IF(ISERROR(Financial_Statements!Q272/Financial_Statements!Q$280),"NA",Financial_Statements!Q272/Financial_Statements!Q$280)</f>
        <v>0.19893328497118881</v>
      </c>
      <c r="O102" s="21"/>
    </row>
    <row r="103" spans="2:15" ht="12.75" customHeight="1" x14ac:dyDescent="0.2">
      <c r="B103" s="5" t="s">
        <v>590</v>
      </c>
      <c r="C103" s="56" t="str">
        <f>IF(ISERROR(Financial_Statements!F273/Financial_Statements!F$280),"NA",Financial_Statements!F273/Financial_Statements!F$280)</f>
        <v>NA</v>
      </c>
      <c r="D103" s="56" t="str">
        <f>IF(ISERROR(Financial_Statements!G273/Financial_Statements!G$280),"NA",Financial_Statements!G273/Financial_Statements!G$280)</f>
        <v>NA</v>
      </c>
      <c r="E103" s="56" t="str">
        <f>IF(ISERROR(Financial_Statements!H273/Financial_Statements!H$280),"NA",Financial_Statements!H273/Financial_Statements!H$280)</f>
        <v>NA</v>
      </c>
      <c r="F103" s="56" t="str">
        <f>IF(ISERROR(Financial_Statements!I273/Financial_Statements!I$280),"NA",Financial_Statements!I273/Financial_Statements!I$280)</f>
        <v>NA</v>
      </c>
      <c r="G103" s="56" t="str">
        <f>IF(ISERROR(Financial_Statements!J273/Financial_Statements!J$280),"NA",Financial_Statements!J273/Financial_Statements!J$280)</f>
        <v>NA</v>
      </c>
      <c r="H103" s="56" t="str">
        <f>IF(ISERROR(Financial_Statements!K273/Financial_Statements!K$280),"NA",Financial_Statements!K273/Financial_Statements!K$280)</f>
        <v>NA</v>
      </c>
      <c r="I103" s="56" t="str">
        <f>IF(ISERROR(Financial_Statements!L273/Financial_Statements!L$280),"NA",Financial_Statements!L273/Financial_Statements!L$280)</f>
        <v>NA</v>
      </c>
      <c r="J103" s="56" t="str">
        <f>IF(ISERROR(Financial_Statements!M273/Financial_Statements!M$280),"NA",Financial_Statements!M273/Financial_Statements!M$280)</f>
        <v>NA</v>
      </c>
      <c r="K103" s="56" t="str">
        <f>IF(ISERROR(Financial_Statements!N273/Financial_Statements!N$280),"NA",Financial_Statements!N273/Financial_Statements!N$280)</f>
        <v>NA</v>
      </c>
      <c r="L103" s="56" t="str">
        <f>IF(ISERROR(Financial_Statements!O273/Financial_Statements!O$280),"NA",Financial_Statements!O273/Financial_Statements!O$280)</f>
        <v>NA</v>
      </c>
      <c r="M103" s="56" t="str">
        <f>IF(ISERROR(Financial_Statements!P273/Financial_Statements!P$280),"NA",Financial_Statements!P273/Financial_Statements!P$280)</f>
        <v>NA</v>
      </c>
      <c r="N103" s="56" t="str">
        <f>IF(ISERROR(Financial_Statements!Q273/Financial_Statements!Q$280),"NA",Financial_Statements!Q273/Financial_Statements!Q$280)</f>
        <v>NA</v>
      </c>
      <c r="O103" s="21"/>
    </row>
    <row r="104" spans="2:15" ht="12.75" customHeight="1" x14ac:dyDescent="0.2">
      <c r="B104" s="5" t="s">
        <v>589</v>
      </c>
      <c r="C104" s="56" t="str">
        <f>IF(ISERROR(Financial_Statements!F274/Financial_Statements!F$280),"NA",Financial_Statements!F274/Financial_Statements!F$280)</f>
        <v>NA</v>
      </c>
      <c r="D104" s="56" t="str">
        <f>IF(ISERROR(Financial_Statements!G274/Financial_Statements!G$280),"NA",Financial_Statements!G274/Financial_Statements!G$280)</f>
        <v>NA</v>
      </c>
      <c r="E104" s="56" t="str">
        <f>IF(ISERROR(Financial_Statements!H274/Financial_Statements!H$280),"NA",Financial_Statements!H274/Financial_Statements!H$280)</f>
        <v>NA</v>
      </c>
      <c r="F104" s="56" t="str">
        <f>IF(ISERROR(Financial_Statements!I274/Financial_Statements!I$280),"NA",Financial_Statements!I274/Financial_Statements!I$280)</f>
        <v>NA</v>
      </c>
      <c r="G104" s="56" t="str">
        <f>IF(ISERROR(Financial_Statements!J274/Financial_Statements!J$280),"NA",Financial_Statements!J274/Financial_Statements!J$280)</f>
        <v>NA</v>
      </c>
      <c r="H104" s="56" t="str">
        <f>IF(ISERROR(Financial_Statements!K274/Financial_Statements!K$280),"NA",Financial_Statements!K274/Financial_Statements!K$280)</f>
        <v>NA</v>
      </c>
      <c r="I104" s="56" t="str">
        <f>IF(ISERROR(Financial_Statements!L274/Financial_Statements!L$280),"NA",Financial_Statements!L274/Financial_Statements!L$280)</f>
        <v>NA</v>
      </c>
      <c r="J104" s="56" t="str">
        <f>IF(ISERROR(Financial_Statements!M274/Financial_Statements!M$280),"NA",Financial_Statements!M274/Financial_Statements!M$280)</f>
        <v>NA</v>
      </c>
      <c r="K104" s="56" t="str">
        <f>IF(ISERROR(Financial_Statements!N274/Financial_Statements!N$280),"NA",Financial_Statements!N274/Financial_Statements!N$280)</f>
        <v>NA</v>
      </c>
      <c r="L104" s="56" t="str">
        <f>IF(ISERROR(Financial_Statements!O274/Financial_Statements!O$280),"NA",Financial_Statements!O274/Financial_Statements!O$280)</f>
        <v>NA</v>
      </c>
      <c r="M104" s="56" t="str">
        <f>IF(ISERROR(Financial_Statements!P274/Financial_Statements!P$280),"NA",Financial_Statements!P274/Financial_Statements!P$280)</f>
        <v>NA</v>
      </c>
      <c r="N104" s="56" t="str">
        <f>IF(ISERROR(Financial_Statements!Q274/Financial_Statements!Q$280),"NA",Financial_Statements!Q274/Financial_Statements!Q$280)</f>
        <v>NA</v>
      </c>
      <c r="O104" s="21"/>
    </row>
    <row r="105" spans="2:15" ht="12.75" customHeight="1" x14ac:dyDescent="0.2">
      <c r="B105" s="5" t="s">
        <v>588</v>
      </c>
      <c r="C105" s="56">
        <f>IF(ISERROR(Financial_Statements!F275/Financial_Statements!F$280),"NA",Financial_Statements!F275/Financial_Statements!F$280)</f>
        <v>6.6857505139190417E-3</v>
      </c>
      <c r="D105" s="56">
        <f>IF(ISERROR(Financial_Statements!G275/Financial_Statements!G$280),"NA",Financial_Statements!G275/Financial_Statements!G$280)</f>
        <v>5.378006389896094E-3</v>
      </c>
      <c r="E105" s="56">
        <f>IF(ISERROR(Financial_Statements!H275/Financial_Statements!H$280),"NA",Financial_Statements!H275/Financial_Statements!H$280)</f>
        <v>6.2357860758565026E-3</v>
      </c>
      <c r="F105" s="56">
        <f>IF(ISERROR(Financial_Statements!I275/Financial_Statements!I$280),"NA",Financial_Statements!I275/Financial_Statements!I$280)</f>
        <v>6.1932960286847395E-3</v>
      </c>
      <c r="G105" s="56">
        <f>IF(ISERROR(Financial_Statements!J275/Financial_Statements!J$280),"NA",Financial_Statements!J275/Financial_Statements!J$280)</f>
        <v>6.0010961754623903E-3</v>
      </c>
      <c r="H105" s="56">
        <f>IF(ISERROR(Financial_Statements!K275/Financial_Statements!K$280),"NA",Financial_Statements!K275/Financial_Statements!K$280)</f>
        <v>5.44251788064057E-3</v>
      </c>
      <c r="I105" s="56">
        <f>IF(ISERROR(Financial_Statements!L275/Financial_Statements!L$280),"NA",Financial_Statements!L275/Financial_Statements!L$280)</f>
        <v>2.1309058054397763E-3</v>
      </c>
      <c r="J105" s="56">
        <f>IF(ISERROR(Financial_Statements!M275/Financial_Statements!M$280),"NA",Financial_Statements!M275/Financial_Statements!M$280)</f>
        <v>1.8742103633792684E-3</v>
      </c>
      <c r="K105" s="56">
        <f>IF(ISERROR(Financial_Statements!N275/Financial_Statements!N$280),"NA",Financial_Statements!N275/Financial_Statements!N$280)</f>
        <v>2.1448651016757331E-3</v>
      </c>
      <c r="L105" s="56">
        <f>IF(ISERROR(Financial_Statements!O275/Financial_Statements!O$280),"NA",Financial_Statements!O275/Financial_Statements!O$280)</f>
        <v>1.6350555918901242E-3</v>
      </c>
      <c r="M105" s="56">
        <f>IF(ISERROR(Financial_Statements!P275/Financial_Statements!P$280),"NA",Financial_Statements!P275/Financial_Statements!P$280)</f>
        <v>1.2522540573031457E-3</v>
      </c>
      <c r="N105" s="56" t="str">
        <f>IF(ISERROR(Financial_Statements!Q275/Financial_Statements!Q$280),"NA",Financial_Statements!Q275/Financial_Statements!Q$280)</f>
        <v>NA</v>
      </c>
      <c r="O105" s="21"/>
    </row>
    <row r="106" spans="2:15" ht="12.75" customHeight="1" x14ac:dyDescent="0.2">
      <c r="B106" s="5" t="s">
        <v>587</v>
      </c>
      <c r="C106" s="56" t="str">
        <f>IF(ISERROR(Financial_Statements!F276/Financial_Statements!F$280),"NA",Financial_Statements!F276/Financial_Statements!F$280)</f>
        <v>NA</v>
      </c>
      <c r="D106" s="56" t="str">
        <f>IF(ISERROR(Financial_Statements!G276/Financial_Statements!G$280),"NA",Financial_Statements!G276/Financial_Statements!G$280)</f>
        <v>NA</v>
      </c>
      <c r="E106" s="56" t="str">
        <f>IF(ISERROR(Financial_Statements!H276/Financial_Statements!H$280),"NA",Financial_Statements!H276/Financial_Statements!H$280)</f>
        <v>NA</v>
      </c>
      <c r="F106" s="56" t="str">
        <f>IF(ISERROR(Financial_Statements!I276/Financial_Statements!I$280),"NA",Financial_Statements!I276/Financial_Statements!I$280)</f>
        <v>NA</v>
      </c>
      <c r="G106" s="56" t="str">
        <f>IF(ISERROR(Financial_Statements!J276/Financial_Statements!J$280),"NA",Financial_Statements!J276/Financial_Statements!J$280)</f>
        <v>NA</v>
      </c>
      <c r="H106" s="56" t="str">
        <f>IF(ISERROR(Financial_Statements!K276/Financial_Statements!K$280),"NA",Financial_Statements!K276/Financial_Statements!K$280)</f>
        <v>NA</v>
      </c>
      <c r="I106" s="56" t="str">
        <f>IF(ISERROR(Financial_Statements!L276/Financial_Statements!L$280),"NA",Financial_Statements!L276/Financial_Statements!L$280)</f>
        <v>NA</v>
      </c>
      <c r="J106" s="56" t="str">
        <f>IF(ISERROR(Financial_Statements!M276/Financial_Statements!M$280),"NA",Financial_Statements!M276/Financial_Statements!M$280)</f>
        <v>NA</v>
      </c>
      <c r="K106" s="56" t="str">
        <f>IF(ISERROR(Financial_Statements!N276/Financial_Statements!N$280),"NA",Financial_Statements!N276/Financial_Statements!N$280)</f>
        <v>NA</v>
      </c>
      <c r="L106" s="56" t="str">
        <f>IF(ISERROR(Financial_Statements!O276/Financial_Statements!O$280),"NA",Financial_Statements!O276/Financial_Statements!O$280)</f>
        <v>NA</v>
      </c>
      <c r="M106" s="56" t="str">
        <f>IF(ISERROR(Financial_Statements!P276/Financial_Statements!P$280),"NA",Financial_Statements!P276/Financial_Statements!P$280)</f>
        <v>NA</v>
      </c>
      <c r="N106" s="56" t="str">
        <f>IF(ISERROR(Financial_Statements!Q276/Financial_Statements!Q$280),"NA",Financial_Statements!Q276/Financial_Statements!Q$280)</f>
        <v>NA</v>
      </c>
      <c r="O106" s="21"/>
    </row>
    <row r="107" spans="2:15" ht="12.75" customHeight="1" x14ac:dyDescent="0.2">
      <c r="B107" s="5" t="s">
        <v>586</v>
      </c>
      <c r="C107" s="56">
        <f>IF(ISERROR(Financial_Statements!F277/Financial_Statements!F$280),"NA",Financial_Statements!F277/Financial_Statements!F$280)</f>
        <v>2.049912585733223E-2</v>
      </c>
      <c r="D107" s="56">
        <f>IF(ISERROR(Financial_Statements!G277/Financial_Statements!G$280),"NA",Financial_Statements!G277/Financial_Statements!G$280)</f>
        <v>1.8185906625066757E-2</v>
      </c>
      <c r="E107" s="56">
        <f>IF(ISERROR(Financial_Statements!H277/Financial_Statements!H$280),"NA",Financial_Statements!H277/Financial_Statements!H$280)</f>
        <v>2.0486391313916805E-2</v>
      </c>
      <c r="F107" s="56">
        <f>IF(ISERROR(Financial_Statements!I277/Financial_Statements!I$280),"NA",Financial_Statements!I277/Financial_Statements!I$280)</f>
        <v>1.9458177142753663E-2</v>
      </c>
      <c r="G107" s="56">
        <f>IF(ISERROR(Financial_Statements!J277/Financial_Statements!J$280),"NA",Financial_Statements!J277/Financial_Statements!J$280)</f>
        <v>1.7102195137811547E-2</v>
      </c>
      <c r="H107" s="56">
        <f>IF(ISERROR(Financial_Statements!K277/Financial_Statements!K$280),"NA",Financial_Statements!K277/Financial_Statements!K$280)</f>
        <v>1.8860830879127766E-2</v>
      </c>
      <c r="I107" s="56">
        <f>IF(ISERROR(Financial_Statements!L277/Financial_Statements!L$280),"NA",Financial_Statements!L277/Financial_Statements!L$280)</f>
        <v>1.8649687609208924E-2</v>
      </c>
      <c r="J107" s="56">
        <f>IF(ISERROR(Financial_Statements!M277/Financial_Statements!M$280),"NA",Financial_Statements!M277/Financial_Statements!M$280)</f>
        <v>1.8281918053498665E-2</v>
      </c>
      <c r="K107" s="56">
        <f>IF(ISERROR(Financial_Statements!N277/Financial_Statements!N$280),"NA",Financial_Statements!N277/Financial_Statements!N$280)</f>
        <v>1.9102990033222592E-2</v>
      </c>
      <c r="L107" s="56">
        <f>IF(ISERROR(Financial_Statements!O277/Financial_Statements!O$280),"NA",Financial_Statements!O277/Financial_Statements!O$280)</f>
        <v>0.11207257969847899</v>
      </c>
      <c r="M107" s="56">
        <f>IF(ISERROR(Financial_Statements!P277/Financial_Statements!P$280),"NA",Financial_Statements!P277/Financial_Statements!P$280)</f>
        <v>0.11479830361317039</v>
      </c>
      <c r="N107" s="56">
        <f>IF(ISERROR(Financial_Statements!Q277/Financial_Statements!Q$280),"NA",Financial_Statements!Q277/Financial_Statements!Q$280)</f>
        <v>0.13718087167269818</v>
      </c>
      <c r="O107" s="21"/>
    </row>
    <row r="108" spans="2:15" ht="12.75" customHeight="1" x14ac:dyDescent="0.2">
      <c r="B108" s="5" t="s">
        <v>585</v>
      </c>
      <c r="C108" s="56" t="str">
        <f>IF(ISERROR(Financial_Statements!F278/Financial_Statements!F$280),"NA",Financial_Statements!F278/Financial_Statements!F$280)</f>
        <v>NA</v>
      </c>
      <c r="D108" s="56" t="str">
        <f>IF(ISERROR(Financial_Statements!G278/Financial_Statements!G$280),"NA",Financial_Statements!G278/Financial_Statements!G$280)</f>
        <v>NA</v>
      </c>
      <c r="E108" s="56" t="str">
        <f>IF(ISERROR(Financial_Statements!H278/Financial_Statements!H$280),"NA",Financial_Statements!H278/Financial_Statements!H$280)</f>
        <v>NA</v>
      </c>
      <c r="F108" s="56" t="str">
        <f>IF(ISERROR(Financial_Statements!I278/Financial_Statements!I$280),"NA",Financial_Statements!I278/Financial_Statements!I$280)</f>
        <v>NA</v>
      </c>
      <c r="G108" s="56" t="str">
        <f>IF(ISERROR(Financial_Statements!J278/Financial_Statements!J$280),"NA",Financial_Statements!J278/Financial_Statements!J$280)</f>
        <v>NA</v>
      </c>
      <c r="H108" s="56" t="str">
        <f>IF(ISERROR(Financial_Statements!K278/Financial_Statements!K$280),"NA",Financial_Statements!K278/Financial_Statements!K$280)</f>
        <v>NA</v>
      </c>
      <c r="I108" s="56" t="str">
        <f>IF(ISERROR(Financial_Statements!L278/Financial_Statements!L$280),"NA",Financial_Statements!L278/Financial_Statements!L$280)</f>
        <v>NA</v>
      </c>
      <c r="J108" s="56" t="str">
        <f>IF(ISERROR(Financial_Statements!M278/Financial_Statements!M$280),"NA",Financial_Statements!M278/Financial_Statements!M$280)</f>
        <v>NA</v>
      </c>
      <c r="K108" s="56" t="str">
        <f>IF(ISERROR(Financial_Statements!N278/Financial_Statements!N$280),"NA",Financial_Statements!N278/Financial_Statements!N$280)</f>
        <v>NA</v>
      </c>
      <c r="L108" s="56" t="str">
        <f>IF(ISERROR(Financial_Statements!O278/Financial_Statements!O$280),"NA",Financial_Statements!O278/Financial_Statements!O$280)</f>
        <v>NA</v>
      </c>
      <c r="M108" s="56" t="str">
        <f>IF(ISERROR(Financial_Statements!P278/Financial_Statements!P$280),"NA",Financial_Statements!P278/Financial_Statements!P$280)</f>
        <v>NA</v>
      </c>
      <c r="N108" s="56" t="str">
        <f>IF(ISERROR(Financial_Statements!Q278/Financial_Statements!Q$280),"NA",Financial_Statements!Q278/Financial_Statements!Q$280)</f>
        <v>NA</v>
      </c>
      <c r="O108" s="21"/>
    </row>
    <row r="109" spans="2:15" ht="12.75" customHeight="1" x14ac:dyDescent="0.2">
      <c r="B109" s="5" t="s">
        <v>584</v>
      </c>
      <c r="C109" s="56">
        <f>IF(ISERROR(Financial_Statements!F279/Financial_Statements!F$280),"NA",Financial_Statements!F279/Financial_Statements!F$280)</f>
        <v>4.3937676509577146E-2</v>
      </c>
      <c r="D109" s="56">
        <f>IF(ISERROR(Financial_Statements!G279/Financial_Statements!G$280),"NA",Financial_Statements!G279/Financial_Statements!G$280)</f>
        <v>2.5990574434794016E-2</v>
      </c>
      <c r="E109" s="56">
        <f>IF(ISERROR(Financial_Statements!H279/Financial_Statements!H$280),"NA",Financial_Statements!H279/Financial_Statements!H$280)</f>
        <v>3.7726505758931848E-2</v>
      </c>
      <c r="F109" s="56">
        <f>IF(ISERROR(Financial_Statements!I279/Financial_Statements!I$280),"NA",Financial_Statements!I279/Financial_Statements!I$280)</f>
        <v>3.6725158906937574E-2</v>
      </c>
      <c r="G109" s="56">
        <f>IF(ISERROR(Financial_Statements!J279/Financial_Statements!J$280),"NA",Financial_Statements!J279/Financial_Statements!J$280)</f>
        <v>4.0391278902338193E-2</v>
      </c>
      <c r="H109" s="56">
        <f>IF(ISERROR(Financial_Statements!K279/Financial_Statements!K$280),"NA",Financial_Statements!K279/Financial_Statements!K$280)</f>
        <v>2.174321699354596E-2</v>
      </c>
      <c r="I109" s="56">
        <f>IF(ISERROR(Financial_Statements!L279/Financial_Statements!L$280),"NA",Financial_Statements!L279/Financial_Statements!L$280)</f>
        <v>3.1281697223855917E-2</v>
      </c>
      <c r="J109" s="56">
        <f>IF(ISERROR(Financial_Statements!M279/Financial_Statements!M$280),"NA",Financial_Statements!M279/Financial_Statements!M$280)</f>
        <v>2.9669419413137881E-2</v>
      </c>
      <c r="K109" s="56">
        <f>IF(ISERROR(Financial_Statements!N279/Financial_Statements!N$280),"NA",Financial_Statements!N279/Financial_Statements!N$280)</f>
        <v>3.1871782702347487E-2</v>
      </c>
      <c r="L109" s="56">
        <f>IF(ISERROR(Financial_Statements!O279/Financial_Statements!O$280),"NA",Financial_Statements!O279/Financial_Statements!O$280)</f>
        <v>1.8857641159799432E-2</v>
      </c>
      <c r="M109" s="56">
        <f>IF(ISERROR(Financial_Statements!P279/Financial_Statements!P$280),"NA",Financial_Statements!P279/Financial_Statements!P$280)</f>
        <v>2.911908101248915E-2</v>
      </c>
      <c r="N109" s="56">
        <f>IF(ISERROR(Financial_Statements!Q279/Financial_Statements!Q$280),"NA",Financial_Statements!Q279/Financial_Statements!Q$280)</f>
        <v>2.7203706298894539E-2</v>
      </c>
      <c r="O109" s="21"/>
    </row>
    <row r="110" spans="2:15" ht="12.75" customHeight="1" thickBot="1" x14ac:dyDescent="0.25">
      <c r="B110" s="26" t="s">
        <v>583</v>
      </c>
      <c r="C110" s="62">
        <f>IF(ISERROR(Financial_Statements!F280/Financial_Statements!F$280),"NA",Financial_Statements!F280/Financial_Statements!F$280)</f>
        <v>1</v>
      </c>
      <c r="D110" s="62">
        <f>IF(ISERROR(Financial_Statements!G280/Financial_Statements!G$280),"NA",Financial_Statements!G280/Financial_Statements!G$280)</f>
        <v>1</v>
      </c>
      <c r="E110" s="62">
        <f>IF(ISERROR(Financial_Statements!H280/Financial_Statements!H$280),"NA",Financial_Statements!H280/Financial_Statements!H$280)</f>
        <v>1</v>
      </c>
      <c r="F110" s="62">
        <f>IF(ISERROR(Financial_Statements!I280/Financial_Statements!I$280),"NA",Financial_Statements!I280/Financial_Statements!I$280)</f>
        <v>1</v>
      </c>
      <c r="G110" s="62">
        <f>IF(ISERROR(Financial_Statements!J280/Financial_Statements!J$280),"NA",Financial_Statements!J280/Financial_Statements!J$280)</f>
        <v>1</v>
      </c>
      <c r="H110" s="62">
        <f>IF(ISERROR(Financial_Statements!K280/Financial_Statements!K$280),"NA",Financial_Statements!K280/Financial_Statements!K$280)</f>
        <v>1</v>
      </c>
      <c r="I110" s="62">
        <f>IF(ISERROR(Financial_Statements!L280/Financial_Statements!L$280),"NA",Financial_Statements!L280/Financial_Statements!L$280)</f>
        <v>1</v>
      </c>
      <c r="J110" s="62">
        <f>IF(ISERROR(Financial_Statements!M280/Financial_Statements!M$280),"NA",Financial_Statements!M280/Financial_Statements!M$280)</f>
        <v>1</v>
      </c>
      <c r="K110" s="62">
        <f>IF(ISERROR(Financial_Statements!N280/Financial_Statements!N$280),"NA",Financial_Statements!N280/Financial_Statements!N$280)</f>
        <v>1</v>
      </c>
      <c r="L110" s="62">
        <f>IF(ISERROR(Financial_Statements!O280/Financial_Statements!O$280),"NA",Financial_Statements!O280/Financial_Statements!O$280)</f>
        <v>1</v>
      </c>
      <c r="M110" s="62">
        <f>IF(ISERROR(Financial_Statements!P280/Financial_Statements!P$280),"NA",Financial_Statements!P280/Financial_Statements!P$280)</f>
        <v>1</v>
      </c>
      <c r="N110" s="62">
        <f>IF(ISERROR(Financial_Statements!Q280/Financial_Statements!Q$280),"NA",Financial_Statements!Q280/Financial_Statements!Q$280)</f>
        <v>1</v>
      </c>
      <c r="O110" s="58"/>
    </row>
    <row r="111" spans="2:15" ht="12.75" customHeight="1" thickTop="1" x14ac:dyDescent="0.2">
      <c r="B111" s="11"/>
      <c r="C111" s="21"/>
      <c r="D111" s="21"/>
      <c r="E111" s="21"/>
      <c r="F111" s="21"/>
      <c r="G111" s="21"/>
      <c r="H111" s="21"/>
      <c r="I111" s="21"/>
      <c r="J111" s="21"/>
      <c r="K111" s="21"/>
      <c r="L111" s="21"/>
      <c r="M111" s="21"/>
      <c r="N111" s="21"/>
    </row>
    <row r="112" spans="2:15" ht="12.75" customHeight="1" x14ac:dyDescent="0.2">
      <c r="B112" s="8" t="s">
        <v>582</v>
      </c>
      <c r="C112" s="21"/>
      <c r="D112" s="21"/>
      <c r="E112" s="21"/>
      <c r="F112" s="21"/>
      <c r="G112" s="21"/>
      <c r="H112" s="21"/>
      <c r="I112" s="21"/>
      <c r="J112" s="21"/>
      <c r="K112" s="21"/>
      <c r="L112" s="21"/>
      <c r="M112" s="21"/>
      <c r="N112" s="21"/>
    </row>
    <row r="113" spans="2:15" ht="12.75" customHeight="1" x14ac:dyDescent="0.2">
      <c r="B113" s="5" t="s">
        <v>581</v>
      </c>
      <c r="C113" s="56">
        <f>IF(ISERROR(Financial_Statements!F283/Financial_Statements!F$323),"NA",Financial_Statements!F283/Financial_Statements!F$323)</f>
        <v>0.1058000806900924</v>
      </c>
      <c r="D113" s="56">
        <f>IF(ISERROR(Financial_Statements!G283/Financial_Statements!G$323),"NA",Financial_Statements!G283/Financial_Statements!G$323)</f>
        <v>0.10634211241345064</v>
      </c>
      <c r="E113" s="56">
        <f>IF(ISERROR(Financial_Statements!H283/Financial_Statements!H$323),"NA",Financial_Statements!H283/Financial_Statements!H$323)</f>
        <v>9.6966473479568632E-2</v>
      </c>
      <c r="F113" s="56">
        <f>IF(ISERROR(Financial_Statements!I283/Financial_Statements!I$323),"NA",Financial_Statements!I283/Financial_Statements!I$323)</f>
        <v>0.10160989478640373</v>
      </c>
      <c r="G113" s="56">
        <f>IF(ISERROR(Financial_Statements!J283/Financial_Statements!J$323),"NA",Financial_Statements!J283/Financial_Statements!J$323)</f>
        <v>9.7141583137477117E-2</v>
      </c>
      <c r="H113" s="56">
        <f>IF(ISERROR(Financial_Statements!K283/Financial_Statements!K$323),"NA",Financial_Statements!K283/Financial_Statements!K$323)</f>
        <v>0.11209080411411383</v>
      </c>
      <c r="I113" s="56">
        <f>IF(ISERROR(Financial_Statements!L283/Financial_Statements!L$323),"NA",Financial_Statements!L283/Financial_Statements!L$323)</f>
        <v>0.10081741546696669</v>
      </c>
      <c r="J113" s="56">
        <f>IF(ISERROR(Financial_Statements!M283/Financial_Statements!M$323),"NA",Financial_Statements!M283/Financial_Statements!M$323)</f>
        <v>8.6406117958114745E-2</v>
      </c>
      <c r="K113" s="56">
        <f>IF(ISERROR(Financial_Statements!N283/Financial_Statements!N$323),"NA",Financial_Statements!N283/Financial_Statements!N$323)</f>
        <v>6.0466941696177577E-2</v>
      </c>
      <c r="L113" s="56">
        <f>IF(ISERROR(Financial_Statements!O283/Financial_Statements!O$323),"NA",Financial_Statements!O283/Financial_Statements!O$323)</f>
        <v>5.051064043869799E-2</v>
      </c>
      <c r="M113" s="56">
        <f>IF(ISERROR(Financial_Statements!P283/Financial_Statements!P$323),"NA",Financial_Statements!P283/Financial_Statements!P$323)</f>
        <v>4.919688773124959E-2</v>
      </c>
      <c r="N113" s="56">
        <f>IF(ISERROR(Financial_Statements!Q283/Financial_Statements!Q$323),"NA",Financial_Statements!Q283/Financial_Statements!Q$323)</f>
        <v>5.7482255764300494E-2</v>
      </c>
      <c r="O113" s="59"/>
    </row>
    <row r="114" spans="2:15" ht="12.75" customHeight="1" x14ac:dyDescent="0.2">
      <c r="B114" s="5" t="s">
        <v>580</v>
      </c>
      <c r="C114" s="56">
        <f>IF(ISERROR(Financial_Statements!F284/Financial_Statements!F$323),"NA",Financial_Statements!F284/Financial_Statements!F$323)</f>
        <v>0.11639545830051296</v>
      </c>
      <c r="D114" s="56">
        <f>IF(ISERROR(Financial_Statements!G284/Financial_Statements!G$323),"NA",Financial_Statements!G284/Financial_Statements!G$323)</f>
        <v>7.9217846736187231E-2</v>
      </c>
      <c r="E114" s="56">
        <f>IF(ISERROR(Financial_Statements!H284/Financial_Statements!H$323),"NA",Financial_Statements!H284/Financial_Statements!H$323)</f>
        <v>0.10504548455725918</v>
      </c>
      <c r="F114" s="56">
        <f>IF(ISERROR(Financial_Statements!I284/Financial_Statements!I$323),"NA",Financial_Statements!I284/Financial_Statements!I$323)</f>
        <v>0.11560819253544846</v>
      </c>
      <c r="G114" s="56">
        <f>IF(ISERROR(Financial_Statements!J284/Financial_Statements!J$323),"NA",Financial_Statements!J284/Financial_Statements!J$323)</f>
        <v>0.12771373099110983</v>
      </c>
      <c r="H114" s="56">
        <f>IF(ISERROR(Financial_Statements!K284/Financial_Statements!K$323),"NA",Financial_Statements!K284/Financial_Statements!K$323)</f>
        <v>8.4081530350093539E-2</v>
      </c>
      <c r="I114" s="56">
        <f>IF(ISERROR(Financial_Statements!L284/Financial_Statements!L$323),"NA",Financial_Statements!L284/Financial_Statements!L$323)</f>
        <v>0.10133735648349401</v>
      </c>
      <c r="J114" s="56">
        <f>IF(ISERROR(Financial_Statements!M284/Financial_Statements!M$323),"NA",Financial_Statements!M284/Financial_Statements!M$323)</f>
        <v>0.10496414735978982</v>
      </c>
      <c r="K114" s="56">
        <f>IF(ISERROR(Financial_Statements!N284/Financial_Statements!N$323),"NA",Financial_Statements!N284/Financial_Statements!N$323)</f>
        <v>0.130690737833595</v>
      </c>
      <c r="L114" s="56">
        <f>IF(ISERROR(Financial_Statements!O284/Financial_Statements!O$323),"NA",Financial_Statements!O284/Financial_Statements!O$323)</f>
        <v>8.4788113565091985E-2</v>
      </c>
      <c r="M114" s="56">
        <f>IF(ISERROR(Financial_Statements!P284/Financial_Statements!P$323),"NA",Financial_Statements!P284/Financial_Statements!P$323)</f>
        <v>0.10529786949843051</v>
      </c>
      <c r="N114" s="56">
        <f>IF(ISERROR(Financial_Statements!Q284/Financial_Statements!Q$323),"NA",Financial_Statements!Q284/Financial_Statements!Q$323)</f>
        <v>0.11409069550809103</v>
      </c>
    </row>
    <row r="115" spans="2:15" ht="12.75" customHeight="1" x14ac:dyDescent="0.2">
      <c r="B115" s="5" t="s">
        <v>579</v>
      </c>
      <c r="C115" s="56">
        <f>IF(ISERROR(Financial_Statements!F285/Financial_Statements!F$323),"NA",Financial_Statements!F285/Financial_Statements!F$323)</f>
        <v>3.6060786536281725E-2</v>
      </c>
      <c r="D115" s="56">
        <f>IF(ISERROR(Financial_Statements!G285/Financial_Statements!G$323),"NA",Financial_Statements!G285/Financial_Statements!G$323)</f>
        <v>3.3382990883623315E-2</v>
      </c>
      <c r="E115" s="56">
        <f>IF(ISERROR(Financial_Statements!H285/Financial_Statements!H$323),"NA",Financial_Statements!H285/Financial_Statements!H$323)</f>
        <v>8.6365637150612573E-2</v>
      </c>
      <c r="F115" s="56">
        <f>IF(ISERROR(Financial_Statements!I285/Financial_Statements!I$323),"NA",Financial_Statements!I285/Financial_Statements!I$323)</f>
        <v>9.6512196447003859E-2</v>
      </c>
      <c r="G115" s="56">
        <f>IF(ISERROR(Financial_Statements!J285/Financial_Statements!J$323),"NA",Financial_Statements!J285/Financial_Statements!J$323)</f>
        <v>6.8780365453751602E-2</v>
      </c>
      <c r="H115" s="56">
        <f>IF(ISERROR(Financial_Statements!K285/Financial_Statements!K$323),"NA",Financial_Statements!K285/Financial_Statements!K$323)</f>
        <v>4.0487678246936346E-2</v>
      </c>
      <c r="I115" s="56">
        <f>IF(ISERROR(Financial_Statements!L285/Financial_Statements!L$323),"NA",Financial_Statements!L285/Financial_Statements!L$323)</f>
        <v>0.1182823194483511</v>
      </c>
      <c r="J115" s="56">
        <f>IF(ISERROR(Financial_Statements!M285/Financial_Statements!M$323),"NA",Financial_Statements!M285/Financial_Statements!M$323)</f>
        <v>9.7417103842967936E-2</v>
      </c>
      <c r="K115" s="56">
        <f>IF(ISERROR(Financial_Statements!N285/Financial_Statements!N$323),"NA",Financial_Statements!N285/Financial_Statements!N$323)</f>
        <v>5.4735131977656899E-2</v>
      </c>
      <c r="L115" s="56">
        <f>IF(ISERROR(Financial_Statements!O285/Financial_Statements!O$323),"NA",Financial_Statements!O285/Financial_Statements!O$323)</f>
        <v>7.0223541446563023E-2</v>
      </c>
      <c r="M115" s="56">
        <f>IF(ISERROR(Financial_Statements!P285/Financial_Statements!P$323),"NA",Financial_Statements!P285/Financial_Statements!P$323)</f>
        <v>0.10163293929072331</v>
      </c>
      <c r="N115" s="56">
        <f>IF(ISERROR(Financial_Statements!Q285/Financial_Statements!Q$323),"NA",Financial_Statements!Q285/Financial_Statements!Q$323)</f>
        <v>8.8115277766328409E-2</v>
      </c>
    </row>
    <row r="116" spans="2:15" ht="12.75" customHeight="1" x14ac:dyDescent="0.2">
      <c r="B116" s="5" t="s">
        <v>578</v>
      </c>
      <c r="C116" s="56">
        <f>IF(ISERROR(Financial_Statements!F286/Financial_Statements!F$323),"NA",Financial_Statements!F286/Financial_Statements!F$323)</f>
        <v>3.7136654435073295E-2</v>
      </c>
      <c r="D116" s="56">
        <f>IF(ISERROR(Financial_Statements!G286/Financial_Statements!G$323),"NA",Financial_Statements!G286/Financial_Statements!G$323)</f>
        <v>7.9170999990630653E-3</v>
      </c>
      <c r="E116" s="56">
        <f>IF(ISERROR(Financial_Statements!H286/Financial_Statements!H$323),"NA",Financial_Statements!H286/Financial_Statements!H$323)</f>
        <v>9.0418898099919303E-3</v>
      </c>
      <c r="F116" s="56">
        <f>IF(ISERROR(Financial_Statements!I286/Financial_Statements!I$323),"NA",Financial_Statements!I286/Financial_Statements!I$323)</f>
        <v>8.076637511091795E-3</v>
      </c>
      <c r="G116" s="56">
        <f>IF(ISERROR(Financial_Statements!J286/Financial_Statements!J$323),"NA",Financial_Statements!J286/Financial_Statements!J$323)</f>
        <v>7.9797857813037054E-3</v>
      </c>
      <c r="H116" s="56">
        <f>IF(ISERROR(Financial_Statements!K286/Financial_Statements!K$323),"NA",Financial_Statements!K286/Financial_Statements!K$323)</f>
        <v>7.9220860598139872E-3</v>
      </c>
      <c r="I116" s="56">
        <f>IF(ISERROR(Financial_Statements!L286/Financial_Statements!L$323),"NA",Financial_Statements!L286/Financial_Statements!L$323)</f>
        <v>4.1842466395615452E-2</v>
      </c>
      <c r="J116" s="56">
        <f>IF(ISERROR(Financial_Statements!M286/Financial_Statements!M$323),"NA",Financial_Statements!M286/Financial_Statements!M$323)</f>
        <v>4.1517106353071105E-2</v>
      </c>
      <c r="K116" s="56">
        <f>IF(ISERROR(Financial_Statements!N286/Financial_Statements!N$323),"NA",Financial_Statements!N286/Financial_Statements!N$323)</f>
        <v>4.5005658793034212E-2</v>
      </c>
      <c r="L116" s="56">
        <f>IF(ISERROR(Financial_Statements!O286/Financial_Statements!O$323),"NA",Financial_Statements!O286/Financial_Statements!O$323)</f>
        <v>8.091428954738307E-3</v>
      </c>
      <c r="M116" s="56">
        <f>IF(ISERROR(Financial_Statements!P286/Financial_Statements!P$323),"NA",Financial_Statements!P286/Financial_Statements!P$323)</f>
        <v>7.8224136779536501E-3</v>
      </c>
      <c r="N116" s="56">
        <f>IF(ISERROR(Financial_Statements!Q286/Financial_Statements!Q$323),"NA",Financial_Statements!Q286/Financial_Statements!Q$323)</f>
        <v>6.9575539746263614E-3</v>
      </c>
    </row>
    <row r="117" spans="2:15" ht="12.75" customHeight="1" x14ac:dyDescent="0.2">
      <c r="B117" s="5" t="s">
        <v>577</v>
      </c>
      <c r="C117" s="56">
        <f>IF(ISERROR(Financial_Statements!F287/Financial_Statements!F$323),"NA",Financial_Statements!F287/Financial_Statements!F$323)</f>
        <v>2.2862192849320857E-3</v>
      </c>
      <c r="D117" s="56">
        <f>IF(ISERROR(Financial_Statements!G287/Financial_Statements!G$323),"NA",Financial_Statements!G287/Financial_Statements!G$323)</f>
        <v>2.2017970411595507E-3</v>
      </c>
      <c r="E117" s="56">
        <f>IF(ISERROR(Financial_Statements!H287/Financial_Statements!H$323),"NA",Financial_Statements!H287/Financial_Statements!H$323)</f>
        <v>2.1550143056268795E-3</v>
      </c>
      <c r="F117" s="56">
        <f>IF(ISERROR(Financial_Statements!I287/Financial_Statements!I$323),"NA",Financial_Statements!I287/Financial_Statements!I$323)</f>
        <v>2.0553774832038534E-3</v>
      </c>
      <c r="G117" s="56">
        <f>IF(ISERROR(Financial_Statements!J287/Financial_Statements!J$323),"NA",Financial_Statements!J287/Financial_Statements!J$323)</f>
        <v>2.0901650765929379E-3</v>
      </c>
      <c r="H117" s="56">
        <f>IF(ISERROR(Financial_Statements!K287/Financial_Statements!K$323),"NA",Financial_Statements!K287/Financial_Statements!K$323)</f>
        <v>1.9693321278633638E-3</v>
      </c>
      <c r="I117" s="56">
        <f>IF(ISERROR(Financial_Statements!L287/Financial_Statements!L$323),"NA",Financial_Statements!L287/Financial_Statements!L$323)</f>
        <v>1.9433860945610761E-3</v>
      </c>
      <c r="J117" s="56">
        <f>IF(ISERROR(Financial_Statements!M287/Financial_Statements!M$323),"NA",Financial_Statements!M287/Financial_Statements!M$323)</f>
        <v>1.8658433528284679E-3</v>
      </c>
      <c r="K117" s="56">
        <f>IF(ISERROR(Financial_Statements!N287/Financial_Statements!N$323),"NA",Financial_Statements!N287/Financial_Statements!N$323)</f>
        <v>2.1448651016757331E-3</v>
      </c>
      <c r="L117" s="56">
        <f>IF(ISERROR(Financial_Statements!O287/Financial_Statements!O$323),"NA",Financial_Statements!O287/Financial_Statements!O$323)</f>
        <v>2.0459157149804634E-3</v>
      </c>
      <c r="M117" s="56">
        <f>IF(ISERROR(Financial_Statements!P287/Financial_Statements!P$323),"NA",Financial_Statements!P287/Financial_Statements!P$323)</f>
        <v>2.3458892673478933E-3</v>
      </c>
      <c r="N117" s="56">
        <f>IF(ISERROR(Financial_Statements!Q287/Financial_Statements!Q$323),"NA",Financial_Statements!Q287/Financial_Statements!Q$323)</f>
        <v>2.2257577880913713E-3</v>
      </c>
    </row>
    <row r="118" spans="2:15" ht="12.75" customHeight="1" x14ac:dyDescent="0.2">
      <c r="B118" s="5" t="s">
        <v>576</v>
      </c>
      <c r="C118" s="56" t="str">
        <f>IF(ISERROR(Financial_Statements!F288/Financial_Statements!F$323),"NA",Financial_Statements!F288/Financial_Statements!F$323)</f>
        <v>NA</v>
      </c>
      <c r="D118" s="56" t="str">
        <f>IF(ISERROR(Financial_Statements!G288/Financial_Statements!G$323),"NA",Financial_Statements!G288/Financial_Statements!G$323)</f>
        <v>NA</v>
      </c>
      <c r="E118" s="56" t="str">
        <f>IF(ISERROR(Financial_Statements!H288/Financial_Statements!H$323),"NA",Financial_Statements!H288/Financial_Statements!H$323)</f>
        <v>NA</v>
      </c>
      <c r="F118" s="56" t="str">
        <f>IF(ISERROR(Financial_Statements!I288/Financial_Statements!I$323),"NA",Financial_Statements!I288/Financial_Statements!I$323)</f>
        <v>NA</v>
      </c>
      <c r="G118" s="56" t="str">
        <f>IF(ISERROR(Financial_Statements!J288/Financial_Statements!J$323),"NA",Financial_Statements!J288/Financial_Statements!J$323)</f>
        <v>NA</v>
      </c>
      <c r="H118" s="56" t="str">
        <f>IF(ISERROR(Financial_Statements!K288/Financial_Statements!K$323),"NA",Financial_Statements!K288/Financial_Statements!K$323)</f>
        <v>NA</v>
      </c>
      <c r="I118" s="56" t="str">
        <f>IF(ISERROR(Financial_Statements!L288/Financial_Statements!L$323),"NA",Financial_Statements!L288/Financial_Statements!L$323)</f>
        <v>NA</v>
      </c>
      <c r="J118" s="56" t="str">
        <f>IF(ISERROR(Financial_Statements!M288/Financial_Statements!M$323),"NA",Financial_Statements!M288/Financial_Statements!M$323)</f>
        <v>NA</v>
      </c>
      <c r="K118" s="56" t="str">
        <f>IF(ISERROR(Financial_Statements!N288/Financial_Statements!N$323),"NA",Financial_Statements!N288/Financial_Statements!N$323)</f>
        <v>NA</v>
      </c>
      <c r="L118" s="56" t="str">
        <f>IF(ISERROR(Financial_Statements!O288/Financial_Statements!O$323),"NA",Financial_Statements!O288/Financial_Statements!O$323)</f>
        <v>NA</v>
      </c>
      <c r="M118" s="56" t="str">
        <f>IF(ISERROR(Financial_Statements!P288/Financial_Statements!P$323),"NA",Financial_Statements!P288/Financial_Statements!P$323)</f>
        <v>NA</v>
      </c>
      <c r="N118" s="56" t="str">
        <f>IF(ISERROR(Financial_Statements!Q288/Financial_Statements!Q$323),"NA",Financial_Statements!Q288/Financial_Statements!Q$323)</f>
        <v>NA</v>
      </c>
    </row>
    <row r="119" spans="2:15" ht="12.75" customHeight="1" x14ac:dyDescent="0.2">
      <c r="B119" s="5" t="s">
        <v>575</v>
      </c>
      <c r="C119" s="56" t="str">
        <f>IF(ISERROR(Financial_Statements!F289/Financial_Statements!F$323),"NA",Financial_Statements!F289/Financial_Statements!F$323)</f>
        <v>NA</v>
      </c>
      <c r="D119" s="56" t="str">
        <f>IF(ISERROR(Financial_Statements!G289/Financial_Statements!G$323),"NA",Financial_Statements!G289/Financial_Statements!G$323)</f>
        <v>NA</v>
      </c>
      <c r="E119" s="56" t="str">
        <f>IF(ISERROR(Financial_Statements!H289/Financial_Statements!H$323),"NA",Financial_Statements!H289/Financial_Statements!H$323)</f>
        <v>NA</v>
      </c>
      <c r="F119" s="56" t="str">
        <f>IF(ISERROR(Financial_Statements!I289/Financial_Statements!I$323),"NA",Financial_Statements!I289/Financial_Statements!I$323)</f>
        <v>NA</v>
      </c>
      <c r="G119" s="56" t="str">
        <f>IF(ISERROR(Financial_Statements!J289/Financial_Statements!J$323),"NA",Financial_Statements!J289/Financial_Statements!J$323)</f>
        <v>NA</v>
      </c>
      <c r="H119" s="56" t="str">
        <f>IF(ISERROR(Financial_Statements!K289/Financial_Statements!K$323),"NA",Financial_Statements!K289/Financial_Statements!K$323)</f>
        <v>NA</v>
      </c>
      <c r="I119" s="56" t="str">
        <f>IF(ISERROR(Financial_Statements!L289/Financial_Statements!L$323),"NA",Financial_Statements!L289/Financial_Statements!L$323)</f>
        <v>NA</v>
      </c>
      <c r="J119" s="56" t="str">
        <f>IF(ISERROR(Financial_Statements!M289/Financial_Statements!M$323),"NA",Financial_Statements!M289/Financial_Statements!M$323)</f>
        <v>NA</v>
      </c>
      <c r="K119" s="56" t="str">
        <f>IF(ISERROR(Financial_Statements!N289/Financial_Statements!N$323),"NA",Financial_Statements!N289/Financial_Statements!N$323)</f>
        <v>NA</v>
      </c>
      <c r="L119" s="56" t="str">
        <f>IF(ISERROR(Financial_Statements!O289/Financial_Statements!O$323),"NA",Financial_Statements!O289/Financial_Statements!O$323)</f>
        <v>NA</v>
      </c>
      <c r="M119" s="56" t="str">
        <f>IF(ISERROR(Financial_Statements!P289/Financial_Statements!P$323),"NA",Financial_Statements!P289/Financial_Statements!P$323)</f>
        <v>NA</v>
      </c>
      <c r="N119" s="56" t="str">
        <f>IF(ISERROR(Financial_Statements!Q289/Financial_Statements!Q$323),"NA",Financial_Statements!Q289/Financial_Statements!Q$323)</f>
        <v>NA</v>
      </c>
    </row>
    <row r="120" spans="2:15" ht="12.75" customHeight="1" x14ac:dyDescent="0.2">
      <c r="B120" s="5" t="s">
        <v>574</v>
      </c>
      <c r="C120" s="56">
        <f>IF(ISERROR(Financial_Statements!F290/Financial_Statements!F$323),"NA",Financial_Statements!F290/Financial_Statements!F$323)</f>
        <v>1.039365237939713E-2</v>
      </c>
      <c r="D120" s="56">
        <f>IF(ISERROR(Financial_Statements!G290/Financial_Statements!G$323),"NA",Financial_Statements!G290/Financial_Statements!G$323)</f>
        <v>6.1275543188014734E-3</v>
      </c>
      <c r="E120" s="56">
        <f>IF(ISERROR(Financial_Statements!H290/Financial_Statements!H$323),"NA",Financial_Statements!H290/Financial_Statements!H$323)</f>
        <v>8.620057222507518E-3</v>
      </c>
      <c r="F120" s="56">
        <f>IF(ISERROR(Financial_Statements!I290/Financial_Statements!I$323),"NA",Financial_Statements!I290/Financial_Statements!I$323)</f>
        <v>9.9509244671411243E-3</v>
      </c>
      <c r="G120" s="56">
        <f>IF(ISERROR(Financial_Statements!J290/Financial_Statements!J$323),"NA",Financial_Statements!J290/Financial_Statements!J$323)</f>
        <v>9.2245952046968328E-3</v>
      </c>
      <c r="H120" s="56">
        <f>IF(ISERROR(Financial_Statements!K290/Financial_Statements!K$323),"NA",Financial_Statements!K290/Financial_Statements!K$323)</f>
        <v>1.0267381593905811E-2</v>
      </c>
      <c r="I120" s="56">
        <f>IF(ISERROR(Financial_Statements!L290/Financial_Statements!L$323),"NA",Financial_Statements!L290/Financial_Statements!L$323)</f>
        <v>1.1950119756906267E-2</v>
      </c>
      <c r="J120" s="56">
        <f>IF(ISERROR(Financial_Statements!M290/Financial_Statements!M$323),"NA",Financial_Statements!M290/Financial_Statements!M$323)</f>
        <v>9.8898064710459602E-3</v>
      </c>
      <c r="K120" s="56">
        <f>IF(ISERROR(Financial_Statements!N290/Financial_Statements!N$323),"NA",Financial_Statements!N290/Financial_Statements!N$323)</f>
        <v>9.8389982110912346E-3</v>
      </c>
      <c r="L120" s="56">
        <f>IF(ISERROR(Financial_Statements!O290/Financial_Statements!O$323),"NA",Financial_Statements!O290/Financial_Statements!O$323)</f>
        <v>1.043081618621187E-2</v>
      </c>
      <c r="M120" s="56">
        <f>IF(ISERROR(Financial_Statements!P290/Financial_Statements!P$323),"NA",Financial_Statements!P290/Financial_Statements!P$323)</f>
        <v>9.7007947639083693E-3</v>
      </c>
      <c r="N120" s="56">
        <f>IF(ISERROR(Financial_Statements!Q290/Financial_Statements!Q$323),"NA",Financial_Statements!Q290/Financial_Statements!Q$323)</f>
        <v>9.9169874780515536E-3</v>
      </c>
    </row>
    <row r="121" spans="2:15" ht="12.75" customHeight="1" x14ac:dyDescent="0.2">
      <c r="B121" s="5" t="s">
        <v>573</v>
      </c>
      <c r="C121" s="56">
        <f>IF(ISERROR(Financial_Statements!F291/Financial_Statements!F$323),"NA",Financial_Statements!F291/Financial_Statements!F$323)</f>
        <v>3.0739082822616278E-4</v>
      </c>
      <c r="D121" s="56">
        <f>IF(ISERROR(Financial_Statements!G291/Financial_Statements!G$323),"NA",Financial_Statements!G291/Financial_Statements!G$323)</f>
        <v>5.9092484845077814E-2</v>
      </c>
      <c r="E121" s="56">
        <f>IF(ISERROR(Financial_Statements!H291/Financial_Statements!H$323),"NA",Financial_Statements!H291/Financial_Statements!H$323)</f>
        <v>3.6681094563861781E-3</v>
      </c>
      <c r="F121" s="56">
        <f>IF(ISERROR(Financial_Statements!I291/Financial_Statements!I$323),"NA",Financial_Statements!I291/Financial_Statements!I$323)</f>
        <v>1.629814744390721E-4</v>
      </c>
      <c r="G121" s="56">
        <f>IF(ISERROR(Financial_Statements!J291/Financial_Statements!J$323),"NA",Financial_Statements!J291/Financial_Statements!J$323)</f>
        <v>3.0655754456696422E-4</v>
      </c>
      <c r="H121" s="56">
        <f>IF(ISERROR(Financial_Statements!K291/Financial_Statements!K$323),"NA",Financial_Statements!K291/Financial_Statements!K$323)</f>
        <v>6.091502331868269E-2</v>
      </c>
      <c r="I121" s="56">
        <f>IF(ISERROR(Financial_Statements!L291/Financial_Statements!L$323),"NA",Financial_Statements!L291/Financial_Statements!L$323)</f>
        <v>1.1933072510462747E-3</v>
      </c>
      <c r="J121" s="56">
        <f>IF(ISERROR(Financial_Statements!M291/Financial_Statements!M$323),"NA",Financial_Statements!M291/Financial_Statements!M$323)</f>
        <v>2.8447835872721033E-4</v>
      </c>
      <c r="K121" s="56">
        <f>IF(ISERROR(Financial_Statements!N291/Financial_Statements!N$323),"NA",Financial_Statements!N291/Financial_Statements!N$323)</f>
        <v>1.5516045416377644E-4</v>
      </c>
      <c r="L121" s="56">
        <f>IF(ISERROR(Financial_Statements!O291/Financial_Statements!O$323),"NA",Financial_Statements!O291/Financial_Statements!O$323)</f>
        <v>4.0423605171806612E-2</v>
      </c>
      <c r="M121" s="56">
        <f>IF(ISERROR(Financial_Statements!P291/Financial_Statements!P$323),"NA",Financial_Statements!P291/Financial_Statements!P$323)</f>
        <v>7.404995658852602E-3</v>
      </c>
      <c r="N121" s="56">
        <f>IF(ISERROR(Financial_Statements!Q291/Financial_Statements!Q$323),"NA",Financial_Statements!Q291/Financial_Statements!Q$323)</f>
        <v>6.5948378906411007E-5</v>
      </c>
    </row>
    <row r="122" spans="2:15" ht="12.75" customHeight="1" x14ac:dyDescent="0.2">
      <c r="B122" s="5" t="s">
        <v>572</v>
      </c>
      <c r="C122" s="56" t="str">
        <f>IF(ISERROR(Financial_Statements!F292/Financial_Statements!F$323),"NA",Financial_Statements!F292/Financial_Statements!F$323)</f>
        <v>NA</v>
      </c>
      <c r="D122" s="56" t="str">
        <f>IF(ISERROR(Financial_Statements!G292/Financial_Statements!G$323),"NA",Financial_Statements!G292/Financial_Statements!G$323)</f>
        <v>NA</v>
      </c>
      <c r="E122" s="56" t="str">
        <f>IF(ISERROR(Financial_Statements!H292/Financial_Statements!H$323),"NA",Financial_Statements!H292/Financial_Statements!H$323)</f>
        <v>NA</v>
      </c>
      <c r="F122" s="56" t="str">
        <f>IF(ISERROR(Financial_Statements!I292/Financial_Statements!I$323),"NA",Financial_Statements!I292/Financial_Statements!I$323)</f>
        <v>NA</v>
      </c>
      <c r="G122" s="56" t="str">
        <f>IF(ISERROR(Financial_Statements!J292/Financial_Statements!J$323),"NA",Financial_Statements!J292/Financial_Statements!J$323)</f>
        <v>NA</v>
      </c>
      <c r="H122" s="56" t="str">
        <f>IF(ISERROR(Financial_Statements!K292/Financial_Statements!K$323),"NA",Financial_Statements!K292/Financial_Statements!K$323)</f>
        <v>NA</v>
      </c>
      <c r="I122" s="56" t="str">
        <f>IF(ISERROR(Financial_Statements!L292/Financial_Statements!L$323),"NA",Financial_Statements!L292/Financial_Statements!L$323)</f>
        <v>NA</v>
      </c>
      <c r="J122" s="56" t="str">
        <f>IF(ISERROR(Financial_Statements!M292/Financial_Statements!M$323),"NA",Financial_Statements!M292/Financial_Statements!M$323)</f>
        <v>NA</v>
      </c>
      <c r="K122" s="56" t="str">
        <f>IF(ISERROR(Financial_Statements!N292/Financial_Statements!N$323),"NA",Financial_Statements!N292/Financial_Statements!N$323)</f>
        <v>NA</v>
      </c>
      <c r="L122" s="56" t="str">
        <f>IF(ISERROR(Financial_Statements!O292/Financial_Statements!O$323),"NA",Financial_Statements!O292/Financial_Statements!O$323)</f>
        <v>NA</v>
      </c>
      <c r="M122" s="56" t="str">
        <f>IF(ISERROR(Financial_Statements!P292/Financial_Statements!P$323),"NA",Financial_Statements!P292/Financial_Statements!P$323)</f>
        <v>NA</v>
      </c>
      <c r="N122" s="56" t="str">
        <f>IF(ISERROR(Financial_Statements!Q292/Financial_Statements!Q$323),"NA",Financial_Statements!Q292/Financial_Statements!Q$323)</f>
        <v>NA</v>
      </c>
    </row>
    <row r="123" spans="2:15" ht="12.75" customHeight="1" x14ac:dyDescent="0.2">
      <c r="B123" s="5" t="s">
        <v>571</v>
      </c>
      <c r="C123" s="56">
        <f>IF(ISERROR(Financial_Statements!F293/Financial_Statements!F$323),"NA",Financial_Statements!F293/Financial_Statements!F$323)</f>
        <v>2.0873758429232867E-2</v>
      </c>
      <c r="D123" s="56">
        <f>IF(ISERROR(Financial_Statements!G293/Financial_Statements!G$323),"NA",Financial_Statements!G293/Financial_Statements!G$323)</f>
        <v>3.5547310528337601E-2</v>
      </c>
      <c r="E123" s="56">
        <f>IF(ISERROR(Financial_Statements!H293/Financial_Statements!H$323),"NA",Financial_Statements!H293/Financial_Statements!H$323)</f>
        <v>3.9294622551536935E-2</v>
      </c>
      <c r="F123" s="56">
        <f>IF(ISERROR(Financial_Statements!I293/Financial_Statements!I$323),"NA",Financial_Statements!I293/Financial_Statements!I$323)</f>
        <v>2.6910052335162346E-2</v>
      </c>
      <c r="G123" s="56">
        <f>IF(ISERROR(Financial_Statements!J293/Financial_Statements!J$323),"NA",Financial_Statements!J293/Financial_Statements!J$323)</f>
        <v>2.4180887530539635E-2</v>
      </c>
      <c r="H123" s="56">
        <f>IF(ISERROR(Financial_Statements!K293/Financial_Statements!K$323),"NA",Financial_Statements!K293/Financial_Statements!K$323)</f>
        <v>2.2387725689937604E-2</v>
      </c>
      <c r="I123" s="56">
        <f>IF(ISERROR(Financial_Statements!L293/Financial_Statements!L$323),"NA",Financial_Statements!L293/Financial_Statements!L$323)</f>
        <v>2.0541931964439444E-2</v>
      </c>
      <c r="J123" s="56">
        <f>IF(ISERROR(Financial_Statements!M293/Financial_Statements!M$323),"NA",Financial_Statements!M293/Financial_Statements!M$323)</f>
        <v>2.1846264548139597E-2</v>
      </c>
      <c r="K123" s="56">
        <f>IF(ISERROR(Financial_Statements!N293/Financial_Statements!N$323),"NA",Financial_Statements!N293/Financial_Statements!N$323)</f>
        <v>1.1527509035814685E-2</v>
      </c>
      <c r="L123" s="56">
        <f>IF(ISERROR(Financial_Statements!O293/Financial_Statements!O$323),"NA",Financial_Statements!O293/Financial_Statements!O$323)</f>
        <v>1.7281279871207929E-2</v>
      </c>
      <c r="M123" s="56">
        <f>IF(ISERROR(Financial_Statements!P293/Financial_Statements!P$323),"NA",Financial_Statements!P293/Financial_Statements!P$323)</f>
        <v>1.3207106124357179E-2</v>
      </c>
      <c r="N123" s="56">
        <f>IF(ISERROR(Financial_Statements!Q293/Financial_Statements!Q$323),"NA",Financial_Statements!Q293/Financial_Statements!Q$323)</f>
        <v>1.1573940498075131E-2</v>
      </c>
    </row>
    <row r="124" spans="2:15" ht="12.75" customHeight="1" x14ac:dyDescent="0.2">
      <c r="B124" s="14" t="s">
        <v>570</v>
      </c>
      <c r="C124" s="57">
        <f>IF(ISERROR(Financial_Statements!F294/Financial_Statements!F$323),"NA",Financial_Statements!F294/Financial_Statements!F$323)</f>
        <v>0.32925400088374862</v>
      </c>
      <c r="D124" s="57">
        <f>IF(ISERROR(Financial_Statements!G294/Financial_Statements!G$323),"NA",Financial_Statements!G294/Financial_Statements!G$323)</f>
        <v>0.32982919676570072</v>
      </c>
      <c r="E124" s="57">
        <f>IF(ISERROR(Financial_Statements!H294/Financial_Statements!H$323),"NA",Financial_Statements!H294/Financial_Statements!H$323)</f>
        <v>0.35115728853348982</v>
      </c>
      <c r="F124" s="57">
        <f>IF(ISERROR(Financial_Statements!I294/Financial_Statements!I$323),"NA",Financial_Statements!I294/Financial_Statements!I$323)</f>
        <v>0.36088625703989424</v>
      </c>
      <c r="G124" s="57">
        <f>IF(ISERROR(Financial_Statements!J294/Financial_Statements!J$323),"NA",Financial_Statements!J294/Financial_Statements!J$323)</f>
        <v>0.33741767072003864</v>
      </c>
      <c r="H124" s="57">
        <f>IF(ISERROR(Financial_Statements!K294/Financial_Statements!K$323),"NA",Financial_Statements!K294/Financial_Statements!K$323)</f>
        <v>0.34012156150134715</v>
      </c>
      <c r="I124" s="57">
        <f>IF(ISERROR(Financial_Statements!L294/Financial_Statements!L$323),"NA",Financial_Statements!L294/Financial_Statements!L$323)</f>
        <v>0.39790830286138029</v>
      </c>
      <c r="J124" s="57">
        <f>IF(ISERROR(Financial_Statements!M294/Financial_Statements!M$323),"NA",Financial_Statements!M294/Financial_Statements!M$323)</f>
        <v>0.36419086824468483</v>
      </c>
      <c r="K124" s="57">
        <f>IF(ISERROR(Financial_Statements!N294/Financial_Statements!N$323),"NA",Financial_Statements!N294/Financial_Statements!N$323)</f>
        <v>0.31456500310320912</v>
      </c>
      <c r="L124" s="57">
        <f>IF(ISERROR(Financial_Statements!O294/Financial_Statements!O$323),"NA",Financial_Statements!O294/Financial_Statements!O$323)</f>
        <v>0.28379534134929818</v>
      </c>
      <c r="M124" s="57">
        <f>IF(ISERROR(Financial_Statements!P294/Financial_Statements!P$323),"NA",Financial_Statements!P294/Financial_Statements!P$323)</f>
        <v>0.29660889601282309</v>
      </c>
      <c r="N124" s="57">
        <f>IF(ISERROR(Financial_Statements!Q294/Financial_Statements!Q$323),"NA",Financial_Statements!Q294/Financial_Statements!Q$323)</f>
        <v>0.29042841715647078</v>
      </c>
      <c r="O124" s="59"/>
    </row>
    <row r="125" spans="2:15" ht="12.75" customHeight="1" x14ac:dyDescent="0.2">
      <c r="B125" s="11"/>
      <c r="C125" s="56"/>
      <c r="D125" s="56"/>
      <c r="E125" s="56"/>
      <c r="F125" s="56"/>
      <c r="G125" s="56"/>
      <c r="H125" s="56"/>
      <c r="I125" s="56"/>
      <c r="J125" s="56"/>
      <c r="K125" s="56"/>
      <c r="L125" s="56"/>
      <c r="M125" s="56"/>
      <c r="N125" s="56"/>
    </row>
    <row r="126" spans="2:15" ht="12.75" customHeight="1" x14ac:dyDescent="0.2">
      <c r="B126" s="5" t="s">
        <v>569</v>
      </c>
      <c r="C126" s="56">
        <f>IF(ISERROR(Financial_Statements!F296/Financial_Statements!F$323),"NA",Financial_Statements!F296/Financial_Statements!F$323)</f>
        <v>0.25280013832587273</v>
      </c>
      <c r="D126" s="56">
        <f>IF(ISERROR(Financial_Statements!G296/Financial_Statements!G$323),"NA",Financial_Statements!G296/Financial_Statements!G$323)</f>
        <v>0.25594250967385296</v>
      </c>
      <c r="E126" s="56">
        <f>IF(ISERROR(Financial_Statements!H296/Financial_Statements!H$323),"NA",Financial_Statements!H296/Financial_Statements!H$323)</f>
        <v>0.25056855696573982</v>
      </c>
      <c r="F126" s="56">
        <f>IF(ISERROR(Financial_Statements!I296/Financial_Statements!I$323),"NA",Financial_Statements!I296/Financial_Statements!I$323)</f>
        <v>0.24734249651400736</v>
      </c>
      <c r="G126" s="56">
        <f>IF(ISERROR(Financial_Statements!J296/Financial_Statements!J$323),"NA",Financial_Statements!J296/Financial_Statements!J$323)</f>
        <v>0.25383893652400902</v>
      </c>
      <c r="H126" s="56">
        <f>IF(ISERROR(Financial_Statements!K296/Financial_Statements!K$323),"NA",Financial_Statements!K296/Financial_Statements!K$323)</f>
        <v>0.24466266235800668</v>
      </c>
      <c r="I126" s="56">
        <f>IF(ISERROR(Financial_Statements!L296/Financial_Statements!L$323),"NA",Financial_Statements!L296/Financial_Statements!L$323)</f>
        <v>0.19894136599585752</v>
      </c>
      <c r="J126" s="56">
        <f>IF(ISERROR(Financial_Statements!M296/Financial_Statements!M$323),"NA",Financial_Statements!M296/Financial_Statements!M$323)</f>
        <v>0.25285105884518516</v>
      </c>
      <c r="K126" s="56">
        <f>IF(ISERROR(Financial_Statements!N296/Financial_Statements!N$323),"NA",Financial_Statements!N296/Financial_Statements!N$323)</f>
        <v>0.27590266875981162</v>
      </c>
      <c r="L126" s="56">
        <f>IF(ISERROR(Financial_Statements!O296/Financial_Statements!O$323),"NA",Financial_Statements!O296/Financial_Statements!O$323)</f>
        <v>0.25352585064815281</v>
      </c>
      <c r="M126" s="56">
        <f>IF(ISERROR(Financial_Statements!P296/Financial_Statements!P$323),"NA",Financial_Statements!P296/Financial_Statements!P$323)</f>
        <v>0.25250450811460629</v>
      </c>
      <c r="N126" s="56">
        <f>IF(ISERROR(Financial_Statements!Q296/Financial_Statements!Q$323),"NA",Financial_Statements!Q296/Financial_Statements!Q$323)</f>
        <v>0.24943325611877304</v>
      </c>
      <c r="O126" s="59"/>
    </row>
    <row r="127" spans="2:15" ht="12.75" customHeight="1" x14ac:dyDescent="0.2">
      <c r="B127" s="5" t="s">
        <v>568</v>
      </c>
      <c r="C127" s="56">
        <f>IF(ISERROR(Financial_Statements!F297/Financial_Statements!F$323),"NA",Financial_Statements!F297/Financial_Statements!F$323)</f>
        <v>1.3880617087087663E-2</v>
      </c>
      <c r="D127" s="56">
        <f>IF(ISERROR(Financial_Statements!G297/Financial_Statements!G$323),"NA",Financial_Statements!G297/Financial_Statements!G$323)</f>
        <v>1.3117088755844131E-2</v>
      </c>
      <c r="E127" s="56">
        <f>IF(ISERROR(Financial_Statements!H297/Financial_Statements!H$323),"NA",Financial_Statements!H297/Financial_Statements!H$323)</f>
        <v>1.2755850634582934E-2</v>
      </c>
      <c r="F127" s="56">
        <f>IF(ISERROR(Financial_Statements!I297/Financial_Statements!I$323),"NA",Financial_Statements!I297/Financial_Statements!I$323)</f>
        <v>1.2006301950344977E-2</v>
      </c>
      <c r="G127" s="56">
        <f>IF(ISERROR(Financial_Statements!J297/Financial_Statements!J$323),"NA",Financial_Statements!J297/Financial_Statements!J$323)</f>
        <v>1.1844268767359981E-2</v>
      </c>
      <c r="H127" s="56">
        <f>IF(ISERROR(Financial_Statements!K297/Financial_Statements!K$323),"NA",Financial_Statements!K297/Financial_Statements!K$323)</f>
        <v>1.1511641438328573E-2</v>
      </c>
      <c r="I127" s="56">
        <f>IF(ISERROR(Financial_Statements!L297/Financial_Statements!L$323),"NA",Financial_Statements!L297/Financial_Statements!L$323)</f>
        <v>1.1114804681173873E-2</v>
      </c>
      <c r="J127" s="56">
        <f>IF(ISERROR(Financial_Statements!M297/Financial_Statements!M$323),"NA",Financial_Statements!M297/Financial_Statements!M$323)</f>
        <v>1.0575901336211585E-2</v>
      </c>
      <c r="K127" s="56">
        <f>IF(ISERROR(Financial_Statements!N297/Financial_Statements!N$323),"NA",Financial_Statements!N297/Financial_Statements!N$323)</f>
        <v>1.132671315395568E-2</v>
      </c>
      <c r="L127" s="56">
        <f>IF(ISERROR(Financial_Statements!O297/Financial_Statements!O$323),"NA",Financial_Statements!O297/Financial_Statements!O$323)</f>
        <v>1.0330197380557092E-2</v>
      </c>
      <c r="M127" s="56">
        <f>IF(ISERROR(Financial_Statements!P297/Financial_Statements!P$323),"NA",Financial_Statements!P297/Financial_Statements!P$323)</f>
        <v>1.0093167701863354E-2</v>
      </c>
      <c r="N127" s="56">
        <f>IF(ISERROR(Financial_Statements!Q297/Financial_Statements!Q$323),"NA",Financial_Statements!Q297/Financial_Statements!Q$323)</f>
        <v>9.5542713940662948E-3</v>
      </c>
    </row>
    <row r="128" spans="2:15" ht="12.75" customHeight="1" x14ac:dyDescent="0.2">
      <c r="B128" s="5" t="s">
        <v>567</v>
      </c>
      <c r="C128" s="56" t="str">
        <f>IF(ISERROR(Financial_Statements!F298/Financial_Statements!F$323),"NA",Financial_Statements!F298/Financial_Statements!F$323)</f>
        <v>NA</v>
      </c>
      <c r="D128" s="56" t="str">
        <f>IF(ISERROR(Financial_Statements!G298/Financial_Statements!G$323),"NA",Financial_Statements!G298/Financial_Statements!G$323)</f>
        <v>NA</v>
      </c>
      <c r="E128" s="56" t="str">
        <f>IF(ISERROR(Financial_Statements!H298/Financial_Statements!H$323),"NA",Financial_Statements!H298/Financial_Statements!H$323)</f>
        <v>NA</v>
      </c>
      <c r="F128" s="56" t="str">
        <f>IF(ISERROR(Financial_Statements!I298/Financial_Statements!I$323),"NA",Financial_Statements!I298/Financial_Statements!I$323)</f>
        <v>NA</v>
      </c>
      <c r="G128" s="56" t="str">
        <f>IF(ISERROR(Financial_Statements!J298/Financial_Statements!J$323),"NA",Financial_Statements!J298/Financial_Statements!J$323)</f>
        <v>NA</v>
      </c>
      <c r="H128" s="56" t="str">
        <f>IF(ISERROR(Financial_Statements!K298/Financial_Statements!K$323),"NA",Financial_Statements!K298/Financial_Statements!K$323)</f>
        <v>NA</v>
      </c>
      <c r="I128" s="56" t="str">
        <f>IF(ISERROR(Financial_Statements!L298/Financial_Statements!L$323),"NA",Financial_Statements!L298/Financial_Statements!L$323)</f>
        <v>NA</v>
      </c>
      <c r="J128" s="56" t="str">
        <f>IF(ISERROR(Financial_Statements!M298/Financial_Statements!M$323),"NA",Financial_Statements!M298/Financial_Statements!M$323)</f>
        <v>NA</v>
      </c>
      <c r="K128" s="56" t="str">
        <f>IF(ISERROR(Financial_Statements!N298/Financial_Statements!N$323),"NA",Financial_Statements!N298/Financial_Statements!N$323)</f>
        <v>NA</v>
      </c>
      <c r="L128" s="56" t="str">
        <f>IF(ISERROR(Financial_Statements!O298/Financial_Statements!O$323),"NA",Financial_Statements!O298/Financial_Statements!O$323)</f>
        <v>NA</v>
      </c>
      <c r="M128" s="56" t="str">
        <f>IF(ISERROR(Financial_Statements!P298/Financial_Statements!P$323),"NA",Financial_Statements!P298/Financial_Statements!P$323)</f>
        <v>NA</v>
      </c>
      <c r="N128" s="56" t="str">
        <f>IF(ISERROR(Financial_Statements!Q298/Financial_Statements!Q$323),"NA",Financial_Statements!Q298/Financial_Statements!Q$323)</f>
        <v>NA</v>
      </c>
    </row>
    <row r="129" spans="2:15" ht="12.75" customHeight="1" x14ac:dyDescent="0.2">
      <c r="B129" s="5" t="s">
        <v>566</v>
      </c>
      <c r="C129" s="56" t="str">
        <f>IF(ISERROR(Financial_Statements!F299/Financial_Statements!F$323),"NA",Financial_Statements!F299/Financial_Statements!F$323)</f>
        <v>NA</v>
      </c>
      <c r="D129" s="56" t="str">
        <f>IF(ISERROR(Financial_Statements!G299/Financial_Statements!G$323),"NA",Financial_Statements!G299/Financial_Statements!G$323)</f>
        <v>NA</v>
      </c>
      <c r="E129" s="56" t="str">
        <f>IF(ISERROR(Financial_Statements!H299/Financial_Statements!H$323),"NA",Financial_Statements!H299/Financial_Statements!H$323)</f>
        <v>NA</v>
      </c>
      <c r="F129" s="56" t="str">
        <f>IF(ISERROR(Financial_Statements!I299/Financial_Statements!I$323),"NA",Financial_Statements!I299/Financial_Statements!I$323)</f>
        <v>NA</v>
      </c>
      <c r="G129" s="56" t="str">
        <f>IF(ISERROR(Financial_Statements!J299/Financial_Statements!J$323),"NA",Financial_Statements!J299/Financial_Statements!J$323)</f>
        <v>NA</v>
      </c>
      <c r="H129" s="56" t="str">
        <f>IF(ISERROR(Financial_Statements!K299/Financial_Statements!K$323),"NA",Financial_Statements!K299/Financial_Statements!K$323)</f>
        <v>NA</v>
      </c>
      <c r="I129" s="56" t="str">
        <f>IF(ISERROR(Financial_Statements!L299/Financial_Statements!L$323),"NA",Financial_Statements!L299/Financial_Statements!L$323)</f>
        <v>NA</v>
      </c>
      <c r="J129" s="56" t="str">
        <f>IF(ISERROR(Financial_Statements!M299/Financial_Statements!M$323),"NA",Financial_Statements!M299/Financial_Statements!M$323)</f>
        <v>NA</v>
      </c>
      <c r="K129" s="56" t="str">
        <f>IF(ISERROR(Financial_Statements!N299/Financial_Statements!N$323),"NA",Financial_Statements!N299/Financial_Statements!N$323)</f>
        <v>NA</v>
      </c>
      <c r="L129" s="56" t="str">
        <f>IF(ISERROR(Financial_Statements!O299/Financial_Statements!O$323),"NA",Financial_Statements!O299/Financial_Statements!O$323)</f>
        <v>NA</v>
      </c>
      <c r="M129" s="56" t="str">
        <f>IF(ISERROR(Financial_Statements!P299/Financial_Statements!P$323),"NA",Financial_Statements!P299/Financial_Statements!P$323)</f>
        <v>NA</v>
      </c>
      <c r="N129" s="56" t="str">
        <f>IF(ISERROR(Financial_Statements!Q299/Financial_Statements!Q$323),"NA",Financial_Statements!Q299/Financial_Statements!Q$323)</f>
        <v>NA</v>
      </c>
    </row>
    <row r="130" spans="2:15" ht="12.75" customHeight="1" x14ac:dyDescent="0.2">
      <c r="B130" s="5" t="s">
        <v>565</v>
      </c>
      <c r="C130" s="56" t="str">
        <f>IF(ISERROR(Financial_Statements!F300/Financial_Statements!F$323),"NA",Financial_Statements!F300/Financial_Statements!F$323)</f>
        <v>NA</v>
      </c>
      <c r="D130" s="56" t="str">
        <f>IF(ISERROR(Financial_Statements!G300/Financial_Statements!G$323),"NA",Financial_Statements!G300/Financial_Statements!G$323)</f>
        <v>NA</v>
      </c>
      <c r="E130" s="56" t="str">
        <f>IF(ISERROR(Financial_Statements!H300/Financial_Statements!H$323),"NA",Financial_Statements!H300/Financial_Statements!H$323)</f>
        <v>NA</v>
      </c>
      <c r="F130" s="56" t="str">
        <f>IF(ISERROR(Financial_Statements!I300/Financial_Statements!I$323),"NA",Financial_Statements!I300/Financial_Statements!I$323)</f>
        <v>NA</v>
      </c>
      <c r="G130" s="56" t="str">
        <f>IF(ISERROR(Financial_Statements!J300/Financial_Statements!J$323),"NA",Financial_Statements!J300/Financial_Statements!J$323)</f>
        <v>NA</v>
      </c>
      <c r="H130" s="56" t="str">
        <f>IF(ISERROR(Financial_Statements!K300/Financial_Statements!K$323),"NA",Financial_Statements!K300/Financial_Statements!K$323)</f>
        <v>NA</v>
      </c>
      <c r="I130" s="56" t="str">
        <f>IF(ISERROR(Financial_Statements!L300/Financial_Statements!L$323),"NA",Financial_Statements!L300/Financial_Statements!L$323)</f>
        <v>NA</v>
      </c>
      <c r="J130" s="56" t="str">
        <f>IF(ISERROR(Financial_Statements!M300/Financial_Statements!M$323),"NA",Financial_Statements!M300/Financial_Statements!M$323)</f>
        <v>NA</v>
      </c>
      <c r="K130" s="56" t="str">
        <f>IF(ISERROR(Financial_Statements!N300/Financial_Statements!N$323),"NA",Financial_Statements!N300/Financial_Statements!N$323)</f>
        <v>NA</v>
      </c>
      <c r="L130" s="56" t="str">
        <f>IF(ISERROR(Financial_Statements!O300/Financial_Statements!O$323),"NA",Financial_Statements!O300/Financial_Statements!O$323)</f>
        <v>NA</v>
      </c>
      <c r="M130" s="56" t="str">
        <f>IF(ISERROR(Financial_Statements!P300/Financial_Statements!P$323),"NA",Financial_Statements!P300/Financial_Statements!P$323)</f>
        <v>NA</v>
      </c>
      <c r="N130" s="56" t="str">
        <f>IF(ISERROR(Financial_Statements!Q300/Financial_Statements!Q$323),"NA",Financial_Statements!Q300/Financial_Statements!Q$323)</f>
        <v>NA</v>
      </c>
    </row>
    <row r="131" spans="2:15" ht="12.75" customHeight="1" x14ac:dyDescent="0.2">
      <c r="B131" s="5" t="s">
        <v>564</v>
      </c>
      <c r="C131" s="56">
        <f>IF(ISERROR(Financial_Statements!F301/Financial_Statements!F$323),"NA",Financial_Statements!F301/Financial_Statements!F$323)</f>
        <v>4.245835814873874E-3</v>
      </c>
      <c r="D131" s="56">
        <f>IF(ISERROR(Financial_Statements!G301/Financial_Statements!G$323),"NA",Financial_Statements!G301/Financial_Statements!G$323)</f>
        <v>3.9163879285306052E-3</v>
      </c>
      <c r="E131" s="56">
        <f>IF(ISERROR(Financial_Statements!H301/Financial_Statements!H$323),"NA",Financial_Statements!H301/Financial_Statements!H$323)</f>
        <v>3.6864500036681092E-3</v>
      </c>
      <c r="F131" s="56">
        <f>IF(ISERROR(Financial_Statements!I301/Financial_Statements!I$323),"NA",Financial_Statements!I301/Financial_Statements!I$323)</f>
        <v>3.5765379113018594E-3</v>
      </c>
      <c r="G131" s="56">
        <f>IF(ISERROR(Financial_Statements!J301/Financial_Statements!J$323),"NA",Financial_Statements!J301/Financial_Statements!J$323)</f>
        <v>3.604373554302489E-3</v>
      </c>
      <c r="H131" s="56">
        <f>IF(ISERROR(Financial_Statements!K301/Financial_Statements!K$323),"NA",Financial_Statements!K301/Financial_Statements!K$323)</f>
        <v>2.8286770563855593E-3</v>
      </c>
      <c r="I131" s="56">
        <f>IF(ISERROR(Financial_Statements!L301/Financial_Statements!L$323),"NA",Financial_Statements!L301/Financial_Statements!L$323)</f>
        <v>2.531516096862454E-3</v>
      </c>
      <c r="J131" s="56">
        <f>IF(ISERROR(Financial_Statements!M301/Financial_Statements!M$323),"NA",Financial_Statements!M301/Financial_Statements!M$323)</f>
        <v>2.4850021335876904E-3</v>
      </c>
      <c r="K131" s="56">
        <f>IF(ISERROR(Financial_Statements!N301/Financial_Statements!N$323),"NA",Financial_Statements!N301/Financial_Statements!N$323)</f>
        <v>2.7016173195575192E-3</v>
      </c>
      <c r="L131" s="56">
        <f>IF(ISERROR(Financial_Statements!O301/Financial_Statements!O$323),"NA",Financial_Statements!O301/Financial_Statements!O$323)</f>
        <v>2.0459157149804634E-3</v>
      </c>
      <c r="M131" s="56">
        <f>IF(ISERROR(Financial_Statements!P301/Financial_Statements!P$323),"NA",Financial_Statements!P301/Financial_Statements!P$323)</f>
        <v>2.0286515728310962E-3</v>
      </c>
      <c r="N131" s="56">
        <f>IF(ISERROR(Financial_Statements!Q301/Financial_Statements!Q$323),"NA",Financial_Statements!Q301/Financial_Statements!Q$323)</f>
        <v>1.9372336303758232E-3</v>
      </c>
    </row>
    <row r="132" spans="2:15" ht="12.75" customHeight="1" x14ac:dyDescent="0.2">
      <c r="B132" s="5" t="s">
        <v>563</v>
      </c>
      <c r="C132" s="56">
        <f>IF(ISERROR(Financial_Statements!F302/Financial_Statements!F$323),"NA",Financial_Statements!F302/Financial_Statements!F$323)</f>
        <v>3.3169391558279381E-2</v>
      </c>
      <c r="D132" s="56">
        <f>IF(ISERROR(Financial_Statements!G302/Financial_Statements!G$323),"NA",Financial_Statements!G302/Financial_Statements!G$323)</f>
        <v>3.2080651357150221E-2</v>
      </c>
      <c r="E132" s="56">
        <f>IF(ISERROR(Financial_Statements!H302/Financial_Statements!H$323),"NA",Financial_Statements!H302/Financial_Statements!H$323)</f>
        <v>3.1105568190154791E-2</v>
      </c>
      <c r="F132" s="56">
        <f>IF(ISERROR(Financial_Statements!I302/Financial_Statements!I$323),"NA",Financial_Statements!I302/Financial_Statements!I$323)</f>
        <v>3.0242118034805598E-2</v>
      </c>
      <c r="G132" s="56">
        <f>IF(ISERROR(Financial_Statements!J302/Financial_Statements!J$323),"NA",Financial_Statements!J302/Financial_Statements!J$323)</f>
        <v>3.2671602552788274E-2</v>
      </c>
      <c r="H132" s="56">
        <f>IF(ISERROR(Financial_Statements!K302/Financial_Statements!K$323),"NA",Financial_Statements!K302/Financial_Statements!K$323)</f>
        <v>2.8779103595821434E-2</v>
      </c>
      <c r="I132" s="56">
        <f>IF(ISERROR(Financial_Statements!L302/Financial_Statements!L$323),"NA",Financial_Statements!L302/Financial_Statements!L$323)</f>
        <v>2.76165392384995E-2</v>
      </c>
      <c r="J132" s="56">
        <f>IF(ISERROR(Financial_Statements!M302/Financial_Statements!M$323),"NA",Financial_Statements!M302/Financial_Statements!M$323)</f>
        <v>2.7125848205694584E-2</v>
      </c>
      <c r="K132" s="56">
        <f>IF(ISERROR(Financial_Statements!N302/Financial_Statements!N$323),"NA",Financial_Statements!N302/Financial_Statements!N$323)</f>
        <v>2.9307071665875657E-2</v>
      </c>
      <c r="L132" s="56">
        <f>IF(ISERROR(Financial_Statements!O302/Financial_Statements!O$323),"NA",Financial_Statements!O302/Financial_Statements!O$323)</f>
        <v>1.3256527645016853E-2</v>
      </c>
      <c r="M132" s="56">
        <f>IF(ISERROR(Financial_Statements!P302/Financial_Statements!P$323),"NA",Financial_Statements!P302/Financial_Statements!P$323)</f>
        <v>1.2656114339143792E-2</v>
      </c>
      <c r="N132" s="56">
        <f>IF(ISERROR(Financial_Statements!Q302/Financial_Statements!Q$323),"NA",Financial_Statements!Q302/Financial_Statements!Q$323)</f>
        <v>9.059658552268212E-3</v>
      </c>
    </row>
    <row r="133" spans="2:15" ht="12.75" customHeight="1" x14ac:dyDescent="0.2">
      <c r="B133" s="5" t="s">
        <v>562</v>
      </c>
      <c r="C133" s="56">
        <f>IF(ISERROR(Financial_Statements!F303/Financial_Statements!F$323),"NA",Financial_Statements!F303/Financial_Statements!F$323)</f>
        <v>7.299571574033159E-2</v>
      </c>
      <c r="D133" s="56">
        <f>IF(ISERROR(Financial_Statements!G303/Financial_Statements!G$323),"NA",Financial_Statements!G303/Financial_Statements!G$323)</f>
        <v>7.056993750644143E-2</v>
      </c>
      <c r="E133" s="56">
        <f>IF(ISERROR(Financial_Statements!H303/Financial_Statements!H$323),"NA",Financial_Statements!H303/Financial_Statements!H$323)</f>
        <v>6.8080111510527466E-2</v>
      </c>
      <c r="F133" s="56">
        <f>IF(ISERROR(Financial_Statements!I303/Financial_Statements!I$323),"NA",Financial_Statements!I303/Financial_Statements!I$323)</f>
        <v>6.2784085764473654E-2</v>
      </c>
      <c r="G133" s="56">
        <f>IF(ISERROR(Financial_Statements!J303/Financial_Statements!J$323),"NA",Financial_Statements!J303/Financial_Statements!J$323)</f>
        <v>6.3020799464917732E-2</v>
      </c>
      <c r="H133" s="56">
        <f>IF(ISERROR(Financial_Statements!K303/Financial_Statements!K$323),"NA",Financial_Statements!K303/Financial_Statements!K$323)</f>
        <v>6.766446161145076E-2</v>
      </c>
      <c r="I133" s="56">
        <f>IF(ISERROR(Financial_Statements!L303/Financial_Statements!L$323),"NA",Financial_Statements!L303/Financial_Statements!L$323)</f>
        <v>6.4029457641854401E-2</v>
      </c>
      <c r="J133" s="56">
        <f>IF(ISERROR(Financial_Statements!M303/Financial_Statements!M$323),"NA",Financial_Statements!M303/Financial_Statements!M$323)</f>
        <v>6.0183906891906593E-2</v>
      </c>
      <c r="K133" s="56">
        <f>IF(ISERROR(Financial_Statements!N303/Financial_Statements!N$323),"NA",Financial_Statements!N303/Financial_Statements!N$323)</f>
        <v>6.3679675805921654E-2</v>
      </c>
      <c r="L133" s="56">
        <f>IF(ISERROR(Financial_Statements!O303/Financial_Statements!O$323),"NA",Financial_Statements!O303/Financial_Statements!O$323)</f>
        <v>6.530998977042142E-2</v>
      </c>
      <c r="M133" s="56">
        <f>IF(ISERROR(Financial_Statements!P303/Financial_Statements!P$323),"NA",Financial_Statements!P303/Financial_Statements!P$323)</f>
        <v>6.4382555266145738E-2</v>
      </c>
      <c r="N133" s="56">
        <f>IF(ISERROR(Financial_Statements!Q303/Financial_Statements!Q$323),"NA",Financial_Statements!Q303/Financial_Statements!Q$323)</f>
        <v>6.1974989077299744E-2</v>
      </c>
    </row>
    <row r="134" spans="2:15" ht="12.75" customHeight="1" thickBot="1" x14ac:dyDescent="0.25">
      <c r="B134" s="26" t="s">
        <v>561</v>
      </c>
      <c r="C134" s="62">
        <f>IF(ISERROR(Financial_Statements!F304/Financial_Statements!F$323),"NA",Financial_Statements!F304/Financial_Statements!F$323)</f>
        <v>0.70634569941019376</v>
      </c>
      <c r="D134" s="62">
        <f>IF(ISERROR(Financial_Statements!G304/Financial_Statements!G$323),"NA",Financial_Statements!G304/Financial_Statements!G$323)</f>
        <v>0.70545577198752019</v>
      </c>
      <c r="E134" s="62">
        <f>IF(ISERROR(Financial_Statements!H304/Financial_Statements!H$323),"NA",Financial_Statements!H304/Financial_Statements!H$323)</f>
        <v>0.71735382583816298</v>
      </c>
      <c r="F134" s="62">
        <f>IF(ISERROR(Financial_Statements!I304/Financial_Statements!I$323),"NA",Financial_Statements!I304/Financial_Statements!I$323)</f>
        <v>0.71683779721482777</v>
      </c>
      <c r="G134" s="62">
        <f>IF(ISERROR(Financial_Statements!J304/Financial_Statements!J$323),"NA",Financial_Statements!J304/Financial_Statements!J$323)</f>
        <v>0.70239765158341616</v>
      </c>
      <c r="H134" s="62">
        <f>IF(ISERROR(Financial_Statements!K304/Financial_Statements!K$323),"NA",Financial_Statements!K304/Financial_Statements!K$323)</f>
        <v>0.69556810756134024</v>
      </c>
      <c r="I134" s="62">
        <f>IF(ISERROR(Financial_Statements!L304/Financial_Statements!L$323),"NA",Financial_Statements!L304/Financial_Statements!L$323)</f>
        <v>0.70214198651562809</v>
      </c>
      <c r="J134" s="62">
        <f>IF(ISERROR(Financial_Statements!M304/Financial_Statements!M$323),"NA",Financial_Statements!M304/Financial_Statements!M$323)</f>
        <v>0.7174125856572704</v>
      </c>
      <c r="K134" s="62">
        <f>IF(ISERROR(Financial_Statements!N304/Financial_Statements!N$323),"NA",Financial_Statements!N304/Financial_Statements!N$323)</f>
        <v>0.69748274980833136</v>
      </c>
      <c r="L134" s="62">
        <f>IF(ISERROR(Financial_Statements!O304/Financial_Statements!O$323),"NA",Financial_Statements!O304/Financial_Statements!O$323)</f>
        <v>0.62826382250842683</v>
      </c>
      <c r="M134" s="62">
        <f>IF(ISERROR(Financial_Statements!P304/Financial_Statements!P$323),"NA",Financial_Statements!P304/Financial_Statements!P$323)</f>
        <v>0.63827389300741333</v>
      </c>
      <c r="N134" s="62">
        <f>IF(ISERROR(Financial_Statements!Q304/Financial_Statements!Q$323),"NA",Financial_Statements!Q304/Financial_Statements!Q$323)</f>
        <v>0.62238782592925379</v>
      </c>
      <c r="O134" s="59"/>
    </row>
    <row r="135" spans="2:15" ht="12.75" customHeight="1" thickTop="1" x14ac:dyDescent="0.2">
      <c r="B135" s="26"/>
      <c r="C135" s="61"/>
      <c r="D135" s="61"/>
      <c r="E135" s="61"/>
      <c r="F135" s="61"/>
      <c r="G135" s="61"/>
      <c r="H135" s="61"/>
      <c r="I135" s="61"/>
      <c r="J135" s="61"/>
      <c r="K135" s="61"/>
      <c r="L135" s="61"/>
      <c r="M135" s="61"/>
      <c r="N135" s="61"/>
      <c r="O135" s="59"/>
    </row>
    <row r="136" spans="2:15" ht="12.75" customHeight="1" x14ac:dyDescent="0.2">
      <c r="B136" s="8" t="s">
        <v>560</v>
      </c>
      <c r="C136" s="56"/>
      <c r="D136" s="56"/>
      <c r="E136" s="56"/>
      <c r="F136" s="56"/>
      <c r="G136" s="56"/>
      <c r="H136" s="56"/>
      <c r="I136" s="56"/>
      <c r="J136" s="56"/>
      <c r="K136" s="56"/>
      <c r="L136" s="56"/>
      <c r="M136" s="56"/>
      <c r="N136" s="56"/>
    </row>
    <row r="137" spans="2:15" ht="12.75" customHeight="1" x14ac:dyDescent="0.2">
      <c r="B137" s="5" t="s">
        <v>559</v>
      </c>
      <c r="C137" s="56" t="str">
        <f>IF(ISERROR(Financial_Statements!F307/Financial_Statements!F$323),"NA",Financial_Statements!F307/Financial_Statements!F$323)</f>
        <v>NA</v>
      </c>
      <c r="D137" s="56" t="str">
        <f>IF(ISERROR(Financial_Statements!G307/Financial_Statements!G$323),"NA",Financial_Statements!G307/Financial_Statements!G$323)</f>
        <v>NA</v>
      </c>
      <c r="E137" s="56" t="str">
        <f>IF(ISERROR(Financial_Statements!H307/Financial_Statements!H$323),"NA",Financial_Statements!H307/Financial_Statements!H$323)</f>
        <v>NA</v>
      </c>
      <c r="F137" s="56" t="str">
        <f>IF(ISERROR(Financial_Statements!I307/Financial_Statements!I$323),"NA",Financial_Statements!I307/Financial_Statements!I$323)</f>
        <v>NA</v>
      </c>
      <c r="G137" s="56" t="str">
        <f>IF(ISERROR(Financial_Statements!J307/Financial_Statements!J$323),"NA",Financial_Statements!J307/Financial_Statements!J$323)</f>
        <v>NA</v>
      </c>
      <c r="H137" s="56" t="str">
        <f>IF(ISERROR(Financial_Statements!K307/Financial_Statements!K$323),"NA",Financial_Statements!K307/Financial_Statements!K$323)</f>
        <v>NA</v>
      </c>
      <c r="I137" s="56" t="str">
        <f>IF(ISERROR(Financial_Statements!L307/Financial_Statements!L$323),"NA",Financial_Statements!L307/Financial_Statements!L$323)</f>
        <v>NA</v>
      </c>
      <c r="J137" s="56" t="str">
        <f>IF(ISERROR(Financial_Statements!M307/Financial_Statements!M$323),"NA",Financial_Statements!M307/Financial_Statements!M$323)</f>
        <v>NA</v>
      </c>
      <c r="K137" s="56" t="str">
        <f>IF(ISERROR(Financial_Statements!N307/Financial_Statements!N$323),"NA",Financial_Statements!N307/Financial_Statements!N$323)</f>
        <v>NA</v>
      </c>
      <c r="L137" s="56" t="str">
        <f>IF(ISERROR(Financial_Statements!O307/Financial_Statements!O$323),"NA",Financial_Statements!O307/Financial_Statements!O$323)</f>
        <v>NA</v>
      </c>
      <c r="M137" s="56" t="str">
        <f>IF(ISERROR(Financial_Statements!P307/Financial_Statements!P$323),"NA",Financial_Statements!P307/Financial_Statements!P$323)</f>
        <v>NA</v>
      </c>
      <c r="N137" s="56" t="str">
        <f>IF(ISERROR(Financial_Statements!Q307/Financial_Statements!Q$323),"NA",Financial_Statements!Q307/Financial_Statements!Q$323)</f>
        <v>NA</v>
      </c>
      <c r="O137" s="59"/>
    </row>
    <row r="138" spans="2:15" ht="12.75" customHeight="1" x14ac:dyDescent="0.2">
      <c r="B138" s="5" t="s">
        <v>558</v>
      </c>
      <c r="C138" s="56" t="str">
        <f>IF(ISERROR(Financial_Statements!F308/Financial_Statements!F$323),"NA",Financial_Statements!F308/Financial_Statements!F$323)</f>
        <v>NA</v>
      </c>
      <c r="D138" s="56" t="str">
        <f>IF(ISERROR(Financial_Statements!G308/Financial_Statements!G$323),"NA",Financial_Statements!G308/Financial_Statements!G$323)</f>
        <v>NA</v>
      </c>
      <c r="E138" s="56" t="str">
        <f>IF(ISERROR(Financial_Statements!H308/Financial_Statements!H$323),"NA",Financial_Statements!H308/Financial_Statements!H$323)</f>
        <v>NA</v>
      </c>
      <c r="F138" s="56" t="str">
        <f>IF(ISERROR(Financial_Statements!I308/Financial_Statements!I$323),"NA",Financial_Statements!I308/Financial_Statements!I$323)</f>
        <v>NA</v>
      </c>
      <c r="G138" s="56" t="str">
        <f>IF(ISERROR(Financial_Statements!J308/Financial_Statements!J$323),"NA",Financial_Statements!J308/Financial_Statements!J$323)</f>
        <v>NA</v>
      </c>
      <c r="H138" s="56" t="str">
        <f>IF(ISERROR(Financial_Statements!K308/Financial_Statements!K$323),"NA",Financial_Statements!K308/Financial_Statements!K$323)</f>
        <v>NA</v>
      </c>
      <c r="I138" s="56" t="str">
        <f>IF(ISERROR(Financial_Statements!L308/Financial_Statements!L$323),"NA",Financial_Statements!L308/Financial_Statements!L$323)</f>
        <v>NA</v>
      </c>
      <c r="J138" s="56" t="str">
        <f>IF(ISERROR(Financial_Statements!M308/Financial_Statements!M$323),"NA",Financial_Statements!M308/Financial_Statements!M$323)</f>
        <v>NA</v>
      </c>
      <c r="K138" s="56" t="str">
        <f>IF(ISERROR(Financial_Statements!N308/Financial_Statements!N$323),"NA",Financial_Statements!N308/Financial_Statements!N$323)</f>
        <v>NA</v>
      </c>
      <c r="L138" s="56" t="str">
        <f>IF(ISERROR(Financial_Statements!O308/Financial_Statements!O$323),"NA",Financial_Statements!O308/Financial_Statements!O$323)</f>
        <v>NA</v>
      </c>
      <c r="M138" s="56" t="str">
        <f>IF(ISERROR(Financial_Statements!P308/Financial_Statements!P$323),"NA",Financial_Statements!P308/Financial_Statements!P$323)</f>
        <v>NA</v>
      </c>
      <c r="N138" s="56" t="str">
        <f>IF(ISERROR(Financial_Statements!Q308/Financial_Statements!Q$323),"NA",Financial_Statements!Q308/Financial_Statements!Q$323)</f>
        <v>NA</v>
      </c>
    </row>
    <row r="139" spans="2:15" ht="12.75" customHeight="1" x14ac:dyDescent="0.2">
      <c r="B139" s="5" t="s">
        <v>557</v>
      </c>
      <c r="C139" s="56" t="str">
        <f>IF(ISERROR(Financial_Statements!F309/Financial_Statements!F$323),"NA",Financial_Statements!F309/Financial_Statements!F$323)</f>
        <v>NA</v>
      </c>
      <c r="D139" s="56" t="str">
        <f>IF(ISERROR(Financial_Statements!G309/Financial_Statements!G$323),"NA",Financial_Statements!G309/Financial_Statements!G$323)</f>
        <v>NA</v>
      </c>
      <c r="E139" s="56" t="str">
        <f>IF(ISERROR(Financial_Statements!H309/Financial_Statements!H$323),"NA",Financial_Statements!H309/Financial_Statements!H$323)</f>
        <v>NA</v>
      </c>
      <c r="F139" s="56" t="str">
        <f>IF(ISERROR(Financial_Statements!I309/Financial_Statements!I$323),"NA",Financial_Statements!I309/Financial_Statements!I$323)</f>
        <v>NA</v>
      </c>
      <c r="G139" s="56" t="str">
        <f>IF(ISERROR(Financial_Statements!J309/Financial_Statements!J$323),"NA",Financial_Statements!J309/Financial_Statements!J$323)</f>
        <v>NA</v>
      </c>
      <c r="H139" s="56" t="str">
        <f>IF(ISERROR(Financial_Statements!K309/Financial_Statements!K$323),"NA",Financial_Statements!K309/Financial_Statements!K$323)</f>
        <v>NA</v>
      </c>
      <c r="I139" s="56" t="str">
        <f>IF(ISERROR(Financial_Statements!L309/Financial_Statements!L$323),"NA",Financial_Statements!L309/Financial_Statements!L$323)</f>
        <v>NA</v>
      </c>
      <c r="J139" s="56" t="str">
        <f>IF(ISERROR(Financial_Statements!M309/Financial_Statements!M$323),"NA",Financial_Statements!M309/Financial_Statements!M$323)</f>
        <v>NA</v>
      </c>
      <c r="K139" s="56" t="str">
        <f>IF(ISERROR(Financial_Statements!N309/Financial_Statements!N$323),"NA",Financial_Statements!N309/Financial_Statements!N$323)</f>
        <v>NA</v>
      </c>
      <c r="L139" s="56" t="str">
        <f>IF(ISERROR(Financial_Statements!O309/Financial_Statements!O$323),"NA",Financial_Statements!O309/Financial_Statements!O$323)</f>
        <v>NA</v>
      </c>
      <c r="M139" s="56" t="str">
        <f>IF(ISERROR(Financial_Statements!P309/Financial_Statements!P$323),"NA",Financial_Statements!P309/Financial_Statements!P$323)</f>
        <v>NA</v>
      </c>
      <c r="N139" s="56" t="str">
        <f>IF(ISERROR(Financial_Statements!Q309/Financial_Statements!Q$323),"NA",Financial_Statements!Q309/Financial_Statements!Q$323)</f>
        <v>NA</v>
      </c>
    </row>
    <row r="140" spans="2:15" ht="12.75" customHeight="1" x14ac:dyDescent="0.2">
      <c r="B140" s="5" t="s">
        <v>556</v>
      </c>
      <c r="C140" s="56" t="str">
        <f>IF(ISERROR(Financial_Statements!F310/Financial_Statements!F$323),"NA",Financial_Statements!F310/Financial_Statements!F$323)</f>
        <v>NA</v>
      </c>
      <c r="D140" s="56" t="str">
        <f>IF(ISERROR(Financial_Statements!G310/Financial_Statements!G$323),"NA",Financial_Statements!G310/Financial_Statements!G$323)</f>
        <v>NA</v>
      </c>
      <c r="E140" s="56" t="str">
        <f>IF(ISERROR(Financial_Statements!H310/Financial_Statements!H$323),"NA",Financial_Statements!H310/Financial_Statements!H$323)</f>
        <v>NA</v>
      </c>
      <c r="F140" s="56" t="str">
        <f>IF(ISERROR(Financial_Statements!I310/Financial_Statements!I$323),"NA",Financial_Statements!I310/Financial_Statements!I$323)</f>
        <v>NA</v>
      </c>
      <c r="G140" s="56" t="str">
        <f>IF(ISERROR(Financial_Statements!J310/Financial_Statements!J$323),"NA",Financial_Statements!J310/Financial_Statements!J$323)</f>
        <v>NA</v>
      </c>
      <c r="H140" s="56" t="str">
        <f>IF(ISERROR(Financial_Statements!K310/Financial_Statements!K$323),"NA",Financial_Statements!K310/Financial_Statements!K$323)</f>
        <v>NA</v>
      </c>
      <c r="I140" s="56" t="str">
        <f>IF(ISERROR(Financial_Statements!L310/Financial_Statements!L$323),"NA",Financial_Statements!L310/Financial_Statements!L$323)</f>
        <v>NA</v>
      </c>
      <c r="J140" s="56" t="str">
        <f>IF(ISERROR(Financial_Statements!M310/Financial_Statements!M$323),"NA",Financial_Statements!M310/Financial_Statements!M$323)</f>
        <v>NA</v>
      </c>
      <c r="K140" s="56" t="str">
        <f>IF(ISERROR(Financial_Statements!N310/Financial_Statements!N$323),"NA",Financial_Statements!N310/Financial_Statements!N$323)</f>
        <v>NA</v>
      </c>
      <c r="L140" s="56" t="str">
        <f>IF(ISERROR(Financial_Statements!O310/Financial_Statements!O$323),"NA",Financial_Statements!O310/Financial_Statements!O$323)</f>
        <v>NA</v>
      </c>
      <c r="M140" s="56" t="str">
        <f>IF(ISERROR(Financial_Statements!P310/Financial_Statements!P$323),"NA",Financial_Statements!P310/Financial_Statements!P$323)</f>
        <v>NA</v>
      </c>
      <c r="N140" s="56" t="str">
        <f>IF(ISERROR(Financial_Statements!Q310/Financial_Statements!Q$323),"NA",Financial_Statements!Q310/Financial_Statements!Q$323)</f>
        <v>NA</v>
      </c>
    </row>
    <row r="141" spans="2:15" ht="12.75" customHeight="1" x14ac:dyDescent="0.2">
      <c r="B141" s="20" t="s">
        <v>555</v>
      </c>
      <c r="C141" s="63" t="str">
        <f>IF(ISERROR(Financial_Statements!F311/Financial_Statements!F$323),"NA",Financial_Statements!F311/Financial_Statements!F$323)</f>
        <v>NA</v>
      </c>
      <c r="D141" s="63" t="str">
        <f>IF(ISERROR(Financial_Statements!G311/Financial_Statements!G$323),"NA",Financial_Statements!G311/Financial_Statements!G$323)</f>
        <v>NA</v>
      </c>
      <c r="E141" s="63" t="str">
        <f>IF(ISERROR(Financial_Statements!H311/Financial_Statements!H$323),"NA",Financial_Statements!H311/Financial_Statements!H$323)</f>
        <v>NA</v>
      </c>
      <c r="F141" s="63" t="str">
        <f>IF(ISERROR(Financial_Statements!I311/Financial_Statements!I$323),"NA",Financial_Statements!I311/Financial_Statements!I$323)</f>
        <v>NA</v>
      </c>
      <c r="G141" s="63" t="str">
        <f>IF(ISERROR(Financial_Statements!J311/Financial_Statements!J$323),"NA",Financial_Statements!J311/Financial_Statements!J$323)</f>
        <v>NA</v>
      </c>
      <c r="H141" s="63" t="str">
        <f>IF(ISERROR(Financial_Statements!K311/Financial_Statements!K$323),"NA",Financial_Statements!K311/Financial_Statements!K$323)</f>
        <v>NA</v>
      </c>
      <c r="I141" s="63" t="str">
        <f>IF(ISERROR(Financial_Statements!L311/Financial_Statements!L$323),"NA",Financial_Statements!L311/Financial_Statements!L$323)</f>
        <v>NA</v>
      </c>
      <c r="J141" s="63" t="str">
        <f>IF(ISERROR(Financial_Statements!M311/Financial_Statements!M$323),"NA",Financial_Statements!M311/Financial_Statements!M$323)</f>
        <v>NA</v>
      </c>
      <c r="K141" s="63" t="str">
        <f>IF(ISERROR(Financial_Statements!N311/Financial_Statements!N$323),"NA",Financial_Statements!N311/Financial_Statements!N$323)</f>
        <v>NA</v>
      </c>
      <c r="L141" s="63" t="str">
        <f>IF(ISERROR(Financial_Statements!O311/Financial_Statements!O$323),"NA",Financial_Statements!O311/Financial_Statements!O$323)</f>
        <v>NA</v>
      </c>
      <c r="M141" s="63" t="str">
        <f>IF(ISERROR(Financial_Statements!P311/Financial_Statements!P$323),"NA",Financial_Statements!P311/Financial_Statements!P$323)</f>
        <v>NA</v>
      </c>
      <c r="N141" s="63" t="str">
        <f>IF(ISERROR(Financial_Statements!Q311/Financial_Statements!Q$323),"NA",Financial_Statements!Q311/Financial_Statements!Q$323)</f>
        <v>NA</v>
      </c>
      <c r="O141" s="65"/>
    </row>
    <row r="142" spans="2:15" ht="12.75" customHeight="1" x14ac:dyDescent="0.2">
      <c r="B142" s="11"/>
      <c r="C142" s="56"/>
      <c r="D142" s="56"/>
      <c r="E142" s="56"/>
      <c r="F142" s="56"/>
      <c r="G142" s="56"/>
      <c r="H142" s="56"/>
      <c r="I142" s="56"/>
      <c r="J142" s="56"/>
      <c r="K142" s="56"/>
      <c r="L142" s="56"/>
      <c r="M142" s="56"/>
      <c r="N142" s="56"/>
    </row>
    <row r="143" spans="2:15" ht="12.75" customHeight="1" x14ac:dyDescent="0.2">
      <c r="B143" s="5" t="s">
        <v>554</v>
      </c>
      <c r="C143" s="56">
        <f>IF(ISERROR(Financial_Statements!F313/Financial_Statements!F$323),"NA",Financial_Statements!F313/Financial_Statements!F$323)</f>
        <v>1.7867091890645713E-3</v>
      </c>
      <c r="D143" s="56">
        <f>IF(ISERROR(Financial_Statements!G313/Financial_Statements!G$323),"NA",Financial_Statements!G313/Financial_Statements!G$323)</f>
        <v>1.7426989347050061E-3</v>
      </c>
      <c r="E143" s="56">
        <f>IF(ISERROR(Financial_Statements!H313/Financial_Statements!H$323),"NA",Financial_Statements!H313/Financial_Statements!H$323)</f>
        <v>1.705670897219573E-3</v>
      </c>
      <c r="F143" s="56">
        <f>IF(ISERROR(Financial_Statements!I313/Financial_Statements!I$323),"NA",Financial_Statements!I313/Financial_Statements!I$323)</f>
        <v>1.6841419025370784E-3</v>
      </c>
      <c r="G143" s="56">
        <f>IF(ISERROR(Financial_Statements!J313/Financial_Statements!J$323),"NA",Financial_Statements!J313/Financial_Statements!J$323)</f>
        <v>1.7278697966501622E-3</v>
      </c>
      <c r="H143" s="56">
        <f>IF(ISERROR(Financial_Statements!K313/Financial_Statements!K$323),"NA",Financial_Statements!K313/Financial_Statements!K$323)</f>
        <v>1.6649807990117534E-3</v>
      </c>
      <c r="I143" s="56">
        <f>IF(ISERROR(Financial_Statements!L313/Financial_Statements!L$323),"NA",Financial_Statements!L313/Financial_Statements!L$323)</f>
        <v>1.5853939192471936E-3</v>
      </c>
      <c r="J143" s="56">
        <f>IF(ISERROR(Financial_Statements!M313/Financial_Statements!M$323),"NA",Financial_Statements!M313/Financial_Statements!M$323)</f>
        <v>1.5562639624488567E-3</v>
      </c>
      <c r="K143" s="56">
        <f>IF(ISERROR(Financial_Statements!N313/Financial_Statements!N$323),"NA",Financial_Statements!N313/Financial_Statements!N$323)</f>
        <v>1.6976379102624953E-3</v>
      </c>
      <c r="L143" s="56">
        <f>IF(ISERROR(Financial_Statements!O313/Financial_Statements!O$323),"NA",Financial_Statements!O313/Financial_Statements!O$323)</f>
        <v>1.5595914876490417E-3</v>
      </c>
      <c r="M143" s="56">
        <f>IF(ISERROR(Financial_Statements!P313/Financial_Statements!P$323),"NA",Financial_Statements!P313/Financial_Statements!P$323)</f>
        <v>1.5527950310559007E-3</v>
      </c>
      <c r="N143" s="56">
        <f>IF(ISERROR(Financial_Statements!Q313/Financial_Statements!Q$323),"NA",Financial_Statements!Q313/Financial_Statements!Q$323)</f>
        <v>1.5332998095740559E-3</v>
      </c>
      <c r="O143" s="59"/>
    </row>
    <row r="144" spans="2:15" ht="12.75" customHeight="1" x14ac:dyDescent="0.2">
      <c r="B144" s="5" t="s">
        <v>553</v>
      </c>
      <c r="C144" s="56">
        <f>IF(ISERROR(Financial_Statements!F314/Financial_Statements!F$323),"NA",Financial_Statements!F314/Financial_Statements!F$323)</f>
        <v>8.4013755739563115E-2</v>
      </c>
      <c r="D144" s="56">
        <f>IF(ISERROR(Financial_Statements!G314/Financial_Statements!G$323),"NA",Financial_Statements!G314/Financial_Statements!G$323)</f>
        <v>8.2487749576036953E-2</v>
      </c>
      <c r="E144" s="56">
        <f>IF(ISERROR(Financial_Statements!H314/Financial_Statements!H$323),"NA",Financial_Statements!H314/Financial_Statements!H$323)</f>
        <v>8.1697967867361151E-2</v>
      </c>
      <c r="F144" s="56">
        <f>IF(ISERROR(Financial_Statements!I314/Financial_Statements!I$323),"NA",Financial_Statements!I314/Financial_Statements!I$323)</f>
        <v>8.1264374060592878E-2</v>
      </c>
      <c r="G144" s="56">
        <f>IF(ISERROR(Financial_Statements!J314/Financial_Statements!J$323),"NA",Financial_Statements!J314/Financial_Statements!J$323)</f>
        <v>8.3913160608284493E-2</v>
      </c>
      <c r="H144" s="56">
        <f>IF(ISERROR(Financial_Statements!K314/Financial_Statements!K$323),"NA",Financial_Statements!K314/Financial_Statements!K$323)</f>
        <v>8.1387125938789578E-2</v>
      </c>
      <c r="I144" s="56">
        <f>IF(ISERROR(Financial_Statements!L314/Financial_Statements!L$323),"NA",Financial_Statements!L314/Financial_Statements!L$323)</f>
        <v>7.8110483204200443E-2</v>
      </c>
      <c r="J144" s="56">
        <f>IF(ISERROR(Financial_Statements!M314/Financial_Statements!M$323),"NA",Financial_Statements!M314/Financial_Statements!M$323)</f>
        <v>7.7177305320582007E-2</v>
      </c>
      <c r="K144" s="56">
        <f>IF(ISERROR(Financial_Statements!N314/Financial_Statements!N$323),"NA",Financial_Statements!N314/Financial_Statements!N$323)</f>
        <v>8.4836260085429521E-2</v>
      </c>
      <c r="L144" s="56">
        <f>IF(ISERROR(Financial_Statements!O314/Financial_Statements!O$323),"NA",Financial_Statements!O314/Financial_Statements!O$323)</f>
        <v>7.8449128808841043E-2</v>
      </c>
      <c r="M144" s="56">
        <f>IF(ISERROR(Financial_Statements!P314/Financial_Statements!P$323),"NA",Financial_Statements!P314/Financial_Statements!P$323)</f>
        <v>7.8674948240165632E-2</v>
      </c>
      <c r="N144" s="56">
        <f>IF(ISERROR(Financial_Statements!Q314/Financial_Statements!Q$323),"NA",Financial_Statements!Q314/Financial_Statements!Q$323)</f>
        <v>7.8775338603707945E-2</v>
      </c>
    </row>
    <row r="145" spans="2:15" ht="12.75" customHeight="1" x14ac:dyDescent="0.2">
      <c r="B145" s="5" t="s">
        <v>552</v>
      </c>
      <c r="C145" s="56">
        <f>IF(ISERROR(Financial_Statements!F315/Financial_Statements!F$323),"NA",Financial_Statements!F315/Financial_Statements!F$323)</f>
        <v>0.46732051257420615</v>
      </c>
      <c r="D145" s="56">
        <f>IF(ISERROR(Financial_Statements!G315/Financial_Statements!G$323),"NA",Financial_Statements!G315/Financial_Statements!G$323)</f>
        <v>0.47717158089027567</v>
      </c>
      <c r="E145" s="56">
        <f>IF(ISERROR(Financial_Statements!H315/Financial_Statements!H$323),"NA",Financial_Statements!H315/Financial_Statements!H$323)</f>
        <v>0.47060010270706476</v>
      </c>
      <c r="F145" s="56">
        <f>IF(ISERROR(Financial_Statements!I315/Financial_Statements!I$323),"NA",Financial_Statements!I315/Financial_Statements!I$323)</f>
        <v>0.47075387986454431</v>
      </c>
      <c r="G145" s="56">
        <f>IF(ISERROR(Financial_Statements!J315/Financial_Statements!J$323),"NA",Financial_Statements!J315/Financial_Statements!J$323)</f>
        <v>0.49744070898399395</v>
      </c>
      <c r="H145" s="56">
        <f>IF(ISERROR(Financial_Statements!K315/Financial_Statements!K$323),"NA",Financial_Statements!K315/Financial_Statements!K$323)</f>
        <v>0.49733692587254846</v>
      </c>
      <c r="I145" s="56">
        <f>IF(ISERROR(Financial_Statements!L315/Financial_Statements!L$323),"NA",Financial_Statements!L315/Financial_Statements!L$323)</f>
        <v>0.4840736100101431</v>
      </c>
      <c r="J145" s="56">
        <f>IF(ISERROR(Financial_Statements!M315/Financial_Statements!M$323),"NA",Financial_Statements!M315/Financial_Statements!M$323)</f>
        <v>0.47166511876971473</v>
      </c>
      <c r="K145" s="56">
        <f>IF(ISERROR(Financial_Statements!N315/Financial_Statements!N$323),"NA",Financial_Statements!N315/Financial_Statements!N$323)</f>
        <v>0.50756635391186888</v>
      </c>
      <c r="L145" s="56">
        <f>IF(ISERROR(Financial_Statements!O315/Financial_Statements!O$323),"NA",Financial_Statements!O315/Financial_Statements!O$323)</f>
        <v>0.55232177894048395</v>
      </c>
      <c r="M145" s="56">
        <f>IF(ISERROR(Financial_Statements!P315/Financial_Statements!P$323),"NA",Financial_Statements!P315/Financial_Statements!P$323)</f>
        <v>0.54362853135644162</v>
      </c>
      <c r="N145" s="56">
        <f>IF(ISERROR(Financial_Statements!Q315/Financial_Statements!Q$323),"NA",Financial_Statements!Q315/Financial_Statements!Q$323)</f>
        <v>0.55513696653944122</v>
      </c>
    </row>
    <row r="146" spans="2:15" ht="12.75" customHeight="1" x14ac:dyDescent="0.2">
      <c r="B146" s="5" t="s">
        <v>551</v>
      </c>
      <c r="C146" s="56">
        <f>IF(ISERROR(Financial_Statements!F316/Financial_Statements!F$323),"NA",Financial_Statements!F316/Financial_Statements!F$323)</f>
        <v>-0.2346256556070008</v>
      </c>
      <c r="D146" s="56">
        <f>IF(ISERROR(Financial_Statements!G316/Financial_Statements!G$323),"NA",Financial_Statements!G316/Financial_Statements!G$323)</f>
        <v>-0.23817822375879547</v>
      </c>
      <c r="E146" s="56">
        <f>IF(ISERROR(Financial_Statements!H316/Financial_Statements!H$323),"NA",Financial_Statements!H316/Financial_Statements!H$323)</f>
        <v>-0.23353018854082602</v>
      </c>
      <c r="F146" s="56">
        <f>IF(ISERROR(Financial_Statements!I316/Financial_Statements!I$323),"NA",Financial_Statements!I316/Financial_Statements!I$323)</f>
        <v>-0.23055540464678292</v>
      </c>
      <c r="G146" s="56">
        <f>IF(ISERROR(Financial_Statements!J316/Financial_Statements!J$323),"NA",Financial_Statements!J316/Financial_Statements!J$323)</f>
        <v>-0.23656023855750738</v>
      </c>
      <c r="H146" s="56">
        <f>IF(ISERROR(Financial_Statements!K316/Financial_Statements!K$323),"NA",Financial_Statements!K316/Financial_Statements!K$323)</f>
        <v>-0.23687484894327429</v>
      </c>
      <c r="I146" s="56">
        <f>IF(ISERROR(Financial_Statements!L316/Financial_Statements!L$323),"NA",Financial_Statements!L316/Financial_Statements!L$323)</f>
        <v>-0.22798135031239081</v>
      </c>
      <c r="J146" s="56">
        <f>IF(ISERROR(Financial_Statements!M316/Financial_Statements!M$323),"NA",Financial_Statements!M316/Financial_Statements!M$323)</f>
        <v>-0.22792573441435107</v>
      </c>
      <c r="K146" s="56">
        <f>IF(ISERROR(Financial_Statements!N316/Financial_Statements!N$323),"NA",Financial_Statements!N316/Financial_Statements!N$323)</f>
        <v>-0.24860355591252603</v>
      </c>
      <c r="L146" s="56">
        <f>IF(ISERROR(Financial_Statements!O316/Financial_Statements!O$323),"NA",Financial_Statements!O316/Financial_Statements!O$323)</f>
        <v>-0.22839630393587226</v>
      </c>
      <c r="M146" s="56">
        <f>IF(ISERROR(Financial_Statements!P316/Financial_Statements!P$323),"NA",Financial_Statements!P316/Financial_Statements!P$323)</f>
        <v>-0.22746777532892543</v>
      </c>
      <c r="N146" s="56">
        <f>IF(ISERROR(Financial_Statements!Q316/Financial_Statements!Q$323),"NA",Financial_Statements!Q316/Financial_Statements!Q$323)</f>
        <v>-0.2246119350078726</v>
      </c>
    </row>
    <row r="147" spans="2:15" ht="12.75" customHeight="1" x14ac:dyDescent="0.2">
      <c r="B147" s="5" t="s">
        <v>550</v>
      </c>
      <c r="C147" s="56">
        <f>IF(ISERROR(Financial_Statements!F317/Financial_Statements!F$323),"NA",Financial_Statements!F317/Financial_Statements!F$323)</f>
        <v>-2.7300147931836081E-2</v>
      </c>
      <c r="D147" s="56">
        <f>IF(ISERROR(Financial_Statements!G317/Financial_Statements!G$323),"NA",Financial_Statements!G317/Financial_Statements!G$323)</f>
        <v>-3.0497231357337604E-2</v>
      </c>
      <c r="E147" s="56">
        <f>IF(ISERROR(Financial_Statements!H317/Financial_Statements!H$323),"NA",Financial_Statements!H317/Financial_Statements!H$323)</f>
        <v>-3.9945711980045484E-2</v>
      </c>
      <c r="F147" s="56">
        <f>IF(ISERROR(Financial_Statements!I317/Financial_Statements!I$323),"NA",Financial_Statements!I317/Financial_Statements!I$323)</f>
        <v>-4.1687039350971553E-2</v>
      </c>
      <c r="G147" s="56">
        <f>IF(ISERROR(Financial_Statements!J317/Financial_Statements!J$323),"NA",Financial_Statements!J317/Financial_Statements!J$323)</f>
        <v>-5.0349754289483212E-2</v>
      </c>
      <c r="H147" s="56">
        <f>IF(ISERROR(Financial_Statements!K317/Financial_Statements!K$323),"NA",Financial_Statements!K317/Financial_Statements!K$323)</f>
        <v>-4.1141138453000096E-2</v>
      </c>
      <c r="I147" s="56">
        <f>IF(ISERROR(Financial_Statements!L317/Financial_Statements!L$323),"NA",Financial_Statements!L317/Financial_Statements!L$323)</f>
        <v>-3.9958745663606687E-2</v>
      </c>
      <c r="J147" s="56">
        <f>IF(ISERROR(Financial_Statements!M317/Financial_Statements!M$323),"NA",Financial_Statements!M317/Financial_Statements!M$323)</f>
        <v>-4.1927089870060323E-2</v>
      </c>
      <c r="K147" s="56">
        <f>IF(ISERROR(Financial_Statements!N317/Financial_Statements!N$323),"NA",Financial_Statements!N317/Financial_Statements!N$323)</f>
        <v>-4.5133437990580852E-2</v>
      </c>
      <c r="L147" s="56">
        <f>IF(ISERROR(Financial_Statements!O317/Financial_Statements!O$323),"NA",Financial_Statements!O317/Financial_Statements!O$323)</f>
        <v>-3.4084620415555662E-2</v>
      </c>
      <c r="M147" s="56">
        <f>IF(ISERROR(Financial_Statements!P317/Financial_Statements!P$323),"NA",Financial_Statements!P317/Financial_Statements!P$323)</f>
        <v>-3.6448941427903565E-2</v>
      </c>
      <c r="N147" s="56">
        <f>IF(ISERROR(Financial_Statements!Q317/Financial_Statements!Q$323),"NA",Financial_Statements!Q317/Financial_Statements!Q$323)</f>
        <v>-3.4977371462487736E-2</v>
      </c>
    </row>
    <row r="148" spans="2:15" ht="12.75" customHeight="1" x14ac:dyDescent="0.2">
      <c r="B148" s="14" t="s">
        <v>549</v>
      </c>
      <c r="C148" s="57">
        <f>IF(ISERROR(Financial_Statements!F318/Financial_Statements!F$323),"NA",Financial_Statements!F318/Financial_Statements!F$323)</f>
        <v>0.29119517396399686</v>
      </c>
      <c r="D148" s="57">
        <f>IF(ISERROR(Financial_Statements!G318/Financial_Statements!G$323),"NA",Financial_Statements!G318/Financial_Statements!G$323)</f>
        <v>0.29272657428488441</v>
      </c>
      <c r="E148" s="57">
        <f>IF(ISERROR(Financial_Statements!H318/Financial_Statements!H$323),"NA",Financial_Statements!H318/Financial_Statements!H$323)</f>
        <v>0.28052784095077393</v>
      </c>
      <c r="F148" s="57">
        <f>IF(ISERROR(Financial_Statements!I318/Financial_Statements!I$323),"NA",Financial_Statements!I318/Financial_Statements!I$323)</f>
        <v>0.28145995182991979</v>
      </c>
      <c r="G148" s="57">
        <f>IF(ISERROR(Financial_Statements!J318/Financial_Statements!J$323),"NA",Financial_Statements!J318/Financial_Statements!J$323)</f>
        <v>0.29617174654193801</v>
      </c>
      <c r="H148" s="57">
        <f>IF(ISERROR(Financial_Statements!K318/Financial_Statements!K$323),"NA",Financial_Statements!K318/Financial_Statements!K$323)</f>
        <v>0.30237304521407532</v>
      </c>
      <c r="I148" s="57">
        <f>IF(ISERROR(Financial_Statements!L318/Financial_Statements!L$323),"NA",Financial_Statements!L318/Financial_Statements!L$323)</f>
        <v>0.29582939115759327</v>
      </c>
      <c r="J148" s="57">
        <f>IF(ISERROR(Financial_Statements!M318/Financial_Statements!M$323),"NA",Financial_Statements!M318/Financial_Statements!M$323)</f>
        <v>0.28054586376833418</v>
      </c>
      <c r="K148" s="57">
        <f>IF(ISERROR(Financial_Statements!N318/Financial_Statements!N$323),"NA",Financial_Statements!N318/Financial_Statements!N$323)</f>
        <v>0.30036325800445401</v>
      </c>
      <c r="L148" s="57">
        <f>IF(ISERROR(Financial_Statements!O318/Financial_Statements!O$323),"NA",Financial_Statements!O318/Financial_Statements!O$323)</f>
        <v>0.36984957488554621</v>
      </c>
      <c r="M148" s="57">
        <f>IF(ISERROR(Financial_Statements!P318/Financial_Statements!P$323),"NA",Financial_Statements!P318/Financial_Statements!P$323)</f>
        <v>0.3599395578708342</v>
      </c>
      <c r="N148" s="57">
        <f>IF(ISERROR(Financial_Statements!Q318/Financial_Statements!Q$323),"NA",Financial_Statements!Q318/Financial_Statements!Q$323)</f>
        <v>0.37585629848236302</v>
      </c>
      <c r="O148" s="59"/>
    </row>
    <row r="149" spans="2:15" ht="12.75" customHeight="1" x14ac:dyDescent="0.2">
      <c r="B149" s="14"/>
      <c r="C149" s="61"/>
      <c r="D149" s="61"/>
      <c r="E149" s="61"/>
      <c r="F149" s="61"/>
      <c r="G149" s="61"/>
      <c r="H149" s="61"/>
      <c r="I149" s="61"/>
      <c r="J149" s="61"/>
      <c r="K149" s="61"/>
      <c r="L149" s="61"/>
      <c r="M149" s="61"/>
      <c r="N149" s="61"/>
      <c r="O149" s="59"/>
    </row>
    <row r="150" spans="2:15" ht="12.75" customHeight="1" x14ac:dyDescent="0.2">
      <c r="B150" s="5" t="s">
        <v>548</v>
      </c>
      <c r="C150" s="56">
        <f>IF(ISERROR(Financial_Statements!F320/Financial_Statements!F$323),"NA",Financial_Statements!F320/Financial_Statements!F$323)</f>
        <v>2.4591266258093022E-3</v>
      </c>
      <c r="D150" s="56">
        <f>IF(ISERROR(Financial_Statements!G320/Financial_Statements!G$323),"NA",Financial_Statements!G320/Financial_Statements!G$323)</f>
        <v>1.8176537275955442E-3</v>
      </c>
      <c r="E150" s="56">
        <f>IF(ISERROR(Financial_Statements!H320/Financial_Statements!H$323),"NA",Financial_Statements!H320/Financial_Statements!H$323)</f>
        <v>2.1183332110630182E-3</v>
      </c>
      <c r="F150" s="56">
        <f>IF(ISERROR(Financial_Statements!I320/Financial_Statements!I$323),"NA",Financial_Statements!I320/Financial_Statements!I$323)</f>
        <v>1.7022509552525307E-3</v>
      </c>
      <c r="G150" s="56">
        <f>IF(ISERROR(Financial_Statements!J320/Financial_Statements!J$323),"NA",Financial_Statements!J320/Financial_Statements!J$323)</f>
        <v>1.4306018746458331E-3</v>
      </c>
      <c r="H150" s="56">
        <f>IF(ISERROR(Financial_Statements!K320/Financial_Statements!K$323),"NA",Financial_Statements!K320/Financial_Statements!K$323)</f>
        <v>2.0588472245844261E-3</v>
      </c>
      <c r="I150" s="56">
        <f>IF(ISERROR(Financial_Statements!L320/Financial_Statements!L$323),"NA",Financial_Statements!L320/Financial_Statements!L$323)</f>
        <v>2.028622326778667E-3</v>
      </c>
      <c r="J150" s="56">
        <f>IF(ISERROR(Financial_Statements!M320/Financial_Statements!M$323),"NA",Financial_Statements!M320/Financial_Statements!M$323)</f>
        <v>2.0415505743952744E-3</v>
      </c>
      <c r="K150" s="56">
        <f>IF(ISERROR(Financial_Statements!N320/Financial_Statements!N$323),"NA",Financial_Statements!N320/Financial_Statements!N$323)</f>
        <v>2.1539921872147788E-3</v>
      </c>
      <c r="L150" s="56">
        <f>IF(ISERROR(Financial_Statements!O320/Financial_Statements!O$323),"NA",Financial_Statements!O320/Financial_Statements!O$323)</f>
        <v>1.8866026060270664E-3</v>
      </c>
      <c r="M150" s="56">
        <f>IF(ISERROR(Financial_Statements!P320/Financial_Statements!P$323),"NA",Financial_Statements!P320/Financial_Statements!P$323)</f>
        <v>1.786549121752488E-3</v>
      </c>
      <c r="N150" s="56">
        <f>IF(ISERROR(Financial_Statements!Q320/Financial_Statements!Q$323),"NA",Financial_Statements!Q320/Financial_Statements!Q$323)</f>
        <v>1.7558755883831929E-3</v>
      </c>
    </row>
    <row r="151" spans="2:15" ht="12.75" customHeight="1" x14ac:dyDescent="0.2">
      <c r="B151" s="8" t="s">
        <v>547</v>
      </c>
      <c r="C151" s="57">
        <f>IF(ISERROR(Financial_Statements!F321/Financial_Statements!F$323),"NA",Financial_Statements!F321/Financial_Statements!F$323)</f>
        <v>0.29365430058980613</v>
      </c>
      <c r="D151" s="57">
        <f>IF(ISERROR(Financial_Statements!G321/Financial_Statements!G$323),"NA",Financial_Statements!G321/Financial_Statements!G$323)</f>
        <v>0.29454422801247998</v>
      </c>
      <c r="E151" s="57">
        <f>IF(ISERROR(Financial_Statements!H321/Financial_Statements!H$323),"NA",Financial_Statements!H321/Financial_Statements!H$323)</f>
        <v>0.28264617416183696</v>
      </c>
      <c r="F151" s="57">
        <f>IF(ISERROR(Financial_Statements!I321/Financial_Statements!I$323),"NA",Financial_Statements!I321/Financial_Statements!I$323)</f>
        <v>0.28316220278517229</v>
      </c>
      <c r="G151" s="57">
        <f>IF(ISERROR(Financial_Statements!J321/Financial_Statements!J$323),"NA",Financial_Statements!J321/Financial_Statements!J$323)</f>
        <v>0.29760234841658378</v>
      </c>
      <c r="H151" s="57">
        <f>IF(ISERROR(Financial_Statements!K321/Financial_Statements!K$323),"NA",Financial_Statements!K321/Financial_Statements!K$323)</f>
        <v>0.30443189243865976</v>
      </c>
      <c r="I151" s="57">
        <f>IF(ISERROR(Financial_Statements!L321/Financial_Statements!L$323),"NA",Financial_Statements!L321/Financial_Statements!L$323)</f>
        <v>0.29785801348437191</v>
      </c>
      <c r="J151" s="57">
        <f>IF(ISERROR(Financial_Statements!M321/Financial_Statements!M$323),"NA",Financial_Statements!M321/Financial_Statements!M$323)</f>
        <v>0.28258741434272949</v>
      </c>
      <c r="K151" s="57">
        <f>IF(ISERROR(Financial_Statements!N321/Financial_Statements!N$323),"NA",Financial_Statements!N321/Financial_Statements!N$323)</f>
        <v>0.30251725019166881</v>
      </c>
      <c r="L151" s="57">
        <f>IF(ISERROR(Financial_Statements!O321/Financial_Statements!O$323),"NA",Financial_Statements!O321/Financial_Statements!O$323)</f>
        <v>0.37173617749157328</v>
      </c>
      <c r="M151" s="57">
        <f>IF(ISERROR(Financial_Statements!P321/Financial_Statements!P$323),"NA",Financial_Statements!P321/Financial_Statements!P$323)</f>
        <v>0.36172610699258662</v>
      </c>
      <c r="N151" s="57">
        <f>IF(ISERROR(Financial_Statements!Q321/Financial_Statements!Q$323),"NA",Financial_Statements!Q321/Financial_Statements!Q$323)</f>
        <v>0.3776121740707461</v>
      </c>
      <c r="O151" s="59"/>
    </row>
    <row r="152" spans="2:15" ht="12.75" customHeight="1" x14ac:dyDescent="0.2">
      <c r="B152" s="11"/>
      <c r="C152" s="56"/>
      <c r="D152" s="56"/>
      <c r="E152" s="56"/>
      <c r="F152" s="56"/>
      <c r="G152" s="56"/>
      <c r="H152" s="56"/>
      <c r="I152" s="56"/>
      <c r="J152" s="56"/>
      <c r="K152" s="56"/>
      <c r="L152" s="56"/>
      <c r="M152" s="56"/>
      <c r="N152" s="56"/>
      <c r="O152" s="59"/>
    </row>
    <row r="153" spans="2:15" ht="12.75" customHeight="1" thickBot="1" x14ac:dyDescent="0.25">
      <c r="B153" s="66" t="s">
        <v>546</v>
      </c>
      <c r="C153" s="62">
        <f>IF(ISERROR(Financial_Statements!F323/Financial_Statements!F$323),"NA",Financial_Statements!F323/Financial_Statements!F$323)</f>
        <v>1</v>
      </c>
      <c r="D153" s="62">
        <f>IF(ISERROR(Financial_Statements!G323/Financial_Statements!G$323),"NA",Financial_Statements!G323/Financial_Statements!G$323)</f>
        <v>1</v>
      </c>
      <c r="E153" s="62">
        <f>IF(ISERROR(Financial_Statements!H323/Financial_Statements!H$323),"NA",Financial_Statements!H323/Financial_Statements!H$323)</f>
        <v>1</v>
      </c>
      <c r="F153" s="62">
        <f>IF(ISERROR(Financial_Statements!I323/Financial_Statements!I$323),"NA",Financial_Statements!I323/Financial_Statements!I$323)</f>
        <v>1</v>
      </c>
      <c r="G153" s="62">
        <f>IF(ISERROR(Financial_Statements!J323/Financial_Statements!J$323),"NA",Financial_Statements!J323/Financial_Statements!J$323)</f>
        <v>1</v>
      </c>
      <c r="H153" s="62">
        <f>IF(ISERROR(Financial_Statements!K323/Financial_Statements!K$323),"NA",Financial_Statements!K323/Financial_Statements!K$323)</f>
        <v>1</v>
      </c>
      <c r="I153" s="62">
        <f>IF(ISERROR(Financial_Statements!L323/Financial_Statements!L$323),"NA",Financial_Statements!L323/Financial_Statements!L$323)</f>
        <v>1</v>
      </c>
      <c r="J153" s="62">
        <f>IF(ISERROR(Financial_Statements!M323/Financial_Statements!M$323),"NA",Financial_Statements!M323/Financial_Statements!M$323)</f>
        <v>1</v>
      </c>
      <c r="K153" s="62">
        <f>IF(ISERROR(Financial_Statements!N323/Financial_Statements!N$323),"NA",Financial_Statements!N323/Financial_Statements!N$323)</f>
        <v>1</v>
      </c>
      <c r="L153" s="62">
        <f>IF(ISERROR(Financial_Statements!O323/Financial_Statements!O$323),"NA",Financial_Statements!O323/Financial_Statements!O$323)</f>
        <v>1</v>
      </c>
      <c r="M153" s="62">
        <f>IF(ISERROR(Financial_Statements!P323/Financial_Statements!P$323),"NA",Financial_Statements!P323/Financial_Statements!P$323)</f>
        <v>1</v>
      </c>
      <c r="N153" s="62">
        <f>IF(ISERROR(Financial_Statements!Q323/Financial_Statements!Q$323),"NA",Financial_Statements!Q323/Financial_Statements!Q$323)</f>
        <v>1</v>
      </c>
      <c r="O153" s="59"/>
    </row>
    <row r="154" spans="2:15" ht="12.75" customHeight="1" thickTop="1" x14ac:dyDescent="0.2">
      <c r="B154" s="32" t="s">
        <v>1944</v>
      </c>
      <c r="C154" s="11"/>
      <c r="D154" s="11"/>
      <c r="E154" s="11"/>
      <c r="F154" s="11"/>
      <c r="G154" s="11"/>
      <c r="H154" s="11"/>
      <c r="I154" s="11"/>
      <c r="J154" s="11"/>
      <c r="K154" s="11"/>
      <c r="L154" s="11"/>
      <c r="M154" s="11"/>
      <c r="N154" s="11"/>
    </row>
    <row r="155" spans="2:15" ht="12.75" customHeight="1" x14ac:dyDescent="0.2">
      <c r="B155" s="32"/>
      <c r="C155" s="13"/>
      <c r="D155" s="13"/>
      <c r="E155" s="13"/>
      <c r="F155" s="13"/>
      <c r="G155" s="13"/>
      <c r="H155" s="13"/>
      <c r="I155" s="13"/>
      <c r="J155" s="13"/>
      <c r="K155" s="13"/>
      <c r="L155" s="13"/>
      <c r="M155" s="13"/>
      <c r="N155" s="13"/>
    </row>
    <row r="156" spans="2:15" ht="12.75" customHeight="1" x14ac:dyDescent="0.2">
      <c r="B156" s="28"/>
      <c r="C156" s="13"/>
      <c r="D156" s="13"/>
      <c r="E156" s="13"/>
      <c r="F156" s="13"/>
      <c r="G156" s="13"/>
      <c r="H156" s="13"/>
      <c r="I156" s="13"/>
      <c r="J156" s="13"/>
      <c r="K156" s="13"/>
      <c r="L156" s="13"/>
      <c r="M156" s="13"/>
      <c r="N156" s="13"/>
    </row>
    <row r="157" spans="2:15" ht="12.75" customHeight="1" x14ac:dyDescent="0.2">
      <c r="C157" s="13"/>
      <c r="D157" s="13"/>
      <c r="E157" s="13"/>
      <c r="F157" s="13"/>
      <c r="G157" s="13"/>
      <c r="H157" s="13"/>
      <c r="I157" s="13"/>
      <c r="J157" s="13"/>
      <c r="K157" s="13"/>
      <c r="L157" s="13"/>
      <c r="M157" s="13"/>
      <c r="N157" s="13"/>
    </row>
  </sheetData>
  <printOptions horizontalCentered="1"/>
  <pageMargins left="0" right="0" top="0" bottom="0" header="0.5" footer="0.5"/>
  <pageSetup scale="65"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525252"/>
  </sheetPr>
  <dimension ref="B2:FT32"/>
  <sheetViews>
    <sheetView showGridLines="0" zoomScaleNormal="100" zoomScaleSheetLayoutView="85" workbookViewId="0">
      <pane xSplit="7" ySplit="10" topLeftCell="H11" activePane="bottomRight" state="frozen"/>
      <selection activeCell="F3" sqref="F3"/>
      <selection pane="topRight" activeCell="F3" sqref="F3"/>
      <selection pane="bottomLeft" activeCell="F3" sqref="F3"/>
      <selection pane="bottomRight"/>
    </sheetView>
  </sheetViews>
  <sheetFormatPr defaultColWidth="9.28515625" defaultRowHeight="10.199999999999999" outlineLevelRow="1" outlineLevelCol="1" x14ac:dyDescent="0.2"/>
  <cols>
    <col min="1" max="1" width="1.7109375" style="5" customWidth="1"/>
    <col min="2" max="3" width="15.28515625" style="5" hidden="1" customWidth="1" outlineLevel="1"/>
    <col min="4" max="4" width="16.28515625" style="5" customWidth="1" collapsed="1"/>
    <col min="5" max="5" width="2" style="5" customWidth="1"/>
    <col min="6" max="6" width="40.7109375" style="5" customWidth="1"/>
    <col min="7" max="7" width="2.7109375" style="5" customWidth="1"/>
    <col min="8" max="8" width="14.28515625" style="5" customWidth="1"/>
    <col min="9" max="9" width="2" style="5" customWidth="1"/>
    <col min="10" max="10" width="14.28515625" style="5" customWidth="1"/>
    <col min="11" max="11" width="5" style="5" customWidth="1"/>
    <col min="12" max="12" width="15.140625" style="5" customWidth="1"/>
    <col min="13" max="13" width="2" style="5" customWidth="1"/>
    <col min="14" max="14" width="12.140625" style="5" customWidth="1"/>
    <col min="15" max="15" width="2" style="5" customWidth="1"/>
    <col min="16" max="16" width="12.7109375" style="5" customWidth="1"/>
    <col min="17" max="17" width="2" style="5" customWidth="1"/>
    <col min="18" max="18" width="12.42578125" style="5" customWidth="1"/>
    <col min="19" max="19" width="2" style="5" customWidth="1"/>
    <col min="20" max="20" width="12.42578125" style="5" customWidth="1"/>
    <col min="21" max="21" width="5" style="5" customWidth="1"/>
    <col min="22" max="22" width="15.7109375" style="5" customWidth="1"/>
    <col min="23" max="23" width="2" style="5" customWidth="1"/>
    <col min="24" max="24" width="15.7109375" style="5" customWidth="1"/>
    <col min="25" max="25" width="2" style="5" customWidth="1"/>
    <col min="26" max="26" width="15.7109375" style="5" customWidth="1"/>
    <col min="27" max="27" width="2" style="5" customWidth="1"/>
    <col min="28" max="28" width="15.7109375" style="5" customWidth="1"/>
    <col min="29" max="29" width="2" style="5" customWidth="1"/>
    <col min="30" max="30" width="15.7109375" style="5" customWidth="1"/>
    <col min="31" max="31" width="2" style="5" customWidth="1"/>
    <col min="32" max="32" width="15.7109375" style="5" customWidth="1"/>
    <col min="33" max="33" width="2" style="5" customWidth="1"/>
    <col min="34" max="34" width="15.7109375" style="5" customWidth="1"/>
    <col min="35" max="35" width="3.7109375" style="5" customWidth="1"/>
    <col min="36" max="36" width="15.7109375" style="5" customWidth="1"/>
    <col min="37" max="37" width="2" style="5" customWidth="1"/>
    <col min="38" max="38" width="15.7109375" style="5" customWidth="1"/>
    <col min="39" max="39" width="2" style="5" customWidth="1"/>
    <col min="40" max="40" width="15.7109375" style="5" customWidth="1"/>
    <col min="41" max="41" width="2" style="5" customWidth="1"/>
    <col min="42" max="42" width="15.7109375" style="5" customWidth="1"/>
    <col min="43" max="43" width="4.7109375" style="5" customWidth="1"/>
    <col min="44" max="44" width="15.7109375" style="5" customWidth="1"/>
    <col min="45" max="45" width="2" style="5" customWidth="1"/>
    <col min="46" max="46" width="15.7109375" style="5" customWidth="1"/>
    <col min="47" max="47" width="2" style="5" customWidth="1"/>
    <col min="48" max="48" width="15.7109375" style="5" customWidth="1"/>
    <col min="49" max="49" width="2" style="5" customWidth="1"/>
    <col min="50" max="50" width="15.7109375" style="5" customWidth="1"/>
    <col min="51" max="51" width="3.7109375" style="5" customWidth="1"/>
    <col min="52" max="52" width="12" style="5" customWidth="1"/>
    <col min="53" max="53" width="2" style="5" customWidth="1"/>
    <col min="54" max="54" width="12.28515625" style="5" customWidth="1"/>
    <col min="55" max="55" width="2" style="5" customWidth="1"/>
    <col min="56" max="56" width="12.140625" style="5" customWidth="1"/>
    <col min="57" max="57" width="2" style="5" customWidth="1"/>
    <col min="58" max="58" width="11.42578125" style="5" customWidth="1"/>
    <col min="59" max="59" width="3.7109375" style="5" customWidth="1"/>
    <col min="60" max="60" width="10" style="5" customWidth="1"/>
    <col min="61" max="61" width="2" style="5" customWidth="1"/>
    <col min="62" max="62" width="10.28515625" style="5" customWidth="1"/>
    <col min="63" max="63" width="2" style="5" customWidth="1"/>
    <col min="64" max="64" width="10.140625" style="5" customWidth="1"/>
    <col min="65" max="65" width="2" style="5" customWidth="1"/>
    <col min="66" max="66" width="9.140625" style="5" customWidth="1"/>
    <col min="67" max="67" width="4" style="5" customWidth="1"/>
    <col min="68" max="68" width="9.7109375" style="5" customWidth="1"/>
    <col min="69" max="69" width="2" style="5" customWidth="1"/>
    <col min="70" max="70" width="9.28515625" style="5"/>
    <col min="71" max="71" width="2" style="5" customWidth="1"/>
    <col min="72" max="72" width="12" style="5" customWidth="1"/>
    <col min="73" max="73" width="2" style="5" customWidth="1"/>
    <col min="74" max="74" width="9.28515625" style="5"/>
    <col min="75" max="75" width="2" style="5" customWidth="1"/>
    <col min="76" max="76" width="9.7109375" style="5" customWidth="1"/>
    <col min="77" max="77" width="2" style="5" customWidth="1"/>
    <col min="78" max="78" width="9.28515625" style="5"/>
    <col min="79" max="79" width="2" style="5" customWidth="1"/>
    <col min="80" max="80" width="9.28515625" style="5" customWidth="1"/>
    <col min="81" max="81" width="2" style="5" customWidth="1"/>
    <col min="82" max="82" width="9.28515625" style="5"/>
    <col min="83" max="83" width="2" style="5" customWidth="1"/>
    <col min="84" max="84" width="10" style="5" customWidth="1"/>
    <col min="85" max="85" width="2" style="5" customWidth="1"/>
    <col min="86" max="86" width="10" style="5" customWidth="1"/>
    <col min="87" max="87" width="3.7109375" style="5" customWidth="1"/>
    <col min="88" max="88" width="12.42578125" style="5" customWidth="1"/>
    <col min="89" max="89" width="2" style="5" customWidth="1"/>
    <col min="90" max="90" width="12.42578125" style="5" customWidth="1"/>
    <col min="91" max="91" width="2" style="5" customWidth="1"/>
    <col min="92" max="92" width="12.42578125" style="5" customWidth="1"/>
    <col min="93" max="93" width="2" style="5" customWidth="1"/>
    <col min="94" max="94" width="12.42578125" style="5" customWidth="1"/>
    <col min="95" max="95" width="2" style="5" customWidth="1"/>
    <col min="96" max="96" width="12.42578125" style="5" customWidth="1"/>
    <col min="97" max="97" width="2" style="5" customWidth="1"/>
    <col min="98" max="98" width="12.42578125" style="5" customWidth="1"/>
    <col min="99" max="99" width="2" style="5" customWidth="1"/>
    <col min="100" max="100" width="12.42578125" style="5" customWidth="1"/>
    <col min="101" max="101" width="2" style="5" customWidth="1"/>
    <col min="102" max="102" width="12.42578125" style="5" customWidth="1"/>
    <col min="103" max="103" width="2" style="5" customWidth="1"/>
    <col min="104" max="104" width="12.42578125" style="5" customWidth="1"/>
    <col min="105" max="105" width="2" style="5" customWidth="1"/>
    <col min="106" max="106" width="12.42578125" style="5" customWidth="1"/>
    <col min="107" max="107" width="2" style="5" customWidth="1"/>
    <col min="108" max="108" width="12.42578125" style="5" customWidth="1"/>
    <col min="109" max="109" width="2" style="5" customWidth="1"/>
    <col min="110" max="110" width="14.7109375" style="5" customWidth="1"/>
    <col min="111" max="111" width="3.7109375" style="5" customWidth="1"/>
    <col min="112" max="112" width="13.7109375" style="5" customWidth="1"/>
    <col min="113" max="113" width="2" style="5" customWidth="1"/>
    <col min="114" max="114" width="13.7109375" style="5" customWidth="1"/>
    <col min="115" max="115" width="2" style="5" customWidth="1"/>
    <col min="116" max="116" width="13.7109375" style="5" customWidth="1"/>
    <col min="117" max="117" width="2" style="5" customWidth="1"/>
    <col min="118" max="118" width="12.42578125" style="5" customWidth="1"/>
    <col min="119" max="119" width="2" style="5" customWidth="1"/>
    <col min="120" max="120" width="13.7109375" style="5" customWidth="1"/>
    <col min="121" max="121" width="2" style="5" customWidth="1"/>
    <col min="122" max="122" width="13.7109375" style="5" customWidth="1"/>
    <col min="123" max="123" width="2" style="5" customWidth="1"/>
    <col min="124" max="124" width="12.42578125" style="5" customWidth="1"/>
    <col min="125" max="125" width="2" style="5" customWidth="1"/>
    <col min="126" max="126" width="13.7109375" style="5" customWidth="1"/>
    <col min="127" max="127" width="2" style="5" customWidth="1"/>
    <col min="128" max="128" width="13.7109375" style="5" customWidth="1"/>
    <col min="129" max="129" width="2" style="5" customWidth="1"/>
    <col min="130" max="130" width="13.7109375" style="5" customWidth="1"/>
    <col min="131" max="131" width="2" style="5" customWidth="1"/>
    <col min="132" max="133" width="17.7109375" style="5" hidden="1" customWidth="1" outlineLevel="1"/>
    <col min="134" max="134" width="12.7109375" style="5" customWidth="1" collapsed="1"/>
    <col min="135" max="135" width="2" style="5" customWidth="1"/>
    <col min="136" max="136" width="12.42578125" style="5" customWidth="1"/>
    <col min="137" max="137" width="3.7109375" style="5" customWidth="1"/>
    <col min="138" max="138" width="16.28515625" style="5" bestFit="1" customWidth="1"/>
    <col min="139" max="139" width="2.7109375" style="5" customWidth="1"/>
    <col min="140" max="140" width="16.28515625" style="5" bestFit="1" customWidth="1"/>
    <col min="141" max="141" width="2.42578125" style="5" customWidth="1"/>
    <col min="142" max="142" width="16.28515625" style="5" bestFit="1" customWidth="1"/>
    <col min="143" max="143" width="2.7109375" style="5" customWidth="1"/>
    <col min="144" max="144" width="14.7109375" style="5" customWidth="1"/>
    <col min="145" max="145" width="2.7109375" style="5" customWidth="1"/>
    <col min="146" max="146" width="21" style="5" customWidth="1"/>
    <col min="147" max="147" width="2.7109375" style="5" customWidth="1"/>
    <col min="148" max="148" width="17.28515625" style="5" customWidth="1"/>
    <col min="149" max="149" width="2.7109375" style="5" customWidth="1"/>
    <col min="150" max="150" width="15.7109375" style="5" customWidth="1"/>
    <col min="151" max="151" width="6.28515625" style="5" customWidth="1"/>
    <col min="152" max="152" width="13.140625" style="5" customWidth="1"/>
    <col min="153" max="153" width="2" style="5" customWidth="1"/>
    <col min="154" max="154" width="12.28515625" style="5" customWidth="1"/>
    <col min="155" max="155" width="2" style="5" customWidth="1"/>
    <col min="156" max="156" width="11.42578125" style="5" customWidth="1"/>
    <col min="157" max="157" width="3.7109375" style="5" customWidth="1"/>
    <col min="158" max="158" width="14.7109375" style="5" customWidth="1"/>
    <col min="159" max="159" width="2" style="5" customWidth="1"/>
    <col min="160" max="160" width="15.7109375" style="5" customWidth="1"/>
    <col min="161" max="161" width="2" style="5" customWidth="1"/>
    <col min="162" max="162" width="16.140625" style="5" customWidth="1"/>
    <col min="163" max="163" width="2" style="5" customWidth="1"/>
    <col min="164" max="164" width="15" style="5" customWidth="1"/>
    <col min="165" max="165" width="2" style="5" customWidth="1"/>
    <col min="166" max="166" width="20.140625" style="5" bestFit="1" customWidth="1"/>
    <col min="167" max="167" width="2" style="5" customWidth="1"/>
    <col min="168" max="168" width="19.140625" style="5" bestFit="1" customWidth="1"/>
    <col min="169" max="169" width="5.42578125" style="5" customWidth="1"/>
    <col min="170" max="170" width="15.140625" style="5" customWidth="1"/>
    <col min="171" max="171" width="2.42578125" style="5" customWidth="1"/>
    <col min="172" max="172" width="15" style="5" customWidth="1"/>
    <col min="173" max="173" width="2.7109375" style="5" customWidth="1"/>
    <col min="174" max="174" width="12.7109375" style="5" customWidth="1"/>
    <col min="175" max="175" width="2.7109375" style="5" customWidth="1"/>
    <col min="176" max="176" width="12.7109375" style="5" customWidth="1"/>
    <col min="177" max="16384" width="9.28515625" style="5"/>
  </cols>
  <sheetData>
    <row r="2" spans="2:176" customFormat="1" ht="15.75" customHeight="1" thickBot="1" x14ac:dyDescent="0.35">
      <c r="D2" s="37" t="s">
        <v>1508</v>
      </c>
      <c r="E2" s="39"/>
      <c r="F2" s="39"/>
      <c r="G2" s="39"/>
      <c r="H2" s="39"/>
      <c r="I2" s="39"/>
      <c r="J2" s="39"/>
      <c r="K2" s="39"/>
      <c r="L2" s="39"/>
      <c r="M2" s="39"/>
      <c r="N2" s="38"/>
      <c r="O2" s="38"/>
      <c r="P2" s="38"/>
      <c r="Q2" s="38"/>
      <c r="R2" s="38"/>
      <c r="S2" s="38"/>
      <c r="T2" s="38"/>
      <c r="U2" s="38"/>
      <c r="V2" s="38"/>
      <c r="W2" s="38"/>
      <c r="X2" s="38"/>
      <c r="Y2" s="38"/>
      <c r="Z2" s="38"/>
      <c r="AA2" s="38"/>
      <c r="AB2" s="38"/>
      <c r="AC2" s="38"/>
      <c r="AD2" s="38"/>
      <c r="AE2" s="38"/>
      <c r="AF2" s="38"/>
      <c r="AG2" s="38"/>
      <c r="AH2" s="38"/>
      <c r="AI2" s="38"/>
      <c r="AJ2" s="38"/>
      <c r="AK2" s="38"/>
      <c r="AL2" s="38"/>
      <c r="AM2" s="38"/>
      <c r="AN2" s="38"/>
      <c r="AO2" s="38"/>
      <c r="AP2" s="38"/>
      <c r="AQ2" s="38"/>
      <c r="AR2" s="38"/>
      <c r="AS2" s="38"/>
      <c r="AT2" s="38"/>
      <c r="AU2" s="38"/>
      <c r="AV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row>
    <row r="3" spans="2:176" x14ac:dyDescent="0.2">
      <c r="D3" s="8"/>
    </row>
    <row r="4" spans="2:176" ht="61.2" hidden="1" outlineLevel="1" x14ac:dyDescent="0.2">
      <c r="B4" s="53" t="str">
        <f>_xll.SNL.Clients.Office.Excel.Functions.SPGTable(ENT_DC,P_DC,,"NA","Options:Curr="&amp;Sel_Curr&amp;",Mag="&amp;Sel_Mag&amp;",ConvMethod="&amp;Sel_Conv)</f>
        <v>SPGTable</v>
      </c>
      <c r="C4" s="114" cm="1">
        <f t="array" ref="C4">_xll.SNL.Clients.Office.Excel.Functions.SPGDATE()-1</f>
        <v>45528</v>
      </c>
      <c r="D4" s="130" t="s">
        <v>1408</v>
      </c>
      <c r="E4" s="130"/>
      <c r="F4" s="130" t="s">
        <v>1407</v>
      </c>
      <c r="G4" s="131"/>
      <c r="H4" s="132" t="s">
        <v>1405</v>
      </c>
      <c r="I4" s="132"/>
      <c r="J4" s="132" t="s">
        <v>1405</v>
      </c>
      <c r="K4" s="132"/>
      <c r="L4" s="132" t="s">
        <v>1409</v>
      </c>
      <c r="M4" s="132"/>
      <c r="N4" s="132" t="s">
        <v>1410</v>
      </c>
      <c r="O4" s="132"/>
      <c r="P4" s="132" t="s">
        <v>1411</v>
      </c>
      <c r="Q4" s="132"/>
      <c r="R4" s="132"/>
      <c r="S4" s="132"/>
      <c r="T4" s="132"/>
      <c r="U4" s="132"/>
      <c r="V4" s="132" t="s">
        <v>1406</v>
      </c>
      <c r="W4" s="132"/>
      <c r="X4" s="132" t="s">
        <v>1412</v>
      </c>
      <c r="Y4" s="132"/>
      <c r="Z4" s="132" t="s">
        <v>1024</v>
      </c>
      <c r="AA4" s="132"/>
      <c r="AB4" s="132" t="s">
        <v>541</v>
      </c>
      <c r="AC4" s="132"/>
      <c r="AD4" s="132" t="s">
        <v>1027</v>
      </c>
      <c r="AE4" s="132"/>
      <c r="AF4" s="132" t="s">
        <v>1028</v>
      </c>
      <c r="AG4" s="132"/>
      <c r="AH4" s="132" t="s">
        <v>1948</v>
      </c>
      <c r="AI4" s="132"/>
      <c r="AJ4" s="132" t="s">
        <v>817</v>
      </c>
      <c r="AK4" s="132"/>
      <c r="AL4" s="132" t="s">
        <v>817</v>
      </c>
      <c r="AM4" s="132"/>
      <c r="AN4" s="132" t="s">
        <v>1945</v>
      </c>
      <c r="AO4" s="132"/>
      <c r="AP4" s="132" t="s">
        <v>1945</v>
      </c>
      <c r="AQ4" s="132"/>
      <c r="AR4" s="132" t="s">
        <v>728</v>
      </c>
      <c r="AS4" s="132"/>
      <c r="AT4" s="132" t="s">
        <v>728</v>
      </c>
      <c r="AU4" s="132"/>
      <c r="AV4" s="132" t="s">
        <v>1946</v>
      </c>
      <c r="AW4" s="132"/>
      <c r="AX4" s="132" t="s">
        <v>1946</v>
      </c>
      <c r="AY4" s="132"/>
      <c r="AZ4" s="132" t="s">
        <v>1396</v>
      </c>
      <c r="BA4" s="132"/>
      <c r="BB4" s="132" t="s">
        <v>1396</v>
      </c>
      <c r="BC4" s="132"/>
      <c r="BD4" s="132" t="s">
        <v>1947</v>
      </c>
      <c r="BE4" s="132"/>
      <c r="BF4" s="132" t="s">
        <v>1947</v>
      </c>
      <c r="BG4" s="132"/>
      <c r="BH4" s="132"/>
      <c r="BI4" s="132"/>
      <c r="BJ4" s="132"/>
      <c r="BK4" s="132"/>
      <c r="BL4" s="132"/>
      <c r="BM4" s="132"/>
      <c r="BN4" s="132"/>
      <c r="BO4" s="132"/>
      <c r="BP4" s="132"/>
      <c r="BQ4" s="132"/>
      <c r="BR4" s="132"/>
      <c r="BS4" s="132"/>
      <c r="BT4" s="132"/>
      <c r="BU4" s="132"/>
      <c r="BV4" s="132"/>
      <c r="BW4" s="132"/>
      <c r="BX4" s="132" t="s">
        <v>1482</v>
      </c>
      <c r="BY4" s="132"/>
      <c r="BZ4" s="132" t="s">
        <v>1482</v>
      </c>
      <c r="CA4" s="132"/>
      <c r="CB4" s="130" t="s">
        <v>1488</v>
      </c>
      <c r="CC4" s="132"/>
      <c r="CD4" s="130" t="s">
        <v>1488</v>
      </c>
      <c r="CE4" s="132"/>
      <c r="CF4" s="132" t="s">
        <v>1415</v>
      </c>
      <c r="CG4" s="132"/>
      <c r="CH4" s="132" t="s">
        <v>1416</v>
      </c>
      <c r="CI4" s="132"/>
      <c r="CJ4" s="132" t="s">
        <v>940</v>
      </c>
      <c r="CK4" s="132"/>
      <c r="CL4" s="132" t="s">
        <v>940</v>
      </c>
      <c r="CM4" s="132"/>
      <c r="CN4" s="132" t="s">
        <v>940</v>
      </c>
      <c r="CO4" s="132"/>
      <c r="CP4" s="132" t="s">
        <v>940</v>
      </c>
      <c r="CQ4" s="132"/>
      <c r="CR4" s="132" t="s">
        <v>273</v>
      </c>
      <c r="CS4" s="132"/>
      <c r="CT4" s="132" t="s">
        <v>273</v>
      </c>
      <c r="CU4" s="132"/>
      <c r="CV4" s="132" t="s">
        <v>273</v>
      </c>
      <c r="CW4" s="132"/>
      <c r="CX4" s="132" t="s">
        <v>273</v>
      </c>
      <c r="CY4" s="132"/>
      <c r="CZ4" s="132" t="s">
        <v>271</v>
      </c>
      <c r="DA4" s="132"/>
      <c r="DB4" s="132" t="s">
        <v>271</v>
      </c>
      <c r="DC4" s="132"/>
      <c r="DD4" s="132" t="s">
        <v>271</v>
      </c>
      <c r="DE4" s="132"/>
      <c r="DF4" s="132" t="s">
        <v>271</v>
      </c>
      <c r="DG4" s="132"/>
      <c r="DH4" s="132" t="s">
        <v>976</v>
      </c>
      <c r="DI4" s="132"/>
      <c r="DJ4" s="132" t="s">
        <v>970</v>
      </c>
      <c r="DK4" s="132"/>
      <c r="DL4" s="132" t="s">
        <v>1440</v>
      </c>
      <c r="DM4" s="132"/>
      <c r="DN4" s="132" t="s">
        <v>1440</v>
      </c>
      <c r="DO4" s="132"/>
      <c r="DP4" s="132" t="s">
        <v>978</v>
      </c>
      <c r="DQ4" s="132"/>
      <c r="DR4" s="132" t="s">
        <v>972</v>
      </c>
      <c r="DS4" s="132"/>
      <c r="DT4" s="132" t="s">
        <v>1441</v>
      </c>
      <c r="DU4" s="132"/>
      <c r="DV4" s="132" t="s">
        <v>1441</v>
      </c>
      <c r="DW4" s="132"/>
      <c r="DX4" s="132"/>
      <c r="DY4" s="132"/>
      <c r="DZ4" s="132"/>
      <c r="EA4" s="132"/>
      <c r="EB4" s="132" t="s">
        <v>734</v>
      </c>
      <c r="EC4" s="132" t="s">
        <v>734</v>
      </c>
      <c r="ED4" s="132" t="s">
        <v>734</v>
      </c>
      <c r="EE4" s="132"/>
      <c r="EF4" s="132" t="s">
        <v>734</v>
      </c>
      <c r="EG4" s="132"/>
      <c r="EH4" s="132" t="s">
        <v>960</v>
      </c>
      <c r="EI4" s="132"/>
      <c r="EJ4" s="132" t="s">
        <v>961</v>
      </c>
      <c r="EK4" s="132"/>
      <c r="EL4" s="132" t="s">
        <v>957</v>
      </c>
      <c r="EM4" s="132"/>
      <c r="EN4" s="132" t="s">
        <v>958</v>
      </c>
      <c r="EO4" s="132"/>
      <c r="EP4" s="132" t="s">
        <v>959</v>
      </c>
      <c r="EQ4" s="132"/>
      <c r="ER4" s="132" t="s">
        <v>953</v>
      </c>
      <c r="ES4" s="132"/>
      <c r="ET4" s="132" t="s">
        <v>954</v>
      </c>
      <c r="EU4" s="132"/>
      <c r="EV4" s="132" t="s">
        <v>277</v>
      </c>
      <c r="EW4" s="132"/>
      <c r="EX4" s="132" t="s">
        <v>279</v>
      </c>
      <c r="EY4" s="132"/>
      <c r="EZ4" s="132" t="s">
        <v>278</v>
      </c>
      <c r="FA4" s="132"/>
      <c r="FB4" s="132" t="s">
        <v>946</v>
      </c>
      <c r="FC4" s="132"/>
      <c r="FD4" s="132" t="s">
        <v>947</v>
      </c>
      <c r="FE4" s="132"/>
      <c r="FF4" s="132" t="s">
        <v>949</v>
      </c>
      <c r="FG4" s="132"/>
      <c r="FH4" s="132" t="s">
        <v>950</v>
      </c>
      <c r="FI4" s="132"/>
      <c r="FJ4" s="132" t="s">
        <v>951</v>
      </c>
      <c r="FK4" s="132"/>
      <c r="FL4" s="132" t="s">
        <v>952</v>
      </c>
      <c r="FM4" s="132"/>
      <c r="FN4" s="132" t="s">
        <v>942</v>
      </c>
      <c r="FO4" s="132"/>
      <c r="FP4" s="132" t="s">
        <v>943</v>
      </c>
      <c r="FQ4" s="132"/>
      <c r="FR4" s="132" t="s">
        <v>944</v>
      </c>
      <c r="FS4" s="132"/>
      <c r="FT4" s="132" t="s">
        <v>945</v>
      </c>
    </row>
    <row r="5" spans="2:176" hidden="1" outlineLevel="1" x14ac:dyDescent="0.2">
      <c r="B5" s="53" t="str">
        <f>_xll.SNL.Clients.Office.Excel.Functions.SPGTable(ENT_DC,P_DC1,,"NA","Options:Curr="&amp;Sel_Curr&amp;",Mag="&amp;Sel_Mag&amp;",ConvMethod="&amp;Sel_Conv)</f>
        <v>SPGTable</v>
      </c>
      <c r="C5" s="93"/>
      <c r="D5" s="46">
        <v>271443</v>
      </c>
      <c r="E5" s="46" t="s">
        <v>192</v>
      </c>
      <c r="F5" s="46" t="s">
        <v>1929</v>
      </c>
      <c r="G5" s="54" t="s">
        <v>192</v>
      </c>
      <c r="H5" s="41" t="s">
        <v>1820</v>
      </c>
      <c r="I5" s="41" t="s">
        <v>192</v>
      </c>
      <c r="J5" s="41" t="s">
        <v>1820</v>
      </c>
      <c r="K5" s="41" t="s">
        <v>192</v>
      </c>
      <c r="L5" s="41" t="s">
        <v>1933</v>
      </c>
      <c r="M5" s="41" t="s">
        <v>192</v>
      </c>
      <c r="N5" s="41" t="s">
        <v>1934</v>
      </c>
      <c r="O5" s="41" t="s">
        <v>192</v>
      </c>
      <c r="P5" s="41" t="s">
        <v>1935</v>
      </c>
      <c r="Q5" s="41" t="s">
        <v>192</v>
      </c>
      <c r="R5" s="41" t="s">
        <v>192</v>
      </c>
      <c r="S5" s="41" t="s">
        <v>192</v>
      </c>
      <c r="T5" s="41" t="s">
        <v>192</v>
      </c>
      <c r="U5" s="41" t="s">
        <v>192</v>
      </c>
      <c r="V5" s="41" t="s">
        <v>1937</v>
      </c>
      <c r="W5" s="41" t="s">
        <v>192</v>
      </c>
      <c r="X5" s="41" t="s">
        <v>1931</v>
      </c>
      <c r="Y5" s="41" t="s">
        <v>192</v>
      </c>
      <c r="Z5" s="41" t="s">
        <v>1589</v>
      </c>
      <c r="AA5" s="41" t="s">
        <v>192</v>
      </c>
      <c r="AB5" s="41" t="s">
        <v>1904</v>
      </c>
      <c r="AC5" s="41" t="s">
        <v>192</v>
      </c>
      <c r="AD5" s="41" t="s">
        <v>1913</v>
      </c>
      <c r="AE5" s="41" t="s">
        <v>192</v>
      </c>
      <c r="AF5" s="41" t="s">
        <v>1760</v>
      </c>
      <c r="AG5" s="41" t="s">
        <v>192</v>
      </c>
      <c r="AH5" s="41" t="s">
        <v>1898</v>
      </c>
      <c r="AI5" s="41" t="s">
        <v>192</v>
      </c>
      <c r="AJ5" s="41" t="s">
        <v>1915</v>
      </c>
      <c r="AK5" s="41" t="s">
        <v>192</v>
      </c>
      <c r="AL5" s="41" t="s">
        <v>1915</v>
      </c>
      <c r="AM5" s="41" t="s">
        <v>192</v>
      </c>
      <c r="AN5" s="41" t="s">
        <v>1936</v>
      </c>
      <c r="AO5" s="41" t="s">
        <v>192</v>
      </c>
      <c r="AP5" s="41" t="s">
        <v>1936</v>
      </c>
      <c r="AQ5" s="41" t="s">
        <v>192</v>
      </c>
      <c r="AR5" s="41" t="s">
        <v>1661</v>
      </c>
      <c r="AS5" s="41" t="s">
        <v>192</v>
      </c>
      <c r="AT5" s="41" t="s">
        <v>1661</v>
      </c>
      <c r="AU5" s="41" t="s">
        <v>192</v>
      </c>
      <c r="AV5" s="41" t="s">
        <v>1928</v>
      </c>
      <c r="AW5" s="41" t="s">
        <v>192</v>
      </c>
      <c r="AX5" s="41" t="s">
        <v>1928</v>
      </c>
      <c r="AY5" s="41" t="s">
        <v>192</v>
      </c>
      <c r="AZ5" s="41" t="s">
        <v>1639</v>
      </c>
      <c r="BA5" s="41" t="s">
        <v>192</v>
      </c>
      <c r="BB5" s="41" t="s">
        <v>1639</v>
      </c>
      <c r="BC5" s="41" t="s">
        <v>192</v>
      </c>
      <c r="BD5" s="41" t="s">
        <v>1930</v>
      </c>
      <c r="BE5" s="41" t="s">
        <v>192</v>
      </c>
      <c r="BF5" s="41" t="s">
        <v>1930</v>
      </c>
      <c r="BG5" s="41" t="s">
        <v>192</v>
      </c>
      <c r="BH5" s="41" t="s">
        <v>192</v>
      </c>
      <c r="BI5" s="41" t="s">
        <v>192</v>
      </c>
      <c r="BJ5" s="41" t="s">
        <v>192</v>
      </c>
      <c r="BK5" s="41" t="s">
        <v>192</v>
      </c>
      <c r="BL5" s="41" t="s">
        <v>192</v>
      </c>
      <c r="BM5" s="41" t="s">
        <v>192</v>
      </c>
      <c r="BN5" s="41" t="s">
        <v>192</v>
      </c>
      <c r="BO5" s="41" t="s">
        <v>192</v>
      </c>
      <c r="BP5" s="41" t="s">
        <v>192</v>
      </c>
      <c r="BQ5" s="41" t="s">
        <v>192</v>
      </c>
      <c r="BR5" s="41" t="s">
        <v>192</v>
      </c>
      <c r="BS5" s="41" t="s">
        <v>192</v>
      </c>
      <c r="BT5" s="41" t="s">
        <v>192</v>
      </c>
      <c r="BU5" s="41" t="s">
        <v>192</v>
      </c>
      <c r="BV5" s="41" t="s">
        <v>192</v>
      </c>
      <c r="BW5" s="41" t="s">
        <v>192</v>
      </c>
      <c r="BX5" s="41" t="s">
        <v>1818</v>
      </c>
      <c r="BY5" s="41" t="s">
        <v>192</v>
      </c>
      <c r="BZ5" s="41" t="s">
        <v>1818</v>
      </c>
      <c r="CA5" s="41" t="s">
        <v>192</v>
      </c>
      <c r="CB5" s="41" t="s">
        <v>1932</v>
      </c>
      <c r="CC5" s="41" t="s">
        <v>192</v>
      </c>
      <c r="CD5" s="41" t="s">
        <v>1932</v>
      </c>
      <c r="CE5" s="41" t="s">
        <v>192</v>
      </c>
      <c r="CF5" s="41" t="s">
        <v>1817</v>
      </c>
      <c r="CG5" s="41" t="s">
        <v>192</v>
      </c>
      <c r="CH5" s="41" t="s">
        <v>1833</v>
      </c>
      <c r="CI5" s="41" t="s">
        <v>192</v>
      </c>
      <c r="CJ5" s="41" t="s">
        <v>1706</v>
      </c>
      <c r="CK5" s="41" t="s">
        <v>192</v>
      </c>
      <c r="CL5" s="41" t="s">
        <v>1706</v>
      </c>
      <c r="CM5" s="41" t="s">
        <v>192</v>
      </c>
      <c r="CN5" s="41" t="s">
        <v>1706</v>
      </c>
      <c r="CO5" s="41" t="s">
        <v>192</v>
      </c>
      <c r="CP5" s="41" t="s">
        <v>1706</v>
      </c>
      <c r="CQ5" s="41" t="s">
        <v>192</v>
      </c>
      <c r="CR5" s="41" t="s">
        <v>1666</v>
      </c>
      <c r="CS5" s="41" t="s">
        <v>192</v>
      </c>
      <c r="CT5" s="41" t="s">
        <v>1666</v>
      </c>
      <c r="CU5" s="41" t="s">
        <v>192</v>
      </c>
      <c r="CV5" s="41" t="s">
        <v>1666</v>
      </c>
      <c r="CW5" s="41" t="s">
        <v>192</v>
      </c>
      <c r="CX5" s="41" t="s">
        <v>1666</v>
      </c>
      <c r="CY5" s="41" t="s">
        <v>192</v>
      </c>
      <c r="CZ5" s="41" t="s">
        <v>1783</v>
      </c>
      <c r="DA5" s="41" t="s">
        <v>192</v>
      </c>
      <c r="DB5" s="41" t="s">
        <v>1783</v>
      </c>
      <c r="DC5" s="41" t="s">
        <v>192</v>
      </c>
      <c r="DD5" s="41" t="s">
        <v>1783</v>
      </c>
      <c r="DE5" s="41" t="s">
        <v>192</v>
      </c>
      <c r="DF5" s="41" t="s">
        <v>1783</v>
      </c>
      <c r="DG5" s="41" t="s">
        <v>192</v>
      </c>
      <c r="DH5" s="41" t="s">
        <v>1918</v>
      </c>
      <c r="DI5" s="41" t="s">
        <v>192</v>
      </c>
      <c r="DJ5" s="41" t="s">
        <v>1917</v>
      </c>
      <c r="DK5" s="41" t="s">
        <v>192</v>
      </c>
      <c r="DL5" s="41" t="s">
        <v>1916</v>
      </c>
      <c r="DM5" s="41" t="s">
        <v>192</v>
      </c>
      <c r="DN5" s="41" t="s">
        <v>1916</v>
      </c>
      <c r="DO5" s="41" t="s">
        <v>192</v>
      </c>
      <c r="DP5" s="41" t="s">
        <v>1664</v>
      </c>
      <c r="DQ5" s="41" t="s">
        <v>192</v>
      </c>
      <c r="DR5" s="41" t="s">
        <v>1663</v>
      </c>
      <c r="DS5" s="41" t="s">
        <v>192</v>
      </c>
      <c r="DT5" s="41" t="s">
        <v>1662</v>
      </c>
      <c r="DU5" s="41" t="s">
        <v>192</v>
      </c>
      <c r="DV5" s="41" t="s">
        <v>1662</v>
      </c>
      <c r="DW5" s="41" t="s">
        <v>192</v>
      </c>
      <c r="DX5" s="41" t="s">
        <v>192</v>
      </c>
      <c r="DY5" s="41" t="s">
        <v>192</v>
      </c>
      <c r="DZ5" s="41" t="s">
        <v>192</v>
      </c>
      <c r="EA5" s="41" t="s">
        <v>192</v>
      </c>
      <c r="EB5" s="41" t="s">
        <v>1553</v>
      </c>
      <c r="EC5" s="41" t="s">
        <v>1553</v>
      </c>
      <c r="ED5" s="41" t="s">
        <v>1553</v>
      </c>
      <c r="EE5" s="41" t="s">
        <v>192</v>
      </c>
      <c r="EF5" s="41" t="s">
        <v>1553</v>
      </c>
      <c r="EG5" s="41" t="s">
        <v>192</v>
      </c>
      <c r="EH5" s="41" t="s">
        <v>1629</v>
      </c>
      <c r="EI5" s="41" t="s">
        <v>192</v>
      </c>
      <c r="EJ5" s="41" t="s">
        <v>1769</v>
      </c>
      <c r="EK5" s="41" t="s">
        <v>192</v>
      </c>
      <c r="EL5" s="41" t="s">
        <v>1658</v>
      </c>
      <c r="EM5" s="41" t="s">
        <v>192</v>
      </c>
      <c r="EN5" s="41" t="s">
        <v>1665</v>
      </c>
      <c r="EO5" s="41" t="s">
        <v>192</v>
      </c>
      <c r="EP5" s="41">
        <v>275306</v>
      </c>
      <c r="EQ5" s="41" t="s">
        <v>192</v>
      </c>
      <c r="ER5" s="41" t="s">
        <v>1630</v>
      </c>
      <c r="ES5" s="41" t="s">
        <v>192</v>
      </c>
      <c r="ET5" s="41" t="s">
        <v>1628</v>
      </c>
      <c r="EU5" s="41" t="s">
        <v>192</v>
      </c>
      <c r="EV5" s="41" t="s">
        <v>1853</v>
      </c>
      <c r="EW5" s="41" t="s">
        <v>192</v>
      </c>
      <c r="EX5" s="41" t="s">
        <v>1850</v>
      </c>
      <c r="EY5" s="41" t="s">
        <v>192</v>
      </c>
      <c r="EZ5" s="41" t="s">
        <v>1851</v>
      </c>
      <c r="FA5" s="41" t="s">
        <v>192</v>
      </c>
      <c r="FB5" s="41" t="s">
        <v>1619</v>
      </c>
      <c r="FC5" s="41" t="s">
        <v>192</v>
      </c>
      <c r="FD5" s="41" t="s">
        <v>1834</v>
      </c>
      <c r="FE5" s="41" t="s">
        <v>192</v>
      </c>
      <c r="FF5" s="41" t="s">
        <v>1625</v>
      </c>
      <c r="FG5" s="41" t="s">
        <v>192</v>
      </c>
      <c r="FH5" s="41" t="s">
        <v>1623</v>
      </c>
      <c r="FI5" s="41" t="s">
        <v>192</v>
      </c>
      <c r="FJ5" s="41" t="s">
        <v>1624</v>
      </c>
      <c r="FK5" s="41" t="s">
        <v>192</v>
      </c>
      <c r="FL5" s="41" t="s">
        <v>1580</v>
      </c>
      <c r="FM5" s="41" t="s">
        <v>192</v>
      </c>
      <c r="FN5" s="41" t="s">
        <v>1533</v>
      </c>
      <c r="FO5" s="41" t="s">
        <v>192</v>
      </c>
      <c r="FP5" s="41" t="s">
        <v>1691</v>
      </c>
      <c r="FQ5" s="41" t="s">
        <v>192</v>
      </c>
      <c r="FR5" s="41" t="s">
        <v>1532</v>
      </c>
      <c r="FS5" s="41" t="s">
        <v>192</v>
      </c>
      <c r="FT5" s="41" t="s">
        <v>1730</v>
      </c>
    </row>
    <row r="6" spans="2:176" hidden="1" outlineLevel="1" x14ac:dyDescent="0.2">
      <c r="B6" s="93"/>
      <c r="C6" s="93"/>
      <c r="D6" s="54"/>
      <c r="E6" s="54"/>
      <c r="F6" s="54"/>
      <c r="G6" s="54"/>
      <c r="H6" s="41" t="s">
        <v>1413</v>
      </c>
      <c r="I6" s="41"/>
      <c r="J6" s="41" t="s">
        <v>285</v>
      </c>
      <c r="K6" s="41"/>
      <c r="L6" s="115">
        <f>IF(WEEKDAY(C4)=1,C4-2,IF(WEEKDAY(C4)=7,C4-1,C4))</f>
        <v>45527</v>
      </c>
      <c r="M6" s="41"/>
      <c r="N6" s="41"/>
      <c r="O6" s="41"/>
      <c r="P6" s="41"/>
      <c r="Q6" s="41"/>
      <c r="R6" s="41"/>
      <c r="S6" s="41"/>
      <c r="T6" s="41"/>
      <c r="U6" s="41"/>
      <c r="V6" s="115">
        <f>X6</f>
        <v>45527</v>
      </c>
      <c r="W6" s="41"/>
      <c r="X6" s="115">
        <f>L6</f>
        <v>45527</v>
      </c>
      <c r="Y6" s="41"/>
      <c r="Z6" s="41" t="s">
        <v>1413</v>
      </c>
      <c r="AA6" s="41"/>
      <c r="AB6" s="41" t="s">
        <v>1413</v>
      </c>
      <c r="AC6" s="41"/>
      <c r="AD6" s="41" t="s">
        <v>1413</v>
      </c>
      <c r="AE6" s="41"/>
      <c r="AF6" s="41" t="s">
        <v>1413</v>
      </c>
      <c r="AG6" s="41"/>
      <c r="AH6" s="115">
        <f>X6</f>
        <v>45527</v>
      </c>
      <c r="AI6" s="41"/>
      <c r="AJ6" s="41" t="s">
        <v>1413</v>
      </c>
      <c r="AK6" s="41"/>
      <c r="AL6" s="41" t="s">
        <v>285</v>
      </c>
      <c r="AM6" s="41"/>
      <c r="AN6" s="41" t="str" cm="1">
        <f t="array" ref="AN6">"FY"&amp;YEAR(_xll.SNL.Clients.Office.Excel.Functions.SPGDATE())</f>
        <v>FY2024</v>
      </c>
      <c r="AO6" s="41"/>
      <c r="AP6" s="41" t="str" cm="1">
        <f t="array" ref="AP6">"FY"&amp;YEAR(_xll.SNL.Clients.Office.Excel.Functions.SPGDATE())+1</f>
        <v>FY2025</v>
      </c>
      <c r="AQ6" s="41"/>
      <c r="AR6" s="41" t="s">
        <v>1413</v>
      </c>
      <c r="AS6" s="41"/>
      <c r="AT6" s="41" t="s">
        <v>285</v>
      </c>
      <c r="AU6" s="41"/>
      <c r="AV6" s="41" t="str" cm="1">
        <f t="array" ref="AV6">"FY"&amp;YEAR(_xll.SNL.Clients.Office.Excel.Functions.SPGDATE())</f>
        <v>FY2024</v>
      </c>
      <c r="AW6" s="41"/>
      <c r="AX6" s="41" t="str" cm="1">
        <f t="array" ref="AX6">"FY"&amp;YEAR(_xll.SNL.Clients.Office.Excel.Functions.SPGDATE())+1</f>
        <v>FY2025</v>
      </c>
      <c r="AY6" s="41"/>
      <c r="AZ6" s="41" t="s">
        <v>1413</v>
      </c>
      <c r="BA6" s="41"/>
      <c r="BB6" s="41" t="s">
        <v>285</v>
      </c>
      <c r="BC6" s="41"/>
      <c r="BD6" s="41" t="str" cm="1">
        <f t="array" ref="BD6">"FY"&amp;YEAR(_xll.SNL.Clients.Office.Excel.Functions.SPGDATE())</f>
        <v>FY2024</v>
      </c>
      <c r="BE6" s="41"/>
      <c r="BF6" s="41" t="str" cm="1">
        <f t="array" ref="BF6">"FY"&amp;YEAR(_xll.SNL.Clients.Office.Excel.Functions.SPGDATE())+1</f>
        <v>FY2025</v>
      </c>
      <c r="BG6" s="41"/>
      <c r="BH6" s="41"/>
      <c r="BI6" s="41"/>
      <c r="BJ6" s="41"/>
      <c r="BK6" s="41"/>
      <c r="BL6" s="41"/>
      <c r="BM6" s="41"/>
      <c r="BN6" s="41"/>
      <c r="BO6" s="41"/>
      <c r="BP6" s="41"/>
      <c r="BQ6" s="41"/>
      <c r="BR6" s="41"/>
      <c r="BS6" s="41"/>
      <c r="BT6" s="41"/>
      <c r="BU6" s="41"/>
      <c r="BV6" s="41"/>
      <c r="BW6" s="41"/>
      <c r="BX6" s="115">
        <f>IF(WEEKDAY(H28)=1,H28-2,IF(WEEKDAY(H28)=7,H28-1,H28))</f>
        <v>45289</v>
      </c>
      <c r="BY6" s="115"/>
      <c r="BZ6" s="115">
        <f>IF(WEEKDAY(J28)=1,J28-2,IF(WEEKDAY(J28)=7,J28-1,J28))</f>
        <v>45471</v>
      </c>
      <c r="CA6" s="41"/>
      <c r="CB6" s="41" t="str" cm="1">
        <f t="array" ref="CB6">"FY"&amp;YEAR(_xll.SNL.Clients.Office.Excel.Functions.SPGDATE())</f>
        <v>FY2024</v>
      </c>
      <c r="CC6" s="41"/>
      <c r="CD6" s="41" t="str" cm="1">
        <f t="array" ref="CD6">"FY"&amp;YEAR(_xll.SNL.Clients.Office.Excel.Functions.SPGDATE())+1</f>
        <v>FY2025</v>
      </c>
      <c r="CE6" s="41"/>
      <c r="CF6" s="115">
        <f>V6</f>
        <v>45527</v>
      </c>
      <c r="CG6" s="41"/>
      <c r="CH6" s="115">
        <f>CF6</f>
        <v>45527</v>
      </c>
      <c r="CI6" s="41"/>
      <c r="CJ6" s="41" t="s">
        <v>800</v>
      </c>
      <c r="CK6" s="41"/>
      <c r="CL6" s="41" t="s">
        <v>799</v>
      </c>
      <c r="CM6" s="41"/>
      <c r="CN6" s="41" t="s">
        <v>1413</v>
      </c>
      <c r="CO6" s="41"/>
      <c r="CP6" s="41" t="s">
        <v>285</v>
      </c>
      <c r="CQ6" s="41"/>
      <c r="CR6" s="41" t="s">
        <v>800</v>
      </c>
      <c r="CS6" s="41"/>
      <c r="CT6" s="41" t="s">
        <v>799</v>
      </c>
      <c r="CU6" s="41"/>
      <c r="CV6" s="41" t="s">
        <v>1413</v>
      </c>
      <c r="CW6" s="41"/>
      <c r="CX6" s="41" t="s">
        <v>285</v>
      </c>
      <c r="CY6" s="41"/>
      <c r="CZ6" s="41" t="s">
        <v>800</v>
      </c>
      <c r="DA6" s="41"/>
      <c r="DB6" s="41" t="s">
        <v>799</v>
      </c>
      <c r="DC6" s="41"/>
      <c r="DD6" s="41" t="s">
        <v>1413</v>
      </c>
      <c r="DE6" s="41"/>
      <c r="DF6" s="41" t="s">
        <v>285</v>
      </c>
      <c r="DG6" s="41"/>
      <c r="DH6" s="41" t="s">
        <v>285</v>
      </c>
      <c r="DI6" s="41"/>
      <c r="DJ6" s="41" t="s">
        <v>285</v>
      </c>
      <c r="DK6" s="41"/>
      <c r="DL6" s="41" t="s">
        <v>1413</v>
      </c>
      <c r="DM6" s="41"/>
      <c r="DN6" s="41" t="s">
        <v>285</v>
      </c>
      <c r="DO6" s="41"/>
      <c r="DP6" s="41" t="s">
        <v>285</v>
      </c>
      <c r="DQ6" s="41"/>
      <c r="DR6" s="41" t="s">
        <v>285</v>
      </c>
      <c r="DS6" s="41"/>
      <c r="DT6" s="41" t="s">
        <v>1413</v>
      </c>
      <c r="DU6" s="41"/>
      <c r="DV6" s="41" t="s">
        <v>285</v>
      </c>
      <c r="DW6" s="41"/>
      <c r="DX6" s="41"/>
      <c r="DY6" s="41"/>
      <c r="DZ6" s="41"/>
      <c r="EA6" s="41"/>
      <c r="EB6" s="41" t="s">
        <v>1449</v>
      </c>
      <c r="EC6" s="41" t="s">
        <v>1448</v>
      </c>
      <c r="ED6" s="41" t="s">
        <v>1413</v>
      </c>
      <c r="EE6" s="41"/>
      <c r="EF6" s="41" t="s">
        <v>285</v>
      </c>
      <c r="EG6" s="41"/>
      <c r="EH6" s="41" t="s">
        <v>1413</v>
      </c>
      <c r="EI6" s="41"/>
      <c r="EJ6" s="41" t="s">
        <v>1413</v>
      </c>
      <c r="EK6" s="41"/>
      <c r="EL6" s="41" t="s">
        <v>1413</v>
      </c>
      <c r="EM6" s="41"/>
      <c r="EN6" s="41" t="s">
        <v>1413</v>
      </c>
      <c r="EO6" s="41"/>
      <c r="EP6" s="41" t="s">
        <v>1413</v>
      </c>
      <c r="EQ6" s="41"/>
      <c r="ER6" s="41" t="s">
        <v>1413</v>
      </c>
      <c r="ES6" s="41"/>
      <c r="ET6" s="41" t="s">
        <v>1413</v>
      </c>
      <c r="EU6" s="41"/>
      <c r="EV6" s="41" t="s">
        <v>285</v>
      </c>
      <c r="EW6" s="41"/>
      <c r="EX6" s="41" t="s">
        <v>285</v>
      </c>
      <c r="EY6" s="41"/>
      <c r="EZ6" s="41" t="s">
        <v>285</v>
      </c>
      <c r="FA6" s="41"/>
      <c r="FB6" s="41" t="s">
        <v>285</v>
      </c>
      <c r="FC6" s="41"/>
      <c r="FD6" s="41" t="s">
        <v>285</v>
      </c>
      <c r="FE6" s="41"/>
      <c r="FF6" s="41" t="s">
        <v>285</v>
      </c>
      <c r="FG6" s="41"/>
      <c r="FH6" s="41" t="s">
        <v>285</v>
      </c>
      <c r="FI6" s="41"/>
      <c r="FJ6" s="41" t="s">
        <v>285</v>
      </c>
      <c r="FK6" s="41"/>
      <c r="FL6" s="41" t="s">
        <v>285</v>
      </c>
      <c r="FM6" s="41"/>
      <c r="FN6" s="41" t="s">
        <v>285</v>
      </c>
      <c r="FO6" s="41"/>
      <c r="FP6" s="41" t="s">
        <v>285</v>
      </c>
      <c r="FQ6" s="41"/>
      <c r="FR6" s="41" t="s">
        <v>285</v>
      </c>
      <c r="FS6" s="41"/>
      <c r="FT6" s="41" t="s">
        <v>285</v>
      </c>
    </row>
    <row r="7" spans="2:176" hidden="1" outlineLevel="1" x14ac:dyDescent="0.2">
      <c r="B7" s="93"/>
      <c r="C7" s="93"/>
      <c r="D7" s="54"/>
      <c r="E7" s="54"/>
      <c r="F7" s="54"/>
      <c r="G7" s="54"/>
      <c r="H7" s="41"/>
      <c r="I7" s="41"/>
      <c r="J7" s="41"/>
      <c r="K7" s="41"/>
      <c r="L7" s="41"/>
      <c r="M7" s="41"/>
      <c r="N7" s="41">
        <v>14</v>
      </c>
      <c r="O7" s="41"/>
      <c r="P7" s="41">
        <v>14</v>
      </c>
      <c r="Q7" s="41"/>
      <c r="R7" s="41"/>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1"/>
      <c r="CR7" s="41"/>
      <c r="CS7" s="41"/>
      <c r="CT7" s="41"/>
      <c r="CU7" s="41"/>
      <c r="CV7" s="41"/>
      <c r="CW7" s="41"/>
      <c r="CX7" s="41"/>
      <c r="CY7" s="41"/>
      <c r="CZ7" s="41"/>
      <c r="DA7" s="41"/>
      <c r="DB7" s="41"/>
      <c r="DC7" s="41"/>
      <c r="DD7" s="41"/>
      <c r="DE7" s="41"/>
      <c r="DF7" s="41"/>
      <c r="DG7" s="41"/>
      <c r="DH7" s="41"/>
      <c r="DI7" s="41"/>
      <c r="DJ7" s="41"/>
      <c r="DK7" s="41"/>
      <c r="DL7" s="41"/>
      <c r="DM7" s="41"/>
      <c r="DN7" s="41"/>
      <c r="DO7" s="41"/>
      <c r="DP7" s="41"/>
      <c r="DQ7" s="41"/>
      <c r="DR7" s="41"/>
      <c r="DS7" s="41"/>
      <c r="DT7" s="41"/>
      <c r="DU7" s="41"/>
      <c r="DV7" s="41"/>
      <c r="DW7" s="41"/>
      <c r="DX7" s="41"/>
      <c r="DY7" s="41"/>
      <c r="DZ7" s="41"/>
      <c r="EA7" s="41"/>
      <c r="EB7" s="41"/>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1"/>
      <c r="FC7" s="41"/>
      <c r="FD7" s="41"/>
      <c r="FE7" s="41"/>
      <c r="FF7" s="41"/>
      <c r="FG7" s="41"/>
      <c r="FH7" s="41"/>
      <c r="FI7" s="41"/>
      <c r="FJ7" s="41"/>
      <c r="FK7" s="41"/>
      <c r="FL7" s="41"/>
      <c r="FM7" s="41"/>
      <c r="FN7" s="41"/>
      <c r="FO7" s="41"/>
      <c r="FP7" s="41"/>
      <c r="FQ7" s="41"/>
      <c r="FR7" s="41"/>
      <c r="FS7" s="41"/>
      <c r="FT7" s="41"/>
    </row>
    <row r="8" spans="2:176" s="8" customFormat="1" collapsed="1" x14ac:dyDescent="0.2">
      <c r="B8" s="93"/>
      <c r="C8" s="93"/>
      <c r="D8" s="67"/>
      <c r="H8" s="17" t="s">
        <v>824</v>
      </c>
      <c r="I8" s="17"/>
      <c r="J8" s="17"/>
      <c r="L8" s="17" t="str">
        <f>"Trading Data "&amp;Cu_Sym</f>
        <v>Trading Data ($)</v>
      </c>
      <c r="M8" s="17"/>
      <c r="N8" s="17"/>
      <c r="O8" s="17"/>
      <c r="P8" s="17"/>
      <c r="Q8" s="17"/>
      <c r="R8" s="17"/>
      <c r="S8" s="17"/>
      <c r="T8" s="17"/>
      <c r="V8" s="17" t="str">
        <f>"EV Calculation "&amp;Curr_Sym</f>
        <v>EV Calculation ($M)</v>
      </c>
      <c r="W8" s="17"/>
      <c r="X8" s="17"/>
      <c r="Y8" s="17"/>
      <c r="Z8" s="17"/>
      <c r="AA8" s="17"/>
      <c r="AB8" s="17"/>
      <c r="AC8" s="17"/>
      <c r="AD8" s="17"/>
      <c r="AE8" s="17"/>
      <c r="AF8" s="17"/>
      <c r="AG8" s="17"/>
      <c r="AH8" s="17"/>
      <c r="AJ8" s="17" t="s">
        <v>823</v>
      </c>
      <c r="AK8" s="17"/>
      <c r="AL8" s="17"/>
      <c r="AM8" s="17"/>
      <c r="AN8" s="17"/>
      <c r="AO8" s="17"/>
      <c r="AP8" s="17"/>
      <c r="AQ8" s="17"/>
      <c r="AR8" s="17"/>
      <c r="AS8" s="17"/>
      <c r="AT8" s="17"/>
      <c r="AU8" s="17"/>
      <c r="AV8" s="17"/>
      <c r="AW8" s="17"/>
      <c r="AX8" s="17"/>
      <c r="AY8" s="17"/>
      <c r="AZ8" s="17"/>
      <c r="BA8" s="17"/>
      <c r="BB8" s="17"/>
      <c r="BC8" s="17"/>
      <c r="BD8" s="17"/>
      <c r="BE8" s="17"/>
      <c r="BF8" s="17"/>
      <c r="BH8" s="17" t="s">
        <v>822</v>
      </c>
      <c r="BI8" s="17"/>
      <c r="BJ8" s="17"/>
      <c r="BK8" s="17"/>
      <c r="BL8" s="17"/>
      <c r="BM8" s="17"/>
      <c r="BN8" s="17"/>
      <c r="BO8" s="17"/>
      <c r="BP8" s="17"/>
      <c r="BQ8" s="17"/>
      <c r="BR8" s="17"/>
      <c r="BS8" s="17"/>
      <c r="BT8" s="17"/>
      <c r="BU8" s="17"/>
      <c r="BV8" s="17"/>
      <c r="BW8" s="17"/>
      <c r="BX8" s="17"/>
      <c r="BY8" s="17"/>
      <c r="BZ8" s="17"/>
      <c r="CA8" s="17"/>
      <c r="CB8" s="17"/>
      <c r="CC8" s="17"/>
      <c r="CD8" s="17"/>
      <c r="CE8" s="17"/>
      <c r="CF8" s="17"/>
      <c r="CG8" s="17"/>
      <c r="CH8" s="17"/>
      <c r="CJ8" s="17" t="s">
        <v>1493</v>
      </c>
      <c r="CK8" s="17"/>
      <c r="CL8" s="17"/>
      <c r="CM8" s="17"/>
      <c r="CN8" s="17"/>
      <c r="CO8" s="17"/>
      <c r="CP8" s="17"/>
      <c r="CQ8" s="17"/>
      <c r="CR8" s="17"/>
      <c r="CS8" s="17"/>
      <c r="CT8" s="17"/>
      <c r="CU8" s="17"/>
      <c r="CV8" s="17"/>
      <c r="CW8" s="17"/>
      <c r="CX8" s="17"/>
      <c r="CY8" s="17"/>
      <c r="CZ8" s="17"/>
      <c r="DA8" s="17"/>
      <c r="DB8" s="17"/>
      <c r="DC8" s="17"/>
      <c r="DD8" s="17"/>
      <c r="DE8" s="17"/>
      <c r="DF8" s="17"/>
      <c r="DH8" s="17" t="s">
        <v>1494</v>
      </c>
      <c r="DI8" s="17"/>
      <c r="DJ8" s="17"/>
      <c r="DK8" s="17"/>
      <c r="DL8" s="17"/>
      <c r="DM8" s="17"/>
      <c r="DN8" s="17"/>
      <c r="DO8" s="17"/>
      <c r="DP8" s="17"/>
      <c r="DQ8" s="17"/>
      <c r="DR8" s="17"/>
      <c r="DS8" s="17"/>
      <c r="DT8" s="17"/>
      <c r="DU8" s="17"/>
      <c r="DV8" s="17"/>
      <c r="DW8" s="17"/>
      <c r="DX8" s="17"/>
      <c r="DY8" s="17"/>
      <c r="DZ8" s="17"/>
      <c r="EA8" s="17"/>
      <c r="EB8" s="17"/>
      <c r="EC8" s="17"/>
      <c r="ED8" s="17"/>
      <c r="EE8" s="17"/>
      <c r="EF8" s="17"/>
      <c r="EH8" s="17" t="s">
        <v>1507</v>
      </c>
      <c r="EI8" s="17"/>
      <c r="EJ8" s="17"/>
      <c r="EK8" s="17"/>
      <c r="EL8" s="17"/>
      <c r="EM8" s="17"/>
      <c r="EN8" s="17"/>
      <c r="EO8" s="17"/>
      <c r="EP8" s="17"/>
      <c r="EQ8" s="17"/>
      <c r="ER8" s="17"/>
      <c r="ES8" s="17"/>
      <c r="ET8" s="17"/>
      <c r="EV8" s="17" t="s">
        <v>821</v>
      </c>
      <c r="EW8" s="17"/>
      <c r="EX8" s="17"/>
      <c r="EY8" s="17"/>
      <c r="EZ8" s="17"/>
      <c r="FB8" s="17" t="s">
        <v>1506</v>
      </c>
      <c r="FC8" s="17"/>
      <c r="FD8" s="17"/>
      <c r="FE8" s="17"/>
      <c r="FF8" s="17"/>
      <c r="FG8" s="17"/>
      <c r="FH8" s="17"/>
      <c r="FI8" s="17"/>
      <c r="FJ8" s="17"/>
      <c r="FK8" s="17"/>
      <c r="FL8" s="17"/>
      <c r="FN8" s="17" t="s">
        <v>1489</v>
      </c>
      <c r="FO8" s="17"/>
      <c r="FP8" s="17"/>
      <c r="FQ8" s="17"/>
      <c r="FR8" s="17"/>
      <c r="FS8" s="17"/>
      <c r="FT8" s="17"/>
    </row>
    <row r="9" spans="2:176" s="8" customFormat="1" x14ac:dyDescent="0.2">
      <c r="B9" s="93"/>
      <c r="C9" s="93"/>
      <c r="L9" s="68" t="s">
        <v>820</v>
      </c>
      <c r="N9" s="68" t="s">
        <v>819</v>
      </c>
      <c r="P9" s="68" t="s">
        <v>819</v>
      </c>
      <c r="R9" s="68" t="s">
        <v>818</v>
      </c>
      <c r="T9" s="68" t="s">
        <v>818</v>
      </c>
      <c r="V9" s="68" t="s">
        <v>1511</v>
      </c>
      <c r="X9" s="68" t="s">
        <v>804</v>
      </c>
      <c r="Z9" s="68" t="s">
        <v>1472</v>
      </c>
      <c r="AH9" s="68" t="s">
        <v>801</v>
      </c>
      <c r="AJ9" s="69" t="str">
        <f>"Total Revenue "&amp;Curr_Sym</f>
        <v>Total Revenue ($M)</v>
      </c>
      <c r="AK9" s="69"/>
      <c r="AL9" s="69"/>
      <c r="AM9" s="69"/>
      <c r="AN9" s="69"/>
      <c r="AO9" s="69"/>
      <c r="AP9" s="69"/>
      <c r="AR9" s="69" t="str">
        <f>"EBITDA "&amp;Curr_Sym</f>
        <v>EBITDA ($M)</v>
      </c>
      <c r="AS9" s="69"/>
      <c r="AT9" s="69"/>
      <c r="AU9" s="69"/>
      <c r="AV9" s="69"/>
      <c r="AW9" s="69"/>
      <c r="AX9" s="69"/>
      <c r="AZ9" s="69" t="str">
        <f>"Diluted EPS "&amp;Cu_Sym</f>
        <v>Diluted EPS ($)</v>
      </c>
      <c r="BA9" s="69"/>
      <c r="BB9" s="69"/>
      <c r="BC9" s="69"/>
      <c r="BD9" s="69"/>
      <c r="BE9" s="69"/>
      <c r="BF9" s="69"/>
      <c r="BH9" s="69" t="s">
        <v>1490</v>
      </c>
      <c r="BI9" s="69"/>
      <c r="BJ9" s="69"/>
      <c r="BK9" s="69"/>
      <c r="BL9" s="69"/>
      <c r="BM9" s="69"/>
      <c r="BN9" s="69"/>
      <c r="BP9" s="69" t="s">
        <v>1491</v>
      </c>
      <c r="BQ9" s="69"/>
      <c r="BR9" s="69"/>
      <c r="BS9" s="69"/>
      <c r="BT9" s="69"/>
      <c r="BU9" s="69"/>
      <c r="BV9" s="69"/>
      <c r="BX9" s="69" t="s">
        <v>1492</v>
      </c>
      <c r="BY9" s="69"/>
      <c r="BZ9" s="69"/>
      <c r="CA9" s="69"/>
      <c r="CB9" s="69"/>
      <c r="CC9" s="69"/>
      <c r="CD9" s="69"/>
      <c r="CF9" s="68" t="s">
        <v>1486</v>
      </c>
      <c r="CH9" s="68" t="s">
        <v>1509</v>
      </c>
      <c r="CJ9" s="70" t="s">
        <v>274</v>
      </c>
      <c r="CK9" s="70"/>
      <c r="CL9" s="70"/>
      <c r="CM9" s="70"/>
      <c r="CN9" s="70"/>
      <c r="CO9" s="70"/>
      <c r="CP9" s="70"/>
      <c r="CR9" s="70" t="s">
        <v>273</v>
      </c>
      <c r="CS9" s="70"/>
      <c r="CT9" s="70"/>
      <c r="CU9" s="70"/>
      <c r="CV9" s="70"/>
      <c r="CW9" s="70"/>
      <c r="CX9" s="70"/>
      <c r="CZ9" s="70" t="s">
        <v>271</v>
      </c>
      <c r="DA9" s="70"/>
      <c r="DB9" s="70"/>
      <c r="DC9" s="70"/>
      <c r="DD9" s="70"/>
      <c r="DE9" s="70"/>
      <c r="DF9" s="70"/>
      <c r="DH9" s="70" t="s">
        <v>254</v>
      </c>
      <c r="DI9" s="70"/>
      <c r="DJ9" s="70"/>
      <c r="DK9" s="70"/>
      <c r="DL9" s="70"/>
      <c r="DM9" s="70"/>
      <c r="DN9" s="70"/>
      <c r="DP9" s="70" t="s">
        <v>252</v>
      </c>
      <c r="DQ9" s="70"/>
      <c r="DR9" s="70"/>
      <c r="DS9" s="70"/>
      <c r="DT9" s="70"/>
      <c r="DU9" s="70"/>
      <c r="DV9" s="70"/>
      <c r="DX9" s="70" t="s">
        <v>1495</v>
      </c>
      <c r="DY9" s="70"/>
      <c r="DZ9" s="70"/>
      <c r="EA9" s="70"/>
      <c r="EB9" s="70"/>
      <c r="EC9" s="70"/>
      <c r="ED9" s="70"/>
      <c r="EE9" s="70"/>
      <c r="EF9" s="70"/>
      <c r="EH9" s="68" t="s">
        <v>812</v>
      </c>
      <c r="EI9" s="68"/>
      <c r="EJ9" s="68" t="s">
        <v>815</v>
      </c>
      <c r="EK9" s="68"/>
      <c r="EL9" s="68" t="s">
        <v>1442</v>
      </c>
      <c r="EM9" s="68"/>
      <c r="EN9" s="68" t="s">
        <v>814</v>
      </c>
      <c r="EO9" s="68"/>
      <c r="EP9" s="68" t="s">
        <v>813</v>
      </c>
      <c r="EQ9" s="68"/>
      <c r="ER9" s="68" t="s">
        <v>812</v>
      </c>
      <c r="ET9" s="68" t="s">
        <v>812</v>
      </c>
      <c r="EV9" s="71"/>
      <c r="EX9" s="71"/>
      <c r="EZ9" s="71"/>
      <c r="FB9" s="68" t="s">
        <v>783</v>
      </c>
      <c r="FC9" s="68"/>
      <c r="FD9" s="68" t="s">
        <v>811</v>
      </c>
      <c r="FE9" s="68"/>
      <c r="FF9" s="68" t="s">
        <v>1477</v>
      </c>
      <c r="FG9" s="68"/>
      <c r="FH9" s="68" t="s">
        <v>1477</v>
      </c>
      <c r="FI9" s="68"/>
      <c r="FJ9" s="68" t="s">
        <v>1477</v>
      </c>
      <c r="FK9" s="68"/>
      <c r="FL9" s="68" t="s">
        <v>1475</v>
      </c>
    </row>
    <row r="10" spans="2:176" s="8" customFormat="1" x14ac:dyDescent="0.2">
      <c r="B10" s="93"/>
      <c r="C10" s="93"/>
      <c r="D10" s="72" t="s">
        <v>784</v>
      </c>
      <c r="F10" s="72" t="s">
        <v>810</v>
      </c>
      <c r="H10" s="73" t="s">
        <v>809</v>
      </c>
      <c r="J10" s="73" t="s">
        <v>285</v>
      </c>
      <c r="L10" s="116">
        <f>L6</f>
        <v>45527</v>
      </c>
      <c r="N10" s="73" t="s">
        <v>808</v>
      </c>
      <c r="P10" s="73" t="s">
        <v>807</v>
      </c>
      <c r="R10" s="73" t="s">
        <v>806</v>
      </c>
      <c r="T10" s="73" t="s">
        <v>805</v>
      </c>
      <c r="V10" s="176">
        <f>V6</f>
        <v>45527</v>
      </c>
      <c r="X10" s="176">
        <f>X6</f>
        <v>45527</v>
      </c>
      <c r="Z10" s="73" t="s">
        <v>1473</v>
      </c>
      <c r="AB10" s="73" t="s">
        <v>541</v>
      </c>
      <c r="AD10" s="73" t="s">
        <v>803</v>
      </c>
      <c r="AF10" s="73" t="s">
        <v>802</v>
      </c>
      <c r="AH10" s="176">
        <f>AH6</f>
        <v>45527</v>
      </c>
      <c r="AI10" s="68"/>
      <c r="AJ10" s="74" t="s">
        <v>809</v>
      </c>
      <c r="AK10" s="68"/>
      <c r="AL10" s="74" t="s">
        <v>285</v>
      </c>
      <c r="AM10" s="68"/>
      <c r="AN10" s="74" t="str">
        <f>AN6</f>
        <v>FY2024</v>
      </c>
      <c r="AO10" s="68"/>
      <c r="AP10" s="74" t="str">
        <f>AP6</f>
        <v>FY2025</v>
      </c>
      <c r="AQ10" s="68"/>
      <c r="AR10" s="74" t="s">
        <v>809</v>
      </c>
      <c r="AS10" s="68"/>
      <c r="AT10" s="74" t="s">
        <v>285</v>
      </c>
      <c r="AU10" s="68"/>
      <c r="AV10" s="74" t="str">
        <f>AV6</f>
        <v>FY2024</v>
      </c>
      <c r="AW10" s="68"/>
      <c r="AX10" s="74" t="str">
        <f>AX6</f>
        <v>FY2025</v>
      </c>
      <c r="AY10" s="68"/>
      <c r="AZ10" s="74" t="s">
        <v>809</v>
      </c>
      <c r="BA10" s="68"/>
      <c r="BB10" s="73" t="s">
        <v>285</v>
      </c>
      <c r="BC10" s="68"/>
      <c r="BD10" s="74" t="str">
        <f>BD6</f>
        <v>FY2024</v>
      </c>
      <c r="BE10" s="68"/>
      <c r="BF10" s="74" t="str">
        <f>BF6</f>
        <v>FY2025</v>
      </c>
      <c r="BG10" s="68"/>
      <c r="BH10" s="74" t="s">
        <v>809</v>
      </c>
      <c r="BI10" s="68"/>
      <c r="BJ10" s="73" t="s">
        <v>285</v>
      </c>
      <c r="BK10" s="68"/>
      <c r="BL10" s="73" t="str">
        <f>BD10</f>
        <v>FY2024</v>
      </c>
      <c r="BM10" s="68"/>
      <c r="BN10" s="73" t="str">
        <f>BF10</f>
        <v>FY2025</v>
      </c>
      <c r="BO10" s="68"/>
      <c r="BP10" s="74" t="s">
        <v>809</v>
      </c>
      <c r="BQ10" s="68"/>
      <c r="BR10" s="73" t="s">
        <v>285</v>
      </c>
      <c r="BS10" s="68"/>
      <c r="BT10" s="73" t="str">
        <f>BD10</f>
        <v>FY2024</v>
      </c>
      <c r="BU10" s="68"/>
      <c r="BV10" s="73" t="str">
        <f>BF10</f>
        <v>FY2025</v>
      </c>
      <c r="BW10" s="68"/>
      <c r="BX10" s="74" t="s">
        <v>809</v>
      </c>
      <c r="BY10" s="68"/>
      <c r="BZ10" s="73" t="s">
        <v>285</v>
      </c>
      <c r="CA10" s="68"/>
      <c r="CB10" s="73" t="str">
        <f>CB6</f>
        <v>FY2024</v>
      </c>
      <c r="CC10" s="68"/>
      <c r="CD10" s="73" t="str">
        <f>CD6</f>
        <v>FY2025</v>
      </c>
      <c r="CE10" s="68"/>
      <c r="CF10" s="176">
        <f>CF6</f>
        <v>45527</v>
      </c>
      <c r="CG10" s="124"/>
      <c r="CH10" s="177">
        <f>CH6</f>
        <v>45527</v>
      </c>
      <c r="CI10" s="68"/>
      <c r="CJ10" s="74" t="s">
        <v>800</v>
      </c>
      <c r="CK10" s="68"/>
      <c r="CL10" s="74" t="s">
        <v>799</v>
      </c>
      <c r="CM10" s="68"/>
      <c r="CN10" s="74" t="s">
        <v>809</v>
      </c>
      <c r="CO10" s="68"/>
      <c r="CP10" s="74" t="s">
        <v>285</v>
      </c>
      <c r="CQ10" s="68"/>
      <c r="CR10" s="73" t="s">
        <v>800</v>
      </c>
      <c r="CS10" s="68"/>
      <c r="CT10" s="73" t="s">
        <v>799</v>
      </c>
      <c r="CU10" s="68"/>
      <c r="CV10" s="74" t="s">
        <v>809</v>
      </c>
      <c r="CW10" s="68"/>
      <c r="CX10" s="73" t="s">
        <v>285</v>
      </c>
      <c r="CY10" s="68"/>
      <c r="CZ10" s="73" t="s">
        <v>800</v>
      </c>
      <c r="DA10" s="68"/>
      <c r="DB10" s="73" t="s">
        <v>799</v>
      </c>
      <c r="DC10" s="68"/>
      <c r="DD10" s="74" t="s">
        <v>809</v>
      </c>
      <c r="DE10" s="68"/>
      <c r="DF10" s="73" t="s">
        <v>285</v>
      </c>
      <c r="DG10" s="68"/>
      <c r="DH10" s="73" t="s">
        <v>798</v>
      </c>
      <c r="DI10" s="68"/>
      <c r="DJ10" s="73" t="s">
        <v>797</v>
      </c>
      <c r="DK10" s="68"/>
      <c r="DL10" s="74" t="s">
        <v>809</v>
      </c>
      <c r="DM10" s="68"/>
      <c r="DN10" s="73" t="s">
        <v>285</v>
      </c>
      <c r="DO10" s="68"/>
      <c r="DP10" s="73" t="s">
        <v>798</v>
      </c>
      <c r="DQ10" s="68"/>
      <c r="DR10" s="73" t="s">
        <v>797</v>
      </c>
      <c r="DS10" s="68"/>
      <c r="DT10" s="74" t="s">
        <v>809</v>
      </c>
      <c r="DU10" s="68"/>
      <c r="DV10" s="73" t="s">
        <v>285</v>
      </c>
      <c r="DW10" s="68"/>
      <c r="DX10" s="73" t="s">
        <v>798</v>
      </c>
      <c r="DY10" s="68"/>
      <c r="DZ10" s="73" t="s">
        <v>797</v>
      </c>
      <c r="EA10" s="68"/>
      <c r="EB10" s="68" t="s">
        <v>1449</v>
      </c>
      <c r="EC10" s="68" t="s">
        <v>1448</v>
      </c>
      <c r="ED10" s="74" t="s">
        <v>809</v>
      </c>
      <c r="EE10" s="68"/>
      <c r="EF10" s="73" t="s">
        <v>285</v>
      </c>
      <c r="EG10" s="68"/>
      <c r="EH10" s="73" t="s">
        <v>1496</v>
      </c>
      <c r="EI10" s="68"/>
      <c r="EJ10" s="73" t="s">
        <v>1496</v>
      </c>
      <c r="EK10" s="68"/>
      <c r="EL10" s="73" t="s">
        <v>1497</v>
      </c>
      <c r="EM10" s="68"/>
      <c r="EN10" s="73" t="s">
        <v>1497</v>
      </c>
      <c r="EO10" s="68"/>
      <c r="EP10" s="73" t="s">
        <v>1497</v>
      </c>
      <c r="EQ10" s="68"/>
      <c r="ER10" s="73" t="s">
        <v>796</v>
      </c>
      <c r="ES10" s="68"/>
      <c r="ET10" s="73" t="s">
        <v>795</v>
      </c>
      <c r="EU10" s="68"/>
      <c r="EV10" s="73" t="s">
        <v>794</v>
      </c>
      <c r="EW10" s="68"/>
      <c r="EX10" s="73" t="s">
        <v>793</v>
      </c>
      <c r="EY10" s="68"/>
      <c r="EZ10" s="73" t="s">
        <v>1426</v>
      </c>
      <c r="FA10" s="68"/>
      <c r="FB10" s="73" t="s">
        <v>1498</v>
      </c>
      <c r="FC10" s="68"/>
      <c r="FD10" s="73" t="s">
        <v>1498</v>
      </c>
      <c r="FE10" s="68"/>
      <c r="FF10" s="73" t="s">
        <v>1479</v>
      </c>
      <c r="FG10" s="68"/>
      <c r="FH10" s="73" t="s">
        <v>1478</v>
      </c>
      <c r="FI10" s="68"/>
      <c r="FJ10" s="73" t="s">
        <v>1476</v>
      </c>
      <c r="FK10" s="68"/>
      <c r="FL10" s="73" t="s">
        <v>1474</v>
      </c>
      <c r="FM10" s="68"/>
      <c r="FN10" s="73" t="s">
        <v>1499</v>
      </c>
      <c r="FO10" s="68"/>
      <c r="FP10" s="73" t="s">
        <v>1500</v>
      </c>
      <c r="FQ10" s="68"/>
      <c r="FR10" s="73" t="s">
        <v>1501</v>
      </c>
      <c r="FS10" s="68"/>
      <c r="FT10" s="73" t="s">
        <v>1502</v>
      </c>
    </row>
    <row r="11" spans="2:176" x14ac:dyDescent="0.2">
      <c r="B11" s="54"/>
      <c r="C11" s="54"/>
      <c r="D11" s="75"/>
      <c r="F11" s="75"/>
      <c r="H11" s="75"/>
      <c r="J11" s="75"/>
      <c r="L11" s="76"/>
      <c r="N11" s="75"/>
      <c r="P11" s="75"/>
      <c r="R11" s="75"/>
      <c r="T11" s="75"/>
      <c r="V11" s="75"/>
      <c r="X11" s="75"/>
      <c r="Z11" s="75"/>
      <c r="AB11" s="75"/>
      <c r="AD11" s="75"/>
      <c r="AF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84"/>
      <c r="BY11" s="84"/>
      <c r="BZ11" s="84"/>
      <c r="CA11" s="84"/>
      <c r="CB11" s="84"/>
      <c r="CC11" s="84"/>
      <c r="CD11" s="84"/>
      <c r="CE11" s="75"/>
      <c r="CF11" s="77"/>
      <c r="CG11" s="78"/>
      <c r="CH11" s="78"/>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c r="FR11" s="75"/>
      <c r="FS11" s="75"/>
      <c r="FT11" s="75"/>
    </row>
    <row r="12" spans="2:176" s="13" customFormat="1" x14ac:dyDescent="0.2">
      <c r="B12" s="46" t="str">
        <f>IF(Code_1="","",Code_1)</f>
        <v>NYSE:MOS</v>
      </c>
      <c r="C12" s="41"/>
      <c r="D12" s="30" t="s">
        <v>2000</v>
      </c>
      <c r="F12" s="30" t="s">
        <v>2001</v>
      </c>
      <c r="H12" s="50">
        <v>45291</v>
      </c>
      <c r="I12" s="50"/>
      <c r="J12" s="50">
        <v>45473</v>
      </c>
      <c r="L12" s="140">
        <v>28.52</v>
      </c>
      <c r="M12" s="140"/>
      <c r="N12" s="140">
        <v>40.67</v>
      </c>
      <c r="O12" s="140"/>
      <c r="P12" s="140">
        <v>26.09</v>
      </c>
      <c r="R12" s="79">
        <f>IF($F12="","",IF(ISERROR(L12/N12),"NA",L12/N12))</f>
        <v>0.70125399557413326</v>
      </c>
      <c r="S12" s="79"/>
      <c r="T12" s="79">
        <f>IF($F12="","",IF(ISERROR(L12/P12),"NA",L12/P12))</f>
        <v>1.093139133767727</v>
      </c>
      <c r="V12" s="134">
        <v>318637582</v>
      </c>
      <c r="W12" s="134"/>
      <c r="X12" s="134">
        <v>9087.5438386400001</v>
      </c>
      <c r="Y12" s="134"/>
      <c r="Z12" s="134">
        <v>348.8</v>
      </c>
      <c r="AA12" s="134"/>
      <c r="AB12" s="134">
        <v>3994.8</v>
      </c>
      <c r="AC12" s="134"/>
      <c r="AD12" s="134" t="s">
        <v>1443</v>
      </c>
      <c r="AE12" s="134"/>
      <c r="AF12" s="134">
        <v>142.6</v>
      </c>
      <c r="AG12" s="134"/>
      <c r="AH12" s="134">
        <v>13341.543838</v>
      </c>
      <c r="AI12" s="134"/>
      <c r="AJ12" s="134">
        <v>13696.1</v>
      </c>
      <c r="AK12" s="134"/>
      <c r="AL12" s="134">
        <v>12193.800000000001</v>
      </c>
      <c r="AM12" s="134"/>
      <c r="AN12" s="134">
        <v>11835.240220000002</v>
      </c>
      <c r="AO12" s="134"/>
      <c r="AP12" s="134">
        <v>11781.5</v>
      </c>
      <c r="AQ12" s="134"/>
      <c r="AR12" s="134">
        <v>2337.8000000000002</v>
      </c>
      <c r="AS12" s="134"/>
      <c r="AT12" s="134">
        <v>1936.6000000000001</v>
      </c>
      <c r="AU12" s="134"/>
      <c r="AV12" s="134">
        <v>2329</v>
      </c>
      <c r="AW12" s="134"/>
      <c r="AX12" s="134">
        <v>2268</v>
      </c>
      <c r="AZ12" s="140">
        <v>3.5</v>
      </c>
      <c r="BA12" s="140"/>
      <c r="BB12" s="140">
        <v>0.753</v>
      </c>
      <c r="BC12" s="140"/>
      <c r="BD12" s="140">
        <v>2.4900000000000002</v>
      </c>
      <c r="BE12" s="140"/>
      <c r="BF12" s="140">
        <v>2.4085000000000001</v>
      </c>
      <c r="BG12" s="140"/>
      <c r="BH12" s="140">
        <f>IF($F12="","",IF(ISERROR($AH12/AJ12),"NA",$AH12/AJ12))</f>
        <v>0.97411261877468758</v>
      </c>
      <c r="BI12" s="140"/>
      <c r="BJ12" s="140">
        <f>IF($F12="","",IF(ISERROR($AH12/AL12),"NA",$AH12/AL12))</f>
        <v>1.0941251978874509</v>
      </c>
      <c r="BK12" s="140"/>
      <c r="BL12" s="140">
        <f>IF($F12="","",IF(ISERROR($AH12/AN12),"NA",$AH12/AN12))</f>
        <v>1.127272754080187</v>
      </c>
      <c r="BM12" s="140"/>
      <c r="BN12" s="140">
        <f>IF($F12="","",IF(ISERROR($AH12/AP12),"NA",$AH12/AP12))</f>
        <v>1.1324147042396977</v>
      </c>
      <c r="BO12" s="140"/>
      <c r="BP12" s="140">
        <f>IF($F12="","",IF(ISERROR($AH12/AR12),"NA",$AH12/AR12))</f>
        <v>5.7068799033279145</v>
      </c>
      <c r="BQ12" s="140"/>
      <c r="BR12" s="140">
        <f>IF($F12="","",IF(ISERROR($AH12/AT12),"NA",$AH12/AT12))</f>
        <v>6.88915823505112</v>
      </c>
      <c r="BS12" s="140"/>
      <c r="BT12" s="140">
        <f>IF($F12="","",IF(ISERROR($AH12/AV12),"NA",$AH12/AV12))</f>
        <v>5.7284430390725634</v>
      </c>
      <c r="BU12" s="140"/>
      <c r="BV12" s="140">
        <f>IF($F12="","",IF(ISERROR($AH12/AX12),"NA",$AH12/AX12))</f>
        <v>5.8825149197530866</v>
      </c>
      <c r="BW12" s="140"/>
      <c r="BX12" s="140">
        <v>9.1194489999999995</v>
      </c>
      <c r="BY12" s="140"/>
      <c r="BZ12" s="140">
        <v>12.235393999999999</v>
      </c>
      <c r="CA12" s="140"/>
      <c r="CB12" s="140">
        <v>11.195465286899999</v>
      </c>
      <c r="CC12" s="140"/>
      <c r="CD12" s="140">
        <v>11.510071312299999</v>
      </c>
      <c r="CE12" s="140"/>
      <c r="CF12" s="140">
        <v>78.045042826259476</v>
      </c>
      <c r="CG12" s="140"/>
      <c r="CH12" s="140">
        <v>86.207417706979413</v>
      </c>
      <c r="CI12" s="140"/>
      <c r="CJ12" s="140">
        <v>25.898</v>
      </c>
      <c r="CK12" s="140"/>
      <c r="CL12" s="140">
        <v>30.094999999999999</v>
      </c>
      <c r="CM12" s="140"/>
      <c r="CN12" s="140">
        <v>16.14</v>
      </c>
      <c r="CO12" s="140"/>
      <c r="CP12" s="140">
        <v>14.452</v>
      </c>
      <c r="CQ12" s="140"/>
      <c r="CR12" s="140">
        <v>28.414999999999999</v>
      </c>
      <c r="CS12" s="140"/>
      <c r="CT12" s="140">
        <v>30.331</v>
      </c>
      <c r="CU12" s="140"/>
      <c r="CV12" s="140">
        <v>17.068999999999999</v>
      </c>
      <c r="CW12" s="140"/>
      <c r="CX12" s="140">
        <v>15.882</v>
      </c>
      <c r="CY12" s="140"/>
      <c r="CZ12" s="140">
        <v>13.195</v>
      </c>
      <c r="DA12" s="140"/>
      <c r="DB12" s="140">
        <v>18.733000000000001</v>
      </c>
      <c r="DC12" s="140"/>
      <c r="DD12" s="140">
        <v>8.5050000000000008</v>
      </c>
      <c r="DE12" s="140"/>
      <c r="DF12" s="140">
        <v>2.008</v>
      </c>
      <c r="DG12" s="140"/>
      <c r="DH12" s="140">
        <v>5.0640000000000001</v>
      </c>
      <c r="DI12" s="140"/>
      <c r="DJ12" s="140">
        <v>7.0609999999999999</v>
      </c>
      <c r="DK12" s="140"/>
      <c r="DL12" s="140">
        <v>-28.387</v>
      </c>
      <c r="DM12" s="140"/>
      <c r="DN12" s="140">
        <v>-27.539000000000001</v>
      </c>
      <c r="DO12" s="140"/>
      <c r="DP12" s="140">
        <v>-0.59599999999999997</v>
      </c>
      <c r="DQ12" s="140"/>
      <c r="DR12" s="140">
        <v>-2.91</v>
      </c>
      <c r="DS12" s="140"/>
      <c r="DT12" s="140">
        <v>-59.698999999999998</v>
      </c>
      <c r="DU12" s="140"/>
      <c r="DV12" s="140">
        <v>-48.031999999999996</v>
      </c>
      <c r="DW12" s="140"/>
      <c r="DX12" s="140">
        <f>IF($F12="","",IFERROR(100*(($ED12/EB12)^(1/5)-1),"NA"))</f>
        <v>23.556796733273309</v>
      </c>
      <c r="DY12" s="140"/>
      <c r="DZ12" s="140">
        <f>IF($F12="","",IFERROR(100*(($ED12/EC12)^(1/3)-1),"NA"))</f>
        <v>25.99210498948732</v>
      </c>
      <c r="EA12" s="140"/>
      <c r="EB12" s="140">
        <v>1.2210000000000001</v>
      </c>
      <c r="EC12" s="140">
        <v>1.758</v>
      </c>
      <c r="ED12" s="140">
        <v>3.516</v>
      </c>
      <c r="EE12" s="140"/>
      <c r="EF12" s="140">
        <v>0.753</v>
      </c>
      <c r="EG12" s="140"/>
      <c r="EH12" s="140">
        <v>1.542</v>
      </c>
      <c r="EI12" s="140"/>
      <c r="EJ12" s="140">
        <v>1.4079999999999999</v>
      </c>
      <c r="EK12" s="140"/>
      <c r="EL12" s="140">
        <v>6.7779999999999996</v>
      </c>
      <c r="EM12" s="140"/>
      <c r="EN12" s="140">
        <v>13.702999999999999</v>
      </c>
      <c r="EO12" s="140"/>
      <c r="EP12" s="140">
        <v>6.2830000000000004</v>
      </c>
      <c r="EQ12" s="140"/>
      <c r="ER12" s="140">
        <v>32.131</v>
      </c>
      <c r="ES12" s="140"/>
      <c r="ET12" s="140">
        <v>24.318000000000001</v>
      </c>
      <c r="EU12" s="140"/>
      <c r="EV12" s="140">
        <v>2.2690000000000001</v>
      </c>
      <c r="EW12" s="140"/>
      <c r="EX12" s="140">
        <v>2.2709999999999999</v>
      </c>
      <c r="EY12" s="140"/>
      <c r="EZ12" s="140">
        <v>3.18</v>
      </c>
      <c r="FA12" s="140"/>
      <c r="FB12" s="140">
        <v>1.155</v>
      </c>
      <c r="FC12" s="140"/>
      <c r="FD12" s="140">
        <v>0.46899999999999997</v>
      </c>
      <c r="FF12" s="134">
        <v>37.634</v>
      </c>
      <c r="FG12" s="134"/>
      <c r="FH12" s="134">
        <v>100.042</v>
      </c>
      <c r="FI12" s="134"/>
      <c r="FJ12" s="134">
        <v>58.529000000000003</v>
      </c>
      <c r="FK12" s="134"/>
      <c r="FL12" s="134">
        <v>79.147999999999996</v>
      </c>
      <c r="FN12" s="140">
        <v>0.53400000000000003</v>
      </c>
      <c r="FO12" s="140"/>
      <c r="FP12" s="140">
        <v>0.91</v>
      </c>
      <c r="FQ12" s="140"/>
      <c r="FR12" s="140">
        <v>9.7249999999999996</v>
      </c>
      <c r="FS12" s="140"/>
      <c r="FT12" s="140">
        <v>3.6579999999999999</v>
      </c>
    </row>
    <row r="13" spans="2:176" x14ac:dyDescent="0.2">
      <c r="B13" s="46" t="str">
        <f>IF(Code_2="","",Code_2)</f>
        <v>NYSE:CF</v>
      </c>
      <c r="C13" s="54"/>
      <c r="D13" s="30" t="s">
        <v>2002</v>
      </c>
      <c r="E13" s="232"/>
      <c r="F13" s="30" t="s">
        <v>2003</v>
      </c>
      <c r="G13" s="13"/>
      <c r="H13" s="50">
        <v>45291</v>
      </c>
      <c r="I13" s="50"/>
      <c r="J13" s="50">
        <v>45473</v>
      </c>
      <c r="K13" s="13"/>
      <c r="L13" s="140">
        <v>80.41</v>
      </c>
      <c r="M13" s="140"/>
      <c r="N13" s="140">
        <v>87.9</v>
      </c>
      <c r="O13" s="140"/>
      <c r="P13" s="140">
        <v>69.13</v>
      </c>
      <c r="Q13" s="13"/>
      <c r="R13" s="79">
        <f>IF($F13="","",IF(ISERROR(L13/N13),"NA",L13/N13))</f>
        <v>0.91478953356086457</v>
      </c>
      <c r="S13" s="79"/>
      <c r="T13" s="79">
        <f>IF($F13="","",IF(ISERROR(L13/P13),"NA",L13/P13))</f>
        <v>1.1631708375524374</v>
      </c>
      <c r="U13" s="13"/>
      <c r="V13" s="134">
        <v>180412286</v>
      </c>
      <c r="W13" s="134"/>
      <c r="X13" s="134">
        <v>14506.951917259999</v>
      </c>
      <c r="Y13" s="134"/>
      <c r="Z13" s="134">
        <v>2032</v>
      </c>
      <c r="AA13" s="134"/>
      <c r="AB13" s="134">
        <v>3232</v>
      </c>
      <c r="AC13" s="134"/>
      <c r="AD13" s="134" t="s">
        <v>1443</v>
      </c>
      <c r="AE13" s="134"/>
      <c r="AF13" s="134">
        <v>2656</v>
      </c>
      <c r="AG13" s="134"/>
      <c r="AH13" s="134">
        <v>18548.951916999999</v>
      </c>
      <c r="AI13" s="134"/>
      <c r="AJ13" s="134">
        <v>6631</v>
      </c>
      <c r="AK13" s="134"/>
      <c r="AL13" s="134">
        <v>5886</v>
      </c>
      <c r="AM13" s="134"/>
      <c r="AN13" s="134">
        <v>5800</v>
      </c>
      <c r="AO13" s="134"/>
      <c r="AP13" s="134">
        <v>5964.33079</v>
      </c>
      <c r="AQ13" s="134"/>
      <c r="AR13" s="134">
        <v>3132</v>
      </c>
      <c r="AS13" s="134"/>
      <c r="AT13" s="134">
        <v>2572</v>
      </c>
      <c r="AU13" s="134"/>
      <c r="AV13" s="134">
        <v>2309.6886500000001</v>
      </c>
      <c r="AW13" s="134"/>
      <c r="AX13" s="134">
        <v>2278</v>
      </c>
      <c r="AY13" s="21"/>
      <c r="AZ13" s="140">
        <v>7.87</v>
      </c>
      <c r="BA13" s="140"/>
      <c r="BB13" s="140">
        <v>5.5780000000000003</v>
      </c>
      <c r="BC13" s="140"/>
      <c r="BD13" s="140">
        <v>5.75</v>
      </c>
      <c r="BE13" s="140"/>
      <c r="BF13" s="140">
        <v>5.51</v>
      </c>
      <c r="BG13" s="140"/>
      <c r="BH13" s="140">
        <f>IF($F13="","",IF(ISERROR($AH13/AJ13),"NA",$AH13/AJ13))</f>
        <v>2.7973083874227114</v>
      </c>
      <c r="BI13" s="140"/>
      <c r="BJ13" s="140">
        <f>IF($F13="","",IF(ISERROR($AH13/AL13),"NA",$AH13/AL13))</f>
        <v>3.1513679777437984</v>
      </c>
      <c r="BK13" s="140"/>
      <c r="BL13" s="140">
        <f>IF($F13="","",IF(ISERROR($AH13/AN13),"NA",$AH13/AN13))</f>
        <v>3.198095158103448</v>
      </c>
      <c r="BM13" s="140"/>
      <c r="BN13" s="140">
        <f>IF($F13="","",IF(ISERROR($AH13/AP13),"NA",$AH13/AP13))</f>
        <v>3.1099804102246984</v>
      </c>
      <c r="BO13" s="140"/>
      <c r="BP13" s="140">
        <f>IF($F13="","",IF(ISERROR($AH13/AR13),"NA",$AH13/AR13))</f>
        <v>5.9223984409323114</v>
      </c>
      <c r="BQ13" s="140"/>
      <c r="BR13" s="140">
        <f>IF($F13="","",IF(ISERROR($AH13/AT13),"NA",$AH13/AT13))</f>
        <v>7.2118786613530323</v>
      </c>
      <c r="BS13" s="140"/>
      <c r="BT13" s="140">
        <f>IF($F13="","",IF(ISERROR($AH13/AV13),"NA",$AH13/AV13))</f>
        <v>8.0309317522082466</v>
      </c>
      <c r="BU13" s="140"/>
      <c r="BV13" s="140">
        <f>IF($F13="","",IF(ISERROR($AH13/AX13),"NA",$AH13/AX13))</f>
        <v>8.142647900351184</v>
      </c>
      <c r="BW13" s="140"/>
      <c r="BX13" s="140">
        <v>7.366568</v>
      </c>
      <c r="BY13" s="140"/>
      <c r="BZ13" s="140">
        <v>12.265431</v>
      </c>
      <c r="CA13" s="140"/>
      <c r="CB13" s="140">
        <v>13.985150452099999</v>
      </c>
      <c r="CC13" s="140"/>
      <c r="CD13" s="140">
        <v>14.5099879098</v>
      </c>
      <c r="CE13" s="140"/>
      <c r="CF13" s="140">
        <v>265.625</v>
      </c>
      <c r="CG13" s="140"/>
      <c r="CH13" s="140">
        <v>593.16907642372382</v>
      </c>
      <c r="CI13" s="140"/>
      <c r="CJ13" s="140">
        <v>36.51</v>
      </c>
      <c r="CK13" s="140"/>
      <c r="CL13" s="140">
        <v>52.396000000000001</v>
      </c>
      <c r="CM13" s="140"/>
      <c r="CN13" s="140">
        <v>38.380000000000003</v>
      </c>
      <c r="CO13" s="140"/>
      <c r="CP13" s="140">
        <v>33.401000000000003</v>
      </c>
      <c r="CQ13" s="140"/>
      <c r="CR13" s="140">
        <v>46.926000000000002</v>
      </c>
      <c r="CS13" s="140"/>
      <c r="CT13" s="140">
        <v>57.402000000000001</v>
      </c>
      <c r="CU13" s="140"/>
      <c r="CV13" s="140">
        <v>47.232999999999997</v>
      </c>
      <c r="CW13" s="140"/>
      <c r="CX13" s="140">
        <v>43.697000000000003</v>
      </c>
      <c r="CY13" s="140"/>
      <c r="CZ13" s="140">
        <v>14.026</v>
      </c>
      <c r="DA13" s="140"/>
      <c r="DB13" s="140">
        <v>29.911999999999999</v>
      </c>
      <c r="DC13" s="140"/>
      <c r="DD13" s="140">
        <v>22.998000000000001</v>
      </c>
      <c r="DE13" s="140"/>
      <c r="DF13" s="140">
        <v>17.873000000000001</v>
      </c>
      <c r="DG13" s="140"/>
      <c r="DH13" s="140">
        <v>4.7149999999999999</v>
      </c>
      <c r="DI13" s="140"/>
      <c r="DJ13" s="140">
        <v>8.6829999999999998</v>
      </c>
      <c r="DK13" s="140"/>
      <c r="DL13" s="140">
        <v>-40.720999999999997</v>
      </c>
      <c r="DM13" s="140"/>
      <c r="DN13" s="140">
        <v>-32.469000000000001</v>
      </c>
      <c r="DO13" s="140"/>
      <c r="DP13" s="140">
        <v>7.3630000000000004</v>
      </c>
      <c r="DQ13" s="140"/>
      <c r="DR13" s="140">
        <v>13.631</v>
      </c>
      <c r="DS13" s="140"/>
      <c r="DT13" s="140">
        <v>-51.222999999999999</v>
      </c>
      <c r="DU13" s="140"/>
      <c r="DV13" s="140">
        <v>-41.756999999999998</v>
      </c>
      <c r="DW13" s="140"/>
      <c r="DX13" s="140">
        <f>IF($F13="","",IFERROR(100*(($ED13/EB13)^(1/5)-1),"NA"))</f>
        <v>44.620913527552972</v>
      </c>
      <c r="DY13" s="140"/>
      <c r="DZ13" s="140">
        <f>IF($F13="","",IFERROR(100*(($ED13/EC13)^(1/3)-1),"NA"))</f>
        <v>74.881275404534946</v>
      </c>
      <c r="EA13" s="140"/>
      <c r="EB13" s="140">
        <v>1.2470000000000001</v>
      </c>
      <c r="EC13" s="140">
        <v>1.4750000000000001</v>
      </c>
      <c r="ED13" s="140">
        <v>7.8890000000000002</v>
      </c>
      <c r="EE13" s="140"/>
      <c r="EF13" s="140">
        <v>5.5910000000000002</v>
      </c>
      <c r="EG13" s="140"/>
      <c r="EH13" s="140">
        <v>0.98599999999999999</v>
      </c>
      <c r="EI13" s="140"/>
      <c r="EJ13" s="140">
        <v>0.36599999999999999</v>
      </c>
      <c r="EK13" s="140"/>
      <c r="EL13" s="140">
        <v>15.087</v>
      </c>
      <c r="EM13" s="140"/>
      <c r="EN13" s="140">
        <v>21.86</v>
      </c>
      <c r="EO13" s="140"/>
      <c r="EP13" s="140">
        <v>18.533000000000001</v>
      </c>
      <c r="EQ13" s="140"/>
      <c r="ER13" s="140">
        <v>38.6</v>
      </c>
      <c r="ES13" s="140"/>
      <c r="ET13" s="140">
        <v>27.85</v>
      </c>
      <c r="EU13" s="140"/>
      <c r="EV13" s="140">
        <v>15.955</v>
      </c>
      <c r="EW13" s="140"/>
      <c r="EX13" s="140">
        <v>7.5750000000000002</v>
      </c>
      <c r="EY13" s="140"/>
      <c r="EZ13" s="140">
        <v>8.9610000000000003</v>
      </c>
      <c r="FA13" s="140"/>
      <c r="FB13" s="140">
        <v>4.7</v>
      </c>
      <c r="FC13" s="140"/>
      <c r="FD13" s="140">
        <v>3.9430000000000001</v>
      </c>
      <c r="FE13" s="13"/>
      <c r="FF13" s="134">
        <v>28.571999999999999</v>
      </c>
      <c r="FG13" s="134"/>
      <c r="FH13" s="134">
        <v>28.99</v>
      </c>
      <c r="FI13" s="134"/>
      <c r="FJ13" s="134">
        <v>44.636000000000003</v>
      </c>
      <c r="FK13" s="134"/>
      <c r="FL13" s="134">
        <v>12.926</v>
      </c>
      <c r="FM13" s="13"/>
      <c r="FN13" s="140">
        <v>0.43099999999999999</v>
      </c>
      <c r="FO13" s="140"/>
      <c r="FP13" s="140">
        <v>0.86799999999999999</v>
      </c>
      <c r="FQ13" s="140"/>
      <c r="FR13" s="140">
        <v>12.81</v>
      </c>
      <c r="FS13" s="140"/>
      <c r="FT13" s="140">
        <v>12.625</v>
      </c>
    </row>
    <row r="14" spans="2:176" x14ac:dyDescent="0.2">
      <c r="B14" s="46" t="str">
        <f>IF(Code_3="","",Code_3)</f>
        <v>NYSE:SMG</v>
      </c>
      <c r="C14" s="54"/>
      <c r="D14" s="30" t="s">
        <v>2004</v>
      </c>
      <c r="E14" s="232"/>
      <c r="F14" s="30" t="s">
        <v>2005</v>
      </c>
      <c r="G14" s="13"/>
      <c r="H14" s="50">
        <v>45199</v>
      </c>
      <c r="I14" s="50"/>
      <c r="J14" s="50">
        <v>45472</v>
      </c>
      <c r="K14" s="13"/>
      <c r="L14" s="140">
        <v>71.78</v>
      </c>
      <c r="M14" s="140"/>
      <c r="N14" s="140">
        <v>82.11</v>
      </c>
      <c r="O14" s="140"/>
      <c r="P14" s="140">
        <v>43.67</v>
      </c>
      <c r="Q14" s="13"/>
      <c r="R14" s="79">
        <f>IF($F14="","",IF(ISERROR(L14/N14),"NA",L14/N14))</f>
        <v>0.87419315552307886</v>
      </c>
      <c r="S14" s="79"/>
      <c r="T14" s="79">
        <f>IF($F14="","",IF(ISERROR(L14/P14),"NA",L14/P14))</f>
        <v>1.6436913212731852</v>
      </c>
      <c r="U14" s="13"/>
      <c r="V14" s="134">
        <v>56821100</v>
      </c>
      <c r="W14" s="134"/>
      <c r="X14" s="134">
        <v>4078.6185580000001</v>
      </c>
      <c r="Y14" s="134"/>
      <c r="Z14" s="134">
        <v>48.6</v>
      </c>
      <c r="AA14" s="134"/>
      <c r="AB14" s="134">
        <v>2906.2000000000003</v>
      </c>
      <c r="AC14" s="134"/>
      <c r="AD14" s="134" t="s">
        <v>1443</v>
      </c>
      <c r="AE14" s="134"/>
      <c r="AF14" s="134" t="s">
        <v>1443</v>
      </c>
      <c r="AG14" s="134"/>
      <c r="AH14" s="134">
        <v>6580.0185579999998</v>
      </c>
      <c r="AI14" s="134"/>
      <c r="AJ14" s="134">
        <v>3551.3</v>
      </c>
      <c r="AK14" s="134"/>
      <c r="AL14" s="134">
        <v>3512.5</v>
      </c>
      <c r="AM14" s="134"/>
      <c r="AN14" s="134">
        <v>3540.4767999999999</v>
      </c>
      <c r="AO14" s="134"/>
      <c r="AP14" s="134">
        <v>3593.4500000000003</v>
      </c>
      <c r="AQ14" s="134"/>
      <c r="AR14" s="134">
        <v>398.90000000000003</v>
      </c>
      <c r="AS14" s="134"/>
      <c r="AT14" s="134">
        <v>430.6</v>
      </c>
      <c r="AU14" s="134"/>
      <c r="AV14" s="134">
        <v>535</v>
      </c>
      <c r="AW14" s="134"/>
      <c r="AX14" s="134">
        <v>621.90624000000003</v>
      </c>
      <c r="AY14" s="21"/>
      <c r="AZ14" s="140">
        <v>-6.79</v>
      </c>
      <c r="BA14" s="140"/>
      <c r="BB14" s="140">
        <v>-4.5819999999999999</v>
      </c>
      <c r="BC14" s="140"/>
      <c r="BD14" s="140">
        <v>2.6177000000000001</v>
      </c>
      <c r="BE14" s="140"/>
      <c r="BF14" s="140">
        <v>3.98</v>
      </c>
      <c r="BG14" s="140"/>
      <c r="BH14" s="140">
        <f>IF($F14="","",IF(ISERROR($AH14/AJ14),"NA",$AH14/AJ14))</f>
        <v>1.8528478467040237</v>
      </c>
      <c r="BI14" s="140"/>
      <c r="BJ14" s="140">
        <f>IF($F14="","",IF(ISERROR($AH14/AL14),"NA",$AH14/AL14))</f>
        <v>1.8733148919572953</v>
      </c>
      <c r="BK14" s="140"/>
      <c r="BL14" s="140">
        <f>IF($F14="","",IF(ISERROR($AH14/AN14),"NA",$AH14/AN14))</f>
        <v>1.8585119829058052</v>
      </c>
      <c r="BM14" s="140"/>
      <c r="BN14" s="140">
        <f>IF($F14="","",IF(ISERROR($AH14/AP14),"NA",$AH14/AP14))</f>
        <v>1.8311145439619305</v>
      </c>
      <c r="BO14" s="140"/>
      <c r="BP14" s="140">
        <f>IF($F14="","",IF(ISERROR($AH14/AR14),"NA",$AH14/AR14))</f>
        <v>16.495408769115066</v>
      </c>
      <c r="BQ14" s="140"/>
      <c r="BR14" s="140">
        <f>IF($F14="","",IF(ISERROR($AH14/AT14),"NA",$AH14/AT14))</f>
        <v>15.281046349280073</v>
      </c>
      <c r="BS14" s="140"/>
      <c r="BT14" s="140">
        <f>IF($F14="","",IF(ISERROR($AH14/AV14),"NA",$AH14/AV14))</f>
        <v>12.299100108411215</v>
      </c>
      <c r="BU14" s="140"/>
      <c r="BV14" s="140">
        <f>IF($F14="","",IF(ISERROR($AH14/AX14),"NA",$AH14/AX14))</f>
        <v>10.580402856224758</v>
      </c>
      <c r="BW14" s="140"/>
      <c r="BX14" s="140" t="s">
        <v>1444</v>
      </c>
      <c r="BY14" s="140"/>
      <c r="BZ14" s="140" t="s">
        <v>1444</v>
      </c>
      <c r="CA14" s="140"/>
      <c r="CB14" s="140">
        <v>27.478437962899999</v>
      </c>
      <c r="CC14" s="140"/>
      <c r="CD14" s="140">
        <v>19.0109436081</v>
      </c>
      <c r="CE14" s="140"/>
      <c r="CF14" s="140" t="s">
        <v>1444</v>
      </c>
      <c r="CG14" s="140"/>
      <c r="CH14" s="140" t="s">
        <v>1444</v>
      </c>
      <c r="CI14" s="140"/>
      <c r="CJ14" s="140">
        <v>30.329000000000001</v>
      </c>
      <c r="CK14" s="140"/>
      <c r="CL14" s="140">
        <v>26.327000000000002</v>
      </c>
      <c r="CM14" s="140"/>
      <c r="CN14" s="140">
        <v>23.738</v>
      </c>
      <c r="CO14" s="140"/>
      <c r="CP14" s="140">
        <v>26.01</v>
      </c>
      <c r="CQ14" s="140"/>
      <c r="CR14" s="140">
        <v>17.173999999999999</v>
      </c>
      <c r="CS14" s="140"/>
      <c r="CT14" s="140">
        <v>12.907</v>
      </c>
      <c r="CU14" s="140"/>
      <c r="CV14" s="140">
        <v>11.233000000000001</v>
      </c>
      <c r="CW14" s="140"/>
      <c r="CX14" s="140">
        <v>12.259</v>
      </c>
      <c r="CY14" s="140"/>
      <c r="CZ14" s="140">
        <v>10.406000000000001</v>
      </c>
      <c r="DA14" s="140"/>
      <c r="DB14" s="140">
        <v>-11.148999999999999</v>
      </c>
      <c r="DC14" s="140"/>
      <c r="DD14" s="140">
        <v>-10.702999999999999</v>
      </c>
      <c r="DE14" s="140"/>
      <c r="DF14" s="140">
        <v>-7.3819999999999997</v>
      </c>
      <c r="DG14" s="140"/>
      <c r="DH14" s="140">
        <v>2.5819999999999999</v>
      </c>
      <c r="DI14" s="140"/>
      <c r="DJ14" s="140">
        <v>-11.558999999999999</v>
      </c>
      <c r="DK14" s="140"/>
      <c r="DL14" s="140">
        <v>-9.5</v>
      </c>
      <c r="DM14" s="140"/>
      <c r="DN14" s="140">
        <v>-4.3049999999999997</v>
      </c>
      <c r="DO14" s="140"/>
      <c r="DP14" s="140">
        <v>-3.927</v>
      </c>
      <c r="DQ14" s="140"/>
      <c r="DR14" s="140">
        <v>-21.670999999999999</v>
      </c>
      <c r="DS14" s="140"/>
      <c r="DT14" s="140">
        <v>-21.244</v>
      </c>
      <c r="DU14" s="140"/>
      <c r="DV14" s="140">
        <v>-3.927</v>
      </c>
      <c r="DW14" s="140"/>
      <c r="DX14" s="140">
        <f>IF($F14="","",IFERROR(100*(($ED14/EB14)^(1/5)-1),"NA"))</f>
        <v>-243.05478360863705</v>
      </c>
      <c r="DY14" s="140"/>
      <c r="DZ14" s="140">
        <f>IF($F14="","",IFERROR(100*(($ED14/EC14)^(1/3)-1),"NA"))</f>
        <v>-199.19312359806418</v>
      </c>
      <c r="EA14" s="140"/>
      <c r="EB14" s="140">
        <v>1.133</v>
      </c>
      <c r="EC14" s="140">
        <v>6.9550000000000001</v>
      </c>
      <c r="ED14" s="140">
        <v>-6.7880000000000003</v>
      </c>
      <c r="EE14" s="140"/>
      <c r="EF14" s="140">
        <v>-4.5810000000000004</v>
      </c>
      <c r="EG14" s="140"/>
      <c r="EH14" s="140">
        <v>5.5910000000000002</v>
      </c>
      <c r="EI14" s="140"/>
      <c r="EJ14" s="140">
        <v>5.4969999999999999</v>
      </c>
      <c r="EK14" s="140"/>
      <c r="EL14" s="140">
        <v>1.72</v>
      </c>
      <c r="EM14" s="140"/>
      <c r="EN14" s="140">
        <v>2.919</v>
      </c>
      <c r="EO14" s="140"/>
      <c r="EP14" s="140">
        <v>2.3980000000000001</v>
      </c>
      <c r="EQ14" s="140"/>
      <c r="ER14" s="140" t="s">
        <v>1444</v>
      </c>
      <c r="ES14" s="140"/>
      <c r="ET14" s="140">
        <v>110.129</v>
      </c>
      <c r="EU14" s="140"/>
      <c r="EV14" s="140">
        <v>4549.1229999999996</v>
      </c>
      <c r="EW14" s="140"/>
      <c r="EX14" s="140">
        <v>5.4740000000000002</v>
      </c>
      <c r="EY14" s="140"/>
      <c r="EZ14" s="140">
        <v>7.0650000000000004</v>
      </c>
      <c r="FA14" s="140"/>
      <c r="FB14" s="140">
        <v>1.8009999999999999</v>
      </c>
      <c r="FC14" s="140"/>
      <c r="FD14" s="140">
        <v>0.93200000000000005</v>
      </c>
      <c r="FE14" s="13"/>
      <c r="FF14" s="134">
        <v>86.245999999999995</v>
      </c>
      <c r="FG14" s="134"/>
      <c r="FH14" s="134">
        <v>104.46299999999999</v>
      </c>
      <c r="FI14" s="134"/>
      <c r="FJ14" s="134">
        <v>53.515000000000001</v>
      </c>
      <c r="FK14" s="134"/>
      <c r="FL14" s="134">
        <v>137.19399999999999</v>
      </c>
      <c r="FM14" s="13"/>
      <c r="FN14" s="140">
        <v>0.88400000000000001</v>
      </c>
      <c r="FO14" s="140"/>
      <c r="FP14" s="140">
        <v>4.0549999999999997</v>
      </c>
      <c r="FQ14" s="140"/>
      <c r="FR14" s="140">
        <v>4.22</v>
      </c>
      <c r="FS14" s="140"/>
      <c r="FT14" s="140">
        <v>3.484</v>
      </c>
    </row>
    <row r="15" spans="2:176" x14ac:dyDescent="0.2">
      <c r="B15" s="46" t="str">
        <f>IF(Code_4="","",Code_4)</f>
        <v>NYSE:CTVA</v>
      </c>
      <c r="C15" s="54"/>
      <c r="D15" s="30" t="s">
        <v>2006</v>
      </c>
      <c r="E15" s="232"/>
      <c r="F15" s="30" t="s">
        <v>2007</v>
      </c>
      <c r="G15" s="13"/>
      <c r="H15" s="50">
        <v>45291</v>
      </c>
      <c r="I15" s="50"/>
      <c r="J15" s="50">
        <v>45473</v>
      </c>
      <c r="K15" s="13"/>
      <c r="L15" s="140">
        <v>55.58</v>
      </c>
      <c r="M15" s="140"/>
      <c r="N15" s="140">
        <v>58.76</v>
      </c>
      <c r="O15" s="140"/>
      <c r="P15" s="140">
        <v>43.22</v>
      </c>
      <c r="Q15" s="13"/>
      <c r="R15" s="79">
        <f>IF($F15="","",IF(ISERROR(L15/N15),"NA",L15/N15))</f>
        <v>0.94588155207624236</v>
      </c>
      <c r="S15" s="79"/>
      <c r="T15" s="79">
        <f>IF($F15="","",IF(ISERROR(L15/P15),"NA",L15/P15))</f>
        <v>1.2859787135585377</v>
      </c>
      <c r="U15" s="13"/>
      <c r="V15" s="134">
        <v>692247000</v>
      </c>
      <c r="W15" s="134"/>
      <c r="X15" s="134">
        <v>38475.088259999997</v>
      </c>
      <c r="Y15" s="134"/>
      <c r="Z15" s="134">
        <v>2742</v>
      </c>
      <c r="AA15" s="134"/>
      <c r="AB15" s="134">
        <v>2975</v>
      </c>
      <c r="AC15" s="134"/>
      <c r="AD15" s="134" t="s">
        <v>1443</v>
      </c>
      <c r="AE15" s="134"/>
      <c r="AF15" s="134">
        <v>242</v>
      </c>
      <c r="AG15" s="134"/>
      <c r="AH15" s="134">
        <v>41380.088259999997</v>
      </c>
      <c r="AI15" s="134"/>
      <c r="AJ15" s="134">
        <v>17226</v>
      </c>
      <c r="AK15" s="134"/>
      <c r="AL15" s="134">
        <v>16901</v>
      </c>
      <c r="AM15" s="134"/>
      <c r="AN15" s="134">
        <v>17305.242000000002</v>
      </c>
      <c r="AO15" s="134"/>
      <c r="AP15" s="134">
        <v>18014.419960000003</v>
      </c>
      <c r="AQ15" s="134"/>
      <c r="AR15" s="134">
        <v>3217</v>
      </c>
      <c r="AS15" s="134"/>
      <c r="AT15" s="134">
        <v>3214</v>
      </c>
      <c r="AU15" s="134"/>
      <c r="AV15" s="134">
        <v>3477.451</v>
      </c>
      <c r="AW15" s="134"/>
      <c r="AX15" s="134">
        <v>3949.0035000000003</v>
      </c>
      <c r="AY15" s="21"/>
      <c r="AZ15" s="140">
        <v>1.0269999999999999</v>
      </c>
      <c r="BA15" s="140"/>
      <c r="BB15" s="140">
        <v>1.2649999999999999</v>
      </c>
      <c r="BC15" s="140"/>
      <c r="BD15" s="140">
        <v>2.69</v>
      </c>
      <c r="BE15" s="140"/>
      <c r="BF15" s="140">
        <v>3.35</v>
      </c>
      <c r="BG15" s="140"/>
      <c r="BH15" s="140">
        <f>IF($F15="","",IF(ISERROR($AH15/AJ15),"NA",$AH15/AJ15))</f>
        <v>2.402187870660629</v>
      </c>
      <c r="BI15" s="140"/>
      <c r="BJ15" s="140">
        <f>IF($F15="","",IF(ISERROR($AH15/AL15),"NA",$AH15/AL15))</f>
        <v>2.4483810579255665</v>
      </c>
      <c r="BK15" s="140"/>
      <c r="BL15" s="140">
        <f>IF($F15="","",IF(ISERROR($AH15/AN15),"NA",$AH15/AN15))</f>
        <v>2.3911880723771439</v>
      </c>
      <c r="BM15" s="140"/>
      <c r="BN15" s="140">
        <f>IF($F15="","",IF(ISERROR($AH15/AP15),"NA",$AH15/AP15))</f>
        <v>2.2970536021632744</v>
      </c>
      <c r="BO15" s="140"/>
      <c r="BP15" s="140">
        <f>IF($F15="","",IF(ISERROR($AH15/AR15),"NA",$AH15/AR15))</f>
        <v>12.862943195523778</v>
      </c>
      <c r="BQ15" s="140"/>
      <c r="BR15" s="140">
        <f>IF($F15="","",IF(ISERROR($AH15/AT15),"NA",$AH15/AT15))</f>
        <v>12.87494967641568</v>
      </c>
      <c r="BS15" s="140"/>
      <c r="BT15" s="140">
        <f>IF($F15="","",IF(ISERROR($AH15/AV15),"NA",$AH15/AV15))</f>
        <v>11.899546035299993</v>
      </c>
      <c r="BU15" s="140"/>
      <c r="BV15" s="140">
        <f>IF($F15="","",IF(ISERROR($AH15/AX15),"NA",$AH15/AX15))</f>
        <v>10.4786152405284</v>
      </c>
      <c r="BW15" s="140"/>
      <c r="BX15" s="140">
        <v>36.833205</v>
      </c>
      <c r="BY15" s="140"/>
      <c r="BZ15" s="140">
        <v>68.538754999999995</v>
      </c>
      <c r="CA15" s="140"/>
      <c r="CB15" s="140">
        <v>20.660711564100001</v>
      </c>
      <c r="CC15" s="140"/>
      <c r="CD15" s="140">
        <v>16.755145167999999</v>
      </c>
      <c r="CE15" s="140"/>
      <c r="CF15" s="140">
        <v>153.10872978705819</v>
      </c>
      <c r="CG15" s="140"/>
      <c r="CH15" s="140">
        <v>707.2146583534801</v>
      </c>
      <c r="CI15" s="140"/>
      <c r="CJ15" s="140">
        <v>41.104999999999997</v>
      </c>
      <c r="CK15" s="140"/>
      <c r="CL15" s="140">
        <v>40.212000000000003</v>
      </c>
      <c r="CM15" s="140"/>
      <c r="CN15" s="140">
        <v>42.5</v>
      </c>
      <c r="CO15" s="140"/>
      <c r="CP15" s="140">
        <v>43.683999999999997</v>
      </c>
      <c r="CQ15" s="140"/>
      <c r="CR15" s="140">
        <v>24.771999999999998</v>
      </c>
      <c r="CS15" s="140"/>
      <c r="CT15" s="140">
        <v>18.986000000000001</v>
      </c>
      <c r="CU15" s="140"/>
      <c r="CV15" s="140">
        <v>18.675000000000001</v>
      </c>
      <c r="CW15" s="140"/>
      <c r="CX15" s="140">
        <v>19.016999999999999</v>
      </c>
      <c r="CY15" s="140"/>
      <c r="CZ15" s="140">
        <v>11.236000000000001</v>
      </c>
      <c r="DA15" s="140"/>
      <c r="DB15" s="140">
        <v>6.5709999999999997</v>
      </c>
      <c r="DC15" s="140"/>
      <c r="DD15" s="140">
        <v>4.2670000000000003</v>
      </c>
      <c r="DE15" s="140"/>
      <c r="DF15" s="140">
        <v>5.3129999999999997</v>
      </c>
      <c r="DG15" s="140"/>
      <c r="DH15" s="140">
        <v>4.2679999999999998</v>
      </c>
      <c r="DI15" s="140"/>
      <c r="DJ15" s="140">
        <v>4.3479999999999999</v>
      </c>
      <c r="DK15" s="140"/>
      <c r="DL15" s="140">
        <v>-1.3120000000000001</v>
      </c>
      <c r="DM15" s="140"/>
      <c r="DN15" s="140">
        <v>-3.5939999999999999</v>
      </c>
      <c r="DO15" s="140"/>
      <c r="DP15" s="140">
        <v>10.24</v>
      </c>
      <c r="DQ15" s="140"/>
      <c r="DR15" s="140">
        <v>0.51300000000000001</v>
      </c>
      <c r="DS15" s="140"/>
      <c r="DT15" s="140">
        <v>-2.927</v>
      </c>
      <c r="DU15" s="140"/>
      <c r="DV15" s="140">
        <v>-2.0419999999999998</v>
      </c>
      <c r="DW15" s="140"/>
      <c r="DX15" s="140">
        <f>IF($F15="","",IFERROR(100*(($ED15/EB15)^(1/5)-1),"NA"))</f>
        <v>-168.73520970328136</v>
      </c>
      <c r="DY15" s="140"/>
      <c r="DZ15" s="140">
        <f>IF($F15="","",IFERROR(100*(($ED15/EC15)^(1/3)-1),"NA"))</f>
        <v>4.4509645192608582</v>
      </c>
      <c r="EA15" s="140"/>
      <c r="EB15" s="140">
        <v>-6.7590000000000003</v>
      </c>
      <c r="EC15" s="140">
        <v>0.91</v>
      </c>
      <c r="ED15" s="140">
        <v>1.0369999999999999</v>
      </c>
      <c r="EE15" s="140"/>
      <c r="EF15" s="140">
        <v>1.2789999999999999</v>
      </c>
      <c r="EG15" s="140"/>
      <c r="EH15" s="140">
        <v>0.87</v>
      </c>
      <c r="EI15" s="140"/>
      <c r="EJ15" s="140">
        <v>6.8000000000000005E-2</v>
      </c>
      <c r="EK15" s="140"/>
      <c r="EL15" s="140">
        <v>8.609</v>
      </c>
      <c r="EM15" s="140"/>
      <c r="EN15" s="140">
        <v>14.678000000000001</v>
      </c>
      <c r="EO15" s="140"/>
      <c r="EP15" s="140">
        <v>12.124000000000001</v>
      </c>
      <c r="EQ15" s="140"/>
      <c r="ER15" s="140">
        <v>11.769</v>
      </c>
      <c r="ES15" s="140"/>
      <c r="ET15" s="140">
        <v>10.529</v>
      </c>
      <c r="EU15" s="140"/>
      <c r="EV15" s="140">
        <v>3.415</v>
      </c>
      <c r="EW15" s="140"/>
      <c r="EX15" s="140">
        <v>2.8849999999999998</v>
      </c>
      <c r="EY15" s="140"/>
      <c r="EZ15" s="140">
        <v>3.9910000000000001</v>
      </c>
      <c r="FA15" s="140"/>
      <c r="FB15" s="140">
        <v>1.716</v>
      </c>
      <c r="FC15" s="140"/>
      <c r="FD15" s="140">
        <v>1.073</v>
      </c>
      <c r="FE15" s="13"/>
      <c r="FF15" s="134">
        <v>140.96600000000001</v>
      </c>
      <c r="FG15" s="134"/>
      <c r="FH15" s="134">
        <v>202.28399999999999</v>
      </c>
      <c r="FI15" s="134"/>
      <c r="FJ15" s="134">
        <v>139.16200000000001</v>
      </c>
      <c r="FK15" s="134"/>
      <c r="FL15" s="134">
        <v>204.089</v>
      </c>
      <c r="FM15" s="13"/>
      <c r="FN15" s="140">
        <v>0.39500000000000002</v>
      </c>
      <c r="FO15" s="140"/>
      <c r="FP15" s="140">
        <v>3.9950000000000001</v>
      </c>
      <c r="FQ15" s="140"/>
      <c r="FR15" s="140">
        <v>2.5960000000000001</v>
      </c>
      <c r="FS15" s="140"/>
      <c r="FT15" s="140">
        <v>1.8089999999999999</v>
      </c>
    </row>
    <row r="16" spans="2:176" x14ac:dyDescent="0.2">
      <c r="B16" s="46" t="str">
        <f>IF(Code_5="","",Code_5)</f>
        <v>NYSE:AXTA</v>
      </c>
      <c r="C16" s="54"/>
      <c r="D16" s="30" t="s">
        <v>2008</v>
      </c>
      <c r="E16" s="232"/>
      <c r="F16" s="30" t="s">
        <v>2009</v>
      </c>
      <c r="G16" s="13"/>
      <c r="H16" s="50">
        <v>45291</v>
      </c>
      <c r="I16" s="50"/>
      <c r="J16" s="50">
        <v>45473</v>
      </c>
      <c r="K16" s="13"/>
      <c r="L16" s="140">
        <v>35.64</v>
      </c>
      <c r="M16" s="140"/>
      <c r="N16" s="140">
        <v>37.49</v>
      </c>
      <c r="O16" s="140"/>
      <c r="P16" s="140">
        <v>25.03</v>
      </c>
      <c r="Q16" s="13"/>
      <c r="R16" s="79">
        <f>IF($F16="","",IF(ISERROR(L16/N16),"NA",L16/N16))</f>
        <v>0.95065350760202716</v>
      </c>
      <c r="S16" s="79"/>
      <c r="T16" s="79">
        <f>IF($F16="","",IF(ISERROR(L16/P16),"NA",L16/P16))</f>
        <v>1.4238913304035157</v>
      </c>
      <c r="U16" s="13"/>
      <c r="V16" s="134">
        <v>219304924</v>
      </c>
      <c r="W16" s="134"/>
      <c r="X16" s="134">
        <v>7816.0274913599997</v>
      </c>
      <c r="Y16" s="134"/>
      <c r="Z16" s="134">
        <v>700.2</v>
      </c>
      <c r="AA16" s="134"/>
      <c r="AB16" s="134">
        <v>3610.9</v>
      </c>
      <c r="AC16" s="134"/>
      <c r="AD16" s="134" t="s">
        <v>1443</v>
      </c>
      <c r="AE16" s="134"/>
      <c r="AF16" s="134">
        <v>45.5</v>
      </c>
      <c r="AG16" s="134"/>
      <c r="AH16" s="134">
        <v>10629.027491000001</v>
      </c>
      <c r="AI16" s="134"/>
      <c r="AJ16" s="134">
        <v>5184.1000000000004</v>
      </c>
      <c r="AK16" s="134"/>
      <c r="AL16" s="134">
        <v>5251.1</v>
      </c>
      <c r="AM16" s="134"/>
      <c r="AN16" s="134">
        <v>5306</v>
      </c>
      <c r="AO16" s="134"/>
      <c r="AP16" s="134">
        <v>5492.152</v>
      </c>
      <c r="AQ16" s="134"/>
      <c r="AR16" s="134">
        <v>896.2</v>
      </c>
      <c r="AS16" s="134"/>
      <c r="AT16" s="134">
        <v>1002.2</v>
      </c>
      <c r="AU16" s="134"/>
      <c r="AV16" s="134">
        <v>1095.0837200000001</v>
      </c>
      <c r="AW16" s="134"/>
      <c r="AX16" s="134">
        <v>1161</v>
      </c>
      <c r="AY16" s="21"/>
      <c r="AZ16" s="140">
        <v>1.21</v>
      </c>
      <c r="BA16" s="140"/>
      <c r="BB16" s="140">
        <v>1.35</v>
      </c>
      <c r="BC16" s="140"/>
      <c r="BD16" s="140">
        <v>2.0499999999999998</v>
      </c>
      <c r="BE16" s="140"/>
      <c r="BF16" s="140">
        <v>2.35</v>
      </c>
      <c r="BG16" s="140"/>
      <c r="BH16" s="140">
        <f>IF($F16="","",IF(ISERROR($AH16/AJ16),"NA",$AH16/AJ16))</f>
        <v>2.0503129744796591</v>
      </c>
      <c r="BI16" s="140"/>
      <c r="BJ16" s="140">
        <f>IF($F16="","",IF(ISERROR($AH16/AL16),"NA",$AH16/AL16))</f>
        <v>2.0241525567976235</v>
      </c>
      <c r="BK16" s="140"/>
      <c r="BL16" s="140">
        <f>IF($F16="","",IF(ISERROR($AH16/AN16),"NA",$AH16/AN16))</f>
        <v>2.0032091012061817</v>
      </c>
      <c r="BM16" s="140"/>
      <c r="BN16" s="140">
        <f>IF($F16="","",IF(ISERROR($AH16/AP16),"NA",$AH16/AP16))</f>
        <v>1.9353119671487609</v>
      </c>
      <c r="BO16" s="140"/>
      <c r="BP16" s="140">
        <f>IF($F16="","",IF(ISERROR($AH16/AR16),"NA",$AH16/AR16))</f>
        <v>11.860106550993082</v>
      </c>
      <c r="BQ16" s="140"/>
      <c r="BR16" s="140">
        <f>IF($F16="","",IF(ISERROR($AH16/AT16),"NA",$AH16/AT16))</f>
        <v>10.605694962083417</v>
      </c>
      <c r="BS16" s="140"/>
      <c r="BT16" s="140">
        <f>IF($F16="","",IF(ISERROR($AH16/AV16),"NA",$AH16/AV16))</f>
        <v>9.7061323229241321</v>
      </c>
      <c r="BU16" s="140"/>
      <c r="BV16" s="140">
        <f>IF($F16="","",IF(ISERROR($AH16/AX16),"NA",$AH16/AX16))</f>
        <v>9.1550624384151593</v>
      </c>
      <c r="BW16" s="140"/>
      <c r="BX16" s="140">
        <v>31.747664</v>
      </c>
      <c r="BY16" s="140"/>
      <c r="BZ16" s="140">
        <v>30.508928999999998</v>
      </c>
      <c r="CA16" s="140"/>
      <c r="CB16" s="140">
        <v>17.255152580200001</v>
      </c>
      <c r="CC16" s="140"/>
      <c r="CD16" s="140">
        <v>15.193629248100001</v>
      </c>
      <c r="CE16" s="140"/>
      <c r="CF16" s="140">
        <v>440.81632653061217</v>
      </c>
      <c r="CG16" s="140"/>
      <c r="CH16" s="140" t="s">
        <v>1444</v>
      </c>
      <c r="CI16" s="140"/>
      <c r="CJ16" s="140">
        <v>32.356000000000002</v>
      </c>
      <c r="CK16" s="140"/>
      <c r="CL16" s="140">
        <v>29.047999999999998</v>
      </c>
      <c r="CM16" s="140"/>
      <c r="CN16" s="140">
        <v>31.22</v>
      </c>
      <c r="CO16" s="140"/>
      <c r="CP16" s="140">
        <v>32.898000000000003</v>
      </c>
      <c r="CQ16" s="140"/>
      <c r="CR16" s="140">
        <v>18.763000000000002</v>
      </c>
      <c r="CS16" s="140"/>
      <c r="CT16" s="140">
        <v>15.446999999999999</v>
      </c>
      <c r="CU16" s="140"/>
      <c r="CV16" s="140">
        <v>17.286999999999999</v>
      </c>
      <c r="CW16" s="140"/>
      <c r="CX16" s="140">
        <v>19.085999999999999</v>
      </c>
      <c r="CY16" s="140"/>
      <c r="CZ16" s="140">
        <v>5.976</v>
      </c>
      <c r="DA16" s="140"/>
      <c r="DB16" s="140">
        <v>3.923</v>
      </c>
      <c r="DC16" s="140"/>
      <c r="DD16" s="140">
        <v>5.1580000000000004</v>
      </c>
      <c r="DE16" s="140"/>
      <c r="DF16" s="140">
        <v>5.6829999999999998</v>
      </c>
      <c r="DG16" s="140"/>
      <c r="DH16" s="140">
        <v>2.734</v>
      </c>
      <c r="DI16" s="140"/>
      <c r="DJ16" s="140">
        <v>6.9560000000000004</v>
      </c>
      <c r="DK16" s="140"/>
      <c r="DL16" s="140">
        <v>6.1360000000000001</v>
      </c>
      <c r="DM16" s="140"/>
      <c r="DN16" s="140">
        <v>3.9119999999999999</v>
      </c>
      <c r="DO16" s="140"/>
      <c r="DP16" s="140">
        <v>2.4220000000000002</v>
      </c>
      <c r="DQ16" s="140"/>
      <c r="DR16" s="140">
        <v>1.29</v>
      </c>
      <c r="DS16" s="140"/>
      <c r="DT16" s="140">
        <v>18.780999999999999</v>
      </c>
      <c r="DU16" s="140"/>
      <c r="DV16" s="140">
        <v>23.363</v>
      </c>
      <c r="DW16" s="140"/>
      <c r="DX16" s="140">
        <f>IF($F16="","",IFERROR(100*(($ED16/EB16)^(1/5)-1),"NA"))</f>
        <v>6.8939817335309739</v>
      </c>
      <c r="DY16" s="140"/>
      <c r="DZ16" s="140">
        <f>IF($F16="","",IFERROR(100*(($ED16/EC16)^(1/3)-1),"NA"))</f>
        <v>32.769486549449887</v>
      </c>
      <c r="EA16" s="140"/>
      <c r="EB16" s="140">
        <v>0.86699999999999999</v>
      </c>
      <c r="EC16" s="140">
        <v>0.51700000000000002</v>
      </c>
      <c r="ED16" s="140">
        <v>1.21</v>
      </c>
      <c r="EE16" s="140"/>
      <c r="EF16" s="140">
        <v>1.3540000000000001</v>
      </c>
      <c r="EG16" s="140"/>
      <c r="EH16" s="140">
        <v>3.839</v>
      </c>
      <c r="EI16" s="140"/>
      <c r="EJ16" s="140">
        <v>3.0939999999999999</v>
      </c>
      <c r="EK16" s="140"/>
      <c r="EL16" s="140">
        <v>2.7770000000000001</v>
      </c>
      <c r="EM16" s="140"/>
      <c r="EN16" s="140">
        <v>4.2089999999999996</v>
      </c>
      <c r="EO16" s="140"/>
      <c r="EP16" s="140">
        <v>3.5920000000000001</v>
      </c>
      <c r="EQ16" s="140"/>
      <c r="ER16" s="140">
        <v>203.68299999999999</v>
      </c>
      <c r="ES16" s="140"/>
      <c r="ET16" s="140">
        <v>67.070999999999998</v>
      </c>
      <c r="EU16" s="140"/>
      <c r="EV16" s="140">
        <v>17.023</v>
      </c>
      <c r="EW16" s="140"/>
      <c r="EX16" s="140">
        <v>6.33</v>
      </c>
      <c r="EY16" s="140"/>
      <c r="EZ16" s="140">
        <v>8.5020000000000007</v>
      </c>
      <c r="FA16" s="140"/>
      <c r="FB16" s="140">
        <v>2.258</v>
      </c>
      <c r="FC16" s="140"/>
      <c r="FD16" s="140">
        <v>1.5509999999999999</v>
      </c>
      <c r="FE16" s="13"/>
      <c r="FF16" s="134">
        <v>77.198999999999998</v>
      </c>
      <c r="FG16" s="134"/>
      <c r="FH16" s="134">
        <v>78.510999999999996</v>
      </c>
      <c r="FI16" s="134"/>
      <c r="FJ16" s="134">
        <v>74.063999999999993</v>
      </c>
      <c r="FK16" s="134"/>
      <c r="FL16" s="134">
        <v>81.646000000000001</v>
      </c>
      <c r="FM16" s="13"/>
      <c r="FN16" s="140">
        <v>0.73199999999999998</v>
      </c>
      <c r="FO16" s="140"/>
      <c r="FP16" s="140">
        <v>4.46</v>
      </c>
      <c r="FQ16" s="140"/>
      <c r="FR16" s="140">
        <v>4.7409999999999997</v>
      </c>
      <c r="FS16" s="140"/>
      <c r="FT16" s="140">
        <v>4.6619999999999999</v>
      </c>
    </row>
    <row r="17" spans="2:176" x14ac:dyDescent="0.2">
      <c r="B17" s="46" t="str">
        <f>IF(Code_6="","",Code_6)</f>
        <v>NYSE:ALB</v>
      </c>
      <c r="C17" s="54"/>
      <c r="D17" s="30" t="s">
        <v>2010</v>
      </c>
      <c r="E17" s="232"/>
      <c r="F17" s="30" t="s">
        <v>2011</v>
      </c>
      <c r="G17" s="13"/>
      <c r="H17" s="50">
        <v>45291</v>
      </c>
      <c r="I17" s="50"/>
      <c r="J17" s="50">
        <v>45473</v>
      </c>
      <c r="K17" s="13"/>
      <c r="L17" s="140">
        <v>90.5</v>
      </c>
      <c r="M17" s="140"/>
      <c r="N17" s="140">
        <v>203.62</v>
      </c>
      <c r="O17" s="140"/>
      <c r="P17" s="140">
        <v>71.97</v>
      </c>
      <c r="Q17" s="13"/>
      <c r="R17" s="79">
        <f>IF($F17="","",IF(ISERROR(L17/N17),"NA",L17/N17))</f>
        <v>0.44445535801984087</v>
      </c>
      <c r="S17" s="79"/>
      <c r="T17" s="79">
        <f>IF($F17="","",IF(ISERROR(L17/P17),"NA",L17/P17))</f>
        <v>1.2574683896067806</v>
      </c>
      <c r="U17" s="13"/>
      <c r="V17" s="134">
        <v>117533235</v>
      </c>
      <c r="W17" s="134"/>
      <c r="X17" s="134">
        <v>10636.757767499999</v>
      </c>
      <c r="Y17" s="134"/>
      <c r="Z17" s="134">
        <v>889.9</v>
      </c>
      <c r="AA17" s="134"/>
      <c r="AB17" s="134">
        <v>4311.027</v>
      </c>
      <c r="AC17" s="134"/>
      <c r="AD17" s="134" t="s">
        <v>1443</v>
      </c>
      <c r="AE17" s="134"/>
      <c r="AF17" s="134">
        <v>252.91900000000001</v>
      </c>
      <c r="AG17" s="134"/>
      <c r="AH17" s="134">
        <v>14961.720767000001</v>
      </c>
      <c r="AI17" s="134"/>
      <c r="AJ17" s="134">
        <v>9617.2029999999995</v>
      </c>
      <c r="AK17" s="134"/>
      <c r="AL17" s="134">
        <v>7457.8820000000005</v>
      </c>
      <c r="AM17" s="134"/>
      <c r="AN17" s="134">
        <v>5622.7</v>
      </c>
      <c r="AO17" s="134"/>
      <c r="AP17" s="134">
        <v>6352.6816500000004</v>
      </c>
      <c r="AQ17" s="134"/>
      <c r="AR17" s="134">
        <v>897.06700000000001</v>
      </c>
      <c r="AS17" s="134"/>
      <c r="AT17" s="134">
        <v>-840.95500000000004</v>
      </c>
      <c r="AU17" s="134"/>
      <c r="AV17" s="134">
        <v>1080.75017</v>
      </c>
      <c r="AW17" s="134"/>
      <c r="AX17" s="134">
        <v>1340</v>
      </c>
      <c r="AY17" s="21"/>
      <c r="AZ17" s="140">
        <v>13.36</v>
      </c>
      <c r="BA17" s="140"/>
      <c r="BB17" s="140">
        <v>-4.72</v>
      </c>
      <c r="BC17" s="140"/>
      <c r="BD17" s="140">
        <v>0.63</v>
      </c>
      <c r="BE17" s="140"/>
      <c r="BF17" s="140">
        <v>3.0597400000000001</v>
      </c>
      <c r="BG17" s="140"/>
      <c r="BH17" s="140">
        <f>IF($F17="","",IF(ISERROR($AH17/AJ17),"NA",$AH17/AJ17))</f>
        <v>1.5557247535484071</v>
      </c>
      <c r="BI17" s="140"/>
      <c r="BJ17" s="140">
        <f>IF($F17="","",IF(ISERROR($AH17/AL17),"NA",$AH17/AL17))</f>
        <v>2.0061621740596056</v>
      </c>
      <c r="BK17" s="140"/>
      <c r="BL17" s="140">
        <f>IF($F17="","",IF(ISERROR($AH17/AN17),"NA",$AH17/AN17))</f>
        <v>2.6609495023743044</v>
      </c>
      <c r="BM17" s="140"/>
      <c r="BN17" s="140">
        <f>IF($F17="","",IF(ISERROR($AH17/AP17),"NA",$AH17/AP17))</f>
        <v>2.3551818887382781</v>
      </c>
      <c r="BO17" s="140"/>
      <c r="BP17" s="140">
        <f>IF($F17="","",IF(ISERROR($AH17/AR17),"NA",$AH17/AR17))</f>
        <v>16.678487523228476</v>
      </c>
      <c r="BQ17" s="140"/>
      <c r="BR17" s="140">
        <f>IF($F17="","",IF(ISERROR($AH17/AT17),"NA",$AH17/AT17))</f>
        <v>-17.791345276501122</v>
      </c>
      <c r="BS17" s="140"/>
      <c r="BT17" s="140">
        <f>IF($F17="","",IF(ISERROR($AH17/AV17),"NA",$AH17/AV17))</f>
        <v>13.843829205226958</v>
      </c>
      <c r="BU17" s="140"/>
      <c r="BV17" s="140">
        <f>IF($F17="","",IF(ISERROR($AH17/AX17),"NA",$AH17/AX17))</f>
        <v>11.165463258955224</v>
      </c>
      <c r="BW17" s="140"/>
      <c r="BX17" s="140">
        <v>5.1221329999999998</v>
      </c>
      <c r="BY17" s="140"/>
      <c r="BZ17" s="140">
        <v>34.533622999999999</v>
      </c>
      <c r="CA17" s="140"/>
      <c r="CB17" s="140">
        <v>140.99647898289999</v>
      </c>
      <c r="CC17" s="140"/>
      <c r="CD17" s="140">
        <v>23.164738404800001</v>
      </c>
      <c r="CE17" s="140"/>
      <c r="CF17" s="140">
        <v>118.34551660106445</v>
      </c>
      <c r="CG17" s="140"/>
      <c r="CH17" s="140">
        <v>148.90256342755603</v>
      </c>
      <c r="CI17" s="140"/>
      <c r="CJ17" s="140">
        <v>30.303000000000001</v>
      </c>
      <c r="CK17" s="140"/>
      <c r="CL17" s="140">
        <v>42.045999999999999</v>
      </c>
      <c r="CM17" s="140"/>
      <c r="CN17" s="140">
        <v>12.446</v>
      </c>
      <c r="CO17" s="140"/>
      <c r="CP17" s="140">
        <v>-8.1760000000000002</v>
      </c>
      <c r="CQ17" s="140"/>
      <c r="CR17" s="140">
        <v>26.295999999999999</v>
      </c>
      <c r="CS17" s="140"/>
      <c r="CT17" s="140">
        <v>39.173000000000002</v>
      </c>
      <c r="CU17" s="140"/>
      <c r="CV17" s="140">
        <v>9.3279999999999994</v>
      </c>
      <c r="CW17" s="140"/>
      <c r="CX17" s="140">
        <v>-11.276</v>
      </c>
      <c r="CY17" s="140"/>
      <c r="CZ17" s="140">
        <v>3.7160000000000002</v>
      </c>
      <c r="DA17" s="140"/>
      <c r="DB17" s="140">
        <v>36.746000000000002</v>
      </c>
      <c r="DC17" s="140"/>
      <c r="DD17" s="140">
        <v>16.361000000000001</v>
      </c>
      <c r="DE17" s="140"/>
      <c r="DF17" s="140">
        <v>-6.7160000000000002</v>
      </c>
      <c r="DG17" s="140"/>
      <c r="DH17" s="140">
        <v>16.898</v>
      </c>
      <c r="DI17" s="140"/>
      <c r="DJ17" s="140">
        <v>32.182000000000002</v>
      </c>
      <c r="DK17" s="140"/>
      <c r="DL17" s="140">
        <v>31.381</v>
      </c>
      <c r="DM17" s="140"/>
      <c r="DN17" s="140">
        <v>-22.821999999999999</v>
      </c>
      <c r="DO17" s="140"/>
      <c r="DP17" s="140">
        <v>-2.0819999999999999</v>
      </c>
      <c r="DQ17" s="140"/>
      <c r="DR17" s="140">
        <v>2.5169999999999999</v>
      </c>
      <c r="DS17" s="140"/>
      <c r="DT17" s="140">
        <v>-68.715999999999994</v>
      </c>
      <c r="DU17" s="140"/>
      <c r="DV17" s="140" t="s">
        <v>1444</v>
      </c>
      <c r="DW17" s="140"/>
      <c r="DX17" s="140">
        <f>IF($F17="","",IFERROR(100*(($ED17/EB17)^(1/5)-1),"NA"))</f>
        <v>15.95872694729823</v>
      </c>
      <c r="DY17" s="140"/>
      <c r="DZ17" s="140">
        <f>IF($F17="","",IFERROR(100*(($ED17/EC17)^(1/3)-1),"NA"))</f>
        <v>56.011860718916282</v>
      </c>
      <c r="EA17" s="140"/>
      <c r="EB17" s="140">
        <v>6.3970000000000002</v>
      </c>
      <c r="EC17" s="140">
        <v>3.532</v>
      </c>
      <c r="ED17" s="140">
        <v>13.412000000000001</v>
      </c>
      <c r="EE17" s="140"/>
      <c r="EF17" s="140">
        <v>-4.72</v>
      </c>
      <c r="EG17" s="140"/>
      <c r="EH17" s="140">
        <v>4.3520000000000003</v>
      </c>
      <c r="EI17" s="140"/>
      <c r="EJ17" s="140">
        <v>3.2440000000000002</v>
      </c>
      <c r="EK17" s="140"/>
      <c r="EL17" s="140">
        <v>4.024</v>
      </c>
      <c r="EM17" s="140"/>
      <c r="EN17" s="140">
        <v>8.5350000000000001</v>
      </c>
      <c r="EO17" s="140"/>
      <c r="EP17" s="140" t="s">
        <v>1444</v>
      </c>
      <c r="EQ17" s="140"/>
      <c r="ER17" s="140">
        <v>44.603999999999999</v>
      </c>
      <c r="ES17" s="140"/>
      <c r="ET17" s="140">
        <v>30.846</v>
      </c>
      <c r="EU17" s="140"/>
      <c r="EV17" s="140">
        <v>-4.1029999999999998</v>
      </c>
      <c r="EW17" s="140"/>
      <c r="EX17" s="140">
        <v>-4.5090000000000003</v>
      </c>
      <c r="EY17" s="140"/>
      <c r="EZ17" s="140">
        <v>-5.851</v>
      </c>
      <c r="FA17" s="140"/>
      <c r="FB17" s="140">
        <v>2.6680000000000001</v>
      </c>
      <c r="FC17" s="140"/>
      <c r="FD17" s="140">
        <v>1.546</v>
      </c>
      <c r="FE17" s="13"/>
      <c r="FF17" s="134">
        <v>52.261000000000003</v>
      </c>
      <c r="FG17" s="134"/>
      <c r="FH17" s="134">
        <v>123.821</v>
      </c>
      <c r="FI17" s="134"/>
      <c r="FJ17" s="134">
        <v>128.96199999999999</v>
      </c>
      <c r="FK17" s="134"/>
      <c r="FL17" s="134">
        <v>47.121000000000002</v>
      </c>
      <c r="FM17" s="13"/>
      <c r="FN17" s="140">
        <v>0.39800000000000002</v>
      </c>
      <c r="FO17" s="140"/>
      <c r="FP17" s="140">
        <v>0.83099999999999996</v>
      </c>
      <c r="FQ17" s="140"/>
      <c r="FR17" s="140">
        <v>7.0030000000000001</v>
      </c>
      <c r="FS17" s="140"/>
      <c r="FT17" s="140">
        <v>2.956</v>
      </c>
    </row>
    <row r="18" spans="2:176" x14ac:dyDescent="0.2">
      <c r="B18" s="46" t="str">
        <f>IF(Code_7="","",Code_7)</f>
        <v>NYSE:HUN</v>
      </c>
      <c r="C18" s="54"/>
      <c r="D18" s="30" t="s">
        <v>2012</v>
      </c>
      <c r="E18" s="232"/>
      <c r="F18" s="30" t="s">
        <v>2013</v>
      </c>
      <c r="G18" s="13"/>
      <c r="H18" s="50">
        <v>45291</v>
      </c>
      <c r="I18" s="50"/>
      <c r="J18" s="50">
        <v>45473</v>
      </c>
      <c r="K18" s="13"/>
      <c r="L18" s="140">
        <v>21.92</v>
      </c>
      <c r="M18" s="140"/>
      <c r="N18" s="140">
        <v>28.36</v>
      </c>
      <c r="O18" s="140"/>
      <c r="P18" s="140">
        <v>19.91</v>
      </c>
      <c r="Q18" s="13"/>
      <c r="R18" s="79">
        <f>IF($F18="","",IF(ISERROR(L18/N18),"NA",L18/N18))</f>
        <v>0.77291960507757418</v>
      </c>
      <c r="S18" s="79"/>
      <c r="T18" s="79">
        <f>IF($F18="","",IF(ISERROR(L18/P18),"NA",L18/P18))</f>
        <v>1.1009542943244601</v>
      </c>
      <c r="U18" s="13"/>
      <c r="V18" s="134">
        <v>173003567</v>
      </c>
      <c r="W18" s="134"/>
      <c r="X18" s="134">
        <v>3792.2381886399999</v>
      </c>
      <c r="Y18" s="134"/>
      <c r="Z18" s="134">
        <v>540</v>
      </c>
      <c r="AA18" s="134"/>
      <c r="AB18" s="134">
        <v>2068</v>
      </c>
      <c r="AC18" s="134"/>
      <c r="AD18" s="134" t="s">
        <v>1443</v>
      </c>
      <c r="AE18" s="134"/>
      <c r="AF18" s="134">
        <v>227</v>
      </c>
      <c r="AG18" s="134"/>
      <c r="AH18" s="134">
        <v>6020.2381880000003</v>
      </c>
      <c r="AI18" s="134"/>
      <c r="AJ18" s="134">
        <v>6111</v>
      </c>
      <c r="AK18" s="134"/>
      <c r="AL18" s="134">
        <v>5953</v>
      </c>
      <c r="AM18" s="134"/>
      <c r="AN18" s="134">
        <v>6134.2935099999995</v>
      </c>
      <c r="AO18" s="134"/>
      <c r="AP18" s="134">
        <v>6510</v>
      </c>
      <c r="AQ18" s="134"/>
      <c r="AR18" s="134">
        <v>373</v>
      </c>
      <c r="AS18" s="134"/>
      <c r="AT18" s="134">
        <v>294</v>
      </c>
      <c r="AU18" s="134"/>
      <c r="AV18" s="134">
        <v>451.3</v>
      </c>
      <c r="AW18" s="134"/>
      <c r="AX18" s="134">
        <v>652.75976000000003</v>
      </c>
      <c r="AY18" s="21"/>
      <c r="AZ18" s="140">
        <v>0.56499999999999995</v>
      </c>
      <c r="BA18" s="140"/>
      <c r="BB18" s="140">
        <v>-0.499</v>
      </c>
      <c r="BC18" s="140"/>
      <c r="BD18" s="140">
        <v>0.2</v>
      </c>
      <c r="BE18" s="140"/>
      <c r="BF18" s="140">
        <v>1.3</v>
      </c>
      <c r="BG18" s="140"/>
      <c r="BH18" s="140">
        <f>IF($F18="","",IF(ISERROR($AH18/AJ18),"NA",$AH18/AJ18))</f>
        <v>0.98514779708721978</v>
      </c>
      <c r="BI18" s="140"/>
      <c r="BJ18" s="140">
        <f>IF($F18="","",IF(ISERROR($AH18/AL18),"NA",$AH18/AL18))</f>
        <v>1.0112948409205442</v>
      </c>
      <c r="BK18" s="140"/>
      <c r="BL18" s="140">
        <f>IF($F18="","",IF(ISERROR($AH18/AN18),"NA",$AH18/AN18))</f>
        <v>0.9814069343414904</v>
      </c>
      <c r="BM18" s="140"/>
      <c r="BN18" s="140">
        <f>IF($F18="","",IF(ISERROR($AH18/AP18),"NA",$AH18/AP18))</f>
        <v>0.9247677708141322</v>
      </c>
      <c r="BO18" s="140"/>
      <c r="BP18" s="140">
        <f>IF($F18="","",IF(ISERROR($AH18/AR18),"NA",$AH18/AR18))</f>
        <v>16.140048761394102</v>
      </c>
      <c r="BQ18" s="140"/>
      <c r="BR18" s="140">
        <f>IF($F18="","",IF(ISERROR($AH18/AT18),"NA",$AH18/AT18))</f>
        <v>20.477000639455785</v>
      </c>
      <c r="BS18" s="140"/>
      <c r="BT18" s="140">
        <f>IF($F18="","",IF(ISERROR($AH18/AV18),"NA",$AH18/AV18))</f>
        <v>13.339769971194327</v>
      </c>
      <c r="BU18" s="140"/>
      <c r="BV18" s="140">
        <f>IF($F18="","",IF(ISERROR($AH18/AX18),"NA",$AH18/AX18))</f>
        <v>9.2227471068375912</v>
      </c>
      <c r="BW18" s="140"/>
      <c r="BX18" s="140">
        <v>56.345291000000003</v>
      </c>
      <c r="BY18" s="140"/>
      <c r="BZ18" s="140" t="s">
        <v>1444</v>
      </c>
      <c r="CA18" s="140"/>
      <c r="CB18" s="140">
        <v>96.199420696900006</v>
      </c>
      <c r="CC18" s="140"/>
      <c r="CD18" s="140">
        <v>16.324098897799999</v>
      </c>
      <c r="CE18" s="140"/>
      <c r="CF18" s="140">
        <v>121.165220275275</v>
      </c>
      <c r="CG18" s="140"/>
      <c r="CH18" s="140">
        <v>178.98260798562916</v>
      </c>
      <c r="CI18" s="140"/>
      <c r="CJ18" s="140">
        <v>20.652000000000001</v>
      </c>
      <c r="CK18" s="140"/>
      <c r="CL18" s="140">
        <v>19.27</v>
      </c>
      <c r="CM18" s="140"/>
      <c r="CN18" s="140">
        <v>14.826000000000001</v>
      </c>
      <c r="CO18" s="140"/>
      <c r="CP18" s="140">
        <v>13.891999999999999</v>
      </c>
      <c r="CQ18" s="140"/>
      <c r="CR18" s="140">
        <v>13.429</v>
      </c>
      <c r="CS18" s="140"/>
      <c r="CT18" s="140">
        <v>13.249000000000001</v>
      </c>
      <c r="CU18" s="140"/>
      <c r="CV18" s="140">
        <v>6.1040000000000001</v>
      </c>
      <c r="CW18" s="140"/>
      <c r="CX18" s="140">
        <v>4.9390000000000001</v>
      </c>
      <c r="CY18" s="140"/>
      <c r="CZ18" s="140">
        <v>13.625</v>
      </c>
      <c r="DA18" s="140"/>
      <c r="DB18" s="140">
        <v>5.734</v>
      </c>
      <c r="DC18" s="140"/>
      <c r="DD18" s="140">
        <v>1.653</v>
      </c>
      <c r="DE18" s="140"/>
      <c r="DF18" s="140">
        <v>-1.4450000000000001</v>
      </c>
      <c r="DG18" s="140"/>
      <c r="DH18" s="140">
        <v>-3.8439999999999999</v>
      </c>
      <c r="DI18" s="140"/>
      <c r="DJ18" s="140">
        <v>-3.57</v>
      </c>
      <c r="DK18" s="140"/>
      <c r="DL18" s="140">
        <v>-23.832000000000001</v>
      </c>
      <c r="DM18" s="140"/>
      <c r="DN18" s="140">
        <v>-13.26</v>
      </c>
      <c r="DO18" s="140"/>
      <c r="DP18" s="140">
        <v>-19.318999999999999</v>
      </c>
      <c r="DQ18" s="140"/>
      <c r="DR18" s="140">
        <v>-29.045000000000002</v>
      </c>
      <c r="DS18" s="140"/>
      <c r="DT18" s="140">
        <v>-64.911000000000001</v>
      </c>
      <c r="DU18" s="140"/>
      <c r="DV18" s="140">
        <v>-48.331000000000003</v>
      </c>
      <c r="DW18" s="140"/>
      <c r="DX18" s="140">
        <f>IF($F18="","",IFERROR(100*(($ED18/EB18)^(1/5)-1),"NA"))</f>
        <v>-16.656609259494093</v>
      </c>
      <c r="DY18" s="140"/>
      <c r="DZ18" s="140">
        <f>IF($F18="","",IFERROR(100*(($ED18/EC18)^(1/3)-1),"NA"))</f>
        <v>-50.484735387038036</v>
      </c>
      <c r="EA18" s="140"/>
      <c r="EB18" s="140">
        <v>1.415</v>
      </c>
      <c r="EC18" s="140">
        <v>4.6870000000000003</v>
      </c>
      <c r="ED18" s="140">
        <v>0.56899999999999995</v>
      </c>
      <c r="EE18" s="140"/>
      <c r="EF18" s="140">
        <v>-0.497</v>
      </c>
      <c r="EG18" s="140"/>
      <c r="EH18" s="140">
        <v>4.6790000000000003</v>
      </c>
      <c r="EI18" s="140"/>
      <c r="EJ18" s="140">
        <v>3.4569999999999999</v>
      </c>
      <c r="EK18" s="140"/>
      <c r="EL18" s="140">
        <v>1.6</v>
      </c>
      <c r="EM18" s="140"/>
      <c r="EN18" s="140">
        <v>6.8</v>
      </c>
      <c r="EO18" s="140"/>
      <c r="EP18" s="140">
        <v>3.262</v>
      </c>
      <c r="EQ18" s="140"/>
      <c r="ER18" s="140">
        <v>59.459000000000003</v>
      </c>
      <c r="ES18" s="140"/>
      <c r="ET18" s="140">
        <v>37.287999999999997</v>
      </c>
      <c r="EU18" s="140"/>
      <c r="EV18" s="140">
        <v>-0.752</v>
      </c>
      <c r="EW18" s="140"/>
      <c r="EX18" s="140">
        <v>0.219</v>
      </c>
      <c r="EY18" s="140"/>
      <c r="EZ18" s="140">
        <v>0.28299999999999997</v>
      </c>
      <c r="FA18" s="140"/>
      <c r="FB18" s="140">
        <v>1.304</v>
      </c>
      <c r="FC18" s="140"/>
      <c r="FD18" s="140">
        <v>0.70099999999999996</v>
      </c>
      <c r="FE18" s="13"/>
      <c r="FF18" s="134">
        <v>53.427</v>
      </c>
      <c r="FG18" s="134"/>
      <c r="FH18" s="134">
        <v>69.08</v>
      </c>
      <c r="FI18" s="134"/>
      <c r="FJ18" s="134">
        <v>53.624000000000002</v>
      </c>
      <c r="FK18" s="134"/>
      <c r="FL18" s="134">
        <v>68.882999999999996</v>
      </c>
      <c r="FM18" s="13"/>
      <c r="FN18" s="140">
        <v>0.80100000000000005</v>
      </c>
      <c r="FO18" s="140"/>
      <c r="FP18" s="140">
        <v>2.1</v>
      </c>
      <c r="FQ18" s="140"/>
      <c r="FR18" s="140">
        <v>6.85</v>
      </c>
      <c r="FS18" s="140"/>
      <c r="FT18" s="140">
        <v>5.298</v>
      </c>
    </row>
    <row r="19" spans="2:176" x14ac:dyDescent="0.2">
      <c r="B19" s="46" t="str">
        <f>IF(Code_8="","",Code_8)</f>
        <v>NYSE:OLN</v>
      </c>
      <c r="C19" s="54"/>
      <c r="D19" s="30" t="s">
        <v>2014</v>
      </c>
      <c r="E19" s="232"/>
      <c r="F19" s="30" t="s">
        <v>2015</v>
      </c>
      <c r="G19" s="13"/>
      <c r="H19" s="50">
        <v>45291</v>
      </c>
      <c r="I19" s="50"/>
      <c r="J19" s="50">
        <v>45473</v>
      </c>
      <c r="K19" s="13"/>
      <c r="L19" s="140">
        <v>44.45</v>
      </c>
      <c r="M19" s="140"/>
      <c r="N19" s="140">
        <v>60.6</v>
      </c>
      <c r="O19" s="140"/>
      <c r="P19" s="140">
        <v>40.26</v>
      </c>
      <c r="Q19" s="13"/>
      <c r="R19" s="79">
        <f>IF($F19="","",IF(ISERROR(L19/N19),"NA",L19/N19))</f>
        <v>0.73349834983498352</v>
      </c>
      <c r="S19" s="79"/>
      <c r="T19" s="79">
        <f>IF($F19="","",IF(ISERROR(L19/P19),"NA",L19/P19))</f>
        <v>1.1040735221063092</v>
      </c>
      <c r="U19" s="13"/>
      <c r="V19" s="134">
        <v>117500000</v>
      </c>
      <c r="W19" s="134"/>
      <c r="X19" s="134">
        <v>5222.875</v>
      </c>
      <c r="Y19" s="134"/>
      <c r="Z19" s="134">
        <v>170.3</v>
      </c>
      <c r="AA19" s="134"/>
      <c r="AB19" s="134">
        <v>3022.5</v>
      </c>
      <c r="AC19" s="134"/>
      <c r="AD19" s="134" t="s">
        <v>1443</v>
      </c>
      <c r="AE19" s="134"/>
      <c r="AF19" s="134">
        <v>35.9</v>
      </c>
      <c r="AG19" s="134"/>
      <c r="AH19" s="134">
        <v>8312.9750000000004</v>
      </c>
      <c r="AI19" s="134"/>
      <c r="AJ19" s="134">
        <v>6833</v>
      </c>
      <c r="AK19" s="134"/>
      <c r="AL19" s="134">
        <v>6565.3</v>
      </c>
      <c r="AM19" s="134"/>
      <c r="AN19" s="134">
        <v>6483.25</v>
      </c>
      <c r="AO19" s="134"/>
      <c r="AP19" s="134">
        <v>7040.7623200000007</v>
      </c>
      <c r="AQ19" s="134"/>
      <c r="AR19" s="134">
        <v>1325.7</v>
      </c>
      <c r="AS19" s="134"/>
      <c r="AT19" s="134">
        <v>1060.7</v>
      </c>
      <c r="AU19" s="134"/>
      <c r="AV19" s="134">
        <v>949.68678</v>
      </c>
      <c r="AW19" s="134"/>
      <c r="AX19" s="134">
        <v>1248.77</v>
      </c>
      <c r="AY19" s="21"/>
      <c r="AZ19" s="140">
        <v>3.57</v>
      </c>
      <c r="BA19" s="140"/>
      <c r="BB19" s="140">
        <v>2.2650000000000001</v>
      </c>
      <c r="BC19" s="140"/>
      <c r="BD19" s="140">
        <v>1.6</v>
      </c>
      <c r="BE19" s="140"/>
      <c r="BF19" s="140">
        <v>3.55</v>
      </c>
      <c r="BG19" s="140"/>
      <c r="BH19" s="140">
        <f>IF($F19="","",IF(ISERROR($AH19/AJ19),"NA",$AH19/AJ19))</f>
        <v>1.2165922727937948</v>
      </c>
      <c r="BI19" s="140"/>
      <c r="BJ19" s="140">
        <f>IF($F19="","",IF(ISERROR($AH19/AL19),"NA",$AH19/AL19))</f>
        <v>1.2661988027965212</v>
      </c>
      <c r="BK19" s="140"/>
      <c r="BL19" s="140">
        <f>IF($F19="","",IF(ISERROR($AH19/AN19),"NA",$AH19/AN19))</f>
        <v>1.2822234218948829</v>
      </c>
      <c r="BM19" s="140"/>
      <c r="BN19" s="140">
        <f>IF($F19="","",IF(ISERROR($AH19/AP19),"NA",$AH19/AP19))</f>
        <v>1.1806924622900776</v>
      </c>
      <c r="BO19" s="140"/>
      <c r="BP19" s="140">
        <f>IF($F19="","",IF(ISERROR($AH19/AR19),"NA",$AH19/AR19))</f>
        <v>6.2706306102436447</v>
      </c>
      <c r="BQ19" s="140"/>
      <c r="BR19" s="140">
        <f>IF($F19="","",IF(ISERROR($AH19/AT19),"NA",$AH19/AT19))</f>
        <v>7.8372537003865368</v>
      </c>
      <c r="BS19" s="140"/>
      <c r="BT19" s="140">
        <f>IF($F19="","",IF(ISERROR($AH19/AV19),"NA",$AH19/AV19))</f>
        <v>8.7533860374469992</v>
      </c>
      <c r="BU19" s="140"/>
      <c r="BV19" s="140">
        <f>IF($F19="","",IF(ISERROR($AH19/AX19),"NA",$AH19/AX19))</f>
        <v>6.6569304195328209</v>
      </c>
      <c r="BW19" s="140"/>
      <c r="BX19" s="140">
        <v>11.818182</v>
      </c>
      <c r="BY19" s="140"/>
      <c r="BZ19" s="140">
        <v>16.803279</v>
      </c>
      <c r="CA19" s="140"/>
      <c r="CB19" s="140">
        <v>27.429297822300001</v>
      </c>
      <c r="CC19" s="140"/>
      <c r="CD19" s="140">
        <v>11.8332011138</v>
      </c>
      <c r="CE19" s="140"/>
      <c r="CF19" s="140">
        <v>244.49944994499452</v>
      </c>
      <c r="CG19" s="140"/>
      <c r="CH19" s="140" t="s">
        <v>1444</v>
      </c>
      <c r="CI19" s="140"/>
      <c r="CJ19" s="140">
        <v>25.722000000000001</v>
      </c>
      <c r="CK19" s="140"/>
      <c r="CL19" s="140">
        <v>23.26</v>
      </c>
      <c r="CM19" s="140"/>
      <c r="CN19" s="140">
        <v>16.963000000000001</v>
      </c>
      <c r="CO19" s="140"/>
      <c r="CP19" s="140">
        <v>13.579000000000001</v>
      </c>
      <c r="CQ19" s="140"/>
      <c r="CR19" s="140">
        <v>27.981000000000002</v>
      </c>
      <c r="CS19" s="140"/>
      <c r="CT19" s="140">
        <v>25.727</v>
      </c>
      <c r="CU19" s="140"/>
      <c r="CV19" s="140">
        <v>19.401</v>
      </c>
      <c r="CW19" s="140"/>
      <c r="CX19" s="140">
        <v>16.155999999999999</v>
      </c>
      <c r="CY19" s="140"/>
      <c r="CZ19" s="140">
        <v>14.552</v>
      </c>
      <c r="DA19" s="140"/>
      <c r="DB19" s="140">
        <v>14.151999999999999</v>
      </c>
      <c r="DC19" s="140"/>
      <c r="DD19" s="140">
        <v>6.7350000000000003</v>
      </c>
      <c r="DE19" s="140"/>
      <c r="DF19" s="140">
        <v>4.2619999999999996</v>
      </c>
      <c r="DG19" s="140"/>
      <c r="DH19" s="140">
        <v>-0.26700000000000002</v>
      </c>
      <c r="DI19" s="140"/>
      <c r="DJ19" s="140">
        <v>-3.1720000000000002</v>
      </c>
      <c r="DK19" s="140"/>
      <c r="DL19" s="140">
        <v>-27.123999999999999</v>
      </c>
      <c r="DM19" s="140"/>
      <c r="DN19" s="140">
        <v>-16.32</v>
      </c>
      <c r="DO19" s="140"/>
      <c r="DP19" s="140">
        <v>-0.69299999999999995</v>
      </c>
      <c r="DQ19" s="140"/>
      <c r="DR19" s="140">
        <v>-10.821999999999999</v>
      </c>
      <c r="DS19" s="140"/>
      <c r="DT19" s="140">
        <v>-45.042000000000002</v>
      </c>
      <c r="DU19" s="140"/>
      <c r="DV19" s="140">
        <v>-39.706000000000003</v>
      </c>
      <c r="DW19" s="140"/>
      <c r="DX19" s="140">
        <f>IF($F19="","",IFERROR(100*(($ED19/EB19)^(1/5)-1),"NA"))</f>
        <v>13.203739568792884</v>
      </c>
      <c r="DY19" s="140"/>
      <c r="DZ19" s="140">
        <f>IF($F19="","",IFERROR(100*(($ED19/EC19)^(1/3)-1),"NA"))</f>
        <v>-184.11223823120662</v>
      </c>
      <c r="EA19" s="140"/>
      <c r="EB19" s="140">
        <v>1.966</v>
      </c>
      <c r="EC19" s="140">
        <v>-6.1420000000000003</v>
      </c>
      <c r="ED19" s="140">
        <v>3.6549999999999998</v>
      </c>
      <c r="EE19" s="140"/>
      <c r="EF19" s="140">
        <v>2.3149999999999999</v>
      </c>
      <c r="EG19" s="140"/>
      <c r="EH19" s="140">
        <v>2.101</v>
      </c>
      <c r="EI19" s="140"/>
      <c r="EJ19" s="140">
        <v>1.982</v>
      </c>
      <c r="EK19" s="140"/>
      <c r="EL19" s="140">
        <v>4.375</v>
      </c>
      <c r="EM19" s="140"/>
      <c r="EN19" s="140">
        <v>7.944</v>
      </c>
      <c r="EO19" s="140"/>
      <c r="EP19" s="140">
        <v>6.641</v>
      </c>
      <c r="EQ19" s="140"/>
      <c r="ER19" s="140">
        <v>133.25</v>
      </c>
      <c r="ES19" s="140"/>
      <c r="ET19" s="140">
        <v>57.127000000000002</v>
      </c>
      <c r="EU19" s="140"/>
      <c r="EV19" s="140">
        <v>11.782</v>
      </c>
      <c r="EW19" s="140"/>
      <c r="EX19" s="140">
        <v>4.343</v>
      </c>
      <c r="EY19" s="140"/>
      <c r="EZ19" s="140">
        <v>6.1929999999999996</v>
      </c>
      <c r="FA19" s="140"/>
      <c r="FB19" s="140">
        <v>1.43</v>
      </c>
      <c r="FC19" s="140"/>
      <c r="FD19" s="140">
        <v>0.76700000000000002</v>
      </c>
      <c r="FE19" s="13"/>
      <c r="FF19" s="134">
        <v>44.615000000000002</v>
      </c>
      <c r="FG19" s="134"/>
      <c r="FH19" s="134">
        <v>63.026000000000003</v>
      </c>
      <c r="FI19" s="134"/>
      <c r="FJ19" s="134">
        <v>51.198</v>
      </c>
      <c r="FK19" s="134"/>
      <c r="FL19" s="134">
        <v>56.442999999999998</v>
      </c>
      <c r="FM19" s="13"/>
      <c r="FN19" s="140">
        <v>0.84099999999999997</v>
      </c>
      <c r="FO19" s="140"/>
      <c r="FP19" s="140">
        <v>2.3439999999999999</v>
      </c>
      <c r="FQ19" s="140"/>
      <c r="FR19" s="140">
        <v>8.2040000000000006</v>
      </c>
      <c r="FS19" s="140"/>
      <c r="FT19" s="140">
        <v>5.8070000000000004</v>
      </c>
    </row>
    <row r="20" spans="2:176" x14ac:dyDescent="0.2">
      <c r="B20" s="46" t="str">
        <f>IF(Code_9="","",Code_9)</f>
        <v>NYSE:RPM</v>
      </c>
      <c r="C20" s="54"/>
      <c r="D20" s="30" t="s">
        <v>2016</v>
      </c>
      <c r="E20" s="232"/>
      <c r="F20" s="30" t="s">
        <v>2017</v>
      </c>
      <c r="G20" s="13"/>
      <c r="H20" s="50">
        <v>45443</v>
      </c>
      <c r="I20" s="50"/>
      <c r="J20" s="50">
        <v>45443</v>
      </c>
      <c r="K20" s="13"/>
      <c r="L20" s="140">
        <v>116.31</v>
      </c>
      <c r="M20" s="140"/>
      <c r="N20" s="140">
        <v>122.92</v>
      </c>
      <c r="O20" s="140"/>
      <c r="P20" s="140">
        <v>88.84</v>
      </c>
      <c r="Q20" s="13"/>
      <c r="R20" s="79">
        <f>IF($F20="","",IF(ISERROR(L20/N20),"NA",L20/N20))</f>
        <v>0.94622518711356984</v>
      </c>
      <c r="S20" s="79"/>
      <c r="T20" s="79">
        <f>IF($F20="","",IF(ISERROR(L20/P20),"NA",L20/P20))</f>
        <v>1.3092075641602881</v>
      </c>
      <c r="U20" s="13"/>
      <c r="V20" s="134">
        <v>128775153</v>
      </c>
      <c r="W20" s="134"/>
      <c r="X20" s="134">
        <v>14977.83804543</v>
      </c>
      <c r="Y20" s="134"/>
      <c r="Z20" s="134">
        <v>243.87900000000002</v>
      </c>
      <c r="AA20" s="134"/>
      <c r="AB20" s="134">
        <v>2474.7269999999999</v>
      </c>
      <c r="AC20" s="134"/>
      <c r="AD20" s="134" t="s">
        <v>1443</v>
      </c>
      <c r="AE20" s="134"/>
      <c r="AF20" s="134">
        <v>1.341</v>
      </c>
      <c r="AG20" s="134"/>
      <c r="AH20" s="134">
        <v>17189.827044999998</v>
      </c>
      <c r="AI20" s="134"/>
      <c r="AJ20" s="134">
        <v>7335.277</v>
      </c>
      <c r="AK20" s="134"/>
      <c r="AL20" s="134">
        <v>7335.277</v>
      </c>
      <c r="AM20" s="134"/>
      <c r="AN20" s="134">
        <v>7332.0590199999997</v>
      </c>
      <c r="AO20" s="134"/>
      <c r="AP20" s="134">
        <v>7486.8139200000005</v>
      </c>
      <c r="AQ20" s="134"/>
      <c r="AR20" s="134">
        <v>1056.4090000000001</v>
      </c>
      <c r="AS20" s="134"/>
      <c r="AT20" s="134">
        <v>1056.4090000000001</v>
      </c>
      <c r="AU20" s="134"/>
      <c r="AV20" s="134">
        <v>1115.93</v>
      </c>
      <c r="AW20" s="134"/>
      <c r="AX20" s="134">
        <v>1210.3762300000001</v>
      </c>
      <c r="AY20" s="21"/>
      <c r="AZ20" s="140">
        <v>4.5640000000000001</v>
      </c>
      <c r="BA20" s="140"/>
      <c r="BB20" s="140">
        <v>4.5640000000000001</v>
      </c>
      <c r="BC20" s="140"/>
      <c r="BD20" s="140">
        <v>4.9440900000000001</v>
      </c>
      <c r="BE20" s="140"/>
      <c r="BF20" s="140">
        <v>5.4910500000000004</v>
      </c>
      <c r="BG20" s="140"/>
      <c r="BH20" s="140">
        <f>IF($F20="","",IF(ISERROR($AH20/AJ20),"NA",$AH20/AJ20))</f>
        <v>2.3434462045536928</v>
      </c>
      <c r="BI20" s="140"/>
      <c r="BJ20" s="140">
        <f>IF($F20="","",IF(ISERROR($AH20/AL20),"NA",$AH20/AL20))</f>
        <v>2.3434462045536928</v>
      </c>
      <c r="BK20" s="140"/>
      <c r="BL20" s="140">
        <f>IF($F20="","",IF(ISERROR($AH20/AN20),"NA",$AH20/AN20))</f>
        <v>2.3444747236909174</v>
      </c>
      <c r="BM20" s="140"/>
      <c r="BN20" s="140">
        <f>IF($F20="","",IF(ISERROR($AH20/AP20),"NA",$AH20/AP20))</f>
        <v>2.2960136619770561</v>
      </c>
      <c r="BO20" s="140"/>
      <c r="BP20" s="140">
        <f>IF($F20="","",IF(ISERROR($AH20/AR20),"NA",$AH20/AR20))</f>
        <v>16.271943011655519</v>
      </c>
      <c r="BQ20" s="140"/>
      <c r="BR20" s="140">
        <f>IF($F20="","",IF(ISERROR($AH20/AT20),"NA",$AH20/AT20))</f>
        <v>16.271943011655519</v>
      </c>
      <c r="BS20" s="140"/>
      <c r="BT20" s="140">
        <f>IF($F20="","",IF(ISERROR($AH20/AV20),"NA",$AH20/AV20))</f>
        <v>15.404037031892679</v>
      </c>
      <c r="BU20" s="140"/>
      <c r="BV20" s="140">
        <f>IF($F20="","",IF(ISERROR($AH20/AX20),"NA",$AH20/AX20))</f>
        <v>14.202052732810191</v>
      </c>
      <c r="BW20" s="140"/>
      <c r="BX20" s="140">
        <v>28.118387999999999</v>
      </c>
      <c r="BY20" s="140"/>
      <c r="BZ20" s="140">
        <v>24.822499000000001</v>
      </c>
      <c r="CA20" s="140"/>
      <c r="CB20" s="140">
        <v>22.440074800200001</v>
      </c>
      <c r="CC20" s="140"/>
      <c r="CD20" s="140">
        <v>21.175763754799998</v>
      </c>
      <c r="CE20" s="140"/>
      <c r="CF20" s="140">
        <v>595.85040983606564</v>
      </c>
      <c r="CG20" s="140"/>
      <c r="CH20" s="140" t="s">
        <v>1444</v>
      </c>
      <c r="CI20" s="140"/>
      <c r="CJ20" s="140">
        <v>36.271999999999998</v>
      </c>
      <c r="CK20" s="140"/>
      <c r="CL20" s="140">
        <v>37.871000000000002</v>
      </c>
      <c r="CM20" s="140"/>
      <c r="CN20" s="140">
        <v>41.097000000000001</v>
      </c>
      <c r="CO20" s="140"/>
      <c r="CP20" s="140">
        <v>41.097000000000001</v>
      </c>
      <c r="CQ20" s="140"/>
      <c r="CR20" s="140">
        <v>12.052</v>
      </c>
      <c r="CS20" s="140"/>
      <c r="CT20" s="140">
        <v>12.631</v>
      </c>
      <c r="CU20" s="140"/>
      <c r="CV20" s="140">
        <v>14.401999999999999</v>
      </c>
      <c r="CW20" s="140"/>
      <c r="CX20" s="140">
        <v>14.401999999999999</v>
      </c>
      <c r="CY20" s="140"/>
      <c r="CZ20" s="140">
        <v>7.327</v>
      </c>
      <c r="DA20" s="140"/>
      <c r="DB20" s="140">
        <v>6.5970000000000004</v>
      </c>
      <c r="DC20" s="140"/>
      <c r="DD20" s="140">
        <v>8.0210000000000008</v>
      </c>
      <c r="DE20" s="140"/>
      <c r="DF20" s="140">
        <v>8.0210000000000008</v>
      </c>
      <c r="DG20" s="140"/>
      <c r="DH20" s="140">
        <v>5.681</v>
      </c>
      <c r="DI20" s="140"/>
      <c r="DJ20" s="140">
        <v>6.3029999999999999</v>
      </c>
      <c r="DK20" s="140"/>
      <c r="DL20" s="140">
        <v>1.087</v>
      </c>
      <c r="DM20" s="140"/>
      <c r="DN20" s="140">
        <v>1.087</v>
      </c>
      <c r="DO20" s="140"/>
      <c r="DP20" s="140">
        <v>10.388999999999999</v>
      </c>
      <c r="DQ20" s="140"/>
      <c r="DR20" s="140">
        <v>6.5449999999999999</v>
      </c>
      <c r="DS20" s="140"/>
      <c r="DT20" s="140">
        <v>15.257</v>
      </c>
      <c r="DU20" s="140"/>
      <c r="DV20" s="140">
        <v>15.257</v>
      </c>
      <c r="DW20" s="140"/>
      <c r="DX20" s="140">
        <f>IF($F20="","",IFERROR(100*(($ED20/EB20)^(1/5)-1),"NA"))</f>
        <v>17.697885450550153</v>
      </c>
      <c r="DY20" s="140"/>
      <c r="DZ20" s="140">
        <f>IF($F20="","",IFERROR(100*(($ED20/EC20)^(1/3)-1),"NA"))</f>
        <v>5.6775587923983739</v>
      </c>
      <c r="EA20" s="140"/>
      <c r="EB20" s="140">
        <v>2.0299999999999998</v>
      </c>
      <c r="EC20" s="140">
        <v>3.8849999999999998</v>
      </c>
      <c r="ED20" s="140">
        <v>4.585</v>
      </c>
      <c r="EE20" s="140"/>
      <c r="EF20" s="140">
        <v>4.585</v>
      </c>
      <c r="EG20" s="140"/>
      <c r="EH20" s="140">
        <v>2.1309999999999998</v>
      </c>
      <c r="EI20" s="140"/>
      <c r="EJ20" s="140">
        <v>1.9039999999999999</v>
      </c>
      <c r="EK20" s="140"/>
      <c r="EL20" s="140">
        <v>7.5030000000000001</v>
      </c>
      <c r="EM20" s="140"/>
      <c r="EN20" s="140">
        <v>9.8420000000000005</v>
      </c>
      <c r="EO20" s="140"/>
      <c r="EP20" s="140">
        <v>8.0280000000000005</v>
      </c>
      <c r="EQ20" s="140"/>
      <c r="ER20" s="140">
        <v>98.507000000000005</v>
      </c>
      <c r="ES20" s="140"/>
      <c r="ET20" s="140">
        <v>49.624000000000002</v>
      </c>
      <c r="EU20" s="140"/>
      <c r="EV20" s="140">
        <v>25.324000000000002</v>
      </c>
      <c r="EW20" s="140"/>
      <c r="EX20" s="140">
        <v>8.2759999999999998</v>
      </c>
      <c r="EY20" s="140"/>
      <c r="EZ20" s="140">
        <v>10.891</v>
      </c>
      <c r="FA20" s="140"/>
      <c r="FB20" s="140">
        <v>1.9750000000000001</v>
      </c>
      <c r="FC20" s="140"/>
      <c r="FD20" s="140">
        <v>1.1739999999999999</v>
      </c>
      <c r="FE20" s="13"/>
      <c r="FF20" s="134">
        <v>75.58</v>
      </c>
      <c r="FG20" s="134"/>
      <c r="FH20" s="134">
        <v>88.602999999999994</v>
      </c>
      <c r="FI20" s="134"/>
      <c r="FJ20" s="134">
        <v>58.792000000000002</v>
      </c>
      <c r="FK20" s="134"/>
      <c r="FL20" s="134">
        <v>105.39100000000001</v>
      </c>
      <c r="FM20" s="13"/>
      <c r="FN20" s="140">
        <v>1.097</v>
      </c>
      <c r="FO20" s="140"/>
      <c r="FP20" s="140">
        <v>4.54</v>
      </c>
      <c r="FQ20" s="140"/>
      <c r="FR20" s="140">
        <v>4.843</v>
      </c>
      <c r="FS20" s="140"/>
      <c r="FT20" s="140">
        <v>4.1310000000000002</v>
      </c>
    </row>
    <row r="21" spans="2:176" x14ac:dyDescent="0.2">
      <c r="B21" s="46" t="str">
        <f>IF(Code_10="","",Code_10)</f>
        <v>NYSE:UAN</v>
      </c>
      <c r="C21" s="54"/>
      <c r="D21" s="30" t="s">
        <v>2018</v>
      </c>
      <c r="E21" s="232"/>
      <c r="F21" s="30" t="s">
        <v>2019</v>
      </c>
      <c r="G21" s="13"/>
      <c r="H21" s="50">
        <v>45291</v>
      </c>
      <c r="I21" s="50"/>
      <c r="J21" s="50">
        <v>45473</v>
      </c>
      <c r="K21" s="13"/>
      <c r="L21" s="140">
        <v>70.739999999999995</v>
      </c>
      <c r="M21" s="140"/>
      <c r="N21" s="140">
        <v>88.94</v>
      </c>
      <c r="O21" s="140"/>
      <c r="P21" s="140">
        <v>60.5</v>
      </c>
      <c r="Q21" s="13"/>
      <c r="R21" s="79">
        <f>IF($F21="","",IF(ISERROR(L21/N21),"NA",L21/N21))</f>
        <v>0.79536766359343369</v>
      </c>
      <c r="S21" s="79"/>
      <c r="T21" s="79">
        <f>IF($F21="","",IF(ISERROR(L21/P21),"NA",L21/P21))</f>
        <v>1.1692561983471073</v>
      </c>
      <c r="U21" s="13"/>
      <c r="V21" s="134">
        <v>10569637</v>
      </c>
      <c r="W21" s="134"/>
      <c r="X21" s="134">
        <v>747.69612138000002</v>
      </c>
      <c r="Y21" s="134"/>
      <c r="Z21" s="134">
        <v>45.279000000000003</v>
      </c>
      <c r="AA21" s="134"/>
      <c r="AB21" s="134">
        <v>559.60800000000006</v>
      </c>
      <c r="AC21" s="134"/>
      <c r="AD21" s="134" t="s">
        <v>1443</v>
      </c>
      <c r="AE21" s="134"/>
      <c r="AF21" s="134">
        <v>1E-3</v>
      </c>
      <c r="AG21" s="134"/>
      <c r="AH21" s="134">
        <v>1262.7471210000001</v>
      </c>
      <c r="AI21" s="134"/>
      <c r="AJ21" s="134">
        <v>681.47699999999998</v>
      </c>
      <c r="AK21" s="134"/>
      <c r="AL21" s="134">
        <v>532.77600000000007</v>
      </c>
      <c r="AM21" s="134"/>
      <c r="AN21" s="134" t="s">
        <v>1443</v>
      </c>
      <c r="AO21" s="134"/>
      <c r="AP21" s="134" t="s">
        <v>1443</v>
      </c>
      <c r="AQ21" s="134"/>
      <c r="AR21" s="134">
        <v>282.661</v>
      </c>
      <c r="AS21" s="134"/>
      <c r="AT21" s="134">
        <v>164.32900000000001</v>
      </c>
      <c r="AU21" s="134"/>
      <c r="AV21" s="134" t="s">
        <v>1443</v>
      </c>
      <c r="AW21" s="134"/>
      <c r="AX21" s="134" t="s">
        <v>1443</v>
      </c>
      <c r="AY21" s="21"/>
      <c r="AZ21" s="140">
        <v>16.312999999999999</v>
      </c>
      <c r="BA21" s="140"/>
      <c r="BB21" s="140">
        <v>4.6829999999999998</v>
      </c>
      <c r="BC21" s="140"/>
      <c r="BD21" s="140" t="s">
        <v>1443</v>
      </c>
      <c r="BE21" s="140"/>
      <c r="BF21" s="140" t="s">
        <v>1443</v>
      </c>
      <c r="BG21" s="140"/>
      <c r="BH21" s="140">
        <f>IF($F21="","",IF(ISERROR($AH21/AJ21),"NA",$AH21/AJ21))</f>
        <v>1.8529563301476062</v>
      </c>
      <c r="BI21" s="140"/>
      <c r="BJ21" s="140">
        <f>IF($F21="","",IF(ISERROR($AH21/AL21),"NA",$AH21/AL21))</f>
        <v>2.3701276352538403</v>
      </c>
      <c r="BK21" s="140"/>
      <c r="BL21" s="140" t="str">
        <f>IF($F21="","",IF(ISERROR($AH21/AN21),"NA",$AH21/AN21))</f>
        <v>NA</v>
      </c>
      <c r="BM21" s="140"/>
      <c r="BN21" s="140" t="str">
        <f>IF($F21="","",IF(ISERROR($AH21/AP21),"NA",$AH21/AP21))</f>
        <v>NA</v>
      </c>
      <c r="BO21" s="140"/>
      <c r="BP21" s="140">
        <f>IF($F21="","",IF(ISERROR($AH21/AR21),"NA",$AH21/AR21))</f>
        <v>4.4673553160853468</v>
      </c>
      <c r="BQ21" s="140"/>
      <c r="BR21" s="140">
        <f>IF($F21="","",IF(ISERROR($AH21/AT21),"NA",$AH21/AT21))</f>
        <v>7.6842621874410488</v>
      </c>
      <c r="BS21" s="140"/>
      <c r="BT21" s="140" t="str">
        <f>IF($F21="","",IF(ISERROR($AH21/AV21),"NA",$AH21/AV21))</f>
        <v>NA</v>
      </c>
      <c r="BU21" s="140"/>
      <c r="BV21" s="140" t="str">
        <f>IF($F21="","",IF(ISERROR($AH21/AX21),"NA",$AH21/AX21))</f>
        <v>NA</v>
      </c>
      <c r="BW21" s="140"/>
      <c r="BX21" s="140">
        <v>2.6851970000000001</v>
      </c>
      <c r="BY21" s="140"/>
      <c r="BZ21" s="140">
        <v>9.6186120000000006</v>
      </c>
      <c r="CA21" s="140"/>
      <c r="CB21" s="140" t="s">
        <v>1443</v>
      </c>
      <c r="CC21" s="140"/>
      <c r="CD21" s="140" t="s">
        <v>1443</v>
      </c>
      <c r="CE21" s="140"/>
      <c r="CF21" s="140">
        <v>246.25774559632387</v>
      </c>
      <c r="CG21" s="140"/>
      <c r="CH21" s="140">
        <v>246.25774559632387</v>
      </c>
      <c r="CI21" s="140"/>
      <c r="CJ21" s="140">
        <v>44.442999999999998</v>
      </c>
      <c r="CK21" s="140"/>
      <c r="CL21" s="140">
        <v>52.34</v>
      </c>
      <c r="CM21" s="140"/>
      <c r="CN21" s="140">
        <v>46.253</v>
      </c>
      <c r="CO21" s="140"/>
      <c r="CP21" s="140">
        <v>36.753999999999998</v>
      </c>
      <c r="CQ21" s="140"/>
      <c r="CR21" s="140">
        <v>39.225000000000001</v>
      </c>
      <c r="CS21" s="140"/>
      <c r="CT21" s="140">
        <v>48.146999999999998</v>
      </c>
      <c r="CU21" s="140"/>
      <c r="CV21" s="140">
        <v>41.478000000000002</v>
      </c>
      <c r="CW21" s="140"/>
      <c r="CX21" s="140">
        <v>30.844000000000001</v>
      </c>
      <c r="CY21" s="140"/>
      <c r="CZ21" s="140">
        <v>14.675000000000001</v>
      </c>
      <c r="DA21" s="140"/>
      <c r="DB21" s="140">
        <v>34.323</v>
      </c>
      <c r="DC21" s="140"/>
      <c r="DD21" s="140">
        <v>25.303000000000001</v>
      </c>
      <c r="DE21" s="140"/>
      <c r="DF21" s="140">
        <v>9.2919999999999998</v>
      </c>
      <c r="DG21" s="140"/>
      <c r="DH21" s="140">
        <v>5.5049999999999999</v>
      </c>
      <c r="DI21" s="140"/>
      <c r="DJ21" s="140">
        <v>13.053000000000001</v>
      </c>
      <c r="DK21" s="140"/>
      <c r="DL21" s="140">
        <v>-18.443000000000001</v>
      </c>
      <c r="DM21" s="140"/>
      <c r="DN21" s="140">
        <v>-31.518000000000001</v>
      </c>
      <c r="DO21" s="140"/>
      <c r="DP21" s="140">
        <v>4.5469999999999997</v>
      </c>
      <c r="DQ21" s="140"/>
      <c r="DR21" s="140">
        <v>24.343</v>
      </c>
      <c r="DS21" s="140"/>
      <c r="DT21" s="140">
        <v>-29.741</v>
      </c>
      <c r="DU21" s="140"/>
      <c r="DV21" s="140">
        <v>-52.063000000000002</v>
      </c>
      <c r="DW21" s="140"/>
      <c r="DX21" s="140">
        <f>IF($F21="","",IFERROR(100*(($ED21/EB21)^(1/5)-1),"NA"))</f>
        <v>-229.86764174610315</v>
      </c>
      <c r="DY21" s="140"/>
      <c r="DZ21" s="140">
        <f>IF($F21="","",IFERROR(100*(($ED21/EC21)^(1/3)-1),"NA"))</f>
        <v>-222.9829050661653</v>
      </c>
      <c r="EA21" s="140"/>
      <c r="EB21" s="140">
        <v>-4.4160000000000004</v>
      </c>
      <c r="EC21" s="140">
        <v>-8.77</v>
      </c>
      <c r="ED21" s="140">
        <v>16.312999999999999</v>
      </c>
      <c r="EE21" s="140"/>
      <c r="EF21" s="140">
        <v>4.6829999999999998</v>
      </c>
      <c r="EG21" s="140"/>
      <c r="EH21" s="140">
        <v>1.927</v>
      </c>
      <c r="EI21" s="140"/>
      <c r="EJ21" s="140">
        <v>1.7709999999999999</v>
      </c>
      <c r="EK21" s="140"/>
      <c r="EL21" s="140">
        <v>7.1070000000000002</v>
      </c>
      <c r="EM21" s="140"/>
      <c r="EN21" s="140">
        <v>10.132999999999999</v>
      </c>
      <c r="EO21" s="140"/>
      <c r="EP21" s="140">
        <v>9.2889999999999997</v>
      </c>
      <c r="EQ21" s="140"/>
      <c r="ER21" s="140">
        <v>184.762</v>
      </c>
      <c r="ES21" s="140"/>
      <c r="ET21" s="140">
        <v>64.882999999999996</v>
      </c>
      <c r="EU21" s="140"/>
      <c r="EV21" s="140">
        <v>15.093999999999999</v>
      </c>
      <c r="EW21" s="140"/>
      <c r="EX21" s="140">
        <v>5.4870000000000001</v>
      </c>
      <c r="EY21" s="140"/>
      <c r="EZ21" s="140">
        <v>6.1159999999999997</v>
      </c>
      <c r="FA21" s="140"/>
      <c r="FB21" s="140">
        <v>3.0859999999999999</v>
      </c>
      <c r="FC21" s="140"/>
      <c r="FD21" s="140">
        <v>1.607</v>
      </c>
      <c r="FE21" s="13"/>
      <c r="FF21" s="134">
        <v>28.177</v>
      </c>
      <c r="FG21" s="134"/>
      <c r="FH21" s="134">
        <v>86.614000000000004</v>
      </c>
      <c r="FI21" s="134"/>
      <c r="FJ21" s="134">
        <v>34.618000000000002</v>
      </c>
      <c r="FK21" s="134"/>
      <c r="FL21" s="134">
        <v>80.173000000000002</v>
      </c>
      <c r="FM21" s="13"/>
      <c r="FN21" s="140">
        <v>0.53900000000000003</v>
      </c>
      <c r="FO21" s="140"/>
      <c r="FP21" s="140">
        <v>0.69199999999999995</v>
      </c>
      <c r="FQ21" s="140"/>
      <c r="FR21" s="140">
        <v>12.989000000000001</v>
      </c>
      <c r="FS21" s="140"/>
      <c r="FT21" s="140">
        <v>4.226</v>
      </c>
    </row>
    <row r="22" spans="2:176" x14ac:dyDescent="0.2">
      <c r="B22" s="46"/>
      <c r="C22" s="54"/>
      <c r="D22" s="30"/>
      <c r="E22" s="232"/>
      <c r="F22" s="232"/>
      <c r="G22" s="232"/>
      <c r="H22" s="232"/>
      <c r="I22" s="232"/>
      <c r="J22" s="232"/>
      <c r="L22" s="240"/>
      <c r="M22" s="240"/>
      <c r="N22" s="240"/>
      <c r="O22" s="240"/>
      <c r="P22" s="240"/>
      <c r="Q22" s="232"/>
      <c r="R22" s="232"/>
      <c r="S22" s="232"/>
      <c r="T22" s="232"/>
      <c r="U22" s="232"/>
      <c r="V22" s="241"/>
      <c r="W22" s="241"/>
      <c r="X22" s="241"/>
      <c r="Y22" s="241"/>
      <c r="Z22" s="241"/>
      <c r="AA22" s="241"/>
      <c r="AB22" s="241"/>
      <c r="AC22" s="241"/>
      <c r="AD22" s="241"/>
      <c r="AE22" s="241"/>
      <c r="AF22" s="241"/>
      <c r="AG22" s="241"/>
      <c r="AH22" s="241"/>
      <c r="AI22" s="241"/>
      <c r="AJ22" s="241"/>
      <c r="AK22" s="241"/>
      <c r="AL22" s="241"/>
      <c r="AM22" s="241"/>
      <c r="AN22" s="241"/>
      <c r="AO22" s="241"/>
      <c r="AP22" s="241"/>
      <c r="AQ22" s="241"/>
      <c r="AR22" s="241"/>
      <c r="AS22" s="241"/>
      <c r="AT22" s="241"/>
      <c r="AU22" s="241"/>
      <c r="AV22" s="241"/>
      <c r="AW22" s="241"/>
      <c r="AX22" s="241"/>
      <c r="AY22" s="232"/>
      <c r="AZ22" s="240"/>
      <c r="BA22" s="240"/>
      <c r="BB22" s="240"/>
      <c r="BC22" s="240"/>
      <c r="BD22" s="240"/>
      <c r="BE22" s="240"/>
      <c r="BF22" s="240"/>
      <c r="BG22" s="240"/>
      <c r="BH22" s="240"/>
      <c r="BI22" s="240"/>
      <c r="BJ22" s="240"/>
      <c r="BK22" s="240"/>
      <c r="BL22" s="240"/>
      <c r="BM22" s="240"/>
      <c r="BN22" s="240"/>
      <c r="BO22" s="240"/>
      <c r="BP22" s="240"/>
      <c r="BQ22" s="240"/>
      <c r="BR22" s="240"/>
      <c r="BS22" s="240"/>
      <c r="BT22" s="240"/>
      <c r="BU22" s="240"/>
      <c r="BV22" s="240"/>
      <c r="BW22" s="240"/>
      <c r="BX22" s="240"/>
      <c r="BY22" s="240"/>
      <c r="BZ22" s="240"/>
      <c r="CA22" s="240"/>
      <c r="CB22" s="240"/>
      <c r="CC22" s="240"/>
      <c r="CD22" s="240"/>
      <c r="CE22" s="240"/>
      <c r="CF22" s="240"/>
      <c r="CG22" s="240"/>
      <c r="CH22" s="240"/>
      <c r="CI22" s="240"/>
      <c r="CJ22" s="240"/>
      <c r="CK22" s="240"/>
      <c r="CL22" s="240"/>
      <c r="CM22" s="240"/>
      <c r="CN22" s="240"/>
      <c r="CO22" s="240"/>
      <c r="CP22" s="240"/>
      <c r="CQ22" s="240"/>
      <c r="CR22" s="240"/>
      <c r="CS22" s="240"/>
      <c r="CT22" s="240"/>
      <c r="CU22" s="240"/>
      <c r="CV22" s="240"/>
      <c r="CW22" s="240"/>
      <c r="CX22" s="240"/>
      <c r="CY22" s="240"/>
      <c r="CZ22" s="240"/>
      <c r="DA22" s="240"/>
      <c r="DB22" s="240"/>
      <c r="DC22" s="240"/>
      <c r="DD22" s="240"/>
      <c r="DE22" s="240"/>
      <c r="DF22" s="240"/>
      <c r="DG22" s="240"/>
      <c r="DH22" s="240"/>
      <c r="DI22" s="240"/>
      <c r="DJ22" s="240"/>
      <c r="DK22" s="240"/>
      <c r="DL22" s="240"/>
      <c r="DM22" s="240"/>
      <c r="DN22" s="240"/>
      <c r="DO22" s="240"/>
      <c r="DP22" s="240"/>
      <c r="DQ22" s="240"/>
      <c r="DR22" s="240"/>
      <c r="DS22" s="240"/>
      <c r="DT22" s="240"/>
      <c r="DU22" s="240"/>
      <c r="DV22" s="240"/>
      <c r="DW22" s="240"/>
      <c r="DX22" s="240"/>
      <c r="DY22" s="240"/>
      <c r="DZ22" s="240"/>
      <c r="EA22" s="240"/>
      <c r="EB22" s="240"/>
      <c r="EC22" s="240"/>
      <c r="ED22" s="240"/>
      <c r="EE22" s="240"/>
      <c r="EF22" s="240"/>
      <c r="EG22" s="240"/>
      <c r="EH22" s="240"/>
      <c r="EI22" s="240"/>
      <c r="EJ22" s="240"/>
      <c r="EK22" s="240"/>
      <c r="EL22" s="240"/>
      <c r="EM22" s="240"/>
      <c r="EN22" s="240"/>
      <c r="EO22" s="240"/>
      <c r="EP22" s="240"/>
      <c r="EQ22" s="240"/>
      <c r="ER22" s="240"/>
      <c r="ES22" s="240"/>
      <c r="ET22" s="240"/>
      <c r="EU22" s="240"/>
      <c r="EV22" s="240"/>
      <c r="EW22" s="240"/>
      <c r="EX22" s="240"/>
      <c r="EY22" s="240"/>
      <c r="EZ22" s="240"/>
      <c r="FA22" s="240"/>
      <c r="FB22" s="240"/>
      <c r="FC22" s="240"/>
      <c r="FD22" s="240"/>
      <c r="FE22" s="232"/>
      <c r="FF22" s="241"/>
      <c r="FG22" s="241"/>
      <c r="FH22" s="241"/>
      <c r="FI22" s="241"/>
      <c r="FJ22" s="241"/>
      <c r="FK22" s="241"/>
      <c r="FL22" s="241"/>
      <c r="FM22" s="232"/>
      <c r="FN22" s="240"/>
      <c r="FO22" s="240"/>
      <c r="FP22" s="240"/>
      <c r="FQ22" s="240"/>
      <c r="FR22" s="240"/>
      <c r="FS22" s="240"/>
      <c r="FT22" s="240"/>
    </row>
    <row r="23" spans="2:176" s="8" customFormat="1" x14ac:dyDescent="0.2">
      <c r="B23" s="53"/>
      <c r="C23" s="93"/>
      <c r="D23" s="7"/>
      <c r="E23" s="235"/>
      <c r="F23" s="235"/>
      <c r="G23" s="235"/>
      <c r="H23" s="235"/>
      <c r="I23" s="236"/>
      <c r="J23" s="237" t="s">
        <v>791</v>
      </c>
      <c r="K23" s="103"/>
      <c r="L23" s="144">
        <f>IF(COUNT(L12:L21)=0,"NA",MAX(L12:L21))</f>
        <v>116.31</v>
      </c>
      <c r="M23" s="144"/>
      <c r="N23" s="144">
        <f>IF(COUNT(N12:N21)=0,"NA",MAX(N12:N21))</f>
        <v>203.62</v>
      </c>
      <c r="O23" s="144"/>
      <c r="P23" s="144">
        <f>IF(COUNT(P12:P21)=0,"NA",MAX(P12:P21))</f>
        <v>88.84</v>
      </c>
      <c r="Q23" s="94"/>
      <c r="R23" s="95">
        <f>IF(COUNT(R12:R21)=0,"NA",MAX(R12:R21))</f>
        <v>0.95065350760202716</v>
      </c>
      <c r="S23" s="95"/>
      <c r="T23" s="95">
        <f>IF(COUNT(T12:T21)=0,"NA",MAX(T12:T21))</f>
        <v>1.6436913212731852</v>
      </c>
      <c r="U23" s="94"/>
      <c r="V23" s="147">
        <f>IF(COUNT(V12:V21)=0,"NA",MAX(V12:V21))</f>
        <v>692247000</v>
      </c>
      <c r="W23" s="147"/>
      <c r="X23" s="147">
        <f>IF(COUNT(X12:X21)=0,"NA",MAX(X12:X21))</f>
        <v>38475.088259999997</v>
      </c>
      <c r="Y23" s="147"/>
      <c r="Z23" s="147">
        <f>IF(COUNT(Z12:Z21)=0,"NA",MAX(Z12:Z21))</f>
        <v>2742</v>
      </c>
      <c r="AA23" s="147"/>
      <c r="AB23" s="147">
        <f>IF(COUNT(AB12:AB21)=0,"NA",MAX(AB12:AB21))</f>
        <v>4311.027</v>
      </c>
      <c r="AC23" s="147"/>
      <c r="AD23" s="147" t="str">
        <f>IF(COUNT(AD12:AD21)=0,"NA",MAX(AD12:AD21))</f>
        <v>NA</v>
      </c>
      <c r="AE23" s="147"/>
      <c r="AF23" s="147">
        <f>IF(COUNT(AF12:AF21)=0,"NA",MAX(AF12:AF21))</f>
        <v>2656</v>
      </c>
      <c r="AG23" s="147"/>
      <c r="AH23" s="150">
        <f>IF(COUNT(AH12:AH21)=0,"NA",MAX(AH12:AH21))</f>
        <v>41380.088259999997</v>
      </c>
      <c r="AI23" s="137"/>
      <c r="AJ23" s="153">
        <f>IF(COUNT(AJ12:AJ21)=0,"NA",MAX(AJ12:AJ21))</f>
        <v>17226</v>
      </c>
      <c r="AK23" s="147"/>
      <c r="AL23" s="147">
        <f>IF(COUNT(AL12:AL21)=0,"NA",MAX(AL12:AL21))</f>
        <v>16901</v>
      </c>
      <c r="AM23" s="147"/>
      <c r="AN23" s="147">
        <f>IF(COUNT(AN12:AN21)=0,"NA",MAX(AN12:AN21))</f>
        <v>17305.242000000002</v>
      </c>
      <c r="AO23" s="147"/>
      <c r="AP23" s="147">
        <f>IF(COUNT(AP12:AP21)=0,"NA",MAX(AP12:AP21))</f>
        <v>18014.419960000003</v>
      </c>
      <c r="AQ23" s="147"/>
      <c r="AR23" s="147">
        <f>IF(COUNT(AR12:AR21)=0,"NA",MAX(AR12:AR21))</f>
        <v>3217</v>
      </c>
      <c r="AS23" s="147"/>
      <c r="AT23" s="147">
        <f>IF(COUNT(AT12:AT21)=0,"NA",MAX(AT12:AT21))</f>
        <v>3214</v>
      </c>
      <c r="AU23" s="147"/>
      <c r="AV23" s="147">
        <f>IF(COUNT(AV12:AV21)=0,"NA",MAX(AV12:AV21))</f>
        <v>3477.451</v>
      </c>
      <c r="AW23" s="147"/>
      <c r="AX23" s="147">
        <f>IF(COUNT(AX12:AX21)=0,"NA",MAX(AX12:AX21))</f>
        <v>3949.0035000000003</v>
      </c>
      <c r="AY23" s="94"/>
      <c r="AZ23" s="144">
        <f>IF(COUNT(AZ12:AZ21)=0,"NA",MAX(AZ12:AZ21))</f>
        <v>16.312999999999999</v>
      </c>
      <c r="BA23" s="144"/>
      <c r="BB23" s="144">
        <f>IF(COUNT(BB12:BB21)=0,"NA",MAX(BB12:BB21))</f>
        <v>5.5780000000000003</v>
      </c>
      <c r="BC23" s="144"/>
      <c r="BD23" s="144">
        <f>IF(COUNT(BD12:BD21)=0,"NA",MAX(BD12:BD21))</f>
        <v>5.75</v>
      </c>
      <c r="BE23" s="144"/>
      <c r="BF23" s="156">
        <f>IF(COUNT(BF12:BF21)=0,"NA",MAX(BF12:BF21))</f>
        <v>5.51</v>
      </c>
      <c r="BG23" s="162"/>
      <c r="BH23" s="159">
        <f>IF(COUNT(BH12:BH21)=0,"NA",MAX(BH12:BH21))</f>
        <v>2.7973083874227114</v>
      </c>
      <c r="BI23" s="144"/>
      <c r="BJ23" s="144">
        <f>IF(COUNT(BJ12:BJ21)=0,"NA",MAX(BJ12:BJ21))</f>
        <v>3.1513679777437984</v>
      </c>
      <c r="BK23" s="144"/>
      <c r="BL23" s="144">
        <f>IF(COUNT(BL12:BL21)=0,"NA",MAX(BL12:BL21))</f>
        <v>3.198095158103448</v>
      </c>
      <c r="BM23" s="144"/>
      <c r="BN23" s="144">
        <f>IF(COUNT(BN12:BN21)=0,"NA",MAX(BN12:BN21))</f>
        <v>3.1099804102246984</v>
      </c>
      <c r="BO23" s="144"/>
      <c r="BP23" s="144">
        <f>IF(COUNT(BP12:BP21)=0,"NA",MAX(BP12:BP21))</f>
        <v>16.678487523228476</v>
      </c>
      <c r="BQ23" s="144"/>
      <c r="BR23" s="144">
        <f>IF(COUNT(BR12:BR21)=0,"NA",MAX(BR12:BR21))</f>
        <v>20.477000639455785</v>
      </c>
      <c r="BS23" s="144"/>
      <c r="BT23" s="144">
        <f>IF(COUNT(BT12:BT21)=0,"NA",MAX(BT12:BT21))</f>
        <v>15.404037031892679</v>
      </c>
      <c r="BU23" s="144"/>
      <c r="BV23" s="144">
        <f>IF(COUNT(BV12:BV21)=0,"NA",MAX(BV12:BV21))</f>
        <v>14.202052732810191</v>
      </c>
      <c r="BW23" s="144"/>
      <c r="BX23" s="144">
        <f>IF(COUNT(BX12:BX21)=0,"NA",MAX(BX12:BX21))</f>
        <v>56.345291000000003</v>
      </c>
      <c r="BY23" s="144"/>
      <c r="BZ23" s="144">
        <f>IF(COUNT(BZ12:BZ21)=0,"NA",MAX(BZ12:BZ21))</f>
        <v>68.538754999999995</v>
      </c>
      <c r="CA23" s="144"/>
      <c r="CB23" s="144">
        <f>IF(COUNT(CB12:CB21)=0,"NA",MAX(CB12:CB21))</f>
        <v>140.99647898289999</v>
      </c>
      <c r="CC23" s="144"/>
      <c r="CD23" s="144">
        <f>IF(COUNT(CD12:CD21)=0,"NA",MAX(CD12:CD21))</f>
        <v>23.164738404800001</v>
      </c>
      <c r="CE23" s="144"/>
      <c r="CF23" s="144">
        <f>IF(COUNT(CF12:CF21)=0,"NA",MAX(CF12:CF21))</f>
        <v>595.85040983606564</v>
      </c>
      <c r="CG23" s="144"/>
      <c r="CH23" s="156">
        <f>IF(COUNT(CH12:CH21)=0,"NA",MAX(CH12:CH21))</f>
        <v>707.2146583534801</v>
      </c>
      <c r="CI23" s="162"/>
      <c r="CJ23" s="159">
        <f>IF(COUNT(CJ12:CJ21)=0,"NA",MAX(CJ12:CJ21))</f>
        <v>44.442999999999998</v>
      </c>
      <c r="CK23" s="144"/>
      <c r="CL23" s="144">
        <f>IF(COUNT(CL12:CL21)=0,"NA",MAX(CL12:CL21))</f>
        <v>52.396000000000001</v>
      </c>
      <c r="CM23" s="144"/>
      <c r="CN23" s="144">
        <f>IF(COUNT(CN12:CN21)=0,"NA",MAX(CN12:CN21))</f>
        <v>46.253</v>
      </c>
      <c r="CO23" s="144"/>
      <c r="CP23" s="144">
        <f>IF(COUNT(CP12:CP21)=0,"NA",MAX(CP12:CP21))</f>
        <v>43.683999999999997</v>
      </c>
      <c r="CQ23" s="144"/>
      <c r="CR23" s="144">
        <f>IF(COUNT(CR12:CR21)=0,"NA",MAX(CR12:CR21))</f>
        <v>46.926000000000002</v>
      </c>
      <c r="CS23" s="144"/>
      <c r="CT23" s="144">
        <f>IF(COUNT(CT12:CT21)=0,"NA",MAX(CT12:CT21))</f>
        <v>57.402000000000001</v>
      </c>
      <c r="CU23" s="144"/>
      <c r="CV23" s="144">
        <f>IF(COUNT(CV12:CV21)=0,"NA",MAX(CV12:CV21))</f>
        <v>47.232999999999997</v>
      </c>
      <c r="CW23" s="144"/>
      <c r="CX23" s="144">
        <f>IF(COUNT(CX12:CX21)=0,"NA",MAX(CX12:CX21))</f>
        <v>43.697000000000003</v>
      </c>
      <c r="CY23" s="144"/>
      <c r="CZ23" s="144">
        <f>IF(COUNT(CZ12:CZ21)=0,"NA",MAX(CZ12:CZ21))</f>
        <v>14.675000000000001</v>
      </c>
      <c r="DA23" s="144"/>
      <c r="DB23" s="144">
        <f>IF(COUNT(DB12:DB21)=0,"NA",MAX(DB12:DB21))</f>
        <v>36.746000000000002</v>
      </c>
      <c r="DC23" s="144"/>
      <c r="DD23" s="144">
        <f>IF(COUNT(DD12:DD21)=0,"NA",MAX(DD12:DD21))</f>
        <v>25.303000000000001</v>
      </c>
      <c r="DE23" s="144"/>
      <c r="DF23" s="156">
        <f>IF(COUNT(DF12:DF21)=0,"NA",MAX(DF12:DF21))</f>
        <v>17.873000000000001</v>
      </c>
      <c r="DG23" s="162"/>
      <c r="DH23" s="159">
        <f>IF(COUNT(DH12:DH21)=0,"NA",MAX(DH12:DH21))</f>
        <v>16.898</v>
      </c>
      <c r="DI23" s="144"/>
      <c r="DJ23" s="144">
        <f>IF(COUNT(DJ12:DJ21)=0,"NA",MAX(DJ12:DJ21))</f>
        <v>32.182000000000002</v>
      </c>
      <c r="DK23" s="144"/>
      <c r="DL23" s="144">
        <f>IF(COUNT(DL12:DL21)=0,"NA",MAX(DL12:DL21))</f>
        <v>31.381</v>
      </c>
      <c r="DM23" s="144"/>
      <c r="DN23" s="144">
        <f>IF(COUNT(DN12:DN21)=0,"NA",MAX(DN12:DN21))</f>
        <v>3.9119999999999999</v>
      </c>
      <c r="DO23" s="144"/>
      <c r="DP23" s="144">
        <f>IF(COUNT(DP12:DP21)=0,"NA",MAX(DP12:DP21))</f>
        <v>10.388999999999999</v>
      </c>
      <c r="DQ23" s="144"/>
      <c r="DR23" s="144">
        <f>IF(COUNT(DR12:DR21)=0,"NA",MAX(DR12:DR21))</f>
        <v>24.343</v>
      </c>
      <c r="DS23" s="144"/>
      <c r="DT23" s="144">
        <f>IF(COUNT(DT12:DT21)=0,"NA",MAX(DT12:DT21))</f>
        <v>18.780999999999999</v>
      </c>
      <c r="DU23" s="144"/>
      <c r="DV23" s="144">
        <f>IF(COUNT(DV12:DV21)=0,"NA",MAX(DV12:DV21))</f>
        <v>23.363</v>
      </c>
      <c r="DW23" s="144"/>
      <c r="DX23" s="144">
        <f>IF(COUNT(DX12:DX21)=0,"NA",MAX(DX12:DX21))</f>
        <v>44.620913527552972</v>
      </c>
      <c r="DY23" s="144"/>
      <c r="DZ23" s="144">
        <f>IF(COUNT(DZ12:DZ21)=0,"NA",MAX(DZ12:DZ21))</f>
        <v>74.881275404534946</v>
      </c>
      <c r="EA23" s="144"/>
      <c r="EB23" s="144">
        <f>IF(COUNT(EB12:EB21)=0,"NA",MAX(EB12:EB21))</f>
        <v>6.3970000000000002</v>
      </c>
      <c r="EC23" s="144">
        <f>IF(COUNT(EC12:EC21)=0,"NA",MAX(EC12:EC21))</f>
        <v>6.9550000000000001</v>
      </c>
      <c r="ED23" s="144">
        <f>IF(COUNT(ED12:ED21)=0,"NA",MAX(ED12:ED21))</f>
        <v>16.312999999999999</v>
      </c>
      <c r="EE23" s="144"/>
      <c r="EF23" s="156">
        <f>IF(COUNT(EF12:EF21)=0,"NA",MAX(EF12:EF21))</f>
        <v>5.5910000000000002</v>
      </c>
      <c r="EG23" s="162"/>
      <c r="EH23" s="159">
        <f>IF(COUNT(EH12:EH21)=0,"NA",MAX(EH12:EH21))</f>
        <v>5.5910000000000002</v>
      </c>
      <c r="EI23" s="144"/>
      <c r="EJ23" s="144">
        <f>IF(COUNT(EJ12:EJ21)=0,"NA",MAX(EJ12:EJ21))</f>
        <v>5.4969999999999999</v>
      </c>
      <c r="EK23" s="144"/>
      <c r="EL23" s="144">
        <f>IF(COUNT(EL12:EL21)=0,"NA",MAX(EL12:EL21))</f>
        <v>15.087</v>
      </c>
      <c r="EM23" s="144"/>
      <c r="EN23" s="144">
        <f>IF(COUNT(EN12:EN21)=0,"NA",MAX(EN12:EN21))</f>
        <v>21.86</v>
      </c>
      <c r="EO23" s="144"/>
      <c r="EP23" s="144">
        <f>IF(COUNT(EP12:EP21)=0,"NA",MAX(EP12:EP21))</f>
        <v>18.533000000000001</v>
      </c>
      <c r="EQ23" s="144"/>
      <c r="ER23" s="144">
        <f>IF(COUNT(ER12:ER21)=0,"NA",MAX(ER12:ER21))</f>
        <v>203.68299999999999</v>
      </c>
      <c r="ES23" s="144"/>
      <c r="ET23" s="144">
        <f>IF(COUNT(ET12:ET21)=0,"NA",MAX(ET12:ET21))</f>
        <v>110.129</v>
      </c>
      <c r="EU23" s="144"/>
      <c r="EV23" s="144">
        <f>IF(COUNT(EV12:EV21)=0,"NA",MAX(EV12:EV21))</f>
        <v>4549.1229999999996</v>
      </c>
      <c r="EW23" s="144"/>
      <c r="EX23" s="144">
        <f>IF(COUNT(EX12:EX21)=0,"NA",MAX(EX12:EX21))</f>
        <v>8.2759999999999998</v>
      </c>
      <c r="EY23" s="144"/>
      <c r="EZ23" s="156">
        <f>IF(COUNT(EZ12:EZ21)=0,"NA",MAX(EZ12:EZ21))</f>
        <v>10.891</v>
      </c>
      <c r="FA23" s="162"/>
      <c r="FB23" s="159">
        <f>IF(COUNT(FB12:FB21)=0,"NA",MAX(FB12:FB21))</f>
        <v>4.7</v>
      </c>
      <c r="FC23" s="144"/>
      <c r="FD23" s="144">
        <f>IF(COUNT(FD12:FD21)=0,"NA",MAX(FD12:FD21))</f>
        <v>3.9430000000000001</v>
      </c>
      <c r="FE23" s="94"/>
      <c r="FF23" s="147">
        <f>IF(COUNT(FF12:FF21)=0,"NA",MAX(FF12:FF21))</f>
        <v>140.96600000000001</v>
      </c>
      <c r="FG23" s="147"/>
      <c r="FH23" s="147">
        <f>IF(COUNT(FH12:FH21)=0,"NA",MAX(FH12:FH21))</f>
        <v>202.28399999999999</v>
      </c>
      <c r="FI23" s="147"/>
      <c r="FJ23" s="147">
        <f>IF(COUNT(FJ12:FJ21)=0,"NA",MAX(FJ12:FJ21))</f>
        <v>139.16200000000001</v>
      </c>
      <c r="FK23" s="147"/>
      <c r="FL23" s="147">
        <f>IF(COUNT(FL12:FL21)=0,"NA",MAX(FL12:FL21))</f>
        <v>204.089</v>
      </c>
      <c r="FM23" s="94"/>
      <c r="FN23" s="144">
        <f>IF(COUNT(FN12:FN21)=0,"NA",MAX(FN12:FN21))</f>
        <v>1.097</v>
      </c>
      <c r="FO23" s="144"/>
      <c r="FP23" s="144">
        <f>IF(COUNT(FP12:FP21)=0,"NA",MAX(FP12:FP21))</f>
        <v>4.54</v>
      </c>
      <c r="FQ23" s="144"/>
      <c r="FR23" s="144">
        <f>IF(COUNT(FR12:FR21)=0,"NA",MAX(FR12:FR21))</f>
        <v>12.989000000000001</v>
      </c>
      <c r="FS23" s="144"/>
      <c r="FT23" s="156">
        <f>IF(COUNT(FT12:FT21)=0,"NA",MAX(FT12:FT21))</f>
        <v>12.625</v>
      </c>
    </row>
    <row r="24" spans="2:176" s="8" customFormat="1" x14ac:dyDescent="0.2">
      <c r="B24" s="53"/>
      <c r="C24" s="93"/>
      <c r="D24" s="7"/>
      <c r="E24" s="235"/>
      <c r="F24" s="235"/>
      <c r="G24" s="235"/>
      <c r="H24" s="235"/>
      <c r="I24" s="236"/>
      <c r="J24" s="238" t="s">
        <v>790</v>
      </c>
      <c r="K24" s="105"/>
      <c r="L24" s="145">
        <f>IFERROR(MEDIAN(L12:L21),"NA")</f>
        <v>63.16</v>
      </c>
      <c r="M24" s="145"/>
      <c r="N24" s="145">
        <f>IFERROR(MEDIAN(N12:N21),"NA")</f>
        <v>71.355000000000004</v>
      </c>
      <c r="O24" s="145"/>
      <c r="P24" s="145">
        <f>IFERROR(MEDIAN(P12:P21),"NA")</f>
        <v>43.445</v>
      </c>
      <c r="Q24" s="96"/>
      <c r="R24" s="97">
        <f>IFERROR(MEDIAN(R12:R21),"NA")</f>
        <v>0.83478040955825628</v>
      </c>
      <c r="S24" s="97"/>
      <c r="T24" s="97">
        <f>IFERROR(MEDIAN(T12:T21),"NA")</f>
        <v>1.213362293976944</v>
      </c>
      <c r="U24" s="96"/>
      <c r="V24" s="148">
        <f>IFERROR(MEDIAN(V12:V21),"NA")</f>
        <v>150889360</v>
      </c>
      <c r="W24" s="148"/>
      <c r="X24" s="148">
        <f>IFERROR(MEDIAN(X12:X21),"NA")</f>
        <v>8451.7856649999994</v>
      </c>
      <c r="Y24" s="148"/>
      <c r="Z24" s="148">
        <f>IFERROR(MEDIAN(Z12:Z21),"NA")</f>
        <v>444.4</v>
      </c>
      <c r="AA24" s="148"/>
      <c r="AB24" s="148">
        <f>IFERROR(MEDIAN(AB12:AB21),"NA")</f>
        <v>2998.75</v>
      </c>
      <c r="AC24" s="148"/>
      <c r="AD24" s="148" t="str">
        <f>IFERROR(MEDIAN(AD12:AD21),"NA")</f>
        <v>NA</v>
      </c>
      <c r="AE24" s="148"/>
      <c r="AF24" s="148">
        <f>IFERROR(MEDIAN(AF12:AF21),"NA")</f>
        <v>142.6</v>
      </c>
      <c r="AG24" s="148"/>
      <c r="AH24" s="151">
        <f>IFERROR(MEDIAN(AH12:AH21),"NA")</f>
        <v>11985.285664499999</v>
      </c>
      <c r="AI24" s="137"/>
      <c r="AJ24" s="154">
        <f>IFERROR(MEDIAN(AJ12:AJ21),"NA")</f>
        <v>6732</v>
      </c>
      <c r="AK24" s="148"/>
      <c r="AL24" s="148">
        <f>IFERROR(MEDIAN(AL12:AL21),"NA")</f>
        <v>6259.15</v>
      </c>
      <c r="AM24" s="148"/>
      <c r="AN24" s="148">
        <f>IFERROR(MEDIAN(AN12:AN21),"NA")</f>
        <v>6134.2935099999995</v>
      </c>
      <c r="AO24" s="148"/>
      <c r="AP24" s="148">
        <f>IFERROR(MEDIAN(AP12:AP21),"NA")</f>
        <v>6510</v>
      </c>
      <c r="AQ24" s="148"/>
      <c r="AR24" s="148">
        <f>IFERROR(MEDIAN(AR12:AR21),"NA")</f>
        <v>976.73800000000006</v>
      </c>
      <c r="AS24" s="148"/>
      <c r="AT24" s="148">
        <f>IFERROR(MEDIAN(AT12:AT21),"NA")</f>
        <v>1029.3045000000002</v>
      </c>
      <c r="AU24" s="148"/>
      <c r="AV24" s="148">
        <f>IFERROR(MEDIAN(AV12:AV21),"NA")</f>
        <v>1095.0837200000001</v>
      </c>
      <c r="AW24" s="148"/>
      <c r="AX24" s="148">
        <f>IFERROR(MEDIAN(AX12:AX21),"NA")</f>
        <v>1248.77</v>
      </c>
      <c r="AY24" s="98"/>
      <c r="AZ24" s="145">
        <f>IFERROR(MEDIAN(AZ12:AZ21),"NA")</f>
        <v>3.5350000000000001</v>
      </c>
      <c r="BA24" s="145"/>
      <c r="BB24" s="145">
        <f>IFERROR(MEDIAN(BB12:BB21),"NA")</f>
        <v>1.3075000000000001</v>
      </c>
      <c r="BC24" s="145"/>
      <c r="BD24" s="145">
        <f>IFERROR(MEDIAN(BD12:BD21),"NA")</f>
        <v>2.4900000000000002</v>
      </c>
      <c r="BE24" s="145"/>
      <c r="BF24" s="157">
        <f>IFERROR(MEDIAN(BF12:BF21),"NA")</f>
        <v>3.35</v>
      </c>
      <c r="BG24" s="162"/>
      <c r="BH24" s="160">
        <f>IFERROR(MEDIAN(BH12:BH21),"NA")</f>
        <v>1.8529020884258149</v>
      </c>
      <c r="BI24" s="145"/>
      <c r="BJ24" s="145">
        <f>IFERROR(MEDIAN(BJ12:BJ21),"NA")</f>
        <v>2.0151573654286148</v>
      </c>
      <c r="BK24" s="145"/>
      <c r="BL24" s="145">
        <f>IFERROR(MEDIAN(BL12:BL21),"NA")</f>
        <v>2.0032091012061817</v>
      </c>
      <c r="BM24" s="145"/>
      <c r="BN24" s="145">
        <f>IFERROR(MEDIAN(BN12:BN21),"NA")</f>
        <v>1.9353119671487609</v>
      </c>
      <c r="BO24" s="145"/>
      <c r="BP24" s="145">
        <f>IFERROR(MEDIAN(BP12:BP21),"NA")</f>
        <v>12.36152487325843</v>
      </c>
      <c r="BQ24" s="145"/>
      <c r="BR24" s="145">
        <f>IFERROR(MEDIAN(BR12:BR21),"NA")</f>
        <v>9.2214743312349761</v>
      </c>
      <c r="BS24" s="145"/>
      <c r="BT24" s="145">
        <f>IFERROR(MEDIAN(BT12:BT21),"NA")</f>
        <v>11.899546035299993</v>
      </c>
      <c r="BU24" s="145"/>
      <c r="BV24" s="145">
        <f>IFERROR(MEDIAN(BV12:BV21),"NA")</f>
        <v>9.2227471068375912</v>
      </c>
      <c r="BW24" s="145"/>
      <c r="BX24" s="145">
        <f>IFERROR(MEDIAN(BX12:BX21),"NA")</f>
        <v>11.818182</v>
      </c>
      <c r="BY24" s="145"/>
      <c r="BZ24" s="145">
        <f>IFERROR(MEDIAN(BZ12:BZ21),"NA")</f>
        <v>20.812888999999998</v>
      </c>
      <c r="CA24" s="145"/>
      <c r="CB24" s="145">
        <f>IFERROR(MEDIAN(CB12:CB21),"NA")</f>
        <v>22.440074800200001</v>
      </c>
      <c r="CC24" s="145"/>
      <c r="CD24" s="145">
        <f>IFERROR(MEDIAN(CD12:CD21),"NA")</f>
        <v>16.324098897799999</v>
      </c>
      <c r="CE24" s="145"/>
      <c r="CF24" s="145">
        <f>IFERROR(MEDIAN(CF12:CF21),"NA")</f>
        <v>244.49944994499452</v>
      </c>
      <c r="CG24" s="145"/>
      <c r="CH24" s="157">
        <f>IFERROR(MEDIAN(CH12:CH21),"NA")</f>
        <v>212.62017679097653</v>
      </c>
      <c r="CI24" s="162"/>
      <c r="CJ24" s="160">
        <f>IFERROR(MEDIAN(CJ12:CJ21),"NA")</f>
        <v>31.342500000000001</v>
      </c>
      <c r="CK24" s="145"/>
      <c r="CL24" s="145">
        <f>IFERROR(MEDIAN(CL12:CL21),"NA")</f>
        <v>33.983000000000004</v>
      </c>
      <c r="CM24" s="145"/>
      <c r="CN24" s="145">
        <f>IFERROR(MEDIAN(CN12:CN21),"NA")</f>
        <v>27.478999999999999</v>
      </c>
      <c r="CO24" s="145"/>
      <c r="CP24" s="145">
        <f>IFERROR(MEDIAN(CP12:CP21),"NA")</f>
        <v>29.454000000000001</v>
      </c>
      <c r="CQ24" s="145"/>
      <c r="CR24" s="145">
        <f>IFERROR(MEDIAN(CR12:CR21),"NA")</f>
        <v>25.533999999999999</v>
      </c>
      <c r="CS24" s="145"/>
      <c r="CT24" s="145">
        <f>IFERROR(MEDIAN(CT12:CT21),"NA")</f>
        <v>22.3565</v>
      </c>
      <c r="CU24" s="145"/>
      <c r="CV24" s="145">
        <f>IFERROR(MEDIAN(CV12:CV21),"NA")</f>
        <v>17.177999999999997</v>
      </c>
      <c r="CW24" s="145"/>
      <c r="CX24" s="145">
        <f>IFERROR(MEDIAN(CX12:CX21),"NA")</f>
        <v>16.018999999999998</v>
      </c>
      <c r="CY24" s="145"/>
      <c r="CZ24" s="145">
        <f>IFERROR(MEDIAN(CZ12:CZ21),"NA")</f>
        <v>12.2155</v>
      </c>
      <c r="DA24" s="145"/>
      <c r="DB24" s="145">
        <f>IFERROR(MEDIAN(DB12:DB21),"NA")</f>
        <v>10.374499999999999</v>
      </c>
      <c r="DC24" s="145"/>
      <c r="DD24" s="145">
        <f>IFERROR(MEDIAN(DD12:DD21),"NA")</f>
        <v>7.3780000000000001</v>
      </c>
      <c r="DE24" s="145"/>
      <c r="DF24" s="157">
        <f>IFERROR(MEDIAN(DF12:DF21),"NA")</f>
        <v>4.7874999999999996</v>
      </c>
      <c r="DG24" s="162"/>
      <c r="DH24" s="160">
        <f>IFERROR(MEDIAN(DH12:DH21),"NA")</f>
        <v>4.4915000000000003</v>
      </c>
      <c r="DI24" s="145"/>
      <c r="DJ24" s="145">
        <f>IFERROR(MEDIAN(DJ12:DJ21),"NA")</f>
        <v>6.6295000000000002</v>
      </c>
      <c r="DK24" s="145"/>
      <c r="DL24" s="145">
        <f>IFERROR(MEDIAN(DL12:DL21),"NA")</f>
        <v>-13.971500000000001</v>
      </c>
      <c r="DM24" s="145"/>
      <c r="DN24" s="145">
        <f>IFERROR(MEDIAN(DN12:DN21),"NA")</f>
        <v>-14.79</v>
      </c>
      <c r="DO24" s="145"/>
      <c r="DP24" s="145">
        <f>IFERROR(MEDIAN(DP12:DP21),"NA")</f>
        <v>0.91300000000000014</v>
      </c>
      <c r="DQ24" s="145"/>
      <c r="DR24" s="145">
        <f>IFERROR(MEDIAN(DR12:DR21),"NA")</f>
        <v>0.90149999999999997</v>
      </c>
      <c r="DS24" s="145"/>
      <c r="DT24" s="145">
        <f>IFERROR(MEDIAN(DT12:DT21),"NA")</f>
        <v>-37.391500000000001</v>
      </c>
      <c r="DU24" s="145"/>
      <c r="DV24" s="145">
        <f>IFERROR(MEDIAN(DV12:DV21),"NA")</f>
        <v>-39.706000000000003</v>
      </c>
      <c r="DW24" s="145"/>
      <c r="DX24" s="145">
        <f>IFERROR(MEDIAN(DX12:DX21),"NA")</f>
        <v>10.048860651161929</v>
      </c>
      <c r="DY24" s="145"/>
      <c r="DZ24" s="145">
        <f>IFERROR(MEDIAN(DZ12:DZ21),"NA")</f>
        <v>5.0642616558296165</v>
      </c>
      <c r="EA24" s="145"/>
      <c r="EB24" s="145">
        <f>IFERROR(MEDIAN(EB12:EB21),"NA")</f>
        <v>1.234</v>
      </c>
      <c r="EC24" s="145">
        <f>IFERROR(MEDIAN(EC12:EC21),"NA")</f>
        <v>1.6165</v>
      </c>
      <c r="ED24" s="145">
        <f>IFERROR(MEDIAN(ED12:ED21),"NA")</f>
        <v>3.5854999999999997</v>
      </c>
      <c r="EE24" s="145"/>
      <c r="EF24" s="157">
        <f>IFERROR(MEDIAN(EF12:EF21),"NA")</f>
        <v>1.3165</v>
      </c>
      <c r="EG24" s="162"/>
      <c r="EH24" s="160">
        <f>IFERROR(MEDIAN(EH12:EH21),"NA")</f>
        <v>2.1159999999999997</v>
      </c>
      <c r="EI24" s="145"/>
      <c r="EJ24" s="145">
        <f>IFERROR(MEDIAN(EJ12:EJ21),"NA")</f>
        <v>1.9430000000000001</v>
      </c>
      <c r="EK24" s="145"/>
      <c r="EL24" s="145">
        <f>IFERROR(MEDIAN(EL12:EL21),"NA")</f>
        <v>5.5764999999999993</v>
      </c>
      <c r="EM24" s="145"/>
      <c r="EN24" s="145">
        <f>IFERROR(MEDIAN(EN12:EN21),"NA")</f>
        <v>9.1885000000000012</v>
      </c>
      <c r="EO24" s="145"/>
      <c r="EP24" s="145">
        <f>IFERROR(MEDIAN(EP12:EP21),"NA")</f>
        <v>6.641</v>
      </c>
      <c r="EQ24" s="145"/>
      <c r="ER24" s="145">
        <f>IFERROR(MEDIAN(ER12:ER21),"NA")</f>
        <v>59.459000000000003</v>
      </c>
      <c r="ES24" s="145"/>
      <c r="ET24" s="145">
        <f>IFERROR(MEDIAN(ET12:ET21),"NA")</f>
        <v>43.456000000000003</v>
      </c>
      <c r="EU24" s="145"/>
      <c r="EV24" s="145">
        <f>IFERROR(MEDIAN(EV12:EV21),"NA")</f>
        <v>13.437999999999999</v>
      </c>
      <c r="EW24" s="145"/>
      <c r="EX24" s="145">
        <f>IFERROR(MEDIAN(EX12:EX21),"NA")</f>
        <v>4.9085000000000001</v>
      </c>
      <c r="EY24" s="145"/>
      <c r="EZ24" s="157">
        <f>IFERROR(MEDIAN(EZ12:EZ21),"NA")</f>
        <v>6.1544999999999996</v>
      </c>
      <c r="FA24" s="162"/>
      <c r="FB24" s="160">
        <f>IFERROR(MEDIAN(FB12:FB21),"NA")</f>
        <v>1.8879999999999999</v>
      </c>
      <c r="FC24" s="145"/>
      <c r="FD24" s="145">
        <f>IFERROR(MEDIAN(FD12:FD21),"NA")</f>
        <v>1.1234999999999999</v>
      </c>
      <c r="FE24" s="96"/>
      <c r="FF24" s="148">
        <f>IFERROR(MEDIAN(FF12:FF21),"NA")</f>
        <v>52.844000000000001</v>
      </c>
      <c r="FG24" s="148"/>
      <c r="FH24" s="148">
        <f>IFERROR(MEDIAN(FH12:FH21),"NA")</f>
        <v>87.608499999999992</v>
      </c>
      <c r="FI24" s="148"/>
      <c r="FJ24" s="148">
        <f>IFERROR(MEDIAN(FJ12:FJ21),"NA")</f>
        <v>56.076500000000003</v>
      </c>
      <c r="FK24" s="148"/>
      <c r="FL24" s="148">
        <f>IFERROR(MEDIAN(FL12:FL21),"NA")</f>
        <v>79.660499999999999</v>
      </c>
      <c r="FM24" s="96"/>
      <c r="FN24" s="145">
        <f>IFERROR(MEDIAN(FN12:FN21),"NA")</f>
        <v>0.63549999999999995</v>
      </c>
      <c r="FO24" s="145"/>
      <c r="FP24" s="145">
        <f>IFERROR(MEDIAN(FP12:FP21),"NA")</f>
        <v>2.222</v>
      </c>
      <c r="FQ24" s="145"/>
      <c r="FR24" s="145">
        <f>IFERROR(MEDIAN(FR12:FR21),"NA")</f>
        <v>6.9264999999999999</v>
      </c>
      <c r="FS24" s="145"/>
      <c r="FT24" s="157">
        <f>IFERROR(MEDIAN(FT12:FT21),"NA")</f>
        <v>4.1784999999999997</v>
      </c>
    </row>
    <row r="25" spans="2:176" s="8" customFormat="1" x14ac:dyDescent="0.2">
      <c r="B25" s="53"/>
      <c r="C25" s="93"/>
      <c r="D25" s="7"/>
      <c r="E25" s="235"/>
      <c r="F25" s="235"/>
      <c r="G25" s="235"/>
      <c r="H25" s="235"/>
      <c r="I25" s="236"/>
      <c r="J25" s="238" t="s">
        <v>789</v>
      </c>
      <c r="K25" s="105"/>
      <c r="L25" s="145">
        <f>IF(COUNT(L12:L21)=0,"NA",MIN(L12:L21))</f>
        <v>21.92</v>
      </c>
      <c r="M25" s="145"/>
      <c r="N25" s="145">
        <f>IF(COUNT(N12:N21)=0,"NA",MIN(N12:N21))</f>
        <v>28.36</v>
      </c>
      <c r="O25" s="145"/>
      <c r="P25" s="145">
        <f>IF(COUNT(P12:P21)=0,"NA",MIN(P12:P21))</f>
        <v>19.91</v>
      </c>
      <c r="Q25" s="96"/>
      <c r="R25" s="97">
        <f>IF(COUNT(R12:R21)=0,"NA",MIN(R12:R21))</f>
        <v>0.44445535801984087</v>
      </c>
      <c r="S25" s="97"/>
      <c r="T25" s="97">
        <f>IF(COUNT(T12:T21)=0,"NA",MIN(T12:T21))</f>
        <v>1.093139133767727</v>
      </c>
      <c r="U25" s="96"/>
      <c r="V25" s="148">
        <f>IF(COUNT(V12:V21)=0,"NA",MIN(V12:V21))</f>
        <v>10569637</v>
      </c>
      <c r="W25" s="148"/>
      <c r="X25" s="148">
        <f>IF(COUNT(X12:X21)=0,"NA",MIN(X12:X21))</f>
        <v>747.69612138000002</v>
      </c>
      <c r="Y25" s="148"/>
      <c r="Z25" s="148">
        <f>IF(COUNT(Z12:Z21)=0,"NA",MIN(Z12:Z21))</f>
        <v>45.279000000000003</v>
      </c>
      <c r="AA25" s="148"/>
      <c r="AB25" s="148">
        <f>IF(COUNT(AB12:AB21)=0,"NA",MIN(AB12:AB21))</f>
        <v>559.60800000000006</v>
      </c>
      <c r="AC25" s="148"/>
      <c r="AD25" s="148" t="str">
        <f>IF(COUNT(AD12:AD21)=0,"NA",MIN(AD12:AD21))</f>
        <v>NA</v>
      </c>
      <c r="AE25" s="148"/>
      <c r="AF25" s="148">
        <f>IF(COUNT(AF12:AF21)=0,"NA",MIN(AF12:AF21))</f>
        <v>1E-3</v>
      </c>
      <c r="AG25" s="148"/>
      <c r="AH25" s="151">
        <f>IF(COUNT(AH12:AH21)=0,"NA",MIN(AH12:AH21))</f>
        <v>1262.7471210000001</v>
      </c>
      <c r="AI25" s="137"/>
      <c r="AJ25" s="154">
        <f>IF(COUNT(AJ12:AJ21)=0,"NA",MIN(AJ12:AJ21))</f>
        <v>681.47699999999998</v>
      </c>
      <c r="AK25" s="148"/>
      <c r="AL25" s="148">
        <f>IF(COUNT(AL12:AL21)=0,"NA",MIN(AL12:AL21))</f>
        <v>532.77600000000007</v>
      </c>
      <c r="AM25" s="148"/>
      <c r="AN25" s="148">
        <f>IF(COUNT(AN12:AN21)=0,"NA",MIN(AN12:AN21))</f>
        <v>3540.4767999999999</v>
      </c>
      <c r="AO25" s="148"/>
      <c r="AP25" s="148">
        <f>IF(COUNT(AP12:AP21)=0,"NA",MIN(AP12:AP21))</f>
        <v>3593.4500000000003</v>
      </c>
      <c r="AQ25" s="148"/>
      <c r="AR25" s="148">
        <f>IF(COUNT(AR12:AR21)=0,"NA",MIN(AR12:AR21))</f>
        <v>282.661</v>
      </c>
      <c r="AS25" s="148"/>
      <c r="AT25" s="148">
        <f>IF(COUNT(AT12:AT21)=0,"NA",MIN(AT12:AT21))</f>
        <v>-840.95500000000004</v>
      </c>
      <c r="AU25" s="148"/>
      <c r="AV25" s="148">
        <f>IF(COUNT(AV12:AV21)=0,"NA",MIN(AV12:AV21))</f>
        <v>451.3</v>
      </c>
      <c r="AW25" s="148"/>
      <c r="AX25" s="148">
        <f>IF(COUNT(AX12:AX21)=0,"NA",MIN(AX12:AX21))</f>
        <v>621.90624000000003</v>
      </c>
      <c r="AY25" s="98"/>
      <c r="AZ25" s="145">
        <f>IF(COUNT(AZ12:AZ21)=0,"NA",MIN(AZ12:AZ21))</f>
        <v>-6.79</v>
      </c>
      <c r="BA25" s="145"/>
      <c r="BB25" s="145">
        <f>IF(COUNT(BB12:BB21)=0,"NA",MIN(BB12:BB21))</f>
        <v>-4.72</v>
      </c>
      <c r="BC25" s="145"/>
      <c r="BD25" s="145">
        <f>IF(COUNT(BD12:BD21)=0,"NA",MIN(BD12:BD21))</f>
        <v>0.2</v>
      </c>
      <c r="BE25" s="145"/>
      <c r="BF25" s="157">
        <f>IF(COUNT(BF12:BF21)=0,"NA",MIN(BF12:BF21))</f>
        <v>1.3</v>
      </c>
      <c r="BG25" s="162"/>
      <c r="BH25" s="160">
        <f>IF(COUNT(BH12:BH21)=0,"NA",MIN(BH12:BH21))</f>
        <v>0.97411261877468758</v>
      </c>
      <c r="BI25" s="145"/>
      <c r="BJ25" s="145">
        <f>IF(COUNT(BJ12:BJ21)=0,"NA",MIN(BJ12:BJ21))</f>
        <v>1.0112948409205442</v>
      </c>
      <c r="BK25" s="145"/>
      <c r="BL25" s="145">
        <f>IF(COUNT(BL12:BL21)=0,"NA",MIN(BL12:BL21))</f>
        <v>0.9814069343414904</v>
      </c>
      <c r="BM25" s="145"/>
      <c r="BN25" s="145">
        <f>IF(COUNT(BN12:BN21)=0,"NA",MIN(BN12:BN21))</f>
        <v>0.9247677708141322</v>
      </c>
      <c r="BO25" s="145"/>
      <c r="BP25" s="145">
        <f>IF(COUNT(BP12:BP21)=0,"NA",MIN(BP12:BP21))</f>
        <v>4.4673553160853468</v>
      </c>
      <c r="BQ25" s="145"/>
      <c r="BR25" s="145">
        <f>IF(COUNT(BR12:BR21)=0,"NA",MIN(BR12:BR21))</f>
        <v>-17.791345276501122</v>
      </c>
      <c r="BS25" s="145"/>
      <c r="BT25" s="145">
        <f>IF(COUNT(BT12:BT21)=0,"NA",MIN(BT12:BT21))</f>
        <v>5.7284430390725634</v>
      </c>
      <c r="BU25" s="145"/>
      <c r="BV25" s="145">
        <f>IF(COUNT(BV12:BV21)=0,"NA",MIN(BV12:BV21))</f>
        <v>5.8825149197530866</v>
      </c>
      <c r="BW25" s="145"/>
      <c r="BX25" s="145">
        <f>IF(COUNT(BX12:BX21)=0,"NA",MIN(BX12:BX21))</f>
        <v>2.6851970000000001</v>
      </c>
      <c r="BY25" s="145"/>
      <c r="BZ25" s="145">
        <f>IF(COUNT(BZ12:BZ21)=0,"NA",MIN(BZ12:BZ21))</f>
        <v>9.6186120000000006</v>
      </c>
      <c r="CA25" s="145"/>
      <c r="CB25" s="145">
        <f>IF(COUNT(CB12:CB21)=0,"NA",MIN(CB12:CB21))</f>
        <v>11.195465286899999</v>
      </c>
      <c r="CC25" s="145"/>
      <c r="CD25" s="145">
        <f>IF(COUNT(CD12:CD21)=0,"NA",MIN(CD12:CD21))</f>
        <v>11.510071312299999</v>
      </c>
      <c r="CE25" s="145"/>
      <c r="CF25" s="145">
        <f>IF(COUNT(CF12:CF21)=0,"NA",MIN(CF12:CF21))</f>
        <v>78.045042826259476</v>
      </c>
      <c r="CG25" s="145"/>
      <c r="CH25" s="157">
        <f>IF(COUNT(CH12:CH21)=0,"NA",MIN(CH12:CH21))</f>
        <v>86.207417706979413</v>
      </c>
      <c r="CI25" s="162"/>
      <c r="CJ25" s="160">
        <f>IF(COUNT(CJ12:CJ21)=0,"NA",MIN(CJ12:CJ21))</f>
        <v>20.652000000000001</v>
      </c>
      <c r="CK25" s="145"/>
      <c r="CL25" s="145">
        <f>IF(COUNT(CL12:CL21)=0,"NA",MIN(CL12:CL21))</f>
        <v>19.27</v>
      </c>
      <c r="CM25" s="145"/>
      <c r="CN25" s="145">
        <f>IF(COUNT(CN12:CN21)=0,"NA",MIN(CN12:CN21))</f>
        <v>12.446</v>
      </c>
      <c r="CO25" s="145"/>
      <c r="CP25" s="145">
        <f>IF(COUNT(CP12:CP21)=0,"NA",MIN(CP12:CP21))</f>
        <v>-8.1760000000000002</v>
      </c>
      <c r="CQ25" s="145"/>
      <c r="CR25" s="145">
        <f>IF(COUNT(CR12:CR21)=0,"NA",MIN(CR12:CR21))</f>
        <v>12.052</v>
      </c>
      <c r="CS25" s="145"/>
      <c r="CT25" s="145">
        <f>IF(COUNT(CT12:CT21)=0,"NA",MIN(CT12:CT21))</f>
        <v>12.631</v>
      </c>
      <c r="CU25" s="145"/>
      <c r="CV25" s="145">
        <f>IF(COUNT(CV12:CV21)=0,"NA",MIN(CV12:CV21))</f>
        <v>6.1040000000000001</v>
      </c>
      <c r="CW25" s="145"/>
      <c r="CX25" s="145">
        <f>IF(COUNT(CX12:CX21)=0,"NA",MIN(CX12:CX21))</f>
        <v>-11.276</v>
      </c>
      <c r="CY25" s="145"/>
      <c r="CZ25" s="145">
        <f>IF(COUNT(CZ12:CZ21)=0,"NA",MIN(CZ12:CZ21))</f>
        <v>3.7160000000000002</v>
      </c>
      <c r="DA25" s="145"/>
      <c r="DB25" s="145">
        <f>IF(COUNT(DB12:DB21)=0,"NA",MIN(DB12:DB21))</f>
        <v>-11.148999999999999</v>
      </c>
      <c r="DC25" s="145"/>
      <c r="DD25" s="145">
        <f>IF(COUNT(DD12:DD21)=0,"NA",MIN(DD12:DD21))</f>
        <v>-10.702999999999999</v>
      </c>
      <c r="DE25" s="145"/>
      <c r="DF25" s="157">
        <f>IF(COUNT(DF12:DF21)=0,"NA",MIN(DF12:DF21))</f>
        <v>-7.3819999999999997</v>
      </c>
      <c r="DG25" s="162"/>
      <c r="DH25" s="160">
        <f>IF(COUNT(DH12:DH21)=0,"NA",MIN(DH12:DH21))</f>
        <v>-3.8439999999999999</v>
      </c>
      <c r="DI25" s="145"/>
      <c r="DJ25" s="145">
        <f>IF(COUNT(DJ12:DJ21)=0,"NA",MIN(DJ12:DJ21))</f>
        <v>-11.558999999999999</v>
      </c>
      <c r="DK25" s="145"/>
      <c r="DL25" s="145">
        <f>IF(COUNT(DL12:DL21)=0,"NA",MIN(DL12:DL21))</f>
        <v>-40.720999999999997</v>
      </c>
      <c r="DM25" s="145"/>
      <c r="DN25" s="145">
        <f>IF(COUNT(DN12:DN21)=0,"NA",MIN(DN12:DN21))</f>
        <v>-32.469000000000001</v>
      </c>
      <c r="DO25" s="145"/>
      <c r="DP25" s="145">
        <f>IF(COUNT(DP12:DP21)=0,"NA",MIN(DP12:DP21))</f>
        <v>-19.318999999999999</v>
      </c>
      <c r="DQ25" s="145"/>
      <c r="DR25" s="145">
        <f>IF(COUNT(DR12:DR21)=0,"NA",MIN(DR12:DR21))</f>
        <v>-29.045000000000002</v>
      </c>
      <c r="DS25" s="145"/>
      <c r="DT25" s="145">
        <f>IF(COUNT(DT12:DT21)=0,"NA",MIN(DT12:DT21))</f>
        <v>-68.715999999999994</v>
      </c>
      <c r="DU25" s="145"/>
      <c r="DV25" s="145">
        <f>IF(COUNT(DV12:DV21)=0,"NA",MIN(DV12:DV21))</f>
        <v>-52.063000000000002</v>
      </c>
      <c r="DW25" s="145"/>
      <c r="DX25" s="145">
        <f>IF(COUNT(DX12:DX21)=0,"NA",MIN(DX12:DX21))</f>
        <v>-243.05478360863705</v>
      </c>
      <c r="DY25" s="145"/>
      <c r="DZ25" s="145">
        <f>IF(COUNT(DZ12:DZ21)=0,"NA",MIN(DZ12:DZ21))</f>
        <v>-222.9829050661653</v>
      </c>
      <c r="EA25" s="145"/>
      <c r="EB25" s="145">
        <f>IF(COUNT(EB12:EB21)=0,"NA",MIN(EB12:EB21))</f>
        <v>-6.7590000000000003</v>
      </c>
      <c r="EC25" s="145">
        <f>IF(COUNT(EC12:EC21)=0,"NA",MIN(EC12:EC21))</f>
        <v>-8.77</v>
      </c>
      <c r="ED25" s="145">
        <f>IF(COUNT(ED12:ED21)=0,"NA",MIN(ED12:ED21))</f>
        <v>-6.7880000000000003</v>
      </c>
      <c r="EE25" s="145"/>
      <c r="EF25" s="157">
        <f>IF(COUNT(EF12:EF21)=0,"NA",MIN(EF12:EF21))</f>
        <v>-4.72</v>
      </c>
      <c r="EG25" s="162"/>
      <c r="EH25" s="160">
        <f>IF(COUNT(EH12:EH21)=0,"NA",MIN(EH12:EH21))</f>
        <v>0.87</v>
      </c>
      <c r="EI25" s="145"/>
      <c r="EJ25" s="145">
        <f>IF(COUNT(EJ12:EJ21)=0,"NA",MIN(EJ12:EJ21))</f>
        <v>6.8000000000000005E-2</v>
      </c>
      <c r="EK25" s="145"/>
      <c r="EL25" s="145">
        <f>IF(COUNT(EL12:EL21)=0,"NA",MIN(EL12:EL21))</f>
        <v>1.6</v>
      </c>
      <c r="EM25" s="145"/>
      <c r="EN25" s="145">
        <f>IF(COUNT(EN12:EN21)=0,"NA",MIN(EN12:EN21))</f>
        <v>2.919</v>
      </c>
      <c r="EO25" s="145"/>
      <c r="EP25" s="145">
        <f>IF(COUNT(EP12:EP21)=0,"NA",MIN(EP12:EP21))</f>
        <v>2.3980000000000001</v>
      </c>
      <c r="EQ25" s="145"/>
      <c r="ER25" s="145">
        <f>IF(COUNT(ER12:ER21)=0,"NA",MIN(ER12:ER21))</f>
        <v>11.769</v>
      </c>
      <c r="ES25" s="145"/>
      <c r="ET25" s="145">
        <f>IF(COUNT(ET12:ET21)=0,"NA",MIN(ET12:ET21))</f>
        <v>10.529</v>
      </c>
      <c r="EU25" s="145"/>
      <c r="EV25" s="145">
        <f>IF(COUNT(EV12:EV21)=0,"NA",MIN(EV12:EV21))</f>
        <v>-4.1029999999999998</v>
      </c>
      <c r="EW25" s="145"/>
      <c r="EX25" s="145">
        <f>IF(COUNT(EX12:EX21)=0,"NA",MIN(EX12:EX21))</f>
        <v>-4.5090000000000003</v>
      </c>
      <c r="EY25" s="145"/>
      <c r="EZ25" s="157">
        <f>IF(COUNT(EZ12:EZ21)=0,"NA",MIN(EZ12:EZ21))</f>
        <v>-5.851</v>
      </c>
      <c r="FA25" s="162"/>
      <c r="FB25" s="160">
        <f>IF(COUNT(FB12:FB21)=0,"NA",MIN(FB12:FB21))</f>
        <v>1.155</v>
      </c>
      <c r="FC25" s="145"/>
      <c r="FD25" s="145">
        <f>IF(COUNT(FD12:FD21)=0,"NA",MIN(FD12:FD21))</f>
        <v>0.46899999999999997</v>
      </c>
      <c r="FE25" s="96"/>
      <c r="FF25" s="148">
        <f>IF(COUNT(FF12:FF21)=0,"NA",MIN(FF12:FF21))</f>
        <v>28.177</v>
      </c>
      <c r="FG25" s="148"/>
      <c r="FH25" s="148">
        <f>IF(COUNT(FH12:FH21)=0,"NA",MIN(FH12:FH21))</f>
        <v>28.99</v>
      </c>
      <c r="FI25" s="148"/>
      <c r="FJ25" s="148">
        <f>IF(COUNT(FJ12:FJ21)=0,"NA",MIN(FJ12:FJ21))</f>
        <v>34.618000000000002</v>
      </c>
      <c r="FK25" s="148"/>
      <c r="FL25" s="148">
        <f>IF(COUNT(FL12:FL21)=0,"NA",MIN(FL12:FL21))</f>
        <v>12.926</v>
      </c>
      <c r="FM25" s="96"/>
      <c r="FN25" s="145">
        <f>IF(COUNT(FN12:FN21)=0,"NA",MIN(FN12:FN21))</f>
        <v>0.39500000000000002</v>
      </c>
      <c r="FO25" s="145"/>
      <c r="FP25" s="145">
        <f>IF(COUNT(FP12:FP21)=0,"NA",MIN(FP12:FP21))</f>
        <v>0.69199999999999995</v>
      </c>
      <c r="FQ25" s="145"/>
      <c r="FR25" s="145">
        <f>IF(COUNT(FR12:FR21)=0,"NA",MIN(FR12:FR21))</f>
        <v>2.5960000000000001</v>
      </c>
      <c r="FS25" s="145"/>
      <c r="FT25" s="157">
        <f>IF(COUNT(FT12:FT21)=0,"NA",MIN(FT12:FT21))</f>
        <v>1.8089999999999999</v>
      </c>
    </row>
    <row r="26" spans="2:176" s="8" customFormat="1" x14ac:dyDescent="0.2">
      <c r="B26" s="53"/>
      <c r="C26" s="93"/>
      <c r="D26" s="7"/>
      <c r="E26" s="235"/>
      <c r="F26" s="235"/>
      <c r="G26" s="235"/>
      <c r="H26" s="235"/>
      <c r="I26" s="236"/>
      <c r="J26" s="239" t="s">
        <v>788</v>
      </c>
      <c r="K26" s="107"/>
      <c r="L26" s="146">
        <f>IFERROR(AVERAGE(L12:L21),"NA")</f>
        <v>61.584999999999994</v>
      </c>
      <c r="M26" s="146"/>
      <c r="N26" s="146">
        <f>IFERROR(AVERAGE(N12:N21),"NA")</f>
        <v>81.136999999999986</v>
      </c>
      <c r="O26" s="146"/>
      <c r="P26" s="146">
        <f>IFERROR(AVERAGE(P12:P21),"NA")</f>
        <v>48.862000000000002</v>
      </c>
      <c r="Q26" s="99"/>
      <c r="R26" s="100">
        <f>IFERROR(AVERAGE(R12:R21),"NA")</f>
        <v>0.80792379079757493</v>
      </c>
      <c r="S26" s="100"/>
      <c r="T26" s="100">
        <f>IFERROR(AVERAGE(T12:T21),"NA")</f>
        <v>1.2550831305100349</v>
      </c>
      <c r="U26" s="99"/>
      <c r="V26" s="149">
        <f>IFERROR(AVERAGE(V12:V21),"NA")</f>
        <v>201480448.40000001</v>
      </c>
      <c r="W26" s="149"/>
      <c r="X26" s="149">
        <f>IFERROR(AVERAGE(X12:X21),"NA")</f>
        <v>10934.163518821</v>
      </c>
      <c r="Y26" s="149"/>
      <c r="Z26" s="149">
        <f>IFERROR(AVERAGE(Z12:Z21),"NA")</f>
        <v>776.09579999999994</v>
      </c>
      <c r="AA26" s="149"/>
      <c r="AB26" s="149">
        <f>IFERROR(AVERAGE(AB12:AB21),"NA")</f>
        <v>2915.4762000000001</v>
      </c>
      <c r="AC26" s="149"/>
      <c r="AD26" s="149" t="str">
        <f>IFERROR(AVERAGE(AD12:AD21),"NA")</f>
        <v>NA</v>
      </c>
      <c r="AE26" s="149"/>
      <c r="AF26" s="149">
        <f>IFERROR(AVERAGE(AF12:AF21),"NA")</f>
        <v>400.36233333333331</v>
      </c>
      <c r="AG26" s="149"/>
      <c r="AH26" s="152">
        <f>IFERROR(AVERAGE(AH12:AH21),"NA")</f>
        <v>13822.713818499999</v>
      </c>
      <c r="AI26" s="137"/>
      <c r="AJ26" s="155">
        <f>IFERROR(AVERAGE(AJ12:AJ21),"NA")</f>
        <v>7686.6456999999991</v>
      </c>
      <c r="AK26" s="149"/>
      <c r="AL26" s="149">
        <f>IFERROR(AVERAGE(AL12:AL21),"NA")</f>
        <v>7158.8634999999995</v>
      </c>
      <c r="AM26" s="149"/>
      <c r="AN26" s="149">
        <f>IFERROR(AVERAGE(AN12:AN21),"NA")</f>
        <v>7706.5846166666661</v>
      </c>
      <c r="AO26" s="149"/>
      <c r="AP26" s="149">
        <f>IFERROR(AVERAGE(AP12:AP21),"NA")</f>
        <v>8026.2345155555558</v>
      </c>
      <c r="AQ26" s="149"/>
      <c r="AR26" s="149">
        <f>IFERROR(AVERAGE(AR12:AR21),"NA")</f>
        <v>1391.6737000000001</v>
      </c>
      <c r="AS26" s="149"/>
      <c r="AT26" s="149">
        <f>IFERROR(AVERAGE(AT12:AT21),"NA")</f>
        <v>1088.9883000000002</v>
      </c>
      <c r="AU26" s="149"/>
      <c r="AV26" s="149">
        <f>IFERROR(AVERAGE(AV12:AV21),"NA")</f>
        <v>1482.6544800000001</v>
      </c>
      <c r="AW26" s="149"/>
      <c r="AX26" s="149">
        <f>IFERROR(AVERAGE(AX12:AX21),"NA")</f>
        <v>1636.6461922222225</v>
      </c>
      <c r="AY26" s="101"/>
      <c r="AZ26" s="146">
        <f>IFERROR(AVERAGE(AZ12:AZ21),"NA")</f>
        <v>4.5189000000000004</v>
      </c>
      <c r="BA26" s="146"/>
      <c r="BB26" s="146">
        <f>IFERROR(AVERAGE(BB12:BB21),"NA")</f>
        <v>1.0657000000000001</v>
      </c>
      <c r="BC26" s="146"/>
      <c r="BD26" s="146">
        <f>IFERROR(AVERAGE(BD12:BD21),"NA")</f>
        <v>2.5524211111111108</v>
      </c>
      <c r="BE26" s="146"/>
      <c r="BF26" s="158">
        <f>IFERROR(AVERAGE(BF12:BF21),"NA")</f>
        <v>3.4443655555555561</v>
      </c>
      <c r="BG26" s="162"/>
      <c r="BH26" s="161">
        <f>IFERROR(AVERAGE(BH12:BH21),"NA")</f>
        <v>1.8030637056172432</v>
      </c>
      <c r="BI26" s="146"/>
      <c r="BJ26" s="146">
        <f>IFERROR(AVERAGE(BJ12:BJ21),"NA")</f>
        <v>1.9588571339895939</v>
      </c>
      <c r="BK26" s="146"/>
      <c r="BL26" s="146">
        <f>IFERROR(AVERAGE(BL12:BL21),"NA")</f>
        <v>1.9830368501082623</v>
      </c>
      <c r="BM26" s="146"/>
      <c r="BN26" s="146">
        <f>IFERROR(AVERAGE(BN12:BN21),"NA")</f>
        <v>1.8958367790619894</v>
      </c>
      <c r="BO26" s="146"/>
      <c r="BP26" s="146">
        <f>IFERROR(AVERAGE(BP12:BP21),"NA")</f>
        <v>11.267620208249923</v>
      </c>
      <c r="BQ26" s="146"/>
      <c r="BR26" s="146">
        <f>IFERROR(AVERAGE(BR12:BR21),"NA")</f>
        <v>8.7341842146621111</v>
      </c>
      <c r="BS26" s="146"/>
      <c r="BT26" s="146">
        <f>IFERROR(AVERAGE(BT12:BT21),"NA")</f>
        <v>11.000575055964125</v>
      </c>
      <c r="BU26" s="146"/>
      <c r="BV26" s="146">
        <f>IFERROR(AVERAGE(BV12:BV21),"NA")</f>
        <v>9.4984929859342682</v>
      </c>
      <c r="BW26" s="146"/>
      <c r="BX26" s="146">
        <f>IFERROR(AVERAGE(BX12:BX21),"NA")</f>
        <v>21.01734188888889</v>
      </c>
      <c r="BY26" s="146"/>
      <c r="BZ26" s="146">
        <f>IFERROR(AVERAGE(BZ12:BZ21),"NA")</f>
        <v>26.165815250000001</v>
      </c>
      <c r="CA26" s="146"/>
      <c r="CB26" s="146">
        <f>IFERROR(AVERAGE(CB12:CB21),"NA")</f>
        <v>41.960021127611107</v>
      </c>
      <c r="CC26" s="146"/>
      <c r="CD26" s="146">
        <f>IFERROR(AVERAGE(CD12:CD21),"NA")</f>
        <v>16.608619935277776</v>
      </c>
      <c r="CE26" s="146"/>
      <c r="CF26" s="146">
        <f>IFERROR(AVERAGE(CF12:CF21),"NA")</f>
        <v>251.52371571085035</v>
      </c>
      <c r="CG26" s="146"/>
      <c r="CH26" s="158">
        <f>IFERROR(AVERAGE(CH12:CH21),"NA")</f>
        <v>326.78901158228206</v>
      </c>
      <c r="CI26" s="162"/>
      <c r="CJ26" s="161">
        <f>IFERROR(AVERAGE(CJ12:CJ21),"NA")</f>
        <v>32.358999999999995</v>
      </c>
      <c r="CK26" s="146"/>
      <c r="CL26" s="146">
        <f>IFERROR(AVERAGE(CL12:CL21),"NA")</f>
        <v>35.286500000000004</v>
      </c>
      <c r="CM26" s="146"/>
      <c r="CN26" s="146">
        <f>IFERROR(AVERAGE(CN12:CN21),"NA")</f>
        <v>28.356299999999997</v>
      </c>
      <c r="CO26" s="146"/>
      <c r="CP26" s="146">
        <f>IFERROR(AVERAGE(CP12:CP21),"NA")</f>
        <v>24.7591</v>
      </c>
      <c r="CQ26" s="146"/>
      <c r="CR26" s="146">
        <f>IFERROR(AVERAGE(CR12:CR21),"NA")</f>
        <v>25.503299999999999</v>
      </c>
      <c r="CS26" s="146"/>
      <c r="CT26" s="146">
        <f>IFERROR(AVERAGE(CT12:CT21),"NA")</f>
        <v>27.4</v>
      </c>
      <c r="CU26" s="146"/>
      <c r="CV26" s="146">
        <f>IFERROR(AVERAGE(CV12:CV21),"NA")</f>
        <v>20.220999999999997</v>
      </c>
      <c r="CW26" s="146"/>
      <c r="CX26" s="146">
        <f>IFERROR(AVERAGE(CX12:CX21),"NA")</f>
        <v>16.500599999999999</v>
      </c>
      <c r="CY26" s="146"/>
      <c r="CZ26" s="146">
        <f>IFERROR(AVERAGE(CZ12:CZ21),"NA")</f>
        <v>10.8734</v>
      </c>
      <c r="DA26" s="146"/>
      <c r="DB26" s="146">
        <f>IFERROR(AVERAGE(DB12:DB21),"NA")</f>
        <v>14.554199999999998</v>
      </c>
      <c r="DC26" s="146"/>
      <c r="DD26" s="146">
        <f>IFERROR(AVERAGE(DD12:DD21),"NA")</f>
        <v>8.8298000000000005</v>
      </c>
      <c r="DE26" s="146"/>
      <c r="DF26" s="158">
        <f>IFERROR(AVERAGE(DF12:DF21),"NA")</f>
        <v>3.6909000000000001</v>
      </c>
      <c r="DG26" s="162"/>
      <c r="DH26" s="161">
        <f>IFERROR(AVERAGE(DH12:DH21),"NA")</f>
        <v>4.3335999999999988</v>
      </c>
      <c r="DI26" s="146"/>
      <c r="DJ26" s="146">
        <f>IFERROR(AVERAGE(DJ12:DJ21),"NA")</f>
        <v>6.0285000000000011</v>
      </c>
      <c r="DK26" s="146"/>
      <c r="DL26" s="146">
        <f>IFERROR(AVERAGE(DL12:DL21),"NA")</f>
        <v>-11.0715</v>
      </c>
      <c r="DM26" s="146"/>
      <c r="DN26" s="146">
        <f>IFERROR(AVERAGE(DN12:DN21),"NA")</f>
        <v>-14.682799999999997</v>
      </c>
      <c r="DO26" s="146"/>
      <c r="DP26" s="146">
        <f>IFERROR(AVERAGE(DP12:DP21),"NA")</f>
        <v>0.83440000000000014</v>
      </c>
      <c r="DQ26" s="146"/>
      <c r="DR26" s="146">
        <f>IFERROR(AVERAGE(DR12:DR21),"NA")</f>
        <v>-1.5608999999999997</v>
      </c>
      <c r="DS26" s="146"/>
      <c r="DT26" s="146">
        <f>IFERROR(AVERAGE(DT12:DT21),"NA")</f>
        <v>-30.946499999999997</v>
      </c>
      <c r="DU26" s="146"/>
      <c r="DV26" s="146">
        <f>IFERROR(AVERAGE(DV12:DV21),"NA")</f>
        <v>-21.915333333333333</v>
      </c>
      <c r="DW26" s="146"/>
      <c r="DX26" s="146">
        <f>IFERROR(AVERAGE(DX12:DX21),"NA")</f>
        <v>-53.638220035651727</v>
      </c>
      <c r="DY26" s="146"/>
      <c r="DZ26" s="146">
        <f>IFERROR(AVERAGE(DZ12:DZ21),"NA")</f>
        <v>-45.698975130842641</v>
      </c>
      <c r="EA26" s="146"/>
      <c r="EB26" s="146">
        <f>IFERROR(AVERAGE(EB12:EB21),"NA")</f>
        <v>0.51009999999999989</v>
      </c>
      <c r="EC26" s="146">
        <f>IFERROR(AVERAGE(EC12:EC21),"NA")</f>
        <v>0.88069999999999982</v>
      </c>
      <c r="ED26" s="146">
        <f>IFERROR(AVERAGE(ED12:ED21),"NA")</f>
        <v>4.5398000000000005</v>
      </c>
      <c r="EE26" s="146"/>
      <c r="EF26" s="158">
        <f>IFERROR(AVERAGE(EF12:EF21),"NA")</f>
        <v>1.0762</v>
      </c>
      <c r="EG26" s="162"/>
      <c r="EH26" s="161">
        <f>IFERROR(AVERAGE(EH12:EH21),"NA")</f>
        <v>2.8018000000000001</v>
      </c>
      <c r="EI26" s="146"/>
      <c r="EJ26" s="146">
        <f>IFERROR(AVERAGE(EJ12:EJ21),"NA")</f>
        <v>2.2791000000000001</v>
      </c>
      <c r="EK26" s="146"/>
      <c r="EL26" s="146">
        <f>IFERROR(AVERAGE(EL12:EL21),"NA")</f>
        <v>5.9580000000000002</v>
      </c>
      <c r="EM26" s="146"/>
      <c r="EN26" s="146">
        <f>IFERROR(AVERAGE(EN12:EN21),"NA")</f>
        <v>10.062299999999999</v>
      </c>
      <c r="EO26" s="146"/>
      <c r="EP26" s="146">
        <f>IFERROR(AVERAGE(EP12:EP21),"NA")</f>
        <v>7.7944444444444434</v>
      </c>
      <c r="EQ26" s="146"/>
      <c r="ER26" s="146">
        <f>IFERROR(AVERAGE(ER12:ER21),"NA")</f>
        <v>89.640555555555537</v>
      </c>
      <c r="ES26" s="146"/>
      <c r="ET26" s="146">
        <f>IFERROR(AVERAGE(ET12:ET21),"NA")</f>
        <v>47.966500000000003</v>
      </c>
      <c r="EU26" s="146"/>
      <c r="EV26" s="146">
        <f>IFERROR(AVERAGE(EV12:EV21),"NA")</f>
        <v>463.51299999999992</v>
      </c>
      <c r="EW26" s="146"/>
      <c r="EX26" s="146">
        <f>IFERROR(AVERAGE(EX12:EX21),"NA")</f>
        <v>3.8350999999999997</v>
      </c>
      <c r="EY26" s="146"/>
      <c r="EZ26" s="158">
        <f>IFERROR(AVERAGE(EZ12:EZ21),"NA")</f>
        <v>4.9330999999999996</v>
      </c>
      <c r="FA26" s="162"/>
      <c r="FB26" s="161">
        <f>IFERROR(AVERAGE(FB12:FB21),"NA")</f>
        <v>2.2092999999999998</v>
      </c>
      <c r="FC26" s="146"/>
      <c r="FD26" s="146">
        <f>IFERROR(AVERAGE(FD12:FD21),"NA")</f>
        <v>1.3762999999999999</v>
      </c>
      <c r="FE26" s="99"/>
      <c r="FF26" s="149">
        <f>IFERROR(AVERAGE(FF12:FF21),"NA")</f>
        <v>62.467700000000015</v>
      </c>
      <c r="FG26" s="149"/>
      <c r="FH26" s="149">
        <f>IFERROR(AVERAGE(FH12:FH21),"NA")</f>
        <v>94.543399999999991</v>
      </c>
      <c r="FI26" s="149"/>
      <c r="FJ26" s="149">
        <f>IFERROR(AVERAGE(FJ12:FJ21),"NA")</f>
        <v>69.710000000000008</v>
      </c>
      <c r="FK26" s="149"/>
      <c r="FL26" s="149">
        <f>IFERROR(AVERAGE(FL12:FL21),"NA")</f>
        <v>87.301399999999987</v>
      </c>
      <c r="FM26" s="99"/>
      <c r="FN26" s="146">
        <f>IFERROR(AVERAGE(FN12:FN21),"NA")</f>
        <v>0.6651999999999999</v>
      </c>
      <c r="FO26" s="146"/>
      <c r="FP26" s="146">
        <f>IFERROR(AVERAGE(FP12:FP21),"NA")</f>
        <v>2.4795000000000003</v>
      </c>
      <c r="FQ26" s="146"/>
      <c r="FR26" s="146">
        <f>IFERROR(AVERAGE(FR12:FR21),"NA")</f>
        <v>7.3981000000000012</v>
      </c>
      <c r="FS26" s="146"/>
      <c r="FT26" s="158">
        <f>IFERROR(AVERAGE(FT12:FT21),"NA")</f>
        <v>4.8656000000000006</v>
      </c>
    </row>
    <row r="27" spans="2:176" x14ac:dyDescent="0.2">
      <c r="B27" s="46"/>
      <c r="C27" s="54"/>
      <c r="D27" s="82" t="s">
        <v>787</v>
      </c>
      <c r="E27" s="232"/>
      <c r="F27" s="232"/>
      <c r="G27" s="232"/>
      <c r="H27" s="232"/>
      <c r="I27" s="232"/>
      <c r="J27" s="232"/>
      <c r="L27" s="240"/>
      <c r="M27" s="240"/>
      <c r="N27" s="240"/>
      <c r="O27" s="240"/>
      <c r="P27" s="240"/>
      <c r="Q27" s="232"/>
      <c r="R27" s="232"/>
      <c r="S27" s="232"/>
      <c r="T27" s="232"/>
      <c r="U27" s="232"/>
      <c r="V27" s="241"/>
      <c r="W27" s="241"/>
      <c r="X27" s="241"/>
      <c r="Y27" s="241"/>
      <c r="Z27" s="241"/>
      <c r="AA27" s="241"/>
      <c r="AB27" s="241"/>
      <c r="AC27" s="241"/>
      <c r="AD27" s="241"/>
      <c r="AE27" s="241"/>
      <c r="AF27" s="241"/>
      <c r="AG27" s="241"/>
      <c r="AH27" s="241"/>
      <c r="AI27" s="241"/>
      <c r="AJ27" s="241"/>
      <c r="AK27" s="241"/>
      <c r="AL27" s="241"/>
      <c r="AM27" s="241"/>
      <c r="AN27" s="241"/>
      <c r="AO27" s="241"/>
      <c r="AP27" s="241"/>
      <c r="AQ27" s="241"/>
      <c r="AR27" s="241"/>
      <c r="AS27" s="241"/>
      <c r="AT27" s="241"/>
      <c r="AU27" s="241"/>
      <c r="AV27" s="241"/>
      <c r="AW27" s="241"/>
      <c r="AX27" s="241"/>
      <c r="AY27" s="232"/>
      <c r="AZ27" s="240"/>
      <c r="BA27" s="240"/>
      <c r="BB27" s="240"/>
      <c r="BC27" s="240"/>
      <c r="BD27" s="240"/>
      <c r="BE27" s="240"/>
      <c r="BF27" s="240"/>
      <c r="BG27" s="240"/>
      <c r="BH27" s="240"/>
      <c r="BI27" s="240"/>
      <c r="BJ27" s="240"/>
      <c r="BK27" s="240"/>
      <c r="BL27" s="240"/>
      <c r="BM27" s="240"/>
      <c r="BN27" s="240"/>
      <c r="BO27" s="240"/>
      <c r="BP27" s="240"/>
      <c r="BQ27" s="240"/>
      <c r="BR27" s="240"/>
      <c r="BS27" s="240"/>
      <c r="BT27" s="240"/>
      <c r="BU27" s="240"/>
      <c r="BV27" s="240"/>
      <c r="BW27" s="240"/>
      <c r="BX27" s="240"/>
      <c r="BY27" s="240"/>
      <c r="BZ27" s="240"/>
      <c r="CA27" s="240"/>
      <c r="CB27" s="240"/>
      <c r="CC27" s="240"/>
      <c r="CD27" s="240"/>
      <c r="CE27" s="240"/>
      <c r="CF27" s="240"/>
      <c r="CG27" s="240"/>
      <c r="CH27" s="240"/>
      <c r="CI27" s="240"/>
      <c r="CJ27" s="240"/>
      <c r="CK27" s="240"/>
      <c r="CL27" s="240"/>
      <c r="CM27" s="240"/>
      <c r="CN27" s="240"/>
      <c r="CO27" s="240"/>
      <c r="CP27" s="240"/>
      <c r="CQ27" s="240"/>
      <c r="CR27" s="240"/>
      <c r="CS27" s="240"/>
      <c r="CT27" s="240"/>
      <c r="CU27" s="240"/>
      <c r="CV27" s="240"/>
      <c r="CW27" s="240"/>
      <c r="CX27" s="240"/>
      <c r="CY27" s="240"/>
      <c r="CZ27" s="240"/>
      <c r="DA27" s="240"/>
      <c r="DB27" s="240"/>
      <c r="DC27" s="240"/>
      <c r="DD27" s="240"/>
      <c r="DE27" s="240"/>
      <c r="DF27" s="240"/>
      <c r="DG27" s="240"/>
      <c r="DH27" s="240"/>
      <c r="DI27" s="240"/>
      <c r="DJ27" s="240"/>
      <c r="DK27" s="240"/>
      <c r="DL27" s="240"/>
      <c r="DM27" s="240"/>
      <c r="DN27" s="240"/>
      <c r="DO27" s="240"/>
      <c r="DP27" s="240"/>
      <c r="DQ27" s="240"/>
      <c r="DR27" s="240"/>
      <c r="DS27" s="240"/>
      <c r="DT27" s="240"/>
      <c r="DU27" s="240"/>
      <c r="DV27" s="240"/>
      <c r="DW27" s="240"/>
      <c r="DX27" s="240"/>
      <c r="DY27" s="240"/>
      <c r="DZ27" s="240"/>
      <c r="EA27" s="240"/>
      <c r="EB27" s="240"/>
      <c r="EC27" s="240"/>
      <c r="ED27" s="240"/>
      <c r="EE27" s="240"/>
      <c r="EF27" s="240"/>
      <c r="EG27" s="240"/>
      <c r="EH27" s="240"/>
      <c r="EI27" s="240"/>
      <c r="EJ27" s="240"/>
      <c r="EK27" s="240"/>
      <c r="EL27" s="240"/>
      <c r="EM27" s="240"/>
      <c r="EN27" s="240"/>
      <c r="EO27" s="240"/>
      <c r="EP27" s="240"/>
      <c r="EQ27" s="240"/>
      <c r="ER27" s="240"/>
      <c r="ES27" s="240"/>
      <c r="ET27" s="240"/>
      <c r="EU27" s="240"/>
      <c r="EV27" s="240"/>
      <c r="EW27" s="240"/>
      <c r="EX27" s="240"/>
      <c r="EY27" s="240"/>
      <c r="EZ27" s="240"/>
      <c r="FA27" s="240"/>
      <c r="FB27" s="240"/>
      <c r="FC27" s="240"/>
      <c r="FD27" s="240"/>
      <c r="FE27" s="232"/>
      <c r="FF27" s="241"/>
      <c r="FG27" s="241"/>
      <c r="FH27" s="241"/>
      <c r="FI27" s="241"/>
      <c r="FJ27" s="241"/>
      <c r="FK27" s="241"/>
      <c r="FL27" s="241"/>
      <c r="FM27" s="232"/>
      <c r="FN27" s="240"/>
      <c r="FO27" s="240"/>
      <c r="FP27" s="240"/>
      <c r="FQ27" s="240"/>
      <c r="FR27" s="240"/>
      <c r="FS27" s="240"/>
      <c r="FT27" s="240"/>
    </row>
    <row r="28" spans="2:176" s="113" customFormat="1" x14ac:dyDescent="0.2">
      <c r="B28" s="53" t="str">
        <f>IF(Entity_Code="","",Entity_Code)</f>
        <v>FMC</v>
      </c>
      <c r="C28" s="48"/>
      <c r="D28" s="83" t="s">
        <v>1997</v>
      </c>
      <c r="F28" s="7" t="s">
        <v>1996</v>
      </c>
      <c r="H28" s="207">
        <v>45291</v>
      </c>
      <c r="I28" s="207"/>
      <c r="J28" s="207">
        <v>45473</v>
      </c>
      <c r="L28" s="162">
        <v>65.38</v>
      </c>
      <c r="M28" s="162"/>
      <c r="N28" s="162">
        <v>89.27</v>
      </c>
      <c r="O28" s="162"/>
      <c r="P28" s="162">
        <v>49.49</v>
      </c>
      <c r="R28" s="208">
        <f>IF(ISERROR(L28/N28), "NA", L28/N28)</f>
        <v>0.73238489974235466</v>
      </c>
      <c r="S28" s="208"/>
      <c r="T28" s="208">
        <f>IF(ISERROR(L28/P28), "NA", L28/P28)</f>
        <v>1.3210749646393209</v>
      </c>
      <c r="V28" s="137">
        <v>124824364</v>
      </c>
      <c r="W28" s="137"/>
      <c r="X28" s="137">
        <v>8161.0169183199996</v>
      </c>
      <c r="Y28" s="137"/>
      <c r="Z28" s="137">
        <v>302.40000000000003</v>
      </c>
      <c r="AA28" s="137"/>
      <c r="AB28" s="137">
        <v>4105.2</v>
      </c>
      <c r="AC28" s="137"/>
      <c r="AD28" s="137" t="s">
        <v>1443</v>
      </c>
      <c r="AE28" s="137"/>
      <c r="AF28" s="137">
        <v>22.5</v>
      </c>
      <c r="AG28" s="137"/>
      <c r="AH28" s="137">
        <v>12032.816918</v>
      </c>
      <c r="AI28" s="137"/>
      <c r="AJ28" s="137">
        <v>4486.8</v>
      </c>
      <c r="AK28" s="137"/>
      <c r="AL28" s="137">
        <v>4084.4</v>
      </c>
      <c r="AM28" s="137"/>
      <c r="AN28" s="137">
        <v>4386</v>
      </c>
      <c r="AO28" s="137"/>
      <c r="AP28" s="137">
        <v>4642.9063099999994</v>
      </c>
      <c r="AQ28" s="137"/>
      <c r="AR28" s="137">
        <v>863.5</v>
      </c>
      <c r="AS28" s="137"/>
      <c r="AT28" s="137">
        <v>676.5</v>
      </c>
      <c r="AU28" s="137"/>
      <c r="AV28" s="137">
        <v>906.5</v>
      </c>
      <c r="AW28" s="137"/>
      <c r="AX28" s="137">
        <v>1090.1600000000001</v>
      </c>
      <c r="AY28" s="58"/>
      <c r="AZ28" s="162">
        <v>10.506</v>
      </c>
      <c r="BA28" s="162"/>
      <c r="BB28" s="162">
        <v>11.052</v>
      </c>
      <c r="BC28" s="162"/>
      <c r="BD28" s="162">
        <v>3.3</v>
      </c>
      <c r="BE28" s="162"/>
      <c r="BF28" s="162">
        <v>4.55</v>
      </c>
      <c r="BG28" s="162"/>
      <c r="BH28" s="162">
        <f>IF(ISERROR($AH28/AJ28), "NA", $AH28/AJ28)</f>
        <v>2.6818260047249711</v>
      </c>
      <c r="BI28" s="162"/>
      <c r="BJ28" s="162">
        <f>IF(ISERROR($AH28/AL28), "NA", $AH28/AL28)</f>
        <v>2.9460427279404566</v>
      </c>
      <c r="BK28" s="162"/>
      <c r="BL28" s="162">
        <f>IF(ISERROR($AH28/AN28), "NA", $AH28/AN28)</f>
        <v>2.7434603096215233</v>
      </c>
      <c r="BM28" s="162"/>
      <c r="BN28" s="162">
        <f>IF(ISERROR($AH28/AP28), "NA", $AH28/AP28)</f>
        <v>2.5916561986364961</v>
      </c>
      <c r="BO28" s="162"/>
      <c r="BP28" s="162">
        <f>IF(ISERROR($AH28/AR28), "NA", $AH28/AR28)</f>
        <v>13.934935631731326</v>
      </c>
      <c r="BQ28" s="162"/>
      <c r="BR28" s="162">
        <f>IF(ISERROR($AH28/AT28), "NA", $AH28/AT28)</f>
        <v>17.786869058388767</v>
      </c>
      <c r="BS28" s="162"/>
      <c r="BT28" s="162">
        <f>IF($F28="","",IF(ISERROR($AH28/AV28),"NA",$AH28/AV28))</f>
        <v>13.273929308328738</v>
      </c>
      <c r="BU28" s="162"/>
      <c r="BV28" s="162">
        <f>IF($F28="","",IF(ISERROR($AH28/AX28),"NA",$AH28/AX28))</f>
        <v>11.037661368973362</v>
      </c>
      <c r="BW28" s="162"/>
      <c r="BX28" s="162">
        <v>16.047339999999998</v>
      </c>
      <c r="BY28" s="162"/>
      <c r="BZ28" s="162">
        <v>6.4337619999999998</v>
      </c>
      <c r="CA28" s="162"/>
      <c r="CB28" s="162">
        <v>19.745226777100001</v>
      </c>
      <c r="CC28" s="162"/>
      <c r="CD28" s="162">
        <v>13.918871162</v>
      </c>
      <c r="CE28" s="162"/>
      <c r="CF28" s="162">
        <v>178.99088345607356</v>
      </c>
      <c r="CG28" s="162"/>
      <c r="CH28" s="162" t="s">
        <v>1444</v>
      </c>
      <c r="CI28" s="162"/>
      <c r="CJ28" s="162">
        <v>42.838999999999999</v>
      </c>
      <c r="CK28" s="162"/>
      <c r="CL28" s="162">
        <v>40.100999999999999</v>
      </c>
      <c r="CM28" s="162"/>
      <c r="CN28" s="162">
        <v>40.808999999999997</v>
      </c>
      <c r="CO28" s="162"/>
      <c r="CP28" s="162">
        <v>38.064</v>
      </c>
      <c r="CQ28" s="162"/>
      <c r="CR28" s="162">
        <v>24.715</v>
      </c>
      <c r="CS28" s="162"/>
      <c r="CT28" s="162">
        <v>24.245999999999999</v>
      </c>
      <c r="CU28" s="162"/>
      <c r="CV28" s="162">
        <v>19.245000000000001</v>
      </c>
      <c r="CW28" s="162"/>
      <c r="CX28" s="162">
        <v>16.562999999999999</v>
      </c>
      <c r="CY28" s="162"/>
      <c r="CZ28" s="162">
        <v>14.659000000000001</v>
      </c>
      <c r="DA28" s="162"/>
      <c r="DB28" s="162">
        <v>12.693</v>
      </c>
      <c r="DC28" s="162"/>
      <c r="DD28" s="162">
        <v>29.452999999999999</v>
      </c>
      <c r="DE28" s="162"/>
      <c r="DF28" s="162">
        <v>33.968000000000004</v>
      </c>
      <c r="DG28" s="162"/>
      <c r="DH28" s="162">
        <v>-1.5720000000000001</v>
      </c>
      <c r="DI28" s="162"/>
      <c r="DJ28" s="162">
        <v>-4.3979999999999997</v>
      </c>
      <c r="DK28" s="162"/>
      <c r="DL28" s="162">
        <v>-22.672000000000001</v>
      </c>
      <c r="DM28" s="162"/>
      <c r="DN28" s="162">
        <v>-23.77</v>
      </c>
      <c r="DO28" s="162"/>
      <c r="DP28" s="162">
        <v>-9.6489999999999991</v>
      </c>
      <c r="DQ28" s="162"/>
      <c r="DR28" s="162">
        <v>-17.501000000000001</v>
      </c>
      <c r="DS28" s="162"/>
      <c r="DT28" s="162">
        <v>-38.619999999999997</v>
      </c>
      <c r="DU28" s="162"/>
      <c r="DV28" s="162">
        <v>-45.523000000000003</v>
      </c>
      <c r="DW28" s="162"/>
      <c r="DX28" s="162">
        <f>IFERROR(100*(($ED28/EB28)^(1/5)-1),"NA")</f>
        <v>23.182053508460033</v>
      </c>
      <c r="DY28" s="162"/>
      <c r="DZ28" s="162">
        <f>IFERROR(100*(($ED28/EC28)^(1/3)-1),"NA")</f>
        <v>35.400632162450108</v>
      </c>
      <c r="EA28" s="162"/>
      <c r="EB28" s="162">
        <v>3.718</v>
      </c>
      <c r="EC28" s="162">
        <v>4.2480000000000002</v>
      </c>
      <c r="ED28" s="162">
        <v>10.545</v>
      </c>
      <c r="EE28" s="162"/>
      <c r="EF28" s="162">
        <v>11.08</v>
      </c>
      <c r="EG28" s="162"/>
      <c r="EH28" s="162">
        <v>4.5110000000000001</v>
      </c>
      <c r="EI28" s="162"/>
      <c r="EJ28" s="162">
        <v>4.1790000000000003</v>
      </c>
      <c r="EK28" s="162"/>
      <c r="EL28" s="162">
        <v>2.863</v>
      </c>
      <c r="EM28" s="162"/>
      <c r="EN28" s="162">
        <v>3.8359999999999999</v>
      </c>
      <c r="EO28" s="162"/>
      <c r="EP28" s="162">
        <v>3.2719999999999998</v>
      </c>
      <c r="EQ28" s="162"/>
      <c r="ER28" s="162">
        <v>92.596999999999994</v>
      </c>
      <c r="ES28" s="162"/>
      <c r="ET28" s="162">
        <v>48.078000000000003</v>
      </c>
      <c r="EU28" s="162"/>
      <c r="EV28" s="162">
        <v>36.832999999999998</v>
      </c>
      <c r="EW28" s="162"/>
      <c r="EX28" s="162">
        <v>2.569</v>
      </c>
      <c r="EY28" s="162"/>
      <c r="EZ28" s="162">
        <v>3.6160000000000001</v>
      </c>
      <c r="FA28" s="162"/>
      <c r="FB28" s="162">
        <v>1.4790000000000001</v>
      </c>
      <c r="FC28" s="162"/>
      <c r="FD28" s="162">
        <v>0.90100000000000002</v>
      </c>
      <c r="FF28" s="137">
        <v>245.762</v>
      </c>
      <c r="FG28" s="137"/>
      <c r="FH28" s="137">
        <v>253.72</v>
      </c>
      <c r="FI28" s="137"/>
      <c r="FJ28" s="137">
        <v>167.29499999999999</v>
      </c>
      <c r="FK28" s="137"/>
      <c r="FL28" s="137">
        <v>332.18700000000001</v>
      </c>
      <c r="FN28" s="162">
        <v>0.33900000000000002</v>
      </c>
      <c r="FO28" s="162"/>
      <c r="FP28" s="162">
        <v>4.1429999999999998</v>
      </c>
      <c r="FQ28" s="162"/>
      <c r="FR28" s="162">
        <v>1.4890000000000001</v>
      </c>
      <c r="FS28" s="162"/>
      <c r="FT28" s="162">
        <v>1.4430000000000001</v>
      </c>
    </row>
    <row r="29" spans="2:176" ht="3.75" customHeight="1" thickBot="1" x14ac:dyDescent="0.25">
      <c r="D29" s="85"/>
      <c r="E29" s="85"/>
      <c r="F29" s="85"/>
      <c r="G29" s="85"/>
      <c r="H29" s="85"/>
      <c r="I29" s="85"/>
      <c r="J29" s="85"/>
      <c r="K29" s="85"/>
      <c r="L29" s="85"/>
      <c r="M29" s="85"/>
      <c r="N29" s="85"/>
      <c r="O29" s="85"/>
      <c r="P29" s="85"/>
      <c r="Q29" s="85"/>
      <c r="R29" s="85"/>
      <c r="S29" s="85"/>
      <c r="T29" s="85"/>
      <c r="U29" s="85"/>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row>
    <row r="30" spans="2:176" ht="10.8" thickTop="1" x14ac:dyDescent="0.2">
      <c r="D30" s="32" t="s">
        <v>1944</v>
      </c>
      <c r="AJ30" s="32"/>
      <c r="BH30" s="32"/>
      <c r="CF30" s="80"/>
      <c r="CH30" s="84"/>
      <c r="CJ30" s="32"/>
      <c r="DH30" s="32"/>
      <c r="EH30" s="32"/>
      <c r="FB30" s="32"/>
    </row>
    <row r="31" spans="2:176" x14ac:dyDescent="0.2">
      <c r="D31" s="28"/>
      <c r="AJ31" s="28"/>
      <c r="BH31" s="28"/>
      <c r="CF31" s="80"/>
      <c r="CH31" s="84"/>
      <c r="CJ31" s="28"/>
      <c r="DH31" s="28"/>
      <c r="EH31" s="28"/>
      <c r="FB31" s="28"/>
    </row>
    <row r="32" spans="2:176" x14ac:dyDescent="0.2">
      <c r="CF32" s="80"/>
      <c r="CH32" s="84"/>
    </row>
  </sheetData>
  <pageMargins left="0" right="0" top="0.25" bottom="0.25" header="0.5" footer="0.25"/>
  <pageSetup scale="56" fitToWidth="7" orientation="landscape" r:id="rId1"/>
  <headerFooter alignWithMargins="0">
    <oddFooter>&amp;C&amp;"Times New Roman,Regular"&amp;11&amp;P of &amp;N</oddFooter>
  </headerFooter>
  <colBreaks count="6" manualBreakCount="6">
    <brk id="35" max="1048575" man="1"/>
    <brk id="59" max="1048575" man="1"/>
    <brk id="87" max="1048575" man="1"/>
    <brk id="111" max="1048575" man="1"/>
    <brk id="137" max="1048575" man="1"/>
    <brk id="157"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25252"/>
  </sheetPr>
  <dimension ref="B2:AB68"/>
  <sheetViews>
    <sheetView showGridLines="0" zoomScaleNormal="100" zoomScaleSheetLayoutView="70" workbookViewId="0">
      <selection activeCell="P16" sqref="O16:P32"/>
    </sheetView>
  </sheetViews>
  <sheetFormatPr defaultColWidth="9.28515625" defaultRowHeight="10.199999999999999" x14ac:dyDescent="0.2"/>
  <cols>
    <col min="1" max="1" width="1.7109375" style="5" customWidth="1"/>
    <col min="2" max="2" width="11" style="5" customWidth="1"/>
    <col min="3" max="3" width="1.28515625" style="5" customWidth="1"/>
    <col min="4" max="4" width="38.7109375" style="5" customWidth="1"/>
    <col min="5" max="5" width="13.140625" style="5" customWidth="1"/>
    <col min="6" max="6" width="2" style="5" customWidth="1"/>
    <col min="7" max="7" width="13.7109375" style="5" customWidth="1"/>
    <col min="8" max="8" width="2" style="5" customWidth="1"/>
    <col min="9" max="9" width="13.7109375" style="5" customWidth="1"/>
    <col min="10" max="10" width="2" style="5" customWidth="1"/>
    <col min="11" max="11" width="14.140625" style="5" customWidth="1"/>
    <col min="12" max="12" width="2" style="5" customWidth="1"/>
    <col min="13" max="13" width="14.7109375" style="5" bestFit="1" customWidth="1"/>
    <col min="14" max="14" width="2" style="5" customWidth="1"/>
    <col min="15" max="15" width="12.140625" style="5" bestFit="1" customWidth="1"/>
    <col min="16" max="16" width="2" style="5" customWidth="1"/>
    <col min="17" max="17" width="12.7109375" style="5" bestFit="1" customWidth="1"/>
    <col min="18" max="18" width="2" style="5" customWidth="1"/>
    <col min="19" max="19" width="12.7109375" style="5" bestFit="1" customWidth="1"/>
    <col min="20" max="20" width="2" style="5" customWidth="1"/>
    <col min="21" max="21" width="11.7109375" style="5" bestFit="1" customWidth="1"/>
    <col min="22" max="22" width="2" style="5" customWidth="1"/>
    <col min="23" max="23" width="11.7109375" style="5" bestFit="1" customWidth="1"/>
    <col min="24" max="24" width="2" style="5" customWidth="1"/>
    <col min="25" max="25" width="11.7109375" style="5" bestFit="1" customWidth="1"/>
    <col min="26" max="26" width="2" style="5" customWidth="1"/>
    <col min="27" max="27" width="11.42578125" style="5" bestFit="1" customWidth="1"/>
    <col min="28" max="16384" width="9.28515625" style="5"/>
  </cols>
  <sheetData>
    <row r="2" spans="2:28" ht="15.75" customHeight="1" thickBot="1" x14ac:dyDescent="0.35">
      <c r="B2" s="37" t="s">
        <v>1508</v>
      </c>
      <c r="C2" s="38"/>
      <c r="D2" s="42"/>
      <c r="E2" s="39"/>
      <c r="F2" s="39"/>
      <c r="G2" s="39"/>
      <c r="H2" s="39"/>
      <c r="I2" s="39"/>
      <c r="J2" s="39"/>
      <c r="K2" s="39"/>
      <c r="L2" s="39"/>
      <c r="M2" s="39"/>
      <c r="N2" s="38"/>
      <c r="O2" s="38"/>
      <c r="P2" s="38"/>
      <c r="Q2" s="38"/>
      <c r="R2" s="38"/>
      <c r="S2" s="38"/>
      <c r="T2" s="38"/>
      <c r="U2" s="38"/>
      <c r="V2" s="38"/>
      <c r="W2" s="38"/>
      <c r="X2" s="38"/>
      <c r="Y2" s="38"/>
      <c r="Z2" s="38"/>
      <c r="AA2" s="38"/>
      <c r="AB2"/>
    </row>
    <row r="3" spans="2:28" ht="10.5" customHeight="1" x14ac:dyDescent="0.2">
      <c r="B3" s="86"/>
      <c r="D3" s="8"/>
      <c r="M3" s="87"/>
      <c r="O3" s="87"/>
      <c r="Q3" s="87"/>
      <c r="S3" s="87"/>
      <c r="T3" s="87"/>
      <c r="U3" s="87"/>
      <c r="V3" s="87"/>
      <c r="W3" s="87"/>
      <c r="X3" s="87"/>
      <c r="Y3" s="87"/>
      <c r="Z3" s="87"/>
      <c r="AA3" s="87"/>
      <c r="AB3"/>
    </row>
    <row r="4" spans="2:28" x14ac:dyDescent="0.2">
      <c r="E4" s="68" t="str">
        <f>"Stock Price "&amp;Cu_Sym</f>
        <v>Stock Price ($)</v>
      </c>
      <c r="G4" s="17" t="s">
        <v>837</v>
      </c>
      <c r="H4" s="17"/>
      <c r="I4" s="17"/>
      <c r="K4" s="68" t="s">
        <v>1511</v>
      </c>
      <c r="M4" s="68" t="str">
        <f>"M. Cap. "&amp;Curr_Sym</f>
        <v>M. Cap. ($M)</v>
      </c>
      <c r="O4" s="68" t="str">
        <f>"EV "&amp;Curr_Sym</f>
        <v>EV ($M)</v>
      </c>
      <c r="Q4" s="17" t="str">
        <f>"Revenue "&amp;Curr_Sym</f>
        <v>Revenue ($M)</v>
      </c>
      <c r="R4" s="17"/>
      <c r="S4" s="17"/>
      <c r="U4" s="17" t="str">
        <f>"EBITDA "&amp;Curr_Sym</f>
        <v>EBITDA ($M)</v>
      </c>
      <c r="V4" s="17"/>
      <c r="W4" s="17"/>
      <c r="Y4" s="17" t="str">
        <f>"Diluted EPS "&amp;Cu_Sym</f>
        <v>Diluted EPS ($)</v>
      </c>
      <c r="Z4" s="17"/>
      <c r="AA4" s="17"/>
    </row>
    <row r="5" spans="2:28" x14ac:dyDescent="0.2">
      <c r="B5" s="88" t="s">
        <v>784</v>
      </c>
      <c r="D5" s="82" t="s">
        <v>836</v>
      </c>
      <c r="E5" s="89">
        <f>Detailed_Comps!L10</f>
        <v>45527</v>
      </c>
      <c r="G5" s="90" t="s">
        <v>808</v>
      </c>
      <c r="I5" s="90" t="s">
        <v>807</v>
      </c>
      <c r="K5" s="90">
        <f>E5</f>
        <v>45527</v>
      </c>
      <c r="M5" s="90">
        <f>K5</f>
        <v>45527</v>
      </c>
      <c r="O5" s="90">
        <f>M5</f>
        <v>45527</v>
      </c>
      <c r="Q5" s="90" t="s">
        <v>285</v>
      </c>
      <c r="S5" s="90" t="str">
        <f>Detailed_Comps!$AN$10</f>
        <v>FY2024</v>
      </c>
      <c r="U5" s="90" t="s">
        <v>285</v>
      </c>
      <c r="W5" s="90" t="str">
        <f>Detailed_Comps!$AN$10</f>
        <v>FY2024</v>
      </c>
      <c r="Y5" s="90" t="s">
        <v>285</v>
      </c>
      <c r="AA5" s="90" t="str">
        <f>Detailed_Comps!$AN$10</f>
        <v>FY2024</v>
      </c>
    </row>
    <row r="6" spans="2:28" x14ac:dyDescent="0.2">
      <c r="B6" s="5" t="str">
        <f>IF(Detailed_Comps!D12="","",Detailed_Comps!D12)</f>
        <v>MOS-US</v>
      </c>
      <c r="D6" s="5" t="str">
        <f>IF(Detailed_Comps!F12="","",Detailed_Comps!F12)</f>
        <v>The Mosaic Company (NYSE:MOS)</v>
      </c>
      <c r="E6" s="140">
        <f>IF(Detailed_Comps!L12="","",Detailed_Comps!L12)</f>
        <v>28.52</v>
      </c>
      <c r="F6" s="13"/>
      <c r="G6" s="140">
        <f>IF(Detailed_Comps!R12="","",IFERROR(Detailed_Comps!R12*100,"NA"))</f>
        <v>70.125399557413331</v>
      </c>
      <c r="H6" s="140"/>
      <c r="I6" s="140">
        <f>IF(Detailed_Comps!T12="","",IFERROR(Detailed_Comps!T12*100,"NA"))</f>
        <v>109.3139133767727</v>
      </c>
      <c r="J6" s="13"/>
      <c r="K6" s="134">
        <f>IF(Detailed_Comps!V12="","",Detailed_Comps!V12)</f>
        <v>318637582</v>
      </c>
      <c r="L6" s="134"/>
      <c r="M6" s="134">
        <f>IF(Detailed_Comps!X12="","",Detailed_Comps!X12)</f>
        <v>9087.5438386400001</v>
      </c>
      <c r="N6" s="134"/>
      <c r="O6" s="134">
        <f>IF(Detailed_Comps!AH12="","",Detailed_Comps!AH12)</f>
        <v>13341.543838</v>
      </c>
      <c r="P6" s="134"/>
      <c r="Q6" s="134">
        <f>IF(Detailed_Comps!AL12="","",Detailed_Comps!AL12)</f>
        <v>12193.800000000001</v>
      </c>
      <c r="R6" s="134"/>
      <c r="S6" s="134">
        <f>IF(Detailed_Comps!AN12="","",Detailed_Comps!AN12)</f>
        <v>11835.240220000002</v>
      </c>
      <c r="T6" s="134"/>
      <c r="U6" s="134">
        <f>IF(Detailed_Comps!AT12="","",Detailed_Comps!AT12)</f>
        <v>1936.6000000000001</v>
      </c>
      <c r="V6" s="134"/>
      <c r="W6" s="134">
        <f>IF(Detailed_Comps!AV12="","",Detailed_Comps!AV12)</f>
        <v>2329</v>
      </c>
      <c r="X6" s="13"/>
      <c r="Y6" s="140">
        <f>IF(Detailed_Comps!BB12="","",Detailed_Comps!BB12)</f>
        <v>0.753</v>
      </c>
      <c r="Z6" s="140"/>
      <c r="AA6" s="140">
        <f>IF(Detailed_Comps!BD12="","",Detailed_Comps!BD12)</f>
        <v>2.4900000000000002</v>
      </c>
    </row>
    <row r="7" spans="2:28" x14ac:dyDescent="0.2">
      <c r="B7" s="5" t="str">
        <f>IF(Detailed_Comps!D13="","",Detailed_Comps!D13)</f>
        <v>CF-US</v>
      </c>
      <c r="D7" s="5" t="str">
        <f>IF(Detailed_Comps!F13="","",Detailed_Comps!F13)</f>
        <v>CF Industries Holdings, Inc. (NYSE:CF)</v>
      </c>
      <c r="E7" s="140">
        <f>IF(Detailed_Comps!L13="","",Detailed_Comps!L13)</f>
        <v>80.41</v>
      </c>
      <c r="F7" s="13"/>
      <c r="G7" s="140">
        <f>IF(Detailed_Comps!R13="","",IFERROR(Detailed_Comps!R13*100,"NA"))</f>
        <v>91.47895335608645</v>
      </c>
      <c r="H7" s="140"/>
      <c r="I7" s="140">
        <f>IF(Detailed_Comps!T13="","",IFERROR(Detailed_Comps!T13*100,"NA"))</f>
        <v>116.31708375524374</v>
      </c>
      <c r="J7" s="13"/>
      <c r="K7" s="134">
        <f>IF(Detailed_Comps!V13="","",Detailed_Comps!V13)</f>
        <v>180412286</v>
      </c>
      <c r="L7" s="134"/>
      <c r="M7" s="134">
        <f>IF(Detailed_Comps!X13="","",Detailed_Comps!X13)</f>
        <v>14506.951917259999</v>
      </c>
      <c r="N7" s="134"/>
      <c r="O7" s="134">
        <f>IF(Detailed_Comps!AH13="","",Detailed_Comps!AH13)</f>
        <v>18548.951916999999</v>
      </c>
      <c r="P7" s="134"/>
      <c r="Q7" s="134">
        <f>IF(Detailed_Comps!AL13="","",Detailed_Comps!AL13)</f>
        <v>5886</v>
      </c>
      <c r="R7" s="134"/>
      <c r="S7" s="134">
        <f>IF(Detailed_Comps!AN13="","",Detailed_Comps!AN13)</f>
        <v>5800</v>
      </c>
      <c r="T7" s="134"/>
      <c r="U7" s="134">
        <f>IF(Detailed_Comps!AT13="","",Detailed_Comps!AT13)</f>
        <v>2572</v>
      </c>
      <c r="V7" s="134"/>
      <c r="W7" s="134">
        <f>IF(Detailed_Comps!AV13="","",Detailed_Comps!AV13)</f>
        <v>2309.6886500000001</v>
      </c>
      <c r="X7" s="13"/>
      <c r="Y7" s="140">
        <f>IF(Detailed_Comps!BB13="","",Detailed_Comps!BB13)</f>
        <v>5.5780000000000003</v>
      </c>
      <c r="Z7" s="140"/>
      <c r="AA7" s="140">
        <f>IF(Detailed_Comps!BD13="","",Detailed_Comps!BD13)</f>
        <v>5.75</v>
      </c>
    </row>
    <row r="8" spans="2:28" x14ac:dyDescent="0.2">
      <c r="B8" s="5" t="str">
        <f>IF(Detailed_Comps!D14="","",Detailed_Comps!D14)</f>
        <v>SMG-US</v>
      </c>
      <c r="D8" s="5" t="str">
        <f>IF(Detailed_Comps!F14="","",Detailed_Comps!F14)</f>
        <v>The Scotts Miracle-Gro Company (NYSE:SMG)</v>
      </c>
      <c r="E8" s="140">
        <f>IF(Detailed_Comps!L14="","",Detailed_Comps!L14)</f>
        <v>71.78</v>
      </c>
      <c r="F8" s="13"/>
      <c r="G8" s="140">
        <f>IF(Detailed_Comps!R14="","",IFERROR(Detailed_Comps!R14*100,"NA"))</f>
        <v>87.419315552307893</v>
      </c>
      <c r="H8" s="140"/>
      <c r="I8" s="140">
        <f>IF(Detailed_Comps!T14="","",IFERROR(Detailed_Comps!T14*100,"NA"))</f>
        <v>164.36913212731852</v>
      </c>
      <c r="J8" s="13"/>
      <c r="K8" s="134">
        <f>IF(Detailed_Comps!V14="","",Detailed_Comps!V14)</f>
        <v>56821100</v>
      </c>
      <c r="L8" s="134"/>
      <c r="M8" s="134">
        <f>IF(Detailed_Comps!X14="","",Detailed_Comps!X14)</f>
        <v>4078.6185580000001</v>
      </c>
      <c r="N8" s="134"/>
      <c r="O8" s="134">
        <f>IF(Detailed_Comps!AH14="","",Detailed_Comps!AH14)</f>
        <v>6580.0185579999998</v>
      </c>
      <c r="P8" s="134"/>
      <c r="Q8" s="134">
        <f>IF(Detailed_Comps!AL14="","",Detailed_Comps!AL14)</f>
        <v>3512.5</v>
      </c>
      <c r="R8" s="134"/>
      <c r="S8" s="134">
        <f>IF(Detailed_Comps!AN14="","",Detailed_Comps!AN14)</f>
        <v>3540.4767999999999</v>
      </c>
      <c r="T8" s="134"/>
      <c r="U8" s="134">
        <f>IF(Detailed_Comps!AT14="","",Detailed_Comps!AT14)</f>
        <v>430.6</v>
      </c>
      <c r="V8" s="134"/>
      <c r="W8" s="134">
        <f>IF(Detailed_Comps!AV14="","",Detailed_Comps!AV14)</f>
        <v>535</v>
      </c>
      <c r="X8" s="13"/>
      <c r="Y8" s="140">
        <f>IF(Detailed_Comps!BB14="","",Detailed_Comps!BB14)</f>
        <v>-4.5819999999999999</v>
      </c>
      <c r="Z8" s="140"/>
      <c r="AA8" s="140">
        <f>IF(Detailed_Comps!BD14="","",Detailed_Comps!BD14)</f>
        <v>2.6177000000000001</v>
      </c>
    </row>
    <row r="9" spans="2:28" x14ac:dyDescent="0.2">
      <c r="B9" s="5" t="str">
        <f>IF(Detailed_Comps!D15="","",Detailed_Comps!D15)</f>
        <v>CTVA-US</v>
      </c>
      <c r="D9" s="5" t="str">
        <f>IF(Detailed_Comps!F15="","",Detailed_Comps!F15)</f>
        <v>Corteva, Inc. (NYSE:CTVA)</v>
      </c>
      <c r="E9" s="140">
        <f>IF(Detailed_Comps!L15="","",Detailed_Comps!L15)</f>
        <v>55.58</v>
      </c>
      <c r="F9" s="13"/>
      <c r="G9" s="140">
        <f>IF(Detailed_Comps!R15="","",IFERROR(Detailed_Comps!R15*100,"NA"))</f>
        <v>94.58815520762424</v>
      </c>
      <c r="H9" s="140"/>
      <c r="I9" s="140">
        <f>IF(Detailed_Comps!T15="","",IFERROR(Detailed_Comps!T15*100,"NA"))</f>
        <v>128.59787135585375</v>
      </c>
      <c r="J9" s="13"/>
      <c r="K9" s="134">
        <f>IF(Detailed_Comps!V15="","",Detailed_Comps!V15)</f>
        <v>692247000</v>
      </c>
      <c r="L9" s="134"/>
      <c r="M9" s="134">
        <f>IF(Detailed_Comps!X15="","",Detailed_Comps!X15)</f>
        <v>38475.088259999997</v>
      </c>
      <c r="N9" s="134"/>
      <c r="O9" s="134">
        <f>IF(Detailed_Comps!AH15="","",Detailed_Comps!AH15)</f>
        <v>41380.088259999997</v>
      </c>
      <c r="P9" s="134"/>
      <c r="Q9" s="134">
        <f>IF(Detailed_Comps!AL15="","",Detailed_Comps!AL15)</f>
        <v>16901</v>
      </c>
      <c r="R9" s="134"/>
      <c r="S9" s="134">
        <f>IF(Detailed_Comps!AN15="","",Detailed_Comps!AN15)</f>
        <v>17305.242000000002</v>
      </c>
      <c r="T9" s="134"/>
      <c r="U9" s="134">
        <f>IF(Detailed_Comps!AT15="","",Detailed_Comps!AT15)</f>
        <v>3214</v>
      </c>
      <c r="V9" s="134"/>
      <c r="W9" s="134">
        <f>IF(Detailed_Comps!AV15="","",Detailed_Comps!AV15)</f>
        <v>3477.451</v>
      </c>
      <c r="X9" s="13"/>
      <c r="Y9" s="140">
        <f>IF(Detailed_Comps!BB15="","",Detailed_Comps!BB15)</f>
        <v>1.2649999999999999</v>
      </c>
      <c r="Z9" s="140"/>
      <c r="AA9" s="140">
        <f>IF(Detailed_Comps!BD15="","",Detailed_Comps!BD15)</f>
        <v>2.69</v>
      </c>
    </row>
    <row r="10" spans="2:28" x14ac:dyDescent="0.2">
      <c r="B10" s="5" t="str">
        <f>IF(Detailed_Comps!D16="","",Detailed_Comps!D16)</f>
        <v>AXTA-US</v>
      </c>
      <c r="D10" s="5" t="str">
        <f>IF(Detailed_Comps!F16="","",Detailed_Comps!F16)</f>
        <v>Axalta Coating Systems Ltd. (NYSE:AXTA)</v>
      </c>
      <c r="E10" s="140">
        <f>IF(Detailed_Comps!L16="","",Detailed_Comps!L16)</f>
        <v>35.64</v>
      </c>
      <c r="F10" s="13"/>
      <c r="G10" s="140">
        <f>IF(Detailed_Comps!R16="","",IFERROR(Detailed_Comps!R16*100,"NA"))</f>
        <v>95.065350760202719</v>
      </c>
      <c r="H10" s="140"/>
      <c r="I10" s="140">
        <f>IF(Detailed_Comps!T16="","",IFERROR(Detailed_Comps!T16*100,"NA"))</f>
        <v>142.38913304035157</v>
      </c>
      <c r="J10" s="13"/>
      <c r="K10" s="134">
        <f>IF(Detailed_Comps!V16="","",Detailed_Comps!V16)</f>
        <v>219304924</v>
      </c>
      <c r="L10" s="134"/>
      <c r="M10" s="134">
        <f>IF(Detailed_Comps!X16="","",Detailed_Comps!X16)</f>
        <v>7816.0274913599997</v>
      </c>
      <c r="N10" s="134"/>
      <c r="O10" s="134">
        <f>IF(Detailed_Comps!AH16="","",Detailed_Comps!AH16)</f>
        <v>10629.027491000001</v>
      </c>
      <c r="P10" s="134"/>
      <c r="Q10" s="134">
        <f>IF(Detailed_Comps!AL16="","",Detailed_Comps!AL16)</f>
        <v>5251.1</v>
      </c>
      <c r="R10" s="134"/>
      <c r="S10" s="134">
        <f>IF(Detailed_Comps!AN16="","",Detailed_Comps!AN16)</f>
        <v>5306</v>
      </c>
      <c r="T10" s="134"/>
      <c r="U10" s="134">
        <f>IF(Detailed_Comps!AT16="","",Detailed_Comps!AT16)</f>
        <v>1002.2</v>
      </c>
      <c r="V10" s="134"/>
      <c r="W10" s="134">
        <f>IF(Detailed_Comps!AV16="","",Detailed_Comps!AV16)</f>
        <v>1095.0837200000001</v>
      </c>
      <c r="X10" s="13"/>
      <c r="Y10" s="140">
        <f>IF(Detailed_Comps!BB16="","",Detailed_Comps!BB16)</f>
        <v>1.35</v>
      </c>
      <c r="Z10" s="140"/>
      <c r="AA10" s="140">
        <f>IF(Detailed_Comps!BD16="","",Detailed_Comps!BD16)</f>
        <v>2.0499999999999998</v>
      </c>
    </row>
    <row r="11" spans="2:28" x14ac:dyDescent="0.2">
      <c r="B11" s="5" t="str">
        <f>IF(Detailed_Comps!D17="","",Detailed_Comps!D17)</f>
        <v>ALB-US</v>
      </c>
      <c r="D11" s="5" t="str">
        <f>IF(Detailed_Comps!F17="","",Detailed_Comps!F17)</f>
        <v>Albemarle Corporation (NYSE:ALB)</v>
      </c>
      <c r="E11" s="140">
        <f>IF(Detailed_Comps!L17="","",Detailed_Comps!L17)</f>
        <v>90.5</v>
      </c>
      <c r="F11" s="13"/>
      <c r="G11" s="140">
        <f>IF(Detailed_Comps!R17="","",IFERROR(Detailed_Comps!R17*100,"NA"))</f>
        <v>44.445535801984086</v>
      </c>
      <c r="H11" s="140"/>
      <c r="I11" s="140">
        <f>IF(Detailed_Comps!T17="","",IFERROR(Detailed_Comps!T17*100,"NA"))</f>
        <v>125.74683896067806</v>
      </c>
      <c r="J11" s="13"/>
      <c r="K11" s="134">
        <f>IF(Detailed_Comps!V17="","",Detailed_Comps!V17)</f>
        <v>117533235</v>
      </c>
      <c r="L11" s="134"/>
      <c r="M11" s="134">
        <f>IF(Detailed_Comps!X17="","",Detailed_Comps!X17)</f>
        <v>10636.757767499999</v>
      </c>
      <c r="N11" s="134"/>
      <c r="O11" s="134">
        <f>IF(Detailed_Comps!AH17="","",Detailed_Comps!AH17)</f>
        <v>14961.720767000001</v>
      </c>
      <c r="P11" s="134"/>
      <c r="Q11" s="134">
        <f>IF(Detailed_Comps!AL17="","",Detailed_Comps!AL17)</f>
        <v>7457.8820000000005</v>
      </c>
      <c r="R11" s="134"/>
      <c r="S11" s="134">
        <f>IF(Detailed_Comps!AN17="","",Detailed_Comps!AN17)</f>
        <v>5622.7</v>
      </c>
      <c r="T11" s="134"/>
      <c r="U11" s="134">
        <f>IF(Detailed_Comps!AT17="","",Detailed_Comps!AT17)</f>
        <v>-840.95500000000004</v>
      </c>
      <c r="V11" s="134"/>
      <c r="W11" s="134">
        <f>IF(Detailed_Comps!AV17="","",Detailed_Comps!AV17)</f>
        <v>1080.75017</v>
      </c>
      <c r="X11" s="13"/>
      <c r="Y11" s="140">
        <f>IF(Detailed_Comps!BB17="","",Detailed_Comps!BB17)</f>
        <v>-4.72</v>
      </c>
      <c r="Z11" s="140"/>
      <c r="AA11" s="140">
        <f>IF(Detailed_Comps!BD17="","",Detailed_Comps!BD17)</f>
        <v>0.63</v>
      </c>
    </row>
    <row r="12" spans="2:28" x14ac:dyDescent="0.2">
      <c r="B12" s="5" t="str">
        <f>IF(Detailed_Comps!D18="","",Detailed_Comps!D18)</f>
        <v>HUN-US</v>
      </c>
      <c r="D12" s="5" t="str">
        <f>IF(Detailed_Comps!F18="","",Detailed_Comps!F18)</f>
        <v>Huntsman Corporation (NYSE:HUN)</v>
      </c>
      <c r="E12" s="140">
        <f>IF(Detailed_Comps!L18="","",Detailed_Comps!L18)</f>
        <v>21.92</v>
      </c>
      <c r="F12" s="13"/>
      <c r="G12" s="140">
        <f>IF(Detailed_Comps!R18="","",IFERROR(Detailed_Comps!R18*100,"NA"))</f>
        <v>77.291960507757423</v>
      </c>
      <c r="H12" s="140"/>
      <c r="I12" s="140">
        <f>IF(Detailed_Comps!T18="","",IFERROR(Detailed_Comps!T18*100,"NA"))</f>
        <v>110.09542943244601</v>
      </c>
      <c r="J12" s="13"/>
      <c r="K12" s="134">
        <f>IF(Detailed_Comps!V18="","",Detailed_Comps!V18)</f>
        <v>173003567</v>
      </c>
      <c r="L12" s="134"/>
      <c r="M12" s="134">
        <f>IF(Detailed_Comps!X18="","",Detailed_Comps!X18)</f>
        <v>3792.2381886399999</v>
      </c>
      <c r="N12" s="134"/>
      <c r="O12" s="134">
        <f>IF(Detailed_Comps!AH18="","",Detailed_Comps!AH18)</f>
        <v>6020.2381880000003</v>
      </c>
      <c r="P12" s="134"/>
      <c r="Q12" s="134">
        <f>IF(Detailed_Comps!AL18="","",Detailed_Comps!AL18)</f>
        <v>5953</v>
      </c>
      <c r="R12" s="134"/>
      <c r="S12" s="134">
        <f>IF(Detailed_Comps!AN18="","",Detailed_Comps!AN18)</f>
        <v>6134.2935099999995</v>
      </c>
      <c r="T12" s="134"/>
      <c r="U12" s="134">
        <f>IF(Detailed_Comps!AT18="","",Detailed_Comps!AT18)</f>
        <v>294</v>
      </c>
      <c r="V12" s="134"/>
      <c r="W12" s="134">
        <f>IF(Detailed_Comps!AV18="","",Detailed_Comps!AV18)</f>
        <v>451.3</v>
      </c>
      <c r="X12" s="13"/>
      <c r="Y12" s="140">
        <f>IF(Detailed_Comps!BB18="","",Detailed_Comps!BB18)</f>
        <v>-0.499</v>
      </c>
      <c r="Z12" s="140"/>
      <c r="AA12" s="140">
        <f>IF(Detailed_Comps!BD18="","",Detailed_Comps!BD18)</f>
        <v>0.2</v>
      </c>
    </row>
    <row r="13" spans="2:28" x14ac:dyDescent="0.2">
      <c r="B13" s="5" t="str">
        <f>IF(Detailed_Comps!D19="","",Detailed_Comps!D19)</f>
        <v>OLN-US</v>
      </c>
      <c r="D13" s="5" t="str">
        <f>IF(Detailed_Comps!F19="","",Detailed_Comps!F19)</f>
        <v>Olin Corporation (NYSE:OLN)</v>
      </c>
      <c r="E13" s="140">
        <f>IF(Detailed_Comps!L19="","",Detailed_Comps!L19)</f>
        <v>44.45</v>
      </c>
      <c r="F13" s="13"/>
      <c r="G13" s="140">
        <f>IF(Detailed_Comps!R19="","",IFERROR(Detailed_Comps!R19*100,"NA"))</f>
        <v>73.349834983498354</v>
      </c>
      <c r="H13" s="140"/>
      <c r="I13" s="140">
        <f>IF(Detailed_Comps!T19="","",IFERROR(Detailed_Comps!T19*100,"NA"))</f>
        <v>110.40735221063092</v>
      </c>
      <c r="J13" s="13"/>
      <c r="K13" s="134">
        <f>IF(Detailed_Comps!V19="","",Detailed_Comps!V19)</f>
        <v>117500000</v>
      </c>
      <c r="L13" s="134"/>
      <c r="M13" s="134">
        <f>IF(Detailed_Comps!X19="","",Detailed_Comps!X19)</f>
        <v>5222.875</v>
      </c>
      <c r="N13" s="134"/>
      <c r="O13" s="134">
        <f>IF(Detailed_Comps!AH19="","",Detailed_Comps!AH19)</f>
        <v>8312.9750000000004</v>
      </c>
      <c r="P13" s="134"/>
      <c r="Q13" s="134">
        <f>IF(Detailed_Comps!AL19="","",Detailed_Comps!AL19)</f>
        <v>6565.3</v>
      </c>
      <c r="R13" s="134"/>
      <c r="S13" s="134">
        <f>IF(Detailed_Comps!AN19="","",Detailed_Comps!AN19)</f>
        <v>6483.25</v>
      </c>
      <c r="T13" s="134"/>
      <c r="U13" s="134">
        <f>IF(Detailed_Comps!AT19="","",Detailed_Comps!AT19)</f>
        <v>1060.7</v>
      </c>
      <c r="V13" s="134"/>
      <c r="W13" s="134">
        <f>IF(Detailed_Comps!AV19="","",Detailed_Comps!AV19)</f>
        <v>949.68678</v>
      </c>
      <c r="X13" s="13"/>
      <c r="Y13" s="140">
        <f>IF(Detailed_Comps!BB19="","",Detailed_Comps!BB19)</f>
        <v>2.2650000000000001</v>
      </c>
      <c r="Z13" s="140"/>
      <c r="AA13" s="140">
        <f>IF(Detailed_Comps!BD19="","",Detailed_Comps!BD19)</f>
        <v>1.6</v>
      </c>
    </row>
    <row r="14" spans="2:28" x14ac:dyDescent="0.2">
      <c r="B14" s="5" t="str">
        <f>IF(Detailed_Comps!D20="","",Detailed_Comps!D20)</f>
        <v>RPM-US</v>
      </c>
      <c r="D14" s="5" t="str">
        <f>IF(Detailed_Comps!F20="","",Detailed_Comps!F20)</f>
        <v>RPM International Inc. (NYSE:RPM)</v>
      </c>
      <c r="E14" s="140">
        <f>IF(Detailed_Comps!L20="","",Detailed_Comps!L20)</f>
        <v>116.31</v>
      </c>
      <c r="F14" s="13"/>
      <c r="G14" s="140">
        <f>IF(Detailed_Comps!R20="","",IFERROR(Detailed_Comps!R20*100,"NA"))</f>
        <v>94.622518711356989</v>
      </c>
      <c r="H14" s="140"/>
      <c r="I14" s="140">
        <f>IF(Detailed_Comps!T20="","",IFERROR(Detailed_Comps!T20*100,"NA"))</f>
        <v>130.92075641602881</v>
      </c>
      <c r="J14" s="13"/>
      <c r="K14" s="134">
        <f>IF(Detailed_Comps!V20="","",Detailed_Comps!V20)</f>
        <v>128775153</v>
      </c>
      <c r="L14" s="134"/>
      <c r="M14" s="134">
        <f>IF(Detailed_Comps!X20="","",Detailed_Comps!X20)</f>
        <v>14977.83804543</v>
      </c>
      <c r="N14" s="134"/>
      <c r="O14" s="134">
        <f>IF(Detailed_Comps!AH20="","",Detailed_Comps!AH20)</f>
        <v>17189.827044999998</v>
      </c>
      <c r="P14" s="134"/>
      <c r="Q14" s="134">
        <f>IF(Detailed_Comps!AL20="","",Detailed_Comps!AL20)</f>
        <v>7335.277</v>
      </c>
      <c r="R14" s="134"/>
      <c r="S14" s="134">
        <f>IF(Detailed_Comps!AN20="","",Detailed_Comps!AN20)</f>
        <v>7332.0590199999997</v>
      </c>
      <c r="T14" s="134"/>
      <c r="U14" s="134">
        <f>IF(Detailed_Comps!AT20="","",Detailed_Comps!AT20)</f>
        <v>1056.4090000000001</v>
      </c>
      <c r="V14" s="134"/>
      <c r="W14" s="134">
        <f>IF(Detailed_Comps!AV20="","",Detailed_Comps!AV20)</f>
        <v>1115.93</v>
      </c>
      <c r="X14" s="13"/>
      <c r="Y14" s="140">
        <f>IF(Detailed_Comps!BB20="","",Detailed_Comps!BB20)</f>
        <v>4.5640000000000001</v>
      </c>
      <c r="Z14" s="140"/>
      <c r="AA14" s="140">
        <f>IF(Detailed_Comps!BD20="","",Detailed_Comps!BD20)</f>
        <v>4.9440900000000001</v>
      </c>
    </row>
    <row r="15" spans="2:28" x14ac:dyDescent="0.2">
      <c r="B15" s="5" t="str">
        <f>IF(Detailed_Comps!D21="","",Detailed_Comps!D21)</f>
        <v>UAN-US</v>
      </c>
      <c r="D15" s="5" t="str">
        <f>IF(Detailed_Comps!F21="","",Detailed_Comps!F21)</f>
        <v>CVR Partners, LP (NYSE:UAN)</v>
      </c>
      <c r="E15" s="140">
        <f>IF(Detailed_Comps!L21="","",Detailed_Comps!L21)</f>
        <v>70.739999999999995</v>
      </c>
      <c r="F15" s="13"/>
      <c r="G15" s="140">
        <f>IF(Detailed_Comps!R21="","",IFERROR(Detailed_Comps!R21*100,"NA"))</f>
        <v>79.536766359343375</v>
      </c>
      <c r="H15" s="140"/>
      <c r="I15" s="140">
        <f>IF(Detailed_Comps!T21="","",IFERROR(Detailed_Comps!T21*100,"NA"))</f>
        <v>116.92561983471073</v>
      </c>
      <c r="J15" s="13"/>
      <c r="K15" s="134">
        <f>IF(Detailed_Comps!V21="","",Detailed_Comps!V21)</f>
        <v>10569637</v>
      </c>
      <c r="L15" s="134"/>
      <c r="M15" s="134">
        <f>IF(Detailed_Comps!X21="","",Detailed_Comps!X21)</f>
        <v>747.69612138000002</v>
      </c>
      <c r="N15" s="134"/>
      <c r="O15" s="134">
        <f>IF(Detailed_Comps!AH21="","",Detailed_Comps!AH21)</f>
        <v>1262.7471210000001</v>
      </c>
      <c r="P15" s="134"/>
      <c r="Q15" s="134">
        <f>IF(Detailed_Comps!AL21="","",Detailed_Comps!AL21)</f>
        <v>532.77600000000007</v>
      </c>
      <c r="R15" s="134"/>
      <c r="S15" s="134" t="str">
        <f>IF(Detailed_Comps!AN21="","",Detailed_Comps!AN21)</f>
        <v>NA</v>
      </c>
      <c r="T15" s="134"/>
      <c r="U15" s="134">
        <f>IF(Detailed_Comps!AT21="","",Detailed_Comps!AT21)</f>
        <v>164.32900000000001</v>
      </c>
      <c r="V15" s="134"/>
      <c r="W15" s="134" t="str">
        <f>IF(Detailed_Comps!AV21="","",Detailed_Comps!AV21)</f>
        <v>NA</v>
      </c>
      <c r="X15" s="13"/>
      <c r="Y15" s="140">
        <f>IF(Detailed_Comps!BB21="","",Detailed_Comps!BB21)</f>
        <v>4.6829999999999998</v>
      </c>
      <c r="Z15" s="140"/>
      <c r="AA15" s="140" t="str">
        <f>IF(Detailed_Comps!BD21="","",Detailed_Comps!BD21)</f>
        <v>NA</v>
      </c>
    </row>
    <row r="16" spans="2:28" x14ac:dyDescent="0.2">
      <c r="E16" s="140"/>
      <c r="F16" s="13"/>
      <c r="G16" s="140"/>
      <c r="H16" s="140"/>
      <c r="I16" s="140"/>
      <c r="J16" s="13"/>
      <c r="K16" s="134"/>
      <c r="L16" s="134"/>
      <c r="M16" s="134"/>
      <c r="N16" s="134"/>
      <c r="O16" s="134"/>
      <c r="P16" s="134"/>
      <c r="Q16" s="134"/>
      <c r="R16" s="134"/>
      <c r="S16" s="134"/>
      <c r="T16" s="134"/>
      <c r="U16" s="134"/>
      <c r="V16" s="134"/>
      <c r="W16" s="134"/>
      <c r="X16" s="13"/>
      <c r="Y16" s="140"/>
      <c r="Z16" s="140"/>
      <c r="AA16" s="140"/>
    </row>
    <row r="17" spans="2:27" x14ac:dyDescent="0.2">
      <c r="D17" s="102" t="s">
        <v>791</v>
      </c>
      <c r="E17" s="163">
        <f>IF(COUNT(E6:E15)=0,"NA",MAX(E6:E15))</f>
        <v>116.31</v>
      </c>
      <c r="F17" s="111"/>
      <c r="G17" s="163">
        <f>IF(COUNT(G6:G15)=0,"NA",MAX(G6:G15))</f>
        <v>95.065350760202719</v>
      </c>
      <c r="H17" s="163"/>
      <c r="I17" s="163">
        <f>IF(COUNT(I6:I15)=0,"NA",MAX(I6:I15))</f>
        <v>164.36913212731852</v>
      </c>
      <c r="J17" s="111"/>
      <c r="K17" s="166">
        <f>IF(COUNT(K6:K15)=0,"NA",MAX(K6:K15))</f>
        <v>692247000</v>
      </c>
      <c r="L17" s="166"/>
      <c r="M17" s="166">
        <f>IF(COUNT(M6:M15)=0,"NA",MAX(M6:M15))</f>
        <v>38475.088259999997</v>
      </c>
      <c r="N17" s="166"/>
      <c r="O17" s="166">
        <f>IF(COUNT(O6:O15)=0,"NA",MAX(O6:O15))</f>
        <v>41380.088259999997</v>
      </c>
      <c r="P17" s="166"/>
      <c r="Q17" s="166">
        <f>IF(COUNT(Q6:Q15)=0,"NA",MAX(Q6:Q15))</f>
        <v>16901</v>
      </c>
      <c r="R17" s="166"/>
      <c r="S17" s="166">
        <f>IF(COUNT(S6:S15)=0,"NA",MAX(S6:S15))</f>
        <v>17305.242000000002</v>
      </c>
      <c r="T17" s="166"/>
      <c r="U17" s="166">
        <f>IF(COUNT(U6:U15)=0,"NA",MAX(U6:U15))</f>
        <v>3214</v>
      </c>
      <c r="V17" s="166"/>
      <c r="W17" s="166">
        <f>IF(COUNT(W6:W15)=0,"NA",MAX(W6:W15))</f>
        <v>3477.451</v>
      </c>
      <c r="X17" s="111"/>
      <c r="Y17" s="163">
        <f>IF(COUNT(Y6:Y15)=0,"NA",MAX(Y6:Y15))</f>
        <v>5.5780000000000003</v>
      </c>
      <c r="Z17" s="163"/>
      <c r="AA17" s="169">
        <f>IF(COUNT(AA6:AA15)=0,"NA",MAX(AA6:AA15))</f>
        <v>5.75</v>
      </c>
    </row>
    <row r="18" spans="2:27" x14ac:dyDescent="0.2">
      <c r="D18" s="104" t="s">
        <v>790</v>
      </c>
      <c r="E18" s="164">
        <f>IFERROR(MEDIAN(E6:E15),"NA")</f>
        <v>63.16</v>
      </c>
      <c r="F18" s="43"/>
      <c r="G18" s="164">
        <f>IFERROR(MEDIAN(G6:G15),"NA")</f>
        <v>83.478040955825634</v>
      </c>
      <c r="H18" s="164"/>
      <c r="I18" s="164">
        <f>IFERROR(MEDIAN(I6:I15),"NA")</f>
        <v>121.3362293976944</v>
      </c>
      <c r="J18" s="43"/>
      <c r="K18" s="167">
        <f>IFERROR(MEDIAN(K6:K15),"NA")</f>
        <v>150889360</v>
      </c>
      <c r="L18" s="167"/>
      <c r="M18" s="167">
        <f>IFERROR(MEDIAN(M6:M15),"NA")</f>
        <v>8451.7856649999994</v>
      </c>
      <c r="N18" s="167"/>
      <c r="O18" s="167">
        <f>IFERROR(MEDIAN(O6:O15),"NA")</f>
        <v>11985.285664499999</v>
      </c>
      <c r="P18" s="167"/>
      <c r="Q18" s="167">
        <f>IFERROR(MEDIAN(Q6:Q15),"NA")</f>
        <v>6259.15</v>
      </c>
      <c r="R18" s="167"/>
      <c r="S18" s="167">
        <f>IFERROR(MEDIAN(S6:S15),"NA")</f>
        <v>6134.2935099999995</v>
      </c>
      <c r="T18" s="167"/>
      <c r="U18" s="167">
        <f>IFERROR(MEDIAN(U6:U15),"NA")</f>
        <v>1029.3045000000002</v>
      </c>
      <c r="V18" s="167"/>
      <c r="W18" s="167">
        <f>IFERROR(MEDIAN(W6:W15),"NA")</f>
        <v>1095.0837200000001</v>
      </c>
      <c r="X18" s="43"/>
      <c r="Y18" s="164">
        <f>IFERROR(MEDIAN(Y6:Y15),"NA")</f>
        <v>1.3075000000000001</v>
      </c>
      <c r="Z18" s="164"/>
      <c r="AA18" s="170">
        <f>IFERROR(MEDIAN(AA6:AA15),"NA")</f>
        <v>2.4900000000000002</v>
      </c>
    </row>
    <row r="19" spans="2:27" x14ac:dyDescent="0.2">
      <c r="D19" s="104" t="s">
        <v>789</v>
      </c>
      <c r="E19" s="164">
        <f>IF(COUNT(E6:E15)=0,"NA",MIN(E6:E15))</f>
        <v>21.92</v>
      </c>
      <c r="F19" s="43"/>
      <c r="G19" s="164">
        <f>IF(COUNT(G6:G15)=0,"NA",MIN(G6:G15))</f>
        <v>44.445535801984086</v>
      </c>
      <c r="H19" s="164"/>
      <c r="I19" s="164">
        <f>IF(COUNT(I6:I15)=0,"NA",MIN(I6:I15))</f>
        <v>109.3139133767727</v>
      </c>
      <c r="J19" s="43"/>
      <c r="K19" s="167">
        <f>IF(COUNT(K6:K15)=0,"NA",MIN(K6:K15))</f>
        <v>10569637</v>
      </c>
      <c r="L19" s="167"/>
      <c r="M19" s="167">
        <f>IF(COUNT(M6:M15)=0,"NA",MIN(M6:M15))</f>
        <v>747.69612138000002</v>
      </c>
      <c r="N19" s="167"/>
      <c r="O19" s="167">
        <f>IF(COUNT(O6:O15)=0,"NA",MIN(O6:O15))</f>
        <v>1262.7471210000001</v>
      </c>
      <c r="P19" s="167"/>
      <c r="Q19" s="167">
        <f>IF(COUNT(Q6:Q15)=0,"NA",MIN(Q6:Q15))</f>
        <v>532.77600000000007</v>
      </c>
      <c r="R19" s="167"/>
      <c r="S19" s="167">
        <f>IF(COUNT(S6:S15)=0,"NA",MIN(S6:S15))</f>
        <v>3540.4767999999999</v>
      </c>
      <c r="T19" s="167"/>
      <c r="U19" s="167">
        <f>IF(COUNT(U6:U15)=0,"NA",MIN(U6:U15))</f>
        <v>-840.95500000000004</v>
      </c>
      <c r="V19" s="167"/>
      <c r="W19" s="167">
        <f>IF(COUNT(W6:W15)=0,"NA",MIN(W6:W15))</f>
        <v>451.3</v>
      </c>
      <c r="X19" s="43"/>
      <c r="Y19" s="164">
        <f>IF(COUNT(Y6:Y15)=0,"NA",MIN(Y6:Y15))</f>
        <v>-4.72</v>
      </c>
      <c r="Z19" s="164"/>
      <c r="AA19" s="170">
        <f>IF(COUNT(AA6:AA15)=0,"NA",MIN(AA6:AA15))</f>
        <v>0.2</v>
      </c>
    </row>
    <row r="20" spans="2:27" x14ac:dyDescent="0.2">
      <c r="D20" s="106" t="s">
        <v>788</v>
      </c>
      <c r="E20" s="165">
        <f>IFERROR(AVERAGE(E6:E15),"NA")</f>
        <v>61.584999999999994</v>
      </c>
      <c r="F20" s="112"/>
      <c r="G20" s="165">
        <f>IFERROR(AVERAGE(G6:G15),"NA")</f>
        <v>80.792379079757467</v>
      </c>
      <c r="H20" s="165"/>
      <c r="I20" s="165">
        <f>IFERROR(AVERAGE(I6:I15),"NA")</f>
        <v>125.50831305100348</v>
      </c>
      <c r="J20" s="112"/>
      <c r="K20" s="168">
        <f>IFERROR(AVERAGE(K6:K15),"NA")</f>
        <v>201480448.40000001</v>
      </c>
      <c r="L20" s="168"/>
      <c r="M20" s="168">
        <f>IFERROR(AVERAGE(M6:M15),"NA")</f>
        <v>10934.163518821</v>
      </c>
      <c r="N20" s="168"/>
      <c r="O20" s="168">
        <f>IFERROR(AVERAGE(O6:O15),"NA")</f>
        <v>13822.713818499999</v>
      </c>
      <c r="P20" s="168"/>
      <c r="Q20" s="168">
        <f>IFERROR(AVERAGE(Q6:Q15),"NA")</f>
        <v>7158.8634999999995</v>
      </c>
      <c r="R20" s="168"/>
      <c r="S20" s="168">
        <f>IFERROR(AVERAGE(S6:S15),"NA")</f>
        <v>7706.5846166666661</v>
      </c>
      <c r="T20" s="168"/>
      <c r="U20" s="168">
        <f>IFERROR(AVERAGE(U6:U15),"NA")</f>
        <v>1088.9883000000002</v>
      </c>
      <c r="V20" s="168"/>
      <c r="W20" s="168">
        <f>IFERROR(AVERAGE(W6:W15),"NA")</f>
        <v>1482.6544800000001</v>
      </c>
      <c r="X20" s="112"/>
      <c r="Y20" s="165">
        <f>IFERROR(AVERAGE(Y6:Y15),"NA")</f>
        <v>1.0657000000000001</v>
      </c>
      <c r="Z20" s="165"/>
      <c r="AA20" s="171">
        <f>IFERROR(AVERAGE(AA6:AA15),"NA")</f>
        <v>2.5524211111111108</v>
      </c>
    </row>
    <row r="21" spans="2:27" x14ac:dyDescent="0.2">
      <c r="E21" s="140"/>
      <c r="F21" s="13"/>
      <c r="G21" s="140"/>
      <c r="H21" s="140"/>
      <c r="I21" s="140"/>
      <c r="J21" s="13"/>
      <c r="K21" s="134"/>
      <c r="L21" s="134"/>
      <c r="M21" s="134"/>
      <c r="N21" s="134"/>
      <c r="O21" s="134"/>
      <c r="P21" s="134"/>
      <c r="Q21" s="134"/>
      <c r="R21" s="134"/>
      <c r="S21" s="134"/>
      <c r="T21" s="134"/>
      <c r="U21" s="134"/>
      <c r="V21" s="134"/>
      <c r="W21" s="134"/>
      <c r="X21" s="13"/>
      <c r="Y21" s="140"/>
      <c r="Z21" s="140"/>
      <c r="AA21" s="140"/>
    </row>
    <row r="22" spans="2:27" x14ac:dyDescent="0.2">
      <c r="B22" s="8" t="str">
        <f>IF(Detailed_Comps!D28="","",Detailed_Comps!D28)</f>
        <v>FMC-US</v>
      </c>
      <c r="C22" s="8"/>
      <c r="D22" s="8" t="str">
        <f>IF(Detailed_Comps!F28="","",Detailed_Comps!F28)</f>
        <v>FMC Corporation (NYSE:FMC)</v>
      </c>
      <c r="E22" s="162">
        <f>IF(Detailed_Comps!L28="","",Detailed_Comps!L28)</f>
        <v>65.38</v>
      </c>
      <c r="F22" s="113"/>
      <c r="G22" s="162">
        <f>IF(Detailed_Comps!R28="","",IFERROR(Detailed_Comps!R28*100,"NA"))</f>
        <v>73.238489974235463</v>
      </c>
      <c r="H22" s="162"/>
      <c r="I22" s="162">
        <f>IF(Detailed_Comps!T28="","",IFERROR(Detailed_Comps!T28*100,"NA"))</f>
        <v>132.10749646393211</v>
      </c>
      <c r="J22" s="113"/>
      <c r="K22" s="137">
        <f>IF(Detailed_Comps!V28="","",Detailed_Comps!V28)</f>
        <v>124824364</v>
      </c>
      <c r="L22" s="137"/>
      <c r="M22" s="137">
        <f>IF(Detailed_Comps!X28="","",Detailed_Comps!X28)</f>
        <v>8161.0169183199996</v>
      </c>
      <c r="N22" s="137"/>
      <c r="O22" s="137">
        <f>IF(Detailed_Comps!AH28="","",Detailed_Comps!AH28)</f>
        <v>12032.816918</v>
      </c>
      <c r="P22" s="137"/>
      <c r="Q22" s="137">
        <f>IF(Detailed_Comps!AL28="","",Detailed_Comps!AL28)</f>
        <v>4084.4</v>
      </c>
      <c r="R22" s="137"/>
      <c r="S22" s="137">
        <f>IF(Detailed_Comps!AN28="","",Detailed_Comps!AN28)</f>
        <v>4386</v>
      </c>
      <c r="T22" s="137"/>
      <c r="U22" s="137">
        <f>IF(Detailed_Comps!AT28="","",Detailed_Comps!AT28)</f>
        <v>676.5</v>
      </c>
      <c r="V22" s="137"/>
      <c r="W22" s="137">
        <f>IF(Detailed_Comps!AV28="","",Detailed_Comps!AV28)</f>
        <v>906.5</v>
      </c>
      <c r="X22" s="113"/>
      <c r="Y22" s="162">
        <f>IF(Detailed_Comps!BB28="","",Detailed_Comps!BB28)</f>
        <v>11.052</v>
      </c>
      <c r="Z22" s="162"/>
      <c r="AA22" s="162">
        <f>IF(Detailed_Comps!BD28="","",Detailed_Comps!BD28)</f>
        <v>3.3</v>
      </c>
    </row>
    <row r="24" spans="2:27" x14ac:dyDescent="0.2">
      <c r="E24" s="17" t="s">
        <v>809</v>
      </c>
      <c r="F24" s="19"/>
      <c r="G24" s="19"/>
      <c r="H24" s="19"/>
      <c r="I24" s="19"/>
      <c r="J24" s="19"/>
      <c r="K24" s="19"/>
      <c r="L24" s="19"/>
      <c r="M24" s="19"/>
      <c r="N24" s="19"/>
      <c r="O24" s="19"/>
    </row>
    <row r="25" spans="2:27" x14ac:dyDescent="0.2">
      <c r="E25" s="68" t="s">
        <v>812</v>
      </c>
      <c r="G25" s="68" t="s">
        <v>815</v>
      </c>
      <c r="H25" s="92"/>
      <c r="I25" s="92" t="s">
        <v>814</v>
      </c>
      <c r="K25" s="92" t="s">
        <v>835</v>
      </c>
      <c r="M25" s="68" t="s">
        <v>812</v>
      </c>
      <c r="O25" s="68" t="s">
        <v>812</v>
      </c>
      <c r="Q25" s="17" t="s">
        <v>1504</v>
      </c>
      <c r="R25" s="17"/>
      <c r="S25" s="17"/>
      <c r="U25" s="17" t="s">
        <v>1491</v>
      </c>
      <c r="V25" s="17"/>
      <c r="W25" s="17"/>
      <c r="Y25" s="17" t="s">
        <v>1485</v>
      </c>
      <c r="Z25" s="17"/>
      <c r="AA25" s="17"/>
    </row>
    <row r="26" spans="2:27" x14ac:dyDescent="0.2">
      <c r="B26" s="88" t="s">
        <v>784</v>
      </c>
      <c r="D26" s="82" t="s">
        <v>834</v>
      </c>
      <c r="E26" s="90" t="s">
        <v>1496</v>
      </c>
      <c r="G26" s="90" t="s">
        <v>1496</v>
      </c>
      <c r="I26" s="90" t="s">
        <v>1497</v>
      </c>
      <c r="K26" s="90" t="s">
        <v>1503</v>
      </c>
      <c r="M26" s="90" t="s">
        <v>833</v>
      </c>
      <c r="O26" s="90" t="s">
        <v>832</v>
      </c>
      <c r="Q26" s="90" t="str">
        <f>+Q5</f>
        <v>LTM</v>
      </c>
      <c r="S26" s="90" t="str">
        <f>+S5</f>
        <v>FY2024</v>
      </c>
      <c r="U26" s="90" t="str">
        <f>+U5</f>
        <v>LTM</v>
      </c>
      <c r="W26" s="90" t="str">
        <f>+W5</f>
        <v>FY2024</v>
      </c>
      <c r="X26"/>
      <c r="Y26" s="90" t="s">
        <v>285</v>
      </c>
      <c r="AA26" s="90" t="str">
        <f>Detailed_Comps!$AN$10</f>
        <v>FY2024</v>
      </c>
    </row>
    <row r="27" spans="2:27" x14ac:dyDescent="0.2">
      <c r="B27" s="5" t="str">
        <f t="shared" ref="B27:B35" si="0">B6</f>
        <v>MOS-US</v>
      </c>
      <c r="D27" s="5" t="str">
        <f t="shared" ref="D27:D35" si="1">D6</f>
        <v>The Mosaic Company (NYSE:MOS)</v>
      </c>
      <c r="E27" s="140">
        <f>IF(Detailed_Comps!EH12="","",Detailed_Comps!EH12)</f>
        <v>1.542</v>
      </c>
      <c r="F27" s="140"/>
      <c r="G27" s="140">
        <f>IF(Detailed_Comps!EJ12="","",Detailed_Comps!EJ12)</f>
        <v>1.4079999999999999</v>
      </c>
      <c r="H27" s="140"/>
      <c r="I27" s="140">
        <f>IF(Detailed_Comps!EN12="","",Detailed_Comps!EN12)</f>
        <v>13.702999999999999</v>
      </c>
      <c r="J27" s="140"/>
      <c r="K27" s="140">
        <f>IF(Detailed_Comps!EP12="","",Detailed_Comps!EP12)</f>
        <v>6.2830000000000004</v>
      </c>
      <c r="L27" s="140"/>
      <c r="M27" s="140">
        <f>IF(Detailed_Comps!ER12="","",Detailed_Comps!ER12)</f>
        <v>32.131</v>
      </c>
      <c r="N27" s="140"/>
      <c r="O27" s="140">
        <f>IF(Detailed_Comps!ET12="","",Detailed_Comps!ET12)</f>
        <v>24.318000000000001</v>
      </c>
      <c r="P27" s="140"/>
      <c r="Q27" s="140">
        <f>IF(Detailed_Comps!BJ12="","",Detailed_Comps!BJ12)</f>
        <v>1.0941251978874509</v>
      </c>
      <c r="R27" s="140"/>
      <c r="S27" s="140">
        <f>IF(Detailed_Comps!BL12="","",Detailed_Comps!BL12)</f>
        <v>1.127272754080187</v>
      </c>
      <c r="T27" s="140"/>
      <c r="U27" s="140">
        <f>IF(Detailed_Comps!BR12="","",Detailed_Comps!BR12)</f>
        <v>6.88915823505112</v>
      </c>
      <c r="V27" s="140"/>
      <c r="W27" s="140">
        <f>IF(Detailed_Comps!BT12="","",Detailed_Comps!BT12)</f>
        <v>5.7284430390725634</v>
      </c>
      <c r="X27" s="172"/>
      <c r="Y27" s="140">
        <f>IF(Detailed_Comps!BZ12="","",Detailed_Comps!BZ12)</f>
        <v>12.235393999999999</v>
      </c>
      <c r="Z27" s="140"/>
      <c r="AA27" s="140">
        <f>IF(Detailed_Comps!CB12="","",Detailed_Comps!CB12)</f>
        <v>11.195465286899999</v>
      </c>
    </row>
    <row r="28" spans="2:27" x14ac:dyDescent="0.2">
      <c r="B28" s="5" t="str">
        <f t="shared" si="0"/>
        <v>CF-US</v>
      </c>
      <c r="D28" s="5" t="str">
        <f t="shared" si="1"/>
        <v>CF Industries Holdings, Inc. (NYSE:CF)</v>
      </c>
      <c r="E28" s="140">
        <f>IF(Detailed_Comps!EH13="","",Detailed_Comps!EH13)</f>
        <v>0.98599999999999999</v>
      </c>
      <c r="F28" s="140"/>
      <c r="G28" s="140">
        <f>IF(Detailed_Comps!EJ13="","",Detailed_Comps!EJ13)</f>
        <v>0.36599999999999999</v>
      </c>
      <c r="H28" s="140"/>
      <c r="I28" s="140">
        <f>IF(Detailed_Comps!EN13="","",Detailed_Comps!EN13)</f>
        <v>21.86</v>
      </c>
      <c r="J28" s="140"/>
      <c r="K28" s="140">
        <f>IF(Detailed_Comps!EP13="","",Detailed_Comps!EP13)</f>
        <v>18.533000000000001</v>
      </c>
      <c r="L28" s="140"/>
      <c r="M28" s="140">
        <f>IF(Detailed_Comps!ER13="","",Detailed_Comps!ER13)</f>
        <v>38.6</v>
      </c>
      <c r="N28" s="140"/>
      <c r="O28" s="140">
        <f>IF(Detailed_Comps!ET13="","",Detailed_Comps!ET13)</f>
        <v>27.85</v>
      </c>
      <c r="P28" s="140"/>
      <c r="Q28" s="140">
        <f>IF(Detailed_Comps!BJ13="","",Detailed_Comps!BJ13)</f>
        <v>3.1513679777437984</v>
      </c>
      <c r="R28" s="140"/>
      <c r="S28" s="140">
        <f>IF(Detailed_Comps!BL13="","",Detailed_Comps!BL13)</f>
        <v>3.198095158103448</v>
      </c>
      <c r="T28" s="140"/>
      <c r="U28" s="140">
        <f>IF(Detailed_Comps!BR13="","",Detailed_Comps!BR13)</f>
        <v>7.2118786613530323</v>
      </c>
      <c r="V28" s="140"/>
      <c r="W28" s="140">
        <f>IF(Detailed_Comps!BT13="","",Detailed_Comps!BT13)</f>
        <v>8.0309317522082466</v>
      </c>
      <c r="X28" s="172"/>
      <c r="Y28" s="140">
        <f>IF(Detailed_Comps!BZ13="","",Detailed_Comps!BZ13)</f>
        <v>12.265431</v>
      </c>
      <c r="Z28" s="140"/>
      <c r="AA28" s="140">
        <f>IF(Detailed_Comps!CB13="","",Detailed_Comps!CB13)</f>
        <v>13.985150452099999</v>
      </c>
    </row>
    <row r="29" spans="2:27" x14ac:dyDescent="0.2">
      <c r="B29" s="5" t="str">
        <f t="shared" si="0"/>
        <v>SMG-US</v>
      </c>
      <c r="D29" s="5" t="str">
        <f t="shared" si="1"/>
        <v>The Scotts Miracle-Gro Company (NYSE:SMG)</v>
      </c>
      <c r="E29" s="140">
        <f>IF(Detailed_Comps!EH14="","",Detailed_Comps!EH14)</f>
        <v>5.5910000000000002</v>
      </c>
      <c r="F29" s="140"/>
      <c r="G29" s="140">
        <f>IF(Detailed_Comps!EJ14="","",Detailed_Comps!EJ14)</f>
        <v>5.4969999999999999</v>
      </c>
      <c r="H29" s="140"/>
      <c r="I29" s="140">
        <f>IF(Detailed_Comps!EN14="","",Detailed_Comps!EN14)</f>
        <v>2.919</v>
      </c>
      <c r="J29" s="140"/>
      <c r="K29" s="140">
        <f>IF(Detailed_Comps!EP14="","",Detailed_Comps!EP14)</f>
        <v>2.3980000000000001</v>
      </c>
      <c r="L29" s="140"/>
      <c r="M29" s="140" t="str">
        <f>IF(Detailed_Comps!ER14="","",Detailed_Comps!ER14)</f>
        <v>NM</v>
      </c>
      <c r="N29" s="140"/>
      <c r="O29" s="140">
        <f>IF(Detailed_Comps!ET14="","",Detailed_Comps!ET14)</f>
        <v>110.129</v>
      </c>
      <c r="P29" s="140"/>
      <c r="Q29" s="140">
        <f>IF(Detailed_Comps!BJ14="","",Detailed_Comps!BJ14)</f>
        <v>1.8733148919572953</v>
      </c>
      <c r="R29" s="140"/>
      <c r="S29" s="140">
        <f>IF(Detailed_Comps!BL14="","",Detailed_Comps!BL14)</f>
        <v>1.8585119829058052</v>
      </c>
      <c r="T29" s="140"/>
      <c r="U29" s="140">
        <f>IF(Detailed_Comps!BR14="","",Detailed_Comps!BR14)</f>
        <v>15.281046349280073</v>
      </c>
      <c r="V29" s="140"/>
      <c r="W29" s="140">
        <f>IF(Detailed_Comps!BT14="","",Detailed_Comps!BT14)</f>
        <v>12.299100108411215</v>
      </c>
      <c r="X29" s="172"/>
      <c r="Y29" s="140" t="str">
        <f>IF(Detailed_Comps!BZ14="","",Detailed_Comps!BZ14)</f>
        <v>NM</v>
      </c>
      <c r="Z29" s="140"/>
      <c r="AA29" s="140">
        <f>IF(Detailed_Comps!CB14="","",Detailed_Comps!CB14)</f>
        <v>27.478437962899999</v>
      </c>
    </row>
    <row r="30" spans="2:27" x14ac:dyDescent="0.2">
      <c r="B30" s="5" t="str">
        <f t="shared" si="0"/>
        <v>CTVA-US</v>
      </c>
      <c r="D30" s="5" t="str">
        <f t="shared" si="1"/>
        <v>Corteva, Inc. (NYSE:CTVA)</v>
      </c>
      <c r="E30" s="140">
        <f>IF(Detailed_Comps!EH15="","",Detailed_Comps!EH15)</f>
        <v>0.87</v>
      </c>
      <c r="F30" s="140"/>
      <c r="G30" s="140">
        <f>IF(Detailed_Comps!EJ15="","",Detailed_Comps!EJ15)</f>
        <v>6.8000000000000005E-2</v>
      </c>
      <c r="H30" s="140"/>
      <c r="I30" s="140">
        <f>IF(Detailed_Comps!EN15="","",Detailed_Comps!EN15)</f>
        <v>14.678000000000001</v>
      </c>
      <c r="J30" s="140"/>
      <c r="K30" s="140">
        <f>IF(Detailed_Comps!EP15="","",Detailed_Comps!EP15)</f>
        <v>12.124000000000001</v>
      </c>
      <c r="L30" s="140"/>
      <c r="M30" s="140">
        <f>IF(Detailed_Comps!ER15="","",Detailed_Comps!ER15)</f>
        <v>11.769</v>
      </c>
      <c r="N30" s="140"/>
      <c r="O30" s="140">
        <f>IF(Detailed_Comps!ET15="","",Detailed_Comps!ET15)</f>
        <v>10.529</v>
      </c>
      <c r="P30" s="140"/>
      <c r="Q30" s="140">
        <f>IF(Detailed_Comps!BJ15="","",Detailed_Comps!BJ15)</f>
        <v>2.4483810579255665</v>
      </c>
      <c r="R30" s="140"/>
      <c r="S30" s="140">
        <f>IF(Detailed_Comps!BL15="","",Detailed_Comps!BL15)</f>
        <v>2.3911880723771439</v>
      </c>
      <c r="T30" s="140"/>
      <c r="U30" s="140">
        <f>IF(Detailed_Comps!BR15="","",Detailed_Comps!BR15)</f>
        <v>12.87494967641568</v>
      </c>
      <c r="V30" s="140"/>
      <c r="W30" s="140">
        <f>IF(Detailed_Comps!BT15="","",Detailed_Comps!BT15)</f>
        <v>11.899546035299993</v>
      </c>
      <c r="X30" s="172"/>
      <c r="Y30" s="140">
        <f>IF(Detailed_Comps!BZ15="","",Detailed_Comps!BZ15)</f>
        <v>68.538754999999995</v>
      </c>
      <c r="Z30" s="140"/>
      <c r="AA30" s="140">
        <f>IF(Detailed_Comps!CB15="","",Detailed_Comps!CB15)</f>
        <v>20.660711564100001</v>
      </c>
    </row>
    <row r="31" spans="2:27" x14ac:dyDescent="0.2">
      <c r="B31" s="5" t="str">
        <f t="shared" si="0"/>
        <v>AXTA-US</v>
      </c>
      <c r="D31" s="5" t="str">
        <f t="shared" si="1"/>
        <v>Axalta Coating Systems Ltd. (NYSE:AXTA)</v>
      </c>
      <c r="E31" s="140">
        <f>IF(Detailed_Comps!EH16="","",Detailed_Comps!EH16)</f>
        <v>3.839</v>
      </c>
      <c r="F31" s="140"/>
      <c r="G31" s="140">
        <f>IF(Detailed_Comps!EJ16="","",Detailed_Comps!EJ16)</f>
        <v>3.0939999999999999</v>
      </c>
      <c r="H31" s="140"/>
      <c r="I31" s="140">
        <f>IF(Detailed_Comps!EN16="","",Detailed_Comps!EN16)</f>
        <v>4.2089999999999996</v>
      </c>
      <c r="J31" s="140"/>
      <c r="K31" s="140">
        <f>IF(Detailed_Comps!EP16="","",Detailed_Comps!EP16)</f>
        <v>3.5920000000000001</v>
      </c>
      <c r="L31" s="140"/>
      <c r="M31" s="140">
        <f>IF(Detailed_Comps!ER16="","",Detailed_Comps!ER16)</f>
        <v>203.68299999999999</v>
      </c>
      <c r="N31" s="140"/>
      <c r="O31" s="140">
        <f>IF(Detailed_Comps!ET16="","",Detailed_Comps!ET16)</f>
        <v>67.070999999999998</v>
      </c>
      <c r="P31" s="140"/>
      <c r="Q31" s="140">
        <f>IF(Detailed_Comps!BJ16="","",Detailed_Comps!BJ16)</f>
        <v>2.0241525567976235</v>
      </c>
      <c r="R31" s="140"/>
      <c r="S31" s="140">
        <f>IF(Detailed_Comps!BL16="","",Detailed_Comps!BL16)</f>
        <v>2.0032091012061817</v>
      </c>
      <c r="T31" s="140"/>
      <c r="U31" s="140">
        <f>IF(Detailed_Comps!BR16="","",Detailed_Comps!BR16)</f>
        <v>10.605694962083417</v>
      </c>
      <c r="V31" s="140"/>
      <c r="W31" s="140">
        <f>IF(Detailed_Comps!BT16="","",Detailed_Comps!BT16)</f>
        <v>9.7061323229241321</v>
      </c>
      <c r="X31" s="172"/>
      <c r="Y31" s="140">
        <f>IF(Detailed_Comps!BZ16="","",Detailed_Comps!BZ16)</f>
        <v>30.508928999999998</v>
      </c>
      <c r="Z31" s="140"/>
      <c r="AA31" s="140">
        <f>IF(Detailed_Comps!CB16="","",Detailed_Comps!CB16)</f>
        <v>17.255152580200001</v>
      </c>
    </row>
    <row r="32" spans="2:27" x14ac:dyDescent="0.2">
      <c r="B32" s="5" t="str">
        <f t="shared" si="0"/>
        <v>ALB-US</v>
      </c>
      <c r="D32" s="5" t="str">
        <f t="shared" si="1"/>
        <v>Albemarle Corporation (NYSE:ALB)</v>
      </c>
      <c r="E32" s="140">
        <f>IF(Detailed_Comps!EH17="","",Detailed_Comps!EH17)</f>
        <v>4.3520000000000003</v>
      </c>
      <c r="F32" s="140"/>
      <c r="G32" s="140">
        <f>IF(Detailed_Comps!EJ17="","",Detailed_Comps!EJ17)</f>
        <v>3.2440000000000002</v>
      </c>
      <c r="H32" s="140"/>
      <c r="I32" s="140">
        <f>IF(Detailed_Comps!EN17="","",Detailed_Comps!EN17)</f>
        <v>8.5350000000000001</v>
      </c>
      <c r="J32" s="140"/>
      <c r="K32" s="140" t="str">
        <f>IF(Detailed_Comps!EP17="","",Detailed_Comps!EP17)</f>
        <v>NM</v>
      </c>
      <c r="L32" s="140"/>
      <c r="M32" s="140">
        <f>IF(Detailed_Comps!ER17="","",Detailed_Comps!ER17)</f>
        <v>44.603999999999999</v>
      </c>
      <c r="N32" s="140"/>
      <c r="O32" s="140">
        <f>IF(Detailed_Comps!ET17="","",Detailed_Comps!ET17)</f>
        <v>30.846</v>
      </c>
      <c r="P32" s="140"/>
      <c r="Q32" s="140">
        <f>IF(Detailed_Comps!BJ17="","",Detailed_Comps!BJ17)</f>
        <v>2.0061621740596056</v>
      </c>
      <c r="R32" s="140"/>
      <c r="S32" s="140">
        <f>IF(Detailed_Comps!BL17="","",Detailed_Comps!BL17)</f>
        <v>2.6609495023743044</v>
      </c>
      <c r="T32" s="140"/>
      <c r="U32" s="140">
        <f>IF(Detailed_Comps!BR17="","",Detailed_Comps!BR17)</f>
        <v>-17.791345276501122</v>
      </c>
      <c r="V32" s="140"/>
      <c r="W32" s="140">
        <f>IF(Detailed_Comps!BT17="","",Detailed_Comps!BT17)</f>
        <v>13.843829205226958</v>
      </c>
      <c r="X32" s="172"/>
      <c r="Y32" s="140">
        <f>IF(Detailed_Comps!BZ17="","",Detailed_Comps!BZ17)</f>
        <v>34.533622999999999</v>
      </c>
      <c r="Z32" s="140"/>
      <c r="AA32" s="140">
        <f>IF(Detailed_Comps!CB17="","",Detailed_Comps!CB17)</f>
        <v>140.99647898289999</v>
      </c>
    </row>
    <row r="33" spans="2:27" x14ac:dyDescent="0.2">
      <c r="B33" s="5" t="str">
        <f t="shared" si="0"/>
        <v>HUN-US</v>
      </c>
      <c r="D33" s="5" t="str">
        <f t="shared" si="1"/>
        <v>Huntsman Corporation (NYSE:HUN)</v>
      </c>
      <c r="E33" s="140">
        <f>IF(Detailed_Comps!EH18="","",Detailed_Comps!EH18)</f>
        <v>4.6790000000000003</v>
      </c>
      <c r="F33" s="140"/>
      <c r="G33" s="140">
        <f>IF(Detailed_Comps!EJ18="","",Detailed_Comps!EJ18)</f>
        <v>3.4569999999999999</v>
      </c>
      <c r="H33" s="140"/>
      <c r="I33" s="140">
        <f>IF(Detailed_Comps!EN18="","",Detailed_Comps!EN18)</f>
        <v>6.8</v>
      </c>
      <c r="J33" s="140"/>
      <c r="K33" s="140">
        <f>IF(Detailed_Comps!EP18="","",Detailed_Comps!EP18)</f>
        <v>3.262</v>
      </c>
      <c r="L33" s="140"/>
      <c r="M33" s="140">
        <f>IF(Detailed_Comps!ER18="","",Detailed_Comps!ER18)</f>
        <v>59.459000000000003</v>
      </c>
      <c r="N33" s="140"/>
      <c r="O33" s="140">
        <f>IF(Detailed_Comps!ET18="","",Detailed_Comps!ET18)</f>
        <v>37.287999999999997</v>
      </c>
      <c r="P33" s="140"/>
      <c r="Q33" s="140">
        <f>IF(Detailed_Comps!BJ18="","",Detailed_Comps!BJ18)</f>
        <v>1.0112948409205442</v>
      </c>
      <c r="R33" s="140"/>
      <c r="S33" s="140">
        <f>IF(Detailed_Comps!BL18="","",Detailed_Comps!BL18)</f>
        <v>0.9814069343414904</v>
      </c>
      <c r="T33" s="140"/>
      <c r="U33" s="140">
        <f>IF(Detailed_Comps!BR18="","",Detailed_Comps!BR18)</f>
        <v>20.477000639455785</v>
      </c>
      <c r="V33" s="140"/>
      <c r="W33" s="140">
        <f>IF(Detailed_Comps!BT18="","",Detailed_Comps!BT18)</f>
        <v>13.339769971194327</v>
      </c>
      <c r="X33" s="172"/>
      <c r="Y33" s="140" t="str">
        <f>IF(Detailed_Comps!BZ18="","",Detailed_Comps!BZ18)</f>
        <v>NM</v>
      </c>
      <c r="Z33" s="140"/>
      <c r="AA33" s="140">
        <f>IF(Detailed_Comps!CB18="","",Detailed_Comps!CB18)</f>
        <v>96.199420696900006</v>
      </c>
    </row>
    <row r="34" spans="2:27" x14ac:dyDescent="0.2">
      <c r="B34" s="5" t="str">
        <f t="shared" si="0"/>
        <v>OLN-US</v>
      </c>
      <c r="D34" s="5" t="str">
        <f t="shared" si="1"/>
        <v>Olin Corporation (NYSE:OLN)</v>
      </c>
      <c r="E34" s="140">
        <f>IF(Detailed_Comps!EH19="","",Detailed_Comps!EH19)</f>
        <v>2.101</v>
      </c>
      <c r="F34" s="140"/>
      <c r="G34" s="140">
        <f>IF(Detailed_Comps!EJ19="","",Detailed_Comps!EJ19)</f>
        <v>1.982</v>
      </c>
      <c r="H34" s="140"/>
      <c r="I34" s="140">
        <f>IF(Detailed_Comps!EN19="","",Detailed_Comps!EN19)</f>
        <v>7.944</v>
      </c>
      <c r="J34" s="140"/>
      <c r="K34" s="140">
        <f>IF(Detailed_Comps!EP19="","",Detailed_Comps!EP19)</f>
        <v>6.641</v>
      </c>
      <c r="L34" s="140"/>
      <c r="M34" s="140">
        <f>IF(Detailed_Comps!ER19="","",Detailed_Comps!ER19)</f>
        <v>133.25</v>
      </c>
      <c r="N34" s="140"/>
      <c r="O34" s="140">
        <f>IF(Detailed_Comps!ET19="","",Detailed_Comps!ET19)</f>
        <v>57.127000000000002</v>
      </c>
      <c r="P34" s="140"/>
      <c r="Q34" s="140">
        <f>IF(Detailed_Comps!BJ19="","",Detailed_Comps!BJ19)</f>
        <v>1.2661988027965212</v>
      </c>
      <c r="R34" s="140"/>
      <c r="S34" s="140">
        <f>IF(Detailed_Comps!BL19="","",Detailed_Comps!BL19)</f>
        <v>1.2822234218948829</v>
      </c>
      <c r="T34" s="140"/>
      <c r="U34" s="140">
        <f>IF(Detailed_Comps!BR19="","",Detailed_Comps!BR19)</f>
        <v>7.8372537003865368</v>
      </c>
      <c r="V34" s="140"/>
      <c r="W34" s="140">
        <f>IF(Detailed_Comps!BT19="","",Detailed_Comps!BT19)</f>
        <v>8.7533860374469992</v>
      </c>
      <c r="X34" s="172"/>
      <c r="Y34" s="140">
        <f>IF(Detailed_Comps!BZ19="","",Detailed_Comps!BZ19)</f>
        <v>16.803279</v>
      </c>
      <c r="Z34" s="140"/>
      <c r="AA34" s="140">
        <f>IF(Detailed_Comps!CB19="","",Detailed_Comps!CB19)</f>
        <v>27.429297822300001</v>
      </c>
    </row>
    <row r="35" spans="2:27" x14ac:dyDescent="0.2">
      <c r="B35" s="5" t="str">
        <f t="shared" si="0"/>
        <v>RPM-US</v>
      </c>
      <c r="D35" s="5" t="str">
        <f t="shared" si="1"/>
        <v>RPM International Inc. (NYSE:RPM)</v>
      </c>
      <c r="E35" s="140">
        <f>IF(Detailed_Comps!EH20="","",Detailed_Comps!EH20)</f>
        <v>2.1309999999999998</v>
      </c>
      <c r="F35" s="140"/>
      <c r="G35" s="140">
        <f>IF(Detailed_Comps!EJ20="","",Detailed_Comps!EJ20)</f>
        <v>1.9039999999999999</v>
      </c>
      <c r="H35" s="140"/>
      <c r="I35" s="140">
        <f>IF(Detailed_Comps!EN20="","",Detailed_Comps!EN20)</f>
        <v>9.8420000000000005</v>
      </c>
      <c r="J35" s="140"/>
      <c r="K35" s="140">
        <f>IF(Detailed_Comps!EP20="","",Detailed_Comps!EP20)</f>
        <v>8.0280000000000005</v>
      </c>
      <c r="L35" s="140"/>
      <c r="M35" s="140">
        <f>IF(Detailed_Comps!ER20="","",Detailed_Comps!ER20)</f>
        <v>98.507000000000005</v>
      </c>
      <c r="N35" s="140"/>
      <c r="O35" s="140">
        <f>IF(Detailed_Comps!ET20="","",Detailed_Comps!ET20)</f>
        <v>49.624000000000002</v>
      </c>
      <c r="P35" s="140"/>
      <c r="Q35" s="140">
        <f>IF(Detailed_Comps!BJ20="","",Detailed_Comps!BJ20)</f>
        <v>2.3434462045536928</v>
      </c>
      <c r="R35" s="140"/>
      <c r="S35" s="140">
        <f>IF(Detailed_Comps!BL20="","",Detailed_Comps!BL20)</f>
        <v>2.3444747236909174</v>
      </c>
      <c r="T35" s="140"/>
      <c r="U35" s="140">
        <f>IF(Detailed_Comps!BR20="","",Detailed_Comps!BR20)</f>
        <v>16.271943011655519</v>
      </c>
      <c r="V35" s="140"/>
      <c r="W35" s="140">
        <f>IF(Detailed_Comps!BT20="","",Detailed_Comps!BT20)</f>
        <v>15.404037031892679</v>
      </c>
      <c r="X35" s="172"/>
      <c r="Y35" s="140">
        <f>IF(Detailed_Comps!BZ20="","",Detailed_Comps!BZ20)</f>
        <v>24.822499000000001</v>
      </c>
      <c r="Z35" s="140"/>
      <c r="AA35" s="140">
        <f>IF(Detailed_Comps!CB20="","",Detailed_Comps!CB20)</f>
        <v>22.440074800200001</v>
      </c>
    </row>
    <row r="36" spans="2:27" x14ac:dyDescent="0.2">
      <c r="B36" s="5" t="str">
        <f t="shared" ref="B36" si="2">B15</f>
        <v>UAN-US</v>
      </c>
      <c r="D36" s="5" t="str">
        <f t="shared" ref="D36" si="3">D15</f>
        <v>CVR Partners, LP (NYSE:UAN)</v>
      </c>
      <c r="E36" s="140">
        <f>IF(Detailed_Comps!EH21="","",Detailed_Comps!EH21)</f>
        <v>1.927</v>
      </c>
      <c r="F36" s="140"/>
      <c r="G36" s="140">
        <f>IF(Detailed_Comps!EJ21="","",Detailed_Comps!EJ21)</f>
        <v>1.7709999999999999</v>
      </c>
      <c r="H36" s="140"/>
      <c r="I36" s="140">
        <f>IF(Detailed_Comps!EN21="","",Detailed_Comps!EN21)</f>
        <v>10.132999999999999</v>
      </c>
      <c r="J36" s="140"/>
      <c r="K36" s="140">
        <f>IF(Detailed_Comps!EP21="","",Detailed_Comps!EP21)</f>
        <v>9.2889999999999997</v>
      </c>
      <c r="L36" s="140"/>
      <c r="M36" s="140">
        <f>IF(Detailed_Comps!ER21="","",Detailed_Comps!ER21)</f>
        <v>184.762</v>
      </c>
      <c r="N36" s="140"/>
      <c r="O36" s="140">
        <f>IF(Detailed_Comps!ET21="","",Detailed_Comps!ET21)</f>
        <v>64.882999999999996</v>
      </c>
      <c r="P36" s="140"/>
      <c r="Q36" s="140">
        <f>IF(Detailed_Comps!BJ21="","",Detailed_Comps!BJ21)</f>
        <v>2.3701276352538403</v>
      </c>
      <c r="R36" s="140"/>
      <c r="S36" s="140" t="str">
        <f>IF(Detailed_Comps!BL21="","",Detailed_Comps!BL21)</f>
        <v>NA</v>
      </c>
      <c r="T36" s="140"/>
      <c r="U36" s="140">
        <f>IF(Detailed_Comps!BR21="","",Detailed_Comps!BR21)</f>
        <v>7.6842621874410488</v>
      </c>
      <c r="V36" s="140"/>
      <c r="W36" s="140" t="str">
        <f>IF(Detailed_Comps!BT21="","",Detailed_Comps!BT21)</f>
        <v>NA</v>
      </c>
      <c r="X36" s="172"/>
      <c r="Y36" s="140">
        <f>IF(Detailed_Comps!BZ21="","",Detailed_Comps!BZ21)</f>
        <v>9.6186120000000006</v>
      </c>
      <c r="Z36" s="140"/>
      <c r="AA36" s="140" t="str">
        <f>IF(Detailed_Comps!CB21="","",Detailed_Comps!CB21)</f>
        <v>NA</v>
      </c>
    </row>
    <row r="37" spans="2:27" x14ac:dyDescent="0.2">
      <c r="E37" s="140"/>
      <c r="F37" s="140"/>
      <c r="G37" s="140"/>
      <c r="H37" s="140"/>
      <c r="I37" s="140"/>
      <c r="J37" s="140"/>
      <c r="K37" s="140"/>
      <c r="L37" s="140"/>
      <c r="M37" s="140"/>
      <c r="N37" s="140"/>
      <c r="O37" s="140"/>
      <c r="P37" s="140"/>
      <c r="Q37" s="140"/>
      <c r="R37" s="140"/>
      <c r="S37" s="140"/>
      <c r="T37" s="140"/>
      <c r="U37" s="140"/>
      <c r="V37" s="140"/>
      <c r="W37" s="140"/>
      <c r="X37" s="172"/>
      <c r="Y37" s="140"/>
      <c r="Z37" s="140"/>
      <c r="AA37" s="140"/>
    </row>
    <row r="38" spans="2:27" x14ac:dyDescent="0.2">
      <c r="D38" s="102" t="str">
        <f>D17</f>
        <v>Max</v>
      </c>
      <c r="E38" s="163">
        <f>IF(COUNT(E27:E36)=0,"NA",MAX(E27:E36))</f>
        <v>5.5910000000000002</v>
      </c>
      <c r="F38" s="163"/>
      <c r="G38" s="163">
        <f>IF(COUNT(G27:G36)=0,"NA",MAX(G27:G36))</f>
        <v>5.4969999999999999</v>
      </c>
      <c r="H38" s="163"/>
      <c r="I38" s="163">
        <f>IF(COUNT(I27:I36)=0,"NA",MAX(I27:I36))</f>
        <v>21.86</v>
      </c>
      <c r="J38" s="163"/>
      <c r="K38" s="163">
        <f>IF(COUNT(K27:K36)=0,"NA",MAX(K27:K36))</f>
        <v>18.533000000000001</v>
      </c>
      <c r="L38" s="163"/>
      <c r="M38" s="163">
        <f>IF(COUNT(M27:M36)=0,"NA",MAX(M27:M36))</f>
        <v>203.68299999999999</v>
      </c>
      <c r="N38" s="163"/>
      <c r="O38" s="163">
        <f>IF(COUNT(O27:O36)=0,"NA",MAX(O27:O36))</f>
        <v>110.129</v>
      </c>
      <c r="P38" s="163"/>
      <c r="Q38" s="163">
        <f>IF(COUNT(Q27:Q36)=0,"NA",MAX(Q27:Q36))</f>
        <v>3.1513679777437984</v>
      </c>
      <c r="R38" s="163"/>
      <c r="S38" s="163">
        <f>IF(COUNT(S27:S36)=0,"NA",MAX(S27:S36))</f>
        <v>3.198095158103448</v>
      </c>
      <c r="T38" s="163"/>
      <c r="U38" s="163">
        <f>IF(COUNT(U27:U36)=0,"NA",MAX(U27:U36))</f>
        <v>20.477000639455785</v>
      </c>
      <c r="V38" s="163"/>
      <c r="W38" s="163">
        <f>IF(COUNT(W27:W36)=0,"NA",MAX(W27:W36))</f>
        <v>15.404037031892679</v>
      </c>
      <c r="X38" s="172"/>
      <c r="Y38" s="163">
        <f>IF(COUNT(Y27:Y36)=0,"NA",MAX(Y27:Y36))</f>
        <v>68.538754999999995</v>
      </c>
      <c r="Z38" s="163"/>
      <c r="AA38" s="163">
        <f>IF(COUNT(AA27:AA36)=0,"NA",MAX(AA27:AA36))</f>
        <v>140.99647898289999</v>
      </c>
    </row>
    <row r="39" spans="2:27" x14ac:dyDescent="0.2">
      <c r="D39" s="104" t="str">
        <f>D18</f>
        <v>Median</v>
      </c>
      <c r="E39" s="164">
        <f>IFERROR(MEDIAN(E27:E36),"NA")</f>
        <v>2.1159999999999997</v>
      </c>
      <c r="F39" s="164"/>
      <c r="G39" s="164">
        <f>IFERROR(MEDIAN(G27:G36),"NA")</f>
        <v>1.9430000000000001</v>
      </c>
      <c r="H39" s="164"/>
      <c r="I39" s="164">
        <f>IFERROR(MEDIAN(I27:I36),"NA")</f>
        <v>9.1885000000000012</v>
      </c>
      <c r="J39" s="164"/>
      <c r="K39" s="164">
        <f>IFERROR(MEDIAN(K27:K36),"NA")</f>
        <v>6.641</v>
      </c>
      <c r="L39" s="164"/>
      <c r="M39" s="164">
        <f>IFERROR(MEDIAN(M27:M36),"NA")</f>
        <v>59.459000000000003</v>
      </c>
      <c r="N39" s="164"/>
      <c r="O39" s="164">
        <f>IFERROR(MEDIAN(O27:O36),"NA")</f>
        <v>43.456000000000003</v>
      </c>
      <c r="P39" s="164"/>
      <c r="Q39" s="164">
        <f>IFERROR(MEDIAN(Q27:Q36),"NA")</f>
        <v>2.0151573654286148</v>
      </c>
      <c r="R39" s="164"/>
      <c r="S39" s="164">
        <f>IFERROR(MEDIAN(S27:S36),"NA")</f>
        <v>2.0032091012061817</v>
      </c>
      <c r="T39" s="164"/>
      <c r="U39" s="164">
        <f>IFERROR(MEDIAN(U27:U36),"NA")</f>
        <v>9.2214743312349761</v>
      </c>
      <c r="V39" s="164"/>
      <c r="W39" s="164">
        <f>IFERROR(MEDIAN(W27:W36),"NA")</f>
        <v>11.899546035299993</v>
      </c>
      <c r="X39" s="172"/>
      <c r="Y39" s="164">
        <f>IFERROR(MEDIAN(Y27:Y36),"NA")</f>
        <v>20.812888999999998</v>
      </c>
      <c r="Z39" s="164"/>
      <c r="AA39" s="164">
        <f>IFERROR(MEDIAN(AA27:AA36),"NA")</f>
        <v>22.440074800200001</v>
      </c>
    </row>
    <row r="40" spans="2:27" x14ac:dyDescent="0.2">
      <c r="D40" s="104" t="str">
        <f>D19</f>
        <v>Min</v>
      </c>
      <c r="E40" s="164">
        <f>IF(COUNT(E27:E36)=0,"NA",MIN(E27:E36))</f>
        <v>0.87</v>
      </c>
      <c r="F40" s="164"/>
      <c r="G40" s="164">
        <f>IF(COUNT(G27:G36)=0,"NA",MIN(G27:G36))</f>
        <v>6.8000000000000005E-2</v>
      </c>
      <c r="H40" s="164"/>
      <c r="I40" s="164">
        <f>IF(COUNT(I27:I36)=0,"NA",MIN(I27:I36))</f>
        <v>2.919</v>
      </c>
      <c r="J40" s="164"/>
      <c r="K40" s="164">
        <f>IF(COUNT(K27:K36)=0,"NA",MIN(K27:K36))</f>
        <v>2.3980000000000001</v>
      </c>
      <c r="L40" s="164"/>
      <c r="M40" s="164">
        <f>IF(COUNT(M27:M36)=0,"NA",MIN(M27:M36))</f>
        <v>11.769</v>
      </c>
      <c r="N40" s="164"/>
      <c r="O40" s="164">
        <f>IF(COUNT(O27:O36)=0,"NA",MIN(O27:O36))</f>
        <v>10.529</v>
      </c>
      <c r="P40" s="164"/>
      <c r="Q40" s="164">
        <f>IF(COUNT(Q27:Q36)=0,"NA",MIN(Q27:Q36))</f>
        <v>1.0112948409205442</v>
      </c>
      <c r="R40" s="164"/>
      <c r="S40" s="164">
        <f>IF(COUNT(S27:S36)=0,"NA",MIN(S27:S36))</f>
        <v>0.9814069343414904</v>
      </c>
      <c r="T40" s="164"/>
      <c r="U40" s="164">
        <f>IF(COUNT(U27:U36)=0,"NA",MIN(U27:U36))</f>
        <v>-17.791345276501122</v>
      </c>
      <c r="V40" s="164"/>
      <c r="W40" s="164">
        <f>IF(COUNT(W27:W36)=0,"NA",MIN(W27:W36))</f>
        <v>5.7284430390725634</v>
      </c>
      <c r="X40" s="172"/>
      <c r="Y40" s="164">
        <f>IF(COUNT(Y27:Y36)=0,"NA",MIN(Y27:Y36))</f>
        <v>9.6186120000000006</v>
      </c>
      <c r="Z40" s="164"/>
      <c r="AA40" s="164">
        <f>IF(COUNT(AA27:AA36)=0,"NA",MIN(AA27:AA36))</f>
        <v>11.195465286899999</v>
      </c>
    </row>
    <row r="41" spans="2:27" x14ac:dyDescent="0.2">
      <c r="D41" s="106" t="str">
        <f>D20</f>
        <v>Mean</v>
      </c>
      <c r="E41" s="165">
        <f>IFERROR(AVERAGE(E27:E36),"NA")</f>
        <v>2.8018000000000001</v>
      </c>
      <c r="F41" s="165"/>
      <c r="G41" s="165">
        <f>IFERROR(AVERAGE(G27:G36),"NA")</f>
        <v>2.2791000000000001</v>
      </c>
      <c r="H41" s="165"/>
      <c r="I41" s="165">
        <f>IFERROR(AVERAGE(I27:I36),"NA")</f>
        <v>10.062299999999999</v>
      </c>
      <c r="J41" s="165"/>
      <c r="K41" s="165">
        <f>IFERROR(AVERAGE(K27:K36),"NA")</f>
        <v>7.7944444444444434</v>
      </c>
      <c r="L41" s="165"/>
      <c r="M41" s="165">
        <f>IFERROR(AVERAGE(M27:M36),"NA")</f>
        <v>89.640555555555537</v>
      </c>
      <c r="N41" s="165"/>
      <c r="O41" s="165">
        <f>IFERROR(AVERAGE(O27:O36),"NA")</f>
        <v>47.966500000000003</v>
      </c>
      <c r="P41" s="165"/>
      <c r="Q41" s="165">
        <f>IFERROR(AVERAGE(Q27:Q36),"NA")</f>
        <v>1.9588571339895939</v>
      </c>
      <c r="R41" s="165"/>
      <c r="S41" s="165">
        <f>IFERROR(AVERAGE(S27:S36),"NA")</f>
        <v>1.9830368501082623</v>
      </c>
      <c r="T41" s="165"/>
      <c r="U41" s="165">
        <f>IFERROR(AVERAGE(U27:U36),"NA")</f>
        <v>8.7341842146621111</v>
      </c>
      <c r="V41" s="165"/>
      <c r="W41" s="165">
        <f>IFERROR(AVERAGE(W27:W36),"NA")</f>
        <v>11.000575055964125</v>
      </c>
      <c r="X41" s="172"/>
      <c r="Y41" s="165">
        <f>IFERROR(AVERAGE(Y27:Y36),"NA")</f>
        <v>26.165815250000001</v>
      </c>
      <c r="Z41" s="165"/>
      <c r="AA41" s="165">
        <f>IFERROR(AVERAGE(AA27:AA36),"NA")</f>
        <v>41.960021127611107</v>
      </c>
    </row>
    <row r="42" spans="2:27" x14ac:dyDescent="0.2">
      <c r="E42" s="140"/>
      <c r="F42" s="140"/>
      <c r="G42" s="140"/>
      <c r="H42" s="140"/>
      <c r="I42" s="140"/>
      <c r="J42" s="140"/>
      <c r="K42" s="140"/>
      <c r="L42" s="140"/>
      <c r="M42" s="140"/>
      <c r="N42" s="140"/>
      <c r="O42" s="140"/>
      <c r="P42" s="140"/>
      <c r="Q42" s="140"/>
      <c r="R42" s="140"/>
      <c r="S42" s="140"/>
      <c r="T42" s="140"/>
      <c r="U42" s="140"/>
      <c r="V42" s="140"/>
      <c r="W42" s="140"/>
      <c r="X42" s="172"/>
      <c r="Y42" s="140"/>
      <c r="Z42" s="140"/>
      <c r="AA42" s="140"/>
    </row>
    <row r="43" spans="2:27" x14ac:dyDescent="0.2">
      <c r="B43" s="8" t="str">
        <f>B22</f>
        <v>FMC-US</v>
      </c>
      <c r="C43" s="8"/>
      <c r="D43" s="8" t="str">
        <f>D22</f>
        <v>FMC Corporation (NYSE:FMC)</v>
      </c>
      <c r="E43" s="162">
        <f>IF(Detailed_Comps!EH28="","",Detailed_Comps!EH28)</f>
        <v>4.5110000000000001</v>
      </c>
      <c r="F43" s="162"/>
      <c r="G43" s="162">
        <f>IF(Detailed_Comps!EJ28="","",Detailed_Comps!EJ28)</f>
        <v>4.1790000000000003</v>
      </c>
      <c r="H43" s="162"/>
      <c r="I43" s="162">
        <f>IF(Detailed_Comps!EN28="","",Detailed_Comps!EN28)</f>
        <v>3.8359999999999999</v>
      </c>
      <c r="J43" s="162"/>
      <c r="K43" s="162">
        <f>IF(Detailed_Comps!EP28="","",Detailed_Comps!EP28)</f>
        <v>3.2719999999999998</v>
      </c>
      <c r="L43" s="162"/>
      <c r="M43" s="162">
        <f>IF(Detailed_Comps!ER28="","",Detailed_Comps!ER28)</f>
        <v>92.596999999999994</v>
      </c>
      <c r="N43" s="162"/>
      <c r="O43" s="162">
        <f>IF(Detailed_Comps!ET28="","",Detailed_Comps!ET28)</f>
        <v>48.078000000000003</v>
      </c>
      <c r="P43" s="162"/>
      <c r="Q43" s="162">
        <f>IF(Detailed_Comps!BJ28="","",Detailed_Comps!BJ28)</f>
        <v>2.9460427279404566</v>
      </c>
      <c r="R43" s="162"/>
      <c r="S43" s="162">
        <f>IF(Detailed_Comps!BL28="","",Detailed_Comps!BL28)</f>
        <v>2.7434603096215233</v>
      </c>
      <c r="T43" s="162"/>
      <c r="U43" s="162">
        <f>IF(Detailed_Comps!BR28="","",Detailed_Comps!BR28)</f>
        <v>17.786869058388767</v>
      </c>
      <c r="V43" s="162"/>
      <c r="W43" s="162">
        <f>IF(Detailed_Comps!BT28="","",Detailed_Comps!BT28)</f>
        <v>13.273929308328738</v>
      </c>
      <c r="X43" s="172"/>
      <c r="Y43" s="162">
        <f>IF(Detailed_Comps!BZ28="","",Detailed_Comps!BZ28)</f>
        <v>6.4337619999999998</v>
      </c>
      <c r="Z43" s="162"/>
      <c r="AA43" s="162">
        <f>IF(Detailed_Comps!CB28="","",Detailed_Comps!CB28)</f>
        <v>19.745226777100001</v>
      </c>
    </row>
    <row r="46" spans="2:27" x14ac:dyDescent="0.2">
      <c r="E46" s="17" t="s">
        <v>831</v>
      </c>
      <c r="F46" s="17"/>
      <c r="G46" s="17"/>
      <c r="H46" s="17"/>
      <c r="I46" s="17"/>
      <c r="K46" s="17" t="s">
        <v>830</v>
      </c>
      <c r="L46" s="17"/>
      <c r="M46" s="17"/>
      <c r="O46" s="17" t="s">
        <v>1510</v>
      </c>
      <c r="P46" s="17"/>
      <c r="Q46" s="17"/>
      <c r="S46" s="17" t="s">
        <v>1505</v>
      </c>
      <c r="T46" s="17"/>
      <c r="U46" s="17"/>
      <c r="V46" s="17"/>
      <c r="W46" s="17"/>
      <c r="Y46" s="17" t="s">
        <v>821</v>
      </c>
      <c r="Z46" s="17"/>
      <c r="AA46" s="17"/>
    </row>
    <row r="47" spans="2:27" x14ac:dyDescent="0.2">
      <c r="B47" s="88" t="s">
        <v>784</v>
      </c>
      <c r="D47" s="82" t="s">
        <v>829</v>
      </c>
      <c r="E47" s="90" t="s">
        <v>828</v>
      </c>
      <c r="G47" s="90" t="s">
        <v>728</v>
      </c>
      <c r="I47" s="90" t="s">
        <v>816</v>
      </c>
      <c r="K47" s="90" t="s">
        <v>728</v>
      </c>
      <c r="M47" s="90" t="s">
        <v>681</v>
      </c>
      <c r="O47" s="90" t="s">
        <v>811</v>
      </c>
      <c r="Q47" s="90" t="s">
        <v>783</v>
      </c>
      <c r="S47" s="90" t="s">
        <v>827</v>
      </c>
      <c r="U47" s="90" t="s">
        <v>826</v>
      </c>
      <c r="W47" s="90" t="s">
        <v>825</v>
      </c>
      <c r="Y47" s="90" t="s">
        <v>794</v>
      </c>
      <c r="AA47" s="90" t="s">
        <v>1426</v>
      </c>
    </row>
    <row r="48" spans="2:27" x14ac:dyDescent="0.2">
      <c r="B48" s="5" t="str">
        <f t="shared" ref="B48:B56" si="4">B27</f>
        <v>MOS-US</v>
      </c>
      <c r="D48" s="5" t="str">
        <f t="shared" ref="D48:D56" si="5">D27</f>
        <v>The Mosaic Company (NYSE:MOS)</v>
      </c>
      <c r="E48" s="140">
        <f>IF(Detailed_Comps!DJ12="","",Detailed_Comps!DJ12)</f>
        <v>7.0609999999999999</v>
      </c>
      <c r="F48" s="141"/>
      <c r="G48" s="140">
        <f>IF(Detailed_Comps!DR12="","",Detailed_Comps!DR12)</f>
        <v>-2.91</v>
      </c>
      <c r="H48" s="141"/>
      <c r="I48" s="140">
        <f>IF(Detailed_Comps!DZ12="","",Detailed_Comps!DZ12)</f>
        <v>25.99210498948732</v>
      </c>
      <c r="J48" s="141"/>
      <c r="K48" s="140">
        <f>IF(Detailed_Comps!CX12="","",Detailed_Comps!CX12)</f>
        <v>15.882</v>
      </c>
      <c r="L48" s="141"/>
      <c r="M48" s="140">
        <f>IF(Detailed_Comps!DF12="","",Detailed_Comps!DF12)</f>
        <v>2.008</v>
      </c>
      <c r="N48" s="141"/>
      <c r="O48" s="140">
        <f>IF(Detailed_Comps!FD12="","",Detailed_Comps!FD12)</f>
        <v>0.46899999999999997</v>
      </c>
      <c r="P48" s="141"/>
      <c r="Q48" s="140">
        <f>IF(Detailed_Comps!FB12="","",Detailed_Comps!FB12)</f>
        <v>1.155</v>
      </c>
      <c r="R48" s="141"/>
      <c r="S48" s="134">
        <f>IF(Detailed_Comps!FF12="","",Detailed_Comps!FF12)</f>
        <v>37.634</v>
      </c>
      <c r="T48" s="134"/>
      <c r="U48" s="134">
        <f>IF(Detailed_Comps!FJ12="","",Detailed_Comps!FJ12)</f>
        <v>58.529000000000003</v>
      </c>
      <c r="V48" s="134"/>
      <c r="W48" s="134">
        <f>IF(Detailed_Comps!FH12="","",Detailed_Comps!FH12)</f>
        <v>100.042</v>
      </c>
      <c r="X48" s="141"/>
      <c r="Y48" s="140">
        <f>IF(Detailed_Comps!EV12="","",Detailed_Comps!EV12)</f>
        <v>2.2690000000000001</v>
      </c>
      <c r="Z48" s="141"/>
      <c r="AA48" s="140">
        <f>IF(Detailed_Comps!EZ12="","",Detailed_Comps!EZ12)</f>
        <v>3.18</v>
      </c>
    </row>
    <row r="49" spans="2:27" x14ac:dyDescent="0.2">
      <c r="B49" s="5" t="str">
        <f t="shared" si="4"/>
        <v>CF-US</v>
      </c>
      <c r="D49" s="5" t="str">
        <f t="shared" si="5"/>
        <v>CF Industries Holdings, Inc. (NYSE:CF)</v>
      </c>
      <c r="E49" s="140">
        <f>IF(Detailed_Comps!DJ13="","",Detailed_Comps!DJ13)</f>
        <v>8.6829999999999998</v>
      </c>
      <c r="F49" s="141"/>
      <c r="G49" s="140">
        <f>IF(Detailed_Comps!DR13="","",Detailed_Comps!DR13)</f>
        <v>13.631</v>
      </c>
      <c r="H49" s="141"/>
      <c r="I49" s="140">
        <f>IF(Detailed_Comps!DZ13="","",Detailed_Comps!DZ13)</f>
        <v>74.881275404534946</v>
      </c>
      <c r="J49" s="141"/>
      <c r="K49" s="140">
        <f>IF(Detailed_Comps!CX13="","",Detailed_Comps!CX13)</f>
        <v>43.697000000000003</v>
      </c>
      <c r="L49" s="141"/>
      <c r="M49" s="140">
        <f>IF(Detailed_Comps!DF13="","",Detailed_Comps!DF13)</f>
        <v>17.873000000000001</v>
      </c>
      <c r="N49" s="141"/>
      <c r="O49" s="140">
        <f>IF(Detailed_Comps!FD13="","",Detailed_Comps!FD13)</f>
        <v>3.9430000000000001</v>
      </c>
      <c r="P49" s="141"/>
      <c r="Q49" s="140">
        <f>IF(Detailed_Comps!FB13="","",Detailed_Comps!FB13)</f>
        <v>4.7</v>
      </c>
      <c r="R49" s="141"/>
      <c r="S49" s="134">
        <f>IF(Detailed_Comps!FF13="","",Detailed_Comps!FF13)</f>
        <v>28.571999999999999</v>
      </c>
      <c r="T49" s="134"/>
      <c r="U49" s="134">
        <f>IF(Detailed_Comps!FJ13="","",Detailed_Comps!FJ13)</f>
        <v>44.636000000000003</v>
      </c>
      <c r="V49" s="134"/>
      <c r="W49" s="134">
        <f>IF(Detailed_Comps!FH13="","",Detailed_Comps!FH13)</f>
        <v>28.99</v>
      </c>
      <c r="X49" s="141"/>
      <c r="Y49" s="140">
        <f>IF(Detailed_Comps!EV13="","",Detailed_Comps!EV13)</f>
        <v>15.955</v>
      </c>
      <c r="Z49" s="141"/>
      <c r="AA49" s="140">
        <f>IF(Detailed_Comps!EZ13="","",Detailed_Comps!EZ13)</f>
        <v>8.9610000000000003</v>
      </c>
    </row>
    <row r="50" spans="2:27" x14ac:dyDescent="0.2">
      <c r="B50" s="5" t="str">
        <f t="shared" si="4"/>
        <v>SMG-US</v>
      </c>
      <c r="D50" s="5" t="str">
        <f t="shared" si="5"/>
        <v>The Scotts Miracle-Gro Company (NYSE:SMG)</v>
      </c>
      <c r="E50" s="140">
        <f>IF(Detailed_Comps!DJ14="","",Detailed_Comps!DJ14)</f>
        <v>-11.558999999999999</v>
      </c>
      <c r="F50" s="141"/>
      <c r="G50" s="140">
        <f>IF(Detailed_Comps!DR14="","",Detailed_Comps!DR14)</f>
        <v>-21.670999999999999</v>
      </c>
      <c r="H50" s="141"/>
      <c r="I50" s="140">
        <f>IF(Detailed_Comps!DZ14="","",Detailed_Comps!DZ14)</f>
        <v>-199.19312359806418</v>
      </c>
      <c r="J50" s="141"/>
      <c r="K50" s="140">
        <f>IF(Detailed_Comps!CX14="","",Detailed_Comps!CX14)</f>
        <v>12.259</v>
      </c>
      <c r="L50" s="141"/>
      <c r="M50" s="140">
        <f>IF(Detailed_Comps!DF14="","",Detailed_Comps!DF14)</f>
        <v>-7.3819999999999997</v>
      </c>
      <c r="N50" s="141"/>
      <c r="O50" s="140">
        <f>IF(Detailed_Comps!FD14="","",Detailed_Comps!FD14)</f>
        <v>0.93200000000000005</v>
      </c>
      <c r="P50" s="141"/>
      <c r="Q50" s="140">
        <f>IF(Detailed_Comps!FB14="","",Detailed_Comps!FB14)</f>
        <v>1.8009999999999999</v>
      </c>
      <c r="R50" s="141"/>
      <c r="S50" s="134">
        <f>IF(Detailed_Comps!FF14="","",Detailed_Comps!FF14)</f>
        <v>86.245999999999995</v>
      </c>
      <c r="T50" s="134"/>
      <c r="U50" s="134">
        <f>IF(Detailed_Comps!FJ14="","",Detailed_Comps!FJ14)</f>
        <v>53.515000000000001</v>
      </c>
      <c r="V50" s="134"/>
      <c r="W50" s="134">
        <f>IF(Detailed_Comps!FH14="","",Detailed_Comps!FH14)</f>
        <v>104.46299999999999</v>
      </c>
      <c r="X50" s="141"/>
      <c r="Y50" s="140">
        <f>IF(Detailed_Comps!EV14="","",Detailed_Comps!EV14)</f>
        <v>4549.1229999999996</v>
      </c>
      <c r="Z50" s="141"/>
      <c r="AA50" s="140">
        <f>IF(Detailed_Comps!EZ14="","",Detailed_Comps!EZ14)</f>
        <v>7.0650000000000004</v>
      </c>
    </row>
    <row r="51" spans="2:27" x14ac:dyDescent="0.2">
      <c r="B51" s="5" t="str">
        <f t="shared" si="4"/>
        <v>CTVA-US</v>
      </c>
      <c r="D51" s="5" t="str">
        <f t="shared" si="5"/>
        <v>Corteva, Inc. (NYSE:CTVA)</v>
      </c>
      <c r="E51" s="140">
        <f>IF(Detailed_Comps!DJ15="","",Detailed_Comps!DJ15)</f>
        <v>4.3479999999999999</v>
      </c>
      <c r="F51" s="141"/>
      <c r="G51" s="140">
        <f>IF(Detailed_Comps!DR15="","",Detailed_Comps!DR15)</f>
        <v>0.51300000000000001</v>
      </c>
      <c r="H51" s="141"/>
      <c r="I51" s="140">
        <f>IF(Detailed_Comps!DZ15="","",Detailed_Comps!DZ15)</f>
        <v>4.4509645192608582</v>
      </c>
      <c r="J51" s="141"/>
      <c r="K51" s="140">
        <f>IF(Detailed_Comps!CX15="","",Detailed_Comps!CX15)</f>
        <v>19.016999999999999</v>
      </c>
      <c r="L51" s="141"/>
      <c r="M51" s="140">
        <f>IF(Detailed_Comps!DF15="","",Detailed_Comps!DF15)</f>
        <v>5.3129999999999997</v>
      </c>
      <c r="N51" s="141"/>
      <c r="O51" s="140">
        <f>IF(Detailed_Comps!FD15="","",Detailed_Comps!FD15)</f>
        <v>1.073</v>
      </c>
      <c r="P51" s="141"/>
      <c r="Q51" s="140">
        <f>IF(Detailed_Comps!FB15="","",Detailed_Comps!FB15)</f>
        <v>1.716</v>
      </c>
      <c r="R51" s="141"/>
      <c r="S51" s="134">
        <f>IF(Detailed_Comps!FF15="","",Detailed_Comps!FF15)</f>
        <v>140.96600000000001</v>
      </c>
      <c r="T51" s="134"/>
      <c r="U51" s="134">
        <f>IF(Detailed_Comps!FJ15="","",Detailed_Comps!FJ15)</f>
        <v>139.16200000000001</v>
      </c>
      <c r="V51" s="134"/>
      <c r="W51" s="134">
        <f>IF(Detailed_Comps!FH15="","",Detailed_Comps!FH15)</f>
        <v>202.28399999999999</v>
      </c>
      <c r="X51" s="141"/>
      <c r="Y51" s="140">
        <f>IF(Detailed_Comps!EV15="","",Detailed_Comps!EV15)</f>
        <v>3.415</v>
      </c>
      <c r="Z51" s="141"/>
      <c r="AA51" s="140">
        <f>IF(Detailed_Comps!EZ15="","",Detailed_Comps!EZ15)</f>
        <v>3.9910000000000001</v>
      </c>
    </row>
    <row r="52" spans="2:27" x14ac:dyDescent="0.2">
      <c r="B52" s="5" t="str">
        <f t="shared" si="4"/>
        <v>AXTA-US</v>
      </c>
      <c r="D52" s="5" t="str">
        <f t="shared" si="5"/>
        <v>Axalta Coating Systems Ltd. (NYSE:AXTA)</v>
      </c>
      <c r="E52" s="140">
        <f>IF(Detailed_Comps!DJ16="","",Detailed_Comps!DJ16)</f>
        <v>6.9560000000000004</v>
      </c>
      <c r="F52" s="141"/>
      <c r="G52" s="140">
        <f>IF(Detailed_Comps!DR16="","",Detailed_Comps!DR16)</f>
        <v>1.29</v>
      </c>
      <c r="H52" s="141"/>
      <c r="I52" s="140">
        <f>IF(Detailed_Comps!DZ16="","",Detailed_Comps!DZ16)</f>
        <v>32.769486549449887</v>
      </c>
      <c r="J52" s="141"/>
      <c r="K52" s="140">
        <f>IF(Detailed_Comps!CX16="","",Detailed_Comps!CX16)</f>
        <v>19.085999999999999</v>
      </c>
      <c r="L52" s="141"/>
      <c r="M52" s="140">
        <f>IF(Detailed_Comps!DF16="","",Detailed_Comps!DF16)</f>
        <v>5.6829999999999998</v>
      </c>
      <c r="N52" s="141"/>
      <c r="O52" s="140">
        <f>IF(Detailed_Comps!FD16="","",Detailed_Comps!FD16)</f>
        <v>1.5509999999999999</v>
      </c>
      <c r="P52" s="141"/>
      <c r="Q52" s="140">
        <f>IF(Detailed_Comps!FB16="","",Detailed_Comps!FB16)</f>
        <v>2.258</v>
      </c>
      <c r="R52" s="141"/>
      <c r="S52" s="134">
        <f>IF(Detailed_Comps!FF16="","",Detailed_Comps!FF16)</f>
        <v>77.198999999999998</v>
      </c>
      <c r="T52" s="134"/>
      <c r="U52" s="134">
        <f>IF(Detailed_Comps!FJ16="","",Detailed_Comps!FJ16)</f>
        <v>74.063999999999993</v>
      </c>
      <c r="V52" s="134"/>
      <c r="W52" s="134">
        <f>IF(Detailed_Comps!FH16="","",Detailed_Comps!FH16)</f>
        <v>78.510999999999996</v>
      </c>
      <c r="X52" s="141"/>
      <c r="Y52" s="140">
        <f>IF(Detailed_Comps!EV16="","",Detailed_Comps!EV16)</f>
        <v>17.023</v>
      </c>
      <c r="Z52" s="141"/>
      <c r="AA52" s="140">
        <f>IF(Detailed_Comps!EZ16="","",Detailed_Comps!EZ16)</f>
        <v>8.5020000000000007</v>
      </c>
    </row>
    <row r="53" spans="2:27" x14ac:dyDescent="0.2">
      <c r="B53" s="5" t="str">
        <f t="shared" si="4"/>
        <v>ALB-US</v>
      </c>
      <c r="D53" s="5" t="str">
        <f t="shared" si="5"/>
        <v>Albemarle Corporation (NYSE:ALB)</v>
      </c>
      <c r="E53" s="140">
        <f>IF(Detailed_Comps!DJ17="","",Detailed_Comps!DJ17)</f>
        <v>32.182000000000002</v>
      </c>
      <c r="F53" s="141"/>
      <c r="G53" s="140">
        <f>IF(Detailed_Comps!DR17="","",Detailed_Comps!DR17)</f>
        <v>2.5169999999999999</v>
      </c>
      <c r="H53" s="141"/>
      <c r="I53" s="140">
        <f>IF(Detailed_Comps!DZ17="","",Detailed_Comps!DZ17)</f>
        <v>56.011860718916282</v>
      </c>
      <c r="J53" s="141"/>
      <c r="K53" s="140">
        <f>IF(Detailed_Comps!CX17="","",Detailed_Comps!CX17)</f>
        <v>-11.276</v>
      </c>
      <c r="L53" s="141"/>
      <c r="M53" s="140">
        <f>IF(Detailed_Comps!DF17="","",Detailed_Comps!DF17)</f>
        <v>-6.7160000000000002</v>
      </c>
      <c r="N53" s="141"/>
      <c r="O53" s="140">
        <f>IF(Detailed_Comps!FD17="","",Detailed_Comps!FD17)</f>
        <v>1.546</v>
      </c>
      <c r="P53" s="141"/>
      <c r="Q53" s="140">
        <f>IF(Detailed_Comps!FB17="","",Detailed_Comps!FB17)</f>
        <v>2.6680000000000001</v>
      </c>
      <c r="R53" s="141"/>
      <c r="S53" s="134">
        <f>IF(Detailed_Comps!FF17="","",Detailed_Comps!FF17)</f>
        <v>52.261000000000003</v>
      </c>
      <c r="T53" s="134"/>
      <c r="U53" s="134">
        <f>IF(Detailed_Comps!FJ17="","",Detailed_Comps!FJ17)</f>
        <v>128.96199999999999</v>
      </c>
      <c r="V53" s="134"/>
      <c r="W53" s="134">
        <f>IF(Detailed_Comps!FH17="","",Detailed_Comps!FH17)</f>
        <v>123.821</v>
      </c>
      <c r="X53" s="141"/>
      <c r="Y53" s="140">
        <f>IF(Detailed_Comps!EV17="","",Detailed_Comps!EV17)</f>
        <v>-4.1029999999999998</v>
      </c>
      <c r="Z53" s="141"/>
      <c r="AA53" s="140">
        <f>IF(Detailed_Comps!EZ17="","",Detailed_Comps!EZ17)</f>
        <v>-5.851</v>
      </c>
    </row>
    <row r="54" spans="2:27" x14ac:dyDescent="0.2">
      <c r="B54" s="5" t="str">
        <f t="shared" si="4"/>
        <v>HUN-US</v>
      </c>
      <c r="D54" s="5" t="str">
        <f t="shared" si="5"/>
        <v>Huntsman Corporation (NYSE:HUN)</v>
      </c>
      <c r="E54" s="140">
        <f>IF(Detailed_Comps!DJ18="","",Detailed_Comps!DJ18)</f>
        <v>-3.57</v>
      </c>
      <c r="F54" s="141"/>
      <c r="G54" s="140">
        <f>IF(Detailed_Comps!DR18="","",Detailed_Comps!DR18)</f>
        <v>-29.045000000000002</v>
      </c>
      <c r="H54" s="141"/>
      <c r="I54" s="140">
        <f>IF(Detailed_Comps!DZ18="","",Detailed_Comps!DZ18)</f>
        <v>-50.484735387038036</v>
      </c>
      <c r="J54" s="141"/>
      <c r="K54" s="140">
        <f>IF(Detailed_Comps!CX18="","",Detailed_Comps!CX18)</f>
        <v>4.9390000000000001</v>
      </c>
      <c r="L54" s="141"/>
      <c r="M54" s="140">
        <f>IF(Detailed_Comps!DF18="","",Detailed_Comps!DF18)</f>
        <v>-1.4450000000000001</v>
      </c>
      <c r="N54" s="141"/>
      <c r="O54" s="140">
        <f>IF(Detailed_Comps!FD18="","",Detailed_Comps!FD18)</f>
        <v>0.70099999999999996</v>
      </c>
      <c r="P54" s="141"/>
      <c r="Q54" s="140">
        <f>IF(Detailed_Comps!FB18="","",Detailed_Comps!FB18)</f>
        <v>1.304</v>
      </c>
      <c r="R54" s="141"/>
      <c r="S54" s="134">
        <f>IF(Detailed_Comps!FF18="","",Detailed_Comps!FF18)</f>
        <v>53.427</v>
      </c>
      <c r="T54" s="134"/>
      <c r="U54" s="134">
        <f>IF(Detailed_Comps!FJ18="","",Detailed_Comps!FJ18)</f>
        <v>53.624000000000002</v>
      </c>
      <c r="V54" s="134"/>
      <c r="W54" s="134">
        <f>IF(Detailed_Comps!FH18="","",Detailed_Comps!FH18)</f>
        <v>69.08</v>
      </c>
      <c r="X54" s="141"/>
      <c r="Y54" s="140">
        <f>IF(Detailed_Comps!EV18="","",Detailed_Comps!EV18)</f>
        <v>-0.752</v>
      </c>
      <c r="Z54" s="141"/>
      <c r="AA54" s="140">
        <f>IF(Detailed_Comps!EZ18="","",Detailed_Comps!EZ18)</f>
        <v>0.28299999999999997</v>
      </c>
    </row>
    <row r="55" spans="2:27" x14ac:dyDescent="0.2">
      <c r="B55" s="5" t="str">
        <f t="shared" si="4"/>
        <v>OLN-US</v>
      </c>
      <c r="D55" s="5" t="str">
        <f t="shared" si="5"/>
        <v>Olin Corporation (NYSE:OLN)</v>
      </c>
      <c r="E55" s="140">
        <f>IF(Detailed_Comps!DJ19="","",Detailed_Comps!DJ19)</f>
        <v>-3.1720000000000002</v>
      </c>
      <c r="F55" s="141"/>
      <c r="G55" s="140">
        <f>IF(Detailed_Comps!DR19="","",Detailed_Comps!DR19)</f>
        <v>-10.821999999999999</v>
      </c>
      <c r="H55" s="141"/>
      <c r="I55" s="140">
        <f>IF(Detailed_Comps!DZ19="","",Detailed_Comps!DZ19)</f>
        <v>-184.11223823120662</v>
      </c>
      <c r="J55" s="141"/>
      <c r="K55" s="140">
        <f>IF(Detailed_Comps!CX19="","",Detailed_Comps!CX19)</f>
        <v>16.155999999999999</v>
      </c>
      <c r="L55" s="141"/>
      <c r="M55" s="140">
        <f>IF(Detailed_Comps!DF19="","",Detailed_Comps!DF19)</f>
        <v>4.2619999999999996</v>
      </c>
      <c r="N55" s="141"/>
      <c r="O55" s="140">
        <f>IF(Detailed_Comps!FD19="","",Detailed_Comps!FD19)</f>
        <v>0.76700000000000002</v>
      </c>
      <c r="P55" s="141"/>
      <c r="Q55" s="140">
        <f>IF(Detailed_Comps!FB19="","",Detailed_Comps!FB19)</f>
        <v>1.43</v>
      </c>
      <c r="R55" s="141"/>
      <c r="S55" s="134">
        <f>IF(Detailed_Comps!FF19="","",Detailed_Comps!FF19)</f>
        <v>44.615000000000002</v>
      </c>
      <c r="T55" s="134"/>
      <c r="U55" s="134">
        <f>IF(Detailed_Comps!FJ19="","",Detailed_Comps!FJ19)</f>
        <v>51.198</v>
      </c>
      <c r="V55" s="134"/>
      <c r="W55" s="134">
        <f>IF(Detailed_Comps!FH19="","",Detailed_Comps!FH19)</f>
        <v>63.026000000000003</v>
      </c>
      <c r="X55" s="141"/>
      <c r="Y55" s="140">
        <f>IF(Detailed_Comps!EV19="","",Detailed_Comps!EV19)</f>
        <v>11.782</v>
      </c>
      <c r="Z55" s="141"/>
      <c r="AA55" s="140">
        <f>IF(Detailed_Comps!EZ19="","",Detailed_Comps!EZ19)</f>
        <v>6.1929999999999996</v>
      </c>
    </row>
    <row r="56" spans="2:27" x14ac:dyDescent="0.2">
      <c r="B56" s="5" t="str">
        <f t="shared" si="4"/>
        <v>RPM-US</v>
      </c>
      <c r="D56" s="5" t="str">
        <f t="shared" si="5"/>
        <v>RPM International Inc. (NYSE:RPM)</v>
      </c>
      <c r="E56" s="140">
        <f>IF(Detailed_Comps!DJ20="","",Detailed_Comps!DJ20)</f>
        <v>6.3029999999999999</v>
      </c>
      <c r="F56" s="141"/>
      <c r="G56" s="140">
        <f>IF(Detailed_Comps!DR20="","",Detailed_Comps!DR20)</f>
        <v>6.5449999999999999</v>
      </c>
      <c r="H56" s="141"/>
      <c r="I56" s="140">
        <f>IF(Detailed_Comps!DZ20="","",Detailed_Comps!DZ20)</f>
        <v>5.6775587923983739</v>
      </c>
      <c r="J56" s="141"/>
      <c r="K56" s="140">
        <f>IF(Detailed_Comps!CX20="","",Detailed_Comps!CX20)</f>
        <v>14.401999999999999</v>
      </c>
      <c r="L56" s="141"/>
      <c r="M56" s="140">
        <f>IF(Detailed_Comps!DF20="","",Detailed_Comps!DF20)</f>
        <v>8.0210000000000008</v>
      </c>
      <c r="N56" s="141"/>
      <c r="O56" s="140">
        <f>IF(Detailed_Comps!FD20="","",Detailed_Comps!FD20)</f>
        <v>1.1739999999999999</v>
      </c>
      <c r="P56" s="141"/>
      <c r="Q56" s="140">
        <f>IF(Detailed_Comps!FB20="","",Detailed_Comps!FB20)</f>
        <v>1.9750000000000001</v>
      </c>
      <c r="R56" s="141"/>
      <c r="S56" s="134">
        <f>IF(Detailed_Comps!FF20="","",Detailed_Comps!FF20)</f>
        <v>75.58</v>
      </c>
      <c r="T56" s="134"/>
      <c r="U56" s="134">
        <f>IF(Detailed_Comps!FJ20="","",Detailed_Comps!FJ20)</f>
        <v>58.792000000000002</v>
      </c>
      <c r="V56" s="134"/>
      <c r="W56" s="134">
        <f>IF(Detailed_Comps!FH20="","",Detailed_Comps!FH20)</f>
        <v>88.602999999999994</v>
      </c>
      <c r="X56" s="141"/>
      <c r="Y56" s="140">
        <f>IF(Detailed_Comps!EV20="","",Detailed_Comps!EV20)</f>
        <v>25.324000000000002</v>
      </c>
      <c r="Z56" s="141"/>
      <c r="AA56" s="140">
        <f>IF(Detailed_Comps!EZ20="","",Detailed_Comps!EZ20)</f>
        <v>10.891</v>
      </c>
    </row>
    <row r="57" spans="2:27" x14ac:dyDescent="0.2">
      <c r="B57" s="5" t="str">
        <f t="shared" ref="B57" si="6">B36</f>
        <v>UAN-US</v>
      </c>
      <c r="D57" s="5" t="str">
        <f t="shared" ref="D57" si="7">D36</f>
        <v>CVR Partners, LP (NYSE:UAN)</v>
      </c>
      <c r="E57" s="140">
        <f>IF(Detailed_Comps!DJ21="","",Detailed_Comps!DJ21)</f>
        <v>13.053000000000001</v>
      </c>
      <c r="F57" s="141"/>
      <c r="G57" s="140">
        <f>IF(Detailed_Comps!DR21="","",Detailed_Comps!DR21)</f>
        <v>24.343</v>
      </c>
      <c r="H57" s="141"/>
      <c r="I57" s="140">
        <f>IF(Detailed_Comps!DZ21="","",Detailed_Comps!DZ21)</f>
        <v>-222.9829050661653</v>
      </c>
      <c r="J57" s="141"/>
      <c r="K57" s="140">
        <f>IF(Detailed_Comps!CX21="","",Detailed_Comps!CX21)</f>
        <v>30.844000000000001</v>
      </c>
      <c r="L57" s="141"/>
      <c r="M57" s="140">
        <f>IF(Detailed_Comps!DF21="","",Detailed_Comps!DF21)</f>
        <v>9.2919999999999998</v>
      </c>
      <c r="N57" s="141"/>
      <c r="O57" s="140">
        <f>IF(Detailed_Comps!FD21="","",Detailed_Comps!FD21)</f>
        <v>1.607</v>
      </c>
      <c r="P57" s="141"/>
      <c r="Q57" s="140">
        <f>IF(Detailed_Comps!FB21="","",Detailed_Comps!FB21)</f>
        <v>3.0859999999999999</v>
      </c>
      <c r="R57" s="141"/>
      <c r="S57" s="134">
        <f>IF(Detailed_Comps!FF21="","",Detailed_Comps!FF21)</f>
        <v>28.177</v>
      </c>
      <c r="T57" s="134"/>
      <c r="U57" s="134">
        <f>IF(Detailed_Comps!FJ21="","",Detailed_Comps!FJ21)</f>
        <v>34.618000000000002</v>
      </c>
      <c r="V57" s="134"/>
      <c r="W57" s="134">
        <f>IF(Detailed_Comps!FH21="","",Detailed_Comps!FH21)</f>
        <v>86.614000000000004</v>
      </c>
      <c r="X57" s="141"/>
      <c r="Y57" s="140">
        <f>IF(Detailed_Comps!EV21="","",Detailed_Comps!EV21)</f>
        <v>15.093999999999999</v>
      </c>
      <c r="Z57" s="141"/>
      <c r="AA57" s="140">
        <f>IF(Detailed_Comps!EZ21="","",Detailed_Comps!EZ21)</f>
        <v>6.1159999999999997</v>
      </c>
    </row>
    <row r="58" spans="2:27" x14ac:dyDescent="0.2">
      <c r="E58" s="140"/>
      <c r="F58" s="141"/>
      <c r="G58" s="140"/>
      <c r="H58" s="141"/>
      <c r="I58" s="140"/>
      <c r="J58" s="141"/>
      <c r="K58" s="140"/>
      <c r="L58" s="141"/>
      <c r="M58" s="140"/>
      <c r="N58" s="141"/>
      <c r="O58" s="141"/>
      <c r="P58" s="141"/>
      <c r="Q58" s="141"/>
      <c r="R58" s="141"/>
      <c r="S58" s="134"/>
      <c r="T58" s="134"/>
      <c r="U58" s="134"/>
      <c r="V58" s="134"/>
      <c r="W58" s="134"/>
      <c r="X58" s="141"/>
      <c r="Y58" s="140"/>
      <c r="Z58" s="141"/>
      <c r="AA58" s="140"/>
    </row>
    <row r="59" spans="2:27" x14ac:dyDescent="0.2">
      <c r="D59" s="102" t="str">
        <f>D38</f>
        <v>Max</v>
      </c>
      <c r="E59" s="163">
        <f>IF(COUNT(E48:E57)=0,"NA",MAX(E48:E57))</f>
        <v>32.182000000000002</v>
      </c>
      <c r="F59" s="163"/>
      <c r="G59" s="163">
        <f>IF(COUNT(G48:G57)=0,"NA",MAX(G48:G57))</f>
        <v>24.343</v>
      </c>
      <c r="H59" s="163"/>
      <c r="I59" s="163">
        <f>IF(COUNT(I48:I57)=0,"NA",MAX(I48:I57))</f>
        <v>74.881275404534946</v>
      </c>
      <c r="J59" s="173"/>
      <c r="K59" s="163">
        <f>IF(COUNT(K48:K57)=0,"NA",MAX(K48:K57))</f>
        <v>43.697000000000003</v>
      </c>
      <c r="L59" s="173"/>
      <c r="M59" s="163">
        <f>IF(COUNT(M48:M57)=0,"NA",MAX(M48:M57))</f>
        <v>17.873000000000001</v>
      </c>
      <c r="N59" s="173"/>
      <c r="O59" s="163">
        <f>IF(COUNT(O48:O57)=0,"NA",MAX(O48:O57))</f>
        <v>3.9430000000000001</v>
      </c>
      <c r="P59" s="163"/>
      <c r="Q59" s="163">
        <f>IF(COUNT(Q48:Q57)=0,"NA",MAX(Q48:Q57))</f>
        <v>4.7</v>
      </c>
      <c r="R59" s="173"/>
      <c r="S59" s="166">
        <f>IF(COUNT(S48:S57)=0,"NA",MAX(S48:S57))</f>
        <v>140.96600000000001</v>
      </c>
      <c r="T59" s="166"/>
      <c r="U59" s="166">
        <f>IF(COUNT(U48:U57)=0,"NA",MAX(U48:U57))</f>
        <v>139.16200000000001</v>
      </c>
      <c r="V59" s="166"/>
      <c r="W59" s="166">
        <f>IF(COUNT(W48:W57)=0,"NA",MAX(W48:W57))</f>
        <v>202.28399999999999</v>
      </c>
      <c r="X59" s="173"/>
      <c r="Y59" s="163">
        <f>IF(COUNT(Y48:Y57)=0,"NA",MAX(Y48:Y57))</f>
        <v>4549.1229999999996</v>
      </c>
      <c r="Z59" s="173"/>
      <c r="AA59" s="169">
        <f>IF(COUNT(AA48:AA57)=0,"NA",MAX(AA48:AA57))</f>
        <v>10.891</v>
      </c>
    </row>
    <row r="60" spans="2:27" x14ac:dyDescent="0.2">
      <c r="D60" s="104" t="str">
        <f>D39</f>
        <v>Median</v>
      </c>
      <c r="E60" s="164">
        <f>IFERROR(MEDIAN(E48:E57),"NA")</f>
        <v>6.6295000000000002</v>
      </c>
      <c r="F60" s="164"/>
      <c r="G60" s="164">
        <f>IFERROR(MEDIAN(G48:G57),"NA")</f>
        <v>0.90149999999999997</v>
      </c>
      <c r="H60" s="164"/>
      <c r="I60" s="164">
        <f>IFERROR(MEDIAN(I48:I57),"NA")</f>
        <v>5.0642616558296165</v>
      </c>
      <c r="J60" s="174"/>
      <c r="K60" s="164">
        <f>IFERROR(MEDIAN(K48:K57),"NA")</f>
        <v>16.018999999999998</v>
      </c>
      <c r="L60" s="174"/>
      <c r="M60" s="164">
        <f>IFERROR(MEDIAN(M48:M57),"NA")</f>
        <v>4.7874999999999996</v>
      </c>
      <c r="N60" s="174"/>
      <c r="O60" s="164">
        <f>IFERROR(MEDIAN(O48:O57),"NA")</f>
        <v>1.1234999999999999</v>
      </c>
      <c r="P60" s="164"/>
      <c r="Q60" s="164">
        <f>IFERROR(MEDIAN(Q48:Q57),"NA")</f>
        <v>1.8879999999999999</v>
      </c>
      <c r="R60" s="174"/>
      <c r="S60" s="167">
        <f>IFERROR(MEDIAN(S48:S57),"NA")</f>
        <v>52.844000000000001</v>
      </c>
      <c r="T60" s="167"/>
      <c r="U60" s="167">
        <f>IFERROR(MEDIAN(U48:U57),"NA")</f>
        <v>56.076500000000003</v>
      </c>
      <c r="V60" s="167"/>
      <c r="W60" s="167">
        <f>IFERROR(MEDIAN(W48:W57),"NA")</f>
        <v>87.608499999999992</v>
      </c>
      <c r="X60" s="174"/>
      <c r="Y60" s="164">
        <f>IFERROR(MEDIAN(Y48:Y57),"NA")</f>
        <v>13.437999999999999</v>
      </c>
      <c r="Z60" s="174"/>
      <c r="AA60" s="170">
        <f>IFERROR(MEDIAN(AA48:AA57),"NA")</f>
        <v>6.1544999999999996</v>
      </c>
    </row>
    <row r="61" spans="2:27" x14ac:dyDescent="0.2">
      <c r="D61" s="104" t="str">
        <f>D40</f>
        <v>Min</v>
      </c>
      <c r="E61" s="164">
        <f>IF(COUNT(E48:E57)=0,"NA",MIN(E48:E57))</f>
        <v>-11.558999999999999</v>
      </c>
      <c r="F61" s="164"/>
      <c r="G61" s="164">
        <f>IF(COUNT(G48:G57)=0,"NA",MIN(G48:G57))</f>
        <v>-29.045000000000002</v>
      </c>
      <c r="H61" s="164"/>
      <c r="I61" s="164">
        <f>IF(COUNT(I48:I57)=0,"NA",MIN(I48:I57))</f>
        <v>-222.9829050661653</v>
      </c>
      <c r="J61" s="164"/>
      <c r="K61" s="164">
        <f>IF(COUNT(K48:K57)=0,"NA",MIN(K48:K57))</f>
        <v>-11.276</v>
      </c>
      <c r="L61" s="164"/>
      <c r="M61" s="164">
        <f>IF(COUNT(M48:M57)=0,"NA",MIN(M48:M57))</f>
        <v>-7.3819999999999997</v>
      </c>
      <c r="N61" s="164"/>
      <c r="O61" s="164">
        <f>IF(COUNT(O48:O57)=0,"NA",MIN(O48:O57))</f>
        <v>0.46899999999999997</v>
      </c>
      <c r="P61" s="164"/>
      <c r="Q61" s="164">
        <f>IF(COUNT(Q48:Q57)=0,"NA",MIN(Q48:Q57))</f>
        <v>1.155</v>
      </c>
      <c r="R61" s="164"/>
      <c r="S61" s="167">
        <f>IF(COUNT(S48:S57)=0,"NA",MIN(S48:S57))</f>
        <v>28.177</v>
      </c>
      <c r="T61" s="167"/>
      <c r="U61" s="167">
        <f>IF(COUNT(U48:U57)=0,"NA",MIN(U48:U57))</f>
        <v>34.618000000000002</v>
      </c>
      <c r="V61" s="167"/>
      <c r="W61" s="167">
        <f>IF(COUNT(W48:W57)=0,"NA",MIN(W48:W57))</f>
        <v>28.99</v>
      </c>
      <c r="X61" s="164"/>
      <c r="Y61" s="164">
        <f>IF(COUNT(Y48:Y57)=0,"NA",MIN(Y48:Y57))</f>
        <v>-4.1029999999999998</v>
      </c>
      <c r="Z61" s="164"/>
      <c r="AA61" s="170">
        <f>IF(COUNT(AA48:AA57)=0,"NA",MIN(AA48:AA57))</f>
        <v>-5.851</v>
      </c>
    </row>
    <row r="62" spans="2:27" x14ac:dyDescent="0.2">
      <c r="D62" s="106" t="str">
        <f>D41</f>
        <v>Mean</v>
      </c>
      <c r="E62" s="165">
        <f>IFERROR(AVERAGE(E48:E57),"NA")</f>
        <v>6.0285000000000011</v>
      </c>
      <c r="F62" s="165"/>
      <c r="G62" s="165">
        <f>IFERROR(AVERAGE(G48:G57),"NA")</f>
        <v>-1.5608999999999997</v>
      </c>
      <c r="H62" s="165"/>
      <c r="I62" s="165">
        <f>IFERROR(AVERAGE(I48:I57),"NA")</f>
        <v>-45.698975130842641</v>
      </c>
      <c r="J62" s="165"/>
      <c r="K62" s="165">
        <f>IFERROR(AVERAGE(K48:K57),"NA")</f>
        <v>16.500599999999999</v>
      </c>
      <c r="L62" s="165"/>
      <c r="M62" s="165">
        <f>IFERROR(AVERAGE(M48:M57),"NA")</f>
        <v>3.6909000000000001</v>
      </c>
      <c r="N62" s="165"/>
      <c r="O62" s="165">
        <f>IFERROR(AVERAGE(O48:O57),"NA")</f>
        <v>1.3762999999999999</v>
      </c>
      <c r="P62" s="165"/>
      <c r="Q62" s="165">
        <f>IFERROR(AVERAGE(Q48:Q57),"NA")</f>
        <v>2.2092999999999998</v>
      </c>
      <c r="R62" s="165"/>
      <c r="S62" s="168">
        <f>IFERROR(AVERAGE(S48:S57),"NA")</f>
        <v>62.467700000000015</v>
      </c>
      <c r="T62" s="168"/>
      <c r="U62" s="168">
        <f>IFERROR(AVERAGE(U48:U57),"NA")</f>
        <v>69.710000000000008</v>
      </c>
      <c r="V62" s="168"/>
      <c r="W62" s="168">
        <f>IFERROR(AVERAGE(W48:W57),"NA")</f>
        <v>94.543399999999991</v>
      </c>
      <c r="X62" s="165"/>
      <c r="Y62" s="165">
        <f>IFERROR(AVERAGE(Y48:Y57),"NA")</f>
        <v>463.51299999999992</v>
      </c>
      <c r="Z62" s="165"/>
      <c r="AA62" s="171">
        <f>IFERROR(AVERAGE(AA48:AA57),"NA")</f>
        <v>4.9330999999999996</v>
      </c>
    </row>
    <row r="63" spans="2:27" x14ac:dyDescent="0.2">
      <c r="E63" s="140"/>
      <c r="F63" s="141"/>
      <c r="G63" s="140"/>
      <c r="H63" s="141"/>
      <c r="I63" s="140"/>
      <c r="J63" s="141"/>
      <c r="K63" s="140"/>
      <c r="L63" s="141"/>
      <c r="M63" s="140"/>
      <c r="N63" s="141"/>
      <c r="O63" s="141"/>
      <c r="P63" s="141"/>
      <c r="Q63" s="141"/>
      <c r="R63" s="141"/>
      <c r="S63" s="134"/>
      <c r="T63" s="134"/>
      <c r="U63" s="134"/>
      <c r="V63" s="134"/>
      <c r="W63" s="134"/>
      <c r="X63" s="141"/>
      <c r="Y63" s="140"/>
      <c r="Z63" s="141"/>
      <c r="AA63" s="140"/>
    </row>
    <row r="64" spans="2:27" x14ac:dyDescent="0.2">
      <c r="B64" s="8" t="str">
        <f>B43</f>
        <v>FMC-US</v>
      </c>
      <c r="C64" s="8"/>
      <c r="D64" s="8" t="str">
        <f>D43</f>
        <v>FMC Corporation (NYSE:FMC)</v>
      </c>
      <c r="E64" s="162">
        <f>IF(Detailed_Comps!DJ28="","",Detailed_Comps!DJ28)</f>
        <v>-4.3979999999999997</v>
      </c>
      <c r="F64" s="162"/>
      <c r="G64" s="162">
        <f>IF(Detailed_Comps!DR28="","",Detailed_Comps!DR28)</f>
        <v>-17.501000000000001</v>
      </c>
      <c r="H64" s="162"/>
      <c r="I64" s="162">
        <f>IF(Detailed_Comps!DZ28="","",Detailed_Comps!DZ28)</f>
        <v>35.400632162450108</v>
      </c>
      <c r="J64" s="175"/>
      <c r="K64" s="162">
        <f>IF(Detailed_Comps!CX28="","",Detailed_Comps!CX28)</f>
        <v>16.562999999999999</v>
      </c>
      <c r="L64" s="175"/>
      <c r="M64" s="162">
        <f>IF(Detailed_Comps!DF28="","",Detailed_Comps!DF28)</f>
        <v>33.968000000000004</v>
      </c>
      <c r="N64" s="175"/>
      <c r="O64" s="162">
        <f>IF(Detailed_Comps!FD28="","",Detailed_Comps!FD28)</f>
        <v>0.90100000000000002</v>
      </c>
      <c r="P64" s="162"/>
      <c r="Q64" s="162">
        <f>IF(Detailed_Comps!FB28="","",Detailed_Comps!FB28)</f>
        <v>1.4790000000000001</v>
      </c>
      <c r="R64" s="175"/>
      <c r="S64" s="137">
        <f>IF(Detailed_Comps!FF28="","",Detailed_Comps!FF28)</f>
        <v>245.762</v>
      </c>
      <c r="T64" s="137"/>
      <c r="U64" s="137">
        <f>IF(Detailed_Comps!FJ28="","",Detailed_Comps!FJ28)</f>
        <v>167.29499999999999</v>
      </c>
      <c r="V64" s="137"/>
      <c r="W64" s="137">
        <f>IF(Detailed_Comps!FH28="","",Detailed_Comps!FH28)</f>
        <v>253.72</v>
      </c>
      <c r="X64" s="175"/>
      <c r="Y64" s="162">
        <f>IF(Detailed_Comps!EV28="","",Detailed_Comps!EV28)</f>
        <v>36.832999999999998</v>
      </c>
      <c r="Z64" s="175"/>
      <c r="AA64" s="162">
        <f>IF(Detailed_Comps!EZ28="","",Detailed_Comps!EZ28)</f>
        <v>3.6160000000000001</v>
      </c>
    </row>
    <row r="65" spans="2:27" ht="6.75" customHeight="1" x14ac:dyDescent="0.2">
      <c r="B65" s="31"/>
      <c r="C65" s="31"/>
      <c r="D65" s="31"/>
      <c r="E65" s="31"/>
      <c r="F65" s="31"/>
      <c r="G65" s="31"/>
      <c r="H65" s="31"/>
      <c r="I65" s="31"/>
      <c r="J65" s="31"/>
      <c r="K65" s="31"/>
      <c r="L65" s="31"/>
      <c r="M65" s="31"/>
      <c r="N65" s="31"/>
      <c r="O65" s="31"/>
      <c r="P65" s="31"/>
      <c r="Q65" s="31"/>
      <c r="R65" s="31"/>
      <c r="S65" s="31"/>
      <c r="T65" s="31"/>
      <c r="U65" s="31"/>
      <c r="V65" s="31"/>
      <c r="W65" s="31"/>
      <c r="X65" s="31"/>
      <c r="Y65" s="31"/>
      <c r="Z65" s="31"/>
      <c r="AA65" s="31"/>
    </row>
    <row r="66" spans="2:27" x14ac:dyDescent="0.2">
      <c r="B66" s="32" t="s">
        <v>1944</v>
      </c>
    </row>
    <row r="67" spans="2:27" x14ac:dyDescent="0.2">
      <c r="B67" s="32"/>
      <c r="E67" s="81"/>
    </row>
    <row r="68" spans="2:27" x14ac:dyDescent="0.2">
      <c r="B68" s="28"/>
    </row>
  </sheetData>
  <pageMargins left="0.25" right="0.25" top="0.25" bottom="0.25" header="0.5" footer="0.5"/>
  <pageSetup scale="68"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5A6A26FDAC9BF4EA1FE5ED516FE5143" ma:contentTypeVersion="11" ma:contentTypeDescription="Create a new document." ma:contentTypeScope="" ma:versionID="e4f0f08d7040130c11db9c2b5d2d2b75">
  <xsd:schema xmlns:xsd="http://www.w3.org/2001/XMLSchema" xmlns:xs="http://www.w3.org/2001/XMLSchema" xmlns:p="http://schemas.microsoft.com/office/2006/metadata/properties" xmlns:ns2="5fe155e5-e33d-4841-8cd3-d55e51c1bb09" xmlns:ns3="c0d2cb11-e59a-439e-ba1c-da77417d3bf8" targetNamespace="http://schemas.microsoft.com/office/2006/metadata/properties" ma:root="true" ma:fieldsID="878cd50a78d363fd92800d215968ae02" ns2:_="" ns3:_="">
    <xsd:import namespace="5fe155e5-e33d-4841-8cd3-d55e51c1bb09"/>
    <xsd:import namespace="c0d2cb11-e59a-439e-ba1c-da77417d3bf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LengthInSeconds" minOccurs="0"/>
                <xsd:element ref="ns2:MediaServiceAutoKeyPoints" minOccurs="0"/>
                <xsd:element ref="ns2:MediaServiceKeyPoints" minOccurs="0"/>
                <xsd:element ref="ns2:Date"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fe155e5-e33d-4841-8cd3-d55e51c1bb0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Date" ma:index="17" nillable="true" ma:displayName="Date" ma:format="DateOnly" ma:internalName="Date">
      <xsd:simpleType>
        <xsd:restriction base="dms:DateTim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0d2cb11-e59a-439e-ba1c-da77417d3bf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c0d2cb11-e59a-439e-ba1c-da77417d3bf8">
      <UserInfo>
        <DisplayName/>
        <AccountId xsi:nil="true"/>
        <AccountType/>
      </UserInfo>
    </SharedWithUsers>
    <MediaLengthInSeconds xmlns="5fe155e5-e33d-4841-8cd3-d55e51c1bb09" xsi:nil="true"/>
    <Date xmlns="5fe155e5-e33d-4841-8cd3-d55e51c1bb09" xsi:nil="true"/>
  </documentManagement>
</p:properties>
</file>

<file path=customXml/itemProps1.xml><?xml version="1.0" encoding="utf-8"?>
<ds:datastoreItem xmlns:ds="http://schemas.openxmlformats.org/officeDocument/2006/customXml" ds:itemID="{71915EA5-8E1A-4A89-A0BE-5D66A3E8EAC5}">
  <ds:schemaRefs>
    <ds:schemaRef ds:uri="http://schemas.microsoft.com/sharepoint/v3/contenttype/forms"/>
  </ds:schemaRefs>
</ds:datastoreItem>
</file>

<file path=customXml/itemProps2.xml><?xml version="1.0" encoding="utf-8"?>
<ds:datastoreItem xmlns:ds="http://schemas.openxmlformats.org/officeDocument/2006/customXml" ds:itemID="{93623DF0-0404-41A3-A203-34F4388F4A9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fe155e5-e33d-4841-8cd3-d55e51c1bb09"/>
    <ds:schemaRef ds:uri="c0d2cb11-e59a-439e-ba1c-da77417d3bf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F34CCB-E3A1-4789-878A-1254B472759B}">
  <ds:schemaRefs>
    <ds:schemaRef ds:uri="5fe155e5-e33d-4841-8cd3-d55e51c1bb09"/>
    <ds:schemaRef ds:uri="http://schemas.microsoft.com/office/infopath/2007/PartnerControls"/>
    <ds:schemaRef ds:uri="http://purl.org/dc/terms/"/>
    <ds:schemaRef ds:uri="http://purl.org/dc/dcmitype/"/>
    <ds:schemaRef ds:uri="http://schemas.openxmlformats.org/package/2006/metadata/core-properties"/>
    <ds:schemaRef ds:uri="http://purl.org/dc/elements/1.1/"/>
    <ds:schemaRef ds:uri="c0d2cb11-e59a-439e-ba1c-da77417d3bf8"/>
    <ds:schemaRef ds:uri="http://schemas.microsoft.com/office/2006/documentManagement/types"/>
    <ds:schemaRef ds:uri="http://www.w3.org/XML/1998/namespace"/>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63</vt:i4>
      </vt:variant>
    </vt:vector>
  </HeadingPairs>
  <TitlesOfParts>
    <vt:vector size="68" baseType="lpstr">
      <vt:lpstr>Instructions</vt:lpstr>
      <vt:lpstr>Financial_Statements</vt:lpstr>
      <vt:lpstr>Common_Size</vt:lpstr>
      <vt:lpstr>Detailed_Comps</vt:lpstr>
      <vt:lpstr>Summary_Comps</vt:lpstr>
      <vt:lpstr>Clear_DC</vt:lpstr>
      <vt:lpstr>Clear_FS</vt:lpstr>
      <vt:lpstr>ClearOverride</vt:lpstr>
      <vt:lpstr>Code_1</vt:lpstr>
      <vt:lpstr>Code_10</vt:lpstr>
      <vt:lpstr>Code_2</vt:lpstr>
      <vt:lpstr>Code_3</vt:lpstr>
      <vt:lpstr>Code_4</vt:lpstr>
      <vt:lpstr>Code_5</vt:lpstr>
      <vt:lpstr>Code_6</vt:lpstr>
      <vt:lpstr>Code_7</vt:lpstr>
      <vt:lpstr>Code_8</vt:lpstr>
      <vt:lpstr>Code_9</vt:lpstr>
      <vt:lpstr>Conv_List</vt:lpstr>
      <vt:lpstr>Cu_Sym</vt:lpstr>
      <vt:lpstr>Curr_Sym</vt:lpstr>
      <vt:lpstr>CURR_SYMBOL</vt:lpstr>
      <vt:lpstr>Currency_Name</vt:lpstr>
      <vt:lpstr>ENT_CD</vt:lpstr>
      <vt:lpstr>ENT_DC</vt:lpstr>
      <vt:lpstr>Entity_Code</vt:lpstr>
      <vt:lpstr>Magnitude</vt:lpstr>
      <vt:lpstr>OV_1</vt:lpstr>
      <vt:lpstr>OV_10</vt:lpstr>
      <vt:lpstr>OV_2</vt:lpstr>
      <vt:lpstr>OV_3</vt:lpstr>
      <vt:lpstr>OV_4</vt:lpstr>
      <vt:lpstr>OV_5</vt:lpstr>
      <vt:lpstr>OV_6</vt:lpstr>
      <vt:lpstr>OV_7</vt:lpstr>
      <vt:lpstr>OV_8</vt:lpstr>
      <vt:lpstr>OV_9</vt:lpstr>
      <vt:lpstr>P_DC</vt:lpstr>
      <vt:lpstr>P_DC1</vt:lpstr>
      <vt:lpstr>P_KEY</vt:lpstr>
      <vt:lpstr>Peer_1</vt:lpstr>
      <vt:lpstr>Peer_10</vt:lpstr>
      <vt:lpstr>Peer_2</vt:lpstr>
      <vt:lpstr>Peer_3</vt:lpstr>
      <vt:lpstr>Peer_4</vt:lpstr>
      <vt:lpstr>Peer_5</vt:lpstr>
      <vt:lpstr>Peer_6</vt:lpstr>
      <vt:lpstr>Peer_7</vt:lpstr>
      <vt:lpstr>Peer_8</vt:lpstr>
      <vt:lpstr>Peer_9</vt:lpstr>
      <vt:lpstr>Period</vt:lpstr>
      <vt:lpstr>Common_Size!Print_Area</vt:lpstr>
      <vt:lpstr>Detailed_Comps!Print_Area</vt:lpstr>
      <vt:lpstr>Financial_Statements!Print_Area</vt:lpstr>
      <vt:lpstr>Summary_Comps!Print_Area</vt:lpstr>
      <vt:lpstr>Common_Size!Print_Titles</vt:lpstr>
      <vt:lpstr>Detailed_Comps!Print_Titles</vt:lpstr>
      <vt:lpstr>Financial_Statements!Print_Titles</vt:lpstr>
      <vt:lpstr>Summary_Comps!Print_Titles</vt:lpstr>
      <vt:lpstr>Refresh1</vt:lpstr>
      <vt:lpstr>Refresh2</vt:lpstr>
      <vt:lpstr>S_KEY</vt:lpstr>
      <vt:lpstr>Sel_Conv</vt:lpstr>
      <vt:lpstr>Sel_Curr</vt:lpstr>
      <vt:lpstr>Sel_Mag</vt:lpstr>
      <vt:lpstr>Step_2</vt:lpstr>
      <vt:lpstr>Step2</vt:lpstr>
      <vt:lpstr>Target_1</vt:lpstr>
    </vt:vector>
  </TitlesOfParts>
  <Company>S&amp;P Global Market Intelligence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Nandan Bagga</dc:creator>
  <cp:lastModifiedBy>Longhao Desktop</cp:lastModifiedBy>
  <cp:lastPrinted>2018-12-06T16:20:24Z</cp:lastPrinted>
  <dcterms:created xsi:type="dcterms:W3CDTF">2010-11-17T09:09:48Z</dcterms:created>
  <dcterms:modified xsi:type="dcterms:W3CDTF">2024-08-25T14:20:05Z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NLStrictRefresh">
    <vt:bool>true</vt:bool>
  </property>
  <property fmtid="{D5CDD505-2E9C-101B-9397-08002B2CF9AE}" pid="3" name="{A44787D4-0540-4523-9961-78E4036D8C6D}">
    <vt:lpwstr>{62327D76-DE65-4AB3-B357-5DF7DDE92F36}</vt:lpwstr>
  </property>
  <property fmtid="{D5CDD505-2E9C-101B-9397-08002B2CF9AE}" pid="4" name="KeyFile">
    <vt:r8>409145258</vt:r8>
  </property>
  <property fmtid="{D5CDD505-2E9C-101B-9397-08002B2CF9AE}" pid="5" name="snltemplateid">
    <vt:r8>409145258</vt:r8>
  </property>
  <property fmtid="{D5CDD505-2E9C-101B-9397-08002B2CF9AE}" pid="6" name="ContentTypeId">
    <vt:lpwstr>0x01010095A6A26FDAC9BF4EA1FE5ED516FE5143</vt:lpwstr>
  </property>
  <property fmtid="{D5CDD505-2E9C-101B-9397-08002B2CF9AE}" pid="7" name="Order">
    <vt:r8>4115000</vt:r8>
  </property>
  <property fmtid="{D5CDD505-2E9C-101B-9397-08002B2CF9AE}" pid="8" name="xd_Signature">
    <vt:bool>false</vt:bool>
  </property>
  <property fmtid="{D5CDD505-2E9C-101B-9397-08002B2CF9AE}" pid="9" name="xd_ProgID">
    <vt:lpwstr/>
  </property>
  <property fmtid="{D5CDD505-2E9C-101B-9397-08002B2CF9AE}" pid="10" name="_ExtendedDescription">
    <vt:lpwstr/>
  </property>
  <property fmtid="{D5CDD505-2E9C-101B-9397-08002B2CF9AE}" pid="11" name="TriggerFlowInfo">
    <vt:lpwstr/>
  </property>
  <property fmtid="{D5CDD505-2E9C-101B-9397-08002B2CF9AE}" pid="12" name="ComplianceAssetId">
    <vt:lpwstr/>
  </property>
  <property fmtid="{D5CDD505-2E9C-101B-9397-08002B2CF9AE}" pid="13" name="TemplateUrl">
    <vt:lpwstr/>
  </property>
  <property fmtid="{D5CDD505-2E9C-101B-9397-08002B2CF9AE}" pid="14" name="MediaServiceImageTags">
    <vt:lpwstr/>
  </property>
  <property fmtid="{D5CDD505-2E9C-101B-9397-08002B2CF9AE}" pid="15" name="MSIP_Label_831f0267-8575-4fc2-99cc-f6b7f9934be9_Enabled">
    <vt:lpwstr>true</vt:lpwstr>
  </property>
  <property fmtid="{D5CDD505-2E9C-101B-9397-08002B2CF9AE}" pid="16" name="MSIP_Label_831f0267-8575-4fc2-99cc-f6b7f9934be9_SetDate">
    <vt:lpwstr>2022-11-01T10:24:24Z</vt:lpwstr>
  </property>
  <property fmtid="{D5CDD505-2E9C-101B-9397-08002B2CF9AE}" pid="17" name="MSIP_Label_831f0267-8575-4fc2-99cc-f6b7f9934be9_Method">
    <vt:lpwstr>Privileged</vt:lpwstr>
  </property>
  <property fmtid="{D5CDD505-2E9C-101B-9397-08002B2CF9AE}" pid="18" name="MSIP_Label_831f0267-8575-4fc2-99cc-f6b7f9934be9_Name">
    <vt:lpwstr>831f0267-8575-4fc2-99cc-f6b7f9934be9</vt:lpwstr>
  </property>
  <property fmtid="{D5CDD505-2E9C-101B-9397-08002B2CF9AE}" pid="19" name="MSIP_Label_831f0267-8575-4fc2-99cc-f6b7f9934be9_SiteId">
    <vt:lpwstr>8f3e36ea-8039-4b40-81a7-7dc0599e8645</vt:lpwstr>
  </property>
  <property fmtid="{D5CDD505-2E9C-101B-9397-08002B2CF9AE}" pid="20" name="MSIP_Label_831f0267-8575-4fc2-99cc-f6b7f9934be9_ActionId">
    <vt:lpwstr>ce259715-7e64-4770-b255-5ecdd6de1050</vt:lpwstr>
  </property>
  <property fmtid="{D5CDD505-2E9C-101B-9397-08002B2CF9AE}" pid="21" name="MSIP_Label_831f0267-8575-4fc2-99cc-f6b7f9934be9_ContentBits">
    <vt:lpwstr>0</vt:lpwstr>
  </property>
</Properties>
</file>