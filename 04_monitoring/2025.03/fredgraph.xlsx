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lhte\Downloads\"/>
    </mc:Choice>
  </mc:AlternateContent>
  <xr:revisionPtr revIDLastSave="0" documentId="13_ncr:1_{AE5F3615-1239-450D-A2F9-E67330BE7544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README" sheetId="1" r:id="rId1"/>
    <sheet name="Quarterly" sheetId="2" r:id="rId2"/>
    <sheet name="Sheet2" sheetId="4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16" i="4" l="1"/>
  <c r="Y16" i="4"/>
  <c r="Z16" i="4" s="1"/>
  <c r="AA16" i="4" s="1"/>
  <c r="AB16" i="4" s="1"/>
  <c r="AC16" i="4" s="1"/>
  <c r="AD16" i="4" s="1"/>
  <c r="AE16" i="4" s="1"/>
  <c r="AF16" i="4" s="1"/>
  <c r="AG16" i="4" s="1"/>
  <c r="AH16" i="4" s="1"/>
  <c r="AI16" i="4" s="1"/>
  <c r="AJ16" i="4" s="1"/>
  <c r="AK16" i="4" s="1"/>
  <c r="AL16" i="4" s="1"/>
  <c r="AM16" i="4" s="1"/>
  <c r="AN16" i="4" s="1"/>
  <c r="AO16" i="4" s="1"/>
  <c r="X16" i="4"/>
  <c r="W16" i="4"/>
  <c r="X15" i="4"/>
  <c r="AK15" i="4"/>
  <c r="AL15" i="4" s="1"/>
  <c r="AM15" i="4" s="1"/>
  <c r="AN15" i="4" s="1"/>
  <c r="AO15" i="4" s="1"/>
  <c r="AP15" i="4" s="1"/>
  <c r="AJ15" i="4"/>
  <c r="Y15" i="4"/>
  <c r="Z15" i="4"/>
  <c r="AA15" i="4"/>
  <c r="AB15" i="4" s="1"/>
  <c r="AC15" i="4" s="1"/>
  <c r="AD15" i="4" s="1"/>
  <c r="AE15" i="4" s="1"/>
  <c r="AF15" i="4" s="1"/>
  <c r="AG15" i="4" s="1"/>
  <c r="AH15" i="4" s="1"/>
  <c r="AI15" i="4" s="1"/>
  <c r="W15" i="4"/>
</calcChain>
</file>

<file path=xl/sharedStrings.xml><?xml version="1.0" encoding="utf-8"?>
<sst xmlns="http://schemas.openxmlformats.org/spreadsheetml/2006/main" count="89" uniqueCount="33">
  <si>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</si>
  <si>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</si>
  <si>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</si>
  <si>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</si>
  <si>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</si>
  <si>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2025-03-04 11:07 am CST</t>
  </si>
  <si>
    <t>A008RY2Q224SBEA</t>
  </si>
  <si>
    <t>NASDAQ100_PCH</t>
  </si>
  <si>
    <t>OUTNFB_PC1</t>
  </si>
  <si>
    <t>FF</t>
  </si>
  <si>
    <t>CPIAUCSL_PC1</t>
  </si>
  <si>
    <t>CPILFESL_PC1</t>
  </si>
  <si>
    <t>UMCSENT</t>
  </si>
  <si>
    <t>PCEPI_PC1</t>
  </si>
  <si>
    <t>PCEPILFE_PC1</t>
  </si>
  <si>
    <t>GDPC1_PC1</t>
  </si>
  <si>
    <t>Contributions to percent change in real gross domestic product: Gross private domestic investment: Fixed investment: Nonresidential, Percentage Points at Annual Rate, Quarterly, Seasonally Adjusted Annual Rate</t>
  </si>
  <si>
    <t>NASDAQ 100 Index, Percent Change, Quarterly, Not Seasonally Adjusted</t>
  </si>
  <si>
    <t>Nonfarm Business Sector: Real Value-Added Output for All Workers, Percent Change from Year Ago, Quarterly, Seasonally Adjusted</t>
  </si>
  <si>
    <t>Federal Funds Effective Rate, Percent, Quarterly, Not Seasonally Adjusted</t>
  </si>
  <si>
    <t>Consumer Price Index for All Urban Consumers: All Items in U.S. City Average, Percent Change from Year Ago, Quarterly, Seasonally Adjusted</t>
  </si>
  <si>
    <t>Consumer Price Index for All Urban Consumers: All Items Less Food and Energy in U.S. City Average, Percent Change from Year Ago, Quarterly, Seasonally Adjusted</t>
  </si>
  <si>
    <t>University of Michigan: Consumer Sentiment, Index 1966:Q1=100, Quarterly, Not Seasonally Adjusted</t>
  </si>
  <si>
    <t>Personal Consumption Expenditures: Chain-type Price Index, Percent Change from Year Ago, Quarterly, Seasonally Adjusted</t>
  </si>
  <si>
    <t>Personal Consumption Expenditures Excluding Food and Energy (Chain-Type Price Index), Percent Change from Year Ago, Quarterly, Seasonally Adjusted</t>
  </si>
  <si>
    <t>Real Gross Domestic Product, Percent Change from Year Ago, Quarterly, Seasonally Adjusted Annual Rate</t>
  </si>
  <si>
    <t>Data Updated: 2025-02-27</t>
  </si>
  <si>
    <t>Data Updated: 2025-03-04</t>
  </si>
  <si>
    <t>Data Updated: 2025-02-06</t>
  </si>
  <si>
    <t>Data Updated: 2025-02-12</t>
  </si>
  <si>
    <t>Data Updated: 2025-02-21</t>
  </si>
  <si>
    <t>Data Updated: 2025-02-28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</si>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</sst>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Sheet2!$B$5:$U$5</c:f>
              <c:numCache>
                <c:formatCode>0.00</c:formatCode>
                <c:ptCount val="20"/>
                <c:pt idx="0">
                  <c:v>5.36</c:v>
                </c:pt>
                <c:pt idx="1">
                  <c:v>5.25</c:v>
                </c:pt>
                <c:pt idx="2">
                  <c:v>5.29</c:v>
                </c:pt>
                <c:pt idx="3">
                  <c:v>5.29</c:v>
                </c:pt>
                <c:pt idx="4">
                  <c:v>5.24</c:v>
                </c:pt>
                <c:pt idx="5">
                  <c:v>5.53</c:v>
                </c:pt>
                <c:pt idx="6">
                  <c:v>5.55</c:v>
                </c:pt>
                <c:pt idx="7">
                  <c:v>5.51</c:v>
                </c:pt>
                <c:pt idx="8">
                  <c:v>5.52</c:v>
                </c:pt>
                <c:pt idx="9">
                  <c:v>5.48</c:v>
                </c:pt>
                <c:pt idx="10">
                  <c:v>5.55</c:v>
                </c:pt>
                <c:pt idx="11">
                  <c:v>4.87</c:v>
                </c:pt>
                <c:pt idx="12">
                  <c:v>4.7300000000000004</c:v>
                </c:pt>
                <c:pt idx="13">
                  <c:v>4.75</c:v>
                </c:pt>
                <c:pt idx="14">
                  <c:v>5.09</c:v>
                </c:pt>
                <c:pt idx="15">
                  <c:v>5.32</c:v>
                </c:pt>
                <c:pt idx="16">
                  <c:v>5.64</c:v>
                </c:pt>
                <c:pt idx="17">
                  <c:v>6.26</c:v>
                </c:pt>
                <c:pt idx="18">
                  <c:v>6.52</c:v>
                </c:pt>
                <c:pt idx="19">
                  <c:v>6.51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9A-4CB8-B38E-DEA71AE05A9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Sheet2!$B$18:$U$18</c:f>
              <c:numCache>
                <c:formatCode>0.00</c:formatCode>
                <c:ptCount val="20"/>
                <c:pt idx="0">
                  <c:v>1.35</c:v>
                </c:pt>
                <c:pt idx="1">
                  <c:v>0.06</c:v>
                </c:pt>
                <c:pt idx="2">
                  <c:v>0.09</c:v>
                </c:pt>
                <c:pt idx="3">
                  <c:v>0.09</c:v>
                </c:pt>
                <c:pt idx="4">
                  <c:v>0.08</c:v>
                </c:pt>
                <c:pt idx="5">
                  <c:v>7.0000000000000007E-2</c:v>
                </c:pt>
                <c:pt idx="6">
                  <c:v>0.09</c:v>
                </c:pt>
                <c:pt idx="7">
                  <c:v>0.08</c:v>
                </c:pt>
                <c:pt idx="8">
                  <c:v>0.12</c:v>
                </c:pt>
                <c:pt idx="9">
                  <c:v>0.75</c:v>
                </c:pt>
                <c:pt idx="10">
                  <c:v>2.16</c:v>
                </c:pt>
                <c:pt idx="11">
                  <c:v>3.62</c:v>
                </c:pt>
                <c:pt idx="12">
                  <c:v>4.5</c:v>
                </c:pt>
                <c:pt idx="13">
                  <c:v>4.9800000000000004</c:v>
                </c:pt>
                <c:pt idx="14">
                  <c:v>5.25</c:v>
                </c:pt>
                <c:pt idx="15">
                  <c:v>5.33</c:v>
                </c:pt>
                <c:pt idx="16">
                  <c:v>5.33</c:v>
                </c:pt>
                <c:pt idx="17">
                  <c:v>5.33</c:v>
                </c:pt>
                <c:pt idx="18">
                  <c:v>5.29</c:v>
                </c:pt>
                <c:pt idx="19">
                  <c:v>4.68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9A-4CB8-B38E-DEA71AE05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5373664"/>
        <c:axId val="1645365984"/>
      </c:lineChart>
      <c:catAx>
        <c:axId val="16453736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365984"/>
        <c:crosses val="autoZero"/>
        <c:auto val="1"/>
        <c:lblAlgn val="ctr"/>
        <c:lblOffset val="100"/>
        <c:noMultiLvlLbl val="0"/>
      </c:catAx>
      <c:valAx>
        <c:axId val="164536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373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Private</a:t>
            </a:r>
            <a:r>
              <a:rPr lang="en-US" baseline="0"/>
              <a:t> investment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Sheet2!$F$2:$U$2</c:f>
              <c:numCache>
                <c:formatCode>0.00</c:formatCode>
                <c:ptCount val="16"/>
                <c:pt idx="0">
                  <c:v>1.2</c:v>
                </c:pt>
                <c:pt idx="1">
                  <c:v>1.0900000000000001</c:v>
                </c:pt>
                <c:pt idx="2">
                  <c:v>2.2999999999999998</c:v>
                </c:pt>
                <c:pt idx="3">
                  <c:v>0.3</c:v>
                </c:pt>
                <c:pt idx="4">
                  <c:v>1.7</c:v>
                </c:pt>
                <c:pt idx="5">
                  <c:v>1.79</c:v>
                </c:pt>
                <c:pt idx="6">
                  <c:v>0.84</c:v>
                </c:pt>
                <c:pt idx="7">
                  <c:v>1.58</c:v>
                </c:pt>
                <c:pt idx="8">
                  <c:v>1.19</c:v>
                </c:pt>
                <c:pt idx="9">
                  <c:v>1.46</c:v>
                </c:pt>
                <c:pt idx="10">
                  <c:v>1.62</c:v>
                </c:pt>
                <c:pt idx="11">
                  <c:v>0.26</c:v>
                </c:pt>
                <c:pt idx="12">
                  <c:v>2.0699999999999998</c:v>
                </c:pt>
                <c:pt idx="13">
                  <c:v>1.84</c:v>
                </c:pt>
                <c:pt idx="14">
                  <c:v>0.62</c:v>
                </c:pt>
                <c:pt idx="15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BA-4CEC-A583-4BFEB9CFBAD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Sheet2!$F$15:$U$15</c:f>
              <c:numCache>
                <c:formatCode>0.00</c:formatCode>
                <c:ptCount val="16"/>
                <c:pt idx="0">
                  <c:v>1.25</c:v>
                </c:pt>
                <c:pt idx="1">
                  <c:v>1.17</c:v>
                </c:pt>
                <c:pt idx="2">
                  <c:v>-0.21</c:v>
                </c:pt>
                <c:pt idx="3">
                  <c:v>0.47</c:v>
                </c:pt>
                <c:pt idx="4">
                  <c:v>1.66</c:v>
                </c:pt>
                <c:pt idx="5">
                  <c:v>0.94</c:v>
                </c:pt>
                <c:pt idx="6">
                  <c:v>1.01</c:v>
                </c:pt>
                <c:pt idx="7">
                  <c:v>0.76</c:v>
                </c:pt>
                <c:pt idx="8">
                  <c:v>0.71</c:v>
                </c:pt>
                <c:pt idx="9">
                  <c:v>1.3</c:v>
                </c:pt>
                <c:pt idx="10">
                  <c:v>0.16</c:v>
                </c:pt>
                <c:pt idx="11">
                  <c:v>0.52</c:v>
                </c:pt>
                <c:pt idx="12">
                  <c:v>0.61</c:v>
                </c:pt>
                <c:pt idx="13">
                  <c:v>0.53</c:v>
                </c:pt>
                <c:pt idx="14">
                  <c:v>0.55000000000000004</c:v>
                </c:pt>
                <c:pt idx="15">
                  <c:v>-0.45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BA-4CEC-A583-4BFEB9CFB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7557088"/>
        <c:axId val="1747544608"/>
      </c:lineChart>
      <c:catAx>
        <c:axId val="1747557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544608"/>
        <c:crosses val="autoZero"/>
        <c:auto val="1"/>
        <c:lblAlgn val="ctr"/>
        <c:lblOffset val="100"/>
        <c:noMultiLvlLbl val="0"/>
      </c:catAx>
      <c:valAx>
        <c:axId val="174754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55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Labor productivity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Sheet2!$H$4:$U$4</c:f>
              <c:numCache>
                <c:formatCode>0.00000</c:formatCode>
                <c:ptCount val="14"/>
                <c:pt idx="0">
                  <c:v>5.3572699999999998</c:v>
                </c:pt>
                <c:pt idx="1">
                  <c:v>5.0740100000000004</c:v>
                </c:pt>
                <c:pt idx="2">
                  <c:v>6.0163000000000002</c:v>
                </c:pt>
                <c:pt idx="3">
                  <c:v>5.0393699999999999</c:v>
                </c:pt>
                <c:pt idx="4">
                  <c:v>5.1318200000000003</c:v>
                </c:pt>
                <c:pt idx="5">
                  <c:v>6.2243599999999999</c:v>
                </c:pt>
                <c:pt idx="6">
                  <c:v>5.9039099999999998</c:v>
                </c:pt>
                <c:pt idx="7">
                  <c:v>5.7820600000000004</c:v>
                </c:pt>
                <c:pt idx="8">
                  <c:v>5.8464099999999997</c:v>
                </c:pt>
                <c:pt idx="9">
                  <c:v>5.7360899999999999</c:v>
                </c:pt>
                <c:pt idx="10">
                  <c:v>4.5027600000000003</c:v>
                </c:pt>
                <c:pt idx="11">
                  <c:v>5.9282700000000004</c:v>
                </c:pt>
                <c:pt idx="12">
                  <c:v>4.1897099999999998</c:v>
                </c:pt>
                <c:pt idx="13">
                  <c:v>2.9283899999999998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F3-48EB-AF0C-BA86E71E60C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Sheet2!$H$17:$U$17</c:f>
              <c:numCache>
                <c:formatCode>0.00000</c:formatCode>
                <c:ptCount val="14"/>
                <c:pt idx="0">
                  <c:v>5.9789199999999996</c:v>
                </c:pt>
                <c:pt idx="1">
                  <c:v>6.82179</c:v>
                </c:pt>
                <c:pt idx="2">
                  <c:v>4.4354699999999996</c:v>
                </c:pt>
                <c:pt idx="3">
                  <c:v>2.4522300000000001</c:v>
                </c:pt>
                <c:pt idx="4">
                  <c:v>2.2521800000000001</c:v>
                </c:pt>
                <c:pt idx="5">
                  <c:v>0.95013999999999998</c:v>
                </c:pt>
                <c:pt idx="6">
                  <c:v>2.09192</c:v>
                </c:pt>
                <c:pt idx="7">
                  <c:v>2.78308</c:v>
                </c:pt>
                <c:pt idx="8">
                  <c:v>3.37507</c:v>
                </c:pt>
                <c:pt idx="9">
                  <c:v>3.3067500000000001</c:v>
                </c:pt>
                <c:pt idx="10">
                  <c:v>3.0120499999999999</c:v>
                </c:pt>
                <c:pt idx="11">
                  <c:v>3.1774</c:v>
                </c:pt>
                <c:pt idx="12">
                  <c:v>2.8389099999999998</c:v>
                </c:pt>
                <c:pt idx="13">
                  <c:v>2.5546899999999999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F3-48EB-AF0C-BA86E71E60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7566688"/>
        <c:axId val="1747566208"/>
      </c:lineChart>
      <c:catAx>
        <c:axId val="1747566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566208"/>
        <c:crosses val="autoZero"/>
        <c:auto val="1"/>
        <c:lblAlgn val="ctr"/>
        <c:lblOffset val="100"/>
        <c:noMultiLvlLbl val="0"/>
      </c:catAx>
      <c:valAx>
        <c:axId val="174756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566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head</a:t>
            </a:r>
            <a:r>
              <a:rPr lang="en-US" baseline="0"/>
              <a:t> CPI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Sheet2!$B$6:$U$6</c:f>
              <c:numCache>
                <c:formatCode>0.00000</c:formatCode>
                <c:ptCount val="20"/>
                <c:pt idx="0">
                  <c:v>2.7839200000000002</c:v>
                </c:pt>
                <c:pt idx="1">
                  <c:v>2.8270900000000001</c:v>
                </c:pt>
                <c:pt idx="2">
                  <c:v>2.9001299999999999</c:v>
                </c:pt>
                <c:pt idx="3">
                  <c:v>3.2313999999999998</c:v>
                </c:pt>
                <c:pt idx="4">
                  <c:v>2.9449700000000001</c:v>
                </c:pt>
                <c:pt idx="5">
                  <c:v>2.30179</c:v>
                </c:pt>
                <c:pt idx="6">
                  <c:v>2.22505</c:v>
                </c:pt>
                <c:pt idx="7">
                  <c:v>1.89076</c:v>
                </c:pt>
                <c:pt idx="8">
                  <c:v>1.4825600000000001</c:v>
                </c:pt>
                <c:pt idx="9">
                  <c:v>1.5833299999999999</c:v>
                </c:pt>
                <c:pt idx="10">
                  <c:v>1.59619</c:v>
                </c:pt>
                <c:pt idx="11">
                  <c:v>1.5257700000000001</c:v>
                </c:pt>
                <c:pt idx="12">
                  <c:v>1.6872400000000001</c:v>
                </c:pt>
                <c:pt idx="13">
                  <c:v>2.11239</c:v>
                </c:pt>
                <c:pt idx="14">
                  <c:v>2.34646</c:v>
                </c:pt>
                <c:pt idx="15">
                  <c:v>2.6198199999999998</c:v>
                </c:pt>
                <c:pt idx="16">
                  <c:v>3.25779</c:v>
                </c:pt>
                <c:pt idx="17">
                  <c:v>3.2938299999999998</c:v>
                </c:pt>
                <c:pt idx="18">
                  <c:v>3.4689000000000001</c:v>
                </c:pt>
                <c:pt idx="19">
                  <c:v>3.4434999999999998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56-4071-9ED1-6F0D5A2A354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Sheet2!$B$19:$U$19</c:f>
              <c:numCache>
                <c:formatCode>0.00000</c:formatCode>
                <c:ptCount val="20"/>
                <c:pt idx="0">
                  <c:v>2.14377</c:v>
                </c:pt>
                <c:pt idx="1">
                  <c:v>0.40927999999999998</c:v>
                </c:pt>
                <c:pt idx="2">
                  <c:v>1.2231399999999999</c:v>
                </c:pt>
                <c:pt idx="3">
                  <c:v>1.24227</c:v>
                </c:pt>
                <c:pt idx="4">
                  <c:v>1.8811199999999999</c:v>
                </c:pt>
                <c:pt idx="5">
                  <c:v>4.7944000000000004</c:v>
                </c:pt>
                <c:pt idx="6">
                  <c:v>5.27142</c:v>
                </c:pt>
                <c:pt idx="7">
                  <c:v>6.7515200000000002</c:v>
                </c:pt>
                <c:pt idx="8">
                  <c:v>8.0240500000000008</c:v>
                </c:pt>
                <c:pt idx="9">
                  <c:v>8.5901300000000003</c:v>
                </c:pt>
                <c:pt idx="10">
                  <c:v>8.28965</c:v>
                </c:pt>
                <c:pt idx="11">
                  <c:v>7.0963900000000004</c:v>
                </c:pt>
                <c:pt idx="12">
                  <c:v>5.7389200000000002</c:v>
                </c:pt>
                <c:pt idx="13">
                  <c:v>4.0367899999999999</c:v>
                </c:pt>
                <c:pt idx="14">
                  <c:v>3.56494</c:v>
                </c:pt>
                <c:pt idx="15">
                  <c:v>3.2362000000000002</c:v>
                </c:pt>
                <c:pt idx="16">
                  <c:v>3.2479900000000002</c:v>
                </c:pt>
                <c:pt idx="17">
                  <c:v>3.1873999999999998</c:v>
                </c:pt>
                <c:pt idx="18">
                  <c:v>2.6598700000000002</c:v>
                </c:pt>
                <c:pt idx="19">
                  <c:v>2.71949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56-4071-9ED1-6F0D5A2A3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3366352"/>
        <c:axId val="1743362992"/>
      </c:lineChart>
      <c:catAx>
        <c:axId val="17433663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362992"/>
        <c:crosses val="autoZero"/>
        <c:auto val="1"/>
        <c:lblAlgn val="ctr"/>
        <c:lblOffset val="100"/>
        <c:noMultiLvlLbl val="0"/>
      </c:catAx>
      <c:valAx>
        <c:axId val="174336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36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Core</a:t>
            </a:r>
            <a:r>
              <a:rPr lang="en-US" baseline="0"/>
              <a:t> CPI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Sheet2!$B$7:$U$7</c:f>
              <c:numCache>
                <c:formatCode>0.00000</c:formatCode>
                <c:ptCount val="20"/>
                <c:pt idx="0">
                  <c:v>2.8852199999999999</c:v>
                </c:pt>
                <c:pt idx="1">
                  <c:v>2.6545000000000001</c:v>
                </c:pt>
                <c:pt idx="2">
                  <c:v>2.637</c:v>
                </c:pt>
                <c:pt idx="3">
                  <c:v>2.5777399999999999</c:v>
                </c:pt>
                <c:pt idx="4">
                  <c:v>2.4791699999999999</c:v>
                </c:pt>
                <c:pt idx="5">
                  <c:v>2.5252500000000002</c:v>
                </c:pt>
                <c:pt idx="6">
                  <c:v>2.3083100000000001</c:v>
                </c:pt>
                <c:pt idx="7">
                  <c:v>2.2337500000000001</c:v>
                </c:pt>
                <c:pt idx="8">
                  <c:v>2.2605599999999999</c:v>
                </c:pt>
                <c:pt idx="9">
                  <c:v>2.1871900000000002</c:v>
                </c:pt>
                <c:pt idx="10">
                  <c:v>2.35433</c:v>
                </c:pt>
                <c:pt idx="11">
                  <c:v>2.3410099999999998</c:v>
                </c:pt>
                <c:pt idx="12">
                  <c:v>2.1718099999999998</c:v>
                </c:pt>
                <c:pt idx="13">
                  <c:v>2.0825300000000002</c:v>
                </c:pt>
                <c:pt idx="14">
                  <c:v>2.0126499999999998</c:v>
                </c:pt>
                <c:pt idx="15">
                  <c:v>2.0205899999999999</c:v>
                </c:pt>
                <c:pt idx="16">
                  <c:v>2.2395100000000001</c:v>
                </c:pt>
                <c:pt idx="17">
                  <c:v>2.3989400000000001</c:v>
                </c:pt>
                <c:pt idx="18">
                  <c:v>2.5366399999999998</c:v>
                </c:pt>
                <c:pt idx="19">
                  <c:v>2.5784799999999999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27-48CE-802C-FC0991C38FE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Sheet2!$B$20:$U$20</c:f>
              <c:numCache>
                <c:formatCode>0.00000</c:formatCode>
                <c:ptCount val="20"/>
                <c:pt idx="0">
                  <c:v>2.2489599999999998</c:v>
                </c:pt>
                <c:pt idx="1">
                  <c:v>1.27759</c:v>
                </c:pt>
                <c:pt idx="2">
                  <c:v>1.6675</c:v>
                </c:pt>
                <c:pt idx="3">
                  <c:v>1.6433599999999999</c:v>
                </c:pt>
                <c:pt idx="4">
                  <c:v>1.43608</c:v>
                </c:pt>
                <c:pt idx="5">
                  <c:v>3.7244299999999999</c:v>
                </c:pt>
                <c:pt idx="6">
                  <c:v>4.0563200000000004</c:v>
                </c:pt>
                <c:pt idx="7">
                  <c:v>5.0211899999999998</c:v>
                </c:pt>
                <c:pt idx="8">
                  <c:v>6.3316699999999999</c:v>
                </c:pt>
                <c:pt idx="9">
                  <c:v>6.0277700000000003</c:v>
                </c:pt>
                <c:pt idx="10">
                  <c:v>6.2761899999999997</c:v>
                </c:pt>
                <c:pt idx="11">
                  <c:v>5.9802600000000004</c:v>
                </c:pt>
                <c:pt idx="12">
                  <c:v>5.53247</c:v>
                </c:pt>
                <c:pt idx="13">
                  <c:v>5.2345499999999996</c:v>
                </c:pt>
                <c:pt idx="14">
                  <c:v>4.4135400000000002</c:v>
                </c:pt>
                <c:pt idx="15">
                  <c:v>3.98455</c:v>
                </c:pt>
                <c:pt idx="16">
                  <c:v>3.8163</c:v>
                </c:pt>
                <c:pt idx="17">
                  <c:v>3.4245299999999999</c:v>
                </c:pt>
                <c:pt idx="18">
                  <c:v>3.2700499999999999</c:v>
                </c:pt>
                <c:pt idx="19">
                  <c:v>3.2620900000000002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27-48CE-802C-FC0991C38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7546048"/>
        <c:axId val="1747547488"/>
      </c:lineChart>
      <c:catAx>
        <c:axId val="1747546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547488"/>
        <c:crosses val="autoZero"/>
        <c:auto val="1"/>
        <c:lblAlgn val="ctr"/>
        <c:lblOffset val="100"/>
        <c:noMultiLvlLbl val="0"/>
      </c:catAx>
      <c:valAx>
        <c:axId val="174754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54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Consumer Sentiment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Sheet2!$B$8:$U$8</c:f>
              <c:numCache>
                <c:formatCode>0.0</c:formatCode>
                <c:ptCount val="20"/>
                <c:pt idx="0">
                  <c:v>90.5</c:v>
                </c:pt>
                <c:pt idx="1">
                  <c:v>91.5</c:v>
                </c:pt>
                <c:pt idx="2">
                  <c:v>94.9</c:v>
                </c:pt>
                <c:pt idx="3">
                  <c:v>97.5</c:v>
                </c:pt>
                <c:pt idx="4">
                  <c:v>99</c:v>
                </c:pt>
                <c:pt idx="5">
                  <c:v>103</c:v>
                </c:pt>
                <c:pt idx="6">
                  <c:v>105.8</c:v>
                </c:pt>
                <c:pt idx="7">
                  <c:v>105</c:v>
                </c:pt>
                <c:pt idx="8">
                  <c:v>107.8</c:v>
                </c:pt>
                <c:pt idx="9">
                  <c:v>106.9</c:v>
                </c:pt>
                <c:pt idx="10">
                  <c:v>103.5</c:v>
                </c:pt>
                <c:pt idx="11">
                  <c:v>100.2</c:v>
                </c:pt>
                <c:pt idx="12">
                  <c:v>105.9</c:v>
                </c:pt>
                <c:pt idx="13">
                  <c:v>106.2</c:v>
                </c:pt>
                <c:pt idx="14">
                  <c:v>105.9</c:v>
                </c:pt>
                <c:pt idx="15">
                  <c:v>105.3</c:v>
                </c:pt>
                <c:pt idx="16">
                  <c:v>110.1</c:v>
                </c:pt>
                <c:pt idx="17">
                  <c:v>108.8</c:v>
                </c:pt>
                <c:pt idx="18">
                  <c:v>107.5</c:v>
                </c:pt>
                <c:pt idx="19">
                  <c:v>103.9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1A-42D7-A6D8-B87CF4F27C4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Sheet2!$B$21:$U$21</c:f>
              <c:numCache>
                <c:formatCode>0.0</c:formatCode>
                <c:ptCount val="20"/>
                <c:pt idx="0">
                  <c:v>96.6</c:v>
                </c:pt>
                <c:pt idx="1">
                  <c:v>74.099999999999994</c:v>
                </c:pt>
                <c:pt idx="2">
                  <c:v>75.7</c:v>
                </c:pt>
                <c:pt idx="3">
                  <c:v>79.8</c:v>
                </c:pt>
                <c:pt idx="4">
                  <c:v>80.2</c:v>
                </c:pt>
                <c:pt idx="5">
                  <c:v>85.6</c:v>
                </c:pt>
                <c:pt idx="6">
                  <c:v>74.8</c:v>
                </c:pt>
                <c:pt idx="7">
                  <c:v>69.900000000000006</c:v>
                </c:pt>
                <c:pt idx="8">
                  <c:v>63.1</c:v>
                </c:pt>
                <c:pt idx="9">
                  <c:v>57.9</c:v>
                </c:pt>
                <c:pt idx="10">
                  <c:v>56.1</c:v>
                </c:pt>
                <c:pt idx="11">
                  <c:v>58.8</c:v>
                </c:pt>
                <c:pt idx="12">
                  <c:v>64.599999999999994</c:v>
                </c:pt>
                <c:pt idx="13">
                  <c:v>62.3</c:v>
                </c:pt>
                <c:pt idx="14">
                  <c:v>69.599999999999994</c:v>
                </c:pt>
                <c:pt idx="15">
                  <c:v>64.900000000000006</c:v>
                </c:pt>
                <c:pt idx="16">
                  <c:v>78.400000000000006</c:v>
                </c:pt>
                <c:pt idx="17">
                  <c:v>71.5</c:v>
                </c:pt>
                <c:pt idx="18">
                  <c:v>68.099999999999994</c:v>
                </c:pt>
                <c:pt idx="19">
                  <c:v>72.099999999999994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1A-42D7-A6D8-B87CF4F27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5567920"/>
        <c:axId val="1745572240"/>
      </c:lineChart>
      <c:catAx>
        <c:axId val="17455679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572240"/>
        <c:crosses val="autoZero"/>
        <c:auto val="1"/>
        <c:lblAlgn val="ctr"/>
        <c:lblOffset val="100"/>
        <c:noMultiLvlLbl val="0"/>
      </c:catAx>
      <c:valAx>
        <c:axId val="1745572240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56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Real GDP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Sheet2!$H$11:$U$11</c:f>
              <c:numCache>
                <c:formatCode>0.00000</c:formatCode>
                <c:ptCount val="14"/>
                <c:pt idx="0">
                  <c:v>4.6746999999999996</c:v>
                </c:pt>
                <c:pt idx="1">
                  <c:v>4.4835500000000001</c:v>
                </c:pt>
                <c:pt idx="2">
                  <c:v>4.8555299999999999</c:v>
                </c:pt>
                <c:pt idx="3">
                  <c:v>4.0927899999999999</c:v>
                </c:pt>
                <c:pt idx="4">
                  <c:v>4.1034499999999996</c:v>
                </c:pt>
                <c:pt idx="5">
                  <c:v>4.8831300000000004</c:v>
                </c:pt>
                <c:pt idx="6">
                  <c:v>4.8163400000000003</c:v>
                </c:pt>
                <c:pt idx="7">
                  <c:v>4.7218900000000001</c:v>
                </c:pt>
                <c:pt idx="8">
                  <c:v>4.7911200000000003</c:v>
                </c:pt>
                <c:pt idx="9">
                  <c:v>4.8235700000000001</c:v>
                </c:pt>
                <c:pt idx="10">
                  <c:v>4.2247399999999997</c:v>
                </c:pt>
                <c:pt idx="11">
                  <c:v>5.2444600000000001</c:v>
                </c:pt>
                <c:pt idx="12">
                  <c:v>3.9731700000000001</c:v>
                </c:pt>
                <c:pt idx="13">
                  <c:v>2.9055900000000001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6C-45D7-B2DC-C283F2C8F58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Sheet2!$H$24:$U$24</c:f>
              <c:numCache>
                <c:formatCode>0.00000</c:formatCode>
                <c:ptCount val="14"/>
                <c:pt idx="0">
                  <c:v>4.9765800000000002</c:v>
                </c:pt>
                <c:pt idx="1">
                  <c:v>5.7226800000000004</c:v>
                </c:pt>
                <c:pt idx="2">
                  <c:v>4.0148900000000003</c:v>
                </c:pt>
                <c:pt idx="3">
                  <c:v>2.47892</c:v>
                </c:pt>
                <c:pt idx="4">
                  <c:v>2.2963900000000002</c:v>
                </c:pt>
                <c:pt idx="5">
                  <c:v>1.31633</c:v>
                </c:pt>
                <c:pt idx="6">
                  <c:v>2.2808099999999998</c:v>
                </c:pt>
                <c:pt idx="7">
                  <c:v>2.8294600000000001</c:v>
                </c:pt>
                <c:pt idx="8">
                  <c:v>3.23631</c:v>
                </c:pt>
                <c:pt idx="9">
                  <c:v>3.1962199999999998</c:v>
                </c:pt>
                <c:pt idx="10">
                  <c:v>2.9018299999999999</c:v>
                </c:pt>
                <c:pt idx="11">
                  <c:v>3.0368499999999998</c:v>
                </c:pt>
                <c:pt idx="12">
                  <c:v>2.7187700000000001</c:v>
                </c:pt>
                <c:pt idx="13">
                  <c:v>2.5073099999999999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6C-45D7-B2DC-C283F2C8F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5581360"/>
        <c:axId val="1745587120"/>
      </c:lineChart>
      <c:catAx>
        <c:axId val="17455813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587120"/>
        <c:crosses val="autoZero"/>
        <c:auto val="1"/>
        <c:lblAlgn val="ctr"/>
        <c:lblOffset val="100"/>
        <c:noMultiLvlLbl val="0"/>
      </c:catAx>
      <c:valAx>
        <c:axId val="174558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58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Head PCE</a:t>
            </a:r>
            <a:r>
              <a:rPr lang="en-US" baseline="0"/>
              <a:t> PI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Sheet2!$B$9:$U$9</c:f>
              <c:numCache>
                <c:formatCode>0.00000</c:formatCode>
                <c:ptCount val="20"/>
                <c:pt idx="0">
                  <c:v>2.0005700000000002</c:v>
                </c:pt>
                <c:pt idx="1">
                  <c:v>2.0900400000000001</c:v>
                </c:pt>
                <c:pt idx="2">
                  <c:v>2.1075400000000002</c:v>
                </c:pt>
                <c:pt idx="3">
                  <c:v>2.3534000000000002</c:v>
                </c:pt>
                <c:pt idx="4">
                  <c:v>2.23638</c:v>
                </c:pt>
                <c:pt idx="5">
                  <c:v>1.8111999999999999</c:v>
                </c:pt>
                <c:pt idx="6">
                  <c:v>1.6463300000000001</c:v>
                </c:pt>
                <c:pt idx="7">
                  <c:v>1.27616</c:v>
                </c:pt>
                <c:pt idx="8">
                  <c:v>0.83848</c:v>
                </c:pt>
                <c:pt idx="9">
                  <c:v>0.76810999999999996</c:v>
                </c:pt>
                <c:pt idx="10">
                  <c:v>0.81384999999999996</c:v>
                </c:pt>
                <c:pt idx="11">
                  <c:v>0.76273999999999997</c:v>
                </c:pt>
                <c:pt idx="12">
                  <c:v>0.95359000000000005</c:v>
                </c:pt>
                <c:pt idx="13">
                  <c:v>1.3452299999999999</c:v>
                </c:pt>
                <c:pt idx="14">
                  <c:v>1.58876</c:v>
                </c:pt>
                <c:pt idx="15">
                  <c:v>1.9363999999999999</c:v>
                </c:pt>
                <c:pt idx="16">
                  <c:v>2.5629400000000002</c:v>
                </c:pt>
                <c:pt idx="17">
                  <c:v>2.4681199999999999</c:v>
                </c:pt>
                <c:pt idx="18">
                  <c:v>2.5640399999999999</c:v>
                </c:pt>
                <c:pt idx="19">
                  <c:v>2.52196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E1-48E6-A250-734BB43F4B7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Sheet2!$B$22:$U$22</c:f>
              <c:numCache>
                <c:formatCode>0.00000</c:formatCode>
                <c:ptCount val="20"/>
                <c:pt idx="0">
                  <c:v>1.5099499999999999</c:v>
                </c:pt>
                <c:pt idx="1">
                  <c:v>0.54305999999999999</c:v>
                </c:pt>
                <c:pt idx="2">
                  <c:v>1.1163099999999999</c:v>
                </c:pt>
                <c:pt idx="3">
                  <c:v>1.2083299999999999</c:v>
                </c:pt>
                <c:pt idx="4">
                  <c:v>2.03504</c:v>
                </c:pt>
                <c:pt idx="5">
                  <c:v>4.0389299999999997</c:v>
                </c:pt>
                <c:pt idx="6">
                  <c:v>4.6248500000000003</c:v>
                </c:pt>
                <c:pt idx="7">
                  <c:v>5.8385400000000001</c:v>
                </c:pt>
                <c:pt idx="8">
                  <c:v>6.62357</c:v>
                </c:pt>
                <c:pt idx="9">
                  <c:v>6.9181999999999997</c:v>
                </c:pt>
                <c:pt idx="10">
                  <c:v>6.6857699999999998</c:v>
                </c:pt>
                <c:pt idx="11">
                  <c:v>5.9924299999999997</c:v>
                </c:pt>
                <c:pt idx="12">
                  <c:v>5.0496800000000004</c:v>
                </c:pt>
                <c:pt idx="13">
                  <c:v>3.8980700000000001</c:v>
                </c:pt>
                <c:pt idx="14">
                  <c:v>3.3924799999999999</c:v>
                </c:pt>
                <c:pt idx="15">
                  <c:v>2.7990400000000002</c:v>
                </c:pt>
                <c:pt idx="16">
                  <c:v>2.6706799999999999</c:v>
                </c:pt>
                <c:pt idx="17">
                  <c:v>2.5744400000000001</c:v>
                </c:pt>
                <c:pt idx="18">
                  <c:v>2.2843399999999998</c:v>
                </c:pt>
                <c:pt idx="19">
                  <c:v>2.4717500000000001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E1-48E6-A250-734BB43F4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3369232"/>
        <c:axId val="1743371632"/>
      </c:lineChart>
      <c:catAx>
        <c:axId val="17433692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371632"/>
        <c:crosses val="autoZero"/>
        <c:auto val="1"/>
        <c:lblAlgn val="ctr"/>
        <c:lblOffset val="100"/>
        <c:noMultiLvlLbl val="0"/>
      </c:catAx>
      <c:valAx>
        <c:axId val="174337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369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CORE</a:t>
            </a:r>
            <a:r>
              <a:rPr lang="en-US" baseline="0"/>
              <a:t> PCEPI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Sheet2!$B$10:$U$10</c:f>
              <c:numCache>
                <c:formatCode>0.00000</c:formatCode>
                <c:ptCount val="20"/>
                <c:pt idx="0">
                  <c:v>1.97943</c:v>
                </c:pt>
                <c:pt idx="1">
                  <c:v>1.85955</c:v>
                </c:pt>
                <c:pt idx="2">
                  <c:v>1.8387100000000001</c:v>
                </c:pt>
                <c:pt idx="3">
                  <c:v>1.9075</c:v>
                </c:pt>
                <c:pt idx="4">
                  <c:v>1.9071800000000001</c:v>
                </c:pt>
                <c:pt idx="5">
                  <c:v>1.95411</c:v>
                </c:pt>
                <c:pt idx="6">
                  <c:v>1.7281</c:v>
                </c:pt>
                <c:pt idx="7">
                  <c:v>1.47238</c:v>
                </c:pt>
                <c:pt idx="8">
                  <c:v>1.3731100000000001</c:v>
                </c:pt>
                <c:pt idx="9">
                  <c:v>1.1557599999999999</c:v>
                </c:pt>
                <c:pt idx="10">
                  <c:v>1.2783500000000001</c:v>
                </c:pt>
                <c:pt idx="11">
                  <c:v>1.2807900000000001</c:v>
                </c:pt>
                <c:pt idx="12">
                  <c:v>1.23645</c:v>
                </c:pt>
                <c:pt idx="13">
                  <c:v>1.27773</c:v>
                </c:pt>
                <c:pt idx="14">
                  <c:v>1.29108</c:v>
                </c:pt>
                <c:pt idx="15">
                  <c:v>1.44408</c:v>
                </c:pt>
                <c:pt idx="16">
                  <c:v>1.7206300000000001</c:v>
                </c:pt>
                <c:pt idx="17">
                  <c:v>1.7223999999999999</c:v>
                </c:pt>
                <c:pt idx="18">
                  <c:v>1.8382099999999999</c:v>
                </c:pt>
                <c:pt idx="19">
                  <c:v>1.86337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77-4D9E-AFF5-55181BF8E5B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Sheet2!$B$23:$U$23</c:f>
              <c:numCache>
                <c:formatCode>0.00000</c:formatCode>
                <c:ptCount val="20"/>
                <c:pt idx="0">
                  <c:v>1.57887</c:v>
                </c:pt>
                <c:pt idx="1">
                  <c:v>0.95455999999999996</c:v>
                </c:pt>
                <c:pt idx="2">
                  <c:v>1.3431900000000001</c:v>
                </c:pt>
                <c:pt idx="3">
                  <c:v>1.44347</c:v>
                </c:pt>
                <c:pt idx="4">
                  <c:v>1.8647499999999999</c:v>
                </c:pt>
                <c:pt idx="5">
                  <c:v>3.54135</c:v>
                </c:pt>
                <c:pt idx="6">
                  <c:v>4.0011999999999999</c:v>
                </c:pt>
                <c:pt idx="7">
                  <c:v>4.8846499999999997</c:v>
                </c:pt>
                <c:pt idx="8">
                  <c:v>5.5619300000000003</c:v>
                </c:pt>
                <c:pt idx="9">
                  <c:v>5.2857900000000004</c:v>
                </c:pt>
                <c:pt idx="10">
                  <c:v>5.3590499999999999</c:v>
                </c:pt>
                <c:pt idx="11">
                  <c:v>5.2031400000000003</c:v>
                </c:pt>
                <c:pt idx="12">
                  <c:v>4.8598699999999999</c:v>
                </c:pt>
                <c:pt idx="13">
                  <c:v>4.6170600000000004</c:v>
                </c:pt>
                <c:pt idx="14">
                  <c:v>3.9026299999999998</c:v>
                </c:pt>
                <c:pt idx="15">
                  <c:v>3.2327699999999999</c:v>
                </c:pt>
                <c:pt idx="16">
                  <c:v>2.9910100000000002</c:v>
                </c:pt>
                <c:pt idx="17">
                  <c:v>2.7274400000000001</c:v>
                </c:pt>
                <c:pt idx="18">
                  <c:v>2.6857099999999998</c:v>
                </c:pt>
                <c:pt idx="19">
                  <c:v>2.8443100000000001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77-4D9E-AFF5-55181BF8E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3359152"/>
        <c:axId val="1743359632"/>
      </c:lineChart>
      <c:catAx>
        <c:axId val="1743359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359632"/>
        <c:crosses val="autoZero"/>
        <c:auto val="1"/>
        <c:lblAlgn val="ctr"/>
        <c:lblOffset val="100"/>
        <c:noMultiLvlLbl val="0"/>
      </c:catAx>
      <c:valAx>
        <c:axId val="174335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35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Nasdaq 100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Sheet2!$B$3:$U$3</c:f>
              <c:numCache>
                <c:formatCode>0.00000</c:formatCode>
                <c:ptCount val="20"/>
                <c:pt idx="0">
                  <c:v>2.10318</c:v>
                </c:pt>
                <c:pt idx="1">
                  <c:v>11.08586</c:v>
                </c:pt>
                <c:pt idx="2">
                  <c:v>1.1368499999999999</c:v>
                </c:pt>
                <c:pt idx="3">
                  <c:v>18.26172</c:v>
                </c:pt>
                <c:pt idx="4">
                  <c:v>9.1723300000000005</c:v>
                </c:pt>
                <c:pt idx="5">
                  <c:v>4.1048099999999996</c:v>
                </c:pt>
                <c:pt idx="6">
                  <c:v>20.655609999999999</c:v>
                </c:pt>
                <c:pt idx="7">
                  <c:v>-4.0111800000000004</c:v>
                </c:pt>
                <c:pt idx="8">
                  <c:v>6.6647800000000004</c:v>
                </c:pt>
                <c:pt idx="9">
                  <c:v>10.69586</c:v>
                </c:pt>
                <c:pt idx="10">
                  <c:v>9.5055899999999998</c:v>
                </c:pt>
                <c:pt idx="11">
                  <c:v>10.860250000000001</c:v>
                </c:pt>
                <c:pt idx="12">
                  <c:v>33.770490000000002</c:v>
                </c:pt>
                <c:pt idx="13">
                  <c:v>6.9849500000000004</c:v>
                </c:pt>
                <c:pt idx="14">
                  <c:v>10.53172</c:v>
                </c:pt>
                <c:pt idx="15">
                  <c:v>22.9618</c:v>
                </c:pt>
                <c:pt idx="16">
                  <c:v>38.839460000000003</c:v>
                </c:pt>
                <c:pt idx="17">
                  <c:v>-10.312480000000001</c:v>
                </c:pt>
                <c:pt idx="18">
                  <c:v>4.1436200000000003</c:v>
                </c:pt>
                <c:pt idx="19">
                  <c:v>-22.187609999999999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2B-4E5A-8C83-4836DC287CA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Sheet2!$B$16:$U$16</c:f>
              <c:numCache>
                <c:formatCode>0.00000</c:formatCode>
                <c:ptCount val="20"/>
                <c:pt idx="0">
                  <c:v>5.80891</c:v>
                </c:pt>
                <c:pt idx="1">
                  <c:v>5.7976099999999997</c:v>
                </c:pt>
                <c:pt idx="2">
                  <c:v>21.02084</c:v>
                </c:pt>
                <c:pt idx="3">
                  <c:v>8.2720400000000005</c:v>
                </c:pt>
                <c:pt idx="4">
                  <c:v>8.9683299999999999</c:v>
                </c:pt>
                <c:pt idx="5">
                  <c:v>5.1234799999999998</c:v>
                </c:pt>
                <c:pt idx="6">
                  <c:v>9.5393399999999993</c:v>
                </c:pt>
                <c:pt idx="7">
                  <c:v>4.8292900000000003</c:v>
                </c:pt>
                <c:pt idx="8">
                  <c:v>-7.9937500000000004</c:v>
                </c:pt>
                <c:pt idx="9">
                  <c:v>-12.648</c:v>
                </c:pt>
                <c:pt idx="10">
                  <c:v>-2.7468400000000002</c:v>
                </c:pt>
                <c:pt idx="11">
                  <c:v>-8.3843499999999995</c:v>
                </c:pt>
                <c:pt idx="12">
                  <c:v>6.7503099999999998</c:v>
                </c:pt>
                <c:pt idx="13">
                  <c:v>14.09069</c:v>
                </c:pt>
                <c:pt idx="14">
                  <c:v>10.167350000000001</c:v>
                </c:pt>
                <c:pt idx="15">
                  <c:v>2.3593700000000002</c:v>
                </c:pt>
                <c:pt idx="16">
                  <c:v>13.05588</c:v>
                </c:pt>
                <c:pt idx="17">
                  <c:v>4.86273</c:v>
                </c:pt>
                <c:pt idx="18">
                  <c:v>5.2433199999999998</c:v>
                </c:pt>
                <c:pt idx="19">
                  <c:v>6.8819699999999999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2B-4E5A-8C83-4836DC287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5575120"/>
        <c:axId val="1745571760"/>
      </c:lineChart>
      <c:catAx>
        <c:axId val="17455751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571760"/>
        <c:crosses val="autoZero"/>
        <c:auto val="1"/>
        <c:lblAlgn val="ctr"/>
        <c:lblOffset val="100"/>
        <c:noMultiLvlLbl val="0"/>
      </c:catAx>
      <c:valAx>
        <c:axId val="174557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57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Nasdaq</a:t>
            </a:r>
            <a:r>
              <a:rPr lang="en-US" baseline="0"/>
              <a:t> 100 Cumulative return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Sheet2!$W$15:$AP$15</c:f>
              <c:numCache>
                <c:formatCode>General</c:formatCode>
                <c:ptCount val="20"/>
                <c:pt idx="0">
                  <c:v>1.0210318</c:v>
                </c:pt>
                <c:pt idx="1">
                  <c:v>1.1342219559034801</c:v>
                </c:pt>
                <c:pt idx="2">
                  <c:v>1.1471163582091686</c:v>
                </c:pt>
                <c:pt idx="3">
                  <c:v>1.356599535619524</c:v>
                </c:pt>
                <c:pt idx="4">
                  <c:v>1.4810313218050142</c:v>
                </c:pt>
                <c:pt idx="5">
                  <c:v>1.5418248436055986</c:v>
                </c:pt>
                <c:pt idx="6">
                  <c:v>1.860298170183881</c:v>
                </c:pt>
                <c:pt idx="7">
                  <c:v>1.7856782620410991</c:v>
                </c:pt>
                <c:pt idx="8">
                  <c:v>1.9046897897139619</c:v>
                </c:pt>
                <c:pt idx="9">
                  <c:v>2.1084127430560615</c:v>
                </c:pt>
                <c:pt idx="10">
                  <c:v>2.3088298139187242</c:v>
                </c:pt>
                <c:pt idx="11">
                  <c:v>2.5595745037848325</c:v>
                </c:pt>
                <c:pt idx="12">
                  <c:v>3.4239553556280393</c:v>
                </c:pt>
                <c:pt idx="13">
                  <c:v>3.6631169252409803</c:v>
                </c:pt>
                <c:pt idx="14">
                  <c:v>4.0489061430799698</c:v>
                </c:pt>
                <c:pt idx="15">
                  <c:v>4.9786078738417059</c:v>
                </c:pt>
                <c:pt idx="16">
                  <c:v>6.9122722875593059</c:v>
                </c:pt>
                <c:pt idx="17">
                  <c:v>6.1994455903592103</c:v>
                </c:pt>
                <c:pt idx="18">
                  <c:v>6.4563270577304523</c:v>
                </c:pt>
                <c:pt idx="19">
                  <c:v>5.0238223898367442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E7-4985-8EB4-B3F63A40696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Sheet2!$W$16:$AP$16</c:f>
              <c:numCache>
                <c:formatCode>General</c:formatCode>
                <c:ptCount val="20"/>
                <c:pt idx="0">
                  <c:v>1.0580890999999999</c:v>
                </c:pt>
                <c:pt idx="1">
                  <c:v>1.11943297947051</c:v>
                </c:pt>
                <c:pt idx="2">
                  <c:v>1.3547471949922387</c:v>
                </c:pt>
                <c:pt idx="3">
                  <c:v>1.4668124248608745</c:v>
                </c:pt>
                <c:pt idx="4">
                  <c:v>1.5983610036033997</c:v>
                </c:pt>
                <c:pt idx="5">
                  <c:v>1.6802527099508193</c:v>
                </c:pt>
                <c:pt idx="6">
                  <c:v>1.840537728812242</c:v>
                </c:pt>
                <c:pt idx="7">
                  <c:v>1.9294226332959989</c:v>
                </c:pt>
                <c:pt idx="8">
                  <c:v>1.7751894115469</c:v>
                </c:pt>
                <c:pt idx="9">
                  <c:v>1.550663454774448</c:v>
                </c:pt>
                <c:pt idx="10">
                  <c:v>1.5080692107333216</c:v>
                </c:pt>
                <c:pt idx="11">
                  <c:v>1.3816274098632024</c:v>
                </c:pt>
                <c:pt idx="12">
                  <c:v>1.4748915430739391</c:v>
                </c:pt>
                <c:pt idx="13">
                  <c:v>1.6827139382447045</c:v>
                </c:pt>
                <c:pt idx="14">
                  <c:v>1.8538013538448275</c:v>
                </c:pt>
                <c:pt idx="15">
                  <c:v>1.897539386847036</c:v>
                </c:pt>
                <c:pt idx="16">
                  <c:v>2.1452798521465208</c:v>
                </c:pt>
                <c:pt idx="17">
                  <c:v>2.2495990191008053</c:v>
                </c:pt>
                <c:pt idx="18">
                  <c:v>2.3675526943891216</c:v>
                </c:pt>
                <c:pt idx="19">
                  <c:v>2.5304869605511726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E7-4985-8EB4-B3F63A406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5359744"/>
        <c:axId val="1645361184"/>
      </c:lineChart>
      <c:catAx>
        <c:axId val="16453597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361184"/>
        <c:crosses val="autoZero"/>
        <c:auto val="1"/>
        <c:lblAlgn val="ctr"/>
        <c:lblOffset val="100"/>
        <c:noMultiLvlLbl val="0"/>
      </c:catAx>
      <c:valAx>
        <c:axId val="164536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359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361950</xdr:colOff>
      <xdr:row>25</xdr:row>
      <xdr:rowOff>33337</xdr:rowOff>
    </xdr:from>
    <xdr:to>
      <xdr:col>13</xdr:col>
      <xdr:colOff>66675</xdr:colOff>
      <xdr:row>39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4BBD86-BEE7-E9A3-52C3-EF5F381BAA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85725</xdr:colOff>
      <xdr:row>25</xdr:row>
      <xdr:rowOff>33337</xdr:rowOff>
    </xdr:from>
    <xdr:to>
      <xdr:col>19</xdr:col>
      <xdr:colOff>485775</xdr:colOff>
      <xdr:row>39</xdr:row>
      <xdr:rowOff>109537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1B6817A-BD5D-945A-C9CA-B73AF0ECA7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514350</xdr:colOff>
      <xdr:row>25</xdr:row>
      <xdr:rowOff>33337</xdr:rowOff>
    </xdr:from>
    <xdr:to>
      <xdr:col>26</xdr:col>
      <xdr:colOff>219075</xdr:colOff>
      <xdr:row>39</xdr:row>
      <xdr:rowOff>109537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094496F-C73F-BF2E-CBE8-ECBCCE7B42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371475</xdr:colOff>
      <xdr:row>39</xdr:row>
      <xdr:rowOff>185737</xdr:rowOff>
    </xdr:from>
    <xdr:to>
      <xdr:col>13</xdr:col>
      <xdr:colOff>76200</xdr:colOff>
      <xdr:row>54</xdr:row>
      <xdr:rowOff>71437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16438D0-C237-4170-1D14-A9F0C9DA8D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114300</xdr:colOff>
      <xdr:row>40</xdr:row>
      <xdr:rowOff>4762</xdr:rowOff>
    </xdr:from>
    <xdr:to>
      <xdr:col>19</xdr:col>
      <xdr:colOff>514350</xdr:colOff>
      <xdr:row>54</xdr:row>
      <xdr:rowOff>80962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A961AAA-8477-A987-A8A1-5F55C6F076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526596</xdr:colOff>
      <xdr:row>39</xdr:row>
      <xdr:rowOff>188459</xdr:rowOff>
    </xdr:from>
    <xdr:to>
      <xdr:col>26</xdr:col>
      <xdr:colOff>231321</xdr:colOff>
      <xdr:row>54</xdr:row>
      <xdr:rowOff>74159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D463143-40FE-953A-6B10-E1AF72B79A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557893</xdr:colOff>
      <xdr:row>55</xdr:row>
      <xdr:rowOff>43542</xdr:rowOff>
    </xdr:from>
    <xdr:to>
      <xdr:col>26</xdr:col>
      <xdr:colOff>272143</xdr:colOff>
      <xdr:row>69</xdr:row>
      <xdr:rowOff>119742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D8074C8-4919-62DA-4C7A-2ADD40F8A9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340178</xdr:colOff>
      <xdr:row>54</xdr:row>
      <xdr:rowOff>166007</xdr:rowOff>
    </xdr:from>
    <xdr:to>
      <xdr:col>13</xdr:col>
      <xdr:colOff>54428</xdr:colOff>
      <xdr:row>69</xdr:row>
      <xdr:rowOff>51707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E0872B2-4A3E-2518-3026-CBBCF834A2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136071</xdr:colOff>
      <xdr:row>54</xdr:row>
      <xdr:rowOff>152400</xdr:rowOff>
    </xdr:from>
    <xdr:to>
      <xdr:col>19</xdr:col>
      <xdr:colOff>544285</xdr:colOff>
      <xdr:row>69</xdr:row>
      <xdr:rowOff>38100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C51361A-837D-E064-7CCF-1F29DD814B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26</xdr:col>
      <xdr:colOff>544284</xdr:colOff>
      <xdr:row>24</xdr:row>
      <xdr:rowOff>166007</xdr:rowOff>
    </xdr:from>
    <xdr:to>
      <xdr:col>33</xdr:col>
      <xdr:colOff>258534</xdr:colOff>
      <xdr:row>39</xdr:row>
      <xdr:rowOff>51707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4A1E6E5-D8AC-13C6-0E46-0036472A9B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33</xdr:col>
      <xdr:colOff>420220</xdr:colOff>
      <xdr:row>25</xdr:row>
      <xdr:rowOff>12326</xdr:rowOff>
    </xdr:from>
    <xdr:to>
      <xdr:col>40</xdr:col>
      <xdr:colOff>128867</xdr:colOff>
      <xdr:row>39</xdr:row>
      <xdr:rowOff>88526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34B3174-8D27-0E42-95C7-9EB8A100F8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workbookViewId="0">
      <selection activeCell="A8" sqref="A8:B17"/>
    </sheetView>
  </sheetViews>
  <sheetFormatPr defaultRowHeight="15" x14ac:dyDescent="0.25"/>
  <cols>
    <col min="1" max="1" width="85.7109375" style="1" customWidth="1"/>
    <col min="2" max="2" width="188.4257812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16</v>
      </c>
      <c r="C8" t="s">
        <v>26</v>
      </c>
    </row>
    <row r="9" spans="1:3" x14ac:dyDescent="0.25">
      <c r="A9" s="1" t="s">
        <v>7</v>
      </c>
      <c r="B9" t="s">
        <v>17</v>
      </c>
      <c r="C9" t="s">
        <v>27</v>
      </c>
    </row>
    <row r="10" spans="1:3" x14ac:dyDescent="0.25">
      <c r="A10" s="1" t="s">
        <v>8</v>
      </c>
      <c r="B10" t="s">
        <v>18</v>
      </c>
      <c r="C10" t="s">
        <v>28</v>
      </c>
    </row>
    <row r="11" spans="1:3" x14ac:dyDescent="0.25">
      <c r="A11" s="1" t="s">
        <v>9</v>
      </c>
      <c r="B11" t="s">
        <v>19</v>
      </c>
      <c r="C11" t="s">
        <v>26</v>
      </c>
    </row>
    <row r="12" spans="1:3" x14ac:dyDescent="0.25">
      <c r="A12" s="1" t="s">
        <v>10</v>
      </c>
      <c r="B12" t="s">
        <v>20</v>
      </c>
      <c r="C12" t="s">
        <v>29</v>
      </c>
    </row>
    <row r="13" spans="1:3" x14ac:dyDescent="0.25">
      <c r="A13" s="1" t="s">
        <v>11</v>
      </c>
      <c r="B13" t="s">
        <v>21</v>
      </c>
      <c r="C13" t="s">
        <v>29</v>
      </c>
    </row>
    <row r="14" spans="1:3" x14ac:dyDescent="0.25">
      <c r="A14" s="1" t="s">
        <v>12</v>
      </c>
      <c r="B14" t="s">
        <v>22</v>
      </c>
      <c r="C14" t="s">
        <v>30</v>
      </c>
    </row>
    <row r="15" spans="1:3" x14ac:dyDescent="0.25">
      <c r="A15" s="1" t="s">
        <v>13</v>
      </c>
      <c r="B15" t="s">
        <v>23</v>
      </c>
      <c r="C15" t="s">
        <v>31</v>
      </c>
    </row>
    <row r="16" spans="1:3" x14ac:dyDescent="0.25">
      <c r="A16" s="1" t="s">
        <v>14</v>
      </c>
      <c r="B16" t="s">
        <v>24</v>
      </c>
      <c r="C16" t="s">
        <v>31</v>
      </c>
    </row>
    <row r="17" spans="1:3" x14ac:dyDescent="0.25">
      <c r="A17" s="1" t="s">
        <v>15</v>
      </c>
      <c r="B17" t="s">
        <v>25</v>
      </c>
      <c r="C17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3"/>
  <sheetViews>
    <sheetView workbookViewId="0">
      <selection activeCell="C31" sqref="A1:K313"/>
    </sheetView>
  </sheetViews>
  <sheetFormatPr defaultRowHeight="15" x14ac:dyDescent="0.25"/>
  <cols>
    <col min="1" max="1" width="16.5703125" bestFit="1" customWidth="1"/>
    <col min="2" max="2" width="17.28515625" style="2" bestFit="1" customWidth="1"/>
    <col min="3" max="3" width="16.28515625" style="3" bestFit="1" customWidth="1"/>
    <col min="4" max="4" width="12.5703125" style="3" bestFit="1" customWidth="1"/>
    <col min="5" max="5" width="6" style="2" bestFit="1" customWidth="1"/>
    <col min="6" max="6" width="13.7109375" style="3" bestFit="1" customWidth="1"/>
    <col min="7" max="7" width="12.85546875" style="3" bestFit="1" customWidth="1"/>
    <col min="8" max="8" width="9.5703125" style="4" bestFit="1" customWidth="1"/>
    <col min="9" max="9" width="10.28515625" style="3" bestFit="1" customWidth="1"/>
    <col min="10" max="10" width="13.140625" style="3" bestFit="1" customWidth="1"/>
    <col min="11" max="11" width="11.140625" style="3" bestFit="1" customWidth="1"/>
  </cols>
  <sheetData>
    <row r="1" spans="1:11" x14ac:dyDescent="0.25">
      <c r="A1" s="5" t="s">
        <v>32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</row>
    <row r="2" spans="1:11" x14ac:dyDescent="0.25">
      <c r="A2" s="6">
        <v>17258</v>
      </c>
      <c r="B2" s="2">
        <v>-0.59</v>
      </c>
    </row>
    <row r="3" spans="1:11" x14ac:dyDescent="0.25">
      <c r="A3" s="6">
        <v>17349</v>
      </c>
      <c r="B3" s="2">
        <v>-0.66</v>
      </c>
    </row>
    <row r="4" spans="1:11" x14ac:dyDescent="0.25">
      <c r="A4" s="6">
        <v>17441</v>
      </c>
      <c r="B4" s="2">
        <v>1.34</v>
      </c>
    </row>
    <row r="5" spans="1:11" x14ac:dyDescent="0.25">
      <c r="A5" s="6">
        <v>17533</v>
      </c>
      <c r="B5" s="2">
        <v>2.62</v>
      </c>
      <c r="D5" s="3">
        <v>5.7640599999999997</v>
      </c>
      <c r="F5" s="3">
        <v>8.8325700000000005</v>
      </c>
      <c r="K5" s="3">
        <v>2.61151</v>
      </c>
    </row>
    <row r="6" spans="1:11" x14ac:dyDescent="0.25">
      <c r="A6" s="6">
        <v>17624</v>
      </c>
      <c r="B6" s="2">
        <v>-1.26</v>
      </c>
      <c r="D6" s="3">
        <v>3.06948</v>
      </c>
      <c r="F6" s="3">
        <v>9.0110600000000005</v>
      </c>
      <c r="K6" s="3">
        <v>4.5844300000000002</v>
      </c>
    </row>
    <row r="7" spans="1:11" x14ac:dyDescent="0.25">
      <c r="A7" s="6">
        <v>17715</v>
      </c>
      <c r="B7" s="2">
        <v>0.21</v>
      </c>
      <c r="D7" s="3">
        <v>6.8995300000000004</v>
      </c>
      <c r="F7" s="3">
        <v>8.4778400000000005</v>
      </c>
      <c r="K7" s="3">
        <v>5.40123</v>
      </c>
    </row>
    <row r="8" spans="1:11" x14ac:dyDescent="0.25">
      <c r="A8" s="6">
        <v>17807</v>
      </c>
      <c r="B8" s="2">
        <v>1</v>
      </c>
      <c r="D8" s="3">
        <v>1.11008</v>
      </c>
      <c r="F8" s="3">
        <v>4.5258000000000003</v>
      </c>
      <c r="K8" s="3">
        <v>3.8936700000000002</v>
      </c>
    </row>
    <row r="9" spans="1:11" x14ac:dyDescent="0.25">
      <c r="A9" s="6">
        <v>17899</v>
      </c>
      <c r="B9" s="2">
        <v>-2.0099999999999998</v>
      </c>
      <c r="D9" s="3">
        <v>-0.66090000000000004</v>
      </c>
      <c r="F9" s="3">
        <v>1.3832</v>
      </c>
      <c r="K9" s="3">
        <v>0.94320999999999999</v>
      </c>
    </row>
    <row r="10" spans="1:11" x14ac:dyDescent="0.25">
      <c r="A10" s="6">
        <v>17989</v>
      </c>
      <c r="B10" s="2">
        <v>-1.55</v>
      </c>
      <c r="D10" s="3">
        <v>-0.98929</v>
      </c>
      <c r="F10" s="3">
        <v>-0.31952999999999998</v>
      </c>
      <c r="K10" s="3">
        <v>-1.0349200000000001</v>
      </c>
    </row>
    <row r="11" spans="1:11" x14ac:dyDescent="0.25">
      <c r="A11" s="6">
        <v>18080</v>
      </c>
      <c r="B11" s="2">
        <v>-1.77</v>
      </c>
      <c r="D11" s="3">
        <v>-0.52605000000000002</v>
      </c>
      <c r="F11" s="3">
        <v>-2.7872699999999999</v>
      </c>
      <c r="K11" s="3">
        <v>-0.58284999999999998</v>
      </c>
    </row>
    <row r="12" spans="1:11" x14ac:dyDescent="0.25">
      <c r="A12" s="6">
        <v>18172</v>
      </c>
      <c r="B12" s="2">
        <v>-0.36</v>
      </c>
      <c r="D12" s="3">
        <v>-1.0064</v>
      </c>
      <c r="F12" s="3">
        <v>-2.1235499999999998</v>
      </c>
      <c r="K12" s="3">
        <v>-1.5273300000000001</v>
      </c>
    </row>
    <row r="13" spans="1:11" x14ac:dyDescent="0.25">
      <c r="A13" s="6">
        <v>18264</v>
      </c>
      <c r="B13" s="2">
        <v>1.36</v>
      </c>
      <c r="D13" s="3">
        <v>3.8996900000000001</v>
      </c>
      <c r="F13" s="3">
        <v>-1.48963</v>
      </c>
      <c r="K13" s="3">
        <v>3.7728600000000001</v>
      </c>
    </row>
    <row r="14" spans="1:11" x14ac:dyDescent="0.25">
      <c r="A14" s="6">
        <v>18354</v>
      </c>
      <c r="B14" s="2">
        <v>3.33</v>
      </c>
      <c r="D14" s="3">
        <v>8.4672400000000003</v>
      </c>
      <c r="F14" s="3">
        <v>-0.62717999999999996</v>
      </c>
      <c r="K14" s="3">
        <v>7.3033599999999996</v>
      </c>
    </row>
    <row r="15" spans="1:11" x14ac:dyDescent="0.25">
      <c r="A15" s="6">
        <v>18445</v>
      </c>
      <c r="B15" s="2">
        <v>3.45</v>
      </c>
      <c r="D15" s="3">
        <v>12.85467</v>
      </c>
      <c r="F15" s="3">
        <v>2.052</v>
      </c>
      <c r="K15" s="3">
        <v>10.31016</v>
      </c>
    </row>
    <row r="16" spans="1:11" x14ac:dyDescent="0.25">
      <c r="A16" s="6">
        <v>18537</v>
      </c>
      <c r="B16" s="2">
        <v>-7.0000000000000007E-2</v>
      </c>
      <c r="D16" s="3">
        <v>15.218730000000001</v>
      </c>
      <c r="F16" s="3">
        <v>4.3674299999999997</v>
      </c>
      <c r="K16" s="3">
        <v>13.372389999999999</v>
      </c>
    </row>
    <row r="17" spans="1:11" x14ac:dyDescent="0.25">
      <c r="A17" s="6">
        <v>18629</v>
      </c>
      <c r="B17" s="2">
        <v>-1.1599999999999999</v>
      </c>
      <c r="D17" s="3">
        <v>12.51108</v>
      </c>
      <c r="F17" s="3">
        <v>8.9457299999999993</v>
      </c>
      <c r="K17" s="3">
        <v>10.56488</v>
      </c>
    </row>
    <row r="18" spans="1:11" x14ac:dyDescent="0.25">
      <c r="A18" s="6">
        <v>18719</v>
      </c>
      <c r="B18" s="2">
        <v>0.47</v>
      </c>
      <c r="D18" s="3">
        <v>8.9933499999999995</v>
      </c>
      <c r="F18" s="3">
        <v>9.1725100000000008</v>
      </c>
      <c r="K18" s="3">
        <v>9.1499199999999998</v>
      </c>
    </row>
    <row r="19" spans="1:11" x14ac:dyDescent="0.25">
      <c r="A19" s="6">
        <v>18810</v>
      </c>
      <c r="B19" s="2">
        <v>0.52</v>
      </c>
      <c r="D19" s="3">
        <v>4.70397</v>
      </c>
      <c r="F19" s="3">
        <v>7.14778</v>
      </c>
      <c r="K19" s="3">
        <v>7.2530000000000001</v>
      </c>
    </row>
    <row r="20" spans="1:11" x14ac:dyDescent="0.25">
      <c r="A20" s="6">
        <v>18902</v>
      </c>
      <c r="B20" s="2">
        <v>-0.55000000000000004</v>
      </c>
      <c r="D20" s="3">
        <v>3.92157</v>
      </c>
      <c r="F20" s="3">
        <v>6.5739700000000001</v>
      </c>
      <c r="K20" s="3">
        <v>5.4681600000000001</v>
      </c>
    </row>
    <row r="21" spans="1:11" x14ac:dyDescent="0.25">
      <c r="A21" s="6">
        <v>18994</v>
      </c>
      <c r="B21" s="2">
        <v>0.54</v>
      </c>
      <c r="D21" s="3">
        <v>3.27467</v>
      </c>
      <c r="F21" s="3">
        <v>2.80192</v>
      </c>
      <c r="K21" s="3">
        <v>5.16533</v>
      </c>
    </row>
    <row r="22" spans="1:11" x14ac:dyDescent="0.25">
      <c r="A22" s="6">
        <v>19085</v>
      </c>
      <c r="B22" s="2">
        <v>0.75</v>
      </c>
      <c r="D22" s="3">
        <v>2.1347</v>
      </c>
      <c r="F22" s="3">
        <v>2.0811899999999999</v>
      </c>
      <c r="K22" s="3">
        <v>3.5962700000000001</v>
      </c>
    </row>
    <row r="23" spans="1:11" x14ac:dyDescent="0.25">
      <c r="A23" s="6">
        <v>19176</v>
      </c>
      <c r="B23" s="2">
        <v>-2.95</v>
      </c>
      <c r="D23" s="3">
        <v>1.11886</v>
      </c>
      <c r="F23" s="3">
        <v>2.8277600000000001</v>
      </c>
      <c r="K23" s="3">
        <v>2.2373599999999998</v>
      </c>
    </row>
    <row r="24" spans="1:11" x14ac:dyDescent="0.25">
      <c r="A24" s="6">
        <v>19268</v>
      </c>
      <c r="B24" s="2">
        <v>3.34</v>
      </c>
      <c r="D24" s="3">
        <v>5.6260700000000003</v>
      </c>
      <c r="F24" s="3">
        <v>1.4439500000000001</v>
      </c>
      <c r="K24" s="3">
        <v>5.3640800000000004</v>
      </c>
    </row>
    <row r="25" spans="1:11" x14ac:dyDescent="0.25">
      <c r="A25" s="6">
        <v>19360</v>
      </c>
      <c r="B25" s="2">
        <v>2.06</v>
      </c>
      <c r="D25" s="3">
        <v>6.4095000000000004</v>
      </c>
      <c r="F25" s="3">
        <v>0.76971999999999996</v>
      </c>
      <c r="H25" s="4">
        <v>90.7</v>
      </c>
      <c r="K25" s="3">
        <v>6.1898799999999996</v>
      </c>
    </row>
    <row r="26" spans="1:11" x14ac:dyDescent="0.25">
      <c r="A26" s="6">
        <v>19450</v>
      </c>
      <c r="B26" s="2">
        <v>0.41</v>
      </c>
      <c r="D26" s="3">
        <v>7.5243099999999998</v>
      </c>
      <c r="F26" s="3">
        <v>0.88095000000000001</v>
      </c>
      <c r="K26" s="3">
        <v>6.7819900000000004</v>
      </c>
    </row>
    <row r="27" spans="1:11" x14ac:dyDescent="0.25">
      <c r="A27" s="6">
        <v>19541</v>
      </c>
      <c r="B27" s="2">
        <v>0.92</v>
      </c>
      <c r="D27" s="3">
        <v>6.6729099999999999</v>
      </c>
      <c r="F27" s="3">
        <v>0.66249999999999998</v>
      </c>
      <c r="H27" s="4">
        <v>80.8</v>
      </c>
      <c r="K27" s="3">
        <v>5.4209899999999998</v>
      </c>
    </row>
    <row r="28" spans="1:11" x14ac:dyDescent="0.25">
      <c r="A28" s="6">
        <v>19633</v>
      </c>
      <c r="B28" s="2">
        <v>-0.28000000000000003</v>
      </c>
      <c r="D28" s="3">
        <v>-0.17863000000000001</v>
      </c>
      <c r="F28" s="3">
        <v>0.72419</v>
      </c>
      <c r="H28" s="4">
        <v>80.7</v>
      </c>
      <c r="K28" s="3">
        <v>0.52405999999999997</v>
      </c>
    </row>
    <row r="29" spans="1:11" x14ac:dyDescent="0.25">
      <c r="A29" s="6">
        <v>19725</v>
      </c>
      <c r="B29" s="2">
        <v>-0.97</v>
      </c>
      <c r="D29" s="3">
        <v>-3.16309</v>
      </c>
      <c r="F29" s="3">
        <v>1.2521899999999999</v>
      </c>
      <c r="H29" s="4">
        <v>82</v>
      </c>
      <c r="K29" s="3">
        <v>-1.78193</v>
      </c>
    </row>
    <row r="30" spans="1:11" x14ac:dyDescent="0.25">
      <c r="A30" s="6">
        <v>19815</v>
      </c>
      <c r="B30" s="2">
        <v>-0.27</v>
      </c>
      <c r="D30" s="3">
        <v>-3.6258300000000001</v>
      </c>
      <c r="F30" s="3">
        <v>0.71108000000000005</v>
      </c>
      <c r="H30" s="4">
        <v>82.9</v>
      </c>
      <c r="K30" s="3">
        <v>-2.4287800000000002</v>
      </c>
    </row>
    <row r="31" spans="1:11" x14ac:dyDescent="0.25">
      <c r="A31" s="6">
        <v>19906</v>
      </c>
      <c r="B31" s="2">
        <v>1.0900000000000001</v>
      </c>
      <c r="D31" s="3">
        <v>-1.7154700000000001</v>
      </c>
      <c r="E31" s="2">
        <v>1.02</v>
      </c>
      <c r="F31" s="3">
        <v>-1.242E-2</v>
      </c>
      <c r="K31" s="3">
        <v>-0.76832999999999996</v>
      </c>
    </row>
    <row r="32" spans="1:11" x14ac:dyDescent="0.25">
      <c r="A32" s="6">
        <v>19998</v>
      </c>
      <c r="B32" s="2">
        <v>0.04</v>
      </c>
      <c r="D32" s="3">
        <v>2.5784899999999999</v>
      </c>
      <c r="E32" s="2">
        <v>0.98</v>
      </c>
      <c r="F32" s="3">
        <v>-0.49585000000000001</v>
      </c>
      <c r="H32" s="4">
        <v>87</v>
      </c>
      <c r="K32" s="3">
        <v>2.7286199999999998</v>
      </c>
    </row>
    <row r="33" spans="1:11" x14ac:dyDescent="0.25">
      <c r="A33" s="6">
        <v>20090</v>
      </c>
      <c r="B33" s="2">
        <v>0.78</v>
      </c>
      <c r="D33" s="3">
        <v>7.5037000000000003</v>
      </c>
      <c r="E33" s="2">
        <v>1.34</v>
      </c>
      <c r="F33" s="3">
        <v>-0.59362000000000004</v>
      </c>
      <c r="H33" s="4">
        <v>95.9</v>
      </c>
      <c r="K33" s="3">
        <v>6.1702000000000004</v>
      </c>
    </row>
    <row r="34" spans="1:11" x14ac:dyDescent="0.25">
      <c r="A34" s="6">
        <v>20180</v>
      </c>
      <c r="B34" s="2">
        <v>2.33</v>
      </c>
      <c r="D34" s="3">
        <v>9.3521000000000001</v>
      </c>
      <c r="E34" s="2">
        <v>1.5</v>
      </c>
      <c r="F34" s="3">
        <v>-0.56979999999999997</v>
      </c>
      <c r="H34" s="4">
        <v>99.1</v>
      </c>
      <c r="K34" s="3">
        <v>7.78024</v>
      </c>
    </row>
    <row r="35" spans="1:11" x14ac:dyDescent="0.25">
      <c r="A35" s="6">
        <v>20271</v>
      </c>
      <c r="B35" s="2">
        <v>2</v>
      </c>
      <c r="D35" s="3">
        <v>9.3602900000000009</v>
      </c>
      <c r="E35" s="2">
        <v>1.93</v>
      </c>
      <c r="F35" s="3">
        <v>-0.23597000000000001</v>
      </c>
      <c r="K35" s="3">
        <v>8.0159199999999995</v>
      </c>
    </row>
    <row r="36" spans="1:11" x14ac:dyDescent="0.25">
      <c r="A36" s="6">
        <v>20363</v>
      </c>
      <c r="B36" s="2">
        <v>1.22</v>
      </c>
      <c r="D36" s="3">
        <v>7.71549</v>
      </c>
      <c r="E36" s="2">
        <v>2.35</v>
      </c>
      <c r="F36" s="3">
        <v>0.37374000000000002</v>
      </c>
      <c r="H36" s="4">
        <v>99.7</v>
      </c>
      <c r="K36" s="3">
        <v>6.5790199999999999</v>
      </c>
    </row>
    <row r="37" spans="1:11" x14ac:dyDescent="0.25">
      <c r="A37" s="6">
        <v>20455</v>
      </c>
      <c r="B37" s="2">
        <v>-0.61</v>
      </c>
      <c r="D37" s="3">
        <v>3.3369</v>
      </c>
      <c r="E37" s="2">
        <v>2.48</v>
      </c>
      <c r="F37" s="3">
        <v>0.24882000000000001</v>
      </c>
      <c r="K37" s="3">
        <v>3.2169500000000002</v>
      </c>
    </row>
    <row r="38" spans="1:11" x14ac:dyDescent="0.25">
      <c r="A38" s="6">
        <v>20546</v>
      </c>
      <c r="B38" s="2">
        <v>0.74</v>
      </c>
      <c r="D38" s="3">
        <v>2.3714499999999998</v>
      </c>
      <c r="E38" s="2">
        <v>2.69</v>
      </c>
      <c r="F38" s="3">
        <v>1.04647</v>
      </c>
      <c r="H38" s="4">
        <v>98.2</v>
      </c>
      <c r="K38" s="3">
        <v>2.4034599999999999</v>
      </c>
    </row>
    <row r="39" spans="1:11" x14ac:dyDescent="0.25">
      <c r="A39" s="6">
        <v>20637</v>
      </c>
      <c r="B39" s="2">
        <v>0.39</v>
      </c>
      <c r="D39" s="3">
        <v>0.51963000000000004</v>
      </c>
      <c r="E39" s="2">
        <v>2.8</v>
      </c>
      <c r="F39" s="3">
        <v>2.01668</v>
      </c>
      <c r="H39" s="4">
        <v>99.9</v>
      </c>
      <c r="K39" s="3">
        <v>0.94796999999999998</v>
      </c>
    </row>
    <row r="40" spans="1:11" x14ac:dyDescent="0.25">
      <c r="A40" s="6">
        <v>20729</v>
      </c>
      <c r="B40" s="2">
        <v>0</v>
      </c>
      <c r="D40" s="3">
        <v>1.31037</v>
      </c>
      <c r="E40" s="2">
        <v>2.93</v>
      </c>
      <c r="F40" s="3">
        <v>2.58161</v>
      </c>
      <c r="H40" s="4">
        <v>100.2</v>
      </c>
      <c r="K40" s="3">
        <v>1.9968300000000001</v>
      </c>
    </row>
    <row r="41" spans="1:11" x14ac:dyDescent="0.25">
      <c r="A41" s="6">
        <v>20821</v>
      </c>
      <c r="B41" s="2">
        <v>0.23</v>
      </c>
      <c r="D41" s="3">
        <v>3.1921200000000001</v>
      </c>
      <c r="E41" s="2">
        <v>2.94</v>
      </c>
      <c r="F41" s="3">
        <v>3.41276</v>
      </c>
      <c r="K41" s="3">
        <v>3.04976</v>
      </c>
    </row>
    <row r="42" spans="1:11" x14ac:dyDescent="0.25">
      <c r="A42" s="6">
        <v>20911</v>
      </c>
      <c r="B42" s="2">
        <v>-0.09</v>
      </c>
      <c r="D42" s="3">
        <v>1.8385100000000001</v>
      </c>
      <c r="E42" s="2">
        <v>3</v>
      </c>
      <c r="F42" s="3">
        <v>3.6123799999999999</v>
      </c>
      <c r="H42" s="4">
        <v>92.9</v>
      </c>
      <c r="K42" s="3">
        <v>1.98098</v>
      </c>
    </row>
    <row r="43" spans="1:11" x14ac:dyDescent="0.25">
      <c r="A43" s="6">
        <v>21002</v>
      </c>
      <c r="B43" s="2">
        <v>0.93</v>
      </c>
      <c r="D43" s="3">
        <v>3.2050800000000002</v>
      </c>
      <c r="E43" s="2">
        <v>3.21</v>
      </c>
      <c r="F43" s="3">
        <v>3.4655300000000002</v>
      </c>
      <c r="K43" s="3">
        <v>3.0727799999999998</v>
      </c>
    </row>
    <row r="44" spans="1:11" x14ac:dyDescent="0.25">
      <c r="A44" s="6">
        <v>21094</v>
      </c>
      <c r="B44" s="2">
        <v>-0.99</v>
      </c>
      <c r="D44" s="3">
        <v>-0.21798999999999999</v>
      </c>
      <c r="E44" s="2">
        <v>3.28</v>
      </c>
      <c r="F44" s="3">
        <v>3.0853000000000002</v>
      </c>
      <c r="H44" s="4">
        <v>83.7</v>
      </c>
      <c r="K44" s="3">
        <v>0.35470000000000002</v>
      </c>
    </row>
    <row r="45" spans="1:11" x14ac:dyDescent="0.25">
      <c r="A45" s="6">
        <v>21186</v>
      </c>
      <c r="B45" s="2">
        <v>-2.69</v>
      </c>
      <c r="D45" s="3">
        <v>-4.9737999999999998</v>
      </c>
      <c r="E45" s="2">
        <v>2.0099999999999998</v>
      </c>
      <c r="F45" s="3">
        <v>3.45614</v>
      </c>
      <c r="G45" s="3">
        <v>2.7972000000000001</v>
      </c>
      <c r="H45" s="4">
        <v>78.5</v>
      </c>
      <c r="K45" s="3">
        <v>-2.87229</v>
      </c>
    </row>
    <row r="46" spans="1:11" x14ac:dyDescent="0.25">
      <c r="A46" s="6">
        <v>21276</v>
      </c>
      <c r="B46" s="2">
        <v>-1.54</v>
      </c>
      <c r="D46" s="3">
        <v>-3.99336</v>
      </c>
      <c r="E46" s="2">
        <v>0.95</v>
      </c>
      <c r="F46" s="3">
        <v>3.2722500000000001</v>
      </c>
      <c r="G46" s="3">
        <v>2.4277500000000001</v>
      </c>
      <c r="H46" s="4">
        <v>80.900000000000006</v>
      </c>
      <c r="K46" s="3">
        <v>-2.0195400000000001</v>
      </c>
    </row>
    <row r="47" spans="1:11" x14ac:dyDescent="0.25">
      <c r="A47" s="6">
        <v>21367</v>
      </c>
      <c r="B47" s="2">
        <v>-0.41</v>
      </c>
      <c r="D47" s="3">
        <v>-1.91771</v>
      </c>
      <c r="E47" s="2">
        <v>1.24</v>
      </c>
      <c r="F47" s="3">
        <v>2.2997999999999998</v>
      </c>
      <c r="G47" s="3">
        <v>2.0665900000000001</v>
      </c>
      <c r="K47" s="3">
        <v>-0.72596000000000005</v>
      </c>
    </row>
    <row r="48" spans="1:11" x14ac:dyDescent="0.25">
      <c r="A48" s="6">
        <v>21459</v>
      </c>
      <c r="B48" s="2">
        <v>1.45</v>
      </c>
      <c r="D48" s="3">
        <v>3.0367000000000002</v>
      </c>
      <c r="E48" s="2">
        <v>2.15</v>
      </c>
      <c r="F48" s="3">
        <v>1.9131499999999999</v>
      </c>
      <c r="G48" s="3">
        <v>1.8223199999999999</v>
      </c>
      <c r="H48" s="4">
        <v>90.8</v>
      </c>
      <c r="K48" s="3">
        <v>2.65733</v>
      </c>
    </row>
    <row r="49" spans="1:11" x14ac:dyDescent="0.25">
      <c r="A49" s="6">
        <v>21551</v>
      </c>
      <c r="B49" s="2">
        <v>1.18</v>
      </c>
      <c r="D49" s="3">
        <v>9.0709999999999997</v>
      </c>
      <c r="E49" s="2">
        <v>2.5499999999999998</v>
      </c>
      <c r="F49" s="3">
        <v>0.89317000000000002</v>
      </c>
      <c r="G49" s="3">
        <v>1.81406</v>
      </c>
      <c r="K49" s="3">
        <v>7.4151100000000003</v>
      </c>
    </row>
    <row r="50" spans="1:11" x14ac:dyDescent="0.25">
      <c r="A50" s="6">
        <v>21641</v>
      </c>
      <c r="B50" s="2">
        <v>1.1299999999999999</v>
      </c>
      <c r="D50" s="3">
        <v>11.74878</v>
      </c>
      <c r="E50" s="2">
        <v>3.05</v>
      </c>
      <c r="F50" s="3">
        <v>0.39174999999999999</v>
      </c>
      <c r="G50" s="3">
        <v>1.9187399999999999</v>
      </c>
      <c r="H50" s="4">
        <v>95.3</v>
      </c>
      <c r="K50" s="3">
        <v>9.1188300000000009</v>
      </c>
    </row>
    <row r="51" spans="1:11" x14ac:dyDescent="0.25">
      <c r="A51" s="6">
        <v>21732</v>
      </c>
      <c r="B51" s="2">
        <v>1.07</v>
      </c>
      <c r="D51" s="3">
        <v>8.2220800000000001</v>
      </c>
      <c r="E51" s="2">
        <v>3.56</v>
      </c>
      <c r="F51" s="3">
        <v>0.96840999999999999</v>
      </c>
      <c r="G51" s="3">
        <v>2.02475</v>
      </c>
      <c r="K51" s="3">
        <v>6.7262199999999996</v>
      </c>
    </row>
    <row r="52" spans="1:11" x14ac:dyDescent="0.25">
      <c r="A52" s="6">
        <v>21824</v>
      </c>
      <c r="B52" s="2">
        <v>-0.11</v>
      </c>
      <c r="D52" s="3">
        <v>4.5303599999999999</v>
      </c>
      <c r="E52" s="2">
        <v>3.99</v>
      </c>
      <c r="F52" s="3">
        <v>1.47414</v>
      </c>
      <c r="G52" s="3">
        <v>2.1252800000000001</v>
      </c>
      <c r="H52" s="4">
        <v>93.8</v>
      </c>
      <c r="K52" s="3">
        <v>4.5849399999999996</v>
      </c>
    </row>
    <row r="53" spans="1:11" x14ac:dyDescent="0.25">
      <c r="A53" s="6">
        <v>21916</v>
      </c>
      <c r="B53" s="2">
        <v>1.48</v>
      </c>
      <c r="D53" s="3">
        <v>5.4636100000000001</v>
      </c>
      <c r="E53" s="2">
        <v>3.93</v>
      </c>
      <c r="F53" s="3">
        <v>1.3911199999999999</v>
      </c>
      <c r="G53" s="3">
        <v>2.1158100000000002</v>
      </c>
      <c r="H53" s="4">
        <v>100</v>
      </c>
      <c r="I53" s="3">
        <v>1.6955100000000001</v>
      </c>
      <c r="J53" s="3">
        <v>2.1097899999999998</v>
      </c>
      <c r="K53" s="3">
        <v>4.9238</v>
      </c>
    </row>
    <row r="54" spans="1:11" x14ac:dyDescent="0.25">
      <c r="A54" s="6">
        <v>22007</v>
      </c>
      <c r="B54" s="2">
        <v>0.63</v>
      </c>
      <c r="D54" s="3">
        <v>1.0836600000000001</v>
      </c>
      <c r="E54" s="2">
        <v>3.7</v>
      </c>
      <c r="F54" s="3">
        <v>1.8248599999999999</v>
      </c>
      <c r="G54" s="3">
        <v>1.7718700000000001</v>
      </c>
      <c r="H54" s="4">
        <v>93.3</v>
      </c>
      <c r="I54" s="3">
        <v>1.81114</v>
      </c>
      <c r="J54" s="3">
        <v>1.9511000000000001</v>
      </c>
      <c r="K54" s="3">
        <v>2.0590999999999999</v>
      </c>
    </row>
    <row r="55" spans="1:11" x14ac:dyDescent="0.25">
      <c r="A55" s="6">
        <v>22098</v>
      </c>
      <c r="B55" s="2">
        <v>-0.72</v>
      </c>
      <c r="D55" s="3">
        <v>1.2741</v>
      </c>
      <c r="E55" s="2">
        <v>2.94</v>
      </c>
      <c r="F55" s="3">
        <v>1.35876</v>
      </c>
      <c r="G55" s="3">
        <v>1.21279</v>
      </c>
      <c r="H55" s="4">
        <v>97.2</v>
      </c>
      <c r="I55" s="3">
        <v>1.5806800000000001</v>
      </c>
      <c r="J55" s="3">
        <v>1.67066</v>
      </c>
      <c r="K55" s="3">
        <v>2.48766</v>
      </c>
    </row>
    <row r="56" spans="1:11" x14ac:dyDescent="0.25">
      <c r="A56" s="6">
        <v>22190</v>
      </c>
      <c r="B56" s="2">
        <v>-7.0000000000000007E-2</v>
      </c>
      <c r="D56" s="3">
        <v>-0.68289</v>
      </c>
      <c r="E56" s="2">
        <v>2.29</v>
      </c>
      <c r="F56" s="3">
        <v>1.39598</v>
      </c>
      <c r="G56" s="3">
        <v>1.0952900000000001</v>
      </c>
      <c r="H56" s="4">
        <v>90.1</v>
      </c>
      <c r="I56" s="3">
        <v>1.47695</v>
      </c>
      <c r="J56" s="3">
        <v>1.4226300000000001</v>
      </c>
      <c r="K56" s="3">
        <v>0.8851</v>
      </c>
    </row>
    <row r="57" spans="1:11" x14ac:dyDescent="0.25">
      <c r="A57" s="6">
        <v>22282</v>
      </c>
      <c r="B57" s="2">
        <v>-0.56999999999999995</v>
      </c>
      <c r="D57" s="3">
        <v>-2.8693399999999998</v>
      </c>
      <c r="E57" s="2">
        <v>2.02</v>
      </c>
      <c r="F57" s="3">
        <v>1.5081100000000001</v>
      </c>
      <c r="G57" s="3">
        <v>0.87241000000000002</v>
      </c>
      <c r="H57" s="4">
        <v>91.6</v>
      </c>
      <c r="I57" s="3">
        <v>1.5333399999999999</v>
      </c>
      <c r="J57" s="3">
        <v>1.2750600000000001</v>
      </c>
      <c r="K57" s="3">
        <v>-0.66752</v>
      </c>
    </row>
    <row r="58" spans="1:11" x14ac:dyDescent="0.25">
      <c r="A58" s="6">
        <v>22372</v>
      </c>
      <c r="B58" s="2">
        <v>0.91</v>
      </c>
      <c r="D58" s="3">
        <v>0.85897000000000001</v>
      </c>
      <c r="E58" s="2">
        <v>1.75</v>
      </c>
      <c r="F58" s="3">
        <v>0.8679</v>
      </c>
      <c r="G58" s="3">
        <v>0.97933000000000003</v>
      </c>
      <c r="H58" s="4">
        <v>92.5</v>
      </c>
      <c r="I58" s="3">
        <v>0.99473999999999996</v>
      </c>
      <c r="J58" s="3">
        <v>1.22414</v>
      </c>
      <c r="K58" s="3">
        <v>1.5657799999999999</v>
      </c>
    </row>
    <row r="59" spans="1:11" x14ac:dyDescent="0.25">
      <c r="A59" s="6">
        <v>22463</v>
      </c>
      <c r="B59" s="2">
        <v>0.4</v>
      </c>
      <c r="D59" s="3">
        <v>3.1485099999999999</v>
      </c>
      <c r="E59" s="2">
        <v>1.67</v>
      </c>
      <c r="F59" s="3">
        <v>1.20536</v>
      </c>
      <c r="G59" s="3">
        <v>1.52505</v>
      </c>
      <c r="H59" s="4">
        <v>99.2</v>
      </c>
      <c r="I59" s="3">
        <v>0.97816999999999998</v>
      </c>
      <c r="J59" s="3">
        <v>1.26738</v>
      </c>
      <c r="K59" s="3">
        <v>3.01153</v>
      </c>
    </row>
    <row r="60" spans="1:11" x14ac:dyDescent="0.25">
      <c r="A60" s="6">
        <v>22555</v>
      </c>
      <c r="B60" s="2">
        <v>1.22</v>
      </c>
      <c r="D60" s="3">
        <v>7.7472899999999996</v>
      </c>
      <c r="E60" s="2">
        <v>2.37</v>
      </c>
      <c r="F60" s="3">
        <v>0.70516999999999996</v>
      </c>
      <c r="G60" s="3">
        <v>1.3001100000000001</v>
      </c>
      <c r="H60" s="4">
        <v>93</v>
      </c>
      <c r="I60" s="3">
        <v>0.64354999999999996</v>
      </c>
      <c r="J60" s="3">
        <v>1.1779200000000001</v>
      </c>
      <c r="K60" s="3">
        <v>6.3975</v>
      </c>
    </row>
    <row r="61" spans="1:11" x14ac:dyDescent="0.25">
      <c r="A61" s="6">
        <v>22647</v>
      </c>
      <c r="B61" s="2">
        <v>0.79</v>
      </c>
      <c r="D61" s="3">
        <v>9.1394599999999997</v>
      </c>
      <c r="E61" s="2">
        <v>2.4500000000000002</v>
      </c>
      <c r="F61" s="3">
        <v>0.89366000000000001</v>
      </c>
      <c r="G61" s="3">
        <v>1.2972999999999999</v>
      </c>
      <c r="H61" s="4">
        <v>99.9</v>
      </c>
      <c r="I61" s="3">
        <v>0.89122000000000001</v>
      </c>
      <c r="J61" s="3">
        <v>1.37951</v>
      </c>
      <c r="K61" s="3">
        <v>7.5691600000000001</v>
      </c>
    </row>
    <row r="62" spans="1:11" x14ac:dyDescent="0.25">
      <c r="A62" s="6">
        <v>22737</v>
      </c>
      <c r="B62" s="2">
        <v>1.07</v>
      </c>
      <c r="D62" s="3">
        <v>7.4272099999999996</v>
      </c>
      <c r="E62" s="2">
        <v>2.61</v>
      </c>
      <c r="F62" s="3">
        <v>1.30741</v>
      </c>
      <c r="G62" s="3">
        <v>1.40086</v>
      </c>
      <c r="H62" s="4">
        <v>95.4</v>
      </c>
      <c r="I62" s="3">
        <v>1.26149</v>
      </c>
      <c r="J62" s="3">
        <v>1.43712</v>
      </c>
      <c r="K62" s="3">
        <v>6.73027</v>
      </c>
    </row>
    <row r="63" spans="1:11" x14ac:dyDescent="0.25">
      <c r="A63" s="6">
        <v>22828</v>
      </c>
      <c r="B63" s="2">
        <v>0.5</v>
      </c>
      <c r="D63" s="3">
        <v>6.5371699999999997</v>
      </c>
      <c r="E63" s="2">
        <v>2.85</v>
      </c>
      <c r="F63" s="3">
        <v>1.20214</v>
      </c>
      <c r="G63" s="3">
        <v>1.28755</v>
      </c>
      <c r="H63" s="4">
        <v>91.6</v>
      </c>
      <c r="I63" s="3">
        <v>1.16794</v>
      </c>
      <c r="J63" s="3">
        <v>1.3298700000000001</v>
      </c>
      <c r="K63" s="3">
        <v>6.0068700000000002</v>
      </c>
    </row>
    <row r="64" spans="1:11" x14ac:dyDescent="0.25">
      <c r="A64" s="6">
        <v>22920</v>
      </c>
      <c r="B64" s="2">
        <v>-0.16</v>
      </c>
      <c r="D64" s="3">
        <v>4.4291400000000003</v>
      </c>
      <c r="E64" s="2">
        <v>2.92</v>
      </c>
      <c r="F64" s="3">
        <v>1.30043</v>
      </c>
      <c r="G64" s="3">
        <v>1.1764699999999999</v>
      </c>
      <c r="H64" s="4">
        <v>95</v>
      </c>
      <c r="I64" s="3">
        <v>1.3677999999999999</v>
      </c>
      <c r="J64" s="3">
        <v>1.2773300000000001</v>
      </c>
      <c r="K64" s="3">
        <v>4.30985</v>
      </c>
    </row>
    <row r="65" spans="1:11" x14ac:dyDescent="0.25">
      <c r="A65" s="6">
        <v>23012</v>
      </c>
      <c r="B65" s="2">
        <v>0.1</v>
      </c>
      <c r="D65" s="3">
        <v>3.29514</v>
      </c>
      <c r="E65" s="2">
        <v>2.97</v>
      </c>
      <c r="F65" s="3">
        <v>1.2289600000000001</v>
      </c>
      <c r="G65" s="3">
        <v>1.1739599999999999</v>
      </c>
      <c r="H65" s="4">
        <v>98.4</v>
      </c>
      <c r="I65" s="3">
        <v>1.2206699999999999</v>
      </c>
      <c r="J65" s="3">
        <v>1.2377800000000001</v>
      </c>
      <c r="K65" s="3">
        <v>3.6011099999999998</v>
      </c>
    </row>
    <row r="66" spans="1:11" x14ac:dyDescent="0.25">
      <c r="A66" s="6">
        <v>23102</v>
      </c>
      <c r="B66" s="2">
        <v>1.24</v>
      </c>
      <c r="D66" s="3">
        <v>3.92699</v>
      </c>
      <c r="E66" s="2">
        <v>2.96</v>
      </c>
      <c r="F66" s="3">
        <v>1.03684</v>
      </c>
      <c r="G66" s="3">
        <v>1.1689700000000001</v>
      </c>
      <c r="H66" s="4">
        <v>91.7</v>
      </c>
      <c r="I66" s="3">
        <v>1.0209900000000001</v>
      </c>
      <c r="J66" s="3">
        <v>1.23099</v>
      </c>
      <c r="K66" s="3">
        <v>3.8245900000000002</v>
      </c>
    </row>
    <row r="67" spans="1:11" x14ac:dyDescent="0.25">
      <c r="A67" s="6">
        <v>23193</v>
      </c>
      <c r="B67" s="2">
        <v>1.1299999999999999</v>
      </c>
      <c r="D67" s="3">
        <v>5.2335099999999999</v>
      </c>
      <c r="E67" s="2">
        <v>3.3</v>
      </c>
      <c r="F67" s="3">
        <v>1.3638399999999999</v>
      </c>
      <c r="G67" s="3">
        <v>1.27119</v>
      </c>
      <c r="H67" s="4">
        <v>96.4</v>
      </c>
      <c r="I67" s="3">
        <v>1.2403599999999999</v>
      </c>
      <c r="J67" s="3">
        <v>1.288</v>
      </c>
      <c r="K67" s="3">
        <v>4.8186999999999998</v>
      </c>
    </row>
    <row r="68" spans="1:11" x14ac:dyDescent="0.25">
      <c r="A68" s="6">
        <v>23285</v>
      </c>
      <c r="B68" s="2">
        <v>1.18</v>
      </c>
      <c r="D68" s="3">
        <v>5.8627799999999999</v>
      </c>
      <c r="E68" s="2">
        <v>3.45</v>
      </c>
      <c r="F68" s="3">
        <v>1.3934599999999999</v>
      </c>
      <c r="G68" s="3">
        <v>1.58562</v>
      </c>
      <c r="H68" s="4">
        <v>94.4</v>
      </c>
      <c r="I68" s="3">
        <v>1.30339</v>
      </c>
      <c r="J68" s="3">
        <v>1.5861700000000001</v>
      </c>
      <c r="K68" s="3">
        <v>5.1598100000000002</v>
      </c>
    </row>
    <row r="69" spans="1:11" x14ac:dyDescent="0.25">
      <c r="A69" s="6">
        <v>23377</v>
      </c>
      <c r="B69" s="2">
        <v>0.88</v>
      </c>
      <c r="D69" s="3">
        <v>7.7591900000000003</v>
      </c>
      <c r="E69" s="2">
        <v>3.46</v>
      </c>
      <c r="F69" s="3">
        <v>1.4874799999999999</v>
      </c>
      <c r="G69" s="3">
        <v>1.89873</v>
      </c>
      <c r="H69" s="4">
        <v>99.5</v>
      </c>
      <c r="I69" s="3">
        <v>1.49129</v>
      </c>
      <c r="J69" s="3">
        <v>1.6801299999999999</v>
      </c>
      <c r="K69" s="3">
        <v>6.2173400000000001</v>
      </c>
    </row>
    <row r="70" spans="1:11" x14ac:dyDescent="0.25">
      <c r="A70" s="6">
        <v>23468</v>
      </c>
      <c r="B70" s="2">
        <v>0.97</v>
      </c>
      <c r="D70" s="3">
        <v>7.3206800000000003</v>
      </c>
      <c r="E70" s="2">
        <v>3.49</v>
      </c>
      <c r="F70" s="3">
        <v>1.46288</v>
      </c>
      <c r="G70" s="3">
        <v>1.5756300000000001</v>
      </c>
      <c r="H70" s="4">
        <v>98.5</v>
      </c>
      <c r="I70" s="3">
        <v>1.5534300000000001</v>
      </c>
      <c r="J70" s="3">
        <v>1.5971599999999999</v>
      </c>
      <c r="K70" s="3">
        <v>6.1823100000000002</v>
      </c>
    </row>
    <row r="71" spans="1:11" x14ac:dyDescent="0.25">
      <c r="A71" s="6">
        <v>23559</v>
      </c>
      <c r="B71" s="2">
        <v>1.36</v>
      </c>
      <c r="D71" s="3">
        <v>6.2222999999999997</v>
      </c>
      <c r="E71" s="2">
        <v>3.46</v>
      </c>
      <c r="F71" s="3">
        <v>1.07422</v>
      </c>
      <c r="G71" s="3">
        <v>1.3598300000000001</v>
      </c>
      <c r="H71" s="4">
        <v>100.6</v>
      </c>
      <c r="I71" s="3">
        <v>1.3948700000000001</v>
      </c>
      <c r="J71" s="3">
        <v>1.48858</v>
      </c>
      <c r="K71" s="3">
        <v>5.5212899999999996</v>
      </c>
    </row>
    <row r="72" spans="1:11" x14ac:dyDescent="0.25">
      <c r="A72" s="6">
        <v>23651</v>
      </c>
      <c r="B72" s="2">
        <v>0.92</v>
      </c>
      <c r="D72" s="3">
        <v>5.4695099999999996</v>
      </c>
      <c r="E72" s="2">
        <v>3.57</v>
      </c>
      <c r="F72" s="3">
        <v>1.2661</v>
      </c>
      <c r="G72" s="3">
        <v>1.35276</v>
      </c>
      <c r="H72" s="4">
        <v>99.9</v>
      </c>
      <c r="I72" s="3">
        <v>1.35467</v>
      </c>
      <c r="J72" s="3">
        <v>1.25952</v>
      </c>
      <c r="K72" s="3">
        <v>5.1578099999999996</v>
      </c>
    </row>
    <row r="73" spans="1:11" x14ac:dyDescent="0.25">
      <c r="A73" s="6">
        <v>23743</v>
      </c>
      <c r="B73" s="2">
        <v>2.82</v>
      </c>
      <c r="D73" s="3">
        <v>5.77041</v>
      </c>
      <c r="E73" s="2">
        <v>3.98</v>
      </c>
      <c r="F73" s="3">
        <v>1.1639200000000001</v>
      </c>
      <c r="G73" s="3">
        <v>1.24224</v>
      </c>
      <c r="H73" s="4">
        <v>102</v>
      </c>
      <c r="I73" s="3">
        <v>1.2067000000000001</v>
      </c>
      <c r="J73" s="3">
        <v>1.2123999999999999</v>
      </c>
      <c r="K73" s="3">
        <v>5.4782999999999999</v>
      </c>
    </row>
    <row r="74" spans="1:11" x14ac:dyDescent="0.25">
      <c r="A74" s="6">
        <v>23833</v>
      </c>
      <c r="B74" s="2">
        <v>1.66</v>
      </c>
      <c r="D74" s="3">
        <v>6.2592999999999996</v>
      </c>
      <c r="E74" s="2">
        <v>4.08</v>
      </c>
      <c r="F74" s="3">
        <v>1.64622</v>
      </c>
      <c r="G74" s="3">
        <v>1.4477800000000001</v>
      </c>
      <c r="H74" s="4">
        <v>105.4</v>
      </c>
      <c r="I74" s="3">
        <v>1.49691</v>
      </c>
      <c r="J74" s="3">
        <v>1.22668</v>
      </c>
      <c r="K74" s="3">
        <v>5.6602699999999997</v>
      </c>
    </row>
    <row r="75" spans="1:11" x14ac:dyDescent="0.25">
      <c r="A75" s="6">
        <v>23924</v>
      </c>
      <c r="B75" s="2">
        <v>1.69</v>
      </c>
      <c r="D75" s="3">
        <v>6.8928099999999999</v>
      </c>
      <c r="E75" s="2">
        <v>4.08</v>
      </c>
      <c r="F75" s="3">
        <v>1.71766</v>
      </c>
      <c r="G75" s="3">
        <v>1.3415900000000001</v>
      </c>
      <c r="H75" s="4">
        <v>103.4</v>
      </c>
      <c r="I75" s="3">
        <v>1.54305</v>
      </c>
      <c r="J75" s="3">
        <v>1.25891</v>
      </c>
      <c r="K75" s="3">
        <v>6.34748</v>
      </c>
    </row>
    <row r="76" spans="1:11" x14ac:dyDescent="0.25">
      <c r="A76" s="6">
        <v>24016</v>
      </c>
      <c r="B76" s="2">
        <v>1.89</v>
      </c>
      <c r="D76" s="3">
        <v>9.7810799999999993</v>
      </c>
      <c r="E76" s="2">
        <v>4.16</v>
      </c>
      <c r="F76" s="3">
        <v>1.78457</v>
      </c>
      <c r="G76" s="3">
        <v>1.3347</v>
      </c>
      <c r="H76" s="4">
        <v>102.9</v>
      </c>
      <c r="I76" s="3">
        <v>1.5155799999999999</v>
      </c>
      <c r="J76" s="3">
        <v>1.3366499999999999</v>
      </c>
      <c r="K76" s="3">
        <v>8.4622700000000002</v>
      </c>
    </row>
    <row r="77" spans="1:11" x14ac:dyDescent="0.25">
      <c r="A77" s="6">
        <v>24108</v>
      </c>
      <c r="B77" s="2">
        <v>1.96</v>
      </c>
      <c r="D77" s="3">
        <v>9.5801800000000004</v>
      </c>
      <c r="E77" s="2">
        <v>4.5599999999999996</v>
      </c>
      <c r="F77" s="3">
        <v>2.4182399999999999</v>
      </c>
      <c r="G77" s="3">
        <v>1.4314899999999999</v>
      </c>
      <c r="H77" s="4">
        <v>100</v>
      </c>
      <c r="I77" s="3">
        <v>1.97096</v>
      </c>
      <c r="J77" s="3">
        <v>1.4614499999999999</v>
      </c>
      <c r="K77" s="3">
        <v>8.4770199999999996</v>
      </c>
    </row>
    <row r="78" spans="1:11" x14ac:dyDescent="0.25">
      <c r="A78" s="6">
        <v>24198</v>
      </c>
      <c r="B78" s="2">
        <v>0.76</v>
      </c>
      <c r="D78" s="3">
        <v>8.3069699999999997</v>
      </c>
      <c r="E78" s="2">
        <v>4.91</v>
      </c>
      <c r="F78" s="3">
        <v>2.6886800000000002</v>
      </c>
      <c r="G78" s="3">
        <v>2.1406700000000001</v>
      </c>
      <c r="H78" s="4">
        <v>95.7</v>
      </c>
      <c r="I78" s="3">
        <v>2.2838699999999998</v>
      </c>
      <c r="J78" s="3">
        <v>1.9706699999999999</v>
      </c>
      <c r="K78" s="3">
        <v>7.4893400000000003</v>
      </c>
    </row>
    <row r="79" spans="1:11" x14ac:dyDescent="0.25">
      <c r="A79" s="6">
        <v>24289</v>
      </c>
      <c r="B79" s="2">
        <v>0.63</v>
      </c>
      <c r="D79" s="3">
        <v>6.7322300000000004</v>
      </c>
      <c r="E79" s="2">
        <v>5.41</v>
      </c>
      <c r="F79" s="3">
        <v>3.2717700000000001</v>
      </c>
      <c r="G79" s="3">
        <v>2.95316</v>
      </c>
      <c r="H79" s="4">
        <v>91.2</v>
      </c>
      <c r="I79" s="3">
        <v>2.6834199999999999</v>
      </c>
      <c r="J79" s="3">
        <v>2.4943300000000002</v>
      </c>
      <c r="K79" s="3">
        <v>6.0421100000000001</v>
      </c>
    </row>
    <row r="80" spans="1:11" x14ac:dyDescent="0.25">
      <c r="A80" s="6">
        <v>24381</v>
      </c>
      <c r="B80" s="2">
        <v>0.01</v>
      </c>
      <c r="D80" s="3">
        <v>4.3091999999999997</v>
      </c>
      <c r="E80" s="2">
        <v>5.57</v>
      </c>
      <c r="F80" s="3">
        <v>3.56955</v>
      </c>
      <c r="G80" s="3">
        <v>3.4447800000000002</v>
      </c>
      <c r="H80" s="4">
        <v>88.3</v>
      </c>
      <c r="I80" s="3">
        <v>3.1622599999999998</v>
      </c>
      <c r="J80" s="3">
        <v>3.0374500000000002</v>
      </c>
      <c r="K80" s="3">
        <v>4.5044000000000004</v>
      </c>
    </row>
    <row r="81" spans="1:11" x14ac:dyDescent="0.25">
      <c r="A81" s="6">
        <v>24473</v>
      </c>
      <c r="B81" s="2">
        <v>-0.75</v>
      </c>
      <c r="D81" s="3">
        <v>2.1460499999999998</v>
      </c>
      <c r="E81" s="2">
        <v>4.84</v>
      </c>
      <c r="F81" s="3">
        <v>2.8708100000000001</v>
      </c>
      <c r="G81" s="3">
        <v>3.5282300000000002</v>
      </c>
      <c r="H81" s="4">
        <v>94.1</v>
      </c>
      <c r="I81" s="3">
        <v>2.66465</v>
      </c>
      <c r="J81" s="3">
        <v>3.0882299999999998</v>
      </c>
      <c r="K81" s="3">
        <v>2.9250699999999998</v>
      </c>
    </row>
    <row r="82" spans="1:11" x14ac:dyDescent="0.25">
      <c r="A82" s="6">
        <v>24563</v>
      </c>
      <c r="B82" s="2">
        <v>-0.1</v>
      </c>
      <c r="D82" s="3">
        <v>1.6230199999999999</v>
      </c>
      <c r="E82" s="2">
        <v>4.01</v>
      </c>
      <c r="F82" s="3">
        <v>2.5667499999999999</v>
      </c>
      <c r="G82" s="3">
        <v>3.2934100000000002</v>
      </c>
      <c r="H82" s="4">
        <v>95.9</v>
      </c>
      <c r="I82" s="3">
        <v>2.3216399999999999</v>
      </c>
      <c r="J82" s="3">
        <v>2.94021</v>
      </c>
      <c r="K82" s="3">
        <v>2.63774</v>
      </c>
    </row>
    <row r="83" spans="1:11" x14ac:dyDescent="0.25">
      <c r="A83" s="6">
        <v>24654</v>
      </c>
      <c r="B83" s="2">
        <v>-7.0000000000000007E-2</v>
      </c>
      <c r="D83" s="3">
        <v>1.6718900000000001</v>
      </c>
      <c r="E83" s="2">
        <v>3.89</v>
      </c>
      <c r="F83" s="3">
        <v>2.7082299999999999</v>
      </c>
      <c r="G83" s="3">
        <v>3.4619200000000001</v>
      </c>
      <c r="H83" s="4">
        <v>97</v>
      </c>
      <c r="I83" s="3">
        <v>2.4860500000000001</v>
      </c>
      <c r="J83" s="3">
        <v>3.0248699999999999</v>
      </c>
      <c r="K83" s="3">
        <v>2.73874</v>
      </c>
    </row>
    <row r="84" spans="1:11" x14ac:dyDescent="0.25">
      <c r="A84" s="6">
        <v>24746</v>
      </c>
      <c r="B84" s="2">
        <v>0.92</v>
      </c>
      <c r="D84" s="3">
        <v>2.0490300000000001</v>
      </c>
      <c r="E84" s="2">
        <v>4.1399999999999997</v>
      </c>
      <c r="F84" s="3">
        <v>2.99037</v>
      </c>
      <c r="G84" s="3">
        <v>3.5259499999999999</v>
      </c>
      <c r="H84" s="4">
        <v>92.9</v>
      </c>
      <c r="I84" s="3">
        <v>2.57775</v>
      </c>
      <c r="J84" s="3">
        <v>3.17292</v>
      </c>
      <c r="K84" s="3">
        <v>2.6709299999999998</v>
      </c>
    </row>
    <row r="85" spans="1:11" x14ac:dyDescent="0.25">
      <c r="A85" s="6">
        <v>24838</v>
      </c>
      <c r="B85" s="2">
        <v>1.38</v>
      </c>
      <c r="D85" s="3">
        <v>3.8071100000000002</v>
      </c>
      <c r="E85" s="2">
        <v>4.76</v>
      </c>
      <c r="F85" s="3">
        <v>3.7411500000000002</v>
      </c>
      <c r="G85" s="3">
        <v>4.1869500000000004</v>
      </c>
      <c r="H85" s="4">
        <v>97.2</v>
      </c>
      <c r="I85" s="3">
        <v>3.37026</v>
      </c>
      <c r="J85" s="3">
        <v>3.7780200000000002</v>
      </c>
      <c r="K85" s="3">
        <v>3.8448199999999999</v>
      </c>
    </row>
    <row r="86" spans="1:11" x14ac:dyDescent="0.25">
      <c r="A86" s="6">
        <v>24929</v>
      </c>
      <c r="B86" s="2">
        <v>-0.56999999999999995</v>
      </c>
      <c r="D86" s="3">
        <v>6.0303399999999998</v>
      </c>
      <c r="E86" s="2">
        <v>5.97</v>
      </c>
      <c r="F86" s="3">
        <v>4.1205999999999996</v>
      </c>
      <c r="G86" s="3">
        <v>4.4444400000000002</v>
      </c>
      <c r="H86" s="4">
        <v>92.4</v>
      </c>
      <c r="I86" s="3">
        <v>3.9326099999999999</v>
      </c>
      <c r="J86" s="3">
        <v>4.2871600000000001</v>
      </c>
      <c r="K86" s="3">
        <v>5.5146800000000002</v>
      </c>
    </row>
    <row r="87" spans="1:11" x14ac:dyDescent="0.25">
      <c r="A87" s="6">
        <v>25020</v>
      </c>
      <c r="B87" s="2">
        <v>0.6</v>
      </c>
      <c r="D87" s="3">
        <v>5.9235699999999998</v>
      </c>
      <c r="E87" s="2">
        <v>5.94</v>
      </c>
      <c r="F87" s="3">
        <v>4.4776100000000003</v>
      </c>
      <c r="G87" s="3">
        <v>4.7801099999999996</v>
      </c>
      <c r="H87" s="4">
        <v>92.4</v>
      </c>
      <c r="I87" s="3">
        <v>4.0435499999999998</v>
      </c>
      <c r="J87" s="3">
        <v>4.5040500000000003</v>
      </c>
      <c r="K87" s="3">
        <v>5.33535</v>
      </c>
    </row>
    <row r="88" spans="1:11" x14ac:dyDescent="0.25">
      <c r="A88" s="6">
        <v>25112</v>
      </c>
      <c r="B88" s="2">
        <v>1.21</v>
      </c>
      <c r="D88" s="3">
        <v>5.5413899999999998</v>
      </c>
      <c r="E88" s="2">
        <v>5.89</v>
      </c>
      <c r="F88" s="3">
        <v>4.6259800000000002</v>
      </c>
      <c r="G88" s="3">
        <v>5.2034099999999999</v>
      </c>
      <c r="H88" s="4">
        <v>91.7</v>
      </c>
      <c r="I88" s="3">
        <v>4.2949700000000002</v>
      </c>
      <c r="J88" s="3">
        <v>4.6643299999999996</v>
      </c>
      <c r="K88" s="3">
        <v>4.9578600000000002</v>
      </c>
    </row>
    <row r="89" spans="1:11" x14ac:dyDescent="0.25">
      <c r="A89" s="6">
        <v>25204</v>
      </c>
      <c r="B89" s="2">
        <v>1.17</v>
      </c>
      <c r="D89" s="3">
        <v>4.8446999999999996</v>
      </c>
      <c r="E89" s="2">
        <v>6.54</v>
      </c>
      <c r="F89" s="3">
        <v>4.8732899999999999</v>
      </c>
      <c r="G89" s="3">
        <v>5.3270999999999997</v>
      </c>
      <c r="H89" s="4">
        <v>98.2</v>
      </c>
      <c r="I89" s="3">
        <v>4.1991500000000004</v>
      </c>
      <c r="J89" s="3">
        <v>4.61538</v>
      </c>
      <c r="K89" s="3">
        <v>4.46943</v>
      </c>
    </row>
    <row r="90" spans="1:11" x14ac:dyDescent="0.25">
      <c r="A90" s="6">
        <v>25294</v>
      </c>
      <c r="B90" s="2">
        <v>0.49</v>
      </c>
      <c r="D90" s="3">
        <v>2.99031</v>
      </c>
      <c r="E90" s="2">
        <v>8.17</v>
      </c>
      <c r="F90" s="3">
        <v>5.5019299999999998</v>
      </c>
      <c r="G90" s="3">
        <v>5.9204400000000001</v>
      </c>
      <c r="H90" s="4">
        <v>91.5</v>
      </c>
      <c r="I90" s="3">
        <v>4.4570999999999996</v>
      </c>
      <c r="J90" s="3">
        <v>4.65008</v>
      </c>
      <c r="K90" s="3">
        <v>3.0647799999999998</v>
      </c>
    </row>
    <row r="91" spans="1:11" x14ac:dyDescent="0.25">
      <c r="A91" s="6">
        <v>25385</v>
      </c>
      <c r="B91" s="2">
        <v>1.06</v>
      </c>
      <c r="D91" s="3">
        <v>2.8358500000000002</v>
      </c>
      <c r="E91" s="2">
        <v>9</v>
      </c>
      <c r="F91" s="3">
        <v>5.5238100000000001</v>
      </c>
      <c r="G91" s="3">
        <v>5.9306599999999996</v>
      </c>
      <c r="H91" s="4">
        <v>86.4</v>
      </c>
      <c r="I91" s="3">
        <v>4.6519300000000001</v>
      </c>
      <c r="J91" s="3">
        <v>4.6872499999999997</v>
      </c>
      <c r="K91" s="3">
        <v>2.9476100000000001</v>
      </c>
    </row>
    <row r="92" spans="1:11" x14ac:dyDescent="0.25">
      <c r="A92" s="6">
        <v>25477</v>
      </c>
      <c r="B92" s="2">
        <v>-0.24</v>
      </c>
      <c r="D92" s="3">
        <v>1.64323</v>
      </c>
      <c r="E92" s="2">
        <v>8.9600000000000009</v>
      </c>
      <c r="F92" s="3">
        <v>5.8325500000000003</v>
      </c>
      <c r="G92" s="3">
        <v>5.8453200000000001</v>
      </c>
      <c r="H92" s="4">
        <v>79.7</v>
      </c>
      <c r="I92" s="3">
        <v>4.70458</v>
      </c>
      <c r="J92" s="3">
        <v>4.6981200000000003</v>
      </c>
      <c r="K92" s="3">
        <v>2.0442100000000001</v>
      </c>
    </row>
    <row r="93" spans="1:11" x14ac:dyDescent="0.25">
      <c r="A93" s="6">
        <v>25569</v>
      </c>
      <c r="B93" s="2">
        <v>-0.32</v>
      </c>
      <c r="D93" s="3">
        <v>-0.17706</v>
      </c>
      <c r="E93" s="2">
        <v>8.6</v>
      </c>
      <c r="F93" s="3">
        <v>6.2267700000000001</v>
      </c>
      <c r="G93" s="3">
        <v>6.0337199999999998</v>
      </c>
      <c r="H93" s="4">
        <v>78.099999999999994</v>
      </c>
      <c r="I93" s="3">
        <v>4.8984899999999998</v>
      </c>
      <c r="J93" s="3">
        <v>4.6940999999999997</v>
      </c>
      <c r="K93" s="3">
        <v>0.32279000000000002</v>
      </c>
    </row>
    <row r="94" spans="1:11" x14ac:dyDescent="0.25">
      <c r="A94" s="6">
        <v>25659</v>
      </c>
      <c r="B94" s="2">
        <v>-0.31</v>
      </c>
      <c r="D94" s="3">
        <v>-0.13374</v>
      </c>
      <c r="E94" s="2">
        <v>7.93</v>
      </c>
      <c r="F94" s="3">
        <v>6.03843</v>
      </c>
      <c r="G94" s="3">
        <v>6.2882100000000003</v>
      </c>
      <c r="H94" s="4">
        <v>75.400000000000006</v>
      </c>
      <c r="I94" s="3">
        <v>4.7250399999999999</v>
      </c>
      <c r="J94" s="3">
        <v>4.6265999999999998</v>
      </c>
      <c r="K94" s="3">
        <v>0.16112000000000001</v>
      </c>
    </row>
    <row r="95" spans="1:11" x14ac:dyDescent="0.25">
      <c r="A95" s="6">
        <v>25750</v>
      </c>
      <c r="B95" s="2">
        <v>0.15</v>
      </c>
      <c r="D95" s="3">
        <v>0.33881</v>
      </c>
      <c r="E95" s="2">
        <v>6.75</v>
      </c>
      <c r="F95" s="3">
        <v>5.6859200000000003</v>
      </c>
      <c r="G95" s="3">
        <v>6.2015500000000001</v>
      </c>
      <c r="H95" s="4">
        <v>77.599999999999994</v>
      </c>
      <c r="I95" s="3">
        <v>4.4644399999999997</v>
      </c>
      <c r="J95" s="3">
        <v>4.58399</v>
      </c>
      <c r="K95" s="3">
        <v>0.42133999999999999</v>
      </c>
    </row>
    <row r="96" spans="1:11" x14ac:dyDescent="0.25">
      <c r="A96" s="6">
        <v>25842</v>
      </c>
      <c r="B96" s="2">
        <v>-1.63</v>
      </c>
      <c r="D96" s="3">
        <v>-0.55330000000000001</v>
      </c>
      <c r="E96" s="2">
        <v>5.6</v>
      </c>
      <c r="F96" s="3">
        <v>5.6</v>
      </c>
      <c r="G96" s="3">
        <v>6.45709</v>
      </c>
      <c r="H96" s="4">
        <v>72.400000000000006</v>
      </c>
      <c r="I96" s="3">
        <v>4.6128499999999999</v>
      </c>
      <c r="J96" s="3">
        <v>4.8217999999999996</v>
      </c>
      <c r="K96" s="3">
        <v>-0.16735</v>
      </c>
    </row>
    <row r="97" spans="1:11" x14ac:dyDescent="0.25">
      <c r="A97" s="6">
        <v>25934</v>
      </c>
      <c r="B97" s="2">
        <v>0.36</v>
      </c>
      <c r="D97" s="3">
        <v>2.9504700000000001</v>
      </c>
      <c r="E97" s="2">
        <v>3.85</v>
      </c>
      <c r="F97" s="3">
        <v>4.8118999999999996</v>
      </c>
      <c r="G97" s="3">
        <v>5.8577399999999997</v>
      </c>
      <c r="H97" s="4">
        <v>78.099999999999994</v>
      </c>
      <c r="I97" s="3">
        <v>4.3937400000000002</v>
      </c>
      <c r="J97" s="3">
        <v>5.0064500000000001</v>
      </c>
      <c r="K97" s="3">
        <v>2.6971599999999998</v>
      </c>
    </row>
    <row r="98" spans="1:11" x14ac:dyDescent="0.25">
      <c r="A98" s="6">
        <v>26024</v>
      </c>
      <c r="B98" s="2">
        <v>0.59</v>
      </c>
      <c r="D98" s="3">
        <v>3.4344199999999998</v>
      </c>
      <c r="E98" s="2">
        <v>4.57</v>
      </c>
      <c r="F98" s="3">
        <v>4.3140599999999996</v>
      </c>
      <c r="G98" s="3">
        <v>5.0123300000000004</v>
      </c>
      <c r="H98" s="4">
        <v>80.2</v>
      </c>
      <c r="I98" s="3">
        <v>4.4287700000000001</v>
      </c>
      <c r="J98" s="3">
        <v>5.0158699999999996</v>
      </c>
      <c r="K98" s="3">
        <v>3.1064400000000001</v>
      </c>
    </row>
    <row r="99" spans="1:11" x14ac:dyDescent="0.25">
      <c r="A99" s="6">
        <v>26115</v>
      </c>
      <c r="B99" s="2">
        <v>0.22</v>
      </c>
      <c r="D99" s="3">
        <v>3.3125300000000002</v>
      </c>
      <c r="E99" s="2">
        <v>5.48</v>
      </c>
      <c r="F99" s="3">
        <v>4.2698499999999999</v>
      </c>
      <c r="G99" s="3">
        <v>4.5417699999999996</v>
      </c>
      <c r="H99" s="4">
        <v>82.1</v>
      </c>
      <c r="I99" s="3">
        <v>4.4382099999999998</v>
      </c>
      <c r="J99" s="3">
        <v>4.83934</v>
      </c>
      <c r="K99" s="3">
        <v>3.00528</v>
      </c>
    </row>
    <row r="100" spans="1:11" x14ac:dyDescent="0.25">
      <c r="A100" s="6">
        <v>26207</v>
      </c>
      <c r="B100" s="2">
        <v>0.96</v>
      </c>
      <c r="D100" s="3">
        <v>5.2638400000000001</v>
      </c>
      <c r="E100" s="2">
        <v>4.78</v>
      </c>
      <c r="F100" s="3">
        <v>3.5353500000000002</v>
      </c>
      <c r="G100" s="3">
        <v>3.4317600000000001</v>
      </c>
      <c r="H100" s="4">
        <v>82</v>
      </c>
      <c r="I100" s="3">
        <v>3.7380900000000001</v>
      </c>
      <c r="J100" s="3">
        <v>3.9777300000000002</v>
      </c>
      <c r="K100" s="3">
        <v>4.3655499999999998</v>
      </c>
    </row>
    <row r="101" spans="1:11" x14ac:dyDescent="0.25">
      <c r="A101" s="6">
        <v>26299</v>
      </c>
      <c r="B101" s="2">
        <v>1.55</v>
      </c>
      <c r="D101" s="3">
        <v>4.5257800000000001</v>
      </c>
      <c r="E101" s="2">
        <v>3.54</v>
      </c>
      <c r="F101" s="3">
        <v>3.5058400000000001</v>
      </c>
      <c r="G101" s="3">
        <v>3.32016</v>
      </c>
      <c r="H101" s="4">
        <v>92.8</v>
      </c>
      <c r="I101" s="3">
        <v>3.8508300000000002</v>
      </c>
      <c r="J101" s="3">
        <v>3.6616900000000001</v>
      </c>
      <c r="K101" s="3">
        <v>3.4725100000000002</v>
      </c>
    </row>
    <row r="102" spans="1:11" x14ac:dyDescent="0.25">
      <c r="A102" s="6">
        <v>26390</v>
      </c>
      <c r="B102" s="2">
        <v>0.84</v>
      </c>
      <c r="D102" s="3">
        <v>6.7034200000000004</v>
      </c>
      <c r="E102" s="2">
        <v>4.29</v>
      </c>
      <c r="F102" s="3">
        <v>3.2258100000000001</v>
      </c>
      <c r="G102" s="3">
        <v>3.0516399999999999</v>
      </c>
      <c r="H102" s="4">
        <v>88.6</v>
      </c>
      <c r="I102" s="3">
        <v>3.2732600000000001</v>
      </c>
      <c r="J102" s="3">
        <v>3.1857600000000001</v>
      </c>
      <c r="K102" s="3">
        <v>5.2513800000000002</v>
      </c>
    </row>
    <row r="103" spans="1:11" x14ac:dyDescent="0.25">
      <c r="A103" s="6">
        <v>26481</v>
      </c>
      <c r="B103" s="2">
        <v>0.71</v>
      </c>
      <c r="D103" s="3">
        <v>6.9091100000000001</v>
      </c>
      <c r="E103" s="2">
        <v>4.7300000000000004</v>
      </c>
      <c r="F103" s="3">
        <v>3.0303</v>
      </c>
      <c r="G103" s="3">
        <v>2.9480200000000001</v>
      </c>
      <c r="H103" s="4">
        <v>95.2</v>
      </c>
      <c r="I103" s="3">
        <v>3.1691199999999999</v>
      </c>
      <c r="J103" s="3">
        <v>2.9908800000000002</v>
      </c>
      <c r="K103" s="3">
        <v>5.3783599999999998</v>
      </c>
    </row>
    <row r="104" spans="1:11" x14ac:dyDescent="0.25">
      <c r="A104" s="6">
        <v>26573</v>
      </c>
      <c r="B104" s="2">
        <v>2.2000000000000002</v>
      </c>
      <c r="D104" s="3">
        <v>8.73766</v>
      </c>
      <c r="E104" s="2">
        <v>5.12</v>
      </c>
      <c r="F104" s="3">
        <v>3.3333300000000001</v>
      </c>
      <c r="G104" s="3">
        <v>2.9321000000000002</v>
      </c>
      <c r="H104" s="4">
        <v>90.7</v>
      </c>
      <c r="I104" s="3">
        <v>3.36849</v>
      </c>
      <c r="J104" s="3">
        <v>3.0490900000000001</v>
      </c>
      <c r="K104" s="3">
        <v>6.8918100000000004</v>
      </c>
    </row>
    <row r="105" spans="1:11" x14ac:dyDescent="0.25">
      <c r="A105" s="6">
        <v>26665</v>
      </c>
      <c r="B105" s="2">
        <v>1.97</v>
      </c>
      <c r="D105" s="3">
        <v>9.8818000000000001</v>
      </c>
      <c r="E105" s="2">
        <v>6.47</v>
      </c>
      <c r="F105" s="3">
        <v>4.1128999999999998</v>
      </c>
      <c r="G105" s="3">
        <v>2.8309099999999998</v>
      </c>
      <c r="H105" s="4">
        <v>81.900000000000006</v>
      </c>
      <c r="I105" s="3">
        <v>3.5214500000000002</v>
      </c>
      <c r="J105" s="3">
        <v>2.7814899999999998</v>
      </c>
      <c r="K105" s="3">
        <v>7.5611800000000002</v>
      </c>
    </row>
    <row r="106" spans="1:11" x14ac:dyDescent="0.25">
      <c r="A106" s="6">
        <v>26755</v>
      </c>
      <c r="B106" s="2">
        <v>1.74</v>
      </c>
      <c r="D106" s="3">
        <v>8.1415400000000009</v>
      </c>
      <c r="E106" s="2">
        <v>7.77</v>
      </c>
      <c r="F106" s="3">
        <v>5.6089700000000002</v>
      </c>
      <c r="G106" s="3">
        <v>3.11314</v>
      </c>
      <c r="H106" s="4">
        <v>77</v>
      </c>
      <c r="I106" s="3">
        <v>4.9051999999999998</v>
      </c>
      <c r="J106" s="3">
        <v>3.4814400000000001</v>
      </c>
      <c r="K106" s="3">
        <v>6.3195499999999996</v>
      </c>
    </row>
    <row r="107" spans="1:11" x14ac:dyDescent="0.25">
      <c r="A107" s="6">
        <v>26846</v>
      </c>
      <c r="B107" s="2">
        <v>0.73</v>
      </c>
      <c r="D107" s="3">
        <v>6.6289999999999996</v>
      </c>
      <c r="E107" s="2">
        <v>10.49</v>
      </c>
      <c r="F107" s="3">
        <v>6.8362499999999997</v>
      </c>
      <c r="G107" s="3">
        <v>3.3911099999999998</v>
      </c>
      <c r="H107" s="4">
        <v>72</v>
      </c>
      <c r="I107" s="3">
        <v>5.8832700000000004</v>
      </c>
      <c r="J107" s="3">
        <v>4.0743200000000002</v>
      </c>
      <c r="K107" s="3">
        <v>4.77135</v>
      </c>
    </row>
    <row r="108" spans="1:11" x14ac:dyDescent="0.25">
      <c r="A108" s="6">
        <v>26938</v>
      </c>
      <c r="B108" s="2">
        <v>0.36</v>
      </c>
      <c r="D108" s="3">
        <v>4.5076499999999999</v>
      </c>
      <c r="E108" s="2">
        <v>10.039999999999999</v>
      </c>
      <c r="F108" s="3">
        <v>8.4185700000000008</v>
      </c>
      <c r="G108" s="3">
        <v>4.5727099999999998</v>
      </c>
      <c r="H108" s="4">
        <v>76.5</v>
      </c>
      <c r="I108" s="3">
        <v>7.1790700000000003</v>
      </c>
      <c r="J108" s="3">
        <v>4.8649399999999998</v>
      </c>
      <c r="K108" s="3">
        <v>4.0240600000000004</v>
      </c>
    </row>
    <row r="109" spans="1:11" x14ac:dyDescent="0.25">
      <c r="A109" s="6">
        <v>27030</v>
      </c>
      <c r="B109" s="2">
        <v>-0.06</v>
      </c>
      <c r="D109" s="3">
        <v>2.9270000000000001E-2</v>
      </c>
      <c r="E109" s="2">
        <v>9.34</v>
      </c>
      <c r="F109" s="3">
        <v>9.91479</v>
      </c>
      <c r="G109" s="3">
        <v>5.4315499999999997</v>
      </c>
      <c r="H109" s="4">
        <v>61.8</v>
      </c>
      <c r="I109" s="3">
        <v>9.0502199999999995</v>
      </c>
      <c r="J109" s="3">
        <v>5.9270699999999996</v>
      </c>
      <c r="K109" s="3">
        <v>0.63900000000000001</v>
      </c>
    </row>
    <row r="110" spans="1:11" x14ac:dyDescent="0.25">
      <c r="A110" s="6">
        <v>27120</v>
      </c>
      <c r="B110" s="2">
        <v>-0.09</v>
      </c>
      <c r="D110" s="3">
        <v>-1.07138</v>
      </c>
      <c r="E110" s="2">
        <v>11.11</v>
      </c>
      <c r="F110" s="3">
        <v>10.546279999999999</v>
      </c>
      <c r="G110" s="3">
        <v>7.0692199999999996</v>
      </c>
      <c r="H110" s="4">
        <v>72.099999999999994</v>
      </c>
      <c r="I110" s="3">
        <v>10.02458</v>
      </c>
      <c r="J110" s="3">
        <v>7.1006499999999999</v>
      </c>
      <c r="K110" s="3">
        <v>-0.20826</v>
      </c>
    </row>
    <row r="111" spans="1:11" x14ac:dyDescent="0.25">
      <c r="A111" s="6">
        <v>27211</v>
      </c>
      <c r="B111" s="2">
        <v>-0.48</v>
      </c>
      <c r="D111" s="3">
        <v>-2.15577</v>
      </c>
      <c r="E111" s="2">
        <v>12.2</v>
      </c>
      <c r="F111" s="3">
        <v>11.45833</v>
      </c>
      <c r="G111" s="3">
        <v>9.6209900000000008</v>
      </c>
      <c r="H111" s="4">
        <v>64.400000000000006</v>
      </c>
      <c r="I111" s="3">
        <v>10.975860000000001</v>
      </c>
      <c r="J111" s="3">
        <v>8.7165599999999994</v>
      </c>
      <c r="K111" s="3">
        <v>-0.62904000000000004</v>
      </c>
    </row>
    <row r="112" spans="1:11" x14ac:dyDescent="0.25">
      <c r="A112" s="6">
        <v>27303</v>
      </c>
      <c r="B112" s="2">
        <v>-1.28</v>
      </c>
      <c r="D112" s="3">
        <v>-2.77616</v>
      </c>
      <c r="E112" s="2">
        <v>9.5399999999999991</v>
      </c>
      <c r="F112" s="3">
        <v>12.04644</v>
      </c>
      <c r="G112" s="3">
        <v>10.967739999999999</v>
      </c>
      <c r="H112" s="4">
        <v>59.5</v>
      </c>
      <c r="I112" s="3">
        <v>11.511279999999999</v>
      </c>
      <c r="J112" s="3">
        <v>9.8436500000000002</v>
      </c>
      <c r="K112" s="3">
        <v>-1.9457599999999999</v>
      </c>
    </row>
    <row r="113" spans="1:11" x14ac:dyDescent="0.25">
      <c r="A113" s="6">
        <v>27395</v>
      </c>
      <c r="B113" s="2">
        <v>-2.78</v>
      </c>
      <c r="D113" s="3">
        <v>-4.4623299999999997</v>
      </c>
      <c r="E113" s="2">
        <v>6.45</v>
      </c>
      <c r="F113" s="3">
        <v>11.134600000000001</v>
      </c>
      <c r="G113" s="3">
        <v>11.57375</v>
      </c>
      <c r="H113" s="4">
        <v>57.6</v>
      </c>
      <c r="I113" s="3">
        <v>10.33155</v>
      </c>
      <c r="J113" s="3">
        <v>10.099119999999999</v>
      </c>
      <c r="K113" s="3">
        <v>-2.2997700000000001</v>
      </c>
    </row>
    <row r="114" spans="1:11" x14ac:dyDescent="0.25">
      <c r="A114" s="6">
        <v>27485</v>
      </c>
      <c r="B114" s="2">
        <v>-1.1399999999999999</v>
      </c>
      <c r="D114" s="3">
        <v>-3.8050600000000001</v>
      </c>
      <c r="E114" s="2">
        <v>5.37</v>
      </c>
      <c r="F114" s="3">
        <v>9.5401500000000006</v>
      </c>
      <c r="G114" s="3">
        <v>10.45392</v>
      </c>
      <c r="H114" s="4">
        <v>72.8</v>
      </c>
      <c r="I114" s="3">
        <v>8.6072299999999995</v>
      </c>
      <c r="J114" s="3">
        <v>9.0668799999999994</v>
      </c>
      <c r="K114" s="3">
        <v>-1.83484</v>
      </c>
    </row>
    <row r="115" spans="1:11" x14ac:dyDescent="0.25">
      <c r="A115" s="6">
        <v>27576</v>
      </c>
      <c r="B115" s="2">
        <v>0.5</v>
      </c>
      <c r="D115" s="3">
        <v>-0.38575999999999999</v>
      </c>
      <c r="E115" s="2">
        <v>6.16</v>
      </c>
      <c r="F115" s="3">
        <v>8.6782400000000006</v>
      </c>
      <c r="G115" s="3">
        <v>8.1781900000000007</v>
      </c>
      <c r="H115" s="4">
        <v>75.7</v>
      </c>
      <c r="I115" s="3">
        <v>7.7324000000000002</v>
      </c>
      <c r="J115" s="3">
        <v>7.6270100000000003</v>
      </c>
      <c r="K115" s="3">
        <v>0.79862</v>
      </c>
    </row>
    <row r="116" spans="1:11" x14ac:dyDescent="0.25">
      <c r="A116" s="6">
        <v>27668</v>
      </c>
      <c r="B116" s="2">
        <v>0.53</v>
      </c>
      <c r="D116" s="3">
        <v>2.1939000000000002</v>
      </c>
      <c r="E116" s="2">
        <v>5.47</v>
      </c>
      <c r="F116" s="3">
        <v>7.3834200000000001</v>
      </c>
      <c r="G116" s="3">
        <v>6.91214</v>
      </c>
      <c r="H116" s="4">
        <v>75.599999999999994</v>
      </c>
      <c r="I116" s="3">
        <v>6.8254999999999999</v>
      </c>
      <c r="J116" s="3">
        <v>6.7715500000000004</v>
      </c>
      <c r="K116" s="3">
        <v>2.5548000000000002</v>
      </c>
    </row>
    <row r="117" spans="1:11" x14ac:dyDescent="0.25">
      <c r="A117" s="6">
        <v>27760</v>
      </c>
      <c r="B117" s="2">
        <v>0.96</v>
      </c>
      <c r="D117" s="3">
        <v>7.9785599999999999</v>
      </c>
      <c r="E117" s="2">
        <v>4.83</v>
      </c>
      <c r="F117" s="3">
        <v>6.3411499999999998</v>
      </c>
      <c r="G117" s="3">
        <v>6.6413700000000002</v>
      </c>
      <c r="H117" s="4">
        <v>84.6</v>
      </c>
      <c r="I117" s="3">
        <v>6.0049000000000001</v>
      </c>
      <c r="J117" s="3">
        <v>6.3171999999999997</v>
      </c>
      <c r="K117" s="3">
        <v>6.1543000000000001</v>
      </c>
    </row>
    <row r="118" spans="1:11" x14ac:dyDescent="0.25">
      <c r="A118" s="6">
        <v>27851</v>
      </c>
      <c r="B118" s="2">
        <v>0.57999999999999996</v>
      </c>
      <c r="D118" s="3">
        <v>8.3181200000000004</v>
      </c>
      <c r="E118" s="2">
        <v>5.2</v>
      </c>
      <c r="F118" s="3">
        <v>6.0150399999999999</v>
      </c>
      <c r="G118" s="3">
        <v>6.4134500000000001</v>
      </c>
      <c r="H118" s="4">
        <v>83.3</v>
      </c>
      <c r="I118" s="3">
        <v>5.5973600000000001</v>
      </c>
      <c r="J118" s="3">
        <v>5.9775700000000001</v>
      </c>
      <c r="K118" s="3">
        <v>6.1739800000000002</v>
      </c>
    </row>
    <row r="119" spans="1:11" x14ac:dyDescent="0.25">
      <c r="A119" s="6">
        <v>27942</v>
      </c>
      <c r="B119" s="2">
        <v>1</v>
      </c>
      <c r="D119" s="3">
        <v>6.7173100000000003</v>
      </c>
      <c r="E119" s="2">
        <v>5.28</v>
      </c>
      <c r="F119" s="3">
        <v>5.5896800000000004</v>
      </c>
      <c r="G119" s="3">
        <v>6.76091</v>
      </c>
      <c r="H119" s="4">
        <v>89.7</v>
      </c>
      <c r="I119" s="3">
        <v>5.2322499999999996</v>
      </c>
      <c r="J119" s="3">
        <v>6.0467300000000002</v>
      </c>
      <c r="K119" s="3">
        <v>4.9582600000000001</v>
      </c>
    </row>
    <row r="120" spans="1:11" x14ac:dyDescent="0.25">
      <c r="A120" s="6">
        <v>28034</v>
      </c>
      <c r="B120" s="2">
        <v>0.92</v>
      </c>
      <c r="D120" s="3">
        <v>5.6833600000000004</v>
      </c>
      <c r="E120" s="2">
        <v>4.8899999999999997</v>
      </c>
      <c r="F120" s="3">
        <v>5.1869699999999996</v>
      </c>
      <c r="G120" s="3">
        <v>6.4048299999999996</v>
      </c>
      <c r="H120" s="4">
        <v>87</v>
      </c>
      <c r="I120" s="3">
        <v>5.1301600000000001</v>
      </c>
      <c r="J120" s="3">
        <v>5.9800700000000004</v>
      </c>
      <c r="K120" s="3">
        <v>4.3115199999999998</v>
      </c>
    </row>
    <row r="121" spans="1:11" x14ac:dyDescent="0.25">
      <c r="A121" s="6">
        <v>28126</v>
      </c>
      <c r="B121" s="2">
        <v>1.78</v>
      </c>
      <c r="D121" s="3">
        <v>4.2050799999999997</v>
      </c>
      <c r="E121" s="2">
        <v>4.66</v>
      </c>
      <c r="F121" s="3">
        <v>5.9034000000000004</v>
      </c>
      <c r="G121" s="3">
        <v>6.16845</v>
      </c>
      <c r="H121" s="4">
        <v>87.1</v>
      </c>
      <c r="I121" s="3">
        <v>5.8635400000000004</v>
      </c>
      <c r="J121" s="3">
        <v>6.1505599999999996</v>
      </c>
      <c r="K121" s="3">
        <v>3.2268400000000002</v>
      </c>
    </row>
    <row r="122" spans="1:11" x14ac:dyDescent="0.25">
      <c r="A122" s="6">
        <v>28216</v>
      </c>
      <c r="B122" s="2">
        <v>1.4</v>
      </c>
      <c r="D122" s="3">
        <v>5.58657</v>
      </c>
      <c r="E122" s="2">
        <v>5.15</v>
      </c>
      <c r="F122" s="3">
        <v>6.7966899999999999</v>
      </c>
      <c r="G122" s="3">
        <v>6.4365100000000002</v>
      </c>
      <c r="H122" s="4">
        <v>90.2</v>
      </c>
      <c r="I122" s="3">
        <v>6.7805299999999997</v>
      </c>
      <c r="J122" s="3">
        <v>6.4948399999999999</v>
      </c>
      <c r="K122" s="3">
        <v>4.4653</v>
      </c>
    </row>
    <row r="123" spans="1:11" x14ac:dyDescent="0.25">
      <c r="A123" s="6">
        <v>28307</v>
      </c>
      <c r="B123" s="2">
        <v>1.05</v>
      </c>
      <c r="D123" s="3">
        <v>7.1597999999999997</v>
      </c>
      <c r="E123" s="2">
        <v>5.8</v>
      </c>
      <c r="F123" s="3">
        <v>6.5735900000000003</v>
      </c>
      <c r="G123" s="3">
        <v>6.2176200000000001</v>
      </c>
      <c r="H123" s="4">
        <v>89</v>
      </c>
      <c r="I123" s="3">
        <v>6.7632199999999996</v>
      </c>
      <c r="J123" s="3">
        <v>6.5965800000000003</v>
      </c>
      <c r="K123" s="3">
        <v>5.76999</v>
      </c>
    </row>
    <row r="124" spans="1:11" x14ac:dyDescent="0.25">
      <c r="A124" s="6">
        <v>28399</v>
      </c>
      <c r="B124" s="2">
        <v>1.57</v>
      </c>
      <c r="D124" s="3">
        <v>5.9625599999999999</v>
      </c>
      <c r="E124" s="2">
        <v>6.5</v>
      </c>
      <c r="F124" s="3">
        <v>6.5940399999999997</v>
      </c>
      <c r="G124" s="3">
        <v>6.1896599999999999</v>
      </c>
      <c r="H124" s="4">
        <v>84.4</v>
      </c>
      <c r="I124" s="3">
        <v>6.5993300000000001</v>
      </c>
      <c r="J124" s="3">
        <v>6.4789199999999996</v>
      </c>
      <c r="K124" s="3">
        <v>5.0132700000000003</v>
      </c>
    </row>
    <row r="125" spans="1:11" x14ac:dyDescent="0.25">
      <c r="A125" s="6">
        <v>28491</v>
      </c>
      <c r="B125" s="2">
        <v>0.52</v>
      </c>
      <c r="D125" s="3">
        <v>4.7294999999999998</v>
      </c>
      <c r="E125" s="2">
        <v>6.75</v>
      </c>
      <c r="F125" s="3">
        <v>6.4752299999999998</v>
      </c>
      <c r="G125" s="3">
        <v>6.3128500000000001</v>
      </c>
      <c r="H125" s="4">
        <v>82.3</v>
      </c>
      <c r="I125" s="3">
        <v>6.4257</v>
      </c>
      <c r="J125" s="3">
        <v>6.3503499999999997</v>
      </c>
      <c r="K125" s="3">
        <v>4.1141100000000002</v>
      </c>
    </row>
    <row r="126" spans="1:11" x14ac:dyDescent="0.25">
      <c r="A126" s="6">
        <v>28581</v>
      </c>
      <c r="B126" s="2">
        <v>4.13</v>
      </c>
      <c r="D126" s="3">
        <v>7.4359799999999998</v>
      </c>
      <c r="E126" s="2">
        <v>7.26</v>
      </c>
      <c r="F126" s="3">
        <v>7.0282200000000001</v>
      </c>
      <c r="G126" s="3">
        <v>6.7619600000000002</v>
      </c>
      <c r="H126" s="4">
        <v>81.5</v>
      </c>
      <c r="I126" s="3">
        <v>6.7848600000000001</v>
      </c>
      <c r="J126" s="3">
        <v>6.5568900000000001</v>
      </c>
      <c r="K126" s="3">
        <v>6.0779300000000003</v>
      </c>
    </row>
    <row r="127" spans="1:11" x14ac:dyDescent="0.25">
      <c r="A127" s="6">
        <v>28672</v>
      </c>
      <c r="B127" s="2">
        <v>1.82</v>
      </c>
      <c r="D127" s="3">
        <v>6.1474299999999999</v>
      </c>
      <c r="E127" s="2">
        <v>8.07</v>
      </c>
      <c r="F127" s="3">
        <v>8.0240200000000002</v>
      </c>
      <c r="G127" s="3">
        <v>7.5338799999999999</v>
      </c>
      <c r="H127" s="4">
        <v>80.400000000000006</v>
      </c>
      <c r="I127" s="3">
        <v>7.0503400000000003</v>
      </c>
      <c r="J127" s="3">
        <v>6.6117999999999997</v>
      </c>
      <c r="K127" s="3">
        <v>5.2470299999999996</v>
      </c>
    </row>
    <row r="128" spans="1:11" x14ac:dyDescent="0.25">
      <c r="A128" s="6">
        <v>28764</v>
      </c>
      <c r="B128" s="2">
        <v>1.74</v>
      </c>
      <c r="D128" s="3">
        <v>8.4617900000000006</v>
      </c>
      <c r="E128" s="2">
        <v>9.5</v>
      </c>
      <c r="F128" s="3">
        <v>8.9295299999999997</v>
      </c>
      <c r="G128" s="3">
        <v>8.4491999999999994</v>
      </c>
      <c r="H128" s="4">
        <v>73.5</v>
      </c>
      <c r="I128" s="3">
        <v>7.5423799999999996</v>
      </c>
      <c r="J128" s="3">
        <v>6.9709599999999998</v>
      </c>
      <c r="K128" s="3">
        <v>6.6595599999999999</v>
      </c>
    </row>
    <row r="129" spans="1:11" x14ac:dyDescent="0.25">
      <c r="A129" s="6">
        <v>28856</v>
      </c>
      <c r="B129" s="2">
        <v>1.21</v>
      </c>
      <c r="D129" s="3">
        <v>7.6868100000000004</v>
      </c>
      <c r="E129" s="2">
        <v>10.11</v>
      </c>
      <c r="F129" s="3">
        <v>9.7831799999999998</v>
      </c>
      <c r="G129" s="3">
        <v>9.0383600000000008</v>
      </c>
      <c r="H129" s="4">
        <v>71.5</v>
      </c>
      <c r="I129" s="3">
        <v>7.80016</v>
      </c>
      <c r="J129" s="3">
        <v>6.76668</v>
      </c>
      <c r="K129" s="3">
        <v>6.5104499999999996</v>
      </c>
    </row>
    <row r="130" spans="1:11" x14ac:dyDescent="0.25">
      <c r="A130" s="6">
        <v>28946</v>
      </c>
      <c r="B130" s="2">
        <v>-0.11</v>
      </c>
      <c r="D130" s="3">
        <v>2.7363300000000002</v>
      </c>
      <c r="E130" s="2">
        <v>10.17</v>
      </c>
      <c r="F130" s="3">
        <v>10.754910000000001</v>
      </c>
      <c r="G130" s="3">
        <v>9.3717799999999993</v>
      </c>
      <c r="H130" s="4">
        <v>66.599999999999994</v>
      </c>
      <c r="I130" s="3">
        <v>8.5182199999999995</v>
      </c>
      <c r="J130" s="3">
        <v>7.26363</v>
      </c>
      <c r="K130" s="3">
        <v>2.6566999999999998</v>
      </c>
    </row>
    <row r="131" spans="1:11" x14ac:dyDescent="0.25">
      <c r="A131" s="6">
        <v>29037</v>
      </c>
      <c r="B131" s="2">
        <v>1.62</v>
      </c>
      <c r="D131" s="3">
        <v>2.6135000000000002</v>
      </c>
      <c r="E131" s="2">
        <v>10.88</v>
      </c>
      <c r="F131" s="3">
        <v>11.723089999999999</v>
      </c>
      <c r="G131" s="3">
        <v>9.8286300000000004</v>
      </c>
      <c r="H131" s="4">
        <v>63.9</v>
      </c>
      <c r="I131" s="3">
        <v>9.2914499999999993</v>
      </c>
      <c r="J131" s="3">
        <v>7.4004500000000002</v>
      </c>
      <c r="K131" s="3">
        <v>2.3894500000000001</v>
      </c>
    </row>
    <row r="132" spans="1:11" x14ac:dyDescent="0.25">
      <c r="A132" s="6">
        <v>29129</v>
      </c>
      <c r="B132" s="2">
        <v>0.11</v>
      </c>
      <c r="D132" s="3">
        <v>0.83706999999999998</v>
      </c>
      <c r="E132" s="2">
        <v>13.5</v>
      </c>
      <c r="F132" s="3">
        <v>12.64198</v>
      </c>
      <c r="G132" s="3">
        <v>10.700200000000001</v>
      </c>
      <c r="H132" s="4">
        <v>62.1</v>
      </c>
      <c r="I132" s="3">
        <v>9.8615600000000008</v>
      </c>
      <c r="J132" s="3">
        <v>7.7072799999999999</v>
      </c>
      <c r="K132" s="3">
        <v>1.28409</v>
      </c>
    </row>
    <row r="133" spans="1:11" x14ac:dyDescent="0.25">
      <c r="A133" s="6">
        <v>29221</v>
      </c>
      <c r="B133" s="2">
        <v>0.59</v>
      </c>
      <c r="D133" s="3">
        <v>1.27014</v>
      </c>
      <c r="E133" s="2">
        <v>14.75</v>
      </c>
      <c r="F133" s="3">
        <v>14.21002</v>
      </c>
      <c r="G133" s="3">
        <v>12.192769999999999</v>
      </c>
      <c r="H133" s="4">
        <v>63.5</v>
      </c>
      <c r="I133" s="3">
        <v>11.06761</v>
      </c>
      <c r="J133" s="3">
        <v>8.8551400000000005</v>
      </c>
      <c r="K133" s="3">
        <v>1.42055</v>
      </c>
    </row>
    <row r="134" spans="1:11" x14ac:dyDescent="0.25">
      <c r="A134" s="6">
        <v>29312</v>
      </c>
      <c r="B134" s="2">
        <v>-2.68</v>
      </c>
      <c r="D134" s="3">
        <v>-1.7264200000000001</v>
      </c>
      <c r="E134" s="2">
        <v>13.23</v>
      </c>
      <c r="F134" s="3">
        <v>14.42577</v>
      </c>
      <c r="G134" s="3">
        <v>13.27684</v>
      </c>
      <c r="H134" s="4">
        <v>54.4</v>
      </c>
      <c r="I134" s="3">
        <v>10.75789</v>
      </c>
      <c r="J134" s="3">
        <v>8.8960299999999997</v>
      </c>
      <c r="K134" s="3">
        <v>-0.77507000000000004</v>
      </c>
    </row>
    <row r="135" spans="1:11" x14ac:dyDescent="0.25">
      <c r="A135" s="6">
        <v>29403</v>
      </c>
      <c r="B135" s="2">
        <v>0.35</v>
      </c>
      <c r="D135" s="3">
        <v>-2.5558999999999998</v>
      </c>
      <c r="E135" s="2">
        <v>9.64</v>
      </c>
      <c r="F135" s="3">
        <v>12.935320000000001</v>
      </c>
      <c r="G135" s="3">
        <v>12.06976</v>
      </c>
      <c r="H135" s="4">
        <v>67.8</v>
      </c>
      <c r="I135" s="3">
        <v>10.60514</v>
      </c>
      <c r="J135" s="3">
        <v>9.3033400000000004</v>
      </c>
      <c r="K135" s="3">
        <v>-1.62375</v>
      </c>
    </row>
    <row r="136" spans="1:11" x14ac:dyDescent="0.25">
      <c r="A136" s="6">
        <v>29495</v>
      </c>
      <c r="B136" s="2">
        <v>1.19</v>
      </c>
      <c r="D136" s="3">
        <v>-0.35235</v>
      </c>
      <c r="E136" s="2">
        <v>15.63</v>
      </c>
      <c r="F136" s="3">
        <v>12.538360000000001</v>
      </c>
      <c r="G136" s="3">
        <v>12.160360000000001</v>
      </c>
      <c r="H136" s="4">
        <v>72.099999999999994</v>
      </c>
      <c r="I136" s="3">
        <v>10.6617</v>
      </c>
      <c r="J136" s="3">
        <v>9.6785300000000003</v>
      </c>
      <c r="K136" s="3">
        <v>-3.9050000000000001E-2</v>
      </c>
    </row>
    <row r="137" spans="1:11" x14ac:dyDescent="0.25">
      <c r="A137" s="6">
        <v>29587</v>
      </c>
      <c r="B137" s="2">
        <v>1.18</v>
      </c>
      <c r="D137" s="3">
        <v>1.5282899999999999</v>
      </c>
      <c r="E137" s="2">
        <v>16.71</v>
      </c>
      <c r="F137" s="3">
        <v>11.26107</v>
      </c>
      <c r="G137" s="3">
        <v>10.695880000000001</v>
      </c>
      <c r="H137" s="4">
        <v>68.3</v>
      </c>
      <c r="I137" s="3">
        <v>10.22311</v>
      </c>
      <c r="J137" s="3">
        <v>9.4346800000000002</v>
      </c>
      <c r="K137" s="3">
        <v>1.6</v>
      </c>
    </row>
    <row r="138" spans="1:11" x14ac:dyDescent="0.25">
      <c r="A138" s="6">
        <v>29677</v>
      </c>
      <c r="B138" s="2">
        <v>1.17</v>
      </c>
      <c r="D138" s="3">
        <v>3.21305</v>
      </c>
      <c r="E138" s="2">
        <v>17.559999999999999</v>
      </c>
      <c r="F138" s="3">
        <v>9.8735199999999992</v>
      </c>
      <c r="G138" s="3">
        <v>9.4763099999999998</v>
      </c>
      <c r="H138" s="4">
        <v>73.900000000000006</v>
      </c>
      <c r="I138" s="3">
        <v>9.3966700000000003</v>
      </c>
      <c r="J138" s="3">
        <v>9.0628600000000006</v>
      </c>
      <c r="K138" s="3">
        <v>2.9686699999999999</v>
      </c>
    </row>
    <row r="139" spans="1:11" x14ac:dyDescent="0.25">
      <c r="A139" s="6">
        <v>29768</v>
      </c>
      <c r="B139" s="2">
        <v>1.4</v>
      </c>
      <c r="D139" s="3">
        <v>4.1844299999999999</v>
      </c>
      <c r="E139" s="2">
        <v>17.649999999999999</v>
      </c>
      <c r="F139" s="3">
        <v>10.853020000000001</v>
      </c>
      <c r="G139" s="3">
        <v>11.506959999999999</v>
      </c>
      <c r="H139" s="4">
        <v>74.8</v>
      </c>
      <c r="I139" s="3">
        <v>8.6568100000000001</v>
      </c>
      <c r="J139" s="3">
        <v>8.6523900000000005</v>
      </c>
      <c r="K139" s="3">
        <v>4.3257199999999996</v>
      </c>
    </row>
    <row r="140" spans="1:11" x14ac:dyDescent="0.25">
      <c r="A140" s="6">
        <v>29860</v>
      </c>
      <c r="B140" s="2">
        <v>1.44</v>
      </c>
      <c r="D140" s="3">
        <v>0.24872</v>
      </c>
      <c r="E140" s="2">
        <v>13.59</v>
      </c>
      <c r="F140" s="3">
        <v>9.5831700000000009</v>
      </c>
      <c r="G140" s="3">
        <v>10.246230000000001</v>
      </c>
      <c r="H140" s="4">
        <v>65.7</v>
      </c>
      <c r="I140" s="3">
        <v>7.65951</v>
      </c>
      <c r="J140" s="3">
        <v>7.9550000000000001</v>
      </c>
      <c r="K140" s="3">
        <v>1.29983</v>
      </c>
    </row>
    <row r="141" spans="1:11" x14ac:dyDescent="0.25">
      <c r="A141" s="6">
        <v>29952</v>
      </c>
      <c r="B141" s="2">
        <v>-1.19</v>
      </c>
      <c r="D141" s="3">
        <v>-3.9729999999999999</v>
      </c>
      <c r="E141" s="2">
        <v>14.2</v>
      </c>
      <c r="F141" s="3">
        <v>7.5815000000000001</v>
      </c>
      <c r="G141" s="3">
        <v>9.0415200000000002</v>
      </c>
      <c r="H141" s="4">
        <v>66.5</v>
      </c>
      <c r="I141" s="3">
        <v>6.26973</v>
      </c>
      <c r="J141" s="3">
        <v>7.1576899999999997</v>
      </c>
      <c r="K141" s="3">
        <v>-2.1905199999999998</v>
      </c>
    </row>
    <row r="142" spans="1:11" x14ac:dyDescent="0.25">
      <c r="A142" s="6">
        <v>30042</v>
      </c>
      <c r="B142" s="2">
        <v>-1.88</v>
      </c>
      <c r="D142" s="3">
        <v>-2.3139799999999999</v>
      </c>
      <c r="E142" s="2">
        <v>14.51</v>
      </c>
      <c r="F142" s="3">
        <v>6.9067999999999996</v>
      </c>
      <c r="G142" s="3">
        <v>8.6560400000000008</v>
      </c>
      <c r="H142" s="4">
        <v>66.2</v>
      </c>
      <c r="I142" s="3">
        <v>5.52224</v>
      </c>
      <c r="J142" s="3">
        <v>6.5928599999999999</v>
      </c>
      <c r="K142" s="3">
        <v>-1.01075</v>
      </c>
    </row>
    <row r="143" spans="1:11" x14ac:dyDescent="0.25">
      <c r="A143" s="6">
        <v>30133</v>
      </c>
      <c r="B143" s="2">
        <v>-1.71</v>
      </c>
      <c r="D143" s="3">
        <v>-3.6659700000000002</v>
      </c>
      <c r="E143" s="2">
        <v>11</v>
      </c>
      <c r="F143" s="3">
        <v>5.8164699999999998</v>
      </c>
      <c r="G143" s="3">
        <v>6.8674299999999997</v>
      </c>
      <c r="H143" s="4">
        <v>66.7</v>
      </c>
      <c r="I143" s="3">
        <v>5.4514300000000002</v>
      </c>
      <c r="J143" s="3">
        <v>6.3431600000000001</v>
      </c>
      <c r="K143" s="3">
        <v>-2.5560399999999999</v>
      </c>
    </row>
    <row r="144" spans="1:11" x14ac:dyDescent="0.25">
      <c r="A144" s="6">
        <v>30225</v>
      </c>
      <c r="B144" s="2">
        <v>-1.05</v>
      </c>
      <c r="D144" s="3">
        <v>-2.2658</v>
      </c>
      <c r="E144" s="2">
        <v>9.2799999999999994</v>
      </c>
      <c r="F144" s="3">
        <v>4.4436499999999999</v>
      </c>
      <c r="G144" s="3">
        <v>5.1873199999999997</v>
      </c>
      <c r="H144" s="4">
        <v>72.5</v>
      </c>
      <c r="I144" s="3">
        <v>5.0060599999999997</v>
      </c>
      <c r="J144" s="3">
        <v>5.9397200000000003</v>
      </c>
      <c r="K144" s="3">
        <v>-1.4431799999999999</v>
      </c>
    </row>
    <row r="145" spans="1:11" x14ac:dyDescent="0.25">
      <c r="A145" s="6">
        <v>30317</v>
      </c>
      <c r="B145" s="2">
        <v>-0.93</v>
      </c>
      <c r="D145" s="3">
        <v>1.8823000000000001</v>
      </c>
      <c r="E145" s="2">
        <v>8.69</v>
      </c>
      <c r="F145" s="3">
        <v>3.5940799999999999</v>
      </c>
      <c r="G145" s="3">
        <v>4.5551599999999999</v>
      </c>
      <c r="H145" s="4">
        <v>75.3</v>
      </c>
      <c r="I145" s="3">
        <v>4.5453900000000003</v>
      </c>
      <c r="J145" s="3">
        <v>5.7827200000000003</v>
      </c>
      <c r="K145" s="3">
        <v>1.43147</v>
      </c>
    </row>
    <row r="146" spans="1:11" x14ac:dyDescent="0.25">
      <c r="A146" s="6">
        <v>30407</v>
      </c>
      <c r="B146" s="2">
        <v>0.67</v>
      </c>
      <c r="D146" s="3">
        <v>4.8136000000000001</v>
      </c>
      <c r="E146" s="2">
        <v>8.81</v>
      </c>
      <c r="F146" s="3">
        <v>3.29976</v>
      </c>
      <c r="G146" s="3">
        <v>3.6687599999999998</v>
      </c>
      <c r="H146" s="4">
        <v>91.5</v>
      </c>
      <c r="I146" s="3">
        <v>4.4952899999999998</v>
      </c>
      <c r="J146" s="3">
        <v>5.1694100000000001</v>
      </c>
      <c r="K146" s="3">
        <v>3.2684799999999998</v>
      </c>
    </row>
    <row r="147" spans="1:11" x14ac:dyDescent="0.25">
      <c r="A147" s="6">
        <v>30498</v>
      </c>
      <c r="B147" s="2">
        <v>2.13</v>
      </c>
      <c r="D147" s="3">
        <v>7.7209899999999996</v>
      </c>
      <c r="E147" s="2">
        <v>9.4499999999999993</v>
      </c>
      <c r="F147" s="3">
        <v>2.5264600000000002</v>
      </c>
      <c r="G147" s="3">
        <v>3.2302399999999998</v>
      </c>
      <c r="H147" s="4">
        <v>91.2</v>
      </c>
      <c r="I147" s="3">
        <v>4.22363</v>
      </c>
      <c r="J147" s="3">
        <v>5.0833300000000001</v>
      </c>
      <c r="K147" s="3">
        <v>5.7369700000000003</v>
      </c>
    </row>
    <row r="148" spans="1:11" x14ac:dyDescent="0.25">
      <c r="A148" s="6">
        <v>30590</v>
      </c>
      <c r="B148" s="2">
        <v>3.14</v>
      </c>
      <c r="D148" s="3">
        <v>10.44164</v>
      </c>
      <c r="E148" s="2">
        <v>9.42</v>
      </c>
      <c r="F148" s="3">
        <v>3.2334900000000002</v>
      </c>
      <c r="G148" s="3">
        <v>4.2123299999999997</v>
      </c>
      <c r="H148" s="4">
        <v>91.5</v>
      </c>
      <c r="I148" s="3">
        <v>3.7652399999999999</v>
      </c>
      <c r="J148" s="3">
        <v>4.4693199999999997</v>
      </c>
      <c r="K148" s="3">
        <v>7.8996599999999999</v>
      </c>
    </row>
    <row r="149" spans="1:11" x14ac:dyDescent="0.25">
      <c r="A149" s="6">
        <v>30682</v>
      </c>
      <c r="B149" s="2">
        <v>1.71</v>
      </c>
      <c r="D149" s="3">
        <v>10.908160000000001</v>
      </c>
      <c r="E149" s="2">
        <v>9.69</v>
      </c>
      <c r="F149" s="3">
        <v>4.6258499999999998</v>
      </c>
      <c r="G149" s="3">
        <v>5.0034000000000001</v>
      </c>
      <c r="H149" s="4">
        <v>99.5</v>
      </c>
      <c r="I149" s="3">
        <v>4.0280399999999998</v>
      </c>
      <c r="J149" s="3">
        <v>4.1563800000000004</v>
      </c>
      <c r="K149" s="3">
        <v>8.5780499999999993</v>
      </c>
    </row>
    <row r="150" spans="1:11" x14ac:dyDescent="0.25">
      <c r="A150" s="6">
        <v>30773</v>
      </c>
      <c r="B150" s="2">
        <v>2.5299999999999998</v>
      </c>
      <c r="D150" s="3">
        <v>9.2836999999999996</v>
      </c>
      <c r="E150" s="2">
        <v>10.53</v>
      </c>
      <c r="F150" s="3">
        <v>4.4048400000000001</v>
      </c>
      <c r="G150" s="3">
        <v>5.2578399999999998</v>
      </c>
      <c r="H150" s="4">
        <v>96.6</v>
      </c>
      <c r="I150" s="3">
        <v>4.0849500000000001</v>
      </c>
      <c r="J150" s="3">
        <v>4.5757000000000003</v>
      </c>
      <c r="K150" s="3">
        <v>7.9965299999999999</v>
      </c>
    </row>
    <row r="151" spans="1:11" x14ac:dyDescent="0.25">
      <c r="A151" s="6">
        <v>30864</v>
      </c>
      <c r="B151" s="2">
        <v>1.7</v>
      </c>
      <c r="D151" s="3">
        <v>7.8031899999999998</v>
      </c>
      <c r="E151" s="2">
        <v>11.38</v>
      </c>
      <c r="F151" s="3">
        <v>4.2957000000000001</v>
      </c>
      <c r="G151" s="3">
        <v>5.2596499999999997</v>
      </c>
      <c r="H151" s="4">
        <v>98.9</v>
      </c>
      <c r="I151" s="3">
        <v>3.5249100000000002</v>
      </c>
      <c r="J151" s="3">
        <v>3.9771100000000001</v>
      </c>
      <c r="K151" s="3">
        <v>6.9007300000000003</v>
      </c>
    </row>
    <row r="152" spans="1:11" x14ac:dyDescent="0.25">
      <c r="A152" s="6">
        <v>30956</v>
      </c>
      <c r="B152" s="2">
        <v>1.34</v>
      </c>
      <c r="D152" s="3">
        <v>6.0149499999999998</v>
      </c>
      <c r="E152" s="2">
        <v>9.3800000000000008</v>
      </c>
      <c r="F152" s="3">
        <v>4.1543000000000001</v>
      </c>
      <c r="G152" s="3">
        <v>4.9622099999999998</v>
      </c>
      <c r="H152" s="4">
        <v>95</v>
      </c>
      <c r="I152" s="3">
        <v>3.4820899999999999</v>
      </c>
      <c r="J152" s="3">
        <v>3.88584</v>
      </c>
      <c r="K152" s="3">
        <v>5.5756399999999999</v>
      </c>
    </row>
    <row r="153" spans="1:11" x14ac:dyDescent="0.25">
      <c r="A153" s="6">
        <v>31048</v>
      </c>
      <c r="B153" s="2">
        <v>0.67</v>
      </c>
      <c r="D153" s="3">
        <v>4.6837400000000002</v>
      </c>
      <c r="E153" s="2">
        <v>8.4700000000000006</v>
      </c>
      <c r="F153" s="3">
        <v>3.6410900000000002</v>
      </c>
      <c r="G153" s="3">
        <v>4.6677499999999998</v>
      </c>
      <c r="H153" s="4">
        <v>94.5</v>
      </c>
      <c r="I153" s="3">
        <v>3.5828500000000001</v>
      </c>
      <c r="J153" s="3">
        <v>4.2501199999999999</v>
      </c>
      <c r="K153" s="3">
        <v>4.5548200000000003</v>
      </c>
    </row>
    <row r="154" spans="1:11" x14ac:dyDescent="0.25">
      <c r="A154" s="6">
        <v>31138</v>
      </c>
      <c r="B154" s="2">
        <v>0.83</v>
      </c>
      <c r="D154" s="3">
        <v>3.7935699999999999</v>
      </c>
      <c r="E154" s="2">
        <v>7.96</v>
      </c>
      <c r="F154" s="3">
        <v>3.6070899999999999</v>
      </c>
      <c r="G154" s="3">
        <v>4.4828700000000001</v>
      </c>
      <c r="H154" s="4">
        <v>94.3</v>
      </c>
      <c r="I154" s="3">
        <v>3.4200699999999999</v>
      </c>
      <c r="J154" s="3">
        <v>3.9373900000000002</v>
      </c>
      <c r="K154" s="3">
        <v>3.6839900000000001</v>
      </c>
    </row>
    <row r="155" spans="1:11" x14ac:dyDescent="0.25">
      <c r="A155" s="6">
        <v>31229</v>
      </c>
      <c r="B155" s="2">
        <v>-0.62</v>
      </c>
      <c r="D155" s="3">
        <v>4.5141099999999996</v>
      </c>
      <c r="E155" s="2">
        <v>7.89</v>
      </c>
      <c r="F155" s="3">
        <v>3.35249</v>
      </c>
      <c r="G155" s="3">
        <v>4.1113200000000001</v>
      </c>
      <c r="H155" s="4">
        <v>92.8</v>
      </c>
      <c r="I155" s="3">
        <v>3.4350299999999998</v>
      </c>
      <c r="J155" s="3">
        <v>4.0282200000000001</v>
      </c>
      <c r="K155" s="3">
        <v>4.2624199999999997</v>
      </c>
    </row>
    <row r="156" spans="1:11" x14ac:dyDescent="0.25">
      <c r="A156" s="6">
        <v>31321</v>
      </c>
      <c r="B156" s="2">
        <v>1</v>
      </c>
      <c r="D156" s="3">
        <v>4.6601499999999998</v>
      </c>
      <c r="E156" s="2">
        <v>8.0500000000000007</v>
      </c>
      <c r="F156" s="3">
        <v>3.5137700000000001</v>
      </c>
      <c r="G156" s="3">
        <v>4.2579799999999999</v>
      </c>
      <c r="H156" s="4">
        <v>91.1</v>
      </c>
      <c r="I156" s="3">
        <v>3.5160499999999999</v>
      </c>
      <c r="J156" s="3">
        <v>4.0339600000000004</v>
      </c>
      <c r="K156" s="3">
        <v>4.1824599999999998</v>
      </c>
    </row>
    <row r="157" spans="1:11" x14ac:dyDescent="0.25">
      <c r="A157" s="6">
        <v>31413</v>
      </c>
      <c r="B157" s="2">
        <v>-0.55000000000000004</v>
      </c>
      <c r="D157" s="3">
        <v>4.5749300000000002</v>
      </c>
      <c r="E157" s="2">
        <v>7.92</v>
      </c>
      <c r="F157" s="3">
        <v>3.1053999999999999</v>
      </c>
      <c r="G157" s="3">
        <v>4.2427999999999999</v>
      </c>
      <c r="H157" s="4">
        <v>95.5</v>
      </c>
      <c r="I157" s="3">
        <v>3.0343800000000001</v>
      </c>
      <c r="J157" s="3">
        <v>3.7421199999999999</v>
      </c>
      <c r="K157" s="3">
        <v>4.1461100000000002</v>
      </c>
    </row>
    <row r="158" spans="1:11" x14ac:dyDescent="0.25">
      <c r="A158" s="6">
        <v>31503</v>
      </c>
      <c r="B158" s="2">
        <v>-1.1200000000000001</v>
      </c>
      <c r="C158" s="3">
        <v>14.082520000000001</v>
      </c>
      <c r="D158" s="3">
        <v>4.0692599999999999</v>
      </c>
      <c r="E158" s="2">
        <v>6.94</v>
      </c>
      <c r="F158" s="3">
        <v>1.67858</v>
      </c>
      <c r="G158" s="3">
        <v>4.01471</v>
      </c>
      <c r="H158" s="4">
        <v>96.8</v>
      </c>
      <c r="I158" s="3">
        <v>2.0989800000000001</v>
      </c>
      <c r="J158" s="3">
        <v>3.5553900000000001</v>
      </c>
      <c r="K158" s="3">
        <v>3.702</v>
      </c>
    </row>
    <row r="159" spans="1:11" x14ac:dyDescent="0.25">
      <c r="A159" s="6">
        <v>31594</v>
      </c>
      <c r="B159" s="2">
        <v>-0.63</v>
      </c>
      <c r="C159" s="3">
        <v>-6.96835</v>
      </c>
      <c r="D159" s="3">
        <v>3.4301300000000001</v>
      </c>
      <c r="E159" s="2">
        <v>6.26</v>
      </c>
      <c r="F159" s="3">
        <v>1.66821</v>
      </c>
      <c r="G159" s="3">
        <v>4.0704700000000003</v>
      </c>
      <c r="H159" s="4">
        <v>94.8</v>
      </c>
      <c r="I159" s="3">
        <v>1.83894</v>
      </c>
      <c r="J159" s="3">
        <v>3.2066599999999998</v>
      </c>
      <c r="K159" s="3">
        <v>3.1191800000000001</v>
      </c>
    </row>
    <row r="160" spans="1:11" x14ac:dyDescent="0.25">
      <c r="A160" s="6">
        <v>31686</v>
      </c>
      <c r="B160" s="2">
        <v>0.48</v>
      </c>
      <c r="C160" s="3">
        <v>-2.2029700000000001</v>
      </c>
      <c r="D160" s="3">
        <v>3.05246</v>
      </c>
      <c r="E160" s="2">
        <v>6.26</v>
      </c>
      <c r="F160" s="3">
        <v>1.3455699999999999</v>
      </c>
      <c r="G160" s="3">
        <v>3.8738700000000001</v>
      </c>
      <c r="H160" s="4">
        <v>92</v>
      </c>
      <c r="I160" s="3">
        <v>1.74664</v>
      </c>
      <c r="J160" s="3">
        <v>3.30613</v>
      </c>
      <c r="K160" s="3">
        <v>2.9072399999999998</v>
      </c>
    </row>
    <row r="161" spans="1:11" x14ac:dyDescent="0.25">
      <c r="A161" s="6">
        <v>31778</v>
      </c>
      <c r="B161" s="2">
        <v>-1.26</v>
      </c>
      <c r="C161" s="3">
        <v>21.87021</v>
      </c>
      <c r="D161" s="3">
        <v>2.7765399999999998</v>
      </c>
      <c r="E161" s="2">
        <v>6.22</v>
      </c>
      <c r="F161" s="3">
        <v>2.0383300000000002</v>
      </c>
      <c r="G161" s="3">
        <v>3.59477</v>
      </c>
      <c r="H161" s="4">
        <v>90.5</v>
      </c>
      <c r="I161" s="3">
        <v>1.9877199999999999</v>
      </c>
      <c r="J161" s="3">
        <v>2.8499300000000001</v>
      </c>
      <c r="K161" s="3">
        <v>2.7115800000000001</v>
      </c>
    </row>
    <row r="162" spans="1:11" x14ac:dyDescent="0.25">
      <c r="A162" s="6">
        <v>31868</v>
      </c>
      <c r="B162" s="2">
        <v>1</v>
      </c>
      <c r="C162" s="3">
        <v>7.1379900000000003</v>
      </c>
      <c r="D162" s="3">
        <v>3.5316700000000001</v>
      </c>
      <c r="E162" s="2">
        <v>6.62</v>
      </c>
      <c r="F162" s="3">
        <v>3.6991700000000001</v>
      </c>
      <c r="G162" s="3">
        <v>3.9776099999999999</v>
      </c>
      <c r="H162" s="4">
        <v>91.8</v>
      </c>
      <c r="I162" s="3">
        <v>3.0801400000000001</v>
      </c>
      <c r="J162" s="3">
        <v>3.1412900000000001</v>
      </c>
      <c r="K162" s="3">
        <v>3.3536000000000001</v>
      </c>
    </row>
    <row r="163" spans="1:11" x14ac:dyDescent="0.25">
      <c r="A163" s="6">
        <v>31959</v>
      </c>
      <c r="B163" s="2">
        <v>1.4</v>
      </c>
      <c r="C163" s="3">
        <v>7.1385300000000003</v>
      </c>
      <c r="D163" s="3">
        <v>3.3115000000000001</v>
      </c>
      <c r="E163" s="2">
        <v>6.83</v>
      </c>
      <c r="F163" s="3">
        <v>4.1628699999999998</v>
      </c>
      <c r="G163" s="3">
        <v>3.9696400000000001</v>
      </c>
      <c r="H163" s="4">
        <v>93.9</v>
      </c>
      <c r="I163" s="3">
        <v>3.51003</v>
      </c>
      <c r="J163" s="3">
        <v>3.3553600000000001</v>
      </c>
      <c r="K163" s="3">
        <v>3.2619899999999999</v>
      </c>
    </row>
    <row r="164" spans="1:11" x14ac:dyDescent="0.25">
      <c r="A164" s="6">
        <v>32051</v>
      </c>
      <c r="B164" s="2">
        <v>-0.05</v>
      </c>
      <c r="C164" s="3">
        <v>-22.016950000000001</v>
      </c>
      <c r="D164" s="3">
        <v>4.8608599999999997</v>
      </c>
      <c r="E164" s="2">
        <v>6.92</v>
      </c>
      <c r="F164" s="3">
        <v>4.4055499999999999</v>
      </c>
      <c r="G164" s="3">
        <v>4.1630500000000001</v>
      </c>
      <c r="H164" s="4">
        <v>86.4</v>
      </c>
      <c r="I164" s="3">
        <v>3.7758799999999999</v>
      </c>
      <c r="J164" s="3">
        <v>3.5624899999999999</v>
      </c>
      <c r="K164" s="3">
        <v>4.4745600000000003</v>
      </c>
    </row>
    <row r="165" spans="1:11" x14ac:dyDescent="0.25">
      <c r="A165" s="6">
        <v>32143</v>
      </c>
      <c r="B165" s="2">
        <v>0.41</v>
      </c>
      <c r="C165" s="3">
        <v>6.8920199999999996</v>
      </c>
      <c r="D165" s="3">
        <v>4.5522299999999998</v>
      </c>
      <c r="E165" s="2">
        <v>6.67</v>
      </c>
      <c r="F165" s="3">
        <v>3.9654099999999999</v>
      </c>
      <c r="G165" s="3">
        <v>4.3303700000000003</v>
      </c>
      <c r="H165" s="4">
        <v>92.3</v>
      </c>
      <c r="I165" s="3">
        <v>3.6143299999999998</v>
      </c>
      <c r="J165" s="3">
        <v>3.9037600000000001</v>
      </c>
      <c r="K165" s="3">
        <v>4.2412599999999996</v>
      </c>
    </row>
    <row r="166" spans="1:11" x14ac:dyDescent="0.25">
      <c r="A166" s="6">
        <v>32234</v>
      </c>
      <c r="B166" s="2">
        <v>1.1499999999999999</v>
      </c>
      <c r="C166" s="3">
        <v>6.2751999999999999</v>
      </c>
      <c r="D166" s="3">
        <v>4.9992900000000002</v>
      </c>
      <c r="E166" s="2">
        <v>7.14</v>
      </c>
      <c r="F166" s="3">
        <v>3.9799500000000001</v>
      </c>
      <c r="G166" s="3">
        <v>4.3355100000000002</v>
      </c>
      <c r="H166" s="4">
        <v>93.6</v>
      </c>
      <c r="I166" s="3">
        <v>3.7566899999999999</v>
      </c>
      <c r="J166" s="3">
        <v>4.1518699999999997</v>
      </c>
      <c r="K166" s="3">
        <v>4.4844900000000001</v>
      </c>
    </row>
    <row r="167" spans="1:11" x14ac:dyDescent="0.25">
      <c r="A167" s="6">
        <v>32325</v>
      </c>
      <c r="B167" s="2">
        <v>0.32</v>
      </c>
      <c r="C167" s="3">
        <v>0.38625999999999999</v>
      </c>
      <c r="D167" s="3">
        <v>4.7491099999999999</v>
      </c>
      <c r="E167" s="2">
        <v>7.97</v>
      </c>
      <c r="F167" s="3">
        <v>4.14236</v>
      </c>
      <c r="G167" s="3">
        <v>4.5199299999999996</v>
      </c>
      <c r="H167" s="4">
        <v>96</v>
      </c>
      <c r="I167" s="3">
        <v>4.0487200000000003</v>
      </c>
      <c r="J167" s="3">
        <v>4.4161200000000003</v>
      </c>
      <c r="K167" s="3">
        <v>4.1932</v>
      </c>
    </row>
    <row r="168" spans="1:11" x14ac:dyDescent="0.25">
      <c r="A168" s="6">
        <v>32417</v>
      </c>
      <c r="B168" s="2">
        <v>0.71</v>
      </c>
      <c r="C168" s="3">
        <v>-2.9531100000000001</v>
      </c>
      <c r="D168" s="3">
        <v>3.91953</v>
      </c>
      <c r="E168" s="2">
        <v>8.44</v>
      </c>
      <c r="F168" s="3">
        <v>4.3063599999999997</v>
      </c>
      <c r="G168" s="3">
        <v>4.5795199999999996</v>
      </c>
      <c r="H168" s="4">
        <v>93</v>
      </c>
      <c r="I168" s="3">
        <v>4.2015200000000004</v>
      </c>
      <c r="J168" s="3">
        <v>4.5204199999999997</v>
      </c>
      <c r="K168" s="3">
        <v>3.7993399999999999</v>
      </c>
    </row>
    <row r="169" spans="1:11" x14ac:dyDescent="0.25">
      <c r="A169" s="6">
        <v>32509</v>
      </c>
      <c r="B169" s="2">
        <v>0.81</v>
      </c>
      <c r="C169" s="3">
        <v>6.1289800000000003</v>
      </c>
      <c r="D169" s="3">
        <v>4.6482799999999997</v>
      </c>
      <c r="E169" s="2">
        <v>9.43</v>
      </c>
      <c r="F169" s="3">
        <v>4.6745099999999997</v>
      </c>
      <c r="G169" s="3">
        <v>4.6729000000000003</v>
      </c>
      <c r="H169" s="4">
        <v>95.9</v>
      </c>
      <c r="I169" s="3">
        <v>4.57273</v>
      </c>
      <c r="J169" s="3">
        <v>4.6513200000000001</v>
      </c>
      <c r="K169" s="3">
        <v>4.3151599999999997</v>
      </c>
    </row>
    <row r="170" spans="1:11" x14ac:dyDescent="0.25">
      <c r="A170" s="6">
        <v>32599</v>
      </c>
      <c r="B170" s="2">
        <v>0.68</v>
      </c>
      <c r="C170" s="3">
        <v>11.86265</v>
      </c>
      <c r="D170" s="3">
        <v>3.61503</v>
      </c>
      <c r="E170" s="2">
        <v>9.73</v>
      </c>
      <c r="F170" s="3">
        <v>5.1601900000000001</v>
      </c>
      <c r="G170" s="3">
        <v>4.5355800000000004</v>
      </c>
      <c r="H170" s="4">
        <v>90.9</v>
      </c>
      <c r="I170" s="3">
        <v>4.8234899999999996</v>
      </c>
      <c r="J170" s="3">
        <v>4.3388</v>
      </c>
      <c r="K170" s="3">
        <v>3.7479100000000001</v>
      </c>
    </row>
    <row r="171" spans="1:11" x14ac:dyDescent="0.25">
      <c r="A171" s="6">
        <v>32690</v>
      </c>
      <c r="B171" s="2">
        <v>1.28</v>
      </c>
      <c r="C171" s="3">
        <v>5.6841200000000001</v>
      </c>
      <c r="D171" s="3">
        <v>3.8385400000000001</v>
      </c>
      <c r="E171" s="2">
        <v>9.09</v>
      </c>
      <c r="F171" s="3">
        <v>4.7058799999999996</v>
      </c>
      <c r="G171" s="3">
        <v>4.37819</v>
      </c>
      <c r="H171" s="4">
        <v>92.5</v>
      </c>
      <c r="I171" s="3">
        <v>4.1586400000000001</v>
      </c>
      <c r="J171" s="3">
        <v>3.9183699999999999</v>
      </c>
      <c r="K171" s="3">
        <v>3.90754</v>
      </c>
    </row>
    <row r="172" spans="1:11" x14ac:dyDescent="0.25">
      <c r="A172" s="6">
        <v>32782</v>
      </c>
      <c r="B172" s="2">
        <v>-0.53</v>
      </c>
      <c r="C172" s="3">
        <v>2.8984000000000001</v>
      </c>
      <c r="D172" s="3">
        <v>2.5870700000000002</v>
      </c>
      <c r="E172" s="2">
        <v>8.65</v>
      </c>
      <c r="F172" s="3">
        <v>4.6273200000000001</v>
      </c>
      <c r="G172" s="3">
        <v>4.3789800000000003</v>
      </c>
      <c r="H172" s="4">
        <v>91.8</v>
      </c>
      <c r="I172" s="3">
        <v>3.9269099999999999</v>
      </c>
      <c r="J172" s="3">
        <v>3.71102</v>
      </c>
      <c r="K172" s="3">
        <v>2.7432099999999999</v>
      </c>
    </row>
    <row r="173" spans="1:11" x14ac:dyDescent="0.25">
      <c r="A173" s="6">
        <v>32874</v>
      </c>
      <c r="B173" s="2">
        <v>0.64</v>
      </c>
      <c r="C173" s="3">
        <v>-5.5579200000000002</v>
      </c>
      <c r="D173" s="3">
        <v>2.6536599999999999</v>
      </c>
      <c r="E173" s="2">
        <v>8.25</v>
      </c>
      <c r="F173" s="3">
        <v>5.2328799999999998</v>
      </c>
      <c r="G173" s="3">
        <v>4.5955899999999996</v>
      </c>
      <c r="H173" s="4">
        <v>91.3</v>
      </c>
      <c r="I173" s="3">
        <v>4.2356800000000003</v>
      </c>
      <c r="J173" s="3">
        <v>3.7727499999999998</v>
      </c>
      <c r="K173" s="3">
        <v>2.8210099999999998</v>
      </c>
    </row>
    <row r="174" spans="1:11" x14ac:dyDescent="0.25">
      <c r="A174" s="6">
        <v>32964</v>
      </c>
      <c r="B174" s="2">
        <v>-0.67</v>
      </c>
      <c r="C174" s="3">
        <v>6.3899600000000003</v>
      </c>
      <c r="D174" s="3">
        <v>2.2255699999999998</v>
      </c>
      <c r="E174" s="2">
        <v>8.24</v>
      </c>
      <c r="F174" s="3">
        <v>4.58345</v>
      </c>
      <c r="G174" s="3">
        <v>4.8324199999999999</v>
      </c>
      <c r="H174" s="4">
        <v>90.9</v>
      </c>
      <c r="I174" s="3">
        <v>3.7846600000000001</v>
      </c>
      <c r="J174" s="3">
        <v>3.98603</v>
      </c>
      <c r="K174" s="3">
        <v>2.4127000000000001</v>
      </c>
    </row>
    <row r="175" spans="1:11" x14ac:dyDescent="0.25">
      <c r="A175" s="6">
        <v>33055</v>
      </c>
      <c r="B175" s="2">
        <v>0.33</v>
      </c>
      <c r="C175" s="3">
        <v>-7.4630200000000002</v>
      </c>
      <c r="D175" s="3">
        <v>1.3261099999999999</v>
      </c>
      <c r="E175" s="2">
        <v>8.17</v>
      </c>
      <c r="F175" s="3">
        <v>5.56447</v>
      </c>
      <c r="G175" s="3">
        <v>5.3782800000000002</v>
      </c>
      <c r="H175" s="4">
        <v>79.099999999999994</v>
      </c>
      <c r="I175" s="3">
        <v>4.4870400000000004</v>
      </c>
      <c r="J175" s="3">
        <v>4.26098</v>
      </c>
      <c r="K175" s="3">
        <v>1.72736</v>
      </c>
    </row>
    <row r="176" spans="1:11" x14ac:dyDescent="0.25">
      <c r="A176" s="6">
        <v>33147</v>
      </c>
      <c r="B176" s="2">
        <v>-0.79</v>
      </c>
      <c r="C176" s="3">
        <v>-10.699619999999999</v>
      </c>
      <c r="D176" s="3">
        <v>-0.16899</v>
      </c>
      <c r="E176" s="2">
        <v>7.78</v>
      </c>
      <c r="F176" s="3">
        <v>6.2764800000000003</v>
      </c>
      <c r="G176" s="3">
        <v>5.3140099999999997</v>
      </c>
      <c r="H176" s="4">
        <v>65.099999999999994</v>
      </c>
      <c r="I176" s="3">
        <v>5.0420699999999998</v>
      </c>
      <c r="J176" s="3">
        <v>4.1826400000000001</v>
      </c>
      <c r="K176" s="3">
        <v>0.60306000000000004</v>
      </c>
    </row>
    <row r="177" spans="1:11" x14ac:dyDescent="0.25">
      <c r="A177" s="6">
        <v>33239</v>
      </c>
      <c r="B177" s="2">
        <v>-1</v>
      </c>
      <c r="C177" s="3">
        <v>27.278919999999999</v>
      </c>
      <c r="D177" s="3">
        <v>-2.0564900000000002</v>
      </c>
      <c r="E177" s="2">
        <v>6.52</v>
      </c>
      <c r="F177" s="3">
        <v>5.2590500000000002</v>
      </c>
      <c r="G177" s="3">
        <v>5.4983700000000004</v>
      </c>
      <c r="H177" s="4">
        <v>75</v>
      </c>
      <c r="I177" s="3">
        <v>4.0868000000000002</v>
      </c>
      <c r="J177" s="3">
        <v>3.9108100000000001</v>
      </c>
      <c r="K177" s="3">
        <v>-0.95020000000000004</v>
      </c>
    </row>
    <row r="178" spans="1:11" x14ac:dyDescent="0.25">
      <c r="A178" s="6">
        <v>33329</v>
      </c>
      <c r="B178" s="2">
        <v>-0.26</v>
      </c>
      <c r="C178" s="3">
        <v>13.879189999999999</v>
      </c>
      <c r="D178" s="3">
        <v>-1.3404199999999999</v>
      </c>
      <c r="E178" s="2">
        <v>5.83</v>
      </c>
      <c r="F178" s="3">
        <v>4.8466100000000001</v>
      </c>
      <c r="G178" s="3">
        <v>5.0805499999999997</v>
      </c>
      <c r="H178" s="4">
        <v>80.7</v>
      </c>
      <c r="I178" s="3">
        <v>3.7129400000000001</v>
      </c>
      <c r="J178" s="3">
        <v>3.5549599999999999</v>
      </c>
      <c r="K178" s="3">
        <v>-0.53893000000000002</v>
      </c>
    </row>
    <row r="179" spans="1:11" x14ac:dyDescent="0.25">
      <c r="A179" s="6">
        <v>33420</v>
      </c>
      <c r="B179" s="2">
        <v>-0.43</v>
      </c>
      <c r="C179" s="3">
        <v>2.3902600000000001</v>
      </c>
      <c r="D179" s="3">
        <v>-0.42127999999999999</v>
      </c>
      <c r="E179" s="2">
        <v>5.7</v>
      </c>
      <c r="F179" s="3">
        <v>3.8519999999999999</v>
      </c>
      <c r="G179" s="3">
        <v>4.6642200000000003</v>
      </c>
      <c r="H179" s="4">
        <v>82.6</v>
      </c>
      <c r="I179" s="3">
        <v>3.1077300000000001</v>
      </c>
      <c r="J179" s="3">
        <v>3.4420099999999998</v>
      </c>
      <c r="K179" s="3">
        <v>-0.10281</v>
      </c>
    </row>
    <row r="180" spans="1:11" x14ac:dyDescent="0.25">
      <c r="A180" s="6">
        <v>33512</v>
      </c>
      <c r="B180" s="2">
        <v>-0.05</v>
      </c>
      <c r="C180" s="3">
        <v>6.42211</v>
      </c>
      <c r="D180" s="3">
        <v>1.3585400000000001</v>
      </c>
      <c r="E180" s="2">
        <v>4.8899999999999997</v>
      </c>
      <c r="F180" s="3">
        <v>2.96536</v>
      </c>
      <c r="G180" s="3">
        <v>4.4423000000000004</v>
      </c>
      <c r="H180" s="4">
        <v>71.900000000000006</v>
      </c>
      <c r="I180" s="3">
        <v>2.4999500000000001</v>
      </c>
      <c r="J180" s="3">
        <v>3.3877700000000002</v>
      </c>
      <c r="K180" s="3">
        <v>1.1664000000000001</v>
      </c>
    </row>
    <row r="181" spans="1:11" x14ac:dyDescent="0.25">
      <c r="A181" s="6">
        <v>33604</v>
      </c>
      <c r="B181" s="2">
        <v>-0.2</v>
      </c>
      <c r="C181" s="3">
        <v>16.621189999999999</v>
      </c>
      <c r="D181" s="3">
        <v>3.4499300000000002</v>
      </c>
      <c r="E181" s="2">
        <v>4.04</v>
      </c>
      <c r="F181" s="3">
        <v>2.8938899999999999</v>
      </c>
      <c r="G181" s="3">
        <v>3.8553099999999998</v>
      </c>
      <c r="H181" s="4">
        <v>70.8</v>
      </c>
      <c r="I181" s="3">
        <v>2.6023100000000001</v>
      </c>
      <c r="J181" s="3">
        <v>3.2624900000000001</v>
      </c>
      <c r="K181" s="3">
        <v>2.85894</v>
      </c>
    </row>
    <row r="182" spans="1:11" x14ac:dyDescent="0.25">
      <c r="A182" s="6">
        <v>33695</v>
      </c>
      <c r="B182" s="2">
        <v>1.44</v>
      </c>
      <c r="C182" s="3">
        <v>-9.8073700000000006</v>
      </c>
      <c r="D182" s="3">
        <v>3.70811</v>
      </c>
      <c r="E182" s="2">
        <v>3.78</v>
      </c>
      <c r="F182" s="3">
        <v>3.0735199999999998</v>
      </c>
      <c r="G182" s="3">
        <v>3.8207499999999999</v>
      </c>
      <c r="H182" s="4">
        <v>78.900000000000006</v>
      </c>
      <c r="I182" s="3">
        <v>2.7241499999999998</v>
      </c>
      <c r="J182" s="3">
        <v>3.1957800000000001</v>
      </c>
      <c r="K182" s="3">
        <v>3.1698400000000002</v>
      </c>
    </row>
    <row r="183" spans="1:11" x14ac:dyDescent="0.25">
      <c r="A183" s="6">
        <v>33786</v>
      </c>
      <c r="B183" s="2">
        <v>0.69</v>
      </c>
      <c r="C183" s="3">
        <v>-0.60609000000000002</v>
      </c>
      <c r="D183" s="3">
        <v>4.0438099999999997</v>
      </c>
      <c r="E183" s="2">
        <v>3.3</v>
      </c>
      <c r="F183" s="3">
        <v>3.0746699999999998</v>
      </c>
      <c r="G183" s="3">
        <v>3.4997699999999998</v>
      </c>
      <c r="H183" s="4">
        <v>76.099999999999994</v>
      </c>
      <c r="I183" s="3">
        <v>2.6815600000000002</v>
      </c>
      <c r="J183" s="3">
        <v>2.8807700000000001</v>
      </c>
      <c r="K183" s="3">
        <v>3.6653899999999999</v>
      </c>
    </row>
    <row r="184" spans="1:11" x14ac:dyDescent="0.25">
      <c r="A184" s="6">
        <v>33878</v>
      </c>
      <c r="B184" s="2">
        <v>1.18</v>
      </c>
      <c r="C184" s="3">
        <v>10.43017</v>
      </c>
      <c r="D184" s="3">
        <v>5.02088</v>
      </c>
      <c r="E184" s="2">
        <v>3.04</v>
      </c>
      <c r="F184" s="3">
        <v>3.1219700000000001</v>
      </c>
      <c r="G184" s="3">
        <v>3.4674100000000001</v>
      </c>
      <c r="H184" s="4">
        <v>83.2</v>
      </c>
      <c r="I184" s="3">
        <v>2.6537000000000002</v>
      </c>
      <c r="J184" s="3">
        <v>2.82565</v>
      </c>
      <c r="K184" s="3">
        <v>4.3826499999999999</v>
      </c>
    </row>
    <row r="185" spans="1:11" x14ac:dyDescent="0.25">
      <c r="A185" s="6">
        <v>33970</v>
      </c>
      <c r="B185" s="2">
        <v>0.45</v>
      </c>
      <c r="C185" s="3">
        <v>7.1196299999999999</v>
      </c>
      <c r="D185" s="3">
        <v>3.6094400000000002</v>
      </c>
      <c r="E185" s="2">
        <v>3.04</v>
      </c>
      <c r="F185" s="3">
        <v>3.1730800000000001</v>
      </c>
      <c r="G185" s="3">
        <v>3.4601299999999999</v>
      </c>
      <c r="H185" s="4">
        <v>87.3</v>
      </c>
      <c r="I185" s="3">
        <v>2.6212399999999998</v>
      </c>
      <c r="J185" s="3">
        <v>2.7482899999999999</v>
      </c>
      <c r="K185" s="3">
        <v>3.3199100000000001</v>
      </c>
    </row>
    <row r="186" spans="1:11" x14ac:dyDescent="0.25">
      <c r="A186" s="6">
        <v>34060</v>
      </c>
      <c r="B186" s="2">
        <v>0.89</v>
      </c>
      <c r="C186" s="3">
        <v>-2.1212200000000001</v>
      </c>
      <c r="D186" s="3">
        <v>2.8933800000000001</v>
      </c>
      <c r="E186" s="2">
        <v>3</v>
      </c>
      <c r="F186" s="3">
        <v>3.125</v>
      </c>
      <c r="G186" s="3">
        <v>3.4302600000000001</v>
      </c>
      <c r="H186" s="4">
        <v>82.5</v>
      </c>
      <c r="I186" s="3">
        <v>2.62818</v>
      </c>
      <c r="J186" s="3">
        <v>2.8026900000000001</v>
      </c>
      <c r="K186" s="3">
        <v>2.80667</v>
      </c>
    </row>
    <row r="187" spans="1:11" x14ac:dyDescent="0.25">
      <c r="A187" s="6">
        <v>34151</v>
      </c>
      <c r="B187" s="2">
        <v>0.35</v>
      </c>
      <c r="C187" s="3">
        <v>2.9732500000000002</v>
      </c>
      <c r="D187" s="3">
        <v>2.8669899999999999</v>
      </c>
      <c r="E187" s="2">
        <v>3.05</v>
      </c>
      <c r="F187" s="3">
        <v>2.8172299999999999</v>
      </c>
      <c r="G187" s="3">
        <v>3.2461700000000002</v>
      </c>
      <c r="H187" s="4">
        <v>77.400000000000006</v>
      </c>
      <c r="I187" s="3">
        <v>2.4213200000000001</v>
      </c>
      <c r="J187" s="3">
        <v>2.7686500000000001</v>
      </c>
      <c r="K187" s="3">
        <v>2.2865099999999998</v>
      </c>
    </row>
    <row r="188" spans="1:11" x14ac:dyDescent="0.25">
      <c r="A188" s="6">
        <v>34243</v>
      </c>
      <c r="B188" s="2">
        <v>1.66</v>
      </c>
      <c r="C188" s="3">
        <v>6.2860300000000002</v>
      </c>
      <c r="D188" s="3">
        <v>2.97248</v>
      </c>
      <c r="E188" s="2">
        <v>3</v>
      </c>
      <c r="F188" s="3">
        <v>2.7692999999999999</v>
      </c>
      <c r="G188" s="3">
        <v>3.1277900000000001</v>
      </c>
      <c r="H188" s="4">
        <v>84</v>
      </c>
      <c r="I188" s="3">
        <v>2.2968299999999999</v>
      </c>
      <c r="J188" s="3">
        <v>2.5457900000000002</v>
      </c>
      <c r="K188" s="3">
        <v>2.60771</v>
      </c>
    </row>
    <row r="189" spans="1:11" x14ac:dyDescent="0.25">
      <c r="A189" s="6">
        <v>34335</v>
      </c>
      <c r="B189" s="2">
        <v>0.47</v>
      </c>
      <c r="C189" s="3">
        <v>4.8106400000000002</v>
      </c>
      <c r="D189" s="3">
        <v>3.8913899999999999</v>
      </c>
      <c r="E189" s="2">
        <v>3.19</v>
      </c>
      <c r="F189" s="3">
        <v>2.5396100000000001</v>
      </c>
      <c r="G189" s="3">
        <v>2.90144</v>
      </c>
      <c r="H189" s="4">
        <v>93</v>
      </c>
      <c r="I189" s="3">
        <v>2.0561600000000002</v>
      </c>
      <c r="J189" s="3">
        <v>2.3056700000000001</v>
      </c>
      <c r="K189" s="3">
        <v>3.4307099999999999</v>
      </c>
    </row>
    <row r="190" spans="1:11" x14ac:dyDescent="0.25">
      <c r="A190" s="6">
        <v>34425</v>
      </c>
      <c r="B190" s="2">
        <v>0.72</v>
      </c>
      <c r="C190" s="3">
        <v>-8.6285000000000007</v>
      </c>
      <c r="D190" s="3">
        <v>5.1009700000000002</v>
      </c>
      <c r="E190" s="2">
        <v>3.92</v>
      </c>
      <c r="F190" s="3">
        <v>2.3826000000000001</v>
      </c>
      <c r="G190" s="3">
        <v>2.7454399999999999</v>
      </c>
      <c r="H190" s="4">
        <v>92.2</v>
      </c>
      <c r="I190" s="3">
        <v>1.94069</v>
      </c>
      <c r="J190" s="3">
        <v>2.2181600000000001</v>
      </c>
      <c r="K190" s="3">
        <v>4.2256099999999996</v>
      </c>
    </row>
    <row r="191" spans="1:11" x14ac:dyDescent="0.25">
      <c r="A191" s="6">
        <v>34516</v>
      </c>
      <c r="B191" s="2">
        <v>0.78</v>
      </c>
      <c r="C191" s="3">
        <v>2.2985000000000002</v>
      </c>
      <c r="D191" s="3">
        <v>4.6471499999999999</v>
      </c>
      <c r="E191" s="2">
        <v>4.49</v>
      </c>
      <c r="F191" s="3">
        <v>2.8551700000000002</v>
      </c>
      <c r="G191" s="3">
        <v>2.9039299999999999</v>
      </c>
      <c r="H191" s="4">
        <v>90.7</v>
      </c>
      <c r="I191" s="3">
        <v>2.22851</v>
      </c>
      <c r="J191" s="3">
        <v>2.2173699999999998</v>
      </c>
      <c r="K191" s="3">
        <v>4.3370499999999996</v>
      </c>
    </row>
    <row r="192" spans="1:11" x14ac:dyDescent="0.25">
      <c r="A192" s="6">
        <v>34608</v>
      </c>
      <c r="B192" s="2">
        <v>1.84</v>
      </c>
      <c r="C192" s="3">
        <v>5.2779100000000003</v>
      </c>
      <c r="D192" s="3">
        <v>4.7794400000000001</v>
      </c>
      <c r="E192" s="2">
        <v>5.17</v>
      </c>
      <c r="F192" s="3">
        <v>2.6033300000000001</v>
      </c>
      <c r="G192" s="3">
        <v>2.7513000000000001</v>
      </c>
      <c r="H192" s="4">
        <v>93.1</v>
      </c>
      <c r="I192" s="3">
        <v>2.1201300000000001</v>
      </c>
      <c r="J192" s="3">
        <v>2.21102</v>
      </c>
      <c r="K192" s="3">
        <v>4.1161700000000003</v>
      </c>
    </row>
    <row r="193" spans="1:11" x14ac:dyDescent="0.25">
      <c r="A193" s="6">
        <v>34700</v>
      </c>
      <c r="B193" s="2">
        <v>1.79</v>
      </c>
      <c r="C193" s="3">
        <v>6.4981900000000001</v>
      </c>
      <c r="D193" s="3">
        <v>4.4107799999999999</v>
      </c>
      <c r="E193" s="2">
        <v>5.77</v>
      </c>
      <c r="F193" s="3">
        <v>2.8402599999999998</v>
      </c>
      <c r="G193" s="3">
        <v>2.9487700000000001</v>
      </c>
      <c r="H193" s="4">
        <v>94.3</v>
      </c>
      <c r="I193" s="3">
        <v>2.25346</v>
      </c>
      <c r="J193" s="3">
        <v>2.2825299999999999</v>
      </c>
      <c r="K193" s="3">
        <v>3.4814099999999999</v>
      </c>
    </row>
    <row r="194" spans="1:11" x14ac:dyDescent="0.25">
      <c r="A194" s="6">
        <v>34790</v>
      </c>
      <c r="B194" s="2">
        <v>0.46</v>
      </c>
      <c r="C194" s="3">
        <v>14.12172</v>
      </c>
      <c r="D194" s="3">
        <v>2.9822500000000001</v>
      </c>
      <c r="E194" s="2">
        <v>6.02</v>
      </c>
      <c r="F194" s="3">
        <v>3.0953499999999998</v>
      </c>
      <c r="G194" s="3">
        <v>3.0782400000000001</v>
      </c>
      <c r="H194" s="4">
        <v>91.7</v>
      </c>
      <c r="I194" s="3">
        <v>2.2767400000000002</v>
      </c>
      <c r="J194" s="3">
        <v>2.2021099999999998</v>
      </c>
      <c r="K194" s="3">
        <v>2.40238</v>
      </c>
    </row>
    <row r="195" spans="1:11" x14ac:dyDescent="0.25">
      <c r="A195" s="6">
        <v>34881</v>
      </c>
      <c r="B195" s="2">
        <v>0.3</v>
      </c>
      <c r="C195" s="3">
        <v>19.057130000000001</v>
      </c>
      <c r="D195" s="3">
        <v>3.5319199999999999</v>
      </c>
      <c r="E195" s="2">
        <v>5.79</v>
      </c>
      <c r="F195" s="3">
        <v>2.66398</v>
      </c>
      <c r="G195" s="3">
        <v>2.99173</v>
      </c>
      <c r="H195" s="4">
        <v>93.2</v>
      </c>
      <c r="I195" s="3">
        <v>1.9627399999999999</v>
      </c>
      <c r="J195" s="3">
        <v>2.1192000000000002</v>
      </c>
      <c r="K195" s="3">
        <v>2.67333</v>
      </c>
    </row>
    <row r="196" spans="1:11" x14ac:dyDescent="0.25">
      <c r="A196" s="6">
        <v>34973</v>
      </c>
      <c r="B196" s="2">
        <v>0.95</v>
      </c>
      <c r="C196" s="3">
        <v>1.0734399999999999</v>
      </c>
      <c r="D196" s="3">
        <v>2.8456999999999999</v>
      </c>
      <c r="E196" s="2">
        <v>5.77</v>
      </c>
      <c r="F196" s="3">
        <v>2.6263100000000001</v>
      </c>
      <c r="G196" s="3">
        <v>3.05714</v>
      </c>
      <c r="H196" s="4">
        <v>89.8</v>
      </c>
      <c r="I196" s="3">
        <v>1.93266</v>
      </c>
      <c r="J196" s="3">
        <v>2.11239</v>
      </c>
      <c r="K196" s="3">
        <v>2.1997900000000001</v>
      </c>
    </row>
    <row r="197" spans="1:11" x14ac:dyDescent="0.25">
      <c r="A197" s="6">
        <v>35065</v>
      </c>
      <c r="B197" s="2">
        <v>1.25</v>
      </c>
      <c r="C197" s="3">
        <v>2.10318</v>
      </c>
      <c r="D197" s="3">
        <v>3.1138400000000002</v>
      </c>
      <c r="E197" s="2">
        <v>5.36</v>
      </c>
      <c r="F197" s="3">
        <v>2.7839200000000002</v>
      </c>
      <c r="G197" s="3">
        <v>2.8852199999999999</v>
      </c>
      <c r="H197" s="4">
        <v>90.5</v>
      </c>
      <c r="I197" s="3">
        <v>2.0005700000000002</v>
      </c>
      <c r="J197" s="3">
        <v>1.97943</v>
      </c>
      <c r="K197" s="3">
        <v>2.6013099999999998</v>
      </c>
    </row>
    <row r="198" spans="1:11" x14ac:dyDescent="0.25">
      <c r="A198" s="6">
        <v>35156</v>
      </c>
      <c r="B198" s="2">
        <v>1.34</v>
      </c>
      <c r="C198" s="3">
        <v>11.08586</v>
      </c>
      <c r="D198" s="3">
        <v>4.7521800000000001</v>
      </c>
      <c r="E198" s="2">
        <v>5.25</v>
      </c>
      <c r="F198" s="3">
        <v>2.8270900000000001</v>
      </c>
      <c r="G198" s="3">
        <v>2.6545000000000001</v>
      </c>
      <c r="H198" s="4">
        <v>91.5</v>
      </c>
      <c r="I198" s="3">
        <v>2.0900400000000001</v>
      </c>
      <c r="J198" s="3">
        <v>1.85955</v>
      </c>
      <c r="K198" s="3">
        <v>4.0023799999999996</v>
      </c>
    </row>
    <row r="199" spans="1:11" x14ac:dyDescent="0.25">
      <c r="A199" s="6">
        <v>35247</v>
      </c>
      <c r="B199" s="2">
        <v>1.59</v>
      </c>
      <c r="C199" s="3">
        <v>1.1368499999999999</v>
      </c>
      <c r="D199" s="3">
        <v>4.8171099999999996</v>
      </c>
      <c r="E199" s="2">
        <v>5.29</v>
      </c>
      <c r="F199" s="3">
        <v>2.9001299999999999</v>
      </c>
      <c r="G199" s="3">
        <v>2.637</v>
      </c>
      <c r="H199" s="4">
        <v>94.9</v>
      </c>
      <c r="I199" s="3">
        <v>2.1075400000000002</v>
      </c>
      <c r="J199" s="3">
        <v>1.8387100000000001</v>
      </c>
      <c r="K199" s="3">
        <v>4.0501300000000002</v>
      </c>
    </row>
    <row r="200" spans="1:11" x14ac:dyDescent="0.25">
      <c r="A200" s="6">
        <v>35339</v>
      </c>
      <c r="B200" s="2">
        <v>1.3</v>
      </c>
      <c r="C200" s="3">
        <v>18.26172</v>
      </c>
      <c r="D200" s="3">
        <v>5.2619999999999996</v>
      </c>
      <c r="E200" s="2">
        <v>5.29</v>
      </c>
      <c r="F200" s="3">
        <v>3.2313999999999998</v>
      </c>
      <c r="G200" s="3">
        <v>2.5777399999999999</v>
      </c>
      <c r="H200" s="4">
        <v>97.5</v>
      </c>
      <c r="I200" s="3">
        <v>2.3534000000000002</v>
      </c>
      <c r="J200" s="3">
        <v>1.9075</v>
      </c>
      <c r="K200" s="3">
        <v>4.4214500000000001</v>
      </c>
    </row>
    <row r="201" spans="1:11" x14ac:dyDescent="0.25">
      <c r="A201" s="6">
        <v>35431</v>
      </c>
      <c r="B201" s="2">
        <v>1.2</v>
      </c>
      <c r="C201" s="3">
        <v>9.1723300000000005</v>
      </c>
      <c r="D201" s="3">
        <v>5.0828300000000004</v>
      </c>
      <c r="E201" s="2">
        <v>5.24</v>
      </c>
      <c r="F201" s="3">
        <v>2.9449700000000001</v>
      </c>
      <c r="G201" s="3">
        <v>2.4791699999999999</v>
      </c>
      <c r="H201" s="4">
        <v>99</v>
      </c>
      <c r="I201" s="3">
        <v>2.23638</v>
      </c>
      <c r="J201" s="3">
        <v>1.9071800000000001</v>
      </c>
      <c r="K201" s="3">
        <v>4.3140700000000001</v>
      </c>
    </row>
    <row r="202" spans="1:11" x14ac:dyDescent="0.25">
      <c r="A202" s="6">
        <v>35521</v>
      </c>
      <c r="B202" s="2">
        <v>1.0900000000000001</v>
      </c>
      <c r="C202" s="3">
        <v>4.1048099999999996</v>
      </c>
      <c r="D202" s="3">
        <v>5.1392100000000003</v>
      </c>
      <c r="E202" s="2">
        <v>5.53</v>
      </c>
      <c r="F202" s="3">
        <v>2.30179</v>
      </c>
      <c r="G202" s="3">
        <v>2.5252500000000002</v>
      </c>
      <c r="H202" s="4">
        <v>103</v>
      </c>
      <c r="I202" s="3">
        <v>1.8111999999999999</v>
      </c>
      <c r="J202" s="3">
        <v>1.95411</v>
      </c>
      <c r="K202" s="3">
        <v>4.3112700000000004</v>
      </c>
    </row>
    <row r="203" spans="1:11" x14ac:dyDescent="0.25">
      <c r="A203" s="6">
        <v>35612</v>
      </c>
      <c r="B203" s="2">
        <v>2.2999999999999998</v>
      </c>
      <c r="C203" s="3">
        <v>20.655609999999999</v>
      </c>
      <c r="D203" s="3">
        <v>5.3572699999999998</v>
      </c>
      <c r="E203" s="2">
        <v>5.55</v>
      </c>
      <c r="F203" s="3">
        <v>2.22505</v>
      </c>
      <c r="G203" s="3">
        <v>2.3083100000000001</v>
      </c>
      <c r="H203" s="4">
        <v>105.8</v>
      </c>
      <c r="I203" s="3">
        <v>1.6463300000000001</v>
      </c>
      <c r="J203" s="3">
        <v>1.7281</v>
      </c>
      <c r="K203" s="3">
        <v>4.6746999999999996</v>
      </c>
    </row>
    <row r="204" spans="1:11" x14ac:dyDescent="0.25">
      <c r="A204" s="6">
        <v>35704</v>
      </c>
      <c r="B204" s="2">
        <v>0.3</v>
      </c>
      <c r="C204" s="3">
        <v>-4.0111800000000004</v>
      </c>
      <c r="D204" s="3">
        <v>5.0740100000000004</v>
      </c>
      <c r="E204" s="2">
        <v>5.51</v>
      </c>
      <c r="F204" s="3">
        <v>1.89076</v>
      </c>
      <c r="G204" s="3">
        <v>2.2337500000000001</v>
      </c>
      <c r="H204" s="4">
        <v>105</v>
      </c>
      <c r="I204" s="3">
        <v>1.27616</v>
      </c>
      <c r="J204" s="3">
        <v>1.47238</v>
      </c>
      <c r="K204" s="3">
        <v>4.4835500000000001</v>
      </c>
    </row>
    <row r="205" spans="1:11" x14ac:dyDescent="0.25">
      <c r="A205" s="6">
        <v>35796</v>
      </c>
      <c r="B205" s="2">
        <v>1.7</v>
      </c>
      <c r="C205" s="3">
        <v>6.6647800000000004</v>
      </c>
      <c r="D205" s="3">
        <v>6.0163000000000002</v>
      </c>
      <c r="E205" s="2">
        <v>5.52</v>
      </c>
      <c r="F205" s="3">
        <v>1.4825600000000001</v>
      </c>
      <c r="G205" s="3">
        <v>2.2605599999999999</v>
      </c>
      <c r="H205" s="4">
        <v>107.8</v>
      </c>
      <c r="I205" s="3">
        <v>0.83848</v>
      </c>
      <c r="J205" s="3">
        <v>1.3731100000000001</v>
      </c>
      <c r="K205" s="3">
        <v>4.8555299999999999</v>
      </c>
    </row>
    <row r="206" spans="1:11" x14ac:dyDescent="0.25">
      <c r="A206" s="6">
        <v>35886</v>
      </c>
      <c r="B206" s="2">
        <v>1.79</v>
      </c>
      <c r="C206" s="3">
        <v>10.69586</v>
      </c>
      <c r="D206" s="3">
        <v>5.0393699999999999</v>
      </c>
      <c r="E206" s="2">
        <v>5.48</v>
      </c>
      <c r="F206" s="3">
        <v>1.5833299999999999</v>
      </c>
      <c r="G206" s="3">
        <v>2.1871900000000002</v>
      </c>
      <c r="H206" s="4">
        <v>106.9</v>
      </c>
      <c r="I206" s="3">
        <v>0.76810999999999996</v>
      </c>
      <c r="J206" s="3">
        <v>1.1557599999999999</v>
      </c>
      <c r="K206" s="3">
        <v>4.0927899999999999</v>
      </c>
    </row>
    <row r="207" spans="1:11" x14ac:dyDescent="0.25">
      <c r="A207" s="6">
        <v>35977</v>
      </c>
      <c r="B207" s="2">
        <v>0.84</v>
      </c>
      <c r="C207" s="3">
        <v>9.5055899999999998</v>
      </c>
      <c r="D207" s="3">
        <v>5.1318200000000003</v>
      </c>
      <c r="E207" s="2">
        <v>5.55</v>
      </c>
      <c r="F207" s="3">
        <v>1.59619</v>
      </c>
      <c r="G207" s="3">
        <v>2.35433</v>
      </c>
      <c r="H207" s="4">
        <v>103.5</v>
      </c>
      <c r="I207" s="3">
        <v>0.81384999999999996</v>
      </c>
      <c r="J207" s="3">
        <v>1.2783500000000001</v>
      </c>
      <c r="K207" s="3">
        <v>4.1034499999999996</v>
      </c>
    </row>
    <row r="208" spans="1:11" x14ac:dyDescent="0.25">
      <c r="A208" s="6">
        <v>36069</v>
      </c>
      <c r="B208" s="2">
        <v>1.58</v>
      </c>
      <c r="C208" s="3">
        <v>10.860250000000001</v>
      </c>
      <c r="D208" s="3">
        <v>6.2243599999999999</v>
      </c>
      <c r="E208" s="2">
        <v>4.87</v>
      </c>
      <c r="F208" s="3">
        <v>1.5257700000000001</v>
      </c>
      <c r="G208" s="3">
        <v>2.3410099999999998</v>
      </c>
      <c r="H208" s="4">
        <v>100.2</v>
      </c>
      <c r="I208" s="3">
        <v>0.76273999999999997</v>
      </c>
      <c r="J208" s="3">
        <v>1.2807900000000001</v>
      </c>
      <c r="K208" s="3">
        <v>4.8831300000000004</v>
      </c>
    </row>
    <row r="209" spans="1:11" x14ac:dyDescent="0.25">
      <c r="A209" s="6">
        <v>36161</v>
      </c>
      <c r="B209" s="2">
        <v>1.19</v>
      </c>
      <c r="C209" s="3">
        <v>33.770490000000002</v>
      </c>
      <c r="D209" s="3">
        <v>5.9039099999999998</v>
      </c>
      <c r="E209" s="2">
        <v>4.7300000000000004</v>
      </c>
      <c r="F209" s="3">
        <v>1.6872400000000001</v>
      </c>
      <c r="G209" s="3">
        <v>2.1718099999999998</v>
      </c>
      <c r="H209" s="4">
        <v>105.9</v>
      </c>
      <c r="I209" s="3">
        <v>0.95359000000000005</v>
      </c>
      <c r="J209" s="3">
        <v>1.23645</v>
      </c>
      <c r="K209" s="3">
        <v>4.8163400000000003</v>
      </c>
    </row>
    <row r="210" spans="1:11" x14ac:dyDescent="0.25">
      <c r="A210" s="6">
        <v>36251</v>
      </c>
      <c r="B210" s="2">
        <v>1.46</v>
      </c>
      <c r="C210" s="3">
        <v>6.9849500000000004</v>
      </c>
      <c r="D210" s="3">
        <v>5.7820600000000004</v>
      </c>
      <c r="E210" s="2">
        <v>4.75</v>
      </c>
      <c r="F210" s="3">
        <v>2.11239</v>
      </c>
      <c r="G210" s="3">
        <v>2.0825300000000002</v>
      </c>
      <c r="H210" s="4">
        <v>106.2</v>
      </c>
      <c r="I210" s="3">
        <v>1.3452299999999999</v>
      </c>
      <c r="J210" s="3">
        <v>1.27773</v>
      </c>
      <c r="K210" s="3">
        <v>4.7218900000000001</v>
      </c>
    </row>
    <row r="211" spans="1:11" x14ac:dyDescent="0.25">
      <c r="A211" s="6">
        <v>36342</v>
      </c>
      <c r="B211" s="2">
        <v>1.62</v>
      </c>
      <c r="C211" s="3">
        <v>10.53172</v>
      </c>
      <c r="D211" s="3">
        <v>5.8464099999999997</v>
      </c>
      <c r="E211" s="2">
        <v>5.09</v>
      </c>
      <c r="F211" s="3">
        <v>2.34646</v>
      </c>
      <c r="G211" s="3">
        <v>2.0126499999999998</v>
      </c>
      <c r="H211" s="4">
        <v>105.9</v>
      </c>
      <c r="I211" s="3">
        <v>1.58876</v>
      </c>
      <c r="J211" s="3">
        <v>1.29108</v>
      </c>
      <c r="K211" s="3">
        <v>4.7911200000000003</v>
      </c>
    </row>
    <row r="212" spans="1:11" x14ac:dyDescent="0.25">
      <c r="A212" s="6">
        <v>36434</v>
      </c>
      <c r="B212" s="2">
        <v>0.26</v>
      </c>
      <c r="C212" s="3">
        <v>22.9618</v>
      </c>
      <c r="D212" s="3">
        <v>5.7360899999999999</v>
      </c>
      <c r="E212" s="2">
        <v>5.32</v>
      </c>
      <c r="F212" s="3">
        <v>2.6198199999999998</v>
      </c>
      <c r="G212" s="3">
        <v>2.0205899999999999</v>
      </c>
      <c r="H212" s="4">
        <v>105.3</v>
      </c>
      <c r="I212" s="3">
        <v>1.9363999999999999</v>
      </c>
      <c r="J212" s="3">
        <v>1.44408</v>
      </c>
      <c r="K212" s="3">
        <v>4.8235700000000001</v>
      </c>
    </row>
    <row r="213" spans="1:11" x14ac:dyDescent="0.25">
      <c r="A213" s="6">
        <v>36526</v>
      </c>
      <c r="B213" s="2">
        <v>2.0699999999999998</v>
      </c>
      <c r="C213" s="3">
        <v>38.839460000000003</v>
      </c>
      <c r="D213" s="3">
        <v>4.5027600000000003</v>
      </c>
      <c r="E213" s="2">
        <v>5.64</v>
      </c>
      <c r="F213" s="3">
        <v>3.25779</v>
      </c>
      <c r="G213" s="3">
        <v>2.2395100000000001</v>
      </c>
      <c r="H213" s="4">
        <v>110.1</v>
      </c>
      <c r="I213" s="3">
        <v>2.5629400000000002</v>
      </c>
      <c r="J213" s="3">
        <v>1.7206300000000001</v>
      </c>
      <c r="K213" s="3">
        <v>4.2247399999999997</v>
      </c>
    </row>
    <row r="214" spans="1:11" x14ac:dyDescent="0.25">
      <c r="A214" s="6">
        <v>36617</v>
      </c>
      <c r="B214" s="2">
        <v>1.84</v>
      </c>
      <c r="C214" s="3">
        <v>-10.312480000000001</v>
      </c>
      <c r="D214" s="3">
        <v>5.9282700000000004</v>
      </c>
      <c r="E214" s="2">
        <v>6.26</v>
      </c>
      <c r="F214" s="3">
        <v>3.2938299999999998</v>
      </c>
      <c r="G214" s="3">
        <v>2.3989400000000001</v>
      </c>
      <c r="H214" s="4">
        <v>108.8</v>
      </c>
      <c r="I214" s="3">
        <v>2.4681199999999999</v>
      </c>
      <c r="J214" s="3">
        <v>1.7223999999999999</v>
      </c>
      <c r="K214" s="3">
        <v>5.2444600000000001</v>
      </c>
    </row>
    <row r="215" spans="1:11" x14ac:dyDescent="0.25">
      <c r="A215" s="6">
        <v>36708</v>
      </c>
      <c r="B215" s="2">
        <v>0.62</v>
      </c>
      <c r="C215" s="3">
        <v>4.1436200000000003</v>
      </c>
      <c r="D215" s="3">
        <v>4.1897099999999998</v>
      </c>
      <c r="E215" s="2">
        <v>6.52</v>
      </c>
      <c r="F215" s="3">
        <v>3.4689000000000001</v>
      </c>
      <c r="G215" s="3">
        <v>2.5366399999999998</v>
      </c>
      <c r="H215" s="4">
        <v>107.5</v>
      </c>
      <c r="I215" s="3">
        <v>2.5640399999999999</v>
      </c>
      <c r="J215" s="3">
        <v>1.8382099999999999</v>
      </c>
      <c r="K215" s="3">
        <v>3.9731700000000001</v>
      </c>
    </row>
    <row r="216" spans="1:11" x14ac:dyDescent="0.25">
      <c r="A216" s="6">
        <v>36800</v>
      </c>
      <c r="B216" s="2">
        <v>0.2</v>
      </c>
      <c r="C216" s="3">
        <v>-22.187609999999999</v>
      </c>
      <c r="D216" s="3">
        <v>2.9283899999999998</v>
      </c>
      <c r="E216" s="2">
        <v>6.51</v>
      </c>
      <c r="F216" s="3">
        <v>3.4434999999999998</v>
      </c>
      <c r="G216" s="3">
        <v>2.5784799999999999</v>
      </c>
      <c r="H216" s="4">
        <v>103.9</v>
      </c>
      <c r="I216" s="3">
        <v>2.52196</v>
      </c>
      <c r="J216" s="3">
        <v>1.86337</v>
      </c>
      <c r="K216" s="3">
        <v>2.9055900000000001</v>
      </c>
    </row>
    <row r="217" spans="1:11" x14ac:dyDescent="0.25">
      <c r="A217" s="6">
        <v>36892</v>
      </c>
      <c r="B217" s="2">
        <v>-0.56000000000000005</v>
      </c>
      <c r="C217" s="3">
        <v>-26.268049999999999</v>
      </c>
      <c r="D217" s="3">
        <v>2.2585799999999998</v>
      </c>
      <c r="E217" s="2">
        <v>5.61</v>
      </c>
      <c r="F217" s="3">
        <v>3.4097599999999999</v>
      </c>
      <c r="G217" s="3">
        <v>2.6545399999999999</v>
      </c>
      <c r="H217" s="4">
        <v>92.3</v>
      </c>
      <c r="I217" s="3">
        <v>2.4483600000000001</v>
      </c>
      <c r="J217" s="3">
        <v>1.9911399999999999</v>
      </c>
      <c r="K217" s="3">
        <v>2.1975099999999999</v>
      </c>
    </row>
    <row r="218" spans="1:11" x14ac:dyDescent="0.25">
      <c r="A218" s="6">
        <v>36982</v>
      </c>
      <c r="B218" s="2">
        <v>-1.2</v>
      </c>
      <c r="C218" s="3">
        <v>-17.209610000000001</v>
      </c>
      <c r="D218" s="3">
        <v>0.69649000000000005</v>
      </c>
      <c r="E218" s="2">
        <v>4.37</v>
      </c>
      <c r="F218" s="3">
        <v>3.32491</v>
      </c>
      <c r="G218" s="3">
        <v>2.6378900000000001</v>
      </c>
      <c r="H218" s="4">
        <v>91</v>
      </c>
      <c r="I218" s="3">
        <v>2.4408400000000001</v>
      </c>
      <c r="J218" s="3">
        <v>2.0208200000000001</v>
      </c>
      <c r="K218" s="3">
        <v>0.99629999999999996</v>
      </c>
    </row>
    <row r="219" spans="1:11" x14ac:dyDescent="0.25">
      <c r="A219" s="6">
        <v>37073</v>
      </c>
      <c r="B219" s="2">
        <v>-0.66</v>
      </c>
      <c r="C219" s="3">
        <v>-14.194290000000001</v>
      </c>
      <c r="D219" s="3">
        <v>0.15476999999999999</v>
      </c>
      <c r="E219" s="2">
        <v>3.55</v>
      </c>
      <c r="F219" s="3">
        <v>2.6782300000000001</v>
      </c>
      <c r="G219" s="3">
        <v>2.6571400000000001</v>
      </c>
      <c r="H219" s="4">
        <v>88.6</v>
      </c>
      <c r="I219" s="3">
        <v>1.8363499999999999</v>
      </c>
      <c r="J219" s="3">
        <v>1.7930299999999999</v>
      </c>
      <c r="K219" s="3">
        <v>0.48924000000000001</v>
      </c>
    </row>
    <row r="220" spans="1:11" x14ac:dyDescent="0.25">
      <c r="A220" s="6">
        <v>37165</v>
      </c>
      <c r="B220" s="2">
        <v>-1.56</v>
      </c>
      <c r="C220" s="3">
        <v>-2.8714499999999998</v>
      </c>
      <c r="D220" s="3">
        <v>-0.40952</v>
      </c>
      <c r="E220" s="2">
        <v>2.19</v>
      </c>
      <c r="F220" s="3">
        <v>1.8748800000000001</v>
      </c>
      <c r="G220" s="3">
        <v>2.7140300000000002</v>
      </c>
      <c r="H220" s="4">
        <v>85.1</v>
      </c>
      <c r="I220" s="3">
        <v>1.3049500000000001</v>
      </c>
      <c r="J220" s="3">
        <v>1.7802199999999999</v>
      </c>
      <c r="K220" s="3">
        <v>0.16732</v>
      </c>
    </row>
    <row r="221" spans="1:11" x14ac:dyDescent="0.25">
      <c r="A221" s="6">
        <v>37257</v>
      </c>
      <c r="B221" s="2">
        <v>-1.24</v>
      </c>
      <c r="C221" s="3">
        <v>0.65093999999999996</v>
      </c>
      <c r="D221" s="3">
        <v>1.4498200000000001</v>
      </c>
      <c r="E221" s="2">
        <v>1.72</v>
      </c>
      <c r="F221" s="3">
        <v>1.23176</v>
      </c>
      <c r="G221" s="3">
        <v>2.53165</v>
      </c>
      <c r="H221" s="4">
        <v>93.1</v>
      </c>
      <c r="I221" s="3">
        <v>0.76298999999999995</v>
      </c>
      <c r="J221" s="3">
        <v>1.4332400000000001</v>
      </c>
      <c r="K221" s="3">
        <v>1.3372599999999999</v>
      </c>
    </row>
    <row r="222" spans="1:11" x14ac:dyDescent="0.25">
      <c r="A222" s="6">
        <v>37347</v>
      </c>
      <c r="B222" s="2">
        <v>-0.56000000000000005</v>
      </c>
      <c r="C222" s="3">
        <v>-17.615500000000001</v>
      </c>
      <c r="D222" s="3">
        <v>1.0863</v>
      </c>
      <c r="E222" s="2">
        <v>1.75</v>
      </c>
      <c r="F222" s="3">
        <v>1.31728</v>
      </c>
      <c r="G222" s="3">
        <v>2.42631</v>
      </c>
      <c r="H222" s="4">
        <v>94.1</v>
      </c>
      <c r="I222" s="3">
        <v>1.0371999999999999</v>
      </c>
      <c r="J222" s="3">
        <v>1.6072</v>
      </c>
      <c r="K222" s="3">
        <v>1.32538</v>
      </c>
    </row>
    <row r="223" spans="1:11" x14ac:dyDescent="0.25">
      <c r="A223" s="6">
        <v>37438</v>
      </c>
      <c r="B223" s="2">
        <v>-0.16</v>
      </c>
      <c r="C223" s="3">
        <v>-23.810569999999998</v>
      </c>
      <c r="D223" s="3">
        <v>2.1490499999999999</v>
      </c>
      <c r="E223" s="2">
        <v>1.74</v>
      </c>
      <c r="F223" s="3">
        <v>1.5762799999999999</v>
      </c>
      <c r="G223" s="3">
        <v>2.2670499999999998</v>
      </c>
      <c r="H223" s="4">
        <v>87.3</v>
      </c>
      <c r="I223" s="3">
        <v>1.5088200000000001</v>
      </c>
      <c r="J223" s="3">
        <v>1.8862399999999999</v>
      </c>
      <c r="K223" s="3">
        <v>2.1465200000000002</v>
      </c>
    </row>
    <row r="224" spans="1:11" x14ac:dyDescent="0.25">
      <c r="A224" s="6">
        <v>37530</v>
      </c>
      <c r="B224" s="2">
        <v>-0.66</v>
      </c>
      <c r="C224" s="3">
        <v>5.5280100000000001</v>
      </c>
      <c r="D224" s="3">
        <v>2.069</v>
      </c>
      <c r="E224" s="2">
        <v>1.48</v>
      </c>
      <c r="F224" s="3">
        <v>2.25352</v>
      </c>
      <c r="G224" s="3">
        <v>2.0571000000000002</v>
      </c>
      <c r="H224" s="4">
        <v>83.8</v>
      </c>
      <c r="I224" s="3">
        <v>1.94126</v>
      </c>
      <c r="J224" s="3">
        <v>1.7573300000000001</v>
      </c>
      <c r="K224" s="3">
        <v>1.9925200000000001</v>
      </c>
    </row>
    <row r="225" spans="1:11" x14ac:dyDescent="0.25">
      <c r="A225" s="6">
        <v>37622</v>
      </c>
      <c r="B225" s="2">
        <v>0.23</v>
      </c>
      <c r="C225" s="3">
        <v>1.9655100000000001</v>
      </c>
      <c r="D225" s="3">
        <v>1.2681</v>
      </c>
      <c r="E225" s="2">
        <v>1.24</v>
      </c>
      <c r="F225" s="3">
        <v>2.97641</v>
      </c>
      <c r="G225" s="3">
        <v>1.83422</v>
      </c>
      <c r="H225" s="4">
        <v>80</v>
      </c>
      <c r="I225" s="3">
        <v>2.51376</v>
      </c>
      <c r="J225" s="3">
        <v>1.75888</v>
      </c>
      <c r="K225" s="3">
        <v>1.67926</v>
      </c>
    </row>
    <row r="226" spans="1:11" x14ac:dyDescent="0.25">
      <c r="A226" s="6">
        <v>37712</v>
      </c>
      <c r="B226" s="2">
        <v>1.31</v>
      </c>
      <c r="C226" s="3">
        <v>12.336370000000001</v>
      </c>
      <c r="D226" s="3">
        <v>1.90083</v>
      </c>
      <c r="E226" s="2">
        <v>1.25</v>
      </c>
      <c r="F226" s="3">
        <v>2.0059399999999998</v>
      </c>
      <c r="G226" s="3">
        <v>1.49149</v>
      </c>
      <c r="H226" s="4">
        <v>89.3</v>
      </c>
      <c r="I226" s="3">
        <v>1.86049</v>
      </c>
      <c r="J226" s="3">
        <v>1.58565</v>
      </c>
      <c r="K226" s="3">
        <v>1.9550700000000001</v>
      </c>
    </row>
    <row r="227" spans="1:11" x14ac:dyDescent="0.25">
      <c r="A227" s="6">
        <v>37803</v>
      </c>
      <c r="B227" s="2">
        <v>1.04</v>
      </c>
      <c r="C227" s="3">
        <v>13.709300000000001</v>
      </c>
      <c r="D227" s="3">
        <v>3.8782399999999999</v>
      </c>
      <c r="E227" s="2">
        <v>1.02</v>
      </c>
      <c r="F227" s="3">
        <v>2.2168899999999998</v>
      </c>
      <c r="G227" s="3">
        <v>1.3614900000000001</v>
      </c>
      <c r="H227" s="4">
        <v>89.3</v>
      </c>
      <c r="I227" s="3">
        <v>2.0037699999999998</v>
      </c>
      <c r="J227" s="3">
        <v>1.50915</v>
      </c>
      <c r="K227" s="3">
        <v>3.2311399999999999</v>
      </c>
    </row>
    <row r="228" spans="1:11" x14ac:dyDescent="0.25">
      <c r="A228" s="6">
        <v>37895</v>
      </c>
      <c r="B228" s="2">
        <v>0.62</v>
      </c>
      <c r="C228" s="3">
        <v>8.6341400000000004</v>
      </c>
      <c r="D228" s="3">
        <v>5.3333899999999996</v>
      </c>
      <c r="E228" s="2">
        <v>1</v>
      </c>
      <c r="F228" s="3">
        <v>2.0018400000000001</v>
      </c>
      <c r="G228" s="3">
        <v>1.16421</v>
      </c>
      <c r="H228" s="4">
        <v>92</v>
      </c>
      <c r="I228" s="3">
        <v>2.0291399999999999</v>
      </c>
      <c r="J228" s="3">
        <v>1.6028100000000001</v>
      </c>
      <c r="K228" s="3">
        <v>4.30044</v>
      </c>
    </row>
    <row r="229" spans="1:11" x14ac:dyDescent="0.25">
      <c r="A229" s="6">
        <v>37987</v>
      </c>
      <c r="B229" s="2">
        <v>-0.46</v>
      </c>
      <c r="C229" s="3">
        <v>4.5695600000000001</v>
      </c>
      <c r="D229" s="3">
        <v>4.9947900000000001</v>
      </c>
      <c r="E229" s="2">
        <v>1</v>
      </c>
      <c r="F229" s="3">
        <v>1.81785</v>
      </c>
      <c r="G229" s="3">
        <v>1.3162499999999999</v>
      </c>
      <c r="H229" s="4">
        <v>98</v>
      </c>
      <c r="I229" s="3">
        <v>2.0361199999999999</v>
      </c>
      <c r="J229" s="3">
        <v>1.8475999999999999</v>
      </c>
      <c r="K229" s="3">
        <v>4.3419499999999998</v>
      </c>
    </row>
    <row r="230" spans="1:11" x14ac:dyDescent="0.25">
      <c r="A230" s="6">
        <v>38078</v>
      </c>
      <c r="B230" s="2">
        <v>1.19</v>
      </c>
      <c r="C230" s="3">
        <v>-1.37096</v>
      </c>
      <c r="D230" s="3">
        <v>5.1558900000000003</v>
      </c>
      <c r="E230" s="2">
        <v>1.01</v>
      </c>
      <c r="F230" s="3">
        <v>2.7858700000000001</v>
      </c>
      <c r="G230" s="3">
        <v>1.78077</v>
      </c>
      <c r="H230" s="4">
        <v>93.3</v>
      </c>
      <c r="I230" s="3">
        <v>2.61985</v>
      </c>
      <c r="J230" s="3">
        <v>2.04278</v>
      </c>
      <c r="K230" s="3">
        <v>4.2274900000000004</v>
      </c>
    </row>
    <row r="231" spans="1:11" x14ac:dyDescent="0.25">
      <c r="A231" s="6">
        <v>38169</v>
      </c>
      <c r="B231" s="2">
        <v>1.37</v>
      </c>
      <c r="C231" s="3">
        <v>-4.3923100000000002</v>
      </c>
      <c r="D231" s="3">
        <v>3.8014999999999999</v>
      </c>
      <c r="E231" s="2">
        <v>1.42</v>
      </c>
      <c r="F231" s="3">
        <v>2.6748599999999998</v>
      </c>
      <c r="G231" s="3">
        <v>1.80816</v>
      </c>
      <c r="H231" s="4">
        <v>95.6</v>
      </c>
      <c r="I231" s="3">
        <v>2.44943</v>
      </c>
      <c r="J231" s="3">
        <v>1.9415</v>
      </c>
      <c r="K231" s="3">
        <v>3.4948600000000001</v>
      </c>
    </row>
    <row r="232" spans="1:11" x14ac:dyDescent="0.25">
      <c r="A232" s="6">
        <v>38261</v>
      </c>
      <c r="B232" s="2">
        <v>1</v>
      </c>
      <c r="C232" s="3">
        <v>10.484629999999999</v>
      </c>
      <c r="D232" s="3">
        <v>3.3751099999999998</v>
      </c>
      <c r="E232" s="2">
        <v>1.95</v>
      </c>
      <c r="F232" s="3">
        <v>3.3849499999999999</v>
      </c>
      <c r="G232" s="3">
        <v>2.1642000000000001</v>
      </c>
      <c r="H232" s="4">
        <v>93.9</v>
      </c>
      <c r="I232" s="3">
        <v>2.81982</v>
      </c>
      <c r="J232" s="3">
        <v>2.0369999999999999</v>
      </c>
      <c r="K232" s="3">
        <v>3.3511000000000002</v>
      </c>
    </row>
    <row r="233" spans="1:11" x14ac:dyDescent="0.25">
      <c r="A233" s="6">
        <v>38353</v>
      </c>
      <c r="B233" s="2">
        <v>0.72</v>
      </c>
      <c r="C233" s="3">
        <v>-1.1862299999999999</v>
      </c>
      <c r="D233" s="3">
        <v>4.6218399999999997</v>
      </c>
      <c r="E233" s="2">
        <v>2.46</v>
      </c>
      <c r="F233" s="3">
        <v>3.0351699999999999</v>
      </c>
      <c r="G233" s="3">
        <v>2.30769</v>
      </c>
      <c r="H233" s="4">
        <v>94.1</v>
      </c>
      <c r="I233" s="3">
        <v>2.62622</v>
      </c>
      <c r="J233" s="3">
        <v>2.2008700000000001</v>
      </c>
      <c r="K233" s="3">
        <v>3.9088400000000001</v>
      </c>
    </row>
    <row r="234" spans="1:11" x14ac:dyDescent="0.25">
      <c r="A234" s="6">
        <v>38443</v>
      </c>
      <c r="B234" s="2">
        <v>0.79</v>
      </c>
      <c r="C234" s="3">
        <v>-2.00474</v>
      </c>
      <c r="D234" s="3">
        <v>3.86842</v>
      </c>
      <c r="E234" s="2">
        <v>2.94</v>
      </c>
      <c r="F234" s="3">
        <v>2.9229400000000001</v>
      </c>
      <c r="G234" s="3">
        <v>2.1403099999999999</v>
      </c>
      <c r="H234" s="4">
        <v>90.2</v>
      </c>
      <c r="I234" s="3">
        <v>2.5843799999999999</v>
      </c>
      <c r="J234" s="3">
        <v>2.12358</v>
      </c>
      <c r="K234" s="3">
        <v>3.61774</v>
      </c>
    </row>
    <row r="235" spans="1:11" x14ac:dyDescent="0.25">
      <c r="A235" s="6">
        <v>38534</v>
      </c>
      <c r="B235" s="2">
        <v>1.03</v>
      </c>
      <c r="C235" s="3">
        <v>6.1466700000000003</v>
      </c>
      <c r="D235" s="3">
        <v>3.7698</v>
      </c>
      <c r="E235" s="2">
        <v>3.45</v>
      </c>
      <c r="F235" s="3">
        <v>3.81975</v>
      </c>
      <c r="G235" s="3">
        <v>2.0466799999999998</v>
      </c>
      <c r="H235" s="4">
        <v>87.5</v>
      </c>
      <c r="I235" s="3">
        <v>3.1839300000000001</v>
      </c>
      <c r="J235" s="3">
        <v>2.1557300000000001</v>
      </c>
      <c r="K235" s="3">
        <v>3.4485999999999999</v>
      </c>
    </row>
    <row r="236" spans="1:11" x14ac:dyDescent="0.25">
      <c r="A236" s="6">
        <v>38626</v>
      </c>
      <c r="B236" s="2">
        <v>0.38</v>
      </c>
      <c r="C236" s="3">
        <v>3.3233000000000001</v>
      </c>
      <c r="D236" s="3">
        <v>3.4077199999999999</v>
      </c>
      <c r="E236" s="2">
        <v>3.97</v>
      </c>
      <c r="F236" s="3">
        <v>3.6746799999999999</v>
      </c>
      <c r="G236" s="3">
        <v>2.10155</v>
      </c>
      <c r="H236" s="4">
        <v>82.4</v>
      </c>
      <c r="I236" s="3">
        <v>3.1238800000000002</v>
      </c>
      <c r="J236" s="3">
        <v>2.2840600000000002</v>
      </c>
      <c r="K236" s="3">
        <v>2.9727399999999999</v>
      </c>
    </row>
    <row r="237" spans="1:11" x14ac:dyDescent="0.25">
      <c r="A237" s="6">
        <v>38718</v>
      </c>
      <c r="B237" s="2">
        <v>1.69</v>
      </c>
      <c r="C237" s="3">
        <v>3.34653</v>
      </c>
      <c r="D237" s="3">
        <v>3.8412799999999998</v>
      </c>
      <c r="E237" s="2">
        <v>4.43</v>
      </c>
      <c r="F237" s="3">
        <v>3.6908699999999999</v>
      </c>
      <c r="G237" s="3">
        <v>2.1052599999999999</v>
      </c>
      <c r="H237" s="4">
        <v>88.9</v>
      </c>
      <c r="I237" s="3">
        <v>3.0606300000000002</v>
      </c>
      <c r="J237" s="3">
        <v>2.1493899999999999</v>
      </c>
      <c r="K237" s="3">
        <v>3.2131099999999999</v>
      </c>
    </row>
    <row r="238" spans="1:11" x14ac:dyDescent="0.25">
      <c r="A238" s="6">
        <v>38808</v>
      </c>
      <c r="B238" s="2">
        <v>0.89</v>
      </c>
      <c r="C238" s="3">
        <v>-3.1983100000000002</v>
      </c>
      <c r="D238" s="3">
        <v>3.5253800000000002</v>
      </c>
      <c r="E238" s="2">
        <v>4.9000000000000004</v>
      </c>
      <c r="F238" s="3">
        <v>3.9242699999999999</v>
      </c>
      <c r="G238" s="3">
        <v>2.4613299999999998</v>
      </c>
      <c r="H238" s="4">
        <v>83.8</v>
      </c>
      <c r="I238" s="3">
        <v>3.3120799999999999</v>
      </c>
      <c r="J238" s="3">
        <v>2.4556100000000001</v>
      </c>
      <c r="K238" s="3">
        <v>2.9729000000000001</v>
      </c>
    </row>
    <row r="239" spans="1:11" x14ac:dyDescent="0.25">
      <c r="A239" s="6">
        <v>38899</v>
      </c>
      <c r="B239" s="2">
        <v>0.9</v>
      </c>
      <c r="C239" s="3">
        <v>-5.03904</v>
      </c>
      <c r="D239" s="3">
        <v>2.7521200000000001</v>
      </c>
      <c r="E239" s="2">
        <v>5.24</v>
      </c>
      <c r="F239" s="3">
        <v>3.3401200000000002</v>
      </c>
      <c r="G239" s="3">
        <v>2.8178399999999999</v>
      </c>
      <c r="H239" s="4">
        <v>84</v>
      </c>
      <c r="I239" s="3">
        <v>2.9443199999999998</v>
      </c>
      <c r="J239" s="3">
        <v>2.60772</v>
      </c>
      <c r="K239" s="3">
        <v>2.3252799999999998</v>
      </c>
    </row>
    <row r="240" spans="1:11" x14ac:dyDescent="0.25">
      <c r="A240" s="6">
        <v>38991</v>
      </c>
      <c r="B240" s="2">
        <v>0.57999999999999996</v>
      </c>
      <c r="C240" s="3">
        <v>12.8285</v>
      </c>
      <c r="D240" s="3">
        <v>3.2313900000000002</v>
      </c>
      <c r="E240" s="2">
        <v>5.25</v>
      </c>
      <c r="F240" s="3">
        <v>1.9654</v>
      </c>
      <c r="G240" s="3">
        <v>2.6675399999999998</v>
      </c>
      <c r="H240" s="4">
        <v>92.5</v>
      </c>
      <c r="I240" s="3">
        <v>1.9625999999999999</v>
      </c>
      <c r="J240" s="3">
        <v>2.3654500000000001</v>
      </c>
      <c r="K240" s="3">
        <v>2.63456</v>
      </c>
    </row>
    <row r="241" spans="1:11" x14ac:dyDescent="0.25">
      <c r="A241" s="6">
        <v>39083</v>
      </c>
      <c r="B241" s="2">
        <v>0.99</v>
      </c>
      <c r="C241" s="3">
        <v>2.0289999999999999</v>
      </c>
      <c r="D241" s="3">
        <v>1.7404299999999999</v>
      </c>
      <c r="E241" s="2">
        <v>5.25</v>
      </c>
      <c r="F241" s="3">
        <v>2.4316499999999999</v>
      </c>
      <c r="G241" s="3">
        <v>2.6269</v>
      </c>
      <c r="H241" s="4">
        <v>92.2</v>
      </c>
      <c r="I241" s="3">
        <v>2.3626299999999998</v>
      </c>
      <c r="J241" s="3">
        <v>2.4778600000000002</v>
      </c>
      <c r="K241" s="3">
        <v>1.5767199999999999</v>
      </c>
    </row>
    <row r="242" spans="1:11" x14ac:dyDescent="0.25">
      <c r="A242" s="6">
        <v>39173</v>
      </c>
      <c r="B242" s="2">
        <v>1.21</v>
      </c>
      <c r="C242" s="3">
        <v>5.5143300000000002</v>
      </c>
      <c r="D242" s="3">
        <v>2.3679600000000001</v>
      </c>
      <c r="E242" s="2">
        <v>5.25</v>
      </c>
      <c r="F242" s="3">
        <v>2.6652900000000002</v>
      </c>
      <c r="G242" s="3">
        <v>2.2881</v>
      </c>
      <c r="H242" s="4">
        <v>86.9</v>
      </c>
      <c r="I242" s="3">
        <v>2.33379</v>
      </c>
      <c r="J242" s="3">
        <v>2.09111</v>
      </c>
      <c r="K242" s="3">
        <v>1.9343699999999999</v>
      </c>
    </row>
    <row r="243" spans="1:11" x14ac:dyDescent="0.25">
      <c r="A243" s="6">
        <v>39264</v>
      </c>
      <c r="B243" s="2">
        <v>0.86</v>
      </c>
      <c r="C243" s="3">
        <v>5.1690399999999999</v>
      </c>
      <c r="D243" s="3">
        <v>2.80261</v>
      </c>
      <c r="E243" s="2">
        <v>5.0999999999999996</v>
      </c>
      <c r="F243" s="3">
        <v>2.34897</v>
      </c>
      <c r="G243" s="3">
        <v>2.1193</v>
      </c>
      <c r="H243" s="4">
        <v>85.7</v>
      </c>
      <c r="I243" s="3">
        <v>2.1774499999999999</v>
      </c>
      <c r="J243" s="3">
        <v>2.0427900000000001</v>
      </c>
      <c r="K243" s="3">
        <v>2.3680400000000001</v>
      </c>
    </row>
    <row r="244" spans="1:11" x14ac:dyDescent="0.25">
      <c r="A244" s="6">
        <v>39356</v>
      </c>
      <c r="B244" s="2">
        <v>0.84</v>
      </c>
      <c r="C244" s="3">
        <v>6.66934</v>
      </c>
      <c r="D244" s="3">
        <v>2.1829000000000001</v>
      </c>
      <c r="E244" s="2">
        <v>4.54</v>
      </c>
      <c r="F244" s="3">
        <v>4.0311399999999997</v>
      </c>
      <c r="G244" s="3">
        <v>2.3103400000000001</v>
      </c>
      <c r="H244" s="4">
        <v>77.5</v>
      </c>
      <c r="I244" s="3">
        <v>3.3867099999999999</v>
      </c>
      <c r="J244" s="3">
        <v>2.3076400000000001</v>
      </c>
      <c r="K244" s="3">
        <v>2.1333600000000001</v>
      </c>
    </row>
    <row r="245" spans="1:11" x14ac:dyDescent="0.25">
      <c r="A245" s="6">
        <v>39448</v>
      </c>
      <c r="B245" s="2">
        <v>0.21</v>
      </c>
      <c r="C245" s="3">
        <v>-14.488350000000001</v>
      </c>
      <c r="D245" s="3">
        <v>0.85350999999999999</v>
      </c>
      <c r="E245" s="2">
        <v>3.27</v>
      </c>
      <c r="F245" s="3">
        <v>4.1370399999999998</v>
      </c>
      <c r="G245" s="3">
        <v>2.38809</v>
      </c>
      <c r="H245" s="4">
        <v>72.900000000000006</v>
      </c>
      <c r="I245" s="3">
        <v>3.2835999999999999</v>
      </c>
      <c r="J245" s="3">
        <v>2.1450399999999998</v>
      </c>
      <c r="K245" s="3">
        <v>1.3924700000000001</v>
      </c>
    </row>
    <row r="246" spans="1:11" x14ac:dyDescent="0.25">
      <c r="A246" s="6">
        <v>39539</v>
      </c>
      <c r="B246" s="2">
        <v>0.12</v>
      </c>
      <c r="C246" s="3">
        <v>7.0612700000000004</v>
      </c>
      <c r="D246" s="3">
        <v>0.70767000000000002</v>
      </c>
      <c r="E246" s="2">
        <v>2.09</v>
      </c>
      <c r="F246" s="3">
        <v>4.3104199999999997</v>
      </c>
      <c r="G246" s="3">
        <v>2.3362500000000002</v>
      </c>
      <c r="H246" s="4">
        <v>59.6</v>
      </c>
      <c r="I246" s="3">
        <v>3.4115799999999998</v>
      </c>
      <c r="J246" s="3">
        <v>2.1489799999999999</v>
      </c>
      <c r="K246" s="3">
        <v>1.37601</v>
      </c>
    </row>
    <row r="247" spans="1:11" x14ac:dyDescent="0.25">
      <c r="A247" s="6">
        <v>39630</v>
      </c>
      <c r="B247" s="2">
        <v>-1</v>
      </c>
      <c r="C247" s="3">
        <v>-6.1941600000000001</v>
      </c>
      <c r="D247" s="3">
        <v>-0.76319000000000004</v>
      </c>
      <c r="E247" s="2">
        <v>1.99</v>
      </c>
      <c r="F247" s="3">
        <v>5.2525000000000004</v>
      </c>
      <c r="G247" s="3">
        <v>2.4666700000000001</v>
      </c>
      <c r="H247" s="4">
        <v>64.8</v>
      </c>
      <c r="I247" s="3">
        <v>3.9276599999999999</v>
      </c>
      <c r="J247" s="3">
        <v>2.16866</v>
      </c>
      <c r="K247" s="3">
        <v>0.26596999999999998</v>
      </c>
    </row>
    <row r="248" spans="1:11" x14ac:dyDescent="0.25">
      <c r="A248" s="6">
        <v>39722</v>
      </c>
      <c r="B248" s="2">
        <v>-3.09</v>
      </c>
      <c r="C248" s="3">
        <v>-31.59816</v>
      </c>
      <c r="D248" s="3">
        <v>-4.3070500000000003</v>
      </c>
      <c r="E248" s="2">
        <v>0.56000000000000005</v>
      </c>
      <c r="F248" s="3">
        <v>1.5958000000000001</v>
      </c>
      <c r="G248" s="3">
        <v>1.9995099999999999</v>
      </c>
      <c r="H248" s="4">
        <v>57.7</v>
      </c>
      <c r="I248" s="3">
        <v>1.2387699999999999</v>
      </c>
      <c r="J248" s="3">
        <v>1.38717</v>
      </c>
      <c r="K248" s="3">
        <v>-2.54115</v>
      </c>
    </row>
    <row r="249" spans="1:11" x14ac:dyDescent="0.25">
      <c r="A249" s="6">
        <v>39814</v>
      </c>
      <c r="B249" s="2">
        <v>-3.88</v>
      </c>
      <c r="C249" s="3">
        <v>-4.1664399999999997</v>
      </c>
      <c r="D249" s="3">
        <v>-4.8697499999999998</v>
      </c>
      <c r="E249" s="2">
        <v>0.19</v>
      </c>
      <c r="F249" s="3">
        <v>-0.18423999999999999</v>
      </c>
      <c r="G249" s="3">
        <v>1.75369</v>
      </c>
      <c r="H249" s="4">
        <v>58.3</v>
      </c>
      <c r="I249" s="3">
        <v>-0.25639000000000001</v>
      </c>
      <c r="J249" s="3">
        <v>0.85199999999999998</v>
      </c>
      <c r="K249" s="3">
        <v>-3.2342300000000002</v>
      </c>
    </row>
    <row r="250" spans="1:11" x14ac:dyDescent="0.25">
      <c r="A250" s="6">
        <v>39904</v>
      </c>
      <c r="B250" s="2">
        <v>-1.44</v>
      </c>
      <c r="C250" s="3">
        <v>17.67604</v>
      </c>
      <c r="D250" s="3">
        <v>-5.6275899999999996</v>
      </c>
      <c r="E250" s="2">
        <v>0.18</v>
      </c>
      <c r="F250" s="3">
        <v>-0.94213999999999998</v>
      </c>
      <c r="G250" s="3">
        <v>1.82999</v>
      </c>
      <c r="H250" s="4">
        <v>68.2</v>
      </c>
      <c r="I250" s="3">
        <v>-0.82596999999999998</v>
      </c>
      <c r="J250" s="3">
        <v>0.82330999999999999</v>
      </c>
      <c r="K250" s="3">
        <v>-3.9788399999999999</v>
      </c>
    </row>
    <row r="251" spans="1:11" x14ac:dyDescent="0.25">
      <c r="A251" s="6">
        <v>39995</v>
      </c>
      <c r="B251" s="2">
        <v>-0.25</v>
      </c>
      <c r="C251" s="3">
        <v>14.659800000000001</v>
      </c>
      <c r="D251" s="3">
        <v>-4.5022799999999998</v>
      </c>
      <c r="E251" s="2">
        <v>0.16</v>
      </c>
      <c r="F251" s="3">
        <v>-1.6069599999999999</v>
      </c>
      <c r="G251" s="3">
        <v>1.48027</v>
      </c>
      <c r="H251" s="4">
        <v>68.400000000000006</v>
      </c>
      <c r="I251" s="3">
        <v>-1.1963200000000001</v>
      </c>
      <c r="J251" s="3">
        <v>0.66727000000000003</v>
      </c>
      <c r="K251" s="3">
        <v>-3.1328200000000002</v>
      </c>
    </row>
    <row r="252" spans="1:11" x14ac:dyDescent="0.25">
      <c r="A252" s="6">
        <v>40087</v>
      </c>
      <c r="B252" s="2">
        <v>0.33</v>
      </c>
      <c r="C252" s="3">
        <v>10.032730000000001</v>
      </c>
      <c r="D252" s="3">
        <v>-0.14054</v>
      </c>
      <c r="E252" s="2">
        <v>0.12</v>
      </c>
      <c r="F252" s="3">
        <v>1.48766</v>
      </c>
      <c r="G252" s="3">
        <v>1.7502200000000001</v>
      </c>
      <c r="H252" s="4">
        <v>70.2</v>
      </c>
      <c r="I252" s="3">
        <v>1.1815599999999999</v>
      </c>
      <c r="J252" s="3">
        <v>1.37426</v>
      </c>
      <c r="K252" s="3">
        <v>0.10557</v>
      </c>
    </row>
    <row r="253" spans="1:11" x14ac:dyDescent="0.25">
      <c r="A253" s="6">
        <v>40179</v>
      </c>
      <c r="B253" s="2">
        <v>0.32</v>
      </c>
      <c r="C253" s="3">
        <v>5.0615100000000002</v>
      </c>
      <c r="D253" s="3">
        <v>2.0028800000000002</v>
      </c>
      <c r="E253" s="2">
        <v>0.13</v>
      </c>
      <c r="F253" s="3">
        <v>2.3525700000000001</v>
      </c>
      <c r="G253" s="3">
        <v>1.34009</v>
      </c>
      <c r="H253" s="4">
        <v>73.900000000000006</v>
      </c>
      <c r="I253" s="3">
        <v>2.2635299999999998</v>
      </c>
      <c r="J253" s="3">
        <v>1.7222</v>
      </c>
      <c r="K253" s="3">
        <v>1.7452700000000001</v>
      </c>
    </row>
    <row r="254" spans="1:11" x14ac:dyDescent="0.25">
      <c r="A254" s="6">
        <v>40269</v>
      </c>
      <c r="B254" s="2">
        <v>1.49</v>
      </c>
      <c r="C254" s="3">
        <v>3.2332900000000002</v>
      </c>
      <c r="D254" s="3">
        <v>3.33806</v>
      </c>
      <c r="E254" s="2">
        <v>0.19</v>
      </c>
      <c r="F254" s="3">
        <v>1.7752699999999999</v>
      </c>
      <c r="G254" s="3">
        <v>0.95260999999999996</v>
      </c>
      <c r="H254" s="4">
        <v>73.900000000000006</v>
      </c>
      <c r="I254" s="3">
        <v>2.01661</v>
      </c>
      <c r="J254" s="3">
        <v>1.5984499999999999</v>
      </c>
      <c r="K254" s="3">
        <v>2.9136000000000002</v>
      </c>
    </row>
    <row r="255" spans="1:11" x14ac:dyDescent="0.25">
      <c r="A255" s="6">
        <v>40360</v>
      </c>
      <c r="B255" s="2">
        <v>1.26</v>
      </c>
      <c r="C255" s="3">
        <v>-2.5114800000000002</v>
      </c>
      <c r="D255" s="3">
        <v>4.1553599999999999</v>
      </c>
      <c r="E255" s="2">
        <v>0.19</v>
      </c>
      <c r="F255" s="3">
        <v>1.2028799999999999</v>
      </c>
      <c r="G255" s="3">
        <v>0.89634000000000003</v>
      </c>
      <c r="H255" s="4">
        <v>68.3</v>
      </c>
      <c r="I255" s="3">
        <v>1.51294</v>
      </c>
      <c r="J255" s="3">
        <v>1.3949199999999999</v>
      </c>
      <c r="K255" s="3">
        <v>3.3442099999999999</v>
      </c>
    </row>
    <row r="256" spans="1:11" x14ac:dyDescent="0.25">
      <c r="A256" s="6">
        <v>40452</v>
      </c>
      <c r="B256" s="2">
        <v>0.93</v>
      </c>
      <c r="C256" s="3">
        <v>14.707470000000001</v>
      </c>
      <c r="D256" s="3">
        <v>3.5905999999999998</v>
      </c>
      <c r="E256" s="2">
        <v>0.19</v>
      </c>
      <c r="F256" s="3">
        <v>1.2297800000000001</v>
      </c>
      <c r="G256" s="3">
        <v>0.64556999999999998</v>
      </c>
      <c r="H256" s="4">
        <v>71.3</v>
      </c>
      <c r="I256" s="3">
        <v>1.38113</v>
      </c>
      <c r="J256" s="3">
        <v>1.0857000000000001</v>
      </c>
      <c r="K256" s="3">
        <v>2.77596</v>
      </c>
    </row>
    <row r="257" spans="1:11" x14ac:dyDescent="0.25">
      <c r="A257" s="6">
        <v>40544</v>
      </c>
      <c r="B257" s="2">
        <v>-0.03</v>
      </c>
      <c r="C257" s="3">
        <v>7.9329799999999997</v>
      </c>
      <c r="D257" s="3">
        <v>2.4578500000000001</v>
      </c>
      <c r="E257" s="2">
        <v>0.16</v>
      </c>
      <c r="F257" s="3">
        <v>2.1482199999999998</v>
      </c>
      <c r="G257" s="3">
        <v>1.10595</v>
      </c>
      <c r="H257" s="4">
        <v>73.099999999999994</v>
      </c>
      <c r="I257" s="3">
        <v>1.8386100000000001</v>
      </c>
      <c r="J257" s="3">
        <v>1.1833400000000001</v>
      </c>
      <c r="K257" s="3">
        <v>2.0377999999999998</v>
      </c>
    </row>
    <row r="258" spans="1:11" x14ac:dyDescent="0.25">
      <c r="A258" s="6">
        <v>40634</v>
      </c>
      <c r="B258" s="2">
        <v>1.24</v>
      </c>
      <c r="C258" s="3">
        <v>0.29403000000000001</v>
      </c>
      <c r="D258" s="3">
        <v>2.4312499999999999</v>
      </c>
      <c r="E258" s="2">
        <v>0.1</v>
      </c>
      <c r="F258" s="3">
        <v>3.3461099999999999</v>
      </c>
      <c r="G258" s="3">
        <v>1.4511799999999999</v>
      </c>
      <c r="H258" s="4">
        <v>71.900000000000006</v>
      </c>
      <c r="I258" s="3">
        <v>2.6809400000000001</v>
      </c>
      <c r="J258" s="3">
        <v>1.5015799999999999</v>
      </c>
      <c r="K258" s="3">
        <v>1.7437100000000001</v>
      </c>
    </row>
    <row r="259" spans="1:11" x14ac:dyDescent="0.25">
      <c r="A259" s="6">
        <v>40725</v>
      </c>
      <c r="B259" s="2">
        <v>2.25</v>
      </c>
      <c r="C259" s="3">
        <v>-2.80802</v>
      </c>
      <c r="D259" s="3">
        <v>1.37551</v>
      </c>
      <c r="E259" s="2">
        <v>0.08</v>
      </c>
      <c r="F259" s="3">
        <v>3.7159499999999999</v>
      </c>
      <c r="G259" s="3">
        <v>1.89818</v>
      </c>
      <c r="H259" s="4">
        <v>59.7</v>
      </c>
      <c r="I259" s="3">
        <v>2.9572099999999999</v>
      </c>
      <c r="J259" s="3">
        <v>1.80833</v>
      </c>
      <c r="K259" s="3">
        <v>0.94264999999999999</v>
      </c>
    </row>
    <row r="260" spans="1:11" x14ac:dyDescent="0.25">
      <c r="A260" s="6">
        <v>40817</v>
      </c>
      <c r="B260" s="2">
        <v>1.29</v>
      </c>
      <c r="C260" s="3">
        <v>1.5608299999999999</v>
      </c>
      <c r="D260" s="3">
        <v>2.0053899999999998</v>
      </c>
      <c r="E260" s="2">
        <v>0.08</v>
      </c>
      <c r="F260" s="3">
        <v>3.3447300000000002</v>
      </c>
      <c r="G260" s="3">
        <v>2.1743199999999998</v>
      </c>
      <c r="H260" s="4">
        <v>64.8</v>
      </c>
      <c r="I260" s="3">
        <v>2.6397200000000001</v>
      </c>
      <c r="J260" s="3">
        <v>1.84924</v>
      </c>
      <c r="K260" s="3">
        <v>1.54308</v>
      </c>
    </row>
    <row r="261" spans="1:11" x14ac:dyDescent="0.25">
      <c r="A261" s="6">
        <v>40909</v>
      </c>
      <c r="B261" s="2">
        <v>1.3</v>
      </c>
      <c r="C261" s="3">
        <v>11.85439</v>
      </c>
      <c r="D261" s="3">
        <v>3.8703799999999999</v>
      </c>
      <c r="E261" s="2">
        <v>0.1</v>
      </c>
      <c r="F261" s="3">
        <v>2.8293200000000001</v>
      </c>
      <c r="G261" s="3">
        <v>2.2284799999999998</v>
      </c>
      <c r="H261" s="4">
        <v>75.5</v>
      </c>
      <c r="I261" s="3">
        <v>2.4598499999999999</v>
      </c>
      <c r="J261" s="3">
        <v>2.0440499999999999</v>
      </c>
      <c r="K261" s="3">
        <v>2.6380699999999999</v>
      </c>
    </row>
    <row r="262" spans="1:11" x14ac:dyDescent="0.25">
      <c r="A262" s="6">
        <v>41000</v>
      </c>
      <c r="B262" s="2">
        <v>1.1599999999999999</v>
      </c>
      <c r="C262" s="3">
        <v>2.14656</v>
      </c>
      <c r="D262" s="3">
        <v>3.4418799999999998</v>
      </c>
      <c r="E262" s="2">
        <v>0.15</v>
      </c>
      <c r="F262" s="3">
        <v>1.88792</v>
      </c>
      <c r="G262" s="3">
        <v>2.2528999999999999</v>
      </c>
      <c r="H262" s="4">
        <v>76.3</v>
      </c>
      <c r="I262" s="3">
        <v>1.7073199999999999</v>
      </c>
      <c r="J262" s="3">
        <v>1.87035</v>
      </c>
      <c r="K262" s="3">
        <v>2.40334</v>
      </c>
    </row>
    <row r="263" spans="1:11" x14ac:dyDescent="0.25">
      <c r="A263" s="6">
        <v>41091</v>
      </c>
      <c r="B263" s="2">
        <v>-0.17</v>
      </c>
      <c r="C263" s="3">
        <v>3.9365000000000001</v>
      </c>
      <c r="D263" s="3">
        <v>3.6545100000000001</v>
      </c>
      <c r="E263" s="2">
        <v>0.15</v>
      </c>
      <c r="F263" s="3">
        <v>1.68486</v>
      </c>
      <c r="G263" s="3">
        <v>2.0177299999999998</v>
      </c>
      <c r="H263" s="4">
        <v>75</v>
      </c>
      <c r="I263" s="3">
        <v>1.53345</v>
      </c>
      <c r="J263" s="3">
        <v>1.70041</v>
      </c>
      <c r="K263" s="3">
        <v>2.5737100000000002</v>
      </c>
    </row>
    <row r="264" spans="1:11" x14ac:dyDescent="0.25">
      <c r="A264" s="6">
        <v>41183</v>
      </c>
      <c r="B264" s="2">
        <v>0.56999999999999995</v>
      </c>
      <c r="C264" s="3">
        <v>-1.79112</v>
      </c>
      <c r="D264" s="3">
        <v>2.4008799999999999</v>
      </c>
      <c r="E264" s="2">
        <v>0.16</v>
      </c>
      <c r="F264" s="3">
        <v>1.90357</v>
      </c>
      <c r="G264" s="3">
        <v>1.9490000000000001</v>
      </c>
      <c r="H264" s="4">
        <v>79.400000000000006</v>
      </c>
      <c r="I264" s="3">
        <v>1.7666200000000001</v>
      </c>
      <c r="J264" s="3">
        <v>1.7873399999999999</v>
      </c>
      <c r="K264" s="3">
        <v>1.55185</v>
      </c>
    </row>
    <row r="265" spans="1:11" x14ac:dyDescent="0.25">
      <c r="A265" s="6">
        <v>41275</v>
      </c>
      <c r="B265" s="2">
        <v>0.82</v>
      </c>
      <c r="C265" s="3">
        <v>3.3454600000000001</v>
      </c>
      <c r="D265" s="3">
        <v>2.3071700000000002</v>
      </c>
      <c r="E265" s="2">
        <v>0.15</v>
      </c>
      <c r="F265" s="3">
        <v>1.7402</v>
      </c>
      <c r="G265" s="3">
        <v>1.9291700000000001</v>
      </c>
      <c r="H265" s="4">
        <v>76.7</v>
      </c>
      <c r="I265" s="3">
        <v>1.45068</v>
      </c>
      <c r="J265" s="3">
        <v>1.5441</v>
      </c>
      <c r="K265" s="3">
        <v>1.7008700000000001</v>
      </c>
    </row>
    <row r="266" spans="1:11" x14ac:dyDescent="0.25">
      <c r="A266" s="6">
        <v>41365</v>
      </c>
      <c r="B266" s="2">
        <v>0.28000000000000003</v>
      </c>
      <c r="C266" s="3">
        <v>5.4936299999999996</v>
      </c>
      <c r="D266" s="3">
        <v>1.8065100000000001</v>
      </c>
      <c r="E266" s="2">
        <v>0.12</v>
      </c>
      <c r="F266" s="3">
        <v>1.41472</v>
      </c>
      <c r="G266" s="3">
        <v>1.6613500000000001</v>
      </c>
      <c r="H266" s="4">
        <v>81.7</v>
      </c>
      <c r="I266" s="3">
        <v>1.2584599999999999</v>
      </c>
      <c r="J266" s="3">
        <v>1.41124</v>
      </c>
      <c r="K266" s="3">
        <v>1.5199400000000001</v>
      </c>
    </row>
    <row r="267" spans="1:11" x14ac:dyDescent="0.25">
      <c r="A267" s="6">
        <v>41456</v>
      </c>
      <c r="B267" s="2">
        <v>0.97</v>
      </c>
      <c r="C267" s="3">
        <v>6.6850399999999999</v>
      </c>
      <c r="D267" s="3">
        <v>2.6560700000000002</v>
      </c>
      <c r="E267" s="2">
        <v>0.09</v>
      </c>
      <c r="F267" s="3">
        <v>1.50495</v>
      </c>
      <c r="G267" s="3">
        <v>1.74478</v>
      </c>
      <c r="H267" s="4">
        <v>81.599999999999994</v>
      </c>
      <c r="I267" s="3">
        <v>1.37991</v>
      </c>
      <c r="J267" s="3">
        <v>1.5168200000000001</v>
      </c>
      <c r="K267" s="3">
        <v>2.2370199999999998</v>
      </c>
    </row>
    <row r="268" spans="1:11" x14ac:dyDescent="0.25">
      <c r="A268" s="6">
        <v>41548</v>
      </c>
      <c r="B268" s="2">
        <v>1.27</v>
      </c>
      <c r="C268" s="3">
        <v>9.4041399999999999</v>
      </c>
      <c r="D268" s="3">
        <v>3.7292399999999999</v>
      </c>
      <c r="E268" s="2">
        <v>0.09</v>
      </c>
      <c r="F268" s="3">
        <v>1.2073</v>
      </c>
      <c r="G268" s="3">
        <v>1.72315</v>
      </c>
      <c r="H268" s="4">
        <v>76.900000000000006</v>
      </c>
      <c r="I268" s="3">
        <v>1.1865000000000001</v>
      </c>
      <c r="J268" s="3">
        <v>1.5055099999999999</v>
      </c>
      <c r="K268" s="3">
        <v>3.0091399999999999</v>
      </c>
    </row>
    <row r="269" spans="1:11" x14ac:dyDescent="0.25">
      <c r="A269" s="6">
        <v>41640</v>
      </c>
      <c r="B269" s="2">
        <v>0.86</v>
      </c>
      <c r="C269" s="3">
        <v>6.2640399999999996</v>
      </c>
      <c r="D269" s="3">
        <v>2.07992</v>
      </c>
      <c r="E269" s="2">
        <v>7.0000000000000007E-2</v>
      </c>
      <c r="F269" s="3">
        <v>1.42991</v>
      </c>
      <c r="G269" s="3">
        <v>1.6025100000000001</v>
      </c>
      <c r="H269" s="4">
        <v>80.900000000000006</v>
      </c>
      <c r="I269" s="3">
        <v>1.29619</v>
      </c>
      <c r="J269" s="3">
        <v>1.43</v>
      </c>
      <c r="K269" s="3">
        <v>1.65082</v>
      </c>
    </row>
    <row r="270" spans="1:11" x14ac:dyDescent="0.25">
      <c r="A270" s="6">
        <v>41730</v>
      </c>
      <c r="B270" s="2">
        <v>1.56</v>
      </c>
      <c r="C270" s="3">
        <v>1.23756</v>
      </c>
      <c r="D270" s="3">
        <v>3.6659199999999998</v>
      </c>
      <c r="E270" s="2">
        <v>0.09</v>
      </c>
      <c r="F270" s="3">
        <v>2.0803400000000001</v>
      </c>
      <c r="G270" s="3">
        <v>1.8965099999999999</v>
      </c>
      <c r="H270" s="4">
        <v>82.8</v>
      </c>
      <c r="I270" s="3">
        <v>1.69689</v>
      </c>
      <c r="J270" s="3">
        <v>1.5861499999999999</v>
      </c>
      <c r="K270" s="3">
        <v>2.6891500000000002</v>
      </c>
    </row>
    <row r="271" spans="1:11" x14ac:dyDescent="0.25">
      <c r="A271" s="6">
        <v>41821</v>
      </c>
      <c r="B271" s="2">
        <v>1.19</v>
      </c>
      <c r="C271" s="3">
        <v>9.1697100000000002</v>
      </c>
      <c r="D271" s="3">
        <v>4.2253699999999998</v>
      </c>
      <c r="E271" s="2">
        <v>0.09</v>
      </c>
      <c r="F271" s="3">
        <v>1.79097</v>
      </c>
      <c r="G271" s="3">
        <v>1.7740400000000001</v>
      </c>
      <c r="H271" s="4">
        <v>83</v>
      </c>
      <c r="I271" s="3">
        <v>1.55751</v>
      </c>
      <c r="J271" s="3">
        <v>1.56829</v>
      </c>
      <c r="K271" s="3">
        <v>3.0597799999999999</v>
      </c>
    </row>
    <row r="272" spans="1:11" x14ac:dyDescent="0.25">
      <c r="A272" s="6">
        <v>41913</v>
      </c>
      <c r="B272" s="2">
        <v>0.48</v>
      </c>
      <c r="C272" s="3">
        <v>3.7945500000000001</v>
      </c>
      <c r="D272" s="3">
        <v>3.6262400000000001</v>
      </c>
      <c r="E272" s="2">
        <v>0.1</v>
      </c>
      <c r="F272" s="3">
        <v>1.16401</v>
      </c>
      <c r="G272" s="3">
        <v>1.7271000000000001</v>
      </c>
      <c r="H272" s="4">
        <v>89.8</v>
      </c>
      <c r="I272" s="3">
        <v>1.05</v>
      </c>
      <c r="J272" s="3">
        <v>1.40656</v>
      </c>
      <c r="K272" s="3">
        <v>2.6858399999999998</v>
      </c>
    </row>
    <row r="273" spans="1:11" x14ac:dyDescent="0.25">
      <c r="A273" s="6">
        <v>42005</v>
      </c>
      <c r="B273" s="2">
        <v>0.02</v>
      </c>
      <c r="C273" s="3">
        <v>3.9740899999999999</v>
      </c>
      <c r="D273" s="3">
        <v>5.2242600000000001</v>
      </c>
      <c r="E273" s="2">
        <v>0.11</v>
      </c>
      <c r="F273" s="3">
        <v>-0.11289</v>
      </c>
      <c r="G273" s="3">
        <v>1.68842</v>
      </c>
      <c r="H273" s="4">
        <v>95.5</v>
      </c>
      <c r="I273" s="3">
        <v>0.13719999999999999</v>
      </c>
      <c r="J273" s="3">
        <v>1.25603</v>
      </c>
      <c r="K273" s="3">
        <v>3.9693000000000001</v>
      </c>
    </row>
    <row r="274" spans="1:11" x14ac:dyDescent="0.25">
      <c r="A274" s="6">
        <v>42095</v>
      </c>
      <c r="B274" s="2">
        <v>0.38</v>
      </c>
      <c r="C274" s="3">
        <v>3.52617</v>
      </c>
      <c r="D274" s="3">
        <v>4.2452899999999998</v>
      </c>
      <c r="E274" s="2">
        <v>0.12</v>
      </c>
      <c r="F274" s="3">
        <v>3.7010000000000001E-2</v>
      </c>
      <c r="G274" s="3">
        <v>1.7769999999999999</v>
      </c>
      <c r="H274" s="4">
        <v>94.2</v>
      </c>
      <c r="I274" s="3">
        <v>0.18875</v>
      </c>
      <c r="J274" s="3">
        <v>1.26522</v>
      </c>
      <c r="K274" s="3">
        <v>3.2790900000000001</v>
      </c>
    </row>
    <row r="275" spans="1:11" x14ac:dyDescent="0.25">
      <c r="A275" s="6">
        <v>42186</v>
      </c>
      <c r="B275" s="2">
        <v>0.33</v>
      </c>
      <c r="C275" s="3">
        <v>-1.1897599999999999</v>
      </c>
      <c r="D275" s="3">
        <v>2.9578199999999999</v>
      </c>
      <c r="E275" s="2">
        <v>0.13</v>
      </c>
      <c r="F275" s="3">
        <v>0.15861</v>
      </c>
      <c r="G275" s="3">
        <v>1.8608100000000001</v>
      </c>
      <c r="H275" s="4">
        <v>90.7</v>
      </c>
      <c r="I275" s="3">
        <v>0.17488999999999999</v>
      </c>
      <c r="J275" s="3">
        <v>1.21079</v>
      </c>
      <c r="K275" s="3">
        <v>2.4473199999999999</v>
      </c>
    </row>
    <row r="276" spans="1:11" x14ac:dyDescent="0.25">
      <c r="A276" s="6">
        <v>42278</v>
      </c>
      <c r="B276" s="2">
        <v>-0.24</v>
      </c>
      <c r="C276" s="3">
        <v>3.7930799999999998</v>
      </c>
      <c r="D276" s="3">
        <v>2.38679</v>
      </c>
      <c r="E276" s="2">
        <v>0.16</v>
      </c>
      <c r="F276" s="3">
        <v>0.40046999999999999</v>
      </c>
      <c r="G276" s="3">
        <v>1.9942</v>
      </c>
      <c r="H276" s="4">
        <v>91.3</v>
      </c>
      <c r="I276" s="3">
        <v>0.23166999999999999</v>
      </c>
      <c r="J276" s="3">
        <v>1.1888000000000001</v>
      </c>
      <c r="K276" s="3">
        <v>2.1198600000000001</v>
      </c>
    </row>
    <row r="277" spans="1:11" x14ac:dyDescent="0.25">
      <c r="A277" s="6">
        <v>42370</v>
      </c>
      <c r="B277" s="2">
        <v>0.05</v>
      </c>
      <c r="C277" s="3">
        <v>-6.8636900000000001</v>
      </c>
      <c r="D277" s="3">
        <v>1.9776899999999999</v>
      </c>
      <c r="E277" s="2">
        <v>0.36</v>
      </c>
      <c r="F277" s="3">
        <v>0.99184000000000005</v>
      </c>
      <c r="G277" s="3">
        <v>2.17</v>
      </c>
      <c r="H277" s="4">
        <v>91.6</v>
      </c>
      <c r="I277" s="3">
        <v>0.73221999999999998</v>
      </c>
      <c r="J277" s="3">
        <v>1.4432100000000001</v>
      </c>
      <c r="K277" s="3">
        <v>1.7950200000000001</v>
      </c>
    </row>
    <row r="278" spans="1:11" x14ac:dyDescent="0.25">
      <c r="A278" s="6">
        <v>42461</v>
      </c>
      <c r="B278" s="2">
        <v>0.46</v>
      </c>
      <c r="C278" s="3">
        <v>4.0703199999999997</v>
      </c>
      <c r="D278" s="3">
        <v>1.52321</v>
      </c>
      <c r="E278" s="2">
        <v>0.37</v>
      </c>
      <c r="F278" s="3">
        <v>1.1100300000000001</v>
      </c>
      <c r="G278" s="3">
        <v>2.2245300000000001</v>
      </c>
      <c r="H278" s="4">
        <v>92.4</v>
      </c>
      <c r="I278" s="3">
        <v>0.86799999999999999</v>
      </c>
      <c r="J278" s="3">
        <v>1.54704</v>
      </c>
      <c r="K278" s="3">
        <v>1.49325</v>
      </c>
    </row>
    <row r="279" spans="1:11" x14ac:dyDescent="0.25">
      <c r="A279" s="6">
        <v>42552</v>
      </c>
      <c r="B279" s="2">
        <v>0.81</v>
      </c>
      <c r="C279" s="3">
        <v>6.80809</v>
      </c>
      <c r="D279" s="3">
        <v>1.9546699999999999</v>
      </c>
      <c r="E279" s="2">
        <v>0.4</v>
      </c>
      <c r="F279" s="3">
        <v>1.1571499999999999</v>
      </c>
      <c r="G279" s="3">
        <v>2.2500399999999998</v>
      </c>
      <c r="H279" s="4">
        <v>90.3</v>
      </c>
      <c r="I279" s="3">
        <v>0.95423999999999998</v>
      </c>
      <c r="J279" s="3">
        <v>1.6605399999999999</v>
      </c>
      <c r="K279" s="3">
        <v>1.80576</v>
      </c>
    </row>
    <row r="280" spans="1:11" x14ac:dyDescent="0.25">
      <c r="A280" s="6">
        <v>42644</v>
      </c>
      <c r="B280" s="2">
        <v>0.43</v>
      </c>
      <c r="C280" s="3">
        <v>2.2544900000000001</v>
      </c>
      <c r="D280" s="3">
        <v>2.6250300000000002</v>
      </c>
      <c r="E280" s="2">
        <v>0.44</v>
      </c>
      <c r="F280" s="3">
        <v>1.80698</v>
      </c>
      <c r="G280" s="3">
        <v>2.1823600000000001</v>
      </c>
      <c r="H280" s="4">
        <v>93.1</v>
      </c>
      <c r="I280" s="3">
        <v>1.4938199999999999</v>
      </c>
      <c r="J280" s="3">
        <v>1.7571099999999999</v>
      </c>
      <c r="K280" s="3">
        <v>2.1815699999999998</v>
      </c>
    </row>
    <row r="281" spans="1:11" x14ac:dyDescent="0.25">
      <c r="A281" s="6">
        <v>42736</v>
      </c>
      <c r="B281" s="2">
        <v>0.54</v>
      </c>
      <c r="C281" s="3">
        <v>8.2730599999999992</v>
      </c>
      <c r="D281" s="3">
        <v>2.45248</v>
      </c>
      <c r="E281" s="2">
        <v>0.69</v>
      </c>
      <c r="F281" s="3">
        <v>2.5871300000000002</v>
      </c>
      <c r="G281" s="3">
        <v>2.1770100000000001</v>
      </c>
      <c r="H281" s="4">
        <v>97.2</v>
      </c>
      <c r="I281" s="3">
        <v>2.03613</v>
      </c>
      <c r="J281" s="3">
        <v>1.8029900000000001</v>
      </c>
      <c r="K281" s="3">
        <v>2.0874600000000001</v>
      </c>
    </row>
    <row r="282" spans="1:11" x14ac:dyDescent="0.25">
      <c r="A282" s="6">
        <v>42826</v>
      </c>
      <c r="B282" s="2">
        <v>0.61</v>
      </c>
      <c r="C282" s="3">
        <v>7.6555200000000001</v>
      </c>
      <c r="D282" s="3">
        <v>2.82883</v>
      </c>
      <c r="E282" s="2">
        <v>0.94</v>
      </c>
      <c r="F282" s="3">
        <v>1.89059</v>
      </c>
      <c r="G282" s="3">
        <v>1.77746</v>
      </c>
      <c r="H282" s="4">
        <v>96.4</v>
      </c>
      <c r="I282" s="3">
        <v>1.59676</v>
      </c>
      <c r="J282" s="3">
        <v>1.58623</v>
      </c>
      <c r="K282" s="3">
        <v>2.3304100000000001</v>
      </c>
    </row>
    <row r="283" spans="1:11" x14ac:dyDescent="0.25">
      <c r="A283" s="6">
        <v>42917</v>
      </c>
      <c r="B283" s="2">
        <v>0.53</v>
      </c>
      <c r="C283" s="3">
        <v>4.2272800000000004</v>
      </c>
      <c r="D283" s="3">
        <v>3.0416300000000001</v>
      </c>
      <c r="E283" s="2">
        <v>1.1599999999999999</v>
      </c>
      <c r="F283" s="3">
        <v>1.9449399999999999</v>
      </c>
      <c r="G283" s="3">
        <v>1.6424799999999999</v>
      </c>
      <c r="H283" s="4">
        <v>95.1</v>
      </c>
      <c r="I283" s="3">
        <v>1.6051500000000001</v>
      </c>
      <c r="J283" s="3">
        <v>1.45305</v>
      </c>
      <c r="K283" s="3">
        <v>2.4108200000000002</v>
      </c>
    </row>
    <row r="284" spans="1:11" x14ac:dyDescent="0.25">
      <c r="A284" s="6">
        <v>43009</v>
      </c>
      <c r="B284" s="2">
        <v>1.3</v>
      </c>
      <c r="C284" s="3">
        <v>6.5488799999999996</v>
      </c>
      <c r="D284" s="3">
        <v>3.65645</v>
      </c>
      <c r="E284" s="2">
        <v>1.19</v>
      </c>
      <c r="F284" s="3">
        <v>2.10778</v>
      </c>
      <c r="G284" s="3">
        <v>1.7558100000000001</v>
      </c>
      <c r="H284" s="4">
        <v>98.4</v>
      </c>
      <c r="I284" s="3">
        <v>1.7474099999999999</v>
      </c>
      <c r="J284" s="3">
        <v>1.55443</v>
      </c>
      <c r="K284" s="3">
        <v>2.9941399999999998</v>
      </c>
    </row>
    <row r="285" spans="1:11" x14ac:dyDescent="0.25">
      <c r="A285" s="6">
        <v>43101</v>
      </c>
      <c r="B285" s="2">
        <v>1.53</v>
      </c>
      <c r="C285" s="3">
        <v>8.2302800000000005</v>
      </c>
      <c r="D285" s="3">
        <v>4.0656600000000003</v>
      </c>
      <c r="E285" s="2">
        <v>1.44</v>
      </c>
      <c r="F285" s="3">
        <v>2.2486199999999998</v>
      </c>
      <c r="G285" s="3">
        <v>1.9639599999999999</v>
      </c>
      <c r="H285" s="4">
        <v>98.9</v>
      </c>
      <c r="I285" s="3">
        <v>1.8645400000000001</v>
      </c>
      <c r="J285" s="3">
        <v>1.72851</v>
      </c>
      <c r="K285" s="3">
        <v>3.3288099999999998</v>
      </c>
    </row>
    <row r="286" spans="1:11" x14ac:dyDescent="0.25">
      <c r="A286" s="6">
        <v>43191</v>
      </c>
      <c r="B286" s="2">
        <v>0.63</v>
      </c>
      <c r="C286" s="3">
        <v>1.44981</v>
      </c>
      <c r="D286" s="3">
        <v>3.8757799999999998</v>
      </c>
      <c r="E286" s="2">
        <v>1.73</v>
      </c>
      <c r="F286" s="3">
        <v>2.6867899999999998</v>
      </c>
      <c r="G286" s="3">
        <v>2.2230799999999999</v>
      </c>
      <c r="H286" s="4">
        <v>98.3</v>
      </c>
      <c r="I286" s="3">
        <v>2.1937099999999998</v>
      </c>
      <c r="J286" s="3">
        <v>1.9337899999999999</v>
      </c>
      <c r="K286" s="3">
        <v>3.2989600000000001</v>
      </c>
    </row>
    <row r="287" spans="1:11" x14ac:dyDescent="0.25">
      <c r="A287" s="6">
        <v>43282</v>
      </c>
      <c r="B287" s="2">
        <v>0.35</v>
      </c>
      <c r="C287" s="3">
        <v>7.8884999999999996</v>
      </c>
      <c r="D287" s="3">
        <v>3.55477</v>
      </c>
      <c r="E287" s="2">
        <v>1.91</v>
      </c>
      <c r="F287" s="3">
        <v>2.6089199999999999</v>
      </c>
      <c r="G287" s="3">
        <v>2.1953399999999998</v>
      </c>
      <c r="H287" s="4">
        <v>98.1</v>
      </c>
      <c r="I287" s="3">
        <v>2.1760000000000002</v>
      </c>
      <c r="J287" s="3">
        <v>1.95061</v>
      </c>
      <c r="K287" s="3">
        <v>3.1300300000000001</v>
      </c>
    </row>
    <row r="288" spans="1:11" x14ac:dyDescent="0.25">
      <c r="A288" s="6">
        <v>43374</v>
      </c>
      <c r="B288" s="2">
        <v>0.5</v>
      </c>
      <c r="C288" s="3">
        <v>-7.5517599999999998</v>
      </c>
      <c r="D288" s="3">
        <v>2.2975699999999999</v>
      </c>
      <c r="E288" s="2">
        <v>2.21</v>
      </c>
      <c r="F288" s="3">
        <v>2.2135199999999999</v>
      </c>
      <c r="G288" s="3">
        <v>2.1968399999999999</v>
      </c>
      <c r="H288" s="4">
        <v>98.1</v>
      </c>
      <c r="I288" s="3">
        <v>1.9531400000000001</v>
      </c>
      <c r="J288" s="3">
        <v>1.9731300000000001</v>
      </c>
      <c r="K288" s="3">
        <v>2.1251099999999998</v>
      </c>
    </row>
    <row r="289" spans="1:11" x14ac:dyDescent="0.25">
      <c r="A289" s="6">
        <v>43466</v>
      </c>
      <c r="B289" s="2">
        <v>0.38</v>
      </c>
      <c r="C289" s="3">
        <v>1.46096</v>
      </c>
      <c r="D289" s="3">
        <v>2.2593299999999998</v>
      </c>
      <c r="E289" s="2">
        <v>2.4</v>
      </c>
      <c r="F289" s="3">
        <v>1.63002</v>
      </c>
      <c r="G289" s="3">
        <v>2.1289500000000001</v>
      </c>
      <c r="H289" s="4">
        <v>94.5</v>
      </c>
      <c r="I289" s="3">
        <v>1.4513100000000001</v>
      </c>
      <c r="J289" s="3">
        <v>1.73471</v>
      </c>
      <c r="K289" s="3">
        <v>1.9335599999999999</v>
      </c>
    </row>
    <row r="290" spans="1:11" x14ac:dyDescent="0.25">
      <c r="A290" s="6">
        <v>43556</v>
      </c>
      <c r="B290" s="2">
        <v>1.06</v>
      </c>
      <c r="C290" s="3">
        <v>8.4379399999999993</v>
      </c>
      <c r="D290" s="3">
        <v>2.6939299999999999</v>
      </c>
      <c r="E290" s="2">
        <v>2.4</v>
      </c>
      <c r="F290" s="3">
        <v>1.8223800000000001</v>
      </c>
      <c r="G290" s="3">
        <v>2.0461</v>
      </c>
      <c r="H290" s="4">
        <v>98.5</v>
      </c>
      <c r="I290" s="3">
        <v>1.4859199999999999</v>
      </c>
      <c r="J290" s="3">
        <v>1.6189800000000001</v>
      </c>
      <c r="K290" s="3">
        <v>2.24213</v>
      </c>
    </row>
    <row r="291" spans="1:11" x14ac:dyDescent="0.25">
      <c r="A291" s="6">
        <v>43647</v>
      </c>
      <c r="B291" s="2">
        <v>0.55000000000000004</v>
      </c>
      <c r="C291" s="3">
        <v>2.9838800000000001</v>
      </c>
      <c r="D291" s="3">
        <v>3.3913600000000002</v>
      </c>
      <c r="E291" s="2">
        <v>2.2200000000000002</v>
      </c>
      <c r="F291" s="3">
        <v>1.7494000000000001</v>
      </c>
      <c r="G291" s="3">
        <v>2.2723499999999999</v>
      </c>
      <c r="H291" s="4">
        <v>93.8</v>
      </c>
      <c r="I291" s="3">
        <v>1.3893500000000001</v>
      </c>
      <c r="J291" s="3">
        <v>1.6722900000000001</v>
      </c>
      <c r="K291" s="3">
        <v>2.7972199999999998</v>
      </c>
    </row>
    <row r="292" spans="1:11" x14ac:dyDescent="0.25">
      <c r="A292" s="6">
        <v>43739</v>
      </c>
      <c r="B292" s="2">
        <v>-0.24</v>
      </c>
      <c r="C292" s="3">
        <v>5.5998999999999999</v>
      </c>
      <c r="D292" s="3">
        <v>3.97682</v>
      </c>
      <c r="E292" s="2">
        <v>1.66</v>
      </c>
      <c r="F292" s="3">
        <v>2.0485899999999999</v>
      </c>
      <c r="G292" s="3">
        <v>2.3276699999999999</v>
      </c>
      <c r="H292" s="4">
        <v>97.2</v>
      </c>
      <c r="I292" s="3">
        <v>1.40358</v>
      </c>
      <c r="J292" s="3">
        <v>1.5552999999999999</v>
      </c>
      <c r="K292" s="3">
        <v>3.3517800000000002</v>
      </c>
    </row>
    <row r="293" spans="1:11" x14ac:dyDescent="0.25">
      <c r="A293" s="6">
        <v>43831</v>
      </c>
      <c r="B293" s="2">
        <v>-1.03</v>
      </c>
      <c r="C293" s="3">
        <v>5.80891</v>
      </c>
      <c r="D293" s="3">
        <v>1.08518</v>
      </c>
      <c r="E293" s="2">
        <v>1.35</v>
      </c>
      <c r="F293" s="3">
        <v>2.14377</v>
      </c>
      <c r="G293" s="3">
        <v>2.2489599999999998</v>
      </c>
      <c r="H293" s="4">
        <v>96.6</v>
      </c>
      <c r="I293" s="3">
        <v>1.5099499999999999</v>
      </c>
      <c r="J293" s="3">
        <v>1.57887</v>
      </c>
      <c r="K293" s="3">
        <v>1.2803500000000001</v>
      </c>
    </row>
    <row r="294" spans="1:11" x14ac:dyDescent="0.25">
      <c r="A294" s="6">
        <v>43922</v>
      </c>
      <c r="B294" s="2">
        <v>-4.09</v>
      </c>
      <c r="C294" s="3">
        <v>5.7976099999999997</v>
      </c>
      <c r="D294" s="3">
        <v>-9.3451799999999992</v>
      </c>
      <c r="E294" s="2">
        <v>0.06</v>
      </c>
      <c r="F294" s="3">
        <v>0.40927999999999998</v>
      </c>
      <c r="G294" s="3">
        <v>1.27759</v>
      </c>
      <c r="H294" s="4">
        <v>74.099999999999994</v>
      </c>
      <c r="I294" s="3">
        <v>0.54305999999999999</v>
      </c>
      <c r="J294" s="3">
        <v>0.95455999999999996</v>
      </c>
      <c r="K294" s="3">
        <v>-7.50237</v>
      </c>
    </row>
    <row r="295" spans="1:11" x14ac:dyDescent="0.25">
      <c r="A295" s="6">
        <v>44013</v>
      </c>
      <c r="B295" s="2">
        <v>2.74</v>
      </c>
      <c r="C295" s="3">
        <v>21.02084</v>
      </c>
      <c r="D295" s="3">
        <v>-1.6884600000000001</v>
      </c>
      <c r="E295" s="2">
        <v>0.09</v>
      </c>
      <c r="F295" s="3">
        <v>1.2231399999999999</v>
      </c>
      <c r="G295" s="3">
        <v>1.6675</v>
      </c>
      <c r="H295" s="4">
        <v>75.7</v>
      </c>
      <c r="I295" s="3">
        <v>1.1163099999999999</v>
      </c>
      <c r="J295" s="3">
        <v>1.3431900000000001</v>
      </c>
      <c r="K295" s="3">
        <v>-1.41306</v>
      </c>
    </row>
    <row r="296" spans="1:11" x14ac:dyDescent="0.25">
      <c r="A296" s="6">
        <v>44105</v>
      </c>
      <c r="B296" s="2">
        <v>1.42</v>
      </c>
      <c r="C296" s="3">
        <v>8.2720400000000005</v>
      </c>
      <c r="D296" s="3">
        <v>-1.0102500000000001</v>
      </c>
      <c r="E296" s="2">
        <v>0.09</v>
      </c>
      <c r="F296" s="3">
        <v>1.24227</v>
      </c>
      <c r="G296" s="3">
        <v>1.6433599999999999</v>
      </c>
      <c r="H296" s="4">
        <v>79.8</v>
      </c>
      <c r="I296" s="3">
        <v>1.2083299999999999</v>
      </c>
      <c r="J296" s="3">
        <v>1.44347</v>
      </c>
      <c r="K296" s="3">
        <v>-1.0185999999999999</v>
      </c>
    </row>
    <row r="297" spans="1:11" x14ac:dyDescent="0.25">
      <c r="A297" s="6">
        <v>44197</v>
      </c>
      <c r="B297" s="2">
        <v>1.25</v>
      </c>
      <c r="C297" s="3">
        <v>8.9683299999999999</v>
      </c>
      <c r="D297" s="3">
        <v>2.7201</v>
      </c>
      <c r="E297" s="2">
        <v>0.08</v>
      </c>
      <c r="F297" s="3">
        <v>1.8811199999999999</v>
      </c>
      <c r="G297" s="3">
        <v>1.43608</v>
      </c>
      <c r="H297" s="4">
        <v>80.2</v>
      </c>
      <c r="I297" s="3">
        <v>2.03504</v>
      </c>
      <c r="J297" s="3">
        <v>1.8647499999999999</v>
      </c>
      <c r="K297" s="3">
        <v>1.76454</v>
      </c>
    </row>
    <row r="298" spans="1:11" x14ac:dyDescent="0.25">
      <c r="A298" s="6">
        <v>44287</v>
      </c>
      <c r="B298" s="2">
        <v>1.17</v>
      </c>
      <c r="C298" s="3">
        <v>5.1234799999999998</v>
      </c>
      <c r="D298" s="3">
        <v>15.581490000000001</v>
      </c>
      <c r="E298" s="2">
        <v>7.0000000000000007E-2</v>
      </c>
      <c r="F298" s="3">
        <v>4.7944000000000004</v>
      </c>
      <c r="G298" s="3">
        <v>3.7244299999999999</v>
      </c>
      <c r="H298" s="4">
        <v>85.6</v>
      </c>
      <c r="I298" s="3">
        <v>4.0389299999999997</v>
      </c>
      <c r="J298" s="3">
        <v>3.54135</v>
      </c>
      <c r="K298" s="3">
        <v>12.23926</v>
      </c>
    </row>
    <row r="299" spans="1:11" x14ac:dyDescent="0.25">
      <c r="A299" s="6">
        <v>44378</v>
      </c>
      <c r="B299" s="2">
        <v>-0.21</v>
      </c>
      <c r="C299" s="3">
        <v>9.5393399999999993</v>
      </c>
      <c r="D299" s="3">
        <v>5.9789199999999996</v>
      </c>
      <c r="E299" s="2">
        <v>0.09</v>
      </c>
      <c r="F299" s="3">
        <v>5.27142</v>
      </c>
      <c r="G299" s="3">
        <v>4.0563200000000004</v>
      </c>
      <c r="H299" s="4">
        <v>74.8</v>
      </c>
      <c r="I299" s="3">
        <v>4.6248500000000003</v>
      </c>
      <c r="J299" s="3">
        <v>4.0011999999999999</v>
      </c>
      <c r="K299" s="3">
        <v>4.9765800000000002</v>
      </c>
    </row>
    <row r="300" spans="1:11" x14ac:dyDescent="0.25">
      <c r="A300" s="6">
        <v>44470</v>
      </c>
      <c r="B300" s="2">
        <v>0.47</v>
      </c>
      <c r="C300" s="3">
        <v>4.8292900000000003</v>
      </c>
      <c r="D300" s="3">
        <v>6.82179</v>
      </c>
      <c r="E300" s="2">
        <v>0.08</v>
      </c>
      <c r="F300" s="3">
        <v>6.7515200000000002</v>
      </c>
      <c r="G300" s="3">
        <v>5.0211899999999998</v>
      </c>
      <c r="H300" s="4">
        <v>69.900000000000006</v>
      </c>
      <c r="I300" s="3">
        <v>5.8385400000000001</v>
      </c>
      <c r="J300" s="3">
        <v>4.8846499999999997</v>
      </c>
      <c r="K300" s="3">
        <v>5.7226800000000004</v>
      </c>
    </row>
    <row r="301" spans="1:11" x14ac:dyDescent="0.25">
      <c r="A301" s="6">
        <v>44562</v>
      </c>
      <c r="B301" s="2">
        <v>1.66</v>
      </c>
      <c r="C301" s="3">
        <v>-7.9937500000000004</v>
      </c>
      <c r="D301" s="3">
        <v>4.4354699999999996</v>
      </c>
      <c r="E301" s="2">
        <v>0.12</v>
      </c>
      <c r="F301" s="3">
        <v>8.0240500000000008</v>
      </c>
      <c r="G301" s="3">
        <v>6.3316699999999999</v>
      </c>
      <c r="H301" s="4">
        <v>63.1</v>
      </c>
      <c r="I301" s="3">
        <v>6.62357</v>
      </c>
      <c r="J301" s="3">
        <v>5.5619300000000003</v>
      </c>
      <c r="K301" s="3">
        <v>4.0148900000000003</v>
      </c>
    </row>
    <row r="302" spans="1:11" x14ac:dyDescent="0.25">
      <c r="A302" s="6">
        <v>44652</v>
      </c>
      <c r="B302" s="2">
        <v>0.94</v>
      </c>
      <c r="C302" s="3">
        <v>-12.648</v>
      </c>
      <c r="D302" s="3">
        <v>2.4522300000000001</v>
      </c>
      <c r="E302" s="2">
        <v>0.75</v>
      </c>
      <c r="F302" s="3">
        <v>8.5901300000000003</v>
      </c>
      <c r="G302" s="3">
        <v>6.0277700000000003</v>
      </c>
      <c r="H302" s="4">
        <v>57.9</v>
      </c>
      <c r="I302" s="3">
        <v>6.9181999999999997</v>
      </c>
      <c r="J302" s="3">
        <v>5.2857900000000004</v>
      </c>
      <c r="K302" s="3">
        <v>2.47892</v>
      </c>
    </row>
    <row r="303" spans="1:11" x14ac:dyDescent="0.25">
      <c r="A303" s="6">
        <v>44743</v>
      </c>
      <c r="B303" s="2">
        <v>1.01</v>
      </c>
      <c r="C303" s="3">
        <v>-2.7468400000000002</v>
      </c>
      <c r="D303" s="3">
        <v>2.2521800000000001</v>
      </c>
      <c r="E303" s="2">
        <v>2.16</v>
      </c>
      <c r="F303" s="3">
        <v>8.28965</v>
      </c>
      <c r="G303" s="3">
        <v>6.2761899999999997</v>
      </c>
      <c r="H303" s="4">
        <v>56.1</v>
      </c>
      <c r="I303" s="3">
        <v>6.6857699999999998</v>
      </c>
      <c r="J303" s="3">
        <v>5.3590499999999999</v>
      </c>
      <c r="K303" s="3">
        <v>2.2963900000000002</v>
      </c>
    </row>
    <row r="304" spans="1:11" x14ac:dyDescent="0.25">
      <c r="A304" s="6">
        <v>44835</v>
      </c>
      <c r="B304" s="2">
        <v>0.76</v>
      </c>
      <c r="C304" s="3">
        <v>-8.3843499999999995</v>
      </c>
      <c r="D304" s="3">
        <v>0.95013999999999998</v>
      </c>
      <c r="E304" s="2">
        <v>3.62</v>
      </c>
      <c r="F304" s="3">
        <v>7.0963900000000004</v>
      </c>
      <c r="G304" s="3">
        <v>5.9802600000000004</v>
      </c>
      <c r="H304" s="4">
        <v>58.8</v>
      </c>
      <c r="I304" s="3">
        <v>5.9924299999999997</v>
      </c>
      <c r="J304" s="3">
        <v>5.2031400000000003</v>
      </c>
      <c r="K304" s="3">
        <v>1.31633</v>
      </c>
    </row>
    <row r="305" spans="1:11" x14ac:dyDescent="0.25">
      <c r="A305" s="6">
        <v>44927</v>
      </c>
      <c r="B305" s="2">
        <v>0.71</v>
      </c>
      <c r="C305" s="3">
        <v>6.7503099999999998</v>
      </c>
      <c r="D305" s="3">
        <v>2.09192</v>
      </c>
      <c r="E305" s="2">
        <v>4.5</v>
      </c>
      <c r="F305" s="3">
        <v>5.7389200000000002</v>
      </c>
      <c r="G305" s="3">
        <v>5.53247</v>
      </c>
      <c r="H305" s="4">
        <v>64.599999999999994</v>
      </c>
      <c r="I305" s="3">
        <v>5.0496800000000004</v>
      </c>
      <c r="J305" s="3">
        <v>4.8598699999999999</v>
      </c>
      <c r="K305" s="3">
        <v>2.2808099999999998</v>
      </c>
    </row>
    <row r="306" spans="1:11" x14ac:dyDescent="0.25">
      <c r="A306" s="6">
        <v>45017</v>
      </c>
      <c r="B306" s="2">
        <v>1.3</v>
      </c>
      <c r="C306" s="3">
        <v>14.09069</v>
      </c>
      <c r="D306" s="3">
        <v>2.78308</v>
      </c>
      <c r="E306" s="2">
        <v>4.9800000000000004</v>
      </c>
      <c r="F306" s="3">
        <v>4.0367899999999999</v>
      </c>
      <c r="G306" s="3">
        <v>5.2345499999999996</v>
      </c>
      <c r="H306" s="4">
        <v>62.3</v>
      </c>
      <c r="I306" s="3">
        <v>3.8980700000000001</v>
      </c>
      <c r="J306" s="3">
        <v>4.6170600000000004</v>
      </c>
      <c r="K306" s="3">
        <v>2.8294600000000001</v>
      </c>
    </row>
    <row r="307" spans="1:11" x14ac:dyDescent="0.25">
      <c r="A307" s="6">
        <v>45108</v>
      </c>
      <c r="B307" s="2">
        <v>0.16</v>
      </c>
      <c r="C307" s="3">
        <v>10.167350000000001</v>
      </c>
      <c r="D307" s="3">
        <v>3.37507</v>
      </c>
      <c r="E307" s="2">
        <v>5.25</v>
      </c>
      <c r="F307" s="3">
        <v>3.56494</v>
      </c>
      <c r="G307" s="3">
        <v>4.4135400000000002</v>
      </c>
      <c r="H307" s="4">
        <v>69.599999999999994</v>
      </c>
      <c r="I307" s="3">
        <v>3.3924799999999999</v>
      </c>
      <c r="J307" s="3">
        <v>3.9026299999999998</v>
      </c>
      <c r="K307" s="3">
        <v>3.23631</v>
      </c>
    </row>
    <row r="308" spans="1:11" x14ac:dyDescent="0.25">
      <c r="A308" s="6">
        <v>45200</v>
      </c>
      <c r="B308" s="2">
        <v>0.52</v>
      </c>
      <c r="C308" s="3">
        <v>2.3593700000000002</v>
      </c>
      <c r="D308" s="3">
        <v>3.3067500000000001</v>
      </c>
      <c r="E308" s="2">
        <v>5.33</v>
      </c>
      <c r="F308" s="3">
        <v>3.2362000000000002</v>
      </c>
      <c r="G308" s="3">
        <v>3.98455</v>
      </c>
      <c r="H308" s="4">
        <v>64.900000000000006</v>
      </c>
      <c r="I308" s="3">
        <v>2.7990400000000002</v>
      </c>
      <c r="J308" s="3">
        <v>3.2327699999999999</v>
      </c>
      <c r="K308" s="3">
        <v>3.1962199999999998</v>
      </c>
    </row>
    <row r="309" spans="1:11" x14ac:dyDescent="0.25">
      <c r="A309" s="6">
        <v>45292</v>
      </c>
      <c r="B309" s="2">
        <v>0.61</v>
      </c>
      <c r="C309" s="3">
        <v>13.05588</v>
      </c>
      <c r="D309" s="3">
        <v>3.0120499999999999</v>
      </c>
      <c r="E309" s="2">
        <v>5.33</v>
      </c>
      <c r="F309" s="3">
        <v>3.2479900000000002</v>
      </c>
      <c r="G309" s="3">
        <v>3.8163</v>
      </c>
      <c r="H309" s="4">
        <v>78.400000000000006</v>
      </c>
      <c r="I309" s="3">
        <v>2.6706799999999999</v>
      </c>
      <c r="J309" s="3">
        <v>2.9910100000000002</v>
      </c>
      <c r="K309" s="3">
        <v>2.9018299999999999</v>
      </c>
    </row>
    <row r="310" spans="1:11" x14ac:dyDescent="0.25">
      <c r="A310" s="6">
        <v>45383</v>
      </c>
      <c r="B310" s="2">
        <v>0.53</v>
      </c>
      <c r="C310" s="3">
        <v>4.86273</v>
      </c>
      <c r="D310" s="3">
        <v>3.1774</v>
      </c>
      <c r="E310" s="2">
        <v>5.33</v>
      </c>
      <c r="F310" s="3">
        <v>3.1873999999999998</v>
      </c>
      <c r="G310" s="3">
        <v>3.4245299999999999</v>
      </c>
      <c r="H310" s="4">
        <v>71.5</v>
      </c>
      <c r="I310" s="3">
        <v>2.5744400000000001</v>
      </c>
      <c r="J310" s="3">
        <v>2.7274400000000001</v>
      </c>
      <c r="K310" s="3">
        <v>3.0368499999999998</v>
      </c>
    </row>
    <row r="311" spans="1:11" x14ac:dyDescent="0.25">
      <c r="A311" s="6">
        <v>45474</v>
      </c>
      <c r="B311" s="2">
        <v>0.55000000000000004</v>
      </c>
      <c r="C311" s="3">
        <v>5.2433199999999998</v>
      </c>
      <c r="D311" s="3">
        <v>2.8389099999999998</v>
      </c>
      <c r="E311" s="2">
        <v>5.29</v>
      </c>
      <c r="F311" s="3">
        <v>2.6598700000000002</v>
      </c>
      <c r="G311" s="3">
        <v>3.2700499999999999</v>
      </c>
      <c r="H311" s="4">
        <v>68.099999999999994</v>
      </c>
      <c r="I311" s="3">
        <v>2.2843399999999998</v>
      </c>
      <c r="J311" s="3">
        <v>2.6857099999999998</v>
      </c>
      <c r="K311" s="3">
        <v>2.7187700000000001</v>
      </c>
    </row>
    <row r="312" spans="1:11" x14ac:dyDescent="0.25">
      <c r="A312" s="6">
        <v>45566</v>
      </c>
      <c r="B312" s="2">
        <v>-0.45</v>
      </c>
      <c r="C312" s="3">
        <v>6.8819699999999999</v>
      </c>
      <c r="D312" s="3">
        <v>2.5546899999999999</v>
      </c>
      <c r="E312" s="2">
        <v>4.68</v>
      </c>
      <c r="F312" s="3">
        <v>2.71949</v>
      </c>
      <c r="G312" s="3">
        <v>3.2620900000000002</v>
      </c>
      <c r="H312" s="4">
        <v>72.099999999999994</v>
      </c>
      <c r="I312" s="3">
        <v>2.4717500000000001</v>
      </c>
      <c r="J312" s="3">
        <v>2.8443100000000001</v>
      </c>
      <c r="K312" s="3">
        <v>2.5073099999999999</v>
      </c>
    </row>
    <row r="313" spans="1:11" x14ac:dyDescent="0.25">
      <c r="A313" s="6">
        <v>45658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014A3-9DF3-4C31-ACB5-68BEA87B6F65}">
  <dimension ref="A1:DN36"/>
  <sheetViews>
    <sheetView tabSelected="1" topLeftCell="A4" zoomScale="85" zoomScaleNormal="85" workbookViewId="0">
      <selection activeCell="U22" sqref="U22"/>
    </sheetView>
  </sheetViews>
  <sheetFormatPr defaultRowHeight="15" x14ac:dyDescent="0.25"/>
  <cols>
    <col min="1" max="1" width="17.7109375" bestFit="1" customWidth="1"/>
    <col min="2" max="118" width="10.42578125" bestFit="1" customWidth="1"/>
  </cols>
  <sheetData>
    <row r="1" spans="1:118" x14ac:dyDescent="0.25">
      <c r="A1" s="5" t="s">
        <v>32</v>
      </c>
      <c r="B1" s="6">
        <v>35065</v>
      </c>
      <c r="C1" s="6">
        <v>35156</v>
      </c>
      <c r="D1" s="6">
        <v>35247</v>
      </c>
      <c r="E1" s="6">
        <v>35339</v>
      </c>
      <c r="F1" s="6">
        <v>35431</v>
      </c>
      <c r="G1" s="6">
        <v>35521</v>
      </c>
      <c r="H1" s="6">
        <v>35612</v>
      </c>
      <c r="I1" s="6">
        <v>35704</v>
      </c>
      <c r="J1" s="6">
        <v>35796</v>
      </c>
      <c r="K1" s="6">
        <v>35886</v>
      </c>
      <c r="L1" s="6">
        <v>35977</v>
      </c>
      <c r="M1" s="6">
        <v>36069</v>
      </c>
      <c r="N1" s="6">
        <v>36161</v>
      </c>
      <c r="O1" s="6">
        <v>36251</v>
      </c>
      <c r="P1" s="6">
        <v>36342</v>
      </c>
      <c r="Q1" s="6">
        <v>36434</v>
      </c>
      <c r="R1" s="6">
        <v>36526</v>
      </c>
      <c r="S1" s="6">
        <v>36617</v>
      </c>
      <c r="T1" s="6">
        <v>36708</v>
      </c>
      <c r="U1" s="6">
        <v>36800</v>
      </c>
      <c r="V1" s="6">
        <v>36892</v>
      </c>
      <c r="W1" s="6">
        <v>36982</v>
      </c>
      <c r="X1" s="6">
        <v>37073</v>
      </c>
      <c r="Y1" s="6">
        <v>37165</v>
      </c>
      <c r="Z1" s="6">
        <v>37257</v>
      </c>
      <c r="AA1" s="6">
        <v>37347</v>
      </c>
      <c r="AB1" s="6">
        <v>37438</v>
      </c>
      <c r="AC1" s="6">
        <v>37530</v>
      </c>
      <c r="AD1" s="6">
        <v>37622</v>
      </c>
      <c r="AE1" s="6">
        <v>37712</v>
      </c>
      <c r="AF1" s="6">
        <v>37803</v>
      </c>
      <c r="AG1" s="6">
        <v>37895</v>
      </c>
      <c r="AH1" s="6">
        <v>37987</v>
      </c>
      <c r="AI1" s="6">
        <v>38078</v>
      </c>
      <c r="AJ1" s="6">
        <v>38169</v>
      </c>
      <c r="AK1" s="6">
        <v>38261</v>
      </c>
      <c r="AL1" s="6">
        <v>38353</v>
      </c>
      <c r="AM1" s="6">
        <v>38443</v>
      </c>
      <c r="AN1" s="6">
        <v>38534</v>
      </c>
      <c r="AO1" s="6">
        <v>38626</v>
      </c>
      <c r="AP1" s="6">
        <v>38718</v>
      </c>
      <c r="AQ1" s="6">
        <v>38808</v>
      </c>
      <c r="AR1" s="6">
        <v>38899</v>
      </c>
      <c r="AS1" s="6">
        <v>38991</v>
      </c>
      <c r="AT1" s="6">
        <v>39083</v>
      </c>
      <c r="AU1" s="6">
        <v>39173</v>
      </c>
      <c r="AV1" s="6">
        <v>39264</v>
      </c>
      <c r="AW1" s="6">
        <v>39356</v>
      </c>
      <c r="AX1" s="6">
        <v>39448</v>
      </c>
      <c r="AY1" s="6">
        <v>39539</v>
      </c>
      <c r="AZ1" s="6">
        <v>39630</v>
      </c>
      <c r="BA1" s="6">
        <v>39722</v>
      </c>
      <c r="BB1" s="6">
        <v>39814</v>
      </c>
      <c r="BC1" s="6">
        <v>39904</v>
      </c>
      <c r="BD1" s="6">
        <v>39995</v>
      </c>
      <c r="BE1" s="6">
        <v>40087</v>
      </c>
      <c r="BF1" s="6">
        <v>40179</v>
      </c>
      <c r="BG1" s="6">
        <v>40269</v>
      </c>
      <c r="BH1" s="6">
        <v>40360</v>
      </c>
      <c r="BI1" s="6">
        <v>40452</v>
      </c>
      <c r="BJ1" s="6">
        <v>40544</v>
      </c>
      <c r="BK1" s="6">
        <v>40634</v>
      </c>
      <c r="BL1" s="6">
        <v>40725</v>
      </c>
      <c r="BM1" s="6">
        <v>40817</v>
      </c>
      <c r="BN1" s="6">
        <v>40909</v>
      </c>
      <c r="BO1" s="6">
        <v>41000</v>
      </c>
      <c r="BP1" s="6">
        <v>41091</v>
      </c>
      <c r="BQ1" s="6">
        <v>41183</v>
      </c>
      <c r="BR1" s="6">
        <v>41275</v>
      </c>
      <c r="BS1" s="6">
        <v>41365</v>
      </c>
      <c r="BT1" s="6">
        <v>41456</v>
      </c>
      <c r="BU1" s="6">
        <v>41548</v>
      </c>
      <c r="BV1" s="6">
        <v>41640</v>
      </c>
      <c r="BW1" s="6">
        <v>41730</v>
      </c>
      <c r="BX1" s="6">
        <v>41821</v>
      </c>
      <c r="BY1" s="6">
        <v>41913</v>
      </c>
      <c r="BZ1" s="6">
        <v>42005</v>
      </c>
      <c r="CA1" s="6">
        <v>42095</v>
      </c>
      <c r="CB1" s="6">
        <v>42186</v>
      </c>
      <c r="CC1" s="6">
        <v>42278</v>
      </c>
      <c r="CD1" s="6">
        <v>42370</v>
      </c>
      <c r="CE1" s="6">
        <v>42461</v>
      </c>
      <c r="CF1" s="6">
        <v>42552</v>
      </c>
      <c r="CG1" s="6">
        <v>42644</v>
      </c>
      <c r="CH1" s="6">
        <v>42736</v>
      </c>
      <c r="CI1" s="6">
        <v>42826</v>
      </c>
      <c r="CJ1" s="6">
        <v>42917</v>
      </c>
      <c r="CK1" s="6">
        <v>43009</v>
      </c>
      <c r="CL1" s="6">
        <v>43101</v>
      </c>
      <c r="CM1" s="6">
        <v>43191</v>
      </c>
      <c r="CN1" s="6">
        <v>43282</v>
      </c>
      <c r="CO1" s="6">
        <v>43374</v>
      </c>
      <c r="CP1" s="6">
        <v>43466</v>
      </c>
      <c r="CQ1" s="6">
        <v>43556</v>
      </c>
      <c r="CR1" s="6">
        <v>43647</v>
      </c>
      <c r="CS1" s="6">
        <v>43739</v>
      </c>
      <c r="CT1" s="6">
        <v>43831</v>
      </c>
      <c r="CU1" s="6">
        <v>43922</v>
      </c>
      <c r="CV1" s="6">
        <v>44013</v>
      </c>
      <c r="CW1" s="6">
        <v>44105</v>
      </c>
      <c r="CX1" s="6">
        <v>44197</v>
      </c>
      <c r="CY1" s="6">
        <v>44287</v>
      </c>
      <c r="CZ1" s="6">
        <v>44378</v>
      </c>
      <c r="DA1" s="6">
        <v>44470</v>
      </c>
      <c r="DB1" s="6">
        <v>44562</v>
      </c>
      <c r="DC1" s="6">
        <v>44652</v>
      </c>
      <c r="DD1" s="6">
        <v>44743</v>
      </c>
      <c r="DE1" s="6">
        <v>44835</v>
      </c>
      <c r="DF1" s="6">
        <v>44927</v>
      </c>
      <c r="DG1" s="6">
        <v>45017</v>
      </c>
      <c r="DH1" s="6">
        <v>45108</v>
      </c>
      <c r="DI1" s="6">
        <v>45200</v>
      </c>
      <c r="DJ1" s="6">
        <v>45292</v>
      </c>
      <c r="DK1" s="6">
        <v>45383</v>
      </c>
      <c r="DL1" s="6">
        <v>45474</v>
      </c>
      <c r="DM1" s="6">
        <v>45566</v>
      </c>
      <c r="DN1" s="6">
        <v>45658</v>
      </c>
    </row>
    <row r="2" spans="1:118" x14ac:dyDescent="0.25">
      <c r="A2" s="5" t="s">
        <v>6</v>
      </c>
      <c r="B2" s="2">
        <v>1.25</v>
      </c>
      <c r="C2" s="2">
        <v>1.34</v>
      </c>
      <c r="D2" s="2">
        <v>1.59</v>
      </c>
      <c r="E2" s="2">
        <v>1.3</v>
      </c>
      <c r="F2" s="2">
        <v>1.2</v>
      </c>
      <c r="G2" s="2">
        <v>1.0900000000000001</v>
      </c>
      <c r="H2" s="2">
        <v>2.2999999999999998</v>
      </c>
      <c r="I2" s="2">
        <v>0.3</v>
      </c>
      <c r="J2" s="2">
        <v>1.7</v>
      </c>
      <c r="K2" s="2">
        <v>1.79</v>
      </c>
      <c r="L2" s="2">
        <v>0.84</v>
      </c>
      <c r="M2" s="2">
        <v>1.58</v>
      </c>
      <c r="N2" s="2">
        <v>1.19</v>
      </c>
      <c r="O2" s="2">
        <v>1.46</v>
      </c>
      <c r="P2" s="2">
        <v>1.62</v>
      </c>
      <c r="Q2" s="2">
        <v>0.26</v>
      </c>
      <c r="R2" s="2">
        <v>2.0699999999999998</v>
      </c>
      <c r="S2" s="2">
        <v>1.84</v>
      </c>
      <c r="T2" s="2">
        <v>0.62</v>
      </c>
      <c r="U2" s="2">
        <v>0.2</v>
      </c>
      <c r="V2" s="2">
        <v>-0.56000000000000005</v>
      </c>
      <c r="W2" s="2">
        <v>-1.2</v>
      </c>
      <c r="X2" s="2">
        <v>-0.66</v>
      </c>
      <c r="Y2" s="2">
        <v>-1.56</v>
      </c>
      <c r="Z2" s="2">
        <v>-1.24</v>
      </c>
      <c r="AA2" s="2">
        <v>-0.56000000000000005</v>
      </c>
      <c r="AB2" s="2">
        <v>-0.16</v>
      </c>
      <c r="AC2" s="2">
        <v>-0.66</v>
      </c>
      <c r="AD2" s="2">
        <v>0.23</v>
      </c>
      <c r="AE2" s="2">
        <v>1.31</v>
      </c>
      <c r="AF2" s="2">
        <v>1.04</v>
      </c>
      <c r="AG2" s="2">
        <v>0.62</v>
      </c>
      <c r="AH2" s="2">
        <v>-0.46</v>
      </c>
      <c r="AI2" s="2">
        <v>1.19</v>
      </c>
      <c r="AJ2" s="2">
        <v>1.37</v>
      </c>
      <c r="AK2" s="2">
        <v>1</v>
      </c>
      <c r="AL2" s="2">
        <v>0.72</v>
      </c>
      <c r="AM2" s="2">
        <v>0.79</v>
      </c>
      <c r="AN2" s="2">
        <v>1.03</v>
      </c>
      <c r="AO2" s="2">
        <v>0.38</v>
      </c>
      <c r="AP2" s="2">
        <v>1.69</v>
      </c>
      <c r="AQ2" s="2">
        <v>0.89</v>
      </c>
      <c r="AR2" s="2">
        <v>0.9</v>
      </c>
      <c r="AS2" s="2">
        <v>0.57999999999999996</v>
      </c>
      <c r="AT2" s="2">
        <v>0.99</v>
      </c>
      <c r="AU2" s="2">
        <v>1.21</v>
      </c>
      <c r="AV2" s="2">
        <v>0.86</v>
      </c>
      <c r="AW2" s="2">
        <v>0.84</v>
      </c>
      <c r="AX2" s="2">
        <v>0.21</v>
      </c>
      <c r="AY2" s="2">
        <v>0.12</v>
      </c>
      <c r="AZ2" s="2">
        <v>-1</v>
      </c>
      <c r="BA2" s="2">
        <v>-3.09</v>
      </c>
      <c r="BB2" s="2">
        <v>-3.88</v>
      </c>
      <c r="BC2" s="2">
        <v>-1.44</v>
      </c>
      <c r="BD2" s="2">
        <v>-0.25</v>
      </c>
      <c r="BE2" s="2">
        <v>0.33</v>
      </c>
      <c r="BF2" s="2">
        <v>0.32</v>
      </c>
      <c r="BG2" s="2">
        <v>1.49</v>
      </c>
      <c r="BH2" s="2">
        <v>1.26</v>
      </c>
      <c r="BI2" s="2">
        <v>0.93</v>
      </c>
      <c r="BJ2" s="2">
        <v>-0.03</v>
      </c>
      <c r="BK2" s="2">
        <v>1.24</v>
      </c>
      <c r="BL2" s="2">
        <v>2.25</v>
      </c>
      <c r="BM2" s="2">
        <v>1.29</v>
      </c>
      <c r="BN2" s="2">
        <v>1.3</v>
      </c>
      <c r="BO2" s="2">
        <v>1.1599999999999999</v>
      </c>
      <c r="BP2" s="2">
        <v>-0.17</v>
      </c>
      <c r="BQ2" s="2">
        <v>0.56999999999999995</v>
      </c>
      <c r="BR2" s="2">
        <v>0.82</v>
      </c>
      <c r="BS2" s="2">
        <v>0.28000000000000003</v>
      </c>
      <c r="BT2" s="2">
        <v>0.97</v>
      </c>
      <c r="BU2" s="2">
        <v>1.27</v>
      </c>
      <c r="BV2" s="2">
        <v>0.86</v>
      </c>
      <c r="BW2" s="2">
        <v>1.56</v>
      </c>
      <c r="BX2" s="2">
        <v>1.19</v>
      </c>
      <c r="BY2" s="2">
        <v>0.48</v>
      </c>
      <c r="BZ2" s="2">
        <v>0.02</v>
      </c>
      <c r="CA2" s="2">
        <v>0.38</v>
      </c>
      <c r="CB2" s="2">
        <v>0.33</v>
      </c>
      <c r="CC2" s="2">
        <v>-0.24</v>
      </c>
      <c r="CD2" s="2">
        <v>0.05</v>
      </c>
      <c r="CE2" s="2">
        <v>0.46</v>
      </c>
      <c r="CF2" s="2">
        <v>0.81</v>
      </c>
      <c r="CG2" s="2">
        <v>0.43</v>
      </c>
      <c r="CH2" s="2">
        <v>0.54</v>
      </c>
      <c r="CI2" s="2">
        <v>0.61</v>
      </c>
      <c r="CJ2" s="2">
        <v>0.53</v>
      </c>
      <c r="CK2" s="2">
        <v>1.3</v>
      </c>
      <c r="CL2" s="2">
        <v>1.53</v>
      </c>
      <c r="CM2" s="2">
        <v>0.63</v>
      </c>
      <c r="CN2" s="2">
        <v>0.35</v>
      </c>
      <c r="CO2" s="2">
        <v>0.5</v>
      </c>
      <c r="CP2" s="2">
        <v>0.38</v>
      </c>
      <c r="CQ2" s="2">
        <v>1.06</v>
      </c>
      <c r="CR2" s="2">
        <v>0.55000000000000004</v>
      </c>
      <c r="CS2" s="2">
        <v>-0.24</v>
      </c>
      <c r="CT2" s="2">
        <v>-1.03</v>
      </c>
      <c r="CU2" s="2">
        <v>-4.09</v>
      </c>
      <c r="CV2" s="2">
        <v>2.74</v>
      </c>
      <c r="CW2" s="2">
        <v>1.42</v>
      </c>
      <c r="CX2" s="2">
        <v>1.25</v>
      </c>
      <c r="CY2" s="2">
        <v>1.17</v>
      </c>
      <c r="CZ2" s="2">
        <v>-0.21</v>
      </c>
      <c r="DA2" s="2">
        <v>0.47</v>
      </c>
      <c r="DB2" s="2">
        <v>1.66</v>
      </c>
      <c r="DC2" s="2">
        <v>0.94</v>
      </c>
      <c r="DD2" s="2">
        <v>1.01</v>
      </c>
      <c r="DE2" s="2">
        <v>0.76</v>
      </c>
      <c r="DF2" s="2">
        <v>0.71</v>
      </c>
      <c r="DG2" s="2">
        <v>1.3</v>
      </c>
      <c r="DH2" s="2">
        <v>0.16</v>
      </c>
      <c r="DI2" s="2">
        <v>0.52</v>
      </c>
      <c r="DJ2" s="2">
        <v>0.61</v>
      </c>
      <c r="DK2" s="2">
        <v>0.53</v>
      </c>
      <c r="DL2" s="2">
        <v>0.55000000000000004</v>
      </c>
      <c r="DM2" s="2">
        <v>-0.45</v>
      </c>
      <c r="DN2" s="2"/>
    </row>
    <row r="3" spans="1:118" x14ac:dyDescent="0.25">
      <c r="A3" s="5" t="s">
        <v>7</v>
      </c>
      <c r="B3" s="3">
        <v>2.10318</v>
      </c>
      <c r="C3" s="3">
        <v>11.08586</v>
      </c>
      <c r="D3" s="3">
        <v>1.1368499999999999</v>
      </c>
      <c r="E3" s="3">
        <v>18.26172</v>
      </c>
      <c r="F3" s="3">
        <v>9.1723300000000005</v>
      </c>
      <c r="G3" s="3">
        <v>4.1048099999999996</v>
      </c>
      <c r="H3" s="3">
        <v>20.655609999999999</v>
      </c>
      <c r="I3" s="3">
        <v>-4.0111800000000004</v>
      </c>
      <c r="J3" s="3">
        <v>6.6647800000000004</v>
      </c>
      <c r="K3" s="3">
        <v>10.69586</v>
      </c>
      <c r="L3" s="3">
        <v>9.5055899999999998</v>
      </c>
      <c r="M3" s="3">
        <v>10.860250000000001</v>
      </c>
      <c r="N3" s="3">
        <v>33.770490000000002</v>
      </c>
      <c r="O3" s="3">
        <v>6.9849500000000004</v>
      </c>
      <c r="P3" s="3">
        <v>10.53172</v>
      </c>
      <c r="Q3" s="3">
        <v>22.9618</v>
      </c>
      <c r="R3" s="3">
        <v>38.839460000000003</v>
      </c>
      <c r="S3" s="3">
        <v>-10.312480000000001</v>
      </c>
      <c r="T3" s="3">
        <v>4.1436200000000003</v>
      </c>
      <c r="U3" s="3">
        <v>-22.187609999999999</v>
      </c>
      <c r="V3" s="3">
        <v>-26.268049999999999</v>
      </c>
      <c r="W3" s="3">
        <v>-17.209610000000001</v>
      </c>
      <c r="X3" s="3">
        <v>-14.194290000000001</v>
      </c>
      <c r="Y3" s="3">
        <v>-2.8714499999999998</v>
      </c>
      <c r="Z3" s="3">
        <v>0.65093999999999996</v>
      </c>
      <c r="AA3" s="3">
        <v>-17.615500000000001</v>
      </c>
      <c r="AB3" s="3">
        <v>-23.810569999999998</v>
      </c>
      <c r="AC3" s="3">
        <v>5.5280100000000001</v>
      </c>
      <c r="AD3" s="3">
        <v>1.9655100000000001</v>
      </c>
      <c r="AE3" s="3">
        <v>12.336370000000001</v>
      </c>
      <c r="AF3" s="3">
        <v>13.709300000000001</v>
      </c>
      <c r="AG3" s="3">
        <v>8.6341400000000004</v>
      </c>
      <c r="AH3" s="3">
        <v>4.5695600000000001</v>
      </c>
      <c r="AI3" s="3">
        <v>-1.37096</v>
      </c>
      <c r="AJ3" s="3">
        <v>-4.3923100000000002</v>
      </c>
      <c r="AK3" s="3">
        <v>10.484629999999999</v>
      </c>
      <c r="AL3" s="3">
        <v>-1.1862299999999999</v>
      </c>
      <c r="AM3" s="3">
        <v>-2.00474</v>
      </c>
      <c r="AN3" s="3">
        <v>6.1466700000000003</v>
      </c>
      <c r="AO3" s="3">
        <v>3.3233000000000001</v>
      </c>
      <c r="AP3" s="3">
        <v>3.34653</v>
      </c>
      <c r="AQ3" s="3">
        <v>-3.1983100000000002</v>
      </c>
      <c r="AR3" s="3">
        <v>-5.03904</v>
      </c>
      <c r="AS3" s="3">
        <v>12.8285</v>
      </c>
      <c r="AT3" s="3">
        <v>2.0289999999999999</v>
      </c>
      <c r="AU3" s="3">
        <v>5.5143300000000002</v>
      </c>
      <c r="AV3" s="3">
        <v>5.1690399999999999</v>
      </c>
      <c r="AW3" s="3">
        <v>6.66934</v>
      </c>
      <c r="AX3" s="3">
        <v>-14.488350000000001</v>
      </c>
      <c r="AY3" s="3">
        <v>7.0612700000000004</v>
      </c>
      <c r="AZ3" s="3">
        <v>-6.1941600000000001</v>
      </c>
      <c r="BA3" s="3">
        <v>-31.59816</v>
      </c>
      <c r="BB3" s="3">
        <v>-4.1664399999999997</v>
      </c>
      <c r="BC3" s="3">
        <v>17.67604</v>
      </c>
      <c r="BD3" s="3">
        <v>14.659800000000001</v>
      </c>
      <c r="BE3" s="3">
        <v>10.032730000000001</v>
      </c>
      <c r="BF3" s="3">
        <v>5.0615100000000002</v>
      </c>
      <c r="BG3" s="3">
        <v>3.2332900000000002</v>
      </c>
      <c r="BH3" s="3">
        <v>-2.5114800000000002</v>
      </c>
      <c r="BI3" s="3">
        <v>14.707470000000001</v>
      </c>
      <c r="BJ3" s="3">
        <v>7.9329799999999997</v>
      </c>
      <c r="BK3" s="3">
        <v>0.29403000000000001</v>
      </c>
      <c r="BL3" s="3">
        <v>-2.80802</v>
      </c>
      <c r="BM3" s="3">
        <v>1.5608299999999999</v>
      </c>
      <c r="BN3" s="3">
        <v>11.85439</v>
      </c>
      <c r="BO3" s="3">
        <v>2.14656</v>
      </c>
      <c r="BP3" s="3">
        <v>3.9365000000000001</v>
      </c>
      <c r="BQ3" s="3">
        <v>-1.79112</v>
      </c>
      <c r="BR3" s="3">
        <v>3.3454600000000001</v>
      </c>
      <c r="BS3" s="3">
        <v>5.4936299999999996</v>
      </c>
      <c r="BT3" s="3">
        <v>6.6850399999999999</v>
      </c>
      <c r="BU3" s="3">
        <v>9.4041399999999999</v>
      </c>
      <c r="BV3" s="3">
        <v>6.2640399999999996</v>
      </c>
      <c r="BW3" s="3">
        <v>1.23756</v>
      </c>
      <c r="BX3" s="3">
        <v>9.1697100000000002</v>
      </c>
      <c r="BY3" s="3">
        <v>3.7945500000000001</v>
      </c>
      <c r="BZ3" s="3">
        <v>3.9740899999999999</v>
      </c>
      <c r="CA3" s="3">
        <v>3.52617</v>
      </c>
      <c r="CB3" s="3">
        <v>-1.1897599999999999</v>
      </c>
      <c r="CC3" s="3">
        <v>3.7930799999999998</v>
      </c>
      <c r="CD3" s="3">
        <v>-6.8636900000000001</v>
      </c>
      <c r="CE3" s="3">
        <v>4.0703199999999997</v>
      </c>
      <c r="CF3" s="3">
        <v>6.80809</v>
      </c>
      <c r="CG3" s="3">
        <v>2.2544900000000001</v>
      </c>
      <c r="CH3" s="3">
        <v>8.2730599999999992</v>
      </c>
      <c r="CI3" s="3">
        <v>7.6555200000000001</v>
      </c>
      <c r="CJ3" s="3">
        <v>4.2272800000000004</v>
      </c>
      <c r="CK3" s="3">
        <v>6.5488799999999996</v>
      </c>
      <c r="CL3" s="3">
        <v>8.2302800000000005</v>
      </c>
      <c r="CM3" s="3">
        <v>1.44981</v>
      </c>
      <c r="CN3" s="3">
        <v>7.8884999999999996</v>
      </c>
      <c r="CO3" s="3">
        <v>-7.5517599999999998</v>
      </c>
      <c r="CP3" s="3">
        <v>1.46096</v>
      </c>
      <c r="CQ3" s="3">
        <v>8.4379399999999993</v>
      </c>
      <c r="CR3" s="3">
        <v>2.9838800000000001</v>
      </c>
      <c r="CS3" s="3">
        <v>5.5998999999999999</v>
      </c>
      <c r="CT3" s="3">
        <v>5.80891</v>
      </c>
      <c r="CU3" s="3">
        <v>5.7976099999999997</v>
      </c>
      <c r="CV3" s="3">
        <v>21.02084</v>
      </c>
      <c r="CW3" s="3">
        <v>8.2720400000000005</v>
      </c>
      <c r="CX3" s="3">
        <v>8.9683299999999999</v>
      </c>
      <c r="CY3" s="3">
        <v>5.1234799999999998</v>
      </c>
      <c r="CZ3" s="3">
        <v>9.5393399999999993</v>
      </c>
      <c r="DA3" s="3">
        <v>4.8292900000000003</v>
      </c>
      <c r="DB3" s="3">
        <v>-7.9937500000000004</v>
      </c>
      <c r="DC3" s="3">
        <v>-12.648</v>
      </c>
      <c r="DD3" s="3">
        <v>-2.7468400000000002</v>
      </c>
      <c r="DE3" s="3">
        <v>-8.3843499999999995</v>
      </c>
      <c r="DF3" s="3">
        <v>6.7503099999999998</v>
      </c>
      <c r="DG3" s="3">
        <v>14.09069</v>
      </c>
      <c r="DH3" s="3">
        <v>10.167350000000001</v>
      </c>
      <c r="DI3" s="3">
        <v>2.3593700000000002</v>
      </c>
      <c r="DJ3" s="3">
        <v>13.05588</v>
      </c>
      <c r="DK3" s="3">
        <v>4.86273</v>
      </c>
      <c r="DL3" s="3">
        <v>5.2433199999999998</v>
      </c>
      <c r="DM3" s="3">
        <v>6.8819699999999999</v>
      </c>
      <c r="DN3" s="3"/>
    </row>
    <row r="4" spans="1:118" x14ac:dyDescent="0.25">
      <c r="A4" s="5" t="s">
        <v>8</v>
      </c>
      <c r="B4" s="3">
        <v>3.1138400000000002</v>
      </c>
      <c r="C4" s="3">
        <v>4.7521800000000001</v>
      </c>
      <c r="D4" s="3">
        <v>4.8171099999999996</v>
      </c>
      <c r="E4" s="3">
        <v>5.2619999999999996</v>
      </c>
      <c r="F4" s="3">
        <v>5.0828300000000004</v>
      </c>
      <c r="G4" s="3">
        <v>5.1392100000000003</v>
      </c>
      <c r="H4" s="3">
        <v>5.3572699999999998</v>
      </c>
      <c r="I4" s="3">
        <v>5.0740100000000004</v>
      </c>
      <c r="J4" s="3">
        <v>6.0163000000000002</v>
      </c>
      <c r="K4" s="3">
        <v>5.0393699999999999</v>
      </c>
      <c r="L4" s="3">
        <v>5.1318200000000003</v>
      </c>
      <c r="M4" s="3">
        <v>6.2243599999999999</v>
      </c>
      <c r="N4" s="3">
        <v>5.9039099999999998</v>
      </c>
      <c r="O4" s="3">
        <v>5.7820600000000004</v>
      </c>
      <c r="P4" s="3">
        <v>5.8464099999999997</v>
      </c>
      <c r="Q4" s="3">
        <v>5.7360899999999999</v>
      </c>
      <c r="R4" s="3">
        <v>4.5027600000000003</v>
      </c>
      <c r="S4" s="3">
        <v>5.9282700000000004</v>
      </c>
      <c r="T4" s="3">
        <v>4.1897099999999998</v>
      </c>
      <c r="U4" s="3">
        <v>2.9283899999999998</v>
      </c>
      <c r="V4" s="3">
        <v>2.2585799999999998</v>
      </c>
      <c r="W4" s="3">
        <v>0.69649000000000005</v>
      </c>
      <c r="X4" s="3">
        <v>0.15476999999999999</v>
      </c>
      <c r="Y4" s="3">
        <v>-0.40952</v>
      </c>
      <c r="Z4" s="3">
        <v>1.4498200000000001</v>
      </c>
      <c r="AA4" s="3">
        <v>1.0863</v>
      </c>
      <c r="AB4" s="3">
        <v>2.1490499999999999</v>
      </c>
      <c r="AC4" s="3">
        <v>2.069</v>
      </c>
      <c r="AD4" s="3">
        <v>1.2681</v>
      </c>
      <c r="AE4" s="3">
        <v>1.90083</v>
      </c>
      <c r="AF4" s="3">
        <v>3.8782399999999999</v>
      </c>
      <c r="AG4" s="3">
        <v>5.3333899999999996</v>
      </c>
      <c r="AH4" s="3">
        <v>4.9947900000000001</v>
      </c>
      <c r="AI4" s="3">
        <v>5.1558900000000003</v>
      </c>
      <c r="AJ4" s="3">
        <v>3.8014999999999999</v>
      </c>
      <c r="AK4" s="3">
        <v>3.3751099999999998</v>
      </c>
      <c r="AL4" s="3">
        <v>4.6218399999999997</v>
      </c>
      <c r="AM4" s="3">
        <v>3.86842</v>
      </c>
      <c r="AN4" s="3">
        <v>3.7698</v>
      </c>
      <c r="AO4" s="3">
        <v>3.4077199999999999</v>
      </c>
      <c r="AP4" s="3">
        <v>3.8412799999999998</v>
      </c>
      <c r="AQ4" s="3">
        <v>3.5253800000000002</v>
      </c>
      <c r="AR4" s="3">
        <v>2.7521200000000001</v>
      </c>
      <c r="AS4" s="3">
        <v>3.2313900000000002</v>
      </c>
      <c r="AT4" s="3">
        <v>1.7404299999999999</v>
      </c>
      <c r="AU4" s="3">
        <v>2.3679600000000001</v>
      </c>
      <c r="AV4" s="3">
        <v>2.80261</v>
      </c>
      <c r="AW4" s="3">
        <v>2.1829000000000001</v>
      </c>
      <c r="AX4" s="3">
        <v>0.85350999999999999</v>
      </c>
      <c r="AY4" s="3">
        <v>0.70767000000000002</v>
      </c>
      <c r="AZ4" s="3">
        <v>-0.76319000000000004</v>
      </c>
      <c r="BA4" s="3">
        <v>-4.3070500000000003</v>
      </c>
      <c r="BB4" s="3">
        <v>-4.8697499999999998</v>
      </c>
      <c r="BC4" s="3">
        <v>-5.6275899999999996</v>
      </c>
      <c r="BD4" s="3">
        <v>-4.5022799999999998</v>
      </c>
      <c r="BE4" s="3">
        <v>-0.14054</v>
      </c>
      <c r="BF4" s="3">
        <v>2.0028800000000002</v>
      </c>
      <c r="BG4" s="3">
        <v>3.33806</v>
      </c>
      <c r="BH4" s="3">
        <v>4.1553599999999999</v>
      </c>
      <c r="BI4" s="3">
        <v>3.5905999999999998</v>
      </c>
      <c r="BJ4" s="3">
        <v>2.4578500000000001</v>
      </c>
      <c r="BK4" s="3">
        <v>2.4312499999999999</v>
      </c>
      <c r="BL4" s="3">
        <v>1.37551</v>
      </c>
      <c r="BM4" s="3">
        <v>2.0053899999999998</v>
      </c>
      <c r="BN4" s="3">
        <v>3.8703799999999999</v>
      </c>
      <c r="BO4" s="3">
        <v>3.4418799999999998</v>
      </c>
      <c r="BP4" s="3">
        <v>3.6545100000000001</v>
      </c>
      <c r="BQ4" s="3">
        <v>2.4008799999999999</v>
      </c>
      <c r="BR4" s="3">
        <v>2.3071700000000002</v>
      </c>
      <c r="BS4" s="3">
        <v>1.8065100000000001</v>
      </c>
      <c r="BT4" s="3">
        <v>2.6560700000000002</v>
      </c>
      <c r="BU4" s="3">
        <v>3.7292399999999999</v>
      </c>
      <c r="BV4" s="3">
        <v>2.07992</v>
      </c>
      <c r="BW4" s="3">
        <v>3.6659199999999998</v>
      </c>
      <c r="BX4" s="3">
        <v>4.2253699999999998</v>
      </c>
      <c r="BY4" s="3">
        <v>3.6262400000000001</v>
      </c>
      <c r="BZ4" s="3">
        <v>5.2242600000000001</v>
      </c>
      <c r="CA4" s="3">
        <v>4.2452899999999998</v>
      </c>
      <c r="CB4" s="3">
        <v>2.9578199999999999</v>
      </c>
      <c r="CC4" s="3">
        <v>2.38679</v>
      </c>
      <c r="CD4" s="3">
        <v>1.9776899999999999</v>
      </c>
      <c r="CE4" s="3">
        <v>1.52321</v>
      </c>
      <c r="CF4" s="3">
        <v>1.9546699999999999</v>
      </c>
      <c r="CG4" s="3">
        <v>2.6250300000000002</v>
      </c>
      <c r="CH4" s="3">
        <v>2.45248</v>
      </c>
      <c r="CI4" s="3">
        <v>2.82883</v>
      </c>
      <c r="CJ4" s="3">
        <v>3.0416300000000001</v>
      </c>
      <c r="CK4" s="3">
        <v>3.65645</v>
      </c>
      <c r="CL4" s="3">
        <v>4.0656600000000003</v>
      </c>
      <c r="CM4" s="3">
        <v>3.8757799999999998</v>
      </c>
      <c r="CN4" s="3">
        <v>3.55477</v>
      </c>
      <c r="CO4" s="3">
        <v>2.2975699999999999</v>
      </c>
      <c r="CP4" s="3">
        <v>2.2593299999999998</v>
      </c>
      <c r="CQ4" s="3">
        <v>2.6939299999999999</v>
      </c>
      <c r="CR4" s="3">
        <v>3.3913600000000002</v>
      </c>
      <c r="CS4" s="3">
        <v>3.97682</v>
      </c>
      <c r="CT4" s="3">
        <v>1.08518</v>
      </c>
      <c r="CU4" s="3">
        <v>-9.3451799999999992</v>
      </c>
      <c r="CV4" s="3">
        <v>-1.6884600000000001</v>
      </c>
      <c r="CW4" s="3">
        <v>-1.0102500000000001</v>
      </c>
      <c r="CX4" s="3">
        <v>2.7201</v>
      </c>
      <c r="CY4" s="3">
        <v>15.581490000000001</v>
      </c>
      <c r="CZ4" s="3">
        <v>5.9789199999999996</v>
      </c>
      <c r="DA4" s="3">
        <v>6.82179</v>
      </c>
      <c r="DB4" s="3">
        <v>4.4354699999999996</v>
      </c>
      <c r="DC4" s="3">
        <v>2.4522300000000001</v>
      </c>
      <c r="DD4" s="3">
        <v>2.2521800000000001</v>
      </c>
      <c r="DE4" s="3">
        <v>0.95013999999999998</v>
      </c>
      <c r="DF4" s="3">
        <v>2.09192</v>
      </c>
      <c r="DG4" s="3">
        <v>2.78308</v>
      </c>
      <c r="DH4" s="3">
        <v>3.37507</v>
      </c>
      <c r="DI4" s="3">
        <v>3.3067500000000001</v>
      </c>
      <c r="DJ4" s="3">
        <v>3.0120499999999999</v>
      </c>
      <c r="DK4" s="3">
        <v>3.1774</v>
      </c>
      <c r="DL4" s="3">
        <v>2.8389099999999998</v>
      </c>
      <c r="DM4" s="3">
        <v>2.5546899999999999</v>
      </c>
      <c r="DN4" s="3"/>
    </row>
    <row r="5" spans="1:118" x14ac:dyDescent="0.25">
      <c r="A5" s="5" t="s">
        <v>9</v>
      </c>
      <c r="B5" s="2">
        <v>5.36</v>
      </c>
      <c r="C5" s="2">
        <v>5.25</v>
      </c>
      <c r="D5" s="2">
        <v>5.29</v>
      </c>
      <c r="E5" s="2">
        <v>5.29</v>
      </c>
      <c r="F5" s="2">
        <v>5.24</v>
      </c>
      <c r="G5" s="2">
        <v>5.53</v>
      </c>
      <c r="H5" s="2">
        <v>5.55</v>
      </c>
      <c r="I5" s="2">
        <v>5.51</v>
      </c>
      <c r="J5" s="2">
        <v>5.52</v>
      </c>
      <c r="K5" s="2">
        <v>5.48</v>
      </c>
      <c r="L5" s="2">
        <v>5.55</v>
      </c>
      <c r="M5" s="2">
        <v>4.87</v>
      </c>
      <c r="N5" s="2">
        <v>4.7300000000000004</v>
      </c>
      <c r="O5" s="2">
        <v>4.75</v>
      </c>
      <c r="P5" s="2">
        <v>5.09</v>
      </c>
      <c r="Q5" s="2">
        <v>5.32</v>
      </c>
      <c r="R5" s="2">
        <v>5.64</v>
      </c>
      <c r="S5" s="2">
        <v>6.26</v>
      </c>
      <c r="T5" s="2">
        <v>6.52</v>
      </c>
      <c r="U5" s="2">
        <v>6.51</v>
      </c>
      <c r="V5" s="2">
        <v>5.61</v>
      </c>
      <c r="W5" s="2">
        <v>4.37</v>
      </c>
      <c r="X5" s="2">
        <v>3.55</v>
      </c>
      <c r="Y5" s="2">
        <v>2.19</v>
      </c>
      <c r="Z5" s="2">
        <v>1.72</v>
      </c>
      <c r="AA5" s="2">
        <v>1.75</v>
      </c>
      <c r="AB5" s="2">
        <v>1.74</v>
      </c>
      <c r="AC5" s="2">
        <v>1.48</v>
      </c>
      <c r="AD5" s="2">
        <v>1.24</v>
      </c>
      <c r="AE5" s="2">
        <v>1.25</v>
      </c>
      <c r="AF5" s="2">
        <v>1.02</v>
      </c>
      <c r="AG5" s="2">
        <v>1</v>
      </c>
      <c r="AH5" s="2">
        <v>1</v>
      </c>
      <c r="AI5" s="2">
        <v>1.01</v>
      </c>
      <c r="AJ5" s="2">
        <v>1.42</v>
      </c>
      <c r="AK5" s="2">
        <v>1.95</v>
      </c>
      <c r="AL5" s="2">
        <v>2.46</v>
      </c>
      <c r="AM5" s="2">
        <v>2.94</v>
      </c>
      <c r="AN5" s="2">
        <v>3.45</v>
      </c>
      <c r="AO5" s="2">
        <v>3.97</v>
      </c>
      <c r="AP5" s="2">
        <v>4.43</v>
      </c>
      <c r="AQ5" s="2">
        <v>4.9000000000000004</v>
      </c>
      <c r="AR5" s="2">
        <v>5.24</v>
      </c>
      <c r="AS5" s="2">
        <v>5.25</v>
      </c>
      <c r="AT5" s="2">
        <v>5.25</v>
      </c>
      <c r="AU5" s="2">
        <v>5.25</v>
      </c>
      <c r="AV5" s="2">
        <v>5.0999999999999996</v>
      </c>
      <c r="AW5" s="2">
        <v>4.54</v>
      </c>
      <c r="AX5" s="2">
        <v>3.27</v>
      </c>
      <c r="AY5" s="2">
        <v>2.09</v>
      </c>
      <c r="AZ5" s="2">
        <v>1.99</v>
      </c>
      <c r="BA5" s="2">
        <v>0.56000000000000005</v>
      </c>
      <c r="BB5" s="2">
        <v>0.19</v>
      </c>
      <c r="BC5" s="2">
        <v>0.18</v>
      </c>
      <c r="BD5" s="2">
        <v>0.16</v>
      </c>
      <c r="BE5" s="2">
        <v>0.12</v>
      </c>
      <c r="BF5" s="2">
        <v>0.13</v>
      </c>
      <c r="BG5" s="2">
        <v>0.19</v>
      </c>
      <c r="BH5" s="2">
        <v>0.19</v>
      </c>
      <c r="BI5" s="2">
        <v>0.19</v>
      </c>
      <c r="BJ5" s="2">
        <v>0.16</v>
      </c>
      <c r="BK5" s="2">
        <v>0.1</v>
      </c>
      <c r="BL5" s="2">
        <v>0.08</v>
      </c>
      <c r="BM5" s="2">
        <v>0.08</v>
      </c>
      <c r="BN5" s="2">
        <v>0.1</v>
      </c>
      <c r="BO5" s="2">
        <v>0.15</v>
      </c>
      <c r="BP5" s="2">
        <v>0.15</v>
      </c>
      <c r="BQ5" s="2">
        <v>0.16</v>
      </c>
      <c r="BR5" s="2">
        <v>0.15</v>
      </c>
      <c r="BS5" s="2">
        <v>0.12</v>
      </c>
      <c r="BT5" s="2">
        <v>0.09</v>
      </c>
      <c r="BU5" s="2">
        <v>0.09</v>
      </c>
      <c r="BV5" s="2">
        <v>7.0000000000000007E-2</v>
      </c>
      <c r="BW5" s="2">
        <v>0.09</v>
      </c>
      <c r="BX5" s="2">
        <v>0.09</v>
      </c>
      <c r="BY5" s="2">
        <v>0.1</v>
      </c>
      <c r="BZ5" s="2">
        <v>0.11</v>
      </c>
      <c r="CA5" s="2">
        <v>0.12</v>
      </c>
      <c r="CB5" s="2">
        <v>0.13</v>
      </c>
      <c r="CC5" s="2">
        <v>0.16</v>
      </c>
      <c r="CD5" s="2">
        <v>0.36</v>
      </c>
      <c r="CE5" s="2">
        <v>0.37</v>
      </c>
      <c r="CF5" s="2">
        <v>0.4</v>
      </c>
      <c r="CG5" s="2">
        <v>0.44</v>
      </c>
      <c r="CH5" s="2">
        <v>0.69</v>
      </c>
      <c r="CI5" s="2">
        <v>0.94</v>
      </c>
      <c r="CJ5" s="2">
        <v>1.1599999999999999</v>
      </c>
      <c r="CK5" s="2">
        <v>1.19</v>
      </c>
      <c r="CL5" s="2">
        <v>1.44</v>
      </c>
      <c r="CM5" s="2">
        <v>1.73</v>
      </c>
      <c r="CN5" s="2">
        <v>1.91</v>
      </c>
      <c r="CO5" s="2">
        <v>2.21</v>
      </c>
      <c r="CP5" s="2">
        <v>2.4</v>
      </c>
      <c r="CQ5" s="2">
        <v>2.4</v>
      </c>
      <c r="CR5" s="2">
        <v>2.2200000000000002</v>
      </c>
      <c r="CS5" s="2">
        <v>1.66</v>
      </c>
      <c r="CT5" s="2">
        <v>1.35</v>
      </c>
      <c r="CU5" s="2">
        <v>0.06</v>
      </c>
      <c r="CV5" s="2">
        <v>0.09</v>
      </c>
      <c r="CW5" s="2">
        <v>0.09</v>
      </c>
      <c r="CX5" s="2">
        <v>0.08</v>
      </c>
      <c r="CY5" s="2">
        <v>7.0000000000000007E-2</v>
      </c>
      <c r="CZ5" s="2">
        <v>0.09</v>
      </c>
      <c r="DA5" s="2">
        <v>0.08</v>
      </c>
      <c r="DB5" s="2">
        <v>0.12</v>
      </c>
      <c r="DC5" s="2">
        <v>0.75</v>
      </c>
      <c r="DD5" s="2">
        <v>2.16</v>
      </c>
      <c r="DE5" s="2">
        <v>3.62</v>
      </c>
      <c r="DF5" s="2">
        <v>4.5</v>
      </c>
      <c r="DG5" s="2">
        <v>4.9800000000000004</v>
      </c>
      <c r="DH5" s="2">
        <v>5.25</v>
      </c>
      <c r="DI5" s="2">
        <v>5.33</v>
      </c>
      <c r="DJ5" s="2">
        <v>5.33</v>
      </c>
      <c r="DK5" s="2">
        <v>5.33</v>
      </c>
      <c r="DL5" s="2">
        <v>5.29</v>
      </c>
      <c r="DM5" s="2">
        <v>4.68</v>
      </c>
      <c r="DN5" s="2"/>
    </row>
    <row r="6" spans="1:118" x14ac:dyDescent="0.25">
      <c r="A6" s="5" t="s">
        <v>10</v>
      </c>
      <c r="B6" s="3">
        <v>2.7839200000000002</v>
      </c>
      <c r="C6" s="3">
        <v>2.8270900000000001</v>
      </c>
      <c r="D6" s="3">
        <v>2.9001299999999999</v>
      </c>
      <c r="E6" s="3">
        <v>3.2313999999999998</v>
      </c>
      <c r="F6" s="3">
        <v>2.9449700000000001</v>
      </c>
      <c r="G6" s="3">
        <v>2.30179</v>
      </c>
      <c r="H6" s="3">
        <v>2.22505</v>
      </c>
      <c r="I6" s="3">
        <v>1.89076</v>
      </c>
      <c r="J6" s="3">
        <v>1.4825600000000001</v>
      </c>
      <c r="K6" s="3">
        <v>1.5833299999999999</v>
      </c>
      <c r="L6" s="3">
        <v>1.59619</v>
      </c>
      <c r="M6" s="3">
        <v>1.5257700000000001</v>
      </c>
      <c r="N6" s="3">
        <v>1.6872400000000001</v>
      </c>
      <c r="O6" s="3">
        <v>2.11239</v>
      </c>
      <c r="P6" s="3">
        <v>2.34646</v>
      </c>
      <c r="Q6" s="3">
        <v>2.6198199999999998</v>
      </c>
      <c r="R6" s="3">
        <v>3.25779</v>
      </c>
      <c r="S6" s="3">
        <v>3.2938299999999998</v>
      </c>
      <c r="T6" s="3">
        <v>3.4689000000000001</v>
      </c>
      <c r="U6" s="3">
        <v>3.4434999999999998</v>
      </c>
      <c r="V6" s="3">
        <v>3.4097599999999999</v>
      </c>
      <c r="W6" s="3">
        <v>3.32491</v>
      </c>
      <c r="X6" s="3">
        <v>2.6782300000000001</v>
      </c>
      <c r="Y6" s="3">
        <v>1.8748800000000001</v>
      </c>
      <c r="Z6" s="3">
        <v>1.23176</v>
      </c>
      <c r="AA6" s="3">
        <v>1.31728</v>
      </c>
      <c r="AB6" s="3">
        <v>1.5762799999999999</v>
      </c>
      <c r="AC6" s="3">
        <v>2.25352</v>
      </c>
      <c r="AD6" s="3">
        <v>2.97641</v>
      </c>
      <c r="AE6" s="3">
        <v>2.0059399999999998</v>
      </c>
      <c r="AF6" s="3">
        <v>2.2168899999999998</v>
      </c>
      <c r="AG6" s="3">
        <v>2.0018400000000001</v>
      </c>
      <c r="AH6" s="3">
        <v>1.81785</v>
      </c>
      <c r="AI6" s="3">
        <v>2.7858700000000001</v>
      </c>
      <c r="AJ6" s="3">
        <v>2.6748599999999998</v>
      </c>
      <c r="AK6" s="3">
        <v>3.3849499999999999</v>
      </c>
      <c r="AL6" s="3">
        <v>3.0351699999999999</v>
      </c>
      <c r="AM6" s="3">
        <v>2.9229400000000001</v>
      </c>
      <c r="AN6" s="3">
        <v>3.81975</v>
      </c>
      <c r="AO6" s="3">
        <v>3.6746799999999999</v>
      </c>
      <c r="AP6" s="3">
        <v>3.6908699999999999</v>
      </c>
      <c r="AQ6" s="3">
        <v>3.9242699999999999</v>
      </c>
      <c r="AR6" s="3">
        <v>3.3401200000000002</v>
      </c>
      <c r="AS6" s="3">
        <v>1.9654</v>
      </c>
      <c r="AT6" s="3">
        <v>2.4316499999999999</v>
      </c>
      <c r="AU6" s="3">
        <v>2.6652900000000002</v>
      </c>
      <c r="AV6" s="3">
        <v>2.34897</v>
      </c>
      <c r="AW6" s="3">
        <v>4.0311399999999997</v>
      </c>
      <c r="AX6" s="3">
        <v>4.1370399999999998</v>
      </c>
      <c r="AY6" s="3">
        <v>4.3104199999999997</v>
      </c>
      <c r="AZ6" s="3">
        <v>5.2525000000000004</v>
      </c>
      <c r="BA6" s="3">
        <v>1.5958000000000001</v>
      </c>
      <c r="BB6" s="3">
        <v>-0.18423999999999999</v>
      </c>
      <c r="BC6" s="3">
        <v>-0.94213999999999998</v>
      </c>
      <c r="BD6" s="3">
        <v>-1.6069599999999999</v>
      </c>
      <c r="BE6" s="3">
        <v>1.48766</v>
      </c>
      <c r="BF6" s="3">
        <v>2.3525700000000001</v>
      </c>
      <c r="BG6" s="3">
        <v>1.7752699999999999</v>
      </c>
      <c r="BH6" s="3">
        <v>1.2028799999999999</v>
      </c>
      <c r="BI6" s="3">
        <v>1.2297800000000001</v>
      </c>
      <c r="BJ6" s="3">
        <v>2.1482199999999998</v>
      </c>
      <c r="BK6" s="3">
        <v>3.3461099999999999</v>
      </c>
      <c r="BL6" s="3">
        <v>3.7159499999999999</v>
      </c>
      <c r="BM6" s="3">
        <v>3.3447300000000002</v>
      </c>
      <c r="BN6" s="3">
        <v>2.8293200000000001</v>
      </c>
      <c r="BO6" s="3">
        <v>1.88792</v>
      </c>
      <c r="BP6" s="3">
        <v>1.68486</v>
      </c>
      <c r="BQ6" s="3">
        <v>1.90357</v>
      </c>
      <c r="BR6" s="3">
        <v>1.7402</v>
      </c>
      <c r="BS6" s="3">
        <v>1.41472</v>
      </c>
      <c r="BT6" s="3">
        <v>1.50495</v>
      </c>
      <c r="BU6" s="3">
        <v>1.2073</v>
      </c>
      <c r="BV6" s="3">
        <v>1.42991</v>
      </c>
      <c r="BW6" s="3">
        <v>2.0803400000000001</v>
      </c>
      <c r="BX6" s="3">
        <v>1.79097</v>
      </c>
      <c r="BY6" s="3">
        <v>1.16401</v>
      </c>
      <c r="BZ6" s="3">
        <v>-0.11289</v>
      </c>
      <c r="CA6" s="3">
        <v>3.7010000000000001E-2</v>
      </c>
      <c r="CB6" s="3">
        <v>0.15861</v>
      </c>
      <c r="CC6" s="3">
        <v>0.40046999999999999</v>
      </c>
      <c r="CD6" s="3">
        <v>0.99184000000000005</v>
      </c>
      <c r="CE6" s="3">
        <v>1.1100300000000001</v>
      </c>
      <c r="CF6" s="3">
        <v>1.1571499999999999</v>
      </c>
      <c r="CG6" s="3">
        <v>1.80698</v>
      </c>
      <c r="CH6" s="3">
        <v>2.5871300000000002</v>
      </c>
      <c r="CI6" s="3">
        <v>1.89059</v>
      </c>
      <c r="CJ6" s="3">
        <v>1.9449399999999999</v>
      </c>
      <c r="CK6" s="3">
        <v>2.10778</v>
      </c>
      <c r="CL6" s="3">
        <v>2.2486199999999998</v>
      </c>
      <c r="CM6" s="3">
        <v>2.6867899999999998</v>
      </c>
      <c r="CN6" s="3">
        <v>2.6089199999999999</v>
      </c>
      <c r="CO6" s="3">
        <v>2.2135199999999999</v>
      </c>
      <c r="CP6" s="3">
        <v>1.63002</v>
      </c>
      <c r="CQ6" s="3">
        <v>1.8223800000000001</v>
      </c>
      <c r="CR6" s="3">
        <v>1.7494000000000001</v>
      </c>
      <c r="CS6" s="3">
        <v>2.0485899999999999</v>
      </c>
      <c r="CT6" s="3">
        <v>2.14377</v>
      </c>
      <c r="CU6" s="3">
        <v>0.40927999999999998</v>
      </c>
      <c r="CV6" s="3">
        <v>1.2231399999999999</v>
      </c>
      <c r="CW6" s="3">
        <v>1.24227</v>
      </c>
      <c r="CX6" s="3">
        <v>1.8811199999999999</v>
      </c>
      <c r="CY6" s="3">
        <v>4.7944000000000004</v>
      </c>
      <c r="CZ6" s="3">
        <v>5.27142</v>
      </c>
      <c r="DA6" s="3">
        <v>6.7515200000000002</v>
      </c>
      <c r="DB6" s="3">
        <v>8.0240500000000008</v>
      </c>
      <c r="DC6" s="3">
        <v>8.5901300000000003</v>
      </c>
      <c r="DD6" s="3">
        <v>8.28965</v>
      </c>
      <c r="DE6" s="3">
        <v>7.0963900000000004</v>
      </c>
      <c r="DF6" s="3">
        <v>5.7389200000000002</v>
      </c>
      <c r="DG6" s="3">
        <v>4.0367899999999999</v>
      </c>
      <c r="DH6" s="3">
        <v>3.56494</v>
      </c>
      <c r="DI6" s="3">
        <v>3.2362000000000002</v>
      </c>
      <c r="DJ6" s="3">
        <v>3.2479900000000002</v>
      </c>
      <c r="DK6" s="3">
        <v>3.1873999999999998</v>
      </c>
      <c r="DL6" s="3">
        <v>2.6598700000000002</v>
      </c>
      <c r="DM6" s="3">
        <v>2.71949</v>
      </c>
      <c r="DN6" s="3"/>
    </row>
    <row r="7" spans="1:118" x14ac:dyDescent="0.25">
      <c r="A7" s="5" t="s">
        <v>11</v>
      </c>
      <c r="B7" s="3">
        <v>2.8852199999999999</v>
      </c>
      <c r="C7" s="3">
        <v>2.6545000000000001</v>
      </c>
      <c r="D7" s="3">
        <v>2.637</v>
      </c>
      <c r="E7" s="3">
        <v>2.5777399999999999</v>
      </c>
      <c r="F7" s="3">
        <v>2.4791699999999999</v>
      </c>
      <c r="G7" s="3">
        <v>2.5252500000000002</v>
      </c>
      <c r="H7" s="3">
        <v>2.3083100000000001</v>
      </c>
      <c r="I7" s="3">
        <v>2.2337500000000001</v>
      </c>
      <c r="J7" s="3">
        <v>2.2605599999999999</v>
      </c>
      <c r="K7" s="3">
        <v>2.1871900000000002</v>
      </c>
      <c r="L7" s="3">
        <v>2.35433</v>
      </c>
      <c r="M7" s="3">
        <v>2.3410099999999998</v>
      </c>
      <c r="N7" s="3">
        <v>2.1718099999999998</v>
      </c>
      <c r="O7" s="3">
        <v>2.0825300000000002</v>
      </c>
      <c r="P7" s="3">
        <v>2.0126499999999998</v>
      </c>
      <c r="Q7" s="3">
        <v>2.0205899999999999</v>
      </c>
      <c r="R7" s="3">
        <v>2.2395100000000001</v>
      </c>
      <c r="S7" s="3">
        <v>2.3989400000000001</v>
      </c>
      <c r="T7" s="3">
        <v>2.5366399999999998</v>
      </c>
      <c r="U7" s="3">
        <v>2.5784799999999999</v>
      </c>
      <c r="V7" s="3">
        <v>2.6545399999999999</v>
      </c>
      <c r="W7" s="3">
        <v>2.6378900000000001</v>
      </c>
      <c r="X7" s="3">
        <v>2.6571400000000001</v>
      </c>
      <c r="Y7" s="3">
        <v>2.7140300000000002</v>
      </c>
      <c r="Z7" s="3">
        <v>2.53165</v>
      </c>
      <c r="AA7" s="3">
        <v>2.42631</v>
      </c>
      <c r="AB7" s="3">
        <v>2.2670499999999998</v>
      </c>
      <c r="AC7" s="3">
        <v>2.0571000000000002</v>
      </c>
      <c r="AD7" s="3">
        <v>1.83422</v>
      </c>
      <c r="AE7" s="3">
        <v>1.49149</v>
      </c>
      <c r="AF7" s="3">
        <v>1.3614900000000001</v>
      </c>
      <c r="AG7" s="3">
        <v>1.16421</v>
      </c>
      <c r="AH7" s="3">
        <v>1.3162499999999999</v>
      </c>
      <c r="AI7" s="3">
        <v>1.78077</v>
      </c>
      <c r="AJ7" s="3">
        <v>1.80816</v>
      </c>
      <c r="AK7" s="3">
        <v>2.1642000000000001</v>
      </c>
      <c r="AL7" s="3">
        <v>2.30769</v>
      </c>
      <c r="AM7" s="3">
        <v>2.1403099999999999</v>
      </c>
      <c r="AN7" s="3">
        <v>2.0466799999999998</v>
      </c>
      <c r="AO7" s="3">
        <v>2.10155</v>
      </c>
      <c r="AP7" s="3">
        <v>2.1052599999999999</v>
      </c>
      <c r="AQ7" s="3">
        <v>2.4613299999999998</v>
      </c>
      <c r="AR7" s="3">
        <v>2.8178399999999999</v>
      </c>
      <c r="AS7" s="3">
        <v>2.6675399999999998</v>
      </c>
      <c r="AT7" s="3">
        <v>2.6269</v>
      </c>
      <c r="AU7" s="3">
        <v>2.2881</v>
      </c>
      <c r="AV7" s="3">
        <v>2.1193</v>
      </c>
      <c r="AW7" s="3">
        <v>2.3103400000000001</v>
      </c>
      <c r="AX7" s="3">
        <v>2.38809</v>
      </c>
      <c r="AY7" s="3">
        <v>2.3362500000000002</v>
      </c>
      <c r="AZ7" s="3">
        <v>2.4666700000000001</v>
      </c>
      <c r="BA7" s="3">
        <v>1.9995099999999999</v>
      </c>
      <c r="BB7" s="3">
        <v>1.75369</v>
      </c>
      <c r="BC7" s="3">
        <v>1.82999</v>
      </c>
      <c r="BD7" s="3">
        <v>1.48027</v>
      </c>
      <c r="BE7" s="3">
        <v>1.7502200000000001</v>
      </c>
      <c r="BF7" s="3">
        <v>1.34009</v>
      </c>
      <c r="BG7" s="3">
        <v>0.95260999999999996</v>
      </c>
      <c r="BH7" s="3">
        <v>0.89634000000000003</v>
      </c>
      <c r="BI7" s="3">
        <v>0.64556999999999998</v>
      </c>
      <c r="BJ7" s="3">
        <v>1.10595</v>
      </c>
      <c r="BK7" s="3">
        <v>1.4511799999999999</v>
      </c>
      <c r="BL7" s="3">
        <v>1.89818</v>
      </c>
      <c r="BM7" s="3">
        <v>2.1743199999999998</v>
      </c>
      <c r="BN7" s="3">
        <v>2.2284799999999998</v>
      </c>
      <c r="BO7" s="3">
        <v>2.2528999999999999</v>
      </c>
      <c r="BP7" s="3">
        <v>2.0177299999999998</v>
      </c>
      <c r="BQ7" s="3">
        <v>1.9490000000000001</v>
      </c>
      <c r="BR7" s="3">
        <v>1.9291700000000001</v>
      </c>
      <c r="BS7" s="3">
        <v>1.6613500000000001</v>
      </c>
      <c r="BT7" s="3">
        <v>1.74478</v>
      </c>
      <c r="BU7" s="3">
        <v>1.72315</v>
      </c>
      <c r="BV7" s="3">
        <v>1.6025100000000001</v>
      </c>
      <c r="BW7" s="3">
        <v>1.8965099999999999</v>
      </c>
      <c r="BX7" s="3">
        <v>1.7740400000000001</v>
      </c>
      <c r="BY7" s="3">
        <v>1.7271000000000001</v>
      </c>
      <c r="BZ7" s="3">
        <v>1.68842</v>
      </c>
      <c r="CA7" s="3">
        <v>1.7769999999999999</v>
      </c>
      <c r="CB7" s="3">
        <v>1.8608100000000001</v>
      </c>
      <c r="CC7" s="3">
        <v>1.9942</v>
      </c>
      <c r="CD7" s="3">
        <v>2.17</v>
      </c>
      <c r="CE7" s="3">
        <v>2.2245300000000001</v>
      </c>
      <c r="CF7" s="3">
        <v>2.2500399999999998</v>
      </c>
      <c r="CG7" s="3">
        <v>2.1823600000000001</v>
      </c>
      <c r="CH7" s="3">
        <v>2.1770100000000001</v>
      </c>
      <c r="CI7" s="3">
        <v>1.77746</v>
      </c>
      <c r="CJ7" s="3">
        <v>1.6424799999999999</v>
      </c>
      <c r="CK7" s="3">
        <v>1.7558100000000001</v>
      </c>
      <c r="CL7" s="3">
        <v>1.9639599999999999</v>
      </c>
      <c r="CM7" s="3">
        <v>2.2230799999999999</v>
      </c>
      <c r="CN7" s="3">
        <v>2.1953399999999998</v>
      </c>
      <c r="CO7" s="3">
        <v>2.1968399999999999</v>
      </c>
      <c r="CP7" s="3">
        <v>2.1289500000000001</v>
      </c>
      <c r="CQ7" s="3">
        <v>2.0461</v>
      </c>
      <c r="CR7" s="3">
        <v>2.2723499999999999</v>
      </c>
      <c r="CS7" s="3">
        <v>2.3276699999999999</v>
      </c>
      <c r="CT7" s="3">
        <v>2.2489599999999998</v>
      </c>
      <c r="CU7" s="3">
        <v>1.27759</v>
      </c>
      <c r="CV7" s="3">
        <v>1.6675</v>
      </c>
      <c r="CW7" s="3">
        <v>1.6433599999999999</v>
      </c>
      <c r="CX7" s="3">
        <v>1.43608</v>
      </c>
      <c r="CY7" s="3">
        <v>3.7244299999999999</v>
      </c>
      <c r="CZ7" s="3">
        <v>4.0563200000000004</v>
      </c>
      <c r="DA7" s="3">
        <v>5.0211899999999998</v>
      </c>
      <c r="DB7" s="3">
        <v>6.3316699999999999</v>
      </c>
      <c r="DC7" s="3">
        <v>6.0277700000000003</v>
      </c>
      <c r="DD7" s="3">
        <v>6.2761899999999997</v>
      </c>
      <c r="DE7" s="3">
        <v>5.9802600000000004</v>
      </c>
      <c r="DF7" s="3">
        <v>5.53247</v>
      </c>
      <c r="DG7" s="3">
        <v>5.2345499999999996</v>
      </c>
      <c r="DH7" s="3">
        <v>4.4135400000000002</v>
      </c>
      <c r="DI7" s="3">
        <v>3.98455</v>
      </c>
      <c r="DJ7" s="3">
        <v>3.8163</v>
      </c>
      <c r="DK7" s="3">
        <v>3.4245299999999999</v>
      </c>
      <c r="DL7" s="3">
        <v>3.2700499999999999</v>
      </c>
      <c r="DM7" s="3">
        <v>3.2620900000000002</v>
      </c>
      <c r="DN7" s="3"/>
    </row>
    <row r="8" spans="1:118" x14ac:dyDescent="0.25">
      <c r="A8" s="5" t="s">
        <v>12</v>
      </c>
      <c r="B8" s="4">
        <v>90.5</v>
      </c>
      <c r="C8" s="4">
        <v>91.5</v>
      </c>
      <c r="D8" s="4">
        <v>94.9</v>
      </c>
      <c r="E8" s="4">
        <v>97.5</v>
      </c>
      <c r="F8" s="4">
        <v>99</v>
      </c>
      <c r="G8" s="4">
        <v>103</v>
      </c>
      <c r="H8" s="4">
        <v>105.8</v>
      </c>
      <c r="I8" s="4">
        <v>105</v>
      </c>
      <c r="J8" s="4">
        <v>107.8</v>
      </c>
      <c r="K8" s="4">
        <v>106.9</v>
      </c>
      <c r="L8" s="4">
        <v>103.5</v>
      </c>
      <c r="M8" s="4">
        <v>100.2</v>
      </c>
      <c r="N8" s="4">
        <v>105.9</v>
      </c>
      <c r="O8" s="4">
        <v>106.2</v>
      </c>
      <c r="P8" s="4">
        <v>105.9</v>
      </c>
      <c r="Q8" s="4">
        <v>105.3</v>
      </c>
      <c r="R8" s="4">
        <v>110.1</v>
      </c>
      <c r="S8" s="4">
        <v>108.8</v>
      </c>
      <c r="T8" s="4">
        <v>107.5</v>
      </c>
      <c r="U8" s="4">
        <v>103.9</v>
      </c>
      <c r="V8" s="4">
        <v>92.3</v>
      </c>
      <c r="W8" s="4">
        <v>91</v>
      </c>
      <c r="X8" s="4">
        <v>88.6</v>
      </c>
      <c r="Y8" s="4">
        <v>85.1</v>
      </c>
      <c r="Z8" s="4">
        <v>93.1</v>
      </c>
      <c r="AA8" s="4">
        <v>94.1</v>
      </c>
      <c r="AB8" s="4">
        <v>87.3</v>
      </c>
      <c r="AC8" s="4">
        <v>83.8</v>
      </c>
      <c r="AD8" s="4">
        <v>80</v>
      </c>
      <c r="AE8" s="4">
        <v>89.3</v>
      </c>
      <c r="AF8" s="4">
        <v>89.3</v>
      </c>
      <c r="AG8" s="4">
        <v>92</v>
      </c>
      <c r="AH8" s="4">
        <v>98</v>
      </c>
      <c r="AI8" s="4">
        <v>93.3</v>
      </c>
      <c r="AJ8" s="4">
        <v>95.6</v>
      </c>
      <c r="AK8" s="4">
        <v>93.9</v>
      </c>
      <c r="AL8" s="4">
        <v>94.1</v>
      </c>
      <c r="AM8" s="4">
        <v>90.2</v>
      </c>
      <c r="AN8" s="4">
        <v>87.5</v>
      </c>
      <c r="AO8" s="4">
        <v>82.4</v>
      </c>
      <c r="AP8" s="4">
        <v>88.9</v>
      </c>
      <c r="AQ8" s="4">
        <v>83.8</v>
      </c>
      <c r="AR8" s="4">
        <v>84</v>
      </c>
      <c r="AS8" s="4">
        <v>92.5</v>
      </c>
      <c r="AT8" s="4">
        <v>92.2</v>
      </c>
      <c r="AU8" s="4">
        <v>86.9</v>
      </c>
      <c r="AV8" s="4">
        <v>85.7</v>
      </c>
      <c r="AW8" s="4">
        <v>77.5</v>
      </c>
      <c r="AX8" s="4">
        <v>72.900000000000006</v>
      </c>
      <c r="AY8" s="4">
        <v>59.6</v>
      </c>
      <c r="AZ8" s="4">
        <v>64.8</v>
      </c>
      <c r="BA8" s="4">
        <v>57.7</v>
      </c>
      <c r="BB8" s="4">
        <v>58.3</v>
      </c>
      <c r="BC8" s="4">
        <v>68.2</v>
      </c>
      <c r="BD8" s="4">
        <v>68.400000000000006</v>
      </c>
      <c r="BE8" s="4">
        <v>70.2</v>
      </c>
      <c r="BF8" s="4">
        <v>73.900000000000006</v>
      </c>
      <c r="BG8" s="4">
        <v>73.900000000000006</v>
      </c>
      <c r="BH8" s="4">
        <v>68.3</v>
      </c>
      <c r="BI8" s="4">
        <v>71.3</v>
      </c>
      <c r="BJ8" s="4">
        <v>73.099999999999994</v>
      </c>
      <c r="BK8" s="4">
        <v>71.900000000000006</v>
      </c>
      <c r="BL8" s="4">
        <v>59.7</v>
      </c>
      <c r="BM8" s="4">
        <v>64.8</v>
      </c>
      <c r="BN8" s="4">
        <v>75.5</v>
      </c>
      <c r="BO8" s="4">
        <v>76.3</v>
      </c>
      <c r="BP8" s="4">
        <v>75</v>
      </c>
      <c r="BQ8" s="4">
        <v>79.400000000000006</v>
      </c>
      <c r="BR8" s="4">
        <v>76.7</v>
      </c>
      <c r="BS8" s="4">
        <v>81.7</v>
      </c>
      <c r="BT8" s="4">
        <v>81.599999999999994</v>
      </c>
      <c r="BU8" s="4">
        <v>76.900000000000006</v>
      </c>
      <c r="BV8" s="4">
        <v>80.900000000000006</v>
      </c>
      <c r="BW8" s="4">
        <v>82.8</v>
      </c>
      <c r="BX8" s="4">
        <v>83</v>
      </c>
      <c r="BY8" s="4">
        <v>89.8</v>
      </c>
      <c r="BZ8" s="4">
        <v>95.5</v>
      </c>
      <c r="CA8" s="4">
        <v>94.2</v>
      </c>
      <c r="CB8" s="4">
        <v>90.7</v>
      </c>
      <c r="CC8" s="4">
        <v>91.3</v>
      </c>
      <c r="CD8" s="4">
        <v>91.6</v>
      </c>
      <c r="CE8" s="4">
        <v>92.4</v>
      </c>
      <c r="CF8" s="4">
        <v>90.3</v>
      </c>
      <c r="CG8" s="4">
        <v>93.1</v>
      </c>
      <c r="CH8" s="4">
        <v>97.2</v>
      </c>
      <c r="CI8" s="4">
        <v>96.4</v>
      </c>
      <c r="CJ8" s="4">
        <v>95.1</v>
      </c>
      <c r="CK8" s="4">
        <v>98.4</v>
      </c>
      <c r="CL8" s="4">
        <v>98.9</v>
      </c>
      <c r="CM8" s="4">
        <v>98.3</v>
      </c>
      <c r="CN8" s="4">
        <v>98.1</v>
      </c>
      <c r="CO8" s="4">
        <v>98.1</v>
      </c>
      <c r="CP8" s="4">
        <v>94.5</v>
      </c>
      <c r="CQ8" s="4">
        <v>98.5</v>
      </c>
      <c r="CR8" s="4">
        <v>93.8</v>
      </c>
      <c r="CS8" s="4">
        <v>97.2</v>
      </c>
      <c r="CT8" s="4">
        <v>96.6</v>
      </c>
      <c r="CU8" s="4">
        <v>74.099999999999994</v>
      </c>
      <c r="CV8" s="4">
        <v>75.7</v>
      </c>
      <c r="CW8" s="4">
        <v>79.8</v>
      </c>
      <c r="CX8" s="4">
        <v>80.2</v>
      </c>
      <c r="CY8" s="4">
        <v>85.6</v>
      </c>
      <c r="CZ8" s="4">
        <v>74.8</v>
      </c>
      <c r="DA8" s="4">
        <v>69.900000000000006</v>
      </c>
      <c r="DB8" s="4">
        <v>63.1</v>
      </c>
      <c r="DC8" s="4">
        <v>57.9</v>
      </c>
      <c r="DD8" s="4">
        <v>56.1</v>
      </c>
      <c r="DE8" s="4">
        <v>58.8</v>
      </c>
      <c r="DF8" s="4">
        <v>64.599999999999994</v>
      </c>
      <c r="DG8" s="4">
        <v>62.3</v>
      </c>
      <c r="DH8" s="4">
        <v>69.599999999999994</v>
      </c>
      <c r="DI8" s="4">
        <v>64.900000000000006</v>
      </c>
      <c r="DJ8" s="4">
        <v>78.400000000000006</v>
      </c>
      <c r="DK8" s="4">
        <v>71.5</v>
      </c>
      <c r="DL8" s="4">
        <v>68.099999999999994</v>
      </c>
      <c r="DM8" s="4">
        <v>72.099999999999994</v>
      </c>
      <c r="DN8" s="4"/>
    </row>
    <row r="9" spans="1:118" x14ac:dyDescent="0.25">
      <c r="A9" s="5" t="s">
        <v>13</v>
      </c>
      <c r="B9" s="3">
        <v>2.0005700000000002</v>
      </c>
      <c r="C9" s="3">
        <v>2.0900400000000001</v>
      </c>
      <c r="D9" s="3">
        <v>2.1075400000000002</v>
      </c>
      <c r="E9" s="3">
        <v>2.3534000000000002</v>
      </c>
      <c r="F9" s="3">
        <v>2.23638</v>
      </c>
      <c r="G9" s="3">
        <v>1.8111999999999999</v>
      </c>
      <c r="H9" s="3">
        <v>1.6463300000000001</v>
      </c>
      <c r="I9" s="3">
        <v>1.27616</v>
      </c>
      <c r="J9" s="3">
        <v>0.83848</v>
      </c>
      <c r="K9" s="3">
        <v>0.76810999999999996</v>
      </c>
      <c r="L9" s="3">
        <v>0.81384999999999996</v>
      </c>
      <c r="M9" s="3">
        <v>0.76273999999999997</v>
      </c>
      <c r="N9" s="3">
        <v>0.95359000000000005</v>
      </c>
      <c r="O9" s="3">
        <v>1.3452299999999999</v>
      </c>
      <c r="P9" s="3">
        <v>1.58876</v>
      </c>
      <c r="Q9" s="3">
        <v>1.9363999999999999</v>
      </c>
      <c r="R9" s="3">
        <v>2.5629400000000002</v>
      </c>
      <c r="S9" s="3">
        <v>2.4681199999999999</v>
      </c>
      <c r="T9" s="3">
        <v>2.5640399999999999</v>
      </c>
      <c r="U9" s="3">
        <v>2.52196</v>
      </c>
      <c r="V9" s="3">
        <v>2.4483600000000001</v>
      </c>
      <c r="W9" s="3">
        <v>2.4408400000000001</v>
      </c>
      <c r="X9" s="3">
        <v>1.8363499999999999</v>
      </c>
      <c r="Y9" s="3">
        <v>1.3049500000000001</v>
      </c>
      <c r="Z9" s="3">
        <v>0.76298999999999995</v>
      </c>
      <c r="AA9" s="3">
        <v>1.0371999999999999</v>
      </c>
      <c r="AB9" s="3">
        <v>1.5088200000000001</v>
      </c>
      <c r="AC9" s="3">
        <v>1.94126</v>
      </c>
      <c r="AD9" s="3">
        <v>2.51376</v>
      </c>
      <c r="AE9" s="3">
        <v>1.86049</v>
      </c>
      <c r="AF9" s="3">
        <v>2.0037699999999998</v>
      </c>
      <c r="AG9" s="3">
        <v>2.0291399999999999</v>
      </c>
      <c r="AH9" s="3">
        <v>2.0361199999999999</v>
      </c>
      <c r="AI9" s="3">
        <v>2.61985</v>
      </c>
      <c r="AJ9" s="3">
        <v>2.44943</v>
      </c>
      <c r="AK9" s="3">
        <v>2.81982</v>
      </c>
      <c r="AL9" s="3">
        <v>2.62622</v>
      </c>
      <c r="AM9" s="3">
        <v>2.5843799999999999</v>
      </c>
      <c r="AN9" s="3">
        <v>3.1839300000000001</v>
      </c>
      <c r="AO9" s="3">
        <v>3.1238800000000002</v>
      </c>
      <c r="AP9" s="3">
        <v>3.0606300000000002</v>
      </c>
      <c r="AQ9" s="3">
        <v>3.3120799999999999</v>
      </c>
      <c r="AR9" s="3">
        <v>2.9443199999999998</v>
      </c>
      <c r="AS9" s="3">
        <v>1.9625999999999999</v>
      </c>
      <c r="AT9" s="3">
        <v>2.3626299999999998</v>
      </c>
      <c r="AU9" s="3">
        <v>2.33379</v>
      </c>
      <c r="AV9" s="3">
        <v>2.1774499999999999</v>
      </c>
      <c r="AW9" s="3">
        <v>3.3867099999999999</v>
      </c>
      <c r="AX9" s="3">
        <v>3.2835999999999999</v>
      </c>
      <c r="AY9" s="3">
        <v>3.4115799999999998</v>
      </c>
      <c r="AZ9" s="3">
        <v>3.9276599999999999</v>
      </c>
      <c r="BA9" s="3">
        <v>1.2387699999999999</v>
      </c>
      <c r="BB9" s="3">
        <v>-0.25639000000000001</v>
      </c>
      <c r="BC9" s="3">
        <v>-0.82596999999999998</v>
      </c>
      <c r="BD9" s="3">
        <v>-1.1963200000000001</v>
      </c>
      <c r="BE9" s="3">
        <v>1.1815599999999999</v>
      </c>
      <c r="BF9" s="3">
        <v>2.2635299999999998</v>
      </c>
      <c r="BG9" s="3">
        <v>2.01661</v>
      </c>
      <c r="BH9" s="3">
        <v>1.51294</v>
      </c>
      <c r="BI9" s="3">
        <v>1.38113</v>
      </c>
      <c r="BJ9" s="3">
        <v>1.8386100000000001</v>
      </c>
      <c r="BK9" s="3">
        <v>2.6809400000000001</v>
      </c>
      <c r="BL9" s="3">
        <v>2.9572099999999999</v>
      </c>
      <c r="BM9" s="3">
        <v>2.6397200000000001</v>
      </c>
      <c r="BN9" s="3">
        <v>2.4598499999999999</v>
      </c>
      <c r="BO9" s="3">
        <v>1.7073199999999999</v>
      </c>
      <c r="BP9" s="3">
        <v>1.53345</v>
      </c>
      <c r="BQ9" s="3">
        <v>1.7666200000000001</v>
      </c>
      <c r="BR9" s="3">
        <v>1.45068</v>
      </c>
      <c r="BS9" s="3">
        <v>1.2584599999999999</v>
      </c>
      <c r="BT9" s="3">
        <v>1.37991</v>
      </c>
      <c r="BU9" s="3">
        <v>1.1865000000000001</v>
      </c>
      <c r="BV9" s="3">
        <v>1.29619</v>
      </c>
      <c r="BW9" s="3">
        <v>1.69689</v>
      </c>
      <c r="BX9" s="3">
        <v>1.55751</v>
      </c>
      <c r="BY9" s="3">
        <v>1.05</v>
      </c>
      <c r="BZ9" s="3">
        <v>0.13719999999999999</v>
      </c>
      <c r="CA9" s="3">
        <v>0.18875</v>
      </c>
      <c r="CB9" s="3">
        <v>0.17488999999999999</v>
      </c>
      <c r="CC9" s="3">
        <v>0.23166999999999999</v>
      </c>
      <c r="CD9" s="3">
        <v>0.73221999999999998</v>
      </c>
      <c r="CE9" s="3">
        <v>0.86799999999999999</v>
      </c>
      <c r="CF9" s="3">
        <v>0.95423999999999998</v>
      </c>
      <c r="CG9" s="3">
        <v>1.4938199999999999</v>
      </c>
      <c r="CH9" s="3">
        <v>2.03613</v>
      </c>
      <c r="CI9" s="3">
        <v>1.59676</v>
      </c>
      <c r="CJ9" s="3">
        <v>1.6051500000000001</v>
      </c>
      <c r="CK9" s="3">
        <v>1.7474099999999999</v>
      </c>
      <c r="CL9" s="3">
        <v>1.8645400000000001</v>
      </c>
      <c r="CM9" s="3">
        <v>2.1937099999999998</v>
      </c>
      <c r="CN9" s="3">
        <v>2.1760000000000002</v>
      </c>
      <c r="CO9" s="3">
        <v>1.9531400000000001</v>
      </c>
      <c r="CP9" s="3">
        <v>1.4513100000000001</v>
      </c>
      <c r="CQ9" s="3">
        <v>1.4859199999999999</v>
      </c>
      <c r="CR9" s="3">
        <v>1.3893500000000001</v>
      </c>
      <c r="CS9" s="3">
        <v>1.40358</v>
      </c>
      <c r="CT9" s="3">
        <v>1.5099499999999999</v>
      </c>
      <c r="CU9" s="3">
        <v>0.54305999999999999</v>
      </c>
      <c r="CV9" s="3">
        <v>1.1163099999999999</v>
      </c>
      <c r="CW9" s="3">
        <v>1.2083299999999999</v>
      </c>
      <c r="CX9" s="3">
        <v>2.03504</v>
      </c>
      <c r="CY9" s="3">
        <v>4.0389299999999997</v>
      </c>
      <c r="CZ9" s="3">
        <v>4.6248500000000003</v>
      </c>
      <c r="DA9" s="3">
        <v>5.8385400000000001</v>
      </c>
      <c r="DB9" s="3">
        <v>6.62357</v>
      </c>
      <c r="DC9" s="3">
        <v>6.9181999999999997</v>
      </c>
      <c r="DD9" s="3">
        <v>6.6857699999999998</v>
      </c>
      <c r="DE9" s="3">
        <v>5.9924299999999997</v>
      </c>
      <c r="DF9" s="3">
        <v>5.0496800000000004</v>
      </c>
      <c r="DG9" s="3">
        <v>3.8980700000000001</v>
      </c>
      <c r="DH9" s="3">
        <v>3.3924799999999999</v>
      </c>
      <c r="DI9" s="3">
        <v>2.7990400000000002</v>
      </c>
      <c r="DJ9" s="3">
        <v>2.6706799999999999</v>
      </c>
      <c r="DK9" s="3">
        <v>2.5744400000000001</v>
      </c>
      <c r="DL9" s="3">
        <v>2.2843399999999998</v>
      </c>
      <c r="DM9" s="3">
        <v>2.4717500000000001</v>
      </c>
      <c r="DN9" s="3"/>
    </row>
    <row r="10" spans="1:118" x14ac:dyDescent="0.25">
      <c r="A10" s="5" t="s">
        <v>14</v>
      </c>
      <c r="B10" s="3">
        <v>1.97943</v>
      </c>
      <c r="C10" s="3">
        <v>1.85955</v>
      </c>
      <c r="D10" s="3">
        <v>1.8387100000000001</v>
      </c>
      <c r="E10" s="3">
        <v>1.9075</v>
      </c>
      <c r="F10" s="3">
        <v>1.9071800000000001</v>
      </c>
      <c r="G10" s="3">
        <v>1.95411</v>
      </c>
      <c r="H10" s="3">
        <v>1.7281</v>
      </c>
      <c r="I10" s="3">
        <v>1.47238</v>
      </c>
      <c r="J10" s="3">
        <v>1.3731100000000001</v>
      </c>
      <c r="K10" s="3">
        <v>1.1557599999999999</v>
      </c>
      <c r="L10" s="3">
        <v>1.2783500000000001</v>
      </c>
      <c r="M10" s="3">
        <v>1.2807900000000001</v>
      </c>
      <c r="N10" s="3">
        <v>1.23645</v>
      </c>
      <c r="O10" s="3">
        <v>1.27773</v>
      </c>
      <c r="P10" s="3">
        <v>1.29108</v>
      </c>
      <c r="Q10" s="3">
        <v>1.44408</v>
      </c>
      <c r="R10" s="3">
        <v>1.7206300000000001</v>
      </c>
      <c r="S10" s="3">
        <v>1.7223999999999999</v>
      </c>
      <c r="T10" s="3">
        <v>1.8382099999999999</v>
      </c>
      <c r="U10" s="3">
        <v>1.86337</v>
      </c>
      <c r="V10" s="3">
        <v>1.9911399999999999</v>
      </c>
      <c r="W10" s="3">
        <v>2.0208200000000001</v>
      </c>
      <c r="X10" s="3">
        <v>1.7930299999999999</v>
      </c>
      <c r="Y10" s="3">
        <v>1.7802199999999999</v>
      </c>
      <c r="Z10" s="3">
        <v>1.4332400000000001</v>
      </c>
      <c r="AA10" s="3">
        <v>1.6072</v>
      </c>
      <c r="AB10" s="3">
        <v>1.8862399999999999</v>
      </c>
      <c r="AC10" s="3">
        <v>1.7573300000000001</v>
      </c>
      <c r="AD10" s="3">
        <v>1.75888</v>
      </c>
      <c r="AE10" s="3">
        <v>1.58565</v>
      </c>
      <c r="AF10" s="3">
        <v>1.50915</v>
      </c>
      <c r="AG10" s="3">
        <v>1.6028100000000001</v>
      </c>
      <c r="AH10" s="3">
        <v>1.8475999999999999</v>
      </c>
      <c r="AI10" s="3">
        <v>2.04278</v>
      </c>
      <c r="AJ10" s="3">
        <v>1.9415</v>
      </c>
      <c r="AK10" s="3">
        <v>2.0369999999999999</v>
      </c>
      <c r="AL10" s="3">
        <v>2.2008700000000001</v>
      </c>
      <c r="AM10" s="3">
        <v>2.12358</v>
      </c>
      <c r="AN10" s="3">
        <v>2.1557300000000001</v>
      </c>
      <c r="AO10" s="3">
        <v>2.2840600000000002</v>
      </c>
      <c r="AP10" s="3">
        <v>2.1493899999999999</v>
      </c>
      <c r="AQ10" s="3">
        <v>2.4556100000000001</v>
      </c>
      <c r="AR10" s="3">
        <v>2.60772</v>
      </c>
      <c r="AS10" s="3">
        <v>2.3654500000000001</v>
      </c>
      <c r="AT10" s="3">
        <v>2.4778600000000002</v>
      </c>
      <c r="AU10" s="3">
        <v>2.09111</v>
      </c>
      <c r="AV10" s="3">
        <v>2.0427900000000001</v>
      </c>
      <c r="AW10" s="3">
        <v>2.3076400000000001</v>
      </c>
      <c r="AX10" s="3">
        <v>2.1450399999999998</v>
      </c>
      <c r="AY10" s="3">
        <v>2.1489799999999999</v>
      </c>
      <c r="AZ10" s="3">
        <v>2.16866</v>
      </c>
      <c r="BA10" s="3">
        <v>1.38717</v>
      </c>
      <c r="BB10" s="3">
        <v>0.85199999999999998</v>
      </c>
      <c r="BC10" s="3">
        <v>0.82330999999999999</v>
      </c>
      <c r="BD10" s="3">
        <v>0.66727000000000003</v>
      </c>
      <c r="BE10" s="3">
        <v>1.37426</v>
      </c>
      <c r="BF10" s="3">
        <v>1.7222</v>
      </c>
      <c r="BG10" s="3">
        <v>1.5984499999999999</v>
      </c>
      <c r="BH10" s="3">
        <v>1.3949199999999999</v>
      </c>
      <c r="BI10" s="3">
        <v>1.0857000000000001</v>
      </c>
      <c r="BJ10" s="3">
        <v>1.1833400000000001</v>
      </c>
      <c r="BK10" s="3">
        <v>1.5015799999999999</v>
      </c>
      <c r="BL10" s="3">
        <v>1.80833</v>
      </c>
      <c r="BM10" s="3">
        <v>1.84924</v>
      </c>
      <c r="BN10" s="3">
        <v>2.0440499999999999</v>
      </c>
      <c r="BO10" s="3">
        <v>1.87035</v>
      </c>
      <c r="BP10" s="3">
        <v>1.70041</v>
      </c>
      <c r="BQ10" s="3">
        <v>1.7873399999999999</v>
      </c>
      <c r="BR10" s="3">
        <v>1.5441</v>
      </c>
      <c r="BS10" s="3">
        <v>1.41124</v>
      </c>
      <c r="BT10" s="3">
        <v>1.5168200000000001</v>
      </c>
      <c r="BU10" s="3">
        <v>1.5055099999999999</v>
      </c>
      <c r="BV10" s="3">
        <v>1.43</v>
      </c>
      <c r="BW10" s="3">
        <v>1.5861499999999999</v>
      </c>
      <c r="BX10" s="3">
        <v>1.56829</v>
      </c>
      <c r="BY10" s="3">
        <v>1.40656</v>
      </c>
      <c r="BZ10" s="3">
        <v>1.25603</v>
      </c>
      <c r="CA10" s="3">
        <v>1.26522</v>
      </c>
      <c r="CB10" s="3">
        <v>1.21079</v>
      </c>
      <c r="CC10" s="3">
        <v>1.1888000000000001</v>
      </c>
      <c r="CD10" s="3">
        <v>1.4432100000000001</v>
      </c>
      <c r="CE10" s="3">
        <v>1.54704</v>
      </c>
      <c r="CF10" s="3">
        <v>1.6605399999999999</v>
      </c>
      <c r="CG10" s="3">
        <v>1.7571099999999999</v>
      </c>
      <c r="CH10" s="3">
        <v>1.8029900000000001</v>
      </c>
      <c r="CI10" s="3">
        <v>1.58623</v>
      </c>
      <c r="CJ10" s="3">
        <v>1.45305</v>
      </c>
      <c r="CK10" s="3">
        <v>1.55443</v>
      </c>
      <c r="CL10" s="3">
        <v>1.72851</v>
      </c>
      <c r="CM10" s="3">
        <v>1.9337899999999999</v>
      </c>
      <c r="CN10" s="3">
        <v>1.95061</v>
      </c>
      <c r="CO10" s="3">
        <v>1.9731300000000001</v>
      </c>
      <c r="CP10" s="3">
        <v>1.73471</v>
      </c>
      <c r="CQ10" s="3">
        <v>1.6189800000000001</v>
      </c>
      <c r="CR10" s="3">
        <v>1.6722900000000001</v>
      </c>
      <c r="CS10" s="3">
        <v>1.5552999999999999</v>
      </c>
      <c r="CT10" s="3">
        <v>1.57887</v>
      </c>
      <c r="CU10" s="3">
        <v>0.95455999999999996</v>
      </c>
      <c r="CV10" s="3">
        <v>1.3431900000000001</v>
      </c>
      <c r="CW10" s="3">
        <v>1.44347</v>
      </c>
      <c r="CX10" s="3">
        <v>1.8647499999999999</v>
      </c>
      <c r="CY10" s="3">
        <v>3.54135</v>
      </c>
      <c r="CZ10" s="3">
        <v>4.0011999999999999</v>
      </c>
      <c r="DA10" s="3">
        <v>4.8846499999999997</v>
      </c>
      <c r="DB10" s="3">
        <v>5.5619300000000003</v>
      </c>
      <c r="DC10" s="3">
        <v>5.2857900000000004</v>
      </c>
      <c r="DD10" s="3">
        <v>5.3590499999999999</v>
      </c>
      <c r="DE10" s="3">
        <v>5.2031400000000003</v>
      </c>
      <c r="DF10" s="3">
        <v>4.8598699999999999</v>
      </c>
      <c r="DG10" s="3">
        <v>4.6170600000000004</v>
      </c>
      <c r="DH10" s="3">
        <v>3.9026299999999998</v>
      </c>
      <c r="DI10" s="3">
        <v>3.2327699999999999</v>
      </c>
      <c r="DJ10" s="3">
        <v>2.9910100000000002</v>
      </c>
      <c r="DK10" s="3">
        <v>2.7274400000000001</v>
      </c>
      <c r="DL10" s="3">
        <v>2.6857099999999998</v>
      </c>
      <c r="DM10" s="3">
        <v>2.8443100000000001</v>
      </c>
      <c r="DN10" s="3"/>
    </row>
    <row r="11" spans="1:118" x14ac:dyDescent="0.25">
      <c r="A11" s="5" t="s">
        <v>15</v>
      </c>
      <c r="B11" s="3">
        <v>2.6013099999999998</v>
      </c>
      <c r="C11" s="3">
        <v>4.0023799999999996</v>
      </c>
      <c r="D11" s="3">
        <v>4.0501300000000002</v>
      </c>
      <c r="E11" s="3">
        <v>4.4214500000000001</v>
      </c>
      <c r="F11" s="3">
        <v>4.3140700000000001</v>
      </c>
      <c r="G11" s="3">
        <v>4.3112700000000004</v>
      </c>
      <c r="H11" s="3">
        <v>4.6746999999999996</v>
      </c>
      <c r="I11" s="3">
        <v>4.4835500000000001</v>
      </c>
      <c r="J11" s="3">
        <v>4.8555299999999999</v>
      </c>
      <c r="K11" s="3">
        <v>4.0927899999999999</v>
      </c>
      <c r="L11" s="3">
        <v>4.1034499999999996</v>
      </c>
      <c r="M11" s="3">
        <v>4.8831300000000004</v>
      </c>
      <c r="N11" s="3">
        <v>4.8163400000000003</v>
      </c>
      <c r="O11" s="3">
        <v>4.7218900000000001</v>
      </c>
      <c r="P11" s="3">
        <v>4.7911200000000003</v>
      </c>
      <c r="Q11" s="3">
        <v>4.8235700000000001</v>
      </c>
      <c r="R11" s="3">
        <v>4.2247399999999997</v>
      </c>
      <c r="S11" s="3">
        <v>5.2444600000000001</v>
      </c>
      <c r="T11" s="3">
        <v>3.9731700000000001</v>
      </c>
      <c r="U11" s="3">
        <v>2.9055900000000001</v>
      </c>
      <c r="V11" s="3">
        <v>2.1975099999999999</v>
      </c>
      <c r="W11" s="3">
        <v>0.99629999999999996</v>
      </c>
      <c r="X11" s="3">
        <v>0.48924000000000001</v>
      </c>
      <c r="Y11" s="3">
        <v>0.16732</v>
      </c>
      <c r="Z11" s="3">
        <v>1.3372599999999999</v>
      </c>
      <c r="AA11" s="3">
        <v>1.32538</v>
      </c>
      <c r="AB11" s="3">
        <v>2.1465200000000002</v>
      </c>
      <c r="AC11" s="3">
        <v>1.9925200000000001</v>
      </c>
      <c r="AD11" s="3">
        <v>1.67926</v>
      </c>
      <c r="AE11" s="3">
        <v>1.9550700000000001</v>
      </c>
      <c r="AF11" s="3">
        <v>3.2311399999999999</v>
      </c>
      <c r="AG11" s="3">
        <v>4.30044</v>
      </c>
      <c r="AH11" s="3">
        <v>4.3419499999999998</v>
      </c>
      <c r="AI11" s="3">
        <v>4.2274900000000004</v>
      </c>
      <c r="AJ11" s="3">
        <v>3.4948600000000001</v>
      </c>
      <c r="AK11" s="3">
        <v>3.3511000000000002</v>
      </c>
      <c r="AL11" s="3">
        <v>3.9088400000000001</v>
      </c>
      <c r="AM11" s="3">
        <v>3.61774</v>
      </c>
      <c r="AN11" s="3">
        <v>3.4485999999999999</v>
      </c>
      <c r="AO11" s="3">
        <v>2.9727399999999999</v>
      </c>
      <c r="AP11" s="3">
        <v>3.2131099999999999</v>
      </c>
      <c r="AQ11" s="3">
        <v>2.9729000000000001</v>
      </c>
      <c r="AR11" s="3">
        <v>2.3252799999999998</v>
      </c>
      <c r="AS11" s="3">
        <v>2.63456</v>
      </c>
      <c r="AT11" s="3">
        <v>1.5767199999999999</v>
      </c>
      <c r="AU11" s="3">
        <v>1.9343699999999999</v>
      </c>
      <c r="AV11" s="3">
        <v>2.3680400000000001</v>
      </c>
      <c r="AW11" s="3">
        <v>2.1333600000000001</v>
      </c>
      <c r="AX11" s="3">
        <v>1.3924700000000001</v>
      </c>
      <c r="AY11" s="3">
        <v>1.37601</v>
      </c>
      <c r="AZ11" s="3">
        <v>0.26596999999999998</v>
      </c>
      <c r="BA11" s="3">
        <v>-2.54115</v>
      </c>
      <c r="BB11" s="3">
        <v>-3.2342300000000002</v>
      </c>
      <c r="BC11" s="3">
        <v>-3.9788399999999999</v>
      </c>
      <c r="BD11" s="3">
        <v>-3.1328200000000002</v>
      </c>
      <c r="BE11" s="3">
        <v>0.10557</v>
      </c>
      <c r="BF11" s="3">
        <v>1.7452700000000001</v>
      </c>
      <c r="BG11" s="3">
        <v>2.9136000000000002</v>
      </c>
      <c r="BH11" s="3">
        <v>3.3442099999999999</v>
      </c>
      <c r="BI11" s="3">
        <v>2.77596</v>
      </c>
      <c r="BJ11" s="3">
        <v>2.0377999999999998</v>
      </c>
      <c r="BK11" s="3">
        <v>1.7437100000000001</v>
      </c>
      <c r="BL11" s="3">
        <v>0.94264999999999999</v>
      </c>
      <c r="BM11" s="3">
        <v>1.54308</v>
      </c>
      <c r="BN11" s="3">
        <v>2.6380699999999999</v>
      </c>
      <c r="BO11" s="3">
        <v>2.40334</v>
      </c>
      <c r="BP11" s="3">
        <v>2.5737100000000002</v>
      </c>
      <c r="BQ11" s="3">
        <v>1.55185</v>
      </c>
      <c r="BR11" s="3">
        <v>1.7008700000000001</v>
      </c>
      <c r="BS11" s="3">
        <v>1.5199400000000001</v>
      </c>
      <c r="BT11" s="3">
        <v>2.2370199999999998</v>
      </c>
      <c r="BU11" s="3">
        <v>3.0091399999999999</v>
      </c>
      <c r="BV11" s="3">
        <v>1.65082</v>
      </c>
      <c r="BW11" s="3">
        <v>2.6891500000000002</v>
      </c>
      <c r="BX11" s="3">
        <v>3.0597799999999999</v>
      </c>
      <c r="BY11" s="3">
        <v>2.6858399999999998</v>
      </c>
      <c r="BZ11" s="3">
        <v>3.9693000000000001</v>
      </c>
      <c r="CA11" s="3">
        <v>3.2790900000000001</v>
      </c>
      <c r="CB11" s="3">
        <v>2.4473199999999999</v>
      </c>
      <c r="CC11" s="3">
        <v>2.1198600000000001</v>
      </c>
      <c r="CD11" s="3">
        <v>1.7950200000000001</v>
      </c>
      <c r="CE11" s="3">
        <v>1.49325</v>
      </c>
      <c r="CF11" s="3">
        <v>1.80576</v>
      </c>
      <c r="CG11" s="3">
        <v>2.1815699999999998</v>
      </c>
      <c r="CH11" s="3">
        <v>2.0874600000000001</v>
      </c>
      <c r="CI11" s="3">
        <v>2.3304100000000001</v>
      </c>
      <c r="CJ11" s="3">
        <v>2.4108200000000002</v>
      </c>
      <c r="CK11" s="3">
        <v>2.9941399999999998</v>
      </c>
      <c r="CL11" s="3">
        <v>3.3288099999999998</v>
      </c>
      <c r="CM11" s="3">
        <v>3.2989600000000001</v>
      </c>
      <c r="CN11" s="3">
        <v>3.1300300000000001</v>
      </c>
      <c r="CO11" s="3">
        <v>2.1251099999999998</v>
      </c>
      <c r="CP11" s="3">
        <v>1.9335599999999999</v>
      </c>
      <c r="CQ11" s="3">
        <v>2.24213</v>
      </c>
      <c r="CR11" s="3">
        <v>2.7972199999999998</v>
      </c>
      <c r="CS11" s="3">
        <v>3.3517800000000002</v>
      </c>
      <c r="CT11" s="3">
        <v>1.2803500000000001</v>
      </c>
      <c r="CU11" s="3">
        <v>-7.50237</v>
      </c>
      <c r="CV11" s="3">
        <v>-1.41306</v>
      </c>
      <c r="CW11" s="3">
        <v>-1.0185999999999999</v>
      </c>
      <c r="CX11" s="3">
        <v>1.76454</v>
      </c>
      <c r="CY11" s="3">
        <v>12.23926</v>
      </c>
      <c r="CZ11" s="3">
        <v>4.9765800000000002</v>
      </c>
      <c r="DA11" s="3">
        <v>5.7226800000000004</v>
      </c>
      <c r="DB11" s="3">
        <v>4.0148900000000003</v>
      </c>
      <c r="DC11" s="3">
        <v>2.47892</v>
      </c>
      <c r="DD11" s="3">
        <v>2.2963900000000002</v>
      </c>
      <c r="DE11" s="3">
        <v>1.31633</v>
      </c>
      <c r="DF11" s="3">
        <v>2.2808099999999998</v>
      </c>
      <c r="DG11" s="3">
        <v>2.8294600000000001</v>
      </c>
      <c r="DH11" s="3">
        <v>3.23631</v>
      </c>
      <c r="DI11" s="3">
        <v>3.1962199999999998</v>
      </c>
      <c r="DJ11" s="3">
        <v>2.9018299999999999</v>
      </c>
      <c r="DK11" s="3">
        <v>3.0368499999999998</v>
      </c>
      <c r="DL11" s="3">
        <v>2.7187700000000001</v>
      </c>
      <c r="DM11" s="3">
        <v>2.5073099999999999</v>
      </c>
      <c r="DN11" s="3"/>
    </row>
    <row r="14" spans="1:118" x14ac:dyDescent="0.25">
      <c r="A14" s="5" t="s">
        <v>32</v>
      </c>
      <c r="B14" s="6">
        <v>43831</v>
      </c>
      <c r="C14" s="6">
        <v>43922</v>
      </c>
      <c r="D14" s="6">
        <v>44013</v>
      </c>
      <c r="E14" s="6">
        <v>44105</v>
      </c>
      <c r="F14" s="6">
        <v>44197</v>
      </c>
      <c r="G14" s="6">
        <v>44287</v>
      </c>
      <c r="H14" s="6">
        <v>44378</v>
      </c>
      <c r="I14" s="6">
        <v>44470</v>
      </c>
      <c r="J14" s="6">
        <v>44562</v>
      </c>
      <c r="K14" s="6">
        <v>44652</v>
      </c>
      <c r="L14" s="6">
        <v>44743</v>
      </c>
      <c r="M14" s="6">
        <v>44835</v>
      </c>
      <c r="N14" s="6">
        <v>44927</v>
      </c>
      <c r="O14" s="6">
        <v>45017</v>
      </c>
      <c r="P14" s="6">
        <v>45108</v>
      </c>
      <c r="Q14" s="6">
        <v>45200</v>
      </c>
      <c r="R14" s="6">
        <v>45292</v>
      </c>
      <c r="S14" s="6">
        <v>45383</v>
      </c>
      <c r="T14" s="6">
        <v>45474</v>
      </c>
      <c r="U14" s="6">
        <v>45566</v>
      </c>
    </row>
    <row r="15" spans="1:118" x14ac:dyDescent="0.25">
      <c r="A15" s="5" t="s">
        <v>6</v>
      </c>
      <c r="B15" s="2">
        <v>-1.03</v>
      </c>
      <c r="C15" s="2">
        <v>-4.09</v>
      </c>
      <c r="D15" s="2">
        <v>2.74</v>
      </c>
      <c r="E15" s="2">
        <v>1.42</v>
      </c>
      <c r="F15" s="2">
        <v>1.25</v>
      </c>
      <c r="G15" s="2">
        <v>1.17</v>
      </c>
      <c r="H15" s="2">
        <v>-0.21</v>
      </c>
      <c r="I15" s="2">
        <v>0.47</v>
      </c>
      <c r="J15" s="2">
        <v>1.66</v>
      </c>
      <c r="K15" s="2">
        <v>0.94</v>
      </c>
      <c r="L15" s="2">
        <v>1.01</v>
      </c>
      <c r="M15" s="2">
        <v>0.76</v>
      </c>
      <c r="N15" s="2">
        <v>0.71</v>
      </c>
      <c r="O15" s="2">
        <v>1.3</v>
      </c>
      <c r="P15" s="2">
        <v>0.16</v>
      </c>
      <c r="Q15" s="2">
        <v>0.52</v>
      </c>
      <c r="R15" s="2">
        <v>0.61</v>
      </c>
      <c r="S15" s="2">
        <v>0.53</v>
      </c>
      <c r="T15" s="2">
        <v>0.55000000000000004</v>
      </c>
      <c r="U15" s="2">
        <v>-0.45</v>
      </c>
      <c r="W15">
        <f>(1+B3/100)</f>
        <v>1.0210318</v>
      </c>
      <c r="X15">
        <f>W15*(1+C3/100)</f>
        <v>1.1342219559034801</v>
      </c>
      <c r="Y15">
        <f t="shared" ref="Y15:AJ15" si="0">X15*(1+D3/100)</f>
        <v>1.1471163582091686</v>
      </c>
      <c r="Z15">
        <f t="shared" si="0"/>
        <v>1.356599535619524</v>
      </c>
      <c r="AA15">
        <f t="shared" si="0"/>
        <v>1.4810313218050142</v>
      </c>
      <c r="AB15">
        <f t="shared" si="0"/>
        <v>1.5418248436055986</v>
      </c>
      <c r="AC15">
        <f t="shared" si="0"/>
        <v>1.860298170183881</v>
      </c>
      <c r="AD15">
        <f t="shared" si="0"/>
        <v>1.7856782620410991</v>
      </c>
      <c r="AE15">
        <f t="shared" si="0"/>
        <v>1.9046897897139619</v>
      </c>
      <c r="AF15">
        <f t="shared" si="0"/>
        <v>2.1084127430560615</v>
      </c>
      <c r="AG15">
        <f t="shared" si="0"/>
        <v>2.3088298139187242</v>
      </c>
      <c r="AH15">
        <f t="shared" si="0"/>
        <v>2.5595745037848325</v>
      </c>
      <c r="AI15">
        <f t="shared" si="0"/>
        <v>3.4239553556280393</v>
      </c>
      <c r="AJ15">
        <f>AI15*(1+O3/100)</f>
        <v>3.6631169252409803</v>
      </c>
      <c r="AK15">
        <f t="shared" ref="AK15:AR15" si="1">AJ15*(1+P3/100)</f>
        <v>4.0489061430799698</v>
      </c>
      <c r="AL15">
        <f t="shared" si="1"/>
        <v>4.9786078738417059</v>
      </c>
      <c r="AM15">
        <f t="shared" si="1"/>
        <v>6.9122722875593059</v>
      </c>
      <c r="AN15">
        <f t="shared" si="1"/>
        <v>6.1994455903592103</v>
      </c>
      <c r="AO15">
        <f t="shared" si="1"/>
        <v>6.4563270577304523</v>
      </c>
      <c r="AP15">
        <f t="shared" si="1"/>
        <v>5.0238223898367442</v>
      </c>
    </row>
    <row r="16" spans="1:118" x14ac:dyDescent="0.25">
      <c r="A16" s="5" t="s">
        <v>7</v>
      </c>
      <c r="B16" s="3">
        <v>5.80891</v>
      </c>
      <c r="C16" s="3">
        <v>5.7976099999999997</v>
      </c>
      <c r="D16" s="3">
        <v>21.02084</v>
      </c>
      <c r="E16" s="3">
        <v>8.2720400000000005</v>
      </c>
      <c r="F16" s="3">
        <v>8.9683299999999999</v>
      </c>
      <c r="G16" s="3">
        <v>5.1234799999999998</v>
      </c>
      <c r="H16" s="3">
        <v>9.5393399999999993</v>
      </c>
      <c r="I16" s="3">
        <v>4.8292900000000003</v>
      </c>
      <c r="J16" s="3">
        <v>-7.9937500000000004</v>
      </c>
      <c r="K16" s="3">
        <v>-12.648</v>
      </c>
      <c r="L16" s="3">
        <v>-2.7468400000000002</v>
      </c>
      <c r="M16" s="3">
        <v>-8.3843499999999995</v>
      </c>
      <c r="N16" s="3">
        <v>6.7503099999999998</v>
      </c>
      <c r="O16" s="3">
        <v>14.09069</v>
      </c>
      <c r="P16" s="3">
        <v>10.167350000000001</v>
      </c>
      <c r="Q16" s="3">
        <v>2.3593700000000002</v>
      </c>
      <c r="R16" s="3">
        <v>13.05588</v>
      </c>
      <c r="S16" s="3">
        <v>4.86273</v>
      </c>
      <c r="T16" s="3">
        <v>5.2433199999999998</v>
      </c>
      <c r="U16" s="3">
        <v>6.8819699999999999</v>
      </c>
      <c r="W16">
        <f>1+B16/100</f>
        <v>1.0580890999999999</v>
      </c>
      <c r="X16">
        <f>W16*(1+C16/100)</f>
        <v>1.11943297947051</v>
      </c>
      <c r="Y16">
        <f t="shared" ref="Y16:AP16" si="2">X16*(1+D16/100)</f>
        <v>1.3547471949922387</v>
      </c>
      <c r="Z16">
        <f t="shared" si="2"/>
        <v>1.4668124248608745</v>
      </c>
      <c r="AA16">
        <f t="shared" si="2"/>
        <v>1.5983610036033997</v>
      </c>
      <c r="AB16">
        <f t="shared" si="2"/>
        <v>1.6802527099508193</v>
      </c>
      <c r="AC16">
        <f t="shared" si="2"/>
        <v>1.840537728812242</v>
      </c>
      <c r="AD16">
        <f t="shared" si="2"/>
        <v>1.9294226332959989</v>
      </c>
      <c r="AE16">
        <f t="shared" si="2"/>
        <v>1.7751894115469</v>
      </c>
      <c r="AF16">
        <f t="shared" si="2"/>
        <v>1.550663454774448</v>
      </c>
      <c r="AG16">
        <f t="shared" si="2"/>
        <v>1.5080692107333216</v>
      </c>
      <c r="AH16">
        <f t="shared" si="2"/>
        <v>1.3816274098632024</v>
      </c>
      <c r="AI16">
        <f t="shared" si="2"/>
        <v>1.4748915430739391</v>
      </c>
      <c r="AJ16">
        <f t="shared" si="2"/>
        <v>1.6827139382447045</v>
      </c>
      <c r="AK16">
        <f t="shared" si="2"/>
        <v>1.8538013538448275</v>
      </c>
      <c r="AL16">
        <f t="shared" si="2"/>
        <v>1.897539386847036</v>
      </c>
      <c r="AM16">
        <f t="shared" si="2"/>
        <v>2.1452798521465208</v>
      </c>
      <c r="AN16">
        <f t="shared" si="2"/>
        <v>2.2495990191008053</v>
      </c>
      <c r="AO16">
        <f t="shared" si="2"/>
        <v>2.3675526943891216</v>
      </c>
      <c r="AP16">
        <f>AO16*(1+U16/100)</f>
        <v>2.5304869605511726</v>
      </c>
    </row>
    <row r="17" spans="1:21" x14ac:dyDescent="0.25">
      <c r="A17" s="5" t="s">
        <v>8</v>
      </c>
      <c r="B17" s="3">
        <v>1.08518</v>
      </c>
      <c r="C17" s="3">
        <v>-9.3451799999999992</v>
      </c>
      <c r="D17" s="3">
        <v>-1.6884600000000001</v>
      </c>
      <c r="E17" s="3">
        <v>-1.0102500000000001</v>
      </c>
      <c r="F17" s="3">
        <v>2.7201</v>
      </c>
      <c r="G17" s="3">
        <v>15.581490000000001</v>
      </c>
      <c r="H17" s="3">
        <v>5.9789199999999996</v>
      </c>
      <c r="I17" s="3">
        <v>6.82179</v>
      </c>
      <c r="J17" s="3">
        <v>4.4354699999999996</v>
      </c>
      <c r="K17" s="3">
        <v>2.4522300000000001</v>
      </c>
      <c r="L17" s="3">
        <v>2.2521800000000001</v>
      </c>
      <c r="M17" s="3">
        <v>0.95013999999999998</v>
      </c>
      <c r="N17" s="3">
        <v>2.09192</v>
      </c>
      <c r="O17" s="3">
        <v>2.78308</v>
      </c>
      <c r="P17" s="3">
        <v>3.37507</v>
      </c>
      <c r="Q17" s="3">
        <v>3.3067500000000001</v>
      </c>
      <c r="R17" s="3">
        <v>3.0120499999999999</v>
      </c>
      <c r="S17" s="3">
        <v>3.1774</v>
      </c>
      <c r="T17" s="3">
        <v>2.8389099999999998</v>
      </c>
      <c r="U17" s="3">
        <v>2.5546899999999999</v>
      </c>
    </row>
    <row r="18" spans="1:21" x14ac:dyDescent="0.25">
      <c r="A18" s="5" t="s">
        <v>9</v>
      </c>
      <c r="B18" s="2">
        <v>1.35</v>
      </c>
      <c r="C18" s="2">
        <v>0.06</v>
      </c>
      <c r="D18" s="2">
        <v>0.09</v>
      </c>
      <c r="E18" s="2">
        <v>0.09</v>
      </c>
      <c r="F18" s="2">
        <v>0.08</v>
      </c>
      <c r="G18" s="2">
        <v>7.0000000000000007E-2</v>
      </c>
      <c r="H18" s="2">
        <v>0.09</v>
      </c>
      <c r="I18" s="2">
        <v>0.08</v>
      </c>
      <c r="J18" s="2">
        <v>0.12</v>
      </c>
      <c r="K18" s="2">
        <v>0.75</v>
      </c>
      <c r="L18" s="2">
        <v>2.16</v>
      </c>
      <c r="M18" s="2">
        <v>3.62</v>
      </c>
      <c r="N18" s="2">
        <v>4.5</v>
      </c>
      <c r="O18" s="2">
        <v>4.9800000000000004</v>
      </c>
      <c r="P18" s="2">
        <v>5.25</v>
      </c>
      <c r="Q18" s="2">
        <v>5.33</v>
      </c>
      <c r="R18" s="2">
        <v>5.33</v>
      </c>
      <c r="S18" s="2">
        <v>5.33</v>
      </c>
      <c r="T18" s="2">
        <v>5.29</v>
      </c>
      <c r="U18" s="2">
        <v>4.68</v>
      </c>
    </row>
    <row r="19" spans="1:21" x14ac:dyDescent="0.25">
      <c r="A19" s="5" t="s">
        <v>10</v>
      </c>
      <c r="B19" s="3">
        <v>2.14377</v>
      </c>
      <c r="C19" s="3">
        <v>0.40927999999999998</v>
      </c>
      <c r="D19" s="3">
        <v>1.2231399999999999</v>
      </c>
      <c r="E19" s="3">
        <v>1.24227</v>
      </c>
      <c r="F19" s="3">
        <v>1.8811199999999999</v>
      </c>
      <c r="G19" s="3">
        <v>4.7944000000000004</v>
      </c>
      <c r="H19" s="3">
        <v>5.27142</v>
      </c>
      <c r="I19" s="3">
        <v>6.7515200000000002</v>
      </c>
      <c r="J19" s="3">
        <v>8.0240500000000008</v>
      </c>
      <c r="K19" s="3">
        <v>8.5901300000000003</v>
      </c>
      <c r="L19" s="3">
        <v>8.28965</v>
      </c>
      <c r="M19" s="3">
        <v>7.0963900000000004</v>
      </c>
      <c r="N19" s="3">
        <v>5.7389200000000002</v>
      </c>
      <c r="O19" s="3">
        <v>4.0367899999999999</v>
      </c>
      <c r="P19" s="3">
        <v>3.56494</v>
      </c>
      <c r="Q19" s="3">
        <v>3.2362000000000002</v>
      </c>
      <c r="R19" s="3">
        <v>3.2479900000000002</v>
      </c>
      <c r="S19" s="3">
        <v>3.1873999999999998</v>
      </c>
      <c r="T19" s="3">
        <v>2.6598700000000002</v>
      </c>
      <c r="U19" s="3">
        <v>2.71949</v>
      </c>
    </row>
    <row r="20" spans="1:21" x14ac:dyDescent="0.25">
      <c r="A20" s="5" t="s">
        <v>11</v>
      </c>
      <c r="B20" s="3">
        <v>2.2489599999999998</v>
      </c>
      <c r="C20" s="3">
        <v>1.27759</v>
      </c>
      <c r="D20" s="3">
        <v>1.6675</v>
      </c>
      <c r="E20" s="3">
        <v>1.6433599999999999</v>
      </c>
      <c r="F20" s="3">
        <v>1.43608</v>
      </c>
      <c r="G20" s="3">
        <v>3.7244299999999999</v>
      </c>
      <c r="H20" s="3">
        <v>4.0563200000000004</v>
      </c>
      <c r="I20" s="3">
        <v>5.0211899999999998</v>
      </c>
      <c r="J20" s="3">
        <v>6.3316699999999999</v>
      </c>
      <c r="K20" s="3">
        <v>6.0277700000000003</v>
      </c>
      <c r="L20" s="3">
        <v>6.2761899999999997</v>
      </c>
      <c r="M20" s="3">
        <v>5.9802600000000004</v>
      </c>
      <c r="N20" s="3">
        <v>5.53247</v>
      </c>
      <c r="O20" s="3">
        <v>5.2345499999999996</v>
      </c>
      <c r="P20" s="3">
        <v>4.4135400000000002</v>
      </c>
      <c r="Q20" s="3">
        <v>3.98455</v>
      </c>
      <c r="R20" s="3">
        <v>3.8163</v>
      </c>
      <c r="S20" s="3">
        <v>3.4245299999999999</v>
      </c>
      <c r="T20" s="3">
        <v>3.2700499999999999</v>
      </c>
      <c r="U20" s="3">
        <v>3.2620900000000002</v>
      </c>
    </row>
    <row r="21" spans="1:21" x14ac:dyDescent="0.25">
      <c r="A21" s="5" t="s">
        <v>12</v>
      </c>
      <c r="B21" s="4">
        <v>96.6</v>
      </c>
      <c r="C21" s="4">
        <v>74.099999999999994</v>
      </c>
      <c r="D21" s="4">
        <v>75.7</v>
      </c>
      <c r="E21" s="4">
        <v>79.8</v>
      </c>
      <c r="F21" s="4">
        <v>80.2</v>
      </c>
      <c r="G21" s="4">
        <v>85.6</v>
      </c>
      <c r="H21" s="4">
        <v>74.8</v>
      </c>
      <c r="I21" s="4">
        <v>69.900000000000006</v>
      </c>
      <c r="J21" s="4">
        <v>63.1</v>
      </c>
      <c r="K21" s="4">
        <v>57.9</v>
      </c>
      <c r="L21" s="4">
        <v>56.1</v>
      </c>
      <c r="M21" s="4">
        <v>58.8</v>
      </c>
      <c r="N21" s="4">
        <v>64.599999999999994</v>
      </c>
      <c r="O21" s="4">
        <v>62.3</v>
      </c>
      <c r="P21" s="4">
        <v>69.599999999999994</v>
      </c>
      <c r="Q21" s="4">
        <v>64.900000000000006</v>
      </c>
      <c r="R21" s="4">
        <v>78.400000000000006</v>
      </c>
      <c r="S21" s="4">
        <v>71.5</v>
      </c>
      <c r="T21" s="4">
        <v>68.099999999999994</v>
      </c>
      <c r="U21" s="4">
        <v>72.099999999999994</v>
      </c>
    </row>
    <row r="22" spans="1:21" x14ac:dyDescent="0.25">
      <c r="A22" s="5" t="s">
        <v>13</v>
      </c>
      <c r="B22" s="3">
        <v>1.5099499999999999</v>
      </c>
      <c r="C22" s="3">
        <v>0.54305999999999999</v>
      </c>
      <c r="D22" s="3">
        <v>1.1163099999999999</v>
      </c>
      <c r="E22" s="3">
        <v>1.2083299999999999</v>
      </c>
      <c r="F22" s="3">
        <v>2.03504</v>
      </c>
      <c r="G22" s="3">
        <v>4.0389299999999997</v>
      </c>
      <c r="H22" s="3">
        <v>4.6248500000000003</v>
      </c>
      <c r="I22" s="3">
        <v>5.8385400000000001</v>
      </c>
      <c r="J22" s="3">
        <v>6.62357</v>
      </c>
      <c r="K22" s="3">
        <v>6.9181999999999997</v>
      </c>
      <c r="L22" s="3">
        <v>6.6857699999999998</v>
      </c>
      <c r="M22" s="3">
        <v>5.9924299999999997</v>
      </c>
      <c r="N22" s="3">
        <v>5.0496800000000004</v>
      </c>
      <c r="O22" s="3">
        <v>3.8980700000000001</v>
      </c>
      <c r="P22" s="3">
        <v>3.3924799999999999</v>
      </c>
      <c r="Q22" s="3">
        <v>2.7990400000000002</v>
      </c>
      <c r="R22" s="3">
        <v>2.6706799999999999</v>
      </c>
      <c r="S22" s="3">
        <v>2.5744400000000001</v>
      </c>
      <c r="T22" s="3">
        <v>2.2843399999999998</v>
      </c>
      <c r="U22" s="3">
        <v>2.4717500000000001</v>
      </c>
    </row>
    <row r="23" spans="1:21" x14ac:dyDescent="0.25">
      <c r="A23" s="5" t="s">
        <v>14</v>
      </c>
      <c r="B23" s="3">
        <v>1.57887</v>
      </c>
      <c r="C23" s="3">
        <v>0.95455999999999996</v>
      </c>
      <c r="D23" s="3">
        <v>1.3431900000000001</v>
      </c>
      <c r="E23" s="3">
        <v>1.44347</v>
      </c>
      <c r="F23" s="3">
        <v>1.8647499999999999</v>
      </c>
      <c r="G23" s="3">
        <v>3.54135</v>
      </c>
      <c r="H23" s="3">
        <v>4.0011999999999999</v>
      </c>
      <c r="I23" s="3">
        <v>4.8846499999999997</v>
      </c>
      <c r="J23" s="3">
        <v>5.5619300000000003</v>
      </c>
      <c r="K23" s="3">
        <v>5.2857900000000004</v>
      </c>
      <c r="L23" s="3">
        <v>5.3590499999999999</v>
      </c>
      <c r="M23" s="3">
        <v>5.2031400000000003</v>
      </c>
      <c r="N23" s="3">
        <v>4.8598699999999999</v>
      </c>
      <c r="O23" s="3">
        <v>4.6170600000000004</v>
      </c>
      <c r="P23" s="3">
        <v>3.9026299999999998</v>
      </c>
      <c r="Q23" s="3">
        <v>3.2327699999999999</v>
      </c>
      <c r="R23" s="3">
        <v>2.9910100000000002</v>
      </c>
      <c r="S23" s="3">
        <v>2.7274400000000001</v>
      </c>
      <c r="T23" s="3">
        <v>2.6857099999999998</v>
      </c>
      <c r="U23" s="3">
        <v>2.8443100000000001</v>
      </c>
    </row>
    <row r="24" spans="1:21" x14ac:dyDescent="0.25">
      <c r="A24" s="5" t="s">
        <v>15</v>
      </c>
      <c r="B24" s="3">
        <v>1.2803500000000001</v>
      </c>
      <c r="C24" s="3">
        <v>-7.50237</v>
      </c>
      <c r="D24" s="3">
        <v>-1.41306</v>
      </c>
      <c r="E24" s="3">
        <v>-1.0185999999999999</v>
      </c>
      <c r="F24" s="3">
        <v>1.76454</v>
      </c>
      <c r="G24" s="3">
        <v>12.23926</v>
      </c>
      <c r="H24" s="3">
        <v>4.9765800000000002</v>
      </c>
      <c r="I24" s="3">
        <v>5.7226800000000004</v>
      </c>
      <c r="J24" s="3">
        <v>4.0148900000000003</v>
      </c>
      <c r="K24" s="3">
        <v>2.47892</v>
      </c>
      <c r="L24" s="3">
        <v>2.2963900000000002</v>
      </c>
      <c r="M24" s="3">
        <v>1.31633</v>
      </c>
      <c r="N24" s="3">
        <v>2.2808099999999998</v>
      </c>
      <c r="O24" s="3">
        <v>2.8294600000000001</v>
      </c>
      <c r="P24" s="3">
        <v>3.23631</v>
      </c>
      <c r="Q24" s="3">
        <v>3.1962199999999998</v>
      </c>
      <c r="R24" s="3">
        <v>2.9018299999999999</v>
      </c>
      <c r="S24" s="3">
        <v>3.0368499999999998</v>
      </c>
      <c r="T24" s="3">
        <v>2.7187700000000001</v>
      </c>
      <c r="U24" s="3">
        <v>2.5073099999999999</v>
      </c>
    </row>
    <row r="27" spans="1:21" x14ac:dyDescent="0.25">
      <c r="A27" s="1" t="s">
        <v>6</v>
      </c>
      <c r="B27" t="s">
        <v>16</v>
      </c>
    </row>
    <row r="28" spans="1:21" x14ac:dyDescent="0.25">
      <c r="A28" s="1" t="s">
        <v>7</v>
      </c>
      <c r="B28" t="s">
        <v>17</v>
      </c>
    </row>
    <row r="29" spans="1:21" x14ac:dyDescent="0.25">
      <c r="A29" s="1" t="s">
        <v>8</v>
      </c>
      <c r="B29" t="s">
        <v>18</v>
      </c>
    </row>
    <row r="30" spans="1:21" x14ac:dyDescent="0.25">
      <c r="A30" s="1" t="s">
        <v>9</v>
      </c>
      <c r="B30" t="s">
        <v>19</v>
      </c>
    </row>
    <row r="31" spans="1:21" x14ac:dyDescent="0.25">
      <c r="A31" s="1" t="s">
        <v>10</v>
      </c>
      <c r="B31" t="s">
        <v>20</v>
      </c>
    </row>
    <row r="32" spans="1:21" x14ac:dyDescent="0.25">
      <c r="A32" s="1" t="s">
        <v>11</v>
      </c>
      <c r="B32" t="s">
        <v>21</v>
      </c>
    </row>
    <row r="33" spans="1:2" x14ac:dyDescent="0.25">
      <c r="A33" s="1" t="s">
        <v>12</v>
      </c>
      <c r="B33" t="s">
        <v>22</v>
      </c>
    </row>
    <row r="34" spans="1:2" x14ac:dyDescent="0.25">
      <c r="A34" s="1" t="s">
        <v>13</v>
      </c>
      <c r="B34" t="s">
        <v>23</v>
      </c>
    </row>
    <row r="35" spans="1:2" x14ac:dyDescent="0.25">
      <c r="A35" s="1" t="s">
        <v>14</v>
      </c>
      <c r="B35" t="s">
        <v>24</v>
      </c>
    </row>
    <row r="36" spans="1:2" x14ac:dyDescent="0.25">
      <c r="A36" s="1" t="s">
        <v>15</v>
      </c>
      <c r="B36" t="s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Quarterly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Longhao Desktop</cp:lastModifiedBy>
  <dcterms:created xsi:type="dcterms:W3CDTF">2025-03-04T17:07:40Z</dcterms:created>
  <dcterms:modified xsi:type="dcterms:W3CDTF">2025-03-04T17:48:54Z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{81639B11-ED20-40CC-AAA1-E2744525E65D}</vt:lpwstr>
  </property>
</Properties>
</file>