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166925"/>
  <mc:AlternateContent xmlns:mc="http://schemas.openxmlformats.org/markup-compatibility/2006">
    <mc:Choice Requires="x15">
      <x15ac:absPath xmlns:x15ac="http://schemas.microsoft.com/office/spreadsheetml/2010/11/ac" url="C:\Users\longh\Desktop\X\04_monitoring\JPAM_2025\sp500_earning_sourcce\"/>
    </mc:Choice>
  </mc:AlternateContent>
  <xr:revisionPtr revIDLastSave="0" documentId="13_ncr:1_{4A0872AA-A888-4518-9E57-CDD347C20A48}" xr6:coauthVersionLast="47" xr6:coauthVersionMax="47" xr10:uidLastSave="{00000000-0000-0000-0000-000000000000}"/>
  <bookViews>
    <workbookView xWindow="1368" yWindow="2724" windowWidth="23028" windowHeight="12204" firstSheet="1" activeTab="1" xr2:uid="{5BA6BA1B-3C69-4E0E-9843-526B8414B5F1}"/>
  </bookViews>
  <sheets>
    <sheet name="__snloffice" sheetId="3" state="veryHidden" r:id="rId1"/>
    <sheet name="Exchange-Ticker better" sheetId="6" r:id="rId2"/>
    <sheet name="template (2)" sheetId="4" state="hidden" r:id="rId3"/>
    <sheet name="alternative" sheetId="2" state="hidden" r:id="rId4"/>
    <sheet name="template" sheetId="1" state="hidden" r:id="rId5"/>
  </sheets>
  <definedNames>
    <definedName name="_xlnm._FilterDatabase" localSheetId="3" hidden="1">alternative!$A$5:$R$5</definedName>
    <definedName name="_xlnm._FilterDatabase" localSheetId="1" hidden="1">'Exchange-Ticker better'!$A$1:$G$1</definedName>
    <definedName name="_xlnm._FilterDatabase" localSheetId="2" hidden="1">'template (2)'!$A$2:$R$507</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snl__2F9F0C82_69DC_4B77_8FF2_91AAB3B89665_" localSheetId="4" hidden="1">template!$A$3:$A$506</definedName>
    <definedName name="snl__2F9F0C82_69DC_4B77_8FF2_91AAB3B89665_" localSheetId="2" hidden="1">'template (2)'!$A$3:$A$506</definedName>
    <definedName name="snl__58695667_8249_4815_9FB7_3DA680AAA7D8_" localSheetId="3" hidden="1">alternative!$A$5:$A$508</definedName>
    <definedName name="snl__784FB3B6_C2D2_41FE_871C_74F8A444F79E_" localSheetId="1" hidden="1">'Exchange-Ticker better'!$A$1:$A$504</definedName>
    <definedName name="snl__7AD94224_BDB6_4401_BE8C_F723933E820E_" localSheetId="3" hidden="1">alternative!$K$5:$K$508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60" i="6" l="1" a="1"/>
  <c r="L60" i="6"/>
  <c r="M60" i="6"/>
  <c r="N60" i="6"/>
  <c r="H3" i="6"/>
  <c r="H4" i="6"/>
  <c r="H5" i="6"/>
  <c r="H6" i="6"/>
  <c r="H7" i="6"/>
  <c r="H8" i="6"/>
  <c r="H9" i="6"/>
  <c r="H10" i="6"/>
  <c r="H11" i="6"/>
  <c r="H12" i="6"/>
  <c r="H13" i="6"/>
  <c r="H14" i="6"/>
  <c r="H15" i="6"/>
  <c r="H16" i="6"/>
  <c r="H17" i="6"/>
  <c r="H18" i="6"/>
  <c r="H19" i="6"/>
  <c r="H20" i="6"/>
  <c r="H21" i="6"/>
  <c r="H22" i="6"/>
  <c r="H23" i="6"/>
  <c r="H24" i="6"/>
  <c r="H25" i="6"/>
  <c r="H26" i="6"/>
  <c r="H27" i="6"/>
  <c r="H28" i="6"/>
  <c r="H29" i="6"/>
  <c r="H30" i="6"/>
  <c r="H31" i="6"/>
  <c r="H32" i="6"/>
  <c r="H33" i="6"/>
  <c r="H34" i="6"/>
  <c r="H35" i="6"/>
  <c r="H36" i="6"/>
  <c r="H37" i="6"/>
  <c r="H38" i="6"/>
  <c r="H39" i="6"/>
  <c r="H40" i="6"/>
  <c r="H41" i="6"/>
  <c r="H42" i="6"/>
  <c r="H43" i="6"/>
  <c r="H44" i="6"/>
  <c r="H45" i="6"/>
  <c r="H46" i="6"/>
  <c r="H47" i="6"/>
  <c r="H48" i="6"/>
  <c r="H49" i="6"/>
  <c r="H50" i="6"/>
  <c r="H51" i="6"/>
  <c r="H52" i="6"/>
  <c r="H53" i="6"/>
  <c r="H54" i="6"/>
  <c r="H55" i="6"/>
  <c r="H56" i="6"/>
  <c r="H57" i="6"/>
  <c r="H58" i="6"/>
  <c r="H59" i="6"/>
  <c r="H61" i="6"/>
  <c r="H62" i="6"/>
  <c r="H63" i="6"/>
  <c r="H64" i="6"/>
  <c r="H65" i="6"/>
  <c r="H66" i="6"/>
  <c r="H67" i="6"/>
  <c r="H68" i="6"/>
  <c r="H69" i="6"/>
  <c r="H70" i="6"/>
  <c r="H71" i="6"/>
  <c r="H72" i="6"/>
  <c r="H73" i="6"/>
  <c r="H74" i="6"/>
  <c r="H75" i="6"/>
  <c r="H76" i="6"/>
  <c r="H77" i="6"/>
  <c r="H78" i="6"/>
  <c r="H79" i="6"/>
  <c r="H80" i="6"/>
  <c r="H81" i="6"/>
  <c r="H82" i="6"/>
  <c r="H83" i="6"/>
  <c r="H84" i="6"/>
  <c r="H85" i="6"/>
  <c r="H86" i="6"/>
  <c r="H87" i="6"/>
  <c r="H88" i="6"/>
  <c r="H89" i="6"/>
  <c r="H90" i="6"/>
  <c r="H91" i="6"/>
  <c r="H92" i="6"/>
  <c r="H93" i="6"/>
  <c r="H94" i="6"/>
  <c r="H95" i="6"/>
  <c r="H96" i="6"/>
  <c r="H97" i="6"/>
  <c r="H98" i="6"/>
  <c r="H99" i="6"/>
  <c r="H100" i="6"/>
  <c r="H101" i="6"/>
  <c r="H102" i="6"/>
  <c r="H103" i="6"/>
  <c r="H104" i="6"/>
  <c r="H105" i="6"/>
  <c r="H106" i="6"/>
  <c r="H107" i="6"/>
  <c r="H108" i="6"/>
  <c r="H109" i="6"/>
  <c r="H110" i="6"/>
  <c r="H111" i="6"/>
  <c r="H112" i="6"/>
  <c r="H113" i="6"/>
  <c r="H114" i="6"/>
  <c r="H115" i="6"/>
  <c r="H116" i="6"/>
  <c r="H117" i="6"/>
  <c r="H118" i="6"/>
  <c r="H119" i="6"/>
  <c r="H120" i="6"/>
  <c r="H121" i="6"/>
  <c r="H122" i="6"/>
  <c r="H123" i="6"/>
  <c r="H124" i="6"/>
  <c r="H125" i="6"/>
  <c r="H126" i="6"/>
  <c r="H127" i="6"/>
  <c r="H128" i="6"/>
  <c r="H129" i="6"/>
  <c r="H130" i="6"/>
  <c r="H131" i="6"/>
  <c r="H132" i="6"/>
  <c r="H133" i="6"/>
  <c r="H134" i="6"/>
  <c r="H135" i="6"/>
  <c r="H136" i="6"/>
  <c r="H137" i="6"/>
  <c r="H138" i="6"/>
  <c r="H139" i="6"/>
  <c r="H140" i="6"/>
  <c r="H141" i="6"/>
  <c r="H142" i="6"/>
  <c r="H143" i="6"/>
  <c r="H144" i="6"/>
  <c r="H145" i="6"/>
  <c r="H146" i="6"/>
  <c r="H147" i="6"/>
  <c r="H148" i="6"/>
  <c r="H149" i="6"/>
  <c r="H150" i="6"/>
  <c r="H151" i="6"/>
  <c r="H152" i="6"/>
  <c r="H153" i="6"/>
  <c r="H154" i="6"/>
  <c r="H155" i="6"/>
  <c r="H156" i="6"/>
  <c r="H157" i="6"/>
  <c r="H158" i="6"/>
  <c r="H159" i="6"/>
  <c r="H160" i="6"/>
  <c r="H161" i="6"/>
  <c r="H162" i="6"/>
  <c r="H163" i="6"/>
  <c r="H164" i="6"/>
  <c r="H165" i="6"/>
  <c r="H166" i="6"/>
  <c r="H167" i="6"/>
  <c r="H168" i="6"/>
  <c r="H169" i="6"/>
  <c r="H170" i="6"/>
  <c r="H171" i="6"/>
  <c r="H172" i="6"/>
  <c r="H173" i="6"/>
  <c r="H174" i="6"/>
  <c r="H175" i="6"/>
  <c r="H176" i="6"/>
  <c r="H177" i="6"/>
  <c r="H178" i="6"/>
  <c r="H179" i="6"/>
  <c r="H180" i="6"/>
  <c r="H181" i="6"/>
  <c r="H182" i="6"/>
  <c r="H183" i="6"/>
  <c r="H184" i="6"/>
  <c r="H185" i="6"/>
  <c r="H186" i="6"/>
  <c r="H187" i="6"/>
  <c r="H188" i="6"/>
  <c r="H189" i="6"/>
  <c r="H190" i="6"/>
  <c r="H191" i="6"/>
  <c r="H192" i="6"/>
  <c r="H193" i="6"/>
  <c r="H194" i="6"/>
  <c r="H195" i="6"/>
  <c r="H196" i="6"/>
  <c r="H197" i="6"/>
  <c r="H198" i="6"/>
  <c r="H199" i="6"/>
  <c r="H200" i="6"/>
  <c r="H201" i="6"/>
  <c r="H202" i="6"/>
  <c r="H203" i="6"/>
  <c r="H204" i="6"/>
  <c r="H205" i="6"/>
  <c r="H206" i="6"/>
  <c r="H207" i="6"/>
  <c r="H208" i="6"/>
  <c r="H209" i="6"/>
  <c r="H210" i="6"/>
  <c r="H211" i="6"/>
  <c r="H212" i="6"/>
  <c r="H213" i="6"/>
  <c r="H214" i="6"/>
  <c r="H215" i="6"/>
  <c r="H216" i="6"/>
  <c r="H217" i="6"/>
  <c r="H218" i="6"/>
  <c r="H219" i="6"/>
  <c r="H220" i="6"/>
  <c r="H221" i="6"/>
  <c r="H222" i="6"/>
  <c r="H223" i="6"/>
  <c r="H224" i="6"/>
  <c r="H225" i="6"/>
  <c r="H226" i="6"/>
  <c r="H227" i="6"/>
  <c r="H228" i="6"/>
  <c r="H229" i="6"/>
  <c r="H230" i="6"/>
  <c r="H231" i="6"/>
  <c r="H232" i="6"/>
  <c r="H233" i="6"/>
  <c r="H234" i="6"/>
  <c r="H235" i="6"/>
  <c r="H236" i="6"/>
  <c r="H237" i="6"/>
  <c r="H238" i="6"/>
  <c r="H239" i="6"/>
  <c r="H240" i="6"/>
  <c r="H241" i="6"/>
  <c r="H242" i="6"/>
  <c r="H243" i="6"/>
  <c r="H244" i="6"/>
  <c r="H245" i="6"/>
  <c r="H246" i="6"/>
  <c r="H247" i="6"/>
  <c r="H248" i="6"/>
  <c r="H249" i="6"/>
  <c r="H250" i="6"/>
  <c r="H251" i="6"/>
  <c r="H252" i="6"/>
  <c r="H253" i="6"/>
  <c r="H254" i="6"/>
  <c r="H255" i="6"/>
  <c r="H256" i="6"/>
  <c r="H257" i="6"/>
  <c r="H258" i="6"/>
  <c r="H259" i="6"/>
  <c r="H260" i="6"/>
  <c r="H261" i="6"/>
  <c r="H262" i="6"/>
  <c r="H263" i="6"/>
  <c r="H264" i="6"/>
  <c r="H265" i="6"/>
  <c r="H266" i="6"/>
  <c r="H267" i="6"/>
  <c r="H268" i="6"/>
  <c r="H269" i="6"/>
  <c r="H270" i="6"/>
  <c r="H271" i="6"/>
  <c r="H272" i="6"/>
  <c r="H273" i="6"/>
  <c r="H274" i="6"/>
  <c r="H275" i="6"/>
  <c r="H276" i="6"/>
  <c r="H277" i="6"/>
  <c r="H278" i="6"/>
  <c r="H279" i="6"/>
  <c r="H280" i="6"/>
  <c r="H281" i="6"/>
  <c r="H282" i="6"/>
  <c r="H283" i="6"/>
  <c r="H284" i="6"/>
  <c r="H285" i="6"/>
  <c r="H286" i="6"/>
  <c r="H287" i="6"/>
  <c r="H288" i="6"/>
  <c r="H289" i="6"/>
  <c r="H290" i="6"/>
  <c r="H291" i="6"/>
  <c r="H292" i="6"/>
  <c r="H293" i="6"/>
  <c r="H294" i="6"/>
  <c r="H295" i="6"/>
  <c r="H296" i="6"/>
  <c r="H297" i="6"/>
  <c r="H298" i="6"/>
  <c r="H299" i="6"/>
  <c r="H300" i="6"/>
  <c r="H301" i="6"/>
  <c r="H302" i="6"/>
  <c r="H303" i="6"/>
  <c r="H304" i="6"/>
  <c r="H305" i="6"/>
  <c r="H306" i="6"/>
  <c r="H307" i="6"/>
  <c r="H308" i="6"/>
  <c r="H309" i="6"/>
  <c r="H310" i="6"/>
  <c r="H311" i="6"/>
  <c r="H312" i="6"/>
  <c r="H313" i="6"/>
  <c r="H314" i="6"/>
  <c r="H315" i="6"/>
  <c r="H316" i="6"/>
  <c r="H317" i="6"/>
  <c r="H318" i="6"/>
  <c r="H319" i="6"/>
  <c r="H320" i="6"/>
  <c r="H321" i="6"/>
  <c r="H322" i="6"/>
  <c r="H323" i="6"/>
  <c r="H324" i="6"/>
  <c r="H325" i="6"/>
  <c r="H326" i="6"/>
  <c r="H327" i="6"/>
  <c r="H328" i="6"/>
  <c r="H329" i="6"/>
  <c r="H330" i="6"/>
  <c r="H331" i="6"/>
  <c r="H332" i="6"/>
  <c r="H333" i="6"/>
  <c r="H334" i="6"/>
  <c r="H335" i="6"/>
  <c r="H336" i="6"/>
  <c r="H337" i="6"/>
  <c r="H338" i="6"/>
  <c r="H339" i="6"/>
  <c r="H340" i="6"/>
  <c r="H341" i="6"/>
  <c r="H342" i="6"/>
  <c r="H343" i="6"/>
  <c r="H344" i="6"/>
  <c r="H345" i="6"/>
  <c r="H346" i="6"/>
  <c r="H347" i="6"/>
  <c r="H348" i="6"/>
  <c r="H349" i="6"/>
  <c r="H350" i="6"/>
  <c r="H351" i="6"/>
  <c r="H352" i="6"/>
  <c r="H353" i="6"/>
  <c r="H354" i="6"/>
  <c r="H355" i="6"/>
  <c r="H356" i="6"/>
  <c r="H357" i="6"/>
  <c r="H358" i="6"/>
  <c r="H359" i="6"/>
  <c r="H360" i="6"/>
  <c r="H361" i="6"/>
  <c r="H362" i="6"/>
  <c r="H363" i="6"/>
  <c r="H364" i="6"/>
  <c r="H365" i="6"/>
  <c r="H366" i="6"/>
  <c r="H367" i="6"/>
  <c r="H368" i="6"/>
  <c r="H369" i="6"/>
  <c r="H370" i="6"/>
  <c r="H371" i="6"/>
  <c r="H372" i="6"/>
  <c r="H373" i="6"/>
  <c r="H374" i="6"/>
  <c r="H375" i="6"/>
  <c r="H376" i="6"/>
  <c r="H377" i="6"/>
  <c r="H378" i="6"/>
  <c r="H379" i="6"/>
  <c r="H380" i="6"/>
  <c r="H381" i="6"/>
  <c r="H382" i="6"/>
  <c r="H383" i="6"/>
  <c r="H384" i="6"/>
  <c r="H385" i="6"/>
  <c r="H386" i="6"/>
  <c r="H387" i="6"/>
  <c r="H388" i="6"/>
  <c r="H389" i="6"/>
  <c r="H390" i="6"/>
  <c r="H391" i="6"/>
  <c r="H392" i="6"/>
  <c r="H393" i="6"/>
  <c r="H394" i="6"/>
  <c r="H395" i="6"/>
  <c r="H396" i="6"/>
  <c r="H397" i="6"/>
  <c r="H398" i="6"/>
  <c r="H399" i="6"/>
  <c r="H400" i="6"/>
  <c r="H401" i="6"/>
  <c r="H402" i="6"/>
  <c r="H403" i="6"/>
  <c r="H404" i="6"/>
  <c r="H405" i="6"/>
  <c r="H406" i="6"/>
  <c r="H407" i="6"/>
  <c r="H408" i="6"/>
  <c r="H409" i="6"/>
  <c r="H410" i="6"/>
  <c r="H411" i="6"/>
  <c r="H412" i="6"/>
  <c r="H413" i="6"/>
  <c r="H414" i="6"/>
  <c r="H415" i="6"/>
  <c r="H416" i="6"/>
  <c r="H417" i="6"/>
  <c r="H418" i="6"/>
  <c r="H419" i="6"/>
  <c r="H420" i="6"/>
  <c r="H421" i="6"/>
  <c r="H422" i="6"/>
  <c r="H423" i="6"/>
  <c r="H424" i="6"/>
  <c r="H425" i="6"/>
  <c r="H426" i="6"/>
  <c r="H427" i="6"/>
  <c r="H428" i="6"/>
  <c r="H429" i="6"/>
  <c r="H430" i="6"/>
  <c r="H431" i="6"/>
  <c r="H432" i="6"/>
  <c r="H433" i="6"/>
  <c r="H434" i="6"/>
  <c r="H435" i="6"/>
  <c r="H436" i="6"/>
  <c r="H437" i="6"/>
  <c r="H438" i="6"/>
  <c r="H439" i="6"/>
  <c r="H440" i="6"/>
  <c r="H441" i="6"/>
  <c r="H442" i="6"/>
  <c r="H443" i="6"/>
  <c r="H444" i="6"/>
  <c r="H445" i="6"/>
  <c r="H446" i="6"/>
  <c r="H447" i="6"/>
  <c r="H448" i="6"/>
  <c r="H449" i="6"/>
  <c r="H450" i="6"/>
  <c r="H451" i="6"/>
  <c r="H452" i="6"/>
  <c r="H453" i="6"/>
  <c r="H454" i="6"/>
  <c r="H455" i="6"/>
  <c r="H456" i="6"/>
  <c r="H457" i="6"/>
  <c r="H458" i="6"/>
  <c r="H459" i="6"/>
  <c r="H460" i="6"/>
  <c r="H461" i="6"/>
  <c r="H462" i="6"/>
  <c r="H463" i="6"/>
  <c r="H464" i="6"/>
  <c r="H465" i="6"/>
  <c r="H466" i="6"/>
  <c r="H467" i="6"/>
  <c r="H468" i="6"/>
  <c r="H469" i="6"/>
  <c r="H470" i="6"/>
  <c r="H471" i="6"/>
  <c r="H472" i="6"/>
  <c r="H473" i="6"/>
  <c r="H474" i="6"/>
  <c r="H475" i="6"/>
  <c r="H476" i="6"/>
  <c r="H477" i="6"/>
  <c r="H478" i="6"/>
  <c r="H479" i="6"/>
  <c r="H480" i="6"/>
  <c r="H481" i="6"/>
  <c r="H482" i="6"/>
  <c r="H483" i="6"/>
  <c r="H484" i="6"/>
  <c r="H485" i="6"/>
  <c r="H486" i="6"/>
  <c r="H487" i="6"/>
  <c r="H488" i="6"/>
  <c r="H489" i="6"/>
  <c r="H490" i="6"/>
  <c r="H491" i="6"/>
  <c r="H492" i="6"/>
  <c r="H493" i="6"/>
  <c r="H494" i="6"/>
  <c r="H495" i="6"/>
  <c r="H496" i="6"/>
  <c r="H497" i="6"/>
  <c r="H498" i="6"/>
  <c r="H499" i="6"/>
  <c r="H500" i="6"/>
  <c r="H501" i="6"/>
  <c r="H502" i="6"/>
  <c r="H503" i="6"/>
  <c r="H504" i="6"/>
  <c r="H2" i="6"/>
  <c r="E505" i="6"/>
  <c r="F505" i="6" s="1"/>
  <c r="C505" i="6"/>
  <c r="B505" i="6"/>
  <c r="H60" i="6" l="1"/>
  <c r="O60" i="6"/>
  <c r="D505" i="6"/>
  <c r="P60" i="6" l="1"/>
  <c r="B2" i="6" a="1"/>
  <c r="B2" i="6" l="1"/>
  <c r="C2" i="6"/>
  <c r="D2" i="6"/>
  <c r="A1" i="6" a="1"/>
  <c r="A1" i="6" l="1"/>
  <c r="B3" i="6" a="1"/>
  <c r="B3" i="6"/>
  <c r="C3" i="6"/>
  <c r="D3" i="6"/>
  <c r="B4" i="6" a="1"/>
  <c r="B4" i="6"/>
  <c r="C4" i="6"/>
  <c r="D4" i="6"/>
  <c r="B5" i="6" a="1"/>
  <c r="B5" i="6"/>
  <c r="C5" i="6"/>
  <c r="D5" i="6"/>
  <c r="B6" i="6" a="1"/>
  <c r="B6" i="6"/>
  <c r="C6" i="6"/>
  <c r="D6" i="6"/>
  <c r="B7" i="6" a="1"/>
  <c r="B7" i="6"/>
  <c r="C7" i="6"/>
  <c r="D7" i="6"/>
  <c r="B8" i="6" a="1"/>
  <c r="B8" i="6"/>
  <c r="C8" i="6"/>
  <c r="D8" i="6"/>
  <c r="B9" i="6" a="1"/>
  <c r="B9" i="6"/>
  <c r="C9" i="6"/>
  <c r="D9" i="6"/>
  <c r="B10" i="6" a="1"/>
  <c r="B10" i="6"/>
  <c r="C10" i="6"/>
  <c r="D10" i="6"/>
  <c r="B11" i="6" a="1"/>
  <c r="B11" i="6"/>
  <c r="C11" i="6"/>
  <c r="D11" i="6"/>
  <c r="B12" i="6" a="1"/>
  <c r="B12" i="6"/>
  <c r="C12" i="6"/>
  <c r="D12" i="6"/>
  <c r="B13" i="6" a="1"/>
  <c r="B13" i="6"/>
  <c r="C13" i="6"/>
  <c r="D13" i="6"/>
  <c r="B14" i="6" a="1"/>
  <c r="B14" i="6"/>
  <c r="C14" i="6"/>
  <c r="D14" i="6"/>
  <c r="B15" i="6" a="1"/>
  <c r="B15" i="6"/>
  <c r="C15" i="6"/>
  <c r="D15" i="6"/>
  <c r="B16" i="6" a="1"/>
  <c r="B16" i="6"/>
  <c r="C16" i="6"/>
  <c r="D16" i="6"/>
  <c r="B17" i="6" a="1"/>
  <c r="B17" i="6"/>
  <c r="C17" i="6"/>
  <c r="D17" i="6"/>
  <c r="B18" i="6" a="1"/>
  <c r="B18" i="6"/>
  <c r="C18" i="6"/>
  <c r="D18" i="6"/>
  <c r="B19" i="6" a="1"/>
  <c r="B19" i="6"/>
  <c r="C19" i="6"/>
  <c r="D19" i="6"/>
  <c r="B20" i="6" a="1"/>
  <c r="B20" i="6"/>
  <c r="C20" i="6"/>
  <c r="D20" i="6"/>
  <c r="B21" i="6" a="1"/>
  <c r="B21" i="6"/>
  <c r="C21" i="6"/>
  <c r="D21" i="6"/>
  <c r="B22" i="6" a="1"/>
  <c r="B22" i="6"/>
  <c r="C22" i="6"/>
  <c r="D22" i="6"/>
  <c r="B23" i="6" a="1"/>
  <c r="B23" i="6"/>
  <c r="C23" i="6"/>
  <c r="D23" i="6"/>
  <c r="B24" i="6" a="1"/>
  <c r="B24" i="6"/>
  <c r="C24" i="6"/>
  <c r="D24" i="6"/>
  <c r="B25" i="6" a="1"/>
  <c r="B25" i="6"/>
  <c r="C25" i="6"/>
  <c r="D25" i="6"/>
  <c r="B26" i="6" a="1"/>
  <c r="B26" i="6"/>
  <c r="C26" i="6"/>
  <c r="D26" i="6"/>
  <c r="B27" i="6" a="1"/>
  <c r="B27" i="6"/>
  <c r="C27" i="6"/>
  <c r="D27" i="6"/>
  <c r="B28" i="6" a="1"/>
  <c r="B28" i="6"/>
  <c r="C28" i="6"/>
  <c r="D28" i="6"/>
  <c r="B29" i="6" a="1"/>
  <c r="B29" i="6"/>
  <c r="C29" i="6"/>
  <c r="D29" i="6"/>
  <c r="B30" i="6" a="1"/>
  <c r="B30" i="6"/>
  <c r="C30" i="6"/>
  <c r="D30" i="6"/>
  <c r="B31" i="6" a="1"/>
  <c r="B31" i="6"/>
  <c r="C31" i="6"/>
  <c r="D31" i="6"/>
  <c r="B32" i="6" a="1"/>
  <c r="B32" i="6"/>
  <c r="C32" i="6"/>
  <c r="D32" i="6"/>
  <c r="B33" i="6" a="1"/>
  <c r="B33" i="6"/>
  <c r="C33" i="6"/>
  <c r="D33" i="6"/>
  <c r="B34" i="6" a="1"/>
  <c r="B34" i="6"/>
  <c r="C34" i="6"/>
  <c r="D34" i="6"/>
  <c r="B35" i="6" a="1"/>
  <c r="B35" i="6"/>
  <c r="C35" i="6"/>
  <c r="D35" i="6"/>
  <c r="B36" i="6" a="1"/>
  <c r="B36" i="6"/>
  <c r="C36" i="6"/>
  <c r="D36" i="6"/>
  <c r="B37" i="6" a="1"/>
  <c r="B37" i="6"/>
  <c r="C37" i="6"/>
  <c r="D37" i="6"/>
  <c r="B38" i="6" a="1"/>
  <c r="B38" i="6"/>
  <c r="C38" i="6"/>
  <c r="D38" i="6"/>
  <c r="B39" i="6" a="1"/>
  <c r="B39" i="6"/>
  <c r="C39" i="6"/>
  <c r="D39" i="6"/>
  <c r="B40" i="6" a="1"/>
  <c r="B40" i="6"/>
  <c r="C40" i="6"/>
  <c r="D40" i="6"/>
  <c r="B41" i="6" a="1"/>
  <c r="B41" i="6"/>
  <c r="C41" i="6"/>
  <c r="D41" i="6"/>
  <c r="B42" i="6" a="1"/>
  <c r="B42" i="6"/>
  <c r="C42" i="6"/>
  <c r="D42" i="6"/>
  <c r="B43" i="6" a="1"/>
  <c r="B43" i="6"/>
  <c r="C43" i="6"/>
  <c r="D43" i="6"/>
  <c r="B44" i="6" a="1"/>
  <c r="B44" i="6"/>
  <c r="C44" i="6"/>
  <c r="D44" i="6"/>
  <c r="B45" i="6" a="1"/>
  <c r="B45" i="6"/>
  <c r="C45" i="6"/>
  <c r="D45" i="6"/>
  <c r="B46" i="6" a="1"/>
  <c r="B46" i="6"/>
  <c r="C46" i="6"/>
  <c r="D46" i="6"/>
  <c r="B47" i="6" a="1"/>
  <c r="B47" i="6"/>
  <c r="C47" i="6"/>
  <c r="D47" i="6"/>
  <c r="B48" i="6" a="1"/>
  <c r="B48" i="6"/>
  <c r="C48" i="6"/>
  <c r="D48" i="6"/>
  <c r="B49" i="6" a="1"/>
  <c r="B49" i="6"/>
  <c r="C49" i="6"/>
  <c r="D49" i="6"/>
  <c r="B50" i="6" a="1"/>
  <c r="B50" i="6"/>
  <c r="C50" i="6"/>
  <c r="D50" i="6"/>
  <c r="B51" i="6" a="1"/>
  <c r="B51" i="6"/>
  <c r="C51" i="6"/>
  <c r="D51" i="6"/>
  <c r="B52" i="6" a="1"/>
  <c r="B52" i="6"/>
  <c r="C52" i="6"/>
  <c r="D52" i="6"/>
  <c r="B53" i="6" a="1"/>
  <c r="B53" i="6"/>
  <c r="C53" i="6"/>
  <c r="D53" i="6"/>
  <c r="B54" i="6" a="1"/>
  <c r="B54" i="6"/>
  <c r="C54" i="6"/>
  <c r="D54" i="6"/>
  <c r="B55" i="6" a="1"/>
  <c r="B55" i="6"/>
  <c r="C55" i="6"/>
  <c r="D55" i="6"/>
  <c r="B56" i="6" a="1"/>
  <c r="B56" i="6"/>
  <c r="C56" i="6"/>
  <c r="D56" i="6"/>
  <c r="B57" i="6" a="1"/>
  <c r="B57" i="6"/>
  <c r="C57" i="6"/>
  <c r="D57" i="6"/>
  <c r="B58" i="6" a="1"/>
  <c r="B58" i="6"/>
  <c r="C58" i="6"/>
  <c r="D58" i="6"/>
  <c r="B59" i="6" a="1"/>
  <c r="B59" i="6"/>
  <c r="C59" i="6"/>
  <c r="D59" i="6"/>
  <c r="B60" i="6" a="1"/>
  <c r="B60" i="6"/>
  <c r="C60" i="6"/>
  <c r="D60" i="6"/>
  <c r="B61" i="6" a="1"/>
  <c r="B61" i="6"/>
  <c r="C61" i="6"/>
  <c r="D61" i="6"/>
  <c r="B62" i="6" a="1"/>
  <c r="B62" i="6"/>
  <c r="C62" i="6"/>
  <c r="D62" i="6"/>
  <c r="B63" i="6" a="1"/>
  <c r="B63" i="6"/>
  <c r="C63" i="6"/>
  <c r="D63" i="6"/>
  <c r="B64" i="6" a="1"/>
  <c r="B64" i="6"/>
  <c r="C64" i="6"/>
  <c r="D64" i="6"/>
  <c r="B65" i="6" a="1"/>
  <c r="B65" i="6"/>
  <c r="C65" i="6"/>
  <c r="D65" i="6"/>
  <c r="B66" i="6" a="1"/>
  <c r="B66" i="6"/>
  <c r="C66" i="6"/>
  <c r="D66" i="6"/>
  <c r="B67" i="6" a="1"/>
  <c r="B67" i="6"/>
  <c r="C67" i="6"/>
  <c r="D67" i="6"/>
  <c r="B68" i="6" a="1"/>
  <c r="B68" i="6"/>
  <c r="C68" i="6"/>
  <c r="D68" i="6"/>
  <c r="B69" i="6" a="1"/>
  <c r="B69" i="6"/>
  <c r="C69" i="6"/>
  <c r="D69" i="6"/>
  <c r="B70" i="6" a="1"/>
  <c r="B70" i="6"/>
  <c r="C70" i="6"/>
  <c r="D70" i="6"/>
  <c r="B71" i="6" a="1"/>
  <c r="B71" i="6"/>
  <c r="C71" i="6"/>
  <c r="D71" i="6"/>
  <c r="B72" i="6" a="1"/>
  <c r="B72" i="6"/>
  <c r="C72" i="6"/>
  <c r="D72" i="6"/>
  <c r="B73" i="6" a="1"/>
  <c r="B73" i="6"/>
  <c r="C73" i="6"/>
  <c r="D73" i="6"/>
  <c r="B74" i="6" a="1"/>
  <c r="B74" i="6"/>
  <c r="C74" i="6"/>
  <c r="D74" i="6"/>
  <c r="B75" i="6" a="1"/>
  <c r="B75" i="6"/>
  <c r="C75" i="6"/>
  <c r="D75" i="6"/>
  <c r="B76" i="6" a="1"/>
  <c r="B76" i="6"/>
  <c r="C76" i="6"/>
  <c r="D76" i="6"/>
  <c r="B77" i="6" a="1"/>
  <c r="B77" i="6"/>
  <c r="C77" i="6"/>
  <c r="D77" i="6"/>
  <c r="B78" i="6" a="1"/>
  <c r="B78" i="6"/>
  <c r="C78" i="6"/>
  <c r="D78" i="6"/>
  <c r="B79" i="6" a="1"/>
  <c r="B79" i="6"/>
  <c r="C79" i="6"/>
  <c r="D79" i="6"/>
  <c r="B80" i="6" a="1"/>
  <c r="B80" i="6"/>
  <c r="C80" i="6"/>
  <c r="D80" i="6"/>
  <c r="B81" i="6" a="1"/>
  <c r="B81" i="6"/>
  <c r="C81" i="6"/>
  <c r="D81" i="6"/>
  <c r="B82" i="6" a="1"/>
  <c r="B82" i="6"/>
  <c r="C82" i="6"/>
  <c r="D82" i="6"/>
  <c r="B83" i="6" a="1"/>
  <c r="B83" i="6"/>
  <c r="C83" i="6"/>
  <c r="D83" i="6"/>
  <c r="B84" i="6" a="1"/>
  <c r="B84" i="6"/>
  <c r="C84" i="6"/>
  <c r="D84" i="6"/>
  <c r="B85" i="6" a="1"/>
  <c r="B85" i="6"/>
  <c r="C85" i="6"/>
  <c r="D85" i="6"/>
  <c r="B86" i="6" a="1"/>
  <c r="B86" i="6"/>
  <c r="C86" i="6"/>
  <c r="D86" i="6"/>
  <c r="B87" i="6" a="1"/>
  <c r="B87" i="6"/>
  <c r="C87" i="6"/>
  <c r="D87" i="6"/>
  <c r="B88" i="6" a="1"/>
  <c r="B88" i="6"/>
  <c r="C88" i="6"/>
  <c r="D88" i="6"/>
  <c r="B89" i="6" a="1"/>
  <c r="B89" i="6"/>
  <c r="C89" i="6"/>
  <c r="D89" i="6"/>
  <c r="B90" i="6" a="1"/>
  <c r="B90" i="6"/>
  <c r="C90" i="6"/>
  <c r="D90" i="6"/>
  <c r="B91" i="6" a="1"/>
  <c r="B91" i="6"/>
  <c r="C91" i="6"/>
  <c r="D91" i="6"/>
  <c r="B92" i="6" a="1"/>
  <c r="B92" i="6"/>
  <c r="C92" i="6"/>
  <c r="D92" i="6"/>
  <c r="B93" i="6" a="1"/>
  <c r="B93" i="6"/>
  <c r="C93" i="6"/>
  <c r="D93" i="6"/>
  <c r="B94" i="6" a="1"/>
  <c r="B94" i="6"/>
  <c r="C94" i="6"/>
  <c r="D94" i="6"/>
  <c r="B95" i="6" a="1"/>
  <c r="B95" i="6"/>
  <c r="C95" i="6"/>
  <c r="D95" i="6"/>
  <c r="B96" i="6" a="1"/>
  <c r="B96" i="6"/>
  <c r="C96" i="6"/>
  <c r="D96" i="6"/>
  <c r="B97" i="6" a="1"/>
  <c r="B97" i="6"/>
  <c r="C97" i="6"/>
  <c r="D97" i="6"/>
  <c r="B98" i="6" a="1"/>
  <c r="B98" i="6"/>
  <c r="C98" i="6"/>
  <c r="D98" i="6"/>
  <c r="B99" i="6" a="1"/>
  <c r="B99" i="6"/>
  <c r="C99" i="6"/>
  <c r="D99" i="6"/>
  <c r="B100" i="6" a="1"/>
  <c r="B100" i="6"/>
  <c r="C100" i="6"/>
  <c r="D100" i="6"/>
  <c r="B101" i="6" a="1"/>
  <c r="B101" i="6"/>
  <c r="C101" i="6"/>
  <c r="D101" i="6"/>
  <c r="B102" i="6" a="1"/>
  <c r="B102" i="6"/>
  <c r="C102" i="6"/>
  <c r="D102" i="6"/>
  <c r="B103" i="6" a="1"/>
  <c r="B103" i="6"/>
  <c r="C103" i="6"/>
  <c r="D103" i="6"/>
  <c r="B104" i="6" a="1"/>
  <c r="B104" i="6"/>
  <c r="C104" i="6"/>
  <c r="D104" i="6"/>
  <c r="B105" i="6" a="1"/>
  <c r="B105" i="6"/>
  <c r="C105" i="6"/>
  <c r="D105" i="6"/>
  <c r="B106" i="6" a="1"/>
  <c r="B106" i="6"/>
  <c r="C106" i="6"/>
  <c r="D106" i="6"/>
  <c r="B107" i="6" a="1"/>
  <c r="B107" i="6"/>
  <c r="C107" i="6"/>
  <c r="D107" i="6"/>
  <c r="B108" i="6" a="1"/>
  <c r="B108" i="6"/>
  <c r="C108" i="6"/>
  <c r="D108" i="6"/>
  <c r="B109" i="6" a="1"/>
  <c r="B109" i="6"/>
  <c r="C109" i="6"/>
  <c r="D109" i="6"/>
  <c r="B110" i="6" a="1"/>
  <c r="B110" i="6"/>
  <c r="C110" i="6"/>
  <c r="D110" i="6"/>
  <c r="B111" i="6" a="1"/>
  <c r="B111" i="6"/>
  <c r="C111" i="6"/>
  <c r="D111" i="6"/>
  <c r="B112" i="6" a="1"/>
  <c r="B112" i="6"/>
  <c r="C112" i="6"/>
  <c r="D112" i="6"/>
  <c r="B113" i="6" a="1"/>
  <c r="B113" i="6"/>
  <c r="C113" i="6"/>
  <c r="D113" i="6"/>
  <c r="B114" i="6" a="1"/>
  <c r="B114" i="6"/>
  <c r="C114" i="6"/>
  <c r="D114" i="6"/>
  <c r="B115" i="6" a="1"/>
  <c r="B115" i="6"/>
  <c r="C115" i="6"/>
  <c r="D115" i="6"/>
  <c r="B116" i="6" a="1"/>
  <c r="B116" i="6"/>
  <c r="C116" i="6"/>
  <c r="D116" i="6"/>
  <c r="B117" i="6" a="1"/>
  <c r="B117" i="6"/>
  <c r="C117" i="6"/>
  <c r="D117" i="6"/>
  <c r="B118" i="6" a="1"/>
  <c r="B118" i="6"/>
  <c r="C118" i="6"/>
  <c r="D118" i="6"/>
  <c r="B119" i="6" a="1"/>
  <c r="B119" i="6"/>
  <c r="C119" i="6"/>
  <c r="D119" i="6"/>
  <c r="B120" i="6" a="1"/>
  <c r="B120" i="6"/>
  <c r="C120" i="6"/>
  <c r="D120" i="6"/>
  <c r="B121" i="6" a="1"/>
  <c r="B121" i="6"/>
  <c r="C121" i="6"/>
  <c r="D121" i="6"/>
  <c r="B122" i="6" a="1"/>
  <c r="B122" i="6"/>
  <c r="C122" i="6"/>
  <c r="D122" i="6"/>
  <c r="B123" i="6" a="1"/>
  <c r="B123" i="6"/>
  <c r="C123" i="6"/>
  <c r="D123" i="6"/>
  <c r="B124" i="6" a="1"/>
  <c r="B124" i="6"/>
  <c r="C124" i="6"/>
  <c r="D124" i="6"/>
  <c r="B125" i="6" a="1"/>
  <c r="B125" i="6"/>
  <c r="C125" i="6"/>
  <c r="D125" i="6"/>
  <c r="B126" i="6" a="1"/>
  <c r="B126" i="6"/>
  <c r="C126" i="6"/>
  <c r="D126" i="6"/>
  <c r="B127" i="6" a="1"/>
  <c r="B127" i="6"/>
  <c r="C127" i="6"/>
  <c r="D127" i="6"/>
  <c r="B128" i="6" a="1"/>
  <c r="B128" i="6"/>
  <c r="C128" i="6"/>
  <c r="D128" i="6"/>
  <c r="B129" i="6" a="1"/>
  <c r="B129" i="6"/>
  <c r="C129" i="6"/>
  <c r="D129" i="6"/>
  <c r="B130" i="6" a="1"/>
  <c r="B130" i="6"/>
  <c r="C130" i="6"/>
  <c r="D130" i="6"/>
  <c r="B131" i="6" a="1"/>
  <c r="B131" i="6"/>
  <c r="C131" i="6"/>
  <c r="D131" i="6"/>
  <c r="B132" i="6" a="1"/>
  <c r="B132" i="6"/>
  <c r="C132" i="6"/>
  <c r="D132" i="6"/>
  <c r="B133" i="6" a="1"/>
  <c r="B133" i="6"/>
  <c r="C133" i="6"/>
  <c r="D133" i="6"/>
  <c r="B134" i="6" a="1"/>
  <c r="B134" i="6"/>
  <c r="C134" i="6"/>
  <c r="D134" i="6"/>
  <c r="B135" i="6" a="1"/>
  <c r="B135" i="6"/>
  <c r="C135" i="6"/>
  <c r="D135" i="6"/>
  <c r="B136" i="6" a="1"/>
  <c r="B136" i="6"/>
  <c r="C136" i="6"/>
  <c r="D136" i="6"/>
  <c r="B137" i="6" a="1"/>
  <c r="B137" i="6"/>
  <c r="C137" i="6"/>
  <c r="D137" i="6"/>
  <c r="B138" i="6" a="1"/>
  <c r="B138" i="6"/>
  <c r="C138" i="6"/>
  <c r="D138" i="6"/>
  <c r="B139" i="6" a="1"/>
  <c r="B139" i="6"/>
  <c r="C139" i="6"/>
  <c r="D139" i="6"/>
  <c r="B140" i="6" a="1"/>
  <c r="B140" i="6"/>
  <c r="C140" i="6"/>
  <c r="D140" i="6"/>
  <c r="B141" i="6" a="1"/>
  <c r="B141" i="6"/>
  <c r="C141" i="6"/>
  <c r="D141" i="6"/>
  <c r="B142" i="6" a="1"/>
  <c r="B142" i="6"/>
  <c r="C142" i="6"/>
  <c r="D142" i="6"/>
  <c r="B143" i="6" a="1"/>
  <c r="B143" i="6"/>
  <c r="C143" i="6"/>
  <c r="D143" i="6"/>
  <c r="B144" i="6" a="1"/>
  <c r="B144" i="6"/>
  <c r="C144" i="6"/>
  <c r="D144" i="6"/>
  <c r="B145" i="6" a="1"/>
  <c r="B145" i="6"/>
  <c r="C145" i="6"/>
  <c r="D145" i="6"/>
  <c r="B146" i="6" a="1"/>
  <c r="B146" i="6"/>
  <c r="C146" i="6"/>
  <c r="D146" i="6"/>
  <c r="B147" i="6" a="1"/>
  <c r="B147" i="6"/>
  <c r="C147" i="6"/>
  <c r="D147" i="6"/>
  <c r="B148" i="6" a="1"/>
  <c r="B148" i="6"/>
  <c r="C148" i="6"/>
  <c r="D148" i="6"/>
  <c r="B149" i="6" a="1"/>
  <c r="B149" i="6"/>
  <c r="C149" i="6"/>
  <c r="D149" i="6"/>
  <c r="B150" i="6" a="1"/>
  <c r="B150" i="6"/>
  <c r="C150" i="6"/>
  <c r="D150" i="6"/>
  <c r="B151" i="6" a="1"/>
  <c r="B151" i="6"/>
  <c r="C151" i="6"/>
  <c r="D151" i="6"/>
  <c r="B152" i="6" a="1"/>
  <c r="B152" i="6"/>
  <c r="C152" i="6"/>
  <c r="D152" i="6"/>
  <c r="B153" i="6" a="1"/>
  <c r="B153" i="6"/>
  <c r="C153" i="6"/>
  <c r="D153" i="6"/>
  <c r="B154" i="6" a="1"/>
  <c r="B154" i="6"/>
  <c r="C154" i="6"/>
  <c r="D154" i="6"/>
  <c r="B155" i="6" a="1"/>
  <c r="B155" i="6"/>
  <c r="C155" i="6"/>
  <c r="D155" i="6"/>
  <c r="B156" i="6" a="1"/>
  <c r="B156" i="6"/>
  <c r="C156" i="6"/>
  <c r="D156" i="6"/>
  <c r="B157" i="6" a="1"/>
  <c r="B157" i="6"/>
  <c r="C157" i="6"/>
  <c r="D157" i="6"/>
  <c r="B158" i="6" a="1"/>
  <c r="B158" i="6"/>
  <c r="C158" i="6"/>
  <c r="D158" i="6"/>
  <c r="B159" i="6" a="1"/>
  <c r="B159" i="6"/>
  <c r="C159" i="6"/>
  <c r="D159" i="6"/>
  <c r="B160" i="6" a="1"/>
  <c r="B160" i="6"/>
  <c r="C160" i="6"/>
  <c r="D160" i="6"/>
  <c r="B161" i="6" a="1"/>
  <c r="B161" i="6"/>
  <c r="C161" i="6"/>
  <c r="D161" i="6"/>
  <c r="B162" i="6" a="1"/>
  <c r="B162" i="6"/>
  <c r="C162" i="6"/>
  <c r="D162" i="6"/>
  <c r="B163" i="6" a="1"/>
  <c r="B163" i="6"/>
  <c r="C163" i="6"/>
  <c r="D163" i="6"/>
  <c r="B164" i="6" a="1"/>
  <c r="B164" i="6"/>
  <c r="C164" i="6"/>
  <c r="D164" i="6"/>
  <c r="B165" i="6" a="1"/>
  <c r="B165" i="6"/>
  <c r="C165" i="6"/>
  <c r="D165" i="6"/>
  <c r="B166" i="6" a="1"/>
  <c r="B166" i="6"/>
  <c r="C166" i="6"/>
  <c r="D166" i="6"/>
  <c r="B167" i="6" a="1"/>
  <c r="B167" i="6"/>
  <c r="C167" i="6"/>
  <c r="D167" i="6"/>
  <c r="B168" i="6" a="1"/>
  <c r="B168" i="6"/>
  <c r="C168" i="6"/>
  <c r="D168" i="6"/>
  <c r="B169" i="6" a="1"/>
  <c r="B169" i="6"/>
  <c r="C169" i="6"/>
  <c r="D169" i="6"/>
  <c r="B170" i="6" a="1"/>
  <c r="B170" i="6"/>
  <c r="C170" i="6"/>
  <c r="D170" i="6"/>
  <c r="B171" i="6" a="1"/>
  <c r="B171" i="6"/>
  <c r="C171" i="6"/>
  <c r="D171" i="6"/>
  <c r="B172" i="6" a="1"/>
  <c r="B172" i="6"/>
  <c r="C172" i="6"/>
  <c r="D172" i="6"/>
  <c r="B173" i="6" a="1"/>
  <c r="B173" i="6"/>
  <c r="C173" i="6"/>
  <c r="D173" i="6"/>
  <c r="B174" i="6" a="1"/>
  <c r="B174" i="6"/>
  <c r="C174" i="6"/>
  <c r="D174" i="6"/>
  <c r="B175" i="6" a="1"/>
  <c r="B175" i="6"/>
  <c r="C175" i="6"/>
  <c r="D175" i="6"/>
  <c r="B176" i="6" a="1"/>
  <c r="B176" i="6"/>
  <c r="C176" i="6"/>
  <c r="D176" i="6"/>
  <c r="B177" i="6" a="1"/>
  <c r="B177" i="6"/>
  <c r="C177" i="6"/>
  <c r="D177" i="6"/>
  <c r="B178" i="6" a="1"/>
  <c r="B178" i="6"/>
  <c r="C178" i="6"/>
  <c r="D178" i="6"/>
  <c r="B179" i="6" a="1"/>
  <c r="B179" i="6"/>
  <c r="C179" i="6"/>
  <c r="D179" i="6"/>
  <c r="B180" i="6" a="1"/>
  <c r="B180" i="6"/>
  <c r="C180" i="6"/>
  <c r="D180" i="6"/>
  <c r="B181" i="6" a="1"/>
  <c r="B181" i="6"/>
  <c r="C181" i="6"/>
  <c r="D181" i="6"/>
  <c r="B182" i="6" a="1"/>
  <c r="B182" i="6"/>
  <c r="C182" i="6"/>
  <c r="D182" i="6"/>
  <c r="B183" i="6" a="1"/>
  <c r="B183" i="6"/>
  <c r="C183" i="6"/>
  <c r="D183" i="6"/>
  <c r="B184" i="6" a="1"/>
  <c r="B184" i="6"/>
  <c r="C184" i="6"/>
  <c r="D184" i="6"/>
  <c r="B185" i="6" a="1"/>
  <c r="B185" i="6"/>
  <c r="C185" i="6"/>
  <c r="D185" i="6"/>
  <c r="B186" i="6" a="1"/>
  <c r="B186" i="6"/>
  <c r="C186" i="6"/>
  <c r="D186" i="6"/>
  <c r="B187" i="6" a="1"/>
  <c r="B187" i="6"/>
  <c r="C187" i="6"/>
  <c r="D187" i="6"/>
  <c r="B188" i="6" a="1"/>
  <c r="B188" i="6"/>
  <c r="C188" i="6"/>
  <c r="D188" i="6"/>
  <c r="B189" i="6" a="1"/>
  <c r="B189" i="6"/>
  <c r="C189" i="6"/>
  <c r="D189" i="6"/>
  <c r="B190" i="6" a="1"/>
  <c r="B190" i="6"/>
  <c r="C190" i="6"/>
  <c r="D190" i="6"/>
  <c r="B191" i="6" a="1"/>
  <c r="B191" i="6"/>
  <c r="C191" i="6"/>
  <c r="D191" i="6"/>
  <c r="B192" i="6" a="1"/>
  <c r="B192" i="6"/>
  <c r="C192" i="6"/>
  <c r="D192" i="6"/>
  <c r="B193" i="6" a="1"/>
  <c r="B193" i="6"/>
  <c r="C193" i="6"/>
  <c r="D193" i="6"/>
  <c r="B194" i="6" a="1"/>
  <c r="B194" i="6"/>
  <c r="C194" i="6"/>
  <c r="D194" i="6"/>
  <c r="B195" i="6" a="1"/>
  <c r="B195" i="6"/>
  <c r="C195" i="6"/>
  <c r="D195" i="6"/>
  <c r="B196" i="6" a="1"/>
  <c r="B196" i="6"/>
  <c r="C196" i="6"/>
  <c r="D196" i="6"/>
  <c r="B197" i="6" a="1"/>
  <c r="B197" i="6"/>
  <c r="C197" i="6"/>
  <c r="D197" i="6"/>
  <c r="B198" i="6" a="1"/>
  <c r="B198" i="6"/>
  <c r="C198" i="6"/>
  <c r="D198" i="6"/>
  <c r="B199" i="6" a="1"/>
  <c r="B199" i="6"/>
  <c r="C199" i="6"/>
  <c r="D199" i="6"/>
  <c r="B200" i="6" a="1"/>
  <c r="B200" i="6"/>
  <c r="C200" i="6"/>
  <c r="D200" i="6"/>
  <c r="B201" i="6" a="1"/>
  <c r="B201" i="6"/>
  <c r="C201" i="6"/>
  <c r="D201" i="6"/>
  <c r="B202" i="6" a="1"/>
  <c r="B202" i="6"/>
  <c r="C202" i="6"/>
  <c r="D202" i="6"/>
  <c r="B203" i="6" a="1"/>
  <c r="B203" i="6"/>
  <c r="C203" i="6"/>
  <c r="D203" i="6"/>
  <c r="B204" i="6" a="1"/>
  <c r="B204" i="6"/>
  <c r="C204" i="6"/>
  <c r="D204" i="6"/>
  <c r="B205" i="6" a="1"/>
  <c r="B205" i="6"/>
  <c r="C205" i="6"/>
  <c r="D205" i="6"/>
  <c r="B206" i="6" a="1"/>
  <c r="B206" i="6"/>
  <c r="C206" i="6"/>
  <c r="D206" i="6"/>
  <c r="B207" i="6" a="1"/>
  <c r="B207" i="6"/>
  <c r="C207" i="6"/>
  <c r="D207" i="6"/>
  <c r="B208" i="6" a="1"/>
  <c r="B208" i="6"/>
  <c r="C208" i="6"/>
  <c r="D208" i="6"/>
  <c r="B209" i="6" a="1"/>
  <c r="B209" i="6"/>
  <c r="C209" i="6"/>
  <c r="D209" i="6"/>
  <c r="B210" i="6" a="1"/>
  <c r="B210" i="6"/>
  <c r="C210" i="6"/>
  <c r="D210" i="6"/>
  <c r="B211" i="6" a="1"/>
  <c r="B211" i="6"/>
  <c r="C211" i="6"/>
  <c r="D211" i="6"/>
  <c r="B212" i="6" a="1"/>
  <c r="B212" i="6"/>
  <c r="C212" i="6"/>
  <c r="D212" i="6"/>
  <c r="B213" i="6" a="1"/>
  <c r="B213" i="6"/>
  <c r="C213" i="6"/>
  <c r="D213" i="6"/>
  <c r="B214" i="6" a="1"/>
  <c r="B214" i="6"/>
  <c r="C214" i="6"/>
  <c r="D214" i="6"/>
  <c r="B215" i="6" a="1"/>
  <c r="B215" i="6"/>
  <c r="C215" i="6"/>
  <c r="D215" i="6"/>
  <c r="B216" i="6" a="1"/>
  <c r="B216" i="6"/>
  <c r="C216" i="6"/>
  <c r="D216" i="6"/>
  <c r="B217" i="6" a="1"/>
  <c r="B217" i="6"/>
  <c r="C217" i="6"/>
  <c r="D217" i="6"/>
  <c r="B218" i="6" a="1"/>
  <c r="B218" i="6"/>
  <c r="C218" i="6"/>
  <c r="D218" i="6"/>
  <c r="B219" i="6" a="1"/>
  <c r="B219" i="6"/>
  <c r="C219" i="6"/>
  <c r="D219" i="6"/>
  <c r="B220" i="6" a="1"/>
  <c r="B220" i="6"/>
  <c r="C220" i="6"/>
  <c r="D220" i="6"/>
  <c r="B221" i="6" a="1"/>
  <c r="B221" i="6"/>
  <c r="C221" i="6"/>
  <c r="D221" i="6"/>
  <c r="B222" i="6" a="1"/>
  <c r="B222" i="6"/>
  <c r="C222" i="6"/>
  <c r="D222" i="6"/>
  <c r="B223" i="6" a="1"/>
  <c r="B223" i="6"/>
  <c r="C223" i="6"/>
  <c r="D223" i="6"/>
  <c r="B224" i="6" a="1"/>
  <c r="B224" i="6"/>
  <c r="C224" i="6"/>
  <c r="D224" i="6"/>
  <c r="B225" i="6" a="1"/>
  <c r="B225" i="6"/>
  <c r="C225" i="6"/>
  <c r="D225" i="6"/>
  <c r="B226" i="6" a="1"/>
  <c r="B226" i="6"/>
  <c r="C226" i="6"/>
  <c r="D226" i="6"/>
  <c r="B227" i="6" a="1"/>
  <c r="B227" i="6"/>
  <c r="C227" i="6"/>
  <c r="D227" i="6"/>
  <c r="B228" i="6" a="1"/>
  <c r="B228" i="6"/>
  <c r="C228" i="6"/>
  <c r="D228" i="6"/>
  <c r="B229" i="6" a="1"/>
  <c r="B229" i="6"/>
  <c r="C229" i="6"/>
  <c r="D229" i="6"/>
  <c r="B230" i="6" a="1"/>
  <c r="B230" i="6"/>
  <c r="C230" i="6"/>
  <c r="D230" i="6"/>
  <c r="B231" i="6" a="1"/>
  <c r="B231" i="6"/>
  <c r="C231" i="6"/>
  <c r="D231" i="6"/>
  <c r="B232" i="6" a="1"/>
  <c r="B232" i="6"/>
  <c r="C232" i="6"/>
  <c r="D232" i="6"/>
  <c r="B233" i="6" a="1"/>
  <c r="B233" i="6"/>
  <c r="C233" i="6"/>
  <c r="D233" i="6"/>
  <c r="B234" i="6" a="1"/>
  <c r="B234" i="6"/>
  <c r="C234" i="6"/>
  <c r="D234" i="6"/>
  <c r="B235" i="6" a="1"/>
  <c r="B235" i="6"/>
  <c r="C235" i="6"/>
  <c r="D235" i="6"/>
  <c r="B236" i="6" a="1"/>
  <c r="B236" i="6"/>
  <c r="C236" i="6"/>
  <c r="D236" i="6"/>
  <c r="B237" i="6" a="1"/>
  <c r="B237" i="6"/>
  <c r="C237" i="6"/>
  <c r="D237" i="6"/>
  <c r="B238" i="6" a="1"/>
  <c r="B238" i="6"/>
  <c r="C238" i="6"/>
  <c r="D238" i="6"/>
  <c r="B239" i="6" a="1"/>
  <c r="B239" i="6"/>
  <c r="C239" i="6"/>
  <c r="D239" i="6"/>
  <c r="B240" i="6" a="1"/>
  <c r="B240" i="6"/>
  <c r="C240" i="6"/>
  <c r="D240" i="6"/>
  <c r="B241" i="6" a="1"/>
  <c r="B241" i="6"/>
  <c r="C241" i="6"/>
  <c r="D241" i="6"/>
  <c r="B242" i="6" a="1"/>
  <c r="B242" i="6"/>
  <c r="C242" i="6"/>
  <c r="D242" i="6"/>
  <c r="B243" i="6" a="1"/>
  <c r="B243" i="6"/>
  <c r="C243" i="6"/>
  <c r="D243" i="6"/>
  <c r="B244" i="6" a="1"/>
  <c r="B244" i="6"/>
  <c r="C244" i="6"/>
  <c r="D244" i="6"/>
  <c r="B245" i="6" a="1"/>
  <c r="B245" i="6"/>
  <c r="C245" i="6"/>
  <c r="D245" i="6"/>
  <c r="B246" i="6" a="1"/>
  <c r="B246" i="6"/>
  <c r="C246" i="6"/>
  <c r="D246" i="6"/>
  <c r="B247" i="6" a="1"/>
  <c r="B247" i="6"/>
  <c r="C247" i="6"/>
  <c r="D247" i="6"/>
  <c r="B248" i="6" a="1"/>
  <c r="B248" i="6"/>
  <c r="C248" i="6"/>
  <c r="D248" i="6"/>
  <c r="B249" i="6" a="1"/>
  <c r="B249" i="6"/>
  <c r="C249" i="6"/>
  <c r="D249" i="6"/>
  <c r="B250" i="6" a="1"/>
  <c r="B250" i="6"/>
  <c r="C250" i="6"/>
  <c r="D250" i="6"/>
  <c r="B251" i="6" a="1"/>
  <c r="B251" i="6"/>
  <c r="C251" i="6"/>
  <c r="D251" i="6"/>
  <c r="B252" i="6" a="1"/>
  <c r="B252" i="6"/>
  <c r="C252" i="6"/>
  <c r="D252" i="6"/>
  <c r="B253" i="6" a="1"/>
  <c r="B253" i="6"/>
  <c r="C253" i="6"/>
  <c r="D253" i="6"/>
  <c r="B254" i="6" a="1"/>
  <c r="B254" i="6"/>
  <c r="C254" i="6"/>
  <c r="D254" i="6"/>
  <c r="B255" i="6" a="1"/>
  <c r="B255" i="6"/>
  <c r="C255" i="6"/>
  <c r="D255" i="6"/>
  <c r="B256" i="6" a="1"/>
  <c r="B256" i="6"/>
  <c r="C256" i="6"/>
  <c r="D256" i="6"/>
  <c r="B257" i="6" a="1"/>
  <c r="B257" i="6"/>
  <c r="C257" i="6"/>
  <c r="D257" i="6"/>
  <c r="B258" i="6" a="1"/>
  <c r="B258" i="6"/>
  <c r="C258" i="6"/>
  <c r="D258" i="6"/>
  <c r="B259" i="6" a="1"/>
  <c r="B259" i="6"/>
  <c r="C259" i="6"/>
  <c r="D259" i="6"/>
  <c r="B260" i="6" a="1"/>
  <c r="B260" i="6"/>
  <c r="C260" i="6"/>
  <c r="D260" i="6"/>
  <c r="B261" i="6" a="1"/>
  <c r="B261" i="6"/>
  <c r="C261" i="6"/>
  <c r="D261" i="6"/>
  <c r="B262" i="6" a="1"/>
  <c r="B262" i="6"/>
  <c r="C262" i="6"/>
  <c r="D262" i="6"/>
  <c r="B263" i="6" a="1"/>
  <c r="B263" i="6"/>
  <c r="C263" i="6"/>
  <c r="D263" i="6"/>
  <c r="B264" i="6" a="1"/>
  <c r="B264" i="6"/>
  <c r="C264" i="6"/>
  <c r="D264" i="6"/>
  <c r="B265" i="6" a="1"/>
  <c r="B265" i="6"/>
  <c r="C265" i="6"/>
  <c r="D265" i="6"/>
  <c r="B266" i="6" a="1"/>
  <c r="B266" i="6"/>
  <c r="C266" i="6"/>
  <c r="D266" i="6"/>
  <c r="B267" i="6" a="1"/>
  <c r="B267" i="6"/>
  <c r="C267" i="6"/>
  <c r="D267" i="6"/>
  <c r="B268" i="6" a="1"/>
  <c r="B268" i="6"/>
  <c r="C268" i="6"/>
  <c r="D268" i="6"/>
  <c r="B269" i="6" a="1"/>
  <c r="B269" i="6"/>
  <c r="C269" i="6"/>
  <c r="D269" i="6"/>
  <c r="B270" i="6" a="1"/>
  <c r="B270" i="6"/>
  <c r="C270" i="6"/>
  <c r="D270" i="6"/>
  <c r="B271" i="6" a="1"/>
  <c r="B271" i="6"/>
  <c r="C271" i="6"/>
  <c r="D271" i="6"/>
  <c r="B272" i="6" a="1"/>
  <c r="B272" i="6"/>
  <c r="C272" i="6"/>
  <c r="D272" i="6"/>
  <c r="B273" i="6" a="1"/>
  <c r="B273" i="6"/>
  <c r="C273" i="6"/>
  <c r="D273" i="6"/>
  <c r="B274" i="6" a="1"/>
  <c r="B274" i="6"/>
  <c r="C274" i="6"/>
  <c r="D274" i="6"/>
  <c r="B275" i="6" a="1"/>
  <c r="B275" i="6"/>
  <c r="C275" i="6"/>
  <c r="D275" i="6"/>
  <c r="B276" i="6" a="1"/>
  <c r="B276" i="6"/>
  <c r="C276" i="6"/>
  <c r="D276" i="6"/>
  <c r="B277" i="6" a="1"/>
  <c r="B277" i="6"/>
  <c r="C277" i="6"/>
  <c r="D277" i="6"/>
  <c r="B278" i="6" a="1"/>
  <c r="B278" i="6"/>
  <c r="C278" i="6"/>
  <c r="D278" i="6"/>
  <c r="B279" i="6" a="1"/>
  <c r="B279" i="6"/>
  <c r="C279" i="6"/>
  <c r="D279" i="6"/>
  <c r="B280" i="6" a="1"/>
  <c r="B280" i="6"/>
  <c r="C280" i="6"/>
  <c r="D280" i="6"/>
  <c r="B281" i="6" a="1"/>
  <c r="B281" i="6"/>
  <c r="C281" i="6"/>
  <c r="D281" i="6"/>
  <c r="B282" i="6" a="1"/>
  <c r="B282" i="6"/>
  <c r="C282" i="6"/>
  <c r="D282" i="6"/>
  <c r="B283" i="6" a="1"/>
  <c r="B283" i="6"/>
  <c r="C283" i="6"/>
  <c r="D283" i="6"/>
  <c r="B284" i="6" a="1"/>
  <c r="B284" i="6"/>
  <c r="C284" i="6"/>
  <c r="D284" i="6"/>
  <c r="B285" i="6" a="1"/>
  <c r="B285" i="6"/>
  <c r="C285" i="6"/>
  <c r="D285" i="6"/>
  <c r="B286" i="6" a="1"/>
  <c r="B286" i="6"/>
  <c r="C286" i="6"/>
  <c r="D286" i="6"/>
  <c r="B287" i="6" a="1"/>
  <c r="B287" i="6"/>
  <c r="C287" i="6"/>
  <c r="D287" i="6"/>
  <c r="B288" i="6" a="1"/>
  <c r="B288" i="6"/>
  <c r="C288" i="6"/>
  <c r="D288" i="6"/>
  <c r="B289" i="6" a="1"/>
  <c r="B289" i="6"/>
  <c r="C289" i="6"/>
  <c r="D289" i="6"/>
  <c r="B290" i="6" a="1"/>
  <c r="B290" i="6"/>
  <c r="C290" i="6"/>
  <c r="D290" i="6"/>
  <c r="B291" i="6" a="1"/>
  <c r="B291" i="6"/>
  <c r="C291" i="6"/>
  <c r="D291" i="6"/>
  <c r="B292" i="6" a="1"/>
  <c r="B292" i="6"/>
  <c r="C292" i="6"/>
  <c r="D292" i="6"/>
  <c r="B293" i="6" a="1"/>
  <c r="B293" i="6"/>
  <c r="C293" i="6"/>
  <c r="D293" i="6"/>
  <c r="B294" i="6" a="1"/>
  <c r="B294" i="6"/>
  <c r="C294" i="6"/>
  <c r="D294" i="6"/>
  <c r="B295" i="6" a="1"/>
  <c r="B295" i="6"/>
  <c r="C295" i="6"/>
  <c r="D295" i="6"/>
  <c r="B296" i="6" a="1"/>
  <c r="B296" i="6"/>
  <c r="C296" i="6"/>
  <c r="D296" i="6"/>
  <c r="B297" i="6" a="1"/>
  <c r="B297" i="6"/>
  <c r="C297" i="6"/>
  <c r="D297" i="6"/>
  <c r="B298" i="6" a="1"/>
  <c r="B298" i="6"/>
  <c r="C298" i="6"/>
  <c r="D298" i="6"/>
  <c r="B299" i="6" a="1"/>
  <c r="B299" i="6"/>
  <c r="C299" i="6"/>
  <c r="D299" i="6"/>
  <c r="B300" i="6" a="1"/>
  <c r="B300" i="6"/>
  <c r="C300" i="6"/>
  <c r="D300" i="6"/>
  <c r="B301" i="6" a="1"/>
  <c r="B301" i="6"/>
  <c r="C301" i="6"/>
  <c r="D301" i="6"/>
  <c r="B302" i="6" a="1"/>
  <c r="B302" i="6"/>
  <c r="C302" i="6"/>
  <c r="D302" i="6"/>
  <c r="B303" i="6" a="1"/>
  <c r="B303" i="6"/>
  <c r="C303" i="6"/>
  <c r="D303" i="6"/>
  <c r="B304" i="6" a="1"/>
  <c r="B304" i="6"/>
  <c r="C304" i="6"/>
  <c r="D304" i="6"/>
  <c r="B305" i="6" a="1"/>
  <c r="B305" i="6"/>
  <c r="C305" i="6"/>
  <c r="D305" i="6"/>
  <c r="B306" i="6" a="1"/>
  <c r="B306" i="6"/>
  <c r="C306" i="6"/>
  <c r="D306" i="6"/>
  <c r="B307" i="6" a="1"/>
  <c r="B307" i="6"/>
  <c r="C307" i="6"/>
  <c r="D307" i="6"/>
  <c r="B308" i="6" a="1"/>
  <c r="B308" i="6"/>
  <c r="C308" i="6"/>
  <c r="D308" i="6"/>
  <c r="B309" i="6" a="1"/>
  <c r="B309" i="6"/>
  <c r="C309" i="6"/>
  <c r="D309" i="6"/>
  <c r="B310" i="6" a="1"/>
  <c r="B310" i="6"/>
  <c r="C310" i="6"/>
  <c r="D310" i="6"/>
  <c r="B311" i="6" a="1"/>
  <c r="B311" i="6"/>
  <c r="C311" i="6"/>
  <c r="D311" i="6"/>
  <c r="B312" i="6" a="1"/>
  <c r="B312" i="6"/>
  <c r="C312" i="6"/>
  <c r="D312" i="6"/>
  <c r="B313" i="6" a="1"/>
  <c r="B313" i="6"/>
  <c r="C313" i="6"/>
  <c r="D313" i="6"/>
  <c r="B314" i="6" a="1"/>
  <c r="B314" i="6"/>
  <c r="C314" i="6"/>
  <c r="D314" i="6"/>
  <c r="B315" i="6" a="1"/>
  <c r="B315" i="6"/>
  <c r="C315" i="6"/>
  <c r="D315" i="6"/>
  <c r="B316" i="6" a="1"/>
  <c r="B316" i="6"/>
  <c r="C316" i="6"/>
  <c r="D316" i="6"/>
  <c r="B317" i="6" a="1"/>
  <c r="B317" i="6"/>
  <c r="C317" i="6"/>
  <c r="D317" i="6"/>
  <c r="B318" i="6" a="1"/>
  <c r="B318" i="6"/>
  <c r="C318" i="6"/>
  <c r="D318" i="6"/>
  <c r="B319" i="6" a="1"/>
  <c r="B319" i="6"/>
  <c r="C319" i="6"/>
  <c r="D319" i="6"/>
  <c r="B320" i="6" a="1"/>
  <c r="B320" i="6"/>
  <c r="C320" i="6"/>
  <c r="D320" i="6"/>
  <c r="B321" i="6" a="1"/>
  <c r="B321" i="6"/>
  <c r="C321" i="6"/>
  <c r="D321" i="6"/>
  <c r="B322" i="6" a="1"/>
  <c r="B322" i="6"/>
  <c r="C322" i="6"/>
  <c r="D322" i="6"/>
  <c r="B323" i="6" a="1"/>
  <c r="B323" i="6"/>
  <c r="C323" i="6"/>
  <c r="D323" i="6"/>
  <c r="B324" i="6" a="1"/>
  <c r="B324" i="6"/>
  <c r="C324" i="6"/>
  <c r="D324" i="6"/>
  <c r="B325" i="6" a="1"/>
  <c r="B325" i="6"/>
  <c r="C325" i="6"/>
  <c r="D325" i="6"/>
  <c r="B326" i="6" a="1"/>
  <c r="B326" i="6"/>
  <c r="C326" i="6"/>
  <c r="D326" i="6"/>
  <c r="B327" i="6" a="1"/>
  <c r="B327" i="6"/>
  <c r="C327" i="6"/>
  <c r="D327" i="6"/>
  <c r="B328" i="6" a="1"/>
  <c r="B328" i="6"/>
  <c r="C328" i="6"/>
  <c r="D328" i="6"/>
  <c r="B329" i="6" a="1"/>
  <c r="B329" i="6"/>
  <c r="C329" i="6"/>
  <c r="D329" i="6"/>
  <c r="B330" i="6" a="1"/>
  <c r="B330" i="6"/>
  <c r="C330" i="6"/>
  <c r="D330" i="6"/>
  <c r="B331" i="6" a="1"/>
  <c r="B331" i="6"/>
  <c r="C331" i="6"/>
  <c r="D331" i="6"/>
  <c r="B332" i="6" a="1"/>
  <c r="B332" i="6"/>
  <c r="C332" i="6"/>
  <c r="D332" i="6"/>
  <c r="B333" i="6" a="1"/>
  <c r="B333" i="6"/>
  <c r="C333" i="6"/>
  <c r="D333" i="6"/>
  <c r="B334" i="6" a="1"/>
  <c r="B334" i="6"/>
  <c r="C334" i="6"/>
  <c r="D334" i="6"/>
  <c r="B335" i="6" a="1"/>
  <c r="B335" i="6"/>
  <c r="C335" i="6"/>
  <c r="D335" i="6"/>
  <c r="B336" i="6" a="1"/>
  <c r="B336" i="6"/>
  <c r="C336" i="6"/>
  <c r="D336" i="6"/>
  <c r="B337" i="6" a="1"/>
  <c r="B337" i="6"/>
  <c r="C337" i="6"/>
  <c r="D337" i="6"/>
  <c r="B338" i="6" a="1"/>
  <c r="B338" i="6"/>
  <c r="C338" i="6"/>
  <c r="D338" i="6"/>
  <c r="B339" i="6" a="1"/>
  <c r="B339" i="6"/>
  <c r="C339" i="6"/>
  <c r="D339" i="6"/>
  <c r="B340" i="6" a="1"/>
  <c r="B340" i="6"/>
  <c r="C340" i="6"/>
  <c r="D340" i="6"/>
  <c r="B341" i="6" a="1"/>
  <c r="B341" i="6"/>
  <c r="C341" i="6"/>
  <c r="D341" i="6"/>
  <c r="B342" i="6" a="1"/>
  <c r="B342" i="6"/>
  <c r="C342" i="6"/>
  <c r="D342" i="6"/>
  <c r="B343" i="6" a="1"/>
  <c r="B343" i="6"/>
  <c r="C343" i="6"/>
  <c r="D343" i="6"/>
  <c r="B344" i="6" a="1"/>
  <c r="B344" i="6"/>
  <c r="C344" i="6"/>
  <c r="D344" i="6"/>
  <c r="B345" i="6" a="1"/>
  <c r="B345" i="6"/>
  <c r="C345" i="6"/>
  <c r="D345" i="6"/>
  <c r="B346" i="6" a="1"/>
  <c r="B346" i="6"/>
  <c r="C346" i="6"/>
  <c r="D346" i="6"/>
  <c r="B347" i="6" a="1"/>
  <c r="B347" i="6"/>
  <c r="C347" i="6"/>
  <c r="D347" i="6"/>
  <c r="B348" i="6" a="1"/>
  <c r="B348" i="6"/>
  <c r="C348" i="6"/>
  <c r="D348" i="6"/>
  <c r="B349" i="6" a="1"/>
  <c r="B349" i="6"/>
  <c r="C349" i="6"/>
  <c r="D349" i="6"/>
  <c r="B350" i="6" a="1"/>
  <c r="B350" i="6"/>
  <c r="C350" i="6"/>
  <c r="D350" i="6"/>
  <c r="B351" i="6" a="1"/>
  <c r="B351" i="6"/>
  <c r="C351" i="6"/>
  <c r="D351" i="6"/>
  <c r="B352" i="6" a="1"/>
  <c r="B352" i="6"/>
  <c r="C352" i="6"/>
  <c r="D352" i="6"/>
  <c r="B353" i="6" a="1"/>
  <c r="B353" i="6"/>
  <c r="C353" i="6"/>
  <c r="D353" i="6"/>
  <c r="B354" i="6" a="1"/>
  <c r="B354" i="6"/>
  <c r="C354" i="6"/>
  <c r="D354" i="6"/>
  <c r="B355" i="6" a="1"/>
  <c r="B355" i="6"/>
  <c r="C355" i="6"/>
  <c r="D355" i="6"/>
  <c r="B356" i="6" a="1"/>
  <c r="B356" i="6"/>
  <c r="C356" i="6"/>
  <c r="D356" i="6"/>
  <c r="B357" i="6" a="1"/>
  <c r="B357" i="6"/>
  <c r="C357" i="6"/>
  <c r="D357" i="6"/>
  <c r="B358" i="6" a="1"/>
  <c r="B358" i="6"/>
  <c r="C358" i="6"/>
  <c r="D358" i="6"/>
  <c r="B359" i="6" a="1"/>
  <c r="B359" i="6"/>
  <c r="C359" i="6"/>
  <c r="D359" i="6"/>
  <c r="B360" i="6" a="1"/>
  <c r="B360" i="6"/>
  <c r="C360" i="6"/>
  <c r="D360" i="6"/>
  <c r="B361" i="6" a="1"/>
  <c r="B361" i="6"/>
  <c r="C361" i="6"/>
  <c r="D361" i="6"/>
  <c r="B362" i="6" a="1"/>
  <c r="B362" i="6"/>
  <c r="C362" i="6"/>
  <c r="D362" i="6"/>
  <c r="B363" i="6" a="1"/>
  <c r="B363" i="6"/>
  <c r="C363" i="6"/>
  <c r="D363" i="6"/>
  <c r="B364" i="6" a="1"/>
  <c r="B364" i="6"/>
  <c r="C364" i="6"/>
  <c r="D364" i="6"/>
  <c r="B365" i="6" a="1"/>
  <c r="B365" i="6"/>
  <c r="C365" i="6"/>
  <c r="D365" i="6"/>
  <c r="B366" i="6" a="1"/>
  <c r="B366" i="6"/>
  <c r="C366" i="6"/>
  <c r="D366" i="6"/>
  <c r="B367" i="6" a="1"/>
  <c r="B367" i="6"/>
  <c r="C367" i="6"/>
  <c r="D367" i="6"/>
  <c r="B368" i="6" a="1"/>
  <c r="B368" i="6"/>
  <c r="C368" i="6"/>
  <c r="D368" i="6"/>
  <c r="B369" i="6" a="1"/>
  <c r="B369" i="6"/>
  <c r="C369" i="6"/>
  <c r="D369" i="6"/>
  <c r="B370" i="6" a="1"/>
  <c r="B370" i="6"/>
  <c r="C370" i="6"/>
  <c r="D370" i="6"/>
  <c r="B371" i="6" a="1"/>
  <c r="B371" i="6"/>
  <c r="C371" i="6"/>
  <c r="D371" i="6"/>
  <c r="B372" i="6" a="1"/>
  <c r="B372" i="6"/>
  <c r="C372" i="6"/>
  <c r="D372" i="6"/>
  <c r="B373" i="6" a="1"/>
  <c r="B373" i="6"/>
  <c r="C373" i="6"/>
  <c r="D373" i="6"/>
  <c r="B374" i="6" a="1"/>
  <c r="B374" i="6"/>
  <c r="C374" i="6"/>
  <c r="D374" i="6"/>
  <c r="B375" i="6" a="1"/>
  <c r="B375" i="6"/>
  <c r="C375" i="6"/>
  <c r="D375" i="6"/>
  <c r="B376" i="6" a="1"/>
  <c r="B376" i="6"/>
  <c r="C376" i="6"/>
  <c r="D376" i="6"/>
  <c r="B377" i="6" a="1"/>
  <c r="B377" i="6"/>
  <c r="C377" i="6"/>
  <c r="D377" i="6"/>
  <c r="B378" i="6" a="1"/>
  <c r="B378" i="6"/>
  <c r="C378" i="6"/>
  <c r="D378" i="6"/>
  <c r="B379" i="6" a="1"/>
  <c r="B379" i="6"/>
  <c r="C379" i="6"/>
  <c r="D379" i="6"/>
  <c r="B380" i="6" a="1"/>
  <c r="B380" i="6"/>
  <c r="C380" i="6"/>
  <c r="D380" i="6"/>
  <c r="B381" i="6" a="1"/>
  <c r="B381" i="6"/>
  <c r="C381" i="6"/>
  <c r="D381" i="6"/>
  <c r="B382" i="6" a="1"/>
  <c r="B382" i="6"/>
  <c r="C382" i="6"/>
  <c r="D382" i="6"/>
  <c r="B383" i="6" a="1"/>
  <c r="B383" i="6"/>
  <c r="C383" i="6"/>
  <c r="D383" i="6"/>
  <c r="B384" i="6" a="1"/>
  <c r="B384" i="6"/>
  <c r="C384" i="6"/>
  <c r="D384" i="6"/>
  <c r="B385" i="6" a="1"/>
  <c r="B385" i="6"/>
  <c r="C385" i="6"/>
  <c r="D385" i="6"/>
  <c r="B386" i="6" a="1"/>
  <c r="B386" i="6"/>
  <c r="C386" i="6"/>
  <c r="D386" i="6"/>
  <c r="B387" i="6" a="1"/>
  <c r="B387" i="6"/>
  <c r="C387" i="6"/>
  <c r="D387" i="6"/>
  <c r="B388" i="6" a="1"/>
  <c r="B388" i="6"/>
  <c r="C388" i="6"/>
  <c r="D388" i="6"/>
  <c r="B389" i="6" a="1"/>
  <c r="B389" i="6"/>
  <c r="C389" i="6"/>
  <c r="D389" i="6"/>
  <c r="B390" i="6" a="1"/>
  <c r="B390" i="6"/>
  <c r="C390" i="6"/>
  <c r="D390" i="6"/>
  <c r="B391" i="6" a="1"/>
  <c r="B391" i="6"/>
  <c r="C391" i="6"/>
  <c r="D391" i="6"/>
  <c r="B392" i="6" a="1"/>
  <c r="B392" i="6"/>
  <c r="C392" i="6"/>
  <c r="D392" i="6"/>
  <c r="B393" i="6" a="1"/>
  <c r="B393" i="6"/>
  <c r="C393" i="6"/>
  <c r="D393" i="6"/>
  <c r="B394" i="6" a="1"/>
  <c r="B394" i="6"/>
  <c r="C394" i="6"/>
  <c r="D394" i="6"/>
  <c r="B395" i="6" a="1"/>
  <c r="B395" i="6"/>
  <c r="C395" i="6"/>
  <c r="D395" i="6"/>
  <c r="B396" i="6" a="1"/>
  <c r="B396" i="6"/>
  <c r="C396" i="6"/>
  <c r="D396" i="6"/>
  <c r="B397" i="6" a="1"/>
  <c r="B397" i="6"/>
  <c r="C397" i="6"/>
  <c r="D397" i="6"/>
  <c r="B398" i="6" a="1"/>
  <c r="B398" i="6"/>
  <c r="C398" i="6"/>
  <c r="D398" i="6"/>
  <c r="B399" i="6" a="1"/>
  <c r="B399" i="6"/>
  <c r="C399" i="6"/>
  <c r="D399" i="6"/>
  <c r="B400" i="6" a="1"/>
  <c r="B400" i="6"/>
  <c r="C400" i="6"/>
  <c r="D400" i="6"/>
  <c r="B401" i="6" a="1"/>
  <c r="B401" i="6"/>
  <c r="C401" i="6"/>
  <c r="D401" i="6"/>
  <c r="B402" i="6" a="1"/>
  <c r="B402" i="6"/>
  <c r="C402" i="6"/>
  <c r="D402" i="6"/>
  <c r="B403" i="6" a="1"/>
  <c r="B403" i="6"/>
  <c r="C403" i="6"/>
  <c r="D403" i="6"/>
  <c r="B404" i="6" a="1"/>
  <c r="B404" i="6"/>
  <c r="C404" i="6"/>
  <c r="D404" i="6"/>
  <c r="B405" i="6" a="1"/>
  <c r="B405" i="6"/>
  <c r="C405" i="6"/>
  <c r="D405" i="6"/>
  <c r="B406" i="6" a="1"/>
  <c r="B406" i="6"/>
  <c r="C406" i="6"/>
  <c r="D406" i="6"/>
  <c r="B407" i="6" a="1"/>
  <c r="B407" i="6"/>
  <c r="C407" i="6"/>
  <c r="D407" i="6"/>
  <c r="B408" i="6" a="1"/>
  <c r="B408" i="6"/>
  <c r="C408" i="6"/>
  <c r="D408" i="6"/>
  <c r="B409" i="6" a="1"/>
  <c r="B409" i="6"/>
  <c r="C409" i="6"/>
  <c r="D409" i="6"/>
  <c r="B410" i="6" a="1"/>
  <c r="B410" i="6"/>
  <c r="C410" i="6"/>
  <c r="D410" i="6"/>
  <c r="B411" i="6" a="1"/>
  <c r="B411" i="6"/>
  <c r="C411" i="6"/>
  <c r="D411" i="6"/>
  <c r="B412" i="6" a="1"/>
  <c r="B412" i="6"/>
  <c r="C412" i="6"/>
  <c r="D412" i="6"/>
  <c r="B413" i="6" a="1"/>
  <c r="B413" i="6"/>
  <c r="C413" i="6"/>
  <c r="D413" i="6"/>
  <c r="B414" i="6" a="1"/>
  <c r="B414" i="6"/>
  <c r="C414" i="6"/>
  <c r="D414" i="6"/>
  <c r="B415" i="6" a="1"/>
  <c r="B415" i="6"/>
  <c r="C415" i="6"/>
  <c r="D415" i="6"/>
  <c r="B416" i="6" a="1"/>
  <c r="B416" i="6"/>
  <c r="C416" i="6"/>
  <c r="D416" i="6"/>
  <c r="B417" i="6" a="1"/>
  <c r="B417" i="6"/>
  <c r="C417" i="6"/>
  <c r="D417" i="6"/>
  <c r="B418" i="6" a="1"/>
  <c r="B418" i="6"/>
  <c r="C418" i="6"/>
  <c r="D418" i="6"/>
  <c r="B419" i="6" a="1"/>
  <c r="B419" i="6"/>
  <c r="C419" i="6"/>
  <c r="D419" i="6"/>
  <c r="B420" i="6" a="1"/>
  <c r="B420" i="6"/>
  <c r="C420" i="6"/>
  <c r="D420" i="6"/>
  <c r="B421" i="6" a="1"/>
  <c r="B421" i="6"/>
  <c r="C421" i="6"/>
  <c r="D421" i="6"/>
  <c r="B422" i="6" a="1"/>
  <c r="B422" i="6"/>
  <c r="C422" i="6"/>
  <c r="D422" i="6"/>
  <c r="B423" i="6" a="1"/>
  <c r="B423" i="6"/>
  <c r="C423" i="6"/>
  <c r="D423" i="6"/>
  <c r="B424" i="6" a="1"/>
  <c r="B424" i="6"/>
  <c r="C424" i="6"/>
  <c r="D424" i="6"/>
  <c r="B425" i="6" a="1"/>
  <c r="B425" i="6"/>
  <c r="C425" i="6"/>
  <c r="D425" i="6"/>
  <c r="B426" i="6" a="1"/>
  <c r="B426" i="6"/>
  <c r="C426" i="6"/>
  <c r="D426" i="6"/>
  <c r="B427" i="6" a="1"/>
  <c r="B427" i="6"/>
  <c r="C427" i="6"/>
  <c r="D427" i="6"/>
  <c r="B428" i="6" a="1"/>
  <c r="B428" i="6"/>
  <c r="C428" i="6"/>
  <c r="D428" i="6"/>
  <c r="B429" i="6" a="1"/>
  <c r="B429" i="6"/>
  <c r="C429" i="6"/>
  <c r="D429" i="6"/>
  <c r="B430" i="6" a="1"/>
  <c r="B430" i="6"/>
  <c r="C430" i="6"/>
  <c r="D430" i="6"/>
  <c r="B431" i="6" a="1"/>
  <c r="B431" i="6"/>
  <c r="C431" i="6"/>
  <c r="D431" i="6"/>
  <c r="B432" i="6" a="1"/>
  <c r="B432" i="6"/>
  <c r="C432" i="6"/>
  <c r="D432" i="6"/>
  <c r="B433" i="6" a="1"/>
  <c r="B433" i="6"/>
  <c r="C433" i="6"/>
  <c r="D433" i="6"/>
  <c r="B434" i="6" a="1"/>
  <c r="B434" i="6"/>
  <c r="C434" i="6"/>
  <c r="D434" i="6"/>
  <c r="B435" i="6" a="1"/>
  <c r="B435" i="6"/>
  <c r="C435" i="6"/>
  <c r="D435" i="6"/>
  <c r="B436" i="6" a="1"/>
  <c r="B436" i="6"/>
  <c r="C436" i="6"/>
  <c r="D436" i="6"/>
  <c r="B437" i="6" a="1"/>
  <c r="B437" i="6"/>
  <c r="C437" i="6"/>
  <c r="D437" i="6"/>
  <c r="B438" i="6" a="1"/>
  <c r="B438" i="6"/>
  <c r="C438" i="6"/>
  <c r="D438" i="6"/>
  <c r="B439" i="6" a="1"/>
  <c r="B439" i="6"/>
  <c r="C439" i="6"/>
  <c r="D439" i="6"/>
  <c r="B440" i="6" a="1"/>
  <c r="B440" i="6"/>
  <c r="C440" i="6"/>
  <c r="D440" i="6"/>
  <c r="B441" i="6" a="1"/>
  <c r="B441" i="6"/>
  <c r="C441" i="6"/>
  <c r="D441" i="6"/>
  <c r="B442" i="6" a="1"/>
  <c r="B442" i="6"/>
  <c r="C442" i="6"/>
  <c r="D442" i="6"/>
  <c r="B443" i="6" a="1"/>
  <c r="B443" i="6"/>
  <c r="C443" i="6"/>
  <c r="D443" i="6"/>
  <c r="B444" i="6" a="1"/>
  <c r="B444" i="6"/>
  <c r="C444" i="6"/>
  <c r="D444" i="6"/>
  <c r="B445" i="6" a="1"/>
  <c r="B445" i="6"/>
  <c r="C445" i="6"/>
  <c r="D445" i="6"/>
  <c r="B446" i="6" a="1"/>
  <c r="B446" i="6"/>
  <c r="C446" i="6"/>
  <c r="D446" i="6"/>
  <c r="B447" i="6" a="1"/>
  <c r="B447" i="6"/>
  <c r="C447" i="6"/>
  <c r="D447" i="6"/>
  <c r="B448" i="6" a="1"/>
  <c r="B448" i="6"/>
  <c r="C448" i="6"/>
  <c r="D448" i="6"/>
  <c r="B449" i="6" a="1"/>
  <c r="B449" i="6"/>
  <c r="C449" i="6"/>
  <c r="D449" i="6"/>
  <c r="B450" i="6" a="1"/>
  <c r="B450" i="6"/>
  <c r="C450" i="6"/>
  <c r="D450" i="6"/>
  <c r="B451" i="6" a="1"/>
  <c r="B451" i="6"/>
  <c r="C451" i="6"/>
  <c r="D451" i="6"/>
  <c r="B452" i="6" a="1"/>
  <c r="B452" i="6"/>
  <c r="C452" i="6"/>
  <c r="D452" i="6"/>
  <c r="B453" i="6" a="1"/>
  <c r="B453" i="6"/>
  <c r="C453" i="6"/>
  <c r="D453" i="6"/>
  <c r="B454" i="6" a="1"/>
  <c r="B454" i="6"/>
  <c r="C454" i="6"/>
  <c r="D454" i="6"/>
  <c r="B455" i="6" a="1"/>
  <c r="B455" i="6"/>
  <c r="C455" i="6"/>
  <c r="D455" i="6"/>
  <c r="B456" i="6" a="1"/>
  <c r="B456" i="6"/>
  <c r="C456" i="6"/>
  <c r="D456" i="6"/>
  <c r="B457" i="6" a="1"/>
  <c r="B457" i="6"/>
  <c r="C457" i="6"/>
  <c r="D457" i="6"/>
  <c r="B458" i="6" a="1"/>
  <c r="B458" i="6"/>
  <c r="C458" i="6"/>
  <c r="D458" i="6"/>
  <c r="B459" i="6" a="1"/>
  <c r="B459" i="6"/>
  <c r="C459" i="6"/>
  <c r="D459" i="6"/>
  <c r="B460" i="6" a="1"/>
  <c r="B460" i="6"/>
  <c r="C460" i="6"/>
  <c r="D460" i="6"/>
  <c r="B461" i="6" a="1"/>
  <c r="B461" i="6"/>
  <c r="C461" i="6"/>
  <c r="D461" i="6"/>
  <c r="B462" i="6" a="1"/>
  <c r="B462" i="6"/>
  <c r="C462" i="6"/>
  <c r="D462" i="6"/>
  <c r="B463" i="6" a="1"/>
  <c r="B463" i="6"/>
  <c r="C463" i="6"/>
  <c r="D463" i="6"/>
  <c r="B464" i="6" a="1"/>
  <c r="B464" i="6"/>
  <c r="C464" i="6"/>
  <c r="D464" i="6"/>
  <c r="B465" i="6" a="1"/>
  <c r="B465" i="6"/>
  <c r="C465" i="6"/>
  <c r="D465" i="6"/>
  <c r="B466" i="6" a="1"/>
  <c r="B466" i="6"/>
  <c r="C466" i="6"/>
  <c r="D466" i="6"/>
  <c r="B467" i="6" a="1"/>
  <c r="B467" i="6"/>
  <c r="C467" i="6"/>
  <c r="D467" i="6"/>
  <c r="B468" i="6" a="1"/>
  <c r="B468" i="6"/>
  <c r="C468" i="6"/>
  <c r="D468" i="6"/>
  <c r="B469" i="6" a="1"/>
  <c r="B469" i="6"/>
  <c r="C469" i="6"/>
  <c r="D469" i="6"/>
  <c r="B470" i="6" a="1"/>
  <c r="B470" i="6"/>
  <c r="C470" i="6"/>
  <c r="D470" i="6"/>
  <c r="B471" i="6" a="1"/>
  <c r="B471" i="6"/>
  <c r="C471" i="6"/>
  <c r="D471" i="6"/>
  <c r="B472" i="6" a="1"/>
  <c r="B472" i="6"/>
  <c r="C472" i="6"/>
  <c r="D472" i="6"/>
  <c r="B473" i="6" a="1"/>
  <c r="B473" i="6"/>
  <c r="C473" i="6"/>
  <c r="D473" i="6"/>
  <c r="B474" i="6" a="1"/>
  <c r="B474" i="6"/>
  <c r="C474" i="6"/>
  <c r="D474" i="6"/>
  <c r="B475" i="6" a="1"/>
  <c r="B475" i="6"/>
  <c r="C475" i="6"/>
  <c r="D475" i="6"/>
  <c r="B476" i="6" a="1"/>
  <c r="B476" i="6"/>
  <c r="C476" i="6"/>
  <c r="D476" i="6"/>
  <c r="B477" i="6" a="1"/>
  <c r="B477" i="6"/>
  <c r="C477" i="6"/>
  <c r="D477" i="6"/>
  <c r="B478" i="6" a="1"/>
  <c r="B478" i="6"/>
  <c r="C478" i="6"/>
  <c r="D478" i="6"/>
  <c r="B479" i="6" a="1"/>
  <c r="B479" i="6"/>
  <c r="C479" i="6"/>
  <c r="D479" i="6"/>
  <c r="B480" i="6" a="1"/>
  <c r="B480" i="6"/>
  <c r="C480" i="6"/>
  <c r="D480" i="6"/>
  <c r="B481" i="6" a="1"/>
  <c r="B481" i="6"/>
  <c r="C481" i="6"/>
  <c r="D481" i="6"/>
  <c r="B482" i="6" a="1"/>
  <c r="B482" i="6"/>
  <c r="C482" i="6"/>
  <c r="D482" i="6"/>
  <c r="B483" i="6" a="1"/>
  <c r="B483" i="6"/>
  <c r="C483" i="6"/>
  <c r="D483" i="6"/>
  <c r="B484" i="6" a="1"/>
  <c r="B484" i="6"/>
  <c r="C484" i="6"/>
  <c r="D484" i="6"/>
  <c r="B485" i="6" a="1"/>
  <c r="B485" i="6"/>
  <c r="C485" i="6"/>
  <c r="D485" i="6"/>
  <c r="B486" i="6" a="1"/>
  <c r="B486" i="6"/>
  <c r="C486" i="6"/>
  <c r="D486" i="6"/>
  <c r="B487" i="6" a="1"/>
  <c r="B487" i="6"/>
  <c r="C487" i="6"/>
  <c r="D487" i="6"/>
  <c r="B488" i="6" a="1"/>
  <c r="B488" i="6"/>
  <c r="C488" i="6"/>
  <c r="D488" i="6"/>
  <c r="B489" i="6" a="1"/>
  <c r="B489" i="6"/>
  <c r="C489" i="6"/>
  <c r="D489" i="6"/>
  <c r="B490" i="6" a="1"/>
  <c r="B490" i="6"/>
  <c r="C490" i="6"/>
  <c r="D490" i="6"/>
  <c r="B491" i="6" a="1"/>
  <c r="B491" i="6"/>
  <c r="C491" i="6"/>
  <c r="D491" i="6"/>
  <c r="B492" i="6" a="1"/>
  <c r="B492" i="6"/>
  <c r="C492" i="6"/>
  <c r="D492" i="6"/>
  <c r="B493" i="6" a="1"/>
  <c r="B493" i="6"/>
  <c r="C493" i="6"/>
  <c r="D493" i="6"/>
  <c r="B494" i="6" a="1"/>
  <c r="B494" i="6"/>
  <c r="C494" i="6"/>
  <c r="D494" i="6"/>
  <c r="B495" i="6" a="1"/>
  <c r="B495" i="6"/>
  <c r="C495" i="6"/>
  <c r="D495" i="6"/>
  <c r="B496" i="6" a="1"/>
  <c r="B496" i="6"/>
  <c r="C496" i="6"/>
  <c r="D496" i="6"/>
  <c r="B497" i="6" a="1"/>
  <c r="B497" i="6"/>
  <c r="C497" i="6"/>
  <c r="D497" i="6"/>
  <c r="B498" i="6" a="1"/>
  <c r="B498" i="6"/>
  <c r="C498" i="6"/>
  <c r="D498" i="6"/>
  <c r="B499" i="6" a="1"/>
  <c r="B499" i="6"/>
  <c r="C499" i="6"/>
  <c r="D499" i="6"/>
  <c r="B500" i="6" a="1"/>
  <c r="B500" i="6"/>
  <c r="C500" i="6"/>
  <c r="D500" i="6"/>
  <c r="B501" i="6" a="1"/>
  <c r="B501" i="6"/>
  <c r="C501" i="6"/>
  <c r="D501" i="6"/>
  <c r="B502" i="6" a="1"/>
  <c r="B502" i="6"/>
  <c r="C502" i="6"/>
  <c r="D502" i="6"/>
  <c r="B503" i="6" a="1"/>
  <c r="B503" i="6"/>
  <c r="C503" i="6"/>
  <c r="D503" i="6"/>
  <c r="B504" i="6" a="1"/>
  <c r="B504" i="6"/>
  <c r="C504" i="6"/>
  <c r="D504" i="6"/>
  <c r="T514" i="2"/>
  <c r="T513" i="2"/>
  <c r="T512" i="2"/>
  <c r="T511" i="2"/>
  <c r="E2" i="6" l="1"/>
  <c r="F2" i="6" s="1"/>
  <c r="E6" i="6"/>
  <c r="E10" i="6"/>
  <c r="E34" i="6"/>
  <c r="E22" i="6"/>
  <c r="F22" i="6" s="1"/>
  <c r="E25" i="6"/>
  <c r="F25" i="6" s="1"/>
  <c r="E28" i="6"/>
  <c r="E31" i="6"/>
  <c r="E39" i="6"/>
  <c r="E41" i="6"/>
  <c r="E48" i="6"/>
  <c r="F48" i="6" s="1"/>
  <c r="E55" i="6"/>
  <c r="E57" i="6"/>
  <c r="E73" i="6"/>
  <c r="E7" i="6"/>
  <c r="E71" i="6"/>
  <c r="E5" i="6"/>
  <c r="F5" i="6" s="1"/>
  <c r="E9" i="6"/>
  <c r="E16" i="6"/>
  <c r="F16" i="6" s="1"/>
  <c r="E69" i="6"/>
  <c r="E30" i="6"/>
  <c r="F30" i="6" s="1"/>
  <c r="E33" i="6"/>
  <c r="F33" i="6" s="1"/>
  <c r="E45" i="6"/>
  <c r="E52" i="6"/>
  <c r="F52" i="6" s="1"/>
  <c r="E59" i="6"/>
  <c r="F59" i="6" s="1"/>
  <c r="E61" i="6"/>
  <c r="E65" i="6"/>
  <c r="E67" i="6"/>
  <c r="E19" i="6"/>
  <c r="E43" i="6"/>
  <c r="F43" i="6" s="1"/>
  <c r="E18" i="6"/>
  <c r="E24" i="6"/>
  <c r="E27" i="6"/>
  <c r="F27" i="6" s="1"/>
  <c r="E63" i="6"/>
  <c r="E128" i="6"/>
  <c r="E182" i="6"/>
  <c r="E11" i="6"/>
  <c r="E13" i="6"/>
  <c r="F13" i="6" s="1"/>
  <c r="E36" i="6"/>
  <c r="E4" i="6"/>
  <c r="F4" i="6" s="1"/>
  <c r="E8" i="6"/>
  <c r="F8" i="6" s="1"/>
  <c r="E12" i="6"/>
  <c r="F12" i="6" s="1"/>
  <c r="E21" i="6"/>
  <c r="F21" i="6" s="1"/>
  <c r="E15" i="6"/>
  <c r="E40" i="6"/>
  <c r="F40" i="6" s="1"/>
  <c r="E47" i="6"/>
  <c r="F47" i="6" s="1"/>
  <c r="E49" i="6"/>
  <c r="E56" i="6"/>
  <c r="F56" i="6" s="1"/>
  <c r="E92" i="6"/>
  <c r="E101" i="6"/>
  <c r="E3" i="6"/>
  <c r="F3" i="6" s="1"/>
  <c r="E26" i="6"/>
  <c r="F26" i="6" s="1"/>
  <c r="E29" i="6"/>
  <c r="E32" i="6"/>
  <c r="F32" i="6" s="1"/>
  <c r="E35" i="6"/>
  <c r="F35" i="6" s="1"/>
  <c r="E117" i="6"/>
  <c r="E14" i="6"/>
  <c r="E17" i="6"/>
  <c r="F17" i="6" s="1"/>
  <c r="E20" i="6"/>
  <c r="F20" i="6" s="1"/>
  <c r="E23" i="6"/>
  <c r="F23" i="6" s="1"/>
  <c r="E37" i="6"/>
  <c r="E44" i="6"/>
  <c r="E51" i="6"/>
  <c r="F51" i="6" s="1"/>
  <c r="E53" i="6"/>
  <c r="E60" i="6"/>
  <c r="E64" i="6"/>
  <c r="F64" i="6" s="1"/>
  <c r="E68" i="6"/>
  <c r="F68" i="6" s="1"/>
  <c r="E72" i="6"/>
  <c r="E76" i="6"/>
  <c r="F76" i="6" s="1"/>
  <c r="E80" i="6"/>
  <c r="E84" i="6"/>
  <c r="E88" i="6"/>
  <c r="E91" i="6"/>
  <c r="E94" i="6"/>
  <c r="E96" i="6"/>
  <c r="F96" i="6" s="1"/>
  <c r="E103" i="6"/>
  <c r="E110" i="6"/>
  <c r="E112" i="6"/>
  <c r="F112" i="6" s="1"/>
  <c r="E119" i="6"/>
  <c r="E126" i="6"/>
  <c r="E133" i="6"/>
  <c r="E141" i="6"/>
  <c r="E149" i="6"/>
  <c r="E162" i="6"/>
  <c r="E166" i="6"/>
  <c r="E176" i="6"/>
  <c r="E218" i="6"/>
  <c r="E105" i="6"/>
  <c r="F105" i="6" s="1"/>
  <c r="E121" i="6"/>
  <c r="F121" i="6" s="1"/>
  <c r="E250" i="6"/>
  <c r="E75" i="6"/>
  <c r="F75" i="6" s="1"/>
  <c r="E79" i="6"/>
  <c r="F79" i="6" s="1"/>
  <c r="E83" i="6"/>
  <c r="F83" i="6" s="1"/>
  <c r="E87" i="6"/>
  <c r="F87" i="6" s="1"/>
  <c r="E98" i="6"/>
  <c r="F98" i="6" s="1"/>
  <c r="E100" i="6"/>
  <c r="F100" i="6" s="1"/>
  <c r="E107" i="6"/>
  <c r="E114" i="6"/>
  <c r="F114" i="6" s="1"/>
  <c r="E116" i="6"/>
  <c r="E123" i="6"/>
  <c r="F123" i="6" s="1"/>
  <c r="E131" i="6"/>
  <c r="E139" i="6"/>
  <c r="E147" i="6"/>
  <c r="E155" i="6"/>
  <c r="E159" i="6"/>
  <c r="E163" i="6"/>
  <c r="E90" i="6"/>
  <c r="F90" i="6" s="1"/>
  <c r="E93" i="6"/>
  <c r="F93" i="6" s="1"/>
  <c r="E109" i="6"/>
  <c r="E125" i="6"/>
  <c r="E129" i="6"/>
  <c r="E188" i="6"/>
  <c r="E205" i="6"/>
  <c r="E226" i="6"/>
  <c r="E38" i="6"/>
  <c r="F38" i="6" s="1"/>
  <c r="E42" i="6"/>
  <c r="F42" i="6" s="1"/>
  <c r="E46" i="6"/>
  <c r="E50" i="6"/>
  <c r="F50" i="6" s="1"/>
  <c r="E54" i="6"/>
  <c r="F54" i="6" s="1"/>
  <c r="E58" i="6"/>
  <c r="F58" i="6" s="1"/>
  <c r="E62" i="6"/>
  <c r="F62" i="6" s="1"/>
  <c r="E66" i="6"/>
  <c r="F66" i="6" s="1"/>
  <c r="E70" i="6"/>
  <c r="E74" i="6"/>
  <c r="F74" i="6" s="1"/>
  <c r="E78" i="6"/>
  <c r="F78" i="6" s="1"/>
  <c r="E82" i="6"/>
  <c r="F82" i="6" s="1"/>
  <c r="E86" i="6"/>
  <c r="F86" i="6" s="1"/>
  <c r="E95" i="6"/>
  <c r="F95" i="6" s="1"/>
  <c r="E102" i="6"/>
  <c r="E104" i="6"/>
  <c r="F104" i="6" s="1"/>
  <c r="E111" i="6"/>
  <c r="F111" i="6" s="1"/>
  <c r="E118" i="6"/>
  <c r="F118" i="6" s="1"/>
  <c r="E120" i="6"/>
  <c r="F120" i="6" s="1"/>
  <c r="E127" i="6"/>
  <c r="F127" i="6" s="1"/>
  <c r="E137" i="6"/>
  <c r="E145" i="6"/>
  <c r="E153" i="6"/>
  <c r="E160" i="6"/>
  <c r="E173" i="6"/>
  <c r="F173" i="6" s="1"/>
  <c r="E179" i="6"/>
  <c r="E190" i="6"/>
  <c r="F190" i="6" s="1"/>
  <c r="E229" i="6"/>
  <c r="E97" i="6"/>
  <c r="F97" i="6" s="1"/>
  <c r="E113" i="6"/>
  <c r="F113" i="6" s="1"/>
  <c r="E210" i="6"/>
  <c r="E303" i="6"/>
  <c r="E77" i="6"/>
  <c r="F77" i="6" s="1"/>
  <c r="E81" i="6"/>
  <c r="F81" i="6" s="1"/>
  <c r="E85" i="6"/>
  <c r="F85" i="6" s="1"/>
  <c r="E89" i="6"/>
  <c r="F89" i="6" s="1"/>
  <c r="E99" i="6"/>
  <c r="E106" i="6"/>
  <c r="F106" i="6" s="1"/>
  <c r="E108" i="6"/>
  <c r="E115" i="6"/>
  <c r="F115" i="6" s="1"/>
  <c r="E122" i="6"/>
  <c r="F122" i="6" s="1"/>
  <c r="E124" i="6"/>
  <c r="E135" i="6"/>
  <c r="E143" i="6"/>
  <c r="E151" i="6"/>
  <c r="E157" i="6"/>
  <c r="E236" i="6"/>
  <c r="E184" i="6"/>
  <c r="E186" i="6"/>
  <c r="F186" i="6" s="1"/>
  <c r="E201" i="6"/>
  <c r="F201" i="6" s="1"/>
  <c r="E203" i="6"/>
  <c r="E213" i="6"/>
  <c r="F213" i="6" s="1"/>
  <c r="E221" i="6"/>
  <c r="F221" i="6" s="1"/>
  <c r="E233" i="6"/>
  <c r="E240" i="6"/>
  <c r="F240" i="6" s="1"/>
  <c r="E161" i="6"/>
  <c r="F161" i="6" s="1"/>
  <c r="E164" i="6"/>
  <c r="E167" i="6"/>
  <c r="F167" i="6" s="1"/>
  <c r="E170" i="6"/>
  <c r="F170" i="6" s="1"/>
  <c r="E197" i="6"/>
  <c r="F197" i="6" s="1"/>
  <c r="E199" i="6"/>
  <c r="F199" i="6" s="1"/>
  <c r="E208" i="6"/>
  <c r="F208" i="6" s="1"/>
  <c r="E216" i="6"/>
  <c r="E224" i="6"/>
  <c r="F224" i="6" s="1"/>
  <c r="E230" i="6"/>
  <c r="E237" i="6"/>
  <c r="F237" i="6" s="1"/>
  <c r="E244" i="6"/>
  <c r="F244" i="6" s="1"/>
  <c r="E253" i="6"/>
  <c r="E278" i="6"/>
  <c r="E130" i="6"/>
  <c r="E134" i="6"/>
  <c r="F134" i="6" s="1"/>
  <c r="E138" i="6"/>
  <c r="F138" i="6" s="1"/>
  <c r="E142" i="6"/>
  <c r="F142" i="6" s="1"/>
  <c r="E146" i="6"/>
  <c r="E150" i="6"/>
  <c r="F150" i="6" s="1"/>
  <c r="E154" i="6"/>
  <c r="E158" i="6"/>
  <c r="F158" i="6" s="1"/>
  <c r="E181" i="6"/>
  <c r="F181" i="6" s="1"/>
  <c r="E193" i="6"/>
  <c r="F193" i="6" s="1"/>
  <c r="E195" i="6"/>
  <c r="F195" i="6" s="1"/>
  <c r="E234" i="6"/>
  <c r="E241" i="6"/>
  <c r="E245" i="6"/>
  <c r="E294" i="6"/>
  <c r="E169" i="6"/>
  <c r="F169" i="6" s="1"/>
  <c r="E172" i="6"/>
  <c r="E175" i="6"/>
  <c r="F175" i="6" s="1"/>
  <c r="E178" i="6"/>
  <c r="F178" i="6" s="1"/>
  <c r="E189" i="6"/>
  <c r="F189" i="6" s="1"/>
  <c r="E191" i="6"/>
  <c r="F191" i="6" s="1"/>
  <c r="E204" i="6"/>
  <c r="E206" i="6"/>
  <c r="F206" i="6" s="1"/>
  <c r="E214" i="6"/>
  <c r="E222" i="6"/>
  <c r="F222" i="6" s="1"/>
  <c r="E238" i="6"/>
  <c r="E256" i="6"/>
  <c r="E310" i="6"/>
  <c r="E183" i="6"/>
  <c r="F183" i="6" s="1"/>
  <c r="E185" i="6"/>
  <c r="F185" i="6" s="1"/>
  <c r="E187" i="6"/>
  <c r="F187" i="6" s="1"/>
  <c r="E200" i="6"/>
  <c r="F200" i="6" s="1"/>
  <c r="E202" i="6"/>
  <c r="F202" i="6" s="1"/>
  <c r="E209" i="6"/>
  <c r="F209" i="6" s="1"/>
  <c r="E217" i="6"/>
  <c r="F217" i="6" s="1"/>
  <c r="E225" i="6"/>
  <c r="E242" i="6"/>
  <c r="E177" i="6"/>
  <c r="F177" i="6" s="1"/>
  <c r="E180" i="6"/>
  <c r="F180" i="6" s="1"/>
  <c r="E196" i="6"/>
  <c r="F196" i="6" s="1"/>
  <c r="E198" i="6"/>
  <c r="F198" i="6" s="1"/>
  <c r="E212" i="6"/>
  <c r="E220" i="6"/>
  <c r="E228" i="6"/>
  <c r="F228" i="6" s="1"/>
  <c r="E247" i="6"/>
  <c r="F247" i="6" s="1"/>
  <c r="E132" i="6"/>
  <c r="F132" i="6" s="1"/>
  <c r="E136" i="6"/>
  <c r="F136" i="6" s="1"/>
  <c r="E140" i="6"/>
  <c r="F140" i="6" s="1"/>
  <c r="E144" i="6"/>
  <c r="F144" i="6" s="1"/>
  <c r="E148" i="6"/>
  <c r="F148" i="6" s="1"/>
  <c r="E152" i="6"/>
  <c r="F152" i="6" s="1"/>
  <c r="E156" i="6"/>
  <c r="F156" i="6" s="1"/>
  <c r="E165" i="6"/>
  <c r="F165" i="6" s="1"/>
  <c r="E168" i="6"/>
  <c r="F168" i="6" s="1"/>
  <c r="E171" i="6"/>
  <c r="F171" i="6" s="1"/>
  <c r="E174" i="6"/>
  <c r="E192" i="6"/>
  <c r="E194" i="6"/>
  <c r="F194" i="6" s="1"/>
  <c r="E232" i="6"/>
  <c r="F232" i="6" s="1"/>
  <c r="E287" i="6"/>
  <c r="E267" i="6"/>
  <c r="F267" i="6" s="1"/>
  <c r="E270" i="6"/>
  <c r="E273" i="6"/>
  <c r="E280" i="6"/>
  <c r="E289" i="6"/>
  <c r="F289" i="6" s="1"/>
  <c r="E296" i="6"/>
  <c r="E305" i="6"/>
  <c r="F305" i="6" s="1"/>
  <c r="E312" i="6"/>
  <c r="E316" i="6"/>
  <c r="E319" i="6"/>
  <c r="E322" i="6"/>
  <c r="E326" i="6"/>
  <c r="E207" i="6"/>
  <c r="E211" i="6"/>
  <c r="F211" i="6" s="1"/>
  <c r="E215" i="6"/>
  <c r="F215" i="6" s="1"/>
  <c r="E219" i="6"/>
  <c r="F219" i="6" s="1"/>
  <c r="E223" i="6"/>
  <c r="E227" i="6"/>
  <c r="F227" i="6" s="1"/>
  <c r="E231" i="6"/>
  <c r="F231" i="6" s="1"/>
  <c r="E235" i="6"/>
  <c r="F235" i="6" s="1"/>
  <c r="E239" i="6"/>
  <c r="F239" i="6" s="1"/>
  <c r="E243" i="6"/>
  <c r="F243" i="6" s="1"/>
  <c r="E255" i="6"/>
  <c r="E258" i="6"/>
  <c r="F258" i="6" s="1"/>
  <c r="E261" i="6"/>
  <c r="F261" i="6" s="1"/>
  <c r="E264" i="6"/>
  <c r="F264" i="6" s="1"/>
  <c r="E275" i="6"/>
  <c r="E282" i="6"/>
  <c r="F282" i="6" s="1"/>
  <c r="E291" i="6"/>
  <c r="E298" i="6"/>
  <c r="F298" i="6" s="1"/>
  <c r="E307" i="6"/>
  <c r="E314" i="6"/>
  <c r="F314" i="6" s="1"/>
  <c r="E406" i="6"/>
  <c r="E246" i="6"/>
  <c r="F246" i="6" s="1"/>
  <c r="E249" i="6"/>
  <c r="F249" i="6" s="1"/>
  <c r="E252" i="6"/>
  <c r="F252" i="6" s="1"/>
  <c r="E277" i="6"/>
  <c r="F277" i="6" s="1"/>
  <c r="E284" i="6"/>
  <c r="F284" i="6" s="1"/>
  <c r="E293" i="6"/>
  <c r="F293" i="6" s="1"/>
  <c r="E300" i="6"/>
  <c r="F300" i="6" s="1"/>
  <c r="E309" i="6"/>
  <c r="F309" i="6" s="1"/>
  <c r="E412" i="6"/>
  <c r="E263" i="6"/>
  <c r="E266" i="6"/>
  <c r="F266" i="6" s="1"/>
  <c r="E269" i="6"/>
  <c r="F269" i="6" s="1"/>
  <c r="E272" i="6"/>
  <c r="F272" i="6" s="1"/>
  <c r="E279" i="6"/>
  <c r="F279" i="6" s="1"/>
  <c r="E286" i="6"/>
  <c r="F286" i="6" s="1"/>
  <c r="E295" i="6"/>
  <c r="F295" i="6" s="1"/>
  <c r="E302" i="6"/>
  <c r="F302" i="6" s="1"/>
  <c r="E311" i="6"/>
  <c r="F311" i="6" s="1"/>
  <c r="E320" i="6"/>
  <c r="E323" i="6"/>
  <c r="E345" i="6"/>
  <c r="E377" i="6"/>
  <c r="E251" i="6"/>
  <c r="F251" i="6" s="1"/>
  <c r="E254" i="6"/>
  <c r="F254" i="6" s="1"/>
  <c r="E257" i="6"/>
  <c r="F257" i="6" s="1"/>
  <c r="E260" i="6"/>
  <c r="F260" i="6" s="1"/>
  <c r="E281" i="6"/>
  <c r="E288" i="6"/>
  <c r="F288" i="6" s="1"/>
  <c r="E297" i="6"/>
  <c r="E304" i="6"/>
  <c r="F304" i="6" s="1"/>
  <c r="E313" i="6"/>
  <c r="E329" i="6"/>
  <c r="F329" i="6" s="1"/>
  <c r="E361" i="6"/>
  <c r="E248" i="6"/>
  <c r="F248" i="6" s="1"/>
  <c r="E271" i="6"/>
  <c r="E274" i="6"/>
  <c r="F274" i="6" s="1"/>
  <c r="E283" i="6"/>
  <c r="F283" i="6" s="1"/>
  <c r="E290" i="6"/>
  <c r="F290" i="6" s="1"/>
  <c r="E299" i="6"/>
  <c r="F299" i="6" s="1"/>
  <c r="E306" i="6"/>
  <c r="F306" i="6" s="1"/>
  <c r="E315" i="6"/>
  <c r="F315" i="6" s="1"/>
  <c r="E336" i="6"/>
  <c r="E259" i="6"/>
  <c r="F259" i="6" s="1"/>
  <c r="E262" i="6"/>
  <c r="F262" i="6" s="1"/>
  <c r="E265" i="6"/>
  <c r="F265" i="6" s="1"/>
  <c r="E268" i="6"/>
  <c r="F268" i="6" s="1"/>
  <c r="E276" i="6"/>
  <c r="F276" i="6" s="1"/>
  <c r="E285" i="6"/>
  <c r="F285" i="6" s="1"/>
  <c r="E292" i="6"/>
  <c r="F292" i="6" s="1"/>
  <c r="E301" i="6"/>
  <c r="F301" i="6" s="1"/>
  <c r="E308" i="6"/>
  <c r="F308" i="6" s="1"/>
  <c r="E318" i="6"/>
  <c r="F318" i="6" s="1"/>
  <c r="E321" i="6"/>
  <c r="F321" i="6" s="1"/>
  <c r="E317" i="6"/>
  <c r="E340" i="6"/>
  <c r="F340" i="6" s="1"/>
  <c r="E347" i="6"/>
  <c r="E354" i="6"/>
  <c r="E356" i="6"/>
  <c r="E363" i="6"/>
  <c r="F363" i="6" s="1"/>
  <c r="E374" i="6"/>
  <c r="E378" i="6"/>
  <c r="E401" i="6"/>
  <c r="E407" i="6"/>
  <c r="F407" i="6" s="1"/>
  <c r="E328" i="6"/>
  <c r="E331" i="6"/>
  <c r="F331" i="6" s="1"/>
  <c r="E334" i="6"/>
  <c r="F334" i="6" s="1"/>
  <c r="E337" i="6"/>
  <c r="F337" i="6" s="1"/>
  <c r="E349" i="6"/>
  <c r="F349" i="6" s="1"/>
  <c r="E365" i="6"/>
  <c r="E369" i="6"/>
  <c r="F369" i="6" s="1"/>
  <c r="E325" i="6"/>
  <c r="F325" i="6" s="1"/>
  <c r="E342" i="6"/>
  <c r="F342" i="6" s="1"/>
  <c r="E344" i="6"/>
  <c r="E351" i="6"/>
  <c r="F351" i="6" s="1"/>
  <c r="E358" i="6"/>
  <c r="E360" i="6"/>
  <c r="F360" i="6" s="1"/>
  <c r="E367" i="6"/>
  <c r="F367" i="6" s="1"/>
  <c r="E387" i="6"/>
  <c r="E339" i="6"/>
  <c r="F339" i="6" s="1"/>
  <c r="E353" i="6"/>
  <c r="E383" i="6"/>
  <c r="F383" i="6" s="1"/>
  <c r="E409" i="6"/>
  <c r="F409" i="6" s="1"/>
  <c r="E415" i="6"/>
  <c r="F415" i="6" s="1"/>
  <c r="E324" i="6"/>
  <c r="F324" i="6" s="1"/>
  <c r="E327" i="6"/>
  <c r="E330" i="6"/>
  <c r="E333" i="6"/>
  <c r="F333" i="6" s="1"/>
  <c r="E346" i="6"/>
  <c r="F346" i="6" s="1"/>
  <c r="E348" i="6"/>
  <c r="F348" i="6" s="1"/>
  <c r="E355" i="6"/>
  <c r="F355" i="6" s="1"/>
  <c r="E362" i="6"/>
  <c r="E364" i="6"/>
  <c r="F364" i="6" s="1"/>
  <c r="E370" i="6"/>
  <c r="F370" i="6" s="1"/>
  <c r="E384" i="6"/>
  <c r="E398" i="6"/>
  <c r="E404" i="6"/>
  <c r="E341" i="6"/>
  <c r="F341" i="6" s="1"/>
  <c r="E357" i="6"/>
  <c r="E373" i="6"/>
  <c r="F373" i="6" s="1"/>
  <c r="E380" i="6"/>
  <c r="F380" i="6" s="1"/>
  <c r="E332" i="6"/>
  <c r="F332" i="6" s="1"/>
  <c r="E335" i="6"/>
  <c r="F335" i="6" s="1"/>
  <c r="E338" i="6"/>
  <c r="F338" i="6" s="1"/>
  <c r="E343" i="6"/>
  <c r="E350" i="6"/>
  <c r="F350" i="6" s="1"/>
  <c r="E352" i="6"/>
  <c r="E359" i="6"/>
  <c r="F359" i="6" s="1"/>
  <c r="E366" i="6"/>
  <c r="F366" i="6" s="1"/>
  <c r="E371" i="6"/>
  <c r="E381" i="6"/>
  <c r="F381" i="6" s="1"/>
  <c r="E430" i="6"/>
  <c r="E394" i="6"/>
  <c r="F394" i="6" s="1"/>
  <c r="E397" i="6"/>
  <c r="E400" i="6"/>
  <c r="E403" i="6"/>
  <c r="E426" i="6"/>
  <c r="F426" i="6" s="1"/>
  <c r="E429" i="6"/>
  <c r="E368" i="6"/>
  <c r="F368" i="6" s="1"/>
  <c r="E372" i="6"/>
  <c r="E376" i="6"/>
  <c r="F376" i="6" s="1"/>
  <c r="E382" i="6"/>
  <c r="F382" i="6" s="1"/>
  <c r="E385" i="6"/>
  <c r="E388" i="6"/>
  <c r="F388" i="6" s="1"/>
  <c r="E391" i="6"/>
  <c r="F391" i="6" s="1"/>
  <c r="E414" i="6"/>
  <c r="F414" i="6" s="1"/>
  <c r="E417" i="6"/>
  <c r="E420" i="6"/>
  <c r="F420" i="6" s="1"/>
  <c r="E423" i="6"/>
  <c r="F423" i="6" s="1"/>
  <c r="E379" i="6"/>
  <c r="F379" i="6" s="1"/>
  <c r="E402" i="6"/>
  <c r="F402" i="6" s="1"/>
  <c r="E405" i="6"/>
  <c r="F405" i="6" s="1"/>
  <c r="E408" i="6"/>
  <c r="F408" i="6" s="1"/>
  <c r="E411" i="6"/>
  <c r="F411" i="6" s="1"/>
  <c r="E431" i="6"/>
  <c r="E375" i="6"/>
  <c r="E390" i="6"/>
  <c r="F390" i="6" s="1"/>
  <c r="E393" i="6"/>
  <c r="E396" i="6"/>
  <c r="F396" i="6" s="1"/>
  <c r="E399" i="6"/>
  <c r="F399" i="6" s="1"/>
  <c r="E422" i="6"/>
  <c r="F422" i="6" s="1"/>
  <c r="E425" i="6"/>
  <c r="E428" i="6"/>
  <c r="F428" i="6" s="1"/>
  <c r="E433" i="6"/>
  <c r="F433" i="6" s="1"/>
  <c r="E410" i="6"/>
  <c r="E413" i="6"/>
  <c r="F413" i="6" s="1"/>
  <c r="E416" i="6"/>
  <c r="F416" i="6" s="1"/>
  <c r="E419" i="6"/>
  <c r="E386" i="6"/>
  <c r="F386" i="6" s="1"/>
  <c r="E389" i="6"/>
  <c r="F389" i="6" s="1"/>
  <c r="E392" i="6"/>
  <c r="F392" i="6" s="1"/>
  <c r="E395" i="6"/>
  <c r="E418" i="6"/>
  <c r="F418" i="6" s="1"/>
  <c r="E421" i="6"/>
  <c r="F421" i="6" s="1"/>
  <c r="E424" i="6"/>
  <c r="E427" i="6"/>
  <c r="E434" i="6"/>
  <c r="E438" i="6"/>
  <c r="E442" i="6"/>
  <c r="E446" i="6"/>
  <c r="E450" i="6"/>
  <c r="E454" i="6"/>
  <c r="E458" i="6"/>
  <c r="E462" i="6"/>
  <c r="E466" i="6"/>
  <c r="E470" i="6"/>
  <c r="E474" i="6"/>
  <c r="E478" i="6"/>
  <c r="E482" i="6"/>
  <c r="E486" i="6"/>
  <c r="E490" i="6"/>
  <c r="E494" i="6"/>
  <c r="E498" i="6"/>
  <c r="E502" i="6"/>
  <c r="E437" i="6"/>
  <c r="F437" i="6" s="1"/>
  <c r="E441" i="6"/>
  <c r="E445" i="6"/>
  <c r="F445" i="6" s="1"/>
  <c r="E449" i="6"/>
  <c r="E453" i="6"/>
  <c r="F453" i="6" s="1"/>
  <c r="E457" i="6"/>
  <c r="E461" i="6"/>
  <c r="F461" i="6" s="1"/>
  <c r="E465" i="6"/>
  <c r="E469" i="6"/>
  <c r="F469" i="6" s="1"/>
  <c r="E473" i="6"/>
  <c r="E477" i="6"/>
  <c r="F477" i="6" s="1"/>
  <c r="E481" i="6"/>
  <c r="E485" i="6"/>
  <c r="F485" i="6" s="1"/>
  <c r="E489" i="6"/>
  <c r="F489" i="6" s="1"/>
  <c r="E493" i="6"/>
  <c r="F493" i="6" s="1"/>
  <c r="E497" i="6"/>
  <c r="E501" i="6"/>
  <c r="F501" i="6" s="1"/>
  <c r="E432" i="6"/>
  <c r="F432" i="6" s="1"/>
  <c r="E436" i="6"/>
  <c r="E440" i="6"/>
  <c r="F440" i="6" s="1"/>
  <c r="E444" i="6"/>
  <c r="E448" i="6"/>
  <c r="F448" i="6" s="1"/>
  <c r="E452" i="6"/>
  <c r="E456" i="6"/>
  <c r="F456" i="6" s="1"/>
  <c r="E460" i="6"/>
  <c r="E464" i="6"/>
  <c r="F464" i="6" s="1"/>
  <c r="E468" i="6"/>
  <c r="F468" i="6" s="1"/>
  <c r="E472" i="6"/>
  <c r="F472" i="6" s="1"/>
  <c r="E476" i="6"/>
  <c r="E480" i="6"/>
  <c r="F480" i="6" s="1"/>
  <c r="E484" i="6"/>
  <c r="F484" i="6" s="1"/>
  <c r="E488" i="6"/>
  <c r="F488" i="6" s="1"/>
  <c r="E492" i="6"/>
  <c r="E496" i="6"/>
  <c r="F496" i="6" s="1"/>
  <c r="E500" i="6"/>
  <c r="F500" i="6" s="1"/>
  <c r="E504" i="6"/>
  <c r="F504" i="6" s="1"/>
  <c r="E435" i="6"/>
  <c r="E439" i="6"/>
  <c r="F439" i="6" s="1"/>
  <c r="E443" i="6"/>
  <c r="E447" i="6"/>
  <c r="F447" i="6" s="1"/>
  <c r="E451" i="6"/>
  <c r="E455" i="6"/>
  <c r="F455" i="6" s="1"/>
  <c r="E459" i="6"/>
  <c r="E463" i="6"/>
  <c r="F463" i="6" s="1"/>
  <c r="E467" i="6"/>
  <c r="E471" i="6"/>
  <c r="F471" i="6" s="1"/>
  <c r="E475" i="6"/>
  <c r="E479" i="6"/>
  <c r="F479" i="6" s="1"/>
  <c r="E483" i="6"/>
  <c r="E487" i="6"/>
  <c r="F487" i="6" s="1"/>
  <c r="E491" i="6"/>
  <c r="E495" i="6"/>
  <c r="F495" i="6" s="1"/>
  <c r="E499" i="6"/>
  <c r="E503" i="6"/>
  <c r="F503" i="6" s="1"/>
  <c r="J514" i="2"/>
  <c r="J513" i="2"/>
  <c r="J512" i="2"/>
  <c r="J511" i="2"/>
  <c r="N509" i="2"/>
  <c r="D509" i="2"/>
  <c r="Q509" i="2"/>
  <c r="O509" i="2"/>
  <c r="P509" i="2" s="1"/>
  <c r="M509" i="2"/>
  <c r="L509" i="2"/>
  <c r="K3" i="2"/>
  <c r="K2" i="2"/>
  <c r="K1" i="2"/>
  <c r="U1" i="2"/>
  <c r="G512" i="4"/>
  <c r="F512" i="4"/>
  <c r="G511" i="4"/>
  <c r="F511" i="4"/>
  <c r="G510" i="4"/>
  <c r="F510" i="4"/>
  <c r="G509" i="4"/>
  <c r="F509" i="4"/>
  <c r="Q508" i="4"/>
  <c r="P508" i="4" s="1"/>
  <c r="O508" i="4"/>
  <c r="N508" i="4"/>
  <c r="K507" i="4"/>
  <c r="J507" i="4" s="1"/>
  <c r="I507" i="4"/>
  <c r="H507" i="4"/>
  <c r="E507" i="4"/>
  <c r="D507" i="4" s="1"/>
  <c r="C507" i="4"/>
  <c r="B507" i="4"/>
  <c r="O506" i="4"/>
  <c r="N505" i="4" a="1"/>
  <c r="F491" i="6" l="1"/>
  <c r="F475" i="6"/>
  <c r="F459" i="6"/>
  <c r="F443" i="6"/>
  <c r="F452" i="6"/>
  <c r="F436" i="6"/>
  <c r="F431" i="6"/>
  <c r="F403" i="6"/>
  <c r="F327" i="6"/>
  <c r="F344" i="6"/>
  <c r="F378" i="6"/>
  <c r="F354" i="6"/>
  <c r="F336" i="6"/>
  <c r="F313" i="6"/>
  <c r="F281" i="6"/>
  <c r="F412" i="6"/>
  <c r="F307" i="6"/>
  <c r="F275" i="6"/>
  <c r="F312" i="6"/>
  <c r="F280" i="6"/>
  <c r="F146" i="6"/>
  <c r="F130" i="6"/>
  <c r="F164" i="6"/>
  <c r="F151" i="6"/>
  <c r="F124" i="6"/>
  <c r="F160" i="6"/>
  <c r="F102" i="6"/>
  <c r="F226" i="6"/>
  <c r="F125" i="6"/>
  <c r="F159" i="6"/>
  <c r="F107" i="6"/>
  <c r="F176" i="6"/>
  <c r="F110" i="6"/>
  <c r="F88" i="6"/>
  <c r="F72" i="6"/>
  <c r="F60" i="6"/>
  <c r="F37" i="6"/>
  <c r="F14" i="6"/>
  <c r="F65" i="6"/>
  <c r="F9" i="6"/>
  <c r="F39" i="6"/>
  <c r="F498" i="6"/>
  <c r="F482" i="6"/>
  <c r="F466" i="6"/>
  <c r="F450" i="6"/>
  <c r="F434" i="6"/>
  <c r="F400" i="6"/>
  <c r="F404" i="6"/>
  <c r="F374" i="6"/>
  <c r="F242" i="6"/>
  <c r="F294" i="6"/>
  <c r="F153" i="6"/>
  <c r="F205" i="6"/>
  <c r="F155" i="6"/>
  <c r="F166" i="6"/>
  <c r="F133" i="6"/>
  <c r="F11" i="6"/>
  <c r="F61" i="6"/>
  <c r="F57" i="6"/>
  <c r="F429" i="6"/>
  <c r="F397" i="6"/>
  <c r="F398" i="6"/>
  <c r="F317" i="6"/>
  <c r="F377" i="6"/>
  <c r="F223" i="6"/>
  <c r="F207" i="6"/>
  <c r="F273" i="6"/>
  <c r="F287" i="6"/>
  <c r="F174" i="6"/>
  <c r="F220" i="6"/>
  <c r="F278" i="6"/>
  <c r="F184" i="6"/>
  <c r="F143" i="6"/>
  <c r="F99" i="6"/>
  <c r="F46" i="6"/>
  <c r="F188" i="6"/>
  <c r="F109" i="6"/>
  <c r="F162" i="6"/>
  <c r="F126" i="6"/>
  <c r="F84" i="6"/>
  <c r="F53" i="6"/>
  <c r="F117" i="6"/>
  <c r="F182" i="6"/>
  <c r="F19" i="6"/>
  <c r="F69" i="6"/>
  <c r="F55" i="6"/>
  <c r="F473" i="6"/>
  <c r="F457" i="6"/>
  <c r="F441" i="6"/>
  <c r="F494" i="6"/>
  <c r="F478" i="6"/>
  <c r="F462" i="6"/>
  <c r="F446" i="6"/>
  <c r="F427" i="6"/>
  <c r="F395" i="6"/>
  <c r="F417" i="6"/>
  <c r="F385" i="6"/>
  <c r="F352" i="6"/>
  <c r="F357" i="6"/>
  <c r="F362" i="6"/>
  <c r="F358" i="6"/>
  <c r="F365" i="6"/>
  <c r="F328" i="6"/>
  <c r="F347" i="6"/>
  <c r="F345" i="6"/>
  <c r="F270" i="6"/>
  <c r="F192" i="6"/>
  <c r="F310" i="6"/>
  <c r="F214" i="6"/>
  <c r="F245" i="6"/>
  <c r="F253" i="6"/>
  <c r="F216" i="6"/>
  <c r="F236" i="6"/>
  <c r="F145" i="6"/>
  <c r="F147" i="6"/>
  <c r="F103" i="6"/>
  <c r="F101" i="6"/>
  <c r="F49" i="6"/>
  <c r="F36" i="6"/>
  <c r="F128" i="6"/>
  <c r="F24" i="6"/>
  <c r="F31" i="6"/>
  <c r="F499" i="6"/>
  <c r="F483" i="6"/>
  <c r="F467" i="6"/>
  <c r="F451" i="6"/>
  <c r="F435" i="6"/>
  <c r="F492" i="6"/>
  <c r="F476" i="6"/>
  <c r="F460" i="6"/>
  <c r="F444" i="6"/>
  <c r="F424" i="6"/>
  <c r="F419" i="6"/>
  <c r="F425" i="6"/>
  <c r="F393" i="6"/>
  <c r="F384" i="6"/>
  <c r="F297" i="6"/>
  <c r="F323" i="6"/>
  <c r="F263" i="6"/>
  <c r="F406" i="6"/>
  <c r="F291" i="6"/>
  <c r="F326" i="6"/>
  <c r="F296" i="6"/>
  <c r="F212" i="6"/>
  <c r="F225" i="6"/>
  <c r="F241" i="6"/>
  <c r="F154" i="6"/>
  <c r="F135" i="6"/>
  <c r="F303" i="6"/>
  <c r="F229" i="6"/>
  <c r="F116" i="6"/>
  <c r="F250" i="6"/>
  <c r="F80" i="6"/>
  <c r="F92" i="6"/>
  <c r="F15" i="6"/>
  <c r="F18" i="6"/>
  <c r="F28" i="6"/>
  <c r="F10" i="6"/>
  <c r="F490" i="6"/>
  <c r="F474" i="6"/>
  <c r="F458" i="6"/>
  <c r="F442" i="6"/>
  <c r="F371" i="6"/>
  <c r="F387" i="6"/>
  <c r="F361" i="6"/>
  <c r="F320" i="6"/>
  <c r="F322" i="6"/>
  <c r="F256" i="6"/>
  <c r="F234" i="6"/>
  <c r="F203" i="6"/>
  <c r="F137" i="6"/>
  <c r="F139" i="6"/>
  <c r="F149" i="6"/>
  <c r="F119" i="6"/>
  <c r="F71" i="6"/>
  <c r="F6" i="6"/>
  <c r="F430" i="6"/>
  <c r="F401" i="6"/>
  <c r="F319" i="6"/>
  <c r="F238" i="6"/>
  <c r="F204" i="6"/>
  <c r="F157" i="6"/>
  <c r="F108" i="6"/>
  <c r="F210" i="6"/>
  <c r="F179" i="6"/>
  <c r="F70" i="6"/>
  <c r="F218" i="6"/>
  <c r="F94" i="6"/>
  <c r="F44" i="6"/>
  <c r="F63" i="6"/>
  <c r="F7" i="6"/>
  <c r="F497" i="6"/>
  <c r="F481" i="6"/>
  <c r="F465" i="6"/>
  <c r="F449" i="6"/>
  <c r="F502" i="6"/>
  <c r="F486" i="6"/>
  <c r="F470" i="6"/>
  <c r="F454" i="6"/>
  <c r="F438" i="6"/>
  <c r="F410" i="6"/>
  <c r="F375" i="6"/>
  <c r="F372" i="6"/>
  <c r="F343" i="6"/>
  <c r="F330" i="6"/>
  <c r="F353" i="6"/>
  <c r="F356" i="6"/>
  <c r="F271" i="6"/>
  <c r="F255" i="6"/>
  <c r="F316" i="6"/>
  <c r="F172" i="6"/>
  <c r="F230" i="6"/>
  <c r="F233" i="6"/>
  <c r="F129" i="6"/>
  <c r="F163" i="6"/>
  <c r="F131" i="6"/>
  <c r="F141" i="6"/>
  <c r="F91" i="6"/>
  <c r="F29" i="6"/>
  <c r="F67" i="6"/>
  <c r="F45" i="6"/>
  <c r="F73" i="6"/>
  <c r="F41" i="6"/>
  <c r="F34" i="6"/>
  <c r="R508" i="4"/>
  <c r="L507" i="4"/>
  <c r="F507" i="4"/>
  <c r="N505" i="4"/>
  <c r="O505" i="4"/>
  <c r="P505" i="4"/>
  <c r="N494" i="4" a="1"/>
  <c r="N494" i="4"/>
  <c r="O494" i="4"/>
  <c r="P494" i="4"/>
  <c r="N495" i="4" a="1"/>
  <c r="N495" i="4"/>
  <c r="O495" i="4"/>
  <c r="P495" i="4"/>
  <c r="N496" i="4" a="1"/>
  <c r="N496" i="4"/>
  <c r="O496" i="4"/>
  <c r="P496" i="4"/>
  <c r="N497" i="4" a="1"/>
  <c r="N497" i="4"/>
  <c r="O497" i="4"/>
  <c r="P497" i="4"/>
  <c r="N498" i="4" a="1"/>
  <c r="N498" i="4"/>
  <c r="O498" i="4"/>
  <c r="P498" i="4"/>
  <c r="N499" i="4" a="1"/>
  <c r="N499" i="4"/>
  <c r="O499" i="4"/>
  <c r="P499" i="4"/>
  <c r="N500" i="4" a="1"/>
  <c r="N500" i="4"/>
  <c r="O500" i="4"/>
  <c r="P500" i="4"/>
  <c r="N501" i="4" a="1"/>
  <c r="N501" i="4"/>
  <c r="O501" i="4"/>
  <c r="P501" i="4"/>
  <c r="N502" i="4" a="1"/>
  <c r="N502" i="4"/>
  <c r="O502" i="4"/>
  <c r="P502" i="4"/>
  <c r="N503" i="4" a="1"/>
  <c r="N503" i="4"/>
  <c r="O503" i="4"/>
  <c r="P503" i="4"/>
  <c r="N504" i="4" a="1"/>
  <c r="N504" i="4"/>
  <c r="O504" i="4"/>
  <c r="P504" i="4"/>
  <c r="N506" i="4" a="1"/>
  <c r="N506" i="4"/>
  <c r="P506" i="4"/>
  <c r="B4" i="4" a="1"/>
  <c r="B4" i="4"/>
  <c r="C4" i="4"/>
  <c r="D4" i="4"/>
  <c r="B5" i="4" a="1"/>
  <c r="B5" i="4"/>
  <c r="C5" i="4"/>
  <c r="D5" i="4"/>
  <c r="B6" i="4" a="1"/>
  <c r="B6" i="4"/>
  <c r="C6" i="4"/>
  <c r="D6" i="4"/>
  <c r="B7" i="4" a="1"/>
  <c r="B7" i="4"/>
  <c r="C7" i="4"/>
  <c r="D7" i="4"/>
  <c r="B8" i="4" a="1"/>
  <c r="B8" i="4"/>
  <c r="C8" i="4"/>
  <c r="D8" i="4"/>
  <c r="B9" i="4" a="1"/>
  <c r="B9" i="4"/>
  <c r="C9" i="4"/>
  <c r="D9" i="4"/>
  <c r="B10" i="4" a="1"/>
  <c r="B10" i="4"/>
  <c r="C10" i="4"/>
  <c r="D10" i="4"/>
  <c r="B11" i="4" a="1"/>
  <c r="B11" i="4"/>
  <c r="C11" i="4"/>
  <c r="D11" i="4"/>
  <c r="B12" i="4" a="1"/>
  <c r="B12" i="4"/>
  <c r="C12" i="4"/>
  <c r="D12" i="4"/>
  <c r="B13" i="4" a="1"/>
  <c r="B13" i="4"/>
  <c r="C13" i="4"/>
  <c r="D13" i="4"/>
  <c r="B14" i="4" a="1"/>
  <c r="B14" i="4"/>
  <c r="C14" i="4"/>
  <c r="D14" i="4"/>
  <c r="B15" i="4" a="1"/>
  <c r="B15" i="4"/>
  <c r="C15" i="4"/>
  <c r="D15" i="4"/>
  <c r="B16" i="4" a="1"/>
  <c r="B16" i="4"/>
  <c r="C16" i="4"/>
  <c r="D16" i="4"/>
  <c r="B17" i="4" a="1"/>
  <c r="B17" i="4"/>
  <c r="C17" i="4"/>
  <c r="D17" i="4"/>
  <c r="B18" i="4" a="1"/>
  <c r="B18" i="4"/>
  <c r="C18" i="4"/>
  <c r="D18" i="4"/>
  <c r="B19" i="4" a="1"/>
  <c r="B19" i="4"/>
  <c r="C19" i="4"/>
  <c r="D19" i="4"/>
  <c r="B20" i="4" a="1"/>
  <c r="B20" i="4"/>
  <c r="C20" i="4"/>
  <c r="D20" i="4"/>
  <c r="B21" i="4" a="1"/>
  <c r="B21" i="4"/>
  <c r="C21" i="4"/>
  <c r="D21" i="4"/>
  <c r="B22" i="4" a="1"/>
  <c r="B22" i="4"/>
  <c r="C22" i="4"/>
  <c r="D22" i="4"/>
  <c r="B23" i="4" a="1"/>
  <c r="B23" i="4"/>
  <c r="C23" i="4"/>
  <c r="D23" i="4"/>
  <c r="B24" i="4" a="1"/>
  <c r="B24" i="4"/>
  <c r="C24" i="4"/>
  <c r="D24" i="4"/>
  <c r="B25" i="4" a="1"/>
  <c r="B25" i="4"/>
  <c r="C25" i="4"/>
  <c r="D25" i="4"/>
  <c r="B26" i="4" a="1"/>
  <c r="B26" i="4"/>
  <c r="C26" i="4"/>
  <c r="D26" i="4"/>
  <c r="B27" i="4" a="1"/>
  <c r="B27" i="4"/>
  <c r="C27" i="4"/>
  <c r="D27" i="4"/>
  <c r="B28" i="4" a="1"/>
  <c r="B28" i="4"/>
  <c r="C28" i="4"/>
  <c r="D28" i="4"/>
  <c r="B29" i="4" a="1"/>
  <c r="B29" i="4"/>
  <c r="C29" i="4"/>
  <c r="D29" i="4"/>
  <c r="B30" i="4" a="1"/>
  <c r="B30" i="4"/>
  <c r="C30" i="4"/>
  <c r="D30" i="4"/>
  <c r="B31" i="4" a="1"/>
  <c r="B31" i="4"/>
  <c r="C31" i="4"/>
  <c r="D31" i="4"/>
  <c r="B32" i="4" a="1"/>
  <c r="B32" i="4"/>
  <c r="C32" i="4"/>
  <c r="D32" i="4"/>
  <c r="B33" i="4" a="1"/>
  <c r="B33" i="4"/>
  <c r="C33" i="4"/>
  <c r="D33" i="4"/>
  <c r="B34" i="4" a="1"/>
  <c r="B34" i="4"/>
  <c r="C34" i="4"/>
  <c r="D34" i="4"/>
  <c r="B35" i="4" a="1"/>
  <c r="B35" i="4"/>
  <c r="C35" i="4"/>
  <c r="D35" i="4"/>
  <c r="B36" i="4" a="1"/>
  <c r="B36" i="4"/>
  <c r="C36" i="4"/>
  <c r="D36" i="4"/>
  <c r="B37" i="4" a="1"/>
  <c r="B37" i="4"/>
  <c r="C37" i="4"/>
  <c r="D37" i="4"/>
  <c r="B38" i="4" a="1"/>
  <c r="B38" i="4"/>
  <c r="C38" i="4"/>
  <c r="D38" i="4"/>
  <c r="B39" i="4" a="1"/>
  <c r="B39" i="4"/>
  <c r="C39" i="4"/>
  <c r="D39" i="4"/>
  <c r="B40" i="4" a="1"/>
  <c r="B40" i="4"/>
  <c r="C40" i="4"/>
  <c r="D40" i="4"/>
  <c r="B41" i="4" a="1"/>
  <c r="B41" i="4"/>
  <c r="C41" i="4"/>
  <c r="D41" i="4"/>
  <c r="B42" i="4" a="1"/>
  <c r="B42" i="4"/>
  <c r="C42" i="4"/>
  <c r="D42" i="4"/>
  <c r="B43" i="4" a="1"/>
  <c r="B43" i="4"/>
  <c r="C43" i="4"/>
  <c r="D43" i="4"/>
  <c r="B44" i="4" a="1"/>
  <c r="B44" i="4"/>
  <c r="C44" i="4"/>
  <c r="D44" i="4"/>
  <c r="B45" i="4" a="1"/>
  <c r="B45" i="4"/>
  <c r="C45" i="4"/>
  <c r="D45" i="4"/>
  <c r="B46" i="4" a="1"/>
  <c r="B46" i="4"/>
  <c r="C46" i="4"/>
  <c r="D46" i="4"/>
  <c r="B47" i="4" a="1"/>
  <c r="B47" i="4"/>
  <c r="C47" i="4"/>
  <c r="D47" i="4"/>
  <c r="B48" i="4" a="1"/>
  <c r="B48" i="4"/>
  <c r="C48" i="4"/>
  <c r="D48" i="4"/>
  <c r="B49" i="4" a="1"/>
  <c r="B49" i="4"/>
  <c r="C49" i="4"/>
  <c r="D49" i="4"/>
  <c r="B50" i="4" a="1"/>
  <c r="B50" i="4"/>
  <c r="C50" i="4"/>
  <c r="D50" i="4"/>
  <c r="B51" i="4" a="1"/>
  <c r="B51" i="4"/>
  <c r="C51" i="4"/>
  <c r="D51" i="4"/>
  <c r="B52" i="4" a="1"/>
  <c r="B52" i="4"/>
  <c r="C52" i="4"/>
  <c r="D52" i="4"/>
  <c r="B53" i="4" a="1"/>
  <c r="B53" i="4"/>
  <c r="C53" i="4"/>
  <c r="D53" i="4"/>
  <c r="B54" i="4" a="1"/>
  <c r="B54" i="4"/>
  <c r="C54" i="4"/>
  <c r="D54" i="4"/>
  <c r="B55" i="4" a="1"/>
  <c r="B55" i="4"/>
  <c r="C55" i="4"/>
  <c r="D55" i="4"/>
  <c r="B56" i="4" a="1"/>
  <c r="B56" i="4"/>
  <c r="C56" i="4"/>
  <c r="D56" i="4"/>
  <c r="B57" i="4" a="1"/>
  <c r="B57" i="4"/>
  <c r="C57" i="4"/>
  <c r="D57" i="4"/>
  <c r="B58" i="4" a="1"/>
  <c r="B58" i="4"/>
  <c r="C58" i="4"/>
  <c r="D58" i="4"/>
  <c r="B59" i="4" a="1"/>
  <c r="B59" i="4"/>
  <c r="C59" i="4"/>
  <c r="D59" i="4"/>
  <c r="B60" i="4" a="1"/>
  <c r="B60" i="4"/>
  <c r="C60" i="4"/>
  <c r="D60" i="4"/>
  <c r="B61" i="4" a="1"/>
  <c r="B61" i="4"/>
  <c r="C61" i="4"/>
  <c r="D61" i="4"/>
  <c r="B62" i="4" a="1"/>
  <c r="B62" i="4"/>
  <c r="C62" i="4"/>
  <c r="D62" i="4"/>
  <c r="B63" i="4" a="1"/>
  <c r="B63" i="4"/>
  <c r="C63" i="4"/>
  <c r="D63" i="4"/>
  <c r="B64" i="4" a="1"/>
  <c r="B64" i="4"/>
  <c r="C64" i="4"/>
  <c r="D64" i="4"/>
  <c r="B65" i="4" a="1"/>
  <c r="B65" i="4"/>
  <c r="C65" i="4"/>
  <c r="D65" i="4"/>
  <c r="B66" i="4" a="1"/>
  <c r="B66" i="4"/>
  <c r="C66" i="4"/>
  <c r="D66" i="4"/>
  <c r="B67" i="4" a="1"/>
  <c r="B67" i="4"/>
  <c r="C67" i="4"/>
  <c r="D67" i="4"/>
  <c r="B68" i="4" a="1"/>
  <c r="B68" i="4"/>
  <c r="C68" i="4"/>
  <c r="D68" i="4"/>
  <c r="B69" i="4" a="1"/>
  <c r="B69" i="4"/>
  <c r="C69" i="4"/>
  <c r="D69" i="4"/>
  <c r="B70" i="4" a="1"/>
  <c r="B70" i="4"/>
  <c r="C70" i="4"/>
  <c r="D70" i="4"/>
  <c r="B71" i="4" a="1"/>
  <c r="B71" i="4"/>
  <c r="C71" i="4"/>
  <c r="D71" i="4"/>
  <c r="B72" i="4" a="1"/>
  <c r="B72" i="4"/>
  <c r="C72" i="4"/>
  <c r="D72" i="4"/>
  <c r="B73" i="4" a="1"/>
  <c r="B73" i="4"/>
  <c r="C73" i="4"/>
  <c r="D73" i="4"/>
  <c r="B74" i="4" a="1"/>
  <c r="B74" i="4"/>
  <c r="C74" i="4"/>
  <c r="D74" i="4"/>
  <c r="B75" i="4" a="1"/>
  <c r="B75" i="4"/>
  <c r="C75" i="4"/>
  <c r="D75" i="4"/>
  <c r="B76" i="4" a="1"/>
  <c r="B76" i="4"/>
  <c r="C76" i="4"/>
  <c r="D76" i="4"/>
  <c r="B77" i="4" a="1"/>
  <c r="B77" i="4"/>
  <c r="C77" i="4"/>
  <c r="D77" i="4"/>
  <c r="B78" i="4" a="1"/>
  <c r="B78" i="4"/>
  <c r="C78" i="4"/>
  <c r="D78" i="4"/>
  <c r="B79" i="4" a="1"/>
  <c r="B79" i="4"/>
  <c r="C79" i="4"/>
  <c r="D79" i="4"/>
  <c r="B80" i="4" a="1"/>
  <c r="B80" i="4"/>
  <c r="C80" i="4"/>
  <c r="D80" i="4"/>
  <c r="B81" i="4" a="1"/>
  <c r="B81" i="4"/>
  <c r="C81" i="4"/>
  <c r="D81" i="4"/>
  <c r="B82" i="4" a="1"/>
  <c r="B82" i="4"/>
  <c r="C82" i="4"/>
  <c r="D82" i="4"/>
  <c r="B83" i="4" a="1"/>
  <c r="B83" i="4"/>
  <c r="C83" i="4"/>
  <c r="D83" i="4"/>
  <c r="B84" i="4" a="1"/>
  <c r="B84" i="4"/>
  <c r="C84" i="4"/>
  <c r="D84" i="4"/>
  <c r="B85" i="4" a="1"/>
  <c r="B85" i="4"/>
  <c r="C85" i="4"/>
  <c r="D85" i="4"/>
  <c r="B86" i="4" a="1"/>
  <c r="B86" i="4"/>
  <c r="C86" i="4"/>
  <c r="D86" i="4"/>
  <c r="B87" i="4" a="1"/>
  <c r="B87" i="4"/>
  <c r="C87" i="4"/>
  <c r="D87" i="4"/>
  <c r="B88" i="4" a="1"/>
  <c r="B88" i="4"/>
  <c r="C88" i="4"/>
  <c r="D88" i="4"/>
  <c r="B89" i="4" a="1"/>
  <c r="B89" i="4"/>
  <c r="C89" i="4"/>
  <c r="D89" i="4"/>
  <c r="B90" i="4" a="1"/>
  <c r="B90" i="4"/>
  <c r="C90" i="4"/>
  <c r="D90" i="4"/>
  <c r="B91" i="4" a="1"/>
  <c r="B91" i="4"/>
  <c r="C91" i="4"/>
  <c r="D91" i="4"/>
  <c r="B92" i="4" a="1"/>
  <c r="B92" i="4"/>
  <c r="C92" i="4"/>
  <c r="D92" i="4"/>
  <c r="B93" i="4" a="1"/>
  <c r="B93" i="4"/>
  <c r="C93" i="4"/>
  <c r="D93" i="4"/>
  <c r="B94" i="4" a="1"/>
  <c r="B94" i="4"/>
  <c r="C94" i="4"/>
  <c r="D94" i="4"/>
  <c r="B95" i="4" a="1"/>
  <c r="B95" i="4"/>
  <c r="C95" i="4"/>
  <c r="D95" i="4"/>
  <c r="B96" i="4" a="1"/>
  <c r="B96" i="4"/>
  <c r="C96" i="4"/>
  <c r="D96" i="4"/>
  <c r="B97" i="4" a="1"/>
  <c r="B97" i="4"/>
  <c r="C97" i="4"/>
  <c r="D97" i="4"/>
  <c r="B98" i="4" a="1"/>
  <c r="B98" i="4"/>
  <c r="C98" i="4"/>
  <c r="D98" i="4"/>
  <c r="B99" i="4" a="1"/>
  <c r="B99" i="4"/>
  <c r="C99" i="4"/>
  <c r="D99" i="4"/>
  <c r="B100" i="4" a="1"/>
  <c r="B100" i="4"/>
  <c r="C100" i="4"/>
  <c r="D100" i="4"/>
  <c r="B101" i="4" a="1"/>
  <c r="B101" i="4"/>
  <c r="C101" i="4"/>
  <c r="D101" i="4"/>
  <c r="B102" i="4" a="1"/>
  <c r="B102" i="4"/>
  <c r="C102" i="4"/>
  <c r="D102" i="4"/>
  <c r="B103" i="4" a="1"/>
  <c r="B103" i="4"/>
  <c r="C103" i="4"/>
  <c r="D103" i="4"/>
  <c r="B104" i="4" a="1"/>
  <c r="B104" i="4"/>
  <c r="C104" i="4"/>
  <c r="D104" i="4"/>
  <c r="B105" i="4" a="1"/>
  <c r="B105" i="4"/>
  <c r="C105" i="4"/>
  <c r="D105" i="4"/>
  <c r="B106" i="4" a="1"/>
  <c r="B106" i="4"/>
  <c r="C106" i="4"/>
  <c r="D106" i="4"/>
  <c r="B107" i="4" a="1"/>
  <c r="B107" i="4"/>
  <c r="C107" i="4"/>
  <c r="D107" i="4"/>
  <c r="B108" i="4" a="1"/>
  <c r="B108" i="4"/>
  <c r="C108" i="4"/>
  <c r="D108" i="4"/>
  <c r="B109" i="4" a="1"/>
  <c r="B109" i="4"/>
  <c r="C109" i="4"/>
  <c r="D109" i="4"/>
  <c r="B110" i="4" a="1"/>
  <c r="B110" i="4"/>
  <c r="C110" i="4"/>
  <c r="D110" i="4"/>
  <c r="B111" i="4" a="1"/>
  <c r="B111" i="4"/>
  <c r="C111" i="4"/>
  <c r="D111" i="4"/>
  <c r="B112" i="4" a="1"/>
  <c r="B112" i="4"/>
  <c r="C112" i="4"/>
  <c r="D112" i="4"/>
  <c r="B113" i="4" a="1"/>
  <c r="B113" i="4"/>
  <c r="C113" i="4"/>
  <c r="D113" i="4"/>
  <c r="B114" i="4" a="1"/>
  <c r="B114" i="4"/>
  <c r="C114" i="4"/>
  <c r="D114" i="4"/>
  <c r="B115" i="4" a="1"/>
  <c r="B115" i="4"/>
  <c r="C115" i="4"/>
  <c r="D115" i="4"/>
  <c r="B116" i="4" a="1"/>
  <c r="B116" i="4"/>
  <c r="C116" i="4"/>
  <c r="D116" i="4"/>
  <c r="B117" i="4" a="1"/>
  <c r="B117" i="4"/>
  <c r="C117" i="4"/>
  <c r="D117" i="4"/>
  <c r="B118" i="4" a="1"/>
  <c r="B118" i="4"/>
  <c r="C118" i="4"/>
  <c r="D118" i="4"/>
  <c r="B119" i="4" a="1"/>
  <c r="B119" i="4"/>
  <c r="C119" i="4"/>
  <c r="D119" i="4"/>
  <c r="B120" i="4" a="1"/>
  <c r="B120" i="4"/>
  <c r="C120" i="4"/>
  <c r="D120" i="4"/>
  <c r="B121" i="4" a="1"/>
  <c r="B121" i="4"/>
  <c r="C121" i="4"/>
  <c r="D121" i="4"/>
  <c r="B122" i="4" a="1"/>
  <c r="B122" i="4"/>
  <c r="C122" i="4"/>
  <c r="D122" i="4"/>
  <c r="B123" i="4" a="1"/>
  <c r="B123" i="4"/>
  <c r="C123" i="4"/>
  <c r="D123" i="4"/>
  <c r="B124" i="4" a="1"/>
  <c r="B124" i="4"/>
  <c r="C124" i="4"/>
  <c r="D124" i="4"/>
  <c r="B125" i="4" a="1"/>
  <c r="B125" i="4"/>
  <c r="C125" i="4"/>
  <c r="D125" i="4"/>
  <c r="B126" i="4" a="1"/>
  <c r="B126" i="4"/>
  <c r="C126" i="4"/>
  <c r="D126" i="4"/>
  <c r="B127" i="4" a="1"/>
  <c r="B127" i="4"/>
  <c r="C127" i="4"/>
  <c r="D127" i="4"/>
  <c r="B128" i="4" a="1"/>
  <c r="B128" i="4"/>
  <c r="C128" i="4"/>
  <c r="D128" i="4"/>
  <c r="B129" i="4" a="1"/>
  <c r="B129" i="4"/>
  <c r="C129" i="4"/>
  <c r="D129" i="4"/>
  <c r="B130" i="4" a="1"/>
  <c r="B130" i="4"/>
  <c r="C130" i="4"/>
  <c r="D130" i="4"/>
  <c r="B131" i="4" a="1"/>
  <c r="B131" i="4"/>
  <c r="C131" i="4"/>
  <c r="D131" i="4"/>
  <c r="B132" i="4" a="1"/>
  <c r="B132" i="4"/>
  <c r="C132" i="4"/>
  <c r="D132" i="4"/>
  <c r="B133" i="4" a="1"/>
  <c r="B133" i="4"/>
  <c r="C133" i="4"/>
  <c r="D133" i="4"/>
  <c r="B134" i="4" a="1"/>
  <c r="B134" i="4"/>
  <c r="C134" i="4"/>
  <c r="D134" i="4"/>
  <c r="B135" i="4" a="1"/>
  <c r="B135" i="4"/>
  <c r="C135" i="4"/>
  <c r="D135" i="4"/>
  <c r="B136" i="4" a="1"/>
  <c r="B136" i="4"/>
  <c r="C136" i="4"/>
  <c r="D136" i="4"/>
  <c r="B137" i="4" a="1"/>
  <c r="B137" i="4"/>
  <c r="C137" i="4"/>
  <c r="D137" i="4"/>
  <c r="B138" i="4" a="1"/>
  <c r="B138" i="4"/>
  <c r="C138" i="4"/>
  <c r="D138" i="4"/>
  <c r="B139" i="4" a="1"/>
  <c r="B139" i="4"/>
  <c r="C139" i="4"/>
  <c r="D139" i="4"/>
  <c r="B140" i="4" a="1"/>
  <c r="B140" i="4"/>
  <c r="C140" i="4"/>
  <c r="D140" i="4"/>
  <c r="B141" i="4" a="1"/>
  <c r="B141" i="4"/>
  <c r="C141" i="4"/>
  <c r="D141" i="4"/>
  <c r="B142" i="4" a="1"/>
  <c r="B142" i="4"/>
  <c r="C142" i="4"/>
  <c r="D142" i="4"/>
  <c r="B143" i="4" a="1"/>
  <c r="B143" i="4"/>
  <c r="C143" i="4"/>
  <c r="D143" i="4"/>
  <c r="B144" i="4" a="1"/>
  <c r="B144" i="4"/>
  <c r="C144" i="4"/>
  <c r="D144" i="4"/>
  <c r="B145" i="4" a="1"/>
  <c r="B145" i="4"/>
  <c r="C145" i="4"/>
  <c r="D145" i="4"/>
  <c r="B146" i="4" a="1"/>
  <c r="B146" i="4"/>
  <c r="C146" i="4"/>
  <c r="D146" i="4"/>
  <c r="B147" i="4" a="1"/>
  <c r="B147" i="4"/>
  <c r="C147" i="4"/>
  <c r="D147" i="4"/>
  <c r="B148" i="4" a="1"/>
  <c r="B148" i="4"/>
  <c r="C148" i="4"/>
  <c r="D148" i="4"/>
  <c r="B149" i="4" a="1"/>
  <c r="B149" i="4"/>
  <c r="C149" i="4"/>
  <c r="D149" i="4"/>
  <c r="B150" i="4" a="1"/>
  <c r="B150" i="4"/>
  <c r="C150" i="4"/>
  <c r="D150" i="4"/>
  <c r="B151" i="4" a="1"/>
  <c r="B151" i="4"/>
  <c r="C151" i="4"/>
  <c r="D151" i="4"/>
  <c r="B152" i="4" a="1"/>
  <c r="B152" i="4"/>
  <c r="C152" i="4"/>
  <c r="D152" i="4"/>
  <c r="B153" i="4" a="1"/>
  <c r="B153" i="4"/>
  <c r="C153" i="4"/>
  <c r="D153" i="4"/>
  <c r="B154" i="4" a="1"/>
  <c r="B154" i="4"/>
  <c r="C154" i="4"/>
  <c r="D154" i="4"/>
  <c r="B155" i="4" a="1"/>
  <c r="B155" i="4"/>
  <c r="C155" i="4"/>
  <c r="D155" i="4"/>
  <c r="B156" i="4" a="1"/>
  <c r="B156" i="4"/>
  <c r="C156" i="4"/>
  <c r="D156" i="4"/>
  <c r="B157" i="4" a="1"/>
  <c r="B157" i="4"/>
  <c r="C157" i="4"/>
  <c r="D157" i="4"/>
  <c r="B158" i="4" a="1"/>
  <c r="B158" i="4"/>
  <c r="C158" i="4"/>
  <c r="D158" i="4"/>
  <c r="B159" i="4" a="1"/>
  <c r="B159" i="4"/>
  <c r="C159" i="4"/>
  <c r="D159" i="4"/>
  <c r="B160" i="4" a="1"/>
  <c r="B160" i="4"/>
  <c r="C160" i="4"/>
  <c r="D160" i="4"/>
  <c r="B161" i="4" a="1"/>
  <c r="B161" i="4"/>
  <c r="C161" i="4"/>
  <c r="D161" i="4"/>
  <c r="B162" i="4" a="1"/>
  <c r="B162" i="4"/>
  <c r="C162" i="4"/>
  <c r="D162" i="4"/>
  <c r="B163" i="4" a="1"/>
  <c r="B163" i="4"/>
  <c r="C163" i="4"/>
  <c r="D163" i="4"/>
  <c r="B164" i="4" a="1"/>
  <c r="B164" i="4"/>
  <c r="C164" i="4"/>
  <c r="D164" i="4"/>
  <c r="B165" i="4" a="1"/>
  <c r="B165" i="4"/>
  <c r="C165" i="4"/>
  <c r="D165" i="4"/>
  <c r="B166" i="4" a="1"/>
  <c r="B166" i="4"/>
  <c r="C166" i="4"/>
  <c r="D166" i="4"/>
  <c r="B167" i="4" a="1"/>
  <c r="B167" i="4"/>
  <c r="C167" i="4"/>
  <c r="D167" i="4"/>
  <c r="B168" i="4" a="1"/>
  <c r="B168" i="4"/>
  <c r="C168" i="4"/>
  <c r="D168" i="4"/>
  <c r="B169" i="4" a="1"/>
  <c r="B169" i="4"/>
  <c r="C169" i="4"/>
  <c r="D169" i="4"/>
  <c r="B170" i="4" a="1"/>
  <c r="B170" i="4"/>
  <c r="C170" i="4"/>
  <c r="D170" i="4"/>
  <c r="B171" i="4" a="1"/>
  <c r="B171" i="4"/>
  <c r="C171" i="4"/>
  <c r="D171" i="4"/>
  <c r="B172" i="4" a="1"/>
  <c r="B172" i="4"/>
  <c r="C172" i="4"/>
  <c r="D172" i="4"/>
  <c r="B173" i="4" a="1"/>
  <c r="B173" i="4"/>
  <c r="C173" i="4"/>
  <c r="D173" i="4"/>
  <c r="B174" i="4" a="1"/>
  <c r="B174" i="4"/>
  <c r="C174" i="4"/>
  <c r="D174" i="4"/>
  <c r="B175" i="4" a="1"/>
  <c r="B175" i="4"/>
  <c r="C175" i="4"/>
  <c r="D175" i="4"/>
  <c r="B176" i="4" a="1"/>
  <c r="B176" i="4"/>
  <c r="C176" i="4"/>
  <c r="D176" i="4"/>
  <c r="B177" i="4" a="1"/>
  <c r="B177" i="4"/>
  <c r="C177" i="4"/>
  <c r="D177" i="4"/>
  <c r="B178" i="4" a="1"/>
  <c r="B178" i="4"/>
  <c r="C178" i="4"/>
  <c r="D178" i="4"/>
  <c r="B179" i="4" a="1"/>
  <c r="B179" i="4"/>
  <c r="C179" i="4"/>
  <c r="D179" i="4"/>
  <c r="B180" i="4" a="1"/>
  <c r="B180" i="4"/>
  <c r="C180" i="4"/>
  <c r="D180" i="4"/>
  <c r="B181" i="4" a="1"/>
  <c r="B181" i="4"/>
  <c r="C181" i="4"/>
  <c r="D181" i="4"/>
  <c r="B182" i="4" a="1"/>
  <c r="B182" i="4"/>
  <c r="C182" i="4"/>
  <c r="D182" i="4"/>
  <c r="B183" i="4" a="1"/>
  <c r="B183" i="4"/>
  <c r="C183" i="4"/>
  <c r="D183" i="4"/>
  <c r="B184" i="4" a="1"/>
  <c r="B184" i="4"/>
  <c r="C184" i="4"/>
  <c r="D184" i="4"/>
  <c r="B185" i="4" a="1"/>
  <c r="B185" i="4"/>
  <c r="C185" i="4"/>
  <c r="D185" i="4"/>
  <c r="B186" i="4" a="1"/>
  <c r="B186" i="4"/>
  <c r="C186" i="4"/>
  <c r="D186" i="4"/>
  <c r="B187" i="4" a="1"/>
  <c r="B187" i="4"/>
  <c r="C187" i="4"/>
  <c r="D187" i="4"/>
  <c r="B188" i="4" a="1"/>
  <c r="B188" i="4"/>
  <c r="C188" i="4"/>
  <c r="D188" i="4"/>
  <c r="B189" i="4" a="1"/>
  <c r="B189" i="4"/>
  <c r="C189" i="4"/>
  <c r="D189" i="4"/>
  <c r="B190" i="4" a="1"/>
  <c r="B190" i="4"/>
  <c r="C190" i="4"/>
  <c r="D190" i="4"/>
  <c r="B191" i="4" a="1"/>
  <c r="B191" i="4"/>
  <c r="C191" i="4"/>
  <c r="D191" i="4"/>
  <c r="B192" i="4" a="1"/>
  <c r="B192" i="4"/>
  <c r="C192" i="4"/>
  <c r="D192" i="4"/>
  <c r="B193" i="4" a="1"/>
  <c r="B193" i="4"/>
  <c r="C193" i="4"/>
  <c r="D193" i="4"/>
  <c r="B194" i="4" a="1"/>
  <c r="B194" i="4"/>
  <c r="C194" i="4"/>
  <c r="D194" i="4"/>
  <c r="B195" i="4" a="1"/>
  <c r="B195" i="4"/>
  <c r="C195" i="4"/>
  <c r="D195" i="4"/>
  <c r="B196" i="4" a="1"/>
  <c r="B196" i="4"/>
  <c r="C196" i="4"/>
  <c r="D196" i="4"/>
  <c r="B197" i="4" a="1"/>
  <c r="B197" i="4"/>
  <c r="C197" i="4"/>
  <c r="D197" i="4"/>
  <c r="B198" i="4" a="1"/>
  <c r="B198" i="4"/>
  <c r="C198" i="4"/>
  <c r="D198" i="4"/>
  <c r="B199" i="4" a="1"/>
  <c r="B199" i="4"/>
  <c r="C199" i="4"/>
  <c r="D199" i="4"/>
  <c r="B200" i="4" a="1"/>
  <c r="B200" i="4"/>
  <c r="C200" i="4"/>
  <c r="D200" i="4"/>
  <c r="B201" i="4" a="1"/>
  <c r="B201" i="4"/>
  <c r="C201" i="4"/>
  <c r="D201" i="4"/>
  <c r="B202" i="4" a="1"/>
  <c r="B202" i="4"/>
  <c r="C202" i="4"/>
  <c r="D202" i="4"/>
  <c r="B203" i="4" a="1"/>
  <c r="B203" i="4"/>
  <c r="C203" i="4"/>
  <c r="D203" i="4"/>
  <c r="B204" i="4" a="1"/>
  <c r="B204" i="4"/>
  <c r="C204" i="4"/>
  <c r="D204" i="4"/>
  <c r="B205" i="4" a="1"/>
  <c r="B205" i="4"/>
  <c r="C205" i="4"/>
  <c r="D205" i="4"/>
  <c r="B206" i="4" a="1"/>
  <c r="B206" i="4"/>
  <c r="C206" i="4"/>
  <c r="D206" i="4"/>
  <c r="B207" i="4" a="1"/>
  <c r="B207" i="4"/>
  <c r="C207" i="4"/>
  <c r="D207" i="4"/>
  <c r="B208" i="4" a="1"/>
  <c r="B208" i="4"/>
  <c r="C208" i="4"/>
  <c r="D208" i="4"/>
  <c r="B209" i="4" a="1"/>
  <c r="B209" i="4"/>
  <c r="C209" i="4"/>
  <c r="D209" i="4"/>
  <c r="B210" i="4" a="1"/>
  <c r="B210" i="4"/>
  <c r="C210" i="4"/>
  <c r="D210" i="4"/>
  <c r="B211" i="4" a="1"/>
  <c r="B211" i="4"/>
  <c r="C211" i="4"/>
  <c r="D211" i="4"/>
  <c r="B212" i="4" a="1"/>
  <c r="B212" i="4"/>
  <c r="C212" i="4"/>
  <c r="D212" i="4"/>
  <c r="B213" i="4" a="1"/>
  <c r="B213" i="4"/>
  <c r="C213" i="4"/>
  <c r="D213" i="4"/>
  <c r="B214" i="4" a="1"/>
  <c r="B214" i="4"/>
  <c r="C214" i="4"/>
  <c r="D214" i="4"/>
  <c r="B215" i="4" a="1"/>
  <c r="B215" i="4"/>
  <c r="C215" i="4"/>
  <c r="D215" i="4"/>
  <c r="B216" i="4" a="1"/>
  <c r="B216" i="4"/>
  <c r="C216" i="4"/>
  <c r="D216" i="4"/>
  <c r="B217" i="4" a="1"/>
  <c r="B217" i="4"/>
  <c r="C217" i="4"/>
  <c r="D217" i="4"/>
  <c r="B218" i="4" a="1"/>
  <c r="B218" i="4"/>
  <c r="C218" i="4"/>
  <c r="D218" i="4"/>
  <c r="B219" i="4" a="1"/>
  <c r="B219" i="4"/>
  <c r="C219" i="4"/>
  <c r="D219" i="4"/>
  <c r="B220" i="4" a="1"/>
  <c r="B220" i="4"/>
  <c r="C220" i="4"/>
  <c r="D220" i="4"/>
  <c r="B221" i="4" a="1"/>
  <c r="B221" i="4"/>
  <c r="C221" i="4"/>
  <c r="D221" i="4"/>
  <c r="B222" i="4" a="1"/>
  <c r="B222" i="4"/>
  <c r="C222" i="4"/>
  <c r="D222" i="4"/>
  <c r="B223" i="4" a="1"/>
  <c r="B223" i="4"/>
  <c r="C223" i="4"/>
  <c r="D223" i="4"/>
  <c r="B224" i="4" a="1"/>
  <c r="B224" i="4"/>
  <c r="C224" i="4"/>
  <c r="D224" i="4"/>
  <c r="B225" i="4" a="1"/>
  <c r="B225" i="4"/>
  <c r="C225" i="4"/>
  <c r="D225" i="4"/>
  <c r="B226" i="4" a="1"/>
  <c r="B226" i="4"/>
  <c r="C226" i="4"/>
  <c r="D226" i="4"/>
  <c r="B227" i="4" a="1"/>
  <c r="B227" i="4"/>
  <c r="C227" i="4"/>
  <c r="D227" i="4"/>
  <c r="B228" i="4" a="1"/>
  <c r="B228" i="4"/>
  <c r="C228" i="4"/>
  <c r="D228" i="4"/>
  <c r="B229" i="4" a="1"/>
  <c r="B229" i="4"/>
  <c r="C229" i="4"/>
  <c r="D229" i="4"/>
  <c r="B230" i="4" a="1"/>
  <c r="B230" i="4"/>
  <c r="C230" i="4"/>
  <c r="D230" i="4"/>
  <c r="B231" i="4" a="1"/>
  <c r="B231" i="4"/>
  <c r="C231" i="4"/>
  <c r="D231" i="4"/>
  <c r="B232" i="4" a="1"/>
  <c r="B232" i="4"/>
  <c r="C232" i="4"/>
  <c r="D232" i="4"/>
  <c r="B233" i="4" a="1"/>
  <c r="B233" i="4"/>
  <c r="C233" i="4"/>
  <c r="D233" i="4"/>
  <c r="B234" i="4" a="1"/>
  <c r="B234" i="4"/>
  <c r="C234" i="4"/>
  <c r="D234" i="4"/>
  <c r="B235" i="4" a="1"/>
  <c r="B235" i="4"/>
  <c r="C235" i="4"/>
  <c r="D235" i="4"/>
  <c r="B236" i="4" a="1"/>
  <c r="B236" i="4"/>
  <c r="C236" i="4"/>
  <c r="D236" i="4"/>
  <c r="B237" i="4" a="1"/>
  <c r="B237" i="4"/>
  <c r="C237" i="4"/>
  <c r="D237" i="4"/>
  <c r="B238" i="4" a="1"/>
  <c r="B238" i="4"/>
  <c r="C238" i="4"/>
  <c r="D238" i="4"/>
  <c r="B239" i="4" a="1"/>
  <c r="B239" i="4"/>
  <c r="C239" i="4"/>
  <c r="D239" i="4"/>
  <c r="B240" i="4" a="1"/>
  <c r="B240" i="4"/>
  <c r="C240" i="4"/>
  <c r="D240" i="4"/>
  <c r="B241" i="4" a="1"/>
  <c r="B241" i="4"/>
  <c r="C241" i="4"/>
  <c r="D241" i="4"/>
  <c r="B242" i="4" a="1"/>
  <c r="B242" i="4"/>
  <c r="C242" i="4"/>
  <c r="D242" i="4"/>
  <c r="B243" i="4" a="1"/>
  <c r="B243" i="4"/>
  <c r="C243" i="4"/>
  <c r="D243" i="4"/>
  <c r="B244" i="4" a="1"/>
  <c r="B244" i="4"/>
  <c r="C244" i="4"/>
  <c r="D244" i="4"/>
  <c r="B245" i="4" a="1"/>
  <c r="B245" i="4"/>
  <c r="C245" i="4"/>
  <c r="D245" i="4"/>
  <c r="B246" i="4" a="1"/>
  <c r="B246" i="4"/>
  <c r="C246" i="4"/>
  <c r="D246" i="4"/>
  <c r="B247" i="4" a="1"/>
  <c r="B247" i="4"/>
  <c r="C247" i="4"/>
  <c r="D247" i="4"/>
  <c r="B248" i="4" a="1"/>
  <c r="B248" i="4"/>
  <c r="C248" i="4"/>
  <c r="D248" i="4"/>
  <c r="B249" i="4" a="1"/>
  <c r="B249" i="4"/>
  <c r="C249" i="4"/>
  <c r="D249" i="4"/>
  <c r="B250" i="4" a="1"/>
  <c r="B250" i="4"/>
  <c r="C250" i="4"/>
  <c r="D250" i="4"/>
  <c r="B251" i="4" a="1"/>
  <c r="B251" i="4"/>
  <c r="C251" i="4"/>
  <c r="D251" i="4"/>
  <c r="B252" i="4" a="1"/>
  <c r="B252" i="4"/>
  <c r="C252" i="4"/>
  <c r="D252" i="4"/>
  <c r="B253" i="4" a="1"/>
  <c r="B253" i="4"/>
  <c r="C253" i="4"/>
  <c r="D253" i="4"/>
  <c r="B254" i="4" a="1"/>
  <c r="B254" i="4"/>
  <c r="C254" i="4"/>
  <c r="D254" i="4"/>
  <c r="B255" i="4" a="1"/>
  <c r="B255" i="4"/>
  <c r="C255" i="4"/>
  <c r="D255" i="4"/>
  <c r="B256" i="4" a="1"/>
  <c r="B256" i="4"/>
  <c r="C256" i="4"/>
  <c r="D256" i="4"/>
  <c r="B257" i="4" a="1"/>
  <c r="B257" i="4"/>
  <c r="C257" i="4"/>
  <c r="D257" i="4"/>
  <c r="B258" i="4" a="1"/>
  <c r="B258" i="4"/>
  <c r="C258" i="4"/>
  <c r="D258" i="4"/>
  <c r="B259" i="4" a="1"/>
  <c r="B259" i="4"/>
  <c r="C259" i="4"/>
  <c r="D259" i="4"/>
  <c r="B260" i="4" a="1"/>
  <c r="B260" i="4"/>
  <c r="C260" i="4"/>
  <c r="D260" i="4"/>
  <c r="B261" i="4" a="1"/>
  <c r="B261" i="4"/>
  <c r="C261" i="4"/>
  <c r="D261" i="4"/>
  <c r="B262" i="4" a="1"/>
  <c r="B262" i="4"/>
  <c r="C262" i="4"/>
  <c r="D262" i="4"/>
  <c r="B263" i="4" a="1"/>
  <c r="B263" i="4"/>
  <c r="C263" i="4"/>
  <c r="D263" i="4"/>
  <c r="B264" i="4" a="1"/>
  <c r="B264" i="4"/>
  <c r="C264" i="4"/>
  <c r="D264" i="4"/>
  <c r="B265" i="4" a="1"/>
  <c r="B265" i="4"/>
  <c r="C265" i="4"/>
  <c r="D265" i="4"/>
  <c r="B266" i="4" a="1"/>
  <c r="B266" i="4"/>
  <c r="C266" i="4"/>
  <c r="D266" i="4"/>
  <c r="B267" i="4" a="1"/>
  <c r="B267" i="4"/>
  <c r="C267" i="4"/>
  <c r="D267" i="4"/>
  <c r="B268" i="4" a="1"/>
  <c r="B268" i="4"/>
  <c r="C268" i="4"/>
  <c r="D268" i="4"/>
  <c r="B269" i="4" a="1"/>
  <c r="B269" i="4"/>
  <c r="C269" i="4"/>
  <c r="D269" i="4"/>
  <c r="B270" i="4" a="1"/>
  <c r="B270" i="4"/>
  <c r="C270" i="4"/>
  <c r="D270" i="4"/>
  <c r="B271" i="4" a="1"/>
  <c r="B271" i="4"/>
  <c r="C271" i="4"/>
  <c r="D271" i="4"/>
  <c r="B272" i="4" a="1"/>
  <c r="B272" i="4"/>
  <c r="C272" i="4"/>
  <c r="D272" i="4"/>
  <c r="B273" i="4" a="1"/>
  <c r="B273" i="4"/>
  <c r="C273" i="4"/>
  <c r="D273" i="4"/>
  <c r="B274" i="4" a="1"/>
  <c r="B274" i="4"/>
  <c r="C274" i="4"/>
  <c r="D274" i="4"/>
  <c r="B275" i="4" a="1"/>
  <c r="B275" i="4"/>
  <c r="C275" i="4"/>
  <c r="D275" i="4"/>
  <c r="B276" i="4" a="1"/>
  <c r="B276" i="4"/>
  <c r="C276" i="4"/>
  <c r="D276" i="4"/>
  <c r="B277" i="4" a="1"/>
  <c r="B277" i="4"/>
  <c r="C277" i="4"/>
  <c r="D277" i="4"/>
  <c r="B278" i="4" a="1"/>
  <c r="B278" i="4"/>
  <c r="C278" i="4"/>
  <c r="D278" i="4"/>
  <c r="B279" i="4" a="1"/>
  <c r="B279" i="4"/>
  <c r="C279" i="4"/>
  <c r="D279" i="4"/>
  <c r="B280" i="4" a="1"/>
  <c r="B280" i="4"/>
  <c r="C280" i="4"/>
  <c r="D280" i="4"/>
  <c r="B281" i="4" a="1"/>
  <c r="B281" i="4"/>
  <c r="C281" i="4"/>
  <c r="D281" i="4"/>
  <c r="B282" i="4" a="1"/>
  <c r="B282" i="4"/>
  <c r="C282" i="4"/>
  <c r="D282" i="4"/>
  <c r="B283" i="4" a="1"/>
  <c r="B283" i="4"/>
  <c r="C283" i="4"/>
  <c r="D283" i="4"/>
  <c r="B284" i="4" a="1"/>
  <c r="B284" i="4"/>
  <c r="C284" i="4"/>
  <c r="D284" i="4"/>
  <c r="B285" i="4" a="1"/>
  <c r="B285" i="4"/>
  <c r="C285" i="4"/>
  <c r="D285" i="4"/>
  <c r="B286" i="4" a="1"/>
  <c r="B286" i="4"/>
  <c r="C286" i="4"/>
  <c r="D286" i="4"/>
  <c r="B287" i="4" a="1"/>
  <c r="B287" i="4"/>
  <c r="C287" i="4"/>
  <c r="D287" i="4"/>
  <c r="B288" i="4" a="1"/>
  <c r="B288" i="4"/>
  <c r="C288" i="4"/>
  <c r="D288" i="4"/>
  <c r="B289" i="4" a="1"/>
  <c r="B289" i="4"/>
  <c r="C289" i="4"/>
  <c r="D289" i="4"/>
  <c r="B290" i="4" a="1"/>
  <c r="B290" i="4"/>
  <c r="C290" i="4"/>
  <c r="D290" i="4"/>
  <c r="B291" i="4" a="1"/>
  <c r="B291" i="4"/>
  <c r="C291" i="4"/>
  <c r="D291" i="4"/>
  <c r="B292" i="4" a="1"/>
  <c r="B292" i="4"/>
  <c r="C292" i="4"/>
  <c r="D292" i="4"/>
  <c r="B293" i="4" a="1"/>
  <c r="B293" i="4"/>
  <c r="C293" i="4"/>
  <c r="D293" i="4"/>
  <c r="B294" i="4" a="1"/>
  <c r="B294" i="4"/>
  <c r="C294" i="4"/>
  <c r="D294" i="4"/>
  <c r="B295" i="4" a="1"/>
  <c r="B295" i="4"/>
  <c r="C295" i="4"/>
  <c r="D295" i="4"/>
  <c r="B296" i="4" a="1"/>
  <c r="B296" i="4"/>
  <c r="C296" i="4"/>
  <c r="D296" i="4"/>
  <c r="B297" i="4" a="1"/>
  <c r="B297" i="4"/>
  <c r="C297" i="4"/>
  <c r="D297" i="4"/>
  <c r="B298" i="4" a="1"/>
  <c r="B298" i="4"/>
  <c r="C298" i="4"/>
  <c r="D298" i="4"/>
  <c r="B299" i="4" a="1"/>
  <c r="B299" i="4"/>
  <c r="C299" i="4"/>
  <c r="D299" i="4"/>
  <c r="B300" i="4" a="1"/>
  <c r="B300" i="4"/>
  <c r="C300" i="4"/>
  <c r="D300" i="4"/>
  <c r="B301" i="4" a="1"/>
  <c r="B301" i="4"/>
  <c r="C301" i="4"/>
  <c r="D301" i="4"/>
  <c r="B302" i="4" a="1"/>
  <c r="B302" i="4"/>
  <c r="C302" i="4"/>
  <c r="D302" i="4"/>
  <c r="B303" i="4" a="1"/>
  <c r="B303" i="4"/>
  <c r="C303" i="4"/>
  <c r="D303" i="4"/>
  <c r="B304" i="4" a="1"/>
  <c r="B304" i="4"/>
  <c r="C304" i="4"/>
  <c r="D304" i="4"/>
  <c r="B305" i="4" a="1"/>
  <c r="B305" i="4"/>
  <c r="C305" i="4"/>
  <c r="D305" i="4"/>
  <c r="B306" i="4" a="1"/>
  <c r="B306" i="4"/>
  <c r="C306" i="4"/>
  <c r="D306" i="4"/>
  <c r="B307" i="4" a="1"/>
  <c r="B307" i="4"/>
  <c r="C307" i="4"/>
  <c r="D307" i="4"/>
  <c r="B308" i="4" a="1"/>
  <c r="B308" i="4"/>
  <c r="C308" i="4"/>
  <c r="D308" i="4"/>
  <c r="B309" i="4" a="1"/>
  <c r="B309" i="4"/>
  <c r="C309" i="4"/>
  <c r="D309" i="4"/>
  <c r="B310" i="4" a="1"/>
  <c r="B310" i="4"/>
  <c r="C310" i="4"/>
  <c r="D310" i="4"/>
  <c r="B311" i="4" a="1"/>
  <c r="B311" i="4"/>
  <c r="C311" i="4"/>
  <c r="D311" i="4"/>
  <c r="B312" i="4" a="1"/>
  <c r="B312" i="4"/>
  <c r="C312" i="4"/>
  <c r="D312" i="4"/>
  <c r="B313" i="4" a="1"/>
  <c r="B313" i="4"/>
  <c r="C313" i="4"/>
  <c r="D313" i="4"/>
  <c r="B314" i="4" a="1"/>
  <c r="B314" i="4"/>
  <c r="C314" i="4"/>
  <c r="D314" i="4"/>
  <c r="B315" i="4" a="1"/>
  <c r="B315" i="4"/>
  <c r="C315" i="4"/>
  <c r="D315" i="4"/>
  <c r="B316" i="4" a="1"/>
  <c r="B316" i="4"/>
  <c r="C316" i="4"/>
  <c r="D316" i="4"/>
  <c r="B317" i="4" a="1"/>
  <c r="B317" i="4"/>
  <c r="C317" i="4"/>
  <c r="D317" i="4"/>
  <c r="B318" i="4" a="1"/>
  <c r="B318" i="4"/>
  <c r="C318" i="4"/>
  <c r="D318" i="4"/>
  <c r="B319" i="4" a="1"/>
  <c r="B319" i="4"/>
  <c r="C319" i="4"/>
  <c r="D319" i="4"/>
  <c r="B320" i="4" a="1"/>
  <c r="B320" i="4"/>
  <c r="C320" i="4"/>
  <c r="D320" i="4"/>
  <c r="B321" i="4" a="1"/>
  <c r="B321" i="4"/>
  <c r="C321" i="4"/>
  <c r="D321" i="4"/>
  <c r="B322" i="4" a="1"/>
  <c r="B322" i="4"/>
  <c r="C322" i="4"/>
  <c r="D322" i="4"/>
  <c r="B323" i="4" a="1"/>
  <c r="B323" i="4"/>
  <c r="C323" i="4"/>
  <c r="D323" i="4"/>
  <c r="B324" i="4" a="1"/>
  <c r="B324" i="4"/>
  <c r="C324" i="4"/>
  <c r="D324" i="4"/>
  <c r="B325" i="4" a="1"/>
  <c r="B325" i="4"/>
  <c r="C325" i="4"/>
  <c r="D325" i="4"/>
  <c r="B326" i="4" a="1"/>
  <c r="B326" i="4"/>
  <c r="C326" i="4"/>
  <c r="D326" i="4"/>
  <c r="B327" i="4" a="1"/>
  <c r="B327" i="4"/>
  <c r="C327" i="4"/>
  <c r="D327" i="4"/>
  <c r="B328" i="4" a="1"/>
  <c r="B328" i="4"/>
  <c r="C328" i="4"/>
  <c r="D328" i="4"/>
  <c r="B329" i="4" a="1"/>
  <c r="B329" i="4"/>
  <c r="C329" i="4"/>
  <c r="D329" i="4"/>
  <c r="B330" i="4" a="1"/>
  <c r="B330" i="4"/>
  <c r="C330" i="4"/>
  <c r="D330" i="4"/>
  <c r="B331" i="4" a="1"/>
  <c r="B331" i="4"/>
  <c r="C331" i="4"/>
  <c r="D331" i="4"/>
  <c r="B332" i="4" a="1"/>
  <c r="B332" i="4"/>
  <c r="C332" i="4"/>
  <c r="D332" i="4"/>
  <c r="B333" i="4" a="1"/>
  <c r="B333" i="4"/>
  <c r="C333" i="4"/>
  <c r="D333" i="4"/>
  <c r="B334" i="4" a="1"/>
  <c r="B334" i="4"/>
  <c r="C334" i="4"/>
  <c r="D334" i="4"/>
  <c r="B335" i="4" a="1"/>
  <c r="B335" i="4"/>
  <c r="C335" i="4"/>
  <c r="D335" i="4"/>
  <c r="B336" i="4" a="1"/>
  <c r="B336" i="4"/>
  <c r="C336" i="4"/>
  <c r="D336" i="4"/>
  <c r="B337" i="4" a="1"/>
  <c r="B337" i="4"/>
  <c r="C337" i="4"/>
  <c r="D337" i="4"/>
  <c r="B338" i="4" a="1"/>
  <c r="B338" i="4"/>
  <c r="C338" i="4"/>
  <c r="D338" i="4"/>
  <c r="B339" i="4" a="1"/>
  <c r="B339" i="4"/>
  <c r="C339" i="4"/>
  <c r="D339" i="4"/>
  <c r="B340" i="4" a="1"/>
  <c r="B340" i="4"/>
  <c r="C340" i="4"/>
  <c r="D340" i="4"/>
  <c r="B341" i="4" a="1"/>
  <c r="B341" i="4"/>
  <c r="C341" i="4"/>
  <c r="D341" i="4"/>
  <c r="B342" i="4" a="1"/>
  <c r="B342" i="4"/>
  <c r="C342" i="4"/>
  <c r="D342" i="4"/>
  <c r="B343" i="4" a="1"/>
  <c r="B343" i="4"/>
  <c r="C343" i="4"/>
  <c r="D343" i="4"/>
  <c r="B344" i="4" a="1"/>
  <c r="B344" i="4"/>
  <c r="C344" i="4"/>
  <c r="D344" i="4"/>
  <c r="B345" i="4" a="1"/>
  <c r="B345" i="4"/>
  <c r="C345" i="4"/>
  <c r="D345" i="4"/>
  <c r="B346" i="4" a="1"/>
  <c r="B346" i="4"/>
  <c r="C346" i="4"/>
  <c r="D346" i="4"/>
  <c r="B347" i="4" a="1"/>
  <c r="B347" i="4"/>
  <c r="C347" i="4"/>
  <c r="D347" i="4"/>
  <c r="B348" i="4" a="1"/>
  <c r="B348" i="4"/>
  <c r="C348" i="4"/>
  <c r="D348" i="4"/>
  <c r="B349" i="4" a="1"/>
  <c r="B349" i="4"/>
  <c r="C349" i="4"/>
  <c r="D349" i="4"/>
  <c r="B350" i="4" a="1"/>
  <c r="B350" i="4"/>
  <c r="C350" i="4"/>
  <c r="D350" i="4"/>
  <c r="B351" i="4" a="1"/>
  <c r="B351" i="4"/>
  <c r="C351" i="4"/>
  <c r="D351" i="4"/>
  <c r="B352" i="4" a="1"/>
  <c r="B352" i="4"/>
  <c r="C352" i="4"/>
  <c r="D352" i="4"/>
  <c r="B353" i="4" a="1"/>
  <c r="B353" i="4"/>
  <c r="C353" i="4"/>
  <c r="D353" i="4"/>
  <c r="B354" i="4" a="1"/>
  <c r="B354" i="4"/>
  <c r="C354" i="4"/>
  <c r="D354" i="4"/>
  <c r="B355" i="4" a="1"/>
  <c r="B355" i="4"/>
  <c r="C355" i="4"/>
  <c r="D355" i="4"/>
  <c r="B356" i="4" a="1"/>
  <c r="B356" i="4"/>
  <c r="C356" i="4"/>
  <c r="D356" i="4"/>
  <c r="B357" i="4" a="1"/>
  <c r="B357" i="4"/>
  <c r="C357" i="4"/>
  <c r="D357" i="4"/>
  <c r="B358" i="4" a="1"/>
  <c r="B358" i="4"/>
  <c r="C358" i="4"/>
  <c r="D358" i="4"/>
  <c r="B359" i="4" a="1"/>
  <c r="B359" i="4"/>
  <c r="C359" i="4"/>
  <c r="D359" i="4"/>
  <c r="B360" i="4" a="1"/>
  <c r="B360" i="4"/>
  <c r="C360" i="4"/>
  <c r="D360" i="4"/>
  <c r="B361" i="4" a="1"/>
  <c r="B361" i="4"/>
  <c r="C361" i="4"/>
  <c r="D361" i="4"/>
  <c r="B362" i="4" a="1"/>
  <c r="B362" i="4"/>
  <c r="C362" i="4"/>
  <c r="D362" i="4"/>
  <c r="B363" i="4" a="1"/>
  <c r="B363" i="4"/>
  <c r="C363" i="4"/>
  <c r="D363" i="4"/>
  <c r="B364" i="4" a="1"/>
  <c r="B364" i="4"/>
  <c r="C364" i="4"/>
  <c r="D364" i="4"/>
  <c r="B365" i="4" a="1"/>
  <c r="B365" i="4"/>
  <c r="C365" i="4"/>
  <c r="D365" i="4"/>
  <c r="B366" i="4" a="1"/>
  <c r="B366" i="4"/>
  <c r="C366" i="4"/>
  <c r="D366" i="4"/>
  <c r="B367" i="4" a="1"/>
  <c r="B367" i="4"/>
  <c r="C367" i="4"/>
  <c r="D367" i="4"/>
  <c r="B368" i="4" a="1"/>
  <c r="B368" i="4"/>
  <c r="C368" i="4"/>
  <c r="D368" i="4"/>
  <c r="B369" i="4" a="1"/>
  <c r="B369" i="4"/>
  <c r="C369" i="4"/>
  <c r="D369" i="4"/>
  <c r="B370" i="4" a="1"/>
  <c r="B370" i="4"/>
  <c r="C370" i="4"/>
  <c r="D370" i="4"/>
  <c r="B371" i="4" a="1"/>
  <c r="B371" i="4"/>
  <c r="C371" i="4"/>
  <c r="D371" i="4"/>
  <c r="B372" i="4" a="1"/>
  <c r="B372" i="4"/>
  <c r="C372" i="4"/>
  <c r="D372" i="4"/>
  <c r="B373" i="4" a="1"/>
  <c r="B373" i="4"/>
  <c r="C373" i="4"/>
  <c r="D373" i="4"/>
  <c r="B374" i="4" a="1"/>
  <c r="B374" i="4"/>
  <c r="C374" i="4"/>
  <c r="D374" i="4"/>
  <c r="B375" i="4" a="1"/>
  <c r="B375" i="4"/>
  <c r="C375" i="4"/>
  <c r="D375" i="4"/>
  <c r="B376" i="4" a="1"/>
  <c r="B376" i="4"/>
  <c r="C376" i="4"/>
  <c r="D376" i="4"/>
  <c r="B377" i="4" a="1"/>
  <c r="B377" i="4"/>
  <c r="C377" i="4"/>
  <c r="D377" i="4"/>
  <c r="B378" i="4" a="1"/>
  <c r="B378" i="4"/>
  <c r="C378" i="4"/>
  <c r="D378" i="4"/>
  <c r="B379" i="4" a="1"/>
  <c r="B379" i="4"/>
  <c r="C379" i="4"/>
  <c r="D379" i="4"/>
  <c r="B380" i="4" a="1"/>
  <c r="B380" i="4"/>
  <c r="C380" i="4"/>
  <c r="D380" i="4"/>
  <c r="B381" i="4" a="1"/>
  <c r="B381" i="4"/>
  <c r="C381" i="4"/>
  <c r="D381" i="4"/>
  <c r="B382" i="4" a="1"/>
  <c r="B382" i="4"/>
  <c r="C382" i="4"/>
  <c r="D382" i="4"/>
  <c r="B383" i="4" a="1"/>
  <c r="B383" i="4"/>
  <c r="C383" i="4"/>
  <c r="D383" i="4"/>
  <c r="B384" i="4" a="1"/>
  <c r="B384" i="4"/>
  <c r="C384" i="4"/>
  <c r="D384" i="4"/>
  <c r="B385" i="4" a="1"/>
  <c r="B385" i="4"/>
  <c r="C385" i="4"/>
  <c r="D385" i="4"/>
  <c r="B386" i="4" a="1"/>
  <c r="B386" i="4"/>
  <c r="C386" i="4"/>
  <c r="D386" i="4"/>
  <c r="B387" i="4" a="1"/>
  <c r="B387" i="4"/>
  <c r="C387" i="4"/>
  <c r="D387" i="4"/>
  <c r="B388" i="4" a="1"/>
  <c r="B388" i="4"/>
  <c r="C388" i="4"/>
  <c r="D388" i="4"/>
  <c r="B389" i="4" a="1"/>
  <c r="B389" i="4"/>
  <c r="C389" i="4"/>
  <c r="D389" i="4"/>
  <c r="B390" i="4" a="1"/>
  <c r="B390" i="4"/>
  <c r="C390" i="4"/>
  <c r="D390" i="4"/>
  <c r="B391" i="4" a="1"/>
  <c r="B391" i="4"/>
  <c r="C391" i="4"/>
  <c r="D391" i="4"/>
  <c r="B392" i="4" a="1"/>
  <c r="B392" i="4"/>
  <c r="C392" i="4"/>
  <c r="D392" i="4"/>
  <c r="B393" i="4" a="1"/>
  <c r="B393" i="4"/>
  <c r="C393" i="4"/>
  <c r="D393" i="4"/>
  <c r="B394" i="4" a="1"/>
  <c r="B394" i="4"/>
  <c r="C394" i="4"/>
  <c r="D394" i="4"/>
  <c r="B395" i="4" a="1"/>
  <c r="B395" i="4"/>
  <c r="C395" i="4"/>
  <c r="D395" i="4"/>
  <c r="B396" i="4" a="1"/>
  <c r="B396" i="4"/>
  <c r="C396" i="4"/>
  <c r="D396" i="4"/>
  <c r="B397" i="4" a="1"/>
  <c r="B397" i="4"/>
  <c r="C397" i="4"/>
  <c r="D397" i="4"/>
  <c r="B398" i="4" a="1"/>
  <c r="B398" i="4"/>
  <c r="C398" i="4"/>
  <c r="D398" i="4"/>
  <c r="B399" i="4" a="1"/>
  <c r="B399" i="4"/>
  <c r="C399" i="4"/>
  <c r="D399" i="4"/>
  <c r="B400" i="4" a="1"/>
  <c r="B400" i="4"/>
  <c r="C400" i="4"/>
  <c r="D400" i="4"/>
  <c r="B401" i="4" a="1"/>
  <c r="B401" i="4"/>
  <c r="C401" i="4"/>
  <c r="D401" i="4"/>
  <c r="B402" i="4" a="1"/>
  <c r="B402" i="4"/>
  <c r="C402" i="4"/>
  <c r="D402" i="4"/>
  <c r="B403" i="4" a="1"/>
  <c r="B403" i="4"/>
  <c r="C403" i="4"/>
  <c r="D403" i="4"/>
  <c r="B404" i="4" a="1"/>
  <c r="B404" i="4"/>
  <c r="C404" i="4"/>
  <c r="D404" i="4"/>
  <c r="B405" i="4" a="1"/>
  <c r="B405" i="4"/>
  <c r="C405" i="4"/>
  <c r="D405" i="4"/>
  <c r="B406" i="4" a="1"/>
  <c r="B406" i="4"/>
  <c r="C406" i="4"/>
  <c r="D406" i="4"/>
  <c r="B407" i="4" a="1"/>
  <c r="B407" i="4"/>
  <c r="C407" i="4"/>
  <c r="D407" i="4"/>
  <c r="B408" i="4" a="1"/>
  <c r="B408" i="4"/>
  <c r="C408" i="4"/>
  <c r="D408" i="4"/>
  <c r="B409" i="4" a="1"/>
  <c r="B409" i="4"/>
  <c r="C409" i="4"/>
  <c r="D409" i="4"/>
  <c r="B410" i="4" a="1"/>
  <c r="B410" i="4"/>
  <c r="C410" i="4"/>
  <c r="D410" i="4"/>
  <c r="B411" i="4" a="1"/>
  <c r="B411" i="4"/>
  <c r="C411" i="4"/>
  <c r="D411" i="4"/>
  <c r="B412" i="4" a="1"/>
  <c r="B412" i="4"/>
  <c r="C412" i="4"/>
  <c r="D412" i="4"/>
  <c r="B413" i="4" a="1"/>
  <c r="B413" i="4"/>
  <c r="C413" i="4"/>
  <c r="D413" i="4"/>
  <c r="B414" i="4" a="1"/>
  <c r="B414" i="4"/>
  <c r="C414" i="4"/>
  <c r="D414" i="4"/>
  <c r="B415" i="4" a="1"/>
  <c r="B415" i="4"/>
  <c r="C415" i="4"/>
  <c r="D415" i="4"/>
  <c r="B416" i="4" a="1"/>
  <c r="B416" i="4"/>
  <c r="C416" i="4"/>
  <c r="D416" i="4"/>
  <c r="B417" i="4" a="1"/>
  <c r="B417" i="4"/>
  <c r="C417" i="4"/>
  <c r="D417" i="4"/>
  <c r="B418" i="4" a="1"/>
  <c r="B418" i="4"/>
  <c r="C418" i="4"/>
  <c r="D418" i="4"/>
  <c r="B419" i="4" a="1"/>
  <c r="B419" i="4"/>
  <c r="C419" i="4"/>
  <c r="D419" i="4"/>
  <c r="B420" i="4" a="1"/>
  <c r="B420" i="4"/>
  <c r="C420" i="4"/>
  <c r="D420" i="4"/>
  <c r="B421" i="4" a="1"/>
  <c r="B421" i="4"/>
  <c r="C421" i="4"/>
  <c r="D421" i="4"/>
  <c r="B422" i="4" a="1"/>
  <c r="B422" i="4"/>
  <c r="C422" i="4"/>
  <c r="D422" i="4"/>
  <c r="B423" i="4" a="1"/>
  <c r="B423" i="4"/>
  <c r="C423" i="4"/>
  <c r="D423" i="4"/>
  <c r="B424" i="4" a="1"/>
  <c r="B424" i="4"/>
  <c r="C424" i="4"/>
  <c r="D424" i="4"/>
  <c r="B425" i="4" a="1"/>
  <c r="B425" i="4"/>
  <c r="C425" i="4"/>
  <c r="D425" i="4"/>
  <c r="B426" i="4" a="1"/>
  <c r="B426" i="4"/>
  <c r="C426" i="4"/>
  <c r="D426" i="4"/>
  <c r="B427" i="4" a="1"/>
  <c r="B427" i="4"/>
  <c r="C427" i="4"/>
  <c r="D427" i="4"/>
  <c r="B428" i="4" a="1"/>
  <c r="B428" i="4"/>
  <c r="C428" i="4"/>
  <c r="D428" i="4"/>
  <c r="B429" i="4" a="1"/>
  <c r="B429" i="4"/>
  <c r="C429" i="4"/>
  <c r="D429" i="4"/>
  <c r="B430" i="4" a="1"/>
  <c r="B430" i="4"/>
  <c r="C430" i="4"/>
  <c r="D430" i="4"/>
  <c r="B431" i="4" a="1"/>
  <c r="B431" i="4"/>
  <c r="C431" i="4"/>
  <c r="D431" i="4"/>
  <c r="B432" i="4" a="1"/>
  <c r="B432" i="4"/>
  <c r="C432" i="4"/>
  <c r="D432" i="4"/>
  <c r="B433" i="4" a="1"/>
  <c r="B433" i="4"/>
  <c r="C433" i="4"/>
  <c r="D433" i="4"/>
  <c r="B434" i="4" a="1"/>
  <c r="B434" i="4"/>
  <c r="C434" i="4"/>
  <c r="D434" i="4"/>
  <c r="B435" i="4" a="1"/>
  <c r="B435" i="4"/>
  <c r="C435" i="4"/>
  <c r="D435" i="4"/>
  <c r="B436" i="4" a="1"/>
  <c r="B436" i="4"/>
  <c r="C436" i="4"/>
  <c r="D436" i="4"/>
  <c r="B437" i="4" a="1"/>
  <c r="B437" i="4"/>
  <c r="C437" i="4"/>
  <c r="D437" i="4"/>
  <c r="B438" i="4" a="1"/>
  <c r="B438" i="4"/>
  <c r="C438" i="4"/>
  <c r="D438" i="4"/>
  <c r="B439" i="4" a="1"/>
  <c r="B439" i="4"/>
  <c r="C439" i="4"/>
  <c r="D439" i="4"/>
  <c r="B440" i="4" a="1"/>
  <c r="B440" i="4"/>
  <c r="C440" i="4"/>
  <c r="D440" i="4"/>
  <c r="B441" i="4" a="1"/>
  <c r="B441" i="4"/>
  <c r="C441" i="4"/>
  <c r="D441" i="4"/>
  <c r="B442" i="4" a="1"/>
  <c r="B442" i="4"/>
  <c r="C442" i="4"/>
  <c r="D442" i="4"/>
  <c r="B443" i="4" a="1"/>
  <c r="B443" i="4"/>
  <c r="C443" i="4"/>
  <c r="D443" i="4"/>
  <c r="B444" i="4" a="1"/>
  <c r="B444" i="4"/>
  <c r="C444" i="4"/>
  <c r="D444" i="4"/>
  <c r="B445" i="4" a="1"/>
  <c r="B445" i="4"/>
  <c r="C445" i="4"/>
  <c r="D445" i="4"/>
  <c r="B446" i="4" a="1"/>
  <c r="B446" i="4"/>
  <c r="C446" i="4"/>
  <c r="D446" i="4"/>
  <c r="B447" i="4" a="1"/>
  <c r="B447" i="4"/>
  <c r="C447" i="4"/>
  <c r="D447" i="4"/>
  <c r="B448" i="4" a="1"/>
  <c r="B448" i="4"/>
  <c r="C448" i="4"/>
  <c r="D448" i="4"/>
  <c r="B449" i="4" a="1"/>
  <c r="B449" i="4"/>
  <c r="C449" i="4"/>
  <c r="D449" i="4"/>
  <c r="B450" i="4" a="1"/>
  <c r="B450" i="4"/>
  <c r="C450" i="4"/>
  <c r="D450" i="4"/>
  <c r="B451" i="4" a="1"/>
  <c r="B451" i="4"/>
  <c r="C451" i="4"/>
  <c r="D451" i="4"/>
  <c r="B452" i="4" a="1"/>
  <c r="B452" i="4"/>
  <c r="C452" i="4"/>
  <c r="D452" i="4"/>
  <c r="B453" i="4" a="1"/>
  <c r="B453" i="4"/>
  <c r="C453" i="4"/>
  <c r="D453" i="4"/>
  <c r="B454" i="4" a="1"/>
  <c r="B454" i="4"/>
  <c r="C454" i="4"/>
  <c r="D454" i="4"/>
  <c r="B455" i="4" a="1"/>
  <c r="B455" i="4"/>
  <c r="C455" i="4"/>
  <c r="D455" i="4"/>
  <c r="B456" i="4" a="1"/>
  <c r="B456" i="4"/>
  <c r="C456" i="4"/>
  <c r="D456" i="4"/>
  <c r="B457" i="4" a="1"/>
  <c r="B457" i="4"/>
  <c r="C457" i="4"/>
  <c r="D457" i="4"/>
  <c r="B458" i="4" a="1"/>
  <c r="B458" i="4"/>
  <c r="C458" i="4"/>
  <c r="D458" i="4"/>
  <c r="B459" i="4" a="1"/>
  <c r="B459" i="4"/>
  <c r="C459" i="4"/>
  <c r="D459" i="4"/>
  <c r="B460" i="4" a="1"/>
  <c r="B460" i="4"/>
  <c r="C460" i="4"/>
  <c r="D460" i="4"/>
  <c r="B461" i="4" a="1"/>
  <c r="B461" i="4"/>
  <c r="C461" i="4"/>
  <c r="D461" i="4"/>
  <c r="B462" i="4" a="1"/>
  <c r="B462" i="4"/>
  <c r="C462" i="4"/>
  <c r="D462" i="4"/>
  <c r="B463" i="4" a="1"/>
  <c r="B463" i="4"/>
  <c r="C463" i="4"/>
  <c r="D463" i="4"/>
  <c r="B464" i="4" a="1"/>
  <c r="B464" i="4"/>
  <c r="C464" i="4"/>
  <c r="D464" i="4"/>
  <c r="B465" i="4" a="1"/>
  <c r="B465" i="4"/>
  <c r="C465" i="4"/>
  <c r="D465" i="4"/>
  <c r="B466" i="4" a="1"/>
  <c r="B466" i="4"/>
  <c r="C466" i="4"/>
  <c r="D466" i="4"/>
  <c r="B467" i="4" a="1"/>
  <c r="B467" i="4"/>
  <c r="C467" i="4"/>
  <c r="D467" i="4"/>
  <c r="B468" i="4" a="1"/>
  <c r="B468" i="4"/>
  <c r="C468" i="4"/>
  <c r="D468" i="4"/>
  <c r="B469" i="4" a="1"/>
  <c r="B469" i="4"/>
  <c r="C469" i="4"/>
  <c r="D469" i="4"/>
  <c r="B470" i="4" a="1"/>
  <c r="B470" i="4"/>
  <c r="C470" i="4"/>
  <c r="D470" i="4"/>
  <c r="B471" i="4" a="1"/>
  <c r="B471" i="4"/>
  <c r="C471" i="4"/>
  <c r="D471" i="4"/>
  <c r="B472" i="4" a="1"/>
  <c r="B472" i="4"/>
  <c r="C472" i="4"/>
  <c r="D472" i="4"/>
  <c r="B473" i="4" a="1"/>
  <c r="B473" i="4"/>
  <c r="C473" i="4"/>
  <c r="D473" i="4"/>
  <c r="B474" i="4" a="1"/>
  <c r="B474" i="4"/>
  <c r="C474" i="4"/>
  <c r="D474" i="4"/>
  <c r="B475" i="4" a="1"/>
  <c r="B475" i="4"/>
  <c r="C475" i="4"/>
  <c r="D475" i="4"/>
  <c r="B476" i="4" a="1"/>
  <c r="B476" i="4"/>
  <c r="C476" i="4"/>
  <c r="D476" i="4"/>
  <c r="B477" i="4" a="1"/>
  <c r="B477" i="4"/>
  <c r="C477" i="4"/>
  <c r="D477" i="4"/>
  <c r="B478" i="4" a="1"/>
  <c r="B478" i="4"/>
  <c r="C478" i="4"/>
  <c r="D478" i="4"/>
  <c r="B479" i="4" a="1"/>
  <c r="B479" i="4"/>
  <c r="C479" i="4"/>
  <c r="D479" i="4"/>
  <c r="B480" i="4" a="1"/>
  <c r="B480" i="4"/>
  <c r="C480" i="4"/>
  <c r="D480" i="4"/>
  <c r="B481" i="4" a="1"/>
  <c r="B481" i="4"/>
  <c r="C481" i="4"/>
  <c r="D481" i="4"/>
  <c r="B482" i="4" a="1"/>
  <c r="B482" i="4"/>
  <c r="C482" i="4"/>
  <c r="D482" i="4"/>
  <c r="B483" i="4" a="1"/>
  <c r="B483" i="4"/>
  <c r="C483" i="4"/>
  <c r="D483" i="4"/>
  <c r="B484" i="4" a="1"/>
  <c r="B484" i="4"/>
  <c r="C484" i="4"/>
  <c r="D484" i="4"/>
  <c r="B485" i="4" a="1"/>
  <c r="B485" i="4"/>
  <c r="C485" i="4"/>
  <c r="D485" i="4"/>
  <c r="B486" i="4" a="1"/>
  <c r="B486" i="4"/>
  <c r="C486" i="4"/>
  <c r="D486" i="4"/>
  <c r="B487" i="4" a="1"/>
  <c r="B487" i="4"/>
  <c r="C487" i="4"/>
  <c r="D487" i="4"/>
  <c r="B488" i="4" a="1"/>
  <c r="B488" i="4"/>
  <c r="C488" i="4"/>
  <c r="D488" i="4"/>
  <c r="B489" i="4" a="1"/>
  <c r="B489" i="4"/>
  <c r="C489" i="4"/>
  <c r="D489" i="4"/>
  <c r="B490" i="4" a="1"/>
  <c r="B490" i="4"/>
  <c r="C490" i="4"/>
  <c r="D490" i="4"/>
  <c r="B491" i="4" a="1"/>
  <c r="B491" i="4"/>
  <c r="C491" i="4"/>
  <c r="D491" i="4"/>
  <c r="B492" i="4" a="1"/>
  <c r="B492" i="4"/>
  <c r="C492" i="4"/>
  <c r="D492" i="4"/>
  <c r="B493" i="4" a="1"/>
  <c r="B493" i="4"/>
  <c r="C493" i="4"/>
  <c r="D493" i="4"/>
  <c r="B494" i="4" a="1"/>
  <c r="B494" i="4"/>
  <c r="C494" i="4"/>
  <c r="D494" i="4"/>
  <c r="B495" i="4" a="1"/>
  <c r="B495" i="4"/>
  <c r="C495" i="4"/>
  <c r="D495" i="4"/>
  <c r="B496" i="4" a="1"/>
  <c r="B496" i="4"/>
  <c r="C496" i="4"/>
  <c r="D496" i="4"/>
  <c r="B497" i="4" a="1"/>
  <c r="B497" i="4"/>
  <c r="C497" i="4"/>
  <c r="D497" i="4"/>
  <c r="B498" i="4" a="1"/>
  <c r="B498" i="4"/>
  <c r="C498" i="4"/>
  <c r="D498" i="4"/>
  <c r="B499" i="4" a="1"/>
  <c r="B499" i="4"/>
  <c r="C499" i="4"/>
  <c r="D499" i="4"/>
  <c r="B500" i="4" a="1"/>
  <c r="B500" i="4"/>
  <c r="C500" i="4"/>
  <c r="D500" i="4"/>
  <c r="B501" i="4" a="1"/>
  <c r="B501" i="4"/>
  <c r="C501" i="4"/>
  <c r="D501" i="4"/>
  <c r="B502" i="4" a="1"/>
  <c r="B502" i="4"/>
  <c r="C502" i="4"/>
  <c r="D502" i="4"/>
  <c r="B503" i="4" a="1"/>
  <c r="B503" i="4"/>
  <c r="C503" i="4"/>
  <c r="D503" i="4"/>
  <c r="B504" i="4" a="1"/>
  <c r="B504" i="4"/>
  <c r="C504" i="4"/>
  <c r="D504" i="4"/>
  <c r="B505" i="4" a="1"/>
  <c r="B505" i="4"/>
  <c r="C505" i="4"/>
  <c r="D505" i="4"/>
  <c r="B506" i="4" a="1"/>
  <c r="B506" i="4"/>
  <c r="C506" i="4"/>
  <c r="D506" i="4"/>
  <c r="H4" i="4" a="1"/>
  <c r="H4" i="4"/>
  <c r="I4" i="4"/>
  <c r="J4" i="4"/>
  <c r="H5" i="4" a="1"/>
  <c r="H5" i="4"/>
  <c r="I5" i="4"/>
  <c r="J5" i="4"/>
  <c r="H6" i="4" a="1"/>
  <c r="H6" i="4"/>
  <c r="I6" i="4"/>
  <c r="J6" i="4"/>
  <c r="H7" i="4" a="1"/>
  <c r="H7" i="4"/>
  <c r="I7" i="4"/>
  <c r="J7" i="4"/>
  <c r="H8" i="4" a="1"/>
  <c r="H8" i="4"/>
  <c r="I8" i="4"/>
  <c r="J8" i="4"/>
  <c r="H9" i="4" a="1"/>
  <c r="H9" i="4"/>
  <c r="I9" i="4"/>
  <c r="J9" i="4"/>
  <c r="H10" i="4" a="1"/>
  <c r="H10" i="4"/>
  <c r="I10" i="4"/>
  <c r="J10" i="4"/>
  <c r="H11" i="4" a="1"/>
  <c r="H11" i="4"/>
  <c r="I11" i="4"/>
  <c r="J11" i="4"/>
  <c r="H12" i="4" a="1"/>
  <c r="H12" i="4"/>
  <c r="I12" i="4"/>
  <c r="J12" i="4"/>
  <c r="H13" i="4" a="1"/>
  <c r="H13" i="4"/>
  <c r="I13" i="4"/>
  <c r="J13" i="4"/>
  <c r="H14" i="4" a="1"/>
  <c r="H14" i="4"/>
  <c r="I14" i="4"/>
  <c r="J14" i="4"/>
  <c r="H15" i="4" a="1"/>
  <c r="H15" i="4"/>
  <c r="I15" i="4"/>
  <c r="J15" i="4"/>
  <c r="H16" i="4" a="1"/>
  <c r="H16" i="4"/>
  <c r="I16" i="4"/>
  <c r="J16" i="4"/>
  <c r="H17" i="4" a="1"/>
  <c r="H17" i="4"/>
  <c r="I17" i="4"/>
  <c r="J17" i="4"/>
  <c r="H18" i="4" a="1"/>
  <c r="H18" i="4"/>
  <c r="I18" i="4"/>
  <c r="J18" i="4"/>
  <c r="H19" i="4" a="1"/>
  <c r="H19" i="4"/>
  <c r="I19" i="4"/>
  <c r="J19" i="4"/>
  <c r="H20" i="4" a="1"/>
  <c r="H20" i="4"/>
  <c r="I20" i="4"/>
  <c r="J20" i="4"/>
  <c r="H21" i="4" a="1"/>
  <c r="H21" i="4"/>
  <c r="I21" i="4"/>
  <c r="J21" i="4"/>
  <c r="H22" i="4" a="1"/>
  <c r="H22" i="4"/>
  <c r="I22" i="4"/>
  <c r="J22" i="4"/>
  <c r="H23" i="4" a="1"/>
  <c r="H23" i="4"/>
  <c r="I23" i="4"/>
  <c r="J23" i="4"/>
  <c r="H24" i="4" a="1"/>
  <c r="H24" i="4"/>
  <c r="I24" i="4"/>
  <c r="J24" i="4"/>
  <c r="H25" i="4" a="1"/>
  <c r="H25" i="4"/>
  <c r="I25" i="4"/>
  <c r="J25" i="4"/>
  <c r="H26" i="4" a="1"/>
  <c r="H26" i="4"/>
  <c r="I26" i="4"/>
  <c r="J26" i="4"/>
  <c r="H27" i="4" a="1"/>
  <c r="H27" i="4"/>
  <c r="I27" i="4"/>
  <c r="J27" i="4"/>
  <c r="H28" i="4" a="1"/>
  <c r="H28" i="4"/>
  <c r="I28" i="4"/>
  <c r="J28" i="4"/>
  <c r="H29" i="4" a="1"/>
  <c r="H29" i="4"/>
  <c r="I29" i="4"/>
  <c r="J29" i="4"/>
  <c r="H30" i="4" a="1"/>
  <c r="H30" i="4"/>
  <c r="I30" i="4"/>
  <c r="J30" i="4"/>
  <c r="H31" i="4" a="1"/>
  <c r="H31" i="4"/>
  <c r="I31" i="4"/>
  <c r="J31" i="4"/>
  <c r="H32" i="4" a="1"/>
  <c r="H32" i="4"/>
  <c r="I32" i="4"/>
  <c r="J32" i="4"/>
  <c r="H33" i="4" a="1"/>
  <c r="H33" i="4"/>
  <c r="I33" i="4"/>
  <c r="J33" i="4"/>
  <c r="H34" i="4" a="1"/>
  <c r="H34" i="4"/>
  <c r="I34" i="4"/>
  <c r="J34" i="4"/>
  <c r="H35" i="4" a="1"/>
  <c r="H35" i="4"/>
  <c r="I35" i="4"/>
  <c r="J35" i="4"/>
  <c r="H36" i="4" a="1"/>
  <c r="H36" i="4"/>
  <c r="I36" i="4"/>
  <c r="J36" i="4"/>
  <c r="H37" i="4" a="1"/>
  <c r="H37" i="4"/>
  <c r="I37" i="4"/>
  <c r="J37" i="4"/>
  <c r="H38" i="4" a="1"/>
  <c r="H38" i="4"/>
  <c r="I38" i="4"/>
  <c r="J38" i="4"/>
  <c r="H39" i="4" a="1"/>
  <c r="H39" i="4"/>
  <c r="I39" i="4"/>
  <c r="J39" i="4"/>
  <c r="H40" i="4" a="1"/>
  <c r="H40" i="4"/>
  <c r="I40" i="4"/>
  <c r="J40" i="4"/>
  <c r="H41" i="4" a="1"/>
  <c r="H41" i="4"/>
  <c r="I41" i="4"/>
  <c r="J41" i="4"/>
  <c r="H42" i="4" a="1"/>
  <c r="H42" i="4"/>
  <c r="I42" i="4"/>
  <c r="J42" i="4"/>
  <c r="H43" i="4" a="1"/>
  <c r="H43" i="4"/>
  <c r="I43" i="4"/>
  <c r="J43" i="4"/>
  <c r="H44" i="4" a="1"/>
  <c r="H44" i="4"/>
  <c r="I44" i="4"/>
  <c r="J44" i="4"/>
  <c r="H45" i="4" a="1"/>
  <c r="H45" i="4"/>
  <c r="I45" i="4"/>
  <c r="J45" i="4"/>
  <c r="H46" i="4" a="1"/>
  <c r="H46" i="4"/>
  <c r="I46" i="4"/>
  <c r="J46" i="4"/>
  <c r="H47" i="4" a="1"/>
  <c r="H47" i="4"/>
  <c r="I47" i="4"/>
  <c r="J47" i="4"/>
  <c r="H48" i="4" a="1"/>
  <c r="H48" i="4"/>
  <c r="I48" i="4"/>
  <c r="J48" i="4"/>
  <c r="H49" i="4" a="1"/>
  <c r="H49" i="4"/>
  <c r="I49" i="4"/>
  <c r="J49" i="4"/>
  <c r="H50" i="4" a="1"/>
  <c r="H50" i="4"/>
  <c r="I50" i="4"/>
  <c r="J50" i="4"/>
  <c r="H51" i="4" a="1"/>
  <c r="H51" i="4"/>
  <c r="I51" i="4"/>
  <c r="J51" i="4"/>
  <c r="H52" i="4" a="1"/>
  <c r="H52" i="4"/>
  <c r="I52" i="4"/>
  <c r="J52" i="4"/>
  <c r="H53" i="4" a="1"/>
  <c r="H53" i="4"/>
  <c r="I53" i="4"/>
  <c r="J53" i="4"/>
  <c r="H54" i="4" a="1"/>
  <c r="H54" i="4"/>
  <c r="I54" i="4"/>
  <c r="J54" i="4"/>
  <c r="H55" i="4" a="1"/>
  <c r="H55" i="4"/>
  <c r="I55" i="4"/>
  <c r="J55" i="4"/>
  <c r="H56" i="4" a="1"/>
  <c r="H56" i="4"/>
  <c r="I56" i="4"/>
  <c r="J56" i="4"/>
  <c r="H57" i="4" a="1"/>
  <c r="H57" i="4"/>
  <c r="I57" i="4"/>
  <c r="J57" i="4"/>
  <c r="H58" i="4" a="1"/>
  <c r="H58" i="4"/>
  <c r="I58" i="4"/>
  <c r="J58" i="4"/>
  <c r="H59" i="4" a="1"/>
  <c r="H59" i="4"/>
  <c r="I59" i="4"/>
  <c r="J59" i="4"/>
  <c r="H60" i="4" a="1"/>
  <c r="H60" i="4"/>
  <c r="I60" i="4"/>
  <c r="J60" i="4"/>
  <c r="H61" i="4" a="1"/>
  <c r="H61" i="4"/>
  <c r="I61" i="4"/>
  <c r="J61" i="4"/>
  <c r="H62" i="4" a="1"/>
  <c r="H62" i="4"/>
  <c r="I62" i="4"/>
  <c r="J62" i="4"/>
  <c r="H63" i="4" a="1"/>
  <c r="H63" i="4"/>
  <c r="I63" i="4"/>
  <c r="J63" i="4"/>
  <c r="H64" i="4" a="1"/>
  <c r="H64" i="4"/>
  <c r="I64" i="4"/>
  <c r="J64" i="4"/>
  <c r="H65" i="4" a="1"/>
  <c r="H65" i="4"/>
  <c r="I65" i="4"/>
  <c r="J65" i="4"/>
  <c r="H66" i="4" a="1"/>
  <c r="H66" i="4"/>
  <c r="I66" i="4"/>
  <c r="J66" i="4"/>
  <c r="H67" i="4" a="1"/>
  <c r="H67" i="4"/>
  <c r="I67" i="4"/>
  <c r="J67" i="4"/>
  <c r="H68" i="4" a="1"/>
  <c r="H68" i="4"/>
  <c r="I68" i="4"/>
  <c r="J68" i="4"/>
  <c r="H69" i="4" a="1"/>
  <c r="H69" i="4"/>
  <c r="I69" i="4"/>
  <c r="J69" i="4"/>
  <c r="H70" i="4" a="1"/>
  <c r="H70" i="4"/>
  <c r="I70" i="4"/>
  <c r="J70" i="4"/>
  <c r="H71" i="4" a="1"/>
  <c r="H71" i="4"/>
  <c r="I71" i="4"/>
  <c r="J71" i="4"/>
  <c r="H72" i="4" a="1"/>
  <c r="H72" i="4"/>
  <c r="I72" i="4"/>
  <c r="J72" i="4"/>
  <c r="H73" i="4" a="1"/>
  <c r="H73" i="4"/>
  <c r="I73" i="4"/>
  <c r="J73" i="4"/>
  <c r="H74" i="4" a="1"/>
  <c r="H74" i="4"/>
  <c r="I74" i="4"/>
  <c r="J74" i="4"/>
  <c r="H75" i="4" a="1"/>
  <c r="H75" i="4"/>
  <c r="I75" i="4"/>
  <c r="J75" i="4"/>
  <c r="H76" i="4" a="1"/>
  <c r="H76" i="4"/>
  <c r="I76" i="4"/>
  <c r="J76" i="4"/>
  <c r="H77" i="4" a="1"/>
  <c r="H77" i="4"/>
  <c r="I77" i="4"/>
  <c r="J77" i="4"/>
  <c r="H78" i="4" a="1"/>
  <c r="H78" i="4"/>
  <c r="I78" i="4"/>
  <c r="J78" i="4"/>
  <c r="H79" i="4" a="1"/>
  <c r="H79" i="4"/>
  <c r="I79" i="4"/>
  <c r="J79" i="4"/>
  <c r="H80" i="4" a="1"/>
  <c r="H80" i="4"/>
  <c r="I80" i="4"/>
  <c r="J80" i="4"/>
  <c r="H81" i="4" a="1"/>
  <c r="H81" i="4"/>
  <c r="I81" i="4"/>
  <c r="J81" i="4"/>
  <c r="H82" i="4" a="1"/>
  <c r="H82" i="4"/>
  <c r="I82" i="4"/>
  <c r="J82" i="4"/>
  <c r="H83" i="4" a="1"/>
  <c r="H83" i="4"/>
  <c r="I83" i="4"/>
  <c r="J83" i="4"/>
  <c r="H84" i="4" a="1"/>
  <c r="H84" i="4"/>
  <c r="I84" i="4"/>
  <c r="J84" i="4"/>
  <c r="H85" i="4" a="1"/>
  <c r="H85" i="4"/>
  <c r="I85" i="4"/>
  <c r="J85" i="4"/>
  <c r="H86" i="4" a="1"/>
  <c r="H86" i="4"/>
  <c r="I86" i="4"/>
  <c r="J86" i="4"/>
  <c r="H87" i="4" a="1"/>
  <c r="H87" i="4"/>
  <c r="I87" i="4"/>
  <c r="J87" i="4"/>
  <c r="H88" i="4" a="1"/>
  <c r="H88" i="4"/>
  <c r="I88" i="4"/>
  <c r="J88" i="4"/>
  <c r="H89" i="4" a="1"/>
  <c r="H89" i="4"/>
  <c r="I89" i="4"/>
  <c r="J89" i="4"/>
  <c r="H90" i="4" a="1"/>
  <c r="H90" i="4"/>
  <c r="I90" i="4"/>
  <c r="J90" i="4"/>
  <c r="H91" i="4" a="1"/>
  <c r="H91" i="4"/>
  <c r="I91" i="4"/>
  <c r="J91" i="4"/>
  <c r="H92" i="4" a="1"/>
  <c r="H92" i="4"/>
  <c r="I92" i="4"/>
  <c r="J92" i="4"/>
  <c r="H93" i="4" a="1"/>
  <c r="H93" i="4"/>
  <c r="I93" i="4"/>
  <c r="J93" i="4"/>
  <c r="H94" i="4" a="1"/>
  <c r="H94" i="4"/>
  <c r="I94" i="4"/>
  <c r="J94" i="4"/>
  <c r="H95" i="4" a="1"/>
  <c r="H95" i="4"/>
  <c r="I95" i="4"/>
  <c r="J95" i="4"/>
  <c r="H96" i="4" a="1"/>
  <c r="H96" i="4"/>
  <c r="I96" i="4"/>
  <c r="J96" i="4"/>
  <c r="H97" i="4" a="1"/>
  <c r="H97" i="4"/>
  <c r="I97" i="4"/>
  <c r="J97" i="4"/>
  <c r="H98" i="4" a="1"/>
  <c r="H98" i="4"/>
  <c r="I98" i="4"/>
  <c r="J98" i="4"/>
  <c r="H99" i="4" a="1"/>
  <c r="H99" i="4"/>
  <c r="I99" i="4"/>
  <c r="J99" i="4"/>
  <c r="H100" i="4" a="1"/>
  <c r="H100" i="4"/>
  <c r="I100" i="4"/>
  <c r="J100" i="4"/>
  <c r="H101" i="4" a="1"/>
  <c r="H101" i="4"/>
  <c r="I101" i="4"/>
  <c r="J101" i="4"/>
  <c r="H102" i="4" a="1"/>
  <c r="H102" i="4"/>
  <c r="I102" i="4"/>
  <c r="J102" i="4"/>
  <c r="H103" i="4" a="1"/>
  <c r="H103" i="4"/>
  <c r="I103" i="4"/>
  <c r="J103" i="4"/>
  <c r="H104" i="4" a="1"/>
  <c r="H104" i="4"/>
  <c r="I104" i="4"/>
  <c r="J104" i="4"/>
  <c r="H105" i="4" a="1"/>
  <c r="H105" i="4"/>
  <c r="I105" i="4"/>
  <c r="J105" i="4"/>
  <c r="H106" i="4" a="1"/>
  <c r="H106" i="4"/>
  <c r="I106" i="4"/>
  <c r="J106" i="4"/>
  <c r="H107" i="4" a="1"/>
  <c r="H107" i="4"/>
  <c r="I107" i="4"/>
  <c r="J107" i="4"/>
  <c r="H108" i="4" a="1"/>
  <c r="H108" i="4"/>
  <c r="I108" i="4"/>
  <c r="J108" i="4"/>
  <c r="H109" i="4" a="1"/>
  <c r="H109" i="4"/>
  <c r="I109" i="4"/>
  <c r="J109" i="4"/>
  <c r="H110" i="4" a="1"/>
  <c r="H110" i="4"/>
  <c r="I110" i="4"/>
  <c r="J110" i="4"/>
  <c r="H111" i="4" a="1"/>
  <c r="H111" i="4"/>
  <c r="I111" i="4"/>
  <c r="J111" i="4"/>
  <c r="H112" i="4" a="1"/>
  <c r="H112" i="4"/>
  <c r="I112" i="4"/>
  <c r="J112" i="4"/>
  <c r="H113" i="4" a="1"/>
  <c r="H113" i="4"/>
  <c r="I113" i="4"/>
  <c r="J113" i="4"/>
  <c r="H114" i="4" a="1"/>
  <c r="H114" i="4"/>
  <c r="I114" i="4"/>
  <c r="J114" i="4"/>
  <c r="H115" i="4" a="1"/>
  <c r="H115" i="4"/>
  <c r="I115" i="4"/>
  <c r="J115" i="4"/>
  <c r="H116" i="4" a="1"/>
  <c r="H116" i="4"/>
  <c r="I116" i="4"/>
  <c r="J116" i="4"/>
  <c r="H117" i="4" a="1"/>
  <c r="H117" i="4"/>
  <c r="I117" i="4"/>
  <c r="J117" i="4"/>
  <c r="H118" i="4" a="1"/>
  <c r="H118" i="4"/>
  <c r="I118" i="4"/>
  <c r="J118" i="4"/>
  <c r="H119" i="4" a="1"/>
  <c r="H119" i="4"/>
  <c r="I119" i="4"/>
  <c r="J119" i="4"/>
  <c r="H120" i="4" a="1"/>
  <c r="H120" i="4"/>
  <c r="I120" i="4"/>
  <c r="J120" i="4"/>
  <c r="H121" i="4" a="1"/>
  <c r="H121" i="4"/>
  <c r="I121" i="4"/>
  <c r="J121" i="4"/>
  <c r="H122" i="4" a="1"/>
  <c r="H122" i="4"/>
  <c r="I122" i="4"/>
  <c r="J122" i="4"/>
  <c r="H123" i="4" a="1"/>
  <c r="H123" i="4"/>
  <c r="I123" i="4"/>
  <c r="J123" i="4"/>
  <c r="H124" i="4" a="1"/>
  <c r="H124" i="4"/>
  <c r="I124" i="4"/>
  <c r="J124" i="4"/>
  <c r="H125" i="4" a="1"/>
  <c r="H125" i="4"/>
  <c r="I125" i="4"/>
  <c r="J125" i="4"/>
  <c r="H126" i="4" a="1"/>
  <c r="H126" i="4"/>
  <c r="I126" i="4"/>
  <c r="J126" i="4"/>
  <c r="H127" i="4" a="1"/>
  <c r="H127" i="4"/>
  <c r="I127" i="4"/>
  <c r="J127" i="4"/>
  <c r="H128" i="4" a="1"/>
  <c r="H128" i="4"/>
  <c r="I128" i="4"/>
  <c r="J128" i="4"/>
  <c r="H129" i="4" a="1"/>
  <c r="H129" i="4"/>
  <c r="I129" i="4"/>
  <c r="J129" i="4"/>
  <c r="H130" i="4" a="1"/>
  <c r="H130" i="4"/>
  <c r="I130" i="4"/>
  <c r="J130" i="4"/>
  <c r="H131" i="4" a="1"/>
  <c r="H131" i="4"/>
  <c r="I131" i="4"/>
  <c r="J131" i="4"/>
  <c r="H132" i="4" a="1"/>
  <c r="H132" i="4"/>
  <c r="I132" i="4"/>
  <c r="J132" i="4"/>
  <c r="H133" i="4" a="1"/>
  <c r="H133" i="4"/>
  <c r="I133" i="4"/>
  <c r="J133" i="4"/>
  <c r="H134" i="4" a="1"/>
  <c r="H134" i="4"/>
  <c r="I134" i="4"/>
  <c r="J134" i="4"/>
  <c r="H135" i="4" a="1"/>
  <c r="H135" i="4"/>
  <c r="I135" i="4"/>
  <c r="J135" i="4"/>
  <c r="H136" i="4" a="1"/>
  <c r="H136" i="4"/>
  <c r="I136" i="4"/>
  <c r="J136" i="4"/>
  <c r="H137" i="4" a="1"/>
  <c r="H137" i="4"/>
  <c r="I137" i="4"/>
  <c r="J137" i="4"/>
  <c r="H138" i="4" a="1"/>
  <c r="H138" i="4"/>
  <c r="I138" i="4"/>
  <c r="J138" i="4"/>
  <c r="H139" i="4" a="1"/>
  <c r="H139" i="4"/>
  <c r="I139" i="4"/>
  <c r="J139" i="4"/>
  <c r="H140" i="4" a="1"/>
  <c r="H140" i="4"/>
  <c r="I140" i="4"/>
  <c r="J140" i="4"/>
  <c r="H141" i="4" a="1"/>
  <c r="H141" i="4"/>
  <c r="I141" i="4"/>
  <c r="J141" i="4"/>
  <c r="H142" i="4" a="1"/>
  <c r="H142" i="4"/>
  <c r="I142" i="4"/>
  <c r="J142" i="4"/>
  <c r="H143" i="4" a="1"/>
  <c r="H143" i="4"/>
  <c r="I143" i="4"/>
  <c r="J143" i="4"/>
  <c r="H144" i="4" a="1"/>
  <c r="H144" i="4"/>
  <c r="I144" i="4"/>
  <c r="J144" i="4"/>
  <c r="H145" i="4" a="1"/>
  <c r="H145" i="4"/>
  <c r="I145" i="4"/>
  <c r="J145" i="4"/>
  <c r="H146" i="4" a="1"/>
  <c r="H146" i="4"/>
  <c r="I146" i="4"/>
  <c r="J146" i="4"/>
  <c r="H147" i="4" a="1"/>
  <c r="H147" i="4"/>
  <c r="I147" i="4"/>
  <c r="J147" i="4"/>
  <c r="H148" i="4" a="1"/>
  <c r="H148" i="4"/>
  <c r="I148" i="4"/>
  <c r="J148" i="4"/>
  <c r="H149" i="4" a="1"/>
  <c r="H149" i="4"/>
  <c r="I149" i="4"/>
  <c r="J149" i="4"/>
  <c r="H150" i="4" a="1"/>
  <c r="H150" i="4"/>
  <c r="I150" i="4"/>
  <c r="J150" i="4"/>
  <c r="H151" i="4" a="1"/>
  <c r="H151" i="4"/>
  <c r="I151" i="4"/>
  <c r="J151" i="4"/>
  <c r="H152" i="4" a="1"/>
  <c r="H152" i="4"/>
  <c r="I152" i="4"/>
  <c r="J152" i="4"/>
  <c r="H153" i="4" a="1"/>
  <c r="H153" i="4"/>
  <c r="I153" i="4"/>
  <c r="J153" i="4"/>
  <c r="H154" i="4" a="1"/>
  <c r="H154" i="4"/>
  <c r="I154" i="4"/>
  <c r="J154" i="4"/>
  <c r="H155" i="4" a="1"/>
  <c r="H155" i="4"/>
  <c r="I155" i="4"/>
  <c r="J155" i="4"/>
  <c r="H156" i="4" a="1"/>
  <c r="H156" i="4"/>
  <c r="I156" i="4"/>
  <c r="J156" i="4"/>
  <c r="H157" i="4" a="1"/>
  <c r="H157" i="4"/>
  <c r="I157" i="4"/>
  <c r="J157" i="4"/>
  <c r="H158" i="4" a="1"/>
  <c r="H158" i="4"/>
  <c r="I158" i="4"/>
  <c r="J158" i="4"/>
  <c r="H159" i="4" a="1"/>
  <c r="H159" i="4"/>
  <c r="I159" i="4"/>
  <c r="J159" i="4"/>
  <c r="H160" i="4" a="1"/>
  <c r="H160" i="4"/>
  <c r="I160" i="4"/>
  <c r="J160" i="4"/>
  <c r="H161" i="4" a="1"/>
  <c r="H161" i="4"/>
  <c r="I161" i="4"/>
  <c r="J161" i="4"/>
  <c r="H162" i="4" a="1"/>
  <c r="H162" i="4"/>
  <c r="I162" i="4"/>
  <c r="J162" i="4"/>
  <c r="H163" i="4" a="1"/>
  <c r="H163" i="4"/>
  <c r="I163" i="4"/>
  <c r="J163" i="4"/>
  <c r="H164" i="4" a="1"/>
  <c r="H164" i="4"/>
  <c r="I164" i="4"/>
  <c r="J164" i="4"/>
  <c r="H165" i="4" a="1"/>
  <c r="H165" i="4"/>
  <c r="I165" i="4"/>
  <c r="J165" i="4"/>
  <c r="H166" i="4" a="1"/>
  <c r="H166" i="4"/>
  <c r="I166" i="4"/>
  <c r="J166" i="4"/>
  <c r="H167" i="4" a="1"/>
  <c r="H167" i="4"/>
  <c r="I167" i="4"/>
  <c r="J167" i="4"/>
  <c r="H168" i="4" a="1"/>
  <c r="H168" i="4"/>
  <c r="I168" i="4"/>
  <c r="J168" i="4"/>
  <c r="H169" i="4" a="1"/>
  <c r="H169" i="4"/>
  <c r="I169" i="4"/>
  <c r="J169" i="4"/>
  <c r="H170" i="4" a="1"/>
  <c r="H170" i="4"/>
  <c r="I170" i="4"/>
  <c r="J170" i="4"/>
  <c r="H171" i="4" a="1"/>
  <c r="H171" i="4"/>
  <c r="I171" i="4"/>
  <c r="J171" i="4"/>
  <c r="H172" i="4" a="1"/>
  <c r="H172" i="4"/>
  <c r="I172" i="4"/>
  <c r="J172" i="4"/>
  <c r="H173" i="4" a="1"/>
  <c r="H173" i="4"/>
  <c r="I173" i="4"/>
  <c r="J173" i="4"/>
  <c r="H174" i="4" a="1"/>
  <c r="H174" i="4"/>
  <c r="I174" i="4"/>
  <c r="J174" i="4"/>
  <c r="H175" i="4" a="1"/>
  <c r="H175" i="4"/>
  <c r="I175" i="4"/>
  <c r="J175" i="4"/>
  <c r="H176" i="4" a="1"/>
  <c r="H176" i="4"/>
  <c r="I176" i="4"/>
  <c r="J176" i="4"/>
  <c r="H177" i="4" a="1"/>
  <c r="H177" i="4"/>
  <c r="I177" i="4"/>
  <c r="J177" i="4"/>
  <c r="H178" i="4" a="1"/>
  <c r="H178" i="4"/>
  <c r="I178" i="4"/>
  <c r="J178" i="4"/>
  <c r="H179" i="4" a="1"/>
  <c r="H179" i="4"/>
  <c r="I179" i="4"/>
  <c r="J179" i="4"/>
  <c r="H180" i="4" a="1"/>
  <c r="H180" i="4"/>
  <c r="I180" i="4"/>
  <c r="J180" i="4"/>
  <c r="H181" i="4" a="1"/>
  <c r="H181" i="4"/>
  <c r="I181" i="4"/>
  <c r="J181" i="4"/>
  <c r="H182" i="4" a="1"/>
  <c r="H182" i="4"/>
  <c r="I182" i="4"/>
  <c r="J182" i="4"/>
  <c r="H183" i="4" a="1"/>
  <c r="H183" i="4"/>
  <c r="I183" i="4"/>
  <c r="J183" i="4"/>
  <c r="H184" i="4" a="1"/>
  <c r="H184" i="4"/>
  <c r="I184" i="4"/>
  <c r="J184" i="4"/>
  <c r="H185" i="4" a="1"/>
  <c r="H185" i="4"/>
  <c r="I185" i="4"/>
  <c r="J185" i="4"/>
  <c r="H186" i="4" a="1"/>
  <c r="H186" i="4"/>
  <c r="I186" i="4"/>
  <c r="J186" i="4"/>
  <c r="H187" i="4" a="1"/>
  <c r="H187" i="4"/>
  <c r="I187" i="4"/>
  <c r="J187" i="4"/>
  <c r="H188" i="4" a="1"/>
  <c r="H188" i="4"/>
  <c r="I188" i="4"/>
  <c r="J188" i="4"/>
  <c r="H189" i="4" a="1"/>
  <c r="H189" i="4"/>
  <c r="I189" i="4"/>
  <c r="J189" i="4"/>
  <c r="H190" i="4" a="1"/>
  <c r="H190" i="4"/>
  <c r="I190" i="4"/>
  <c r="J190" i="4"/>
  <c r="H191" i="4" a="1"/>
  <c r="H191" i="4"/>
  <c r="I191" i="4"/>
  <c r="J191" i="4"/>
  <c r="H192" i="4" a="1"/>
  <c r="H192" i="4"/>
  <c r="I192" i="4"/>
  <c r="J192" i="4"/>
  <c r="H193" i="4" a="1"/>
  <c r="H193" i="4"/>
  <c r="I193" i="4"/>
  <c r="J193" i="4"/>
  <c r="H194" i="4" a="1"/>
  <c r="H194" i="4"/>
  <c r="I194" i="4"/>
  <c r="J194" i="4"/>
  <c r="H195" i="4" a="1"/>
  <c r="H195" i="4"/>
  <c r="I195" i="4"/>
  <c r="J195" i="4"/>
  <c r="H196" i="4" a="1"/>
  <c r="H196" i="4"/>
  <c r="I196" i="4"/>
  <c r="J196" i="4"/>
  <c r="H197" i="4" a="1"/>
  <c r="H197" i="4"/>
  <c r="I197" i="4"/>
  <c r="J197" i="4"/>
  <c r="H198" i="4" a="1"/>
  <c r="H198" i="4"/>
  <c r="I198" i="4"/>
  <c r="J198" i="4"/>
  <c r="H199" i="4" a="1"/>
  <c r="H199" i="4"/>
  <c r="I199" i="4"/>
  <c r="J199" i="4"/>
  <c r="H200" i="4" a="1"/>
  <c r="H200" i="4"/>
  <c r="I200" i="4"/>
  <c r="J200" i="4"/>
  <c r="H201" i="4" a="1"/>
  <c r="H201" i="4"/>
  <c r="I201" i="4"/>
  <c r="J201" i="4"/>
  <c r="H202" i="4" a="1"/>
  <c r="H202" i="4"/>
  <c r="I202" i="4"/>
  <c r="J202" i="4"/>
  <c r="H203" i="4" a="1"/>
  <c r="H203" i="4"/>
  <c r="I203" i="4"/>
  <c r="J203" i="4"/>
  <c r="H204" i="4" a="1"/>
  <c r="H204" i="4"/>
  <c r="I204" i="4"/>
  <c r="J204" i="4"/>
  <c r="H205" i="4" a="1"/>
  <c r="H205" i="4"/>
  <c r="I205" i="4"/>
  <c r="J205" i="4"/>
  <c r="H206" i="4" a="1"/>
  <c r="H206" i="4"/>
  <c r="I206" i="4"/>
  <c r="J206" i="4"/>
  <c r="H207" i="4" a="1"/>
  <c r="H207" i="4"/>
  <c r="I207" i="4"/>
  <c r="J207" i="4"/>
  <c r="H208" i="4" a="1"/>
  <c r="H208" i="4"/>
  <c r="I208" i="4"/>
  <c r="J208" i="4"/>
  <c r="H209" i="4" a="1"/>
  <c r="H209" i="4"/>
  <c r="I209" i="4"/>
  <c r="J209" i="4"/>
  <c r="H210" i="4" a="1"/>
  <c r="H210" i="4"/>
  <c r="I210" i="4"/>
  <c r="J210" i="4"/>
  <c r="H211" i="4" a="1"/>
  <c r="H211" i="4"/>
  <c r="I211" i="4"/>
  <c r="J211" i="4"/>
  <c r="H212" i="4" a="1"/>
  <c r="H212" i="4"/>
  <c r="I212" i="4"/>
  <c r="J212" i="4"/>
  <c r="H213" i="4" a="1"/>
  <c r="H213" i="4"/>
  <c r="I213" i="4"/>
  <c r="J213" i="4"/>
  <c r="H214" i="4" a="1"/>
  <c r="H214" i="4"/>
  <c r="I214" i="4"/>
  <c r="J214" i="4"/>
  <c r="H215" i="4" a="1"/>
  <c r="H215" i="4"/>
  <c r="I215" i="4"/>
  <c r="J215" i="4"/>
  <c r="H216" i="4" a="1"/>
  <c r="H216" i="4"/>
  <c r="I216" i="4"/>
  <c r="J216" i="4"/>
  <c r="H217" i="4" a="1"/>
  <c r="H217" i="4"/>
  <c r="I217" i="4"/>
  <c r="J217" i="4"/>
  <c r="H218" i="4" a="1"/>
  <c r="H218" i="4"/>
  <c r="I218" i="4"/>
  <c r="J218" i="4"/>
  <c r="H219" i="4" a="1"/>
  <c r="H219" i="4"/>
  <c r="I219" i="4"/>
  <c r="J219" i="4"/>
  <c r="H220" i="4" a="1"/>
  <c r="H220" i="4"/>
  <c r="I220" i="4"/>
  <c r="J220" i="4"/>
  <c r="H221" i="4" a="1"/>
  <c r="H221" i="4"/>
  <c r="I221" i="4"/>
  <c r="J221" i="4"/>
  <c r="H222" i="4" a="1"/>
  <c r="H222" i="4"/>
  <c r="I222" i="4"/>
  <c r="J222" i="4"/>
  <c r="H223" i="4" a="1"/>
  <c r="H223" i="4"/>
  <c r="I223" i="4"/>
  <c r="J223" i="4"/>
  <c r="H224" i="4" a="1"/>
  <c r="H224" i="4"/>
  <c r="I224" i="4"/>
  <c r="J224" i="4"/>
  <c r="H225" i="4" a="1"/>
  <c r="H225" i="4"/>
  <c r="I225" i="4"/>
  <c r="J225" i="4"/>
  <c r="H226" i="4" a="1"/>
  <c r="H226" i="4"/>
  <c r="I226" i="4"/>
  <c r="J226" i="4"/>
  <c r="H227" i="4" a="1"/>
  <c r="H227" i="4"/>
  <c r="I227" i="4"/>
  <c r="J227" i="4"/>
  <c r="H228" i="4" a="1"/>
  <c r="H228" i="4"/>
  <c r="I228" i="4"/>
  <c r="J228" i="4"/>
  <c r="H229" i="4" a="1"/>
  <c r="H229" i="4"/>
  <c r="I229" i="4"/>
  <c r="J229" i="4"/>
  <c r="H230" i="4" a="1"/>
  <c r="H230" i="4"/>
  <c r="I230" i="4"/>
  <c r="J230" i="4"/>
  <c r="H231" i="4" a="1"/>
  <c r="H231" i="4"/>
  <c r="I231" i="4"/>
  <c r="J231" i="4"/>
  <c r="H232" i="4" a="1"/>
  <c r="H232" i="4"/>
  <c r="I232" i="4"/>
  <c r="J232" i="4"/>
  <c r="H233" i="4" a="1"/>
  <c r="H233" i="4"/>
  <c r="I233" i="4"/>
  <c r="J233" i="4"/>
  <c r="H234" i="4" a="1"/>
  <c r="H234" i="4"/>
  <c r="I234" i="4"/>
  <c r="J234" i="4"/>
  <c r="H235" i="4" a="1"/>
  <c r="H235" i="4"/>
  <c r="I235" i="4"/>
  <c r="J235" i="4"/>
  <c r="H236" i="4" a="1"/>
  <c r="H236" i="4"/>
  <c r="I236" i="4"/>
  <c r="J236" i="4"/>
  <c r="H237" i="4" a="1"/>
  <c r="H237" i="4"/>
  <c r="I237" i="4"/>
  <c r="J237" i="4"/>
  <c r="H238" i="4" a="1"/>
  <c r="H238" i="4"/>
  <c r="I238" i="4"/>
  <c r="J238" i="4"/>
  <c r="H239" i="4" a="1"/>
  <c r="H239" i="4"/>
  <c r="I239" i="4"/>
  <c r="J239" i="4"/>
  <c r="H240" i="4" a="1"/>
  <c r="H240" i="4"/>
  <c r="I240" i="4"/>
  <c r="J240" i="4"/>
  <c r="H241" i="4" a="1"/>
  <c r="H241" i="4"/>
  <c r="I241" i="4"/>
  <c r="J241" i="4"/>
  <c r="H242" i="4" a="1"/>
  <c r="H242" i="4"/>
  <c r="I242" i="4"/>
  <c r="J242" i="4"/>
  <c r="H243" i="4" a="1"/>
  <c r="H243" i="4"/>
  <c r="I243" i="4"/>
  <c r="J243" i="4"/>
  <c r="H244" i="4" a="1"/>
  <c r="H244" i="4"/>
  <c r="I244" i="4"/>
  <c r="J244" i="4"/>
  <c r="H245" i="4" a="1"/>
  <c r="H245" i="4"/>
  <c r="I245" i="4"/>
  <c r="J245" i="4"/>
  <c r="H246" i="4" a="1"/>
  <c r="H246" i="4"/>
  <c r="I246" i="4"/>
  <c r="J246" i="4"/>
  <c r="H247" i="4" a="1"/>
  <c r="H247" i="4"/>
  <c r="I247" i="4"/>
  <c r="J247" i="4"/>
  <c r="H248" i="4" a="1"/>
  <c r="H248" i="4"/>
  <c r="I248" i="4"/>
  <c r="J248" i="4"/>
  <c r="H249" i="4" a="1"/>
  <c r="H249" i="4"/>
  <c r="I249" i="4"/>
  <c r="J249" i="4"/>
  <c r="H250" i="4" a="1"/>
  <c r="H250" i="4"/>
  <c r="I250" i="4"/>
  <c r="J250" i="4"/>
  <c r="H251" i="4" a="1"/>
  <c r="H251" i="4"/>
  <c r="I251" i="4"/>
  <c r="J251" i="4"/>
  <c r="H252" i="4" a="1"/>
  <c r="H252" i="4"/>
  <c r="I252" i="4"/>
  <c r="J252" i="4"/>
  <c r="H253" i="4" a="1"/>
  <c r="H253" i="4"/>
  <c r="I253" i="4"/>
  <c r="J253" i="4"/>
  <c r="H254" i="4" a="1"/>
  <c r="H254" i="4"/>
  <c r="I254" i="4"/>
  <c r="J254" i="4"/>
  <c r="H255" i="4" a="1"/>
  <c r="H255" i="4"/>
  <c r="I255" i="4"/>
  <c r="J255" i="4"/>
  <c r="H256" i="4" a="1"/>
  <c r="H256" i="4"/>
  <c r="I256" i="4"/>
  <c r="J256" i="4"/>
  <c r="H257" i="4" a="1"/>
  <c r="H257" i="4"/>
  <c r="I257" i="4"/>
  <c r="J257" i="4"/>
  <c r="H258" i="4" a="1"/>
  <c r="H258" i="4"/>
  <c r="I258" i="4"/>
  <c r="J258" i="4"/>
  <c r="H259" i="4" a="1"/>
  <c r="H259" i="4"/>
  <c r="I259" i="4"/>
  <c r="J259" i="4"/>
  <c r="H260" i="4" a="1"/>
  <c r="H260" i="4"/>
  <c r="I260" i="4"/>
  <c r="J260" i="4"/>
  <c r="H261" i="4" a="1"/>
  <c r="H261" i="4"/>
  <c r="I261" i="4"/>
  <c r="J261" i="4"/>
  <c r="H262" i="4" a="1"/>
  <c r="H262" i="4"/>
  <c r="I262" i="4"/>
  <c r="J262" i="4"/>
  <c r="H263" i="4" a="1"/>
  <c r="H263" i="4"/>
  <c r="I263" i="4"/>
  <c r="J263" i="4"/>
  <c r="H264" i="4" a="1"/>
  <c r="H264" i="4"/>
  <c r="I264" i="4"/>
  <c r="J264" i="4"/>
  <c r="H265" i="4" a="1"/>
  <c r="H265" i="4"/>
  <c r="I265" i="4"/>
  <c r="J265" i="4"/>
  <c r="H266" i="4" a="1"/>
  <c r="H266" i="4"/>
  <c r="I266" i="4"/>
  <c r="J266" i="4"/>
  <c r="H267" i="4" a="1"/>
  <c r="H267" i="4"/>
  <c r="I267" i="4"/>
  <c r="J267" i="4"/>
  <c r="H268" i="4" a="1"/>
  <c r="H268" i="4"/>
  <c r="I268" i="4"/>
  <c r="J268" i="4"/>
  <c r="H269" i="4" a="1"/>
  <c r="H269" i="4"/>
  <c r="I269" i="4"/>
  <c r="J269" i="4"/>
  <c r="H270" i="4" a="1"/>
  <c r="H270" i="4"/>
  <c r="I270" i="4"/>
  <c r="J270" i="4"/>
  <c r="H271" i="4" a="1"/>
  <c r="H271" i="4"/>
  <c r="I271" i="4"/>
  <c r="J271" i="4"/>
  <c r="H272" i="4" a="1"/>
  <c r="H272" i="4"/>
  <c r="I272" i="4"/>
  <c r="J272" i="4"/>
  <c r="H273" i="4" a="1"/>
  <c r="H273" i="4"/>
  <c r="I273" i="4"/>
  <c r="J273" i="4"/>
  <c r="H274" i="4" a="1"/>
  <c r="H274" i="4"/>
  <c r="I274" i="4"/>
  <c r="J274" i="4"/>
  <c r="H275" i="4" a="1"/>
  <c r="H275" i="4"/>
  <c r="I275" i="4"/>
  <c r="J275" i="4"/>
  <c r="H276" i="4" a="1"/>
  <c r="H276" i="4"/>
  <c r="I276" i="4"/>
  <c r="J276" i="4"/>
  <c r="H277" i="4" a="1"/>
  <c r="H277" i="4"/>
  <c r="I277" i="4"/>
  <c r="J277" i="4"/>
  <c r="H278" i="4" a="1"/>
  <c r="H278" i="4"/>
  <c r="I278" i="4"/>
  <c r="J278" i="4"/>
  <c r="H279" i="4" a="1"/>
  <c r="H279" i="4"/>
  <c r="I279" i="4"/>
  <c r="J279" i="4"/>
  <c r="H280" i="4" a="1"/>
  <c r="H280" i="4"/>
  <c r="I280" i="4"/>
  <c r="J280" i="4"/>
  <c r="H281" i="4" a="1"/>
  <c r="H281" i="4"/>
  <c r="I281" i="4"/>
  <c r="J281" i="4"/>
  <c r="H282" i="4" a="1"/>
  <c r="H282" i="4"/>
  <c r="I282" i="4"/>
  <c r="J282" i="4"/>
  <c r="H283" i="4" a="1"/>
  <c r="H283" i="4"/>
  <c r="I283" i="4"/>
  <c r="J283" i="4"/>
  <c r="H284" i="4" a="1"/>
  <c r="H284" i="4"/>
  <c r="I284" i="4"/>
  <c r="J284" i="4"/>
  <c r="H285" i="4" a="1"/>
  <c r="H285" i="4"/>
  <c r="I285" i="4"/>
  <c r="J285" i="4"/>
  <c r="H286" i="4" a="1"/>
  <c r="H286" i="4"/>
  <c r="I286" i="4"/>
  <c r="J286" i="4"/>
  <c r="H287" i="4" a="1"/>
  <c r="H287" i="4"/>
  <c r="I287" i="4"/>
  <c r="J287" i="4"/>
  <c r="H288" i="4" a="1"/>
  <c r="H288" i="4"/>
  <c r="I288" i="4"/>
  <c r="J288" i="4"/>
  <c r="H289" i="4" a="1"/>
  <c r="H289" i="4"/>
  <c r="I289" i="4"/>
  <c r="J289" i="4"/>
  <c r="H290" i="4" a="1"/>
  <c r="H290" i="4"/>
  <c r="I290" i="4"/>
  <c r="J290" i="4"/>
  <c r="H291" i="4" a="1"/>
  <c r="H291" i="4"/>
  <c r="I291" i="4"/>
  <c r="J291" i="4"/>
  <c r="H292" i="4" a="1"/>
  <c r="H292" i="4"/>
  <c r="I292" i="4"/>
  <c r="J292" i="4"/>
  <c r="H293" i="4" a="1"/>
  <c r="H293" i="4"/>
  <c r="I293" i="4"/>
  <c r="J293" i="4"/>
  <c r="H294" i="4" a="1"/>
  <c r="H294" i="4"/>
  <c r="I294" i="4"/>
  <c r="J294" i="4"/>
  <c r="H295" i="4" a="1"/>
  <c r="H295" i="4"/>
  <c r="I295" i="4"/>
  <c r="J295" i="4"/>
  <c r="H296" i="4" a="1"/>
  <c r="H296" i="4"/>
  <c r="I296" i="4"/>
  <c r="J296" i="4"/>
  <c r="H297" i="4" a="1"/>
  <c r="H297" i="4"/>
  <c r="I297" i="4"/>
  <c r="J297" i="4"/>
  <c r="H298" i="4" a="1"/>
  <c r="H298" i="4"/>
  <c r="I298" i="4"/>
  <c r="J298" i="4"/>
  <c r="H299" i="4" a="1"/>
  <c r="H299" i="4"/>
  <c r="I299" i="4"/>
  <c r="J299" i="4"/>
  <c r="H300" i="4" a="1"/>
  <c r="H300" i="4"/>
  <c r="I300" i="4"/>
  <c r="J300" i="4"/>
  <c r="H301" i="4" a="1"/>
  <c r="H301" i="4"/>
  <c r="I301" i="4"/>
  <c r="J301" i="4"/>
  <c r="H302" i="4" a="1"/>
  <c r="H302" i="4"/>
  <c r="I302" i="4"/>
  <c r="J302" i="4"/>
  <c r="H303" i="4" a="1"/>
  <c r="H303" i="4"/>
  <c r="I303" i="4"/>
  <c r="J303" i="4"/>
  <c r="H304" i="4" a="1"/>
  <c r="H304" i="4"/>
  <c r="I304" i="4"/>
  <c r="J304" i="4"/>
  <c r="H305" i="4" a="1"/>
  <c r="H305" i="4"/>
  <c r="I305" i="4"/>
  <c r="J305" i="4"/>
  <c r="H306" i="4" a="1"/>
  <c r="H306" i="4"/>
  <c r="I306" i="4"/>
  <c r="J306" i="4"/>
  <c r="H307" i="4" a="1"/>
  <c r="H307" i="4"/>
  <c r="I307" i="4"/>
  <c r="J307" i="4"/>
  <c r="H308" i="4" a="1"/>
  <c r="H308" i="4"/>
  <c r="I308" i="4"/>
  <c r="J308" i="4"/>
  <c r="H309" i="4" a="1"/>
  <c r="H309" i="4"/>
  <c r="I309" i="4"/>
  <c r="J309" i="4"/>
  <c r="H310" i="4" a="1"/>
  <c r="H310" i="4"/>
  <c r="I310" i="4"/>
  <c r="J310" i="4"/>
  <c r="H311" i="4" a="1"/>
  <c r="H311" i="4"/>
  <c r="I311" i="4"/>
  <c r="J311" i="4"/>
  <c r="H312" i="4" a="1"/>
  <c r="H312" i="4"/>
  <c r="I312" i="4"/>
  <c r="J312" i="4"/>
  <c r="H313" i="4" a="1"/>
  <c r="H313" i="4"/>
  <c r="I313" i="4"/>
  <c r="J313" i="4"/>
  <c r="H314" i="4" a="1"/>
  <c r="H314" i="4"/>
  <c r="I314" i="4"/>
  <c r="J314" i="4"/>
  <c r="H315" i="4" a="1"/>
  <c r="H315" i="4"/>
  <c r="I315" i="4"/>
  <c r="J315" i="4"/>
  <c r="H316" i="4" a="1"/>
  <c r="H316" i="4"/>
  <c r="I316" i="4"/>
  <c r="J316" i="4"/>
  <c r="H317" i="4" a="1"/>
  <c r="H317" i="4"/>
  <c r="I317" i="4"/>
  <c r="J317" i="4"/>
  <c r="H318" i="4" a="1"/>
  <c r="H318" i="4"/>
  <c r="I318" i="4"/>
  <c r="J318" i="4"/>
  <c r="H319" i="4" a="1"/>
  <c r="H319" i="4"/>
  <c r="I319" i="4"/>
  <c r="J319" i="4"/>
  <c r="H320" i="4" a="1"/>
  <c r="H320" i="4"/>
  <c r="I320" i="4"/>
  <c r="J320" i="4"/>
  <c r="H321" i="4" a="1"/>
  <c r="H321" i="4"/>
  <c r="I321" i="4"/>
  <c r="J321" i="4"/>
  <c r="H322" i="4" a="1"/>
  <c r="H322" i="4"/>
  <c r="I322" i="4"/>
  <c r="J322" i="4"/>
  <c r="H323" i="4" a="1"/>
  <c r="H323" i="4"/>
  <c r="I323" i="4"/>
  <c r="J323" i="4"/>
  <c r="H324" i="4" a="1"/>
  <c r="H324" i="4"/>
  <c r="I324" i="4"/>
  <c r="J324" i="4"/>
  <c r="H325" i="4" a="1"/>
  <c r="H325" i="4"/>
  <c r="I325" i="4"/>
  <c r="J325" i="4"/>
  <c r="H326" i="4" a="1"/>
  <c r="H326" i="4"/>
  <c r="I326" i="4"/>
  <c r="J326" i="4"/>
  <c r="H327" i="4" a="1"/>
  <c r="H327" i="4"/>
  <c r="I327" i="4"/>
  <c r="J327" i="4"/>
  <c r="H328" i="4" a="1"/>
  <c r="H328" i="4"/>
  <c r="I328" i="4"/>
  <c r="J328" i="4"/>
  <c r="H329" i="4" a="1"/>
  <c r="H329" i="4"/>
  <c r="I329" i="4"/>
  <c r="J329" i="4"/>
  <c r="H330" i="4" a="1"/>
  <c r="H330" i="4"/>
  <c r="I330" i="4"/>
  <c r="J330" i="4"/>
  <c r="H331" i="4" a="1"/>
  <c r="H331" i="4"/>
  <c r="I331" i="4"/>
  <c r="J331" i="4"/>
  <c r="H332" i="4" a="1"/>
  <c r="H332" i="4"/>
  <c r="I332" i="4"/>
  <c r="J332" i="4"/>
  <c r="H333" i="4" a="1"/>
  <c r="H333" i="4"/>
  <c r="I333" i="4"/>
  <c r="J333" i="4"/>
  <c r="H334" i="4" a="1"/>
  <c r="H334" i="4"/>
  <c r="I334" i="4"/>
  <c r="J334" i="4"/>
  <c r="H335" i="4" a="1"/>
  <c r="H335" i="4"/>
  <c r="I335" i="4"/>
  <c r="J335" i="4"/>
  <c r="H336" i="4" a="1"/>
  <c r="H336" i="4"/>
  <c r="I336" i="4"/>
  <c r="J336" i="4"/>
  <c r="H337" i="4" a="1"/>
  <c r="H337" i="4"/>
  <c r="I337" i="4"/>
  <c r="J337" i="4"/>
  <c r="H338" i="4" a="1"/>
  <c r="H338" i="4"/>
  <c r="I338" i="4"/>
  <c r="J338" i="4"/>
  <c r="H339" i="4" a="1"/>
  <c r="H339" i="4"/>
  <c r="I339" i="4"/>
  <c r="J339" i="4"/>
  <c r="H340" i="4" a="1"/>
  <c r="H340" i="4"/>
  <c r="I340" i="4"/>
  <c r="J340" i="4"/>
  <c r="H341" i="4" a="1"/>
  <c r="H341" i="4"/>
  <c r="I341" i="4"/>
  <c r="J341" i="4"/>
  <c r="H342" i="4" a="1"/>
  <c r="H342" i="4"/>
  <c r="I342" i="4"/>
  <c r="J342" i="4"/>
  <c r="H343" i="4" a="1"/>
  <c r="H343" i="4"/>
  <c r="I343" i="4"/>
  <c r="J343" i="4"/>
  <c r="H344" i="4" a="1"/>
  <c r="H344" i="4"/>
  <c r="I344" i="4"/>
  <c r="J344" i="4"/>
  <c r="H345" i="4" a="1"/>
  <c r="H345" i="4"/>
  <c r="I345" i="4"/>
  <c r="J345" i="4"/>
  <c r="H346" i="4" a="1"/>
  <c r="H346" i="4"/>
  <c r="I346" i="4"/>
  <c r="J346" i="4"/>
  <c r="H347" i="4" a="1"/>
  <c r="H347" i="4"/>
  <c r="I347" i="4"/>
  <c r="J347" i="4"/>
  <c r="H348" i="4" a="1"/>
  <c r="H348" i="4"/>
  <c r="I348" i="4"/>
  <c r="J348" i="4"/>
  <c r="H349" i="4" a="1"/>
  <c r="H349" i="4"/>
  <c r="I349" i="4"/>
  <c r="J349" i="4"/>
  <c r="H350" i="4" a="1"/>
  <c r="H350" i="4"/>
  <c r="I350" i="4"/>
  <c r="J350" i="4"/>
  <c r="H351" i="4" a="1"/>
  <c r="H351" i="4"/>
  <c r="I351" i="4"/>
  <c r="J351" i="4"/>
  <c r="H352" i="4" a="1"/>
  <c r="H352" i="4"/>
  <c r="I352" i="4"/>
  <c r="J352" i="4"/>
  <c r="H353" i="4" a="1"/>
  <c r="H353" i="4"/>
  <c r="I353" i="4"/>
  <c r="J353" i="4"/>
  <c r="H354" i="4" a="1"/>
  <c r="H354" i="4"/>
  <c r="I354" i="4"/>
  <c r="J354" i="4"/>
  <c r="H355" i="4" a="1"/>
  <c r="H355" i="4"/>
  <c r="I355" i="4"/>
  <c r="J355" i="4"/>
  <c r="H356" i="4" a="1"/>
  <c r="H356" i="4"/>
  <c r="I356" i="4"/>
  <c r="J356" i="4"/>
  <c r="H357" i="4" a="1"/>
  <c r="H357" i="4"/>
  <c r="I357" i="4"/>
  <c r="J357" i="4"/>
  <c r="H358" i="4" a="1"/>
  <c r="H358" i="4"/>
  <c r="I358" i="4"/>
  <c r="J358" i="4"/>
  <c r="H359" i="4" a="1"/>
  <c r="H359" i="4"/>
  <c r="I359" i="4"/>
  <c r="J359" i="4"/>
  <c r="H360" i="4" a="1"/>
  <c r="H360" i="4"/>
  <c r="I360" i="4"/>
  <c r="J360" i="4"/>
  <c r="H361" i="4" a="1"/>
  <c r="H361" i="4"/>
  <c r="I361" i="4"/>
  <c r="J361" i="4"/>
  <c r="H362" i="4" a="1"/>
  <c r="H362" i="4"/>
  <c r="I362" i="4"/>
  <c r="J362" i="4"/>
  <c r="H363" i="4" a="1"/>
  <c r="H363" i="4"/>
  <c r="I363" i="4"/>
  <c r="J363" i="4"/>
  <c r="H364" i="4" a="1"/>
  <c r="H364" i="4"/>
  <c r="I364" i="4"/>
  <c r="J364" i="4"/>
  <c r="H365" i="4" a="1"/>
  <c r="H365" i="4"/>
  <c r="I365" i="4"/>
  <c r="J365" i="4"/>
  <c r="H366" i="4" a="1"/>
  <c r="H366" i="4"/>
  <c r="I366" i="4"/>
  <c r="J366" i="4"/>
  <c r="H367" i="4" a="1"/>
  <c r="H367" i="4"/>
  <c r="I367" i="4"/>
  <c r="J367" i="4"/>
  <c r="H368" i="4" a="1"/>
  <c r="H368" i="4"/>
  <c r="I368" i="4"/>
  <c r="J368" i="4"/>
  <c r="H369" i="4" a="1"/>
  <c r="H369" i="4"/>
  <c r="I369" i="4"/>
  <c r="J369" i="4"/>
  <c r="H370" i="4" a="1"/>
  <c r="H370" i="4"/>
  <c r="I370" i="4"/>
  <c r="J370" i="4"/>
  <c r="H371" i="4" a="1"/>
  <c r="H371" i="4"/>
  <c r="I371" i="4"/>
  <c r="J371" i="4"/>
  <c r="H372" i="4" a="1"/>
  <c r="H372" i="4"/>
  <c r="I372" i="4"/>
  <c r="J372" i="4"/>
  <c r="H373" i="4" a="1"/>
  <c r="H373" i="4"/>
  <c r="I373" i="4"/>
  <c r="J373" i="4"/>
  <c r="H374" i="4" a="1"/>
  <c r="H374" i="4"/>
  <c r="I374" i="4"/>
  <c r="J374" i="4"/>
  <c r="H375" i="4" a="1"/>
  <c r="H375" i="4"/>
  <c r="I375" i="4"/>
  <c r="J375" i="4"/>
  <c r="H376" i="4" a="1"/>
  <c r="H376" i="4"/>
  <c r="I376" i="4"/>
  <c r="J376" i="4"/>
  <c r="H377" i="4" a="1"/>
  <c r="H377" i="4"/>
  <c r="I377" i="4"/>
  <c r="J377" i="4"/>
  <c r="H378" i="4" a="1"/>
  <c r="H378" i="4"/>
  <c r="I378" i="4"/>
  <c r="J378" i="4"/>
  <c r="H379" i="4" a="1"/>
  <c r="H379" i="4"/>
  <c r="I379" i="4"/>
  <c r="J379" i="4"/>
  <c r="H380" i="4" a="1"/>
  <c r="H380" i="4"/>
  <c r="I380" i="4"/>
  <c r="J380" i="4"/>
  <c r="H381" i="4" a="1"/>
  <c r="H381" i="4"/>
  <c r="I381" i="4"/>
  <c r="J381" i="4"/>
  <c r="H382" i="4" a="1"/>
  <c r="H382" i="4"/>
  <c r="I382" i="4"/>
  <c r="J382" i="4"/>
  <c r="H383" i="4" a="1"/>
  <c r="H383" i="4"/>
  <c r="I383" i="4"/>
  <c r="J383" i="4"/>
  <c r="H384" i="4" a="1"/>
  <c r="H384" i="4"/>
  <c r="I384" i="4"/>
  <c r="J384" i="4"/>
  <c r="H385" i="4" a="1"/>
  <c r="H385" i="4"/>
  <c r="I385" i="4"/>
  <c r="J385" i="4"/>
  <c r="H386" i="4" a="1"/>
  <c r="H386" i="4"/>
  <c r="I386" i="4"/>
  <c r="J386" i="4"/>
  <c r="H387" i="4" a="1"/>
  <c r="H387" i="4"/>
  <c r="I387" i="4"/>
  <c r="J387" i="4"/>
  <c r="H388" i="4" a="1"/>
  <c r="H388" i="4"/>
  <c r="I388" i="4"/>
  <c r="J388" i="4"/>
  <c r="H389" i="4" a="1"/>
  <c r="H389" i="4"/>
  <c r="I389" i="4"/>
  <c r="J389" i="4"/>
  <c r="H390" i="4" a="1"/>
  <c r="H390" i="4"/>
  <c r="I390" i="4"/>
  <c r="J390" i="4"/>
  <c r="H391" i="4" a="1"/>
  <c r="H391" i="4"/>
  <c r="I391" i="4"/>
  <c r="J391" i="4"/>
  <c r="H392" i="4" a="1"/>
  <c r="H392" i="4"/>
  <c r="I392" i="4"/>
  <c r="J392" i="4"/>
  <c r="H393" i="4" a="1"/>
  <c r="H393" i="4"/>
  <c r="I393" i="4"/>
  <c r="J393" i="4"/>
  <c r="H394" i="4" a="1"/>
  <c r="H394" i="4"/>
  <c r="I394" i="4"/>
  <c r="J394" i="4"/>
  <c r="H395" i="4" a="1"/>
  <c r="H395" i="4"/>
  <c r="I395" i="4"/>
  <c r="J395" i="4"/>
  <c r="H396" i="4" a="1"/>
  <c r="H396" i="4"/>
  <c r="I396" i="4"/>
  <c r="J396" i="4"/>
  <c r="H397" i="4" a="1"/>
  <c r="H397" i="4"/>
  <c r="I397" i="4"/>
  <c r="J397" i="4"/>
  <c r="H398" i="4" a="1"/>
  <c r="H398" i="4"/>
  <c r="I398" i="4"/>
  <c r="J398" i="4"/>
  <c r="H399" i="4" a="1"/>
  <c r="H399" i="4"/>
  <c r="I399" i="4"/>
  <c r="J399" i="4"/>
  <c r="H400" i="4" a="1"/>
  <c r="H400" i="4"/>
  <c r="I400" i="4"/>
  <c r="J400" i="4"/>
  <c r="H401" i="4" a="1"/>
  <c r="H401" i="4"/>
  <c r="I401" i="4"/>
  <c r="J401" i="4"/>
  <c r="H402" i="4" a="1"/>
  <c r="H402" i="4"/>
  <c r="I402" i="4"/>
  <c r="J402" i="4"/>
  <c r="H403" i="4" a="1"/>
  <c r="H403" i="4"/>
  <c r="I403" i="4"/>
  <c r="J403" i="4"/>
  <c r="H404" i="4" a="1"/>
  <c r="H404" i="4"/>
  <c r="I404" i="4"/>
  <c r="J404" i="4"/>
  <c r="H405" i="4" a="1"/>
  <c r="H405" i="4"/>
  <c r="I405" i="4"/>
  <c r="J405" i="4"/>
  <c r="H406" i="4" a="1"/>
  <c r="H406" i="4"/>
  <c r="I406" i="4"/>
  <c r="J406" i="4"/>
  <c r="H407" i="4" a="1"/>
  <c r="H407" i="4"/>
  <c r="I407" i="4"/>
  <c r="J407" i="4"/>
  <c r="H408" i="4" a="1"/>
  <c r="H408" i="4"/>
  <c r="I408" i="4"/>
  <c r="J408" i="4"/>
  <c r="H409" i="4" a="1"/>
  <c r="H409" i="4"/>
  <c r="I409" i="4"/>
  <c r="J409" i="4"/>
  <c r="H410" i="4" a="1"/>
  <c r="H410" i="4"/>
  <c r="I410" i="4"/>
  <c r="J410" i="4"/>
  <c r="H411" i="4" a="1"/>
  <c r="H411" i="4"/>
  <c r="I411" i="4"/>
  <c r="J411" i="4"/>
  <c r="H412" i="4" a="1"/>
  <c r="H412" i="4"/>
  <c r="I412" i="4"/>
  <c r="J412" i="4"/>
  <c r="H413" i="4" a="1"/>
  <c r="H413" i="4"/>
  <c r="I413" i="4"/>
  <c r="J413" i="4"/>
  <c r="H414" i="4" a="1"/>
  <c r="H414" i="4"/>
  <c r="I414" i="4"/>
  <c r="J414" i="4"/>
  <c r="H415" i="4" a="1"/>
  <c r="H415" i="4"/>
  <c r="I415" i="4"/>
  <c r="J415" i="4"/>
  <c r="H416" i="4" a="1"/>
  <c r="H416" i="4"/>
  <c r="I416" i="4"/>
  <c r="J416" i="4"/>
  <c r="H417" i="4" a="1"/>
  <c r="H417" i="4"/>
  <c r="I417" i="4"/>
  <c r="J417" i="4"/>
  <c r="H418" i="4" a="1"/>
  <c r="H418" i="4"/>
  <c r="I418" i="4"/>
  <c r="J418" i="4"/>
  <c r="H419" i="4" a="1"/>
  <c r="H419" i="4"/>
  <c r="I419" i="4"/>
  <c r="J419" i="4"/>
  <c r="H420" i="4" a="1"/>
  <c r="H420" i="4"/>
  <c r="I420" i="4"/>
  <c r="J420" i="4"/>
  <c r="H421" i="4" a="1"/>
  <c r="H421" i="4"/>
  <c r="I421" i="4"/>
  <c r="J421" i="4"/>
  <c r="H422" i="4" a="1"/>
  <c r="H422" i="4"/>
  <c r="I422" i="4"/>
  <c r="J422" i="4"/>
  <c r="H423" i="4" a="1"/>
  <c r="H423" i="4"/>
  <c r="I423" i="4"/>
  <c r="J423" i="4"/>
  <c r="H424" i="4" a="1"/>
  <c r="H424" i="4"/>
  <c r="I424" i="4"/>
  <c r="J424" i="4"/>
  <c r="H425" i="4" a="1"/>
  <c r="H425" i="4"/>
  <c r="I425" i="4"/>
  <c r="J425" i="4"/>
  <c r="H426" i="4" a="1"/>
  <c r="H426" i="4"/>
  <c r="I426" i="4"/>
  <c r="J426" i="4"/>
  <c r="H427" i="4" a="1"/>
  <c r="H427" i="4"/>
  <c r="I427" i="4"/>
  <c r="J427" i="4"/>
  <c r="H428" i="4" a="1"/>
  <c r="H428" i="4"/>
  <c r="I428" i="4"/>
  <c r="J428" i="4"/>
  <c r="H429" i="4" a="1"/>
  <c r="H429" i="4"/>
  <c r="I429" i="4"/>
  <c r="J429" i="4"/>
  <c r="H430" i="4" a="1"/>
  <c r="H430" i="4"/>
  <c r="I430" i="4"/>
  <c r="J430" i="4"/>
  <c r="H431" i="4" a="1"/>
  <c r="H431" i="4"/>
  <c r="I431" i="4"/>
  <c r="J431" i="4"/>
  <c r="H432" i="4" a="1"/>
  <c r="H432" i="4"/>
  <c r="I432" i="4"/>
  <c r="J432" i="4"/>
  <c r="H433" i="4" a="1"/>
  <c r="H433" i="4"/>
  <c r="I433" i="4"/>
  <c r="J433" i="4"/>
  <c r="H434" i="4" a="1"/>
  <c r="H434" i="4"/>
  <c r="I434" i="4"/>
  <c r="J434" i="4"/>
  <c r="H435" i="4" a="1"/>
  <c r="H435" i="4"/>
  <c r="I435" i="4"/>
  <c r="J435" i="4"/>
  <c r="H436" i="4" a="1"/>
  <c r="H436" i="4"/>
  <c r="I436" i="4"/>
  <c r="J436" i="4"/>
  <c r="H437" i="4" a="1"/>
  <c r="H437" i="4"/>
  <c r="I437" i="4"/>
  <c r="J437" i="4"/>
  <c r="H438" i="4" a="1"/>
  <c r="H438" i="4"/>
  <c r="I438" i="4"/>
  <c r="J438" i="4"/>
  <c r="H439" i="4" a="1"/>
  <c r="H439" i="4"/>
  <c r="I439" i="4"/>
  <c r="J439" i="4"/>
  <c r="H440" i="4" a="1"/>
  <c r="H440" i="4"/>
  <c r="I440" i="4"/>
  <c r="J440" i="4"/>
  <c r="H441" i="4" a="1"/>
  <c r="H441" i="4"/>
  <c r="I441" i="4"/>
  <c r="J441" i="4"/>
  <c r="H442" i="4" a="1"/>
  <c r="H442" i="4"/>
  <c r="I442" i="4"/>
  <c r="J442" i="4"/>
  <c r="H443" i="4" a="1"/>
  <c r="H443" i="4"/>
  <c r="I443" i="4"/>
  <c r="J443" i="4"/>
  <c r="H444" i="4" a="1"/>
  <c r="H444" i="4"/>
  <c r="I444" i="4"/>
  <c r="J444" i="4"/>
  <c r="H445" i="4" a="1"/>
  <c r="H445" i="4"/>
  <c r="I445" i="4"/>
  <c r="J445" i="4"/>
  <c r="H446" i="4" a="1"/>
  <c r="H446" i="4"/>
  <c r="I446" i="4"/>
  <c r="J446" i="4"/>
  <c r="H447" i="4" a="1"/>
  <c r="H447" i="4"/>
  <c r="I447" i="4"/>
  <c r="J447" i="4"/>
  <c r="H448" i="4" a="1"/>
  <c r="H448" i="4"/>
  <c r="I448" i="4"/>
  <c r="J448" i="4"/>
  <c r="H449" i="4" a="1"/>
  <c r="H449" i="4"/>
  <c r="I449" i="4"/>
  <c r="J449" i="4"/>
  <c r="H450" i="4" a="1"/>
  <c r="H450" i="4"/>
  <c r="I450" i="4"/>
  <c r="J450" i="4"/>
  <c r="H451" i="4" a="1"/>
  <c r="H451" i="4"/>
  <c r="I451" i="4"/>
  <c r="J451" i="4"/>
  <c r="H452" i="4" a="1"/>
  <c r="H452" i="4"/>
  <c r="I452" i="4"/>
  <c r="J452" i="4"/>
  <c r="H453" i="4" a="1"/>
  <c r="H453" i="4"/>
  <c r="I453" i="4"/>
  <c r="J453" i="4"/>
  <c r="H454" i="4" a="1"/>
  <c r="H454" i="4"/>
  <c r="I454" i="4"/>
  <c r="J454" i="4"/>
  <c r="H455" i="4" a="1"/>
  <c r="H455" i="4"/>
  <c r="I455" i="4"/>
  <c r="J455" i="4"/>
  <c r="H456" i="4" a="1"/>
  <c r="H456" i="4"/>
  <c r="I456" i="4"/>
  <c r="J456" i="4"/>
  <c r="H457" i="4" a="1"/>
  <c r="H457" i="4"/>
  <c r="I457" i="4"/>
  <c r="J457" i="4"/>
  <c r="H458" i="4" a="1"/>
  <c r="H458" i="4"/>
  <c r="I458" i="4"/>
  <c r="J458" i="4"/>
  <c r="H459" i="4" a="1"/>
  <c r="H459" i="4"/>
  <c r="I459" i="4"/>
  <c r="J459" i="4"/>
  <c r="H460" i="4" a="1"/>
  <c r="H460" i="4"/>
  <c r="I460" i="4"/>
  <c r="J460" i="4"/>
  <c r="H461" i="4" a="1"/>
  <c r="H461" i="4"/>
  <c r="I461" i="4"/>
  <c r="J461" i="4"/>
  <c r="H462" i="4" a="1"/>
  <c r="H462" i="4"/>
  <c r="I462" i="4"/>
  <c r="J462" i="4"/>
  <c r="H463" i="4" a="1"/>
  <c r="H463" i="4"/>
  <c r="I463" i="4"/>
  <c r="J463" i="4"/>
  <c r="H464" i="4" a="1"/>
  <c r="H464" i="4"/>
  <c r="I464" i="4"/>
  <c r="J464" i="4"/>
  <c r="H465" i="4" a="1"/>
  <c r="H465" i="4"/>
  <c r="I465" i="4"/>
  <c r="J465" i="4"/>
  <c r="H466" i="4" a="1"/>
  <c r="H466" i="4"/>
  <c r="I466" i="4"/>
  <c r="J466" i="4"/>
  <c r="H467" i="4" a="1"/>
  <c r="H467" i="4"/>
  <c r="I467" i="4"/>
  <c r="J467" i="4"/>
  <c r="H468" i="4" a="1"/>
  <c r="H468" i="4"/>
  <c r="I468" i="4"/>
  <c r="J468" i="4"/>
  <c r="H469" i="4" a="1"/>
  <c r="H469" i="4"/>
  <c r="I469" i="4"/>
  <c r="J469" i="4"/>
  <c r="H470" i="4" a="1"/>
  <c r="H470" i="4"/>
  <c r="I470" i="4"/>
  <c r="J470" i="4"/>
  <c r="H471" i="4" a="1"/>
  <c r="H471" i="4"/>
  <c r="I471" i="4"/>
  <c r="J471" i="4"/>
  <c r="H472" i="4" a="1"/>
  <c r="H472" i="4"/>
  <c r="I472" i="4"/>
  <c r="J472" i="4"/>
  <c r="H473" i="4" a="1"/>
  <c r="H473" i="4"/>
  <c r="I473" i="4"/>
  <c r="J473" i="4"/>
  <c r="H474" i="4" a="1"/>
  <c r="H474" i="4"/>
  <c r="I474" i="4"/>
  <c r="J474" i="4"/>
  <c r="H475" i="4" a="1"/>
  <c r="H475" i="4"/>
  <c r="I475" i="4"/>
  <c r="J475" i="4"/>
  <c r="H476" i="4" a="1"/>
  <c r="H476" i="4"/>
  <c r="I476" i="4"/>
  <c r="J476" i="4"/>
  <c r="H477" i="4" a="1"/>
  <c r="H477" i="4"/>
  <c r="I477" i="4"/>
  <c r="J477" i="4"/>
  <c r="H478" i="4" a="1"/>
  <c r="H478" i="4"/>
  <c r="I478" i="4"/>
  <c r="J478" i="4"/>
  <c r="H479" i="4" a="1"/>
  <c r="H479" i="4"/>
  <c r="I479" i="4"/>
  <c r="J479" i="4"/>
  <c r="H480" i="4" a="1"/>
  <c r="H480" i="4"/>
  <c r="I480" i="4"/>
  <c r="J480" i="4"/>
  <c r="H481" i="4" a="1"/>
  <c r="H481" i="4"/>
  <c r="I481" i="4"/>
  <c r="J481" i="4"/>
  <c r="H482" i="4" a="1"/>
  <c r="H482" i="4"/>
  <c r="I482" i="4"/>
  <c r="J482" i="4"/>
  <c r="H483" i="4" a="1"/>
  <c r="H483" i="4"/>
  <c r="I483" i="4"/>
  <c r="J483" i="4"/>
  <c r="H484" i="4" a="1"/>
  <c r="H484" i="4"/>
  <c r="I484" i="4"/>
  <c r="J484" i="4"/>
  <c r="H485" i="4" a="1"/>
  <c r="H485" i="4"/>
  <c r="I485" i="4"/>
  <c r="J485" i="4"/>
  <c r="H486" i="4" a="1"/>
  <c r="H486" i="4"/>
  <c r="I486" i="4"/>
  <c r="J486" i="4"/>
  <c r="H487" i="4" a="1"/>
  <c r="H487" i="4"/>
  <c r="I487" i="4"/>
  <c r="J487" i="4"/>
  <c r="H488" i="4" a="1"/>
  <c r="H488" i="4"/>
  <c r="I488" i="4"/>
  <c r="J488" i="4"/>
  <c r="H489" i="4" a="1"/>
  <c r="H489" i="4"/>
  <c r="I489" i="4"/>
  <c r="J489" i="4"/>
  <c r="H490" i="4" a="1"/>
  <c r="H490" i="4"/>
  <c r="I490" i="4"/>
  <c r="J490" i="4"/>
  <c r="H491" i="4" a="1"/>
  <c r="H491" i="4"/>
  <c r="I491" i="4"/>
  <c r="J491" i="4"/>
  <c r="H492" i="4" a="1"/>
  <c r="H492" i="4"/>
  <c r="I492" i="4"/>
  <c r="J492" i="4"/>
  <c r="H493" i="4" a="1"/>
  <c r="H493" i="4"/>
  <c r="I493" i="4"/>
  <c r="J493" i="4"/>
  <c r="H494" i="4" a="1"/>
  <c r="H494" i="4"/>
  <c r="I494" i="4"/>
  <c r="J494" i="4"/>
  <c r="H495" i="4" a="1"/>
  <c r="H495" i="4"/>
  <c r="I495" i="4"/>
  <c r="J495" i="4"/>
  <c r="H496" i="4" a="1"/>
  <c r="H496" i="4"/>
  <c r="I496" i="4"/>
  <c r="J496" i="4"/>
  <c r="H497" i="4" a="1"/>
  <c r="H497" i="4"/>
  <c r="I497" i="4"/>
  <c r="J497" i="4"/>
  <c r="H498" i="4" a="1"/>
  <c r="H498" i="4"/>
  <c r="I498" i="4"/>
  <c r="J498" i="4"/>
  <c r="H499" i="4" a="1"/>
  <c r="H499" i="4"/>
  <c r="I499" i="4"/>
  <c r="J499" i="4"/>
  <c r="H500" i="4" a="1"/>
  <c r="H500" i="4"/>
  <c r="I500" i="4"/>
  <c r="J500" i="4"/>
  <c r="H501" i="4" a="1"/>
  <c r="H501" i="4"/>
  <c r="I501" i="4"/>
  <c r="J501" i="4"/>
  <c r="H502" i="4" a="1"/>
  <c r="H502" i="4"/>
  <c r="I502" i="4"/>
  <c r="J502" i="4"/>
  <c r="H503" i="4" a="1"/>
  <c r="H503" i="4"/>
  <c r="I503" i="4"/>
  <c r="J503" i="4"/>
  <c r="H504" i="4" a="1"/>
  <c r="H504" i="4"/>
  <c r="I504" i="4"/>
  <c r="J504" i="4"/>
  <c r="H505" i="4" a="1"/>
  <c r="H505" i="4"/>
  <c r="I505" i="4"/>
  <c r="J505" i="4"/>
  <c r="H506" i="4" a="1"/>
  <c r="H506" i="4"/>
  <c r="I506" i="4"/>
  <c r="J506" i="4"/>
  <c r="N4" i="4" a="1"/>
  <c r="N4" i="4"/>
  <c r="O4" i="4"/>
  <c r="P4" i="4"/>
  <c r="N5" i="4" a="1"/>
  <c r="N5" i="4"/>
  <c r="O5" i="4"/>
  <c r="P5" i="4"/>
  <c r="N6" i="4" a="1"/>
  <c r="N6" i="4"/>
  <c r="O6" i="4"/>
  <c r="P6" i="4"/>
  <c r="N7" i="4" a="1"/>
  <c r="N7" i="4"/>
  <c r="O7" i="4"/>
  <c r="P7" i="4"/>
  <c r="N8" i="4" a="1"/>
  <c r="N8" i="4"/>
  <c r="O8" i="4"/>
  <c r="P8" i="4"/>
  <c r="N9" i="4" a="1"/>
  <c r="N9" i="4"/>
  <c r="O9" i="4"/>
  <c r="P9" i="4"/>
  <c r="N10" i="4" a="1"/>
  <c r="N10" i="4"/>
  <c r="O10" i="4"/>
  <c r="P10" i="4"/>
  <c r="N11" i="4" a="1"/>
  <c r="N11" i="4"/>
  <c r="O11" i="4"/>
  <c r="P11" i="4"/>
  <c r="N12" i="4" a="1"/>
  <c r="N12" i="4"/>
  <c r="O12" i="4"/>
  <c r="P12" i="4"/>
  <c r="N13" i="4" a="1"/>
  <c r="N13" i="4"/>
  <c r="O13" i="4"/>
  <c r="P13" i="4"/>
  <c r="N14" i="4" a="1"/>
  <c r="N14" i="4"/>
  <c r="O14" i="4"/>
  <c r="P14" i="4"/>
  <c r="N15" i="4" a="1"/>
  <c r="N15" i="4"/>
  <c r="O15" i="4"/>
  <c r="P15" i="4"/>
  <c r="N16" i="4" a="1"/>
  <c r="N16" i="4"/>
  <c r="O16" i="4"/>
  <c r="P16" i="4"/>
  <c r="N17" i="4" a="1"/>
  <c r="N17" i="4"/>
  <c r="O17" i="4"/>
  <c r="P17" i="4"/>
  <c r="N18" i="4" a="1"/>
  <c r="N18" i="4"/>
  <c r="O18" i="4"/>
  <c r="P18" i="4"/>
  <c r="N19" i="4" a="1"/>
  <c r="N19" i="4"/>
  <c r="O19" i="4"/>
  <c r="P19" i="4"/>
  <c r="N20" i="4" a="1"/>
  <c r="N20" i="4"/>
  <c r="O20" i="4"/>
  <c r="P20" i="4"/>
  <c r="N21" i="4" a="1"/>
  <c r="N21" i="4"/>
  <c r="O21" i="4"/>
  <c r="P21" i="4"/>
  <c r="N22" i="4" a="1"/>
  <c r="N22" i="4"/>
  <c r="O22" i="4"/>
  <c r="P22" i="4"/>
  <c r="N23" i="4" a="1"/>
  <c r="N23" i="4"/>
  <c r="O23" i="4"/>
  <c r="P23" i="4"/>
  <c r="N24" i="4" a="1"/>
  <c r="N24" i="4"/>
  <c r="O24" i="4"/>
  <c r="P24" i="4"/>
  <c r="N25" i="4" a="1"/>
  <c r="N25" i="4"/>
  <c r="O25" i="4"/>
  <c r="P25" i="4"/>
  <c r="N26" i="4" a="1"/>
  <c r="N26" i="4"/>
  <c r="O26" i="4"/>
  <c r="P26" i="4"/>
  <c r="N27" i="4" a="1"/>
  <c r="N27" i="4"/>
  <c r="O27" i="4"/>
  <c r="P27" i="4"/>
  <c r="N28" i="4" a="1"/>
  <c r="N28" i="4"/>
  <c r="O28" i="4"/>
  <c r="P28" i="4"/>
  <c r="N29" i="4" a="1"/>
  <c r="N29" i="4"/>
  <c r="O29" i="4"/>
  <c r="P29" i="4"/>
  <c r="N30" i="4" a="1"/>
  <c r="N30" i="4"/>
  <c r="O30" i="4"/>
  <c r="P30" i="4"/>
  <c r="N31" i="4" a="1"/>
  <c r="N31" i="4"/>
  <c r="O31" i="4"/>
  <c r="P31" i="4"/>
  <c r="N32" i="4" a="1"/>
  <c r="N32" i="4"/>
  <c r="O32" i="4"/>
  <c r="P32" i="4"/>
  <c r="N33" i="4" a="1"/>
  <c r="N33" i="4"/>
  <c r="O33" i="4"/>
  <c r="P33" i="4"/>
  <c r="N34" i="4" a="1"/>
  <c r="N34" i="4"/>
  <c r="O34" i="4"/>
  <c r="P34" i="4"/>
  <c r="N35" i="4" a="1"/>
  <c r="N35" i="4"/>
  <c r="O35" i="4"/>
  <c r="P35" i="4"/>
  <c r="N36" i="4" a="1"/>
  <c r="N36" i="4"/>
  <c r="O36" i="4"/>
  <c r="P36" i="4"/>
  <c r="N37" i="4" a="1"/>
  <c r="N37" i="4"/>
  <c r="O37" i="4"/>
  <c r="P37" i="4"/>
  <c r="N38" i="4" a="1"/>
  <c r="N38" i="4"/>
  <c r="O38" i="4"/>
  <c r="P38" i="4"/>
  <c r="N39" i="4" a="1"/>
  <c r="N39" i="4"/>
  <c r="O39" i="4"/>
  <c r="P39" i="4"/>
  <c r="N40" i="4" a="1"/>
  <c r="N40" i="4"/>
  <c r="O40" i="4"/>
  <c r="P40" i="4"/>
  <c r="N41" i="4" a="1"/>
  <c r="N41" i="4"/>
  <c r="O41" i="4"/>
  <c r="P41" i="4"/>
  <c r="N42" i="4" a="1"/>
  <c r="N42" i="4"/>
  <c r="O42" i="4"/>
  <c r="P42" i="4"/>
  <c r="N43" i="4" a="1"/>
  <c r="N43" i="4"/>
  <c r="O43" i="4"/>
  <c r="P43" i="4"/>
  <c r="N44" i="4" a="1"/>
  <c r="N44" i="4"/>
  <c r="O44" i="4"/>
  <c r="P44" i="4"/>
  <c r="N45" i="4" a="1"/>
  <c r="N45" i="4"/>
  <c r="O45" i="4"/>
  <c r="P45" i="4"/>
  <c r="N46" i="4" a="1"/>
  <c r="N46" i="4"/>
  <c r="O46" i="4"/>
  <c r="P46" i="4"/>
  <c r="N47" i="4" a="1"/>
  <c r="N47" i="4"/>
  <c r="O47" i="4"/>
  <c r="P47" i="4"/>
  <c r="N48" i="4" a="1"/>
  <c r="N48" i="4"/>
  <c r="O48" i="4"/>
  <c r="P48" i="4"/>
  <c r="N49" i="4" a="1"/>
  <c r="N49" i="4"/>
  <c r="O49" i="4"/>
  <c r="P49" i="4"/>
  <c r="N50" i="4" a="1"/>
  <c r="N50" i="4"/>
  <c r="O50" i="4"/>
  <c r="P50" i="4"/>
  <c r="N51" i="4" a="1"/>
  <c r="N51" i="4"/>
  <c r="O51" i="4"/>
  <c r="P51" i="4"/>
  <c r="N52" i="4" a="1"/>
  <c r="N52" i="4"/>
  <c r="O52" i="4"/>
  <c r="P52" i="4"/>
  <c r="N53" i="4" a="1"/>
  <c r="N53" i="4"/>
  <c r="O53" i="4"/>
  <c r="P53" i="4"/>
  <c r="N54" i="4" a="1"/>
  <c r="N54" i="4"/>
  <c r="O54" i="4"/>
  <c r="P54" i="4"/>
  <c r="N55" i="4" a="1"/>
  <c r="N55" i="4"/>
  <c r="O55" i="4"/>
  <c r="P55" i="4"/>
  <c r="N56" i="4" a="1"/>
  <c r="N56" i="4"/>
  <c r="O56" i="4"/>
  <c r="P56" i="4"/>
  <c r="N57" i="4" a="1"/>
  <c r="N57" i="4"/>
  <c r="O57" i="4"/>
  <c r="P57" i="4"/>
  <c r="N58" i="4" a="1"/>
  <c r="N58" i="4"/>
  <c r="O58" i="4"/>
  <c r="P58" i="4"/>
  <c r="N59" i="4" a="1"/>
  <c r="N59" i="4"/>
  <c r="O59" i="4"/>
  <c r="P59" i="4"/>
  <c r="N60" i="4" a="1"/>
  <c r="N60" i="4"/>
  <c r="O60" i="4"/>
  <c r="P60" i="4"/>
  <c r="N61" i="4" a="1"/>
  <c r="N61" i="4"/>
  <c r="O61" i="4"/>
  <c r="P61" i="4"/>
  <c r="N62" i="4" a="1"/>
  <c r="N62" i="4"/>
  <c r="O62" i="4"/>
  <c r="P62" i="4"/>
  <c r="N63" i="4" a="1"/>
  <c r="N63" i="4"/>
  <c r="O63" i="4"/>
  <c r="P63" i="4"/>
  <c r="N64" i="4" a="1"/>
  <c r="N64" i="4"/>
  <c r="O64" i="4"/>
  <c r="P64" i="4"/>
  <c r="N65" i="4" a="1"/>
  <c r="N65" i="4"/>
  <c r="O65" i="4"/>
  <c r="P65" i="4"/>
  <c r="N66" i="4" a="1"/>
  <c r="N66" i="4"/>
  <c r="O66" i="4"/>
  <c r="P66" i="4"/>
  <c r="N67" i="4" a="1"/>
  <c r="N67" i="4"/>
  <c r="O67" i="4"/>
  <c r="P67" i="4"/>
  <c r="N68" i="4" a="1"/>
  <c r="N68" i="4"/>
  <c r="O68" i="4"/>
  <c r="P68" i="4"/>
  <c r="N69" i="4" a="1"/>
  <c r="N69" i="4"/>
  <c r="O69" i="4"/>
  <c r="P69" i="4"/>
  <c r="N70" i="4" a="1"/>
  <c r="N70" i="4"/>
  <c r="O70" i="4"/>
  <c r="P70" i="4"/>
  <c r="N71" i="4" a="1"/>
  <c r="N71" i="4"/>
  <c r="O71" i="4"/>
  <c r="P71" i="4"/>
  <c r="N72" i="4" a="1"/>
  <c r="N72" i="4"/>
  <c r="O72" i="4"/>
  <c r="P72" i="4"/>
  <c r="N73" i="4" a="1"/>
  <c r="N73" i="4"/>
  <c r="O73" i="4"/>
  <c r="P73" i="4"/>
  <c r="N74" i="4" a="1"/>
  <c r="N74" i="4"/>
  <c r="O74" i="4"/>
  <c r="P74" i="4"/>
  <c r="N75" i="4" a="1"/>
  <c r="N75" i="4"/>
  <c r="O75" i="4"/>
  <c r="P75" i="4"/>
  <c r="N76" i="4" a="1"/>
  <c r="N76" i="4"/>
  <c r="O76" i="4"/>
  <c r="P76" i="4"/>
  <c r="N77" i="4" a="1"/>
  <c r="N77" i="4"/>
  <c r="O77" i="4"/>
  <c r="P77" i="4"/>
  <c r="N78" i="4" a="1"/>
  <c r="N78" i="4"/>
  <c r="O78" i="4"/>
  <c r="P78" i="4"/>
  <c r="N79" i="4" a="1"/>
  <c r="N79" i="4"/>
  <c r="O79" i="4"/>
  <c r="P79" i="4"/>
  <c r="N80" i="4" a="1"/>
  <c r="N80" i="4"/>
  <c r="O80" i="4"/>
  <c r="P80" i="4"/>
  <c r="N81" i="4" a="1"/>
  <c r="N81" i="4"/>
  <c r="O81" i="4"/>
  <c r="P81" i="4"/>
  <c r="N82" i="4" a="1"/>
  <c r="N82" i="4"/>
  <c r="O82" i="4"/>
  <c r="P82" i="4"/>
  <c r="N83" i="4" a="1"/>
  <c r="N83" i="4"/>
  <c r="O83" i="4"/>
  <c r="P83" i="4"/>
  <c r="N84" i="4" a="1"/>
  <c r="N84" i="4"/>
  <c r="O84" i="4"/>
  <c r="P84" i="4"/>
  <c r="N85" i="4" a="1"/>
  <c r="N85" i="4"/>
  <c r="O85" i="4"/>
  <c r="P85" i="4"/>
  <c r="N86" i="4" a="1"/>
  <c r="N86" i="4"/>
  <c r="O86" i="4"/>
  <c r="P86" i="4"/>
  <c r="N87" i="4" a="1"/>
  <c r="N87" i="4"/>
  <c r="O87" i="4"/>
  <c r="P87" i="4"/>
  <c r="N88" i="4" a="1"/>
  <c r="N88" i="4"/>
  <c r="O88" i="4"/>
  <c r="P88" i="4"/>
  <c r="N89" i="4" a="1"/>
  <c r="N89" i="4"/>
  <c r="O89" i="4"/>
  <c r="P89" i="4"/>
  <c r="N90" i="4" a="1"/>
  <c r="N90" i="4"/>
  <c r="O90" i="4"/>
  <c r="P90" i="4"/>
  <c r="N91" i="4" a="1"/>
  <c r="N91" i="4"/>
  <c r="O91" i="4"/>
  <c r="P91" i="4"/>
  <c r="N92" i="4" a="1"/>
  <c r="N92" i="4"/>
  <c r="O92" i="4"/>
  <c r="P92" i="4"/>
  <c r="N93" i="4" a="1"/>
  <c r="N93" i="4"/>
  <c r="O93" i="4"/>
  <c r="P93" i="4"/>
  <c r="N94" i="4" a="1"/>
  <c r="N94" i="4"/>
  <c r="O94" i="4"/>
  <c r="P94" i="4"/>
  <c r="N95" i="4" a="1"/>
  <c r="N95" i="4"/>
  <c r="O95" i="4"/>
  <c r="P95" i="4"/>
  <c r="N96" i="4" a="1"/>
  <c r="N96" i="4"/>
  <c r="O96" i="4"/>
  <c r="P96" i="4"/>
  <c r="N97" i="4" a="1"/>
  <c r="N97" i="4"/>
  <c r="O97" i="4"/>
  <c r="P97" i="4"/>
  <c r="N98" i="4" a="1"/>
  <c r="N98" i="4"/>
  <c r="O98" i="4"/>
  <c r="P98" i="4"/>
  <c r="N99" i="4" a="1"/>
  <c r="N99" i="4"/>
  <c r="O99" i="4"/>
  <c r="P99" i="4"/>
  <c r="N100" i="4" a="1"/>
  <c r="N100" i="4"/>
  <c r="O100" i="4"/>
  <c r="P100" i="4"/>
  <c r="N101" i="4" a="1"/>
  <c r="N101" i="4"/>
  <c r="O101" i="4"/>
  <c r="P101" i="4"/>
  <c r="N102" i="4" a="1"/>
  <c r="N102" i="4"/>
  <c r="O102" i="4"/>
  <c r="P102" i="4"/>
  <c r="N103" i="4" a="1"/>
  <c r="N103" i="4"/>
  <c r="O103" i="4"/>
  <c r="P103" i="4"/>
  <c r="N104" i="4" a="1"/>
  <c r="N104" i="4"/>
  <c r="O104" i="4"/>
  <c r="P104" i="4"/>
  <c r="N105" i="4" a="1"/>
  <c r="N105" i="4"/>
  <c r="O105" i="4"/>
  <c r="P105" i="4"/>
  <c r="N106" i="4" a="1"/>
  <c r="N106" i="4"/>
  <c r="O106" i="4"/>
  <c r="P106" i="4"/>
  <c r="N107" i="4" a="1"/>
  <c r="N107" i="4"/>
  <c r="O107" i="4"/>
  <c r="P107" i="4"/>
  <c r="N108" i="4" a="1"/>
  <c r="N108" i="4"/>
  <c r="O108" i="4"/>
  <c r="P108" i="4"/>
  <c r="N109" i="4" a="1"/>
  <c r="N109" i="4"/>
  <c r="O109" i="4"/>
  <c r="P109" i="4"/>
  <c r="N110" i="4" a="1"/>
  <c r="N110" i="4"/>
  <c r="O110" i="4"/>
  <c r="P110" i="4"/>
  <c r="N111" i="4" a="1"/>
  <c r="N111" i="4"/>
  <c r="O111" i="4"/>
  <c r="P111" i="4"/>
  <c r="N112" i="4" a="1"/>
  <c r="N112" i="4"/>
  <c r="O112" i="4"/>
  <c r="P112" i="4"/>
  <c r="N113" i="4" a="1"/>
  <c r="N113" i="4"/>
  <c r="O113" i="4"/>
  <c r="P113" i="4"/>
  <c r="N114" i="4" a="1"/>
  <c r="N114" i="4"/>
  <c r="O114" i="4"/>
  <c r="P114" i="4"/>
  <c r="N115" i="4" a="1"/>
  <c r="N115" i="4"/>
  <c r="O115" i="4"/>
  <c r="P115" i="4"/>
  <c r="N116" i="4" a="1"/>
  <c r="N116" i="4"/>
  <c r="O116" i="4"/>
  <c r="P116" i="4"/>
  <c r="N117" i="4" a="1"/>
  <c r="N117" i="4"/>
  <c r="O117" i="4"/>
  <c r="P117" i="4"/>
  <c r="N118" i="4" a="1"/>
  <c r="N118" i="4"/>
  <c r="O118" i="4"/>
  <c r="P118" i="4"/>
  <c r="N119" i="4" a="1"/>
  <c r="N119" i="4"/>
  <c r="O119" i="4"/>
  <c r="P119" i="4"/>
  <c r="N120" i="4" a="1"/>
  <c r="N120" i="4"/>
  <c r="O120" i="4"/>
  <c r="P120" i="4"/>
  <c r="N121" i="4" a="1"/>
  <c r="N121" i="4"/>
  <c r="O121" i="4"/>
  <c r="P121" i="4"/>
  <c r="N122" i="4" a="1"/>
  <c r="N122" i="4"/>
  <c r="O122" i="4"/>
  <c r="P122" i="4"/>
  <c r="N123" i="4" a="1"/>
  <c r="N123" i="4"/>
  <c r="O123" i="4"/>
  <c r="P123" i="4"/>
  <c r="N124" i="4" a="1"/>
  <c r="N124" i="4"/>
  <c r="O124" i="4"/>
  <c r="P124" i="4"/>
  <c r="N125" i="4" a="1"/>
  <c r="N125" i="4"/>
  <c r="O125" i="4"/>
  <c r="P125" i="4"/>
  <c r="N126" i="4" a="1"/>
  <c r="N126" i="4"/>
  <c r="O126" i="4"/>
  <c r="P126" i="4"/>
  <c r="N127" i="4" a="1"/>
  <c r="N127" i="4"/>
  <c r="O127" i="4"/>
  <c r="P127" i="4"/>
  <c r="N128" i="4" a="1"/>
  <c r="N128" i="4"/>
  <c r="O128" i="4"/>
  <c r="P128" i="4"/>
  <c r="N129" i="4" a="1"/>
  <c r="N129" i="4"/>
  <c r="O129" i="4"/>
  <c r="P129" i="4"/>
  <c r="N130" i="4" a="1"/>
  <c r="N130" i="4"/>
  <c r="O130" i="4"/>
  <c r="P130" i="4"/>
  <c r="N131" i="4" a="1"/>
  <c r="N131" i="4"/>
  <c r="O131" i="4"/>
  <c r="P131" i="4"/>
  <c r="N132" i="4" a="1"/>
  <c r="N132" i="4"/>
  <c r="O132" i="4"/>
  <c r="P132" i="4"/>
  <c r="N133" i="4" a="1"/>
  <c r="N133" i="4"/>
  <c r="O133" i="4"/>
  <c r="P133" i="4"/>
  <c r="N134" i="4" a="1"/>
  <c r="N134" i="4"/>
  <c r="O134" i="4"/>
  <c r="P134" i="4"/>
  <c r="N135" i="4" a="1"/>
  <c r="N135" i="4"/>
  <c r="O135" i="4"/>
  <c r="P135" i="4"/>
  <c r="N136" i="4" a="1"/>
  <c r="N136" i="4"/>
  <c r="O136" i="4"/>
  <c r="P136" i="4"/>
  <c r="N137" i="4" a="1"/>
  <c r="N137" i="4"/>
  <c r="O137" i="4"/>
  <c r="P137" i="4"/>
  <c r="N138" i="4" a="1"/>
  <c r="N138" i="4"/>
  <c r="O138" i="4"/>
  <c r="P138" i="4"/>
  <c r="N139" i="4" a="1"/>
  <c r="N139" i="4"/>
  <c r="O139" i="4"/>
  <c r="P139" i="4"/>
  <c r="N140" i="4" a="1"/>
  <c r="N140" i="4"/>
  <c r="O140" i="4"/>
  <c r="P140" i="4"/>
  <c r="N141" i="4" a="1"/>
  <c r="N141" i="4"/>
  <c r="O141" i="4"/>
  <c r="P141" i="4"/>
  <c r="N142" i="4" a="1"/>
  <c r="N142" i="4"/>
  <c r="O142" i="4"/>
  <c r="P142" i="4"/>
  <c r="N143" i="4" a="1"/>
  <c r="N143" i="4"/>
  <c r="O143" i="4"/>
  <c r="P143" i="4"/>
  <c r="N144" i="4" a="1"/>
  <c r="N144" i="4"/>
  <c r="O144" i="4"/>
  <c r="P144" i="4"/>
  <c r="N145" i="4" a="1"/>
  <c r="N145" i="4"/>
  <c r="O145" i="4"/>
  <c r="P145" i="4"/>
  <c r="N146" i="4" a="1"/>
  <c r="N146" i="4"/>
  <c r="O146" i="4"/>
  <c r="P146" i="4"/>
  <c r="N147" i="4" a="1"/>
  <c r="N147" i="4"/>
  <c r="O147" i="4"/>
  <c r="P147" i="4"/>
  <c r="N148" i="4" a="1"/>
  <c r="N148" i="4"/>
  <c r="O148" i="4"/>
  <c r="P148" i="4"/>
  <c r="N149" i="4" a="1"/>
  <c r="N149" i="4"/>
  <c r="O149" i="4"/>
  <c r="P149" i="4"/>
  <c r="N150" i="4" a="1"/>
  <c r="N150" i="4"/>
  <c r="O150" i="4"/>
  <c r="P150" i="4"/>
  <c r="N151" i="4" a="1"/>
  <c r="N151" i="4"/>
  <c r="O151" i="4"/>
  <c r="P151" i="4"/>
  <c r="N152" i="4" a="1"/>
  <c r="N152" i="4"/>
  <c r="O152" i="4"/>
  <c r="P152" i="4"/>
  <c r="N153" i="4" a="1"/>
  <c r="N153" i="4"/>
  <c r="O153" i="4"/>
  <c r="P153" i="4"/>
  <c r="N154" i="4" a="1"/>
  <c r="N154" i="4"/>
  <c r="O154" i="4"/>
  <c r="P154" i="4"/>
  <c r="N155" i="4" a="1"/>
  <c r="N155" i="4"/>
  <c r="O155" i="4"/>
  <c r="P155" i="4"/>
  <c r="N156" i="4" a="1"/>
  <c r="N156" i="4"/>
  <c r="O156" i="4"/>
  <c r="P156" i="4"/>
  <c r="N157" i="4" a="1"/>
  <c r="N157" i="4"/>
  <c r="O157" i="4"/>
  <c r="P157" i="4"/>
  <c r="N158" i="4" a="1"/>
  <c r="N158" i="4"/>
  <c r="O158" i="4"/>
  <c r="P158" i="4"/>
  <c r="N159" i="4" a="1"/>
  <c r="N159" i="4"/>
  <c r="O159" i="4"/>
  <c r="P159" i="4"/>
  <c r="N160" i="4" a="1"/>
  <c r="N160" i="4"/>
  <c r="O160" i="4"/>
  <c r="P160" i="4"/>
  <c r="N161" i="4" a="1"/>
  <c r="N161" i="4"/>
  <c r="O161" i="4"/>
  <c r="P161" i="4"/>
  <c r="N162" i="4" a="1"/>
  <c r="N162" i="4"/>
  <c r="O162" i="4"/>
  <c r="P162" i="4"/>
  <c r="N163" i="4" a="1"/>
  <c r="N163" i="4"/>
  <c r="O163" i="4"/>
  <c r="P163" i="4"/>
  <c r="N164" i="4" a="1"/>
  <c r="N164" i="4"/>
  <c r="O164" i="4"/>
  <c r="P164" i="4"/>
  <c r="N165" i="4" a="1"/>
  <c r="N165" i="4"/>
  <c r="O165" i="4"/>
  <c r="P165" i="4"/>
  <c r="N166" i="4" a="1"/>
  <c r="N166" i="4"/>
  <c r="O166" i="4"/>
  <c r="P166" i="4"/>
  <c r="N167" i="4" a="1"/>
  <c r="N167" i="4"/>
  <c r="O167" i="4"/>
  <c r="P167" i="4"/>
  <c r="N168" i="4" a="1"/>
  <c r="N168" i="4"/>
  <c r="O168" i="4"/>
  <c r="P168" i="4"/>
  <c r="N169" i="4" a="1"/>
  <c r="N169" i="4"/>
  <c r="O169" i="4"/>
  <c r="P169" i="4"/>
  <c r="N170" i="4" a="1"/>
  <c r="N170" i="4"/>
  <c r="O170" i="4"/>
  <c r="P170" i="4"/>
  <c r="N171" i="4" a="1"/>
  <c r="N171" i="4"/>
  <c r="O171" i="4"/>
  <c r="P171" i="4"/>
  <c r="N172" i="4" a="1"/>
  <c r="N172" i="4"/>
  <c r="O172" i="4"/>
  <c r="P172" i="4"/>
  <c r="N173" i="4" a="1"/>
  <c r="N173" i="4"/>
  <c r="O173" i="4"/>
  <c r="P173" i="4"/>
  <c r="N174" i="4" a="1"/>
  <c r="N174" i="4"/>
  <c r="O174" i="4"/>
  <c r="P174" i="4"/>
  <c r="N175" i="4" a="1"/>
  <c r="N175" i="4"/>
  <c r="O175" i="4"/>
  <c r="P175" i="4"/>
  <c r="N176" i="4" a="1"/>
  <c r="N176" i="4"/>
  <c r="O176" i="4"/>
  <c r="P176" i="4"/>
  <c r="N177" i="4" a="1"/>
  <c r="N177" i="4"/>
  <c r="O177" i="4"/>
  <c r="P177" i="4"/>
  <c r="N178" i="4" a="1"/>
  <c r="N178" i="4"/>
  <c r="O178" i="4"/>
  <c r="P178" i="4"/>
  <c r="N179" i="4" a="1"/>
  <c r="N179" i="4"/>
  <c r="O179" i="4"/>
  <c r="P179" i="4"/>
  <c r="N180" i="4" a="1"/>
  <c r="N180" i="4"/>
  <c r="O180" i="4"/>
  <c r="P180" i="4"/>
  <c r="N181" i="4" a="1"/>
  <c r="N181" i="4"/>
  <c r="O181" i="4"/>
  <c r="P181" i="4"/>
  <c r="N182" i="4" a="1"/>
  <c r="N182" i="4"/>
  <c r="O182" i="4"/>
  <c r="P182" i="4"/>
  <c r="N183" i="4" a="1"/>
  <c r="N183" i="4"/>
  <c r="O183" i="4"/>
  <c r="P183" i="4"/>
  <c r="N184" i="4" a="1"/>
  <c r="N184" i="4"/>
  <c r="O184" i="4"/>
  <c r="P184" i="4"/>
  <c r="N185" i="4" a="1"/>
  <c r="N185" i="4"/>
  <c r="O185" i="4"/>
  <c r="P185" i="4"/>
  <c r="N186" i="4" a="1"/>
  <c r="N186" i="4"/>
  <c r="O186" i="4"/>
  <c r="P186" i="4"/>
  <c r="N187" i="4" a="1"/>
  <c r="N187" i="4"/>
  <c r="O187" i="4"/>
  <c r="P187" i="4"/>
  <c r="N188" i="4" a="1"/>
  <c r="N188" i="4"/>
  <c r="O188" i="4"/>
  <c r="P188" i="4"/>
  <c r="N189" i="4" a="1"/>
  <c r="N189" i="4"/>
  <c r="O189" i="4"/>
  <c r="P189" i="4"/>
  <c r="N190" i="4" a="1"/>
  <c r="N190" i="4"/>
  <c r="O190" i="4"/>
  <c r="P190" i="4"/>
  <c r="N191" i="4" a="1"/>
  <c r="N191" i="4"/>
  <c r="O191" i="4"/>
  <c r="P191" i="4"/>
  <c r="N192" i="4" a="1"/>
  <c r="N192" i="4"/>
  <c r="O192" i="4"/>
  <c r="P192" i="4"/>
  <c r="N193" i="4" a="1"/>
  <c r="N193" i="4"/>
  <c r="O193" i="4"/>
  <c r="P193" i="4"/>
  <c r="N194" i="4" a="1"/>
  <c r="N194" i="4"/>
  <c r="O194" i="4"/>
  <c r="P194" i="4"/>
  <c r="N195" i="4" a="1"/>
  <c r="N195" i="4"/>
  <c r="O195" i="4"/>
  <c r="P195" i="4"/>
  <c r="N196" i="4" a="1"/>
  <c r="N196" i="4"/>
  <c r="O196" i="4"/>
  <c r="P196" i="4"/>
  <c r="N197" i="4" a="1"/>
  <c r="N197" i="4"/>
  <c r="O197" i="4"/>
  <c r="P197" i="4"/>
  <c r="N198" i="4" a="1"/>
  <c r="N198" i="4"/>
  <c r="O198" i="4"/>
  <c r="P198" i="4"/>
  <c r="N199" i="4" a="1"/>
  <c r="N199" i="4"/>
  <c r="O199" i="4"/>
  <c r="P199" i="4"/>
  <c r="N200" i="4" a="1"/>
  <c r="N200" i="4"/>
  <c r="O200" i="4"/>
  <c r="P200" i="4"/>
  <c r="N201" i="4" a="1"/>
  <c r="N201" i="4"/>
  <c r="O201" i="4"/>
  <c r="P201" i="4"/>
  <c r="N202" i="4" a="1"/>
  <c r="N202" i="4"/>
  <c r="O202" i="4"/>
  <c r="P202" i="4"/>
  <c r="N203" i="4" a="1"/>
  <c r="N203" i="4"/>
  <c r="O203" i="4"/>
  <c r="P203" i="4"/>
  <c r="N204" i="4" a="1"/>
  <c r="N204" i="4"/>
  <c r="O204" i="4"/>
  <c r="P204" i="4"/>
  <c r="N205" i="4" a="1"/>
  <c r="N205" i="4"/>
  <c r="O205" i="4"/>
  <c r="P205" i="4"/>
  <c r="N206" i="4" a="1"/>
  <c r="N206" i="4"/>
  <c r="O206" i="4"/>
  <c r="P206" i="4"/>
  <c r="N207" i="4" a="1"/>
  <c r="N207" i="4"/>
  <c r="O207" i="4"/>
  <c r="P207" i="4"/>
  <c r="N208" i="4" a="1"/>
  <c r="N208" i="4"/>
  <c r="O208" i="4"/>
  <c r="P208" i="4"/>
  <c r="N209" i="4" a="1"/>
  <c r="N209" i="4"/>
  <c r="O209" i="4"/>
  <c r="P209" i="4"/>
  <c r="N210" i="4" a="1"/>
  <c r="N210" i="4"/>
  <c r="O210" i="4"/>
  <c r="P210" i="4"/>
  <c r="N211" i="4" a="1"/>
  <c r="N211" i="4"/>
  <c r="O211" i="4"/>
  <c r="P211" i="4"/>
  <c r="N212" i="4" a="1"/>
  <c r="N212" i="4"/>
  <c r="O212" i="4"/>
  <c r="P212" i="4"/>
  <c r="N213" i="4" a="1"/>
  <c r="N213" i="4"/>
  <c r="O213" i="4"/>
  <c r="P213" i="4"/>
  <c r="N214" i="4" a="1"/>
  <c r="N214" i="4"/>
  <c r="O214" i="4"/>
  <c r="P214" i="4"/>
  <c r="N215" i="4" a="1"/>
  <c r="N215" i="4"/>
  <c r="O215" i="4"/>
  <c r="P215" i="4"/>
  <c r="N216" i="4" a="1"/>
  <c r="N216" i="4"/>
  <c r="O216" i="4"/>
  <c r="P216" i="4"/>
  <c r="N217" i="4" a="1"/>
  <c r="N217" i="4"/>
  <c r="O217" i="4"/>
  <c r="P217" i="4"/>
  <c r="N218" i="4" a="1"/>
  <c r="N218" i="4"/>
  <c r="O218" i="4"/>
  <c r="P218" i="4"/>
  <c r="N219" i="4" a="1"/>
  <c r="N219" i="4"/>
  <c r="O219" i="4"/>
  <c r="P219" i="4"/>
  <c r="N220" i="4" a="1"/>
  <c r="N220" i="4"/>
  <c r="O220" i="4"/>
  <c r="P220" i="4"/>
  <c r="N221" i="4" a="1"/>
  <c r="N221" i="4"/>
  <c r="O221" i="4"/>
  <c r="P221" i="4"/>
  <c r="N222" i="4" a="1"/>
  <c r="N222" i="4"/>
  <c r="O222" i="4"/>
  <c r="P222" i="4"/>
  <c r="N223" i="4" a="1"/>
  <c r="N223" i="4"/>
  <c r="O223" i="4"/>
  <c r="P223" i="4"/>
  <c r="N224" i="4" a="1"/>
  <c r="N224" i="4"/>
  <c r="O224" i="4"/>
  <c r="P224" i="4"/>
  <c r="N225" i="4" a="1"/>
  <c r="N225" i="4"/>
  <c r="O225" i="4"/>
  <c r="P225" i="4"/>
  <c r="N226" i="4" a="1"/>
  <c r="N226" i="4"/>
  <c r="O226" i="4"/>
  <c r="P226" i="4"/>
  <c r="N227" i="4" a="1"/>
  <c r="N227" i="4"/>
  <c r="O227" i="4"/>
  <c r="P227" i="4"/>
  <c r="N228" i="4" a="1"/>
  <c r="N228" i="4"/>
  <c r="O228" i="4"/>
  <c r="P228" i="4"/>
  <c r="N229" i="4" a="1"/>
  <c r="N229" i="4"/>
  <c r="O229" i="4"/>
  <c r="P229" i="4"/>
  <c r="N230" i="4" a="1"/>
  <c r="N230" i="4"/>
  <c r="O230" i="4"/>
  <c r="P230" i="4"/>
  <c r="N231" i="4" a="1"/>
  <c r="N231" i="4"/>
  <c r="O231" i="4"/>
  <c r="P231" i="4"/>
  <c r="N232" i="4" a="1"/>
  <c r="N232" i="4"/>
  <c r="O232" i="4"/>
  <c r="P232" i="4"/>
  <c r="N233" i="4" a="1"/>
  <c r="N233" i="4"/>
  <c r="O233" i="4"/>
  <c r="P233" i="4"/>
  <c r="N234" i="4" a="1"/>
  <c r="N234" i="4"/>
  <c r="O234" i="4"/>
  <c r="P234" i="4"/>
  <c r="N235" i="4" a="1"/>
  <c r="N235" i="4"/>
  <c r="O235" i="4"/>
  <c r="P235" i="4"/>
  <c r="N236" i="4" a="1"/>
  <c r="N236" i="4"/>
  <c r="O236" i="4"/>
  <c r="P236" i="4"/>
  <c r="N237" i="4" a="1"/>
  <c r="N237" i="4"/>
  <c r="O237" i="4"/>
  <c r="P237" i="4"/>
  <c r="N238" i="4" a="1"/>
  <c r="N238" i="4"/>
  <c r="O238" i="4"/>
  <c r="P238" i="4"/>
  <c r="N239" i="4" a="1"/>
  <c r="N239" i="4"/>
  <c r="O239" i="4"/>
  <c r="P239" i="4"/>
  <c r="N240" i="4" a="1"/>
  <c r="N240" i="4"/>
  <c r="O240" i="4"/>
  <c r="P240" i="4"/>
  <c r="N241" i="4" a="1"/>
  <c r="N241" i="4"/>
  <c r="O241" i="4"/>
  <c r="P241" i="4"/>
  <c r="N242" i="4" a="1"/>
  <c r="N242" i="4"/>
  <c r="O242" i="4"/>
  <c r="P242" i="4"/>
  <c r="N243" i="4" a="1"/>
  <c r="N243" i="4"/>
  <c r="O243" i="4"/>
  <c r="P243" i="4"/>
  <c r="N244" i="4" a="1"/>
  <c r="N244" i="4"/>
  <c r="O244" i="4"/>
  <c r="P244" i="4"/>
  <c r="N245" i="4" a="1"/>
  <c r="N245" i="4"/>
  <c r="O245" i="4"/>
  <c r="P245" i="4"/>
  <c r="N246" i="4" a="1"/>
  <c r="N246" i="4"/>
  <c r="O246" i="4"/>
  <c r="P246" i="4"/>
  <c r="N247" i="4" a="1"/>
  <c r="N247" i="4"/>
  <c r="O247" i="4"/>
  <c r="P247" i="4"/>
  <c r="N248" i="4" a="1"/>
  <c r="N248" i="4"/>
  <c r="O248" i="4"/>
  <c r="P248" i="4"/>
  <c r="N249" i="4" a="1"/>
  <c r="N249" i="4"/>
  <c r="O249" i="4"/>
  <c r="P249" i="4"/>
  <c r="N250" i="4" a="1"/>
  <c r="N250" i="4"/>
  <c r="O250" i="4"/>
  <c r="P250" i="4"/>
  <c r="N251" i="4" a="1"/>
  <c r="N251" i="4"/>
  <c r="O251" i="4"/>
  <c r="P251" i="4"/>
  <c r="N252" i="4" a="1"/>
  <c r="N252" i="4"/>
  <c r="O252" i="4"/>
  <c r="P252" i="4"/>
  <c r="N253" i="4" a="1"/>
  <c r="N253" i="4"/>
  <c r="O253" i="4"/>
  <c r="P253" i="4"/>
  <c r="N254" i="4" a="1"/>
  <c r="N254" i="4"/>
  <c r="O254" i="4"/>
  <c r="P254" i="4"/>
  <c r="N255" i="4" a="1"/>
  <c r="N255" i="4"/>
  <c r="O255" i="4"/>
  <c r="P255" i="4"/>
  <c r="N256" i="4" a="1"/>
  <c r="N256" i="4"/>
  <c r="O256" i="4"/>
  <c r="P256" i="4"/>
  <c r="N257" i="4" a="1"/>
  <c r="N257" i="4"/>
  <c r="O257" i="4"/>
  <c r="P257" i="4"/>
  <c r="N258" i="4" a="1"/>
  <c r="N258" i="4"/>
  <c r="O258" i="4"/>
  <c r="P258" i="4"/>
  <c r="N259" i="4" a="1"/>
  <c r="N259" i="4"/>
  <c r="O259" i="4"/>
  <c r="P259" i="4"/>
  <c r="N260" i="4" a="1"/>
  <c r="N260" i="4"/>
  <c r="O260" i="4"/>
  <c r="P260" i="4"/>
  <c r="N261" i="4" a="1"/>
  <c r="N261" i="4"/>
  <c r="O261" i="4"/>
  <c r="P261" i="4"/>
  <c r="N262" i="4" a="1"/>
  <c r="N262" i="4"/>
  <c r="O262" i="4"/>
  <c r="P262" i="4"/>
  <c r="N263" i="4" a="1"/>
  <c r="N263" i="4"/>
  <c r="O263" i="4"/>
  <c r="P263" i="4"/>
  <c r="N264" i="4" a="1"/>
  <c r="N264" i="4"/>
  <c r="O264" i="4"/>
  <c r="P264" i="4"/>
  <c r="N265" i="4" a="1"/>
  <c r="N265" i="4"/>
  <c r="O265" i="4"/>
  <c r="P265" i="4"/>
  <c r="N266" i="4" a="1"/>
  <c r="N266" i="4"/>
  <c r="O266" i="4"/>
  <c r="P266" i="4"/>
  <c r="N267" i="4" a="1"/>
  <c r="N267" i="4"/>
  <c r="O267" i="4"/>
  <c r="P267" i="4"/>
  <c r="N268" i="4" a="1"/>
  <c r="N268" i="4"/>
  <c r="O268" i="4"/>
  <c r="P268" i="4"/>
  <c r="N269" i="4" a="1"/>
  <c r="N269" i="4"/>
  <c r="O269" i="4"/>
  <c r="P269" i="4"/>
  <c r="N270" i="4" a="1"/>
  <c r="N270" i="4"/>
  <c r="O270" i="4"/>
  <c r="P270" i="4"/>
  <c r="N271" i="4" a="1"/>
  <c r="N271" i="4"/>
  <c r="O271" i="4"/>
  <c r="P271" i="4"/>
  <c r="N272" i="4" a="1"/>
  <c r="N272" i="4"/>
  <c r="O272" i="4"/>
  <c r="P272" i="4"/>
  <c r="N273" i="4" a="1"/>
  <c r="N273" i="4"/>
  <c r="O273" i="4"/>
  <c r="P273" i="4"/>
  <c r="N274" i="4" a="1"/>
  <c r="N274" i="4"/>
  <c r="O274" i="4"/>
  <c r="P274" i="4"/>
  <c r="N275" i="4" a="1"/>
  <c r="N275" i="4"/>
  <c r="O275" i="4"/>
  <c r="P275" i="4"/>
  <c r="N276" i="4" a="1"/>
  <c r="N276" i="4"/>
  <c r="O276" i="4"/>
  <c r="P276" i="4"/>
  <c r="N277" i="4" a="1"/>
  <c r="N277" i="4"/>
  <c r="O277" i="4"/>
  <c r="P277" i="4"/>
  <c r="N278" i="4" a="1"/>
  <c r="N278" i="4"/>
  <c r="O278" i="4"/>
  <c r="P278" i="4"/>
  <c r="N279" i="4" a="1"/>
  <c r="N279" i="4"/>
  <c r="O279" i="4"/>
  <c r="P279" i="4"/>
  <c r="N280" i="4" a="1"/>
  <c r="N280" i="4"/>
  <c r="O280" i="4"/>
  <c r="P280" i="4"/>
  <c r="N281" i="4" a="1"/>
  <c r="N281" i="4"/>
  <c r="O281" i="4"/>
  <c r="P281" i="4"/>
  <c r="N282" i="4" a="1"/>
  <c r="N282" i="4"/>
  <c r="O282" i="4"/>
  <c r="P282" i="4"/>
  <c r="N283" i="4" a="1"/>
  <c r="N283" i="4"/>
  <c r="O283" i="4"/>
  <c r="P283" i="4"/>
  <c r="N284" i="4" a="1"/>
  <c r="N284" i="4"/>
  <c r="O284" i="4"/>
  <c r="P284" i="4"/>
  <c r="N285" i="4" a="1"/>
  <c r="N285" i="4"/>
  <c r="O285" i="4"/>
  <c r="P285" i="4"/>
  <c r="N286" i="4" a="1"/>
  <c r="N286" i="4"/>
  <c r="O286" i="4"/>
  <c r="P286" i="4"/>
  <c r="N287" i="4" a="1"/>
  <c r="N287" i="4"/>
  <c r="O287" i="4"/>
  <c r="P287" i="4"/>
  <c r="N288" i="4" a="1"/>
  <c r="N288" i="4"/>
  <c r="O288" i="4"/>
  <c r="P288" i="4"/>
  <c r="N289" i="4" a="1"/>
  <c r="N289" i="4"/>
  <c r="O289" i="4"/>
  <c r="P289" i="4"/>
  <c r="N290" i="4" a="1"/>
  <c r="N290" i="4"/>
  <c r="O290" i="4"/>
  <c r="P290" i="4"/>
  <c r="N291" i="4" a="1"/>
  <c r="N291" i="4"/>
  <c r="O291" i="4"/>
  <c r="P291" i="4"/>
  <c r="N292" i="4" a="1"/>
  <c r="N292" i="4"/>
  <c r="O292" i="4"/>
  <c r="P292" i="4"/>
  <c r="N293" i="4" a="1"/>
  <c r="N293" i="4"/>
  <c r="O293" i="4"/>
  <c r="P293" i="4"/>
  <c r="N294" i="4" a="1"/>
  <c r="N294" i="4"/>
  <c r="O294" i="4"/>
  <c r="P294" i="4"/>
  <c r="N295" i="4" a="1"/>
  <c r="N295" i="4"/>
  <c r="O295" i="4"/>
  <c r="P295" i="4"/>
  <c r="N296" i="4" a="1"/>
  <c r="N296" i="4"/>
  <c r="O296" i="4"/>
  <c r="P296" i="4"/>
  <c r="N297" i="4" a="1"/>
  <c r="N297" i="4"/>
  <c r="O297" i="4"/>
  <c r="P297" i="4"/>
  <c r="N298" i="4" a="1"/>
  <c r="N298" i="4"/>
  <c r="O298" i="4"/>
  <c r="P298" i="4"/>
  <c r="N299" i="4" a="1"/>
  <c r="N299" i="4"/>
  <c r="O299" i="4"/>
  <c r="P299" i="4"/>
  <c r="N300" i="4" a="1"/>
  <c r="N300" i="4"/>
  <c r="O300" i="4"/>
  <c r="P300" i="4"/>
  <c r="N301" i="4" a="1"/>
  <c r="N301" i="4"/>
  <c r="O301" i="4"/>
  <c r="P301" i="4"/>
  <c r="N302" i="4" a="1"/>
  <c r="N302" i="4"/>
  <c r="O302" i="4"/>
  <c r="P302" i="4"/>
  <c r="N303" i="4" a="1"/>
  <c r="N303" i="4"/>
  <c r="O303" i="4"/>
  <c r="P303" i="4"/>
  <c r="N304" i="4" a="1"/>
  <c r="N304" i="4"/>
  <c r="O304" i="4"/>
  <c r="P304" i="4"/>
  <c r="N305" i="4" a="1"/>
  <c r="N305" i="4"/>
  <c r="O305" i="4"/>
  <c r="P305" i="4"/>
  <c r="N306" i="4" a="1"/>
  <c r="N306" i="4"/>
  <c r="O306" i="4"/>
  <c r="P306" i="4"/>
  <c r="N307" i="4" a="1"/>
  <c r="N307" i="4"/>
  <c r="O307" i="4"/>
  <c r="P307" i="4"/>
  <c r="N308" i="4" a="1"/>
  <c r="N308" i="4"/>
  <c r="O308" i="4"/>
  <c r="P308" i="4"/>
  <c r="N309" i="4" a="1"/>
  <c r="N309" i="4"/>
  <c r="O309" i="4"/>
  <c r="P309" i="4"/>
  <c r="N310" i="4" a="1"/>
  <c r="N310" i="4"/>
  <c r="O310" i="4"/>
  <c r="P310" i="4"/>
  <c r="N311" i="4" a="1"/>
  <c r="N311" i="4"/>
  <c r="O311" i="4"/>
  <c r="P311" i="4"/>
  <c r="N312" i="4" a="1"/>
  <c r="N312" i="4"/>
  <c r="O312" i="4"/>
  <c r="P312" i="4"/>
  <c r="N313" i="4" a="1"/>
  <c r="N313" i="4"/>
  <c r="O313" i="4"/>
  <c r="P313" i="4"/>
  <c r="N314" i="4" a="1"/>
  <c r="N314" i="4"/>
  <c r="O314" i="4"/>
  <c r="P314" i="4"/>
  <c r="N315" i="4" a="1"/>
  <c r="N315" i="4"/>
  <c r="O315" i="4"/>
  <c r="P315" i="4"/>
  <c r="N316" i="4" a="1"/>
  <c r="N316" i="4"/>
  <c r="O316" i="4"/>
  <c r="P316" i="4"/>
  <c r="N317" i="4" a="1"/>
  <c r="N317" i="4"/>
  <c r="O317" i="4"/>
  <c r="P317" i="4"/>
  <c r="N318" i="4" a="1"/>
  <c r="N318" i="4"/>
  <c r="O318" i="4"/>
  <c r="P318" i="4"/>
  <c r="N319" i="4" a="1"/>
  <c r="N319" i="4"/>
  <c r="O319" i="4"/>
  <c r="P319" i="4"/>
  <c r="N320" i="4" a="1"/>
  <c r="N320" i="4"/>
  <c r="O320" i="4"/>
  <c r="P320" i="4"/>
  <c r="N321" i="4" a="1"/>
  <c r="N321" i="4"/>
  <c r="O321" i="4"/>
  <c r="P321" i="4"/>
  <c r="N322" i="4" a="1"/>
  <c r="N322" i="4"/>
  <c r="O322" i="4"/>
  <c r="P322" i="4"/>
  <c r="N323" i="4" a="1"/>
  <c r="N323" i="4"/>
  <c r="O323" i="4"/>
  <c r="P323" i="4"/>
  <c r="N324" i="4" a="1"/>
  <c r="N324" i="4"/>
  <c r="O324" i="4"/>
  <c r="P324" i="4"/>
  <c r="N325" i="4" a="1"/>
  <c r="N325" i="4"/>
  <c r="O325" i="4"/>
  <c r="P325" i="4"/>
  <c r="N326" i="4" a="1"/>
  <c r="N326" i="4"/>
  <c r="O326" i="4"/>
  <c r="P326" i="4"/>
  <c r="N327" i="4" a="1"/>
  <c r="N327" i="4"/>
  <c r="O327" i="4"/>
  <c r="P327" i="4"/>
  <c r="N328" i="4" a="1"/>
  <c r="N328" i="4"/>
  <c r="O328" i="4"/>
  <c r="P328" i="4"/>
  <c r="N329" i="4" a="1"/>
  <c r="N329" i="4"/>
  <c r="O329" i="4"/>
  <c r="P329" i="4"/>
  <c r="N330" i="4" a="1"/>
  <c r="N330" i="4"/>
  <c r="O330" i="4"/>
  <c r="P330" i="4"/>
  <c r="N331" i="4" a="1"/>
  <c r="N331" i="4"/>
  <c r="O331" i="4"/>
  <c r="P331" i="4"/>
  <c r="N332" i="4" a="1"/>
  <c r="N332" i="4"/>
  <c r="O332" i="4"/>
  <c r="P332" i="4"/>
  <c r="N333" i="4" a="1"/>
  <c r="N333" i="4"/>
  <c r="O333" i="4"/>
  <c r="P333" i="4"/>
  <c r="N334" i="4" a="1"/>
  <c r="N334" i="4"/>
  <c r="O334" i="4"/>
  <c r="P334" i="4"/>
  <c r="N335" i="4" a="1"/>
  <c r="N335" i="4"/>
  <c r="O335" i="4"/>
  <c r="P335" i="4"/>
  <c r="N336" i="4" a="1"/>
  <c r="N336" i="4"/>
  <c r="O336" i="4"/>
  <c r="P336" i="4"/>
  <c r="N337" i="4" a="1"/>
  <c r="N337" i="4"/>
  <c r="O337" i="4"/>
  <c r="P337" i="4"/>
  <c r="N338" i="4" a="1"/>
  <c r="N338" i="4"/>
  <c r="O338" i="4"/>
  <c r="P338" i="4"/>
  <c r="N339" i="4" a="1"/>
  <c r="N339" i="4"/>
  <c r="O339" i="4"/>
  <c r="P339" i="4"/>
  <c r="N340" i="4" a="1"/>
  <c r="N340" i="4"/>
  <c r="O340" i="4"/>
  <c r="P340" i="4"/>
  <c r="N341" i="4" a="1"/>
  <c r="N341" i="4"/>
  <c r="O341" i="4"/>
  <c r="P341" i="4"/>
  <c r="N342" i="4" a="1"/>
  <c r="N342" i="4"/>
  <c r="O342" i="4"/>
  <c r="P342" i="4"/>
  <c r="N343" i="4" a="1"/>
  <c r="N343" i="4"/>
  <c r="O343" i="4"/>
  <c r="P343" i="4"/>
  <c r="N344" i="4" a="1"/>
  <c r="N344" i="4"/>
  <c r="O344" i="4"/>
  <c r="P344" i="4"/>
  <c r="N345" i="4" a="1"/>
  <c r="N345" i="4"/>
  <c r="O345" i="4"/>
  <c r="P345" i="4"/>
  <c r="N346" i="4" a="1"/>
  <c r="N346" i="4"/>
  <c r="O346" i="4"/>
  <c r="P346" i="4"/>
  <c r="N347" i="4" a="1"/>
  <c r="N347" i="4"/>
  <c r="O347" i="4"/>
  <c r="P347" i="4"/>
  <c r="N348" i="4" a="1"/>
  <c r="N348" i="4"/>
  <c r="O348" i="4"/>
  <c r="P348" i="4"/>
  <c r="N349" i="4" a="1"/>
  <c r="N349" i="4"/>
  <c r="O349" i="4"/>
  <c r="P349" i="4"/>
  <c r="N350" i="4" a="1"/>
  <c r="N350" i="4"/>
  <c r="O350" i="4"/>
  <c r="P350" i="4"/>
  <c r="N351" i="4" a="1"/>
  <c r="N351" i="4"/>
  <c r="O351" i="4"/>
  <c r="P351" i="4"/>
  <c r="N352" i="4" a="1"/>
  <c r="N352" i="4"/>
  <c r="O352" i="4"/>
  <c r="P352" i="4"/>
  <c r="N353" i="4" a="1"/>
  <c r="N353" i="4"/>
  <c r="O353" i="4"/>
  <c r="P353" i="4"/>
  <c r="N354" i="4" a="1"/>
  <c r="N354" i="4"/>
  <c r="O354" i="4"/>
  <c r="P354" i="4"/>
  <c r="N355" i="4" a="1"/>
  <c r="N355" i="4"/>
  <c r="O355" i="4"/>
  <c r="P355" i="4"/>
  <c r="N356" i="4" a="1"/>
  <c r="N356" i="4"/>
  <c r="O356" i="4"/>
  <c r="P356" i="4"/>
  <c r="N357" i="4" a="1"/>
  <c r="N357" i="4"/>
  <c r="O357" i="4"/>
  <c r="P357" i="4"/>
  <c r="N358" i="4" a="1"/>
  <c r="N358" i="4"/>
  <c r="O358" i="4"/>
  <c r="P358" i="4"/>
  <c r="N359" i="4" a="1"/>
  <c r="N359" i="4"/>
  <c r="O359" i="4"/>
  <c r="P359" i="4"/>
  <c r="N360" i="4" a="1"/>
  <c r="N360" i="4"/>
  <c r="O360" i="4"/>
  <c r="P360" i="4"/>
  <c r="N361" i="4" a="1"/>
  <c r="N361" i="4"/>
  <c r="O361" i="4"/>
  <c r="P361" i="4"/>
  <c r="N362" i="4" a="1"/>
  <c r="N362" i="4"/>
  <c r="O362" i="4"/>
  <c r="P362" i="4"/>
  <c r="N363" i="4" a="1"/>
  <c r="N363" i="4"/>
  <c r="O363" i="4"/>
  <c r="P363" i="4"/>
  <c r="N364" i="4" a="1"/>
  <c r="N364" i="4"/>
  <c r="O364" i="4"/>
  <c r="P364" i="4"/>
  <c r="N365" i="4" a="1"/>
  <c r="N365" i="4"/>
  <c r="O365" i="4"/>
  <c r="P365" i="4"/>
  <c r="N366" i="4" a="1"/>
  <c r="N366" i="4"/>
  <c r="O366" i="4"/>
  <c r="P366" i="4"/>
  <c r="N367" i="4" a="1"/>
  <c r="N367" i="4"/>
  <c r="O367" i="4"/>
  <c r="P367" i="4"/>
  <c r="N368" i="4" a="1"/>
  <c r="N368" i="4"/>
  <c r="O368" i="4"/>
  <c r="P368" i="4"/>
  <c r="N369" i="4" a="1"/>
  <c r="N369" i="4"/>
  <c r="O369" i="4"/>
  <c r="P369" i="4"/>
  <c r="N370" i="4" a="1"/>
  <c r="N370" i="4"/>
  <c r="O370" i="4"/>
  <c r="P370" i="4"/>
  <c r="N371" i="4" a="1"/>
  <c r="N371" i="4"/>
  <c r="O371" i="4"/>
  <c r="P371" i="4"/>
  <c r="N372" i="4" a="1"/>
  <c r="N372" i="4"/>
  <c r="O372" i="4"/>
  <c r="P372" i="4"/>
  <c r="N373" i="4" a="1"/>
  <c r="N373" i="4"/>
  <c r="O373" i="4"/>
  <c r="P373" i="4"/>
  <c r="N374" i="4" a="1"/>
  <c r="N374" i="4"/>
  <c r="O374" i="4"/>
  <c r="P374" i="4"/>
  <c r="N375" i="4" a="1"/>
  <c r="N375" i="4"/>
  <c r="O375" i="4"/>
  <c r="P375" i="4"/>
  <c r="N376" i="4" a="1"/>
  <c r="N376" i="4"/>
  <c r="O376" i="4"/>
  <c r="P376" i="4"/>
  <c r="N377" i="4" a="1"/>
  <c r="N377" i="4"/>
  <c r="O377" i="4"/>
  <c r="P377" i="4"/>
  <c r="N378" i="4" a="1"/>
  <c r="N378" i="4"/>
  <c r="O378" i="4"/>
  <c r="P378" i="4"/>
  <c r="N379" i="4" a="1"/>
  <c r="N379" i="4"/>
  <c r="O379" i="4"/>
  <c r="P379" i="4"/>
  <c r="N380" i="4" a="1"/>
  <c r="N380" i="4"/>
  <c r="O380" i="4"/>
  <c r="P380" i="4"/>
  <c r="N381" i="4" a="1"/>
  <c r="N381" i="4"/>
  <c r="O381" i="4"/>
  <c r="P381" i="4"/>
  <c r="N382" i="4" a="1"/>
  <c r="N382" i="4"/>
  <c r="O382" i="4"/>
  <c r="P382" i="4"/>
  <c r="N383" i="4" a="1"/>
  <c r="N383" i="4"/>
  <c r="O383" i="4"/>
  <c r="P383" i="4"/>
  <c r="N384" i="4" a="1"/>
  <c r="N384" i="4"/>
  <c r="O384" i="4"/>
  <c r="P384" i="4"/>
  <c r="N385" i="4" a="1"/>
  <c r="N385" i="4"/>
  <c r="O385" i="4"/>
  <c r="P385" i="4"/>
  <c r="N386" i="4" a="1"/>
  <c r="N386" i="4"/>
  <c r="O386" i="4"/>
  <c r="P386" i="4"/>
  <c r="N387" i="4" a="1"/>
  <c r="N387" i="4"/>
  <c r="O387" i="4"/>
  <c r="P387" i="4"/>
  <c r="N388" i="4" a="1"/>
  <c r="N388" i="4"/>
  <c r="O388" i="4"/>
  <c r="P388" i="4"/>
  <c r="N389" i="4" a="1"/>
  <c r="N389" i="4"/>
  <c r="O389" i="4"/>
  <c r="P389" i="4"/>
  <c r="N390" i="4" a="1"/>
  <c r="N390" i="4"/>
  <c r="O390" i="4"/>
  <c r="P390" i="4"/>
  <c r="N391" i="4" a="1"/>
  <c r="N391" i="4"/>
  <c r="O391" i="4"/>
  <c r="P391" i="4"/>
  <c r="N392" i="4" a="1"/>
  <c r="N392" i="4"/>
  <c r="O392" i="4"/>
  <c r="P392" i="4"/>
  <c r="N393" i="4" a="1"/>
  <c r="N393" i="4"/>
  <c r="O393" i="4"/>
  <c r="P393" i="4"/>
  <c r="N394" i="4" a="1"/>
  <c r="N394" i="4"/>
  <c r="O394" i="4"/>
  <c r="P394" i="4"/>
  <c r="N395" i="4" a="1"/>
  <c r="N395" i="4"/>
  <c r="O395" i="4"/>
  <c r="P395" i="4"/>
  <c r="N396" i="4" a="1"/>
  <c r="N396" i="4"/>
  <c r="O396" i="4"/>
  <c r="P396" i="4"/>
  <c r="N397" i="4" a="1"/>
  <c r="N397" i="4"/>
  <c r="O397" i="4"/>
  <c r="P397" i="4"/>
  <c r="N398" i="4" a="1"/>
  <c r="N398" i="4"/>
  <c r="O398" i="4"/>
  <c r="P398" i="4"/>
  <c r="N399" i="4" a="1"/>
  <c r="N399" i="4"/>
  <c r="O399" i="4"/>
  <c r="P399" i="4"/>
  <c r="N400" i="4" a="1"/>
  <c r="N400" i="4"/>
  <c r="O400" i="4"/>
  <c r="P400" i="4"/>
  <c r="N401" i="4" a="1"/>
  <c r="N401" i="4"/>
  <c r="O401" i="4"/>
  <c r="P401" i="4"/>
  <c r="N402" i="4" a="1"/>
  <c r="N402" i="4"/>
  <c r="O402" i="4"/>
  <c r="P402" i="4"/>
  <c r="N403" i="4" a="1"/>
  <c r="N403" i="4"/>
  <c r="O403" i="4"/>
  <c r="P403" i="4"/>
  <c r="N404" i="4" a="1"/>
  <c r="N404" i="4"/>
  <c r="O404" i="4"/>
  <c r="P404" i="4"/>
  <c r="N405" i="4" a="1"/>
  <c r="N405" i="4"/>
  <c r="O405" i="4"/>
  <c r="P405" i="4"/>
  <c r="N406" i="4" a="1"/>
  <c r="N406" i="4"/>
  <c r="O406" i="4"/>
  <c r="P406" i="4"/>
  <c r="N407" i="4" a="1"/>
  <c r="N407" i="4"/>
  <c r="O407" i="4"/>
  <c r="P407" i="4"/>
  <c r="N408" i="4" a="1"/>
  <c r="N408" i="4"/>
  <c r="O408" i="4"/>
  <c r="P408" i="4"/>
  <c r="N409" i="4" a="1"/>
  <c r="N409" i="4"/>
  <c r="O409" i="4"/>
  <c r="P409" i="4"/>
  <c r="N410" i="4" a="1"/>
  <c r="N410" i="4"/>
  <c r="O410" i="4"/>
  <c r="P410" i="4"/>
  <c r="N411" i="4" a="1"/>
  <c r="N411" i="4"/>
  <c r="O411" i="4"/>
  <c r="P411" i="4"/>
  <c r="N412" i="4" a="1"/>
  <c r="N412" i="4"/>
  <c r="O412" i="4"/>
  <c r="P412" i="4"/>
  <c r="N413" i="4" a="1"/>
  <c r="N413" i="4"/>
  <c r="O413" i="4"/>
  <c r="P413" i="4"/>
  <c r="N414" i="4" a="1"/>
  <c r="N414" i="4"/>
  <c r="O414" i="4"/>
  <c r="P414" i="4"/>
  <c r="N415" i="4" a="1"/>
  <c r="N415" i="4"/>
  <c r="O415" i="4"/>
  <c r="P415" i="4"/>
  <c r="N416" i="4" a="1"/>
  <c r="N416" i="4"/>
  <c r="O416" i="4"/>
  <c r="P416" i="4"/>
  <c r="N417" i="4" a="1"/>
  <c r="N417" i="4"/>
  <c r="O417" i="4"/>
  <c r="P417" i="4"/>
  <c r="N418" i="4" a="1"/>
  <c r="N418" i="4"/>
  <c r="O418" i="4"/>
  <c r="P418" i="4"/>
  <c r="N419" i="4" a="1"/>
  <c r="N419" i="4"/>
  <c r="O419" i="4"/>
  <c r="P419" i="4"/>
  <c r="N420" i="4" a="1"/>
  <c r="N420" i="4"/>
  <c r="O420" i="4"/>
  <c r="P420" i="4"/>
  <c r="N421" i="4" a="1"/>
  <c r="N421" i="4"/>
  <c r="O421" i="4"/>
  <c r="P421" i="4"/>
  <c r="N422" i="4" a="1"/>
  <c r="N422" i="4"/>
  <c r="O422" i="4"/>
  <c r="P422" i="4"/>
  <c r="N423" i="4" a="1"/>
  <c r="N423" i="4"/>
  <c r="O423" i="4"/>
  <c r="P423" i="4"/>
  <c r="N424" i="4" a="1"/>
  <c r="N424" i="4"/>
  <c r="O424" i="4"/>
  <c r="P424" i="4"/>
  <c r="N425" i="4" a="1"/>
  <c r="N425" i="4"/>
  <c r="O425" i="4"/>
  <c r="P425" i="4"/>
  <c r="N426" i="4" a="1"/>
  <c r="N426" i="4"/>
  <c r="O426" i="4"/>
  <c r="P426" i="4"/>
  <c r="N427" i="4" a="1"/>
  <c r="N427" i="4"/>
  <c r="O427" i="4"/>
  <c r="P427" i="4"/>
  <c r="N428" i="4" a="1"/>
  <c r="N428" i="4"/>
  <c r="O428" i="4"/>
  <c r="P428" i="4"/>
  <c r="N429" i="4" a="1"/>
  <c r="N429" i="4"/>
  <c r="O429" i="4"/>
  <c r="P429" i="4"/>
  <c r="N430" i="4" a="1"/>
  <c r="N430" i="4"/>
  <c r="O430" i="4"/>
  <c r="P430" i="4"/>
  <c r="N431" i="4" a="1"/>
  <c r="N431" i="4"/>
  <c r="O431" i="4"/>
  <c r="P431" i="4"/>
  <c r="N432" i="4" a="1"/>
  <c r="N432" i="4"/>
  <c r="O432" i="4"/>
  <c r="P432" i="4"/>
  <c r="N433" i="4" a="1"/>
  <c r="N433" i="4"/>
  <c r="O433" i="4"/>
  <c r="P433" i="4"/>
  <c r="N434" i="4" a="1"/>
  <c r="N434" i="4"/>
  <c r="O434" i="4"/>
  <c r="P434" i="4"/>
  <c r="N435" i="4" a="1"/>
  <c r="N435" i="4"/>
  <c r="O435" i="4"/>
  <c r="P435" i="4"/>
  <c r="N436" i="4" a="1"/>
  <c r="N436" i="4"/>
  <c r="O436" i="4"/>
  <c r="P436" i="4"/>
  <c r="N437" i="4" a="1"/>
  <c r="N437" i="4"/>
  <c r="O437" i="4"/>
  <c r="P437" i="4"/>
  <c r="N438" i="4" a="1"/>
  <c r="N438" i="4"/>
  <c r="O438" i="4"/>
  <c r="P438" i="4"/>
  <c r="N439" i="4" a="1"/>
  <c r="N439" i="4"/>
  <c r="O439" i="4"/>
  <c r="P439" i="4"/>
  <c r="N440" i="4" a="1"/>
  <c r="N440" i="4"/>
  <c r="O440" i="4"/>
  <c r="P440" i="4"/>
  <c r="N441" i="4" a="1"/>
  <c r="N441" i="4"/>
  <c r="O441" i="4"/>
  <c r="P441" i="4"/>
  <c r="N442" i="4" a="1"/>
  <c r="N442" i="4"/>
  <c r="O442" i="4"/>
  <c r="P442" i="4"/>
  <c r="N443" i="4" a="1"/>
  <c r="N443" i="4"/>
  <c r="O443" i="4"/>
  <c r="P443" i="4"/>
  <c r="N444" i="4" a="1"/>
  <c r="N444" i="4"/>
  <c r="O444" i="4"/>
  <c r="P444" i="4"/>
  <c r="N445" i="4" a="1"/>
  <c r="N445" i="4"/>
  <c r="O445" i="4"/>
  <c r="P445" i="4"/>
  <c r="N446" i="4" a="1"/>
  <c r="N446" i="4"/>
  <c r="O446" i="4"/>
  <c r="P446" i="4"/>
  <c r="N447" i="4" a="1"/>
  <c r="N447" i="4"/>
  <c r="O447" i="4"/>
  <c r="P447" i="4"/>
  <c r="N448" i="4" a="1"/>
  <c r="N448" i="4"/>
  <c r="O448" i="4"/>
  <c r="P448" i="4"/>
  <c r="N449" i="4" a="1"/>
  <c r="N449" i="4"/>
  <c r="O449" i="4"/>
  <c r="P449" i="4"/>
  <c r="N450" i="4" a="1"/>
  <c r="N450" i="4"/>
  <c r="O450" i="4"/>
  <c r="P450" i="4"/>
  <c r="N451" i="4" a="1"/>
  <c r="N451" i="4"/>
  <c r="O451" i="4"/>
  <c r="P451" i="4"/>
  <c r="N452" i="4" a="1"/>
  <c r="N452" i="4"/>
  <c r="O452" i="4"/>
  <c r="P452" i="4"/>
  <c r="N453" i="4" a="1"/>
  <c r="N453" i="4"/>
  <c r="O453" i="4"/>
  <c r="P453" i="4"/>
  <c r="N454" i="4" a="1"/>
  <c r="N454" i="4"/>
  <c r="O454" i="4"/>
  <c r="P454" i="4"/>
  <c r="N455" i="4" a="1"/>
  <c r="N455" i="4"/>
  <c r="O455" i="4"/>
  <c r="P455" i="4"/>
  <c r="N456" i="4" a="1"/>
  <c r="N456" i="4"/>
  <c r="O456" i="4"/>
  <c r="P456" i="4"/>
  <c r="N457" i="4" a="1"/>
  <c r="N457" i="4"/>
  <c r="O457" i="4"/>
  <c r="P457" i="4"/>
  <c r="N458" i="4" a="1"/>
  <c r="N458" i="4"/>
  <c r="O458" i="4"/>
  <c r="P458" i="4"/>
  <c r="N459" i="4" a="1"/>
  <c r="N459" i="4"/>
  <c r="O459" i="4"/>
  <c r="P459" i="4"/>
  <c r="N460" i="4" a="1"/>
  <c r="N460" i="4"/>
  <c r="O460" i="4"/>
  <c r="P460" i="4"/>
  <c r="N461" i="4" a="1"/>
  <c r="N461" i="4"/>
  <c r="O461" i="4"/>
  <c r="P461" i="4"/>
  <c r="N462" i="4" a="1"/>
  <c r="N462" i="4"/>
  <c r="O462" i="4"/>
  <c r="P462" i="4"/>
  <c r="N463" i="4" a="1"/>
  <c r="N463" i="4"/>
  <c r="O463" i="4"/>
  <c r="P463" i="4"/>
  <c r="N464" i="4" a="1"/>
  <c r="N464" i="4"/>
  <c r="O464" i="4"/>
  <c r="P464" i="4"/>
  <c r="N465" i="4" a="1"/>
  <c r="N465" i="4"/>
  <c r="O465" i="4"/>
  <c r="P465" i="4"/>
  <c r="N466" i="4" a="1"/>
  <c r="N466" i="4"/>
  <c r="O466" i="4"/>
  <c r="P466" i="4"/>
  <c r="N467" i="4" a="1"/>
  <c r="N467" i="4"/>
  <c r="O467" i="4"/>
  <c r="P467" i="4"/>
  <c r="N468" i="4" a="1"/>
  <c r="N468" i="4"/>
  <c r="O468" i="4"/>
  <c r="P468" i="4"/>
  <c r="N469" i="4" a="1"/>
  <c r="N469" i="4"/>
  <c r="O469" i="4"/>
  <c r="P469" i="4"/>
  <c r="N470" i="4" a="1"/>
  <c r="N470" i="4"/>
  <c r="O470" i="4"/>
  <c r="P470" i="4"/>
  <c r="N471" i="4" a="1"/>
  <c r="N471" i="4"/>
  <c r="O471" i="4"/>
  <c r="P471" i="4"/>
  <c r="N472" i="4" a="1"/>
  <c r="N472" i="4"/>
  <c r="O472" i="4"/>
  <c r="P472" i="4"/>
  <c r="N473" i="4" a="1"/>
  <c r="N473" i="4"/>
  <c r="O473" i="4"/>
  <c r="P473" i="4"/>
  <c r="N474" i="4" a="1"/>
  <c r="N474" i="4"/>
  <c r="O474" i="4"/>
  <c r="P474" i="4"/>
  <c r="N475" i="4" a="1"/>
  <c r="N475" i="4"/>
  <c r="O475" i="4"/>
  <c r="P475" i="4"/>
  <c r="N476" i="4" a="1"/>
  <c r="N476" i="4"/>
  <c r="O476" i="4"/>
  <c r="P476" i="4"/>
  <c r="N477" i="4" a="1"/>
  <c r="N477" i="4"/>
  <c r="O477" i="4"/>
  <c r="P477" i="4"/>
  <c r="N478" i="4" a="1"/>
  <c r="N478" i="4"/>
  <c r="O478" i="4"/>
  <c r="P478" i="4"/>
  <c r="N479" i="4" a="1"/>
  <c r="N479" i="4"/>
  <c r="O479" i="4"/>
  <c r="P479" i="4"/>
  <c r="N480" i="4" a="1"/>
  <c r="N480" i="4"/>
  <c r="O480" i="4"/>
  <c r="P480" i="4"/>
  <c r="N481" i="4" a="1"/>
  <c r="N481" i="4"/>
  <c r="O481" i="4"/>
  <c r="P481" i="4"/>
  <c r="N482" i="4" a="1"/>
  <c r="N482" i="4"/>
  <c r="O482" i="4"/>
  <c r="P482" i="4"/>
  <c r="N483" i="4" a="1"/>
  <c r="N483" i="4"/>
  <c r="O483" i="4"/>
  <c r="P483" i="4"/>
  <c r="N484" i="4" a="1"/>
  <c r="N484" i="4"/>
  <c r="O484" i="4"/>
  <c r="P484" i="4"/>
  <c r="N485" i="4" a="1"/>
  <c r="N485" i="4"/>
  <c r="O485" i="4"/>
  <c r="P485" i="4"/>
  <c r="N486" i="4" a="1"/>
  <c r="N486" i="4"/>
  <c r="O486" i="4"/>
  <c r="P486" i="4"/>
  <c r="N487" i="4" a="1"/>
  <c r="N487" i="4"/>
  <c r="O487" i="4"/>
  <c r="P487" i="4"/>
  <c r="N488" i="4" a="1"/>
  <c r="N488" i="4"/>
  <c r="O488" i="4"/>
  <c r="P488" i="4"/>
  <c r="N489" i="4" a="1"/>
  <c r="N489" i="4"/>
  <c r="O489" i="4"/>
  <c r="P489" i="4"/>
  <c r="N490" i="4" a="1"/>
  <c r="N490" i="4"/>
  <c r="O490" i="4"/>
  <c r="P490" i="4"/>
  <c r="N491" i="4" a="1"/>
  <c r="N491" i="4"/>
  <c r="O491" i="4"/>
  <c r="P491" i="4"/>
  <c r="N492" i="4" a="1"/>
  <c r="N492" i="4"/>
  <c r="O492" i="4"/>
  <c r="P492" i="4"/>
  <c r="N493" i="4" a="1"/>
  <c r="N493" i="4"/>
  <c r="O493" i="4"/>
  <c r="P493" i="4"/>
  <c r="N507" i="4" a="1"/>
  <c r="N507" i="4"/>
  <c r="O507" i="4"/>
  <c r="P507" i="4"/>
  <c r="F509" i="2"/>
  <c r="B509" i="2"/>
  <c r="C509" i="2"/>
  <c r="E509" i="2"/>
  <c r="U2" i="2"/>
  <c r="U3" i="2"/>
  <c r="X2" i="2"/>
  <c r="AC509" i="2"/>
  <c r="AB6" i="2"/>
  <c r="AB7" i="2"/>
  <c r="AB8" i="2"/>
  <c r="AB9" i="2"/>
  <c r="AB10" i="2"/>
  <c r="AB11" i="2"/>
  <c r="AB12" i="2"/>
  <c r="AB13" i="2"/>
  <c r="AB14" i="2"/>
  <c r="AB15" i="2"/>
  <c r="AB16" i="2"/>
  <c r="AB17" i="2"/>
  <c r="AB18" i="2"/>
  <c r="AB19" i="2"/>
  <c r="AB20" i="2"/>
  <c r="AB21" i="2"/>
  <c r="AB22" i="2"/>
  <c r="AB23" i="2"/>
  <c r="AB24" i="2"/>
  <c r="AB25" i="2"/>
  <c r="AB26" i="2"/>
  <c r="AB27" i="2"/>
  <c r="AB28" i="2"/>
  <c r="AB29" i="2"/>
  <c r="AB30" i="2"/>
  <c r="AB31" i="2"/>
  <c r="AB32" i="2"/>
  <c r="AB33" i="2"/>
  <c r="AB34" i="2"/>
  <c r="AB35" i="2"/>
  <c r="AB36" i="2"/>
  <c r="AB37" i="2"/>
  <c r="AB38" i="2"/>
  <c r="AB39" i="2"/>
  <c r="AB40" i="2"/>
  <c r="AB41" i="2"/>
  <c r="AB42" i="2"/>
  <c r="AB43" i="2"/>
  <c r="AB44" i="2"/>
  <c r="AB45" i="2"/>
  <c r="AB46" i="2"/>
  <c r="AB47" i="2"/>
  <c r="AB48" i="2"/>
  <c r="AB49" i="2"/>
  <c r="AB50" i="2"/>
  <c r="AB51" i="2"/>
  <c r="AB52" i="2"/>
  <c r="AB53" i="2"/>
  <c r="AB54" i="2"/>
  <c r="AB55" i="2"/>
  <c r="AB56" i="2"/>
  <c r="AB57" i="2"/>
  <c r="AB58" i="2"/>
  <c r="AB59" i="2"/>
  <c r="AB60" i="2"/>
  <c r="AB61" i="2"/>
  <c r="AB62" i="2"/>
  <c r="AB63" i="2"/>
  <c r="AB64" i="2"/>
  <c r="AB65" i="2"/>
  <c r="AB66" i="2"/>
  <c r="AB67" i="2"/>
  <c r="AB68" i="2"/>
  <c r="AB69" i="2"/>
  <c r="AB70" i="2"/>
  <c r="AB71" i="2"/>
  <c r="AB72" i="2"/>
  <c r="AB73" i="2"/>
  <c r="AB74" i="2"/>
  <c r="AB75" i="2"/>
  <c r="AB76" i="2"/>
  <c r="AB77" i="2"/>
  <c r="AB78" i="2"/>
  <c r="AB79" i="2"/>
  <c r="AB80" i="2"/>
  <c r="AB81" i="2"/>
  <c r="AB82" i="2"/>
  <c r="AB83" i="2"/>
  <c r="AB84" i="2"/>
  <c r="AB85" i="2"/>
  <c r="AB86" i="2"/>
  <c r="AB87" i="2"/>
  <c r="AB88" i="2"/>
  <c r="AB89" i="2"/>
  <c r="AB90" i="2"/>
  <c r="AB91" i="2"/>
  <c r="AB92" i="2"/>
  <c r="AB93" i="2"/>
  <c r="AB94" i="2"/>
  <c r="AB95" i="2"/>
  <c r="AB96" i="2"/>
  <c r="AB97" i="2"/>
  <c r="AB98" i="2"/>
  <c r="AB99" i="2"/>
  <c r="AB100" i="2"/>
  <c r="AB101" i="2"/>
  <c r="AB102" i="2"/>
  <c r="AB103" i="2"/>
  <c r="AB104" i="2"/>
  <c r="AB105" i="2"/>
  <c r="AB106" i="2"/>
  <c r="AB107" i="2"/>
  <c r="AB108" i="2"/>
  <c r="AB109" i="2"/>
  <c r="AB110" i="2"/>
  <c r="AB111" i="2"/>
  <c r="AB112" i="2"/>
  <c r="AB113" i="2"/>
  <c r="AB114" i="2"/>
  <c r="AB115" i="2"/>
  <c r="AB116" i="2"/>
  <c r="AB117" i="2"/>
  <c r="AB118" i="2"/>
  <c r="AB119" i="2"/>
  <c r="AB120" i="2"/>
  <c r="AB121" i="2"/>
  <c r="AB122" i="2"/>
  <c r="AB123" i="2"/>
  <c r="AB124" i="2"/>
  <c r="AB125" i="2"/>
  <c r="AB126" i="2"/>
  <c r="AB127" i="2"/>
  <c r="AB128" i="2"/>
  <c r="AB129" i="2"/>
  <c r="AB130" i="2"/>
  <c r="AB131" i="2"/>
  <c r="AB132" i="2"/>
  <c r="AB133" i="2"/>
  <c r="AB134" i="2"/>
  <c r="AB135" i="2"/>
  <c r="AB136" i="2"/>
  <c r="AB137" i="2"/>
  <c r="AB138" i="2"/>
  <c r="AB139" i="2"/>
  <c r="AB140" i="2"/>
  <c r="AB141" i="2"/>
  <c r="AB142" i="2"/>
  <c r="AB143" i="2"/>
  <c r="AB144" i="2"/>
  <c r="AB145" i="2"/>
  <c r="AB146" i="2"/>
  <c r="AB147" i="2"/>
  <c r="AB148" i="2"/>
  <c r="AB149" i="2"/>
  <c r="AB150" i="2"/>
  <c r="AB151" i="2"/>
  <c r="AB152" i="2"/>
  <c r="AB153" i="2"/>
  <c r="AB154" i="2"/>
  <c r="AB155" i="2"/>
  <c r="AB156" i="2"/>
  <c r="AB157" i="2"/>
  <c r="AB158" i="2"/>
  <c r="AB159" i="2"/>
  <c r="AB160" i="2"/>
  <c r="AB161" i="2"/>
  <c r="AB162" i="2"/>
  <c r="AB163" i="2"/>
  <c r="AB164" i="2"/>
  <c r="AB165" i="2"/>
  <c r="AB166" i="2"/>
  <c r="AB167" i="2"/>
  <c r="AB168" i="2"/>
  <c r="AB169" i="2"/>
  <c r="AB170" i="2"/>
  <c r="AB171" i="2"/>
  <c r="AB172" i="2"/>
  <c r="AB173" i="2"/>
  <c r="AB174" i="2"/>
  <c r="AB175" i="2"/>
  <c r="AB176" i="2"/>
  <c r="AB177" i="2"/>
  <c r="AB178" i="2"/>
  <c r="AB179" i="2"/>
  <c r="AB180" i="2"/>
  <c r="AB181" i="2"/>
  <c r="AB182" i="2"/>
  <c r="AB183" i="2"/>
  <c r="AB184" i="2"/>
  <c r="AB185" i="2"/>
  <c r="AB186" i="2"/>
  <c r="AB187" i="2"/>
  <c r="AB188" i="2"/>
  <c r="AB189" i="2"/>
  <c r="AB190" i="2"/>
  <c r="AB191" i="2"/>
  <c r="AB192" i="2"/>
  <c r="AB193" i="2"/>
  <c r="AB194" i="2"/>
  <c r="AB195" i="2"/>
  <c r="AB196" i="2"/>
  <c r="AB197" i="2"/>
  <c r="AB198" i="2"/>
  <c r="AB199" i="2"/>
  <c r="AB200" i="2"/>
  <c r="AB201" i="2"/>
  <c r="AB202" i="2"/>
  <c r="AB203" i="2"/>
  <c r="AB204" i="2"/>
  <c r="AB205" i="2"/>
  <c r="AB206" i="2"/>
  <c r="AB207" i="2"/>
  <c r="AB208" i="2"/>
  <c r="AB209" i="2"/>
  <c r="AB210" i="2"/>
  <c r="AB211" i="2"/>
  <c r="AB212" i="2"/>
  <c r="AB213" i="2"/>
  <c r="AB214" i="2"/>
  <c r="AB215" i="2"/>
  <c r="AB216" i="2"/>
  <c r="AB217" i="2"/>
  <c r="AB218" i="2"/>
  <c r="AB219" i="2"/>
  <c r="AB220" i="2"/>
  <c r="AB221" i="2"/>
  <c r="AB222" i="2"/>
  <c r="AB223" i="2"/>
  <c r="AB224" i="2"/>
  <c r="AB225" i="2"/>
  <c r="AB226" i="2"/>
  <c r="AB227" i="2"/>
  <c r="AB228" i="2"/>
  <c r="AB229" i="2"/>
  <c r="AB230" i="2"/>
  <c r="AB231" i="2"/>
  <c r="AB232" i="2"/>
  <c r="AB233" i="2"/>
  <c r="AB234" i="2"/>
  <c r="AB235" i="2"/>
  <c r="AB236" i="2"/>
  <c r="AB237" i="2"/>
  <c r="AB238" i="2"/>
  <c r="AB239" i="2"/>
  <c r="AB240" i="2"/>
  <c r="AB241" i="2"/>
  <c r="AB242" i="2"/>
  <c r="AB243" i="2"/>
  <c r="AB244" i="2"/>
  <c r="AB245" i="2"/>
  <c r="AB246" i="2"/>
  <c r="AB247" i="2"/>
  <c r="AB248" i="2"/>
  <c r="AB249" i="2"/>
  <c r="AB250" i="2"/>
  <c r="AB251" i="2"/>
  <c r="AB252" i="2"/>
  <c r="AB253" i="2"/>
  <c r="AB254" i="2"/>
  <c r="AB255" i="2"/>
  <c r="AB256" i="2"/>
  <c r="AB257" i="2"/>
  <c r="AB258" i="2"/>
  <c r="AB259" i="2"/>
  <c r="AB260" i="2"/>
  <c r="AB261" i="2"/>
  <c r="AB262" i="2"/>
  <c r="AB263" i="2"/>
  <c r="AB264" i="2"/>
  <c r="AB265" i="2"/>
  <c r="AB266" i="2"/>
  <c r="AB267" i="2"/>
  <c r="AB268" i="2"/>
  <c r="AB269" i="2"/>
  <c r="AB270" i="2"/>
  <c r="AB271" i="2"/>
  <c r="AB272" i="2"/>
  <c r="AB273" i="2"/>
  <c r="AB274" i="2"/>
  <c r="AB275" i="2"/>
  <c r="AB276" i="2"/>
  <c r="AB277" i="2"/>
  <c r="AB278" i="2"/>
  <c r="AB279" i="2"/>
  <c r="AB280" i="2"/>
  <c r="AB281" i="2"/>
  <c r="AB282" i="2"/>
  <c r="AB283" i="2"/>
  <c r="AB284" i="2"/>
  <c r="AB285" i="2"/>
  <c r="AB286" i="2"/>
  <c r="AB287" i="2"/>
  <c r="AB288" i="2"/>
  <c r="AB289" i="2"/>
  <c r="AB290" i="2"/>
  <c r="AB291" i="2"/>
  <c r="AB292" i="2"/>
  <c r="AB293" i="2"/>
  <c r="AB294" i="2"/>
  <c r="AB295" i="2"/>
  <c r="AB296" i="2"/>
  <c r="AB297" i="2"/>
  <c r="AB298" i="2"/>
  <c r="AB299" i="2"/>
  <c r="AB300" i="2"/>
  <c r="AB301" i="2"/>
  <c r="AB302" i="2"/>
  <c r="AB303" i="2"/>
  <c r="AB304" i="2"/>
  <c r="AB305" i="2"/>
  <c r="AB306" i="2"/>
  <c r="AB307" i="2"/>
  <c r="AB308" i="2"/>
  <c r="AB309" i="2"/>
  <c r="AB310" i="2"/>
  <c r="AB311" i="2"/>
  <c r="AB312" i="2"/>
  <c r="AB313" i="2"/>
  <c r="AB314" i="2"/>
  <c r="AB315" i="2"/>
  <c r="AB316" i="2"/>
  <c r="AB317" i="2"/>
  <c r="AB318" i="2"/>
  <c r="AB319" i="2"/>
  <c r="AB320" i="2"/>
  <c r="AB321" i="2"/>
  <c r="AB322" i="2"/>
  <c r="AB323" i="2"/>
  <c r="AB324" i="2"/>
  <c r="AB325" i="2"/>
  <c r="AB326" i="2"/>
  <c r="AB327" i="2"/>
  <c r="AB328" i="2"/>
  <c r="AB329" i="2"/>
  <c r="AB330" i="2"/>
  <c r="AB331" i="2"/>
  <c r="AB332" i="2"/>
  <c r="AB333" i="2"/>
  <c r="AB334" i="2"/>
  <c r="AB335" i="2"/>
  <c r="AB336" i="2"/>
  <c r="AB337" i="2"/>
  <c r="AB338" i="2"/>
  <c r="AB339" i="2"/>
  <c r="AB340" i="2"/>
  <c r="AB341" i="2"/>
  <c r="AB342" i="2"/>
  <c r="AB343" i="2"/>
  <c r="AB344" i="2"/>
  <c r="AB345" i="2"/>
  <c r="AB346" i="2"/>
  <c r="AB347" i="2"/>
  <c r="AB348" i="2"/>
  <c r="AB349" i="2"/>
  <c r="AB350" i="2"/>
  <c r="AB351" i="2"/>
  <c r="AB352" i="2"/>
  <c r="AB353" i="2"/>
  <c r="AB354" i="2"/>
  <c r="AB355" i="2"/>
  <c r="AB356" i="2"/>
  <c r="AB357" i="2"/>
  <c r="AB358" i="2"/>
  <c r="AB359" i="2"/>
  <c r="AB360" i="2"/>
  <c r="AB361" i="2"/>
  <c r="AB362" i="2"/>
  <c r="AB363" i="2"/>
  <c r="AB364" i="2"/>
  <c r="AB365" i="2"/>
  <c r="AB366" i="2"/>
  <c r="AB367" i="2"/>
  <c r="AB368" i="2"/>
  <c r="AB369" i="2"/>
  <c r="AB370" i="2"/>
  <c r="AB371" i="2"/>
  <c r="AB372" i="2"/>
  <c r="AB373" i="2"/>
  <c r="AB374" i="2"/>
  <c r="AB375" i="2"/>
  <c r="AB376" i="2"/>
  <c r="AB377" i="2"/>
  <c r="AB378" i="2"/>
  <c r="AB379" i="2"/>
  <c r="AB380" i="2"/>
  <c r="AB381" i="2"/>
  <c r="AB382" i="2"/>
  <c r="AB383" i="2"/>
  <c r="AB384" i="2"/>
  <c r="AB385" i="2"/>
  <c r="AB386" i="2"/>
  <c r="AB387" i="2"/>
  <c r="AB388" i="2"/>
  <c r="AB389" i="2"/>
  <c r="AB390" i="2"/>
  <c r="AB391" i="2"/>
  <c r="AB392" i="2"/>
  <c r="AB393" i="2"/>
  <c r="AB394" i="2"/>
  <c r="AB395" i="2"/>
  <c r="AB396" i="2"/>
  <c r="AB397" i="2"/>
  <c r="AB398" i="2"/>
  <c r="AB399" i="2"/>
  <c r="AB400" i="2"/>
  <c r="AB401" i="2"/>
  <c r="AB402" i="2"/>
  <c r="AB403" i="2"/>
  <c r="AB404" i="2"/>
  <c r="AB405" i="2"/>
  <c r="AB406" i="2"/>
  <c r="AB407" i="2"/>
  <c r="AB408" i="2"/>
  <c r="AB409" i="2"/>
  <c r="AB410" i="2"/>
  <c r="AB411" i="2"/>
  <c r="AB412" i="2"/>
  <c r="AB413" i="2"/>
  <c r="AB414" i="2"/>
  <c r="AB415" i="2"/>
  <c r="AB416" i="2"/>
  <c r="AB417" i="2"/>
  <c r="AB418" i="2"/>
  <c r="AB419" i="2"/>
  <c r="AB420" i="2"/>
  <c r="AB421" i="2"/>
  <c r="AB422" i="2"/>
  <c r="AB423" i="2"/>
  <c r="AB424" i="2"/>
  <c r="AB425" i="2"/>
  <c r="AB426" i="2"/>
  <c r="AB427" i="2"/>
  <c r="AB428" i="2"/>
  <c r="AB429" i="2"/>
  <c r="AB430" i="2"/>
  <c r="AB431" i="2"/>
  <c r="AB432" i="2"/>
  <c r="AB433" i="2"/>
  <c r="AB434" i="2"/>
  <c r="AB435" i="2"/>
  <c r="AB436" i="2"/>
  <c r="AB437" i="2"/>
  <c r="AB438" i="2"/>
  <c r="AB439" i="2"/>
  <c r="AB440" i="2"/>
  <c r="AB441" i="2"/>
  <c r="AB442" i="2"/>
  <c r="AB443" i="2"/>
  <c r="AB444" i="2"/>
  <c r="AB445" i="2"/>
  <c r="AB446" i="2"/>
  <c r="AB447" i="2"/>
  <c r="AB448" i="2"/>
  <c r="AB449" i="2"/>
  <c r="AB450" i="2"/>
  <c r="AB451" i="2"/>
  <c r="AB452" i="2"/>
  <c r="AB453" i="2"/>
  <c r="AB454" i="2"/>
  <c r="AB455" i="2"/>
  <c r="AB456" i="2"/>
  <c r="AB457" i="2"/>
  <c r="AB458" i="2"/>
  <c r="AB459" i="2"/>
  <c r="AB460" i="2"/>
  <c r="AB461" i="2"/>
  <c r="AB462" i="2"/>
  <c r="AB463" i="2"/>
  <c r="AB464" i="2"/>
  <c r="AB465" i="2"/>
  <c r="AB466" i="2"/>
  <c r="AB467" i="2"/>
  <c r="AB468" i="2"/>
  <c r="AB469" i="2"/>
  <c r="AB470" i="2"/>
  <c r="AB471" i="2"/>
  <c r="AB472" i="2"/>
  <c r="AB473" i="2"/>
  <c r="AB474" i="2"/>
  <c r="AB475" i="2"/>
  <c r="AB476" i="2"/>
  <c r="AB477" i="2"/>
  <c r="AB478" i="2"/>
  <c r="AB479" i="2"/>
  <c r="AB480" i="2"/>
  <c r="AB481" i="2"/>
  <c r="AB482" i="2"/>
  <c r="AB483" i="2"/>
  <c r="AB484" i="2"/>
  <c r="AB485" i="2"/>
  <c r="AB486" i="2"/>
  <c r="AB487" i="2"/>
  <c r="AB488" i="2"/>
  <c r="AB489" i="2"/>
  <c r="AB490" i="2"/>
  <c r="AB491" i="2"/>
  <c r="AB492" i="2"/>
  <c r="AB493" i="2"/>
  <c r="AB494" i="2"/>
  <c r="AB495" i="2"/>
  <c r="AB496" i="2"/>
  <c r="AB497" i="2"/>
  <c r="AB498" i="2"/>
  <c r="AB499" i="2"/>
  <c r="AB500" i="2"/>
  <c r="AB501" i="2"/>
  <c r="AB502" i="2"/>
  <c r="AB503" i="2"/>
  <c r="AB504" i="2"/>
  <c r="AB505" i="2"/>
  <c r="AB506" i="2"/>
  <c r="AB507" i="2"/>
  <c r="AB508" i="2"/>
  <c r="AA509" i="2"/>
  <c r="Y509" i="2"/>
  <c r="Z509" i="2" s="1"/>
  <c r="W509" i="2"/>
  <c r="V509" i="2"/>
  <c r="V6" i="2" a="1"/>
  <c r="Q507" i="4" l="1"/>
  <c r="R507" i="4" s="1"/>
  <c r="Q24" i="4"/>
  <c r="Q4" i="4"/>
  <c r="Q18" i="4"/>
  <c r="Q32" i="4"/>
  <c r="Q74" i="4"/>
  <c r="Q187" i="4"/>
  <c r="Q26" i="4"/>
  <c r="Q40" i="4"/>
  <c r="Q122" i="4"/>
  <c r="Q193" i="4"/>
  <c r="R193" i="4" s="1"/>
  <c r="Q9" i="4"/>
  <c r="R9" i="4" s="1"/>
  <c r="Q14" i="4"/>
  <c r="Q34" i="4"/>
  <c r="Q48" i="4"/>
  <c r="Q86" i="4"/>
  <c r="Q94" i="4"/>
  <c r="Q150" i="4"/>
  <c r="Q42" i="4"/>
  <c r="Q56" i="4"/>
  <c r="Q50" i="4"/>
  <c r="Q64" i="4"/>
  <c r="Q58" i="4"/>
  <c r="Q72" i="4"/>
  <c r="Q118" i="4"/>
  <c r="Q154" i="4"/>
  <c r="Q12" i="4"/>
  <c r="Q16" i="4"/>
  <c r="Q66" i="4"/>
  <c r="Q90" i="4"/>
  <c r="Q199" i="4"/>
  <c r="R199" i="4" s="1"/>
  <c r="Q258" i="4"/>
  <c r="Q269" i="4"/>
  <c r="Q378" i="4"/>
  <c r="Q158" i="4"/>
  <c r="Q286" i="4"/>
  <c r="Q392" i="4"/>
  <c r="Q98" i="4"/>
  <c r="Q130" i="4"/>
  <c r="Q162" i="4"/>
  <c r="Q184" i="4"/>
  <c r="Q250" i="4"/>
  <c r="Q397" i="4"/>
  <c r="Q13" i="4"/>
  <c r="R13" i="4" s="1"/>
  <c r="Q102" i="4"/>
  <c r="Q134" i="4"/>
  <c r="Q166" i="4"/>
  <c r="Q185" i="4"/>
  <c r="Q346" i="4"/>
  <c r="Q30" i="4"/>
  <c r="Q46" i="4"/>
  <c r="Q54" i="4"/>
  <c r="Q62" i="4"/>
  <c r="Q70" i="4"/>
  <c r="Q78" i="4"/>
  <c r="Q106" i="4"/>
  <c r="Q138" i="4"/>
  <c r="Q170" i="4"/>
  <c r="Q181" i="4"/>
  <c r="Q190" i="4"/>
  <c r="Q196" i="4"/>
  <c r="R196" i="4" s="1"/>
  <c r="Q222" i="4"/>
  <c r="Q242" i="4"/>
  <c r="Q126" i="4"/>
  <c r="Q188" i="4"/>
  <c r="Q22" i="4"/>
  <c r="Q38" i="4"/>
  <c r="Q8" i="4"/>
  <c r="R8" i="4" s="1"/>
  <c r="Q20" i="4"/>
  <c r="Q28" i="4"/>
  <c r="Q36" i="4"/>
  <c r="Q44" i="4"/>
  <c r="Q52" i="4"/>
  <c r="Q60" i="4"/>
  <c r="Q68" i="4"/>
  <c r="Q76" i="4"/>
  <c r="Q110" i="4"/>
  <c r="Q142" i="4"/>
  <c r="Q174" i="4"/>
  <c r="Q182" i="4"/>
  <c r="Q191" i="4"/>
  <c r="Q318" i="4"/>
  <c r="Q6" i="4"/>
  <c r="R6" i="4" s="1"/>
  <c r="Q5" i="4"/>
  <c r="R5" i="4" s="1"/>
  <c r="Q10" i="4"/>
  <c r="Q82" i="4"/>
  <c r="Q114" i="4"/>
  <c r="Q146" i="4"/>
  <c r="Q178" i="4"/>
  <c r="Q224" i="4"/>
  <c r="R224" i="4" s="1"/>
  <c r="Q234" i="4"/>
  <c r="Q266" i="4"/>
  <c r="Q7" i="4"/>
  <c r="R7" i="4" s="1"/>
  <c r="Q11" i="4"/>
  <c r="R11" i="4" s="1"/>
  <c r="Q15" i="4"/>
  <c r="Q19" i="4"/>
  <c r="R19" i="4" s="1"/>
  <c r="Q23" i="4"/>
  <c r="R23" i="4" s="1"/>
  <c r="Q27" i="4"/>
  <c r="R27" i="4" s="1"/>
  <c r="Q31" i="4"/>
  <c r="R31" i="4" s="1"/>
  <c r="Q35" i="4"/>
  <c r="R35" i="4" s="1"/>
  <c r="Q39" i="4"/>
  <c r="R39" i="4" s="1"/>
  <c r="Q43" i="4"/>
  <c r="Q47" i="4"/>
  <c r="R47" i="4" s="1"/>
  <c r="Q51" i="4"/>
  <c r="R51" i="4" s="1"/>
  <c r="Q55" i="4"/>
  <c r="R55" i="4" s="1"/>
  <c r="Q59" i="4"/>
  <c r="Q63" i="4"/>
  <c r="R63" i="4" s="1"/>
  <c r="Q67" i="4"/>
  <c r="R67" i="4" s="1"/>
  <c r="Q71" i="4"/>
  <c r="R71" i="4" s="1"/>
  <c r="Q75" i="4"/>
  <c r="R75" i="4" s="1"/>
  <c r="Q79" i="4"/>
  <c r="R79" i="4" s="1"/>
  <c r="Q83" i="4"/>
  <c r="Q87" i="4"/>
  <c r="Q91" i="4"/>
  <c r="Q95" i="4"/>
  <c r="Q99" i="4"/>
  <c r="Q103" i="4"/>
  <c r="Q107" i="4"/>
  <c r="Q111" i="4"/>
  <c r="Q115" i="4"/>
  <c r="Q119" i="4"/>
  <c r="Q123" i="4"/>
  <c r="Q127" i="4"/>
  <c r="Q131" i="4"/>
  <c r="Q135" i="4"/>
  <c r="R135" i="4" s="1"/>
  <c r="Q139" i="4"/>
  <c r="Q143" i="4"/>
  <c r="Q147" i="4"/>
  <c r="Q151" i="4"/>
  <c r="R151" i="4" s="1"/>
  <c r="Q155" i="4"/>
  <c r="Q159" i="4"/>
  <c r="Q163" i="4"/>
  <c r="Q167" i="4"/>
  <c r="R167" i="4" s="1"/>
  <c r="Q171" i="4"/>
  <c r="Q175" i="4"/>
  <c r="R175" i="4" s="1"/>
  <c r="Q179" i="4"/>
  <c r="Q202" i="4"/>
  <c r="R202" i="4" s="1"/>
  <c r="Q205" i="4"/>
  <c r="R205" i="4" s="1"/>
  <c r="Q208" i="4"/>
  <c r="Q211" i="4"/>
  <c r="Q216" i="4"/>
  <c r="R216" i="4" s="1"/>
  <c r="Q218" i="4"/>
  <c r="Q226" i="4"/>
  <c r="Q290" i="4"/>
  <c r="Q326" i="4"/>
  <c r="Q393" i="4"/>
  <c r="Q444" i="4"/>
  <c r="Q210" i="4"/>
  <c r="R210" i="4" s="1"/>
  <c r="Q213" i="4"/>
  <c r="R213" i="4" s="1"/>
  <c r="Q220" i="4"/>
  <c r="Q229" i="4"/>
  <c r="R229" i="4" s="1"/>
  <c r="Q237" i="4"/>
  <c r="R237" i="4" s="1"/>
  <c r="Q245" i="4"/>
  <c r="R245" i="4" s="1"/>
  <c r="Q253" i="4"/>
  <c r="R253" i="4" s="1"/>
  <c r="Q261" i="4"/>
  <c r="R261" i="4" s="1"/>
  <c r="Q273" i="4"/>
  <c r="R273" i="4" s="1"/>
  <c r="Q350" i="4"/>
  <c r="Q419" i="4"/>
  <c r="Q198" i="4"/>
  <c r="Q201" i="4"/>
  <c r="R201" i="4" s="1"/>
  <c r="Q204" i="4"/>
  <c r="R204" i="4" s="1"/>
  <c r="Q207" i="4"/>
  <c r="Q270" i="4"/>
  <c r="Q277" i="4"/>
  <c r="R277" i="4" s="1"/>
  <c r="Q424" i="4"/>
  <c r="Q17" i="4"/>
  <c r="R17" i="4" s="1"/>
  <c r="Q21" i="4"/>
  <c r="Q25" i="4"/>
  <c r="R25" i="4" s="1"/>
  <c r="Q29" i="4"/>
  <c r="R29" i="4" s="1"/>
  <c r="Q33" i="4"/>
  <c r="Q37" i="4"/>
  <c r="R37" i="4" s="1"/>
  <c r="Q41" i="4"/>
  <c r="R41" i="4" s="1"/>
  <c r="Q45" i="4"/>
  <c r="R45" i="4" s="1"/>
  <c r="Q49" i="4"/>
  <c r="R49" i="4" s="1"/>
  <c r="Q53" i="4"/>
  <c r="R53" i="4" s="1"/>
  <c r="Q57" i="4"/>
  <c r="R57" i="4" s="1"/>
  <c r="Q61" i="4"/>
  <c r="R61" i="4" s="1"/>
  <c r="Q65" i="4"/>
  <c r="R65" i="4" s="1"/>
  <c r="Q69" i="4"/>
  <c r="R69" i="4" s="1"/>
  <c r="Q73" i="4"/>
  <c r="R73" i="4" s="1"/>
  <c r="Q77" i="4"/>
  <c r="R77" i="4" s="1"/>
  <c r="Q81" i="4"/>
  <c r="R81" i="4" s="1"/>
  <c r="Q85" i="4"/>
  <c r="R85" i="4" s="1"/>
  <c r="Q89" i="4"/>
  <c r="Q93" i="4"/>
  <c r="Q97" i="4"/>
  <c r="R97" i="4" s="1"/>
  <c r="Q101" i="4"/>
  <c r="R101" i="4" s="1"/>
  <c r="Q105" i="4"/>
  <c r="R105" i="4" s="1"/>
  <c r="Q109" i="4"/>
  <c r="R109" i="4" s="1"/>
  <c r="Q113" i="4"/>
  <c r="R113" i="4" s="1"/>
  <c r="Q117" i="4"/>
  <c r="R117" i="4" s="1"/>
  <c r="Q121" i="4"/>
  <c r="R121" i="4" s="1"/>
  <c r="Q125" i="4"/>
  <c r="R125" i="4" s="1"/>
  <c r="Q129" i="4"/>
  <c r="R129" i="4" s="1"/>
  <c r="Q133" i="4"/>
  <c r="R133" i="4" s="1"/>
  <c r="Q137" i="4"/>
  <c r="Q141" i="4"/>
  <c r="R141" i="4" s="1"/>
  <c r="Q145" i="4"/>
  <c r="R145" i="4" s="1"/>
  <c r="Q149" i="4"/>
  <c r="R149" i="4" s="1"/>
  <c r="Q153" i="4"/>
  <c r="R153" i="4" s="1"/>
  <c r="Q157" i="4"/>
  <c r="R157" i="4" s="1"/>
  <c r="Q161" i="4"/>
  <c r="Q165" i="4"/>
  <c r="R165" i="4" s="1"/>
  <c r="Q169" i="4"/>
  <c r="R169" i="4" s="1"/>
  <c r="Q173" i="4"/>
  <c r="R173" i="4" s="1"/>
  <c r="Q177" i="4"/>
  <c r="R177" i="4" s="1"/>
  <c r="Q186" i="4"/>
  <c r="Q189" i="4"/>
  <c r="R189" i="4" s="1"/>
  <c r="Q192" i="4"/>
  <c r="Q195" i="4"/>
  <c r="R195" i="4" s="1"/>
  <c r="Q217" i="4"/>
  <c r="Q225" i="4"/>
  <c r="R225" i="4" s="1"/>
  <c r="Q274" i="4"/>
  <c r="R274" i="4" s="1"/>
  <c r="Q281" i="4"/>
  <c r="R281" i="4" s="1"/>
  <c r="Q292" i="4"/>
  <c r="Q383" i="4"/>
  <c r="Q180" i="4"/>
  <c r="R180" i="4" s="1"/>
  <c r="Q183" i="4"/>
  <c r="R183" i="4" s="1"/>
  <c r="Q206" i="4"/>
  <c r="R206" i="4" s="1"/>
  <c r="Q209" i="4"/>
  <c r="R209" i="4" s="1"/>
  <c r="Q212" i="4"/>
  <c r="R212" i="4" s="1"/>
  <c r="Q221" i="4"/>
  <c r="R221" i="4" s="1"/>
  <c r="Q230" i="4"/>
  <c r="R230" i="4" s="1"/>
  <c r="Q238" i="4"/>
  <c r="Q246" i="4"/>
  <c r="R246" i="4" s="1"/>
  <c r="Q254" i="4"/>
  <c r="Q262" i="4"/>
  <c r="R262" i="4" s="1"/>
  <c r="Q278" i="4"/>
  <c r="R278" i="4" s="1"/>
  <c r="Q285" i="4"/>
  <c r="Q302" i="4"/>
  <c r="Q492" i="4"/>
  <c r="Q80" i="4"/>
  <c r="R80" i="4" s="1"/>
  <c r="Q84" i="4"/>
  <c r="Q88" i="4"/>
  <c r="R88" i="4" s="1"/>
  <c r="Q92" i="4"/>
  <c r="R92" i="4" s="1"/>
  <c r="Q96" i="4"/>
  <c r="R96" i="4" s="1"/>
  <c r="Q100" i="4"/>
  <c r="Q104" i="4"/>
  <c r="R104" i="4" s="1"/>
  <c r="Q108" i="4"/>
  <c r="R108" i="4" s="1"/>
  <c r="Q112" i="4"/>
  <c r="R112" i="4" s="1"/>
  <c r="Q116" i="4"/>
  <c r="Q120" i="4"/>
  <c r="R120" i="4" s="1"/>
  <c r="Q124" i="4"/>
  <c r="R124" i="4" s="1"/>
  <c r="Q128" i="4"/>
  <c r="R128" i="4" s="1"/>
  <c r="Q132" i="4"/>
  <c r="Q136" i="4"/>
  <c r="R136" i="4" s="1"/>
  <c r="Q140" i="4"/>
  <c r="R140" i="4" s="1"/>
  <c r="Q144" i="4"/>
  <c r="R144" i="4" s="1"/>
  <c r="Q148" i="4"/>
  <c r="Q152" i="4"/>
  <c r="R152" i="4" s="1"/>
  <c r="Q156" i="4"/>
  <c r="R156" i="4" s="1"/>
  <c r="Q160" i="4"/>
  <c r="R160" i="4" s="1"/>
  <c r="Q164" i="4"/>
  <c r="Q168" i="4"/>
  <c r="R168" i="4" s="1"/>
  <c r="Q172" i="4"/>
  <c r="R172" i="4" s="1"/>
  <c r="Q176" i="4"/>
  <c r="R176" i="4" s="1"/>
  <c r="Q194" i="4"/>
  <c r="Q197" i="4"/>
  <c r="R197" i="4" s="1"/>
  <c r="Q200" i="4"/>
  <c r="Q203" i="4"/>
  <c r="R203" i="4" s="1"/>
  <c r="Q214" i="4"/>
  <c r="R214" i="4" s="1"/>
  <c r="Q233" i="4"/>
  <c r="R233" i="4" s="1"/>
  <c r="Q241" i="4"/>
  <c r="Q249" i="4"/>
  <c r="R249" i="4" s="1"/>
  <c r="Q257" i="4"/>
  <c r="R257" i="4" s="1"/>
  <c r="Q265" i="4"/>
  <c r="R265" i="4" s="1"/>
  <c r="Q282" i="4"/>
  <c r="Q289" i="4"/>
  <c r="R289" i="4" s="1"/>
  <c r="Q310" i="4"/>
  <c r="Q408" i="4"/>
  <c r="Q432" i="4"/>
  <c r="Q334" i="4"/>
  <c r="Q342" i="4"/>
  <c r="Q370" i="4"/>
  <c r="Q308" i="4"/>
  <c r="Q316" i="4"/>
  <c r="Q324" i="4"/>
  <c r="Q332" i="4"/>
  <c r="Q340" i="4"/>
  <c r="Q374" i="4"/>
  <c r="Q406" i="4"/>
  <c r="Q228" i="4"/>
  <c r="Q232" i="4"/>
  <c r="R232" i="4" s="1"/>
  <c r="Q236" i="4"/>
  <c r="Q240" i="4"/>
  <c r="R240" i="4" s="1"/>
  <c r="Q244" i="4"/>
  <c r="Q248" i="4"/>
  <c r="Q252" i="4"/>
  <c r="Q256" i="4"/>
  <c r="R256" i="4" s="1"/>
  <c r="Q260" i="4"/>
  <c r="Q264" i="4"/>
  <c r="R264" i="4" s="1"/>
  <c r="Q268" i="4"/>
  <c r="Q272" i="4"/>
  <c r="R272" i="4" s="1"/>
  <c r="Q276" i="4"/>
  <c r="R276" i="4" s="1"/>
  <c r="Q280" i="4"/>
  <c r="R280" i="4" s="1"/>
  <c r="Q284" i="4"/>
  <c r="R284" i="4" s="1"/>
  <c r="Q288" i="4"/>
  <c r="R288" i="4" s="1"/>
  <c r="Q294" i="4"/>
  <c r="Q306" i="4"/>
  <c r="Q314" i="4"/>
  <c r="Q322" i="4"/>
  <c r="Q330" i="4"/>
  <c r="Q338" i="4"/>
  <c r="Q354" i="4"/>
  <c r="Q414" i="4"/>
  <c r="R414" i="4" s="1"/>
  <c r="Q426" i="4"/>
  <c r="Q460" i="4"/>
  <c r="Q476" i="4"/>
  <c r="Q291" i="4"/>
  <c r="Q296" i="4"/>
  <c r="Q304" i="4"/>
  <c r="Q312" i="4"/>
  <c r="Q320" i="4"/>
  <c r="Q328" i="4"/>
  <c r="Q336" i="4"/>
  <c r="Q358" i="4"/>
  <c r="Q448" i="4"/>
  <c r="Q215" i="4"/>
  <c r="Q219" i="4"/>
  <c r="R219" i="4" s="1"/>
  <c r="Q223" i="4"/>
  <c r="R223" i="4" s="1"/>
  <c r="Q227" i="4"/>
  <c r="R227" i="4" s="1"/>
  <c r="Q231" i="4"/>
  <c r="R231" i="4" s="1"/>
  <c r="Q235" i="4"/>
  <c r="R235" i="4" s="1"/>
  <c r="Q239" i="4"/>
  <c r="Q243" i="4"/>
  <c r="R243" i="4" s="1"/>
  <c r="Q247" i="4"/>
  <c r="R247" i="4" s="1"/>
  <c r="Q251" i="4"/>
  <c r="R251" i="4" s="1"/>
  <c r="Q255" i="4"/>
  <c r="Q259" i="4"/>
  <c r="R259" i="4" s="1"/>
  <c r="Q263" i="4"/>
  <c r="R263" i="4" s="1"/>
  <c r="Q267" i="4"/>
  <c r="R267" i="4" s="1"/>
  <c r="Q271" i="4"/>
  <c r="Q275" i="4"/>
  <c r="R275" i="4" s="1"/>
  <c r="Q279" i="4"/>
  <c r="R279" i="4" s="1"/>
  <c r="Q283" i="4"/>
  <c r="R283" i="4" s="1"/>
  <c r="Q287" i="4"/>
  <c r="Q298" i="4"/>
  <c r="Q362" i="4"/>
  <c r="R362" i="4" s="1"/>
  <c r="Q399" i="4"/>
  <c r="Q415" i="4"/>
  <c r="Q464" i="4"/>
  <c r="Q300" i="4"/>
  <c r="R300" i="4" s="1"/>
  <c r="Q366" i="4"/>
  <c r="Q381" i="4"/>
  <c r="Q390" i="4"/>
  <c r="Q480" i="4"/>
  <c r="Q496" i="4"/>
  <c r="Q295" i="4"/>
  <c r="R295" i="4" s="1"/>
  <c r="Q299" i="4"/>
  <c r="Q303" i="4"/>
  <c r="R303" i="4" s="1"/>
  <c r="Q307" i="4"/>
  <c r="R307" i="4" s="1"/>
  <c r="Q311" i="4"/>
  <c r="Q315" i="4"/>
  <c r="R315" i="4" s="1"/>
  <c r="Q319" i="4"/>
  <c r="R319" i="4" s="1"/>
  <c r="Q323" i="4"/>
  <c r="R323" i="4" s="1"/>
  <c r="Q327" i="4"/>
  <c r="R327" i="4" s="1"/>
  <c r="Q331" i="4"/>
  <c r="R331" i="4" s="1"/>
  <c r="Q335" i="4"/>
  <c r="R335" i="4" s="1"/>
  <c r="Q339" i="4"/>
  <c r="R339" i="4" s="1"/>
  <c r="Q343" i="4"/>
  <c r="Q347" i="4"/>
  <c r="Q351" i="4"/>
  <c r="Q355" i="4"/>
  <c r="Q359" i="4"/>
  <c r="Q363" i="4"/>
  <c r="Q367" i="4"/>
  <c r="Q371" i="4"/>
  <c r="Q375" i="4"/>
  <c r="Q379" i="4"/>
  <c r="Q386" i="4"/>
  <c r="Q388" i="4"/>
  <c r="R388" i="4" s="1"/>
  <c r="Q395" i="4"/>
  <c r="Q402" i="4"/>
  <c r="R402" i="4" s="1"/>
  <c r="Q404" i="4"/>
  <c r="Q410" i="4"/>
  <c r="Q423" i="4"/>
  <c r="Q431" i="4"/>
  <c r="Q385" i="4"/>
  <c r="R385" i="4" s="1"/>
  <c r="Q401" i="4"/>
  <c r="Q411" i="4"/>
  <c r="R411" i="4" s="1"/>
  <c r="Q435" i="4"/>
  <c r="R435" i="4" s="1"/>
  <c r="Q440" i="4"/>
  <c r="Q456" i="4"/>
  <c r="Q472" i="4"/>
  <c r="Q488" i="4"/>
  <c r="Q504" i="4"/>
  <c r="Q293" i="4"/>
  <c r="Q297" i="4"/>
  <c r="R297" i="4" s="1"/>
  <c r="Q301" i="4"/>
  <c r="R301" i="4" s="1"/>
  <c r="Q305" i="4"/>
  <c r="R305" i="4" s="1"/>
  <c r="Q309" i="4"/>
  <c r="Q313" i="4"/>
  <c r="R313" i="4" s="1"/>
  <c r="Q317" i="4"/>
  <c r="Q321" i="4"/>
  <c r="R321" i="4" s="1"/>
  <c r="Q325" i="4"/>
  <c r="Q329" i="4"/>
  <c r="Q333" i="4"/>
  <c r="Q337" i="4"/>
  <c r="Q341" i="4"/>
  <c r="Q345" i="4"/>
  <c r="R345" i="4" s="1"/>
  <c r="Q349" i="4"/>
  <c r="Q353" i="4"/>
  <c r="Q357" i="4"/>
  <c r="R357" i="4" s="1"/>
  <c r="Q361" i="4"/>
  <c r="R361" i="4" s="1"/>
  <c r="Q365" i="4"/>
  <c r="Q369" i="4"/>
  <c r="R369" i="4" s="1"/>
  <c r="Q373" i="4"/>
  <c r="R373" i="4" s="1"/>
  <c r="Q377" i="4"/>
  <c r="Q380" i="4"/>
  <c r="R380" i="4" s="1"/>
  <c r="Q387" i="4"/>
  <c r="R387" i="4" s="1"/>
  <c r="Q394" i="4"/>
  <c r="R394" i="4" s="1"/>
  <c r="Q396" i="4"/>
  <c r="Q403" i="4"/>
  <c r="R403" i="4" s="1"/>
  <c r="Q407" i="4"/>
  <c r="R407" i="4" s="1"/>
  <c r="Q420" i="4"/>
  <c r="Q427" i="4"/>
  <c r="R427" i="4" s="1"/>
  <c r="Q436" i="4"/>
  <c r="Q389" i="4"/>
  <c r="R389" i="4" s="1"/>
  <c r="Q416" i="4"/>
  <c r="Q422" i="4"/>
  <c r="R422" i="4" s="1"/>
  <c r="Q430" i="4"/>
  <c r="Q452" i="4"/>
  <c r="R452" i="4" s="1"/>
  <c r="Q468" i="4"/>
  <c r="Q484" i="4"/>
  <c r="Q500" i="4"/>
  <c r="Q344" i="4"/>
  <c r="Q348" i="4"/>
  <c r="Q352" i="4"/>
  <c r="Q356" i="4"/>
  <c r="Q360" i="4"/>
  <c r="Q364" i="4"/>
  <c r="Q368" i="4"/>
  <c r="Q372" i="4"/>
  <c r="Q376" i="4"/>
  <c r="Q382" i="4"/>
  <c r="R382" i="4" s="1"/>
  <c r="Q384" i="4"/>
  <c r="R384" i="4" s="1"/>
  <c r="Q391" i="4"/>
  <c r="R391" i="4" s="1"/>
  <c r="Q398" i="4"/>
  <c r="Q400" i="4"/>
  <c r="R400" i="4" s="1"/>
  <c r="Q412" i="4"/>
  <c r="Q418" i="4"/>
  <c r="R418" i="4" s="1"/>
  <c r="Q428" i="4"/>
  <c r="Q439" i="4"/>
  <c r="R439" i="4" s="1"/>
  <c r="Q443" i="4"/>
  <c r="R443" i="4" s="1"/>
  <c r="Q447" i="4"/>
  <c r="R447" i="4" s="1"/>
  <c r="Q451" i="4"/>
  <c r="Q455" i="4"/>
  <c r="R455" i="4" s="1"/>
  <c r="Q459" i="4"/>
  <c r="R459" i="4" s="1"/>
  <c r="Q463" i="4"/>
  <c r="R463" i="4" s="1"/>
  <c r="Q467" i="4"/>
  <c r="Q471" i="4"/>
  <c r="R471" i="4" s="1"/>
  <c r="Q475" i="4"/>
  <c r="R475" i="4" s="1"/>
  <c r="Q479" i="4"/>
  <c r="Q483" i="4"/>
  <c r="Q487" i="4"/>
  <c r="R487" i="4" s="1"/>
  <c r="Q491" i="4"/>
  <c r="R491" i="4" s="1"/>
  <c r="Q495" i="4"/>
  <c r="R495" i="4" s="1"/>
  <c r="Q499" i="4"/>
  <c r="Q503" i="4"/>
  <c r="R503" i="4" s="1"/>
  <c r="Q434" i="4"/>
  <c r="R434" i="4" s="1"/>
  <c r="Q438" i="4"/>
  <c r="Q442" i="4"/>
  <c r="Q446" i="4"/>
  <c r="Q450" i="4"/>
  <c r="Q454" i="4"/>
  <c r="Q458" i="4"/>
  <c r="Q462" i="4"/>
  <c r="Q466" i="4"/>
  <c r="R466" i="4" s="1"/>
  <c r="Q470" i="4"/>
  <c r="Q474" i="4"/>
  <c r="Q478" i="4"/>
  <c r="Q482" i="4"/>
  <c r="R482" i="4" s="1"/>
  <c r="Q486" i="4"/>
  <c r="Q490" i="4"/>
  <c r="Q494" i="4"/>
  <c r="Q498" i="4"/>
  <c r="R498" i="4" s="1"/>
  <c r="Q502" i="4"/>
  <c r="Q506" i="4"/>
  <c r="Q405" i="4"/>
  <c r="R405" i="4" s="1"/>
  <c r="Q409" i="4"/>
  <c r="R409" i="4" s="1"/>
  <c r="Q413" i="4"/>
  <c r="Q417" i="4"/>
  <c r="R417" i="4" s="1"/>
  <c r="Q421" i="4"/>
  <c r="R421" i="4" s="1"/>
  <c r="Q425" i="4"/>
  <c r="R425" i="4" s="1"/>
  <c r="Q429" i="4"/>
  <c r="R429" i="4" s="1"/>
  <c r="Q433" i="4"/>
  <c r="R433" i="4" s="1"/>
  <c r="Q437" i="4"/>
  <c r="R437" i="4" s="1"/>
  <c r="Q441" i="4"/>
  <c r="R441" i="4" s="1"/>
  <c r="Q445" i="4"/>
  <c r="Q449" i="4"/>
  <c r="R449" i="4" s="1"/>
  <c r="Q453" i="4"/>
  <c r="R453" i="4" s="1"/>
  <c r="Q457" i="4"/>
  <c r="R457" i="4" s="1"/>
  <c r="Q461" i="4"/>
  <c r="Q465" i="4"/>
  <c r="R465" i="4" s="1"/>
  <c r="Q469" i="4"/>
  <c r="R469" i="4" s="1"/>
  <c r="Q473" i="4"/>
  <c r="R473" i="4" s="1"/>
  <c r="Q477" i="4"/>
  <c r="Q481" i="4"/>
  <c r="R481" i="4" s="1"/>
  <c r="Q485" i="4"/>
  <c r="R485" i="4" s="1"/>
  <c r="Q489" i="4"/>
  <c r="R489" i="4" s="1"/>
  <c r="Q493" i="4"/>
  <c r="Q497" i="4"/>
  <c r="R497" i="4" s="1"/>
  <c r="Q501" i="4"/>
  <c r="R501" i="4" s="1"/>
  <c r="Q505" i="4"/>
  <c r="R505" i="4" s="1"/>
  <c r="K455" i="4"/>
  <c r="L455" i="4" s="1"/>
  <c r="K448" i="4"/>
  <c r="K440" i="4"/>
  <c r="K333" i="4"/>
  <c r="K506" i="4"/>
  <c r="K502" i="4"/>
  <c r="L502" i="4" s="1"/>
  <c r="K498" i="4"/>
  <c r="L498" i="4" s="1"/>
  <c r="K494" i="4"/>
  <c r="K488" i="4"/>
  <c r="K485" i="4"/>
  <c r="K482" i="4"/>
  <c r="K476" i="4"/>
  <c r="K474" i="4"/>
  <c r="L474" i="4" s="1"/>
  <c r="K461" i="4"/>
  <c r="L461" i="4" s="1"/>
  <c r="K451" i="4"/>
  <c r="L451" i="4" s="1"/>
  <c r="K444" i="4"/>
  <c r="K374" i="4"/>
  <c r="K491" i="4"/>
  <c r="L491" i="4" s="1"/>
  <c r="K478" i="4"/>
  <c r="K465" i="4"/>
  <c r="L465" i="4" s="1"/>
  <c r="K463" i="4"/>
  <c r="L463" i="4" s="1"/>
  <c r="K447" i="4"/>
  <c r="K372" i="4"/>
  <c r="K358" i="4"/>
  <c r="K329" i="4"/>
  <c r="L329" i="4" s="1"/>
  <c r="K470" i="4"/>
  <c r="L470" i="4" s="1"/>
  <c r="K499" i="4"/>
  <c r="K469" i="4"/>
  <c r="K467" i="4"/>
  <c r="L467" i="4" s="1"/>
  <c r="K443" i="4"/>
  <c r="L443" i="4" s="1"/>
  <c r="K356" i="4"/>
  <c r="K342" i="4"/>
  <c r="K492" i="4"/>
  <c r="K489" i="4"/>
  <c r="K486" i="4"/>
  <c r="K483" i="4"/>
  <c r="L483" i="4" s="1"/>
  <c r="K473" i="4"/>
  <c r="K471" i="4"/>
  <c r="K340" i="4"/>
  <c r="K472" i="4"/>
  <c r="L472" i="4" s="1"/>
  <c r="K480" i="4"/>
  <c r="L480" i="4" s="1"/>
  <c r="K503" i="4"/>
  <c r="K495" i="4"/>
  <c r="L495" i="4" s="1"/>
  <c r="K504" i="4"/>
  <c r="K500" i="4"/>
  <c r="L500" i="4" s="1"/>
  <c r="K496" i="4"/>
  <c r="L496" i="4" s="1"/>
  <c r="K481" i="4"/>
  <c r="K477" i="4"/>
  <c r="K475" i="4"/>
  <c r="L475" i="4" s="1"/>
  <c r="K460" i="4"/>
  <c r="K484" i="4"/>
  <c r="L484" i="4" s="1"/>
  <c r="K479" i="4"/>
  <c r="K464" i="4"/>
  <c r="K462" i="4"/>
  <c r="K456" i="4"/>
  <c r="K365" i="4"/>
  <c r="K505" i="4"/>
  <c r="L505" i="4" s="1"/>
  <c r="K501" i="4"/>
  <c r="L501" i="4" s="1"/>
  <c r="K497" i="4"/>
  <c r="L497" i="4" s="1"/>
  <c r="K493" i="4"/>
  <c r="L493" i="4" s="1"/>
  <c r="K490" i="4"/>
  <c r="L490" i="4" s="1"/>
  <c r="K487" i="4"/>
  <c r="L487" i="4" s="1"/>
  <c r="K468" i="4"/>
  <c r="L468" i="4" s="1"/>
  <c r="K466" i="4"/>
  <c r="L466" i="4" s="1"/>
  <c r="K459" i="4"/>
  <c r="K452" i="4"/>
  <c r="L452" i="4" s="1"/>
  <c r="K349" i="4"/>
  <c r="L349" i="4" s="1"/>
  <c r="K458" i="4"/>
  <c r="L458" i="4" s="1"/>
  <c r="K454" i="4"/>
  <c r="K450" i="4"/>
  <c r="L450" i="4" s="1"/>
  <c r="K446" i="4"/>
  <c r="L446" i="4" s="1"/>
  <c r="K442" i="4"/>
  <c r="K438" i="4"/>
  <c r="K434" i="4"/>
  <c r="K430" i="4"/>
  <c r="K426" i="4"/>
  <c r="K422" i="4"/>
  <c r="K418" i="4"/>
  <c r="L418" i="4" s="1"/>
  <c r="K414" i="4"/>
  <c r="K410" i="4"/>
  <c r="K406" i="4"/>
  <c r="K402" i="4"/>
  <c r="L402" i="4" s="1"/>
  <c r="K398" i="4"/>
  <c r="K394" i="4"/>
  <c r="K390" i="4"/>
  <c r="K386" i="4"/>
  <c r="L386" i="4" s="1"/>
  <c r="K380" i="4"/>
  <c r="L380" i="4" s="1"/>
  <c r="K377" i="4"/>
  <c r="K370" i="4"/>
  <c r="K368" i="4"/>
  <c r="K361" i="4"/>
  <c r="K354" i="4"/>
  <c r="K352" i="4"/>
  <c r="K345" i="4"/>
  <c r="L345" i="4" s="1"/>
  <c r="K338" i="4"/>
  <c r="K336" i="4"/>
  <c r="K321" i="4"/>
  <c r="K296" i="4"/>
  <c r="K439" i="4"/>
  <c r="K435" i="4"/>
  <c r="L435" i="4" s="1"/>
  <c r="K431" i="4"/>
  <c r="L431" i="4" s="1"/>
  <c r="K427" i="4"/>
  <c r="K423" i="4"/>
  <c r="L423" i="4" s="1"/>
  <c r="K419" i="4"/>
  <c r="L419" i="4" s="1"/>
  <c r="K415" i="4"/>
  <c r="L415" i="4" s="1"/>
  <c r="K411" i="4"/>
  <c r="K407" i="4"/>
  <c r="L407" i="4" s="1"/>
  <c r="K403" i="4"/>
  <c r="L403" i="4" s="1"/>
  <c r="K399" i="4"/>
  <c r="L399" i="4" s="1"/>
  <c r="K395" i="4"/>
  <c r="K391" i="4"/>
  <c r="L391" i="4" s="1"/>
  <c r="K387" i="4"/>
  <c r="L387" i="4" s="1"/>
  <c r="K326" i="4"/>
  <c r="K318" i="4"/>
  <c r="K280" i="4"/>
  <c r="L280" i="4" s="1"/>
  <c r="K384" i="4"/>
  <c r="L384" i="4" s="1"/>
  <c r="K381" i="4"/>
  <c r="L381" i="4" s="1"/>
  <c r="K378" i="4"/>
  <c r="K373" i="4"/>
  <c r="K366" i="4"/>
  <c r="K364" i="4"/>
  <c r="L364" i="4" s="1"/>
  <c r="K357" i="4"/>
  <c r="K350" i="4"/>
  <c r="K348" i="4"/>
  <c r="K341" i="4"/>
  <c r="L341" i="4" s="1"/>
  <c r="K334" i="4"/>
  <c r="K332" i="4"/>
  <c r="K262" i="4"/>
  <c r="K436" i="4"/>
  <c r="L436" i="4" s="1"/>
  <c r="K432" i="4"/>
  <c r="L432" i="4" s="1"/>
  <c r="K428" i="4"/>
  <c r="L428" i="4" s="1"/>
  <c r="K424" i="4"/>
  <c r="K420" i="4"/>
  <c r="L420" i="4" s="1"/>
  <c r="K416" i="4"/>
  <c r="L416" i="4" s="1"/>
  <c r="K412" i="4"/>
  <c r="L412" i="4" s="1"/>
  <c r="K408" i="4"/>
  <c r="K404" i="4"/>
  <c r="L404" i="4" s="1"/>
  <c r="K400" i="4"/>
  <c r="L400" i="4" s="1"/>
  <c r="K396" i="4"/>
  <c r="L396" i="4" s="1"/>
  <c r="K392" i="4"/>
  <c r="K388" i="4"/>
  <c r="L388" i="4" s="1"/>
  <c r="K330" i="4"/>
  <c r="K204" i="4"/>
  <c r="K376" i="4"/>
  <c r="L376" i="4" s="1"/>
  <c r="K369" i="4"/>
  <c r="K362" i="4"/>
  <c r="K360" i="4"/>
  <c r="L360" i="4" s="1"/>
  <c r="K353" i="4"/>
  <c r="L353" i="4" s="1"/>
  <c r="K346" i="4"/>
  <c r="K344" i="4"/>
  <c r="L344" i="4" s="1"/>
  <c r="K337" i="4"/>
  <c r="L337" i="4" s="1"/>
  <c r="K325" i="4"/>
  <c r="K317" i="4"/>
  <c r="K187" i="4"/>
  <c r="K457" i="4"/>
  <c r="L457" i="4" s="1"/>
  <c r="K453" i="4"/>
  <c r="L453" i="4" s="1"/>
  <c r="K449" i="4"/>
  <c r="K445" i="4"/>
  <c r="L445" i="4" s="1"/>
  <c r="K441" i="4"/>
  <c r="L441" i="4" s="1"/>
  <c r="K437" i="4"/>
  <c r="L437" i="4" s="1"/>
  <c r="K433" i="4"/>
  <c r="L433" i="4" s="1"/>
  <c r="K429" i="4"/>
  <c r="L429" i="4" s="1"/>
  <c r="K425" i="4"/>
  <c r="L425" i="4" s="1"/>
  <c r="K421" i="4"/>
  <c r="L421" i="4" s="1"/>
  <c r="K417" i="4"/>
  <c r="L417" i="4" s="1"/>
  <c r="K413" i="4"/>
  <c r="L413" i="4" s="1"/>
  <c r="K409" i="4"/>
  <c r="L409" i="4" s="1"/>
  <c r="K405" i="4"/>
  <c r="L405" i="4" s="1"/>
  <c r="K401" i="4"/>
  <c r="L401" i="4" s="1"/>
  <c r="K397" i="4"/>
  <c r="L397" i="4" s="1"/>
  <c r="K393" i="4"/>
  <c r="L393" i="4" s="1"/>
  <c r="K389" i="4"/>
  <c r="L389" i="4" s="1"/>
  <c r="K385" i="4"/>
  <c r="L385" i="4" s="1"/>
  <c r="K382" i="4"/>
  <c r="K322" i="4"/>
  <c r="K314" i="4"/>
  <c r="K305" i="4"/>
  <c r="L305" i="4" s="1"/>
  <c r="K302" i="4"/>
  <c r="K299" i="4"/>
  <c r="L299" i="4" s="1"/>
  <c r="K294" i="4"/>
  <c r="K287" i="4"/>
  <c r="K285" i="4"/>
  <c r="K278" i="4"/>
  <c r="L278" i="4" s="1"/>
  <c r="K266" i="4"/>
  <c r="L266" i="4" s="1"/>
  <c r="K264" i="4"/>
  <c r="K254" i="4"/>
  <c r="L254" i="4" s="1"/>
  <c r="K246" i="4"/>
  <c r="L246" i="4" s="1"/>
  <c r="K238" i="4"/>
  <c r="L238" i="4" s="1"/>
  <c r="K223" i="4"/>
  <c r="K215" i="4"/>
  <c r="K202" i="4"/>
  <c r="K383" i="4"/>
  <c r="L383" i="4" s="1"/>
  <c r="K379" i="4"/>
  <c r="K375" i="4"/>
  <c r="L375" i="4" s="1"/>
  <c r="K371" i="4"/>
  <c r="K367" i="4"/>
  <c r="L367" i="4" s="1"/>
  <c r="K363" i="4"/>
  <c r="K359" i="4"/>
  <c r="L359" i="4" s="1"/>
  <c r="K355" i="4"/>
  <c r="K351" i="4"/>
  <c r="L351" i="4" s="1"/>
  <c r="K347" i="4"/>
  <c r="L347" i="4" s="1"/>
  <c r="K343" i="4"/>
  <c r="L343" i="4" s="1"/>
  <c r="K339" i="4"/>
  <c r="L339" i="4" s="1"/>
  <c r="K335" i="4"/>
  <c r="L335" i="4" s="1"/>
  <c r="K331" i="4"/>
  <c r="K327" i="4"/>
  <c r="K323" i="4"/>
  <c r="K319" i="4"/>
  <c r="K315" i="4"/>
  <c r="K311" i="4"/>
  <c r="K308" i="4"/>
  <c r="L308" i="4" s="1"/>
  <c r="K292" i="4"/>
  <c r="K276" i="4"/>
  <c r="K270" i="4"/>
  <c r="K268" i="4"/>
  <c r="K210" i="4"/>
  <c r="K297" i="4"/>
  <c r="L297" i="4" s="1"/>
  <c r="K290" i="4"/>
  <c r="K283" i="4"/>
  <c r="L283" i="4" s="1"/>
  <c r="K281" i="4"/>
  <c r="K274" i="4"/>
  <c r="L274" i="4" s="1"/>
  <c r="K272" i="4"/>
  <c r="K259" i="4"/>
  <c r="K251" i="4"/>
  <c r="K243" i="4"/>
  <c r="L243" i="4" s="1"/>
  <c r="K234" i="4"/>
  <c r="K214" i="4"/>
  <c r="K179" i="4"/>
  <c r="K328" i="4"/>
  <c r="L328" i="4" s="1"/>
  <c r="K324" i="4"/>
  <c r="L324" i="4" s="1"/>
  <c r="K320" i="4"/>
  <c r="L320" i="4" s="1"/>
  <c r="K316" i="4"/>
  <c r="L316" i="4" s="1"/>
  <c r="K312" i="4"/>
  <c r="L312" i="4" s="1"/>
  <c r="K309" i="4"/>
  <c r="L309" i="4" s="1"/>
  <c r="K306" i="4"/>
  <c r="K303" i="4"/>
  <c r="L303" i="4" s="1"/>
  <c r="K300" i="4"/>
  <c r="K288" i="4"/>
  <c r="K295" i="4"/>
  <c r="K293" i="4"/>
  <c r="K286" i="4"/>
  <c r="K279" i="4"/>
  <c r="K277" i="4"/>
  <c r="K263" i="4"/>
  <c r="L263" i="4" s="1"/>
  <c r="K258" i="4"/>
  <c r="L258" i="4" s="1"/>
  <c r="K250" i="4"/>
  <c r="L250" i="4" s="1"/>
  <c r="K242" i="4"/>
  <c r="L242" i="4" s="1"/>
  <c r="K217" i="4"/>
  <c r="L217" i="4" s="1"/>
  <c r="K208" i="4"/>
  <c r="K313" i="4"/>
  <c r="L313" i="4" s="1"/>
  <c r="K301" i="4"/>
  <c r="L301" i="4" s="1"/>
  <c r="K298" i="4"/>
  <c r="L298" i="4" s="1"/>
  <c r="K284" i="4"/>
  <c r="K267" i="4"/>
  <c r="K212" i="4"/>
  <c r="L212" i="4" s="1"/>
  <c r="K171" i="4"/>
  <c r="K310" i="4"/>
  <c r="L310" i="4" s="1"/>
  <c r="K307" i="4"/>
  <c r="L307" i="4" s="1"/>
  <c r="K304" i="4"/>
  <c r="L304" i="4" s="1"/>
  <c r="K291" i="4"/>
  <c r="L291" i="4" s="1"/>
  <c r="K289" i="4"/>
  <c r="L289" i="4" s="1"/>
  <c r="K282" i="4"/>
  <c r="L282" i="4" s="1"/>
  <c r="K275" i="4"/>
  <c r="L275" i="4" s="1"/>
  <c r="K271" i="4"/>
  <c r="L271" i="4" s="1"/>
  <c r="K255" i="4"/>
  <c r="L255" i="4" s="1"/>
  <c r="K247" i="4"/>
  <c r="L247" i="4" s="1"/>
  <c r="K239" i="4"/>
  <c r="L239" i="4" s="1"/>
  <c r="K220" i="4"/>
  <c r="L220" i="4" s="1"/>
  <c r="K227" i="4"/>
  <c r="L227" i="4" s="1"/>
  <c r="K224" i="4"/>
  <c r="K221" i="4"/>
  <c r="L221" i="4" s="1"/>
  <c r="K218" i="4"/>
  <c r="K206" i="4"/>
  <c r="L206" i="4" s="1"/>
  <c r="K191" i="4"/>
  <c r="L191" i="4" s="1"/>
  <c r="K189" i="4"/>
  <c r="L189" i="4" s="1"/>
  <c r="K94" i="4"/>
  <c r="K260" i="4"/>
  <c r="L260" i="4" s="1"/>
  <c r="K256" i="4"/>
  <c r="K252" i="4"/>
  <c r="L252" i="4" s="1"/>
  <c r="K248" i="4"/>
  <c r="L248" i="4" s="1"/>
  <c r="K244" i="4"/>
  <c r="L244" i="4" s="1"/>
  <c r="K240" i="4"/>
  <c r="K236" i="4"/>
  <c r="L236" i="4" s="1"/>
  <c r="K233" i="4"/>
  <c r="K230" i="4"/>
  <c r="L230" i="4" s="1"/>
  <c r="K213" i="4"/>
  <c r="K195" i="4"/>
  <c r="L195" i="4" s="1"/>
  <c r="K193" i="4"/>
  <c r="L193" i="4" s="1"/>
  <c r="K181" i="4"/>
  <c r="K173" i="4"/>
  <c r="L173" i="4" s="1"/>
  <c r="K109" i="4"/>
  <c r="K92" i="4"/>
  <c r="K219" i="4"/>
  <c r="L219" i="4" s="1"/>
  <c r="K216" i="4"/>
  <c r="L216" i="4" s="1"/>
  <c r="K211" i="4"/>
  <c r="K199" i="4"/>
  <c r="K197" i="4"/>
  <c r="L197" i="4" s="1"/>
  <c r="K186" i="4"/>
  <c r="K178" i="4"/>
  <c r="L178" i="4" s="1"/>
  <c r="K170" i="4"/>
  <c r="K167" i="4"/>
  <c r="K162" i="4"/>
  <c r="K121" i="4"/>
  <c r="K107" i="4"/>
  <c r="K273" i="4"/>
  <c r="L273" i="4" s="1"/>
  <c r="K269" i="4"/>
  <c r="L269" i="4" s="1"/>
  <c r="K265" i="4"/>
  <c r="L265" i="4" s="1"/>
  <c r="K261" i="4"/>
  <c r="L261" i="4" s="1"/>
  <c r="K257" i="4"/>
  <c r="L257" i="4" s="1"/>
  <c r="K253" i="4"/>
  <c r="L253" i="4" s="1"/>
  <c r="K249" i="4"/>
  <c r="L249" i="4" s="1"/>
  <c r="K245" i="4"/>
  <c r="L245" i="4" s="1"/>
  <c r="K241" i="4"/>
  <c r="L241" i="4" s="1"/>
  <c r="K237" i="4"/>
  <c r="L237" i="4" s="1"/>
  <c r="K231" i="4"/>
  <c r="L231" i="4" s="1"/>
  <c r="K228" i="4"/>
  <c r="L228" i="4" s="1"/>
  <c r="K225" i="4"/>
  <c r="K222" i="4"/>
  <c r="L222" i="4" s="1"/>
  <c r="K209" i="4"/>
  <c r="L209" i="4" s="1"/>
  <c r="K203" i="4"/>
  <c r="K201" i="4"/>
  <c r="L201" i="4" s="1"/>
  <c r="K188" i="4"/>
  <c r="L188" i="4" s="1"/>
  <c r="K183" i="4"/>
  <c r="K175" i="4"/>
  <c r="K207" i="4"/>
  <c r="L207" i="4" s="1"/>
  <c r="K205" i="4"/>
  <c r="L205" i="4" s="1"/>
  <c r="K192" i="4"/>
  <c r="L192" i="4" s="1"/>
  <c r="K190" i="4"/>
  <c r="K166" i="4"/>
  <c r="K118" i="4"/>
  <c r="L118" i="4" s="1"/>
  <c r="K196" i="4"/>
  <c r="L196" i="4" s="1"/>
  <c r="K194" i="4"/>
  <c r="K185" i="4"/>
  <c r="K177" i="4"/>
  <c r="K169" i="4"/>
  <c r="K82" i="4"/>
  <c r="K235" i="4"/>
  <c r="L235" i="4" s="1"/>
  <c r="K232" i="4"/>
  <c r="L232" i="4" s="1"/>
  <c r="K229" i="4"/>
  <c r="L229" i="4" s="1"/>
  <c r="K226" i="4"/>
  <c r="L226" i="4" s="1"/>
  <c r="K200" i="4"/>
  <c r="L200" i="4" s="1"/>
  <c r="K198" i="4"/>
  <c r="L198" i="4" s="1"/>
  <c r="K182" i="4"/>
  <c r="L182" i="4" s="1"/>
  <c r="K174" i="4"/>
  <c r="L174" i="4" s="1"/>
  <c r="K165" i="4"/>
  <c r="L165" i="4" s="1"/>
  <c r="K161" i="4"/>
  <c r="L161" i="4" s="1"/>
  <c r="K157" i="4"/>
  <c r="K153" i="4"/>
  <c r="L153" i="4" s="1"/>
  <c r="K149" i="4"/>
  <c r="L149" i="4" s="1"/>
  <c r="K145" i="4"/>
  <c r="L145" i="4" s="1"/>
  <c r="K141" i="4"/>
  <c r="K137" i="4"/>
  <c r="L137" i="4" s="1"/>
  <c r="K133" i="4"/>
  <c r="L133" i="4" s="1"/>
  <c r="K130" i="4"/>
  <c r="K127" i="4"/>
  <c r="L127" i="4" s="1"/>
  <c r="K124" i="4"/>
  <c r="K111" i="4"/>
  <c r="K98" i="4"/>
  <c r="K96" i="4"/>
  <c r="L96" i="4" s="1"/>
  <c r="K116" i="4"/>
  <c r="K102" i="4"/>
  <c r="K100" i="4"/>
  <c r="L100" i="4" s="1"/>
  <c r="K87" i="4"/>
  <c r="K79" i="4"/>
  <c r="K158" i="4"/>
  <c r="L158" i="4" s="1"/>
  <c r="K154" i="4"/>
  <c r="K150" i="4"/>
  <c r="K146" i="4"/>
  <c r="K142" i="4"/>
  <c r="L142" i="4" s="1"/>
  <c r="K138" i="4"/>
  <c r="K134" i="4"/>
  <c r="K125" i="4"/>
  <c r="L125" i="4" s="1"/>
  <c r="K122" i="4"/>
  <c r="L122" i="4" s="1"/>
  <c r="K119" i="4"/>
  <c r="L119" i="4" s="1"/>
  <c r="K114" i="4"/>
  <c r="K106" i="4"/>
  <c r="L106" i="4" s="1"/>
  <c r="K104" i="4"/>
  <c r="K89" i="4"/>
  <c r="L89" i="4" s="1"/>
  <c r="K81" i="4"/>
  <c r="K131" i="4"/>
  <c r="K128" i="4"/>
  <c r="L128" i="4" s="1"/>
  <c r="K112" i="4"/>
  <c r="K110" i="4"/>
  <c r="K108" i="4"/>
  <c r="L108" i="4" s="1"/>
  <c r="K93" i="4"/>
  <c r="K91" i="4"/>
  <c r="L91" i="4" s="1"/>
  <c r="K86" i="4"/>
  <c r="L86" i="4" s="1"/>
  <c r="K78" i="4"/>
  <c r="L78" i="4" s="1"/>
  <c r="K71" i="4"/>
  <c r="K163" i="4"/>
  <c r="K159" i="4"/>
  <c r="K155" i="4"/>
  <c r="K151" i="4"/>
  <c r="K147" i="4"/>
  <c r="K143" i="4"/>
  <c r="K139" i="4"/>
  <c r="K135" i="4"/>
  <c r="L135" i="4" s="1"/>
  <c r="K117" i="4"/>
  <c r="K97" i="4"/>
  <c r="K95" i="4"/>
  <c r="K75" i="4"/>
  <c r="K129" i="4"/>
  <c r="L129" i="4" s="1"/>
  <c r="K126" i="4"/>
  <c r="L126" i="4" s="1"/>
  <c r="K123" i="4"/>
  <c r="L123" i="4" s="1"/>
  <c r="K120" i="4"/>
  <c r="K101" i="4"/>
  <c r="K99" i="4"/>
  <c r="L99" i="4" s="1"/>
  <c r="K83" i="4"/>
  <c r="K74" i="4"/>
  <c r="L74" i="4" s="1"/>
  <c r="K184" i="4"/>
  <c r="L184" i="4" s="1"/>
  <c r="K180" i="4"/>
  <c r="K176" i="4"/>
  <c r="L176" i="4" s="1"/>
  <c r="K172" i="4"/>
  <c r="L172" i="4" s="1"/>
  <c r="K168" i="4"/>
  <c r="L168" i="4" s="1"/>
  <c r="K164" i="4"/>
  <c r="K160" i="4"/>
  <c r="L160" i="4" s="1"/>
  <c r="K156" i="4"/>
  <c r="L156" i="4" s="1"/>
  <c r="K152" i="4"/>
  <c r="L152" i="4" s="1"/>
  <c r="K148" i="4"/>
  <c r="K144" i="4"/>
  <c r="L144" i="4" s="1"/>
  <c r="K140" i="4"/>
  <c r="L140" i="4" s="1"/>
  <c r="K136" i="4"/>
  <c r="L136" i="4" s="1"/>
  <c r="K132" i="4"/>
  <c r="L132" i="4" s="1"/>
  <c r="K115" i="4"/>
  <c r="L115" i="4" s="1"/>
  <c r="K113" i="4"/>
  <c r="K105" i="4"/>
  <c r="L105" i="4" s="1"/>
  <c r="K103" i="4"/>
  <c r="L103" i="4" s="1"/>
  <c r="K90" i="4"/>
  <c r="L90" i="4" s="1"/>
  <c r="K85" i="4"/>
  <c r="L85" i="4" s="1"/>
  <c r="K77" i="4"/>
  <c r="L77" i="4" s="1"/>
  <c r="K67" i="4"/>
  <c r="L67" i="4" s="1"/>
  <c r="K63" i="4"/>
  <c r="K59" i="4"/>
  <c r="K55" i="4"/>
  <c r="K51" i="4"/>
  <c r="L51" i="4" s="1"/>
  <c r="K47" i="4"/>
  <c r="K43" i="4"/>
  <c r="K39" i="4"/>
  <c r="K35" i="4"/>
  <c r="L35" i="4" s="1"/>
  <c r="K31" i="4"/>
  <c r="K27" i="4"/>
  <c r="K23" i="4"/>
  <c r="K19" i="4"/>
  <c r="L19" i="4" s="1"/>
  <c r="K15" i="4"/>
  <c r="K11" i="4"/>
  <c r="K7" i="4"/>
  <c r="K88" i="4"/>
  <c r="L88" i="4" s="1"/>
  <c r="K84" i="4"/>
  <c r="K80" i="4"/>
  <c r="L80" i="4" s="1"/>
  <c r="K76" i="4"/>
  <c r="K72" i="4"/>
  <c r="L72" i="4" s="1"/>
  <c r="K68" i="4"/>
  <c r="K64" i="4"/>
  <c r="K60" i="4"/>
  <c r="K56" i="4"/>
  <c r="L56" i="4" s="1"/>
  <c r="K52" i="4"/>
  <c r="K48" i="4"/>
  <c r="K44" i="4"/>
  <c r="K40" i="4"/>
  <c r="L40" i="4" s="1"/>
  <c r="K36" i="4"/>
  <c r="K32" i="4"/>
  <c r="K28" i="4"/>
  <c r="K24" i="4"/>
  <c r="L24" i="4" s="1"/>
  <c r="K20" i="4"/>
  <c r="K16" i="4"/>
  <c r="K12" i="4"/>
  <c r="K8" i="4"/>
  <c r="L8" i="4" s="1"/>
  <c r="K73" i="4"/>
  <c r="L73" i="4" s="1"/>
  <c r="K69" i="4"/>
  <c r="K65" i="4"/>
  <c r="L65" i="4" s="1"/>
  <c r="K61" i="4"/>
  <c r="K57" i="4"/>
  <c r="L57" i="4" s="1"/>
  <c r="K53" i="4"/>
  <c r="K49" i="4"/>
  <c r="L49" i="4" s="1"/>
  <c r="K45" i="4"/>
  <c r="L45" i="4" s="1"/>
  <c r="K41" i="4"/>
  <c r="L41" i="4" s="1"/>
  <c r="K37" i="4"/>
  <c r="K33" i="4"/>
  <c r="L33" i="4" s="1"/>
  <c r="K29" i="4"/>
  <c r="L29" i="4" s="1"/>
  <c r="K25" i="4"/>
  <c r="L25" i="4" s="1"/>
  <c r="K21" i="4"/>
  <c r="K17" i="4"/>
  <c r="L17" i="4" s="1"/>
  <c r="K13" i="4"/>
  <c r="L13" i="4" s="1"/>
  <c r="K9" i="4"/>
  <c r="L9" i="4" s="1"/>
  <c r="K5" i="4"/>
  <c r="K70" i="4"/>
  <c r="L70" i="4" s="1"/>
  <c r="K66" i="4"/>
  <c r="L66" i="4" s="1"/>
  <c r="K62" i="4"/>
  <c r="L62" i="4" s="1"/>
  <c r="K58" i="4"/>
  <c r="L58" i="4" s="1"/>
  <c r="K54" i="4"/>
  <c r="L54" i="4" s="1"/>
  <c r="K50" i="4"/>
  <c r="L50" i="4" s="1"/>
  <c r="K46" i="4"/>
  <c r="L46" i="4" s="1"/>
  <c r="K42" i="4"/>
  <c r="L42" i="4" s="1"/>
  <c r="K38" i="4"/>
  <c r="L38" i="4" s="1"/>
  <c r="K34" i="4"/>
  <c r="L34" i="4" s="1"/>
  <c r="K30" i="4"/>
  <c r="L30" i="4" s="1"/>
  <c r="K26" i="4"/>
  <c r="L26" i="4" s="1"/>
  <c r="K22" i="4"/>
  <c r="L22" i="4" s="1"/>
  <c r="K18" i="4"/>
  <c r="L18" i="4" s="1"/>
  <c r="K14" i="4"/>
  <c r="L14" i="4" s="1"/>
  <c r="K10" i="4"/>
  <c r="L10" i="4" s="1"/>
  <c r="K6" i="4"/>
  <c r="L6" i="4" s="1"/>
  <c r="E11" i="4"/>
  <c r="E27" i="4"/>
  <c r="E37" i="4"/>
  <c r="E17" i="4"/>
  <c r="E7" i="4"/>
  <c r="E23" i="4"/>
  <c r="E33" i="4"/>
  <c r="E21" i="4"/>
  <c r="E13" i="4"/>
  <c r="E29" i="4"/>
  <c r="E39" i="4"/>
  <c r="E19" i="4"/>
  <c r="E5" i="4"/>
  <c r="E9" i="4"/>
  <c r="E25" i="4"/>
  <c r="E35" i="4"/>
  <c r="E15" i="4"/>
  <c r="E31" i="4"/>
  <c r="E70" i="4"/>
  <c r="E45" i="4"/>
  <c r="F45" i="4" s="1"/>
  <c r="E48" i="4"/>
  <c r="E61" i="4"/>
  <c r="E64" i="4"/>
  <c r="E81" i="4"/>
  <c r="E171" i="4"/>
  <c r="F171" i="4" s="1"/>
  <c r="E49" i="4"/>
  <c r="E52" i="4"/>
  <c r="E65" i="4"/>
  <c r="E68" i="4"/>
  <c r="E75" i="4"/>
  <c r="E92" i="4"/>
  <c r="E189" i="4"/>
  <c r="E203" i="4"/>
  <c r="E51" i="4"/>
  <c r="E82" i="4"/>
  <c r="K4" i="4"/>
  <c r="E4" i="4"/>
  <c r="E6" i="4"/>
  <c r="E8" i="4"/>
  <c r="E10" i="4"/>
  <c r="F10" i="4" s="1"/>
  <c r="E12" i="4"/>
  <c r="E14" i="4"/>
  <c r="F14" i="4" s="1"/>
  <c r="E16" i="4"/>
  <c r="E18" i="4"/>
  <c r="F18" i="4" s="1"/>
  <c r="E20" i="4"/>
  <c r="E22" i="4"/>
  <c r="E24" i="4"/>
  <c r="E26" i="4"/>
  <c r="F26" i="4" s="1"/>
  <c r="E28" i="4"/>
  <c r="E30" i="4"/>
  <c r="E32" i="4"/>
  <c r="E34" i="4"/>
  <c r="F34" i="4" s="1"/>
  <c r="E36" i="4"/>
  <c r="E38" i="4"/>
  <c r="F38" i="4" s="1"/>
  <c r="E40" i="4"/>
  <c r="E43" i="4"/>
  <c r="E46" i="4"/>
  <c r="F46" i="4" s="1"/>
  <c r="E59" i="4"/>
  <c r="E62" i="4"/>
  <c r="F62" i="4" s="1"/>
  <c r="E76" i="4"/>
  <c r="F76" i="4" s="1"/>
  <c r="E90" i="4"/>
  <c r="E91" i="4"/>
  <c r="F91" i="4" s="1"/>
  <c r="E140" i="4"/>
  <c r="E143" i="4"/>
  <c r="E207" i="4"/>
  <c r="E80" i="4"/>
  <c r="E83" i="4"/>
  <c r="E42" i="4"/>
  <c r="F42" i="4" s="1"/>
  <c r="E58" i="4"/>
  <c r="F58" i="4" s="1"/>
  <c r="E53" i="4"/>
  <c r="F53" i="4" s="1"/>
  <c r="E56" i="4"/>
  <c r="E69" i="4"/>
  <c r="F69" i="4" s="1"/>
  <c r="E72" i="4"/>
  <c r="E77" i="4"/>
  <c r="E88" i="4"/>
  <c r="E89" i="4"/>
  <c r="F89" i="4" s="1"/>
  <c r="E134" i="4"/>
  <c r="E137" i="4"/>
  <c r="E54" i="4"/>
  <c r="E67" i="4"/>
  <c r="E55" i="4"/>
  <c r="E74" i="4"/>
  <c r="F74" i="4" s="1"/>
  <c r="E47" i="4"/>
  <c r="F47" i="4" s="1"/>
  <c r="E50" i="4"/>
  <c r="E63" i="4"/>
  <c r="F63" i="4" s="1"/>
  <c r="E66" i="4"/>
  <c r="E78" i="4"/>
  <c r="F78" i="4" s="1"/>
  <c r="E86" i="4"/>
  <c r="F86" i="4" s="1"/>
  <c r="E87" i="4"/>
  <c r="F87" i="4" s="1"/>
  <c r="E71" i="4"/>
  <c r="F71" i="4" s="1"/>
  <c r="E41" i="4"/>
  <c r="F41" i="4" s="1"/>
  <c r="E44" i="4"/>
  <c r="E57" i="4"/>
  <c r="F57" i="4" s="1"/>
  <c r="E60" i="4"/>
  <c r="E73" i="4"/>
  <c r="F73" i="4" s="1"/>
  <c r="E79" i="4"/>
  <c r="F79" i="4" s="1"/>
  <c r="E84" i="4"/>
  <c r="E85" i="4"/>
  <c r="E159" i="4"/>
  <c r="F159" i="4" s="1"/>
  <c r="E131" i="4"/>
  <c r="F131" i="4" s="1"/>
  <c r="E144" i="4"/>
  <c r="F144" i="4" s="1"/>
  <c r="E147" i="4"/>
  <c r="F147" i="4" s="1"/>
  <c r="E157" i="4"/>
  <c r="E163" i="4"/>
  <c r="E167" i="4"/>
  <c r="F167" i="4" s="1"/>
  <c r="E173" i="4"/>
  <c r="E229" i="4"/>
  <c r="E93" i="4"/>
  <c r="E95" i="4"/>
  <c r="E97" i="4"/>
  <c r="E99" i="4"/>
  <c r="F99" i="4" s="1"/>
  <c r="E101" i="4"/>
  <c r="E103" i="4"/>
  <c r="F103" i="4" s="1"/>
  <c r="E105" i="4"/>
  <c r="F105" i="4" s="1"/>
  <c r="E107" i="4"/>
  <c r="E109" i="4"/>
  <c r="E111" i="4"/>
  <c r="F111" i="4" s="1"/>
  <c r="E113" i="4"/>
  <c r="F113" i="4" s="1"/>
  <c r="E115" i="4"/>
  <c r="F115" i="4" s="1"/>
  <c r="E117" i="4"/>
  <c r="F117" i="4" s="1"/>
  <c r="E119" i="4"/>
  <c r="F119" i="4" s="1"/>
  <c r="E121" i="4"/>
  <c r="F121" i="4" s="1"/>
  <c r="E123" i="4"/>
  <c r="E125" i="4"/>
  <c r="F125" i="4" s="1"/>
  <c r="E127" i="4"/>
  <c r="E129" i="4"/>
  <c r="E138" i="4"/>
  <c r="E141" i="4"/>
  <c r="F141" i="4" s="1"/>
  <c r="E155" i="4"/>
  <c r="E175" i="4"/>
  <c r="E187" i="4"/>
  <c r="F187" i="4" s="1"/>
  <c r="E132" i="4"/>
  <c r="E135" i="4"/>
  <c r="F135" i="4" s="1"/>
  <c r="E148" i="4"/>
  <c r="E153" i="4"/>
  <c r="F153" i="4" s="1"/>
  <c r="E177" i="4"/>
  <c r="E193" i="4"/>
  <c r="F193" i="4" s="1"/>
  <c r="E232" i="4"/>
  <c r="E142" i="4"/>
  <c r="F142" i="4" s="1"/>
  <c r="E145" i="4"/>
  <c r="E151" i="4"/>
  <c r="F151" i="4" s="1"/>
  <c r="E179" i="4"/>
  <c r="F179" i="4" s="1"/>
  <c r="E185" i="4"/>
  <c r="F185" i="4" s="1"/>
  <c r="E282" i="4"/>
  <c r="E136" i="4"/>
  <c r="F136" i="4" s="1"/>
  <c r="E139" i="4"/>
  <c r="E149" i="4"/>
  <c r="F149" i="4" s="1"/>
  <c r="E161" i="4"/>
  <c r="F161" i="4" s="1"/>
  <c r="E165" i="4"/>
  <c r="E169" i="4"/>
  <c r="F169" i="4" s="1"/>
  <c r="E181" i="4"/>
  <c r="F181" i="4" s="1"/>
  <c r="E94" i="4"/>
  <c r="E96" i="4"/>
  <c r="F96" i="4" s="1"/>
  <c r="E98" i="4"/>
  <c r="E100" i="4"/>
  <c r="F100" i="4" s="1"/>
  <c r="E102" i="4"/>
  <c r="F102" i="4" s="1"/>
  <c r="E104" i="4"/>
  <c r="F104" i="4" s="1"/>
  <c r="E106" i="4"/>
  <c r="F106" i="4" s="1"/>
  <c r="E108" i="4"/>
  <c r="F108" i="4" s="1"/>
  <c r="E110" i="4"/>
  <c r="F110" i="4" s="1"/>
  <c r="E112" i="4"/>
  <c r="F112" i="4" s="1"/>
  <c r="E114" i="4"/>
  <c r="F114" i="4" s="1"/>
  <c r="E116" i="4"/>
  <c r="F116" i="4" s="1"/>
  <c r="E118" i="4"/>
  <c r="E120" i="4"/>
  <c r="F120" i="4" s="1"/>
  <c r="E122" i="4"/>
  <c r="E124" i="4"/>
  <c r="F124" i="4" s="1"/>
  <c r="E126" i="4"/>
  <c r="E128" i="4"/>
  <c r="F128" i="4" s="1"/>
  <c r="E130" i="4"/>
  <c r="E133" i="4"/>
  <c r="F133" i="4" s="1"/>
  <c r="E146" i="4"/>
  <c r="E183" i="4"/>
  <c r="E191" i="4"/>
  <c r="E205" i="4"/>
  <c r="E194" i="4"/>
  <c r="E201" i="4"/>
  <c r="E233" i="4"/>
  <c r="E199" i="4"/>
  <c r="F199" i="4" s="1"/>
  <c r="E195" i="4"/>
  <c r="F195" i="4" s="1"/>
  <c r="E197" i="4"/>
  <c r="E150" i="4"/>
  <c r="F150" i="4" s="1"/>
  <c r="E152" i="4"/>
  <c r="F152" i="4" s="1"/>
  <c r="E154" i="4"/>
  <c r="F154" i="4" s="1"/>
  <c r="E156" i="4"/>
  <c r="F156" i="4" s="1"/>
  <c r="E158" i="4"/>
  <c r="F158" i="4" s="1"/>
  <c r="E160" i="4"/>
  <c r="F160" i="4" s="1"/>
  <c r="E162" i="4"/>
  <c r="E164" i="4"/>
  <c r="E166" i="4"/>
  <c r="F166" i="4" s="1"/>
  <c r="E168" i="4"/>
  <c r="F168" i="4" s="1"/>
  <c r="E170" i="4"/>
  <c r="E172" i="4"/>
  <c r="E174" i="4"/>
  <c r="F174" i="4" s="1"/>
  <c r="E176" i="4"/>
  <c r="F176" i="4" s="1"/>
  <c r="E178" i="4"/>
  <c r="F178" i="4" s="1"/>
  <c r="E180" i="4"/>
  <c r="F180" i="4" s="1"/>
  <c r="E182" i="4"/>
  <c r="F182" i="4" s="1"/>
  <c r="E184" i="4"/>
  <c r="E186" i="4"/>
  <c r="F186" i="4" s="1"/>
  <c r="E188" i="4"/>
  <c r="E190" i="4"/>
  <c r="F190" i="4" s="1"/>
  <c r="E192" i="4"/>
  <c r="E209" i="4"/>
  <c r="E278" i="4"/>
  <c r="E320" i="4"/>
  <c r="E226" i="4"/>
  <c r="E271" i="4"/>
  <c r="F271" i="4" s="1"/>
  <c r="E273" i="4"/>
  <c r="E196" i="4"/>
  <c r="F196" i="4" s="1"/>
  <c r="E198" i="4"/>
  <c r="F198" i="4" s="1"/>
  <c r="E200" i="4"/>
  <c r="F200" i="4" s="1"/>
  <c r="E202" i="4"/>
  <c r="F202" i="4" s="1"/>
  <c r="E204" i="4"/>
  <c r="F204" i="4" s="1"/>
  <c r="E206" i="4"/>
  <c r="E208" i="4"/>
  <c r="F208" i="4" s="1"/>
  <c r="E210" i="4"/>
  <c r="F210" i="4" s="1"/>
  <c r="E212" i="4"/>
  <c r="F212" i="4" s="1"/>
  <c r="E214" i="4"/>
  <c r="E216" i="4"/>
  <c r="E218" i="4"/>
  <c r="E220" i="4"/>
  <c r="E222" i="4"/>
  <c r="E224" i="4"/>
  <c r="E227" i="4"/>
  <c r="F227" i="4" s="1"/>
  <c r="E230" i="4"/>
  <c r="E235" i="4"/>
  <c r="F235" i="4" s="1"/>
  <c r="E231" i="4"/>
  <c r="F231" i="4" s="1"/>
  <c r="E237" i="4"/>
  <c r="E268" i="4"/>
  <c r="E270" i="4"/>
  <c r="F270" i="4" s="1"/>
  <c r="E306" i="4"/>
  <c r="E225" i="4"/>
  <c r="E228" i="4"/>
  <c r="F228" i="4" s="1"/>
  <c r="E279" i="4"/>
  <c r="E211" i="4"/>
  <c r="F211" i="4" s="1"/>
  <c r="E213" i="4"/>
  <c r="F213" i="4" s="1"/>
  <c r="E215" i="4"/>
  <c r="F215" i="4" s="1"/>
  <c r="E217" i="4"/>
  <c r="F217" i="4" s="1"/>
  <c r="E219" i="4"/>
  <c r="F219" i="4" s="1"/>
  <c r="E221" i="4"/>
  <c r="F221" i="4" s="1"/>
  <c r="E223" i="4"/>
  <c r="F223" i="4" s="1"/>
  <c r="E267" i="4"/>
  <c r="E280" i="4"/>
  <c r="E328" i="4"/>
  <c r="E239" i="4"/>
  <c r="E241" i="4"/>
  <c r="E243" i="4"/>
  <c r="F243" i="4" s="1"/>
  <c r="E245" i="4"/>
  <c r="E247" i="4"/>
  <c r="E249" i="4"/>
  <c r="E251" i="4"/>
  <c r="F251" i="4" s="1"/>
  <c r="E253" i="4"/>
  <c r="E255" i="4"/>
  <c r="F255" i="4" s="1"/>
  <c r="E257" i="4"/>
  <c r="F257" i="4" s="1"/>
  <c r="E259" i="4"/>
  <c r="F259" i="4" s="1"/>
  <c r="E261" i="4"/>
  <c r="E263" i="4"/>
  <c r="F263" i="4" s="1"/>
  <c r="E265" i="4"/>
  <c r="E274" i="4"/>
  <c r="E281" i="4"/>
  <c r="F281" i="4" s="1"/>
  <c r="E283" i="4"/>
  <c r="F283" i="4" s="1"/>
  <c r="E287" i="4"/>
  <c r="E275" i="4"/>
  <c r="F275" i="4" s="1"/>
  <c r="E318" i="4"/>
  <c r="E272" i="4"/>
  <c r="E276" i="4"/>
  <c r="F276" i="4" s="1"/>
  <c r="E234" i="4"/>
  <c r="E236" i="4"/>
  <c r="E238" i="4"/>
  <c r="F238" i="4" s="1"/>
  <c r="E240" i="4"/>
  <c r="F240" i="4" s="1"/>
  <c r="E242" i="4"/>
  <c r="E244" i="4"/>
  <c r="E246" i="4"/>
  <c r="F246" i="4" s="1"/>
  <c r="E248" i="4"/>
  <c r="F248" i="4" s="1"/>
  <c r="E250" i="4"/>
  <c r="E252" i="4"/>
  <c r="E254" i="4"/>
  <c r="F254" i="4" s="1"/>
  <c r="E256" i="4"/>
  <c r="F256" i="4" s="1"/>
  <c r="E258" i="4"/>
  <c r="E260" i="4"/>
  <c r="E262" i="4"/>
  <c r="F262" i="4" s="1"/>
  <c r="E264" i="4"/>
  <c r="F264" i="4" s="1"/>
  <c r="E266" i="4"/>
  <c r="E269" i="4"/>
  <c r="E277" i="4"/>
  <c r="F277" i="4" s="1"/>
  <c r="E285" i="4"/>
  <c r="E289" i="4"/>
  <c r="E309" i="4"/>
  <c r="E312" i="4"/>
  <c r="E319" i="4"/>
  <c r="E367" i="4"/>
  <c r="E284" i="4"/>
  <c r="F284" i="4" s="1"/>
  <c r="E286" i="4"/>
  <c r="F286" i="4" s="1"/>
  <c r="E288" i="4"/>
  <c r="F288" i="4" s="1"/>
  <c r="E290" i="4"/>
  <c r="F290" i="4" s="1"/>
  <c r="E292" i="4"/>
  <c r="E294" i="4"/>
  <c r="E296" i="4"/>
  <c r="F296" i="4" s="1"/>
  <c r="E298" i="4"/>
  <c r="F298" i="4" s="1"/>
  <c r="E300" i="4"/>
  <c r="E302" i="4"/>
  <c r="F302" i="4" s="1"/>
  <c r="E304" i="4"/>
  <c r="F304" i="4" s="1"/>
  <c r="E313" i="4"/>
  <c r="E307" i="4"/>
  <c r="E310" i="4"/>
  <c r="F310" i="4" s="1"/>
  <c r="E314" i="4"/>
  <c r="E311" i="4"/>
  <c r="F311" i="4" s="1"/>
  <c r="E315" i="4"/>
  <c r="E322" i="4"/>
  <c r="E364" i="4"/>
  <c r="E291" i="4"/>
  <c r="F291" i="4" s="1"/>
  <c r="E293" i="4"/>
  <c r="F293" i="4" s="1"/>
  <c r="E295" i="4"/>
  <c r="F295" i="4" s="1"/>
  <c r="E297" i="4"/>
  <c r="F297" i="4" s="1"/>
  <c r="E299" i="4"/>
  <c r="F299" i="4" s="1"/>
  <c r="E301" i="4"/>
  <c r="F301" i="4" s="1"/>
  <c r="E303" i="4"/>
  <c r="F303" i="4" s="1"/>
  <c r="E305" i="4"/>
  <c r="F305" i="4" s="1"/>
  <c r="E308" i="4"/>
  <c r="E316" i="4"/>
  <c r="E321" i="4"/>
  <c r="E324" i="4"/>
  <c r="E317" i="4"/>
  <c r="F317" i="4" s="1"/>
  <c r="E326" i="4"/>
  <c r="F326" i="4" s="1"/>
  <c r="E368" i="4"/>
  <c r="F368" i="4" s="1"/>
  <c r="E371" i="4"/>
  <c r="E362" i="4"/>
  <c r="E365" i="4"/>
  <c r="E372" i="4"/>
  <c r="E416" i="4"/>
  <c r="E359" i="4"/>
  <c r="F359" i="4" s="1"/>
  <c r="E454" i="4"/>
  <c r="E323" i="4"/>
  <c r="E325" i="4"/>
  <c r="E327" i="4"/>
  <c r="F327" i="4" s="1"/>
  <c r="E329" i="4"/>
  <c r="E331" i="4"/>
  <c r="E333" i="4"/>
  <c r="E335" i="4"/>
  <c r="F335" i="4" s="1"/>
  <c r="E337" i="4"/>
  <c r="E339" i="4"/>
  <c r="E341" i="4"/>
  <c r="E343" i="4"/>
  <c r="F343" i="4" s="1"/>
  <c r="E345" i="4"/>
  <c r="E347" i="4"/>
  <c r="E349" i="4"/>
  <c r="E351" i="4"/>
  <c r="F351" i="4" s="1"/>
  <c r="E353" i="4"/>
  <c r="E355" i="4"/>
  <c r="E357" i="4"/>
  <c r="E366" i="4"/>
  <c r="E369" i="4"/>
  <c r="E360" i="4"/>
  <c r="E363" i="4"/>
  <c r="E440" i="4"/>
  <c r="E370" i="4"/>
  <c r="E419" i="4"/>
  <c r="E330" i="4"/>
  <c r="F330" i="4" s="1"/>
  <c r="E332" i="4"/>
  <c r="E334" i="4"/>
  <c r="F334" i="4" s="1"/>
  <c r="E336" i="4"/>
  <c r="E338" i="4"/>
  <c r="F338" i="4" s="1"/>
  <c r="E340" i="4"/>
  <c r="E342" i="4"/>
  <c r="F342" i="4" s="1"/>
  <c r="E344" i="4"/>
  <c r="E346" i="4"/>
  <c r="F346" i="4" s="1"/>
  <c r="E348" i="4"/>
  <c r="E350" i="4"/>
  <c r="F350" i="4" s="1"/>
  <c r="E352" i="4"/>
  <c r="E354" i="4"/>
  <c r="F354" i="4" s="1"/>
  <c r="E356" i="4"/>
  <c r="E358" i="4"/>
  <c r="F358" i="4" s="1"/>
  <c r="E361" i="4"/>
  <c r="F361" i="4" s="1"/>
  <c r="E413" i="4"/>
  <c r="E420" i="4"/>
  <c r="E427" i="4"/>
  <c r="E428" i="4"/>
  <c r="F428" i="4" s="1"/>
  <c r="E435" i="4"/>
  <c r="E436" i="4"/>
  <c r="F436" i="4" s="1"/>
  <c r="E438" i="4"/>
  <c r="E444" i="4"/>
  <c r="E487" i="4"/>
  <c r="E373" i="4"/>
  <c r="F373" i="4" s="1"/>
  <c r="E375" i="4"/>
  <c r="E377" i="4"/>
  <c r="F377" i="4" s="1"/>
  <c r="E379" i="4"/>
  <c r="F379" i="4" s="1"/>
  <c r="E381" i="4"/>
  <c r="E383" i="4"/>
  <c r="E385" i="4"/>
  <c r="F385" i="4" s="1"/>
  <c r="E387" i="4"/>
  <c r="E389" i="4"/>
  <c r="F389" i="4" s="1"/>
  <c r="E391" i="4"/>
  <c r="E393" i="4"/>
  <c r="F393" i="4" s="1"/>
  <c r="E395" i="4"/>
  <c r="E397" i="4"/>
  <c r="F397" i="4" s="1"/>
  <c r="E399" i="4"/>
  <c r="E401" i="4"/>
  <c r="E403" i="4"/>
  <c r="E405" i="4"/>
  <c r="F405" i="4" s="1"/>
  <c r="E407" i="4"/>
  <c r="E409" i="4"/>
  <c r="E411" i="4"/>
  <c r="E499" i="4"/>
  <c r="E414" i="4"/>
  <c r="E417" i="4"/>
  <c r="E421" i="4"/>
  <c r="E422" i="4"/>
  <c r="E429" i="4"/>
  <c r="E430" i="4"/>
  <c r="F430" i="4" s="1"/>
  <c r="E447" i="4"/>
  <c r="E463" i="4"/>
  <c r="E479" i="4"/>
  <c r="E451" i="4"/>
  <c r="E471" i="4"/>
  <c r="E491" i="4"/>
  <c r="E418" i="4"/>
  <c r="E423" i="4"/>
  <c r="E424" i="4"/>
  <c r="E431" i="4"/>
  <c r="F431" i="4" s="1"/>
  <c r="E432" i="4"/>
  <c r="E503" i="4"/>
  <c r="E374" i="4"/>
  <c r="E376" i="4"/>
  <c r="F376" i="4" s="1"/>
  <c r="E378" i="4"/>
  <c r="E380" i="4"/>
  <c r="F380" i="4" s="1"/>
  <c r="E382" i="4"/>
  <c r="F382" i="4" s="1"/>
  <c r="E384" i="4"/>
  <c r="F384" i="4" s="1"/>
  <c r="E386" i="4"/>
  <c r="F386" i="4" s="1"/>
  <c r="E388" i="4"/>
  <c r="F388" i="4" s="1"/>
  <c r="E390" i="4"/>
  <c r="E392" i="4"/>
  <c r="F392" i="4" s="1"/>
  <c r="E394" i="4"/>
  <c r="E396" i="4"/>
  <c r="F396" i="4" s="1"/>
  <c r="E398" i="4"/>
  <c r="E400" i="4"/>
  <c r="F400" i="4" s="1"/>
  <c r="E402" i="4"/>
  <c r="E404" i="4"/>
  <c r="F404" i="4" s="1"/>
  <c r="E406" i="4"/>
  <c r="E408" i="4"/>
  <c r="F408" i="4" s="1"/>
  <c r="E410" i="4"/>
  <c r="E412" i="4"/>
  <c r="F412" i="4" s="1"/>
  <c r="E415" i="4"/>
  <c r="F415" i="4" s="1"/>
  <c r="E442" i="4"/>
  <c r="F442" i="4" s="1"/>
  <c r="E483" i="4"/>
  <c r="E425" i="4"/>
  <c r="E426" i="4"/>
  <c r="E433" i="4"/>
  <c r="F433" i="4" s="1"/>
  <c r="E434" i="4"/>
  <c r="E495" i="4"/>
  <c r="E445" i="4"/>
  <c r="F445" i="4" s="1"/>
  <c r="E448" i="4"/>
  <c r="E437" i="4"/>
  <c r="E439" i="4"/>
  <c r="E441" i="4"/>
  <c r="E443" i="4"/>
  <c r="F443" i="4" s="1"/>
  <c r="E455" i="4"/>
  <c r="F455" i="4" s="1"/>
  <c r="E458" i="4"/>
  <c r="E465" i="4"/>
  <c r="F465" i="4" s="1"/>
  <c r="E449" i="4"/>
  <c r="F449" i="4" s="1"/>
  <c r="E452" i="4"/>
  <c r="E446" i="4"/>
  <c r="E459" i="4"/>
  <c r="E467" i="4"/>
  <c r="E477" i="4"/>
  <c r="E481" i="4"/>
  <c r="F481" i="4" s="1"/>
  <c r="E485" i="4"/>
  <c r="E489" i="4"/>
  <c r="F489" i="4" s="1"/>
  <c r="E493" i="4"/>
  <c r="E497" i="4"/>
  <c r="F497" i="4" s="1"/>
  <c r="E501" i="4"/>
  <c r="E505" i="4"/>
  <c r="F505" i="4" s="1"/>
  <c r="E453" i="4"/>
  <c r="E456" i="4"/>
  <c r="F456" i="4" s="1"/>
  <c r="E450" i="4"/>
  <c r="F450" i="4" s="1"/>
  <c r="E461" i="4"/>
  <c r="F461" i="4" s="1"/>
  <c r="E469" i="4"/>
  <c r="F469" i="4" s="1"/>
  <c r="E475" i="4"/>
  <c r="E457" i="4"/>
  <c r="F457" i="4" s="1"/>
  <c r="E473" i="4"/>
  <c r="E460" i="4"/>
  <c r="F460" i="4" s="1"/>
  <c r="E462" i="4"/>
  <c r="E464" i="4"/>
  <c r="F464" i="4" s="1"/>
  <c r="E466" i="4"/>
  <c r="E468" i="4"/>
  <c r="F468" i="4" s="1"/>
  <c r="E470" i="4"/>
  <c r="F470" i="4" s="1"/>
  <c r="E472" i="4"/>
  <c r="F472" i="4" s="1"/>
  <c r="E474" i="4"/>
  <c r="E476" i="4"/>
  <c r="F476" i="4" s="1"/>
  <c r="E478" i="4"/>
  <c r="E480" i="4"/>
  <c r="F480" i="4" s="1"/>
  <c r="E482" i="4"/>
  <c r="E484" i="4"/>
  <c r="F484" i="4" s="1"/>
  <c r="E486" i="4"/>
  <c r="E488" i="4"/>
  <c r="F488" i="4" s="1"/>
  <c r="E490" i="4"/>
  <c r="E492" i="4"/>
  <c r="F492" i="4" s="1"/>
  <c r="E494" i="4"/>
  <c r="E496" i="4"/>
  <c r="F496" i="4" s="1"/>
  <c r="E498" i="4"/>
  <c r="E500" i="4"/>
  <c r="F500" i="4" s="1"/>
  <c r="E502" i="4"/>
  <c r="E504" i="4"/>
  <c r="F504" i="4" s="1"/>
  <c r="E506" i="4"/>
  <c r="X509" i="2"/>
  <c r="V6" i="2"/>
  <c r="W6" i="2"/>
  <c r="X6" i="2"/>
  <c r="V7" i="2" a="1"/>
  <c r="V7" i="2"/>
  <c r="W7" i="2"/>
  <c r="X7" i="2"/>
  <c r="V8" i="2" a="1"/>
  <c r="V8" i="2"/>
  <c r="W8" i="2"/>
  <c r="X8" i="2"/>
  <c r="V9" i="2" a="1"/>
  <c r="V9" i="2"/>
  <c r="W9" i="2"/>
  <c r="X9" i="2"/>
  <c r="V10" i="2" a="1"/>
  <c r="V10" i="2"/>
  <c r="W10" i="2"/>
  <c r="X10" i="2"/>
  <c r="V11" i="2" a="1"/>
  <c r="V11" i="2"/>
  <c r="W11" i="2"/>
  <c r="X11" i="2"/>
  <c r="V12" i="2" a="1"/>
  <c r="V12" i="2"/>
  <c r="W12" i="2"/>
  <c r="X12" i="2"/>
  <c r="V13" i="2" a="1"/>
  <c r="V13" i="2"/>
  <c r="W13" i="2"/>
  <c r="X13" i="2"/>
  <c r="V14" i="2" a="1"/>
  <c r="V14" i="2"/>
  <c r="W14" i="2"/>
  <c r="X14" i="2"/>
  <c r="V15" i="2" a="1"/>
  <c r="V15" i="2"/>
  <c r="W15" i="2"/>
  <c r="X15" i="2"/>
  <c r="V16" i="2" a="1"/>
  <c r="V16" i="2"/>
  <c r="W16" i="2"/>
  <c r="X16" i="2"/>
  <c r="V17" i="2" a="1"/>
  <c r="V17" i="2"/>
  <c r="W17" i="2"/>
  <c r="X17" i="2"/>
  <c r="V18" i="2" a="1"/>
  <c r="V18" i="2"/>
  <c r="W18" i="2"/>
  <c r="X18" i="2"/>
  <c r="V19" i="2" a="1"/>
  <c r="V19" i="2"/>
  <c r="W19" i="2"/>
  <c r="X19" i="2"/>
  <c r="V20" i="2" a="1"/>
  <c r="V20" i="2"/>
  <c r="W20" i="2"/>
  <c r="X20" i="2"/>
  <c r="V21" i="2" a="1"/>
  <c r="V21" i="2"/>
  <c r="W21" i="2"/>
  <c r="X21" i="2"/>
  <c r="V22" i="2" a="1"/>
  <c r="V22" i="2"/>
  <c r="W22" i="2"/>
  <c r="X22" i="2"/>
  <c r="V23" i="2" a="1"/>
  <c r="V23" i="2"/>
  <c r="W23" i="2"/>
  <c r="X23" i="2"/>
  <c r="V24" i="2" a="1"/>
  <c r="V24" i="2"/>
  <c r="W24" i="2"/>
  <c r="X24" i="2"/>
  <c r="V25" i="2" a="1"/>
  <c r="V25" i="2"/>
  <c r="W25" i="2"/>
  <c r="X25" i="2"/>
  <c r="V26" i="2" a="1"/>
  <c r="V26" i="2"/>
  <c r="W26" i="2"/>
  <c r="X26" i="2"/>
  <c r="V27" i="2" a="1"/>
  <c r="V27" i="2"/>
  <c r="W27" i="2"/>
  <c r="X27" i="2"/>
  <c r="V28" i="2" a="1"/>
  <c r="V28" i="2"/>
  <c r="W28" i="2"/>
  <c r="X28" i="2"/>
  <c r="V29" i="2" a="1"/>
  <c r="V29" i="2"/>
  <c r="W29" i="2"/>
  <c r="X29" i="2"/>
  <c r="V30" i="2" a="1"/>
  <c r="V30" i="2"/>
  <c r="W30" i="2"/>
  <c r="X30" i="2"/>
  <c r="V31" i="2" a="1"/>
  <c r="V31" i="2"/>
  <c r="W31" i="2"/>
  <c r="X31" i="2"/>
  <c r="V32" i="2" a="1"/>
  <c r="V32" i="2"/>
  <c r="W32" i="2"/>
  <c r="X32" i="2"/>
  <c r="V33" i="2" a="1"/>
  <c r="V33" i="2"/>
  <c r="W33" i="2"/>
  <c r="X33" i="2"/>
  <c r="V34" i="2" a="1"/>
  <c r="V34" i="2"/>
  <c r="W34" i="2"/>
  <c r="X34" i="2"/>
  <c r="V35" i="2" a="1"/>
  <c r="V35" i="2"/>
  <c r="W35" i="2"/>
  <c r="X35" i="2"/>
  <c r="V36" i="2" a="1"/>
  <c r="V36" i="2"/>
  <c r="W36" i="2"/>
  <c r="X36" i="2"/>
  <c r="V37" i="2" a="1"/>
  <c r="V37" i="2"/>
  <c r="W37" i="2"/>
  <c r="X37" i="2"/>
  <c r="V38" i="2" a="1"/>
  <c r="V38" i="2"/>
  <c r="W38" i="2"/>
  <c r="X38" i="2"/>
  <c r="V39" i="2" a="1"/>
  <c r="V39" i="2"/>
  <c r="W39" i="2"/>
  <c r="X39" i="2"/>
  <c r="V40" i="2" a="1"/>
  <c r="V40" i="2"/>
  <c r="W40" i="2"/>
  <c r="X40" i="2"/>
  <c r="V41" i="2" a="1"/>
  <c r="V41" i="2"/>
  <c r="W41" i="2"/>
  <c r="X41" i="2"/>
  <c r="V42" i="2" a="1"/>
  <c r="V42" i="2"/>
  <c r="W42" i="2"/>
  <c r="X42" i="2"/>
  <c r="V43" i="2" a="1"/>
  <c r="V43" i="2"/>
  <c r="W43" i="2"/>
  <c r="X43" i="2"/>
  <c r="V44" i="2" a="1"/>
  <c r="V44" i="2"/>
  <c r="W44" i="2"/>
  <c r="X44" i="2"/>
  <c r="V45" i="2" a="1"/>
  <c r="V45" i="2"/>
  <c r="W45" i="2"/>
  <c r="X45" i="2"/>
  <c r="V46" i="2" a="1"/>
  <c r="V46" i="2"/>
  <c r="W46" i="2"/>
  <c r="X46" i="2"/>
  <c r="V47" i="2" a="1"/>
  <c r="V47" i="2"/>
  <c r="W47" i="2"/>
  <c r="X47" i="2"/>
  <c r="V48" i="2" a="1"/>
  <c r="V48" i="2"/>
  <c r="W48" i="2"/>
  <c r="X48" i="2"/>
  <c r="V49" i="2" a="1"/>
  <c r="V49" i="2"/>
  <c r="W49" i="2"/>
  <c r="X49" i="2"/>
  <c r="V50" i="2" a="1"/>
  <c r="V50" i="2"/>
  <c r="W50" i="2"/>
  <c r="X50" i="2"/>
  <c r="V51" i="2" a="1"/>
  <c r="V51" i="2"/>
  <c r="W51" i="2"/>
  <c r="X51" i="2"/>
  <c r="V52" i="2" a="1"/>
  <c r="V52" i="2"/>
  <c r="W52" i="2"/>
  <c r="X52" i="2"/>
  <c r="V53" i="2" a="1"/>
  <c r="V53" i="2"/>
  <c r="W53" i="2"/>
  <c r="X53" i="2"/>
  <c r="V54" i="2" a="1"/>
  <c r="V54" i="2"/>
  <c r="W54" i="2"/>
  <c r="X54" i="2"/>
  <c r="V55" i="2" a="1"/>
  <c r="V55" i="2"/>
  <c r="W55" i="2"/>
  <c r="X55" i="2"/>
  <c r="V56" i="2" a="1"/>
  <c r="V56" i="2"/>
  <c r="W56" i="2"/>
  <c r="X56" i="2"/>
  <c r="V57" i="2" a="1"/>
  <c r="V57" i="2"/>
  <c r="W57" i="2"/>
  <c r="X57" i="2"/>
  <c r="V58" i="2" a="1"/>
  <c r="V58" i="2"/>
  <c r="W58" i="2"/>
  <c r="X58" i="2"/>
  <c r="V59" i="2" a="1"/>
  <c r="V59" i="2"/>
  <c r="W59" i="2"/>
  <c r="X59" i="2"/>
  <c r="V60" i="2" a="1"/>
  <c r="V60" i="2"/>
  <c r="W60" i="2"/>
  <c r="X60" i="2"/>
  <c r="V61" i="2" a="1"/>
  <c r="V61" i="2"/>
  <c r="W61" i="2"/>
  <c r="X61" i="2"/>
  <c r="V62" i="2" a="1"/>
  <c r="V62" i="2"/>
  <c r="W62" i="2"/>
  <c r="X62" i="2"/>
  <c r="V63" i="2" a="1"/>
  <c r="V63" i="2"/>
  <c r="W63" i="2"/>
  <c r="X63" i="2"/>
  <c r="V64" i="2" a="1"/>
  <c r="V64" i="2"/>
  <c r="W64" i="2"/>
  <c r="X64" i="2"/>
  <c r="V65" i="2" a="1"/>
  <c r="V65" i="2"/>
  <c r="W65" i="2"/>
  <c r="X65" i="2"/>
  <c r="V66" i="2" a="1"/>
  <c r="V66" i="2"/>
  <c r="W66" i="2"/>
  <c r="X66" i="2"/>
  <c r="V67" i="2" a="1"/>
  <c r="V67" i="2"/>
  <c r="W67" i="2"/>
  <c r="X67" i="2"/>
  <c r="V68" i="2" a="1"/>
  <c r="V68" i="2"/>
  <c r="W68" i="2"/>
  <c r="X68" i="2"/>
  <c r="V69" i="2" a="1"/>
  <c r="V69" i="2"/>
  <c r="W69" i="2"/>
  <c r="X69" i="2"/>
  <c r="V70" i="2" a="1"/>
  <c r="V70" i="2"/>
  <c r="W70" i="2"/>
  <c r="X70" i="2"/>
  <c r="V71" i="2" a="1"/>
  <c r="V71" i="2"/>
  <c r="W71" i="2"/>
  <c r="X71" i="2"/>
  <c r="V72" i="2" a="1"/>
  <c r="V72" i="2"/>
  <c r="W72" i="2"/>
  <c r="X72" i="2"/>
  <c r="V73" i="2" a="1"/>
  <c r="V73" i="2"/>
  <c r="W73" i="2"/>
  <c r="X73" i="2"/>
  <c r="V74" i="2" a="1"/>
  <c r="V74" i="2"/>
  <c r="W74" i="2"/>
  <c r="X74" i="2"/>
  <c r="V75" i="2" a="1"/>
  <c r="V75" i="2"/>
  <c r="W75" i="2"/>
  <c r="X75" i="2"/>
  <c r="V76" i="2" a="1"/>
  <c r="V76" i="2"/>
  <c r="W76" i="2"/>
  <c r="X76" i="2"/>
  <c r="V77" i="2" a="1"/>
  <c r="V77" i="2"/>
  <c r="W77" i="2"/>
  <c r="X77" i="2"/>
  <c r="V78" i="2" a="1"/>
  <c r="V78" i="2"/>
  <c r="W78" i="2"/>
  <c r="X78" i="2"/>
  <c r="V79" i="2" a="1"/>
  <c r="V79" i="2"/>
  <c r="W79" i="2"/>
  <c r="X79" i="2"/>
  <c r="V80" i="2" a="1"/>
  <c r="V80" i="2"/>
  <c r="W80" i="2"/>
  <c r="X80" i="2"/>
  <c r="V81" i="2" a="1"/>
  <c r="V81" i="2"/>
  <c r="W81" i="2"/>
  <c r="X81" i="2"/>
  <c r="V82" i="2" a="1"/>
  <c r="V82" i="2"/>
  <c r="W82" i="2"/>
  <c r="X82" i="2"/>
  <c r="V83" i="2" a="1"/>
  <c r="V83" i="2"/>
  <c r="W83" i="2"/>
  <c r="X83" i="2"/>
  <c r="V84" i="2" a="1"/>
  <c r="V84" i="2"/>
  <c r="W84" i="2"/>
  <c r="X84" i="2"/>
  <c r="V85" i="2" a="1"/>
  <c r="V85" i="2"/>
  <c r="W85" i="2"/>
  <c r="X85" i="2"/>
  <c r="V86" i="2" a="1"/>
  <c r="V86" i="2"/>
  <c r="W86" i="2"/>
  <c r="X86" i="2"/>
  <c r="V87" i="2" a="1"/>
  <c r="V87" i="2"/>
  <c r="W87" i="2"/>
  <c r="X87" i="2"/>
  <c r="V88" i="2" a="1"/>
  <c r="V88" i="2"/>
  <c r="W88" i="2"/>
  <c r="X88" i="2"/>
  <c r="V89" i="2" a="1"/>
  <c r="V89" i="2"/>
  <c r="W89" i="2"/>
  <c r="X89" i="2"/>
  <c r="V90" i="2" a="1"/>
  <c r="V90" i="2"/>
  <c r="W90" i="2"/>
  <c r="X90" i="2"/>
  <c r="V91" i="2" a="1"/>
  <c r="V91" i="2"/>
  <c r="W91" i="2"/>
  <c r="X91" i="2"/>
  <c r="V92" i="2" a="1"/>
  <c r="V92" i="2"/>
  <c r="W92" i="2"/>
  <c r="X92" i="2"/>
  <c r="V93" i="2" a="1"/>
  <c r="V93" i="2"/>
  <c r="W93" i="2"/>
  <c r="X93" i="2"/>
  <c r="V94" i="2" a="1"/>
  <c r="V94" i="2"/>
  <c r="W94" i="2"/>
  <c r="X94" i="2"/>
  <c r="V95" i="2" a="1"/>
  <c r="V95" i="2"/>
  <c r="W95" i="2"/>
  <c r="X95" i="2"/>
  <c r="V96" i="2" a="1"/>
  <c r="V96" i="2"/>
  <c r="W96" i="2"/>
  <c r="X96" i="2"/>
  <c r="V97" i="2" a="1"/>
  <c r="V97" i="2"/>
  <c r="W97" i="2"/>
  <c r="X97" i="2"/>
  <c r="V98" i="2" a="1"/>
  <c r="V98" i="2"/>
  <c r="W98" i="2"/>
  <c r="X98" i="2"/>
  <c r="V99" i="2" a="1"/>
  <c r="V99" i="2"/>
  <c r="W99" i="2"/>
  <c r="X99" i="2"/>
  <c r="V100" i="2" a="1"/>
  <c r="V100" i="2"/>
  <c r="W100" i="2"/>
  <c r="X100" i="2"/>
  <c r="V101" i="2" a="1"/>
  <c r="V101" i="2"/>
  <c r="W101" i="2"/>
  <c r="X101" i="2"/>
  <c r="V102" i="2" a="1"/>
  <c r="V102" i="2"/>
  <c r="W102" i="2"/>
  <c r="X102" i="2"/>
  <c r="V103" i="2" a="1"/>
  <c r="V103" i="2"/>
  <c r="W103" i="2"/>
  <c r="X103" i="2"/>
  <c r="V104" i="2" a="1"/>
  <c r="V104" i="2"/>
  <c r="W104" i="2"/>
  <c r="X104" i="2"/>
  <c r="V105" i="2" a="1"/>
  <c r="V105" i="2"/>
  <c r="W105" i="2"/>
  <c r="X105" i="2"/>
  <c r="V106" i="2" a="1"/>
  <c r="V106" i="2"/>
  <c r="W106" i="2"/>
  <c r="X106" i="2"/>
  <c r="V107" i="2" a="1"/>
  <c r="V107" i="2"/>
  <c r="W107" i="2"/>
  <c r="X107" i="2"/>
  <c r="V108" i="2" a="1"/>
  <c r="V108" i="2"/>
  <c r="W108" i="2"/>
  <c r="X108" i="2"/>
  <c r="V109" i="2" a="1"/>
  <c r="V109" i="2"/>
  <c r="W109" i="2"/>
  <c r="X109" i="2"/>
  <c r="V110" i="2" a="1"/>
  <c r="V110" i="2"/>
  <c r="W110" i="2"/>
  <c r="X110" i="2"/>
  <c r="V111" i="2" a="1"/>
  <c r="V111" i="2"/>
  <c r="W111" i="2"/>
  <c r="X111" i="2"/>
  <c r="V112" i="2" a="1"/>
  <c r="V112" i="2"/>
  <c r="W112" i="2"/>
  <c r="X112" i="2"/>
  <c r="V113" i="2" a="1"/>
  <c r="V113" i="2"/>
  <c r="W113" i="2"/>
  <c r="X113" i="2"/>
  <c r="V114" i="2" a="1"/>
  <c r="V114" i="2"/>
  <c r="W114" i="2"/>
  <c r="X114" i="2"/>
  <c r="V115" i="2" a="1"/>
  <c r="V115" i="2"/>
  <c r="W115" i="2"/>
  <c r="X115" i="2"/>
  <c r="V116" i="2" a="1"/>
  <c r="V116" i="2"/>
  <c r="W116" i="2"/>
  <c r="X116" i="2"/>
  <c r="V117" i="2" a="1"/>
  <c r="V117" i="2"/>
  <c r="W117" i="2"/>
  <c r="X117" i="2"/>
  <c r="V118" i="2" a="1"/>
  <c r="V118" i="2"/>
  <c r="W118" i="2"/>
  <c r="X118" i="2"/>
  <c r="V119" i="2" a="1"/>
  <c r="V119" i="2"/>
  <c r="W119" i="2"/>
  <c r="X119" i="2"/>
  <c r="V120" i="2" a="1"/>
  <c r="V120" i="2"/>
  <c r="W120" i="2"/>
  <c r="X120" i="2"/>
  <c r="V121" i="2" a="1"/>
  <c r="V121" i="2"/>
  <c r="W121" i="2"/>
  <c r="X121" i="2"/>
  <c r="V122" i="2" a="1"/>
  <c r="V122" i="2"/>
  <c r="W122" i="2"/>
  <c r="X122" i="2"/>
  <c r="V123" i="2" a="1"/>
  <c r="V123" i="2"/>
  <c r="W123" i="2"/>
  <c r="X123" i="2"/>
  <c r="V124" i="2" a="1"/>
  <c r="V124" i="2"/>
  <c r="W124" i="2"/>
  <c r="X124" i="2"/>
  <c r="V125" i="2" a="1"/>
  <c r="V125" i="2"/>
  <c r="W125" i="2"/>
  <c r="X125" i="2"/>
  <c r="V126" i="2" a="1"/>
  <c r="V126" i="2"/>
  <c r="W126" i="2"/>
  <c r="X126" i="2"/>
  <c r="V127" i="2" a="1"/>
  <c r="V127" i="2"/>
  <c r="W127" i="2"/>
  <c r="X127" i="2"/>
  <c r="V128" i="2" a="1"/>
  <c r="V128" i="2"/>
  <c r="W128" i="2"/>
  <c r="X128" i="2"/>
  <c r="V129" i="2" a="1"/>
  <c r="V129" i="2"/>
  <c r="W129" i="2"/>
  <c r="X129" i="2"/>
  <c r="V130" i="2" a="1"/>
  <c r="V130" i="2"/>
  <c r="W130" i="2"/>
  <c r="X130" i="2"/>
  <c r="V131" i="2" a="1"/>
  <c r="V131" i="2"/>
  <c r="W131" i="2"/>
  <c r="X131" i="2"/>
  <c r="V132" i="2" a="1"/>
  <c r="V132" i="2"/>
  <c r="W132" i="2"/>
  <c r="X132" i="2"/>
  <c r="V133" i="2" a="1"/>
  <c r="V133" i="2"/>
  <c r="W133" i="2"/>
  <c r="X133" i="2"/>
  <c r="V134" i="2" a="1"/>
  <c r="V134" i="2"/>
  <c r="W134" i="2"/>
  <c r="X134" i="2"/>
  <c r="V135" i="2" a="1"/>
  <c r="V135" i="2"/>
  <c r="W135" i="2"/>
  <c r="X135" i="2"/>
  <c r="V136" i="2" a="1"/>
  <c r="V136" i="2"/>
  <c r="W136" i="2"/>
  <c r="X136" i="2"/>
  <c r="V137" i="2" a="1"/>
  <c r="V137" i="2"/>
  <c r="W137" i="2"/>
  <c r="X137" i="2"/>
  <c r="V138" i="2" a="1"/>
  <c r="V138" i="2"/>
  <c r="W138" i="2"/>
  <c r="X138" i="2"/>
  <c r="V139" i="2" a="1"/>
  <c r="V139" i="2"/>
  <c r="W139" i="2"/>
  <c r="X139" i="2"/>
  <c r="V140" i="2" a="1"/>
  <c r="V140" i="2"/>
  <c r="W140" i="2"/>
  <c r="X140" i="2"/>
  <c r="V141" i="2" a="1"/>
  <c r="V141" i="2"/>
  <c r="W141" i="2"/>
  <c r="X141" i="2"/>
  <c r="V142" i="2" a="1"/>
  <c r="V142" i="2"/>
  <c r="W142" i="2"/>
  <c r="X142" i="2"/>
  <c r="V143" i="2" a="1"/>
  <c r="V143" i="2"/>
  <c r="W143" i="2"/>
  <c r="X143" i="2"/>
  <c r="V144" i="2" a="1"/>
  <c r="V144" i="2"/>
  <c r="W144" i="2"/>
  <c r="X144" i="2"/>
  <c r="V145" i="2" a="1"/>
  <c r="V145" i="2"/>
  <c r="W145" i="2"/>
  <c r="X145" i="2"/>
  <c r="V146" i="2" a="1"/>
  <c r="V146" i="2"/>
  <c r="W146" i="2"/>
  <c r="X146" i="2"/>
  <c r="V147" i="2" a="1"/>
  <c r="V147" i="2"/>
  <c r="W147" i="2"/>
  <c r="X147" i="2"/>
  <c r="V148" i="2" a="1"/>
  <c r="V148" i="2"/>
  <c r="W148" i="2"/>
  <c r="X148" i="2"/>
  <c r="V149" i="2" a="1"/>
  <c r="V149" i="2"/>
  <c r="W149" i="2"/>
  <c r="X149" i="2"/>
  <c r="V150" i="2" a="1"/>
  <c r="V150" i="2"/>
  <c r="W150" i="2"/>
  <c r="X150" i="2"/>
  <c r="V151" i="2" a="1"/>
  <c r="V151" i="2"/>
  <c r="W151" i="2"/>
  <c r="X151" i="2"/>
  <c r="V152" i="2" a="1"/>
  <c r="V152" i="2"/>
  <c r="W152" i="2"/>
  <c r="X152" i="2"/>
  <c r="V153" i="2" a="1"/>
  <c r="V153" i="2"/>
  <c r="W153" i="2"/>
  <c r="X153" i="2"/>
  <c r="V154" i="2" a="1"/>
  <c r="V154" i="2"/>
  <c r="W154" i="2"/>
  <c r="X154" i="2"/>
  <c r="V155" i="2" a="1"/>
  <c r="V155" i="2"/>
  <c r="W155" i="2"/>
  <c r="X155" i="2"/>
  <c r="V156" i="2" a="1"/>
  <c r="V156" i="2"/>
  <c r="W156" i="2"/>
  <c r="X156" i="2"/>
  <c r="V157" i="2" a="1"/>
  <c r="V157" i="2"/>
  <c r="W157" i="2"/>
  <c r="X157" i="2"/>
  <c r="V158" i="2" a="1"/>
  <c r="V158" i="2"/>
  <c r="W158" i="2"/>
  <c r="X158" i="2"/>
  <c r="V159" i="2" a="1"/>
  <c r="V159" i="2"/>
  <c r="W159" i="2"/>
  <c r="X159" i="2"/>
  <c r="V160" i="2" a="1"/>
  <c r="V160" i="2"/>
  <c r="W160" i="2"/>
  <c r="X160" i="2"/>
  <c r="V161" i="2" a="1"/>
  <c r="V161" i="2"/>
  <c r="W161" i="2"/>
  <c r="X161" i="2"/>
  <c r="V162" i="2" a="1"/>
  <c r="V162" i="2"/>
  <c r="W162" i="2"/>
  <c r="X162" i="2"/>
  <c r="V163" i="2" a="1"/>
  <c r="V163" i="2"/>
  <c r="W163" i="2"/>
  <c r="X163" i="2"/>
  <c r="V164" i="2" a="1"/>
  <c r="V164" i="2"/>
  <c r="W164" i="2"/>
  <c r="X164" i="2"/>
  <c r="V165" i="2" a="1"/>
  <c r="V165" i="2"/>
  <c r="W165" i="2"/>
  <c r="X165" i="2"/>
  <c r="V166" i="2" a="1"/>
  <c r="V166" i="2"/>
  <c r="W166" i="2"/>
  <c r="X166" i="2"/>
  <c r="V167" i="2" a="1"/>
  <c r="V167" i="2"/>
  <c r="W167" i="2"/>
  <c r="X167" i="2"/>
  <c r="V168" i="2" a="1"/>
  <c r="V168" i="2"/>
  <c r="W168" i="2"/>
  <c r="X168" i="2"/>
  <c r="V169" i="2" a="1"/>
  <c r="V169" i="2"/>
  <c r="W169" i="2"/>
  <c r="X169" i="2"/>
  <c r="V170" i="2" a="1"/>
  <c r="V170" i="2"/>
  <c r="W170" i="2"/>
  <c r="X170" i="2"/>
  <c r="V171" i="2" a="1"/>
  <c r="V171" i="2"/>
  <c r="W171" i="2"/>
  <c r="X171" i="2"/>
  <c r="V172" i="2" a="1"/>
  <c r="V172" i="2"/>
  <c r="W172" i="2"/>
  <c r="X172" i="2"/>
  <c r="V173" i="2" a="1"/>
  <c r="V173" i="2"/>
  <c r="W173" i="2"/>
  <c r="X173" i="2"/>
  <c r="V174" i="2" a="1"/>
  <c r="V174" i="2"/>
  <c r="W174" i="2"/>
  <c r="X174" i="2"/>
  <c r="V175" i="2" a="1"/>
  <c r="V175" i="2"/>
  <c r="W175" i="2"/>
  <c r="X175" i="2"/>
  <c r="V176" i="2" a="1"/>
  <c r="V176" i="2"/>
  <c r="W176" i="2"/>
  <c r="X176" i="2"/>
  <c r="V177" i="2" a="1"/>
  <c r="V177" i="2"/>
  <c r="W177" i="2"/>
  <c r="X177" i="2"/>
  <c r="V178" i="2" a="1"/>
  <c r="V178" i="2"/>
  <c r="W178" i="2"/>
  <c r="X178" i="2"/>
  <c r="V179" i="2" a="1"/>
  <c r="V179" i="2"/>
  <c r="W179" i="2"/>
  <c r="X179" i="2"/>
  <c r="V180" i="2" a="1"/>
  <c r="V180" i="2"/>
  <c r="W180" i="2"/>
  <c r="X180" i="2"/>
  <c r="V181" i="2" a="1"/>
  <c r="V181" i="2"/>
  <c r="W181" i="2"/>
  <c r="X181" i="2"/>
  <c r="V182" i="2" a="1"/>
  <c r="V182" i="2"/>
  <c r="W182" i="2"/>
  <c r="X182" i="2"/>
  <c r="V183" i="2" a="1"/>
  <c r="V183" i="2"/>
  <c r="W183" i="2"/>
  <c r="X183" i="2"/>
  <c r="V184" i="2" a="1"/>
  <c r="V184" i="2"/>
  <c r="W184" i="2"/>
  <c r="X184" i="2"/>
  <c r="V185" i="2" a="1"/>
  <c r="V185" i="2"/>
  <c r="W185" i="2"/>
  <c r="X185" i="2"/>
  <c r="V186" i="2" a="1"/>
  <c r="V186" i="2"/>
  <c r="W186" i="2"/>
  <c r="X186" i="2"/>
  <c r="V187" i="2" a="1"/>
  <c r="V187" i="2"/>
  <c r="W187" i="2"/>
  <c r="X187" i="2"/>
  <c r="V188" i="2" a="1"/>
  <c r="V188" i="2"/>
  <c r="W188" i="2"/>
  <c r="X188" i="2"/>
  <c r="V189" i="2" a="1"/>
  <c r="V189" i="2"/>
  <c r="W189" i="2"/>
  <c r="X189" i="2"/>
  <c r="V190" i="2" a="1"/>
  <c r="V190" i="2"/>
  <c r="W190" i="2"/>
  <c r="X190" i="2"/>
  <c r="V191" i="2" a="1"/>
  <c r="V191" i="2"/>
  <c r="W191" i="2"/>
  <c r="X191" i="2"/>
  <c r="V192" i="2" a="1"/>
  <c r="V192" i="2"/>
  <c r="W192" i="2"/>
  <c r="X192" i="2"/>
  <c r="V193" i="2" a="1"/>
  <c r="V193" i="2"/>
  <c r="W193" i="2"/>
  <c r="X193" i="2"/>
  <c r="V194" i="2" a="1"/>
  <c r="V194" i="2"/>
  <c r="W194" i="2"/>
  <c r="X194" i="2"/>
  <c r="V195" i="2" a="1"/>
  <c r="V195" i="2"/>
  <c r="W195" i="2"/>
  <c r="X195" i="2"/>
  <c r="V196" i="2" a="1"/>
  <c r="V196" i="2"/>
  <c r="W196" i="2"/>
  <c r="X196" i="2"/>
  <c r="V197" i="2" a="1"/>
  <c r="V197" i="2"/>
  <c r="W197" i="2"/>
  <c r="X197" i="2"/>
  <c r="V198" i="2" a="1"/>
  <c r="V198" i="2"/>
  <c r="W198" i="2"/>
  <c r="X198" i="2"/>
  <c r="V199" i="2" a="1"/>
  <c r="V199" i="2"/>
  <c r="W199" i="2"/>
  <c r="X199" i="2"/>
  <c r="V200" i="2" a="1"/>
  <c r="V200" i="2"/>
  <c r="W200" i="2"/>
  <c r="X200" i="2"/>
  <c r="V201" i="2" a="1"/>
  <c r="V201" i="2"/>
  <c r="W201" i="2"/>
  <c r="X201" i="2"/>
  <c r="V202" i="2" a="1"/>
  <c r="V202" i="2"/>
  <c r="W202" i="2"/>
  <c r="X202" i="2"/>
  <c r="V203" i="2" a="1"/>
  <c r="V203" i="2"/>
  <c r="W203" i="2"/>
  <c r="X203" i="2"/>
  <c r="V204" i="2" a="1"/>
  <c r="V204" i="2"/>
  <c r="W204" i="2"/>
  <c r="X204" i="2"/>
  <c r="V205" i="2" a="1"/>
  <c r="V205" i="2"/>
  <c r="W205" i="2"/>
  <c r="X205" i="2"/>
  <c r="V206" i="2" a="1"/>
  <c r="V206" i="2"/>
  <c r="W206" i="2"/>
  <c r="X206" i="2"/>
  <c r="V207" i="2" a="1"/>
  <c r="V207" i="2"/>
  <c r="W207" i="2"/>
  <c r="X207" i="2"/>
  <c r="V208" i="2" a="1"/>
  <c r="V208" i="2"/>
  <c r="W208" i="2"/>
  <c r="X208" i="2"/>
  <c r="V209" i="2" a="1"/>
  <c r="V209" i="2"/>
  <c r="W209" i="2"/>
  <c r="X209" i="2"/>
  <c r="V210" i="2" a="1"/>
  <c r="V210" i="2"/>
  <c r="W210" i="2"/>
  <c r="X210" i="2"/>
  <c r="V211" i="2" a="1"/>
  <c r="V211" i="2"/>
  <c r="W211" i="2"/>
  <c r="X211" i="2"/>
  <c r="V212" i="2" a="1"/>
  <c r="V212" i="2"/>
  <c r="W212" i="2"/>
  <c r="X212" i="2"/>
  <c r="V213" i="2" a="1"/>
  <c r="V213" i="2"/>
  <c r="W213" i="2"/>
  <c r="X213" i="2"/>
  <c r="V214" i="2" a="1"/>
  <c r="V214" i="2"/>
  <c r="W214" i="2"/>
  <c r="X214" i="2"/>
  <c r="V215" i="2" a="1"/>
  <c r="V215" i="2"/>
  <c r="W215" i="2"/>
  <c r="X215" i="2"/>
  <c r="V216" i="2" a="1"/>
  <c r="V216" i="2"/>
  <c r="W216" i="2"/>
  <c r="X216" i="2"/>
  <c r="V217" i="2" a="1"/>
  <c r="V217" i="2"/>
  <c r="W217" i="2"/>
  <c r="X217" i="2"/>
  <c r="V218" i="2" a="1"/>
  <c r="V218" i="2"/>
  <c r="W218" i="2"/>
  <c r="X218" i="2"/>
  <c r="V219" i="2" a="1"/>
  <c r="V219" i="2"/>
  <c r="W219" i="2"/>
  <c r="X219" i="2"/>
  <c r="V220" i="2" a="1"/>
  <c r="V220" i="2"/>
  <c r="W220" i="2"/>
  <c r="X220" i="2"/>
  <c r="V221" i="2" a="1"/>
  <c r="V221" i="2"/>
  <c r="W221" i="2"/>
  <c r="X221" i="2"/>
  <c r="V222" i="2" a="1"/>
  <c r="V222" i="2"/>
  <c r="W222" i="2"/>
  <c r="X222" i="2"/>
  <c r="V223" i="2" a="1"/>
  <c r="V223" i="2"/>
  <c r="W223" i="2"/>
  <c r="X223" i="2"/>
  <c r="V224" i="2" a="1"/>
  <c r="V224" i="2"/>
  <c r="W224" i="2"/>
  <c r="X224" i="2"/>
  <c r="V225" i="2" a="1"/>
  <c r="V225" i="2"/>
  <c r="W225" i="2"/>
  <c r="X225" i="2"/>
  <c r="V226" i="2" a="1"/>
  <c r="V226" i="2"/>
  <c r="W226" i="2"/>
  <c r="X226" i="2"/>
  <c r="V227" i="2" a="1"/>
  <c r="V227" i="2"/>
  <c r="W227" i="2"/>
  <c r="X227" i="2"/>
  <c r="V228" i="2" a="1"/>
  <c r="V228" i="2"/>
  <c r="W228" i="2"/>
  <c r="X228" i="2"/>
  <c r="V229" i="2" a="1"/>
  <c r="V229" i="2"/>
  <c r="W229" i="2"/>
  <c r="X229" i="2"/>
  <c r="V230" i="2" a="1"/>
  <c r="V230" i="2"/>
  <c r="W230" i="2"/>
  <c r="X230" i="2"/>
  <c r="V231" i="2" a="1"/>
  <c r="V231" i="2"/>
  <c r="W231" i="2"/>
  <c r="X231" i="2"/>
  <c r="V232" i="2" a="1"/>
  <c r="V232" i="2"/>
  <c r="W232" i="2"/>
  <c r="X232" i="2"/>
  <c r="V233" i="2" a="1"/>
  <c r="V233" i="2"/>
  <c r="W233" i="2"/>
  <c r="X233" i="2"/>
  <c r="V234" i="2" a="1"/>
  <c r="V234" i="2"/>
  <c r="W234" i="2"/>
  <c r="X234" i="2"/>
  <c r="V235" i="2" a="1"/>
  <c r="V235" i="2"/>
  <c r="W235" i="2"/>
  <c r="X235" i="2"/>
  <c r="V236" i="2" a="1"/>
  <c r="V236" i="2"/>
  <c r="W236" i="2"/>
  <c r="X236" i="2"/>
  <c r="V237" i="2" a="1"/>
  <c r="V237" i="2"/>
  <c r="W237" i="2"/>
  <c r="X237" i="2"/>
  <c r="V238" i="2" a="1"/>
  <c r="V238" i="2"/>
  <c r="W238" i="2"/>
  <c r="X238" i="2"/>
  <c r="V239" i="2" a="1"/>
  <c r="V239" i="2"/>
  <c r="W239" i="2"/>
  <c r="X239" i="2"/>
  <c r="V240" i="2" a="1"/>
  <c r="V240" i="2"/>
  <c r="W240" i="2"/>
  <c r="X240" i="2"/>
  <c r="V241" i="2" a="1"/>
  <c r="V241" i="2"/>
  <c r="W241" i="2"/>
  <c r="X241" i="2"/>
  <c r="V242" i="2" a="1"/>
  <c r="V242" i="2"/>
  <c r="W242" i="2"/>
  <c r="X242" i="2"/>
  <c r="V243" i="2" a="1"/>
  <c r="V243" i="2"/>
  <c r="W243" i="2"/>
  <c r="X243" i="2"/>
  <c r="V244" i="2" a="1"/>
  <c r="V244" i="2"/>
  <c r="W244" i="2"/>
  <c r="X244" i="2"/>
  <c r="V245" i="2" a="1"/>
  <c r="V245" i="2"/>
  <c r="W245" i="2"/>
  <c r="X245" i="2"/>
  <c r="V246" i="2" a="1"/>
  <c r="V246" i="2"/>
  <c r="W246" i="2"/>
  <c r="X246" i="2"/>
  <c r="V247" i="2" a="1"/>
  <c r="V247" i="2"/>
  <c r="W247" i="2"/>
  <c r="X247" i="2"/>
  <c r="V248" i="2" a="1"/>
  <c r="V248" i="2"/>
  <c r="W248" i="2"/>
  <c r="X248" i="2"/>
  <c r="V249" i="2" a="1"/>
  <c r="V249" i="2"/>
  <c r="W249" i="2"/>
  <c r="X249" i="2"/>
  <c r="V250" i="2" a="1"/>
  <c r="V250" i="2"/>
  <c r="W250" i="2"/>
  <c r="X250" i="2"/>
  <c r="V251" i="2" a="1"/>
  <c r="V251" i="2"/>
  <c r="W251" i="2"/>
  <c r="X251" i="2"/>
  <c r="V252" i="2" a="1"/>
  <c r="V252" i="2"/>
  <c r="W252" i="2"/>
  <c r="X252" i="2"/>
  <c r="V253" i="2" a="1"/>
  <c r="V253" i="2"/>
  <c r="W253" i="2"/>
  <c r="X253" i="2"/>
  <c r="V254" i="2" a="1"/>
  <c r="V254" i="2"/>
  <c r="W254" i="2"/>
  <c r="X254" i="2"/>
  <c r="V255" i="2" a="1"/>
  <c r="V255" i="2"/>
  <c r="W255" i="2"/>
  <c r="X255" i="2"/>
  <c r="V256" i="2" a="1"/>
  <c r="V256" i="2"/>
  <c r="W256" i="2"/>
  <c r="X256" i="2"/>
  <c r="V257" i="2" a="1"/>
  <c r="V257" i="2"/>
  <c r="W257" i="2"/>
  <c r="X257" i="2"/>
  <c r="V258" i="2" a="1"/>
  <c r="V258" i="2"/>
  <c r="W258" i="2"/>
  <c r="X258" i="2"/>
  <c r="V259" i="2" a="1"/>
  <c r="V259" i="2"/>
  <c r="W259" i="2"/>
  <c r="X259" i="2"/>
  <c r="V260" i="2" a="1"/>
  <c r="V260" i="2"/>
  <c r="W260" i="2"/>
  <c r="X260" i="2"/>
  <c r="V261" i="2" a="1"/>
  <c r="V261" i="2"/>
  <c r="W261" i="2"/>
  <c r="X261" i="2"/>
  <c r="V262" i="2" a="1"/>
  <c r="V262" i="2"/>
  <c r="W262" i="2"/>
  <c r="X262" i="2"/>
  <c r="V263" i="2" a="1"/>
  <c r="V263" i="2"/>
  <c r="W263" i="2"/>
  <c r="X263" i="2"/>
  <c r="V264" i="2" a="1"/>
  <c r="V264" i="2"/>
  <c r="W264" i="2"/>
  <c r="X264" i="2"/>
  <c r="V265" i="2" a="1"/>
  <c r="V265" i="2"/>
  <c r="W265" i="2"/>
  <c r="X265" i="2"/>
  <c r="V266" i="2" a="1"/>
  <c r="V266" i="2"/>
  <c r="W266" i="2"/>
  <c r="X266" i="2"/>
  <c r="V267" i="2" a="1"/>
  <c r="V267" i="2"/>
  <c r="W267" i="2"/>
  <c r="X267" i="2"/>
  <c r="V268" i="2" a="1"/>
  <c r="V268" i="2"/>
  <c r="W268" i="2"/>
  <c r="X268" i="2"/>
  <c r="V269" i="2" a="1"/>
  <c r="V269" i="2"/>
  <c r="W269" i="2"/>
  <c r="X269" i="2"/>
  <c r="V270" i="2" a="1"/>
  <c r="V270" i="2"/>
  <c r="W270" i="2"/>
  <c r="X270" i="2"/>
  <c r="V271" i="2" a="1"/>
  <c r="V271" i="2"/>
  <c r="W271" i="2"/>
  <c r="X271" i="2"/>
  <c r="V272" i="2" a="1"/>
  <c r="V272" i="2"/>
  <c r="W272" i="2"/>
  <c r="X272" i="2"/>
  <c r="V273" i="2" a="1"/>
  <c r="V273" i="2"/>
  <c r="W273" i="2"/>
  <c r="X273" i="2"/>
  <c r="V274" i="2" a="1"/>
  <c r="V274" i="2"/>
  <c r="W274" i="2"/>
  <c r="X274" i="2"/>
  <c r="V275" i="2" a="1"/>
  <c r="V275" i="2"/>
  <c r="W275" i="2"/>
  <c r="X275" i="2"/>
  <c r="V276" i="2" a="1"/>
  <c r="V276" i="2"/>
  <c r="W276" i="2"/>
  <c r="X276" i="2"/>
  <c r="V277" i="2" a="1"/>
  <c r="V277" i="2"/>
  <c r="W277" i="2"/>
  <c r="X277" i="2"/>
  <c r="V278" i="2" a="1"/>
  <c r="V278" i="2"/>
  <c r="W278" i="2"/>
  <c r="X278" i="2"/>
  <c r="V279" i="2" a="1"/>
  <c r="V279" i="2"/>
  <c r="W279" i="2"/>
  <c r="X279" i="2"/>
  <c r="V280" i="2" a="1"/>
  <c r="V280" i="2"/>
  <c r="W280" i="2"/>
  <c r="X280" i="2"/>
  <c r="V281" i="2" a="1"/>
  <c r="V281" i="2"/>
  <c r="W281" i="2"/>
  <c r="X281" i="2"/>
  <c r="V282" i="2" a="1"/>
  <c r="V282" i="2"/>
  <c r="W282" i="2"/>
  <c r="X282" i="2"/>
  <c r="V283" i="2" a="1"/>
  <c r="V283" i="2"/>
  <c r="W283" i="2"/>
  <c r="X283" i="2"/>
  <c r="V284" i="2" a="1"/>
  <c r="V284" i="2"/>
  <c r="W284" i="2"/>
  <c r="X284" i="2"/>
  <c r="V285" i="2" a="1"/>
  <c r="V285" i="2"/>
  <c r="W285" i="2"/>
  <c r="X285" i="2"/>
  <c r="V286" i="2" a="1"/>
  <c r="V286" i="2"/>
  <c r="W286" i="2"/>
  <c r="X286" i="2"/>
  <c r="V287" i="2" a="1"/>
  <c r="V287" i="2"/>
  <c r="W287" i="2"/>
  <c r="X287" i="2"/>
  <c r="V288" i="2" a="1"/>
  <c r="V288" i="2"/>
  <c r="W288" i="2"/>
  <c r="X288" i="2"/>
  <c r="V289" i="2" a="1"/>
  <c r="V289" i="2"/>
  <c r="W289" i="2"/>
  <c r="X289" i="2"/>
  <c r="V290" i="2" a="1"/>
  <c r="V290" i="2"/>
  <c r="W290" i="2"/>
  <c r="X290" i="2"/>
  <c r="V291" i="2" a="1"/>
  <c r="V291" i="2"/>
  <c r="W291" i="2"/>
  <c r="X291" i="2"/>
  <c r="V292" i="2" a="1"/>
  <c r="V292" i="2"/>
  <c r="W292" i="2"/>
  <c r="X292" i="2"/>
  <c r="V293" i="2" a="1"/>
  <c r="V293" i="2"/>
  <c r="W293" i="2"/>
  <c r="X293" i="2"/>
  <c r="V294" i="2" a="1"/>
  <c r="V294" i="2"/>
  <c r="W294" i="2"/>
  <c r="X294" i="2"/>
  <c r="V295" i="2" a="1"/>
  <c r="V295" i="2"/>
  <c r="W295" i="2"/>
  <c r="X295" i="2"/>
  <c r="V296" i="2" a="1"/>
  <c r="V296" i="2"/>
  <c r="W296" i="2"/>
  <c r="X296" i="2"/>
  <c r="V297" i="2" a="1"/>
  <c r="V297" i="2"/>
  <c r="W297" i="2"/>
  <c r="X297" i="2"/>
  <c r="V298" i="2" a="1"/>
  <c r="V298" i="2"/>
  <c r="W298" i="2"/>
  <c r="X298" i="2"/>
  <c r="V299" i="2" a="1"/>
  <c r="V299" i="2"/>
  <c r="W299" i="2"/>
  <c r="X299" i="2"/>
  <c r="V300" i="2" a="1"/>
  <c r="V300" i="2"/>
  <c r="W300" i="2"/>
  <c r="X300" i="2"/>
  <c r="V301" i="2" a="1"/>
  <c r="V301" i="2"/>
  <c r="W301" i="2"/>
  <c r="X301" i="2"/>
  <c r="V302" i="2" a="1"/>
  <c r="V302" i="2"/>
  <c r="W302" i="2"/>
  <c r="X302" i="2"/>
  <c r="V303" i="2" a="1"/>
  <c r="V303" i="2"/>
  <c r="W303" i="2"/>
  <c r="X303" i="2"/>
  <c r="V304" i="2" a="1"/>
  <c r="V304" i="2"/>
  <c r="W304" i="2"/>
  <c r="X304" i="2"/>
  <c r="V305" i="2" a="1"/>
  <c r="V305" i="2"/>
  <c r="W305" i="2"/>
  <c r="X305" i="2"/>
  <c r="V306" i="2" a="1"/>
  <c r="V306" i="2"/>
  <c r="W306" i="2"/>
  <c r="X306" i="2"/>
  <c r="V307" i="2" a="1"/>
  <c r="V307" i="2"/>
  <c r="W307" i="2"/>
  <c r="X307" i="2"/>
  <c r="V308" i="2" a="1"/>
  <c r="V308" i="2"/>
  <c r="W308" i="2"/>
  <c r="X308" i="2"/>
  <c r="V309" i="2" a="1"/>
  <c r="V309" i="2"/>
  <c r="W309" i="2"/>
  <c r="X309" i="2"/>
  <c r="V310" i="2" a="1"/>
  <c r="V310" i="2"/>
  <c r="W310" i="2"/>
  <c r="X310" i="2"/>
  <c r="V311" i="2" a="1"/>
  <c r="V311" i="2"/>
  <c r="W311" i="2"/>
  <c r="X311" i="2"/>
  <c r="V312" i="2" a="1"/>
  <c r="V312" i="2"/>
  <c r="W312" i="2"/>
  <c r="X312" i="2"/>
  <c r="V313" i="2" a="1"/>
  <c r="V313" i="2"/>
  <c r="W313" i="2"/>
  <c r="X313" i="2"/>
  <c r="V314" i="2" a="1"/>
  <c r="V314" i="2"/>
  <c r="W314" i="2"/>
  <c r="X314" i="2"/>
  <c r="V315" i="2" a="1"/>
  <c r="V315" i="2"/>
  <c r="W315" i="2"/>
  <c r="X315" i="2"/>
  <c r="V316" i="2" a="1"/>
  <c r="V316" i="2"/>
  <c r="W316" i="2"/>
  <c r="X316" i="2"/>
  <c r="V317" i="2" a="1"/>
  <c r="V317" i="2"/>
  <c r="W317" i="2"/>
  <c r="X317" i="2"/>
  <c r="V318" i="2" a="1"/>
  <c r="V318" i="2"/>
  <c r="W318" i="2"/>
  <c r="X318" i="2"/>
  <c r="V319" i="2" a="1"/>
  <c r="V319" i="2"/>
  <c r="W319" i="2"/>
  <c r="X319" i="2"/>
  <c r="V320" i="2" a="1"/>
  <c r="V320" i="2"/>
  <c r="W320" i="2"/>
  <c r="X320" i="2"/>
  <c r="V321" i="2" a="1"/>
  <c r="V321" i="2"/>
  <c r="W321" i="2"/>
  <c r="X321" i="2"/>
  <c r="V322" i="2" a="1"/>
  <c r="V322" i="2"/>
  <c r="W322" i="2"/>
  <c r="X322" i="2"/>
  <c r="V323" i="2" a="1"/>
  <c r="V323" i="2"/>
  <c r="W323" i="2"/>
  <c r="X323" i="2"/>
  <c r="V324" i="2" a="1"/>
  <c r="V324" i="2"/>
  <c r="W324" i="2"/>
  <c r="X324" i="2"/>
  <c r="V325" i="2" a="1"/>
  <c r="V325" i="2"/>
  <c r="W325" i="2"/>
  <c r="X325" i="2"/>
  <c r="V326" i="2" a="1"/>
  <c r="V326" i="2"/>
  <c r="W326" i="2"/>
  <c r="X326" i="2"/>
  <c r="V327" i="2" a="1"/>
  <c r="V327" i="2"/>
  <c r="W327" i="2"/>
  <c r="X327" i="2"/>
  <c r="V328" i="2" a="1"/>
  <c r="V328" i="2"/>
  <c r="W328" i="2"/>
  <c r="X328" i="2"/>
  <c r="V329" i="2" a="1"/>
  <c r="V329" i="2"/>
  <c r="W329" i="2"/>
  <c r="X329" i="2"/>
  <c r="V330" i="2" a="1"/>
  <c r="V330" i="2"/>
  <c r="W330" i="2"/>
  <c r="X330" i="2"/>
  <c r="V331" i="2" a="1"/>
  <c r="V331" i="2"/>
  <c r="W331" i="2"/>
  <c r="X331" i="2"/>
  <c r="V332" i="2" a="1"/>
  <c r="V332" i="2"/>
  <c r="W332" i="2"/>
  <c r="X332" i="2"/>
  <c r="V333" i="2" a="1"/>
  <c r="V333" i="2"/>
  <c r="W333" i="2"/>
  <c r="X333" i="2"/>
  <c r="V334" i="2" a="1"/>
  <c r="V334" i="2"/>
  <c r="W334" i="2"/>
  <c r="X334" i="2"/>
  <c r="V335" i="2" a="1"/>
  <c r="V335" i="2"/>
  <c r="W335" i="2"/>
  <c r="X335" i="2"/>
  <c r="V336" i="2" a="1"/>
  <c r="V336" i="2"/>
  <c r="W336" i="2"/>
  <c r="X336" i="2"/>
  <c r="V337" i="2" a="1"/>
  <c r="V337" i="2"/>
  <c r="W337" i="2"/>
  <c r="X337" i="2"/>
  <c r="V338" i="2" a="1"/>
  <c r="V338" i="2"/>
  <c r="W338" i="2"/>
  <c r="X338" i="2"/>
  <c r="V339" i="2" a="1"/>
  <c r="V339" i="2"/>
  <c r="W339" i="2"/>
  <c r="X339" i="2"/>
  <c r="V340" i="2" a="1"/>
  <c r="V340" i="2"/>
  <c r="W340" i="2"/>
  <c r="X340" i="2"/>
  <c r="V341" i="2" a="1"/>
  <c r="V341" i="2"/>
  <c r="W341" i="2"/>
  <c r="X341" i="2"/>
  <c r="V342" i="2" a="1"/>
  <c r="V342" i="2"/>
  <c r="W342" i="2"/>
  <c r="X342" i="2"/>
  <c r="V343" i="2" a="1"/>
  <c r="V343" i="2"/>
  <c r="W343" i="2"/>
  <c r="X343" i="2"/>
  <c r="V344" i="2" a="1"/>
  <c r="V344" i="2"/>
  <c r="W344" i="2"/>
  <c r="X344" i="2"/>
  <c r="V345" i="2" a="1"/>
  <c r="V345" i="2"/>
  <c r="W345" i="2"/>
  <c r="X345" i="2"/>
  <c r="V346" i="2" a="1"/>
  <c r="V346" i="2"/>
  <c r="W346" i="2"/>
  <c r="X346" i="2"/>
  <c r="V347" i="2" a="1"/>
  <c r="V347" i="2"/>
  <c r="W347" i="2"/>
  <c r="X347" i="2"/>
  <c r="V348" i="2" a="1"/>
  <c r="V348" i="2"/>
  <c r="W348" i="2"/>
  <c r="X348" i="2"/>
  <c r="V349" i="2" a="1"/>
  <c r="V349" i="2"/>
  <c r="W349" i="2"/>
  <c r="X349" i="2"/>
  <c r="V350" i="2" a="1"/>
  <c r="V350" i="2"/>
  <c r="W350" i="2"/>
  <c r="X350" i="2"/>
  <c r="V351" i="2" a="1"/>
  <c r="V351" i="2"/>
  <c r="W351" i="2"/>
  <c r="X351" i="2"/>
  <c r="V352" i="2" a="1"/>
  <c r="V352" i="2"/>
  <c r="W352" i="2"/>
  <c r="X352" i="2"/>
  <c r="V353" i="2" a="1"/>
  <c r="V353" i="2"/>
  <c r="W353" i="2"/>
  <c r="X353" i="2"/>
  <c r="V354" i="2" a="1"/>
  <c r="V354" i="2"/>
  <c r="W354" i="2"/>
  <c r="X354" i="2"/>
  <c r="V355" i="2" a="1"/>
  <c r="V355" i="2"/>
  <c r="W355" i="2"/>
  <c r="X355" i="2"/>
  <c r="V356" i="2" a="1"/>
  <c r="V356" i="2"/>
  <c r="W356" i="2"/>
  <c r="X356" i="2"/>
  <c r="V357" i="2" a="1"/>
  <c r="V357" i="2"/>
  <c r="W357" i="2"/>
  <c r="X357" i="2"/>
  <c r="V358" i="2" a="1"/>
  <c r="V358" i="2"/>
  <c r="W358" i="2"/>
  <c r="X358" i="2"/>
  <c r="V359" i="2" a="1"/>
  <c r="V359" i="2"/>
  <c r="W359" i="2"/>
  <c r="X359" i="2"/>
  <c r="V360" i="2" a="1"/>
  <c r="V360" i="2"/>
  <c r="W360" i="2"/>
  <c r="X360" i="2"/>
  <c r="V361" i="2" a="1"/>
  <c r="V361" i="2"/>
  <c r="W361" i="2"/>
  <c r="X361" i="2"/>
  <c r="V362" i="2" a="1"/>
  <c r="V362" i="2"/>
  <c r="W362" i="2"/>
  <c r="X362" i="2"/>
  <c r="V363" i="2" a="1"/>
  <c r="V363" i="2"/>
  <c r="W363" i="2"/>
  <c r="X363" i="2"/>
  <c r="V364" i="2" a="1"/>
  <c r="V364" i="2"/>
  <c r="W364" i="2"/>
  <c r="X364" i="2"/>
  <c r="V365" i="2" a="1"/>
  <c r="V365" i="2"/>
  <c r="W365" i="2"/>
  <c r="X365" i="2"/>
  <c r="V366" i="2" a="1"/>
  <c r="V366" i="2"/>
  <c r="W366" i="2"/>
  <c r="X366" i="2"/>
  <c r="V367" i="2" a="1"/>
  <c r="V367" i="2"/>
  <c r="W367" i="2"/>
  <c r="X367" i="2"/>
  <c r="V368" i="2" a="1"/>
  <c r="V368" i="2"/>
  <c r="W368" i="2"/>
  <c r="X368" i="2"/>
  <c r="V369" i="2" a="1"/>
  <c r="V369" i="2"/>
  <c r="W369" i="2"/>
  <c r="X369" i="2"/>
  <c r="V370" i="2" a="1"/>
  <c r="V370" i="2"/>
  <c r="W370" i="2"/>
  <c r="X370" i="2"/>
  <c r="V371" i="2" a="1"/>
  <c r="V371" i="2"/>
  <c r="W371" i="2"/>
  <c r="X371" i="2"/>
  <c r="V372" i="2" a="1"/>
  <c r="V372" i="2"/>
  <c r="W372" i="2"/>
  <c r="X372" i="2"/>
  <c r="V373" i="2" a="1"/>
  <c r="V373" i="2"/>
  <c r="W373" i="2"/>
  <c r="X373" i="2"/>
  <c r="V374" i="2" a="1"/>
  <c r="V374" i="2"/>
  <c r="W374" i="2"/>
  <c r="X374" i="2"/>
  <c r="V375" i="2" a="1"/>
  <c r="V375" i="2"/>
  <c r="W375" i="2"/>
  <c r="X375" i="2"/>
  <c r="V376" i="2" a="1"/>
  <c r="V376" i="2"/>
  <c r="W376" i="2"/>
  <c r="X376" i="2"/>
  <c r="V377" i="2" a="1"/>
  <c r="V377" i="2"/>
  <c r="W377" i="2"/>
  <c r="X377" i="2"/>
  <c r="V378" i="2" a="1"/>
  <c r="V378" i="2"/>
  <c r="W378" i="2"/>
  <c r="X378" i="2"/>
  <c r="V379" i="2" a="1"/>
  <c r="V379" i="2"/>
  <c r="W379" i="2"/>
  <c r="X379" i="2"/>
  <c r="V380" i="2" a="1"/>
  <c r="V380" i="2"/>
  <c r="W380" i="2"/>
  <c r="X380" i="2"/>
  <c r="V381" i="2" a="1"/>
  <c r="V381" i="2"/>
  <c r="W381" i="2"/>
  <c r="X381" i="2"/>
  <c r="V382" i="2" a="1"/>
  <c r="V382" i="2"/>
  <c r="W382" i="2"/>
  <c r="X382" i="2"/>
  <c r="V383" i="2" a="1"/>
  <c r="V383" i="2"/>
  <c r="W383" i="2"/>
  <c r="X383" i="2"/>
  <c r="V384" i="2" a="1"/>
  <c r="V384" i="2"/>
  <c r="W384" i="2"/>
  <c r="X384" i="2"/>
  <c r="V385" i="2" a="1"/>
  <c r="V385" i="2"/>
  <c r="W385" i="2"/>
  <c r="X385" i="2"/>
  <c r="V386" i="2" a="1"/>
  <c r="V386" i="2"/>
  <c r="W386" i="2"/>
  <c r="X386" i="2"/>
  <c r="V387" i="2" a="1"/>
  <c r="V387" i="2"/>
  <c r="W387" i="2"/>
  <c r="X387" i="2"/>
  <c r="V388" i="2" a="1"/>
  <c r="V388" i="2"/>
  <c r="W388" i="2"/>
  <c r="X388" i="2"/>
  <c r="V389" i="2" a="1"/>
  <c r="V389" i="2"/>
  <c r="W389" i="2"/>
  <c r="X389" i="2"/>
  <c r="V390" i="2" a="1"/>
  <c r="V390" i="2"/>
  <c r="W390" i="2"/>
  <c r="X390" i="2"/>
  <c r="V391" i="2" a="1"/>
  <c r="V391" i="2"/>
  <c r="W391" i="2"/>
  <c r="X391" i="2"/>
  <c r="V392" i="2" a="1"/>
  <c r="V392" i="2"/>
  <c r="W392" i="2"/>
  <c r="X392" i="2"/>
  <c r="V393" i="2" a="1"/>
  <c r="V393" i="2"/>
  <c r="W393" i="2"/>
  <c r="X393" i="2"/>
  <c r="V394" i="2" a="1"/>
  <c r="V394" i="2"/>
  <c r="W394" i="2"/>
  <c r="X394" i="2"/>
  <c r="V395" i="2" a="1"/>
  <c r="V395" i="2"/>
  <c r="W395" i="2"/>
  <c r="X395" i="2"/>
  <c r="V396" i="2" a="1"/>
  <c r="V396" i="2"/>
  <c r="W396" i="2"/>
  <c r="X396" i="2"/>
  <c r="V397" i="2" a="1"/>
  <c r="V397" i="2"/>
  <c r="W397" i="2"/>
  <c r="X397" i="2"/>
  <c r="V398" i="2" a="1"/>
  <c r="V398" i="2"/>
  <c r="W398" i="2"/>
  <c r="X398" i="2"/>
  <c r="V399" i="2" a="1"/>
  <c r="V399" i="2"/>
  <c r="W399" i="2"/>
  <c r="X399" i="2"/>
  <c r="V400" i="2" a="1"/>
  <c r="V400" i="2"/>
  <c r="W400" i="2"/>
  <c r="X400" i="2"/>
  <c r="V401" i="2" a="1"/>
  <c r="V401" i="2"/>
  <c r="W401" i="2"/>
  <c r="X401" i="2"/>
  <c r="V402" i="2" a="1"/>
  <c r="V402" i="2"/>
  <c r="W402" i="2"/>
  <c r="X402" i="2"/>
  <c r="V403" i="2" a="1"/>
  <c r="V403" i="2"/>
  <c r="W403" i="2"/>
  <c r="X403" i="2"/>
  <c r="V404" i="2" a="1"/>
  <c r="V404" i="2"/>
  <c r="W404" i="2"/>
  <c r="X404" i="2"/>
  <c r="V405" i="2" a="1"/>
  <c r="V405" i="2"/>
  <c r="W405" i="2"/>
  <c r="X405" i="2"/>
  <c r="V406" i="2" a="1"/>
  <c r="V406" i="2"/>
  <c r="W406" i="2"/>
  <c r="X406" i="2"/>
  <c r="V407" i="2" a="1"/>
  <c r="V407" i="2"/>
  <c r="W407" i="2"/>
  <c r="X407" i="2"/>
  <c r="V408" i="2" a="1"/>
  <c r="V408" i="2"/>
  <c r="W408" i="2"/>
  <c r="X408" i="2"/>
  <c r="V409" i="2" a="1"/>
  <c r="V409" i="2"/>
  <c r="W409" i="2"/>
  <c r="X409" i="2"/>
  <c r="V410" i="2" a="1"/>
  <c r="V410" i="2"/>
  <c r="W410" i="2"/>
  <c r="X410" i="2"/>
  <c r="V411" i="2" a="1"/>
  <c r="V411" i="2"/>
  <c r="W411" i="2"/>
  <c r="X411" i="2"/>
  <c r="V412" i="2" a="1"/>
  <c r="V412" i="2"/>
  <c r="W412" i="2"/>
  <c r="X412" i="2"/>
  <c r="V413" i="2" a="1"/>
  <c r="V413" i="2"/>
  <c r="W413" i="2"/>
  <c r="X413" i="2"/>
  <c r="V414" i="2" a="1"/>
  <c r="V414" i="2"/>
  <c r="W414" i="2"/>
  <c r="X414" i="2"/>
  <c r="V415" i="2" a="1"/>
  <c r="V415" i="2"/>
  <c r="W415" i="2"/>
  <c r="X415" i="2"/>
  <c r="V416" i="2" a="1"/>
  <c r="V416" i="2"/>
  <c r="W416" i="2"/>
  <c r="X416" i="2"/>
  <c r="V417" i="2" a="1"/>
  <c r="V417" i="2"/>
  <c r="W417" i="2"/>
  <c r="X417" i="2"/>
  <c r="V418" i="2" a="1"/>
  <c r="V418" i="2"/>
  <c r="W418" i="2"/>
  <c r="X418" i="2"/>
  <c r="V419" i="2" a="1"/>
  <c r="V419" i="2"/>
  <c r="W419" i="2"/>
  <c r="X419" i="2"/>
  <c r="V420" i="2" a="1"/>
  <c r="V420" i="2"/>
  <c r="W420" i="2"/>
  <c r="X420" i="2"/>
  <c r="V421" i="2" a="1"/>
  <c r="V421" i="2"/>
  <c r="W421" i="2"/>
  <c r="X421" i="2"/>
  <c r="V422" i="2" a="1"/>
  <c r="V422" i="2"/>
  <c r="W422" i="2"/>
  <c r="X422" i="2"/>
  <c r="V423" i="2" a="1"/>
  <c r="V423" i="2"/>
  <c r="W423" i="2"/>
  <c r="X423" i="2"/>
  <c r="V424" i="2" a="1"/>
  <c r="V424" i="2"/>
  <c r="W424" i="2"/>
  <c r="X424" i="2"/>
  <c r="V425" i="2" a="1"/>
  <c r="V425" i="2"/>
  <c r="W425" i="2"/>
  <c r="X425" i="2"/>
  <c r="V426" i="2" a="1"/>
  <c r="V426" i="2"/>
  <c r="W426" i="2"/>
  <c r="X426" i="2"/>
  <c r="V427" i="2" a="1"/>
  <c r="V427" i="2"/>
  <c r="W427" i="2"/>
  <c r="X427" i="2"/>
  <c r="V428" i="2" a="1"/>
  <c r="V428" i="2"/>
  <c r="W428" i="2"/>
  <c r="X428" i="2"/>
  <c r="V429" i="2" a="1"/>
  <c r="V429" i="2"/>
  <c r="W429" i="2"/>
  <c r="X429" i="2"/>
  <c r="V430" i="2" a="1"/>
  <c r="V430" i="2"/>
  <c r="W430" i="2"/>
  <c r="X430" i="2"/>
  <c r="V431" i="2" a="1"/>
  <c r="V431" i="2"/>
  <c r="W431" i="2"/>
  <c r="X431" i="2"/>
  <c r="V432" i="2" a="1"/>
  <c r="V432" i="2"/>
  <c r="W432" i="2"/>
  <c r="X432" i="2"/>
  <c r="V433" i="2" a="1"/>
  <c r="V433" i="2"/>
  <c r="W433" i="2"/>
  <c r="X433" i="2"/>
  <c r="V434" i="2" a="1"/>
  <c r="V434" i="2"/>
  <c r="W434" i="2"/>
  <c r="X434" i="2"/>
  <c r="V435" i="2" a="1"/>
  <c r="V435" i="2"/>
  <c r="W435" i="2"/>
  <c r="X435" i="2"/>
  <c r="V436" i="2" a="1"/>
  <c r="V436" i="2"/>
  <c r="W436" i="2"/>
  <c r="X436" i="2"/>
  <c r="V437" i="2" a="1"/>
  <c r="V437" i="2"/>
  <c r="W437" i="2"/>
  <c r="X437" i="2"/>
  <c r="V438" i="2" a="1"/>
  <c r="V438" i="2"/>
  <c r="W438" i="2"/>
  <c r="X438" i="2"/>
  <c r="V439" i="2" a="1"/>
  <c r="V439" i="2"/>
  <c r="W439" i="2"/>
  <c r="X439" i="2"/>
  <c r="V440" i="2" a="1"/>
  <c r="V440" i="2"/>
  <c r="W440" i="2"/>
  <c r="X440" i="2"/>
  <c r="V441" i="2" a="1"/>
  <c r="V441" i="2"/>
  <c r="W441" i="2"/>
  <c r="X441" i="2"/>
  <c r="V442" i="2" a="1"/>
  <c r="V442" i="2"/>
  <c r="W442" i="2"/>
  <c r="X442" i="2"/>
  <c r="V443" i="2" a="1"/>
  <c r="V443" i="2"/>
  <c r="W443" i="2"/>
  <c r="X443" i="2"/>
  <c r="V444" i="2" a="1"/>
  <c r="V444" i="2"/>
  <c r="W444" i="2"/>
  <c r="X444" i="2"/>
  <c r="V445" i="2" a="1"/>
  <c r="V445" i="2"/>
  <c r="W445" i="2"/>
  <c r="X445" i="2"/>
  <c r="V446" i="2" a="1"/>
  <c r="V446" i="2"/>
  <c r="W446" i="2"/>
  <c r="X446" i="2"/>
  <c r="V447" i="2" a="1"/>
  <c r="V447" i="2"/>
  <c r="W447" i="2"/>
  <c r="X447" i="2"/>
  <c r="V448" i="2" a="1"/>
  <c r="V448" i="2"/>
  <c r="W448" i="2"/>
  <c r="X448" i="2"/>
  <c r="V449" i="2" a="1"/>
  <c r="V449" i="2"/>
  <c r="W449" i="2"/>
  <c r="X449" i="2"/>
  <c r="V450" i="2" a="1"/>
  <c r="V450" i="2"/>
  <c r="W450" i="2"/>
  <c r="X450" i="2"/>
  <c r="V451" i="2" a="1"/>
  <c r="V451" i="2"/>
  <c r="W451" i="2"/>
  <c r="X451" i="2"/>
  <c r="V452" i="2" a="1"/>
  <c r="V452" i="2"/>
  <c r="W452" i="2"/>
  <c r="X452" i="2"/>
  <c r="V453" i="2" a="1"/>
  <c r="V453" i="2"/>
  <c r="W453" i="2"/>
  <c r="X453" i="2"/>
  <c r="V454" i="2" a="1"/>
  <c r="V454" i="2"/>
  <c r="W454" i="2"/>
  <c r="X454" i="2"/>
  <c r="V455" i="2" a="1"/>
  <c r="V455" i="2"/>
  <c r="W455" i="2"/>
  <c r="X455" i="2"/>
  <c r="V456" i="2" a="1"/>
  <c r="V456" i="2"/>
  <c r="W456" i="2"/>
  <c r="X456" i="2"/>
  <c r="V457" i="2" a="1"/>
  <c r="V457" i="2"/>
  <c r="W457" i="2"/>
  <c r="X457" i="2"/>
  <c r="V458" i="2" a="1"/>
  <c r="V458" i="2"/>
  <c r="W458" i="2"/>
  <c r="X458" i="2"/>
  <c r="V459" i="2" a="1"/>
  <c r="V459" i="2"/>
  <c r="W459" i="2"/>
  <c r="X459" i="2"/>
  <c r="V460" i="2" a="1"/>
  <c r="V460" i="2"/>
  <c r="W460" i="2"/>
  <c r="X460" i="2"/>
  <c r="V461" i="2" a="1"/>
  <c r="V461" i="2"/>
  <c r="W461" i="2"/>
  <c r="X461" i="2"/>
  <c r="V462" i="2" a="1"/>
  <c r="V462" i="2"/>
  <c r="W462" i="2"/>
  <c r="X462" i="2"/>
  <c r="V463" i="2" a="1"/>
  <c r="V463" i="2"/>
  <c r="W463" i="2"/>
  <c r="X463" i="2"/>
  <c r="V464" i="2" a="1"/>
  <c r="V464" i="2"/>
  <c r="W464" i="2"/>
  <c r="X464" i="2"/>
  <c r="V465" i="2" a="1"/>
  <c r="V465" i="2"/>
  <c r="W465" i="2"/>
  <c r="X465" i="2"/>
  <c r="V466" i="2" a="1"/>
  <c r="V466" i="2"/>
  <c r="W466" i="2"/>
  <c r="X466" i="2"/>
  <c r="V467" i="2" a="1"/>
  <c r="V467" i="2"/>
  <c r="W467" i="2"/>
  <c r="X467" i="2"/>
  <c r="V468" i="2" a="1"/>
  <c r="V468" i="2"/>
  <c r="W468" i="2"/>
  <c r="X468" i="2"/>
  <c r="V469" i="2" a="1"/>
  <c r="V469" i="2"/>
  <c r="W469" i="2"/>
  <c r="X469" i="2"/>
  <c r="V470" i="2" a="1"/>
  <c r="V470" i="2"/>
  <c r="W470" i="2"/>
  <c r="X470" i="2"/>
  <c r="V471" i="2" a="1"/>
  <c r="V471" i="2"/>
  <c r="W471" i="2"/>
  <c r="X471" i="2"/>
  <c r="V472" i="2" a="1"/>
  <c r="V472" i="2"/>
  <c r="W472" i="2"/>
  <c r="X472" i="2"/>
  <c r="V473" i="2" a="1"/>
  <c r="V473" i="2"/>
  <c r="W473" i="2"/>
  <c r="X473" i="2"/>
  <c r="V474" i="2" a="1"/>
  <c r="V474" i="2"/>
  <c r="W474" i="2"/>
  <c r="X474" i="2"/>
  <c r="V475" i="2" a="1"/>
  <c r="V475" i="2"/>
  <c r="W475" i="2"/>
  <c r="X475" i="2"/>
  <c r="V476" i="2" a="1"/>
  <c r="V476" i="2"/>
  <c r="W476" i="2"/>
  <c r="X476" i="2"/>
  <c r="V477" i="2" a="1"/>
  <c r="V477" i="2"/>
  <c r="W477" i="2"/>
  <c r="X477" i="2"/>
  <c r="V478" i="2" a="1"/>
  <c r="V478" i="2"/>
  <c r="W478" i="2"/>
  <c r="X478" i="2"/>
  <c r="V479" i="2" a="1"/>
  <c r="V479" i="2"/>
  <c r="W479" i="2"/>
  <c r="X479" i="2"/>
  <c r="V480" i="2" a="1"/>
  <c r="V480" i="2"/>
  <c r="W480" i="2"/>
  <c r="X480" i="2"/>
  <c r="V481" i="2" a="1"/>
  <c r="V481" i="2"/>
  <c r="W481" i="2"/>
  <c r="X481" i="2"/>
  <c r="V482" i="2" a="1"/>
  <c r="V482" i="2"/>
  <c r="W482" i="2"/>
  <c r="X482" i="2"/>
  <c r="V483" i="2" a="1"/>
  <c r="V483" i="2"/>
  <c r="W483" i="2"/>
  <c r="X483" i="2"/>
  <c r="V484" i="2" a="1"/>
  <c r="V484" i="2"/>
  <c r="W484" i="2"/>
  <c r="X484" i="2"/>
  <c r="V485" i="2" a="1"/>
  <c r="V485" i="2"/>
  <c r="W485" i="2"/>
  <c r="X485" i="2"/>
  <c r="V486" i="2" a="1"/>
  <c r="V486" i="2"/>
  <c r="W486" i="2"/>
  <c r="X486" i="2"/>
  <c r="V487" i="2" a="1"/>
  <c r="V487" i="2"/>
  <c r="W487" i="2"/>
  <c r="X487" i="2"/>
  <c r="V488" i="2" a="1"/>
  <c r="V488" i="2"/>
  <c r="W488" i="2"/>
  <c r="X488" i="2"/>
  <c r="V489" i="2" a="1"/>
  <c r="V489" i="2"/>
  <c r="W489" i="2"/>
  <c r="X489" i="2"/>
  <c r="V490" i="2" a="1"/>
  <c r="V490" i="2"/>
  <c r="W490" i="2"/>
  <c r="X490" i="2"/>
  <c r="V491" i="2" a="1"/>
  <c r="V491" i="2"/>
  <c r="W491" i="2"/>
  <c r="X491" i="2"/>
  <c r="V492" i="2" a="1"/>
  <c r="V492" i="2"/>
  <c r="W492" i="2"/>
  <c r="X492" i="2"/>
  <c r="V493" i="2" a="1"/>
  <c r="V493" i="2"/>
  <c r="W493" i="2"/>
  <c r="X493" i="2"/>
  <c r="V494" i="2" a="1"/>
  <c r="V494" i="2"/>
  <c r="W494" i="2"/>
  <c r="X494" i="2"/>
  <c r="V495" i="2" a="1"/>
  <c r="V495" i="2"/>
  <c r="W495" i="2"/>
  <c r="X495" i="2"/>
  <c r="V496" i="2" a="1"/>
  <c r="V496" i="2"/>
  <c r="W496" i="2"/>
  <c r="X496" i="2"/>
  <c r="V497" i="2" a="1"/>
  <c r="V497" i="2"/>
  <c r="W497" i="2"/>
  <c r="X497" i="2"/>
  <c r="V498" i="2" a="1"/>
  <c r="V498" i="2"/>
  <c r="W498" i="2"/>
  <c r="X498" i="2"/>
  <c r="V499" i="2" a="1"/>
  <c r="V499" i="2"/>
  <c r="W499" i="2"/>
  <c r="X499" i="2"/>
  <c r="V500" i="2" a="1"/>
  <c r="V500" i="2"/>
  <c r="W500" i="2"/>
  <c r="X500" i="2"/>
  <c r="V501" i="2" a="1"/>
  <c r="V501" i="2"/>
  <c r="W501" i="2"/>
  <c r="X501" i="2"/>
  <c r="V502" i="2" a="1"/>
  <c r="V502" i="2"/>
  <c r="W502" i="2"/>
  <c r="X502" i="2"/>
  <c r="V503" i="2" a="1"/>
  <c r="V503" i="2"/>
  <c r="W503" i="2"/>
  <c r="X503" i="2"/>
  <c r="V504" i="2" a="1"/>
  <c r="V504" i="2"/>
  <c r="W504" i="2"/>
  <c r="X504" i="2"/>
  <c r="V505" i="2" a="1"/>
  <c r="V505" i="2"/>
  <c r="W505" i="2"/>
  <c r="X505" i="2"/>
  <c r="V506" i="2" a="1"/>
  <c r="V506" i="2"/>
  <c r="W506" i="2"/>
  <c r="X506" i="2"/>
  <c r="V507" i="2" a="1"/>
  <c r="V507" i="2"/>
  <c r="W507" i="2"/>
  <c r="X507" i="2"/>
  <c r="V508" i="2" a="1"/>
  <c r="V508" i="2"/>
  <c r="W508" i="2"/>
  <c r="X508" i="2"/>
  <c r="AA6" i="2"/>
  <c r="AA7" i="2"/>
  <c r="AA8" i="2"/>
  <c r="AA9" i="2"/>
  <c r="AA10" i="2"/>
  <c r="AA11" i="2"/>
  <c r="AA12" i="2"/>
  <c r="AA13" i="2"/>
  <c r="AA14" i="2"/>
  <c r="AA15" i="2"/>
  <c r="AA16" i="2"/>
  <c r="AA17" i="2"/>
  <c r="AA18" i="2"/>
  <c r="AA19" i="2"/>
  <c r="AA20" i="2"/>
  <c r="AA21" i="2"/>
  <c r="AA22" i="2"/>
  <c r="AA23" i="2"/>
  <c r="AA24" i="2"/>
  <c r="AA25" i="2"/>
  <c r="AA26" i="2"/>
  <c r="AA27" i="2"/>
  <c r="AA28" i="2"/>
  <c r="AA29" i="2"/>
  <c r="AA30" i="2"/>
  <c r="AA31" i="2"/>
  <c r="AA32" i="2"/>
  <c r="AA33" i="2"/>
  <c r="AA34" i="2"/>
  <c r="AA35" i="2"/>
  <c r="AA36" i="2"/>
  <c r="AA37" i="2"/>
  <c r="AA38" i="2"/>
  <c r="AA39" i="2"/>
  <c r="AA40" i="2"/>
  <c r="AA41" i="2"/>
  <c r="AA42" i="2"/>
  <c r="AA43" i="2"/>
  <c r="AA44" i="2"/>
  <c r="AA45" i="2"/>
  <c r="AA46" i="2"/>
  <c r="AA47" i="2"/>
  <c r="AA48" i="2"/>
  <c r="AA49" i="2"/>
  <c r="AA50" i="2"/>
  <c r="AA51" i="2"/>
  <c r="AA52" i="2"/>
  <c r="AA53" i="2"/>
  <c r="AA54" i="2"/>
  <c r="AA55" i="2"/>
  <c r="AA56" i="2"/>
  <c r="AA57" i="2"/>
  <c r="AA58" i="2"/>
  <c r="AA59" i="2"/>
  <c r="AA60" i="2"/>
  <c r="AA61" i="2"/>
  <c r="AA62" i="2"/>
  <c r="AA63" i="2"/>
  <c r="AA64" i="2"/>
  <c r="AA65" i="2"/>
  <c r="AA66" i="2"/>
  <c r="AA67" i="2"/>
  <c r="AA68" i="2"/>
  <c r="AA69" i="2"/>
  <c r="AA70" i="2"/>
  <c r="AA71" i="2"/>
  <c r="AA72" i="2"/>
  <c r="AA73" i="2"/>
  <c r="AA74" i="2"/>
  <c r="AA75" i="2"/>
  <c r="AA76" i="2"/>
  <c r="AA77" i="2"/>
  <c r="AA78" i="2"/>
  <c r="AA79" i="2"/>
  <c r="AA80" i="2"/>
  <c r="AA81" i="2"/>
  <c r="AA82" i="2"/>
  <c r="AA83" i="2"/>
  <c r="AA84" i="2"/>
  <c r="AA85" i="2"/>
  <c r="AA86" i="2"/>
  <c r="AA87" i="2"/>
  <c r="AA88" i="2"/>
  <c r="AA89" i="2"/>
  <c r="AA90" i="2"/>
  <c r="AA91" i="2"/>
  <c r="AA92" i="2"/>
  <c r="AA93" i="2"/>
  <c r="AA94" i="2"/>
  <c r="AA95" i="2"/>
  <c r="AA96" i="2"/>
  <c r="AA97" i="2"/>
  <c r="AA98" i="2"/>
  <c r="AA99" i="2"/>
  <c r="AA100" i="2"/>
  <c r="AA101" i="2"/>
  <c r="AA102" i="2"/>
  <c r="AA103" i="2"/>
  <c r="AA104" i="2"/>
  <c r="AA105" i="2"/>
  <c r="AA106" i="2"/>
  <c r="AA107" i="2"/>
  <c r="AA108" i="2"/>
  <c r="AA109" i="2"/>
  <c r="AA110" i="2"/>
  <c r="AA111" i="2"/>
  <c r="AA112" i="2"/>
  <c r="AA113" i="2"/>
  <c r="AA114" i="2"/>
  <c r="AA115" i="2"/>
  <c r="AA116" i="2"/>
  <c r="AA117" i="2"/>
  <c r="AA118" i="2"/>
  <c r="AA119" i="2"/>
  <c r="AA120" i="2"/>
  <c r="AA121" i="2"/>
  <c r="AA122" i="2"/>
  <c r="AA123" i="2"/>
  <c r="AA124" i="2"/>
  <c r="AA125" i="2"/>
  <c r="AA126" i="2"/>
  <c r="AA127" i="2"/>
  <c r="AA128" i="2"/>
  <c r="AA129" i="2"/>
  <c r="AA130" i="2"/>
  <c r="AA131" i="2"/>
  <c r="AA132" i="2"/>
  <c r="AA133" i="2"/>
  <c r="AA134" i="2"/>
  <c r="AA135" i="2"/>
  <c r="AA136" i="2"/>
  <c r="AA137" i="2"/>
  <c r="AA138" i="2"/>
  <c r="AA139" i="2"/>
  <c r="AA140" i="2"/>
  <c r="AA141" i="2"/>
  <c r="AA142" i="2"/>
  <c r="AA143" i="2"/>
  <c r="AA144" i="2"/>
  <c r="AA145" i="2"/>
  <c r="AA146" i="2"/>
  <c r="AA147" i="2"/>
  <c r="AA148" i="2"/>
  <c r="AA149" i="2"/>
  <c r="AA150" i="2"/>
  <c r="AA151" i="2"/>
  <c r="AA152" i="2"/>
  <c r="AA153" i="2"/>
  <c r="AA154" i="2"/>
  <c r="AA155" i="2"/>
  <c r="AA156" i="2"/>
  <c r="AA157" i="2"/>
  <c r="AA158" i="2"/>
  <c r="AA159" i="2"/>
  <c r="AA160" i="2"/>
  <c r="AA161" i="2"/>
  <c r="AA162" i="2"/>
  <c r="AA163" i="2"/>
  <c r="AA164" i="2"/>
  <c r="AA165" i="2"/>
  <c r="AA166" i="2"/>
  <c r="AA167" i="2"/>
  <c r="AA168" i="2"/>
  <c r="AA169" i="2"/>
  <c r="AA170" i="2"/>
  <c r="AA171" i="2"/>
  <c r="AA172" i="2"/>
  <c r="AA173" i="2"/>
  <c r="AA174" i="2"/>
  <c r="AA175" i="2"/>
  <c r="AA176" i="2"/>
  <c r="AA177" i="2"/>
  <c r="AA178" i="2"/>
  <c r="AA179" i="2"/>
  <c r="AA180" i="2"/>
  <c r="AA181" i="2"/>
  <c r="AA182" i="2"/>
  <c r="AA183" i="2"/>
  <c r="AA184" i="2"/>
  <c r="AA185" i="2"/>
  <c r="AA186" i="2"/>
  <c r="AA187" i="2"/>
  <c r="AA188" i="2"/>
  <c r="AA189" i="2"/>
  <c r="AA190" i="2"/>
  <c r="AA191" i="2"/>
  <c r="AA192" i="2"/>
  <c r="AA193" i="2"/>
  <c r="AA194" i="2"/>
  <c r="AA195" i="2"/>
  <c r="AA196" i="2"/>
  <c r="AA197" i="2"/>
  <c r="AA198" i="2"/>
  <c r="AA199" i="2"/>
  <c r="AA200" i="2"/>
  <c r="AA201" i="2"/>
  <c r="AA202" i="2"/>
  <c r="AA203" i="2"/>
  <c r="AA204" i="2"/>
  <c r="AA205" i="2"/>
  <c r="AA206" i="2"/>
  <c r="AA207" i="2"/>
  <c r="AA208" i="2"/>
  <c r="AA209" i="2"/>
  <c r="AA210" i="2"/>
  <c r="AA211" i="2"/>
  <c r="AA212" i="2"/>
  <c r="AA213" i="2"/>
  <c r="AA214" i="2"/>
  <c r="AA215" i="2"/>
  <c r="AA216" i="2"/>
  <c r="AA217" i="2"/>
  <c r="AA218" i="2"/>
  <c r="AA219" i="2"/>
  <c r="AA220" i="2"/>
  <c r="AA221" i="2"/>
  <c r="AA222" i="2"/>
  <c r="AA223" i="2"/>
  <c r="AA224" i="2"/>
  <c r="AA225" i="2"/>
  <c r="AA226" i="2"/>
  <c r="AA227" i="2"/>
  <c r="AA228" i="2"/>
  <c r="AA229" i="2"/>
  <c r="AA230" i="2"/>
  <c r="AA231" i="2"/>
  <c r="AA232" i="2"/>
  <c r="AA233" i="2"/>
  <c r="AA234" i="2"/>
  <c r="AA235" i="2"/>
  <c r="AA236" i="2"/>
  <c r="AA237" i="2"/>
  <c r="AA238" i="2"/>
  <c r="AA239" i="2"/>
  <c r="AA240" i="2"/>
  <c r="AA241" i="2"/>
  <c r="AA242" i="2"/>
  <c r="AA243" i="2"/>
  <c r="AA244" i="2"/>
  <c r="AA245" i="2"/>
  <c r="AA246" i="2"/>
  <c r="AA247" i="2"/>
  <c r="AA248" i="2"/>
  <c r="AA249" i="2"/>
  <c r="AA250" i="2"/>
  <c r="AA251" i="2"/>
  <c r="AA252" i="2"/>
  <c r="AA253" i="2"/>
  <c r="AA254" i="2"/>
  <c r="AA255" i="2"/>
  <c r="AA256" i="2"/>
  <c r="AA257" i="2"/>
  <c r="AA258" i="2"/>
  <c r="AA259" i="2"/>
  <c r="AA260" i="2"/>
  <c r="AA261" i="2"/>
  <c r="AA262" i="2"/>
  <c r="AA263" i="2"/>
  <c r="AA264" i="2"/>
  <c r="AA265" i="2"/>
  <c r="AA266" i="2"/>
  <c r="AA267" i="2"/>
  <c r="AA268" i="2"/>
  <c r="AA269" i="2"/>
  <c r="AA270" i="2"/>
  <c r="AA271" i="2"/>
  <c r="AA272" i="2"/>
  <c r="AA273" i="2"/>
  <c r="AA274" i="2"/>
  <c r="AA275" i="2"/>
  <c r="AA276" i="2"/>
  <c r="AA277" i="2"/>
  <c r="AA278" i="2"/>
  <c r="AA279" i="2"/>
  <c r="AA280" i="2"/>
  <c r="AA281" i="2"/>
  <c r="AA282" i="2"/>
  <c r="AA283" i="2"/>
  <c r="AA284" i="2"/>
  <c r="AA285" i="2"/>
  <c r="AA286" i="2"/>
  <c r="AA287" i="2"/>
  <c r="AA288" i="2"/>
  <c r="AA289" i="2"/>
  <c r="AA290" i="2"/>
  <c r="AA291" i="2"/>
  <c r="AA292" i="2"/>
  <c r="AA293" i="2"/>
  <c r="AA294" i="2"/>
  <c r="AA295" i="2"/>
  <c r="AA296" i="2"/>
  <c r="AA297" i="2"/>
  <c r="AA298" i="2"/>
  <c r="AA299" i="2"/>
  <c r="AA300" i="2"/>
  <c r="AA301" i="2"/>
  <c r="AA302" i="2"/>
  <c r="AA303" i="2"/>
  <c r="AA304" i="2"/>
  <c r="AA305" i="2"/>
  <c r="AA306" i="2"/>
  <c r="AA307" i="2"/>
  <c r="AA308" i="2"/>
  <c r="AA309" i="2"/>
  <c r="AA310" i="2"/>
  <c r="AA311" i="2"/>
  <c r="AA312" i="2"/>
  <c r="AA313" i="2"/>
  <c r="AA314" i="2"/>
  <c r="AA315" i="2"/>
  <c r="AA316" i="2"/>
  <c r="AA317" i="2"/>
  <c r="AA318" i="2"/>
  <c r="AA319" i="2"/>
  <c r="AA320" i="2"/>
  <c r="AA321" i="2"/>
  <c r="AA322" i="2"/>
  <c r="AA323" i="2"/>
  <c r="AA324" i="2"/>
  <c r="AA325" i="2"/>
  <c r="AA326" i="2"/>
  <c r="AA327" i="2"/>
  <c r="AA328" i="2"/>
  <c r="AA329" i="2"/>
  <c r="AA330" i="2"/>
  <c r="AA331" i="2"/>
  <c r="AA332" i="2"/>
  <c r="AA333" i="2"/>
  <c r="AA334" i="2"/>
  <c r="AA335" i="2"/>
  <c r="AA336" i="2"/>
  <c r="AA337" i="2"/>
  <c r="AA338" i="2"/>
  <c r="AA339" i="2"/>
  <c r="AA340" i="2"/>
  <c r="AA341" i="2"/>
  <c r="AA342" i="2"/>
  <c r="AA343" i="2"/>
  <c r="AA344" i="2"/>
  <c r="AA345" i="2"/>
  <c r="AA346" i="2"/>
  <c r="AA347" i="2"/>
  <c r="AA348" i="2"/>
  <c r="AA349" i="2"/>
  <c r="AA350" i="2"/>
  <c r="AA351" i="2"/>
  <c r="AA352" i="2"/>
  <c r="AA353" i="2"/>
  <c r="AA354" i="2"/>
  <c r="AA355" i="2"/>
  <c r="AA356" i="2"/>
  <c r="AA357" i="2"/>
  <c r="AA358" i="2"/>
  <c r="AA359" i="2"/>
  <c r="AA360" i="2"/>
  <c r="AA361" i="2"/>
  <c r="AA362" i="2"/>
  <c r="AA363" i="2"/>
  <c r="AA364" i="2"/>
  <c r="AA365" i="2"/>
  <c r="AA366" i="2"/>
  <c r="AA367" i="2"/>
  <c r="AA368" i="2"/>
  <c r="AA369" i="2"/>
  <c r="AA370" i="2"/>
  <c r="AA371" i="2"/>
  <c r="AA372" i="2"/>
  <c r="AA373" i="2"/>
  <c r="AA374" i="2"/>
  <c r="AA375" i="2"/>
  <c r="AA376" i="2"/>
  <c r="AA377" i="2"/>
  <c r="AA378" i="2"/>
  <c r="AA379" i="2"/>
  <c r="AA380" i="2"/>
  <c r="AA381" i="2"/>
  <c r="AA382" i="2"/>
  <c r="AA383" i="2"/>
  <c r="AA384" i="2"/>
  <c r="AA385" i="2"/>
  <c r="AA386" i="2"/>
  <c r="AA387" i="2"/>
  <c r="AA388" i="2"/>
  <c r="AA389" i="2"/>
  <c r="AA390" i="2"/>
  <c r="AA391" i="2"/>
  <c r="AA392" i="2"/>
  <c r="AA393" i="2"/>
  <c r="AA394" i="2"/>
  <c r="AA395" i="2"/>
  <c r="AA396" i="2"/>
  <c r="AA397" i="2"/>
  <c r="AA398" i="2"/>
  <c r="AA399" i="2"/>
  <c r="AA400" i="2"/>
  <c r="AA401" i="2"/>
  <c r="AA402" i="2"/>
  <c r="AA403" i="2"/>
  <c r="AA404" i="2"/>
  <c r="AA405" i="2"/>
  <c r="AA406" i="2"/>
  <c r="AA407" i="2"/>
  <c r="AA408" i="2"/>
  <c r="AA409" i="2"/>
  <c r="AA410" i="2"/>
  <c r="AA411" i="2"/>
  <c r="AA412" i="2"/>
  <c r="AA413" i="2"/>
  <c r="AA414" i="2"/>
  <c r="AA415" i="2"/>
  <c r="AA416" i="2"/>
  <c r="AA417" i="2"/>
  <c r="AA418" i="2"/>
  <c r="AA419" i="2"/>
  <c r="AA420" i="2"/>
  <c r="AA421" i="2"/>
  <c r="AA422" i="2"/>
  <c r="AA423" i="2"/>
  <c r="AA424" i="2"/>
  <c r="AA425" i="2"/>
  <c r="AA426" i="2"/>
  <c r="AA427" i="2"/>
  <c r="AA428" i="2"/>
  <c r="AA429" i="2"/>
  <c r="AA430" i="2"/>
  <c r="AA431" i="2"/>
  <c r="AA432" i="2"/>
  <c r="AA433" i="2"/>
  <c r="AA434" i="2"/>
  <c r="AA435" i="2"/>
  <c r="AA436" i="2"/>
  <c r="AA437" i="2"/>
  <c r="AA438" i="2"/>
  <c r="AA439" i="2"/>
  <c r="AA440" i="2"/>
  <c r="AA441" i="2"/>
  <c r="AA442" i="2"/>
  <c r="AA443" i="2"/>
  <c r="AA444" i="2"/>
  <c r="AA445" i="2"/>
  <c r="AA446" i="2"/>
  <c r="AA447" i="2"/>
  <c r="AA448" i="2"/>
  <c r="AA449" i="2"/>
  <c r="AA450" i="2"/>
  <c r="AA451" i="2"/>
  <c r="AA452" i="2"/>
  <c r="AA453" i="2"/>
  <c r="AA454" i="2"/>
  <c r="AA455" i="2"/>
  <c r="AA456" i="2"/>
  <c r="AA457" i="2"/>
  <c r="AA458" i="2"/>
  <c r="AA459" i="2"/>
  <c r="AA460" i="2"/>
  <c r="AA461" i="2"/>
  <c r="AA462" i="2"/>
  <c r="AA463" i="2"/>
  <c r="AA464" i="2"/>
  <c r="AA465" i="2"/>
  <c r="AA466" i="2"/>
  <c r="AA467" i="2"/>
  <c r="AA468" i="2"/>
  <c r="AA469" i="2"/>
  <c r="AA470" i="2"/>
  <c r="AA471" i="2"/>
  <c r="AA472" i="2"/>
  <c r="AA473" i="2"/>
  <c r="AA474" i="2"/>
  <c r="AA475" i="2"/>
  <c r="AA476" i="2"/>
  <c r="AA477" i="2"/>
  <c r="AA478" i="2"/>
  <c r="AA479" i="2"/>
  <c r="AA480" i="2"/>
  <c r="AA481" i="2"/>
  <c r="AA482" i="2"/>
  <c r="AA483" i="2"/>
  <c r="AA484" i="2"/>
  <c r="AA485" i="2"/>
  <c r="AA486" i="2"/>
  <c r="AA487" i="2"/>
  <c r="AA488" i="2"/>
  <c r="AA489" i="2"/>
  <c r="AA490" i="2"/>
  <c r="AA491" i="2"/>
  <c r="AA492" i="2"/>
  <c r="AA493" i="2"/>
  <c r="AA494" i="2"/>
  <c r="AA495" i="2"/>
  <c r="AA496" i="2"/>
  <c r="AA497" i="2"/>
  <c r="AA498" i="2"/>
  <c r="AA499" i="2"/>
  <c r="AA500" i="2"/>
  <c r="AA501" i="2"/>
  <c r="AA502" i="2"/>
  <c r="AA503" i="2"/>
  <c r="AA504" i="2"/>
  <c r="AA505" i="2"/>
  <c r="AA506" i="2"/>
  <c r="AA507" i="2"/>
  <c r="AA508" i="2"/>
  <c r="N2" i="2"/>
  <c r="D2" i="2"/>
  <c r="R7" i="2"/>
  <c r="S7" i="2" s="1"/>
  <c r="R8" i="2"/>
  <c r="S8" i="2" s="1"/>
  <c r="R9" i="2"/>
  <c r="S9" i="2" s="1"/>
  <c r="R10" i="2"/>
  <c r="S10" i="2" s="1"/>
  <c r="R11" i="2"/>
  <c r="S11" i="2" s="1"/>
  <c r="R12" i="2"/>
  <c r="S12" i="2" s="1"/>
  <c r="R13" i="2"/>
  <c r="S13" i="2" s="1"/>
  <c r="R14" i="2"/>
  <c r="S14" i="2" s="1"/>
  <c r="R15" i="2"/>
  <c r="S15" i="2" s="1"/>
  <c r="R16" i="2"/>
  <c r="S16" i="2" s="1"/>
  <c r="R17" i="2"/>
  <c r="S17" i="2" s="1"/>
  <c r="R18" i="2"/>
  <c r="S18" i="2" s="1"/>
  <c r="R19" i="2"/>
  <c r="S19" i="2" s="1"/>
  <c r="R20" i="2"/>
  <c r="S20" i="2" s="1"/>
  <c r="R21" i="2"/>
  <c r="S21" i="2" s="1"/>
  <c r="R22" i="2"/>
  <c r="S22" i="2" s="1"/>
  <c r="R23" i="2"/>
  <c r="S23" i="2" s="1"/>
  <c r="R24" i="2"/>
  <c r="S24" i="2" s="1"/>
  <c r="R25" i="2"/>
  <c r="S25" i="2" s="1"/>
  <c r="R26" i="2"/>
  <c r="S26" i="2" s="1"/>
  <c r="R27" i="2"/>
  <c r="S27" i="2" s="1"/>
  <c r="R28" i="2"/>
  <c r="S28" i="2" s="1"/>
  <c r="R29" i="2"/>
  <c r="S29" i="2" s="1"/>
  <c r="R30" i="2"/>
  <c r="S30" i="2" s="1"/>
  <c r="R31" i="2"/>
  <c r="S31" i="2" s="1"/>
  <c r="R32" i="2"/>
  <c r="S32" i="2" s="1"/>
  <c r="R33" i="2"/>
  <c r="S33" i="2" s="1"/>
  <c r="R34" i="2"/>
  <c r="S34" i="2" s="1"/>
  <c r="R35" i="2"/>
  <c r="S35" i="2" s="1"/>
  <c r="R36" i="2"/>
  <c r="S36" i="2" s="1"/>
  <c r="R37" i="2"/>
  <c r="S37" i="2" s="1"/>
  <c r="R38" i="2"/>
  <c r="S38" i="2" s="1"/>
  <c r="R39" i="2"/>
  <c r="S39" i="2" s="1"/>
  <c r="R40" i="2"/>
  <c r="S40" i="2" s="1"/>
  <c r="R41" i="2"/>
  <c r="S41" i="2" s="1"/>
  <c r="R42" i="2"/>
  <c r="S42" i="2" s="1"/>
  <c r="R43" i="2"/>
  <c r="S43" i="2" s="1"/>
  <c r="R44" i="2"/>
  <c r="S44" i="2" s="1"/>
  <c r="R45" i="2"/>
  <c r="S45" i="2" s="1"/>
  <c r="R46" i="2"/>
  <c r="S46" i="2" s="1"/>
  <c r="R47" i="2"/>
  <c r="S47" i="2" s="1"/>
  <c r="R48" i="2"/>
  <c r="S48" i="2" s="1"/>
  <c r="R49" i="2"/>
  <c r="S49" i="2" s="1"/>
  <c r="R50" i="2"/>
  <c r="S50" i="2" s="1"/>
  <c r="R51" i="2"/>
  <c r="S51" i="2" s="1"/>
  <c r="R52" i="2"/>
  <c r="S52" i="2" s="1"/>
  <c r="R53" i="2"/>
  <c r="S53" i="2" s="1"/>
  <c r="R54" i="2"/>
  <c r="S54" i="2" s="1"/>
  <c r="R55" i="2"/>
  <c r="S55" i="2" s="1"/>
  <c r="R56" i="2"/>
  <c r="S56" i="2" s="1"/>
  <c r="R57" i="2"/>
  <c r="S57" i="2" s="1"/>
  <c r="R58" i="2"/>
  <c r="S58" i="2" s="1"/>
  <c r="R59" i="2"/>
  <c r="S59" i="2" s="1"/>
  <c r="R60" i="2"/>
  <c r="S60" i="2" s="1"/>
  <c r="R61" i="2"/>
  <c r="S61" i="2" s="1"/>
  <c r="R62" i="2"/>
  <c r="S62" i="2" s="1"/>
  <c r="R63" i="2"/>
  <c r="S63" i="2" s="1"/>
  <c r="R64" i="2"/>
  <c r="S64" i="2" s="1"/>
  <c r="R65" i="2"/>
  <c r="S65" i="2" s="1"/>
  <c r="R66" i="2"/>
  <c r="S66" i="2" s="1"/>
  <c r="R67" i="2"/>
  <c r="S67" i="2" s="1"/>
  <c r="R68" i="2"/>
  <c r="S68" i="2" s="1"/>
  <c r="R69" i="2"/>
  <c r="S69" i="2" s="1"/>
  <c r="R70" i="2"/>
  <c r="S70" i="2" s="1"/>
  <c r="R71" i="2"/>
  <c r="S71" i="2" s="1"/>
  <c r="R72" i="2"/>
  <c r="S72" i="2" s="1"/>
  <c r="R73" i="2"/>
  <c r="S73" i="2" s="1"/>
  <c r="R74" i="2"/>
  <c r="S74" i="2" s="1"/>
  <c r="R75" i="2"/>
  <c r="S75" i="2" s="1"/>
  <c r="R76" i="2"/>
  <c r="S76" i="2" s="1"/>
  <c r="R77" i="2"/>
  <c r="S77" i="2" s="1"/>
  <c r="R78" i="2"/>
  <c r="S78" i="2" s="1"/>
  <c r="R79" i="2"/>
  <c r="S79" i="2" s="1"/>
  <c r="R80" i="2"/>
  <c r="S80" i="2" s="1"/>
  <c r="R81" i="2"/>
  <c r="S81" i="2" s="1"/>
  <c r="R82" i="2"/>
  <c r="S82" i="2" s="1"/>
  <c r="R83" i="2"/>
  <c r="S83" i="2" s="1"/>
  <c r="R84" i="2"/>
  <c r="S84" i="2" s="1"/>
  <c r="R85" i="2"/>
  <c r="S85" i="2" s="1"/>
  <c r="R86" i="2"/>
  <c r="S86" i="2" s="1"/>
  <c r="R87" i="2"/>
  <c r="S87" i="2" s="1"/>
  <c r="R88" i="2"/>
  <c r="S88" i="2" s="1"/>
  <c r="R89" i="2"/>
  <c r="S89" i="2" s="1"/>
  <c r="R90" i="2"/>
  <c r="S90" i="2" s="1"/>
  <c r="R91" i="2"/>
  <c r="S91" i="2" s="1"/>
  <c r="R92" i="2"/>
  <c r="S92" i="2" s="1"/>
  <c r="R93" i="2"/>
  <c r="S93" i="2" s="1"/>
  <c r="R94" i="2"/>
  <c r="S94" i="2" s="1"/>
  <c r="R95" i="2"/>
  <c r="S95" i="2" s="1"/>
  <c r="R96" i="2"/>
  <c r="S96" i="2" s="1"/>
  <c r="R97" i="2"/>
  <c r="S97" i="2" s="1"/>
  <c r="R98" i="2"/>
  <c r="S98" i="2" s="1"/>
  <c r="R99" i="2"/>
  <c r="S99" i="2" s="1"/>
  <c r="R100" i="2"/>
  <c r="S100" i="2" s="1"/>
  <c r="R101" i="2"/>
  <c r="S101" i="2" s="1"/>
  <c r="R102" i="2"/>
  <c r="S102" i="2" s="1"/>
  <c r="R103" i="2"/>
  <c r="S103" i="2" s="1"/>
  <c r="R104" i="2"/>
  <c r="S104" i="2" s="1"/>
  <c r="R105" i="2"/>
  <c r="S105" i="2" s="1"/>
  <c r="R106" i="2"/>
  <c r="S106" i="2" s="1"/>
  <c r="R107" i="2"/>
  <c r="S107" i="2" s="1"/>
  <c r="R108" i="2"/>
  <c r="S108" i="2" s="1"/>
  <c r="R109" i="2"/>
  <c r="S109" i="2" s="1"/>
  <c r="R110" i="2"/>
  <c r="S110" i="2" s="1"/>
  <c r="R111" i="2"/>
  <c r="S111" i="2" s="1"/>
  <c r="R112" i="2"/>
  <c r="S112" i="2" s="1"/>
  <c r="R113" i="2"/>
  <c r="S113" i="2" s="1"/>
  <c r="R114" i="2"/>
  <c r="S114" i="2" s="1"/>
  <c r="R115" i="2"/>
  <c r="S115" i="2" s="1"/>
  <c r="R116" i="2"/>
  <c r="S116" i="2" s="1"/>
  <c r="R117" i="2"/>
  <c r="S117" i="2" s="1"/>
  <c r="R118" i="2"/>
  <c r="S118" i="2" s="1"/>
  <c r="R119" i="2"/>
  <c r="S119" i="2" s="1"/>
  <c r="R120" i="2"/>
  <c r="S120" i="2" s="1"/>
  <c r="R121" i="2"/>
  <c r="S121" i="2" s="1"/>
  <c r="R122" i="2"/>
  <c r="S122" i="2" s="1"/>
  <c r="R123" i="2"/>
  <c r="S123" i="2" s="1"/>
  <c r="R124" i="2"/>
  <c r="S124" i="2" s="1"/>
  <c r="R125" i="2"/>
  <c r="S125" i="2" s="1"/>
  <c r="R126" i="2"/>
  <c r="S126" i="2" s="1"/>
  <c r="R127" i="2"/>
  <c r="S127" i="2" s="1"/>
  <c r="R128" i="2"/>
  <c r="S128" i="2" s="1"/>
  <c r="R129" i="2"/>
  <c r="S129" i="2" s="1"/>
  <c r="R130" i="2"/>
  <c r="S130" i="2" s="1"/>
  <c r="R131" i="2"/>
  <c r="S131" i="2" s="1"/>
  <c r="R132" i="2"/>
  <c r="S132" i="2" s="1"/>
  <c r="R133" i="2"/>
  <c r="S133" i="2" s="1"/>
  <c r="R134" i="2"/>
  <c r="S134" i="2" s="1"/>
  <c r="R135" i="2"/>
  <c r="S135" i="2" s="1"/>
  <c r="R136" i="2"/>
  <c r="S136" i="2" s="1"/>
  <c r="R137" i="2"/>
  <c r="S137" i="2" s="1"/>
  <c r="R138" i="2"/>
  <c r="S138" i="2" s="1"/>
  <c r="R139" i="2"/>
  <c r="S139" i="2" s="1"/>
  <c r="R140" i="2"/>
  <c r="S140" i="2" s="1"/>
  <c r="R141" i="2"/>
  <c r="S141" i="2" s="1"/>
  <c r="R142" i="2"/>
  <c r="S142" i="2" s="1"/>
  <c r="R143" i="2"/>
  <c r="S143" i="2" s="1"/>
  <c r="R144" i="2"/>
  <c r="S144" i="2" s="1"/>
  <c r="R145" i="2"/>
  <c r="S145" i="2" s="1"/>
  <c r="R146" i="2"/>
  <c r="S146" i="2" s="1"/>
  <c r="R147" i="2"/>
  <c r="S147" i="2" s="1"/>
  <c r="R148" i="2"/>
  <c r="S148" i="2" s="1"/>
  <c r="R149" i="2"/>
  <c r="S149" i="2" s="1"/>
  <c r="R150" i="2"/>
  <c r="S150" i="2" s="1"/>
  <c r="R151" i="2"/>
  <c r="S151" i="2" s="1"/>
  <c r="R152" i="2"/>
  <c r="S152" i="2" s="1"/>
  <c r="R153" i="2"/>
  <c r="S153" i="2" s="1"/>
  <c r="R154" i="2"/>
  <c r="S154" i="2" s="1"/>
  <c r="R155" i="2"/>
  <c r="S155" i="2" s="1"/>
  <c r="R156" i="2"/>
  <c r="S156" i="2" s="1"/>
  <c r="R157" i="2"/>
  <c r="S157" i="2" s="1"/>
  <c r="R158" i="2"/>
  <c r="S158" i="2" s="1"/>
  <c r="R159" i="2"/>
  <c r="S159" i="2" s="1"/>
  <c r="R160" i="2"/>
  <c r="S160" i="2" s="1"/>
  <c r="R161" i="2"/>
  <c r="S161" i="2" s="1"/>
  <c r="R162" i="2"/>
  <c r="S162" i="2" s="1"/>
  <c r="R163" i="2"/>
  <c r="S163" i="2" s="1"/>
  <c r="R164" i="2"/>
  <c r="S164" i="2" s="1"/>
  <c r="R165" i="2"/>
  <c r="S165" i="2" s="1"/>
  <c r="R166" i="2"/>
  <c r="S166" i="2" s="1"/>
  <c r="R167" i="2"/>
  <c r="S167" i="2" s="1"/>
  <c r="R168" i="2"/>
  <c r="S168" i="2" s="1"/>
  <c r="R169" i="2"/>
  <c r="S169" i="2" s="1"/>
  <c r="R170" i="2"/>
  <c r="S170" i="2" s="1"/>
  <c r="R171" i="2"/>
  <c r="S171" i="2" s="1"/>
  <c r="R172" i="2"/>
  <c r="S172" i="2" s="1"/>
  <c r="R173" i="2"/>
  <c r="S173" i="2" s="1"/>
  <c r="R174" i="2"/>
  <c r="S174" i="2" s="1"/>
  <c r="R175" i="2"/>
  <c r="S175" i="2" s="1"/>
  <c r="R176" i="2"/>
  <c r="S176" i="2" s="1"/>
  <c r="R177" i="2"/>
  <c r="S177" i="2" s="1"/>
  <c r="R178" i="2"/>
  <c r="S178" i="2" s="1"/>
  <c r="R179" i="2"/>
  <c r="S179" i="2" s="1"/>
  <c r="R180" i="2"/>
  <c r="S180" i="2" s="1"/>
  <c r="R181" i="2"/>
  <c r="S181" i="2" s="1"/>
  <c r="R182" i="2"/>
  <c r="S182" i="2" s="1"/>
  <c r="R183" i="2"/>
  <c r="S183" i="2" s="1"/>
  <c r="R184" i="2"/>
  <c r="S184" i="2" s="1"/>
  <c r="R185" i="2"/>
  <c r="S185" i="2" s="1"/>
  <c r="R186" i="2"/>
  <c r="S186" i="2" s="1"/>
  <c r="R187" i="2"/>
  <c r="S187" i="2" s="1"/>
  <c r="R188" i="2"/>
  <c r="S188" i="2" s="1"/>
  <c r="R189" i="2"/>
  <c r="S189" i="2" s="1"/>
  <c r="R190" i="2"/>
  <c r="S190" i="2" s="1"/>
  <c r="R191" i="2"/>
  <c r="S191" i="2" s="1"/>
  <c r="R192" i="2"/>
  <c r="S192" i="2" s="1"/>
  <c r="R193" i="2"/>
  <c r="S193" i="2" s="1"/>
  <c r="R194" i="2"/>
  <c r="S194" i="2" s="1"/>
  <c r="R195" i="2"/>
  <c r="S195" i="2" s="1"/>
  <c r="R196" i="2"/>
  <c r="S196" i="2" s="1"/>
  <c r="R197" i="2"/>
  <c r="S197" i="2" s="1"/>
  <c r="R198" i="2"/>
  <c r="S198" i="2" s="1"/>
  <c r="R199" i="2"/>
  <c r="S199" i="2" s="1"/>
  <c r="R200" i="2"/>
  <c r="S200" i="2" s="1"/>
  <c r="R201" i="2"/>
  <c r="S201" i="2" s="1"/>
  <c r="R202" i="2"/>
  <c r="S202" i="2" s="1"/>
  <c r="R203" i="2"/>
  <c r="S203" i="2" s="1"/>
  <c r="R204" i="2"/>
  <c r="S204" i="2" s="1"/>
  <c r="R205" i="2"/>
  <c r="S205" i="2" s="1"/>
  <c r="R206" i="2"/>
  <c r="S206" i="2" s="1"/>
  <c r="R207" i="2"/>
  <c r="S207" i="2" s="1"/>
  <c r="R208" i="2"/>
  <c r="S208" i="2" s="1"/>
  <c r="R209" i="2"/>
  <c r="S209" i="2" s="1"/>
  <c r="R210" i="2"/>
  <c r="S210" i="2" s="1"/>
  <c r="R211" i="2"/>
  <c r="S211" i="2" s="1"/>
  <c r="R212" i="2"/>
  <c r="S212" i="2" s="1"/>
  <c r="R213" i="2"/>
  <c r="S213" i="2" s="1"/>
  <c r="R214" i="2"/>
  <c r="S214" i="2" s="1"/>
  <c r="R215" i="2"/>
  <c r="S215" i="2" s="1"/>
  <c r="R216" i="2"/>
  <c r="S216" i="2" s="1"/>
  <c r="R217" i="2"/>
  <c r="S217" i="2" s="1"/>
  <c r="R218" i="2"/>
  <c r="S218" i="2" s="1"/>
  <c r="R219" i="2"/>
  <c r="S219" i="2" s="1"/>
  <c r="R220" i="2"/>
  <c r="S220" i="2" s="1"/>
  <c r="R221" i="2"/>
  <c r="S221" i="2" s="1"/>
  <c r="R222" i="2"/>
  <c r="S222" i="2" s="1"/>
  <c r="R223" i="2"/>
  <c r="S223" i="2" s="1"/>
  <c r="R224" i="2"/>
  <c r="S224" i="2" s="1"/>
  <c r="R225" i="2"/>
  <c r="S225" i="2" s="1"/>
  <c r="R226" i="2"/>
  <c r="S226" i="2" s="1"/>
  <c r="R227" i="2"/>
  <c r="S227" i="2" s="1"/>
  <c r="R228" i="2"/>
  <c r="S228" i="2" s="1"/>
  <c r="R229" i="2"/>
  <c r="S229" i="2" s="1"/>
  <c r="R230" i="2"/>
  <c r="S230" i="2" s="1"/>
  <c r="R231" i="2"/>
  <c r="S231" i="2" s="1"/>
  <c r="R232" i="2"/>
  <c r="S232" i="2" s="1"/>
  <c r="R233" i="2"/>
  <c r="S233" i="2" s="1"/>
  <c r="R234" i="2"/>
  <c r="S234" i="2" s="1"/>
  <c r="R235" i="2"/>
  <c r="S235" i="2" s="1"/>
  <c r="R236" i="2"/>
  <c r="S236" i="2" s="1"/>
  <c r="R237" i="2"/>
  <c r="S237" i="2" s="1"/>
  <c r="R238" i="2"/>
  <c r="S238" i="2" s="1"/>
  <c r="R239" i="2"/>
  <c r="S239" i="2" s="1"/>
  <c r="R240" i="2"/>
  <c r="S240" i="2" s="1"/>
  <c r="R241" i="2"/>
  <c r="S241" i="2" s="1"/>
  <c r="R242" i="2"/>
  <c r="S242" i="2" s="1"/>
  <c r="R243" i="2"/>
  <c r="S243" i="2" s="1"/>
  <c r="R244" i="2"/>
  <c r="S244" i="2" s="1"/>
  <c r="R245" i="2"/>
  <c r="S245" i="2" s="1"/>
  <c r="R246" i="2"/>
  <c r="S246" i="2" s="1"/>
  <c r="R247" i="2"/>
  <c r="S247" i="2" s="1"/>
  <c r="R248" i="2"/>
  <c r="S248" i="2" s="1"/>
  <c r="R249" i="2"/>
  <c r="S249" i="2" s="1"/>
  <c r="R250" i="2"/>
  <c r="S250" i="2" s="1"/>
  <c r="R251" i="2"/>
  <c r="S251" i="2" s="1"/>
  <c r="R252" i="2"/>
  <c r="S252" i="2" s="1"/>
  <c r="R253" i="2"/>
  <c r="S253" i="2" s="1"/>
  <c r="R254" i="2"/>
  <c r="S254" i="2" s="1"/>
  <c r="R255" i="2"/>
  <c r="S255" i="2" s="1"/>
  <c r="R256" i="2"/>
  <c r="S256" i="2" s="1"/>
  <c r="R257" i="2"/>
  <c r="S257" i="2" s="1"/>
  <c r="R258" i="2"/>
  <c r="S258" i="2" s="1"/>
  <c r="R259" i="2"/>
  <c r="S259" i="2" s="1"/>
  <c r="R260" i="2"/>
  <c r="S260" i="2" s="1"/>
  <c r="R261" i="2"/>
  <c r="S261" i="2" s="1"/>
  <c r="R262" i="2"/>
  <c r="S262" i="2" s="1"/>
  <c r="R263" i="2"/>
  <c r="S263" i="2" s="1"/>
  <c r="R264" i="2"/>
  <c r="S264" i="2" s="1"/>
  <c r="R265" i="2"/>
  <c r="S265" i="2" s="1"/>
  <c r="R266" i="2"/>
  <c r="S266" i="2" s="1"/>
  <c r="R267" i="2"/>
  <c r="S267" i="2" s="1"/>
  <c r="R268" i="2"/>
  <c r="S268" i="2" s="1"/>
  <c r="R269" i="2"/>
  <c r="S269" i="2" s="1"/>
  <c r="R270" i="2"/>
  <c r="S270" i="2" s="1"/>
  <c r="R271" i="2"/>
  <c r="S271" i="2" s="1"/>
  <c r="R272" i="2"/>
  <c r="S272" i="2" s="1"/>
  <c r="R273" i="2"/>
  <c r="S273" i="2" s="1"/>
  <c r="R274" i="2"/>
  <c r="S274" i="2" s="1"/>
  <c r="R275" i="2"/>
  <c r="S275" i="2" s="1"/>
  <c r="R276" i="2"/>
  <c r="S276" i="2" s="1"/>
  <c r="R277" i="2"/>
  <c r="S277" i="2" s="1"/>
  <c r="R278" i="2"/>
  <c r="S278" i="2" s="1"/>
  <c r="R279" i="2"/>
  <c r="S279" i="2" s="1"/>
  <c r="R280" i="2"/>
  <c r="S280" i="2" s="1"/>
  <c r="R281" i="2"/>
  <c r="S281" i="2" s="1"/>
  <c r="R282" i="2"/>
  <c r="S282" i="2" s="1"/>
  <c r="R283" i="2"/>
  <c r="S283" i="2" s="1"/>
  <c r="R284" i="2"/>
  <c r="S284" i="2" s="1"/>
  <c r="R285" i="2"/>
  <c r="S285" i="2" s="1"/>
  <c r="R286" i="2"/>
  <c r="S286" i="2" s="1"/>
  <c r="R287" i="2"/>
  <c r="S287" i="2" s="1"/>
  <c r="R288" i="2"/>
  <c r="S288" i="2" s="1"/>
  <c r="R289" i="2"/>
  <c r="S289" i="2" s="1"/>
  <c r="R290" i="2"/>
  <c r="S290" i="2" s="1"/>
  <c r="R291" i="2"/>
  <c r="S291" i="2" s="1"/>
  <c r="R292" i="2"/>
  <c r="S292" i="2" s="1"/>
  <c r="R293" i="2"/>
  <c r="S293" i="2" s="1"/>
  <c r="R294" i="2"/>
  <c r="S294" i="2" s="1"/>
  <c r="R295" i="2"/>
  <c r="S295" i="2" s="1"/>
  <c r="R296" i="2"/>
  <c r="S296" i="2" s="1"/>
  <c r="R297" i="2"/>
  <c r="S297" i="2" s="1"/>
  <c r="R298" i="2"/>
  <c r="S298" i="2" s="1"/>
  <c r="R299" i="2"/>
  <c r="S299" i="2" s="1"/>
  <c r="R300" i="2"/>
  <c r="S300" i="2" s="1"/>
  <c r="R301" i="2"/>
  <c r="S301" i="2" s="1"/>
  <c r="R302" i="2"/>
  <c r="S302" i="2" s="1"/>
  <c r="R303" i="2"/>
  <c r="S303" i="2" s="1"/>
  <c r="R304" i="2"/>
  <c r="S304" i="2" s="1"/>
  <c r="R305" i="2"/>
  <c r="S305" i="2" s="1"/>
  <c r="R306" i="2"/>
  <c r="S306" i="2" s="1"/>
  <c r="R307" i="2"/>
  <c r="S307" i="2" s="1"/>
  <c r="R308" i="2"/>
  <c r="S308" i="2" s="1"/>
  <c r="R309" i="2"/>
  <c r="S309" i="2" s="1"/>
  <c r="R310" i="2"/>
  <c r="S310" i="2" s="1"/>
  <c r="R311" i="2"/>
  <c r="S311" i="2" s="1"/>
  <c r="R312" i="2"/>
  <c r="S312" i="2" s="1"/>
  <c r="R313" i="2"/>
  <c r="S313" i="2" s="1"/>
  <c r="R314" i="2"/>
  <c r="S314" i="2" s="1"/>
  <c r="R315" i="2"/>
  <c r="S315" i="2" s="1"/>
  <c r="R316" i="2"/>
  <c r="S316" i="2" s="1"/>
  <c r="R317" i="2"/>
  <c r="S317" i="2" s="1"/>
  <c r="R318" i="2"/>
  <c r="S318" i="2" s="1"/>
  <c r="R319" i="2"/>
  <c r="S319" i="2" s="1"/>
  <c r="R320" i="2"/>
  <c r="S320" i="2" s="1"/>
  <c r="R321" i="2"/>
  <c r="S321" i="2" s="1"/>
  <c r="R322" i="2"/>
  <c r="S322" i="2" s="1"/>
  <c r="R323" i="2"/>
  <c r="S323" i="2" s="1"/>
  <c r="R324" i="2"/>
  <c r="S324" i="2" s="1"/>
  <c r="R325" i="2"/>
  <c r="S325" i="2" s="1"/>
  <c r="R326" i="2"/>
  <c r="S326" i="2" s="1"/>
  <c r="R327" i="2"/>
  <c r="S327" i="2" s="1"/>
  <c r="R328" i="2"/>
  <c r="S328" i="2" s="1"/>
  <c r="R329" i="2"/>
  <c r="S329" i="2" s="1"/>
  <c r="R330" i="2"/>
  <c r="S330" i="2" s="1"/>
  <c r="R331" i="2"/>
  <c r="S331" i="2" s="1"/>
  <c r="R332" i="2"/>
  <c r="S332" i="2" s="1"/>
  <c r="R333" i="2"/>
  <c r="S333" i="2" s="1"/>
  <c r="R334" i="2"/>
  <c r="S334" i="2" s="1"/>
  <c r="R335" i="2"/>
  <c r="S335" i="2" s="1"/>
  <c r="R336" i="2"/>
  <c r="S336" i="2" s="1"/>
  <c r="R337" i="2"/>
  <c r="S337" i="2" s="1"/>
  <c r="R338" i="2"/>
  <c r="S338" i="2" s="1"/>
  <c r="R339" i="2"/>
  <c r="S339" i="2" s="1"/>
  <c r="R340" i="2"/>
  <c r="S340" i="2" s="1"/>
  <c r="R341" i="2"/>
  <c r="S341" i="2" s="1"/>
  <c r="R342" i="2"/>
  <c r="S342" i="2" s="1"/>
  <c r="R343" i="2"/>
  <c r="S343" i="2" s="1"/>
  <c r="R344" i="2"/>
  <c r="S344" i="2" s="1"/>
  <c r="R345" i="2"/>
  <c r="S345" i="2" s="1"/>
  <c r="R346" i="2"/>
  <c r="S346" i="2" s="1"/>
  <c r="R347" i="2"/>
  <c r="S347" i="2" s="1"/>
  <c r="R348" i="2"/>
  <c r="S348" i="2" s="1"/>
  <c r="R349" i="2"/>
  <c r="S349" i="2" s="1"/>
  <c r="R350" i="2"/>
  <c r="S350" i="2" s="1"/>
  <c r="R351" i="2"/>
  <c r="S351" i="2" s="1"/>
  <c r="R352" i="2"/>
  <c r="S352" i="2" s="1"/>
  <c r="R353" i="2"/>
  <c r="S353" i="2" s="1"/>
  <c r="R354" i="2"/>
  <c r="S354" i="2" s="1"/>
  <c r="R355" i="2"/>
  <c r="S355" i="2" s="1"/>
  <c r="R356" i="2"/>
  <c r="S356" i="2" s="1"/>
  <c r="R357" i="2"/>
  <c r="S357" i="2" s="1"/>
  <c r="R358" i="2"/>
  <c r="S358" i="2" s="1"/>
  <c r="R359" i="2"/>
  <c r="S359" i="2" s="1"/>
  <c r="R360" i="2"/>
  <c r="S360" i="2" s="1"/>
  <c r="R361" i="2"/>
  <c r="S361" i="2" s="1"/>
  <c r="R362" i="2"/>
  <c r="S362" i="2" s="1"/>
  <c r="R363" i="2"/>
  <c r="S363" i="2" s="1"/>
  <c r="R364" i="2"/>
  <c r="S364" i="2" s="1"/>
  <c r="R365" i="2"/>
  <c r="S365" i="2" s="1"/>
  <c r="R366" i="2"/>
  <c r="S366" i="2" s="1"/>
  <c r="R367" i="2"/>
  <c r="S367" i="2" s="1"/>
  <c r="R368" i="2"/>
  <c r="S368" i="2" s="1"/>
  <c r="R369" i="2"/>
  <c r="S369" i="2" s="1"/>
  <c r="R370" i="2"/>
  <c r="S370" i="2" s="1"/>
  <c r="R371" i="2"/>
  <c r="S371" i="2" s="1"/>
  <c r="R372" i="2"/>
  <c r="S372" i="2" s="1"/>
  <c r="R373" i="2"/>
  <c r="S373" i="2" s="1"/>
  <c r="R374" i="2"/>
  <c r="S374" i="2" s="1"/>
  <c r="R375" i="2"/>
  <c r="S375" i="2" s="1"/>
  <c r="R376" i="2"/>
  <c r="S376" i="2" s="1"/>
  <c r="R377" i="2"/>
  <c r="S377" i="2" s="1"/>
  <c r="R378" i="2"/>
  <c r="S378" i="2" s="1"/>
  <c r="R379" i="2"/>
  <c r="S379" i="2" s="1"/>
  <c r="R380" i="2"/>
  <c r="S380" i="2" s="1"/>
  <c r="R381" i="2"/>
  <c r="S381" i="2" s="1"/>
  <c r="R382" i="2"/>
  <c r="S382" i="2" s="1"/>
  <c r="R383" i="2"/>
  <c r="S383" i="2" s="1"/>
  <c r="R384" i="2"/>
  <c r="S384" i="2" s="1"/>
  <c r="R385" i="2"/>
  <c r="S385" i="2" s="1"/>
  <c r="R386" i="2"/>
  <c r="S386" i="2" s="1"/>
  <c r="R387" i="2"/>
  <c r="S387" i="2" s="1"/>
  <c r="R388" i="2"/>
  <c r="S388" i="2" s="1"/>
  <c r="R389" i="2"/>
  <c r="S389" i="2" s="1"/>
  <c r="R390" i="2"/>
  <c r="S390" i="2" s="1"/>
  <c r="R391" i="2"/>
  <c r="S391" i="2" s="1"/>
  <c r="R392" i="2"/>
  <c r="S392" i="2" s="1"/>
  <c r="R393" i="2"/>
  <c r="S393" i="2" s="1"/>
  <c r="R394" i="2"/>
  <c r="S394" i="2" s="1"/>
  <c r="R395" i="2"/>
  <c r="S395" i="2" s="1"/>
  <c r="R396" i="2"/>
  <c r="S396" i="2" s="1"/>
  <c r="R397" i="2"/>
  <c r="S397" i="2" s="1"/>
  <c r="R398" i="2"/>
  <c r="S398" i="2" s="1"/>
  <c r="R399" i="2"/>
  <c r="S399" i="2" s="1"/>
  <c r="R400" i="2"/>
  <c r="S400" i="2" s="1"/>
  <c r="R401" i="2"/>
  <c r="S401" i="2" s="1"/>
  <c r="R402" i="2"/>
  <c r="S402" i="2" s="1"/>
  <c r="R403" i="2"/>
  <c r="S403" i="2" s="1"/>
  <c r="R404" i="2"/>
  <c r="S404" i="2" s="1"/>
  <c r="R405" i="2"/>
  <c r="S405" i="2" s="1"/>
  <c r="R406" i="2"/>
  <c r="S406" i="2" s="1"/>
  <c r="R407" i="2"/>
  <c r="S407" i="2" s="1"/>
  <c r="R408" i="2"/>
  <c r="S408" i="2" s="1"/>
  <c r="R409" i="2"/>
  <c r="S409" i="2" s="1"/>
  <c r="R410" i="2"/>
  <c r="S410" i="2" s="1"/>
  <c r="R411" i="2"/>
  <c r="S411" i="2" s="1"/>
  <c r="R412" i="2"/>
  <c r="S412" i="2" s="1"/>
  <c r="R413" i="2"/>
  <c r="S413" i="2" s="1"/>
  <c r="R414" i="2"/>
  <c r="S414" i="2" s="1"/>
  <c r="R415" i="2"/>
  <c r="S415" i="2" s="1"/>
  <c r="R416" i="2"/>
  <c r="S416" i="2" s="1"/>
  <c r="R417" i="2"/>
  <c r="S417" i="2" s="1"/>
  <c r="R418" i="2"/>
  <c r="S418" i="2" s="1"/>
  <c r="R419" i="2"/>
  <c r="S419" i="2" s="1"/>
  <c r="R420" i="2"/>
  <c r="S420" i="2" s="1"/>
  <c r="R421" i="2"/>
  <c r="S421" i="2" s="1"/>
  <c r="R422" i="2"/>
  <c r="S422" i="2" s="1"/>
  <c r="R423" i="2"/>
  <c r="S423" i="2" s="1"/>
  <c r="R424" i="2"/>
  <c r="S424" i="2" s="1"/>
  <c r="R425" i="2"/>
  <c r="S425" i="2" s="1"/>
  <c r="R426" i="2"/>
  <c r="S426" i="2" s="1"/>
  <c r="R427" i="2"/>
  <c r="S427" i="2" s="1"/>
  <c r="R428" i="2"/>
  <c r="S428" i="2" s="1"/>
  <c r="R429" i="2"/>
  <c r="S429" i="2" s="1"/>
  <c r="R430" i="2"/>
  <c r="S430" i="2" s="1"/>
  <c r="R431" i="2"/>
  <c r="S431" i="2" s="1"/>
  <c r="R432" i="2"/>
  <c r="S432" i="2" s="1"/>
  <c r="R433" i="2"/>
  <c r="S433" i="2" s="1"/>
  <c r="R434" i="2"/>
  <c r="S434" i="2" s="1"/>
  <c r="R435" i="2"/>
  <c r="S435" i="2" s="1"/>
  <c r="R436" i="2"/>
  <c r="S436" i="2" s="1"/>
  <c r="R437" i="2"/>
  <c r="S437" i="2" s="1"/>
  <c r="R438" i="2"/>
  <c r="S438" i="2" s="1"/>
  <c r="R439" i="2"/>
  <c r="S439" i="2" s="1"/>
  <c r="R440" i="2"/>
  <c r="S440" i="2" s="1"/>
  <c r="R441" i="2"/>
  <c r="S441" i="2" s="1"/>
  <c r="R442" i="2"/>
  <c r="S442" i="2" s="1"/>
  <c r="R443" i="2"/>
  <c r="S443" i="2" s="1"/>
  <c r="R444" i="2"/>
  <c r="S444" i="2" s="1"/>
  <c r="R445" i="2"/>
  <c r="S445" i="2" s="1"/>
  <c r="R446" i="2"/>
  <c r="S446" i="2" s="1"/>
  <c r="R447" i="2"/>
  <c r="S447" i="2" s="1"/>
  <c r="R448" i="2"/>
  <c r="S448" i="2" s="1"/>
  <c r="R449" i="2"/>
  <c r="S449" i="2" s="1"/>
  <c r="R450" i="2"/>
  <c r="S450" i="2" s="1"/>
  <c r="R451" i="2"/>
  <c r="S451" i="2" s="1"/>
  <c r="R452" i="2"/>
  <c r="S452" i="2" s="1"/>
  <c r="R453" i="2"/>
  <c r="S453" i="2" s="1"/>
  <c r="R454" i="2"/>
  <c r="S454" i="2" s="1"/>
  <c r="R455" i="2"/>
  <c r="S455" i="2" s="1"/>
  <c r="R456" i="2"/>
  <c r="S456" i="2" s="1"/>
  <c r="R457" i="2"/>
  <c r="S457" i="2" s="1"/>
  <c r="R458" i="2"/>
  <c r="S458" i="2" s="1"/>
  <c r="R459" i="2"/>
  <c r="S459" i="2" s="1"/>
  <c r="R460" i="2"/>
  <c r="S460" i="2" s="1"/>
  <c r="R461" i="2"/>
  <c r="S461" i="2" s="1"/>
  <c r="R462" i="2"/>
  <c r="S462" i="2" s="1"/>
  <c r="R463" i="2"/>
  <c r="S463" i="2" s="1"/>
  <c r="R464" i="2"/>
  <c r="S464" i="2" s="1"/>
  <c r="R465" i="2"/>
  <c r="S465" i="2" s="1"/>
  <c r="R466" i="2"/>
  <c r="S466" i="2" s="1"/>
  <c r="R467" i="2"/>
  <c r="S467" i="2" s="1"/>
  <c r="R468" i="2"/>
  <c r="S468" i="2" s="1"/>
  <c r="R469" i="2"/>
  <c r="S469" i="2" s="1"/>
  <c r="R470" i="2"/>
  <c r="S470" i="2" s="1"/>
  <c r="R471" i="2"/>
  <c r="S471" i="2" s="1"/>
  <c r="R472" i="2"/>
  <c r="S472" i="2" s="1"/>
  <c r="R473" i="2"/>
  <c r="S473" i="2" s="1"/>
  <c r="R474" i="2"/>
  <c r="S474" i="2" s="1"/>
  <c r="R475" i="2"/>
  <c r="S475" i="2" s="1"/>
  <c r="R476" i="2"/>
  <c r="S476" i="2" s="1"/>
  <c r="R477" i="2"/>
  <c r="S477" i="2" s="1"/>
  <c r="R478" i="2"/>
  <c r="S478" i="2" s="1"/>
  <c r="R479" i="2"/>
  <c r="S479" i="2" s="1"/>
  <c r="R480" i="2"/>
  <c r="S480" i="2" s="1"/>
  <c r="R481" i="2"/>
  <c r="S481" i="2" s="1"/>
  <c r="R482" i="2"/>
  <c r="S482" i="2" s="1"/>
  <c r="R483" i="2"/>
  <c r="S483" i="2" s="1"/>
  <c r="R484" i="2"/>
  <c r="S484" i="2" s="1"/>
  <c r="R485" i="2"/>
  <c r="S485" i="2" s="1"/>
  <c r="R486" i="2"/>
  <c r="S486" i="2" s="1"/>
  <c r="R487" i="2"/>
  <c r="S487" i="2" s="1"/>
  <c r="R488" i="2"/>
  <c r="S488" i="2" s="1"/>
  <c r="R489" i="2"/>
  <c r="S489" i="2" s="1"/>
  <c r="R490" i="2"/>
  <c r="S490" i="2" s="1"/>
  <c r="R491" i="2"/>
  <c r="S491" i="2" s="1"/>
  <c r="R492" i="2"/>
  <c r="S492" i="2" s="1"/>
  <c r="R493" i="2"/>
  <c r="S493" i="2" s="1"/>
  <c r="R494" i="2"/>
  <c r="S494" i="2" s="1"/>
  <c r="R495" i="2"/>
  <c r="S495" i="2" s="1"/>
  <c r="R496" i="2"/>
  <c r="S496" i="2" s="1"/>
  <c r="R497" i="2"/>
  <c r="S497" i="2" s="1"/>
  <c r="R498" i="2"/>
  <c r="S498" i="2" s="1"/>
  <c r="R499" i="2"/>
  <c r="S499" i="2" s="1"/>
  <c r="R500" i="2"/>
  <c r="S500" i="2" s="1"/>
  <c r="R501" i="2"/>
  <c r="S501" i="2" s="1"/>
  <c r="R502" i="2"/>
  <c r="S502" i="2" s="1"/>
  <c r="R503" i="2"/>
  <c r="S503" i="2" s="1"/>
  <c r="R504" i="2"/>
  <c r="S504" i="2" s="1"/>
  <c r="R505" i="2"/>
  <c r="S505" i="2" s="1"/>
  <c r="R506" i="2"/>
  <c r="S506" i="2" s="1"/>
  <c r="R507" i="2"/>
  <c r="S507" i="2" s="1"/>
  <c r="R508" i="2"/>
  <c r="S508" i="2" s="1"/>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123" i="2"/>
  <c r="H124" i="2"/>
  <c r="H125" i="2"/>
  <c r="H126" i="2"/>
  <c r="H127" i="2"/>
  <c r="H128" i="2"/>
  <c r="H129" i="2"/>
  <c r="H130" i="2"/>
  <c r="H131" i="2"/>
  <c r="H132" i="2"/>
  <c r="H133" i="2"/>
  <c r="H134" i="2"/>
  <c r="H135" i="2"/>
  <c r="H136" i="2"/>
  <c r="H137" i="2"/>
  <c r="H138" i="2"/>
  <c r="H139" i="2"/>
  <c r="H140" i="2"/>
  <c r="H141" i="2"/>
  <c r="H142" i="2"/>
  <c r="H143" i="2"/>
  <c r="H144" i="2"/>
  <c r="H145" i="2"/>
  <c r="H146" i="2"/>
  <c r="H147" i="2"/>
  <c r="H148" i="2"/>
  <c r="H149" i="2"/>
  <c r="H150" i="2"/>
  <c r="H151" i="2"/>
  <c r="H152" i="2"/>
  <c r="H153" i="2"/>
  <c r="H154" i="2"/>
  <c r="H155" i="2"/>
  <c r="H156" i="2"/>
  <c r="H157" i="2"/>
  <c r="H158" i="2"/>
  <c r="H159" i="2"/>
  <c r="H160" i="2"/>
  <c r="H161" i="2"/>
  <c r="H162" i="2"/>
  <c r="H163" i="2"/>
  <c r="H164" i="2"/>
  <c r="H165" i="2"/>
  <c r="H166" i="2"/>
  <c r="H167" i="2"/>
  <c r="H168" i="2"/>
  <c r="H169" i="2"/>
  <c r="H170" i="2"/>
  <c r="H171" i="2"/>
  <c r="H172" i="2"/>
  <c r="H173" i="2"/>
  <c r="H174" i="2"/>
  <c r="H175" i="2"/>
  <c r="H176" i="2"/>
  <c r="H177" i="2"/>
  <c r="H178" i="2"/>
  <c r="H179" i="2"/>
  <c r="H180" i="2"/>
  <c r="H181" i="2"/>
  <c r="H182" i="2"/>
  <c r="H183" i="2"/>
  <c r="H184" i="2"/>
  <c r="H185" i="2"/>
  <c r="H186" i="2"/>
  <c r="H187" i="2"/>
  <c r="H188" i="2"/>
  <c r="H189" i="2"/>
  <c r="H190" i="2"/>
  <c r="H191" i="2"/>
  <c r="H192" i="2"/>
  <c r="H193" i="2"/>
  <c r="H194" i="2"/>
  <c r="H195" i="2"/>
  <c r="H196" i="2"/>
  <c r="H197" i="2"/>
  <c r="H198" i="2"/>
  <c r="H199" i="2"/>
  <c r="H200" i="2"/>
  <c r="H201" i="2"/>
  <c r="H202" i="2"/>
  <c r="H203" i="2"/>
  <c r="H204" i="2"/>
  <c r="H205" i="2"/>
  <c r="H206" i="2"/>
  <c r="H207" i="2"/>
  <c r="H208" i="2"/>
  <c r="H209" i="2"/>
  <c r="H210" i="2"/>
  <c r="H211" i="2"/>
  <c r="H212" i="2"/>
  <c r="H213" i="2"/>
  <c r="H214" i="2"/>
  <c r="H215" i="2"/>
  <c r="H216" i="2"/>
  <c r="H217" i="2"/>
  <c r="H218" i="2"/>
  <c r="H219" i="2"/>
  <c r="H220" i="2"/>
  <c r="H221" i="2"/>
  <c r="H222" i="2"/>
  <c r="H223" i="2"/>
  <c r="H224" i="2"/>
  <c r="H225" i="2"/>
  <c r="H226" i="2"/>
  <c r="H227" i="2"/>
  <c r="H228" i="2"/>
  <c r="H229" i="2"/>
  <c r="H230" i="2"/>
  <c r="H231" i="2"/>
  <c r="H232" i="2"/>
  <c r="H233" i="2"/>
  <c r="H234" i="2"/>
  <c r="H235" i="2"/>
  <c r="H236" i="2"/>
  <c r="H237" i="2"/>
  <c r="H238" i="2"/>
  <c r="H239" i="2"/>
  <c r="H240" i="2"/>
  <c r="H241" i="2"/>
  <c r="H242" i="2"/>
  <c r="H243" i="2"/>
  <c r="H244" i="2"/>
  <c r="H245" i="2"/>
  <c r="H246" i="2"/>
  <c r="H247" i="2"/>
  <c r="H248" i="2"/>
  <c r="H249" i="2"/>
  <c r="H250" i="2"/>
  <c r="H251" i="2"/>
  <c r="H252" i="2"/>
  <c r="H253" i="2"/>
  <c r="H254" i="2"/>
  <c r="H255" i="2"/>
  <c r="H256" i="2"/>
  <c r="H257" i="2"/>
  <c r="H258" i="2"/>
  <c r="H259" i="2"/>
  <c r="H260" i="2"/>
  <c r="H261" i="2"/>
  <c r="H262" i="2"/>
  <c r="H263" i="2"/>
  <c r="H264" i="2"/>
  <c r="H265" i="2"/>
  <c r="H266" i="2"/>
  <c r="H267" i="2"/>
  <c r="H268" i="2"/>
  <c r="H269" i="2"/>
  <c r="H270" i="2"/>
  <c r="H271" i="2"/>
  <c r="H272" i="2"/>
  <c r="H273" i="2"/>
  <c r="H274" i="2"/>
  <c r="H275" i="2"/>
  <c r="H276" i="2"/>
  <c r="H277" i="2"/>
  <c r="H278" i="2"/>
  <c r="H279" i="2"/>
  <c r="H280" i="2"/>
  <c r="H281" i="2"/>
  <c r="H282" i="2"/>
  <c r="H283" i="2"/>
  <c r="H284" i="2"/>
  <c r="H285" i="2"/>
  <c r="H286" i="2"/>
  <c r="H287" i="2"/>
  <c r="H288" i="2"/>
  <c r="H289" i="2"/>
  <c r="H290" i="2"/>
  <c r="H291" i="2"/>
  <c r="H292" i="2"/>
  <c r="H293" i="2"/>
  <c r="H294" i="2"/>
  <c r="H295" i="2"/>
  <c r="H296" i="2"/>
  <c r="H297" i="2"/>
  <c r="H298" i="2"/>
  <c r="H299" i="2"/>
  <c r="H300" i="2"/>
  <c r="H301" i="2"/>
  <c r="H302" i="2"/>
  <c r="H303" i="2"/>
  <c r="H304" i="2"/>
  <c r="H305" i="2"/>
  <c r="H306" i="2"/>
  <c r="H307" i="2"/>
  <c r="H308" i="2"/>
  <c r="H309" i="2"/>
  <c r="H310" i="2"/>
  <c r="H311" i="2"/>
  <c r="H312" i="2"/>
  <c r="H313" i="2"/>
  <c r="H314" i="2"/>
  <c r="H315" i="2"/>
  <c r="H316" i="2"/>
  <c r="H317" i="2"/>
  <c r="H318" i="2"/>
  <c r="H319" i="2"/>
  <c r="H320" i="2"/>
  <c r="H321" i="2"/>
  <c r="H322" i="2"/>
  <c r="H323" i="2"/>
  <c r="H324" i="2"/>
  <c r="H325" i="2"/>
  <c r="H326" i="2"/>
  <c r="H327" i="2"/>
  <c r="H328" i="2"/>
  <c r="H329" i="2"/>
  <c r="H330" i="2"/>
  <c r="H331" i="2"/>
  <c r="H332" i="2"/>
  <c r="H333" i="2"/>
  <c r="H334" i="2"/>
  <c r="H335" i="2"/>
  <c r="H336" i="2"/>
  <c r="H337" i="2"/>
  <c r="H338" i="2"/>
  <c r="H339" i="2"/>
  <c r="H340" i="2"/>
  <c r="H341" i="2"/>
  <c r="H342" i="2"/>
  <c r="H343" i="2"/>
  <c r="H344" i="2"/>
  <c r="H345" i="2"/>
  <c r="H346" i="2"/>
  <c r="H347" i="2"/>
  <c r="H348" i="2"/>
  <c r="H349" i="2"/>
  <c r="H350" i="2"/>
  <c r="H351" i="2"/>
  <c r="H352" i="2"/>
  <c r="H353" i="2"/>
  <c r="H354" i="2"/>
  <c r="H355" i="2"/>
  <c r="H356" i="2"/>
  <c r="H357" i="2"/>
  <c r="H358" i="2"/>
  <c r="H359" i="2"/>
  <c r="H360" i="2"/>
  <c r="H361" i="2"/>
  <c r="H362" i="2"/>
  <c r="H363" i="2"/>
  <c r="H364" i="2"/>
  <c r="H365" i="2"/>
  <c r="H366" i="2"/>
  <c r="H367" i="2"/>
  <c r="H368" i="2"/>
  <c r="H369" i="2"/>
  <c r="H370" i="2"/>
  <c r="H371" i="2"/>
  <c r="H372" i="2"/>
  <c r="H373" i="2"/>
  <c r="H374" i="2"/>
  <c r="H375" i="2"/>
  <c r="H376" i="2"/>
  <c r="H377" i="2"/>
  <c r="H378" i="2"/>
  <c r="H379" i="2"/>
  <c r="H380" i="2"/>
  <c r="H381" i="2"/>
  <c r="H382" i="2"/>
  <c r="H383" i="2"/>
  <c r="H384" i="2"/>
  <c r="H385" i="2"/>
  <c r="H386" i="2"/>
  <c r="H387" i="2"/>
  <c r="H388" i="2"/>
  <c r="H389" i="2"/>
  <c r="H390" i="2"/>
  <c r="H391" i="2"/>
  <c r="H392" i="2"/>
  <c r="H393" i="2"/>
  <c r="H394" i="2"/>
  <c r="H395" i="2"/>
  <c r="H396" i="2"/>
  <c r="H397" i="2"/>
  <c r="H398" i="2"/>
  <c r="H399" i="2"/>
  <c r="H400" i="2"/>
  <c r="H401" i="2"/>
  <c r="H402" i="2"/>
  <c r="H403" i="2"/>
  <c r="H404" i="2"/>
  <c r="H405" i="2"/>
  <c r="H406" i="2"/>
  <c r="H407" i="2"/>
  <c r="H408" i="2"/>
  <c r="H409" i="2"/>
  <c r="H410" i="2"/>
  <c r="H411" i="2"/>
  <c r="H412" i="2"/>
  <c r="H413" i="2"/>
  <c r="H414" i="2"/>
  <c r="H415" i="2"/>
  <c r="H416" i="2"/>
  <c r="H417" i="2"/>
  <c r="H418" i="2"/>
  <c r="H419" i="2"/>
  <c r="H420" i="2"/>
  <c r="H421" i="2"/>
  <c r="H422" i="2"/>
  <c r="H423" i="2"/>
  <c r="H424" i="2"/>
  <c r="H425" i="2"/>
  <c r="H426" i="2"/>
  <c r="H427" i="2"/>
  <c r="H428" i="2"/>
  <c r="H429" i="2"/>
  <c r="H430" i="2"/>
  <c r="H431" i="2"/>
  <c r="H432" i="2"/>
  <c r="H433" i="2"/>
  <c r="H434" i="2"/>
  <c r="H435" i="2"/>
  <c r="H436" i="2"/>
  <c r="H437" i="2"/>
  <c r="H438" i="2"/>
  <c r="H439" i="2"/>
  <c r="H440" i="2"/>
  <c r="H441" i="2"/>
  <c r="H442" i="2"/>
  <c r="H443" i="2"/>
  <c r="H444" i="2"/>
  <c r="H445" i="2"/>
  <c r="H446" i="2"/>
  <c r="H447" i="2"/>
  <c r="H448" i="2"/>
  <c r="H449" i="2"/>
  <c r="H450" i="2"/>
  <c r="H451" i="2"/>
  <c r="H452" i="2"/>
  <c r="H453" i="2"/>
  <c r="H454" i="2"/>
  <c r="H455" i="2"/>
  <c r="H456" i="2"/>
  <c r="H457" i="2"/>
  <c r="H458" i="2"/>
  <c r="H459" i="2"/>
  <c r="H460" i="2"/>
  <c r="H461" i="2"/>
  <c r="H462" i="2"/>
  <c r="H463" i="2"/>
  <c r="H464" i="2"/>
  <c r="H465" i="2"/>
  <c r="H466" i="2"/>
  <c r="H467" i="2"/>
  <c r="H468" i="2"/>
  <c r="H469" i="2"/>
  <c r="H470" i="2"/>
  <c r="H471" i="2"/>
  <c r="H472" i="2"/>
  <c r="H473" i="2"/>
  <c r="H474" i="2"/>
  <c r="H475" i="2"/>
  <c r="H476" i="2"/>
  <c r="H477" i="2"/>
  <c r="H478" i="2"/>
  <c r="H479" i="2"/>
  <c r="H480" i="2"/>
  <c r="H481" i="2"/>
  <c r="H482" i="2"/>
  <c r="H483" i="2"/>
  <c r="H484" i="2"/>
  <c r="H485" i="2"/>
  <c r="H486" i="2"/>
  <c r="H487" i="2"/>
  <c r="H488" i="2"/>
  <c r="H489" i="2"/>
  <c r="H490" i="2"/>
  <c r="H491" i="2"/>
  <c r="H492" i="2"/>
  <c r="H493" i="2"/>
  <c r="H494" i="2"/>
  <c r="H495" i="2"/>
  <c r="H496" i="2"/>
  <c r="H497" i="2"/>
  <c r="H498" i="2"/>
  <c r="H499" i="2"/>
  <c r="H500" i="2"/>
  <c r="H501" i="2"/>
  <c r="H502" i="2"/>
  <c r="H503" i="2"/>
  <c r="H504" i="2"/>
  <c r="H505" i="2"/>
  <c r="H506" i="2"/>
  <c r="H507" i="2"/>
  <c r="H508" i="2"/>
  <c r="H6" i="2"/>
  <c r="R6" i="2"/>
  <c r="S6" i="2" s="1"/>
  <c r="S509" i="2" s="1"/>
  <c r="G509" i="2"/>
  <c r="U5" i="2" a="1"/>
  <c r="Q7" i="2"/>
  <c r="Q15" i="2"/>
  <c r="Q23" i="2"/>
  <c r="Q31" i="2"/>
  <c r="Q39" i="2"/>
  <c r="Q8" i="2"/>
  <c r="Q16" i="2"/>
  <c r="Q24" i="2"/>
  <c r="Q32" i="2"/>
  <c r="Q40" i="2"/>
  <c r="Q48" i="2"/>
  <c r="Q56" i="2"/>
  <c r="Q64" i="2"/>
  <c r="Q72" i="2"/>
  <c r="Q80" i="2"/>
  <c r="Q88" i="2"/>
  <c r="Q96" i="2"/>
  <c r="Q104" i="2"/>
  <c r="Q112" i="2"/>
  <c r="Q120" i="2"/>
  <c r="Q128" i="2"/>
  <c r="Q136" i="2"/>
  <c r="Q144" i="2"/>
  <c r="Q152" i="2"/>
  <c r="Q160" i="2"/>
  <c r="Q168" i="2"/>
  <c r="Q176" i="2"/>
  <c r="Q184" i="2"/>
  <c r="Q192" i="2"/>
  <c r="Q200" i="2"/>
  <c r="Q208" i="2"/>
  <c r="Q216" i="2"/>
  <c r="Q224" i="2"/>
  <c r="Q232" i="2"/>
  <c r="Q240" i="2"/>
  <c r="Q248" i="2"/>
  <c r="Q256" i="2"/>
  <c r="Q264" i="2"/>
  <c r="Q272" i="2"/>
  <c r="Q280" i="2"/>
  <c r="Q288" i="2"/>
  <c r="Q296" i="2"/>
  <c r="Q304" i="2"/>
  <c r="Q312" i="2"/>
  <c r="Q320" i="2"/>
  <c r="Q328" i="2"/>
  <c r="Q336" i="2"/>
  <c r="Q344" i="2"/>
  <c r="Q352" i="2"/>
  <c r="Q360" i="2"/>
  <c r="Q368" i="2"/>
  <c r="Q376" i="2"/>
  <c r="Q384" i="2"/>
  <c r="Q392" i="2"/>
  <c r="Q400" i="2"/>
  <c r="Q9" i="2"/>
  <c r="Q17" i="2"/>
  <c r="Q25" i="2"/>
  <c r="Q33" i="2"/>
  <c r="Q41" i="2"/>
  <c r="Q49" i="2"/>
  <c r="Q57" i="2"/>
  <c r="Q65" i="2"/>
  <c r="Q73" i="2"/>
  <c r="Q81" i="2"/>
  <c r="Q89" i="2"/>
  <c r="Q97" i="2"/>
  <c r="Q105" i="2"/>
  <c r="Q113" i="2"/>
  <c r="Q121" i="2"/>
  <c r="Q129" i="2"/>
  <c r="Q137" i="2"/>
  <c r="Q145" i="2"/>
  <c r="Q153" i="2"/>
  <c r="Q161" i="2"/>
  <c r="Q169" i="2"/>
  <c r="Q177" i="2"/>
  <c r="Q185" i="2"/>
  <c r="Q193" i="2"/>
  <c r="Q201" i="2"/>
  <c r="Q209" i="2"/>
  <c r="Q217" i="2"/>
  <c r="Q225" i="2"/>
  <c r="Q233" i="2"/>
  <c r="Q241" i="2"/>
  <c r="Q249" i="2"/>
  <c r="Q257" i="2"/>
  <c r="Q265" i="2"/>
  <c r="Q273" i="2"/>
  <c r="Q281" i="2"/>
  <c r="Q289" i="2"/>
  <c r="Q297" i="2"/>
  <c r="Q305" i="2"/>
  <c r="Q313" i="2"/>
  <c r="Q321" i="2"/>
  <c r="Q329" i="2"/>
  <c r="Q337" i="2"/>
  <c r="Q345" i="2"/>
  <c r="Q353" i="2"/>
  <c r="Q361" i="2"/>
  <c r="Q369" i="2"/>
  <c r="Q377" i="2"/>
  <c r="Q385" i="2"/>
  <c r="Q393" i="2"/>
  <c r="Q401" i="2"/>
  <c r="Q409" i="2"/>
  <c r="Q417" i="2"/>
  <c r="Q425" i="2"/>
  <c r="Q433" i="2"/>
  <c r="Q441" i="2"/>
  <c r="Q10" i="2"/>
  <c r="Q18" i="2"/>
  <c r="Q26" i="2"/>
  <c r="Q34" i="2"/>
  <c r="Q42" i="2"/>
  <c r="Q50" i="2"/>
  <c r="Q58" i="2"/>
  <c r="Q66" i="2"/>
  <c r="Q74" i="2"/>
  <c r="Q82" i="2"/>
  <c r="Q90" i="2"/>
  <c r="Q98" i="2"/>
  <c r="Q106" i="2"/>
  <c r="Q114" i="2"/>
  <c r="Q122" i="2"/>
  <c r="Q130" i="2"/>
  <c r="Q138" i="2"/>
  <c r="Q146" i="2"/>
  <c r="Q154" i="2"/>
  <c r="Q162" i="2"/>
  <c r="Q170" i="2"/>
  <c r="Q178" i="2"/>
  <c r="Q186" i="2"/>
  <c r="Q194" i="2"/>
  <c r="Q202" i="2"/>
  <c r="Q210" i="2"/>
  <c r="Q218" i="2"/>
  <c r="Q226" i="2"/>
  <c r="Q234" i="2"/>
  <c r="Q242" i="2"/>
  <c r="Q250" i="2"/>
  <c r="Q258" i="2"/>
  <c r="Q266" i="2"/>
  <c r="Q274" i="2"/>
  <c r="Q282" i="2"/>
  <c r="Q290" i="2"/>
  <c r="Q298" i="2"/>
  <c r="Q306" i="2"/>
  <c r="Q314" i="2"/>
  <c r="Q322" i="2"/>
  <c r="Q330" i="2"/>
  <c r="Q338" i="2"/>
  <c r="Q346" i="2"/>
  <c r="Q354" i="2"/>
  <c r="Q362" i="2"/>
  <c r="Q370" i="2"/>
  <c r="Q378" i="2"/>
  <c r="Q386" i="2"/>
  <c r="Q394" i="2"/>
  <c r="Q402" i="2"/>
  <c r="Q410" i="2"/>
  <c r="Q418" i="2"/>
  <c r="Q426" i="2"/>
  <c r="Q434" i="2"/>
  <c r="Q442" i="2"/>
  <c r="Q450" i="2"/>
  <c r="Q458" i="2"/>
  <c r="Q466" i="2"/>
  <c r="Q474" i="2"/>
  <c r="Q482" i="2"/>
  <c r="Q490" i="2"/>
  <c r="Q498" i="2"/>
  <c r="Q506" i="2"/>
  <c r="Q11" i="2"/>
  <c r="Q19" i="2"/>
  <c r="Q27" i="2"/>
  <c r="Q35" i="2"/>
  <c r="Q43" i="2"/>
  <c r="Q51" i="2"/>
  <c r="Q59" i="2"/>
  <c r="Q67" i="2"/>
  <c r="Q75" i="2"/>
  <c r="Q83" i="2"/>
  <c r="Q91" i="2"/>
  <c r="Q99" i="2"/>
  <c r="Q107" i="2"/>
  <c r="Q115" i="2"/>
  <c r="Q123" i="2"/>
  <c r="Q131" i="2"/>
  <c r="Q139" i="2"/>
  <c r="Q147" i="2"/>
  <c r="Q155" i="2"/>
  <c r="Q163" i="2"/>
  <c r="Q171" i="2"/>
  <c r="Q179" i="2"/>
  <c r="Q187" i="2"/>
  <c r="Q195" i="2"/>
  <c r="Q203" i="2"/>
  <c r="Q211" i="2"/>
  <c r="Q219" i="2"/>
  <c r="Q227" i="2"/>
  <c r="Q235" i="2"/>
  <c r="Q243" i="2"/>
  <c r="Q251" i="2"/>
  <c r="Q259" i="2"/>
  <c r="Q267" i="2"/>
  <c r="Q275" i="2"/>
  <c r="Q283" i="2"/>
  <c r="Q291" i="2"/>
  <c r="Q299" i="2"/>
  <c r="Q307" i="2"/>
  <c r="Q315" i="2"/>
  <c r="Q323" i="2"/>
  <c r="Q331" i="2"/>
  <c r="Q339" i="2"/>
  <c r="Q347" i="2"/>
  <c r="Q355" i="2"/>
  <c r="Q363" i="2"/>
  <c r="Q371" i="2"/>
  <c r="Q379" i="2"/>
  <c r="Q387" i="2"/>
  <c r="Q395" i="2"/>
  <c r="Q403" i="2"/>
  <c r="Q411" i="2"/>
  <c r="Q419" i="2"/>
  <c r="Q427" i="2"/>
  <c r="Q435" i="2"/>
  <c r="Q443" i="2"/>
  <c r="Q451" i="2"/>
  <c r="Q459" i="2"/>
  <c r="Q467" i="2"/>
  <c r="Q475" i="2"/>
  <c r="Q483" i="2"/>
  <c r="Q491" i="2"/>
  <c r="Q499" i="2"/>
  <c r="Q507" i="2"/>
  <c r="Q12" i="2"/>
  <c r="Q20" i="2"/>
  <c r="Q28" i="2"/>
  <c r="Q36" i="2"/>
  <c r="Q44" i="2"/>
  <c r="Q52" i="2"/>
  <c r="Q60" i="2"/>
  <c r="Q68" i="2"/>
  <c r="Q76" i="2"/>
  <c r="Q84" i="2"/>
  <c r="Q92" i="2"/>
  <c r="Q100" i="2"/>
  <c r="Q108" i="2"/>
  <c r="Q116" i="2"/>
  <c r="Q124" i="2"/>
  <c r="Q132" i="2"/>
  <c r="Q140" i="2"/>
  <c r="Q148" i="2"/>
  <c r="Q156" i="2"/>
  <c r="Q164" i="2"/>
  <c r="Q172" i="2"/>
  <c r="Q180" i="2"/>
  <c r="Q188" i="2"/>
  <c r="Q196" i="2"/>
  <c r="Q204" i="2"/>
  <c r="Q212" i="2"/>
  <c r="Q220" i="2"/>
  <c r="Q228" i="2"/>
  <c r="Q236" i="2"/>
  <c r="Q244" i="2"/>
  <c r="Q252" i="2"/>
  <c r="Q260" i="2"/>
  <c r="Q268" i="2"/>
  <c r="Q276" i="2"/>
  <c r="Q284" i="2"/>
  <c r="Q292" i="2"/>
  <c r="Q300" i="2"/>
  <c r="Q308" i="2"/>
  <c r="Q316" i="2"/>
  <c r="Q324" i="2"/>
  <c r="Q332" i="2"/>
  <c r="Q340" i="2"/>
  <c r="Q348" i="2"/>
  <c r="Q356" i="2"/>
  <c r="Q364" i="2"/>
  <c r="Q372" i="2"/>
  <c r="Q380" i="2"/>
  <c r="Q388" i="2"/>
  <c r="Q396" i="2"/>
  <c r="Q404" i="2"/>
  <c r="Q412" i="2"/>
  <c r="Q420" i="2"/>
  <c r="Q428" i="2"/>
  <c r="Q436" i="2"/>
  <c r="Q444" i="2"/>
  <c r="Q452" i="2"/>
  <c r="Q460" i="2"/>
  <c r="Q468" i="2"/>
  <c r="Q476" i="2"/>
  <c r="Q484" i="2"/>
  <c r="Q492" i="2"/>
  <c r="Q500" i="2"/>
  <c r="Q508" i="2"/>
  <c r="Q13" i="2"/>
  <c r="Q45" i="2"/>
  <c r="Q63" i="2"/>
  <c r="Q86" i="2"/>
  <c r="Q109" i="2"/>
  <c r="Q127" i="2"/>
  <c r="Q150" i="2"/>
  <c r="Q173" i="2"/>
  <c r="Q191" i="2"/>
  <c r="Q214" i="2"/>
  <c r="Q237" i="2"/>
  <c r="Q255" i="2"/>
  <c r="Q278" i="2"/>
  <c r="Q301" i="2"/>
  <c r="Q319" i="2"/>
  <c r="Q342" i="2"/>
  <c r="Q365" i="2"/>
  <c r="Q383" i="2"/>
  <c r="Q406" i="2"/>
  <c r="Q422" i="2"/>
  <c r="Q438" i="2"/>
  <c r="Q453" i="2"/>
  <c r="Q464" i="2"/>
  <c r="Q478" i="2"/>
  <c r="Q489" i="2"/>
  <c r="Q503" i="2"/>
  <c r="Q38" i="2"/>
  <c r="Q421" i="2"/>
  <c r="Q488" i="2"/>
  <c r="Q14" i="2"/>
  <c r="Q46" i="2"/>
  <c r="Q69" i="2"/>
  <c r="Q87" i="2"/>
  <c r="Q110" i="2"/>
  <c r="Q133" i="2"/>
  <c r="Q151" i="2"/>
  <c r="Q174" i="2"/>
  <c r="Q197" i="2"/>
  <c r="Q215" i="2"/>
  <c r="Q238" i="2"/>
  <c r="Q261" i="2"/>
  <c r="Q279" i="2"/>
  <c r="Q302" i="2"/>
  <c r="Q325" i="2"/>
  <c r="Q343" i="2"/>
  <c r="Q366" i="2"/>
  <c r="Q389" i="2"/>
  <c r="Q407" i="2"/>
  <c r="Q423" i="2"/>
  <c r="Q439" i="2"/>
  <c r="Q454" i="2"/>
  <c r="Q465" i="2"/>
  <c r="Q479" i="2"/>
  <c r="Q493" i="2"/>
  <c r="Q504" i="2"/>
  <c r="Q126" i="2"/>
  <c r="Q213" i="2"/>
  <c r="Q231" i="2"/>
  <c r="Q295" i="2"/>
  <c r="Q405" i="2"/>
  <c r="Q477" i="2"/>
  <c r="Q21" i="2"/>
  <c r="Q47" i="2"/>
  <c r="Q70" i="2"/>
  <c r="Q93" i="2"/>
  <c r="Q111" i="2"/>
  <c r="Q134" i="2"/>
  <c r="Q157" i="2"/>
  <c r="Q175" i="2"/>
  <c r="Q198" i="2"/>
  <c r="Q221" i="2"/>
  <c r="Q239" i="2"/>
  <c r="Q262" i="2"/>
  <c r="Q285" i="2"/>
  <c r="Q303" i="2"/>
  <c r="Q326" i="2"/>
  <c r="Q349" i="2"/>
  <c r="Q367" i="2"/>
  <c r="Q390" i="2"/>
  <c r="Q408" i="2"/>
  <c r="Q424" i="2"/>
  <c r="Q440" i="2"/>
  <c r="Q455" i="2"/>
  <c r="Q469" i="2"/>
  <c r="Q480" i="2"/>
  <c r="Q494" i="2"/>
  <c r="Q505" i="2"/>
  <c r="Q103" i="2"/>
  <c r="Q277" i="2"/>
  <c r="Q22" i="2"/>
  <c r="Q53" i="2"/>
  <c r="Q71" i="2"/>
  <c r="Q94" i="2"/>
  <c r="Q117" i="2"/>
  <c r="Q135" i="2"/>
  <c r="Q158" i="2"/>
  <c r="Q181" i="2"/>
  <c r="Q199" i="2"/>
  <c r="Q222" i="2"/>
  <c r="Q245" i="2"/>
  <c r="Q263" i="2"/>
  <c r="Q286" i="2"/>
  <c r="Q309" i="2"/>
  <c r="Q327" i="2"/>
  <c r="Q350" i="2"/>
  <c r="Q373" i="2"/>
  <c r="Q391" i="2"/>
  <c r="Q413" i="2"/>
  <c r="Q429" i="2"/>
  <c r="Q445" i="2"/>
  <c r="Q456" i="2"/>
  <c r="Q470" i="2"/>
  <c r="Q481" i="2"/>
  <c r="Q495" i="2"/>
  <c r="Q167" i="2"/>
  <c r="Q449" i="2"/>
  <c r="Q29" i="2"/>
  <c r="Q54" i="2"/>
  <c r="Q77" i="2"/>
  <c r="Q95" i="2"/>
  <c r="Q118" i="2"/>
  <c r="Q141" i="2"/>
  <c r="Q159" i="2"/>
  <c r="Q182" i="2"/>
  <c r="Q205" i="2"/>
  <c r="Q223" i="2"/>
  <c r="Q246" i="2"/>
  <c r="Q269" i="2"/>
  <c r="Q287" i="2"/>
  <c r="Q310" i="2"/>
  <c r="Q333" i="2"/>
  <c r="Q351" i="2"/>
  <c r="Q374" i="2"/>
  <c r="Q397" i="2"/>
  <c r="Q414" i="2"/>
  <c r="Q430" i="2"/>
  <c r="Q446" i="2"/>
  <c r="Q457" i="2"/>
  <c r="Q471" i="2"/>
  <c r="Q485" i="2"/>
  <c r="Q496" i="2"/>
  <c r="Q85" i="2"/>
  <c r="Q254" i="2"/>
  <c r="Q318" i="2"/>
  <c r="Q382" i="2"/>
  <c r="Q502" i="2"/>
  <c r="Q30" i="2"/>
  <c r="Q55" i="2"/>
  <c r="Q78" i="2"/>
  <c r="Q101" i="2"/>
  <c r="Q119" i="2"/>
  <c r="Q142" i="2"/>
  <c r="Q165" i="2"/>
  <c r="Q183" i="2"/>
  <c r="Q206" i="2"/>
  <c r="Q229" i="2"/>
  <c r="Q247" i="2"/>
  <c r="Q270" i="2"/>
  <c r="Q293" i="2"/>
  <c r="Q311" i="2"/>
  <c r="Q334" i="2"/>
  <c r="Q357" i="2"/>
  <c r="Q375" i="2"/>
  <c r="Q398" i="2"/>
  <c r="Q415" i="2"/>
  <c r="Q431" i="2"/>
  <c r="Q447" i="2"/>
  <c r="Q461" i="2"/>
  <c r="Q472" i="2"/>
  <c r="Q486" i="2"/>
  <c r="Q497" i="2"/>
  <c r="Q62" i="2"/>
  <c r="Q359" i="2"/>
  <c r="Q437" i="2"/>
  <c r="Q37" i="2"/>
  <c r="Q61" i="2"/>
  <c r="Q79" i="2"/>
  <c r="Q102" i="2"/>
  <c r="Q125" i="2"/>
  <c r="Q143" i="2"/>
  <c r="Q166" i="2"/>
  <c r="Q189" i="2"/>
  <c r="Q207" i="2"/>
  <c r="Q230" i="2"/>
  <c r="Q253" i="2"/>
  <c r="Q271" i="2"/>
  <c r="Q294" i="2"/>
  <c r="Q317" i="2"/>
  <c r="Q335" i="2"/>
  <c r="Q358" i="2"/>
  <c r="Q381" i="2"/>
  <c r="Q399" i="2"/>
  <c r="Q416" i="2"/>
  <c r="Q432" i="2"/>
  <c r="Q448" i="2"/>
  <c r="Q462" i="2"/>
  <c r="Q473" i="2"/>
  <c r="Q487" i="2"/>
  <c r="Q501" i="2"/>
  <c r="Q149" i="2"/>
  <c r="Q190" i="2"/>
  <c r="Q341" i="2"/>
  <c r="Q463" i="2"/>
  <c r="L496" i="2" a="1"/>
  <c r="L497" i="2" a="1"/>
  <c r="L500" i="2" a="1"/>
  <c r="L502" i="2" a="1"/>
  <c r="L505" i="2" a="1"/>
  <c r="L508" i="2" a="1"/>
  <c r="M496" i="2"/>
  <c r="M497" i="2"/>
  <c r="M498" i="2"/>
  <c r="M499" i="2"/>
  <c r="M500" i="2"/>
  <c r="M501" i="2"/>
  <c r="M502" i="2"/>
  <c r="M503" i="2"/>
  <c r="M504" i="2"/>
  <c r="M505" i="2"/>
  <c r="M506" i="2"/>
  <c r="M507" i="2"/>
  <c r="M508" i="2"/>
  <c r="N497" i="2"/>
  <c r="N498" i="2"/>
  <c r="N499" i="2"/>
  <c r="N501" i="2"/>
  <c r="N503" i="2"/>
  <c r="N505" i="2"/>
  <c r="N506" i="2"/>
  <c r="N507" i="2"/>
  <c r="N496" i="2"/>
  <c r="N500" i="2"/>
  <c r="N502" i="2"/>
  <c r="N504" i="2"/>
  <c r="N508" i="2"/>
  <c r="L499" i="2" a="1"/>
  <c r="L503" i="2" a="1"/>
  <c r="L506" i="2" a="1"/>
  <c r="L498" i="2" a="1"/>
  <c r="L501" i="2" a="1"/>
  <c r="L504" i="2" a="1"/>
  <c r="L507" i="2" a="1"/>
  <c r="B496" i="2" a="1"/>
  <c r="G498" i="2"/>
  <c r="D501" i="2"/>
  <c r="C502" i="2"/>
  <c r="B504" i="2" a="1"/>
  <c r="G506" i="2"/>
  <c r="C505" i="2"/>
  <c r="C506" i="2"/>
  <c r="B497" i="2" a="1"/>
  <c r="G499" i="2"/>
  <c r="D502" i="2"/>
  <c r="C503" i="2"/>
  <c r="B505" i="2" a="1"/>
  <c r="G507" i="2"/>
  <c r="G508" i="2"/>
  <c r="B507" i="2" a="1"/>
  <c r="D505" i="2"/>
  <c r="C496" i="2"/>
  <c r="B498" i="2" a="1"/>
  <c r="G500" i="2"/>
  <c r="D503" i="2"/>
  <c r="C504" i="2"/>
  <c r="B506" i="2" a="1"/>
  <c r="D504" i="2"/>
  <c r="D496" i="2"/>
  <c r="C497" i="2"/>
  <c r="B499" i="2" a="1"/>
  <c r="G501" i="2"/>
  <c r="B508" i="2" a="1"/>
  <c r="D497" i="2"/>
  <c r="C498" i="2"/>
  <c r="B500" i="2" a="1"/>
  <c r="G502" i="2"/>
  <c r="D498" i="2"/>
  <c r="C499" i="2"/>
  <c r="B501" i="2" a="1"/>
  <c r="G503" i="2"/>
  <c r="D506" i="2"/>
  <c r="C507" i="2"/>
  <c r="C501" i="2"/>
  <c r="G496" i="2"/>
  <c r="D499" i="2"/>
  <c r="C500" i="2"/>
  <c r="B502" i="2" a="1"/>
  <c r="G504" i="2"/>
  <c r="D507" i="2"/>
  <c r="C508" i="2"/>
  <c r="G497" i="2"/>
  <c r="D500" i="2"/>
  <c r="B503" i="2" a="1"/>
  <c r="G505" i="2"/>
  <c r="D508" i="2"/>
  <c r="B6" i="2" a="1"/>
  <c r="R170" i="4" l="1"/>
  <c r="R70" i="4"/>
  <c r="R185" i="4"/>
  <c r="R98" i="4"/>
  <c r="R58" i="4"/>
  <c r="R34" i="4"/>
  <c r="R40" i="4"/>
  <c r="R450" i="4"/>
  <c r="R368" i="4"/>
  <c r="R352" i="4"/>
  <c r="R341" i="4"/>
  <c r="R325" i="4"/>
  <c r="R309" i="4"/>
  <c r="R293" i="4"/>
  <c r="R456" i="4"/>
  <c r="R371" i="4"/>
  <c r="R355" i="4"/>
  <c r="R496" i="4"/>
  <c r="R399" i="4"/>
  <c r="R338" i="4"/>
  <c r="R306" i="4"/>
  <c r="R260" i="4"/>
  <c r="R244" i="4"/>
  <c r="R228" i="4"/>
  <c r="R370" i="4"/>
  <c r="R310" i="4"/>
  <c r="R285" i="4"/>
  <c r="R292" i="4"/>
  <c r="R217" i="4"/>
  <c r="R186" i="4"/>
  <c r="R198" i="4"/>
  <c r="R226" i="4"/>
  <c r="R494" i="4"/>
  <c r="R478" i="4"/>
  <c r="R462" i="4"/>
  <c r="R358" i="4"/>
  <c r="R312" i="4"/>
  <c r="R332" i="4"/>
  <c r="R119" i="4"/>
  <c r="R103" i="4"/>
  <c r="R87" i="4"/>
  <c r="R178" i="4"/>
  <c r="R38" i="4"/>
  <c r="R506" i="4"/>
  <c r="R483" i="4"/>
  <c r="R365" i="4"/>
  <c r="R349" i="4"/>
  <c r="R372" i="4"/>
  <c r="R356" i="4"/>
  <c r="R430" i="4"/>
  <c r="R436" i="4"/>
  <c r="R329" i="4"/>
  <c r="R412" i="4"/>
  <c r="R476" i="4"/>
  <c r="R270" i="4"/>
  <c r="R52" i="4"/>
  <c r="R20" i="4"/>
  <c r="R468" i="4"/>
  <c r="R416" i="4"/>
  <c r="R420" i="4"/>
  <c r="R410" i="4"/>
  <c r="R386" i="4"/>
  <c r="R366" i="4"/>
  <c r="R320" i="4"/>
  <c r="R460" i="4"/>
  <c r="R294" i="4"/>
  <c r="R340" i="4"/>
  <c r="R308" i="4"/>
  <c r="R238" i="4"/>
  <c r="R161" i="4"/>
  <c r="R33" i="4"/>
  <c r="R393" i="4"/>
  <c r="R171" i="4"/>
  <c r="R155" i="4"/>
  <c r="R139" i="4"/>
  <c r="R123" i="4"/>
  <c r="R107" i="4"/>
  <c r="R91" i="4"/>
  <c r="R59" i="4"/>
  <c r="R43" i="4"/>
  <c r="R82" i="4"/>
  <c r="R191" i="4"/>
  <c r="R30" i="4"/>
  <c r="R378" i="4"/>
  <c r="R26" i="4"/>
  <c r="R446" i="4"/>
  <c r="R364" i="4"/>
  <c r="R348" i="4"/>
  <c r="R353" i="4"/>
  <c r="R337" i="4"/>
  <c r="R504" i="4"/>
  <c r="R440" i="4"/>
  <c r="R404" i="4"/>
  <c r="R367" i="4"/>
  <c r="R351" i="4"/>
  <c r="R480" i="4"/>
  <c r="R426" i="4"/>
  <c r="R330" i="4"/>
  <c r="R406" i="4"/>
  <c r="R342" i="4"/>
  <c r="R282" i="4"/>
  <c r="R241" i="4"/>
  <c r="R492" i="4"/>
  <c r="R218" i="4"/>
  <c r="R10" i="4"/>
  <c r="R182" i="4"/>
  <c r="R76" i="4"/>
  <c r="R44" i="4"/>
  <c r="R138" i="4"/>
  <c r="R62" i="4"/>
  <c r="R166" i="4"/>
  <c r="R184" i="4"/>
  <c r="R269" i="4"/>
  <c r="R16" i="4"/>
  <c r="R14" i="4"/>
  <c r="R215" i="4"/>
  <c r="R93" i="4"/>
  <c r="R424" i="4"/>
  <c r="R326" i="4"/>
  <c r="R174" i="4"/>
  <c r="R242" i="4"/>
  <c r="R397" i="4"/>
  <c r="R392" i="4"/>
  <c r="R258" i="4"/>
  <c r="R12" i="4"/>
  <c r="R150" i="4"/>
  <c r="R32" i="4"/>
  <c r="R490" i="4"/>
  <c r="R474" i="4"/>
  <c r="R458" i="4"/>
  <c r="R442" i="4"/>
  <c r="R499" i="4"/>
  <c r="R467" i="4"/>
  <c r="R451" i="4"/>
  <c r="R398" i="4"/>
  <c r="R376" i="4"/>
  <c r="R360" i="4"/>
  <c r="R344" i="4"/>
  <c r="R333" i="4"/>
  <c r="R317" i="4"/>
  <c r="R488" i="4"/>
  <c r="R431" i="4"/>
  <c r="R379" i="4"/>
  <c r="R363" i="4"/>
  <c r="R347" i="4"/>
  <c r="R299" i="4"/>
  <c r="R298" i="4"/>
  <c r="R322" i="4"/>
  <c r="R268" i="4"/>
  <c r="R252" i="4"/>
  <c r="R236" i="4"/>
  <c r="R334" i="4"/>
  <c r="R200" i="4"/>
  <c r="R68" i="4"/>
  <c r="R36" i="4"/>
  <c r="R22" i="4"/>
  <c r="R222" i="4"/>
  <c r="R106" i="4"/>
  <c r="R54" i="4"/>
  <c r="R134" i="4"/>
  <c r="R162" i="4"/>
  <c r="R286" i="4"/>
  <c r="R154" i="4"/>
  <c r="R94" i="4"/>
  <c r="R187" i="4"/>
  <c r="R18" i="4"/>
  <c r="R428" i="4"/>
  <c r="R500" i="4"/>
  <c r="R448" i="4"/>
  <c r="R336" i="4"/>
  <c r="R304" i="4"/>
  <c r="R324" i="4"/>
  <c r="R254" i="4"/>
  <c r="R137" i="4"/>
  <c r="R89" i="4"/>
  <c r="R207" i="4"/>
  <c r="R419" i="4"/>
  <c r="R290" i="4"/>
  <c r="R211" i="4"/>
  <c r="R179" i="4"/>
  <c r="R163" i="4"/>
  <c r="R147" i="4"/>
  <c r="R131" i="4"/>
  <c r="R115" i="4"/>
  <c r="R99" i="4"/>
  <c r="R83" i="4"/>
  <c r="R266" i="4"/>
  <c r="R146" i="4"/>
  <c r="R142" i="4"/>
  <c r="R346" i="4"/>
  <c r="R56" i="4"/>
  <c r="R86" i="4"/>
  <c r="R74" i="4"/>
  <c r="R4" i="4"/>
  <c r="R502" i="4"/>
  <c r="R486" i="4"/>
  <c r="R470" i="4"/>
  <c r="R454" i="4"/>
  <c r="R438" i="4"/>
  <c r="R479" i="4"/>
  <c r="R377" i="4"/>
  <c r="R472" i="4"/>
  <c r="R423" i="4"/>
  <c r="R395" i="4"/>
  <c r="R375" i="4"/>
  <c r="R359" i="4"/>
  <c r="R343" i="4"/>
  <c r="R311" i="4"/>
  <c r="R390" i="4"/>
  <c r="R464" i="4"/>
  <c r="R296" i="4"/>
  <c r="R354" i="4"/>
  <c r="R314" i="4"/>
  <c r="R248" i="4"/>
  <c r="R374" i="4"/>
  <c r="R432" i="4"/>
  <c r="R194" i="4"/>
  <c r="R302" i="4"/>
  <c r="R383" i="4"/>
  <c r="R192" i="4"/>
  <c r="R350" i="4"/>
  <c r="R220" i="4"/>
  <c r="R208" i="4"/>
  <c r="R60" i="4"/>
  <c r="R28" i="4"/>
  <c r="R188" i="4"/>
  <c r="R190" i="4"/>
  <c r="R78" i="4"/>
  <c r="R46" i="4"/>
  <c r="R102" i="4"/>
  <c r="R250" i="4"/>
  <c r="R130" i="4"/>
  <c r="R90" i="4"/>
  <c r="R118" i="4"/>
  <c r="R64" i="4"/>
  <c r="R42" i="4"/>
  <c r="R122" i="4"/>
  <c r="R493" i="4"/>
  <c r="R477" i="4"/>
  <c r="R461" i="4"/>
  <c r="R445" i="4"/>
  <c r="R413" i="4"/>
  <c r="R484" i="4"/>
  <c r="R396" i="4"/>
  <c r="R401" i="4"/>
  <c r="R381" i="4"/>
  <c r="R415" i="4"/>
  <c r="R287" i="4"/>
  <c r="R271" i="4"/>
  <c r="R255" i="4"/>
  <c r="R239" i="4"/>
  <c r="R328" i="4"/>
  <c r="R291" i="4"/>
  <c r="R316" i="4"/>
  <c r="R408" i="4"/>
  <c r="R164" i="4"/>
  <c r="R148" i="4"/>
  <c r="R132" i="4"/>
  <c r="R116" i="4"/>
  <c r="R100" i="4"/>
  <c r="R84" i="4"/>
  <c r="R21" i="4"/>
  <c r="R444" i="4"/>
  <c r="R159" i="4"/>
  <c r="R143" i="4"/>
  <c r="R127" i="4"/>
  <c r="R111" i="4"/>
  <c r="R95" i="4"/>
  <c r="R15" i="4"/>
  <c r="R234" i="4"/>
  <c r="R114" i="4"/>
  <c r="R318" i="4"/>
  <c r="R110" i="4"/>
  <c r="R126" i="4"/>
  <c r="R181" i="4"/>
  <c r="R158" i="4"/>
  <c r="R66" i="4"/>
  <c r="R72" i="4"/>
  <c r="R50" i="4"/>
  <c r="R48" i="4"/>
  <c r="R24" i="4"/>
  <c r="L16" i="4"/>
  <c r="L32" i="4"/>
  <c r="L48" i="4"/>
  <c r="L64" i="4"/>
  <c r="L11" i="4"/>
  <c r="L27" i="4"/>
  <c r="L43" i="4"/>
  <c r="L59" i="4"/>
  <c r="L120" i="4"/>
  <c r="L95" i="4"/>
  <c r="L143" i="4"/>
  <c r="L159" i="4"/>
  <c r="L87" i="4"/>
  <c r="L111" i="4"/>
  <c r="L194" i="4"/>
  <c r="L190" i="4"/>
  <c r="L162" i="4"/>
  <c r="L213" i="4"/>
  <c r="L267" i="4"/>
  <c r="L279" i="4"/>
  <c r="L300" i="4"/>
  <c r="L276" i="4"/>
  <c r="L319" i="4"/>
  <c r="L285" i="4"/>
  <c r="L382" i="4"/>
  <c r="L362" i="4"/>
  <c r="L204" i="4"/>
  <c r="L350" i="4"/>
  <c r="L373" i="4"/>
  <c r="L326" i="4"/>
  <c r="L352" i="4"/>
  <c r="L503" i="4"/>
  <c r="L372" i="4"/>
  <c r="L333" i="4"/>
  <c r="L83" i="4"/>
  <c r="L97" i="4"/>
  <c r="L131" i="4"/>
  <c r="L114" i="4"/>
  <c r="L134" i="4"/>
  <c r="L150" i="4"/>
  <c r="L141" i="4"/>
  <c r="L157" i="4"/>
  <c r="L169" i="4"/>
  <c r="L175" i="4"/>
  <c r="L203" i="4"/>
  <c r="L167" i="4"/>
  <c r="L171" i="4"/>
  <c r="L214" i="4"/>
  <c r="L259" i="4"/>
  <c r="L202" i="4"/>
  <c r="L287" i="4"/>
  <c r="L449" i="4"/>
  <c r="L332" i="4"/>
  <c r="L395" i="4"/>
  <c r="L411" i="4"/>
  <c r="L427" i="4"/>
  <c r="L354" i="4"/>
  <c r="L394" i="4"/>
  <c r="L410" i="4"/>
  <c r="L426" i="4"/>
  <c r="L442" i="4"/>
  <c r="L342" i="4"/>
  <c r="L469" i="4"/>
  <c r="L447" i="4"/>
  <c r="L494" i="4"/>
  <c r="L20" i="4"/>
  <c r="L36" i="4"/>
  <c r="L52" i="4"/>
  <c r="L68" i="4"/>
  <c r="L84" i="4"/>
  <c r="L15" i="4"/>
  <c r="L31" i="4"/>
  <c r="L47" i="4"/>
  <c r="L63" i="4"/>
  <c r="L148" i="4"/>
  <c r="L164" i="4"/>
  <c r="L180" i="4"/>
  <c r="L147" i="4"/>
  <c r="L163" i="4"/>
  <c r="L93" i="4"/>
  <c r="L81" i="4"/>
  <c r="L124" i="4"/>
  <c r="L170" i="4"/>
  <c r="L199" i="4"/>
  <c r="L92" i="4"/>
  <c r="L218" i="4"/>
  <c r="L284" i="4"/>
  <c r="L286" i="4"/>
  <c r="L306" i="4"/>
  <c r="L290" i="4"/>
  <c r="L210" i="4"/>
  <c r="L292" i="4"/>
  <c r="L323" i="4"/>
  <c r="L355" i="4"/>
  <c r="L371" i="4"/>
  <c r="L215" i="4"/>
  <c r="L317" i="4"/>
  <c r="L346" i="4"/>
  <c r="L369" i="4"/>
  <c r="L334" i="4"/>
  <c r="L357" i="4"/>
  <c r="L378" i="4"/>
  <c r="L296" i="4"/>
  <c r="L336" i="4"/>
  <c r="L377" i="4"/>
  <c r="L479" i="4"/>
  <c r="L460" i="4"/>
  <c r="L471" i="4"/>
  <c r="L356" i="4"/>
  <c r="L499" i="4"/>
  <c r="L440" i="4"/>
  <c r="L61" i="4"/>
  <c r="L138" i="4"/>
  <c r="L154" i="4"/>
  <c r="L177" i="4"/>
  <c r="L183" i="4"/>
  <c r="L211" i="4"/>
  <c r="L109" i="4"/>
  <c r="L94" i="4"/>
  <c r="L234" i="4"/>
  <c r="L272" i="4"/>
  <c r="L264" i="4"/>
  <c r="L294" i="4"/>
  <c r="L330" i="4"/>
  <c r="L338" i="4"/>
  <c r="L361" i="4"/>
  <c r="L398" i="4"/>
  <c r="L414" i="4"/>
  <c r="L430" i="4"/>
  <c r="L365" i="4"/>
  <c r="L473" i="4"/>
  <c r="L374" i="4"/>
  <c r="L476" i="4"/>
  <c r="L448" i="4"/>
  <c r="L151" i="4"/>
  <c r="L71" i="4"/>
  <c r="L102" i="4"/>
  <c r="L130" i="4"/>
  <c r="L233" i="4"/>
  <c r="L224" i="4"/>
  <c r="L208" i="4"/>
  <c r="L311" i="4"/>
  <c r="L327" i="4"/>
  <c r="L223" i="4"/>
  <c r="L314" i="4"/>
  <c r="L325" i="4"/>
  <c r="L340" i="4"/>
  <c r="L444" i="4"/>
  <c r="L482" i="4"/>
  <c r="L75" i="4"/>
  <c r="L98" i="4"/>
  <c r="L185" i="4"/>
  <c r="L293" i="4"/>
  <c r="L434" i="4"/>
  <c r="L456" i="4"/>
  <c r="L486" i="4"/>
  <c r="L485" i="4"/>
  <c r="L12" i="4"/>
  <c r="L28" i="4"/>
  <c r="L44" i="4"/>
  <c r="L60" i="4"/>
  <c r="L76" i="4"/>
  <c r="L7" i="4"/>
  <c r="L23" i="4"/>
  <c r="L39" i="4"/>
  <c r="L55" i="4"/>
  <c r="L113" i="4"/>
  <c r="L101" i="4"/>
  <c r="L117" i="4"/>
  <c r="L139" i="4"/>
  <c r="L155" i="4"/>
  <c r="L110" i="4"/>
  <c r="L79" i="4"/>
  <c r="L116" i="4"/>
  <c r="L225" i="4"/>
  <c r="L107" i="4"/>
  <c r="L186" i="4"/>
  <c r="L295" i="4"/>
  <c r="L268" i="4"/>
  <c r="L315" i="4"/>
  <c r="L331" i="4"/>
  <c r="L363" i="4"/>
  <c r="L379" i="4"/>
  <c r="L302" i="4"/>
  <c r="L322" i="4"/>
  <c r="L366" i="4"/>
  <c r="L318" i="4"/>
  <c r="L321" i="4"/>
  <c r="L368" i="4"/>
  <c r="L459" i="4"/>
  <c r="L462" i="4"/>
  <c r="L477" i="4"/>
  <c r="L504" i="4"/>
  <c r="L489" i="4"/>
  <c r="L488" i="4"/>
  <c r="L5" i="4"/>
  <c r="L21" i="4"/>
  <c r="L37" i="4"/>
  <c r="L53" i="4"/>
  <c r="L69" i="4"/>
  <c r="L112" i="4"/>
  <c r="L104" i="4"/>
  <c r="L146" i="4"/>
  <c r="L82" i="4"/>
  <c r="L166" i="4"/>
  <c r="L121" i="4"/>
  <c r="L181" i="4"/>
  <c r="L240" i="4"/>
  <c r="L256" i="4"/>
  <c r="L277" i="4"/>
  <c r="L288" i="4"/>
  <c r="L179" i="4"/>
  <c r="L251" i="4"/>
  <c r="L281" i="4"/>
  <c r="L270" i="4"/>
  <c r="L187" i="4"/>
  <c r="L392" i="4"/>
  <c r="L408" i="4"/>
  <c r="L424" i="4"/>
  <c r="L262" i="4"/>
  <c r="L348" i="4"/>
  <c r="L439" i="4"/>
  <c r="L370" i="4"/>
  <c r="L390" i="4"/>
  <c r="L406" i="4"/>
  <c r="L422" i="4"/>
  <c r="L438" i="4"/>
  <c r="L454" i="4"/>
  <c r="L464" i="4"/>
  <c r="L481" i="4"/>
  <c r="L492" i="4"/>
  <c r="L358" i="4"/>
  <c r="L478" i="4"/>
  <c r="L506" i="4"/>
  <c r="F378" i="4"/>
  <c r="F441" i="4"/>
  <c r="F269" i="4"/>
  <c r="F260" i="4"/>
  <c r="F252" i="4"/>
  <c r="F244" i="4"/>
  <c r="F60" i="4"/>
  <c r="F44" i="4"/>
  <c r="F429" i="4"/>
  <c r="F409" i="4"/>
  <c r="F401" i="4"/>
  <c r="F370" i="4"/>
  <c r="F322" i="4"/>
  <c r="F314" i="4"/>
  <c r="F312" i="4"/>
  <c r="F285" i="4"/>
  <c r="F306" i="4"/>
  <c r="F170" i="4"/>
  <c r="F381" i="4"/>
  <c r="F438" i="4"/>
  <c r="F363" i="4"/>
  <c r="F308" i="4"/>
  <c r="F367" i="4"/>
  <c r="F247" i="4"/>
  <c r="F239" i="4"/>
  <c r="F224" i="4"/>
  <c r="F216" i="4"/>
  <c r="F143" i="4"/>
  <c r="F51" i="4"/>
  <c r="F473" i="4"/>
  <c r="F446" i="4"/>
  <c r="F495" i="4"/>
  <c r="F425" i="4"/>
  <c r="F483" i="4"/>
  <c r="F424" i="4"/>
  <c r="F422" i="4"/>
  <c r="F427" i="4"/>
  <c r="F371" i="4"/>
  <c r="F321" i="4"/>
  <c r="F307" i="4"/>
  <c r="F279" i="4"/>
  <c r="F97" i="4"/>
  <c r="F163" i="4"/>
  <c r="F67" i="4"/>
  <c r="F203" i="4"/>
  <c r="F55" i="4"/>
  <c r="F90" i="4"/>
  <c r="F98" i="4"/>
  <c r="F127" i="4"/>
  <c r="F95" i="4"/>
  <c r="F157" i="4"/>
  <c r="F173" i="4"/>
  <c r="F88" i="4"/>
  <c r="F59" i="4"/>
  <c r="F43" i="4"/>
  <c r="F506" i="4"/>
  <c r="F498" i="4"/>
  <c r="F490" i="4"/>
  <c r="F482" i="4"/>
  <c r="F474" i="4"/>
  <c r="F466" i="4"/>
  <c r="F452" i="4"/>
  <c r="F458" i="4"/>
  <c r="F434" i="4"/>
  <c r="F410" i="4"/>
  <c r="F402" i="4"/>
  <c r="F394" i="4"/>
  <c r="F423" i="4"/>
  <c r="F479" i="4"/>
  <c r="F421" i="4"/>
  <c r="F411" i="4"/>
  <c r="F403" i="4"/>
  <c r="F395" i="4"/>
  <c r="F387" i="4"/>
  <c r="F487" i="4"/>
  <c r="F360" i="4"/>
  <c r="F357" i="4"/>
  <c r="F349" i="4"/>
  <c r="F341" i="4"/>
  <c r="F333" i="4"/>
  <c r="F325" i="4"/>
  <c r="F364" i="4"/>
  <c r="F319" i="4"/>
  <c r="F289" i="4"/>
  <c r="F261" i="4"/>
  <c r="F253" i="4"/>
  <c r="F245" i="4"/>
  <c r="F328" i="4"/>
  <c r="F268" i="4"/>
  <c r="F222" i="4"/>
  <c r="F214" i="4"/>
  <c r="F206" i="4"/>
  <c r="F165" i="4"/>
  <c r="F66" i="4"/>
  <c r="F50" i="4"/>
  <c r="F54" i="4"/>
  <c r="F72" i="4"/>
  <c r="F56" i="4"/>
  <c r="F207" i="4"/>
  <c r="F40" i="4"/>
  <c r="F32" i="4"/>
  <c r="F24" i="4"/>
  <c r="F16" i="4"/>
  <c r="F8" i="4"/>
  <c r="L4" i="4"/>
  <c r="F189" i="4"/>
  <c r="F35" i="4"/>
  <c r="F19" i="4"/>
  <c r="F33" i="4"/>
  <c r="F501" i="4"/>
  <c r="F485" i="4"/>
  <c r="F459" i="4"/>
  <c r="F432" i="4"/>
  <c r="F451" i="4"/>
  <c r="F463" i="4"/>
  <c r="F435" i="4"/>
  <c r="F413" i="4"/>
  <c r="F356" i="4"/>
  <c r="F348" i="4"/>
  <c r="F340" i="4"/>
  <c r="F332" i="4"/>
  <c r="F365" i="4"/>
  <c r="F316" i="4"/>
  <c r="F294" i="4"/>
  <c r="F236" i="4"/>
  <c r="F274" i="4"/>
  <c r="F225" i="4"/>
  <c r="F226" i="4"/>
  <c r="F278" i="4"/>
  <c r="F188" i="4"/>
  <c r="F172" i="4"/>
  <c r="F164" i="4"/>
  <c r="F201" i="4"/>
  <c r="F205" i="4"/>
  <c r="F191" i="4"/>
  <c r="F146" i="4"/>
  <c r="F130" i="4"/>
  <c r="F122" i="4"/>
  <c r="F68" i="4"/>
  <c r="F52" i="4"/>
  <c r="F81" i="4"/>
  <c r="F64" i="4"/>
  <c r="F48" i="4"/>
  <c r="F31" i="4"/>
  <c r="F355" i="4"/>
  <c r="F347" i="4"/>
  <c r="F339" i="4"/>
  <c r="F331" i="4"/>
  <c r="F323" i="4"/>
  <c r="F220" i="4"/>
  <c r="F30" i="4"/>
  <c r="F22" i="4"/>
  <c r="F6" i="4"/>
  <c r="F92" i="4"/>
  <c r="F25" i="4"/>
  <c r="F39" i="4"/>
  <c r="F23" i="4"/>
  <c r="F17" i="4"/>
  <c r="F453" i="4"/>
  <c r="F467" i="4"/>
  <c r="F439" i="4"/>
  <c r="F447" i="4"/>
  <c r="F417" i="4"/>
  <c r="F369" i="4"/>
  <c r="F362" i="4"/>
  <c r="F315" i="4"/>
  <c r="F300" i="4"/>
  <c r="F292" i="4"/>
  <c r="F309" i="4"/>
  <c r="F266" i="4"/>
  <c r="F258" i="4"/>
  <c r="F250" i="4"/>
  <c r="F242" i="4"/>
  <c r="F234" i="4"/>
  <c r="F272" i="4"/>
  <c r="F280" i="4"/>
  <c r="F267" i="4"/>
  <c r="F237" i="4"/>
  <c r="F230" i="4"/>
  <c r="F209" i="4"/>
  <c r="F162" i="4"/>
  <c r="F183" i="4"/>
  <c r="F139" i="4"/>
  <c r="F145" i="4"/>
  <c r="F232" i="4"/>
  <c r="F148" i="4"/>
  <c r="F132" i="4"/>
  <c r="F175" i="4"/>
  <c r="F155" i="4"/>
  <c r="F109" i="4"/>
  <c r="F101" i="4"/>
  <c r="F93" i="4"/>
  <c r="F85" i="4"/>
  <c r="F137" i="4"/>
  <c r="F83" i="4"/>
  <c r="F65" i="4"/>
  <c r="F49" i="4"/>
  <c r="F61" i="4"/>
  <c r="F15" i="4"/>
  <c r="F29" i="4"/>
  <c r="F502" i="4"/>
  <c r="F494" i="4"/>
  <c r="F486" i="4"/>
  <c r="F478" i="4"/>
  <c r="F462" i="4"/>
  <c r="F448" i="4"/>
  <c r="F406" i="4"/>
  <c r="F398" i="4"/>
  <c r="F390" i="4"/>
  <c r="F374" i="4"/>
  <c r="F418" i="4"/>
  <c r="F407" i="4"/>
  <c r="F399" i="4"/>
  <c r="F391" i="4"/>
  <c r="F383" i="4"/>
  <c r="F375" i="4"/>
  <c r="F444" i="4"/>
  <c r="F420" i="4"/>
  <c r="F353" i="4"/>
  <c r="F345" i="4"/>
  <c r="F337" i="4"/>
  <c r="F329" i="4"/>
  <c r="F454" i="4"/>
  <c r="F372" i="4"/>
  <c r="F313" i="4"/>
  <c r="F287" i="4"/>
  <c r="F265" i="4"/>
  <c r="F249" i="4"/>
  <c r="F241" i="4"/>
  <c r="F218" i="4"/>
  <c r="F233" i="4"/>
  <c r="F194" i="4"/>
  <c r="F177" i="4"/>
  <c r="F138" i="4"/>
  <c r="F229" i="4"/>
  <c r="F84" i="4"/>
  <c r="F134" i="4"/>
  <c r="F36" i="4"/>
  <c r="F28" i="4"/>
  <c r="F20" i="4"/>
  <c r="F12" i="4"/>
  <c r="F4" i="4"/>
  <c r="F75" i="4"/>
  <c r="F70" i="4"/>
  <c r="F9" i="4"/>
  <c r="F7" i="4"/>
  <c r="F37" i="4"/>
  <c r="F475" i="4"/>
  <c r="F493" i="4"/>
  <c r="F477" i="4"/>
  <c r="F437" i="4"/>
  <c r="F491" i="4"/>
  <c r="F414" i="4"/>
  <c r="F352" i="4"/>
  <c r="F344" i="4"/>
  <c r="F336" i="4"/>
  <c r="F419" i="4"/>
  <c r="F366" i="4"/>
  <c r="F318" i="4"/>
  <c r="F192" i="4"/>
  <c r="F184" i="4"/>
  <c r="F197" i="4"/>
  <c r="F126" i="4"/>
  <c r="F118" i="4"/>
  <c r="F94" i="4"/>
  <c r="F123" i="4"/>
  <c r="F107" i="4"/>
  <c r="F77" i="4"/>
  <c r="F80" i="4"/>
  <c r="F5" i="4"/>
  <c r="F13" i="4"/>
  <c r="F27" i="4"/>
  <c r="F426" i="4"/>
  <c r="F503" i="4"/>
  <c r="F499" i="4"/>
  <c r="F440" i="4"/>
  <c r="F416" i="4"/>
  <c r="F324" i="4"/>
  <c r="F273" i="4"/>
  <c r="F82" i="4"/>
  <c r="F21" i="4"/>
  <c r="F11" i="4"/>
  <c r="F471" i="4"/>
  <c r="F320" i="4"/>
  <c r="F282" i="4"/>
  <c r="F129" i="4"/>
  <c r="F140" i="4"/>
  <c r="AC482" i="2"/>
  <c r="Y472" i="2"/>
  <c r="AC469" i="2"/>
  <c r="Y450" i="2"/>
  <c r="Z450" i="2" s="1"/>
  <c r="Y436" i="2"/>
  <c r="Y417" i="2"/>
  <c r="Y407" i="2"/>
  <c r="Y504" i="2"/>
  <c r="Z504" i="2" s="1"/>
  <c r="Y496" i="2"/>
  <c r="Z496" i="2" s="1"/>
  <c r="AC490" i="2"/>
  <c r="AC489" i="2"/>
  <c r="AC487" i="2"/>
  <c r="AC486" i="2"/>
  <c r="AC485" i="2"/>
  <c r="AC484" i="2"/>
  <c r="Y473" i="2"/>
  <c r="Z473" i="2" s="1"/>
  <c r="AC466" i="2"/>
  <c r="Y465" i="2"/>
  <c r="Z465" i="2" s="1"/>
  <c r="Y457" i="2"/>
  <c r="AC453" i="2"/>
  <c r="AC411" i="2"/>
  <c r="Y351" i="2"/>
  <c r="AC493" i="2"/>
  <c r="Y448" i="2"/>
  <c r="AC507" i="2"/>
  <c r="Y503" i="2"/>
  <c r="AC499" i="2"/>
  <c r="Y495" i="2"/>
  <c r="AC481" i="2"/>
  <c r="Y480" i="2"/>
  <c r="AC476" i="2"/>
  <c r="Y474" i="2"/>
  <c r="Z474" i="2" s="1"/>
  <c r="AC470" i="2"/>
  <c r="Y462" i="2"/>
  <c r="Y385" i="2"/>
  <c r="AC506" i="2"/>
  <c r="Y502" i="2"/>
  <c r="Z502" i="2" s="1"/>
  <c r="AC498" i="2"/>
  <c r="Y494" i="2"/>
  <c r="Z494" i="2" s="1"/>
  <c r="Y481" i="2"/>
  <c r="Z481" i="2" s="1"/>
  <c r="Y475" i="2"/>
  <c r="AC471" i="2"/>
  <c r="Y466" i="2"/>
  <c r="Y451" i="2"/>
  <c r="AC446" i="2"/>
  <c r="Y415" i="2"/>
  <c r="Z415" i="2" s="1"/>
  <c r="Y505" i="2"/>
  <c r="Z505" i="2" s="1"/>
  <c r="Y497" i="2"/>
  <c r="Z497" i="2" s="1"/>
  <c r="AC508" i="2"/>
  <c r="Y501" i="2"/>
  <c r="AC500" i="2"/>
  <c r="AC497" i="2"/>
  <c r="Y493" i="2"/>
  <c r="AC492" i="2"/>
  <c r="AC488" i="2"/>
  <c r="Y486" i="2"/>
  <c r="Y485" i="2"/>
  <c r="Y484" i="2"/>
  <c r="Y483" i="2"/>
  <c r="Y482" i="2"/>
  <c r="AC463" i="2"/>
  <c r="Y458" i="2"/>
  <c r="Z458" i="2" s="1"/>
  <c r="AC424" i="2"/>
  <c r="AC419" i="2"/>
  <c r="AC404" i="2"/>
  <c r="AC501" i="2"/>
  <c r="Y508" i="2"/>
  <c r="Z508" i="2" s="1"/>
  <c r="AC504" i="2"/>
  <c r="Y500" i="2"/>
  <c r="Z500" i="2" s="1"/>
  <c r="AC496" i="2"/>
  <c r="Y492" i="2"/>
  <c r="Z492" i="2" s="1"/>
  <c r="Y491" i="2"/>
  <c r="Y490" i="2"/>
  <c r="Z490" i="2" s="1"/>
  <c r="Y489" i="2"/>
  <c r="Y488" i="2"/>
  <c r="AC479" i="2"/>
  <c r="AC477" i="2"/>
  <c r="Y470" i="2"/>
  <c r="Y467" i="2"/>
  <c r="AC461" i="2"/>
  <c r="AC437" i="2"/>
  <c r="Y428" i="2"/>
  <c r="AC317" i="2"/>
  <c r="Y507" i="2"/>
  <c r="Z507" i="2" s="1"/>
  <c r="AC503" i="2"/>
  <c r="Y499" i="2"/>
  <c r="Z499" i="2" s="1"/>
  <c r="AC495" i="2"/>
  <c r="Y477" i="2"/>
  <c r="AC473" i="2"/>
  <c r="AC468" i="2"/>
  <c r="Y456" i="2"/>
  <c r="AC452" i="2"/>
  <c r="AC432" i="2"/>
  <c r="Y423" i="2"/>
  <c r="AC413" i="2"/>
  <c r="Y306" i="2"/>
  <c r="Y506" i="2"/>
  <c r="Z506" i="2" s="1"/>
  <c r="AC505" i="2"/>
  <c r="AC502" i="2"/>
  <c r="Y498" i="2"/>
  <c r="Z498" i="2" s="1"/>
  <c r="AC494" i="2"/>
  <c r="Y478" i="2"/>
  <c r="AC474" i="2"/>
  <c r="Y464" i="2"/>
  <c r="Z464" i="2" s="1"/>
  <c r="AC462" i="2"/>
  <c r="Y459" i="2"/>
  <c r="Z459" i="2" s="1"/>
  <c r="AC455" i="2"/>
  <c r="Y449" i="2"/>
  <c r="AC445" i="2"/>
  <c r="Y435" i="2"/>
  <c r="Z435" i="2" s="1"/>
  <c r="AC431" i="2"/>
  <c r="Y429" i="2"/>
  <c r="AC425" i="2"/>
  <c r="Y416" i="2"/>
  <c r="AC412" i="2"/>
  <c r="Y400" i="2"/>
  <c r="Z400" i="2" s="1"/>
  <c r="Y343" i="2"/>
  <c r="AC335" i="2"/>
  <c r="Y326" i="2"/>
  <c r="Y316" i="2"/>
  <c r="Y304" i="2"/>
  <c r="Y285" i="2"/>
  <c r="Y397" i="2"/>
  <c r="Y391" i="2"/>
  <c r="Y377" i="2"/>
  <c r="Z377" i="2" s="1"/>
  <c r="AC373" i="2"/>
  <c r="AC363" i="2"/>
  <c r="AC491" i="2"/>
  <c r="Y487" i="2"/>
  <c r="Z487" i="2" s="1"/>
  <c r="AC483" i="2"/>
  <c r="Y479" i="2"/>
  <c r="Z479" i="2" s="1"/>
  <c r="AC478" i="2"/>
  <c r="Y471" i="2"/>
  <c r="Z471" i="2" s="1"/>
  <c r="AC467" i="2"/>
  <c r="Y463" i="2"/>
  <c r="Z463" i="2" s="1"/>
  <c r="AC459" i="2"/>
  <c r="Y455" i="2"/>
  <c r="Z455" i="2" s="1"/>
  <c r="AC454" i="2"/>
  <c r="Y447" i="2"/>
  <c r="Z447" i="2" s="1"/>
  <c r="AC439" i="2"/>
  <c r="Y437" i="2"/>
  <c r="Z437" i="2" s="1"/>
  <c r="AC433" i="2"/>
  <c r="Y424" i="2"/>
  <c r="Z424" i="2" s="1"/>
  <c r="Y411" i="2"/>
  <c r="AC408" i="2"/>
  <c r="Y404" i="2"/>
  <c r="Y401" i="2"/>
  <c r="AC395" i="2"/>
  <c r="Y393" i="2"/>
  <c r="AC387" i="2"/>
  <c r="AC458" i="2"/>
  <c r="Y454" i="2"/>
  <c r="AC450" i="2"/>
  <c r="Y446" i="2"/>
  <c r="AC441" i="2"/>
  <c r="Y431" i="2"/>
  <c r="Z431" i="2" s="1"/>
  <c r="AC427" i="2"/>
  <c r="Y425" i="2"/>
  <c r="AC421" i="2"/>
  <c r="Y412" i="2"/>
  <c r="Y408" i="2"/>
  <c r="Z408" i="2" s="1"/>
  <c r="Y332" i="2"/>
  <c r="Z332" i="2" s="1"/>
  <c r="Y469" i="2"/>
  <c r="Z469" i="2" s="1"/>
  <c r="AC465" i="2"/>
  <c r="Y461" i="2"/>
  <c r="Z461" i="2" s="1"/>
  <c r="AC460" i="2"/>
  <c r="AC457" i="2"/>
  <c r="Y453" i="2"/>
  <c r="Z453" i="2" s="1"/>
  <c r="AC449" i="2"/>
  <c r="Y445" i="2"/>
  <c r="Z445" i="2" s="1"/>
  <c r="AC444" i="2"/>
  <c r="Y432" i="2"/>
  <c r="Z432" i="2" s="1"/>
  <c r="AC428" i="2"/>
  <c r="AC420" i="2"/>
  <c r="Y419" i="2"/>
  <c r="AC415" i="2"/>
  <c r="Y413" i="2"/>
  <c r="Y405" i="2"/>
  <c r="Y383" i="2"/>
  <c r="AC339" i="2"/>
  <c r="AC480" i="2"/>
  <c r="Y476" i="2"/>
  <c r="AC475" i="2"/>
  <c r="AC472" i="2"/>
  <c r="Y468" i="2"/>
  <c r="Z468" i="2" s="1"/>
  <c r="AC464" i="2"/>
  <c r="Y460" i="2"/>
  <c r="Z460" i="2" s="1"/>
  <c r="AC456" i="2"/>
  <c r="Y452" i="2"/>
  <c r="Z452" i="2" s="1"/>
  <c r="AC451" i="2"/>
  <c r="AC448" i="2"/>
  <c r="Y444" i="2"/>
  <c r="Z444" i="2" s="1"/>
  <c r="AC443" i="2"/>
  <c r="AC440" i="2"/>
  <c r="Y439" i="2"/>
  <c r="AC435" i="2"/>
  <c r="Y433" i="2"/>
  <c r="Z433" i="2" s="1"/>
  <c r="AC429" i="2"/>
  <c r="Y420" i="2"/>
  <c r="AC416" i="2"/>
  <c r="Y409" i="2"/>
  <c r="Z409" i="2" s="1"/>
  <c r="AC403" i="2"/>
  <c r="AC392" i="2"/>
  <c r="Y367" i="2"/>
  <c r="AC338" i="2"/>
  <c r="AC447" i="2"/>
  <c r="Y443" i="2"/>
  <c r="Z443" i="2" s="1"/>
  <c r="AC442" i="2"/>
  <c r="Y441" i="2"/>
  <c r="Z441" i="2" s="1"/>
  <c r="Y440" i="2"/>
  <c r="AC436" i="2"/>
  <c r="Y427" i="2"/>
  <c r="Z427" i="2" s="1"/>
  <c r="AC423" i="2"/>
  <c r="Y421" i="2"/>
  <c r="AC417" i="2"/>
  <c r="AC400" i="2"/>
  <c r="Y399" i="2"/>
  <c r="Z399" i="2" s="1"/>
  <c r="AC397" i="2"/>
  <c r="Y396" i="2"/>
  <c r="Z396" i="2" s="1"/>
  <c r="Y375" i="2"/>
  <c r="AC371" i="2"/>
  <c r="Y359" i="2"/>
  <c r="AC328" i="2"/>
  <c r="Y438" i="2"/>
  <c r="Z438" i="2" s="1"/>
  <c r="AC434" i="2"/>
  <c r="Y430" i="2"/>
  <c r="Z430" i="2" s="1"/>
  <c r="AC426" i="2"/>
  <c r="Y422" i="2"/>
  <c r="Z422" i="2" s="1"/>
  <c r="AC418" i="2"/>
  <c r="Y414" i="2"/>
  <c r="Z414" i="2" s="1"/>
  <c r="AC410" i="2"/>
  <c r="Y406" i="2"/>
  <c r="Z406" i="2" s="1"/>
  <c r="AC405" i="2"/>
  <c r="AC402" i="2"/>
  <c r="Y398" i="2"/>
  <c r="Z398" i="2" s="1"/>
  <c r="AC394" i="2"/>
  <c r="Y390" i="2"/>
  <c r="Z390" i="2" s="1"/>
  <c r="AC389" i="2"/>
  <c r="Y382" i="2"/>
  <c r="Z382" i="2" s="1"/>
  <c r="AC381" i="2"/>
  <c r="Y374" i="2"/>
  <c r="Z374" i="2" s="1"/>
  <c r="AC370" i="2"/>
  <c r="Y366" i="2"/>
  <c r="Z366" i="2" s="1"/>
  <c r="AC362" i="2"/>
  <c r="Y358" i="2"/>
  <c r="Z358" i="2" s="1"/>
  <c r="AC354" i="2"/>
  <c r="Y350" i="2"/>
  <c r="Z350" i="2" s="1"/>
  <c r="AC346" i="2"/>
  <c r="Y342" i="2"/>
  <c r="Z342" i="2" s="1"/>
  <c r="Y333" i="2"/>
  <c r="AC329" i="2"/>
  <c r="Y320" i="2"/>
  <c r="Y313" i="2"/>
  <c r="AC284" i="2"/>
  <c r="Y389" i="2"/>
  <c r="AC385" i="2"/>
  <c r="Y381" i="2"/>
  <c r="AC377" i="2"/>
  <c r="Y373" i="2"/>
  <c r="AC369" i="2"/>
  <c r="Y365" i="2"/>
  <c r="AC361" i="2"/>
  <c r="Y357" i="2"/>
  <c r="Y349" i="2"/>
  <c r="AC345" i="2"/>
  <c r="Y341" i="2"/>
  <c r="Y334" i="2"/>
  <c r="Y321" i="2"/>
  <c r="AC318" i="2"/>
  <c r="Y310" i="2"/>
  <c r="Y294" i="2"/>
  <c r="Y272" i="2"/>
  <c r="Z272" i="2" s="1"/>
  <c r="Y388" i="2"/>
  <c r="AC384" i="2"/>
  <c r="Y380" i="2"/>
  <c r="AC379" i="2"/>
  <c r="AC376" i="2"/>
  <c r="Y372" i="2"/>
  <c r="AC368" i="2"/>
  <c r="Y364" i="2"/>
  <c r="Y356" i="2"/>
  <c r="AC355" i="2"/>
  <c r="Y348" i="2"/>
  <c r="AC347" i="2"/>
  <c r="AC344" i="2"/>
  <c r="Y340" i="2"/>
  <c r="AC337" i="2"/>
  <c r="AC336" i="2"/>
  <c r="Y328" i="2"/>
  <c r="Z328" i="2" s="1"/>
  <c r="AC324" i="2"/>
  <c r="Y322" i="2"/>
  <c r="Y314" i="2"/>
  <c r="Z314" i="2" s="1"/>
  <c r="AC308" i="2"/>
  <c r="Y296" i="2"/>
  <c r="Y284" i="2"/>
  <c r="Y262" i="2"/>
  <c r="AC407" i="2"/>
  <c r="Y403" i="2"/>
  <c r="Z403" i="2" s="1"/>
  <c r="AC399" i="2"/>
  <c r="Y395" i="2"/>
  <c r="AC391" i="2"/>
  <c r="Y387" i="2"/>
  <c r="Z387" i="2" s="1"/>
  <c r="AC386" i="2"/>
  <c r="Y379" i="2"/>
  <c r="AC378" i="2"/>
  <c r="AC375" i="2"/>
  <c r="Y371" i="2"/>
  <c r="Z371" i="2" s="1"/>
  <c r="Y363" i="2"/>
  <c r="AC359" i="2"/>
  <c r="Y355" i="2"/>
  <c r="AC351" i="2"/>
  <c r="Y347" i="2"/>
  <c r="Y339" i="2"/>
  <c r="Y338" i="2"/>
  <c r="Y337" i="2"/>
  <c r="Y336" i="2"/>
  <c r="Y329" i="2"/>
  <c r="Z329" i="2" s="1"/>
  <c r="AC325" i="2"/>
  <c r="AC312" i="2"/>
  <c r="AC300" i="2"/>
  <c r="Y298" i="2"/>
  <c r="Y271" i="2"/>
  <c r="Y239" i="2"/>
  <c r="Y208" i="2"/>
  <c r="Y442" i="2"/>
  <c r="Z442" i="2" s="1"/>
  <c r="AC438" i="2"/>
  <c r="Y434" i="2"/>
  <c r="Z434" i="2" s="1"/>
  <c r="AC430" i="2"/>
  <c r="Y426" i="2"/>
  <c r="Z426" i="2" s="1"/>
  <c r="AC422" i="2"/>
  <c r="Y418" i="2"/>
  <c r="Z418" i="2" s="1"/>
  <c r="AC414" i="2"/>
  <c r="Y410" i="2"/>
  <c r="Z410" i="2" s="1"/>
  <c r="AC409" i="2"/>
  <c r="AC406" i="2"/>
  <c r="Y402" i="2"/>
  <c r="Z402" i="2" s="1"/>
  <c r="AC401" i="2"/>
  <c r="AC398" i="2"/>
  <c r="Y394" i="2"/>
  <c r="AC393" i="2"/>
  <c r="AC390" i="2"/>
  <c r="Y386" i="2"/>
  <c r="AC382" i="2"/>
  <c r="Y378" i="2"/>
  <c r="AC374" i="2"/>
  <c r="Y370" i="2"/>
  <c r="AC366" i="2"/>
  <c r="Y362" i="2"/>
  <c r="AC358" i="2"/>
  <c r="Y354" i="2"/>
  <c r="AC353" i="2"/>
  <c r="AC350" i="2"/>
  <c r="Y346" i="2"/>
  <c r="AC342" i="2"/>
  <c r="AC332" i="2"/>
  <c r="Y330" i="2"/>
  <c r="AC326" i="2"/>
  <c r="Y318" i="2"/>
  <c r="AC315" i="2"/>
  <c r="Y308" i="2"/>
  <c r="AC302" i="2"/>
  <c r="Y286" i="2"/>
  <c r="Y283" i="2"/>
  <c r="Y270" i="2"/>
  <c r="Y369" i="2"/>
  <c r="Z369" i="2" s="1"/>
  <c r="AC365" i="2"/>
  <c r="Y361" i="2"/>
  <c r="Z361" i="2" s="1"/>
  <c r="AC360" i="2"/>
  <c r="AC357" i="2"/>
  <c r="Y353" i="2"/>
  <c r="Z353" i="2" s="1"/>
  <c r="AC352" i="2"/>
  <c r="AC349" i="2"/>
  <c r="Y345" i="2"/>
  <c r="Z345" i="2" s="1"/>
  <c r="AC341" i="2"/>
  <c r="AC333" i="2"/>
  <c r="Y324" i="2"/>
  <c r="AC320" i="2"/>
  <c r="AC316" i="2"/>
  <c r="AC306" i="2"/>
  <c r="AC290" i="2"/>
  <c r="Y288" i="2"/>
  <c r="AC396" i="2"/>
  <c r="Y392" i="2"/>
  <c r="Z392" i="2" s="1"/>
  <c r="AC388" i="2"/>
  <c r="Y384" i="2"/>
  <c r="Z384" i="2" s="1"/>
  <c r="AC383" i="2"/>
  <c r="AC380" i="2"/>
  <c r="Y376" i="2"/>
  <c r="Z376" i="2" s="1"/>
  <c r="AC372" i="2"/>
  <c r="Y368" i="2"/>
  <c r="Z368" i="2" s="1"/>
  <c r="AC367" i="2"/>
  <c r="AC364" i="2"/>
  <c r="Y360" i="2"/>
  <c r="Z360" i="2" s="1"/>
  <c r="AC356" i="2"/>
  <c r="Y352" i="2"/>
  <c r="Z352" i="2" s="1"/>
  <c r="AC348" i="2"/>
  <c r="Y344" i="2"/>
  <c r="Z344" i="2" s="1"/>
  <c r="AC343" i="2"/>
  <c r="AC340" i="2"/>
  <c r="AC334" i="2"/>
  <c r="Y325" i="2"/>
  <c r="AC321" i="2"/>
  <c r="Y312" i="2"/>
  <c r="Z312" i="2" s="1"/>
  <c r="AC310" i="2"/>
  <c r="AC309" i="2"/>
  <c r="Y302" i="2"/>
  <c r="Y290" i="2"/>
  <c r="Z290" i="2" s="1"/>
  <c r="Y282" i="2"/>
  <c r="Z282" i="2" s="1"/>
  <c r="Y335" i="2"/>
  <c r="Z335" i="2" s="1"/>
  <c r="AC331" i="2"/>
  <c r="Y327" i="2"/>
  <c r="Z327" i="2" s="1"/>
  <c r="AC323" i="2"/>
  <c r="Y319" i="2"/>
  <c r="Y311" i="2"/>
  <c r="AC307" i="2"/>
  <c r="Y303" i="2"/>
  <c r="AC299" i="2"/>
  <c r="Y295" i="2"/>
  <c r="AC294" i="2"/>
  <c r="AC291" i="2"/>
  <c r="Y287" i="2"/>
  <c r="AC286" i="2"/>
  <c r="Y280" i="2"/>
  <c r="Y279" i="2"/>
  <c r="Y278" i="2"/>
  <c r="Z278" i="2" s="1"/>
  <c r="Y277" i="2"/>
  <c r="Y276" i="2"/>
  <c r="Y275" i="2"/>
  <c r="Y274" i="2"/>
  <c r="Z274" i="2" s="1"/>
  <c r="AC267" i="2"/>
  <c r="Y246" i="2"/>
  <c r="Y207" i="2"/>
  <c r="AC188" i="2"/>
  <c r="Y263" i="2"/>
  <c r="Y260" i="2"/>
  <c r="Z260" i="2" s="1"/>
  <c r="Y255" i="2"/>
  <c r="Y231" i="2"/>
  <c r="Z231" i="2" s="1"/>
  <c r="AC227" i="2"/>
  <c r="AC223" i="2"/>
  <c r="Y206" i="2"/>
  <c r="Y187" i="2"/>
  <c r="Z187" i="2" s="1"/>
  <c r="Y317" i="2"/>
  <c r="Z317" i="2" s="1"/>
  <c r="AC313" i="2"/>
  <c r="Y309" i="2"/>
  <c r="Z309" i="2" s="1"/>
  <c r="AC305" i="2"/>
  <c r="Y301" i="2"/>
  <c r="Z301" i="2" s="1"/>
  <c r="AC297" i="2"/>
  <c r="Y293" i="2"/>
  <c r="Z293" i="2" s="1"/>
  <c r="AC292" i="2"/>
  <c r="AC289" i="2"/>
  <c r="AC264" i="2"/>
  <c r="AC259" i="2"/>
  <c r="Y238" i="2"/>
  <c r="Y205" i="2"/>
  <c r="Y300" i="2"/>
  <c r="Y292" i="2"/>
  <c r="Z292" i="2" s="1"/>
  <c r="Y264" i="2"/>
  <c r="Z264" i="2" s="1"/>
  <c r="Y204" i="2"/>
  <c r="Y195" i="2"/>
  <c r="Y331" i="2"/>
  <c r="Z331" i="2" s="1"/>
  <c r="AC330" i="2"/>
  <c r="AC327" i="2"/>
  <c r="Y323" i="2"/>
  <c r="Z323" i="2" s="1"/>
  <c r="AC322" i="2"/>
  <c r="AC319" i="2"/>
  <c r="Y315" i="2"/>
  <c r="Z315" i="2" s="1"/>
  <c r="AC314" i="2"/>
  <c r="AC311" i="2"/>
  <c r="Y307" i="2"/>
  <c r="Z307" i="2" s="1"/>
  <c r="AC303" i="2"/>
  <c r="Y299" i="2"/>
  <c r="Z299" i="2" s="1"/>
  <c r="AC298" i="2"/>
  <c r="AC295" i="2"/>
  <c r="Y291" i="2"/>
  <c r="Z291" i="2" s="1"/>
  <c r="AC287" i="2"/>
  <c r="AC276" i="2"/>
  <c r="AC275" i="2"/>
  <c r="AC274" i="2"/>
  <c r="AC273" i="2"/>
  <c r="AC270" i="2"/>
  <c r="AC268" i="2"/>
  <c r="AC265" i="2"/>
  <c r="Y252" i="2"/>
  <c r="Y247" i="2"/>
  <c r="Y230" i="2"/>
  <c r="Z230" i="2" s="1"/>
  <c r="Y203" i="2"/>
  <c r="AC283" i="2"/>
  <c r="AC282" i="2"/>
  <c r="AC281" i="2"/>
  <c r="AC279" i="2"/>
  <c r="AC278" i="2"/>
  <c r="Y268" i="2"/>
  <c r="Y261" i="2"/>
  <c r="AC256" i="2"/>
  <c r="Y254" i="2"/>
  <c r="AC251" i="2"/>
  <c r="AC243" i="2"/>
  <c r="Y305" i="2"/>
  <c r="Z305" i="2" s="1"/>
  <c r="AC304" i="2"/>
  <c r="AC301" i="2"/>
  <c r="Y297" i="2"/>
  <c r="Z297" i="2" s="1"/>
  <c r="AC296" i="2"/>
  <c r="AC293" i="2"/>
  <c r="Y289" i="2"/>
  <c r="Z289" i="2" s="1"/>
  <c r="AC288" i="2"/>
  <c r="AC271" i="2"/>
  <c r="Y269" i="2"/>
  <c r="Z269" i="2" s="1"/>
  <c r="Y209" i="2"/>
  <c r="AC257" i="2"/>
  <c r="Y253" i="2"/>
  <c r="Y245" i="2"/>
  <c r="Y237" i="2"/>
  <c r="Y229" i="2"/>
  <c r="AC224" i="2"/>
  <c r="Y217" i="2"/>
  <c r="Z217" i="2" s="1"/>
  <c r="Y216" i="2"/>
  <c r="Y215" i="2"/>
  <c r="Y214" i="2"/>
  <c r="Y213" i="2"/>
  <c r="Z213" i="2" s="1"/>
  <c r="Y212" i="2"/>
  <c r="Y211" i="2"/>
  <c r="AC185" i="2"/>
  <c r="Y184" i="2"/>
  <c r="Y167" i="2"/>
  <c r="Y244" i="2"/>
  <c r="Z244" i="2" s="1"/>
  <c r="Y236" i="2"/>
  <c r="Z236" i="2" s="1"/>
  <c r="AC235" i="2"/>
  <c r="Y228" i="2"/>
  <c r="Z228" i="2" s="1"/>
  <c r="AC226" i="2"/>
  <c r="Y225" i="2"/>
  <c r="Y224" i="2"/>
  <c r="Z224" i="2" s="1"/>
  <c r="Y223" i="2"/>
  <c r="Y222" i="2"/>
  <c r="Y221" i="2"/>
  <c r="Y220" i="2"/>
  <c r="Z220" i="2" s="1"/>
  <c r="Y219" i="2"/>
  <c r="AC199" i="2"/>
  <c r="Y191" i="2"/>
  <c r="AC189" i="2"/>
  <c r="Y181" i="2"/>
  <c r="Z181" i="2" s="1"/>
  <c r="AC173" i="2"/>
  <c r="Y267" i="2"/>
  <c r="AC266" i="2"/>
  <c r="AC263" i="2"/>
  <c r="Y259" i="2"/>
  <c r="AC258" i="2"/>
  <c r="AC255" i="2"/>
  <c r="Y251" i="2"/>
  <c r="AC250" i="2"/>
  <c r="AC247" i="2"/>
  <c r="Y243" i="2"/>
  <c r="AC242" i="2"/>
  <c r="AC239" i="2"/>
  <c r="Y235" i="2"/>
  <c r="AC234" i="2"/>
  <c r="Y227" i="2"/>
  <c r="Y197" i="2"/>
  <c r="Y185" i="2"/>
  <c r="Z185" i="2" s="1"/>
  <c r="AC179" i="2"/>
  <c r="Y176" i="2"/>
  <c r="Z176" i="2" s="1"/>
  <c r="Y266" i="2"/>
  <c r="Z266" i="2" s="1"/>
  <c r="AC262" i="2"/>
  <c r="Y258" i="2"/>
  <c r="AC254" i="2"/>
  <c r="Y250" i="2"/>
  <c r="AC249" i="2"/>
  <c r="AC246" i="2"/>
  <c r="Y242" i="2"/>
  <c r="Z242" i="2" s="1"/>
  <c r="AC241" i="2"/>
  <c r="AC238" i="2"/>
  <c r="Y234" i="2"/>
  <c r="AC233" i="2"/>
  <c r="AC230" i="2"/>
  <c r="AC205" i="2"/>
  <c r="AC202" i="2"/>
  <c r="AC201" i="2"/>
  <c r="Y198" i="2"/>
  <c r="AC194" i="2"/>
  <c r="Y192" i="2"/>
  <c r="AC183" i="2"/>
  <c r="Y169" i="2"/>
  <c r="AC285" i="2"/>
  <c r="Y281" i="2"/>
  <c r="Z281" i="2" s="1"/>
  <c r="AC280" i="2"/>
  <c r="AC277" i="2"/>
  <c r="Y273" i="2"/>
  <c r="Z273" i="2" s="1"/>
  <c r="AC272" i="2"/>
  <c r="AC269" i="2"/>
  <c r="Y265" i="2"/>
  <c r="Z265" i="2" s="1"/>
  <c r="AC261" i="2"/>
  <c r="Y257" i="2"/>
  <c r="Z257" i="2" s="1"/>
  <c r="AC253" i="2"/>
  <c r="Y249" i="2"/>
  <c r="Z249" i="2" s="1"/>
  <c r="AC248" i="2"/>
  <c r="AC245" i="2"/>
  <c r="Y241" i="2"/>
  <c r="Z241" i="2" s="1"/>
  <c r="AC240" i="2"/>
  <c r="AC237" i="2"/>
  <c r="Y233" i="2"/>
  <c r="AC232" i="2"/>
  <c r="AC229" i="2"/>
  <c r="AC213" i="2"/>
  <c r="AC212" i="2"/>
  <c r="AC211" i="2"/>
  <c r="AC210" i="2"/>
  <c r="AC209" i="2"/>
  <c r="AC208" i="2"/>
  <c r="Y199" i="2"/>
  <c r="Z199" i="2" s="1"/>
  <c r="AC195" i="2"/>
  <c r="Y193" i="2"/>
  <c r="Z193" i="2" s="1"/>
  <c r="Y189" i="2"/>
  <c r="Y179" i="2"/>
  <c r="AC177" i="2"/>
  <c r="AC163" i="2"/>
  <c r="AC260" i="2"/>
  <c r="Y256" i="2"/>
  <c r="Z256" i="2" s="1"/>
  <c r="AC252" i="2"/>
  <c r="Y248" i="2"/>
  <c r="Z248" i="2" s="1"/>
  <c r="AC244" i="2"/>
  <c r="Y240" i="2"/>
  <c r="AC236" i="2"/>
  <c r="Y232" i="2"/>
  <c r="Z232" i="2" s="1"/>
  <c r="AC231" i="2"/>
  <c r="AC228" i="2"/>
  <c r="AC221" i="2"/>
  <c r="AC220" i="2"/>
  <c r="AC219" i="2"/>
  <c r="AC218" i="2"/>
  <c r="AC216" i="2"/>
  <c r="AC215" i="2"/>
  <c r="Y200" i="2"/>
  <c r="Z200" i="2" s="1"/>
  <c r="AC196" i="2"/>
  <c r="Y177" i="2"/>
  <c r="Z177" i="2" s="1"/>
  <c r="Y77" i="2"/>
  <c r="AC207" i="2"/>
  <c r="AC204" i="2"/>
  <c r="AC203" i="2"/>
  <c r="Y201" i="2"/>
  <c r="Z201" i="2" s="1"/>
  <c r="AC197" i="2"/>
  <c r="AC191" i="2"/>
  <c r="Y183" i="2"/>
  <c r="Z183" i="2" s="1"/>
  <c r="AC181" i="2"/>
  <c r="AC180" i="2"/>
  <c r="Y175" i="2"/>
  <c r="Z175" i="2" s="1"/>
  <c r="AC171" i="2"/>
  <c r="Y190" i="2"/>
  <c r="Z190" i="2" s="1"/>
  <c r="AC186" i="2"/>
  <c r="Y182" i="2"/>
  <c r="Z182" i="2" s="1"/>
  <c r="AC178" i="2"/>
  <c r="Y174" i="2"/>
  <c r="Z174" i="2" s="1"/>
  <c r="AC170" i="2"/>
  <c r="Y166" i="2"/>
  <c r="Z166" i="2" s="1"/>
  <c r="AC162" i="2"/>
  <c r="AC160" i="2"/>
  <c r="AC159" i="2"/>
  <c r="AC158" i="2"/>
  <c r="Y146" i="2"/>
  <c r="AC142" i="2"/>
  <c r="Y87" i="2"/>
  <c r="Y173" i="2"/>
  <c r="AC169" i="2"/>
  <c r="Y165" i="2"/>
  <c r="Z165" i="2" s="1"/>
  <c r="AC147" i="2"/>
  <c r="Y138" i="2"/>
  <c r="AC200" i="2"/>
  <c r="Y196" i="2"/>
  <c r="Z196" i="2" s="1"/>
  <c r="AC192" i="2"/>
  <c r="Y188" i="2"/>
  <c r="AC187" i="2"/>
  <c r="AC184" i="2"/>
  <c r="Y180" i="2"/>
  <c r="Z180" i="2" s="1"/>
  <c r="AC176" i="2"/>
  <c r="Y172" i="2"/>
  <c r="Z172" i="2" s="1"/>
  <c r="AC168" i="2"/>
  <c r="Y164" i="2"/>
  <c r="Z164" i="2" s="1"/>
  <c r="AC157" i="2"/>
  <c r="Y156" i="2"/>
  <c r="AC150" i="2"/>
  <c r="Y149" i="2"/>
  <c r="Y130" i="2"/>
  <c r="Y171" i="2"/>
  <c r="Z171" i="2" s="1"/>
  <c r="AC167" i="2"/>
  <c r="Y163" i="2"/>
  <c r="AC161" i="2"/>
  <c r="Y159" i="2"/>
  <c r="Z159" i="2" s="1"/>
  <c r="Y158" i="2"/>
  <c r="Y157" i="2"/>
  <c r="AC154" i="2"/>
  <c r="AC153" i="2"/>
  <c r="Y122" i="2"/>
  <c r="Y93" i="2"/>
  <c r="Y71" i="2"/>
  <c r="Y226" i="2"/>
  <c r="Z226" i="2" s="1"/>
  <c r="AC225" i="2"/>
  <c r="AC222" i="2"/>
  <c r="Y218" i="2"/>
  <c r="Z218" i="2" s="1"/>
  <c r="AC217" i="2"/>
  <c r="AC214" i="2"/>
  <c r="Y210" i="2"/>
  <c r="Z210" i="2" s="1"/>
  <c r="AC206" i="2"/>
  <c r="Y202" i="2"/>
  <c r="Z202" i="2" s="1"/>
  <c r="AC198" i="2"/>
  <c r="Y194" i="2"/>
  <c r="Z194" i="2" s="1"/>
  <c r="AC193" i="2"/>
  <c r="AC190" i="2"/>
  <c r="Y186" i="2"/>
  <c r="AC182" i="2"/>
  <c r="Y178" i="2"/>
  <c r="Z178" i="2" s="1"/>
  <c r="AC174" i="2"/>
  <c r="Y170" i="2"/>
  <c r="AC166" i="2"/>
  <c r="Y162" i="2"/>
  <c r="Z162" i="2" s="1"/>
  <c r="Y161" i="2"/>
  <c r="Z161" i="2" s="1"/>
  <c r="Y150" i="2"/>
  <c r="AC145" i="2"/>
  <c r="Y114" i="2"/>
  <c r="Z114" i="2" s="1"/>
  <c r="Y28" i="2"/>
  <c r="AC165" i="2"/>
  <c r="AC155" i="2"/>
  <c r="Y143" i="2"/>
  <c r="Z143" i="2" s="1"/>
  <c r="AC134" i="2"/>
  <c r="Y106" i="2"/>
  <c r="Z106" i="2" s="1"/>
  <c r="AC175" i="2"/>
  <c r="AC172" i="2"/>
  <c r="Y168" i="2"/>
  <c r="Z168" i="2" s="1"/>
  <c r="AC164" i="2"/>
  <c r="Y154" i="2"/>
  <c r="Z154" i="2" s="1"/>
  <c r="Y151" i="2"/>
  <c r="Z151" i="2" s="1"/>
  <c r="AC126" i="2"/>
  <c r="Y98" i="2"/>
  <c r="Z98" i="2" s="1"/>
  <c r="Y153" i="2"/>
  <c r="Z153" i="2" s="1"/>
  <c r="AC152" i="2"/>
  <c r="AC149" i="2"/>
  <c r="Y145" i="2"/>
  <c r="Z145" i="2" s="1"/>
  <c r="AC141" i="2"/>
  <c r="Y137" i="2"/>
  <c r="Z137" i="2" s="1"/>
  <c r="AC133" i="2"/>
  <c r="Y129" i="2"/>
  <c r="Z129" i="2" s="1"/>
  <c r="AC125" i="2"/>
  <c r="Y121" i="2"/>
  <c r="Z121" i="2" s="1"/>
  <c r="AC117" i="2"/>
  <c r="Y113" i="2"/>
  <c r="Z113" i="2" s="1"/>
  <c r="AC109" i="2"/>
  <c r="Y105" i="2"/>
  <c r="Z105" i="2" s="1"/>
  <c r="AC101" i="2"/>
  <c r="Y97" i="2"/>
  <c r="Z97" i="2" s="1"/>
  <c r="Y84" i="2"/>
  <c r="Y81" i="2"/>
  <c r="Y68" i="2"/>
  <c r="AC48" i="2"/>
  <c r="Y20" i="2"/>
  <c r="Y160" i="2"/>
  <c r="Z160" i="2" s="1"/>
  <c r="AC156" i="2"/>
  <c r="Y152" i="2"/>
  <c r="Z152" i="2" s="1"/>
  <c r="AC148" i="2"/>
  <c r="Y144" i="2"/>
  <c r="Z144" i="2" s="1"/>
  <c r="AC140" i="2"/>
  <c r="Y136" i="2"/>
  <c r="Z136" i="2" s="1"/>
  <c r="Y128" i="2"/>
  <c r="Z128" i="2" s="1"/>
  <c r="AC124" i="2"/>
  <c r="Y120" i="2"/>
  <c r="Z120" i="2" s="1"/>
  <c r="Y112" i="2"/>
  <c r="Z112" i="2" s="1"/>
  <c r="Y104" i="2"/>
  <c r="Z104" i="2" s="1"/>
  <c r="Y96" i="2"/>
  <c r="Z96" i="2" s="1"/>
  <c r="Y95" i="2"/>
  <c r="Y88" i="2"/>
  <c r="AC72" i="2"/>
  <c r="Y12" i="2"/>
  <c r="AC139" i="2"/>
  <c r="Y135" i="2"/>
  <c r="AC131" i="2"/>
  <c r="Y127" i="2"/>
  <c r="AC123" i="2"/>
  <c r="Y119" i="2"/>
  <c r="AC118" i="2"/>
  <c r="AC115" i="2"/>
  <c r="Y111" i="2"/>
  <c r="AC110" i="2"/>
  <c r="AC107" i="2"/>
  <c r="Y103" i="2"/>
  <c r="AC102" i="2"/>
  <c r="AC99" i="2"/>
  <c r="AC91" i="2"/>
  <c r="Y89" i="2"/>
  <c r="Z89" i="2" s="1"/>
  <c r="Y85" i="2"/>
  <c r="AC75" i="2"/>
  <c r="Y72" i="2"/>
  <c r="AC67" i="2"/>
  <c r="Y60" i="2"/>
  <c r="Y142" i="2"/>
  <c r="Z142" i="2" s="1"/>
  <c r="AC138" i="2"/>
  <c r="Y134" i="2"/>
  <c r="AC130" i="2"/>
  <c r="Y126" i="2"/>
  <c r="Z126" i="2" s="1"/>
  <c r="AC122" i="2"/>
  <c r="Y118" i="2"/>
  <c r="AC114" i="2"/>
  <c r="Y110" i="2"/>
  <c r="Z110" i="2" s="1"/>
  <c r="AC106" i="2"/>
  <c r="Y102" i="2"/>
  <c r="AC98" i="2"/>
  <c r="AC92" i="2"/>
  <c r="AC73" i="2"/>
  <c r="Y63" i="2"/>
  <c r="AC59" i="2"/>
  <c r="AC24" i="2"/>
  <c r="Y141" i="2"/>
  <c r="AC137" i="2"/>
  <c r="Y133" i="2"/>
  <c r="AC132" i="2"/>
  <c r="AC129" i="2"/>
  <c r="Y125" i="2"/>
  <c r="AC121" i="2"/>
  <c r="Y117" i="2"/>
  <c r="AC116" i="2"/>
  <c r="AC113" i="2"/>
  <c r="Y109" i="2"/>
  <c r="AC108" i="2"/>
  <c r="AC105" i="2"/>
  <c r="Y101" i="2"/>
  <c r="AC100" i="2"/>
  <c r="AC97" i="2"/>
  <c r="AC80" i="2"/>
  <c r="Y79" i="2"/>
  <c r="AC76" i="2"/>
  <c r="Y52" i="2"/>
  <c r="AC16" i="2"/>
  <c r="Y148" i="2"/>
  <c r="Z148" i="2" s="1"/>
  <c r="AC144" i="2"/>
  <c r="Y140" i="2"/>
  <c r="Z140" i="2" s="1"/>
  <c r="AC136" i="2"/>
  <c r="Y132" i="2"/>
  <c r="Z132" i="2" s="1"/>
  <c r="AC128" i="2"/>
  <c r="Y124" i="2"/>
  <c r="Z124" i="2" s="1"/>
  <c r="AC120" i="2"/>
  <c r="Y116" i="2"/>
  <c r="Z116" i="2" s="1"/>
  <c r="AC112" i="2"/>
  <c r="Y108" i="2"/>
  <c r="Z108" i="2" s="1"/>
  <c r="AC104" i="2"/>
  <c r="Y100" i="2"/>
  <c r="Z100" i="2" s="1"/>
  <c r="AC96" i="2"/>
  <c r="Y91" i="2"/>
  <c r="AC84" i="2"/>
  <c r="AC83" i="2"/>
  <c r="Y76" i="2"/>
  <c r="Y73" i="2"/>
  <c r="Z73" i="2" s="1"/>
  <c r="Y55" i="2"/>
  <c r="Y44" i="2"/>
  <c r="AC8" i="2"/>
  <c r="Y155" i="2"/>
  <c r="Z155" i="2" s="1"/>
  <c r="AC151" i="2"/>
  <c r="Y147" i="2"/>
  <c r="Z147" i="2" s="1"/>
  <c r="AC146" i="2"/>
  <c r="AC143" i="2"/>
  <c r="Y139" i="2"/>
  <c r="Z139" i="2" s="1"/>
  <c r="AC135" i="2"/>
  <c r="Y131" i="2"/>
  <c r="Z131" i="2" s="1"/>
  <c r="AC127" i="2"/>
  <c r="Y123" i="2"/>
  <c r="Z123" i="2" s="1"/>
  <c r="AC119" i="2"/>
  <c r="Y115" i="2"/>
  <c r="Z115" i="2" s="1"/>
  <c r="AC111" i="2"/>
  <c r="Y107" i="2"/>
  <c r="Z107" i="2" s="1"/>
  <c r="AC103" i="2"/>
  <c r="Y99" i="2"/>
  <c r="Z99" i="2" s="1"/>
  <c r="AC95" i="2"/>
  <c r="Y92" i="2"/>
  <c r="AC88" i="2"/>
  <c r="AC81" i="2"/>
  <c r="Y80" i="2"/>
  <c r="Y36" i="2"/>
  <c r="Z36" i="2" s="1"/>
  <c r="AC87" i="2"/>
  <c r="Y83" i="2"/>
  <c r="Z83" i="2" s="1"/>
  <c r="AC79" i="2"/>
  <c r="Y75" i="2"/>
  <c r="Z75" i="2" s="1"/>
  <c r="AC71" i="2"/>
  <c r="Y67" i="2"/>
  <c r="Z67" i="2" s="1"/>
  <c r="AC63" i="2"/>
  <c r="Y59" i="2"/>
  <c r="Z59" i="2" s="1"/>
  <c r="AC55" i="2"/>
  <c r="Y51" i="2"/>
  <c r="Z51" i="2" s="1"/>
  <c r="AC47" i="2"/>
  <c r="Y43" i="2"/>
  <c r="Z43" i="2" s="1"/>
  <c r="AC39" i="2"/>
  <c r="Y35" i="2"/>
  <c r="Z35" i="2" s="1"/>
  <c r="Y27" i="2"/>
  <c r="Z27" i="2" s="1"/>
  <c r="AC23" i="2"/>
  <c r="Y19" i="2"/>
  <c r="Z19" i="2" s="1"/>
  <c r="AC15" i="2"/>
  <c r="Y11" i="2"/>
  <c r="AC7" i="2"/>
  <c r="AC94" i="2"/>
  <c r="Y90" i="2"/>
  <c r="AC89" i="2"/>
  <c r="AC86" i="2"/>
  <c r="Y82" i="2"/>
  <c r="AC78" i="2"/>
  <c r="Y74" i="2"/>
  <c r="Z74" i="2" s="1"/>
  <c r="AC70" i="2"/>
  <c r="Y66" i="2"/>
  <c r="AC62" i="2"/>
  <c r="Y58" i="2"/>
  <c r="AC54" i="2"/>
  <c r="Y50" i="2"/>
  <c r="AC46" i="2"/>
  <c r="Y42" i="2"/>
  <c r="Y34" i="2"/>
  <c r="Y26" i="2"/>
  <c r="Y18" i="2"/>
  <c r="AC14" i="2"/>
  <c r="Y10" i="2"/>
  <c r="Y65" i="2"/>
  <c r="Z65" i="2" s="1"/>
  <c r="AC64" i="2"/>
  <c r="Y57" i="2"/>
  <c r="Z57" i="2" s="1"/>
  <c r="AC56" i="2"/>
  <c r="AC53" i="2"/>
  <c r="Y49" i="2"/>
  <c r="Z49" i="2" s="1"/>
  <c r="Y41" i="2"/>
  <c r="AC40" i="2"/>
  <c r="Y33" i="2"/>
  <c r="Z33" i="2" s="1"/>
  <c r="AC32" i="2"/>
  <c r="AC29" i="2"/>
  <c r="Y25" i="2"/>
  <c r="AC21" i="2"/>
  <c r="Y17" i="2"/>
  <c r="Z17" i="2" s="1"/>
  <c r="AC13" i="2"/>
  <c r="Y9" i="2"/>
  <c r="Y64" i="2"/>
  <c r="AC60" i="2"/>
  <c r="Y56" i="2"/>
  <c r="AC52" i="2"/>
  <c r="Y48" i="2"/>
  <c r="AC44" i="2"/>
  <c r="Y40" i="2"/>
  <c r="AC36" i="2"/>
  <c r="Y32" i="2"/>
  <c r="Z32" i="2" s="1"/>
  <c r="AC31" i="2"/>
  <c r="Y24" i="2"/>
  <c r="AC20" i="2"/>
  <c r="Y16" i="2"/>
  <c r="Z16" i="2" s="1"/>
  <c r="Y8" i="2"/>
  <c r="AC51" i="2"/>
  <c r="Y47" i="2"/>
  <c r="Z47" i="2" s="1"/>
  <c r="AC43" i="2"/>
  <c r="Y39" i="2"/>
  <c r="Z39" i="2" s="1"/>
  <c r="AC38" i="2"/>
  <c r="AC35" i="2"/>
  <c r="Y31" i="2"/>
  <c r="Z31" i="2" s="1"/>
  <c r="AC30" i="2"/>
  <c r="AC27" i="2"/>
  <c r="Y23" i="2"/>
  <c r="Z23" i="2" s="1"/>
  <c r="AC22" i="2"/>
  <c r="AC19" i="2"/>
  <c r="Y15" i="2"/>
  <c r="Z15" i="2" s="1"/>
  <c r="AC11" i="2"/>
  <c r="Y7" i="2"/>
  <c r="Z7" i="2" s="1"/>
  <c r="Y94" i="2"/>
  <c r="Z94" i="2" s="1"/>
  <c r="AC93" i="2"/>
  <c r="AC90" i="2"/>
  <c r="Y86" i="2"/>
  <c r="Z86" i="2" s="1"/>
  <c r="AC85" i="2"/>
  <c r="AC82" i="2"/>
  <c r="Y78" i="2"/>
  <c r="Z78" i="2" s="1"/>
  <c r="AC77" i="2"/>
  <c r="AC74" i="2"/>
  <c r="Y70" i="2"/>
  <c r="Z70" i="2" s="1"/>
  <c r="AC69" i="2"/>
  <c r="AC66" i="2"/>
  <c r="Y62" i="2"/>
  <c r="Z62" i="2" s="1"/>
  <c r="AC61" i="2"/>
  <c r="AC58" i="2"/>
  <c r="Y54" i="2"/>
  <c r="Z54" i="2" s="1"/>
  <c r="AC50" i="2"/>
  <c r="Y46" i="2"/>
  <c r="Z46" i="2" s="1"/>
  <c r="AC45" i="2"/>
  <c r="AC42" i="2"/>
  <c r="Y38" i="2"/>
  <c r="Z38" i="2" s="1"/>
  <c r="AC37" i="2"/>
  <c r="AC34" i="2"/>
  <c r="Y30" i="2"/>
  <c r="Z30" i="2" s="1"/>
  <c r="AC26" i="2"/>
  <c r="Y22" i="2"/>
  <c r="Z22" i="2" s="1"/>
  <c r="AC18" i="2"/>
  <c r="Y14" i="2"/>
  <c r="Z14" i="2" s="1"/>
  <c r="AC10" i="2"/>
  <c r="Y69" i="2"/>
  <c r="Z69" i="2" s="1"/>
  <c r="AC68" i="2"/>
  <c r="AC65" i="2"/>
  <c r="Y61" i="2"/>
  <c r="Z61" i="2" s="1"/>
  <c r="AC57" i="2"/>
  <c r="Y53" i="2"/>
  <c r="Z53" i="2" s="1"/>
  <c r="AC49" i="2"/>
  <c r="Y45" i="2"/>
  <c r="Z45" i="2" s="1"/>
  <c r="AC41" i="2"/>
  <c r="Y37" i="2"/>
  <c r="Z37" i="2" s="1"/>
  <c r="AC33" i="2"/>
  <c r="Y29" i="2"/>
  <c r="Z29" i="2" s="1"/>
  <c r="AC28" i="2"/>
  <c r="AC25" i="2"/>
  <c r="Y21" i="2"/>
  <c r="Z21" i="2" s="1"/>
  <c r="AC17" i="2"/>
  <c r="Y13" i="2"/>
  <c r="Z13" i="2" s="1"/>
  <c r="AC12" i="2"/>
  <c r="AC9" i="2"/>
  <c r="Y6" i="2"/>
  <c r="Z6" i="2" s="1"/>
  <c r="U5" i="2"/>
  <c r="AC6" i="2"/>
  <c r="L507" i="2"/>
  <c r="L504" i="2"/>
  <c r="L501" i="2"/>
  <c r="L498" i="2"/>
  <c r="L506" i="2"/>
  <c r="L503" i="2"/>
  <c r="L499" i="2"/>
  <c r="O508" i="2"/>
  <c r="O507" i="2"/>
  <c r="O506" i="2"/>
  <c r="P506" i="2" s="1"/>
  <c r="O505" i="2"/>
  <c r="P505" i="2" s="1"/>
  <c r="O504" i="2"/>
  <c r="O503" i="2"/>
  <c r="P503" i="2" s="1"/>
  <c r="O502" i="2"/>
  <c r="O501" i="2"/>
  <c r="P501" i="2" s="1"/>
  <c r="O500" i="2"/>
  <c r="O499" i="2"/>
  <c r="O498" i="2"/>
  <c r="P498" i="2" s="1"/>
  <c r="O497" i="2"/>
  <c r="P497" i="2" s="1"/>
  <c r="O496" i="2"/>
  <c r="P496" i="2" s="1"/>
  <c r="L508" i="2"/>
  <c r="L505" i="2"/>
  <c r="L502" i="2"/>
  <c r="L500" i="2"/>
  <c r="L497" i="2"/>
  <c r="L496" i="2"/>
  <c r="B503" i="2"/>
  <c r="E508" i="2"/>
  <c r="I504" i="2"/>
  <c r="B502" i="2"/>
  <c r="E500" i="2"/>
  <c r="E501" i="2"/>
  <c r="F501" i="2" s="1"/>
  <c r="E507" i="2"/>
  <c r="F507" i="2" s="1"/>
  <c r="I503" i="2"/>
  <c r="B501" i="2"/>
  <c r="E499" i="2"/>
  <c r="I502" i="2"/>
  <c r="B500" i="2"/>
  <c r="E498" i="2"/>
  <c r="F498" i="2" s="1"/>
  <c r="I497" i="2"/>
  <c r="B508" i="2"/>
  <c r="B499" i="2"/>
  <c r="E497" i="2"/>
  <c r="I496" i="2"/>
  <c r="B506" i="2"/>
  <c r="E504" i="2"/>
  <c r="I500" i="2"/>
  <c r="B498" i="2"/>
  <c r="E496" i="2"/>
  <c r="F496" i="2" s="1"/>
  <c r="I505" i="2"/>
  <c r="B507" i="2"/>
  <c r="I508" i="2"/>
  <c r="I507" i="2"/>
  <c r="B505" i="2"/>
  <c r="E503" i="2"/>
  <c r="F503" i="2" s="1"/>
  <c r="I499" i="2"/>
  <c r="B497" i="2"/>
  <c r="E506" i="2"/>
  <c r="F506" i="2" s="1"/>
  <c r="E505" i="2"/>
  <c r="I506" i="2"/>
  <c r="B504" i="2"/>
  <c r="E502" i="2"/>
  <c r="F502" i="2" s="1"/>
  <c r="I501" i="2"/>
  <c r="I498" i="2"/>
  <c r="B496" i="2"/>
  <c r="B6" i="2"/>
  <c r="C6" i="2"/>
  <c r="D6" i="2"/>
  <c r="B7" i="2" a="1"/>
  <c r="Z8" i="2" l="1"/>
  <c r="Z25" i="2"/>
  <c r="Z41" i="2"/>
  <c r="Z44" i="2"/>
  <c r="Z102" i="2"/>
  <c r="Z48" i="2"/>
  <c r="Z64" i="2"/>
  <c r="Z9" i="2"/>
  <c r="Z60" i="2"/>
  <c r="Z56" i="2"/>
  <c r="Z11" i="2"/>
  <c r="Z134" i="2"/>
  <c r="Z80" i="2"/>
  <c r="Z40" i="2"/>
  <c r="Z118" i="2"/>
  <c r="Z24" i="2"/>
  <c r="Z101" i="2"/>
  <c r="Z117" i="2"/>
  <c r="Z133" i="2"/>
  <c r="Z63" i="2"/>
  <c r="Z72" i="2"/>
  <c r="Z95" i="2"/>
  <c r="Z68" i="2"/>
  <c r="Z150" i="2"/>
  <c r="Z122" i="2"/>
  <c r="Z158" i="2"/>
  <c r="Z130" i="2"/>
  <c r="Z138" i="2"/>
  <c r="Z233" i="2"/>
  <c r="Z223" i="2"/>
  <c r="Z167" i="2"/>
  <c r="Z216" i="2"/>
  <c r="Z268" i="2"/>
  <c r="Z252" i="2"/>
  <c r="Z300" i="2"/>
  <c r="Z238" i="2"/>
  <c r="Z298" i="2"/>
  <c r="Z310" i="2"/>
  <c r="Z334" i="2"/>
  <c r="Z420" i="2"/>
  <c r="Z454" i="2"/>
  <c r="Z411" i="2"/>
  <c r="Z343" i="2"/>
  <c r="Z429" i="2"/>
  <c r="Z423" i="2"/>
  <c r="Z467" i="2"/>
  <c r="Z491" i="2"/>
  <c r="Z483" i="2"/>
  <c r="Z448" i="2"/>
  <c r="Z407" i="2"/>
  <c r="Z346" i="2"/>
  <c r="Z362" i="2"/>
  <c r="Z378" i="2"/>
  <c r="Z394" i="2"/>
  <c r="Z391" i="2"/>
  <c r="Z428" i="2"/>
  <c r="Z470" i="2"/>
  <c r="Z484" i="2"/>
  <c r="Z417" i="2"/>
  <c r="Z18" i="2"/>
  <c r="Z34" i="2"/>
  <c r="Z50" i="2"/>
  <c r="Z66" i="2"/>
  <c r="Z82" i="2"/>
  <c r="Z81" i="2"/>
  <c r="Z146" i="2"/>
  <c r="Z189" i="2"/>
  <c r="Z198" i="2"/>
  <c r="Z235" i="2"/>
  <c r="Z251" i="2"/>
  <c r="Z267" i="2"/>
  <c r="Z191" i="2"/>
  <c r="Z225" i="2"/>
  <c r="Z184" i="2"/>
  <c r="Z229" i="2"/>
  <c r="Z245" i="2"/>
  <c r="Z209" i="2"/>
  <c r="Z203" i="2"/>
  <c r="Z275" i="2"/>
  <c r="Z295" i="2"/>
  <c r="Z311" i="2"/>
  <c r="Z288" i="2"/>
  <c r="Z308" i="2"/>
  <c r="Z330" i="2"/>
  <c r="Z208" i="2"/>
  <c r="Z347" i="2"/>
  <c r="Z363" i="2"/>
  <c r="Z379" i="2"/>
  <c r="Z395" i="2"/>
  <c r="Z262" i="2"/>
  <c r="Z348" i="2"/>
  <c r="Z364" i="2"/>
  <c r="Z380" i="2"/>
  <c r="Z341" i="2"/>
  <c r="Z357" i="2"/>
  <c r="Z373" i="2"/>
  <c r="Z389" i="2"/>
  <c r="Z421" i="2"/>
  <c r="Z440" i="2"/>
  <c r="Z476" i="2"/>
  <c r="Z383" i="2"/>
  <c r="Z419" i="2"/>
  <c r="Z425" i="2"/>
  <c r="Z393" i="2"/>
  <c r="Z397" i="2"/>
  <c r="Z449" i="2"/>
  <c r="Z477" i="2"/>
  <c r="Z485" i="2"/>
  <c r="Z493" i="2"/>
  <c r="Z475" i="2"/>
  <c r="Z436" i="2"/>
  <c r="Z55" i="2"/>
  <c r="Z52" i="2"/>
  <c r="Z103" i="2"/>
  <c r="Z119" i="2"/>
  <c r="Z135" i="2"/>
  <c r="Z20" i="2"/>
  <c r="Z84" i="2"/>
  <c r="Z28" i="2"/>
  <c r="Z149" i="2"/>
  <c r="Z173" i="2"/>
  <c r="Z234" i="2"/>
  <c r="Z250" i="2"/>
  <c r="Z211" i="2"/>
  <c r="Z246" i="2"/>
  <c r="Z276" i="2"/>
  <c r="Z239" i="2"/>
  <c r="Z336" i="2"/>
  <c r="Z313" i="2"/>
  <c r="Z333" i="2"/>
  <c r="Z285" i="2"/>
  <c r="Z456" i="2"/>
  <c r="Z486" i="2"/>
  <c r="Z503" i="2"/>
  <c r="Z91" i="2"/>
  <c r="Z109" i="2"/>
  <c r="Z125" i="2"/>
  <c r="Z141" i="2"/>
  <c r="Z85" i="2"/>
  <c r="Z169" i="2"/>
  <c r="Z219" i="2"/>
  <c r="Z212" i="2"/>
  <c r="Z254" i="2"/>
  <c r="Z205" i="2"/>
  <c r="Z255" i="2"/>
  <c r="Z277" i="2"/>
  <c r="Z270" i="2"/>
  <c r="Z271" i="2"/>
  <c r="Z337" i="2"/>
  <c r="Z284" i="2"/>
  <c r="Z322" i="2"/>
  <c r="Z294" i="2"/>
  <c r="Z321" i="2"/>
  <c r="Z359" i="2"/>
  <c r="Z367" i="2"/>
  <c r="Z446" i="2"/>
  <c r="Z401" i="2"/>
  <c r="Z304" i="2"/>
  <c r="Z416" i="2"/>
  <c r="Z306" i="2"/>
  <c r="Z451" i="2"/>
  <c r="Z385" i="2"/>
  <c r="Z480" i="2"/>
  <c r="Z71" i="2"/>
  <c r="Z163" i="2"/>
  <c r="Z197" i="2"/>
  <c r="Z324" i="2"/>
  <c r="Z283" i="2"/>
  <c r="Z354" i="2"/>
  <c r="Z370" i="2"/>
  <c r="Z386" i="2"/>
  <c r="Z338" i="2"/>
  <c r="Z404" i="2"/>
  <c r="Z316" i="2"/>
  <c r="Z488" i="2"/>
  <c r="Z462" i="2"/>
  <c r="Z10" i="2"/>
  <c r="Z26" i="2"/>
  <c r="Z42" i="2"/>
  <c r="Z58" i="2"/>
  <c r="Z90" i="2"/>
  <c r="Z92" i="2"/>
  <c r="Z76" i="2"/>
  <c r="Z12" i="2"/>
  <c r="Z88" i="2"/>
  <c r="Z93" i="2"/>
  <c r="Z156" i="2"/>
  <c r="Z188" i="2"/>
  <c r="Z87" i="2"/>
  <c r="Z179" i="2"/>
  <c r="Z227" i="2"/>
  <c r="Z243" i="2"/>
  <c r="Z259" i="2"/>
  <c r="Z221" i="2"/>
  <c r="Z214" i="2"/>
  <c r="Z237" i="2"/>
  <c r="Z253" i="2"/>
  <c r="Z261" i="2"/>
  <c r="Z195" i="2"/>
  <c r="Z206" i="2"/>
  <c r="Z207" i="2"/>
  <c r="Z279" i="2"/>
  <c r="Z287" i="2"/>
  <c r="Z303" i="2"/>
  <c r="Z319" i="2"/>
  <c r="Z302" i="2"/>
  <c r="Z325" i="2"/>
  <c r="Z286" i="2"/>
  <c r="Z318" i="2"/>
  <c r="Z339" i="2"/>
  <c r="Z355" i="2"/>
  <c r="Z296" i="2"/>
  <c r="Z340" i="2"/>
  <c r="Z356" i="2"/>
  <c r="Z372" i="2"/>
  <c r="Z388" i="2"/>
  <c r="Z349" i="2"/>
  <c r="Z365" i="2"/>
  <c r="Z381" i="2"/>
  <c r="Z320" i="2"/>
  <c r="Z405" i="2"/>
  <c r="Z412" i="2"/>
  <c r="Z326" i="2"/>
  <c r="Z489" i="2"/>
  <c r="Z501" i="2"/>
  <c r="Z457" i="2"/>
  <c r="Z472" i="2"/>
  <c r="Z79" i="2"/>
  <c r="Z111" i="2"/>
  <c r="Z127" i="2"/>
  <c r="Z170" i="2"/>
  <c r="Z186" i="2"/>
  <c r="Z157" i="2"/>
  <c r="Z77" i="2"/>
  <c r="Z240" i="2"/>
  <c r="Z192" i="2"/>
  <c r="Z258" i="2"/>
  <c r="Z222" i="2"/>
  <c r="Z215" i="2"/>
  <c r="Z247" i="2"/>
  <c r="Z204" i="2"/>
  <c r="Z263" i="2"/>
  <c r="Z280" i="2"/>
  <c r="Z375" i="2"/>
  <c r="Z439" i="2"/>
  <c r="Z413" i="2"/>
  <c r="Z478" i="2"/>
  <c r="Z482" i="2"/>
  <c r="Z466" i="2"/>
  <c r="Z495" i="2"/>
  <c r="Z351" i="2"/>
  <c r="P504" i="2"/>
  <c r="P499" i="2"/>
  <c r="P507" i="2"/>
  <c r="P508" i="2"/>
  <c r="P500" i="2"/>
  <c r="P502" i="2"/>
  <c r="F504" i="2"/>
  <c r="F508" i="2"/>
  <c r="F497" i="2"/>
  <c r="F499" i="2"/>
  <c r="F500" i="2"/>
  <c r="F505" i="2"/>
  <c r="B7" i="2"/>
  <c r="C7" i="2"/>
  <c r="D7" i="2"/>
  <c r="B8" i="2" a="1"/>
  <c r="B8" i="2"/>
  <c r="C8" i="2"/>
  <c r="D8" i="2"/>
  <c r="B9" i="2" a="1"/>
  <c r="B9" i="2"/>
  <c r="C9" i="2"/>
  <c r="D9" i="2"/>
  <c r="B10" i="2" a="1"/>
  <c r="B10" i="2"/>
  <c r="C10" i="2"/>
  <c r="D10" i="2"/>
  <c r="B11" i="2" a="1"/>
  <c r="B11" i="2"/>
  <c r="C11" i="2"/>
  <c r="D11" i="2"/>
  <c r="B12" i="2" a="1"/>
  <c r="B12" i="2"/>
  <c r="C12" i="2"/>
  <c r="D12" i="2"/>
  <c r="B13" i="2" a="1"/>
  <c r="B13" i="2"/>
  <c r="C13" i="2"/>
  <c r="D13" i="2"/>
  <c r="B14" i="2" a="1"/>
  <c r="B14" i="2"/>
  <c r="C14" i="2"/>
  <c r="D14" i="2"/>
  <c r="B15" i="2" a="1"/>
  <c r="B15" i="2"/>
  <c r="C15" i="2"/>
  <c r="D15" i="2"/>
  <c r="B16" i="2" a="1"/>
  <c r="B16" i="2"/>
  <c r="C16" i="2"/>
  <c r="D16" i="2"/>
  <c r="B17" i="2" a="1"/>
  <c r="B17" i="2"/>
  <c r="C17" i="2"/>
  <c r="D17" i="2"/>
  <c r="B18" i="2" a="1"/>
  <c r="B18" i="2"/>
  <c r="C18" i="2"/>
  <c r="D18" i="2"/>
  <c r="B19" i="2" a="1"/>
  <c r="B19" i="2"/>
  <c r="C19" i="2"/>
  <c r="D19" i="2"/>
  <c r="B20" i="2" a="1"/>
  <c r="B20" i="2"/>
  <c r="C20" i="2"/>
  <c r="D20" i="2"/>
  <c r="B21" i="2" a="1"/>
  <c r="B21" i="2"/>
  <c r="C21" i="2"/>
  <c r="D21" i="2"/>
  <c r="B22" i="2" a="1"/>
  <c r="B22" i="2"/>
  <c r="C22" i="2"/>
  <c r="D22" i="2"/>
  <c r="B23" i="2" a="1"/>
  <c r="B23" i="2"/>
  <c r="C23" i="2"/>
  <c r="D23" i="2"/>
  <c r="B24" i="2" a="1"/>
  <c r="B24" i="2"/>
  <c r="C24" i="2"/>
  <c r="D24" i="2"/>
  <c r="B25" i="2" a="1"/>
  <c r="B25" i="2"/>
  <c r="C25" i="2"/>
  <c r="D25" i="2"/>
  <c r="B26" i="2" a="1"/>
  <c r="B26" i="2"/>
  <c r="C26" i="2"/>
  <c r="D26" i="2"/>
  <c r="B27" i="2" a="1"/>
  <c r="B27" i="2"/>
  <c r="C27" i="2"/>
  <c r="D27" i="2"/>
  <c r="B28" i="2" a="1"/>
  <c r="B28" i="2"/>
  <c r="C28" i="2"/>
  <c r="D28" i="2"/>
  <c r="B29" i="2" a="1"/>
  <c r="B29" i="2"/>
  <c r="C29" i="2"/>
  <c r="D29" i="2"/>
  <c r="B30" i="2" a="1"/>
  <c r="B30" i="2"/>
  <c r="C30" i="2"/>
  <c r="D30" i="2"/>
  <c r="B31" i="2" a="1"/>
  <c r="B31" i="2"/>
  <c r="C31" i="2"/>
  <c r="D31" i="2"/>
  <c r="B32" i="2" a="1"/>
  <c r="B32" i="2"/>
  <c r="C32" i="2"/>
  <c r="D32" i="2"/>
  <c r="B33" i="2" a="1"/>
  <c r="B33" i="2"/>
  <c r="C33" i="2"/>
  <c r="D33" i="2"/>
  <c r="B34" i="2" a="1"/>
  <c r="B34" i="2"/>
  <c r="C34" i="2"/>
  <c r="D34" i="2"/>
  <c r="B35" i="2" a="1"/>
  <c r="B35" i="2"/>
  <c r="C35" i="2"/>
  <c r="D35" i="2"/>
  <c r="B36" i="2" a="1"/>
  <c r="B36" i="2"/>
  <c r="C36" i="2"/>
  <c r="D36" i="2"/>
  <c r="B37" i="2" a="1"/>
  <c r="B37" i="2"/>
  <c r="C37" i="2"/>
  <c r="D37" i="2"/>
  <c r="B38" i="2" a="1"/>
  <c r="B38" i="2"/>
  <c r="C38" i="2"/>
  <c r="D38" i="2"/>
  <c r="B39" i="2" a="1"/>
  <c r="B39" i="2"/>
  <c r="C39" i="2"/>
  <c r="D39" i="2"/>
  <c r="B40" i="2" a="1"/>
  <c r="B40" i="2"/>
  <c r="C40" i="2"/>
  <c r="D40" i="2"/>
  <c r="B41" i="2" a="1"/>
  <c r="B41" i="2"/>
  <c r="C41" i="2"/>
  <c r="D41" i="2"/>
  <c r="B42" i="2" a="1"/>
  <c r="B42" i="2"/>
  <c r="C42" i="2"/>
  <c r="D42" i="2"/>
  <c r="B43" i="2" a="1"/>
  <c r="B43" i="2"/>
  <c r="C43" i="2"/>
  <c r="D43" i="2"/>
  <c r="B44" i="2" a="1"/>
  <c r="B44" i="2"/>
  <c r="C44" i="2"/>
  <c r="D44" i="2"/>
  <c r="B45" i="2" a="1"/>
  <c r="B45" i="2"/>
  <c r="C45" i="2"/>
  <c r="D45" i="2"/>
  <c r="B46" i="2" a="1"/>
  <c r="B46" i="2"/>
  <c r="C46" i="2"/>
  <c r="D46" i="2"/>
  <c r="B47" i="2" a="1"/>
  <c r="B47" i="2"/>
  <c r="C47" i="2"/>
  <c r="D47" i="2"/>
  <c r="B48" i="2" a="1"/>
  <c r="B48" i="2"/>
  <c r="C48" i="2"/>
  <c r="D48" i="2"/>
  <c r="B49" i="2" a="1"/>
  <c r="B49" i="2"/>
  <c r="C49" i="2"/>
  <c r="D49" i="2"/>
  <c r="B50" i="2" a="1"/>
  <c r="B50" i="2"/>
  <c r="C50" i="2"/>
  <c r="D50" i="2"/>
  <c r="B51" i="2" a="1"/>
  <c r="B51" i="2"/>
  <c r="C51" i="2"/>
  <c r="D51" i="2"/>
  <c r="B52" i="2" a="1"/>
  <c r="B52" i="2"/>
  <c r="C52" i="2"/>
  <c r="D52" i="2"/>
  <c r="B53" i="2" a="1"/>
  <c r="B53" i="2"/>
  <c r="C53" i="2"/>
  <c r="D53" i="2"/>
  <c r="B54" i="2" a="1"/>
  <c r="B54" i="2"/>
  <c r="C54" i="2"/>
  <c r="D54" i="2"/>
  <c r="B55" i="2" a="1"/>
  <c r="B55" i="2"/>
  <c r="C55" i="2"/>
  <c r="D55" i="2"/>
  <c r="B56" i="2" a="1"/>
  <c r="B56" i="2"/>
  <c r="C56" i="2"/>
  <c r="D56" i="2"/>
  <c r="B57" i="2" a="1"/>
  <c r="B57" i="2"/>
  <c r="C57" i="2"/>
  <c r="D57" i="2"/>
  <c r="B58" i="2" a="1"/>
  <c r="B58" i="2"/>
  <c r="C58" i="2"/>
  <c r="D58" i="2"/>
  <c r="B59" i="2" a="1"/>
  <c r="B59" i="2"/>
  <c r="C59" i="2"/>
  <c r="D59" i="2"/>
  <c r="B60" i="2" a="1"/>
  <c r="B60" i="2"/>
  <c r="C60" i="2"/>
  <c r="D60" i="2"/>
  <c r="B61" i="2" a="1"/>
  <c r="B61" i="2"/>
  <c r="C61" i="2"/>
  <c r="D61" i="2"/>
  <c r="B62" i="2" a="1"/>
  <c r="B62" i="2"/>
  <c r="C62" i="2"/>
  <c r="D62" i="2"/>
  <c r="B63" i="2" a="1"/>
  <c r="B63" i="2"/>
  <c r="C63" i="2"/>
  <c r="D63" i="2"/>
  <c r="B64" i="2" a="1"/>
  <c r="B64" i="2"/>
  <c r="C64" i="2"/>
  <c r="D64" i="2"/>
  <c r="B65" i="2" a="1"/>
  <c r="B65" i="2"/>
  <c r="C65" i="2"/>
  <c r="D65" i="2"/>
  <c r="B66" i="2" a="1"/>
  <c r="B66" i="2"/>
  <c r="C66" i="2"/>
  <c r="D66" i="2"/>
  <c r="B67" i="2" a="1"/>
  <c r="B67" i="2"/>
  <c r="C67" i="2"/>
  <c r="D67" i="2"/>
  <c r="B68" i="2" a="1"/>
  <c r="B68" i="2"/>
  <c r="C68" i="2"/>
  <c r="D68" i="2"/>
  <c r="B69" i="2" a="1"/>
  <c r="B69" i="2"/>
  <c r="C69" i="2"/>
  <c r="D69" i="2"/>
  <c r="B70" i="2" a="1"/>
  <c r="B70" i="2"/>
  <c r="C70" i="2"/>
  <c r="D70" i="2"/>
  <c r="B71" i="2" a="1"/>
  <c r="B71" i="2"/>
  <c r="C71" i="2"/>
  <c r="D71" i="2"/>
  <c r="B72" i="2" a="1"/>
  <c r="B72" i="2"/>
  <c r="C72" i="2"/>
  <c r="D72" i="2"/>
  <c r="B73" i="2" a="1"/>
  <c r="B73" i="2"/>
  <c r="C73" i="2"/>
  <c r="D73" i="2"/>
  <c r="B74" i="2" a="1"/>
  <c r="B74" i="2"/>
  <c r="C74" i="2"/>
  <c r="D74" i="2"/>
  <c r="B75" i="2" a="1"/>
  <c r="B75" i="2"/>
  <c r="C75" i="2"/>
  <c r="D75" i="2"/>
  <c r="B76" i="2" a="1"/>
  <c r="B76" i="2"/>
  <c r="C76" i="2"/>
  <c r="D76" i="2"/>
  <c r="B77" i="2" a="1"/>
  <c r="B77" i="2"/>
  <c r="C77" i="2"/>
  <c r="D77" i="2"/>
  <c r="B78" i="2" a="1"/>
  <c r="B78" i="2"/>
  <c r="C78" i="2"/>
  <c r="D78" i="2"/>
  <c r="B79" i="2" a="1"/>
  <c r="B79" i="2"/>
  <c r="C79" i="2"/>
  <c r="D79" i="2"/>
  <c r="B80" i="2" a="1"/>
  <c r="B80" i="2"/>
  <c r="C80" i="2"/>
  <c r="D80" i="2"/>
  <c r="B81" i="2" a="1"/>
  <c r="B81" i="2"/>
  <c r="C81" i="2"/>
  <c r="D81" i="2"/>
  <c r="B82" i="2" a="1"/>
  <c r="B82" i="2"/>
  <c r="C82" i="2"/>
  <c r="D82" i="2"/>
  <c r="B83" i="2" a="1"/>
  <c r="B83" i="2"/>
  <c r="C83" i="2"/>
  <c r="D83" i="2"/>
  <c r="B84" i="2" a="1"/>
  <c r="B84" i="2"/>
  <c r="C84" i="2"/>
  <c r="D84" i="2"/>
  <c r="B85" i="2" a="1"/>
  <c r="B85" i="2"/>
  <c r="C85" i="2"/>
  <c r="D85" i="2"/>
  <c r="B86" i="2" a="1"/>
  <c r="B86" i="2"/>
  <c r="C86" i="2"/>
  <c r="D86" i="2"/>
  <c r="B87" i="2" a="1"/>
  <c r="B87" i="2"/>
  <c r="C87" i="2"/>
  <c r="D87" i="2"/>
  <c r="B88" i="2" a="1"/>
  <c r="B88" i="2"/>
  <c r="C88" i="2"/>
  <c r="D88" i="2"/>
  <c r="B89" i="2" a="1"/>
  <c r="B89" i="2"/>
  <c r="C89" i="2"/>
  <c r="D89" i="2"/>
  <c r="B90" i="2" a="1"/>
  <c r="B90" i="2"/>
  <c r="C90" i="2"/>
  <c r="D90" i="2"/>
  <c r="B91" i="2" a="1"/>
  <c r="B91" i="2"/>
  <c r="C91" i="2"/>
  <c r="D91" i="2"/>
  <c r="B92" i="2" a="1"/>
  <c r="B92" i="2"/>
  <c r="C92" i="2"/>
  <c r="D92" i="2"/>
  <c r="B93" i="2" a="1"/>
  <c r="B93" i="2"/>
  <c r="C93" i="2"/>
  <c r="D93" i="2"/>
  <c r="B94" i="2" a="1"/>
  <c r="B94" i="2"/>
  <c r="C94" i="2"/>
  <c r="D94" i="2"/>
  <c r="B95" i="2" a="1"/>
  <c r="B95" i="2"/>
  <c r="C95" i="2"/>
  <c r="D95" i="2"/>
  <c r="B96" i="2" a="1"/>
  <c r="B96" i="2"/>
  <c r="C96" i="2"/>
  <c r="D96" i="2"/>
  <c r="B97" i="2" a="1"/>
  <c r="B97" i="2"/>
  <c r="C97" i="2"/>
  <c r="D97" i="2"/>
  <c r="B98" i="2" a="1"/>
  <c r="B98" i="2"/>
  <c r="C98" i="2"/>
  <c r="D98" i="2"/>
  <c r="B99" i="2" a="1"/>
  <c r="B99" i="2"/>
  <c r="C99" i="2"/>
  <c r="D99" i="2"/>
  <c r="B100" i="2" a="1"/>
  <c r="B100" i="2"/>
  <c r="C100" i="2"/>
  <c r="D100" i="2"/>
  <c r="B101" i="2" a="1"/>
  <c r="B101" i="2"/>
  <c r="C101" i="2"/>
  <c r="D101" i="2"/>
  <c r="B102" i="2" a="1"/>
  <c r="B102" i="2"/>
  <c r="C102" i="2"/>
  <c r="D102" i="2"/>
  <c r="B103" i="2" a="1"/>
  <c r="B103" i="2"/>
  <c r="C103" i="2"/>
  <c r="D103" i="2"/>
  <c r="B104" i="2" a="1"/>
  <c r="B104" i="2"/>
  <c r="C104" i="2"/>
  <c r="D104" i="2"/>
  <c r="B105" i="2" a="1"/>
  <c r="B105" i="2"/>
  <c r="C105" i="2"/>
  <c r="D105" i="2"/>
  <c r="B106" i="2" a="1"/>
  <c r="B106" i="2"/>
  <c r="C106" i="2"/>
  <c r="D106" i="2"/>
  <c r="B107" i="2" a="1"/>
  <c r="B107" i="2"/>
  <c r="C107" i="2"/>
  <c r="D107" i="2"/>
  <c r="B108" i="2" a="1"/>
  <c r="B108" i="2"/>
  <c r="C108" i="2"/>
  <c r="D108" i="2"/>
  <c r="B109" i="2" a="1"/>
  <c r="B109" i="2"/>
  <c r="C109" i="2"/>
  <c r="D109" i="2"/>
  <c r="B110" i="2" a="1"/>
  <c r="B110" i="2"/>
  <c r="C110" i="2"/>
  <c r="D110" i="2"/>
  <c r="B111" i="2" a="1"/>
  <c r="B111" i="2"/>
  <c r="C111" i="2"/>
  <c r="D111" i="2"/>
  <c r="B112" i="2" a="1"/>
  <c r="B112" i="2"/>
  <c r="C112" i="2"/>
  <c r="D112" i="2"/>
  <c r="B113" i="2" a="1"/>
  <c r="B113" i="2"/>
  <c r="C113" i="2"/>
  <c r="D113" i="2"/>
  <c r="B114" i="2" a="1"/>
  <c r="B114" i="2"/>
  <c r="C114" i="2"/>
  <c r="D114" i="2"/>
  <c r="B115" i="2" a="1"/>
  <c r="B115" i="2"/>
  <c r="C115" i="2"/>
  <c r="D115" i="2"/>
  <c r="B116" i="2" a="1"/>
  <c r="B116" i="2"/>
  <c r="C116" i="2"/>
  <c r="D116" i="2"/>
  <c r="B117" i="2" a="1"/>
  <c r="B117" i="2"/>
  <c r="C117" i="2"/>
  <c r="D117" i="2"/>
  <c r="B118" i="2" a="1"/>
  <c r="B118" i="2"/>
  <c r="C118" i="2"/>
  <c r="D118" i="2"/>
  <c r="B119" i="2" a="1"/>
  <c r="B119" i="2"/>
  <c r="C119" i="2"/>
  <c r="D119" i="2"/>
  <c r="B120" i="2" a="1"/>
  <c r="B120" i="2"/>
  <c r="C120" i="2"/>
  <c r="D120" i="2"/>
  <c r="B121" i="2" a="1"/>
  <c r="B121" i="2"/>
  <c r="C121" i="2"/>
  <c r="D121" i="2"/>
  <c r="B122" i="2" a="1"/>
  <c r="B122" i="2"/>
  <c r="C122" i="2"/>
  <c r="D122" i="2"/>
  <c r="B123" i="2" a="1"/>
  <c r="B123" i="2"/>
  <c r="C123" i="2"/>
  <c r="D123" i="2"/>
  <c r="B124" i="2" a="1"/>
  <c r="B124" i="2"/>
  <c r="C124" i="2"/>
  <c r="D124" i="2"/>
  <c r="B125" i="2" a="1"/>
  <c r="B125" i="2"/>
  <c r="C125" i="2"/>
  <c r="D125" i="2"/>
  <c r="B126" i="2" a="1"/>
  <c r="B126" i="2"/>
  <c r="C126" i="2"/>
  <c r="D126" i="2"/>
  <c r="B127" i="2" a="1"/>
  <c r="B127" i="2"/>
  <c r="C127" i="2"/>
  <c r="D127" i="2"/>
  <c r="B128" i="2" a="1"/>
  <c r="B128" i="2"/>
  <c r="C128" i="2"/>
  <c r="D128" i="2"/>
  <c r="B129" i="2" a="1"/>
  <c r="B129" i="2"/>
  <c r="C129" i="2"/>
  <c r="D129" i="2"/>
  <c r="B130" i="2" a="1"/>
  <c r="B130" i="2"/>
  <c r="C130" i="2"/>
  <c r="D130" i="2"/>
  <c r="B131" i="2" a="1"/>
  <c r="B131" i="2"/>
  <c r="C131" i="2"/>
  <c r="D131" i="2"/>
  <c r="B132" i="2" a="1"/>
  <c r="B132" i="2"/>
  <c r="C132" i="2"/>
  <c r="D132" i="2"/>
  <c r="B133" i="2" a="1"/>
  <c r="B133" i="2"/>
  <c r="C133" i="2"/>
  <c r="D133" i="2"/>
  <c r="B134" i="2" a="1"/>
  <c r="B134" i="2"/>
  <c r="C134" i="2"/>
  <c r="D134" i="2"/>
  <c r="B135" i="2" a="1"/>
  <c r="B135" i="2"/>
  <c r="C135" i="2"/>
  <c r="D135" i="2"/>
  <c r="B136" i="2" a="1"/>
  <c r="B136" i="2"/>
  <c r="C136" i="2"/>
  <c r="D136" i="2"/>
  <c r="B137" i="2" a="1"/>
  <c r="B137" i="2"/>
  <c r="C137" i="2"/>
  <c r="D137" i="2"/>
  <c r="B138" i="2" a="1"/>
  <c r="B138" i="2"/>
  <c r="C138" i="2"/>
  <c r="D138" i="2"/>
  <c r="B139" i="2" a="1"/>
  <c r="B139" i="2"/>
  <c r="C139" i="2"/>
  <c r="D139" i="2"/>
  <c r="B140" i="2" a="1"/>
  <c r="B140" i="2"/>
  <c r="C140" i="2"/>
  <c r="D140" i="2"/>
  <c r="B141" i="2" a="1"/>
  <c r="B141" i="2"/>
  <c r="C141" i="2"/>
  <c r="D141" i="2"/>
  <c r="B142" i="2" a="1"/>
  <c r="B142" i="2"/>
  <c r="C142" i="2"/>
  <c r="D142" i="2"/>
  <c r="B143" i="2" a="1"/>
  <c r="B143" i="2"/>
  <c r="C143" i="2"/>
  <c r="D143" i="2"/>
  <c r="B144" i="2" a="1"/>
  <c r="B144" i="2"/>
  <c r="C144" i="2"/>
  <c r="D144" i="2"/>
  <c r="B145" i="2" a="1"/>
  <c r="B145" i="2"/>
  <c r="C145" i="2"/>
  <c r="D145" i="2"/>
  <c r="B146" i="2" a="1"/>
  <c r="B146" i="2"/>
  <c r="C146" i="2"/>
  <c r="D146" i="2"/>
  <c r="B147" i="2" a="1"/>
  <c r="B147" i="2"/>
  <c r="C147" i="2"/>
  <c r="D147" i="2"/>
  <c r="B148" i="2" a="1"/>
  <c r="B148" i="2"/>
  <c r="C148" i="2"/>
  <c r="D148" i="2"/>
  <c r="B149" i="2" a="1"/>
  <c r="B149" i="2"/>
  <c r="C149" i="2"/>
  <c r="D149" i="2"/>
  <c r="B150" i="2" a="1"/>
  <c r="B150" i="2"/>
  <c r="C150" i="2"/>
  <c r="D150" i="2"/>
  <c r="B151" i="2" a="1"/>
  <c r="B151" i="2"/>
  <c r="C151" i="2"/>
  <c r="D151" i="2"/>
  <c r="B152" i="2" a="1"/>
  <c r="B152" i="2"/>
  <c r="C152" i="2"/>
  <c r="D152" i="2"/>
  <c r="B153" i="2" a="1"/>
  <c r="B153" i="2"/>
  <c r="C153" i="2"/>
  <c r="D153" i="2"/>
  <c r="B154" i="2" a="1"/>
  <c r="B154" i="2"/>
  <c r="C154" i="2"/>
  <c r="D154" i="2"/>
  <c r="B155" i="2" a="1"/>
  <c r="B155" i="2"/>
  <c r="C155" i="2"/>
  <c r="D155" i="2"/>
  <c r="B156" i="2" a="1"/>
  <c r="B156" i="2"/>
  <c r="C156" i="2"/>
  <c r="D156" i="2"/>
  <c r="B157" i="2" a="1"/>
  <c r="B157" i="2"/>
  <c r="C157" i="2"/>
  <c r="D157" i="2"/>
  <c r="B158" i="2" a="1"/>
  <c r="B158" i="2"/>
  <c r="C158" i="2"/>
  <c r="D158" i="2"/>
  <c r="B159" i="2" a="1"/>
  <c r="B159" i="2"/>
  <c r="C159" i="2"/>
  <c r="D159" i="2"/>
  <c r="B160" i="2" a="1"/>
  <c r="B160" i="2"/>
  <c r="C160" i="2"/>
  <c r="D160" i="2"/>
  <c r="B161" i="2" a="1"/>
  <c r="B161" i="2"/>
  <c r="C161" i="2"/>
  <c r="D161" i="2"/>
  <c r="B162" i="2" a="1"/>
  <c r="B162" i="2"/>
  <c r="C162" i="2"/>
  <c r="D162" i="2"/>
  <c r="B163" i="2" a="1"/>
  <c r="B163" i="2"/>
  <c r="C163" i="2"/>
  <c r="D163" i="2"/>
  <c r="B164" i="2" a="1"/>
  <c r="B164" i="2"/>
  <c r="C164" i="2"/>
  <c r="D164" i="2"/>
  <c r="B165" i="2" a="1"/>
  <c r="B165" i="2"/>
  <c r="C165" i="2"/>
  <c r="D165" i="2"/>
  <c r="B166" i="2" a="1"/>
  <c r="B166" i="2"/>
  <c r="C166" i="2"/>
  <c r="D166" i="2"/>
  <c r="B167" i="2" a="1"/>
  <c r="B167" i="2"/>
  <c r="C167" i="2"/>
  <c r="D167" i="2"/>
  <c r="B168" i="2" a="1"/>
  <c r="B168" i="2"/>
  <c r="C168" i="2"/>
  <c r="D168" i="2"/>
  <c r="B169" i="2" a="1"/>
  <c r="B169" i="2"/>
  <c r="C169" i="2"/>
  <c r="D169" i="2"/>
  <c r="B170" i="2" a="1"/>
  <c r="B170" i="2"/>
  <c r="C170" i="2"/>
  <c r="D170" i="2"/>
  <c r="B171" i="2" a="1"/>
  <c r="B171" i="2"/>
  <c r="C171" i="2"/>
  <c r="D171" i="2"/>
  <c r="B172" i="2" a="1"/>
  <c r="B172" i="2"/>
  <c r="C172" i="2"/>
  <c r="D172" i="2"/>
  <c r="B173" i="2" a="1"/>
  <c r="B173" i="2"/>
  <c r="C173" i="2"/>
  <c r="D173" i="2"/>
  <c r="B174" i="2" a="1"/>
  <c r="B174" i="2"/>
  <c r="C174" i="2"/>
  <c r="D174" i="2"/>
  <c r="B175" i="2" a="1"/>
  <c r="B175" i="2"/>
  <c r="C175" i="2"/>
  <c r="D175" i="2"/>
  <c r="B176" i="2" a="1"/>
  <c r="B176" i="2"/>
  <c r="C176" i="2"/>
  <c r="D176" i="2"/>
  <c r="B177" i="2" a="1"/>
  <c r="B177" i="2"/>
  <c r="C177" i="2"/>
  <c r="D177" i="2"/>
  <c r="B178" i="2" a="1"/>
  <c r="B178" i="2"/>
  <c r="C178" i="2"/>
  <c r="D178" i="2"/>
  <c r="B179" i="2" a="1"/>
  <c r="B179" i="2"/>
  <c r="C179" i="2"/>
  <c r="D179" i="2"/>
  <c r="B180" i="2" a="1"/>
  <c r="B180" i="2"/>
  <c r="C180" i="2"/>
  <c r="D180" i="2"/>
  <c r="B181" i="2" a="1"/>
  <c r="B181" i="2"/>
  <c r="C181" i="2"/>
  <c r="D181" i="2"/>
  <c r="B182" i="2" a="1"/>
  <c r="B182" i="2"/>
  <c r="C182" i="2"/>
  <c r="D182" i="2"/>
  <c r="B183" i="2" a="1"/>
  <c r="B183" i="2"/>
  <c r="C183" i="2"/>
  <c r="D183" i="2"/>
  <c r="B184" i="2" a="1"/>
  <c r="B184" i="2"/>
  <c r="C184" i="2"/>
  <c r="D184" i="2"/>
  <c r="B185" i="2" a="1"/>
  <c r="B185" i="2"/>
  <c r="C185" i="2"/>
  <c r="D185" i="2"/>
  <c r="B186" i="2" a="1"/>
  <c r="B186" i="2"/>
  <c r="C186" i="2"/>
  <c r="D186" i="2"/>
  <c r="B187" i="2" a="1"/>
  <c r="B187" i="2"/>
  <c r="C187" i="2"/>
  <c r="D187" i="2"/>
  <c r="B188" i="2" a="1"/>
  <c r="B188" i="2"/>
  <c r="C188" i="2"/>
  <c r="D188" i="2"/>
  <c r="B189" i="2" a="1"/>
  <c r="B189" i="2"/>
  <c r="C189" i="2"/>
  <c r="D189" i="2"/>
  <c r="B190" i="2" a="1"/>
  <c r="B190" i="2"/>
  <c r="C190" i="2"/>
  <c r="D190" i="2"/>
  <c r="B191" i="2" a="1"/>
  <c r="B191" i="2"/>
  <c r="C191" i="2"/>
  <c r="D191" i="2"/>
  <c r="B192" i="2" a="1"/>
  <c r="B192" i="2"/>
  <c r="C192" i="2"/>
  <c r="D192" i="2"/>
  <c r="B193" i="2" a="1"/>
  <c r="B193" i="2"/>
  <c r="C193" i="2"/>
  <c r="D193" i="2"/>
  <c r="B194" i="2" a="1"/>
  <c r="B194" i="2"/>
  <c r="C194" i="2"/>
  <c r="D194" i="2"/>
  <c r="B195" i="2" a="1"/>
  <c r="B195" i="2"/>
  <c r="C195" i="2"/>
  <c r="D195" i="2"/>
  <c r="B196" i="2" a="1"/>
  <c r="B196" i="2"/>
  <c r="C196" i="2"/>
  <c r="D196" i="2"/>
  <c r="B197" i="2" a="1"/>
  <c r="B197" i="2"/>
  <c r="C197" i="2"/>
  <c r="D197" i="2"/>
  <c r="B198" i="2" a="1"/>
  <c r="B198" i="2"/>
  <c r="C198" i="2"/>
  <c r="D198" i="2"/>
  <c r="B199" i="2" a="1"/>
  <c r="B199" i="2"/>
  <c r="C199" i="2"/>
  <c r="D199" i="2"/>
  <c r="B200" i="2" a="1"/>
  <c r="B200" i="2"/>
  <c r="C200" i="2"/>
  <c r="D200" i="2"/>
  <c r="B201" i="2" a="1"/>
  <c r="B201" i="2"/>
  <c r="C201" i="2"/>
  <c r="D201" i="2"/>
  <c r="B202" i="2" a="1"/>
  <c r="B202" i="2"/>
  <c r="C202" i="2"/>
  <c r="D202" i="2"/>
  <c r="B203" i="2" a="1"/>
  <c r="B203" i="2"/>
  <c r="C203" i="2"/>
  <c r="D203" i="2"/>
  <c r="B204" i="2" a="1"/>
  <c r="B204" i="2"/>
  <c r="C204" i="2"/>
  <c r="D204" i="2"/>
  <c r="B205" i="2" a="1"/>
  <c r="B205" i="2"/>
  <c r="C205" i="2"/>
  <c r="D205" i="2"/>
  <c r="B206" i="2" a="1"/>
  <c r="B206" i="2"/>
  <c r="C206" i="2"/>
  <c r="D206" i="2"/>
  <c r="B207" i="2" a="1"/>
  <c r="B207" i="2"/>
  <c r="C207" i="2"/>
  <c r="D207" i="2"/>
  <c r="B208" i="2" a="1"/>
  <c r="B208" i="2"/>
  <c r="C208" i="2"/>
  <c r="D208" i="2"/>
  <c r="B209" i="2" a="1"/>
  <c r="B209" i="2"/>
  <c r="C209" i="2"/>
  <c r="D209" i="2"/>
  <c r="B210" i="2" a="1"/>
  <c r="B210" i="2"/>
  <c r="C210" i="2"/>
  <c r="D210" i="2"/>
  <c r="B211" i="2" a="1"/>
  <c r="B211" i="2"/>
  <c r="C211" i="2"/>
  <c r="D211" i="2"/>
  <c r="B212" i="2" a="1"/>
  <c r="B212" i="2"/>
  <c r="C212" i="2"/>
  <c r="D212" i="2"/>
  <c r="B213" i="2" a="1"/>
  <c r="B213" i="2"/>
  <c r="C213" i="2"/>
  <c r="D213" i="2"/>
  <c r="B214" i="2" a="1"/>
  <c r="B214" i="2"/>
  <c r="C214" i="2"/>
  <c r="D214" i="2"/>
  <c r="B215" i="2" a="1"/>
  <c r="B215" i="2"/>
  <c r="C215" i="2"/>
  <c r="D215" i="2"/>
  <c r="B216" i="2" a="1"/>
  <c r="B216" i="2"/>
  <c r="C216" i="2"/>
  <c r="D216" i="2"/>
  <c r="B217" i="2" a="1"/>
  <c r="B217" i="2"/>
  <c r="C217" i="2"/>
  <c r="D217" i="2"/>
  <c r="B218" i="2" a="1"/>
  <c r="B218" i="2"/>
  <c r="C218" i="2"/>
  <c r="D218" i="2"/>
  <c r="B219" i="2" a="1"/>
  <c r="B219" i="2"/>
  <c r="C219" i="2"/>
  <c r="D219" i="2"/>
  <c r="B220" i="2" a="1"/>
  <c r="B220" i="2"/>
  <c r="C220" i="2"/>
  <c r="D220" i="2"/>
  <c r="B221" i="2" a="1"/>
  <c r="B221" i="2"/>
  <c r="C221" i="2"/>
  <c r="D221" i="2"/>
  <c r="B222" i="2" a="1"/>
  <c r="B222" i="2"/>
  <c r="C222" i="2"/>
  <c r="D222" i="2"/>
  <c r="B223" i="2" a="1"/>
  <c r="B223" i="2"/>
  <c r="C223" i="2"/>
  <c r="D223" i="2"/>
  <c r="B224" i="2" a="1"/>
  <c r="B224" i="2"/>
  <c r="C224" i="2"/>
  <c r="D224" i="2"/>
  <c r="B225" i="2" a="1"/>
  <c r="B225" i="2"/>
  <c r="C225" i="2"/>
  <c r="D225" i="2"/>
  <c r="B226" i="2" a="1"/>
  <c r="B226" i="2"/>
  <c r="C226" i="2"/>
  <c r="D226" i="2"/>
  <c r="B227" i="2" a="1"/>
  <c r="B227" i="2"/>
  <c r="C227" i="2"/>
  <c r="D227" i="2"/>
  <c r="B228" i="2" a="1"/>
  <c r="B228" i="2"/>
  <c r="C228" i="2"/>
  <c r="D228" i="2"/>
  <c r="B229" i="2" a="1"/>
  <c r="B229" i="2"/>
  <c r="C229" i="2"/>
  <c r="D229" i="2"/>
  <c r="B230" i="2" a="1"/>
  <c r="B230" i="2"/>
  <c r="C230" i="2"/>
  <c r="D230" i="2"/>
  <c r="B231" i="2" a="1"/>
  <c r="B231" i="2"/>
  <c r="C231" i="2"/>
  <c r="D231" i="2"/>
  <c r="B232" i="2" a="1"/>
  <c r="B232" i="2"/>
  <c r="C232" i="2"/>
  <c r="D232" i="2"/>
  <c r="B233" i="2" a="1"/>
  <c r="B233" i="2"/>
  <c r="C233" i="2"/>
  <c r="D233" i="2"/>
  <c r="B234" i="2" a="1"/>
  <c r="B234" i="2"/>
  <c r="C234" i="2"/>
  <c r="D234" i="2"/>
  <c r="B235" i="2" a="1"/>
  <c r="B235" i="2"/>
  <c r="C235" i="2"/>
  <c r="D235" i="2"/>
  <c r="B236" i="2" a="1"/>
  <c r="B236" i="2"/>
  <c r="C236" i="2"/>
  <c r="D236" i="2"/>
  <c r="B237" i="2" a="1"/>
  <c r="B237" i="2"/>
  <c r="C237" i="2"/>
  <c r="D237" i="2"/>
  <c r="B238" i="2" a="1"/>
  <c r="B238" i="2"/>
  <c r="C238" i="2"/>
  <c r="D238" i="2"/>
  <c r="B239" i="2" a="1"/>
  <c r="B239" i="2"/>
  <c r="C239" i="2"/>
  <c r="D239" i="2"/>
  <c r="B240" i="2" a="1"/>
  <c r="B240" i="2"/>
  <c r="C240" i="2"/>
  <c r="D240" i="2"/>
  <c r="B241" i="2" a="1"/>
  <c r="B241" i="2"/>
  <c r="C241" i="2"/>
  <c r="D241" i="2"/>
  <c r="B242" i="2" a="1"/>
  <c r="B242" i="2"/>
  <c r="C242" i="2"/>
  <c r="D242" i="2"/>
  <c r="B243" i="2" a="1"/>
  <c r="B243" i="2"/>
  <c r="C243" i="2"/>
  <c r="D243" i="2"/>
  <c r="B244" i="2" a="1"/>
  <c r="B244" i="2"/>
  <c r="C244" i="2"/>
  <c r="D244" i="2"/>
  <c r="B245" i="2" a="1"/>
  <c r="B245" i="2"/>
  <c r="C245" i="2"/>
  <c r="D245" i="2"/>
  <c r="B246" i="2" a="1"/>
  <c r="B246" i="2"/>
  <c r="C246" i="2"/>
  <c r="D246" i="2"/>
  <c r="B247" i="2" a="1"/>
  <c r="B247" i="2"/>
  <c r="C247" i="2"/>
  <c r="D247" i="2"/>
  <c r="B248" i="2" a="1"/>
  <c r="B248" i="2"/>
  <c r="C248" i="2"/>
  <c r="D248" i="2"/>
  <c r="B249" i="2" a="1"/>
  <c r="B249" i="2"/>
  <c r="C249" i="2"/>
  <c r="D249" i="2"/>
  <c r="B250" i="2" a="1"/>
  <c r="B250" i="2"/>
  <c r="C250" i="2"/>
  <c r="D250" i="2"/>
  <c r="B251" i="2" a="1"/>
  <c r="B251" i="2"/>
  <c r="C251" i="2"/>
  <c r="D251" i="2"/>
  <c r="B252" i="2" a="1"/>
  <c r="B252" i="2"/>
  <c r="C252" i="2"/>
  <c r="D252" i="2"/>
  <c r="B253" i="2" a="1"/>
  <c r="B253" i="2"/>
  <c r="C253" i="2"/>
  <c r="D253" i="2"/>
  <c r="B254" i="2" a="1"/>
  <c r="B254" i="2"/>
  <c r="C254" i="2"/>
  <c r="D254" i="2"/>
  <c r="B255" i="2" a="1"/>
  <c r="B255" i="2"/>
  <c r="C255" i="2"/>
  <c r="D255" i="2"/>
  <c r="B256" i="2" a="1"/>
  <c r="B256" i="2"/>
  <c r="C256" i="2"/>
  <c r="D256" i="2"/>
  <c r="B257" i="2" a="1"/>
  <c r="B257" i="2"/>
  <c r="C257" i="2"/>
  <c r="D257" i="2"/>
  <c r="B258" i="2" a="1"/>
  <c r="B258" i="2"/>
  <c r="C258" i="2"/>
  <c r="D258" i="2"/>
  <c r="B259" i="2" a="1"/>
  <c r="B259" i="2"/>
  <c r="C259" i="2"/>
  <c r="D259" i="2"/>
  <c r="B260" i="2" a="1"/>
  <c r="B260" i="2"/>
  <c r="C260" i="2"/>
  <c r="D260" i="2"/>
  <c r="B261" i="2" a="1"/>
  <c r="B261" i="2"/>
  <c r="C261" i="2"/>
  <c r="D261" i="2"/>
  <c r="B262" i="2" a="1"/>
  <c r="B262" i="2"/>
  <c r="C262" i="2"/>
  <c r="D262" i="2"/>
  <c r="B263" i="2" a="1"/>
  <c r="B263" i="2"/>
  <c r="C263" i="2"/>
  <c r="D263" i="2"/>
  <c r="B264" i="2" a="1"/>
  <c r="B264" i="2"/>
  <c r="C264" i="2"/>
  <c r="D264" i="2"/>
  <c r="B265" i="2" a="1"/>
  <c r="B265" i="2"/>
  <c r="C265" i="2"/>
  <c r="D265" i="2"/>
  <c r="B266" i="2" a="1"/>
  <c r="B266" i="2"/>
  <c r="C266" i="2"/>
  <c r="D266" i="2"/>
  <c r="B267" i="2" a="1"/>
  <c r="B267" i="2"/>
  <c r="C267" i="2"/>
  <c r="D267" i="2"/>
  <c r="B268" i="2" a="1"/>
  <c r="B268" i="2"/>
  <c r="C268" i="2"/>
  <c r="D268" i="2"/>
  <c r="B269" i="2" a="1"/>
  <c r="B269" i="2"/>
  <c r="C269" i="2"/>
  <c r="D269" i="2"/>
  <c r="B270" i="2" a="1"/>
  <c r="B270" i="2"/>
  <c r="C270" i="2"/>
  <c r="D270" i="2"/>
  <c r="B271" i="2" a="1"/>
  <c r="B271" i="2"/>
  <c r="C271" i="2"/>
  <c r="D271" i="2"/>
  <c r="B272" i="2" a="1"/>
  <c r="B272" i="2"/>
  <c r="C272" i="2"/>
  <c r="D272" i="2"/>
  <c r="B273" i="2" a="1"/>
  <c r="B273" i="2"/>
  <c r="C273" i="2"/>
  <c r="D273" i="2"/>
  <c r="B274" i="2" a="1"/>
  <c r="B274" i="2"/>
  <c r="C274" i="2"/>
  <c r="D274" i="2"/>
  <c r="B275" i="2" a="1"/>
  <c r="B275" i="2"/>
  <c r="C275" i="2"/>
  <c r="D275" i="2"/>
  <c r="B276" i="2" a="1"/>
  <c r="B276" i="2"/>
  <c r="C276" i="2"/>
  <c r="D276" i="2"/>
  <c r="B277" i="2" a="1"/>
  <c r="B277" i="2"/>
  <c r="C277" i="2"/>
  <c r="D277" i="2"/>
  <c r="B278" i="2" a="1"/>
  <c r="B278" i="2"/>
  <c r="C278" i="2"/>
  <c r="D278" i="2"/>
  <c r="B279" i="2" a="1"/>
  <c r="B279" i="2"/>
  <c r="C279" i="2"/>
  <c r="D279" i="2"/>
  <c r="B280" i="2" a="1"/>
  <c r="B280" i="2"/>
  <c r="C280" i="2"/>
  <c r="D280" i="2"/>
  <c r="B281" i="2" a="1"/>
  <c r="B281" i="2"/>
  <c r="C281" i="2"/>
  <c r="D281" i="2"/>
  <c r="B282" i="2" a="1"/>
  <c r="B282" i="2"/>
  <c r="C282" i="2"/>
  <c r="D282" i="2"/>
  <c r="B283" i="2" a="1"/>
  <c r="B283" i="2"/>
  <c r="C283" i="2"/>
  <c r="D283" i="2"/>
  <c r="B284" i="2" a="1"/>
  <c r="B284" i="2"/>
  <c r="C284" i="2"/>
  <c r="D284" i="2"/>
  <c r="B285" i="2" a="1"/>
  <c r="B285" i="2"/>
  <c r="C285" i="2"/>
  <c r="D285" i="2"/>
  <c r="B286" i="2" a="1"/>
  <c r="B286" i="2"/>
  <c r="C286" i="2"/>
  <c r="D286" i="2"/>
  <c r="B287" i="2" a="1"/>
  <c r="B287" i="2"/>
  <c r="C287" i="2"/>
  <c r="D287" i="2"/>
  <c r="B288" i="2" a="1"/>
  <c r="B288" i="2"/>
  <c r="C288" i="2"/>
  <c r="D288" i="2"/>
  <c r="B289" i="2" a="1"/>
  <c r="B289" i="2"/>
  <c r="C289" i="2"/>
  <c r="D289" i="2"/>
  <c r="B290" i="2" a="1"/>
  <c r="B290" i="2"/>
  <c r="C290" i="2"/>
  <c r="D290" i="2"/>
  <c r="B291" i="2" a="1"/>
  <c r="B291" i="2"/>
  <c r="C291" i="2"/>
  <c r="D291" i="2"/>
  <c r="B292" i="2" a="1"/>
  <c r="B292" i="2"/>
  <c r="C292" i="2"/>
  <c r="D292" i="2"/>
  <c r="B293" i="2" a="1"/>
  <c r="B293" i="2"/>
  <c r="C293" i="2"/>
  <c r="D293" i="2"/>
  <c r="B294" i="2" a="1"/>
  <c r="B294" i="2"/>
  <c r="C294" i="2"/>
  <c r="D294" i="2"/>
  <c r="B295" i="2" a="1"/>
  <c r="B295" i="2"/>
  <c r="C295" i="2"/>
  <c r="D295" i="2"/>
  <c r="B296" i="2" a="1"/>
  <c r="B296" i="2"/>
  <c r="C296" i="2"/>
  <c r="D296" i="2"/>
  <c r="B297" i="2" a="1"/>
  <c r="B297" i="2"/>
  <c r="C297" i="2"/>
  <c r="D297" i="2"/>
  <c r="B298" i="2" a="1"/>
  <c r="B298" i="2"/>
  <c r="C298" i="2"/>
  <c r="D298" i="2"/>
  <c r="B299" i="2" a="1"/>
  <c r="B299" i="2"/>
  <c r="C299" i="2"/>
  <c r="D299" i="2"/>
  <c r="B300" i="2" a="1"/>
  <c r="B300" i="2"/>
  <c r="C300" i="2"/>
  <c r="D300" i="2"/>
  <c r="B301" i="2" a="1"/>
  <c r="B301" i="2"/>
  <c r="C301" i="2"/>
  <c r="D301" i="2"/>
  <c r="B302" i="2" a="1"/>
  <c r="B302" i="2"/>
  <c r="C302" i="2"/>
  <c r="D302" i="2"/>
  <c r="B303" i="2" a="1"/>
  <c r="B303" i="2"/>
  <c r="C303" i="2"/>
  <c r="D303" i="2"/>
  <c r="B304" i="2" a="1"/>
  <c r="B304" i="2"/>
  <c r="C304" i="2"/>
  <c r="D304" i="2"/>
  <c r="B305" i="2" a="1"/>
  <c r="B305" i="2"/>
  <c r="C305" i="2"/>
  <c r="D305" i="2"/>
  <c r="B306" i="2" a="1"/>
  <c r="B306" i="2"/>
  <c r="C306" i="2"/>
  <c r="D306" i="2"/>
  <c r="B307" i="2" a="1"/>
  <c r="B307" i="2"/>
  <c r="C307" i="2"/>
  <c r="D307" i="2"/>
  <c r="B308" i="2" a="1"/>
  <c r="B308" i="2"/>
  <c r="C308" i="2"/>
  <c r="D308" i="2"/>
  <c r="B309" i="2" a="1"/>
  <c r="B309" i="2"/>
  <c r="C309" i="2"/>
  <c r="D309" i="2"/>
  <c r="B310" i="2" a="1"/>
  <c r="B310" i="2"/>
  <c r="C310" i="2"/>
  <c r="D310" i="2"/>
  <c r="B311" i="2" a="1"/>
  <c r="B311" i="2"/>
  <c r="C311" i="2"/>
  <c r="D311" i="2"/>
  <c r="B312" i="2" a="1"/>
  <c r="B312" i="2"/>
  <c r="C312" i="2"/>
  <c r="D312" i="2"/>
  <c r="B313" i="2" a="1"/>
  <c r="B313" i="2"/>
  <c r="C313" i="2"/>
  <c r="D313" i="2"/>
  <c r="B314" i="2" a="1"/>
  <c r="B314" i="2"/>
  <c r="C314" i="2"/>
  <c r="D314" i="2"/>
  <c r="B315" i="2" a="1"/>
  <c r="B315" i="2"/>
  <c r="C315" i="2"/>
  <c r="D315" i="2"/>
  <c r="B316" i="2" a="1"/>
  <c r="B316" i="2"/>
  <c r="C316" i="2"/>
  <c r="D316" i="2"/>
  <c r="B317" i="2" a="1"/>
  <c r="B317" i="2"/>
  <c r="C317" i="2"/>
  <c r="D317" i="2"/>
  <c r="B318" i="2" a="1"/>
  <c r="B318" i="2"/>
  <c r="C318" i="2"/>
  <c r="D318" i="2"/>
  <c r="B319" i="2" a="1"/>
  <c r="B319" i="2"/>
  <c r="C319" i="2"/>
  <c r="D319" i="2"/>
  <c r="B320" i="2" a="1"/>
  <c r="B320" i="2"/>
  <c r="C320" i="2"/>
  <c r="D320" i="2"/>
  <c r="B321" i="2" a="1"/>
  <c r="B321" i="2"/>
  <c r="C321" i="2"/>
  <c r="D321" i="2"/>
  <c r="B322" i="2" a="1"/>
  <c r="B322" i="2"/>
  <c r="C322" i="2"/>
  <c r="D322" i="2"/>
  <c r="B323" i="2" a="1"/>
  <c r="B323" i="2"/>
  <c r="C323" i="2"/>
  <c r="D323" i="2"/>
  <c r="B324" i="2" a="1"/>
  <c r="B324" i="2"/>
  <c r="C324" i="2"/>
  <c r="D324" i="2"/>
  <c r="B325" i="2" a="1"/>
  <c r="B325" i="2"/>
  <c r="C325" i="2"/>
  <c r="D325" i="2"/>
  <c r="B326" i="2" a="1"/>
  <c r="B326" i="2"/>
  <c r="C326" i="2"/>
  <c r="D326" i="2"/>
  <c r="B327" i="2" a="1"/>
  <c r="B327" i="2"/>
  <c r="C327" i="2"/>
  <c r="D327" i="2"/>
  <c r="B328" i="2" a="1"/>
  <c r="B328" i="2"/>
  <c r="C328" i="2"/>
  <c r="D328" i="2"/>
  <c r="B329" i="2" a="1"/>
  <c r="B329" i="2"/>
  <c r="C329" i="2"/>
  <c r="D329" i="2"/>
  <c r="B330" i="2" a="1"/>
  <c r="B330" i="2"/>
  <c r="C330" i="2"/>
  <c r="D330" i="2"/>
  <c r="B331" i="2" a="1"/>
  <c r="B331" i="2"/>
  <c r="C331" i="2"/>
  <c r="D331" i="2"/>
  <c r="B332" i="2" a="1"/>
  <c r="B332" i="2"/>
  <c r="C332" i="2"/>
  <c r="D332" i="2"/>
  <c r="B333" i="2" a="1"/>
  <c r="B333" i="2"/>
  <c r="C333" i="2"/>
  <c r="D333" i="2"/>
  <c r="B334" i="2" a="1"/>
  <c r="B334" i="2"/>
  <c r="C334" i="2"/>
  <c r="D334" i="2"/>
  <c r="B335" i="2" a="1"/>
  <c r="B335" i="2"/>
  <c r="C335" i="2"/>
  <c r="D335" i="2"/>
  <c r="B336" i="2" a="1"/>
  <c r="B336" i="2"/>
  <c r="C336" i="2"/>
  <c r="D336" i="2"/>
  <c r="B337" i="2" a="1"/>
  <c r="B337" i="2"/>
  <c r="C337" i="2"/>
  <c r="D337" i="2"/>
  <c r="B338" i="2" a="1"/>
  <c r="B338" i="2"/>
  <c r="C338" i="2"/>
  <c r="D338" i="2"/>
  <c r="B339" i="2" a="1"/>
  <c r="B339" i="2"/>
  <c r="C339" i="2"/>
  <c r="D339" i="2"/>
  <c r="B340" i="2" a="1"/>
  <c r="B340" i="2"/>
  <c r="C340" i="2"/>
  <c r="D340" i="2"/>
  <c r="B341" i="2" a="1"/>
  <c r="B341" i="2"/>
  <c r="C341" i="2"/>
  <c r="D341" i="2"/>
  <c r="B342" i="2" a="1"/>
  <c r="B342" i="2"/>
  <c r="C342" i="2"/>
  <c r="D342" i="2"/>
  <c r="B343" i="2" a="1"/>
  <c r="B343" i="2"/>
  <c r="C343" i="2"/>
  <c r="D343" i="2"/>
  <c r="B344" i="2" a="1"/>
  <c r="B344" i="2"/>
  <c r="C344" i="2"/>
  <c r="D344" i="2"/>
  <c r="B345" i="2" a="1"/>
  <c r="B345" i="2"/>
  <c r="C345" i="2"/>
  <c r="D345" i="2"/>
  <c r="B346" i="2" a="1"/>
  <c r="B346" i="2"/>
  <c r="C346" i="2"/>
  <c r="D346" i="2"/>
  <c r="B347" i="2" a="1"/>
  <c r="B347" i="2"/>
  <c r="C347" i="2"/>
  <c r="D347" i="2"/>
  <c r="B348" i="2" a="1"/>
  <c r="B348" i="2"/>
  <c r="C348" i="2"/>
  <c r="D348" i="2"/>
  <c r="B349" i="2" a="1"/>
  <c r="B349" i="2"/>
  <c r="C349" i="2"/>
  <c r="D349" i="2"/>
  <c r="B350" i="2" a="1"/>
  <c r="B350" i="2"/>
  <c r="C350" i="2"/>
  <c r="D350" i="2"/>
  <c r="B351" i="2" a="1"/>
  <c r="B351" i="2"/>
  <c r="C351" i="2"/>
  <c r="D351" i="2"/>
  <c r="B352" i="2" a="1"/>
  <c r="B352" i="2"/>
  <c r="C352" i="2"/>
  <c r="D352" i="2"/>
  <c r="B353" i="2" a="1"/>
  <c r="B353" i="2"/>
  <c r="C353" i="2"/>
  <c r="D353" i="2"/>
  <c r="B354" i="2" a="1"/>
  <c r="B354" i="2"/>
  <c r="C354" i="2"/>
  <c r="D354" i="2"/>
  <c r="B355" i="2" a="1"/>
  <c r="B355" i="2"/>
  <c r="C355" i="2"/>
  <c r="D355" i="2"/>
  <c r="B356" i="2" a="1"/>
  <c r="B356" i="2"/>
  <c r="C356" i="2"/>
  <c r="D356" i="2"/>
  <c r="B357" i="2" a="1"/>
  <c r="B357" i="2"/>
  <c r="C357" i="2"/>
  <c r="D357" i="2"/>
  <c r="B358" i="2" a="1"/>
  <c r="B358" i="2"/>
  <c r="C358" i="2"/>
  <c r="D358" i="2"/>
  <c r="B359" i="2" a="1"/>
  <c r="B359" i="2"/>
  <c r="C359" i="2"/>
  <c r="D359" i="2"/>
  <c r="B360" i="2" a="1"/>
  <c r="B360" i="2"/>
  <c r="C360" i="2"/>
  <c r="D360" i="2"/>
  <c r="B361" i="2" a="1"/>
  <c r="B361" i="2"/>
  <c r="C361" i="2"/>
  <c r="D361" i="2"/>
  <c r="B362" i="2" a="1"/>
  <c r="B362" i="2"/>
  <c r="C362" i="2"/>
  <c r="D362" i="2"/>
  <c r="B363" i="2" a="1"/>
  <c r="B363" i="2"/>
  <c r="C363" i="2"/>
  <c r="D363" i="2"/>
  <c r="B364" i="2" a="1"/>
  <c r="B364" i="2"/>
  <c r="C364" i="2"/>
  <c r="D364" i="2"/>
  <c r="B365" i="2" a="1"/>
  <c r="B365" i="2"/>
  <c r="C365" i="2"/>
  <c r="D365" i="2"/>
  <c r="B366" i="2" a="1"/>
  <c r="B366" i="2"/>
  <c r="C366" i="2"/>
  <c r="D366" i="2"/>
  <c r="B367" i="2" a="1"/>
  <c r="B367" i="2"/>
  <c r="C367" i="2"/>
  <c r="D367" i="2"/>
  <c r="B368" i="2" a="1"/>
  <c r="B368" i="2"/>
  <c r="C368" i="2"/>
  <c r="D368" i="2"/>
  <c r="B369" i="2" a="1"/>
  <c r="B369" i="2"/>
  <c r="C369" i="2"/>
  <c r="D369" i="2"/>
  <c r="B370" i="2" a="1"/>
  <c r="B370" i="2"/>
  <c r="C370" i="2"/>
  <c r="D370" i="2"/>
  <c r="B371" i="2" a="1"/>
  <c r="B371" i="2"/>
  <c r="C371" i="2"/>
  <c r="D371" i="2"/>
  <c r="B372" i="2" a="1"/>
  <c r="B372" i="2"/>
  <c r="C372" i="2"/>
  <c r="D372" i="2"/>
  <c r="B373" i="2" a="1"/>
  <c r="B373" i="2"/>
  <c r="C373" i="2"/>
  <c r="D373" i="2"/>
  <c r="B374" i="2" a="1"/>
  <c r="B374" i="2"/>
  <c r="C374" i="2"/>
  <c r="D374" i="2"/>
  <c r="B375" i="2" a="1"/>
  <c r="B375" i="2"/>
  <c r="C375" i="2"/>
  <c r="D375" i="2"/>
  <c r="B376" i="2" a="1"/>
  <c r="B376" i="2"/>
  <c r="C376" i="2"/>
  <c r="D376" i="2"/>
  <c r="B377" i="2" a="1"/>
  <c r="B377" i="2"/>
  <c r="C377" i="2"/>
  <c r="D377" i="2"/>
  <c r="B378" i="2" a="1"/>
  <c r="B378" i="2"/>
  <c r="C378" i="2"/>
  <c r="D378" i="2"/>
  <c r="B379" i="2" a="1"/>
  <c r="B379" i="2"/>
  <c r="C379" i="2"/>
  <c r="D379" i="2"/>
  <c r="B380" i="2" a="1"/>
  <c r="B380" i="2"/>
  <c r="C380" i="2"/>
  <c r="D380" i="2"/>
  <c r="B381" i="2" a="1"/>
  <c r="B381" i="2"/>
  <c r="C381" i="2"/>
  <c r="D381" i="2"/>
  <c r="B382" i="2" a="1"/>
  <c r="B382" i="2"/>
  <c r="C382" i="2"/>
  <c r="D382" i="2"/>
  <c r="B383" i="2" a="1"/>
  <c r="B383" i="2"/>
  <c r="C383" i="2"/>
  <c r="D383" i="2"/>
  <c r="B384" i="2" a="1"/>
  <c r="B384" i="2"/>
  <c r="C384" i="2"/>
  <c r="D384" i="2"/>
  <c r="B385" i="2" a="1"/>
  <c r="B385" i="2"/>
  <c r="C385" i="2"/>
  <c r="D385" i="2"/>
  <c r="B386" i="2" a="1"/>
  <c r="B386" i="2"/>
  <c r="C386" i="2"/>
  <c r="D386" i="2"/>
  <c r="B387" i="2" a="1"/>
  <c r="B387" i="2"/>
  <c r="C387" i="2"/>
  <c r="D387" i="2"/>
  <c r="B388" i="2" a="1"/>
  <c r="B388" i="2"/>
  <c r="C388" i="2"/>
  <c r="D388" i="2"/>
  <c r="B389" i="2" a="1"/>
  <c r="B389" i="2"/>
  <c r="C389" i="2"/>
  <c r="D389" i="2"/>
  <c r="B390" i="2" a="1"/>
  <c r="B390" i="2"/>
  <c r="C390" i="2"/>
  <c r="D390" i="2"/>
  <c r="B391" i="2" a="1"/>
  <c r="B391" i="2"/>
  <c r="C391" i="2"/>
  <c r="D391" i="2"/>
  <c r="B392" i="2" a="1"/>
  <c r="B392" i="2"/>
  <c r="C392" i="2"/>
  <c r="D392" i="2"/>
  <c r="B393" i="2" a="1"/>
  <c r="B393" i="2"/>
  <c r="C393" i="2"/>
  <c r="D393" i="2"/>
  <c r="B394" i="2" a="1"/>
  <c r="B394" i="2"/>
  <c r="C394" i="2"/>
  <c r="D394" i="2"/>
  <c r="B395" i="2" a="1"/>
  <c r="B395" i="2"/>
  <c r="C395" i="2"/>
  <c r="D395" i="2"/>
  <c r="B396" i="2" a="1"/>
  <c r="B396" i="2"/>
  <c r="C396" i="2"/>
  <c r="D396" i="2"/>
  <c r="B397" i="2" a="1"/>
  <c r="B397" i="2"/>
  <c r="C397" i="2"/>
  <c r="D397" i="2"/>
  <c r="B398" i="2" a="1"/>
  <c r="B398" i="2"/>
  <c r="C398" i="2"/>
  <c r="D398" i="2"/>
  <c r="B399" i="2" a="1"/>
  <c r="B399" i="2"/>
  <c r="C399" i="2"/>
  <c r="D399" i="2"/>
  <c r="B400" i="2" a="1"/>
  <c r="B400" i="2"/>
  <c r="C400" i="2"/>
  <c r="D400" i="2"/>
  <c r="B401" i="2" a="1"/>
  <c r="B401" i="2"/>
  <c r="C401" i="2"/>
  <c r="D401" i="2"/>
  <c r="B402" i="2" a="1"/>
  <c r="B402" i="2"/>
  <c r="C402" i="2"/>
  <c r="D402" i="2"/>
  <c r="B403" i="2" a="1"/>
  <c r="B403" i="2"/>
  <c r="C403" i="2"/>
  <c r="D403" i="2"/>
  <c r="B404" i="2" a="1"/>
  <c r="B404" i="2"/>
  <c r="C404" i="2"/>
  <c r="D404" i="2"/>
  <c r="B405" i="2" a="1"/>
  <c r="B405" i="2"/>
  <c r="C405" i="2"/>
  <c r="D405" i="2"/>
  <c r="B406" i="2" a="1"/>
  <c r="B406" i="2"/>
  <c r="C406" i="2"/>
  <c r="D406" i="2"/>
  <c r="B407" i="2" a="1"/>
  <c r="B407" i="2"/>
  <c r="C407" i="2"/>
  <c r="D407" i="2"/>
  <c r="B408" i="2" a="1"/>
  <c r="B408" i="2"/>
  <c r="C408" i="2"/>
  <c r="D408" i="2"/>
  <c r="B409" i="2" a="1"/>
  <c r="B409" i="2"/>
  <c r="C409" i="2"/>
  <c r="D409" i="2"/>
  <c r="B410" i="2" a="1"/>
  <c r="B410" i="2"/>
  <c r="C410" i="2"/>
  <c r="D410" i="2"/>
  <c r="B411" i="2" a="1"/>
  <c r="B411" i="2"/>
  <c r="C411" i="2"/>
  <c r="D411" i="2"/>
  <c r="B412" i="2" a="1"/>
  <c r="B412" i="2"/>
  <c r="C412" i="2"/>
  <c r="D412" i="2"/>
  <c r="B413" i="2" a="1"/>
  <c r="B413" i="2"/>
  <c r="C413" i="2"/>
  <c r="D413" i="2"/>
  <c r="B414" i="2" a="1"/>
  <c r="B414" i="2"/>
  <c r="C414" i="2"/>
  <c r="D414" i="2"/>
  <c r="B415" i="2" a="1"/>
  <c r="B415" i="2"/>
  <c r="C415" i="2"/>
  <c r="D415" i="2"/>
  <c r="B416" i="2" a="1"/>
  <c r="B416" i="2"/>
  <c r="C416" i="2"/>
  <c r="D416" i="2"/>
  <c r="B417" i="2" a="1"/>
  <c r="B417" i="2"/>
  <c r="C417" i="2"/>
  <c r="D417" i="2"/>
  <c r="B418" i="2" a="1"/>
  <c r="B418" i="2"/>
  <c r="C418" i="2"/>
  <c r="D418" i="2"/>
  <c r="B419" i="2" a="1"/>
  <c r="B419" i="2"/>
  <c r="C419" i="2"/>
  <c r="D419" i="2"/>
  <c r="B420" i="2" a="1"/>
  <c r="B420" i="2"/>
  <c r="C420" i="2"/>
  <c r="D420" i="2"/>
  <c r="B421" i="2" a="1"/>
  <c r="B421" i="2"/>
  <c r="C421" i="2"/>
  <c r="D421" i="2"/>
  <c r="B422" i="2" a="1"/>
  <c r="B422" i="2"/>
  <c r="C422" i="2"/>
  <c r="D422" i="2"/>
  <c r="B423" i="2" a="1"/>
  <c r="B423" i="2"/>
  <c r="C423" i="2"/>
  <c r="D423" i="2"/>
  <c r="B424" i="2" a="1"/>
  <c r="B424" i="2"/>
  <c r="C424" i="2"/>
  <c r="D424" i="2"/>
  <c r="B425" i="2" a="1"/>
  <c r="B425" i="2"/>
  <c r="C425" i="2"/>
  <c r="D425" i="2"/>
  <c r="B426" i="2" a="1"/>
  <c r="B426" i="2"/>
  <c r="C426" i="2"/>
  <c r="D426" i="2"/>
  <c r="B427" i="2" a="1"/>
  <c r="B427" i="2"/>
  <c r="C427" i="2"/>
  <c r="D427" i="2"/>
  <c r="B428" i="2" a="1"/>
  <c r="B428" i="2"/>
  <c r="C428" i="2"/>
  <c r="D428" i="2"/>
  <c r="B429" i="2" a="1"/>
  <c r="B429" i="2"/>
  <c r="C429" i="2"/>
  <c r="D429" i="2"/>
  <c r="B430" i="2" a="1"/>
  <c r="B430" i="2"/>
  <c r="C430" i="2"/>
  <c r="D430" i="2"/>
  <c r="B431" i="2" a="1"/>
  <c r="B431" i="2"/>
  <c r="C431" i="2"/>
  <c r="D431" i="2"/>
  <c r="B432" i="2" a="1"/>
  <c r="B432" i="2"/>
  <c r="C432" i="2"/>
  <c r="D432" i="2"/>
  <c r="B433" i="2" a="1"/>
  <c r="B433" i="2"/>
  <c r="C433" i="2"/>
  <c r="D433" i="2"/>
  <c r="B434" i="2" a="1"/>
  <c r="B434" i="2"/>
  <c r="C434" i="2"/>
  <c r="D434" i="2"/>
  <c r="B435" i="2" a="1"/>
  <c r="B435" i="2"/>
  <c r="C435" i="2"/>
  <c r="D435" i="2"/>
  <c r="B436" i="2" a="1"/>
  <c r="B436" i="2"/>
  <c r="C436" i="2"/>
  <c r="D436" i="2"/>
  <c r="B437" i="2" a="1"/>
  <c r="B437" i="2"/>
  <c r="C437" i="2"/>
  <c r="D437" i="2"/>
  <c r="B438" i="2" a="1"/>
  <c r="B438" i="2"/>
  <c r="C438" i="2"/>
  <c r="D438" i="2"/>
  <c r="B439" i="2" a="1"/>
  <c r="B439" i="2"/>
  <c r="C439" i="2"/>
  <c r="D439" i="2"/>
  <c r="B440" i="2" a="1"/>
  <c r="B440" i="2"/>
  <c r="C440" i="2"/>
  <c r="D440" i="2"/>
  <c r="B441" i="2" a="1"/>
  <c r="B441" i="2"/>
  <c r="C441" i="2"/>
  <c r="D441" i="2"/>
  <c r="B442" i="2" a="1"/>
  <c r="B442" i="2"/>
  <c r="C442" i="2"/>
  <c r="D442" i="2"/>
  <c r="B443" i="2" a="1"/>
  <c r="B443" i="2"/>
  <c r="C443" i="2"/>
  <c r="D443" i="2"/>
  <c r="B444" i="2" a="1"/>
  <c r="B444" i="2"/>
  <c r="C444" i="2"/>
  <c r="D444" i="2"/>
  <c r="B445" i="2" a="1"/>
  <c r="B445" i="2"/>
  <c r="C445" i="2"/>
  <c r="D445" i="2"/>
  <c r="B446" i="2" a="1"/>
  <c r="B446" i="2"/>
  <c r="C446" i="2"/>
  <c r="D446" i="2"/>
  <c r="B447" i="2" a="1"/>
  <c r="B447" i="2"/>
  <c r="C447" i="2"/>
  <c r="D447" i="2"/>
  <c r="B448" i="2" a="1"/>
  <c r="B448" i="2"/>
  <c r="C448" i="2"/>
  <c r="D448" i="2"/>
  <c r="B449" i="2" a="1"/>
  <c r="B449" i="2"/>
  <c r="C449" i="2"/>
  <c r="D449" i="2"/>
  <c r="B450" i="2" a="1"/>
  <c r="B450" i="2"/>
  <c r="C450" i="2"/>
  <c r="D450" i="2"/>
  <c r="B451" i="2" a="1"/>
  <c r="B451" i="2"/>
  <c r="C451" i="2"/>
  <c r="D451" i="2"/>
  <c r="B452" i="2" a="1"/>
  <c r="B452" i="2"/>
  <c r="C452" i="2"/>
  <c r="D452" i="2"/>
  <c r="B453" i="2" a="1"/>
  <c r="B453" i="2"/>
  <c r="C453" i="2"/>
  <c r="D453" i="2"/>
  <c r="B454" i="2" a="1"/>
  <c r="B454" i="2"/>
  <c r="C454" i="2"/>
  <c r="D454" i="2"/>
  <c r="B455" i="2" a="1"/>
  <c r="B455" i="2"/>
  <c r="C455" i="2"/>
  <c r="D455" i="2"/>
  <c r="B456" i="2" a="1"/>
  <c r="B456" i="2"/>
  <c r="C456" i="2"/>
  <c r="D456" i="2"/>
  <c r="B457" i="2" a="1"/>
  <c r="B457" i="2"/>
  <c r="C457" i="2"/>
  <c r="D457" i="2"/>
  <c r="B458" i="2" a="1"/>
  <c r="B458" i="2"/>
  <c r="C458" i="2"/>
  <c r="D458" i="2"/>
  <c r="B459" i="2" a="1"/>
  <c r="B459" i="2"/>
  <c r="C459" i="2"/>
  <c r="D459" i="2"/>
  <c r="B460" i="2" a="1"/>
  <c r="B460" i="2"/>
  <c r="C460" i="2"/>
  <c r="D460" i="2"/>
  <c r="B461" i="2" a="1"/>
  <c r="B461" i="2"/>
  <c r="C461" i="2"/>
  <c r="D461" i="2"/>
  <c r="B462" i="2" a="1"/>
  <c r="B462" i="2"/>
  <c r="C462" i="2"/>
  <c r="D462" i="2"/>
  <c r="B463" i="2" a="1"/>
  <c r="B463" i="2"/>
  <c r="C463" i="2"/>
  <c r="D463" i="2"/>
  <c r="B464" i="2" a="1"/>
  <c r="B464" i="2"/>
  <c r="C464" i="2"/>
  <c r="D464" i="2"/>
  <c r="B465" i="2" a="1"/>
  <c r="B465" i="2"/>
  <c r="C465" i="2"/>
  <c r="D465" i="2"/>
  <c r="B466" i="2" a="1"/>
  <c r="B466" i="2"/>
  <c r="C466" i="2"/>
  <c r="D466" i="2"/>
  <c r="B467" i="2" a="1"/>
  <c r="B467" i="2"/>
  <c r="C467" i="2"/>
  <c r="D467" i="2"/>
  <c r="B468" i="2" a="1"/>
  <c r="B468" i="2"/>
  <c r="C468" i="2"/>
  <c r="D468" i="2"/>
  <c r="B469" i="2" a="1"/>
  <c r="B469" i="2"/>
  <c r="C469" i="2"/>
  <c r="D469" i="2"/>
  <c r="B470" i="2" a="1"/>
  <c r="B470" i="2"/>
  <c r="C470" i="2"/>
  <c r="D470" i="2"/>
  <c r="B471" i="2" a="1"/>
  <c r="B471" i="2"/>
  <c r="C471" i="2"/>
  <c r="D471" i="2"/>
  <c r="B472" i="2" a="1"/>
  <c r="B472" i="2"/>
  <c r="C472" i="2"/>
  <c r="D472" i="2"/>
  <c r="B473" i="2" a="1"/>
  <c r="B473" i="2"/>
  <c r="C473" i="2"/>
  <c r="D473" i="2"/>
  <c r="B474" i="2" a="1"/>
  <c r="B474" i="2"/>
  <c r="C474" i="2"/>
  <c r="D474" i="2"/>
  <c r="B475" i="2" a="1"/>
  <c r="B475" i="2"/>
  <c r="C475" i="2"/>
  <c r="D475" i="2"/>
  <c r="B476" i="2" a="1"/>
  <c r="B476" i="2"/>
  <c r="C476" i="2"/>
  <c r="D476" i="2"/>
  <c r="B477" i="2" a="1"/>
  <c r="B477" i="2"/>
  <c r="C477" i="2"/>
  <c r="D477" i="2"/>
  <c r="B478" i="2" a="1"/>
  <c r="B478" i="2"/>
  <c r="C478" i="2"/>
  <c r="D478" i="2"/>
  <c r="B479" i="2" a="1"/>
  <c r="B479" i="2"/>
  <c r="C479" i="2"/>
  <c r="D479" i="2"/>
  <c r="B480" i="2" a="1"/>
  <c r="B480" i="2"/>
  <c r="C480" i="2"/>
  <c r="D480" i="2"/>
  <c r="B481" i="2" a="1"/>
  <c r="B481" i="2"/>
  <c r="C481" i="2"/>
  <c r="D481" i="2"/>
  <c r="B482" i="2" a="1"/>
  <c r="B482" i="2"/>
  <c r="C482" i="2"/>
  <c r="D482" i="2"/>
  <c r="B483" i="2" a="1"/>
  <c r="B483" i="2"/>
  <c r="C483" i="2"/>
  <c r="D483" i="2"/>
  <c r="B484" i="2" a="1"/>
  <c r="B484" i="2"/>
  <c r="C484" i="2"/>
  <c r="D484" i="2"/>
  <c r="B485" i="2" a="1"/>
  <c r="B485" i="2"/>
  <c r="C485" i="2"/>
  <c r="D485" i="2"/>
  <c r="B486" i="2" a="1"/>
  <c r="B486" i="2"/>
  <c r="C486" i="2"/>
  <c r="D486" i="2"/>
  <c r="B487" i="2" a="1"/>
  <c r="B487" i="2"/>
  <c r="C487" i="2"/>
  <c r="D487" i="2"/>
  <c r="B488" i="2" a="1"/>
  <c r="B488" i="2"/>
  <c r="C488" i="2"/>
  <c r="D488" i="2"/>
  <c r="B489" i="2" a="1"/>
  <c r="B489" i="2"/>
  <c r="C489" i="2"/>
  <c r="D489" i="2"/>
  <c r="B490" i="2" a="1"/>
  <c r="B490" i="2"/>
  <c r="C490" i="2"/>
  <c r="D490" i="2"/>
  <c r="B491" i="2" a="1"/>
  <c r="B491" i="2"/>
  <c r="C491" i="2"/>
  <c r="D491" i="2"/>
  <c r="B492" i="2" a="1"/>
  <c r="B492" i="2"/>
  <c r="C492" i="2"/>
  <c r="D492" i="2"/>
  <c r="B493" i="2" a="1"/>
  <c r="B493" i="2"/>
  <c r="C493" i="2"/>
  <c r="D493" i="2"/>
  <c r="B494" i="2" a="1"/>
  <c r="B494" i="2"/>
  <c r="C494" i="2"/>
  <c r="D494" i="2"/>
  <c r="B495" i="2" a="1"/>
  <c r="B495" i="2"/>
  <c r="C495" i="2"/>
  <c r="D49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G291" i="2"/>
  <c r="G292" i="2"/>
  <c r="G293" i="2"/>
  <c r="G294" i="2"/>
  <c r="G295" i="2"/>
  <c r="G296" i="2"/>
  <c r="G297" i="2"/>
  <c r="G298" i="2"/>
  <c r="G299" i="2"/>
  <c r="G300" i="2"/>
  <c r="G301" i="2"/>
  <c r="G302" i="2"/>
  <c r="G303" i="2"/>
  <c r="G304" i="2"/>
  <c r="G305" i="2"/>
  <c r="G306" i="2"/>
  <c r="G307" i="2"/>
  <c r="G308" i="2"/>
  <c r="G309" i="2"/>
  <c r="G310" i="2"/>
  <c r="G311" i="2"/>
  <c r="G312" i="2"/>
  <c r="G313" i="2"/>
  <c r="G314" i="2"/>
  <c r="G315" i="2"/>
  <c r="G316" i="2"/>
  <c r="G317" i="2"/>
  <c r="G318" i="2"/>
  <c r="G319" i="2"/>
  <c r="G320" i="2"/>
  <c r="G321" i="2"/>
  <c r="G322" i="2"/>
  <c r="G323" i="2"/>
  <c r="G324" i="2"/>
  <c r="G325" i="2"/>
  <c r="G326" i="2"/>
  <c r="G327" i="2"/>
  <c r="G328" i="2"/>
  <c r="G329" i="2"/>
  <c r="G330" i="2"/>
  <c r="G331" i="2"/>
  <c r="G332" i="2"/>
  <c r="G333" i="2"/>
  <c r="G334" i="2"/>
  <c r="G335" i="2"/>
  <c r="G336" i="2"/>
  <c r="G337" i="2"/>
  <c r="G338" i="2"/>
  <c r="G339" i="2"/>
  <c r="G340" i="2"/>
  <c r="G341" i="2"/>
  <c r="G342" i="2"/>
  <c r="G343" i="2"/>
  <c r="G344" i="2"/>
  <c r="G345" i="2"/>
  <c r="G346" i="2"/>
  <c r="G347" i="2"/>
  <c r="G348" i="2"/>
  <c r="G349" i="2"/>
  <c r="G350" i="2"/>
  <c r="G351" i="2"/>
  <c r="G352" i="2"/>
  <c r="G353" i="2"/>
  <c r="G354" i="2"/>
  <c r="G355" i="2"/>
  <c r="G356" i="2"/>
  <c r="G357" i="2"/>
  <c r="G358" i="2"/>
  <c r="G359" i="2"/>
  <c r="G360" i="2"/>
  <c r="G361" i="2"/>
  <c r="G362" i="2"/>
  <c r="G363" i="2"/>
  <c r="G364" i="2"/>
  <c r="G365" i="2"/>
  <c r="G366" i="2"/>
  <c r="G367" i="2"/>
  <c r="G368" i="2"/>
  <c r="G369" i="2"/>
  <c r="G370" i="2"/>
  <c r="G371" i="2"/>
  <c r="G372" i="2"/>
  <c r="G373" i="2"/>
  <c r="G374" i="2"/>
  <c r="G375" i="2"/>
  <c r="G376" i="2"/>
  <c r="G377" i="2"/>
  <c r="G378" i="2"/>
  <c r="G379" i="2"/>
  <c r="G380" i="2"/>
  <c r="G381" i="2"/>
  <c r="G382" i="2"/>
  <c r="G383" i="2"/>
  <c r="G384" i="2"/>
  <c r="G385" i="2"/>
  <c r="G386" i="2"/>
  <c r="G387" i="2"/>
  <c r="G388" i="2"/>
  <c r="G389" i="2"/>
  <c r="G390" i="2"/>
  <c r="G391" i="2"/>
  <c r="G392" i="2"/>
  <c r="G393" i="2"/>
  <c r="G394" i="2"/>
  <c r="G395" i="2"/>
  <c r="G396" i="2"/>
  <c r="G397" i="2"/>
  <c r="G398" i="2"/>
  <c r="G399" i="2"/>
  <c r="G400" i="2"/>
  <c r="G401" i="2"/>
  <c r="G402" i="2"/>
  <c r="G403" i="2"/>
  <c r="G404" i="2"/>
  <c r="G405" i="2"/>
  <c r="G406" i="2"/>
  <c r="G407" i="2"/>
  <c r="G408" i="2"/>
  <c r="G409" i="2"/>
  <c r="G410" i="2"/>
  <c r="G411" i="2"/>
  <c r="G412" i="2"/>
  <c r="G413" i="2"/>
  <c r="G414" i="2"/>
  <c r="G415" i="2"/>
  <c r="G416" i="2"/>
  <c r="G417" i="2"/>
  <c r="G418" i="2"/>
  <c r="G419" i="2"/>
  <c r="G420" i="2"/>
  <c r="G421" i="2"/>
  <c r="G422" i="2"/>
  <c r="G423" i="2"/>
  <c r="G424" i="2"/>
  <c r="G425" i="2"/>
  <c r="G426" i="2"/>
  <c r="G427" i="2"/>
  <c r="G428" i="2"/>
  <c r="G429" i="2"/>
  <c r="G430" i="2"/>
  <c r="G431" i="2"/>
  <c r="G432" i="2"/>
  <c r="G433" i="2"/>
  <c r="G434" i="2"/>
  <c r="G435" i="2"/>
  <c r="G436" i="2"/>
  <c r="G437" i="2"/>
  <c r="G438" i="2"/>
  <c r="G439" i="2"/>
  <c r="G440" i="2"/>
  <c r="G441" i="2"/>
  <c r="G442" i="2"/>
  <c r="G443" i="2"/>
  <c r="G444" i="2"/>
  <c r="G445" i="2"/>
  <c r="G446" i="2"/>
  <c r="G447" i="2"/>
  <c r="G448" i="2"/>
  <c r="G449" i="2"/>
  <c r="G450" i="2"/>
  <c r="G451" i="2"/>
  <c r="G452" i="2"/>
  <c r="G453" i="2"/>
  <c r="G454" i="2"/>
  <c r="G455" i="2"/>
  <c r="G456" i="2"/>
  <c r="G457" i="2"/>
  <c r="G458" i="2"/>
  <c r="G459" i="2"/>
  <c r="G460" i="2"/>
  <c r="G461" i="2"/>
  <c r="G462" i="2"/>
  <c r="G463" i="2"/>
  <c r="G464" i="2"/>
  <c r="G465" i="2"/>
  <c r="G466" i="2"/>
  <c r="G467" i="2"/>
  <c r="G468" i="2"/>
  <c r="G469" i="2"/>
  <c r="G470" i="2"/>
  <c r="G471" i="2"/>
  <c r="G472" i="2"/>
  <c r="G473" i="2"/>
  <c r="G474" i="2"/>
  <c r="G475" i="2"/>
  <c r="G476" i="2"/>
  <c r="G477" i="2"/>
  <c r="G478" i="2"/>
  <c r="G479" i="2"/>
  <c r="G480" i="2"/>
  <c r="G481" i="2"/>
  <c r="G482" i="2"/>
  <c r="G483" i="2"/>
  <c r="G484" i="2"/>
  <c r="G485" i="2"/>
  <c r="G486" i="2"/>
  <c r="G487" i="2"/>
  <c r="G488" i="2"/>
  <c r="G489" i="2"/>
  <c r="G490" i="2"/>
  <c r="G491" i="2"/>
  <c r="G492" i="2"/>
  <c r="G493" i="2"/>
  <c r="G494" i="2"/>
  <c r="G495" i="2"/>
  <c r="L6" i="2" a="1"/>
  <c r="L6" i="2"/>
  <c r="M6" i="2"/>
  <c r="N6" i="2"/>
  <c r="L7" i="2" a="1"/>
  <c r="L7" i="2"/>
  <c r="M7" i="2"/>
  <c r="N7" i="2"/>
  <c r="L8" i="2" a="1"/>
  <c r="L8" i="2"/>
  <c r="M8" i="2"/>
  <c r="N8" i="2"/>
  <c r="L9" i="2" a="1"/>
  <c r="L9" i="2"/>
  <c r="M9" i="2"/>
  <c r="N9" i="2"/>
  <c r="L10" i="2" a="1"/>
  <c r="L10" i="2"/>
  <c r="M10" i="2"/>
  <c r="N10" i="2"/>
  <c r="L11" i="2" a="1"/>
  <c r="L11" i="2"/>
  <c r="M11" i="2"/>
  <c r="N11" i="2"/>
  <c r="L12" i="2" a="1"/>
  <c r="L12" i="2"/>
  <c r="M12" i="2"/>
  <c r="N12" i="2"/>
  <c r="L13" i="2" a="1"/>
  <c r="L13" i="2"/>
  <c r="M13" i="2"/>
  <c r="N13" i="2"/>
  <c r="L14" i="2" a="1"/>
  <c r="L14" i="2"/>
  <c r="M14" i="2"/>
  <c r="N14" i="2"/>
  <c r="L15" i="2" a="1"/>
  <c r="L15" i="2"/>
  <c r="M15" i="2"/>
  <c r="N15" i="2"/>
  <c r="L16" i="2" a="1"/>
  <c r="L16" i="2"/>
  <c r="M16" i="2"/>
  <c r="N16" i="2"/>
  <c r="L17" i="2" a="1"/>
  <c r="L17" i="2"/>
  <c r="M17" i="2"/>
  <c r="N17" i="2"/>
  <c r="L18" i="2" a="1"/>
  <c r="L18" i="2"/>
  <c r="M18" i="2"/>
  <c r="N18" i="2"/>
  <c r="L19" i="2" a="1"/>
  <c r="L19" i="2"/>
  <c r="M19" i="2"/>
  <c r="N19" i="2"/>
  <c r="L20" i="2" a="1"/>
  <c r="L20" i="2"/>
  <c r="M20" i="2"/>
  <c r="N20" i="2"/>
  <c r="L21" i="2" a="1"/>
  <c r="L21" i="2"/>
  <c r="M21" i="2"/>
  <c r="N21" i="2"/>
  <c r="L22" i="2" a="1"/>
  <c r="L22" i="2"/>
  <c r="M22" i="2"/>
  <c r="N22" i="2"/>
  <c r="L23" i="2" a="1"/>
  <c r="L23" i="2"/>
  <c r="M23" i="2"/>
  <c r="N23" i="2"/>
  <c r="L24" i="2" a="1"/>
  <c r="L24" i="2"/>
  <c r="M24" i="2"/>
  <c r="N24" i="2"/>
  <c r="L25" i="2" a="1"/>
  <c r="L25" i="2"/>
  <c r="M25" i="2"/>
  <c r="N25" i="2"/>
  <c r="L26" i="2" a="1"/>
  <c r="L26" i="2"/>
  <c r="M26" i="2"/>
  <c r="N26" i="2"/>
  <c r="L27" i="2" a="1"/>
  <c r="L27" i="2"/>
  <c r="M27" i="2"/>
  <c r="N27" i="2"/>
  <c r="L28" i="2" a="1"/>
  <c r="L28" i="2"/>
  <c r="M28" i="2"/>
  <c r="N28" i="2"/>
  <c r="L29" i="2" a="1"/>
  <c r="L29" i="2"/>
  <c r="M29" i="2"/>
  <c r="N29" i="2"/>
  <c r="L30" i="2" a="1"/>
  <c r="L30" i="2"/>
  <c r="M30" i="2"/>
  <c r="N30" i="2"/>
  <c r="L31" i="2" a="1"/>
  <c r="L31" i="2"/>
  <c r="M31" i="2"/>
  <c r="N31" i="2"/>
  <c r="L32" i="2" a="1"/>
  <c r="L32" i="2"/>
  <c r="M32" i="2"/>
  <c r="N32" i="2"/>
  <c r="L33" i="2" a="1"/>
  <c r="L33" i="2"/>
  <c r="M33" i="2"/>
  <c r="N33" i="2"/>
  <c r="L34" i="2" a="1"/>
  <c r="L34" i="2"/>
  <c r="M34" i="2"/>
  <c r="N34" i="2"/>
  <c r="L35" i="2" a="1"/>
  <c r="L35" i="2"/>
  <c r="M35" i="2"/>
  <c r="N35" i="2"/>
  <c r="L36" i="2" a="1"/>
  <c r="L36" i="2"/>
  <c r="M36" i="2"/>
  <c r="N36" i="2"/>
  <c r="L37" i="2" a="1"/>
  <c r="L37" i="2"/>
  <c r="M37" i="2"/>
  <c r="N37" i="2"/>
  <c r="L38" i="2" a="1"/>
  <c r="L38" i="2"/>
  <c r="M38" i="2"/>
  <c r="N38" i="2"/>
  <c r="L39" i="2" a="1"/>
  <c r="L39" i="2"/>
  <c r="M39" i="2"/>
  <c r="N39" i="2"/>
  <c r="L40" i="2" a="1"/>
  <c r="L40" i="2"/>
  <c r="M40" i="2"/>
  <c r="N40" i="2"/>
  <c r="L41" i="2" a="1"/>
  <c r="L41" i="2"/>
  <c r="M41" i="2"/>
  <c r="N41" i="2"/>
  <c r="L42" i="2" a="1"/>
  <c r="L42" i="2"/>
  <c r="M42" i="2"/>
  <c r="N42" i="2"/>
  <c r="L43" i="2" a="1"/>
  <c r="L43" i="2"/>
  <c r="M43" i="2"/>
  <c r="N43" i="2"/>
  <c r="L44" i="2" a="1"/>
  <c r="L44" i="2"/>
  <c r="M44" i="2"/>
  <c r="N44" i="2"/>
  <c r="L45" i="2" a="1"/>
  <c r="L45" i="2"/>
  <c r="M45" i="2"/>
  <c r="N45" i="2"/>
  <c r="L46" i="2" a="1"/>
  <c r="L46" i="2"/>
  <c r="M46" i="2"/>
  <c r="N46" i="2"/>
  <c r="L47" i="2" a="1"/>
  <c r="L47" i="2"/>
  <c r="M47" i="2"/>
  <c r="N47" i="2"/>
  <c r="L48" i="2" a="1"/>
  <c r="L48" i="2"/>
  <c r="M48" i="2"/>
  <c r="N48" i="2"/>
  <c r="L49" i="2" a="1"/>
  <c r="L49" i="2"/>
  <c r="M49" i="2"/>
  <c r="N49" i="2"/>
  <c r="L50" i="2" a="1"/>
  <c r="L50" i="2"/>
  <c r="M50" i="2"/>
  <c r="N50" i="2"/>
  <c r="L51" i="2" a="1"/>
  <c r="L51" i="2"/>
  <c r="M51" i="2"/>
  <c r="N51" i="2"/>
  <c r="L52" i="2" a="1"/>
  <c r="L52" i="2"/>
  <c r="M52" i="2"/>
  <c r="N52" i="2"/>
  <c r="L53" i="2" a="1"/>
  <c r="L53" i="2"/>
  <c r="M53" i="2"/>
  <c r="N53" i="2"/>
  <c r="L54" i="2" a="1"/>
  <c r="L54" i="2"/>
  <c r="M54" i="2"/>
  <c r="N54" i="2"/>
  <c r="L55" i="2" a="1"/>
  <c r="L55" i="2"/>
  <c r="M55" i="2"/>
  <c r="N55" i="2"/>
  <c r="L56" i="2" a="1"/>
  <c r="L56" i="2"/>
  <c r="M56" i="2"/>
  <c r="N56" i="2"/>
  <c r="L57" i="2" a="1"/>
  <c r="L57" i="2"/>
  <c r="M57" i="2"/>
  <c r="N57" i="2"/>
  <c r="L58" i="2" a="1"/>
  <c r="L58" i="2"/>
  <c r="M58" i="2"/>
  <c r="N58" i="2"/>
  <c r="L59" i="2" a="1"/>
  <c r="L59" i="2"/>
  <c r="M59" i="2"/>
  <c r="N59" i="2"/>
  <c r="L60" i="2" a="1"/>
  <c r="L60" i="2"/>
  <c r="M60" i="2"/>
  <c r="N60" i="2"/>
  <c r="L61" i="2" a="1"/>
  <c r="L61" i="2"/>
  <c r="M61" i="2"/>
  <c r="N61" i="2"/>
  <c r="L62" i="2" a="1"/>
  <c r="L62" i="2"/>
  <c r="M62" i="2"/>
  <c r="N62" i="2"/>
  <c r="L63" i="2" a="1"/>
  <c r="L63" i="2"/>
  <c r="M63" i="2"/>
  <c r="N63" i="2"/>
  <c r="L64" i="2" a="1"/>
  <c r="L64" i="2"/>
  <c r="M64" i="2"/>
  <c r="N64" i="2"/>
  <c r="L65" i="2" a="1"/>
  <c r="L65" i="2"/>
  <c r="M65" i="2"/>
  <c r="N65" i="2"/>
  <c r="L66" i="2" a="1"/>
  <c r="L66" i="2"/>
  <c r="M66" i="2"/>
  <c r="N66" i="2"/>
  <c r="L67" i="2" a="1"/>
  <c r="L67" i="2"/>
  <c r="M67" i="2"/>
  <c r="N67" i="2"/>
  <c r="L68" i="2" a="1"/>
  <c r="L68" i="2"/>
  <c r="M68" i="2"/>
  <c r="N68" i="2"/>
  <c r="L69" i="2" a="1"/>
  <c r="L69" i="2"/>
  <c r="M69" i="2"/>
  <c r="N69" i="2"/>
  <c r="L70" i="2" a="1"/>
  <c r="L70" i="2"/>
  <c r="M70" i="2"/>
  <c r="N70" i="2"/>
  <c r="L71" i="2" a="1"/>
  <c r="L71" i="2"/>
  <c r="M71" i="2"/>
  <c r="N71" i="2"/>
  <c r="L72" i="2" a="1"/>
  <c r="L72" i="2"/>
  <c r="M72" i="2"/>
  <c r="N72" i="2"/>
  <c r="L73" i="2" a="1"/>
  <c r="L73" i="2"/>
  <c r="M73" i="2"/>
  <c r="N73" i="2"/>
  <c r="L74" i="2" a="1"/>
  <c r="L74" i="2"/>
  <c r="M74" i="2"/>
  <c r="N74" i="2"/>
  <c r="L75" i="2" a="1"/>
  <c r="L75" i="2"/>
  <c r="M75" i="2"/>
  <c r="N75" i="2"/>
  <c r="L76" i="2" a="1"/>
  <c r="L76" i="2"/>
  <c r="M76" i="2"/>
  <c r="N76" i="2"/>
  <c r="L77" i="2" a="1"/>
  <c r="L77" i="2"/>
  <c r="M77" i="2"/>
  <c r="N77" i="2"/>
  <c r="L78" i="2" a="1"/>
  <c r="L78" i="2"/>
  <c r="M78" i="2"/>
  <c r="N78" i="2"/>
  <c r="L79" i="2" a="1"/>
  <c r="L79" i="2"/>
  <c r="M79" i="2"/>
  <c r="N79" i="2"/>
  <c r="L80" i="2" a="1"/>
  <c r="L80" i="2"/>
  <c r="M80" i="2"/>
  <c r="N80" i="2"/>
  <c r="L81" i="2" a="1"/>
  <c r="L81" i="2"/>
  <c r="M81" i="2"/>
  <c r="N81" i="2"/>
  <c r="L82" i="2" a="1"/>
  <c r="L82" i="2"/>
  <c r="M82" i="2"/>
  <c r="N82" i="2"/>
  <c r="L83" i="2" a="1"/>
  <c r="L83" i="2"/>
  <c r="M83" i="2"/>
  <c r="N83" i="2"/>
  <c r="L84" i="2" a="1"/>
  <c r="L84" i="2"/>
  <c r="M84" i="2"/>
  <c r="N84" i="2"/>
  <c r="L85" i="2" a="1"/>
  <c r="L85" i="2"/>
  <c r="M85" i="2"/>
  <c r="N85" i="2"/>
  <c r="L86" i="2" a="1"/>
  <c r="L86" i="2"/>
  <c r="M86" i="2"/>
  <c r="N86" i="2"/>
  <c r="L87" i="2" a="1"/>
  <c r="L87" i="2"/>
  <c r="M87" i="2"/>
  <c r="N87" i="2"/>
  <c r="L88" i="2" a="1"/>
  <c r="L88" i="2"/>
  <c r="M88" i="2"/>
  <c r="N88" i="2"/>
  <c r="L89" i="2" a="1"/>
  <c r="L89" i="2"/>
  <c r="M89" i="2"/>
  <c r="N89" i="2"/>
  <c r="L90" i="2" a="1"/>
  <c r="L90" i="2"/>
  <c r="M90" i="2"/>
  <c r="N90" i="2"/>
  <c r="L91" i="2" a="1"/>
  <c r="L91" i="2"/>
  <c r="M91" i="2"/>
  <c r="N91" i="2"/>
  <c r="L92" i="2" a="1"/>
  <c r="L92" i="2"/>
  <c r="M92" i="2"/>
  <c r="N92" i="2"/>
  <c r="L93" i="2" a="1"/>
  <c r="L93" i="2"/>
  <c r="M93" i="2"/>
  <c r="N93" i="2"/>
  <c r="L94" i="2" a="1"/>
  <c r="L94" i="2"/>
  <c r="M94" i="2"/>
  <c r="N94" i="2"/>
  <c r="L95" i="2" a="1"/>
  <c r="L95" i="2"/>
  <c r="M95" i="2"/>
  <c r="N95" i="2"/>
  <c r="L96" i="2" a="1"/>
  <c r="L96" i="2"/>
  <c r="M96" i="2"/>
  <c r="N96" i="2"/>
  <c r="L97" i="2" a="1"/>
  <c r="L97" i="2"/>
  <c r="M97" i="2"/>
  <c r="N97" i="2"/>
  <c r="L98" i="2" a="1"/>
  <c r="L98" i="2"/>
  <c r="M98" i="2"/>
  <c r="N98" i="2"/>
  <c r="L99" i="2" a="1"/>
  <c r="L99" i="2"/>
  <c r="M99" i="2"/>
  <c r="N99" i="2"/>
  <c r="L100" i="2" a="1"/>
  <c r="L100" i="2"/>
  <c r="M100" i="2"/>
  <c r="N100" i="2"/>
  <c r="L101" i="2" a="1"/>
  <c r="L101" i="2"/>
  <c r="M101" i="2"/>
  <c r="N101" i="2"/>
  <c r="L102" i="2" a="1"/>
  <c r="L102" i="2"/>
  <c r="M102" i="2"/>
  <c r="N102" i="2"/>
  <c r="L103" i="2" a="1"/>
  <c r="L103" i="2"/>
  <c r="M103" i="2"/>
  <c r="N103" i="2"/>
  <c r="L104" i="2" a="1"/>
  <c r="L104" i="2"/>
  <c r="M104" i="2"/>
  <c r="N104" i="2"/>
  <c r="L105" i="2" a="1"/>
  <c r="L105" i="2"/>
  <c r="M105" i="2"/>
  <c r="N105" i="2"/>
  <c r="L106" i="2" a="1"/>
  <c r="L106" i="2"/>
  <c r="M106" i="2"/>
  <c r="N106" i="2"/>
  <c r="L107" i="2" a="1"/>
  <c r="L107" i="2"/>
  <c r="M107" i="2"/>
  <c r="N107" i="2"/>
  <c r="L108" i="2" a="1"/>
  <c r="L108" i="2"/>
  <c r="M108" i="2"/>
  <c r="N108" i="2"/>
  <c r="L109" i="2" a="1"/>
  <c r="L109" i="2"/>
  <c r="M109" i="2"/>
  <c r="N109" i="2"/>
  <c r="L110" i="2" a="1"/>
  <c r="L110" i="2"/>
  <c r="M110" i="2"/>
  <c r="N110" i="2"/>
  <c r="L111" i="2" a="1"/>
  <c r="L111" i="2"/>
  <c r="M111" i="2"/>
  <c r="N111" i="2"/>
  <c r="L112" i="2" a="1"/>
  <c r="L112" i="2"/>
  <c r="M112" i="2"/>
  <c r="N112" i="2"/>
  <c r="L113" i="2" a="1"/>
  <c r="L113" i="2"/>
  <c r="M113" i="2"/>
  <c r="N113" i="2"/>
  <c r="L114" i="2" a="1"/>
  <c r="L114" i="2"/>
  <c r="M114" i="2"/>
  <c r="N114" i="2"/>
  <c r="L115" i="2" a="1"/>
  <c r="L115" i="2"/>
  <c r="M115" i="2"/>
  <c r="N115" i="2"/>
  <c r="L116" i="2" a="1"/>
  <c r="L116" i="2"/>
  <c r="M116" i="2"/>
  <c r="N116" i="2"/>
  <c r="L117" i="2" a="1"/>
  <c r="L117" i="2"/>
  <c r="M117" i="2"/>
  <c r="N117" i="2"/>
  <c r="L118" i="2" a="1"/>
  <c r="L118" i="2"/>
  <c r="M118" i="2"/>
  <c r="N118" i="2"/>
  <c r="L119" i="2" a="1"/>
  <c r="L119" i="2"/>
  <c r="M119" i="2"/>
  <c r="N119" i="2"/>
  <c r="L120" i="2" a="1"/>
  <c r="L120" i="2"/>
  <c r="M120" i="2"/>
  <c r="N120" i="2"/>
  <c r="L121" i="2" a="1"/>
  <c r="L121" i="2"/>
  <c r="M121" i="2"/>
  <c r="N121" i="2"/>
  <c r="L122" i="2" a="1"/>
  <c r="L122" i="2"/>
  <c r="M122" i="2"/>
  <c r="N122" i="2"/>
  <c r="L123" i="2" a="1"/>
  <c r="L123" i="2"/>
  <c r="M123" i="2"/>
  <c r="N123" i="2"/>
  <c r="L124" i="2" a="1"/>
  <c r="L124" i="2"/>
  <c r="M124" i="2"/>
  <c r="N124" i="2"/>
  <c r="L125" i="2" a="1"/>
  <c r="L125" i="2"/>
  <c r="M125" i="2"/>
  <c r="N125" i="2"/>
  <c r="L126" i="2" a="1"/>
  <c r="L126" i="2"/>
  <c r="M126" i="2"/>
  <c r="N126" i="2"/>
  <c r="L127" i="2" a="1"/>
  <c r="L127" i="2"/>
  <c r="M127" i="2"/>
  <c r="N127" i="2"/>
  <c r="L128" i="2" a="1"/>
  <c r="L128" i="2"/>
  <c r="M128" i="2"/>
  <c r="N128" i="2"/>
  <c r="L129" i="2" a="1"/>
  <c r="L129" i="2"/>
  <c r="M129" i="2"/>
  <c r="N129" i="2"/>
  <c r="L130" i="2" a="1"/>
  <c r="L130" i="2"/>
  <c r="M130" i="2"/>
  <c r="N130" i="2"/>
  <c r="L131" i="2" a="1"/>
  <c r="L131" i="2"/>
  <c r="M131" i="2"/>
  <c r="N131" i="2"/>
  <c r="L132" i="2" a="1"/>
  <c r="L132" i="2"/>
  <c r="M132" i="2"/>
  <c r="N132" i="2"/>
  <c r="L133" i="2" a="1"/>
  <c r="L133" i="2"/>
  <c r="M133" i="2"/>
  <c r="N133" i="2"/>
  <c r="L134" i="2" a="1"/>
  <c r="L134" i="2"/>
  <c r="M134" i="2"/>
  <c r="N134" i="2"/>
  <c r="L135" i="2" a="1"/>
  <c r="L135" i="2"/>
  <c r="M135" i="2"/>
  <c r="N135" i="2"/>
  <c r="L136" i="2" a="1"/>
  <c r="L136" i="2"/>
  <c r="M136" i="2"/>
  <c r="N136" i="2"/>
  <c r="L137" i="2" a="1"/>
  <c r="L137" i="2"/>
  <c r="M137" i="2"/>
  <c r="N137" i="2"/>
  <c r="L138" i="2" a="1"/>
  <c r="L138" i="2"/>
  <c r="M138" i="2"/>
  <c r="N138" i="2"/>
  <c r="L139" i="2" a="1"/>
  <c r="L139" i="2"/>
  <c r="M139" i="2"/>
  <c r="N139" i="2"/>
  <c r="L140" i="2" a="1"/>
  <c r="L140" i="2"/>
  <c r="M140" i="2"/>
  <c r="N140" i="2"/>
  <c r="L141" i="2" a="1"/>
  <c r="L141" i="2"/>
  <c r="M141" i="2"/>
  <c r="N141" i="2"/>
  <c r="L142" i="2" a="1"/>
  <c r="L142" i="2"/>
  <c r="M142" i="2"/>
  <c r="N142" i="2"/>
  <c r="L143" i="2" a="1"/>
  <c r="L143" i="2"/>
  <c r="M143" i="2"/>
  <c r="N143" i="2"/>
  <c r="L144" i="2" a="1"/>
  <c r="L144" i="2"/>
  <c r="M144" i="2"/>
  <c r="N144" i="2"/>
  <c r="L145" i="2" a="1"/>
  <c r="L145" i="2"/>
  <c r="M145" i="2"/>
  <c r="N145" i="2"/>
  <c r="L146" i="2" a="1"/>
  <c r="L146" i="2"/>
  <c r="M146" i="2"/>
  <c r="N146" i="2"/>
  <c r="L147" i="2" a="1"/>
  <c r="L147" i="2"/>
  <c r="M147" i="2"/>
  <c r="N147" i="2"/>
  <c r="L148" i="2" a="1"/>
  <c r="L148" i="2"/>
  <c r="M148" i="2"/>
  <c r="N148" i="2"/>
  <c r="L149" i="2" a="1"/>
  <c r="L149" i="2"/>
  <c r="M149" i="2"/>
  <c r="N149" i="2"/>
  <c r="L150" i="2" a="1"/>
  <c r="L150" i="2"/>
  <c r="M150" i="2"/>
  <c r="N150" i="2"/>
  <c r="L151" i="2" a="1"/>
  <c r="L151" i="2"/>
  <c r="M151" i="2"/>
  <c r="N151" i="2"/>
  <c r="L152" i="2" a="1"/>
  <c r="L152" i="2"/>
  <c r="M152" i="2"/>
  <c r="N152" i="2"/>
  <c r="L153" i="2" a="1"/>
  <c r="L153" i="2"/>
  <c r="M153" i="2"/>
  <c r="N153" i="2"/>
  <c r="L154" i="2" a="1"/>
  <c r="L154" i="2"/>
  <c r="M154" i="2"/>
  <c r="N154" i="2"/>
  <c r="L155" i="2" a="1"/>
  <c r="L155" i="2"/>
  <c r="M155" i="2"/>
  <c r="N155" i="2"/>
  <c r="L156" i="2" a="1"/>
  <c r="L156" i="2"/>
  <c r="M156" i="2"/>
  <c r="N156" i="2"/>
  <c r="L157" i="2" a="1"/>
  <c r="L157" i="2"/>
  <c r="M157" i="2"/>
  <c r="N157" i="2"/>
  <c r="L158" i="2" a="1"/>
  <c r="L158" i="2"/>
  <c r="M158" i="2"/>
  <c r="N158" i="2"/>
  <c r="L159" i="2" a="1"/>
  <c r="L159" i="2"/>
  <c r="M159" i="2"/>
  <c r="N159" i="2"/>
  <c r="L160" i="2" a="1"/>
  <c r="L160" i="2"/>
  <c r="M160" i="2"/>
  <c r="N160" i="2"/>
  <c r="L161" i="2" a="1"/>
  <c r="L161" i="2"/>
  <c r="M161" i="2"/>
  <c r="N161" i="2"/>
  <c r="L162" i="2" a="1"/>
  <c r="L162" i="2"/>
  <c r="M162" i="2"/>
  <c r="N162" i="2"/>
  <c r="L163" i="2" a="1"/>
  <c r="L163" i="2"/>
  <c r="M163" i="2"/>
  <c r="N163" i="2"/>
  <c r="L164" i="2" a="1"/>
  <c r="L164" i="2"/>
  <c r="M164" i="2"/>
  <c r="N164" i="2"/>
  <c r="L165" i="2" a="1"/>
  <c r="L165" i="2"/>
  <c r="M165" i="2"/>
  <c r="N165" i="2"/>
  <c r="L166" i="2" a="1"/>
  <c r="L166" i="2"/>
  <c r="M166" i="2"/>
  <c r="N166" i="2"/>
  <c r="L167" i="2" a="1"/>
  <c r="L167" i="2"/>
  <c r="M167" i="2"/>
  <c r="N167" i="2"/>
  <c r="L168" i="2" a="1"/>
  <c r="L168" i="2"/>
  <c r="M168" i="2"/>
  <c r="N168" i="2"/>
  <c r="L169" i="2" a="1"/>
  <c r="L169" i="2"/>
  <c r="M169" i="2"/>
  <c r="N169" i="2"/>
  <c r="L170" i="2" a="1"/>
  <c r="L170" i="2"/>
  <c r="M170" i="2"/>
  <c r="N170" i="2"/>
  <c r="L171" i="2" a="1"/>
  <c r="L171" i="2"/>
  <c r="M171" i="2"/>
  <c r="N171" i="2"/>
  <c r="L172" i="2" a="1"/>
  <c r="L172" i="2"/>
  <c r="M172" i="2"/>
  <c r="N172" i="2"/>
  <c r="L173" i="2" a="1"/>
  <c r="L173" i="2"/>
  <c r="M173" i="2"/>
  <c r="N173" i="2"/>
  <c r="L174" i="2" a="1"/>
  <c r="L174" i="2"/>
  <c r="M174" i="2"/>
  <c r="N174" i="2"/>
  <c r="L175" i="2" a="1"/>
  <c r="L175" i="2"/>
  <c r="M175" i="2"/>
  <c r="N175" i="2"/>
  <c r="L176" i="2" a="1"/>
  <c r="L176" i="2"/>
  <c r="M176" i="2"/>
  <c r="N176" i="2"/>
  <c r="L177" i="2" a="1"/>
  <c r="L177" i="2"/>
  <c r="M177" i="2"/>
  <c r="N177" i="2"/>
  <c r="L178" i="2" a="1"/>
  <c r="L178" i="2"/>
  <c r="M178" i="2"/>
  <c r="N178" i="2"/>
  <c r="L179" i="2" a="1"/>
  <c r="L179" i="2"/>
  <c r="M179" i="2"/>
  <c r="N179" i="2"/>
  <c r="L180" i="2" a="1"/>
  <c r="L180" i="2"/>
  <c r="M180" i="2"/>
  <c r="N180" i="2"/>
  <c r="L181" i="2" a="1"/>
  <c r="L181" i="2"/>
  <c r="M181" i="2"/>
  <c r="N181" i="2"/>
  <c r="L182" i="2" a="1"/>
  <c r="L182" i="2"/>
  <c r="M182" i="2"/>
  <c r="N182" i="2"/>
  <c r="L183" i="2" a="1"/>
  <c r="L183" i="2"/>
  <c r="M183" i="2"/>
  <c r="N183" i="2"/>
  <c r="L184" i="2" a="1"/>
  <c r="L184" i="2"/>
  <c r="M184" i="2"/>
  <c r="N184" i="2"/>
  <c r="L185" i="2" a="1"/>
  <c r="L185" i="2"/>
  <c r="M185" i="2"/>
  <c r="N185" i="2"/>
  <c r="L186" i="2" a="1"/>
  <c r="L186" i="2"/>
  <c r="M186" i="2"/>
  <c r="N186" i="2"/>
  <c r="L187" i="2" a="1"/>
  <c r="L187" i="2"/>
  <c r="M187" i="2"/>
  <c r="N187" i="2"/>
  <c r="L188" i="2" a="1"/>
  <c r="L188" i="2"/>
  <c r="M188" i="2"/>
  <c r="N188" i="2"/>
  <c r="L189" i="2" a="1"/>
  <c r="L189" i="2"/>
  <c r="M189" i="2"/>
  <c r="N189" i="2"/>
  <c r="L190" i="2" a="1"/>
  <c r="L190" i="2"/>
  <c r="M190" i="2"/>
  <c r="N190" i="2"/>
  <c r="L191" i="2" a="1"/>
  <c r="L191" i="2"/>
  <c r="M191" i="2"/>
  <c r="N191" i="2"/>
  <c r="L192" i="2" a="1"/>
  <c r="L192" i="2"/>
  <c r="M192" i="2"/>
  <c r="N192" i="2"/>
  <c r="L193" i="2" a="1"/>
  <c r="L193" i="2"/>
  <c r="M193" i="2"/>
  <c r="N193" i="2"/>
  <c r="L194" i="2" a="1"/>
  <c r="L194" i="2"/>
  <c r="M194" i="2"/>
  <c r="N194" i="2"/>
  <c r="L195" i="2" a="1"/>
  <c r="L195" i="2"/>
  <c r="M195" i="2"/>
  <c r="N195" i="2"/>
  <c r="L196" i="2" a="1"/>
  <c r="L196" i="2"/>
  <c r="M196" i="2"/>
  <c r="N196" i="2"/>
  <c r="L197" i="2" a="1"/>
  <c r="L197" i="2"/>
  <c r="M197" i="2"/>
  <c r="N197" i="2"/>
  <c r="L198" i="2" a="1"/>
  <c r="L198" i="2"/>
  <c r="M198" i="2"/>
  <c r="N198" i="2"/>
  <c r="L199" i="2" a="1"/>
  <c r="L199" i="2"/>
  <c r="M199" i="2"/>
  <c r="N199" i="2"/>
  <c r="L200" i="2" a="1"/>
  <c r="L200" i="2"/>
  <c r="M200" i="2"/>
  <c r="N200" i="2"/>
  <c r="L201" i="2" a="1"/>
  <c r="L201" i="2"/>
  <c r="M201" i="2"/>
  <c r="N201" i="2"/>
  <c r="L202" i="2" a="1"/>
  <c r="L202" i="2"/>
  <c r="M202" i="2"/>
  <c r="N202" i="2"/>
  <c r="L203" i="2" a="1"/>
  <c r="L203" i="2"/>
  <c r="M203" i="2"/>
  <c r="N203" i="2"/>
  <c r="L204" i="2" a="1"/>
  <c r="L204" i="2"/>
  <c r="M204" i="2"/>
  <c r="N204" i="2"/>
  <c r="L205" i="2" a="1"/>
  <c r="L205" i="2"/>
  <c r="M205" i="2"/>
  <c r="N205" i="2"/>
  <c r="L206" i="2" a="1"/>
  <c r="L206" i="2"/>
  <c r="M206" i="2"/>
  <c r="N206" i="2"/>
  <c r="L207" i="2" a="1"/>
  <c r="L207" i="2"/>
  <c r="M207" i="2"/>
  <c r="N207" i="2"/>
  <c r="L208" i="2" a="1"/>
  <c r="L208" i="2"/>
  <c r="M208" i="2"/>
  <c r="N208" i="2"/>
  <c r="L209" i="2" a="1"/>
  <c r="L209" i="2"/>
  <c r="M209" i="2"/>
  <c r="N209" i="2"/>
  <c r="L210" i="2" a="1"/>
  <c r="L210" i="2"/>
  <c r="M210" i="2"/>
  <c r="N210" i="2"/>
  <c r="L211" i="2" a="1"/>
  <c r="L211" i="2"/>
  <c r="M211" i="2"/>
  <c r="N211" i="2"/>
  <c r="L212" i="2" a="1"/>
  <c r="L212" i="2"/>
  <c r="M212" i="2"/>
  <c r="N212" i="2"/>
  <c r="L213" i="2" a="1"/>
  <c r="L213" i="2"/>
  <c r="M213" i="2"/>
  <c r="N213" i="2"/>
  <c r="L214" i="2" a="1"/>
  <c r="L214" i="2"/>
  <c r="M214" i="2"/>
  <c r="N214" i="2"/>
  <c r="L215" i="2" a="1"/>
  <c r="L215" i="2"/>
  <c r="M215" i="2"/>
  <c r="N215" i="2"/>
  <c r="L216" i="2" a="1"/>
  <c r="L216" i="2"/>
  <c r="M216" i="2"/>
  <c r="N216" i="2"/>
  <c r="L217" i="2" a="1"/>
  <c r="L217" i="2"/>
  <c r="M217" i="2"/>
  <c r="N217" i="2"/>
  <c r="L218" i="2" a="1"/>
  <c r="L218" i="2"/>
  <c r="M218" i="2"/>
  <c r="N218" i="2"/>
  <c r="L219" i="2" a="1"/>
  <c r="L219" i="2"/>
  <c r="M219" i="2"/>
  <c r="N219" i="2"/>
  <c r="L220" i="2" a="1"/>
  <c r="L220" i="2"/>
  <c r="M220" i="2"/>
  <c r="N220" i="2"/>
  <c r="L221" i="2" a="1"/>
  <c r="L221" i="2"/>
  <c r="M221" i="2"/>
  <c r="N221" i="2"/>
  <c r="L222" i="2" a="1"/>
  <c r="L222" i="2"/>
  <c r="M222" i="2"/>
  <c r="N222" i="2"/>
  <c r="L223" i="2" a="1"/>
  <c r="L223" i="2"/>
  <c r="M223" i="2"/>
  <c r="N223" i="2"/>
  <c r="L224" i="2" a="1"/>
  <c r="L224" i="2"/>
  <c r="M224" i="2"/>
  <c r="N224" i="2"/>
  <c r="L225" i="2" a="1"/>
  <c r="L225" i="2"/>
  <c r="M225" i="2"/>
  <c r="N225" i="2"/>
  <c r="L226" i="2" a="1"/>
  <c r="L226" i="2"/>
  <c r="M226" i="2"/>
  <c r="N226" i="2"/>
  <c r="L227" i="2" a="1"/>
  <c r="L227" i="2"/>
  <c r="M227" i="2"/>
  <c r="N227" i="2"/>
  <c r="L228" i="2" a="1"/>
  <c r="L228" i="2"/>
  <c r="M228" i="2"/>
  <c r="N228" i="2"/>
  <c r="L229" i="2" a="1"/>
  <c r="L229" i="2"/>
  <c r="M229" i="2"/>
  <c r="N229" i="2"/>
  <c r="L230" i="2" a="1"/>
  <c r="L230" i="2"/>
  <c r="M230" i="2"/>
  <c r="N230" i="2"/>
  <c r="L231" i="2" a="1"/>
  <c r="L231" i="2"/>
  <c r="M231" i="2"/>
  <c r="N231" i="2"/>
  <c r="L232" i="2" a="1"/>
  <c r="L232" i="2"/>
  <c r="M232" i="2"/>
  <c r="N232" i="2"/>
  <c r="L233" i="2" a="1"/>
  <c r="L233" i="2"/>
  <c r="M233" i="2"/>
  <c r="N233" i="2"/>
  <c r="L234" i="2" a="1"/>
  <c r="L234" i="2"/>
  <c r="M234" i="2"/>
  <c r="N234" i="2"/>
  <c r="L235" i="2" a="1"/>
  <c r="L235" i="2"/>
  <c r="M235" i="2"/>
  <c r="N235" i="2"/>
  <c r="L236" i="2" a="1"/>
  <c r="L236" i="2"/>
  <c r="M236" i="2"/>
  <c r="N236" i="2"/>
  <c r="L237" i="2" a="1"/>
  <c r="L237" i="2"/>
  <c r="M237" i="2"/>
  <c r="N237" i="2"/>
  <c r="L238" i="2" a="1"/>
  <c r="L238" i="2"/>
  <c r="M238" i="2"/>
  <c r="N238" i="2"/>
  <c r="L239" i="2" a="1"/>
  <c r="L239" i="2"/>
  <c r="M239" i="2"/>
  <c r="N239" i="2"/>
  <c r="L240" i="2" a="1"/>
  <c r="L240" i="2"/>
  <c r="M240" i="2"/>
  <c r="N240" i="2"/>
  <c r="L241" i="2" a="1"/>
  <c r="L241" i="2"/>
  <c r="M241" i="2"/>
  <c r="N241" i="2"/>
  <c r="L242" i="2" a="1"/>
  <c r="L242" i="2"/>
  <c r="M242" i="2"/>
  <c r="N242" i="2"/>
  <c r="L243" i="2" a="1"/>
  <c r="L243" i="2"/>
  <c r="M243" i="2"/>
  <c r="N243" i="2"/>
  <c r="L244" i="2" a="1"/>
  <c r="L244" i="2"/>
  <c r="M244" i="2"/>
  <c r="N244" i="2"/>
  <c r="L245" i="2" a="1"/>
  <c r="L245" i="2"/>
  <c r="M245" i="2"/>
  <c r="N245" i="2"/>
  <c r="L246" i="2" a="1"/>
  <c r="L246" i="2"/>
  <c r="M246" i="2"/>
  <c r="N246" i="2"/>
  <c r="L247" i="2" a="1"/>
  <c r="L247" i="2"/>
  <c r="M247" i="2"/>
  <c r="N247" i="2"/>
  <c r="L248" i="2" a="1"/>
  <c r="L248" i="2"/>
  <c r="M248" i="2"/>
  <c r="N248" i="2"/>
  <c r="L249" i="2" a="1"/>
  <c r="L249" i="2"/>
  <c r="M249" i="2"/>
  <c r="N249" i="2"/>
  <c r="L250" i="2" a="1"/>
  <c r="L250" i="2"/>
  <c r="M250" i="2"/>
  <c r="N250" i="2"/>
  <c r="L251" i="2" a="1"/>
  <c r="L251" i="2"/>
  <c r="M251" i="2"/>
  <c r="N251" i="2"/>
  <c r="L252" i="2" a="1"/>
  <c r="L252" i="2"/>
  <c r="M252" i="2"/>
  <c r="N252" i="2"/>
  <c r="L253" i="2" a="1"/>
  <c r="L253" i="2"/>
  <c r="M253" i="2"/>
  <c r="N253" i="2"/>
  <c r="L254" i="2" a="1"/>
  <c r="L254" i="2"/>
  <c r="M254" i="2"/>
  <c r="N254" i="2"/>
  <c r="L255" i="2" a="1"/>
  <c r="L255" i="2"/>
  <c r="M255" i="2"/>
  <c r="N255" i="2"/>
  <c r="L256" i="2" a="1"/>
  <c r="L256" i="2"/>
  <c r="M256" i="2"/>
  <c r="N256" i="2"/>
  <c r="L257" i="2" a="1"/>
  <c r="L257" i="2"/>
  <c r="M257" i="2"/>
  <c r="N257" i="2"/>
  <c r="L258" i="2" a="1"/>
  <c r="L258" i="2"/>
  <c r="M258" i="2"/>
  <c r="N258" i="2"/>
  <c r="L259" i="2" a="1"/>
  <c r="L259" i="2"/>
  <c r="M259" i="2"/>
  <c r="N259" i="2"/>
  <c r="L260" i="2" a="1"/>
  <c r="L260" i="2"/>
  <c r="M260" i="2"/>
  <c r="N260" i="2"/>
  <c r="L261" i="2" a="1"/>
  <c r="L261" i="2"/>
  <c r="M261" i="2"/>
  <c r="N261" i="2"/>
  <c r="L262" i="2" a="1"/>
  <c r="L262" i="2"/>
  <c r="M262" i="2"/>
  <c r="N262" i="2"/>
  <c r="L263" i="2" a="1"/>
  <c r="L263" i="2"/>
  <c r="M263" i="2"/>
  <c r="N263" i="2"/>
  <c r="L264" i="2" a="1"/>
  <c r="L264" i="2"/>
  <c r="M264" i="2"/>
  <c r="N264" i="2"/>
  <c r="L265" i="2" a="1"/>
  <c r="L265" i="2"/>
  <c r="M265" i="2"/>
  <c r="N265" i="2"/>
  <c r="L266" i="2" a="1"/>
  <c r="L266" i="2"/>
  <c r="M266" i="2"/>
  <c r="N266" i="2"/>
  <c r="L267" i="2" a="1"/>
  <c r="L267" i="2"/>
  <c r="M267" i="2"/>
  <c r="N267" i="2"/>
  <c r="L268" i="2" a="1"/>
  <c r="L268" i="2"/>
  <c r="M268" i="2"/>
  <c r="N268" i="2"/>
  <c r="L269" i="2" a="1"/>
  <c r="L269" i="2"/>
  <c r="M269" i="2"/>
  <c r="N269" i="2"/>
  <c r="L270" i="2" a="1"/>
  <c r="L270" i="2"/>
  <c r="M270" i="2"/>
  <c r="N270" i="2"/>
  <c r="L271" i="2" a="1"/>
  <c r="L271" i="2"/>
  <c r="M271" i="2"/>
  <c r="N271" i="2"/>
  <c r="L272" i="2" a="1"/>
  <c r="L272" i="2"/>
  <c r="M272" i="2"/>
  <c r="N272" i="2"/>
  <c r="L273" i="2" a="1"/>
  <c r="L273" i="2"/>
  <c r="M273" i="2"/>
  <c r="N273" i="2"/>
  <c r="L274" i="2" a="1"/>
  <c r="L274" i="2"/>
  <c r="M274" i="2"/>
  <c r="N274" i="2"/>
  <c r="L275" i="2" a="1"/>
  <c r="L275" i="2"/>
  <c r="M275" i="2"/>
  <c r="N275" i="2"/>
  <c r="L276" i="2" a="1"/>
  <c r="L276" i="2"/>
  <c r="M276" i="2"/>
  <c r="N276" i="2"/>
  <c r="L277" i="2" a="1"/>
  <c r="L277" i="2"/>
  <c r="M277" i="2"/>
  <c r="N277" i="2"/>
  <c r="L278" i="2" a="1"/>
  <c r="L278" i="2"/>
  <c r="M278" i="2"/>
  <c r="N278" i="2"/>
  <c r="L279" i="2" a="1"/>
  <c r="L279" i="2"/>
  <c r="M279" i="2"/>
  <c r="N279" i="2"/>
  <c r="L280" i="2" a="1"/>
  <c r="L280" i="2"/>
  <c r="M280" i="2"/>
  <c r="N280" i="2"/>
  <c r="L281" i="2" a="1"/>
  <c r="L281" i="2"/>
  <c r="M281" i="2"/>
  <c r="N281" i="2"/>
  <c r="L282" i="2" a="1"/>
  <c r="L282" i="2"/>
  <c r="M282" i="2"/>
  <c r="N282" i="2"/>
  <c r="L283" i="2" a="1"/>
  <c r="L283" i="2"/>
  <c r="M283" i="2"/>
  <c r="N283" i="2"/>
  <c r="L284" i="2" a="1"/>
  <c r="L284" i="2"/>
  <c r="M284" i="2"/>
  <c r="N284" i="2"/>
  <c r="L285" i="2" a="1"/>
  <c r="L285" i="2"/>
  <c r="M285" i="2"/>
  <c r="N285" i="2"/>
  <c r="L286" i="2" a="1"/>
  <c r="L286" i="2"/>
  <c r="M286" i="2"/>
  <c r="N286" i="2"/>
  <c r="L287" i="2" a="1"/>
  <c r="L287" i="2"/>
  <c r="M287" i="2"/>
  <c r="N287" i="2"/>
  <c r="L288" i="2" a="1"/>
  <c r="L288" i="2"/>
  <c r="M288" i="2"/>
  <c r="N288" i="2"/>
  <c r="L289" i="2" a="1"/>
  <c r="L289" i="2"/>
  <c r="M289" i="2"/>
  <c r="N289" i="2"/>
  <c r="L290" i="2" a="1"/>
  <c r="L290" i="2"/>
  <c r="M290" i="2"/>
  <c r="N290" i="2"/>
  <c r="L291" i="2" a="1"/>
  <c r="L291" i="2"/>
  <c r="M291" i="2"/>
  <c r="N291" i="2"/>
  <c r="L292" i="2" a="1"/>
  <c r="L292" i="2"/>
  <c r="M292" i="2"/>
  <c r="N292" i="2"/>
  <c r="L293" i="2" a="1"/>
  <c r="L293" i="2"/>
  <c r="M293" i="2"/>
  <c r="N293" i="2"/>
  <c r="L294" i="2" a="1"/>
  <c r="L294" i="2"/>
  <c r="M294" i="2"/>
  <c r="N294" i="2"/>
  <c r="L295" i="2" a="1"/>
  <c r="L295" i="2"/>
  <c r="M295" i="2"/>
  <c r="N295" i="2"/>
  <c r="L296" i="2" a="1"/>
  <c r="L296" i="2"/>
  <c r="M296" i="2"/>
  <c r="N296" i="2"/>
  <c r="L297" i="2" a="1"/>
  <c r="L297" i="2"/>
  <c r="M297" i="2"/>
  <c r="N297" i="2"/>
  <c r="L298" i="2" a="1"/>
  <c r="L298" i="2"/>
  <c r="M298" i="2"/>
  <c r="N298" i="2"/>
  <c r="L299" i="2" a="1"/>
  <c r="L299" i="2"/>
  <c r="M299" i="2"/>
  <c r="N299" i="2"/>
  <c r="L300" i="2" a="1"/>
  <c r="L300" i="2"/>
  <c r="M300" i="2"/>
  <c r="N300" i="2"/>
  <c r="L301" i="2" a="1"/>
  <c r="L301" i="2"/>
  <c r="M301" i="2"/>
  <c r="N301" i="2"/>
  <c r="L302" i="2" a="1"/>
  <c r="L302" i="2"/>
  <c r="M302" i="2"/>
  <c r="N302" i="2"/>
  <c r="L303" i="2" a="1"/>
  <c r="L303" i="2"/>
  <c r="M303" i="2"/>
  <c r="N303" i="2"/>
  <c r="L304" i="2" a="1"/>
  <c r="L304" i="2"/>
  <c r="M304" i="2"/>
  <c r="N304" i="2"/>
  <c r="L305" i="2" a="1"/>
  <c r="L305" i="2"/>
  <c r="M305" i="2"/>
  <c r="N305" i="2"/>
  <c r="L306" i="2" a="1"/>
  <c r="L306" i="2"/>
  <c r="M306" i="2"/>
  <c r="N306" i="2"/>
  <c r="L307" i="2" a="1"/>
  <c r="L307" i="2"/>
  <c r="M307" i="2"/>
  <c r="N307" i="2"/>
  <c r="L308" i="2" a="1"/>
  <c r="L308" i="2"/>
  <c r="M308" i="2"/>
  <c r="N308" i="2"/>
  <c r="L309" i="2" a="1"/>
  <c r="L309" i="2"/>
  <c r="M309" i="2"/>
  <c r="N309" i="2"/>
  <c r="L310" i="2" a="1"/>
  <c r="L310" i="2"/>
  <c r="M310" i="2"/>
  <c r="N310" i="2"/>
  <c r="L311" i="2" a="1"/>
  <c r="L311" i="2"/>
  <c r="M311" i="2"/>
  <c r="N311" i="2"/>
  <c r="L312" i="2" a="1"/>
  <c r="L312" i="2"/>
  <c r="M312" i="2"/>
  <c r="N312" i="2"/>
  <c r="L313" i="2" a="1"/>
  <c r="L313" i="2"/>
  <c r="M313" i="2"/>
  <c r="N313" i="2"/>
  <c r="L314" i="2" a="1"/>
  <c r="L314" i="2"/>
  <c r="M314" i="2"/>
  <c r="N314" i="2"/>
  <c r="L315" i="2" a="1"/>
  <c r="L315" i="2"/>
  <c r="M315" i="2"/>
  <c r="N315" i="2"/>
  <c r="L316" i="2" a="1"/>
  <c r="L316" i="2"/>
  <c r="M316" i="2"/>
  <c r="N316" i="2"/>
  <c r="L317" i="2" a="1"/>
  <c r="L317" i="2"/>
  <c r="M317" i="2"/>
  <c r="N317" i="2"/>
  <c r="L318" i="2" a="1"/>
  <c r="L318" i="2"/>
  <c r="M318" i="2"/>
  <c r="N318" i="2"/>
  <c r="L319" i="2" a="1"/>
  <c r="L319" i="2"/>
  <c r="M319" i="2"/>
  <c r="N319" i="2"/>
  <c r="L320" i="2" a="1"/>
  <c r="L320" i="2"/>
  <c r="M320" i="2"/>
  <c r="N320" i="2"/>
  <c r="L321" i="2" a="1"/>
  <c r="L321" i="2"/>
  <c r="M321" i="2"/>
  <c r="N321" i="2"/>
  <c r="L322" i="2" a="1"/>
  <c r="L322" i="2"/>
  <c r="M322" i="2"/>
  <c r="N322" i="2"/>
  <c r="L323" i="2" a="1"/>
  <c r="L323" i="2"/>
  <c r="M323" i="2"/>
  <c r="N323" i="2"/>
  <c r="L324" i="2" a="1"/>
  <c r="L324" i="2"/>
  <c r="M324" i="2"/>
  <c r="N324" i="2"/>
  <c r="L325" i="2" a="1"/>
  <c r="L325" i="2"/>
  <c r="M325" i="2"/>
  <c r="N325" i="2"/>
  <c r="L326" i="2" a="1"/>
  <c r="L326" i="2"/>
  <c r="M326" i="2"/>
  <c r="N326" i="2"/>
  <c r="L327" i="2" a="1"/>
  <c r="L327" i="2"/>
  <c r="M327" i="2"/>
  <c r="N327" i="2"/>
  <c r="L328" i="2" a="1"/>
  <c r="L328" i="2"/>
  <c r="M328" i="2"/>
  <c r="N328" i="2"/>
  <c r="L329" i="2" a="1"/>
  <c r="L329" i="2"/>
  <c r="M329" i="2"/>
  <c r="N329" i="2"/>
  <c r="L330" i="2" a="1"/>
  <c r="L330" i="2"/>
  <c r="M330" i="2"/>
  <c r="N330" i="2"/>
  <c r="L331" i="2" a="1"/>
  <c r="L331" i="2"/>
  <c r="M331" i="2"/>
  <c r="N331" i="2"/>
  <c r="L332" i="2" a="1"/>
  <c r="L332" i="2"/>
  <c r="M332" i="2"/>
  <c r="N332" i="2"/>
  <c r="L333" i="2" a="1"/>
  <c r="L333" i="2"/>
  <c r="M333" i="2"/>
  <c r="N333" i="2"/>
  <c r="L334" i="2" a="1"/>
  <c r="L334" i="2"/>
  <c r="M334" i="2"/>
  <c r="N334" i="2"/>
  <c r="L335" i="2" a="1"/>
  <c r="L335" i="2"/>
  <c r="M335" i="2"/>
  <c r="N335" i="2"/>
  <c r="L336" i="2" a="1"/>
  <c r="L336" i="2"/>
  <c r="M336" i="2"/>
  <c r="N336" i="2"/>
  <c r="L337" i="2" a="1"/>
  <c r="L337" i="2"/>
  <c r="M337" i="2"/>
  <c r="N337" i="2"/>
  <c r="L338" i="2" a="1"/>
  <c r="L338" i="2"/>
  <c r="M338" i="2"/>
  <c r="N338" i="2"/>
  <c r="L339" i="2" a="1"/>
  <c r="L339" i="2"/>
  <c r="M339" i="2"/>
  <c r="N339" i="2"/>
  <c r="L340" i="2" a="1"/>
  <c r="L340" i="2"/>
  <c r="M340" i="2"/>
  <c r="N340" i="2"/>
  <c r="L341" i="2" a="1"/>
  <c r="L341" i="2"/>
  <c r="M341" i="2"/>
  <c r="N341" i="2"/>
  <c r="L342" i="2" a="1"/>
  <c r="L342" i="2"/>
  <c r="M342" i="2"/>
  <c r="N342" i="2"/>
  <c r="L343" i="2" a="1"/>
  <c r="L343" i="2"/>
  <c r="M343" i="2"/>
  <c r="N343" i="2"/>
  <c r="L344" i="2" a="1"/>
  <c r="L344" i="2"/>
  <c r="M344" i="2"/>
  <c r="N344" i="2"/>
  <c r="L345" i="2" a="1"/>
  <c r="L345" i="2"/>
  <c r="M345" i="2"/>
  <c r="N345" i="2"/>
  <c r="L346" i="2" a="1"/>
  <c r="L346" i="2"/>
  <c r="M346" i="2"/>
  <c r="N346" i="2"/>
  <c r="L347" i="2" a="1"/>
  <c r="L347" i="2"/>
  <c r="M347" i="2"/>
  <c r="N347" i="2"/>
  <c r="L348" i="2" a="1"/>
  <c r="L348" i="2"/>
  <c r="M348" i="2"/>
  <c r="N348" i="2"/>
  <c r="L349" i="2" a="1"/>
  <c r="L349" i="2"/>
  <c r="M349" i="2"/>
  <c r="N349" i="2"/>
  <c r="L350" i="2" a="1"/>
  <c r="L350" i="2"/>
  <c r="M350" i="2"/>
  <c r="N350" i="2"/>
  <c r="L351" i="2" a="1"/>
  <c r="L351" i="2"/>
  <c r="M351" i="2"/>
  <c r="N351" i="2"/>
  <c r="L352" i="2" a="1"/>
  <c r="L352" i="2"/>
  <c r="M352" i="2"/>
  <c r="N352" i="2"/>
  <c r="L353" i="2" a="1"/>
  <c r="L353" i="2"/>
  <c r="M353" i="2"/>
  <c r="N353" i="2"/>
  <c r="L354" i="2" a="1"/>
  <c r="L354" i="2"/>
  <c r="M354" i="2"/>
  <c r="N354" i="2"/>
  <c r="L355" i="2" a="1"/>
  <c r="L355" i="2"/>
  <c r="M355" i="2"/>
  <c r="N355" i="2"/>
  <c r="L356" i="2" a="1"/>
  <c r="L356" i="2"/>
  <c r="M356" i="2"/>
  <c r="N356" i="2"/>
  <c r="L357" i="2" a="1"/>
  <c r="L357" i="2"/>
  <c r="M357" i="2"/>
  <c r="N357" i="2"/>
  <c r="L358" i="2" a="1"/>
  <c r="L358" i="2"/>
  <c r="M358" i="2"/>
  <c r="N358" i="2"/>
  <c r="L359" i="2" a="1"/>
  <c r="L359" i="2"/>
  <c r="M359" i="2"/>
  <c r="N359" i="2"/>
  <c r="L360" i="2" a="1"/>
  <c r="L360" i="2"/>
  <c r="M360" i="2"/>
  <c r="N360" i="2"/>
  <c r="L361" i="2" a="1"/>
  <c r="L361" i="2"/>
  <c r="M361" i="2"/>
  <c r="N361" i="2"/>
  <c r="L362" i="2" a="1"/>
  <c r="L362" i="2"/>
  <c r="M362" i="2"/>
  <c r="N362" i="2"/>
  <c r="L363" i="2" a="1"/>
  <c r="L363" i="2"/>
  <c r="M363" i="2"/>
  <c r="N363" i="2"/>
  <c r="L364" i="2" a="1"/>
  <c r="L364" i="2"/>
  <c r="M364" i="2"/>
  <c r="N364" i="2"/>
  <c r="L365" i="2" a="1"/>
  <c r="L365" i="2"/>
  <c r="M365" i="2"/>
  <c r="N365" i="2"/>
  <c r="L366" i="2" a="1"/>
  <c r="L366" i="2"/>
  <c r="M366" i="2"/>
  <c r="N366" i="2"/>
  <c r="L367" i="2" a="1"/>
  <c r="L367" i="2"/>
  <c r="M367" i="2"/>
  <c r="N367" i="2"/>
  <c r="L368" i="2" a="1"/>
  <c r="L368" i="2"/>
  <c r="M368" i="2"/>
  <c r="N368" i="2"/>
  <c r="L369" i="2" a="1"/>
  <c r="L369" i="2"/>
  <c r="M369" i="2"/>
  <c r="N369" i="2"/>
  <c r="L370" i="2" a="1"/>
  <c r="L370" i="2"/>
  <c r="M370" i="2"/>
  <c r="N370" i="2"/>
  <c r="L371" i="2" a="1"/>
  <c r="L371" i="2"/>
  <c r="M371" i="2"/>
  <c r="N371" i="2"/>
  <c r="L372" i="2" a="1"/>
  <c r="L372" i="2"/>
  <c r="M372" i="2"/>
  <c r="N372" i="2"/>
  <c r="L373" i="2" a="1"/>
  <c r="L373" i="2"/>
  <c r="M373" i="2"/>
  <c r="N373" i="2"/>
  <c r="L374" i="2" a="1"/>
  <c r="L374" i="2"/>
  <c r="M374" i="2"/>
  <c r="N374" i="2"/>
  <c r="L375" i="2" a="1"/>
  <c r="L375" i="2"/>
  <c r="M375" i="2"/>
  <c r="N375" i="2"/>
  <c r="L376" i="2" a="1"/>
  <c r="L376" i="2"/>
  <c r="M376" i="2"/>
  <c r="N376" i="2"/>
  <c r="L377" i="2" a="1"/>
  <c r="L377" i="2"/>
  <c r="M377" i="2"/>
  <c r="N377" i="2"/>
  <c r="L378" i="2" a="1"/>
  <c r="L378" i="2"/>
  <c r="M378" i="2"/>
  <c r="N378" i="2"/>
  <c r="L379" i="2" a="1"/>
  <c r="L379" i="2"/>
  <c r="M379" i="2"/>
  <c r="N379" i="2"/>
  <c r="L380" i="2" a="1"/>
  <c r="L380" i="2"/>
  <c r="M380" i="2"/>
  <c r="N380" i="2"/>
  <c r="L381" i="2" a="1"/>
  <c r="L381" i="2"/>
  <c r="M381" i="2"/>
  <c r="N381" i="2"/>
  <c r="L382" i="2" a="1"/>
  <c r="L382" i="2"/>
  <c r="M382" i="2"/>
  <c r="N382" i="2"/>
  <c r="L383" i="2" a="1"/>
  <c r="L383" i="2"/>
  <c r="M383" i="2"/>
  <c r="N383" i="2"/>
  <c r="L384" i="2" a="1"/>
  <c r="L384" i="2"/>
  <c r="M384" i="2"/>
  <c r="N384" i="2"/>
  <c r="L385" i="2" a="1"/>
  <c r="L385" i="2"/>
  <c r="M385" i="2"/>
  <c r="N385" i="2"/>
  <c r="L386" i="2" a="1"/>
  <c r="L386" i="2"/>
  <c r="M386" i="2"/>
  <c r="N386" i="2"/>
  <c r="L387" i="2" a="1"/>
  <c r="L387" i="2"/>
  <c r="M387" i="2"/>
  <c r="N387" i="2"/>
  <c r="L388" i="2" a="1"/>
  <c r="L388" i="2"/>
  <c r="M388" i="2"/>
  <c r="N388" i="2"/>
  <c r="L389" i="2" a="1"/>
  <c r="L389" i="2"/>
  <c r="M389" i="2"/>
  <c r="N389" i="2"/>
  <c r="L390" i="2" a="1"/>
  <c r="L390" i="2"/>
  <c r="M390" i="2"/>
  <c r="N390" i="2"/>
  <c r="L391" i="2" a="1"/>
  <c r="L391" i="2"/>
  <c r="M391" i="2"/>
  <c r="N391" i="2"/>
  <c r="L392" i="2" a="1"/>
  <c r="L392" i="2"/>
  <c r="M392" i="2"/>
  <c r="N392" i="2"/>
  <c r="L393" i="2" a="1"/>
  <c r="L393" i="2"/>
  <c r="M393" i="2"/>
  <c r="N393" i="2"/>
  <c r="L394" i="2" a="1"/>
  <c r="L394" i="2"/>
  <c r="M394" i="2"/>
  <c r="N394" i="2"/>
  <c r="L395" i="2" a="1"/>
  <c r="L395" i="2"/>
  <c r="M395" i="2"/>
  <c r="N395" i="2"/>
  <c r="L396" i="2" a="1"/>
  <c r="L396" i="2"/>
  <c r="M396" i="2"/>
  <c r="N396" i="2"/>
  <c r="L397" i="2" a="1"/>
  <c r="L397" i="2"/>
  <c r="M397" i="2"/>
  <c r="N397" i="2"/>
  <c r="L398" i="2" a="1"/>
  <c r="L398" i="2"/>
  <c r="M398" i="2"/>
  <c r="N398" i="2"/>
  <c r="L399" i="2" a="1"/>
  <c r="L399" i="2"/>
  <c r="M399" i="2"/>
  <c r="N399" i="2"/>
  <c r="L400" i="2" a="1"/>
  <c r="L400" i="2"/>
  <c r="M400" i="2"/>
  <c r="N400" i="2"/>
  <c r="L401" i="2" a="1"/>
  <c r="L401" i="2"/>
  <c r="M401" i="2"/>
  <c r="N401" i="2"/>
  <c r="L402" i="2" a="1"/>
  <c r="L402" i="2"/>
  <c r="M402" i="2"/>
  <c r="N402" i="2"/>
  <c r="L403" i="2" a="1"/>
  <c r="L403" i="2"/>
  <c r="M403" i="2"/>
  <c r="N403" i="2"/>
  <c r="L404" i="2" a="1"/>
  <c r="L404" i="2"/>
  <c r="M404" i="2"/>
  <c r="N404" i="2"/>
  <c r="L405" i="2" a="1"/>
  <c r="L405" i="2"/>
  <c r="M405" i="2"/>
  <c r="N405" i="2"/>
  <c r="L406" i="2" a="1"/>
  <c r="L406" i="2"/>
  <c r="M406" i="2"/>
  <c r="N406" i="2"/>
  <c r="L407" i="2" a="1"/>
  <c r="L407" i="2"/>
  <c r="M407" i="2"/>
  <c r="N407" i="2"/>
  <c r="L408" i="2" a="1"/>
  <c r="L408" i="2"/>
  <c r="M408" i="2"/>
  <c r="N408" i="2"/>
  <c r="L409" i="2" a="1"/>
  <c r="L409" i="2"/>
  <c r="M409" i="2"/>
  <c r="N409" i="2"/>
  <c r="L410" i="2" a="1"/>
  <c r="L410" i="2"/>
  <c r="M410" i="2"/>
  <c r="N410" i="2"/>
  <c r="L411" i="2" a="1"/>
  <c r="L411" i="2"/>
  <c r="M411" i="2"/>
  <c r="N411" i="2"/>
  <c r="L412" i="2" a="1"/>
  <c r="L412" i="2"/>
  <c r="M412" i="2"/>
  <c r="N412" i="2"/>
  <c r="L413" i="2" a="1"/>
  <c r="L413" i="2"/>
  <c r="M413" i="2"/>
  <c r="N413" i="2"/>
  <c r="L414" i="2" a="1"/>
  <c r="L414" i="2"/>
  <c r="M414" i="2"/>
  <c r="N414" i="2"/>
  <c r="L415" i="2" a="1"/>
  <c r="L415" i="2"/>
  <c r="M415" i="2"/>
  <c r="N415" i="2"/>
  <c r="L416" i="2" a="1"/>
  <c r="L416" i="2"/>
  <c r="M416" i="2"/>
  <c r="N416" i="2"/>
  <c r="L417" i="2" a="1"/>
  <c r="L417" i="2"/>
  <c r="M417" i="2"/>
  <c r="N417" i="2"/>
  <c r="L418" i="2" a="1"/>
  <c r="L418" i="2"/>
  <c r="M418" i="2"/>
  <c r="N418" i="2"/>
  <c r="L419" i="2" a="1"/>
  <c r="L419" i="2"/>
  <c r="M419" i="2"/>
  <c r="N419" i="2"/>
  <c r="L420" i="2" a="1"/>
  <c r="L420" i="2"/>
  <c r="M420" i="2"/>
  <c r="N420" i="2"/>
  <c r="L421" i="2" a="1"/>
  <c r="L421" i="2"/>
  <c r="M421" i="2"/>
  <c r="N421" i="2"/>
  <c r="L422" i="2" a="1"/>
  <c r="L422" i="2"/>
  <c r="M422" i="2"/>
  <c r="N422" i="2"/>
  <c r="L423" i="2" a="1"/>
  <c r="L423" i="2"/>
  <c r="M423" i="2"/>
  <c r="N423" i="2"/>
  <c r="L424" i="2" a="1"/>
  <c r="L424" i="2"/>
  <c r="M424" i="2"/>
  <c r="N424" i="2"/>
  <c r="L425" i="2" a="1"/>
  <c r="L425" i="2"/>
  <c r="M425" i="2"/>
  <c r="N425" i="2"/>
  <c r="L426" i="2" a="1"/>
  <c r="L426" i="2"/>
  <c r="M426" i="2"/>
  <c r="N426" i="2"/>
  <c r="L427" i="2" a="1"/>
  <c r="L427" i="2"/>
  <c r="M427" i="2"/>
  <c r="N427" i="2"/>
  <c r="L428" i="2" a="1"/>
  <c r="L428" i="2"/>
  <c r="M428" i="2"/>
  <c r="N428" i="2"/>
  <c r="L429" i="2" a="1"/>
  <c r="L429" i="2"/>
  <c r="M429" i="2"/>
  <c r="N429" i="2"/>
  <c r="L430" i="2" a="1"/>
  <c r="L430" i="2"/>
  <c r="M430" i="2"/>
  <c r="N430" i="2"/>
  <c r="L431" i="2" a="1"/>
  <c r="L431" i="2"/>
  <c r="M431" i="2"/>
  <c r="N431" i="2"/>
  <c r="L432" i="2" a="1"/>
  <c r="L432" i="2"/>
  <c r="M432" i="2"/>
  <c r="N432" i="2"/>
  <c r="L433" i="2" a="1"/>
  <c r="L433" i="2"/>
  <c r="M433" i="2"/>
  <c r="N433" i="2"/>
  <c r="L434" i="2" a="1"/>
  <c r="L434" i="2"/>
  <c r="M434" i="2"/>
  <c r="N434" i="2"/>
  <c r="L435" i="2" a="1"/>
  <c r="L435" i="2"/>
  <c r="M435" i="2"/>
  <c r="N435" i="2"/>
  <c r="L436" i="2" a="1"/>
  <c r="L436" i="2"/>
  <c r="M436" i="2"/>
  <c r="N436" i="2"/>
  <c r="L437" i="2" a="1"/>
  <c r="L437" i="2"/>
  <c r="M437" i="2"/>
  <c r="N437" i="2"/>
  <c r="L438" i="2" a="1"/>
  <c r="L438" i="2"/>
  <c r="M438" i="2"/>
  <c r="N438" i="2"/>
  <c r="L439" i="2" a="1"/>
  <c r="L439" i="2"/>
  <c r="M439" i="2"/>
  <c r="N439" i="2"/>
  <c r="L440" i="2" a="1"/>
  <c r="L440" i="2"/>
  <c r="M440" i="2"/>
  <c r="N440" i="2"/>
  <c r="L441" i="2" a="1"/>
  <c r="L441" i="2"/>
  <c r="M441" i="2"/>
  <c r="N441" i="2"/>
  <c r="L442" i="2" a="1"/>
  <c r="L442" i="2"/>
  <c r="M442" i="2"/>
  <c r="N442" i="2"/>
  <c r="L443" i="2" a="1"/>
  <c r="L443" i="2"/>
  <c r="M443" i="2"/>
  <c r="N443" i="2"/>
  <c r="L444" i="2" a="1"/>
  <c r="L444" i="2"/>
  <c r="M444" i="2"/>
  <c r="N444" i="2"/>
  <c r="L445" i="2" a="1"/>
  <c r="L445" i="2"/>
  <c r="M445" i="2"/>
  <c r="N445" i="2"/>
  <c r="L446" i="2" a="1"/>
  <c r="L446" i="2"/>
  <c r="M446" i="2"/>
  <c r="N446" i="2"/>
  <c r="L447" i="2" a="1"/>
  <c r="L447" i="2"/>
  <c r="M447" i="2"/>
  <c r="N447" i="2"/>
  <c r="L448" i="2" a="1"/>
  <c r="L448" i="2"/>
  <c r="M448" i="2"/>
  <c r="N448" i="2"/>
  <c r="L449" i="2" a="1"/>
  <c r="L449" i="2"/>
  <c r="M449" i="2"/>
  <c r="N449" i="2"/>
  <c r="L450" i="2" a="1"/>
  <c r="L450" i="2"/>
  <c r="M450" i="2"/>
  <c r="N450" i="2"/>
  <c r="L451" i="2" a="1"/>
  <c r="L451" i="2"/>
  <c r="M451" i="2"/>
  <c r="N451" i="2"/>
  <c r="L452" i="2" a="1"/>
  <c r="L452" i="2"/>
  <c r="M452" i="2"/>
  <c r="N452" i="2"/>
  <c r="L453" i="2" a="1"/>
  <c r="L453" i="2"/>
  <c r="M453" i="2"/>
  <c r="N453" i="2"/>
  <c r="L454" i="2" a="1"/>
  <c r="L454" i="2"/>
  <c r="M454" i="2"/>
  <c r="N454" i="2"/>
  <c r="L455" i="2" a="1"/>
  <c r="L455" i="2"/>
  <c r="M455" i="2"/>
  <c r="N455" i="2"/>
  <c r="L456" i="2" a="1"/>
  <c r="L456" i="2"/>
  <c r="M456" i="2"/>
  <c r="N456" i="2"/>
  <c r="L457" i="2" a="1"/>
  <c r="L457" i="2"/>
  <c r="M457" i="2"/>
  <c r="N457" i="2"/>
  <c r="L458" i="2" a="1"/>
  <c r="L458" i="2"/>
  <c r="M458" i="2"/>
  <c r="N458" i="2"/>
  <c r="L459" i="2" a="1"/>
  <c r="L459" i="2"/>
  <c r="M459" i="2"/>
  <c r="N459" i="2"/>
  <c r="L460" i="2" a="1"/>
  <c r="L460" i="2"/>
  <c r="M460" i="2"/>
  <c r="N460" i="2"/>
  <c r="L461" i="2" a="1"/>
  <c r="L461" i="2"/>
  <c r="M461" i="2"/>
  <c r="N461" i="2"/>
  <c r="L462" i="2" a="1"/>
  <c r="L462" i="2"/>
  <c r="M462" i="2"/>
  <c r="N462" i="2"/>
  <c r="L463" i="2" a="1"/>
  <c r="L463" i="2"/>
  <c r="M463" i="2"/>
  <c r="N463" i="2"/>
  <c r="L464" i="2" a="1"/>
  <c r="L464" i="2"/>
  <c r="M464" i="2"/>
  <c r="N464" i="2"/>
  <c r="L465" i="2" a="1"/>
  <c r="L465" i="2"/>
  <c r="M465" i="2"/>
  <c r="N465" i="2"/>
  <c r="L466" i="2" a="1"/>
  <c r="L466" i="2"/>
  <c r="M466" i="2"/>
  <c r="N466" i="2"/>
  <c r="L467" i="2" a="1"/>
  <c r="L467" i="2"/>
  <c r="M467" i="2"/>
  <c r="N467" i="2"/>
  <c r="L468" i="2" a="1"/>
  <c r="L468" i="2"/>
  <c r="M468" i="2"/>
  <c r="N468" i="2"/>
  <c r="L469" i="2" a="1"/>
  <c r="L469" i="2"/>
  <c r="M469" i="2"/>
  <c r="N469" i="2"/>
  <c r="L470" i="2" a="1"/>
  <c r="L470" i="2"/>
  <c r="M470" i="2"/>
  <c r="N470" i="2"/>
  <c r="L471" i="2" a="1"/>
  <c r="L471" i="2"/>
  <c r="M471" i="2"/>
  <c r="N471" i="2"/>
  <c r="L472" i="2" a="1"/>
  <c r="L472" i="2"/>
  <c r="M472" i="2"/>
  <c r="N472" i="2"/>
  <c r="L473" i="2" a="1"/>
  <c r="L473" i="2"/>
  <c r="M473" i="2"/>
  <c r="N473" i="2"/>
  <c r="L474" i="2" a="1"/>
  <c r="L474" i="2"/>
  <c r="M474" i="2"/>
  <c r="N474" i="2"/>
  <c r="L475" i="2" a="1"/>
  <c r="L475" i="2"/>
  <c r="M475" i="2"/>
  <c r="N475" i="2"/>
  <c r="L476" i="2" a="1"/>
  <c r="L476" i="2"/>
  <c r="M476" i="2"/>
  <c r="N476" i="2"/>
  <c r="L477" i="2" a="1"/>
  <c r="L477" i="2"/>
  <c r="M477" i="2"/>
  <c r="N477" i="2"/>
  <c r="L478" i="2" a="1"/>
  <c r="L478" i="2"/>
  <c r="M478" i="2"/>
  <c r="N478" i="2"/>
  <c r="L479" i="2" a="1"/>
  <c r="L479" i="2"/>
  <c r="M479" i="2"/>
  <c r="N479" i="2"/>
  <c r="L480" i="2" a="1"/>
  <c r="L480" i="2"/>
  <c r="M480" i="2"/>
  <c r="N480" i="2"/>
  <c r="L481" i="2" a="1"/>
  <c r="L481" i="2"/>
  <c r="M481" i="2"/>
  <c r="N481" i="2"/>
  <c r="L482" i="2" a="1"/>
  <c r="L482" i="2"/>
  <c r="M482" i="2"/>
  <c r="N482" i="2"/>
  <c r="L483" i="2" a="1"/>
  <c r="L483" i="2"/>
  <c r="M483" i="2"/>
  <c r="N483" i="2"/>
  <c r="L484" i="2" a="1"/>
  <c r="L484" i="2"/>
  <c r="M484" i="2"/>
  <c r="N484" i="2"/>
  <c r="L485" i="2" a="1"/>
  <c r="L485" i="2"/>
  <c r="M485" i="2"/>
  <c r="N485" i="2"/>
  <c r="L486" i="2" a="1"/>
  <c r="L486" i="2"/>
  <c r="M486" i="2"/>
  <c r="N486" i="2"/>
  <c r="L487" i="2" a="1"/>
  <c r="L487" i="2"/>
  <c r="M487" i="2"/>
  <c r="N487" i="2"/>
  <c r="L488" i="2" a="1"/>
  <c r="L488" i="2"/>
  <c r="M488" i="2"/>
  <c r="N488" i="2"/>
  <c r="L489" i="2" a="1"/>
  <c r="L489" i="2"/>
  <c r="M489" i="2"/>
  <c r="N489" i="2"/>
  <c r="L490" i="2" a="1"/>
  <c r="L490" i="2"/>
  <c r="M490" i="2"/>
  <c r="N490" i="2"/>
  <c r="L491" i="2" a="1"/>
  <c r="L491" i="2"/>
  <c r="M491" i="2"/>
  <c r="N491" i="2"/>
  <c r="L492" i="2" a="1"/>
  <c r="L492" i="2"/>
  <c r="M492" i="2"/>
  <c r="N492" i="2"/>
  <c r="L493" i="2" a="1"/>
  <c r="L493" i="2"/>
  <c r="M493" i="2"/>
  <c r="N493" i="2"/>
  <c r="L494" i="2" a="1"/>
  <c r="L494" i="2"/>
  <c r="M494" i="2"/>
  <c r="N494" i="2"/>
  <c r="L495" i="2" a="1"/>
  <c r="L495" i="2"/>
  <c r="M495" i="2"/>
  <c r="N495" i="2"/>
  <c r="Q6" i="2"/>
  <c r="A5" i="2" a="1"/>
  <c r="A5" i="2"/>
  <c r="K5" i="2" a="1"/>
  <c r="K5" i="2"/>
  <c r="I7" i="2" l="1"/>
  <c r="I15" i="2"/>
  <c r="I30" i="2"/>
  <c r="I38" i="2"/>
  <c r="I46" i="2"/>
  <c r="I54" i="2"/>
  <c r="I62" i="2"/>
  <c r="I70" i="2"/>
  <c r="I78" i="2"/>
  <c r="I86" i="2"/>
  <c r="I94" i="2"/>
  <c r="I102" i="2"/>
  <c r="I110" i="2"/>
  <c r="I118" i="2"/>
  <c r="I126" i="2"/>
  <c r="I134" i="2"/>
  <c r="I142" i="2"/>
  <c r="I150" i="2"/>
  <c r="I158" i="2"/>
  <c r="I166" i="2"/>
  <c r="I174" i="2"/>
  <c r="I182" i="2"/>
  <c r="I190" i="2"/>
  <c r="I197" i="2"/>
  <c r="I204" i="2"/>
  <c r="I212" i="2"/>
  <c r="I220" i="2"/>
  <c r="I227" i="2"/>
  <c r="I235" i="2"/>
  <c r="I242" i="2"/>
  <c r="I250" i="2"/>
  <c r="I258" i="2"/>
  <c r="I266" i="2"/>
  <c r="I274" i="2"/>
  <c r="I282" i="2"/>
  <c r="I290" i="2"/>
  <c r="I297" i="2"/>
  <c r="I304" i="2"/>
  <c r="I312" i="2"/>
  <c r="I319" i="2"/>
  <c r="I327" i="2"/>
  <c r="I335" i="2"/>
  <c r="I343" i="2"/>
  <c r="I351" i="2"/>
  <c r="I359" i="2"/>
  <c r="I366" i="2"/>
  <c r="I374" i="2"/>
  <c r="I381" i="2"/>
  <c r="I389" i="2"/>
  <c r="I396" i="2"/>
  <c r="I404" i="2"/>
  <c r="I411" i="2"/>
  <c r="I419" i="2"/>
  <c r="I427" i="2"/>
  <c r="I435" i="2"/>
  <c r="I443" i="2"/>
  <c r="I451" i="2"/>
  <c r="I459" i="2"/>
  <c r="I467" i="2"/>
  <c r="I475" i="2"/>
  <c r="I483" i="2"/>
  <c r="I491" i="2"/>
  <c r="I492" i="2"/>
  <c r="I495" i="2"/>
  <c r="I13" i="2"/>
  <c r="I60" i="2"/>
  <c r="I108" i="2"/>
  <c r="I140" i="2"/>
  <c r="I180" i="2"/>
  <c r="I210" i="2"/>
  <c r="I248" i="2"/>
  <c r="I288" i="2"/>
  <c r="I333" i="2"/>
  <c r="I364" i="2"/>
  <c r="I410" i="2"/>
  <c r="I449" i="2"/>
  <c r="I8" i="2"/>
  <c r="I16" i="2"/>
  <c r="I23" i="2"/>
  <c r="I31" i="2"/>
  <c r="I39" i="2"/>
  <c r="I47" i="2"/>
  <c r="I55" i="2"/>
  <c r="I63" i="2"/>
  <c r="I71" i="2"/>
  <c r="I79" i="2"/>
  <c r="I87" i="2"/>
  <c r="I95" i="2"/>
  <c r="I103" i="2"/>
  <c r="I111" i="2"/>
  <c r="I119" i="2"/>
  <c r="I127" i="2"/>
  <c r="I135" i="2"/>
  <c r="I143" i="2"/>
  <c r="I151" i="2"/>
  <c r="I159" i="2"/>
  <c r="I167" i="2"/>
  <c r="I175" i="2"/>
  <c r="I183" i="2"/>
  <c r="I191" i="2"/>
  <c r="I198" i="2"/>
  <c r="I205" i="2"/>
  <c r="I213" i="2"/>
  <c r="I221" i="2"/>
  <c r="I228" i="2"/>
  <c r="I243" i="2"/>
  <c r="I251" i="2"/>
  <c r="I259" i="2"/>
  <c r="I267" i="2"/>
  <c r="I275" i="2"/>
  <c r="I283" i="2"/>
  <c r="I291" i="2"/>
  <c r="I298" i="2"/>
  <c r="I305" i="2"/>
  <c r="I313" i="2"/>
  <c r="I320" i="2"/>
  <c r="I328" i="2"/>
  <c r="I336" i="2"/>
  <c r="I344" i="2"/>
  <c r="I352" i="2"/>
  <c r="I360" i="2"/>
  <c r="I367" i="2"/>
  <c r="I375" i="2"/>
  <c r="I382" i="2"/>
  <c r="I397" i="2"/>
  <c r="I405" i="2"/>
  <c r="I412" i="2"/>
  <c r="I420" i="2"/>
  <c r="I428" i="2"/>
  <c r="I436" i="2"/>
  <c r="I444" i="2"/>
  <c r="I452" i="2"/>
  <c r="I460" i="2"/>
  <c r="I468" i="2"/>
  <c r="I476" i="2"/>
  <c r="I484" i="2"/>
  <c r="I21" i="2"/>
  <c r="I92" i="2"/>
  <c r="I132" i="2"/>
  <c r="I164" i="2"/>
  <c r="I233" i="2"/>
  <c r="I280" i="2"/>
  <c r="I325" i="2"/>
  <c r="I372" i="2"/>
  <c r="I425" i="2"/>
  <c r="I473" i="2"/>
  <c r="I37" i="2"/>
  <c r="I69" i="2"/>
  <c r="I93" i="2"/>
  <c r="I133" i="2"/>
  <c r="I165" i="2"/>
  <c r="I196" i="2"/>
  <c r="I219" i="2"/>
  <c r="I241" i="2"/>
  <c r="I265" i="2"/>
  <c r="I9" i="2"/>
  <c r="I17" i="2"/>
  <c r="I24" i="2"/>
  <c r="I32" i="2"/>
  <c r="I40" i="2"/>
  <c r="I48" i="2"/>
  <c r="I56" i="2"/>
  <c r="I64" i="2"/>
  <c r="I72" i="2"/>
  <c r="I80" i="2"/>
  <c r="I88" i="2"/>
  <c r="I96" i="2"/>
  <c r="I104" i="2"/>
  <c r="I112" i="2"/>
  <c r="I120" i="2"/>
  <c r="I128" i="2"/>
  <c r="I136" i="2"/>
  <c r="I144" i="2"/>
  <c r="I152" i="2"/>
  <c r="I160" i="2"/>
  <c r="I168" i="2"/>
  <c r="I176" i="2"/>
  <c r="I184" i="2"/>
  <c r="I192" i="2"/>
  <c r="I199" i="2"/>
  <c r="I206" i="2"/>
  <c r="I214" i="2"/>
  <c r="I229" i="2"/>
  <c r="I236" i="2"/>
  <c r="I244" i="2"/>
  <c r="I252" i="2"/>
  <c r="I260" i="2"/>
  <c r="I268" i="2"/>
  <c r="I276" i="2"/>
  <c r="I284" i="2"/>
  <c r="I292" i="2"/>
  <c r="I306" i="2"/>
  <c r="I314" i="2"/>
  <c r="I321" i="2"/>
  <c r="I329" i="2"/>
  <c r="I337" i="2"/>
  <c r="I345" i="2"/>
  <c r="I353" i="2"/>
  <c r="I368" i="2"/>
  <c r="I376" i="2"/>
  <c r="I383" i="2"/>
  <c r="I390" i="2"/>
  <c r="I398" i="2"/>
  <c r="I406" i="2"/>
  <c r="I413" i="2"/>
  <c r="I421" i="2"/>
  <c r="I429" i="2"/>
  <c r="I437" i="2"/>
  <c r="I445" i="2"/>
  <c r="I453" i="2"/>
  <c r="I461" i="2"/>
  <c r="I469" i="2"/>
  <c r="I477" i="2"/>
  <c r="I485" i="2"/>
  <c r="I493" i="2"/>
  <c r="I494" i="2"/>
  <c r="I487" i="2"/>
  <c r="I44" i="2"/>
  <c r="I52" i="2"/>
  <c r="I68" i="2"/>
  <c r="I100" i="2"/>
  <c r="I116" i="2"/>
  <c r="I156" i="2"/>
  <c r="I188" i="2"/>
  <c r="I218" i="2"/>
  <c r="I256" i="2"/>
  <c r="I295" i="2"/>
  <c r="I310" i="2"/>
  <c r="I357" i="2"/>
  <c r="I387" i="2"/>
  <c r="I417" i="2"/>
  <c r="I457" i="2"/>
  <c r="I481" i="2"/>
  <c r="I22" i="2"/>
  <c r="I101" i="2"/>
  <c r="I157" i="2"/>
  <c r="I203" i="2"/>
  <c r="I10" i="2"/>
  <c r="I18" i="2"/>
  <c r="I25" i="2"/>
  <c r="I33" i="2"/>
  <c r="I41" i="2"/>
  <c r="I49" i="2"/>
  <c r="I57" i="2"/>
  <c r="I65" i="2"/>
  <c r="I73" i="2"/>
  <c r="I81" i="2"/>
  <c r="I89" i="2"/>
  <c r="I97" i="2"/>
  <c r="I105" i="2"/>
  <c r="I113" i="2"/>
  <c r="I121" i="2"/>
  <c r="I129" i="2"/>
  <c r="I137" i="2"/>
  <c r="I145" i="2"/>
  <c r="I153" i="2"/>
  <c r="I161" i="2"/>
  <c r="I169" i="2"/>
  <c r="I177" i="2"/>
  <c r="I185" i="2"/>
  <c r="I193" i="2"/>
  <c r="I200" i="2"/>
  <c r="I207" i="2"/>
  <c r="I215" i="2"/>
  <c r="I222" i="2"/>
  <c r="I230" i="2"/>
  <c r="I237" i="2"/>
  <c r="I245" i="2"/>
  <c r="I253" i="2"/>
  <c r="I261" i="2"/>
  <c r="I269" i="2"/>
  <c r="I277" i="2"/>
  <c r="I285" i="2"/>
  <c r="I293" i="2"/>
  <c r="I299" i="2"/>
  <c r="I307" i="2"/>
  <c r="I322" i="2"/>
  <c r="I330" i="2"/>
  <c r="I338" i="2"/>
  <c r="I346" i="2"/>
  <c r="I354" i="2"/>
  <c r="I361" i="2"/>
  <c r="I369" i="2"/>
  <c r="I377" i="2"/>
  <c r="I384" i="2"/>
  <c r="I391" i="2"/>
  <c r="I399" i="2"/>
  <c r="I407" i="2"/>
  <c r="I414" i="2"/>
  <c r="I422" i="2"/>
  <c r="I430" i="2"/>
  <c r="I438" i="2"/>
  <c r="I446" i="2"/>
  <c r="I454" i="2"/>
  <c r="I462" i="2"/>
  <c r="I470" i="2"/>
  <c r="I478" i="2"/>
  <c r="I486" i="2"/>
  <c r="I28" i="2"/>
  <c r="I84" i="2"/>
  <c r="I148" i="2"/>
  <c r="I202" i="2"/>
  <c r="I240" i="2"/>
  <c r="I264" i="2"/>
  <c r="I302" i="2"/>
  <c r="I349" i="2"/>
  <c r="I394" i="2"/>
  <c r="I441" i="2"/>
  <c r="I489" i="2"/>
  <c r="I53" i="2"/>
  <c r="I77" i="2"/>
  <c r="I117" i="2"/>
  <c r="I141" i="2"/>
  <c r="I181" i="2"/>
  <c r="I211" i="2"/>
  <c r="I257" i="2"/>
  <c r="I11" i="2"/>
  <c r="I19" i="2"/>
  <c r="I26" i="2"/>
  <c r="I34" i="2"/>
  <c r="I42" i="2"/>
  <c r="I50" i="2"/>
  <c r="I58" i="2"/>
  <c r="I66" i="2"/>
  <c r="I74" i="2"/>
  <c r="I82" i="2"/>
  <c r="I90" i="2"/>
  <c r="I98" i="2"/>
  <c r="I106" i="2"/>
  <c r="I114" i="2"/>
  <c r="I122" i="2"/>
  <c r="I130" i="2"/>
  <c r="I138" i="2"/>
  <c r="I146" i="2"/>
  <c r="I154" i="2"/>
  <c r="I162" i="2"/>
  <c r="I170" i="2"/>
  <c r="I178" i="2"/>
  <c r="I186" i="2"/>
  <c r="I194" i="2"/>
  <c r="I201" i="2"/>
  <c r="I208" i="2"/>
  <c r="I216" i="2"/>
  <c r="I223" i="2"/>
  <c r="I231" i="2"/>
  <c r="I238" i="2"/>
  <c r="I246" i="2"/>
  <c r="I254" i="2"/>
  <c r="I262" i="2"/>
  <c r="I270" i="2"/>
  <c r="I278" i="2"/>
  <c r="I286" i="2"/>
  <c r="I300" i="2"/>
  <c r="I308" i="2"/>
  <c r="I315" i="2"/>
  <c r="I323" i="2"/>
  <c r="I331" i="2"/>
  <c r="I339" i="2"/>
  <c r="I347" i="2"/>
  <c r="I355" i="2"/>
  <c r="I362" i="2"/>
  <c r="I370" i="2"/>
  <c r="I378" i="2"/>
  <c r="I385" i="2"/>
  <c r="I392" i="2"/>
  <c r="I400" i="2"/>
  <c r="I408" i="2"/>
  <c r="I415" i="2"/>
  <c r="I423" i="2"/>
  <c r="I431" i="2"/>
  <c r="I439" i="2"/>
  <c r="I447" i="2"/>
  <c r="I455" i="2"/>
  <c r="I463" i="2"/>
  <c r="I471" i="2"/>
  <c r="I479" i="2"/>
  <c r="I36" i="2"/>
  <c r="I76" i="2"/>
  <c r="I124" i="2"/>
  <c r="I172" i="2"/>
  <c r="I225" i="2"/>
  <c r="I272" i="2"/>
  <c r="I317" i="2"/>
  <c r="I380" i="2"/>
  <c r="I433" i="2"/>
  <c r="I45" i="2"/>
  <c r="I109" i="2"/>
  <c r="I173" i="2"/>
  <c r="I226" i="2"/>
  <c r="I281" i="2"/>
  <c r="I12" i="2"/>
  <c r="I20" i="2"/>
  <c r="I27" i="2"/>
  <c r="I35" i="2"/>
  <c r="I43" i="2"/>
  <c r="I51" i="2"/>
  <c r="I59" i="2"/>
  <c r="I67" i="2"/>
  <c r="I75" i="2"/>
  <c r="I83" i="2"/>
  <c r="I91" i="2"/>
  <c r="I99" i="2"/>
  <c r="I107" i="2"/>
  <c r="I115" i="2"/>
  <c r="I123" i="2"/>
  <c r="I131" i="2"/>
  <c r="I139" i="2"/>
  <c r="I147" i="2"/>
  <c r="I155" i="2"/>
  <c r="I163" i="2"/>
  <c r="I171" i="2"/>
  <c r="I179" i="2"/>
  <c r="I187" i="2"/>
  <c r="I195" i="2"/>
  <c r="I209" i="2"/>
  <c r="I217" i="2"/>
  <c r="I224" i="2"/>
  <c r="I232" i="2"/>
  <c r="I239" i="2"/>
  <c r="I247" i="2"/>
  <c r="I255" i="2"/>
  <c r="I263" i="2"/>
  <c r="I271" i="2"/>
  <c r="I279" i="2"/>
  <c r="I287" i="2"/>
  <c r="I294" i="2"/>
  <c r="I301" i="2"/>
  <c r="I309" i="2"/>
  <c r="I316" i="2"/>
  <c r="I324" i="2"/>
  <c r="I332" i="2"/>
  <c r="I340" i="2"/>
  <c r="I348" i="2"/>
  <c r="I356" i="2"/>
  <c r="I363" i="2"/>
  <c r="I371" i="2"/>
  <c r="I379" i="2"/>
  <c r="I386" i="2"/>
  <c r="I393" i="2"/>
  <c r="I401" i="2"/>
  <c r="I409" i="2"/>
  <c r="I416" i="2"/>
  <c r="I424" i="2"/>
  <c r="I432" i="2"/>
  <c r="I440" i="2"/>
  <c r="I448" i="2"/>
  <c r="I456" i="2"/>
  <c r="I464" i="2"/>
  <c r="I472" i="2"/>
  <c r="I480" i="2"/>
  <c r="I488" i="2"/>
  <c r="I341" i="2"/>
  <c r="I402" i="2"/>
  <c r="I465" i="2"/>
  <c r="I29" i="2"/>
  <c r="I61" i="2"/>
  <c r="I85" i="2"/>
  <c r="I125" i="2"/>
  <c r="I149" i="2"/>
  <c r="I189" i="2"/>
  <c r="I234" i="2"/>
  <c r="I273" i="2"/>
  <c r="I249" i="2"/>
  <c r="I342" i="2"/>
  <c r="I403" i="2"/>
  <c r="I466" i="2"/>
  <c r="I418" i="2"/>
  <c r="I303" i="2"/>
  <c r="I490" i="2"/>
  <c r="I434" i="2"/>
  <c r="I442" i="2"/>
  <c r="I450" i="2"/>
  <c r="I395" i="2"/>
  <c r="I289" i="2"/>
  <c r="I350" i="2"/>
  <c r="I474" i="2"/>
  <c r="I365" i="2"/>
  <c r="I373" i="2"/>
  <c r="I318" i="2"/>
  <c r="I326" i="2"/>
  <c r="I334" i="2"/>
  <c r="I296" i="2"/>
  <c r="I358" i="2"/>
  <c r="I482" i="2"/>
  <c r="I426" i="2"/>
  <c r="I311" i="2"/>
  <c r="I388" i="2"/>
  <c r="I14" i="2"/>
  <c r="I458" i="2"/>
  <c r="I6" i="2" l="1"/>
  <c r="I509" i="2" s="1"/>
  <c r="K507" i="1"/>
  <c r="J507" i="1" s="1"/>
  <c r="I507" i="1"/>
  <c r="H507" i="1"/>
  <c r="E507" i="1"/>
  <c r="F507" i="1" s="1"/>
  <c r="C507" i="1"/>
  <c r="B507" i="1"/>
  <c r="H4" i="1" a="1"/>
  <c r="O6" i="2" l="1"/>
  <c r="O14" i="2"/>
  <c r="O18" i="2"/>
  <c r="O29" i="2"/>
  <c r="O45" i="2"/>
  <c r="E47" i="2"/>
  <c r="F47" i="2" s="1"/>
  <c r="O70" i="2"/>
  <c r="E210" i="2"/>
  <c r="E25" i="2"/>
  <c r="O39" i="2"/>
  <c r="P39" i="2" s="1"/>
  <c r="E41" i="2"/>
  <c r="E44" i="2"/>
  <c r="O50" i="2"/>
  <c r="E55" i="2"/>
  <c r="O58" i="2"/>
  <c r="E76" i="2"/>
  <c r="E84" i="2"/>
  <c r="E92" i="2"/>
  <c r="O239" i="2"/>
  <c r="E6" i="2"/>
  <c r="E8" i="2"/>
  <c r="E10" i="2"/>
  <c r="E16" i="2"/>
  <c r="E18" i="2"/>
  <c r="E20" i="2"/>
  <c r="F20" i="2" s="1"/>
  <c r="E22" i="2"/>
  <c r="O33" i="2"/>
  <c r="E35" i="2"/>
  <c r="O36" i="2"/>
  <c r="E38" i="2"/>
  <c r="O62" i="2"/>
  <c r="E64" i="2"/>
  <c r="O68" i="2"/>
  <c r="O76" i="2"/>
  <c r="O84" i="2"/>
  <c r="O92" i="2"/>
  <c r="O95" i="2"/>
  <c r="O98" i="2"/>
  <c r="O118" i="2"/>
  <c r="E144" i="2"/>
  <c r="O247" i="2"/>
  <c r="O16" i="2"/>
  <c r="O134" i="2"/>
  <c r="O23" i="2"/>
  <c r="O42" i="2"/>
  <c r="E54" i="2"/>
  <c r="F54" i="2" s="1"/>
  <c r="E61" i="2"/>
  <c r="E68" i="2"/>
  <c r="O130" i="2"/>
  <c r="E12" i="2"/>
  <c r="F12" i="2" s="1"/>
  <c r="E14" i="2"/>
  <c r="O27" i="2"/>
  <c r="P27" i="2" s="1"/>
  <c r="E29" i="2"/>
  <c r="F29" i="2" s="1"/>
  <c r="O30" i="2"/>
  <c r="E32" i="2"/>
  <c r="F32" i="2" s="1"/>
  <c r="O43" i="2"/>
  <c r="P43" i="2" s="1"/>
  <c r="E45" i="2"/>
  <c r="F45" i="2" s="1"/>
  <c r="O46" i="2"/>
  <c r="P46" i="2" s="1"/>
  <c r="E48" i="2"/>
  <c r="F48" i="2" s="1"/>
  <c r="E49" i="2"/>
  <c r="O52" i="2"/>
  <c r="P52" i="2" s="1"/>
  <c r="E56" i="2"/>
  <c r="F56" i="2" s="1"/>
  <c r="E57" i="2"/>
  <c r="E66" i="2"/>
  <c r="F66" i="2" s="1"/>
  <c r="E74" i="2"/>
  <c r="E82" i="2"/>
  <c r="E90" i="2"/>
  <c r="O114" i="2"/>
  <c r="E140" i="2"/>
  <c r="F140" i="2" s="1"/>
  <c r="E188" i="2"/>
  <c r="E216" i="2"/>
  <c r="O20" i="2"/>
  <c r="O32" i="2"/>
  <c r="E62" i="2"/>
  <c r="O78" i="2"/>
  <c r="E28" i="2"/>
  <c r="F28" i="2" s="1"/>
  <c r="O7" i="2"/>
  <c r="O9" i="2"/>
  <c r="O17" i="2"/>
  <c r="P17" i="2" s="1"/>
  <c r="E23" i="2"/>
  <c r="F23" i="2" s="1"/>
  <c r="O37" i="2"/>
  <c r="P37" i="2" s="1"/>
  <c r="E39" i="2"/>
  <c r="O40" i="2"/>
  <c r="E42" i="2"/>
  <c r="F42" i="2" s="1"/>
  <c r="E60" i="2"/>
  <c r="F60" i="2" s="1"/>
  <c r="O64" i="2"/>
  <c r="O66" i="2"/>
  <c r="P66" i="2" s="1"/>
  <c r="O74" i="2"/>
  <c r="O82" i="2"/>
  <c r="O90" i="2"/>
  <c r="E128" i="2"/>
  <c r="F128" i="2" s="1"/>
  <c r="E260" i="2"/>
  <c r="E31" i="2"/>
  <c r="O26" i="2"/>
  <c r="O13" i="2"/>
  <c r="O15" i="2"/>
  <c r="O19" i="2"/>
  <c r="P19" i="2" s="1"/>
  <c r="E26" i="2"/>
  <c r="F26" i="2" s="1"/>
  <c r="O31" i="2"/>
  <c r="E33" i="2"/>
  <c r="F33" i="2" s="1"/>
  <c r="O34" i="2"/>
  <c r="P34" i="2" s="1"/>
  <c r="E36" i="2"/>
  <c r="F36" i="2" s="1"/>
  <c r="O47" i="2"/>
  <c r="E50" i="2"/>
  <c r="F50" i="2" s="1"/>
  <c r="E51" i="2"/>
  <c r="O54" i="2"/>
  <c r="P54" i="2" s="1"/>
  <c r="E58" i="2"/>
  <c r="F58" i="2" s="1"/>
  <c r="E59" i="2"/>
  <c r="E63" i="2"/>
  <c r="E72" i="2"/>
  <c r="F72" i="2" s="1"/>
  <c r="E80" i="2"/>
  <c r="F80" i="2" s="1"/>
  <c r="E88" i="2"/>
  <c r="O99" i="2"/>
  <c r="E124" i="2"/>
  <c r="F124" i="2" s="1"/>
  <c r="O191" i="2"/>
  <c r="O263" i="2"/>
  <c r="O10" i="2"/>
  <c r="O86" i="2"/>
  <c r="O183" i="2"/>
  <c r="O11" i="2"/>
  <c r="P11" i="2" s="1"/>
  <c r="O21" i="2"/>
  <c r="P21" i="2" s="1"/>
  <c r="O24" i="2"/>
  <c r="E7" i="2"/>
  <c r="E9" i="2"/>
  <c r="E11" i="2"/>
  <c r="E13" i="2"/>
  <c r="F13" i="2" s="1"/>
  <c r="E15" i="2"/>
  <c r="E17" i="2"/>
  <c r="E19" i="2"/>
  <c r="E21" i="2"/>
  <c r="F21" i="2" s="1"/>
  <c r="O25" i="2"/>
  <c r="P25" i="2" s="1"/>
  <c r="E27" i="2"/>
  <c r="F27" i="2" s="1"/>
  <c r="O28" i="2"/>
  <c r="E30" i="2"/>
  <c r="F30" i="2" s="1"/>
  <c r="O41" i="2"/>
  <c r="P41" i="2" s="1"/>
  <c r="E43" i="2"/>
  <c r="F43" i="2" s="1"/>
  <c r="O44" i="2"/>
  <c r="P44" i="2" s="1"/>
  <c r="E46" i="2"/>
  <c r="F46" i="2" s="1"/>
  <c r="O60" i="2"/>
  <c r="P60" i="2" s="1"/>
  <c r="E65" i="2"/>
  <c r="O72" i="2"/>
  <c r="O80" i="2"/>
  <c r="O88" i="2"/>
  <c r="E97" i="2"/>
  <c r="E100" i="2"/>
  <c r="E112" i="2"/>
  <c r="O8" i="2"/>
  <c r="O12" i="2"/>
  <c r="P12" i="2" s="1"/>
  <c r="O22" i="2"/>
  <c r="E34" i="2"/>
  <c r="F34" i="2" s="1"/>
  <c r="E24" i="2"/>
  <c r="O35" i="2"/>
  <c r="P35" i="2" s="1"/>
  <c r="E37" i="2"/>
  <c r="F37" i="2" s="1"/>
  <c r="O38" i="2"/>
  <c r="E40" i="2"/>
  <c r="O48" i="2"/>
  <c r="P48" i="2" s="1"/>
  <c r="E52" i="2"/>
  <c r="F52" i="2" s="1"/>
  <c r="E53" i="2"/>
  <c r="O56" i="2"/>
  <c r="P56" i="2" s="1"/>
  <c r="E70" i="2"/>
  <c r="E78" i="2"/>
  <c r="F78" i="2" s="1"/>
  <c r="E86" i="2"/>
  <c r="E108" i="2"/>
  <c r="O286" i="2"/>
  <c r="E94" i="2"/>
  <c r="E110" i="2"/>
  <c r="O116" i="2"/>
  <c r="E126" i="2"/>
  <c r="O132" i="2"/>
  <c r="E142" i="2"/>
  <c r="E197" i="2"/>
  <c r="O200" i="2"/>
  <c r="P200" i="2" s="1"/>
  <c r="E215" i="2"/>
  <c r="O237" i="2"/>
  <c r="O93" i="2"/>
  <c r="P93" i="2" s="1"/>
  <c r="E95" i="2"/>
  <c r="O96" i="2"/>
  <c r="E98" i="2"/>
  <c r="E102" i="2"/>
  <c r="E106" i="2"/>
  <c r="O112" i="2"/>
  <c r="E122" i="2"/>
  <c r="O128" i="2"/>
  <c r="E138" i="2"/>
  <c r="O144" i="2"/>
  <c r="E148" i="2"/>
  <c r="E204" i="2"/>
  <c r="O207" i="2"/>
  <c r="O230" i="2"/>
  <c r="O49" i="2"/>
  <c r="O51" i="2"/>
  <c r="P51" i="2" s="1"/>
  <c r="O53" i="2"/>
  <c r="P53" i="2" s="1"/>
  <c r="O55" i="2"/>
  <c r="O57" i="2"/>
  <c r="P57" i="2" s="1"/>
  <c r="O59" i="2"/>
  <c r="P59" i="2" s="1"/>
  <c r="O61" i="2"/>
  <c r="P61" i="2" s="1"/>
  <c r="O63" i="2"/>
  <c r="O65" i="2"/>
  <c r="O67" i="2"/>
  <c r="P67" i="2" s="1"/>
  <c r="O69" i="2"/>
  <c r="P69" i="2" s="1"/>
  <c r="O71" i="2"/>
  <c r="O73" i="2"/>
  <c r="P73" i="2" s="1"/>
  <c r="O75" i="2"/>
  <c r="P75" i="2" s="1"/>
  <c r="O77" i="2"/>
  <c r="P77" i="2" s="1"/>
  <c r="O79" i="2"/>
  <c r="O81" i="2"/>
  <c r="P81" i="2" s="1"/>
  <c r="O83" i="2"/>
  <c r="P83" i="2" s="1"/>
  <c r="O85" i="2"/>
  <c r="P85" i="2" s="1"/>
  <c r="O87" i="2"/>
  <c r="O89" i="2"/>
  <c r="P89" i="2" s="1"/>
  <c r="O91" i="2"/>
  <c r="P91" i="2" s="1"/>
  <c r="E104" i="2"/>
  <c r="F104" i="2" s="1"/>
  <c r="O110" i="2"/>
  <c r="E120" i="2"/>
  <c r="O126" i="2"/>
  <c r="E136" i="2"/>
  <c r="F136" i="2" s="1"/>
  <c r="O142" i="2"/>
  <c r="E182" i="2"/>
  <c r="O198" i="2"/>
  <c r="E212" i="2"/>
  <c r="E223" i="2"/>
  <c r="O232" i="2"/>
  <c r="E253" i="2"/>
  <c r="E267" i="2"/>
  <c r="O97" i="2"/>
  <c r="E99" i="2"/>
  <c r="F99" i="2" s="1"/>
  <c r="O100" i="2"/>
  <c r="P100" i="2" s="1"/>
  <c r="O108" i="2"/>
  <c r="E118" i="2"/>
  <c r="F118" i="2" s="1"/>
  <c r="O124" i="2"/>
  <c r="E134" i="2"/>
  <c r="F134" i="2" s="1"/>
  <c r="O140" i="2"/>
  <c r="O185" i="2"/>
  <c r="P185" i="2" s="1"/>
  <c r="E67" i="2"/>
  <c r="F67" i="2" s="1"/>
  <c r="E69" i="2"/>
  <c r="F69" i="2" s="1"/>
  <c r="E71" i="2"/>
  <c r="F71" i="2" s="1"/>
  <c r="E73" i="2"/>
  <c r="F73" i="2" s="1"/>
  <c r="E75" i="2"/>
  <c r="F75" i="2" s="1"/>
  <c r="E77" i="2"/>
  <c r="F77" i="2" s="1"/>
  <c r="E79" i="2"/>
  <c r="F79" i="2" s="1"/>
  <c r="E81" i="2"/>
  <c r="F81" i="2" s="1"/>
  <c r="E83" i="2"/>
  <c r="F83" i="2" s="1"/>
  <c r="E85" i="2"/>
  <c r="F85" i="2" s="1"/>
  <c r="E87" i="2"/>
  <c r="F87" i="2" s="1"/>
  <c r="E89" i="2"/>
  <c r="F89" i="2" s="1"/>
  <c r="E91" i="2"/>
  <c r="F91" i="2" s="1"/>
  <c r="E93" i="2"/>
  <c r="F93" i="2" s="1"/>
  <c r="O94" i="2"/>
  <c r="E96" i="2"/>
  <c r="F96" i="2" s="1"/>
  <c r="O101" i="2"/>
  <c r="O106" i="2"/>
  <c r="E116" i="2"/>
  <c r="O122" i="2"/>
  <c r="E132" i="2"/>
  <c r="O138" i="2"/>
  <c r="E202" i="2"/>
  <c r="O205" i="2"/>
  <c r="O102" i="2"/>
  <c r="O104" i="2"/>
  <c r="E114" i="2"/>
  <c r="F114" i="2" s="1"/>
  <c r="O120" i="2"/>
  <c r="P120" i="2" s="1"/>
  <c r="E130" i="2"/>
  <c r="F130" i="2" s="1"/>
  <c r="O136" i="2"/>
  <c r="E146" i="2"/>
  <c r="F146" i="2" s="1"/>
  <c r="E150" i="2"/>
  <c r="F150" i="2" s="1"/>
  <c r="E190" i="2"/>
  <c r="O193" i="2"/>
  <c r="P193" i="2" s="1"/>
  <c r="E219" i="2"/>
  <c r="O245" i="2"/>
  <c r="O146" i="2"/>
  <c r="O148" i="2"/>
  <c r="O150" i="2"/>
  <c r="O152" i="2"/>
  <c r="O154" i="2"/>
  <c r="O156" i="2"/>
  <c r="O158" i="2"/>
  <c r="O160" i="2"/>
  <c r="O162" i="2"/>
  <c r="O164" i="2"/>
  <c r="O166" i="2"/>
  <c r="O168" i="2"/>
  <c r="O170" i="2"/>
  <c r="O172" i="2"/>
  <c r="O174" i="2"/>
  <c r="O176" i="2"/>
  <c r="O178" i="2"/>
  <c r="O180" i="2"/>
  <c r="O184" i="2"/>
  <c r="E189" i="2"/>
  <c r="F189" i="2" s="1"/>
  <c r="O192" i="2"/>
  <c r="E196" i="2"/>
  <c r="O199" i="2"/>
  <c r="E203" i="2"/>
  <c r="F203" i="2" s="1"/>
  <c r="O206" i="2"/>
  <c r="E211" i="2"/>
  <c r="O213" i="2"/>
  <c r="P213" i="2" s="1"/>
  <c r="O217" i="2"/>
  <c r="E225" i="2"/>
  <c r="E230" i="2"/>
  <c r="E237" i="2"/>
  <c r="F237" i="2" s="1"/>
  <c r="E245" i="2"/>
  <c r="F245" i="2" s="1"/>
  <c r="E287" i="2"/>
  <c r="E152" i="2"/>
  <c r="F152" i="2" s="1"/>
  <c r="E154" i="2"/>
  <c r="F154" i="2" s="1"/>
  <c r="E156" i="2"/>
  <c r="F156" i="2" s="1"/>
  <c r="E158" i="2"/>
  <c r="F158" i="2" s="1"/>
  <c r="E160" i="2"/>
  <c r="F160" i="2" s="1"/>
  <c r="E162" i="2"/>
  <c r="F162" i="2" s="1"/>
  <c r="E164" i="2"/>
  <c r="F164" i="2" s="1"/>
  <c r="E166" i="2"/>
  <c r="F166" i="2" s="1"/>
  <c r="E168" i="2"/>
  <c r="F168" i="2" s="1"/>
  <c r="E170" i="2"/>
  <c r="F170" i="2" s="1"/>
  <c r="E172" i="2"/>
  <c r="F172" i="2" s="1"/>
  <c r="E174" i="2"/>
  <c r="F174" i="2" s="1"/>
  <c r="E176" i="2"/>
  <c r="F176" i="2" s="1"/>
  <c r="E178" i="2"/>
  <c r="F178" i="2" s="1"/>
  <c r="E180" i="2"/>
  <c r="F180" i="2" s="1"/>
  <c r="O181" i="2"/>
  <c r="E183" i="2"/>
  <c r="O186" i="2"/>
  <c r="P186" i="2" s="1"/>
  <c r="E191" i="2"/>
  <c r="F191" i="2" s="1"/>
  <c r="O194" i="2"/>
  <c r="P194" i="2" s="1"/>
  <c r="E198" i="2"/>
  <c r="O201" i="2"/>
  <c r="P201" i="2" s="1"/>
  <c r="E205" i="2"/>
  <c r="F205" i="2" s="1"/>
  <c r="O208" i="2"/>
  <c r="P208" i="2" s="1"/>
  <c r="E221" i="2"/>
  <c r="F221" i="2" s="1"/>
  <c r="E228" i="2"/>
  <c r="F228" i="2" s="1"/>
  <c r="E243" i="2"/>
  <c r="F243" i="2" s="1"/>
  <c r="E251" i="2"/>
  <c r="E254" i="2"/>
  <c r="F254" i="2" s="1"/>
  <c r="O257" i="2"/>
  <c r="E261" i="2"/>
  <c r="F261" i="2" s="1"/>
  <c r="O274" i="2"/>
  <c r="E289" i="2"/>
  <c r="E184" i="2"/>
  <c r="F184" i="2" s="1"/>
  <c r="O187" i="2"/>
  <c r="P187" i="2" s="1"/>
  <c r="E192" i="2"/>
  <c r="F192" i="2" s="1"/>
  <c r="O195" i="2"/>
  <c r="P195" i="2" s="1"/>
  <c r="E199" i="2"/>
  <c r="F199" i="2" s="1"/>
  <c r="E206" i="2"/>
  <c r="F206" i="2" s="1"/>
  <c r="O209" i="2"/>
  <c r="E214" i="2"/>
  <c r="F214" i="2" s="1"/>
  <c r="E218" i="2"/>
  <c r="O219" i="2"/>
  <c r="E222" i="2"/>
  <c r="F222" i="2" s="1"/>
  <c r="O228" i="2"/>
  <c r="P228" i="2" s="1"/>
  <c r="O243" i="2"/>
  <c r="O251" i="2"/>
  <c r="E283" i="2"/>
  <c r="O290" i="2"/>
  <c r="O103" i="2"/>
  <c r="P103" i="2" s="1"/>
  <c r="O105" i="2"/>
  <c r="P105" i="2" s="1"/>
  <c r="O107" i="2"/>
  <c r="P107" i="2" s="1"/>
  <c r="O109" i="2"/>
  <c r="P109" i="2" s="1"/>
  <c r="O111" i="2"/>
  <c r="O113" i="2"/>
  <c r="P113" i="2" s="1"/>
  <c r="O115" i="2"/>
  <c r="P115" i="2" s="1"/>
  <c r="O117" i="2"/>
  <c r="P117" i="2" s="1"/>
  <c r="O119" i="2"/>
  <c r="P119" i="2" s="1"/>
  <c r="O121" i="2"/>
  <c r="O123" i="2"/>
  <c r="P123" i="2" s="1"/>
  <c r="O125" i="2"/>
  <c r="P125" i="2" s="1"/>
  <c r="O127" i="2"/>
  <c r="P127" i="2" s="1"/>
  <c r="O129" i="2"/>
  <c r="P129" i="2" s="1"/>
  <c r="O131" i="2"/>
  <c r="P131" i="2" s="1"/>
  <c r="O133" i="2"/>
  <c r="P133" i="2" s="1"/>
  <c r="O135" i="2"/>
  <c r="P135" i="2" s="1"/>
  <c r="O137" i="2"/>
  <c r="P137" i="2" s="1"/>
  <c r="O139" i="2"/>
  <c r="P139" i="2" s="1"/>
  <c r="O141" i="2"/>
  <c r="P141" i="2" s="1"/>
  <c r="O143" i="2"/>
  <c r="O145" i="2"/>
  <c r="P145" i="2" s="1"/>
  <c r="O147" i="2"/>
  <c r="P147" i="2" s="1"/>
  <c r="O149" i="2"/>
  <c r="P149" i="2" s="1"/>
  <c r="O151" i="2"/>
  <c r="O153" i="2"/>
  <c r="P153" i="2" s="1"/>
  <c r="O155" i="2"/>
  <c r="P155" i="2" s="1"/>
  <c r="O157" i="2"/>
  <c r="P157" i="2" s="1"/>
  <c r="O159" i="2"/>
  <c r="O161" i="2"/>
  <c r="P161" i="2" s="1"/>
  <c r="O163" i="2"/>
  <c r="P163" i="2" s="1"/>
  <c r="O165" i="2"/>
  <c r="P165" i="2" s="1"/>
  <c r="O167" i="2"/>
  <c r="O169" i="2"/>
  <c r="P169" i="2" s="1"/>
  <c r="O171" i="2"/>
  <c r="P171" i="2" s="1"/>
  <c r="O173" i="2"/>
  <c r="P173" i="2" s="1"/>
  <c r="O175" i="2"/>
  <c r="O177" i="2"/>
  <c r="P177" i="2" s="1"/>
  <c r="O179" i="2"/>
  <c r="P179" i="2" s="1"/>
  <c r="E185" i="2"/>
  <c r="O188" i="2"/>
  <c r="P188" i="2" s="1"/>
  <c r="E193" i="2"/>
  <c r="E200" i="2"/>
  <c r="O202" i="2"/>
  <c r="P202" i="2" s="1"/>
  <c r="E207" i="2"/>
  <c r="O210" i="2"/>
  <c r="P210" i="2" s="1"/>
  <c r="O211" i="2"/>
  <c r="P211" i="2" s="1"/>
  <c r="O215" i="2"/>
  <c r="P215" i="2" s="1"/>
  <c r="O221" i="2"/>
  <c r="P221" i="2" s="1"/>
  <c r="E224" i="2"/>
  <c r="F224" i="2" s="1"/>
  <c r="E226" i="2"/>
  <c r="F226" i="2" s="1"/>
  <c r="E234" i="2"/>
  <c r="F234" i="2" s="1"/>
  <c r="E241" i="2"/>
  <c r="F241" i="2" s="1"/>
  <c r="E249" i="2"/>
  <c r="F249" i="2" s="1"/>
  <c r="E262" i="2"/>
  <c r="O265" i="2"/>
  <c r="P265" i="2" s="1"/>
  <c r="E181" i="2"/>
  <c r="F181" i="2" s="1"/>
  <c r="O182" i="2"/>
  <c r="E186" i="2"/>
  <c r="F186" i="2" s="1"/>
  <c r="O189" i="2"/>
  <c r="P189" i="2" s="1"/>
  <c r="E194" i="2"/>
  <c r="O196" i="2"/>
  <c r="E201" i="2"/>
  <c r="F201" i="2" s="1"/>
  <c r="O203" i="2"/>
  <c r="P203" i="2" s="1"/>
  <c r="E208" i="2"/>
  <c r="E213" i="2"/>
  <c r="F213" i="2" s="1"/>
  <c r="E217" i="2"/>
  <c r="F217" i="2" s="1"/>
  <c r="E220" i="2"/>
  <c r="O222" i="2"/>
  <c r="O226" i="2"/>
  <c r="O234" i="2"/>
  <c r="O241" i="2"/>
  <c r="O249" i="2"/>
  <c r="O255" i="2"/>
  <c r="E259" i="2"/>
  <c r="O270" i="2"/>
  <c r="O292" i="2"/>
  <c r="O369" i="2"/>
  <c r="P369" i="2" s="1"/>
  <c r="E101" i="2"/>
  <c r="F101" i="2" s="1"/>
  <c r="E103" i="2"/>
  <c r="F103" i="2" s="1"/>
  <c r="E105" i="2"/>
  <c r="F105" i="2" s="1"/>
  <c r="E107" i="2"/>
  <c r="F107" i="2" s="1"/>
  <c r="E109" i="2"/>
  <c r="F109" i="2" s="1"/>
  <c r="E111" i="2"/>
  <c r="F111" i="2" s="1"/>
  <c r="E113" i="2"/>
  <c r="F113" i="2" s="1"/>
  <c r="E115" i="2"/>
  <c r="F115" i="2" s="1"/>
  <c r="E117" i="2"/>
  <c r="F117" i="2" s="1"/>
  <c r="E119" i="2"/>
  <c r="F119" i="2" s="1"/>
  <c r="E121" i="2"/>
  <c r="F121" i="2" s="1"/>
  <c r="E123" i="2"/>
  <c r="F123" i="2" s="1"/>
  <c r="E125" i="2"/>
  <c r="F125" i="2" s="1"/>
  <c r="E127" i="2"/>
  <c r="F127" i="2" s="1"/>
  <c r="E129" i="2"/>
  <c r="F129" i="2" s="1"/>
  <c r="E131" i="2"/>
  <c r="F131" i="2" s="1"/>
  <c r="E133" i="2"/>
  <c r="F133" i="2" s="1"/>
  <c r="E135" i="2"/>
  <c r="F135" i="2" s="1"/>
  <c r="E137" i="2"/>
  <c r="F137" i="2" s="1"/>
  <c r="E139" i="2"/>
  <c r="F139" i="2" s="1"/>
  <c r="E141" i="2"/>
  <c r="F141" i="2" s="1"/>
  <c r="E143" i="2"/>
  <c r="F143" i="2" s="1"/>
  <c r="E145" i="2"/>
  <c r="F145" i="2" s="1"/>
  <c r="E147" i="2"/>
  <c r="F147" i="2" s="1"/>
  <c r="E149" i="2"/>
  <c r="F149" i="2" s="1"/>
  <c r="E151" i="2"/>
  <c r="F151" i="2" s="1"/>
  <c r="E153" i="2"/>
  <c r="F153" i="2" s="1"/>
  <c r="E155" i="2"/>
  <c r="F155" i="2" s="1"/>
  <c r="E157" i="2"/>
  <c r="F157" i="2" s="1"/>
  <c r="E159" i="2"/>
  <c r="F159" i="2" s="1"/>
  <c r="E161" i="2"/>
  <c r="F161" i="2" s="1"/>
  <c r="E163" i="2"/>
  <c r="F163" i="2" s="1"/>
  <c r="E165" i="2"/>
  <c r="F165" i="2" s="1"/>
  <c r="E167" i="2"/>
  <c r="F167" i="2" s="1"/>
  <c r="E169" i="2"/>
  <c r="F169" i="2" s="1"/>
  <c r="E171" i="2"/>
  <c r="F171" i="2" s="1"/>
  <c r="E173" i="2"/>
  <c r="F173" i="2" s="1"/>
  <c r="E175" i="2"/>
  <c r="F175" i="2" s="1"/>
  <c r="E177" i="2"/>
  <c r="F177" i="2" s="1"/>
  <c r="E179" i="2"/>
  <c r="F179" i="2" s="1"/>
  <c r="E187" i="2"/>
  <c r="O190" i="2"/>
  <c r="P190" i="2" s="1"/>
  <c r="E195" i="2"/>
  <c r="O197" i="2"/>
  <c r="O204" i="2"/>
  <c r="P204" i="2" s="1"/>
  <c r="E209" i="2"/>
  <c r="O224" i="2"/>
  <c r="P224" i="2" s="1"/>
  <c r="E232" i="2"/>
  <c r="E239" i="2"/>
  <c r="E247" i="2"/>
  <c r="F247" i="2" s="1"/>
  <c r="O252" i="2"/>
  <c r="P252" i="2" s="1"/>
  <c r="E271" i="2"/>
  <c r="O256" i="2"/>
  <c r="O264" i="2"/>
  <c r="P264" i="2" s="1"/>
  <c r="O272" i="2"/>
  <c r="E285" i="2"/>
  <c r="O288" i="2"/>
  <c r="P288" i="2" s="1"/>
  <c r="E314" i="2"/>
  <c r="F314" i="2" s="1"/>
  <c r="O258" i="2"/>
  <c r="P258" i="2" s="1"/>
  <c r="O266" i="2"/>
  <c r="P266" i="2" s="1"/>
  <c r="O268" i="2"/>
  <c r="P268" i="2" s="1"/>
  <c r="E273" i="2"/>
  <c r="O276" i="2"/>
  <c r="O302" i="2"/>
  <c r="P302" i="2" s="1"/>
  <c r="O331" i="2"/>
  <c r="P331" i="2" s="1"/>
  <c r="O212" i="2"/>
  <c r="P212" i="2" s="1"/>
  <c r="O214" i="2"/>
  <c r="P214" i="2" s="1"/>
  <c r="O216" i="2"/>
  <c r="O218" i="2"/>
  <c r="P218" i="2" s="1"/>
  <c r="O220" i="2"/>
  <c r="P220" i="2" s="1"/>
  <c r="O223" i="2"/>
  <c r="P223" i="2" s="1"/>
  <c r="O225" i="2"/>
  <c r="O227" i="2"/>
  <c r="P227" i="2" s="1"/>
  <c r="O229" i="2"/>
  <c r="P229" i="2" s="1"/>
  <c r="O231" i="2"/>
  <c r="O233" i="2"/>
  <c r="P233" i="2" s="1"/>
  <c r="O235" i="2"/>
  <c r="O236" i="2"/>
  <c r="P236" i="2" s="1"/>
  <c r="O238" i="2"/>
  <c r="O240" i="2"/>
  <c r="P240" i="2" s="1"/>
  <c r="O242" i="2"/>
  <c r="P242" i="2" s="1"/>
  <c r="O244" i="2"/>
  <c r="P244" i="2" s="1"/>
  <c r="O246" i="2"/>
  <c r="P246" i="2" s="1"/>
  <c r="O248" i="2"/>
  <c r="P248" i="2" s="1"/>
  <c r="O250" i="2"/>
  <c r="E255" i="2"/>
  <c r="E256" i="2"/>
  <c r="F256" i="2" s="1"/>
  <c r="O259" i="2"/>
  <c r="E263" i="2"/>
  <c r="F263" i="2" s="1"/>
  <c r="E264" i="2"/>
  <c r="F264" i="2" s="1"/>
  <c r="E275" i="2"/>
  <c r="O278" i="2"/>
  <c r="P278" i="2" s="1"/>
  <c r="O296" i="2"/>
  <c r="E252" i="2"/>
  <c r="F252" i="2" s="1"/>
  <c r="O253" i="2"/>
  <c r="O260" i="2"/>
  <c r="E277" i="2"/>
  <c r="O280" i="2"/>
  <c r="P280" i="2" s="1"/>
  <c r="E393" i="2"/>
  <c r="E227" i="2"/>
  <c r="F227" i="2" s="1"/>
  <c r="E229" i="2"/>
  <c r="E231" i="2"/>
  <c r="F231" i="2" s="1"/>
  <c r="E233" i="2"/>
  <c r="E235" i="2"/>
  <c r="F235" i="2" s="1"/>
  <c r="E236" i="2"/>
  <c r="E238" i="2"/>
  <c r="F238" i="2" s="1"/>
  <c r="E240" i="2"/>
  <c r="E242" i="2"/>
  <c r="F242" i="2" s="1"/>
  <c r="E244" i="2"/>
  <c r="E246" i="2"/>
  <c r="F246" i="2" s="1"/>
  <c r="E248" i="2"/>
  <c r="E250" i="2"/>
  <c r="F250" i="2" s="1"/>
  <c r="E257" i="2"/>
  <c r="F257" i="2" s="1"/>
  <c r="E258" i="2"/>
  <c r="O261" i="2"/>
  <c r="P261" i="2" s="1"/>
  <c r="E265" i="2"/>
  <c r="F265" i="2" s="1"/>
  <c r="E266" i="2"/>
  <c r="F266" i="2" s="1"/>
  <c r="E279" i="2"/>
  <c r="O282" i="2"/>
  <c r="P282" i="2" s="1"/>
  <c r="O254" i="2"/>
  <c r="O262" i="2"/>
  <c r="P262" i="2" s="1"/>
  <c r="E268" i="2"/>
  <c r="F268" i="2" s="1"/>
  <c r="E269" i="2"/>
  <c r="E281" i="2"/>
  <c r="O284" i="2"/>
  <c r="P284" i="2" s="1"/>
  <c r="E294" i="2"/>
  <c r="F294" i="2" s="1"/>
  <c r="O297" i="2"/>
  <c r="O323" i="2"/>
  <c r="E340" i="2"/>
  <c r="E290" i="2"/>
  <c r="O291" i="2"/>
  <c r="P291" i="2" s="1"/>
  <c r="E295" i="2"/>
  <c r="F295" i="2" s="1"/>
  <c r="O298" i="2"/>
  <c r="P298" i="2" s="1"/>
  <c r="O300" i="2"/>
  <c r="P300" i="2" s="1"/>
  <c r="E305" i="2"/>
  <c r="O332" i="2"/>
  <c r="O363" i="2"/>
  <c r="E296" i="2"/>
  <c r="O293" i="2"/>
  <c r="P293" i="2" s="1"/>
  <c r="E297" i="2"/>
  <c r="E303" i="2"/>
  <c r="E304" i="2"/>
  <c r="E307" i="2"/>
  <c r="E318" i="2"/>
  <c r="F318" i="2" s="1"/>
  <c r="O333" i="2"/>
  <c r="E342" i="2"/>
  <c r="E352" i="2"/>
  <c r="O373" i="2"/>
  <c r="E445" i="2"/>
  <c r="E270" i="2"/>
  <c r="F270" i="2" s="1"/>
  <c r="E272" i="2"/>
  <c r="F272" i="2" s="1"/>
  <c r="E274" i="2"/>
  <c r="F274" i="2" s="1"/>
  <c r="E276" i="2"/>
  <c r="E278" i="2"/>
  <c r="E280" i="2"/>
  <c r="F280" i="2" s="1"/>
  <c r="E282" i="2"/>
  <c r="E284" i="2"/>
  <c r="E286" i="2"/>
  <c r="F286" i="2" s="1"/>
  <c r="E288" i="2"/>
  <c r="O289" i="2"/>
  <c r="P289" i="2" s="1"/>
  <c r="E291" i="2"/>
  <c r="F291" i="2" s="1"/>
  <c r="E298" i="2"/>
  <c r="E301" i="2"/>
  <c r="E302" i="2"/>
  <c r="E309" i="2"/>
  <c r="E292" i="2"/>
  <c r="F292" i="2" s="1"/>
  <c r="O294" i="2"/>
  <c r="P294" i="2" s="1"/>
  <c r="E299" i="2"/>
  <c r="E300" i="2"/>
  <c r="E311" i="2"/>
  <c r="F311" i="2" s="1"/>
  <c r="E319" i="2"/>
  <c r="O322" i="2"/>
  <c r="E326" i="2"/>
  <c r="E348" i="2"/>
  <c r="O409" i="2"/>
  <c r="P409" i="2" s="1"/>
  <c r="O267" i="2"/>
  <c r="P267" i="2" s="1"/>
  <c r="O269" i="2"/>
  <c r="O271" i="2"/>
  <c r="O273" i="2"/>
  <c r="P273" i="2" s="1"/>
  <c r="O275" i="2"/>
  <c r="P275" i="2" s="1"/>
  <c r="O277" i="2"/>
  <c r="O279" i="2"/>
  <c r="O281" i="2"/>
  <c r="P281" i="2" s="1"/>
  <c r="O283" i="2"/>
  <c r="P283" i="2" s="1"/>
  <c r="O285" i="2"/>
  <c r="O287" i="2"/>
  <c r="E293" i="2"/>
  <c r="O295" i="2"/>
  <c r="P295" i="2" s="1"/>
  <c r="O315" i="2"/>
  <c r="P315" i="2" s="1"/>
  <c r="O330" i="2"/>
  <c r="O299" i="2"/>
  <c r="O301" i="2"/>
  <c r="P301" i="2" s="1"/>
  <c r="O303" i="2"/>
  <c r="O305" i="2"/>
  <c r="P305" i="2" s="1"/>
  <c r="O307" i="2"/>
  <c r="O309" i="2"/>
  <c r="O311" i="2"/>
  <c r="E316" i="2"/>
  <c r="F316" i="2" s="1"/>
  <c r="E317" i="2"/>
  <c r="O320" i="2"/>
  <c r="E324" i="2"/>
  <c r="E325" i="2"/>
  <c r="E330" i="2"/>
  <c r="O336" i="2"/>
  <c r="O337" i="2"/>
  <c r="O346" i="2"/>
  <c r="P346" i="2" s="1"/>
  <c r="O350" i="2"/>
  <c r="O360" i="2"/>
  <c r="E361" i="2"/>
  <c r="E371" i="2"/>
  <c r="O388" i="2"/>
  <c r="O391" i="2"/>
  <c r="E313" i="2"/>
  <c r="O314" i="2"/>
  <c r="O321" i="2"/>
  <c r="P321" i="2" s="1"/>
  <c r="E328" i="2"/>
  <c r="O334" i="2"/>
  <c r="O335" i="2"/>
  <c r="P335" i="2" s="1"/>
  <c r="E344" i="2"/>
  <c r="O361" i="2"/>
  <c r="E363" i="2"/>
  <c r="E365" i="2"/>
  <c r="E378" i="2"/>
  <c r="E402" i="2"/>
  <c r="O304" i="2"/>
  <c r="P304" i="2" s="1"/>
  <c r="O306" i="2"/>
  <c r="O308" i="2"/>
  <c r="P308" i="2" s="1"/>
  <c r="O310" i="2"/>
  <c r="P310" i="2" s="1"/>
  <c r="O312" i="2"/>
  <c r="P312" i="2" s="1"/>
  <c r="O316" i="2"/>
  <c r="P316" i="2" s="1"/>
  <c r="E320" i="2"/>
  <c r="F320" i="2" s="1"/>
  <c r="E321" i="2"/>
  <c r="O324" i="2"/>
  <c r="P324" i="2" s="1"/>
  <c r="O328" i="2"/>
  <c r="O329" i="2"/>
  <c r="E338" i="2"/>
  <c r="F338" i="2" s="1"/>
  <c r="O344" i="2"/>
  <c r="O348" i="2"/>
  <c r="O352" i="2"/>
  <c r="E354" i="2"/>
  <c r="F354" i="2" s="1"/>
  <c r="E368" i="2"/>
  <c r="F368" i="2" s="1"/>
  <c r="O317" i="2"/>
  <c r="P317" i="2" s="1"/>
  <c r="O325" i="2"/>
  <c r="P325" i="2" s="1"/>
  <c r="O326" i="2"/>
  <c r="O327" i="2"/>
  <c r="E336" i="2"/>
  <c r="F336" i="2" s="1"/>
  <c r="O342" i="2"/>
  <c r="O343" i="2"/>
  <c r="O354" i="2"/>
  <c r="E356" i="2"/>
  <c r="F356" i="2" s="1"/>
  <c r="E372" i="2"/>
  <c r="F372" i="2" s="1"/>
  <c r="O404" i="2"/>
  <c r="O433" i="2"/>
  <c r="E306" i="2"/>
  <c r="F306" i="2" s="1"/>
  <c r="E308" i="2"/>
  <c r="E310" i="2"/>
  <c r="E312" i="2"/>
  <c r="F312" i="2" s="1"/>
  <c r="O313" i="2"/>
  <c r="E315" i="2"/>
  <c r="O318" i="2"/>
  <c r="E322" i="2"/>
  <c r="E323" i="2"/>
  <c r="E334" i="2"/>
  <c r="F334" i="2" s="1"/>
  <c r="O340" i="2"/>
  <c r="O341" i="2"/>
  <c r="E346" i="2"/>
  <c r="E350" i="2"/>
  <c r="F350" i="2" s="1"/>
  <c r="O356" i="2"/>
  <c r="E358" i="2"/>
  <c r="O366" i="2"/>
  <c r="E377" i="2"/>
  <c r="E438" i="2"/>
  <c r="O319" i="2"/>
  <c r="P319" i="2" s="1"/>
  <c r="E332" i="2"/>
  <c r="O338" i="2"/>
  <c r="O339" i="2"/>
  <c r="O358" i="2"/>
  <c r="E360" i="2"/>
  <c r="F360" i="2" s="1"/>
  <c r="O370" i="2"/>
  <c r="E391" i="2"/>
  <c r="E423" i="2"/>
  <c r="F423" i="2" s="1"/>
  <c r="O459" i="2"/>
  <c r="O364" i="2"/>
  <c r="E366" i="2"/>
  <c r="F366" i="2" s="1"/>
  <c r="O367" i="2"/>
  <c r="E369" i="2"/>
  <c r="F369" i="2" s="1"/>
  <c r="O375" i="2"/>
  <c r="E379" i="2"/>
  <c r="E380" i="2"/>
  <c r="O393" i="2"/>
  <c r="E395" i="2"/>
  <c r="F395" i="2" s="1"/>
  <c r="O400" i="2"/>
  <c r="P400" i="2" s="1"/>
  <c r="O410" i="2"/>
  <c r="O440" i="2"/>
  <c r="O453" i="2"/>
  <c r="O473" i="2"/>
  <c r="O487" i="2"/>
  <c r="O345" i="2"/>
  <c r="O347" i="2"/>
  <c r="O349" i="2"/>
  <c r="P349" i="2" s="1"/>
  <c r="O351" i="2"/>
  <c r="P351" i="2" s="1"/>
  <c r="O353" i="2"/>
  <c r="O355" i="2"/>
  <c r="P355" i="2" s="1"/>
  <c r="O357" i="2"/>
  <c r="P357" i="2" s="1"/>
  <c r="O359" i="2"/>
  <c r="P359" i="2" s="1"/>
  <c r="O362" i="2"/>
  <c r="P362" i="2" s="1"/>
  <c r="E382" i="2"/>
  <c r="O395" i="2"/>
  <c r="E397" i="2"/>
  <c r="E401" i="2"/>
  <c r="O413" i="2"/>
  <c r="E448" i="2"/>
  <c r="O463" i="2"/>
  <c r="E488" i="2"/>
  <c r="O368" i="2"/>
  <c r="E370" i="2"/>
  <c r="F370" i="2" s="1"/>
  <c r="O371" i="2"/>
  <c r="P371" i="2" s="1"/>
  <c r="E373" i="2"/>
  <c r="E374" i="2"/>
  <c r="O377" i="2"/>
  <c r="P377" i="2" s="1"/>
  <c r="O382" i="2"/>
  <c r="E384" i="2"/>
  <c r="F384" i="2" s="1"/>
  <c r="O397" i="2"/>
  <c r="E399" i="2"/>
  <c r="F399" i="2" s="1"/>
  <c r="O417" i="2"/>
  <c r="E327" i="2"/>
  <c r="F327" i="2" s="1"/>
  <c r="E329" i="2"/>
  <c r="F329" i="2" s="1"/>
  <c r="E331" i="2"/>
  <c r="F331" i="2" s="1"/>
  <c r="E333" i="2"/>
  <c r="F333" i="2" s="1"/>
  <c r="E335" i="2"/>
  <c r="F335" i="2" s="1"/>
  <c r="E337" i="2"/>
  <c r="E339" i="2"/>
  <c r="F339" i="2" s="1"/>
  <c r="E341" i="2"/>
  <c r="F341" i="2" s="1"/>
  <c r="E343" i="2"/>
  <c r="F343" i="2" s="1"/>
  <c r="E345" i="2"/>
  <c r="E347" i="2"/>
  <c r="E349" i="2"/>
  <c r="E351" i="2"/>
  <c r="F351" i="2" s="1"/>
  <c r="E353" i="2"/>
  <c r="E355" i="2"/>
  <c r="E357" i="2"/>
  <c r="E359" i="2"/>
  <c r="F359" i="2" s="1"/>
  <c r="E362" i="2"/>
  <c r="E364" i="2"/>
  <c r="O365" i="2"/>
  <c r="P365" i="2" s="1"/>
  <c r="E367" i="2"/>
  <c r="F367" i="2" s="1"/>
  <c r="O384" i="2"/>
  <c r="E386" i="2"/>
  <c r="F386" i="2" s="1"/>
  <c r="O399" i="2"/>
  <c r="E406" i="2"/>
  <c r="O408" i="2"/>
  <c r="P408" i="2" s="1"/>
  <c r="O414" i="2"/>
  <c r="O421" i="2"/>
  <c r="P421" i="2" s="1"/>
  <c r="O442" i="2"/>
  <c r="O491" i="2"/>
  <c r="O372" i="2"/>
  <c r="P372" i="2" s="1"/>
  <c r="E375" i="2"/>
  <c r="E376" i="2"/>
  <c r="F376" i="2" s="1"/>
  <c r="O379" i="2"/>
  <c r="P379" i="2" s="1"/>
  <c r="O386" i="2"/>
  <c r="E388" i="2"/>
  <c r="F388" i="2" s="1"/>
  <c r="O403" i="2"/>
  <c r="P403" i="2" s="1"/>
  <c r="O418" i="2"/>
  <c r="O406" i="2"/>
  <c r="P406" i="2" s="1"/>
  <c r="O407" i="2"/>
  <c r="E411" i="2"/>
  <c r="E415" i="2"/>
  <c r="E419" i="2"/>
  <c r="F419" i="2" s="1"/>
  <c r="O423" i="2"/>
  <c r="E425" i="2"/>
  <c r="E446" i="2"/>
  <c r="E449" i="2"/>
  <c r="O454" i="2"/>
  <c r="E458" i="2"/>
  <c r="E470" i="2"/>
  <c r="E474" i="2"/>
  <c r="O374" i="2"/>
  <c r="P374" i="2" s="1"/>
  <c r="O376" i="2"/>
  <c r="O378" i="2"/>
  <c r="P378" i="2" s="1"/>
  <c r="O380" i="2"/>
  <c r="O381" i="2"/>
  <c r="P381" i="2" s="1"/>
  <c r="O383" i="2"/>
  <c r="P383" i="2" s="1"/>
  <c r="O385" i="2"/>
  <c r="O387" i="2"/>
  <c r="O389" i="2"/>
  <c r="O390" i="2"/>
  <c r="O392" i="2"/>
  <c r="P392" i="2" s="1"/>
  <c r="O394" i="2"/>
  <c r="P394" i="2" s="1"/>
  <c r="O396" i="2"/>
  <c r="P396" i="2" s="1"/>
  <c r="O398" i="2"/>
  <c r="P398" i="2" s="1"/>
  <c r="O405" i="2"/>
  <c r="P405" i="2" s="1"/>
  <c r="O412" i="2"/>
  <c r="O416" i="2"/>
  <c r="P416" i="2" s="1"/>
  <c r="O420" i="2"/>
  <c r="O425" i="2"/>
  <c r="E427" i="2"/>
  <c r="F427" i="2" s="1"/>
  <c r="O441" i="2"/>
  <c r="E462" i="2"/>
  <c r="E400" i="2"/>
  <c r="F400" i="2" s="1"/>
  <c r="O401" i="2"/>
  <c r="E403" i="2"/>
  <c r="O411" i="2"/>
  <c r="O415" i="2"/>
  <c r="O419" i="2"/>
  <c r="O427" i="2"/>
  <c r="E429" i="2"/>
  <c r="F429" i="2" s="1"/>
  <c r="O434" i="2"/>
  <c r="E437" i="2"/>
  <c r="O489" i="2"/>
  <c r="E381" i="2"/>
  <c r="E383" i="2"/>
  <c r="F383" i="2" s="1"/>
  <c r="E385" i="2"/>
  <c r="F385" i="2" s="1"/>
  <c r="E387" i="2"/>
  <c r="F387" i="2" s="1"/>
  <c r="E389" i="2"/>
  <c r="E390" i="2"/>
  <c r="F390" i="2" s="1"/>
  <c r="E392" i="2"/>
  <c r="F392" i="2" s="1"/>
  <c r="E394" i="2"/>
  <c r="F394" i="2" s="1"/>
  <c r="E396" i="2"/>
  <c r="E398" i="2"/>
  <c r="F398" i="2" s="1"/>
  <c r="E404" i="2"/>
  <c r="F404" i="2" s="1"/>
  <c r="E409" i="2"/>
  <c r="F409" i="2" s="1"/>
  <c r="E410" i="2"/>
  <c r="O429" i="2"/>
  <c r="P429" i="2" s="1"/>
  <c r="E431" i="2"/>
  <c r="E447" i="2"/>
  <c r="O452" i="2"/>
  <c r="O455" i="2"/>
  <c r="O471" i="2"/>
  <c r="O475" i="2"/>
  <c r="E486" i="2"/>
  <c r="E490" i="2"/>
  <c r="O402" i="2"/>
  <c r="E405" i="2"/>
  <c r="F405" i="2" s="1"/>
  <c r="E407" i="2"/>
  <c r="F407" i="2" s="1"/>
  <c r="E408" i="2"/>
  <c r="F408" i="2" s="1"/>
  <c r="E413" i="2"/>
  <c r="F413" i="2" s="1"/>
  <c r="E417" i="2"/>
  <c r="E421" i="2"/>
  <c r="O431" i="2"/>
  <c r="E433" i="2"/>
  <c r="E472" i="2"/>
  <c r="O435" i="2"/>
  <c r="E439" i="2"/>
  <c r="E440" i="2"/>
  <c r="O443" i="2"/>
  <c r="P443" i="2" s="1"/>
  <c r="O450" i="2"/>
  <c r="P450" i="2" s="1"/>
  <c r="O451" i="2"/>
  <c r="P451" i="2" s="1"/>
  <c r="E457" i="2"/>
  <c r="F457" i="2" s="1"/>
  <c r="E461" i="2"/>
  <c r="F461" i="2" s="1"/>
  <c r="E476" i="2"/>
  <c r="F476" i="2" s="1"/>
  <c r="O477" i="2"/>
  <c r="P477" i="2" s="1"/>
  <c r="E492" i="2"/>
  <c r="O493" i="2"/>
  <c r="P493" i="2" s="1"/>
  <c r="O422" i="2"/>
  <c r="O424" i="2"/>
  <c r="P424" i="2" s="1"/>
  <c r="O426" i="2"/>
  <c r="P426" i="2" s="1"/>
  <c r="O428" i="2"/>
  <c r="O430" i="2"/>
  <c r="P430" i="2" s="1"/>
  <c r="O432" i="2"/>
  <c r="O436" i="2"/>
  <c r="P436" i="2" s="1"/>
  <c r="O444" i="2"/>
  <c r="P444" i="2" s="1"/>
  <c r="O448" i="2"/>
  <c r="O449" i="2"/>
  <c r="E456" i="2"/>
  <c r="F456" i="2" s="1"/>
  <c r="E460" i="2"/>
  <c r="E464" i="2"/>
  <c r="E478" i="2"/>
  <c r="O479" i="2"/>
  <c r="P479" i="2" s="1"/>
  <c r="E494" i="2"/>
  <c r="O495" i="2"/>
  <c r="E434" i="2"/>
  <c r="F434" i="2" s="1"/>
  <c r="O437" i="2"/>
  <c r="E441" i="2"/>
  <c r="E442" i="2"/>
  <c r="O445" i="2"/>
  <c r="P445" i="2" s="1"/>
  <c r="O446" i="2"/>
  <c r="O447" i="2"/>
  <c r="P447" i="2" s="1"/>
  <c r="E454" i="2"/>
  <c r="F454" i="2" s="1"/>
  <c r="E455" i="2"/>
  <c r="O465" i="2"/>
  <c r="E480" i="2"/>
  <c r="O481" i="2"/>
  <c r="E412" i="2"/>
  <c r="F412" i="2" s="1"/>
  <c r="E414" i="2"/>
  <c r="E416" i="2"/>
  <c r="F416" i="2" s="1"/>
  <c r="E418" i="2"/>
  <c r="F418" i="2" s="1"/>
  <c r="E420" i="2"/>
  <c r="F420" i="2" s="1"/>
  <c r="E422" i="2"/>
  <c r="F422" i="2" s="1"/>
  <c r="E424" i="2"/>
  <c r="F424" i="2" s="1"/>
  <c r="E426" i="2"/>
  <c r="E428" i="2"/>
  <c r="F428" i="2" s="1"/>
  <c r="E430" i="2"/>
  <c r="F430" i="2" s="1"/>
  <c r="E432" i="2"/>
  <c r="F432" i="2" s="1"/>
  <c r="O438" i="2"/>
  <c r="E452" i="2"/>
  <c r="F452" i="2" s="1"/>
  <c r="E453" i="2"/>
  <c r="F453" i="2" s="1"/>
  <c r="O457" i="2"/>
  <c r="O461" i="2"/>
  <c r="P461" i="2" s="1"/>
  <c r="E466" i="2"/>
  <c r="O467" i="2"/>
  <c r="E482" i="2"/>
  <c r="O483" i="2"/>
  <c r="E435" i="2"/>
  <c r="F435" i="2" s="1"/>
  <c r="E436" i="2"/>
  <c r="F436" i="2" s="1"/>
  <c r="O439" i="2"/>
  <c r="P439" i="2" s="1"/>
  <c r="E443" i="2"/>
  <c r="F443" i="2" s="1"/>
  <c r="E444" i="2"/>
  <c r="F444" i="2" s="1"/>
  <c r="E450" i="2"/>
  <c r="F450" i="2" s="1"/>
  <c r="E451" i="2"/>
  <c r="E459" i="2"/>
  <c r="E463" i="2"/>
  <c r="E468" i="2"/>
  <c r="O469" i="2"/>
  <c r="E484" i="2"/>
  <c r="O485" i="2"/>
  <c r="E465" i="2"/>
  <c r="F465" i="2" s="1"/>
  <c r="E467" i="2"/>
  <c r="F467" i="2" s="1"/>
  <c r="E469" i="2"/>
  <c r="F469" i="2" s="1"/>
  <c r="E471" i="2"/>
  <c r="F471" i="2" s="1"/>
  <c r="E473" i="2"/>
  <c r="F473" i="2" s="1"/>
  <c r="E475" i="2"/>
  <c r="E477" i="2"/>
  <c r="F477" i="2" s="1"/>
  <c r="E479" i="2"/>
  <c r="F479" i="2" s="1"/>
  <c r="E481" i="2"/>
  <c r="E483" i="2"/>
  <c r="F483" i="2" s="1"/>
  <c r="E485" i="2"/>
  <c r="F485" i="2" s="1"/>
  <c r="E487" i="2"/>
  <c r="F487" i="2" s="1"/>
  <c r="E489" i="2"/>
  <c r="F489" i="2" s="1"/>
  <c r="E491" i="2"/>
  <c r="E493" i="2"/>
  <c r="F493" i="2" s="1"/>
  <c r="E495" i="2"/>
  <c r="O456" i="2"/>
  <c r="P456" i="2" s="1"/>
  <c r="O458" i="2"/>
  <c r="P458" i="2" s="1"/>
  <c r="O460" i="2"/>
  <c r="P460" i="2" s="1"/>
  <c r="O462" i="2"/>
  <c r="O464" i="2"/>
  <c r="P464" i="2" s="1"/>
  <c r="O466" i="2"/>
  <c r="P466" i="2" s="1"/>
  <c r="O468" i="2"/>
  <c r="P468" i="2" s="1"/>
  <c r="O470" i="2"/>
  <c r="P470" i="2" s="1"/>
  <c r="O472" i="2"/>
  <c r="P472" i="2" s="1"/>
  <c r="O474" i="2"/>
  <c r="P474" i="2" s="1"/>
  <c r="O476" i="2"/>
  <c r="P476" i="2" s="1"/>
  <c r="O478" i="2"/>
  <c r="P478" i="2" s="1"/>
  <c r="O480" i="2"/>
  <c r="P480" i="2" s="1"/>
  <c r="O482" i="2"/>
  <c r="P482" i="2" s="1"/>
  <c r="O484" i="2"/>
  <c r="P484" i="2" s="1"/>
  <c r="O486" i="2"/>
  <c r="P486" i="2" s="1"/>
  <c r="O488" i="2"/>
  <c r="P488" i="2" s="1"/>
  <c r="O490" i="2"/>
  <c r="P490" i="2" s="1"/>
  <c r="O492" i="2"/>
  <c r="P492" i="2" s="1"/>
  <c r="O494" i="2"/>
  <c r="P494" i="2" s="1"/>
  <c r="L507" i="1"/>
  <c r="D507" i="1"/>
  <c r="H4" i="1"/>
  <c r="I4" i="1"/>
  <c r="J4" i="1"/>
  <c r="H5" i="1" a="1"/>
  <c r="P94" i="2" l="1"/>
  <c r="P329" i="2"/>
  <c r="P33" i="2"/>
  <c r="F484" i="2"/>
  <c r="F459" i="2"/>
  <c r="P425" i="2"/>
  <c r="P303" i="2"/>
  <c r="P49" i="2"/>
  <c r="F102" i="2"/>
  <c r="P99" i="2"/>
  <c r="F63" i="2"/>
  <c r="F51" i="2"/>
  <c r="F31" i="2"/>
  <c r="F39" i="2"/>
  <c r="F281" i="2"/>
  <c r="P29" i="2"/>
  <c r="F309" i="2"/>
  <c r="F59" i="2"/>
  <c r="F468" i="2"/>
  <c r="P418" i="2"/>
  <c r="P364" i="2"/>
  <c r="F301" i="2"/>
  <c r="F269" i="2"/>
  <c r="F273" i="2"/>
  <c r="F190" i="2"/>
  <c r="P205" i="2"/>
  <c r="P96" i="2"/>
  <c r="P28" i="2"/>
  <c r="P7" i="2"/>
  <c r="P20" i="2"/>
  <c r="P62" i="2"/>
  <c r="F35" i="2"/>
  <c r="P442" i="2"/>
  <c r="F317" i="2"/>
  <c r="P333" i="2"/>
  <c r="P256" i="2"/>
  <c r="P151" i="2"/>
  <c r="F198" i="2"/>
  <c r="P71" i="2"/>
  <c r="P250" i="2"/>
  <c r="P235" i="2"/>
  <c r="P272" i="2"/>
  <c r="P449" i="2"/>
  <c r="P422" i="2"/>
  <c r="F472" i="2"/>
  <c r="P434" i="2"/>
  <c r="P338" i="2"/>
  <c r="F285" i="2"/>
  <c r="P270" i="2"/>
  <c r="P385" i="2"/>
  <c r="F362" i="2"/>
  <c r="F276" i="2"/>
  <c r="F290" i="2"/>
  <c r="F259" i="2"/>
  <c r="P226" i="2"/>
  <c r="F25" i="2"/>
  <c r="F481" i="2"/>
  <c r="F417" i="2"/>
  <c r="F447" i="2"/>
  <c r="P30" i="2"/>
  <c r="F8" i="2"/>
  <c r="F431" i="2"/>
  <c r="P419" i="2"/>
  <c r="P401" i="2"/>
  <c r="P389" i="2"/>
  <c r="P454" i="2"/>
  <c r="P225" i="2"/>
  <c r="F41" i="2"/>
  <c r="P481" i="2"/>
  <c r="F490" i="2"/>
  <c r="F495" i="2"/>
  <c r="F463" i="2"/>
  <c r="P467" i="2"/>
  <c r="F414" i="2"/>
  <c r="F480" i="2"/>
  <c r="P437" i="2"/>
  <c r="F478" i="2"/>
  <c r="P432" i="2"/>
  <c r="F440" i="2"/>
  <c r="F486" i="2"/>
  <c r="P412" i="2"/>
  <c r="F449" i="2"/>
  <c r="F374" i="2"/>
  <c r="P462" i="2"/>
  <c r="P471" i="2"/>
  <c r="F494" i="2"/>
  <c r="P431" i="2"/>
  <c r="P438" i="2"/>
  <c r="P465" i="2"/>
  <c r="P495" i="2"/>
  <c r="F464" i="2"/>
  <c r="P448" i="2"/>
  <c r="P411" i="2"/>
  <c r="F474" i="2"/>
  <c r="F491" i="2"/>
  <c r="F475" i="2"/>
  <c r="P483" i="2"/>
  <c r="F426" i="2"/>
  <c r="F455" i="2"/>
  <c r="F442" i="2"/>
  <c r="P485" i="2"/>
  <c r="F466" i="2"/>
  <c r="P446" i="2"/>
  <c r="F439" i="2"/>
  <c r="F433" i="2"/>
  <c r="P475" i="2"/>
  <c r="F410" i="2"/>
  <c r="F437" i="2"/>
  <c r="P415" i="2"/>
  <c r="P387" i="2"/>
  <c r="P380" i="2"/>
  <c r="F446" i="2"/>
  <c r="F375" i="2"/>
  <c r="P414" i="2"/>
  <c r="P384" i="2"/>
  <c r="F364" i="2"/>
  <c r="F357" i="2"/>
  <c r="F349" i="2"/>
  <c r="P417" i="2"/>
  <c r="F373" i="2"/>
  <c r="F448" i="2"/>
  <c r="F382" i="2"/>
  <c r="P353" i="2"/>
  <c r="P345" i="2"/>
  <c r="P339" i="2"/>
  <c r="P366" i="2"/>
  <c r="F346" i="2"/>
  <c r="F323" i="2"/>
  <c r="P313" i="2"/>
  <c r="P344" i="2"/>
  <c r="P306" i="2"/>
  <c r="P314" i="2"/>
  <c r="F371" i="2"/>
  <c r="F325" i="2"/>
  <c r="F293" i="2"/>
  <c r="F298" i="2"/>
  <c r="F278" i="2"/>
  <c r="F297" i="2"/>
  <c r="P332" i="2"/>
  <c r="F244" i="2"/>
  <c r="F236" i="2"/>
  <c r="F229" i="2"/>
  <c r="P253" i="2"/>
  <c r="P259" i="2"/>
  <c r="P238" i="2"/>
  <c r="P231" i="2"/>
  <c r="P216" i="2"/>
  <c r="F209" i="2"/>
  <c r="F195" i="2"/>
  <c r="P292" i="2"/>
  <c r="P234" i="2"/>
  <c r="P209" i="2"/>
  <c r="F251" i="2"/>
  <c r="P217" i="2"/>
  <c r="P176" i="2"/>
  <c r="P168" i="2"/>
  <c r="P160" i="2"/>
  <c r="P152" i="2"/>
  <c r="P245" i="2"/>
  <c r="F116" i="2"/>
  <c r="F223" i="2"/>
  <c r="P142" i="2"/>
  <c r="P110" i="2"/>
  <c r="P207" i="2"/>
  <c r="F138" i="2"/>
  <c r="F106" i="2"/>
  <c r="F94" i="2"/>
  <c r="F86" i="2"/>
  <c r="P22" i="2"/>
  <c r="F100" i="2"/>
  <c r="F65" i="2"/>
  <c r="F15" i="2"/>
  <c r="F7" i="2"/>
  <c r="P64" i="2"/>
  <c r="P40" i="2"/>
  <c r="F188" i="2"/>
  <c r="F74" i="2"/>
  <c r="P130" i="2"/>
  <c r="P76" i="2"/>
  <c r="P239" i="2"/>
  <c r="F55" i="2"/>
  <c r="P45" i="2"/>
  <c r="F415" i="2"/>
  <c r="P410" i="2"/>
  <c r="F391" i="2"/>
  <c r="P341" i="2"/>
  <c r="F322" i="2"/>
  <c r="P433" i="2"/>
  <c r="F313" i="2"/>
  <c r="F324" i="2"/>
  <c r="P311" i="2"/>
  <c r="P330" i="2"/>
  <c r="P287" i="2"/>
  <c r="P279" i="2"/>
  <c r="P271" i="2"/>
  <c r="F348" i="2"/>
  <c r="F300" i="2"/>
  <c r="F445" i="2"/>
  <c r="P254" i="2"/>
  <c r="F239" i="2"/>
  <c r="P196" i="2"/>
  <c r="P182" i="2"/>
  <c r="P121" i="2"/>
  <c r="P251" i="2"/>
  <c r="P199" i="2"/>
  <c r="P184" i="2"/>
  <c r="P65" i="2"/>
  <c r="F204" i="2"/>
  <c r="P237" i="2"/>
  <c r="F142" i="2"/>
  <c r="F110" i="2"/>
  <c r="P286" i="2"/>
  <c r="F97" i="2"/>
  <c r="P90" i="2"/>
  <c r="P78" i="2"/>
  <c r="P118" i="2"/>
  <c r="F18" i="2"/>
  <c r="F355" i="2"/>
  <c r="F347" i="2"/>
  <c r="P382" i="2"/>
  <c r="P413" i="2"/>
  <c r="P487" i="2"/>
  <c r="F380" i="2"/>
  <c r="P370" i="2"/>
  <c r="P340" i="2"/>
  <c r="P327" i="2"/>
  <c r="F378" i="2"/>
  <c r="F361" i="2"/>
  <c r="P337" i="2"/>
  <c r="F299" i="2"/>
  <c r="F284" i="2"/>
  <c r="P373" i="2"/>
  <c r="F307" i="2"/>
  <c r="F279" i="2"/>
  <c r="F275" i="2"/>
  <c r="F271" i="2"/>
  <c r="F207" i="2"/>
  <c r="F193" i="2"/>
  <c r="F289" i="2"/>
  <c r="P174" i="2"/>
  <c r="P166" i="2"/>
  <c r="P158" i="2"/>
  <c r="P150" i="2"/>
  <c r="F219" i="2"/>
  <c r="P138" i="2"/>
  <c r="P106" i="2"/>
  <c r="F212" i="2"/>
  <c r="P128" i="2"/>
  <c r="P88" i="2"/>
  <c r="P10" i="2"/>
  <c r="F62" i="2"/>
  <c r="F14" i="2"/>
  <c r="P42" i="2"/>
  <c r="P16" i="2"/>
  <c r="P98" i="2"/>
  <c r="P68" i="2"/>
  <c r="F16" i="2"/>
  <c r="F92" i="2"/>
  <c r="P428" i="2"/>
  <c r="F492" i="2"/>
  <c r="P435" i="2"/>
  <c r="F421" i="2"/>
  <c r="P455" i="2"/>
  <c r="F396" i="2"/>
  <c r="F389" i="2"/>
  <c r="F381" i="2"/>
  <c r="F462" i="2"/>
  <c r="P420" i="2"/>
  <c r="F470" i="2"/>
  <c r="F411" i="2"/>
  <c r="F406" i="2"/>
  <c r="P368" i="2"/>
  <c r="F401" i="2"/>
  <c r="P473" i="2"/>
  <c r="F379" i="2"/>
  <c r="P367" i="2"/>
  <c r="F332" i="2"/>
  <c r="F438" i="2"/>
  <c r="F358" i="2"/>
  <c r="F310" i="2"/>
  <c r="P404" i="2"/>
  <c r="P354" i="2"/>
  <c r="P326" i="2"/>
  <c r="F321" i="2"/>
  <c r="F365" i="2"/>
  <c r="P334" i="2"/>
  <c r="P360" i="2"/>
  <c r="P336" i="2"/>
  <c r="P309" i="2"/>
  <c r="P285" i="2"/>
  <c r="P277" i="2"/>
  <c r="P269" i="2"/>
  <c r="F326" i="2"/>
  <c r="F352" i="2"/>
  <c r="F305" i="2"/>
  <c r="F340" i="2"/>
  <c r="F277" i="2"/>
  <c r="F255" i="2"/>
  <c r="F232" i="2"/>
  <c r="P255" i="2"/>
  <c r="F208" i="2"/>
  <c r="F194" i="2"/>
  <c r="P175" i="2"/>
  <c r="P167" i="2"/>
  <c r="P159" i="2"/>
  <c r="P143" i="2"/>
  <c r="P111" i="2"/>
  <c r="P243" i="2"/>
  <c r="P274" i="2"/>
  <c r="F183" i="2"/>
  <c r="F287" i="2"/>
  <c r="F230" i="2"/>
  <c r="F211" i="2"/>
  <c r="F196" i="2"/>
  <c r="P136" i="2"/>
  <c r="P104" i="2"/>
  <c r="P124" i="2"/>
  <c r="P198" i="2"/>
  <c r="P87" i="2"/>
  <c r="P79" i="2"/>
  <c r="P63" i="2"/>
  <c r="P55" i="2"/>
  <c r="P132" i="2"/>
  <c r="F53" i="2"/>
  <c r="P263" i="2"/>
  <c r="F88" i="2"/>
  <c r="P15" i="2"/>
  <c r="P82" i="2"/>
  <c r="P32" i="2"/>
  <c r="P114" i="2"/>
  <c r="F49" i="2"/>
  <c r="F68" i="2"/>
  <c r="P95" i="2"/>
  <c r="F38" i="2"/>
  <c r="F84" i="2"/>
  <c r="P50" i="2"/>
  <c r="F210" i="2"/>
  <c r="P18" i="2"/>
  <c r="P469" i="2"/>
  <c r="F451" i="2"/>
  <c r="F482" i="2"/>
  <c r="P457" i="2"/>
  <c r="F441" i="2"/>
  <c r="F460" i="2"/>
  <c r="P402" i="2"/>
  <c r="P452" i="2"/>
  <c r="P489" i="2"/>
  <c r="P427" i="2"/>
  <c r="P441" i="2"/>
  <c r="P390" i="2"/>
  <c r="P376" i="2"/>
  <c r="F425" i="2"/>
  <c r="P407" i="2"/>
  <c r="P386" i="2"/>
  <c r="P399" i="2"/>
  <c r="F353" i="2"/>
  <c r="F345" i="2"/>
  <c r="F337" i="2"/>
  <c r="F488" i="2"/>
  <c r="F397" i="2"/>
  <c r="P453" i="2"/>
  <c r="P356" i="2"/>
  <c r="P318" i="2"/>
  <c r="P343" i="2"/>
  <c r="P352" i="2"/>
  <c r="F363" i="2"/>
  <c r="P320" i="2"/>
  <c r="P322" i="2"/>
  <c r="F302" i="2"/>
  <c r="F282" i="2"/>
  <c r="F342" i="2"/>
  <c r="F304" i="2"/>
  <c r="F296" i="2"/>
  <c r="P323" i="2"/>
  <c r="F258" i="2"/>
  <c r="F248" i="2"/>
  <c r="F240" i="2"/>
  <c r="F233" i="2"/>
  <c r="F393" i="2"/>
  <c r="P296" i="2"/>
  <c r="P276" i="2"/>
  <c r="F187" i="2"/>
  <c r="P249" i="2"/>
  <c r="P222" i="2"/>
  <c r="P219" i="2"/>
  <c r="P181" i="2"/>
  <c r="P180" i="2"/>
  <c r="P172" i="2"/>
  <c r="P164" i="2"/>
  <c r="P156" i="2"/>
  <c r="P148" i="2"/>
  <c r="F132" i="2"/>
  <c r="P101" i="2"/>
  <c r="P97" i="2"/>
  <c r="P126" i="2"/>
  <c r="F122" i="2"/>
  <c r="F98" i="2"/>
  <c r="F215" i="2"/>
  <c r="F70" i="2"/>
  <c r="F40" i="2"/>
  <c r="F24" i="2"/>
  <c r="P8" i="2"/>
  <c r="P80" i="2"/>
  <c r="F19" i="2"/>
  <c r="F11" i="2"/>
  <c r="P24" i="2"/>
  <c r="P183" i="2"/>
  <c r="P191" i="2"/>
  <c r="P47" i="2"/>
  <c r="P31" i="2"/>
  <c r="P13" i="2"/>
  <c r="F260" i="2"/>
  <c r="P9" i="2"/>
  <c r="F90" i="2"/>
  <c r="P23" i="2"/>
  <c r="P92" i="2"/>
  <c r="F64" i="2"/>
  <c r="P36" i="2"/>
  <c r="F10" i="2"/>
  <c r="F76" i="2"/>
  <c r="P14" i="2"/>
  <c r="F403" i="2"/>
  <c r="F458" i="2"/>
  <c r="P423" i="2"/>
  <c r="P491" i="2"/>
  <c r="P395" i="2"/>
  <c r="F308" i="2"/>
  <c r="P342" i="2"/>
  <c r="F402" i="2"/>
  <c r="P361" i="2"/>
  <c r="F328" i="2"/>
  <c r="P391" i="2"/>
  <c r="P350" i="2"/>
  <c r="F330" i="2"/>
  <c r="P307" i="2"/>
  <c r="P299" i="2"/>
  <c r="F319" i="2"/>
  <c r="F303" i="2"/>
  <c r="P297" i="2"/>
  <c r="F220" i="2"/>
  <c r="P290" i="2"/>
  <c r="F218" i="2"/>
  <c r="F225" i="2"/>
  <c r="P206" i="2"/>
  <c r="P192" i="2"/>
  <c r="P102" i="2"/>
  <c r="F267" i="2"/>
  <c r="F148" i="2"/>
  <c r="F126" i="2"/>
  <c r="F108" i="2"/>
  <c r="P38" i="2"/>
  <c r="P86" i="2"/>
  <c r="P74" i="2"/>
  <c r="F57" i="2"/>
  <c r="F61" i="2"/>
  <c r="P134" i="2"/>
  <c r="P247" i="2"/>
  <c r="F22" i="2"/>
  <c r="F44" i="2"/>
  <c r="P397" i="2"/>
  <c r="P463" i="2"/>
  <c r="P347" i="2"/>
  <c r="P440" i="2"/>
  <c r="P393" i="2"/>
  <c r="P375" i="2"/>
  <c r="P459" i="2"/>
  <c r="P358" i="2"/>
  <c r="F377" i="2"/>
  <c r="F315" i="2"/>
  <c r="P348" i="2"/>
  <c r="P328" i="2"/>
  <c r="P388" i="2"/>
  <c r="F288" i="2"/>
  <c r="P363" i="2"/>
  <c r="P260" i="2"/>
  <c r="P197" i="2"/>
  <c r="P241" i="2"/>
  <c r="F200" i="2"/>
  <c r="F185" i="2"/>
  <c r="F283" i="2"/>
  <c r="P257" i="2"/>
  <c r="P178" i="2"/>
  <c r="P170" i="2"/>
  <c r="P162" i="2"/>
  <c r="P154" i="2"/>
  <c r="P146" i="2"/>
  <c r="F202" i="2"/>
  <c r="P122" i="2"/>
  <c r="F253" i="2"/>
  <c r="F120" i="2"/>
  <c r="P230" i="2"/>
  <c r="P144" i="2"/>
  <c r="P112" i="2"/>
  <c r="F95" i="2"/>
  <c r="F197" i="2"/>
  <c r="F112" i="2"/>
  <c r="P72" i="2"/>
  <c r="F17" i="2"/>
  <c r="F9" i="2"/>
  <c r="P26" i="2"/>
  <c r="F82" i="2"/>
  <c r="P84" i="2"/>
  <c r="F6" i="2"/>
  <c r="P70" i="2"/>
  <c r="P6" i="2"/>
  <c r="F344" i="2"/>
  <c r="F262" i="2"/>
  <c r="P140" i="2"/>
  <c r="P108" i="2"/>
  <c r="P232" i="2"/>
  <c r="F182" i="2"/>
  <c r="P116" i="2"/>
  <c r="F216" i="2"/>
  <c r="F144" i="2"/>
  <c r="P58" i="2"/>
  <c r="H5" i="1"/>
  <c r="I5" i="1"/>
  <c r="J5" i="1"/>
  <c r="H6" i="1" a="1"/>
  <c r="P2" i="2" l="1"/>
  <c r="F2" i="2"/>
  <c r="H6" i="1"/>
  <c r="I6" i="1"/>
  <c r="J6" i="1"/>
  <c r="H7" i="1" a="1"/>
  <c r="H7" i="1"/>
  <c r="I7" i="1"/>
  <c r="J7" i="1"/>
  <c r="H8" i="1" a="1"/>
  <c r="H8" i="1"/>
  <c r="I8" i="1"/>
  <c r="J8" i="1"/>
  <c r="H9" i="1" a="1"/>
  <c r="H9" i="1"/>
  <c r="I9" i="1"/>
  <c r="J9" i="1"/>
  <c r="H10" i="1" a="1"/>
  <c r="H10" i="1"/>
  <c r="I10" i="1"/>
  <c r="J10" i="1"/>
  <c r="H11" i="1" a="1"/>
  <c r="H11" i="1"/>
  <c r="I11" i="1"/>
  <c r="J11" i="1"/>
  <c r="H12" i="1" a="1"/>
  <c r="H12" i="1"/>
  <c r="I12" i="1"/>
  <c r="J12" i="1"/>
  <c r="H13" i="1" a="1"/>
  <c r="H13" i="1"/>
  <c r="I13" i="1"/>
  <c r="J13" i="1"/>
  <c r="H14" i="1" a="1"/>
  <c r="H14" i="1"/>
  <c r="I14" i="1"/>
  <c r="J14" i="1"/>
  <c r="H15" i="1" a="1"/>
  <c r="H15" i="1"/>
  <c r="I15" i="1"/>
  <c r="J15" i="1"/>
  <c r="H16" i="1" a="1"/>
  <c r="H16" i="1"/>
  <c r="I16" i="1"/>
  <c r="J16" i="1"/>
  <c r="H17" i="1" a="1"/>
  <c r="H17" i="1"/>
  <c r="I17" i="1"/>
  <c r="J17" i="1"/>
  <c r="H18" i="1" a="1"/>
  <c r="H18" i="1"/>
  <c r="I18" i="1"/>
  <c r="J18" i="1"/>
  <c r="H19" i="1" a="1"/>
  <c r="H19" i="1"/>
  <c r="I19" i="1"/>
  <c r="J19" i="1"/>
  <c r="H20" i="1" a="1"/>
  <c r="H20" i="1"/>
  <c r="I20" i="1"/>
  <c r="J20" i="1"/>
  <c r="H21" i="1" a="1"/>
  <c r="H21" i="1"/>
  <c r="I21" i="1"/>
  <c r="J21" i="1"/>
  <c r="H22" i="1" a="1"/>
  <c r="H22" i="1"/>
  <c r="I22" i="1"/>
  <c r="J22" i="1"/>
  <c r="H23" i="1" a="1"/>
  <c r="H23" i="1"/>
  <c r="I23" i="1"/>
  <c r="J23" i="1"/>
  <c r="H24" i="1" a="1"/>
  <c r="H24" i="1"/>
  <c r="I24" i="1"/>
  <c r="J24" i="1"/>
  <c r="H25" i="1" a="1"/>
  <c r="H25" i="1"/>
  <c r="I25" i="1"/>
  <c r="J25" i="1"/>
  <c r="H26" i="1" a="1"/>
  <c r="H26" i="1"/>
  <c r="I26" i="1"/>
  <c r="J26" i="1"/>
  <c r="H27" i="1" a="1"/>
  <c r="H27" i="1"/>
  <c r="I27" i="1"/>
  <c r="J27" i="1"/>
  <c r="H28" i="1" a="1"/>
  <c r="H28" i="1"/>
  <c r="I28" i="1"/>
  <c r="J28" i="1"/>
  <c r="H29" i="1" a="1"/>
  <c r="H29" i="1"/>
  <c r="I29" i="1"/>
  <c r="J29" i="1"/>
  <c r="H30" i="1" a="1"/>
  <c r="H30" i="1"/>
  <c r="I30" i="1"/>
  <c r="J30" i="1"/>
  <c r="H31" i="1" a="1"/>
  <c r="H31" i="1"/>
  <c r="I31" i="1"/>
  <c r="J31" i="1"/>
  <c r="H32" i="1" a="1"/>
  <c r="H32" i="1"/>
  <c r="I32" i="1"/>
  <c r="J32" i="1"/>
  <c r="H33" i="1" a="1"/>
  <c r="H33" i="1"/>
  <c r="I33" i="1"/>
  <c r="J33" i="1"/>
  <c r="H34" i="1" a="1"/>
  <c r="H34" i="1"/>
  <c r="I34" i="1"/>
  <c r="J34" i="1"/>
  <c r="H35" i="1" a="1"/>
  <c r="H35" i="1"/>
  <c r="I35" i="1"/>
  <c r="J35" i="1"/>
  <c r="H36" i="1" a="1"/>
  <c r="H36" i="1"/>
  <c r="I36" i="1"/>
  <c r="J36" i="1"/>
  <c r="H37" i="1" a="1"/>
  <c r="H37" i="1"/>
  <c r="I37" i="1"/>
  <c r="J37" i="1"/>
  <c r="H38" i="1" a="1"/>
  <c r="H38" i="1"/>
  <c r="I38" i="1"/>
  <c r="J38" i="1"/>
  <c r="H39" i="1" a="1"/>
  <c r="H39" i="1"/>
  <c r="I39" i="1"/>
  <c r="J39" i="1"/>
  <c r="H40" i="1" a="1"/>
  <c r="H40" i="1"/>
  <c r="I40" i="1"/>
  <c r="J40" i="1"/>
  <c r="H41" i="1" a="1"/>
  <c r="H41" i="1"/>
  <c r="I41" i="1"/>
  <c r="J41" i="1"/>
  <c r="H42" i="1" a="1"/>
  <c r="H42" i="1"/>
  <c r="I42" i="1"/>
  <c r="J42" i="1"/>
  <c r="H43" i="1" a="1"/>
  <c r="H43" i="1"/>
  <c r="I43" i="1"/>
  <c r="J43" i="1"/>
  <c r="H44" i="1" a="1"/>
  <c r="H44" i="1"/>
  <c r="I44" i="1"/>
  <c r="J44" i="1"/>
  <c r="H45" i="1" a="1"/>
  <c r="H45" i="1"/>
  <c r="I45" i="1"/>
  <c r="J45" i="1"/>
  <c r="H46" i="1" a="1"/>
  <c r="H46" i="1"/>
  <c r="I46" i="1"/>
  <c r="J46" i="1"/>
  <c r="H47" i="1" a="1"/>
  <c r="H47" i="1"/>
  <c r="I47" i="1"/>
  <c r="J47" i="1"/>
  <c r="H48" i="1" a="1"/>
  <c r="H48" i="1"/>
  <c r="I48" i="1"/>
  <c r="J48" i="1"/>
  <c r="H49" i="1" a="1"/>
  <c r="H49" i="1"/>
  <c r="I49" i="1"/>
  <c r="J49" i="1"/>
  <c r="H50" i="1" a="1"/>
  <c r="H50" i="1"/>
  <c r="I50" i="1"/>
  <c r="J50" i="1"/>
  <c r="H51" i="1" a="1"/>
  <c r="H51" i="1"/>
  <c r="I51" i="1"/>
  <c r="J51" i="1"/>
  <c r="H52" i="1" a="1"/>
  <c r="H52" i="1"/>
  <c r="I52" i="1"/>
  <c r="J52" i="1"/>
  <c r="H53" i="1" a="1"/>
  <c r="H53" i="1"/>
  <c r="I53" i="1"/>
  <c r="J53" i="1"/>
  <c r="H54" i="1" a="1"/>
  <c r="H54" i="1"/>
  <c r="I54" i="1"/>
  <c r="J54" i="1"/>
  <c r="H55" i="1" a="1"/>
  <c r="H55" i="1"/>
  <c r="I55" i="1"/>
  <c r="J55" i="1"/>
  <c r="H56" i="1" a="1"/>
  <c r="H56" i="1"/>
  <c r="I56" i="1"/>
  <c r="J56" i="1"/>
  <c r="H57" i="1" a="1"/>
  <c r="H57" i="1"/>
  <c r="I57" i="1"/>
  <c r="J57" i="1"/>
  <c r="H58" i="1" a="1"/>
  <c r="H58" i="1"/>
  <c r="I58" i="1"/>
  <c r="J58" i="1"/>
  <c r="H59" i="1" a="1"/>
  <c r="H59" i="1"/>
  <c r="I59" i="1"/>
  <c r="J59" i="1"/>
  <c r="H60" i="1" a="1"/>
  <c r="H60" i="1"/>
  <c r="I60" i="1"/>
  <c r="J60" i="1"/>
  <c r="H61" i="1" a="1"/>
  <c r="H61" i="1"/>
  <c r="I61" i="1"/>
  <c r="J61" i="1"/>
  <c r="H62" i="1" a="1"/>
  <c r="H62" i="1"/>
  <c r="I62" i="1"/>
  <c r="J62" i="1"/>
  <c r="H63" i="1" a="1"/>
  <c r="H63" i="1"/>
  <c r="I63" i="1"/>
  <c r="J63" i="1"/>
  <c r="H64" i="1" a="1"/>
  <c r="H64" i="1"/>
  <c r="I64" i="1"/>
  <c r="J64" i="1"/>
  <c r="H65" i="1" a="1"/>
  <c r="H65" i="1"/>
  <c r="I65" i="1"/>
  <c r="J65" i="1"/>
  <c r="H66" i="1" a="1"/>
  <c r="H66" i="1"/>
  <c r="I66" i="1"/>
  <c r="J66" i="1"/>
  <c r="H67" i="1" a="1"/>
  <c r="H67" i="1"/>
  <c r="I67" i="1"/>
  <c r="J67" i="1"/>
  <c r="H68" i="1" a="1"/>
  <c r="H68" i="1"/>
  <c r="I68" i="1"/>
  <c r="J68" i="1"/>
  <c r="H69" i="1" a="1"/>
  <c r="H69" i="1"/>
  <c r="I69" i="1"/>
  <c r="J69" i="1"/>
  <c r="H70" i="1" a="1"/>
  <c r="H70" i="1"/>
  <c r="I70" i="1"/>
  <c r="J70" i="1"/>
  <c r="H71" i="1" a="1"/>
  <c r="H71" i="1"/>
  <c r="I71" i="1"/>
  <c r="J71" i="1"/>
  <c r="H72" i="1" a="1"/>
  <c r="H72" i="1"/>
  <c r="I72" i="1"/>
  <c r="J72" i="1"/>
  <c r="H73" i="1" a="1"/>
  <c r="H73" i="1"/>
  <c r="I73" i="1"/>
  <c r="J73" i="1"/>
  <c r="H74" i="1" a="1"/>
  <c r="H74" i="1"/>
  <c r="I74" i="1"/>
  <c r="J74" i="1"/>
  <c r="H75" i="1" a="1"/>
  <c r="H75" i="1"/>
  <c r="I75" i="1"/>
  <c r="J75" i="1"/>
  <c r="H76" i="1" a="1"/>
  <c r="H76" i="1"/>
  <c r="I76" i="1"/>
  <c r="J76" i="1"/>
  <c r="H77" i="1" a="1"/>
  <c r="H77" i="1"/>
  <c r="I77" i="1"/>
  <c r="J77" i="1"/>
  <c r="H78" i="1" a="1"/>
  <c r="H78" i="1"/>
  <c r="I78" i="1"/>
  <c r="J78" i="1"/>
  <c r="H79" i="1" a="1"/>
  <c r="H79" i="1"/>
  <c r="I79" i="1"/>
  <c r="J79" i="1"/>
  <c r="H80" i="1" a="1"/>
  <c r="H80" i="1"/>
  <c r="I80" i="1"/>
  <c r="J80" i="1"/>
  <c r="H81" i="1" a="1"/>
  <c r="H81" i="1"/>
  <c r="I81" i="1"/>
  <c r="J81" i="1"/>
  <c r="H82" i="1" a="1"/>
  <c r="H82" i="1"/>
  <c r="I82" i="1"/>
  <c r="J82" i="1"/>
  <c r="H83" i="1" a="1"/>
  <c r="H83" i="1"/>
  <c r="I83" i="1"/>
  <c r="J83" i="1"/>
  <c r="H84" i="1" a="1"/>
  <c r="H84" i="1"/>
  <c r="I84" i="1"/>
  <c r="J84" i="1"/>
  <c r="H85" i="1" a="1"/>
  <c r="H85" i="1"/>
  <c r="I85" i="1"/>
  <c r="J85" i="1"/>
  <c r="H86" i="1" a="1"/>
  <c r="H86" i="1"/>
  <c r="I86" i="1"/>
  <c r="J86" i="1"/>
  <c r="H87" i="1" a="1"/>
  <c r="H87" i="1"/>
  <c r="I87" i="1"/>
  <c r="J87" i="1"/>
  <c r="H88" i="1" a="1"/>
  <c r="H88" i="1"/>
  <c r="I88" i="1"/>
  <c r="J88" i="1"/>
  <c r="H89" i="1" a="1"/>
  <c r="H89" i="1"/>
  <c r="I89" i="1"/>
  <c r="J89" i="1"/>
  <c r="H90" i="1" a="1"/>
  <c r="H90" i="1"/>
  <c r="I90" i="1"/>
  <c r="J90" i="1"/>
  <c r="H91" i="1" a="1"/>
  <c r="H91" i="1"/>
  <c r="I91" i="1"/>
  <c r="J91" i="1"/>
  <c r="H92" i="1" a="1"/>
  <c r="H92" i="1"/>
  <c r="I92" i="1"/>
  <c r="J92" i="1"/>
  <c r="H93" i="1" a="1"/>
  <c r="H93" i="1"/>
  <c r="I93" i="1"/>
  <c r="J93" i="1"/>
  <c r="H94" i="1" a="1"/>
  <c r="H94" i="1"/>
  <c r="I94" i="1"/>
  <c r="J94" i="1"/>
  <c r="H95" i="1" a="1"/>
  <c r="H95" i="1"/>
  <c r="I95" i="1"/>
  <c r="J95" i="1"/>
  <c r="H96" i="1" a="1"/>
  <c r="H96" i="1"/>
  <c r="I96" i="1"/>
  <c r="J96" i="1"/>
  <c r="H97" i="1" a="1"/>
  <c r="H97" i="1"/>
  <c r="I97" i="1"/>
  <c r="J97" i="1"/>
  <c r="H98" i="1" a="1"/>
  <c r="H98" i="1"/>
  <c r="I98" i="1"/>
  <c r="J98" i="1"/>
  <c r="H99" i="1" a="1"/>
  <c r="H99" i="1"/>
  <c r="I99" i="1"/>
  <c r="J99" i="1"/>
  <c r="H100" i="1" a="1"/>
  <c r="H100" i="1"/>
  <c r="I100" i="1"/>
  <c r="J100" i="1"/>
  <c r="H101" i="1" a="1"/>
  <c r="H101" i="1"/>
  <c r="I101" i="1"/>
  <c r="J101" i="1"/>
  <c r="H102" i="1" a="1"/>
  <c r="H102" i="1"/>
  <c r="I102" i="1"/>
  <c r="J102" i="1"/>
  <c r="H103" i="1" a="1"/>
  <c r="H103" i="1"/>
  <c r="I103" i="1"/>
  <c r="J103" i="1"/>
  <c r="H104" i="1" a="1"/>
  <c r="H104" i="1"/>
  <c r="I104" i="1"/>
  <c r="J104" i="1"/>
  <c r="H105" i="1" a="1"/>
  <c r="H105" i="1"/>
  <c r="I105" i="1"/>
  <c r="J105" i="1"/>
  <c r="H106" i="1" a="1"/>
  <c r="H106" i="1"/>
  <c r="I106" i="1"/>
  <c r="J106" i="1"/>
  <c r="H107" i="1" a="1"/>
  <c r="H107" i="1"/>
  <c r="I107" i="1"/>
  <c r="J107" i="1"/>
  <c r="H108" i="1" a="1"/>
  <c r="H108" i="1"/>
  <c r="I108" i="1"/>
  <c r="J108" i="1"/>
  <c r="H109" i="1" a="1"/>
  <c r="H109" i="1"/>
  <c r="I109" i="1"/>
  <c r="J109" i="1"/>
  <c r="H110" i="1" a="1"/>
  <c r="H110" i="1"/>
  <c r="I110" i="1"/>
  <c r="J110" i="1"/>
  <c r="H111" i="1" a="1"/>
  <c r="H111" i="1"/>
  <c r="I111" i="1"/>
  <c r="J111" i="1"/>
  <c r="H112" i="1" a="1"/>
  <c r="H112" i="1"/>
  <c r="I112" i="1"/>
  <c r="J112" i="1"/>
  <c r="H113" i="1" a="1"/>
  <c r="H113" i="1"/>
  <c r="I113" i="1"/>
  <c r="J113" i="1"/>
  <c r="H114" i="1" a="1"/>
  <c r="H114" i="1"/>
  <c r="I114" i="1"/>
  <c r="J114" i="1"/>
  <c r="H115" i="1" a="1"/>
  <c r="H115" i="1"/>
  <c r="I115" i="1"/>
  <c r="J115" i="1"/>
  <c r="H116" i="1" a="1"/>
  <c r="H116" i="1"/>
  <c r="I116" i="1"/>
  <c r="J116" i="1"/>
  <c r="H117" i="1" a="1"/>
  <c r="H117" i="1"/>
  <c r="I117" i="1"/>
  <c r="J117" i="1"/>
  <c r="H118" i="1" a="1"/>
  <c r="H118" i="1"/>
  <c r="I118" i="1"/>
  <c r="J118" i="1"/>
  <c r="H119" i="1" a="1"/>
  <c r="H119" i="1"/>
  <c r="I119" i="1"/>
  <c r="J119" i="1"/>
  <c r="H120" i="1" a="1"/>
  <c r="H120" i="1"/>
  <c r="I120" i="1"/>
  <c r="J120" i="1"/>
  <c r="H121" i="1" a="1"/>
  <c r="H121" i="1"/>
  <c r="I121" i="1"/>
  <c r="J121" i="1"/>
  <c r="H122" i="1" a="1"/>
  <c r="H122" i="1"/>
  <c r="I122" i="1"/>
  <c r="J122" i="1"/>
  <c r="H123" i="1" a="1"/>
  <c r="H123" i="1"/>
  <c r="I123" i="1"/>
  <c r="J123" i="1"/>
  <c r="H124" i="1" a="1"/>
  <c r="H124" i="1"/>
  <c r="I124" i="1"/>
  <c r="J124" i="1"/>
  <c r="H125" i="1" a="1"/>
  <c r="H125" i="1"/>
  <c r="I125" i="1"/>
  <c r="J125" i="1"/>
  <c r="H126" i="1" a="1"/>
  <c r="H126" i="1"/>
  <c r="I126" i="1"/>
  <c r="J126" i="1"/>
  <c r="H127" i="1" a="1"/>
  <c r="H127" i="1"/>
  <c r="I127" i="1"/>
  <c r="J127" i="1"/>
  <c r="H128" i="1" a="1"/>
  <c r="H128" i="1"/>
  <c r="I128" i="1"/>
  <c r="J128" i="1"/>
  <c r="H129" i="1" a="1"/>
  <c r="H129" i="1"/>
  <c r="I129" i="1"/>
  <c r="J129" i="1"/>
  <c r="H130" i="1" a="1"/>
  <c r="H130" i="1"/>
  <c r="I130" i="1"/>
  <c r="J130" i="1"/>
  <c r="H131" i="1" a="1"/>
  <c r="H131" i="1"/>
  <c r="I131" i="1"/>
  <c r="J131" i="1"/>
  <c r="H132" i="1" a="1"/>
  <c r="H132" i="1"/>
  <c r="I132" i="1"/>
  <c r="J132" i="1"/>
  <c r="H133" i="1" a="1"/>
  <c r="H133" i="1"/>
  <c r="I133" i="1"/>
  <c r="J133" i="1"/>
  <c r="H134" i="1" a="1"/>
  <c r="H134" i="1"/>
  <c r="I134" i="1"/>
  <c r="J134" i="1"/>
  <c r="H135" i="1" a="1"/>
  <c r="H135" i="1"/>
  <c r="I135" i="1"/>
  <c r="J135" i="1"/>
  <c r="H136" i="1" a="1"/>
  <c r="H136" i="1"/>
  <c r="I136" i="1"/>
  <c r="J136" i="1"/>
  <c r="H137" i="1" a="1"/>
  <c r="H137" i="1"/>
  <c r="I137" i="1"/>
  <c r="J137" i="1"/>
  <c r="H138" i="1" a="1"/>
  <c r="H138" i="1"/>
  <c r="I138" i="1"/>
  <c r="J138" i="1"/>
  <c r="H139" i="1" a="1"/>
  <c r="H139" i="1"/>
  <c r="I139" i="1"/>
  <c r="J139" i="1"/>
  <c r="H140" i="1" a="1"/>
  <c r="H140" i="1"/>
  <c r="I140" i="1"/>
  <c r="J140" i="1"/>
  <c r="H141" i="1" a="1"/>
  <c r="H141" i="1"/>
  <c r="I141" i="1"/>
  <c r="J141" i="1"/>
  <c r="H142" i="1" a="1"/>
  <c r="H142" i="1"/>
  <c r="I142" i="1"/>
  <c r="J142" i="1"/>
  <c r="H143" i="1" a="1"/>
  <c r="H143" i="1"/>
  <c r="I143" i="1"/>
  <c r="J143" i="1"/>
  <c r="H144" i="1" a="1"/>
  <c r="H144" i="1"/>
  <c r="I144" i="1"/>
  <c r="J144" i="1"/>
  <c r="H145" i="1" a="1"/>
  <c r="H145" i="1"/>
  <c r="I145" i="1"/>
  <c r="J145" i="1"/>
  <c r="H146" i="1" a="1"/>
  <c r="H146" i="1"/>
  <c r="I146" i="1"/>
  <c r="J146" i="1"/>
  <c r="H147" i="1" a="1"/>
  <c r="H147" i="1"/>
  <c r="I147" i="1"/>
  <c r="J147" i="1"/>
  <c r="H148" i="1" a="1"/>
  <c r="H148" i="1"/>
  <c r="I148" i="1"/>
  <c r="J148" i="1"/>
  <c r="H149" i="1" a="1"/>
  <c r="H149" i="1"/>
  <c r="I149" i="1"/>
  <c r="J149" i="1"/>
  <c r="H150" i="1" a="1"/>
  <c r="H150" i="1"/>
  <c r="I150" i="1"/>
  <c r="J150" i="1"/>
  <c r="H151" i="1" a="1"/>
  <c r="H151" i="1"/>
  <c r="I151" i="1"/>
  <c r="J151" i="1"/>
  <c r="H152" i="1" a="1"/>
  <c r="H152" i="1"/>
  <c r="I152" i="1"/>
  <c r="J152" i="1"/>
  <c r="H153" i="1" a="1"/>
  <c r="H153" i="1"/>
  <c r="I153" i="1"/>
  <c r="J153" i="1"/>
  <c r="H154" i="1" a="1"/>
  <c r="H154" i="1"/>
  <c r="I154" i="1"/>
  <c r="J154" i="1"/>
  <c r="H155" i="1" a="1"/>
  <c r="H155" i="1"/>
  <c r="I155" i="1"/>
  <c r="J155" i="1"/>
  <c r="H156" i="1" a="1"/>
  <c r="H156" i="1"/>
  <c r="I156" i="1"/>
  <c r="J156" i="1"/>
  <c r="H157" i="1" a="1"/>
  <c r="H157" i="1"/>
  <c r="I157" i="1"/>
  <c r="J157" i="1"/>
  <c r="H158" i="1" a="1"/>
  <c r="H158" i="1"/>
  <c r="I158" i="1"/>
  <c r="J158" i="1"/>
  <c r="H159" i="1" a="1"/>
  <c r="H159" i="1"/>
  <c r="I159" i="1"/>
  <c r="J159" i="1"/>
  <c r="H160" i="1" a="1"/>
  <c r="H160" i="1"/>
  <c r="I160" i="1"/>
  <c r="J160" i="1"/>
  <c r="H161" i="1" a="1"/>
  <c r="H161" i="1"/>
  <c r="I161" i="1"/>
  <c r="J161" i="1"/>
  <c r="H162" i="1" a="1"/>
  <c r="H162" i="1"/>
  <c r="I162" i="1"/>
  <c r="J162" i="1"/>
  <c r="H163" i="1" a="1"/>
  <c r="H163" i="1"/>
  <c r="I163" i="1"/>
  <c r="J163" i="1"/>
  <c r="H164" i="1" a="1"/>
  <c r="H164" i="1"/>
  <c r="I164" i="1"/>
  <c r="J164" i="1"/>
  <c r="H165" i="1" a="1"/>
  <c r="H165" i="1"/>
  <c r="I165" i="1"/>
  <c r="J165" i="1"/>
  <c r="H166" i="1" a="1"/>
  <c r="H166" i="1"/>
  <c r="I166" i="1"/>
  <c r="J166" i="1"/>
  <c r="H167" i="1" a="1"/>
  <c r="H167" i="1"/>
  <c r="I167" i="1"/>
  <c r="J167" i="1"/>
  <c r="H168" i="1" a="1"/>
  <c r="H168" i="1"/>
  <c r="I168" i="1"/>
  <c r="J168" i="1"/>
  <c r="H169" i="1" a="1"/>
  <c r="H169" i="1"/>
  <c r="I169" i="1"/>
  <c r="J169" i="1"/>
  <c r="H170" i="1" a="1"/>
  <c r="H170" i="1"/>
  <c r="I170" i="1"/>
  <c r="J170" i="1"/>
  <c r="H171" i="1" a="1"/>
  <c r="H171" i="1"/>
  <c r="I171" i="1"/>
  <c r="J171" i="1"/>
  <c r="H172" i="1" a="1"/>
  <c r="H172" i="1"/>
  <c r="I172" i="1"/>
  <c r="J172" i="1"/>
  <c r="H173" i="1" a="1"/>
  <c r="H173" i="1"/>
  <c r="I173" i="1"/>
  <c r="J173" i="1"/>
  <c r="H174" i="1" a="1"/>
  <c r="H174" i="1"/>
  <c r="I174" i="1"/>
  <c r="J174" i="1"/>
  <c r="H175" i="1" a="1"/>
  <c r="H175" i="1"/>
  <c r="I175" i="1"/>
  <c r="J175" i="1"/>
  <c r="H176" i="1" a="1"/>
  <c r="H176" i="1"/>
  <c r="I176" i="1"/>
  <c r="J176" i="1"/>
  <c r="H177" i="1" a="1"/>
  <c r="H177" i="1"/>
  <c r="I177" i="1"/>
  <c r="J177" i="1"/>
  <c r="H178" i="1" a="1"/>
  <c r="H178" i="1"/>
  <c r="I178" i="1"/>
  <c r="J178" i="1"/>
  <c r="H179" i="1" a="1"/>
  <c r="H179" i="1"/>
  <c r="I179" i="1"/>
  <c r="J179" i="1"/>
  <c r="H180" i="1" a="1"/>
  <c r="H180" i="1"/>
  <c r="I180" i="1"/>
  <c r="J180" i="1"/>
  <c r="H181" i="1" a="1"/>
  <c r="H181" i="1"/>
  <c r="I181" i="1"/>
  <c r="J181" i="1"/>
  <c r="H182" i="1" a="1"/>
  <c r="H182" i="1"/>
  <c r="I182" i="1"/>
  <c r="J182" i="1"/>
  <c r="H183" i="1" a="1"/>
  <c r="H183" i="1"/>
  <c r="I183" i="1"/>
  <c r="J183" i="1"/>
  <c r="H184" i="1" a="1"/>
  <c r="H184" i="1"/>
  <c r="I184" i="1"/>
  <c r="J184" i="1"/>
  <c r="H185" i="1" a="1"/>
  <c r="H185" i="1"/>
  <c r="I185" i="1"/>
  <c r="J185" i="1"/>
  <c r="H186" i="1" a="1"/>
  <c r="H186" i="1"/>
  <c r="I186" i="1"/>
  <c r="J186" i="1"/>
  <c r="H187" i="1" a="1"/>
  <c r="H187" i="1"/>
  <c r="I187" i="1"/>
  <c r="J187" i="1"/>
  <c r="H188" i="1" a="1"/>
  <c r="H188" i="1"/>
  <c r="I188" i="1"/>
  <c r="J188" i="1"/>
  <c r="H189" i="1" a="1"/>
  <c r="H189" i="1"/>
  <c r="I189" i="1"/>
  <c r="J189" i="1"/>
  <c r="H190" i="1" a="1"/>
  <c r="H190" i="1"/>
  <c r="I190" i="1"/>
  <c r="J190" i="1"/>
  <c r="H191" i="1" a="1"/>
  <c r="H191" i="1"/>
  <c r="I191" i="1"/>
  <c r="J191" i="1"/>
  <c r="H192" i="1" a="1"/>
  <c r="H192" i="1"/>
  <c r="I192" i="1"/>
  <c r="J192" i="1"/>
  <c r="H193" i="1" a="1"/>
  <c r="H193" i="1"/>
  <c r="I193" i="1"/>
  <c r="J193" i="1"/>
  <c r="H194" i="1" a="1"/>
  <c r="H194" i="1"/>
  <c r="I194" i="1"/>
  <c r="J194" i="1"/>
  <c r="H195" i="1" a="1"/>
  <c r="H195" i="1"/>
  <c r="I195" i="1"/>
  <c r="J195" i="1"/>
  <c r="H196" i="1" a="1"/>
  <c r="H196" i="1"/>
  <c r="I196" i="1"/>
  <c r="J196" i="1"/>
  <c r="H197" i="1" a="1"/>
  <c r="H197" i="1"/>
  <c r="I197" i="1"/>
  <c r="J197" i="1"/>
  <c r="H198" i="1" a="1"/>
  <c r="H198" i="1"/>
  <c r="I198" i="1"/>
  <c r="J198" i="1"/>
  <c r="H199" i="1" a="1"/>
  <c r="H199" i="1"/>
  <c r="I199" i="1"/>
  <c r="J199" i="1"/>
  <c r="H200" i="1" a="1"/>
  <c r="H200" i="1"/>
  <c r="I200" i="1"/>
  <c r="J200" i="1"/>
  <c r="H201" i="1" a="1"/>
  <c r="H201" i="1"/>
  <c r="I201" i="1"/>
  <c r="J201" i="1"/>
  <c r="H202" i="1" a="1"/>
  <c r="H202" i="1"/>
  <c r="I202" i="1"/>
  <c r="J202" i="1"/>
  <c r="H203" i="1" a="1"/>
  <c r="H203" i="1"/>
  <c r="I203" i="1"/>
  <c r="J203" i="1"/>
  <c r="H204" i="1" a="1"/>
  <c r="H204" i="1"/>
  <c r="I204" i="1"/>
  <c r="J204" i="1"/>
  <c r="H205" i="1" a="1"/>
  <c r="H205" i="1"/>
  <c r="I205" i="1"/>
  <c r="J205" i="1"/>
  <c r="H206" i="1" a="1"/>
  <c r="H206" i="1"/>
  <c r="I206" i="1"/>
  <c r="J206" i="1"/>
  <c r="H207" i="1" a="1"/>
  <c r="H207" i="1"/>
  <c r="I207" i="1"/>
  <c r="J207" i="1"/>
  <c r="H208" i="1" a="1"/>
  <c r="H208" i="1"/>
  <c r="I208" i="1"/>
  <c r="J208" i="1"/>
  <c r="H209" i="1" a="1"/>
  <c r="H209" i="1"/>
  <c r="I209" i="1"/>
  <c r="J209" i="1"/>
  <c r="H210" i="1" a="1"/>
  <c r="H210" i="1"/>
  <c r="I210" i="1"/>
  <c r="J210" i="1"/>
  <c r="H211" i="1" a="1"/>
  <c r="H211" i="1"/>
  <c r="I211" i="1"/>
  <c r="J211" i="1"/>
  <c r="H212" i="1" a="1"/>
  <c r="H212" i="1"/>
  <c r="I212" i="1"/>
  <c r="J212" i="1"/>
  <c r="H213" i="1" a="1"/>
  <c r="H213" i="1"/>
  <c r="I213" i="1"/>
  <c r="J213" i="1"/>
  <c r="H214" i="1" a="1"/>
  <c r="H214" i="1"/>
  <c r="I214" i="1"/>
  <c r="J214" i="1"/>
  <c r="H215" i="1" a="1"/>
  <c r="H215" i="1"/>
  <c r="I215" i="1"/>
  <c r="J215" i="1"/>
  <c r="H216" i="1" a="1"/>
  <c r="H216" i="1"/>
  <c r="I216" i="1"/>
  <c r="J216" i="1"/>
  <c r="H217" i="1" a="1"/>
  <c r="H217" i="1"/>
  <c r="I217" i="1"/>
  <c r="J217" i="1"/>
  <c r="H218" i="1" a="1"/>
  <c r="H218" i="1"/>
  <c r="I218" i="1"/>
  <c r="J218" i="1"/>
  <c r="H219" i="1" a="1"/>
  <c r="H219" i="1"/>
  <c r="I219" i="1"/>
  <c r="J219" i="1"/>
  <c r="H220" i="1" a="1"/>
  <c r="H220" i="1"/>
  <c r="I220" i="1"/>
  <c r="J220" i="1"/>
  <c r="H221" i="1" a="1"/>
  <c r="H221" i="1"/>
  <c r="I221" i="1"/>
  <c r="J221" i="1"/>
  <c r="H222" i="1" a="1"/>
  <c r="H222" i="1"/>
  <c r="I222" i="1"/>
  <c r="J222" i="1"/>
  <c r="H223" i="1" a="1"/>
  <c r="H223" i="1"/>
  <c r="I223" i="1"/>
  <c r="J223" i="1"/>
  <c r="H224" i="1" a="1"/>
  <c r="H224" i="1"/>
  <c r="I224" i="1"/>
  <c r="J224" i="1"/>
  <c r="H225" i="1" a="1"/>
  <c r="H225" i="1"/>
  <c r="I225" i="1"/>
  <c r="J225" i="1"/>
  <c r="H226" i="1" a="1"/>
  <c r="H226" i="1"/>
  <c r="I226" i="1"/>
  <c r="J226" i="1"/>
  <c r="H227" i="1" a="1"/>
  <c r="H227" i="1"/>
  <c r="I227" i="1"/>
  <c r="J227" i="1"/>
  <c r="H228" i="1" a="1"/>
  <c r="H228" i="1"/>
  <c r="I228" i="1"/>
  <c r="J228" i="1"/>
  <c r="H229" i="1" a="1"/>
  <c r="H229" i="1"/>
  <c r="I229" i="1"/>
  <c r="J229" i="1"/>
  <c r="H230" i="1" a="1"/>
  <c r="H230" i="1"/>
  <c r="I230" i="1"/>
  <c r="J230" i="1"/>
  <c r="H231" i="1" a="1"/>
  <c r="H231" i="1"/>
  <c r="I231" i="1"/>
  <c r="J231" i="1"/>
  <c r="H232" i="1" a="1"/>
  <c r="H232" i="1"/>
  <c r="I232" i="1"/>
  <c r="J232" i="1"/>
  <c r="H233" i="1" a="1"/>
  <c r="H233" i="1"/>
  <c r="I233" i="1"/>
  <c r="J233" i="1"/>
  <c r="H234" i="1" a="1"/>
  <c r="H234" i="1"/>
  <c r="I234" i="1"/>
  <c r="J234" i="1"/>
  <c r="H235" i="1" a="1"/>
  <c r="H235" i="1"/>
  <c r="I235" i="1"/>
  <c r="J235" i="1"/>
  <c r="H236" i="1" a="1"/>
  <c r="H236" i="1"/>
  <c r="I236" i="1"/>
  <c r="J236" i="1"/>
  <c r="H237" i="1" a="1"/>
  <c r="H237" i="1"/>
  <c r="I237" i="1"/>
  <c r="J237" i="1"/>
  <c r="H238" i="1" a="1"/>
  <c r="H238" i="1"/>
  <c r="I238" i="1"/>
  <c r="J238" i="1"/>
  <c r="H239" i="1" a="1"/>
  <c r="H239" i="1"/>
  <c r="I239" i="1"/>
  <c r="J239" i="1"/>
  <c r="H240" i="1" a="1"/>
  <c r="H240" i="1"/>
  <c r="I240" i="1"/>
  <c r="J240" i="1"/>
  <c r="H241" i="1" a="1"/>
  <c r="H241" i="1"/>
  <c r="I241" i="1"/>
  <c r="J241" i="1"/>
  <c r="H242" i="1" a="1"/>
  <c r="H242" i="1"/>
  <c r="I242" i="1"/>
  <c r="J242" i="1"/>
  <c r="H243" i="1" a="1"/>
  <c r="H243" i="1"/>
  <c r="I243" i="1"/>
  <c r="J243" i="1"/>
  <c r="H244" i="1" a="1"/>
  <c r="H244" i="1"/>
  <c r="I244" i="1"/>
  <c r="J244" i="1"/>
  <c r="H245" i="1" a="1"/>
  <c r="H245" i="1"/>
  <c r="I245" i="1"/>
  <c r="J245" i="1"/>
  <c r="H246" i="1" a="1"/>
  <c r="H246" i="1"/>
  <c r="I246" i="1"/>
  <c r="J246" i="1"/>
  <c r="H247" i="1" a="1"/>
  <c r="H247" i="1"/>
  <c r="I247" i="1"/>
  <c r="J247" i="1"/>
  <c r="H248" i="1" a="1"/>
  <c r="H248" i="1"/>
  <c r="I248" i="1"/>
  <c r="J248" i="1"/>
  <c r="H249" i="1" a="1"/>
  <c r="H249" i="1"/>
  <c r="I249" i="1"/>
  <c r="J249" i="1"/>
  <c r="H250" i="1" a="1"/>
  <c r="H250" i="1"/>
  <c r="I250" i="1"/>
  <c r="J250" i="1"/>
  <c r="H251" i="1" a="1"/>
  <c r="H251" i="1"/>
  <c r="I251" i="1"/>
  <c r="J251" i="1"/>
  <c r="H252" i="1" a="1"/>
  <c r="H252" i="1"/>
  <c r="I252" i="1"/>
  <c r="J252" i="1"/>
  <c r="H253" i="1" a="1"/>
  <c r="H253" i="1"/>
  <c r="I253" i="1"/>
  <c r="J253" i="1"/>
  <c r="H254" i="1" a="1"/>
  <c r="H254" i="1"/>
  <c r="I254" i="1"/>
  <c r="J254" i="1"/>
  <c r="H255" i="1" a="1"/>
  <c r="H255" i="1"/>
  <c r="I255" i="1"/>
  <c r="J255" i="1"/>
  <c r="H256" i="1" a="1"/>
  <c r="H256" i="1"/>
  <c r="I256" i="1"/>
  <c r="J256" i="1"/>
  <c r="H257" i="1" a="1"/>
  <c r="H257" i="1"/>
  <c r="I257" i="1"/>
  <c r="J257" i="1"/>
  <c r="H258" i="1" a="1"/>
  <c r="H258" i="1"/>
  <c r="I258" i="1"/>
  <c r="J258" i="1"/>
  <c r="H259" i="1" a="1"/>
  <c r="H259" i="1"/>
  <c r="I259" i="1"/>
  <c r="J259" i="1"/>
  <c r="H260" i="1" a="1"/>
  <c r="H260" i="1"/>
  <c r="I260" i="1"/>
  <c r="J260" i="1"/>
  <c r="H261" i="1" a="1"/>
  <c r="H261" i="1"/>
  <c r="I261" i="1"/>
  <c r="J261" i="1"/>
  <c r="H262" i="1" a="1"/>
  <c r="H262" i="1"/>
  <c r="I262" i="1"/>
  <c r="J262" i="1"/>
  <c r="H263" i="1" a="1"/>
  <c r="H263" i="1"/>
  <c r="I263" i="1"/>
  <c r="J263" i="1"/>
  <c r="H264" i="1" a="1"/>
  <c r="H264" i="1"/>
  <c r="I264" i="1"/>
  <c r="J264" i="1"/>
  <c r="H265" i="1" a="1"/>
  <c r="H265" i="1"/>
  <c r="I265" i="1"/>
  <c r="J265" i="1"/>
  <c r="H266" i="1" a="1"/>
  <c r="H266" i="1"/>
  <c r="I266" i="1"/>
  <c r="J266" i="1"/>
  <c r="H267" i="1" a="1"/>
  <c r="H267" i="1"/>
  <c r="I267" i="1"/>
  <c r="J267" i="1"/>
  <c r="H268" i="1" a="1"/>
  <c r="H268" i="1"/>
  <c r="I268" i="1"/>
  <c r="J268" i="1"/>
  <c r="H269" i="1" a="1"/>
  <c r="H269" i="1"/>
  <c r="I269" i="1"/>
  <c r="J269" i="1"/>
  <c r="H270" i="1" a="1"/>
  <c r="H270" i="1"/>
  <c r="I270" i="1"/>
  <c r="J270" i="1"/>
  <c r="H271" i="1" a="1"/>
  <c r="H271" i="1"/>
  <c r="I271" i="1"/>
  <c r="J271" i="1"/>
  <c r="H272" i="1" a="1"/>
  <c r="H272" i="1"/>
  <c r="I272" i="1"/>
  <c r="J272" i="1"/>
  <c r="H273" i="1" a="1"/>
  <c r="H273" i="1"/>
  <c r="I273" i="1"/>
  <c r="J273" i="1"/>
  <c r="H274" i="1" a="1"/>
  <c r="H274" i="1"/>
  <c r="I274" i="1"/>
  <c r="J274" i="1"/>
  <c r="H275" i="1" a="1"/>
  <c r="H275" i="1"/>
  <c r="I275" i="1"/>
  <c r="J275" i="1"/>
  <c r="H276" i="1" a="1"/>
  <c r="H276" i="1"/>
  <c r="I276" i="1"/>
  <c r="J276" i="1"/>
  <c r="H277" i="1" a="1"/>
  <c r="H277" i="1"/>
  <c r="I277" i="1"/>
  <c r="J277" i="1"/>
  <c r="H278" i="1" a="1"/>
  <c r="H278" i="1"/>
  <c r="I278" i="1"/>
  <c r="J278" i="1"/>
  <c r="H279" i="1" a="1"/>
  <c r="H279" i="1"/>
  <c r="I279" i="1"/>
  <c r="J279" i="1"/>
  <c r="H280" i="1" a="1"/>
  <c r="H280" i="1"/>
  <c r="I280" i="1"/>
  <c r="J280" i="1"/>
  <c r="H281" i="1" a="1"/>
  <c r="H281" i="1"/>
  <c r="I281" i="1"/>
  <c r="J281" i="1"/>
  <c r="H282" i="1" a="1"/>
  <c r="H282" i="1"/>
  <c r="I282" i="1"/>
  <c r="J282" i="1"/>
  <c r="H283" i="1" a="1"/>
  <c r="H283" i="1"/>
  <c r="I283" i="1"/>
  <c r="J283" i="1"/>
  <c r="H284" i="1" a="1"/>
  <c r="H284" i="1"/>
  <c r="I284" i="1"/>
  <c r="J284" i="1"/>
  <c r="H285" i="1" a="1"/>
  <c r="H285" i="1"/>
  <c r="I285" i="1"/>
  <c r="J285" i="1"/>
  <c r="H286" i="1" a="1"/>
  <c r="H286" i="1"/>
  <c r="I286" i="1"/>
  <c r="J286" i="1"/>
  <c r="H287" i="1" a="1"/>
  <c r="H287" i="1"/>
  <c r="I287" i="1"/>
  <c r="J287" i="1"/>
  <c r="H288" i="1" a="1"/>
  <c r="H288" i="1"/>
  <c r="I288" i="1"/>
  <c r="J288" i="1"/>
  <c r="H289" i="1" a="1"/>
  <c r="H289" i="1"/>
  <c r="I289" i="1"/>
  <c r="J289" i="1"/>
  <c r="H290" i="1" a="1"/>
  <c r="H290" i="1"/>
  <c r="I290" i="1"/>
  <c r="J290" i="1"/>
  <c r="H291" i="1" a="1"/>
  <c r="H291" i="1"/>
  <c r="I291" i="1"/>
  <c r="J291" i="1"/>
  <c r="H292" i="1" a="1"/>
  <c r="H292" i="1"/>
  <c r="I292" i="1"/>
  <c r="J292" i="1"/>
  <c r="H293" i="1" a="1"/>
  <c r="H293" i="1"/>
  <c r="I293" i="1"/>
  <c r="J293" i="1"/>
  <c r="H294" i="1" a="1"/>
  <c r="H294" i="1"/>
  <c r="I294" i="1"/>
  <c r="J294" i="1"/>
  <c r="H295" i="1" a="1"/>
  <c r="H295" i="1"/>
  <c r="I295" i="1"/>
  <c r="J295" i="1"/>
  <c r="H296" i="1" a="1"/>
  <c r="H296" i="1"/>
  <c r="I296" i="1"/>
  <c r="J296" i="1"/>
  <c r="H297" i="1" a="1"/>
  <c r="H297" i="1"/>
  <c r="I297" i="1"/>
  <c r="J297" i="1"/>
  <c r="H298" i="1" a="1"/>
  <c r="H298" i="1"/>
  <c r="I298" i="1"/>
  <c r="J298" i="1"/>
  <c r="H299" i="1" a="1"/>
  <c r="H299" i="1"/>
  <c r="I299" i="1"/>
  <c r="J299" i="1"/>
  <c r="H300" i="1" a="1"/>
  <c r="H300" i="1"/>
  <c r="I300" i="1"/>
  <c r="J300" i="1"/>
  <c r="H301" i="1" a="1"/>
  <c r="H301" i="1"/>
  <c r="I301" i="1"/>
  <c r="J301" i="1"/>
  <c r="H302" i="1" a="1"/>
  <c r="H302" i="1"/>
  <c r="I302" i="1"/>
  <c r="J302" i="1"/>
  <c r="H303" i="1" a="1"/>
  <c r="H303" i="1"/>
  <c r="I303" i="1"/>
  <c r="J303" i="1"/>
  <c r="H304" i="1" a="1"/>
  <c r="H304" i="1"/>
  <c r="I304" i="1"/>
  <c r="J304" i="1"/>
  <c r="H305" i="1" a="1"/>
  <c r="H305" i="1"/>
  <c r="I305" i="1"/>
  <c r="J305" i="1"/>
  <c r="H306" i="1" a="1"/>
  <c r="H306" i="1"/>
  <c r="I306" i="1"/>
  <c r="J306" i="1"/>
  <c r="H307" i="1" a="1"/>
  <c r="H307" i="1"/>
  <c r="I307" i="1"/>
  <c r="J307" i="1"/>
  <c r="H308" i="1" a="1"/>
  <c r="H308" i="1"/>
  <c r="I308" i="1"/>
  <c r="J308" i="1"/>
  <c r="H309" i="1" a="1"/>
  <c r="H309" i="1"/>
  <c r="I309" i="1"/>
  <c r="J309" i="1"/>
  <c r="H310" i="1" a="1"/>
  <c r="H310" i="1"/>
  <c r="I310" i="1"/>
  <c r="J310" i="1"/>
  <c r="H311" i="1" a="1"/>
  <c r="H311" i="1"/>
  <c r="I311" i="1"/>
  <c r="J311" i="1"/>
  <c r="H312" i="1" a="1"/>
  <c r="H312" i="1"/>
  <c r="I312" i="1"/>
  <c r="J312" i="1"/>
  <c r="H313" i="1" a="1"/>
  <c r="H313" i="1"/>
  <c r="I313" i="1"/>
  <c r="J313" i="1"/>
  <c r="H314" i="1" a="1"/>
  <c r="H314" i="1"/>
  <c r="I314" i="1"/>
  <c r="J314" i="1"/>
  <c r="H315" i="1" a="1"/>
  <c r="H315" i="1"/>
  <c r="I315" i="1"/>
  <c r="J315" i="1"/>
  <c r="H316" i="1" a="1"/>
  <c r="H316" i="1"/>
  <c r="I316" i="1"/>
  <c r="J316" i="1"/>
  <c r="H317" i="1" a="1"/>
  <c r="H317" i="1"/>
  <c r="I317" i="1"/>
  <c r="J317" i="1"/>
  <c r="H318" i="1" a="1"/>
  <c r="H318" i="1"/>
  <c r="I318" i="1"/>
  <c r="J318" i="1"/>
  <c r="H319" i="1" a="1"/>
  <c r="H319" i="1"/>
  <c r="I319" i="1"/>
  <c r="J319" i="1"/>
  <c r="H320" i="1" a="1"/>
  <c r="H320" i="1"/>
  <c r="I320" i="1"/>
  <c r="J320" i="1"/>
  <c r="H321" i="1" a="1"/>
  <c r="H321" i="1"/>
  <c r="I321" i="1"/>
  <c r="J321" i="1"/>
  <c r="H322" i="1" a="1"/>
  <c r="H322" i="1"/>
  <c r="I322" i="1"/>
  <c r="J322" i="1"/>
  <c r="H323" i="1" a="1"/>
  <c r="H323" i="1"/>
  <c r="I323" i="1"/>
  <c r="J323" i="1"/>
  <c r="H324" i="1" a="1"/>
  <c r="H324" i="1"/>
  <c r="I324" i="1"/>
  <c r="J324" i="1"/>
  <c r="H325" i="1" a="1"/>
  <c r="H325" i="1"/>
  <c r="I325" i="1"/>
  <c r="J325" i="1"/>
  <c r="H326" i="1" a="1"/>
  <c r="H326" i="1"/>
  <c r="I326" i="1"/>
  <c r="J326" i="1"/>
  <c r="H327" i="1" a="1"/>
  <c r="H327" i="1"/>
  <c r="I327" i="1"/>
  <c r="J327" i="1"/>
  <c r="H328" i="1" a="1"/>
  <c r="H328" i="1"/>
  <c r="I328" i="1"/>
  <c r="J328" i="1"/>
  <c r="H329" i="1" a="1"/>
  <c r="H329" i="1"/>
  <c r="I329" i="1"/>
  <c r="J329" i="1"/>
  <c r="H330" i="1" a="1"/>
  <c r="H330" i="1"/>
  <c r="I330" i="1"/>
  <c r="J330" i="1"/>
  <c r="H331" i="1" a="1"/>
  <c r="H331" i="1"/>
  <c r="I331" i="1"/>
  <c r="J331" i="1"/>
  <c r="H332" i="1" a="1"/>
  <c r="H332" i="1"/>
  <c r="I332" i="1"/>
  <c r="J332" i="1"/>
  <c r="H333" i="1" a="1"/>
  <c r="H333" i="1"/>
  <c r="I333" i="1"/>
  <c r="J333" i="1"/>
  <c r="H334" i="1" a="1"/>
  <c r="H334" i="1"/>
  <c r="I334" i="1"/>
  <c r="J334" i="1"/>
  <c r="H335" i="1" a="1"/>
  <c r="H335" i="1"/>
  <c r="I335" i="1"/>
  <c r="J335" i="1"/>
  <c r="H336" i="1" a="1"/>
  <c r="H336" i="1"/>
  <c r="I336" i="1"/>
  <c r="J336" i="1"/>
  <c r="H337" i="1" a="1"/>
  <c r="H337" i="1"/>
  <c r="I337" i="1"/>
  <c r="J337" i="1"/>
  <c r="H338" i="1" a="1"/>
  <c r="H338" i="1"/>
  <c r="I338" i="1"/>
  <c r="J338" i="1"/>
  <c r="H339" i="1" a="1"/>
  <c r="H339" i="1"/>
  <c r="I339" i="1"/>
  <c r="J339" i="1"/>
  <c r="H340" i="1" a="1"/>
  <c r="H340" i="1"/>
  <c r="I340" i="1"/>
  <c r="J340" i="1"/>
  <c r="H341" i="1" a="1"/>
  <c r="H341" i="1"/>
  <c r="I341" i="1"/>
  <c r="J341" i="1"/>
  <c r="H342" i="1" a="1"/>
  <c r="H342" i="1"/>
  <c r="I342" i="1"/>
  <c r="J342" i="1"/>
  <c r="H343" i="1" a="1"/>
  <c r="H343" i="1"/>
  <c r="I343" i="1"/>
  <c r="J343" i="1"/>
  <c r="H344" i="1" a="1"/>
  <c r="H344" i="1"/>
  <c r="I344" i="1"/>
  <c r="J344" i="1"/>
  <c r="H345" i="1" a="1"/>
  <c r="H345" i="1"/>
  <c r="I345" i="1"/>
  <c r="J345" i="1"/>
  <c r="H346" i="1" a="1"/>
  <c r="H346" i="1"/>
  <c r="I346" i="1"/>
  <c r="J346" i="1"/>
  <c r="H347" i="1" a="1"/>
  <c r="H347" i="1"/>
  <c r="I347" i="1"/>
  <c r="J347" i="1"/>
  <c r="H348" i="1" a="1"/>
  <c r="H348" i="1"/>
  <c r="I348" i="1"/>
  <c r="J348" i="1"/>
  <c r="H349" i="1" a="1"/>
  <c r="H349" i="1"/>
  <c r="I349" i="1"/>
  <c r="J349" i="1"/>
  <c r="H350" i="1" a="1"/>
  <c r="H350" i="1"/>
  <c r="I350" i="1"/>
  <c r="J350" i="1"/>
  <c r="H351" i="1" a="1"/>
  <c r="H351" i="1"/>
  <c r="I351" i="1"/>
  <c r="J351" i="1"/>
  <c r="H352" i="1" a="1"/>
  <c r="H352" i="1"/>
  <c r="I352" i="1"/>
  <c r="J352" i="1"/>
  <c r="H353" i="1" a="1"/>
  <c r="H353" i="1"/>
  <c r="I353" i="1"/>
  <c r="J353" i="1"/>
  <c r="H354" i="1" a="1"/>
  <c r="H354" i="1"/>
  <c r="I354" i="1"/>
  <c r="J354" i="1"/>
  <c r="H355" i="1" a="1"/>
  <c r="H355" i="1"/>
  <c r="I355" i="1"/>
  <c r="J355" i="1"/>
  <c r="H356" i="1" a="1"/>
  <c r="H356" i="1"/>
  <c r="I356" i="1"/>
  <c r="J356" i="1"/>
  <c r="H357" i="1" a="1"/>
  <c r="H357" i="1"/>
  <c r="I357" i="1"/>
  <c r="J357" i="1"/>
  <c r="H358" i="1" a="1"/>
  <c r="H358" i="1"/>
  <c r="I358" i="1"/>
  <c r="J358" i="1"/>
  <c r="H359" i="1" a="1"/>
  <c r="H359" i="1"/>
  <c r="I359" i="1"/>
  <c r="J359" i="1"/>
  <c r="H360" i="1" a="1"/>
  <c r="H360" i="1"/>
  <c r="I360" i="1"/>
  <c r="J360" i="1"/>
  <c r="H361" i="1" a="1"/>
  <c r="H361" i="1"/>
  <c r="I361" i="1"/>
  <c r="J361" i="1"/>
  <c r="H362" i="1" a="1"/>
  <c r="H362" i="1"/>
  <c r="I362" i="1"/>
  <c r="J362" i="1"/>
  <c r="H363" i="1" a="1"/>
  <c r="H363" i="1"/>
  <c r="I363" i="1"/>
  <c r="J363" i="1"/>
  <c r="H364" i="1" a="1"/>
  <c r="H364" i="1"/>
  <c r="I364" i="1"/>
  <c r="J364" i="1"/>
  <c r="H365" i="1" a="1"/>
  <c r="H365" i="1"/>
  <c r="I365" i="1"/>
  <c r="J365" i="1"/>
  <c r="H366" i="1" a="1"/>
  <c r="H366" i="1"/>
  <c r="I366" i="1"/>
  <c r="J366" i="1"/>
  <c r="H367" i="1" a="1"/>
  <c r="H367" i="1"/>
  <c r="I367" i="1"/>
  <c r="J367" i="1"/>
  <c r="H368" i="1" a="1"/>
  <c r="H368" i="1"/>
  <c r="I368" i="1"/>
  <c r="J368" i="1"/>
  <c r="H369" i="1" a="1"/>
  <c r="H369" i="1"/>
  <c r="I369" i="1"/>
  <c r="J369" i="1"/>
  <c r="H370" i="1" a="1"/>
  <c r="H370" i="1"/>
  <c r="I370" i="1"/>
  <c r="J370" i="1"/>
  <c r="H371" i="1" a="1"/>
  <c r="H371" i="1"/>
  <c r="I371" i="1"/>
  <c r="J371" i="1"/>
  <c r="H372" i="1" a="1"/>
  <c r="H372" i="1"/>
  <c r="I372" i="1"/>
  <c r="J372" i="1"/>
  <c r="H373" i="1" a="1"/>
  <c r="H373" i="1"/>
  <c r="I373" i="1"/>
  <c r="J373" i="1"/>
  <c r="H374" i="1" a="1"/>
  <c r="H374" i="1"/>
  <c r="I374" i="1"/>
  <c r="J374" i="1"/>
  <c r="H375" i="1" a="1"/>
  <c r="H375" i="1"/>
  <c r="I375" i="1"/>
  <c r="J375" i="1"/>
  <c r="H376" i="1" a="1"/>
  <c r="H376" i="1"/>
  <c r="I376" i="1"/>
  <c r="J376" i="1"/>
  <c r="H377" i="1" a="1"/>
  <c r="H377" i="1"/>
  <c r="I377" i="1"/>
  <c r="J377" i="1"/>
  <c r="H378" i="1" a="1"/>
  <c r="H378" i="1"/>
  <c r="I378" i="1"/>
  <c r="J378" i="1"/>
  <c r="H379" i="1" a="1"/>
  <c r="H379" i="1"/>
  <c r="I379" i="1"/>
  <c r="J379" i="1"/>
  <c r="H380" i="1" a="1"/>
  <c r="H380" i="1"/>
  <c r="I380" i="1"/>
  <c r="J380" i="1"/>
  <c r="H381" i="1" a="1"/>
  <c r="H381" i="1"/>
  <c r="I381" i="1"/>
  <c r="J381" i="1"/>
  <c r="H382" i="1" a="1"/>
  <c r="H382" i="1"/>
  <c r="I382" i="1"/>
  <c r="J382" i="1"/>
  <c r="H383" i="1" a="1"/>
  <c r="H383" i="1"/>
  <c r="I383" i="1"/>
  <c r="J383" i="1"/>
  <c r="H384" i="1" a="1"/>
  <c r="H384" i="1"/>
  <c r="I384" i="1"/>
  <c r="J384" i="1"/>
  <c r="H385" i="1" a="1"/>
  <c r="H385" i="1"/>
  <c r="I385" i="1"/>
  <c r="J385" i="1"/>
  <c r="H386" i="1" a="1"/>
  <c r="H386" i="1"/>
  <c r="I386" i="1"/>
  <c r="J386" i="1"/>
  <c r="H387" i="1" a="1"/>
  <c r="H387" i="1"/>
  <c r="I387" i="1"/>
  <c r="J387" i="1"/>
  <c r="H388" i="1" a="1"/>
  <c r="H388" i="1"/>
  <c r="I388" i="1"/>
  <c r="J388" i="1"/>
  <c r="H389" i="1" a="1"/>
  <c r="H389" i="1"/>
  <c r="I389" i="1"/>
  <c r="J389" i="1"/>
  <c r="H390" i="1" a="1"/>
  <c r="H390" i="1"/>
  <c r="I390" i="1"/>
  <c r="J390" i="1"/>
  <c r="H391" i="1" a="1"/>
  <c r="H391" i="1"/>
  <c r="I391" i="1"/>
  <c r="J391" i="1"/>
  <c r="H392" i="1" a="1"/>
  <c r="H392" i="1"/>
  <c r="I392" i="1"/>
  <c r="J392" i="1"/>
  <c r="H393" i="1" a="1"/>
  <c r="H393" i="1"/>
  <c r="I393" i="1"/>
  <c r="J393" i="1"/>
  <c r="H394" i="1" a="1"/>
  <c r="H394" i="1"/>
  <c r="I394" i="1"/>
  <c r="J394" i="1"/>
  <c r="H395" i="1" a="1"/>
  <c r="H395" i="1"/>
  <c r="I395" i="1"/>
  <c r="J395" i="1"/>
  <c r="H396" i="1" a="1"/>
  <c r="H396" i="1"/>
  <c r="I396" i="1"/>
  <c r="J396" i="1"/>
  <c r="H397" i="1" a="1"/>
  <c r="H397" i="1"/>
  <c r="I397" i="1"/>
  <c r="J397" i="1"/>
  <c r="H398" i="1" a="1"/>
  <c r="H398" i="1"/>
  <c r="I398" i="1"/>
  <c r="J398" i="1"/>
  <c r="H399" i="1" a="1"/>
  <c r="H399" i="1"/>
  <c r="I399" i="1"/>
  <c r="J399" i="1"/>
  <c r="H400" i="1" a="1"/>
  <c r="H400" i="1"/>
  <c r="I400" i="1"/>
  <c r="J400" i="1"/>
  <c r="H401" i="1" a="1"/>
  <c r="H401" i="1"/>
  <c r="I401" i="1"/>
  <c r="J401" i="1"/>
  <c r="H402" i="1" a="1"/>
  <c r="H402" i="1"/>
  <c r="I402" i="1"/>
  <c r="J402" i="1"/>
  <c r="H403" i="1" a="1"/>
  <c r="H403" i="1"/>
  <c r="I403" i="1"/>
  <c r="J403" i="1"/>
  <c r="H404" i="1" a="1"/>
  <c r="H404" i="1"/>
  <c r="I404" i="1"/>
  <c r="J404" i="1"/>
  <c r="H405" i="1" a="1"/>
  <c r="H405" i="1"/>
  <c r="I405" i="1"/>
  <c r="J405" i="1"/>
  <c r="H406" i="1" a="1"/>
  <c r="H406" i="1"/>
  <c r="I406" i="1"/>
  <c r="J406" i="1"/>
  <c r="H407" i="1" a="1"/>
  <c r="H407" i="1"/>
  <c r="I407" i="1"/>
  <c r="J407" i="1"/>
  <c r="H408" i="1" a="1"/>
  <c r="H408" i="1"/>
  <c r="I408" i="1"/>
  <c r="J408" i="1"/>
  <c r="H409" i="1" a="1"/>
  <c r="H409" i="1"/>
  <c r="I409" i="1"/>
  <c r="J409" i="1"/>
  <c r="H410" i="1" a="1"/>
  <c r="H410" i="1"/>
  <c r="I410" i="1"/>
  <c r="J410" i="1"/>
  <c r="H411" i="1" a="1"/>
  <c r="H411" i="1"/>
  <c r="I411" i="1"/>
  <c r="J411" i="1"/>
  <c r="H412" i="1" a="1"/>
  <c r="H412" i="1"/>
  <c r="I412" i="1"/>
  <c r="J412" i="1"/>
  <c r="H413" i="1" a="1"/>
  <c r="H413" i="1"/>
  <c r="I413" i="1"/>
  <c r="J413" i="1"/>
  <c r="H414" i="1" a="1"/>
  <c r="H414" i="1"/>
  <c r="I414" i="1"/>
  <c r="J414" i="1"/>
  <c r="H415" i="1" a="1"/>
  <c r="H415" i="1"/>
  <c r="I415" i="1"/>
  <c r="J415" i="1"/>
  <c r="H416" i="1" a="1"/>
  <c r="H416" i="1"/>
  <c r="I416" i="1"/>
  <c r="J416" i="1"/>
  <c r="H417" i="1" a="1"/>
  <c r="H417" i="1"/>
  <c r="I417" i="1"/>
  <c r="J417" i="1"/>
  <c r="H418" i="1" a="1"/>
  <c r="H418" i="1"/>
  <c r="I418" i="1"/>
  <c r="J418" i="1"/>
  <c r="H419" i="1" a="1"/>
  <c r="H419" i="1"/>
  <c r="I419" i="1"/>
  <c r="J419" i="1"/>
  <c r="H420" i="1" a="1"/>
  <c r="H420" i="1"/>
  <c r="I420" i="1"/>
  <c r="J420" i="1"/>
  <c r="H421" i="1" a="1"/>
  <c r="H421" i="1"/>
  <c r="I421" i="1"/>
  <c r="J421" i="1"/>
  <c r="H422" i="1" a="1"/>
  <c r="H422" i="1"/>
  <c r="I422" i="1"/>
  <c r="J422" i="1"/>
  <c r="H423" i="1" a="1"/>
  <c r="H423" i="1"/>
  <c r="I423" i="1"/>
  <c r="J423" i="1"/>
  <c r="H424" i="1" a="1"/>
  <c r="H424" i="1"/>
  <c r="I424" i="1"/>
  <c r="J424" i="1"/>
  <c r="H425" i="1" a="1"/>
  <c r="H425" i="1"/>
  <c r="I425" i="1"/>
  <c r="J425" i="1"/>
  <c r="H426" i="1" a="1"/>
  <c r="H426" i="1"/>
  <c r="I426" i="1"/>
  <c r="J426" i="1"/>
  <c r="H427" i="1" a="1"/>
  <c r="H427" i="1"/>
  <c r="I427" i="1"/>
  <c r="J427" i="1"/>
  <c r="H428" i="1" a="1"/>
  <c r="H428" i="1"/>
  <c r="I428" i="1"/>
  <c r="J428" i="1"/>
  <c r="H429" i="1" a="1"/>
  <c r="H429" i="1"/>
  <c r="I429" i="1"/>
  <c r="J429" i="1"/>
  <c r="H430" i="1" a="1"/>
  <c r="H430" i="1"/>
  <c r="I430" i="1"/>
  <c r="J430" i="1"/>
  <c r="H431" i="1" a="1"/>
  <c r="H431" i="1"/>
  <c r="I431" i="1"/>
  <c r="J431" i="1"/>
  <c r="H432" i="1" a="1"/>
  <c r="H432" i="1"/>
  <c r="I432" i="1"/>
  <c r="J432" i="1"/>
  <c r="H433" i="1" a="1"/>
  <c r="H433" i="1"/>
  <c r="I433" i="1"/>
  <c r="J433" i="1"/>
  <c r="H434" i="1" a="1"/>
  <c r="H434" i="1"/>
  <c r="I434" i="1"/>
  <c r="J434" i="1"/>
  <c r="H435" i="1" a="1"/>
  <c r="H435" i="1"/>
  <c r="I435" i="1"/>
  <c r="J435" i="1"/>
  <c r="H436" i="1" a="1"/>
  <c r="H436" i="1"/>
  <c r="I436" i="1"/>
  <c r="J436" i="1"/>
  <c r="H437" i="1" a="1"/>
  <c r="H437" i="1"/>
  <c r="I437" i="1"/>
  <c r="J437" i="1"/>
  <c r="H438" i="1" a="1"/>
  <c r="H438" i="1"/>
  <c r="I438" i="1"/>
  <c r="J438" i="1"/>
  <c r="H439" i="1" a="1"/>
  <c r="H439" i="1"/>
  <c r="I439" i="1"/>
  <c r="J439" i="1"/>
  <c r="H440" i="1" a="1"/>
  <c r="H440" i="1"/>
  <c r="I440" i="1"/>
  <c r="J440" i="1"/>
  <c r="H441" i="1" a="1"/>
  <c r="H441" i="1"/>
  <c r="I441" i="1"/>
  <c r="J441" i="1"/>
  <c r="H442" i="1" a="1"/>
  <c r="H442" i="1"/>
  <c r="I442" i="1"/>
  <c r="J442" i="1"/>
  <c r="H443" i="1" a="1"/>
  <c r="H443" i="1"/>
  <c r="I443" i="1"/>
  <c r="J443" i="1"/>
  <c r="H444" i="1" a="1"/>
  <c r="H444" i="1"/>
  <c r="I444" i="1"/>
  <c r="J444" i="1"/>
  <c r="H445" i="1" a="1"/>
  <c r="H445" i="1"/>
  <c r="I445" i="1"/>
  <c r="J445" i="1"/>
  <c r="H446" i="1" a="1"/>
  <c r="H446" i="1"/>
  <c r="I446" i="1"/>
  <c r="J446" i="1"/>
  <c r="H447" i="1" a="1"/>
  <c r="H447" i="1"/>
  <c r="I447" i="1"/>
  <c r="J447" i="1"/>
  <c r="H448" i="1" a="1"/>
  <c r="H448" i="1"/>
  <c r="I448" i="1"/>
  <c r="J448" i="1"/>
  <c r="H449" i="1" a="1"/>
  <c r="H449" i="1"/>
  <c r="I449" i="1"/>
  <c r="J449" i="1"/>
  <c r="H450" i="1" a="1"/>
  <c r="H450" i="1"/>
  <c r="I450" i="1"/>
  <c r="J450" i="1"/>
  <c r="H451" i="1" a="1"/>
  <c r="H451" i="1"/>
  <c r="I451" i="1"/>
  <c r="J451" i="1"/>
  <c r="H452" i="1" a="1"/>
  <c r="H452" i="1"/>
  <c r="I452" i="1"/>
  <c r="J452" i="1"/>
  <c r="H453" i="1" a="1"/>
  <c r="H453" i="1"/>
  <c r="I453" i="1"/>
  <c r="J453" i="1"/>
  <c r="H454" i="1" a="1"/>
  <c r="H454" i="1"/>
  <c r="I454" i="1"/>
  <c r="J454" i="1"/>
  <c r="H455" i="1" a="1"/>
  <c r="H455" i="1"/>
  <c r="I455" i="1"/>
  <c r="J455" i="1"/>
  <c r="H456" i="1" a="1"/>
  <c r="H456" i="1"/>
  <c r="I456" i="1"/>
  <c r="J456" i="1"/>
  <c r="H457" i="1" a="1"/>
  <c r="H457" i="1"/>
  <c r="I457" i="1"/>
  <c r="J457" i="1"/>
  <c r="H458" i="1" a="1"/>
  <c r="H458" i="1"/>
  <c r="I458" i="1"/>
  <c r="J458" i="1"/>
  <c r="H459" i="1" a="1"/>
  <c r="H459" i="1"/>
  <c r="I459" i="1"/>
  <c r="J459" i="1"/>
  <c r="H460" i="1" a="1"/>
  <c r="H460" i="1"/>
  <c r="I460" i="1"/>
  <c r="J460" i="1"/>
  <c r="H461" i="1" a="1"/>
  <c r="H461" i="1"/>
  <c r="I461" i="1"/>
  <c r="J461" i="1"/>
  <c r="H462" i="1" a="1"/>
  <c r="H462" i="1"/>
  <c r="I462" i="1"/>
  <c r="J462" i="1"/>
  <c r="H463" i="1" a="1"/>
  <c r="H463" i="1"/>
  <c r="I463" i="1"/>
  <c r="J463" i="1"/>
  <c r="H464" i="1" a="1"/>
  <c r="H464" i="1"/>
  <c r="I464" i="1"/>
  <c r="J464" i="1"/>
  <c r="H465" i="1" a="1"/>
  <c r="H465" i="1"/>
  <c r="I465" i="1"/>
  <c r="J465" i="1"/>
  <c r="H466" i="1" a="1"/>
  <c r="H466" i="1"/>
  <c r="I466" i="1"/>
  <c r="J466" i="1"/>
  <c r="H467" i="1" a="1"/>
  <c r="H467" i="1"/>
  <c r="I467" i="1"/>
  <c r="J467" i="1"/>
  <c r="H468" i="1" a="1"/>
  <c r="H468" i="1"/>
  <c r="I468" i="1"/>
  <c r="J468" i="1"/>
  <c r="H469" i="1" a="1"/>
  <c r="H469" i="1"/>
  <c r="I469" i="1"/>
  <c r="J469" i="1"/>
  <c r="H470" i="1" a="1"/>
  <c r="H470" i="1"/>
  <c r="I470" i="1"/>
  <c r="J470" i="1"/>
  <c r="H471" i="1" a="1"/>
  <c r="H471" i="1"/>
  <c r="I471" i="1"/>
  <c r="J471" i="1"/>
  <c r="H472" i="1" a="1"/>
  <c r="H472" i="1"/>
  <c r="I472" i="1"/>
  <c r="J472" i="1"/>
  <c r="H473" i="1" a="1"/>
  <c r="H473" i="1"/>
  <c r="I473" i="1"/>
  <c r="J473" i="1"/>
  <c r="H474" i="1" a="1"/>
  <c r="H474" i="1"/>
  <c r="I474" i="1"/>
  <c r="J474" i="1"/>
  <c r="H475" i="1" a="1"/>
  <c r="H475" i="1"/>
  <c r="I475" i="1"/>
  <c r="J475" i="1"/>
  <c r="H476" i="1" a="1"/>
  <c r="H476" i="1"/>
  <c r="I476" i="1"/>
  <c r="J476" i="1"/>
  <c r="H477" i="1" a="1"/>
  <c r="H477" i="1"/>
  <c r="I477" i="1"/>
  <c r="J477" i="1"/>
  <c r="H478" i="1" a="1"/>
  <c r="H478" i="1"/>
  <c r="I478" i="1"/>
  <c r="J478" i="1"/>
  <c r="H479" i="1" a="1"/>
  <c r="H479" i="1"/>
  <c r="I479" i="1"/>
  <c r="J479" i="1"/>
  <c r="H480" i="1" a="1"/>
  <c r="H480" i="1"/>
  <c r="I480" i="1"/>
  <c r="J480" i="1"/>
  <c r="H481" i="1" a="1"/>
  <c r="H481" i="1"/>
  <c r="I481" i="1"/>
  <c r="J481" i="1"/>
  <c r="H482" i="1" a="1"/>
  <c r="H482" i="1"/>
  <c r="I482" i="1"/>
  <c r="J482" i="1"/>
  <c r="H483" i="1" a="1"/>
  <c r="H483" i="1"/>
  <c r="I483" i="1"/>
  <c r="J483" i="1"/>
  <c r="H484" i="1" a="1"/>
  <c r="H484" i="1"/>
  <c r="I484" i="1"/>
  <c r="J484" i="1"/>
  <c r="H485" i="1" a="1"/>
  <c r="H485" i="1"/>
  <c r="I485" i="1"/>
  <c r="J485" i="1"/>
  <c r="H486" i="1" a="1"/>
  <c r="H486" i="1"/>
  <c r="I486" i="1"/>
  <c r="J486" i="1"/>
  <c r="H487" i="1" a="1"/>
  <c r="H487" i="1"/>
  <c r="I487" i="1"/>
  <c r="J487" i="1"/>
  <c r="H488" i="1" a="1"/>
  <c r="H488" i="1"/>
  <c r="I488" i="1"/>
  <c r="J488" i="1"/>
  <c r="H489" i="1" a="1"/>
  <c r="H489" i="1"/>
  <c r="I489" i="1"/>
  <c r="J489" i="1"/>
  <c r="H490" i="1" a="1"/>
  <c r="H490" i="1"/>
  <c r="I490" i="1"/>
  <c r="J490" i="1"/>
  <c r="H491" i="1" a="1"/>
  <c r="H491" i="1"/>
  <c r="I491" i="1"/>
  <c r="J491" i="1"/>
  <c r="H492" i="1" a="1"/>
  <c r="H492" i="1"/>
  <c r="I492" i="1"/>
  <c r="J492" i="1"/>
  <c r="H493" i="1" a="1"/>
  <c r="H493" i="1"/>
  <c r="I493" i="1"/>
  <c r="J493" i="1"/>
  <c r="H494" i="1" a="1"/>
  <c r="H494" i="1"/>
  <c r="I494" i="1"/>
  <c r="J494" i="1"/>
  <c r="H495" i="1" a="1"/>
  <c r="H495" i="1"/>
  <c r="I495" i="1"/>
  <c r="J495" i="1"/>
  <c r="H496" i="1" a="1"/>
  <c r="H496" i="1"/>
  <c r="I496" i="1"/>
  <c r="J496" i="1"/>
  <c r="H497" i="1" a="1"/>
  <c r="H497" i="1"/>
  <c r="I497" i="1"/>
  <c r="J497" i="1"/>
  <c r="H498" i="1" a="1"/>
  <c r="H498" i="1"/>
  <c r="I498" i="1"/>
  <c r="J498" i="1"/>
  <c r="H499" i="1" a="1"/>
  <c r="H499" i="1"/>
  <c r="I499" i="1"/>
  <c r="J499" i="1"/>
  <c r="H500" i="1" a="1"/>
  <c r="H500" i="1"/>
  <c r="I500" i="1"/>
  <c r="J500" i="1"/>
  <c r="H501" i="1" a="1"/>
  <c r="H501" i="1"/>
  <c r="I501" i="1"/>
  <c r="J501" i="1"/>
  <c r="H502" i="1" a="1"/>
  <c r="H502" i="1"/>
  <c r="I502" i="1"/>
  <c r="J502" i="1"/>
  <c r="H503" i="1" a="1"/>
  <c r="H503" i="1"/>
  <c r="I503" i="1"/>
  <c r="J503" i="1"/>
  <c r="H504" i="1" a="1"/>
  <c r="H504" i="1"/>
  <c r="I504" i="1"/>
  <c r="J504" i="1"/>
  <c r="H505" i="1" a="1"/>
  <c r="H505" i="1"/>
  <c r="I505" i="1"/>
  <c r="J505" i="1"/>
  <c r="H506" i="1" a="1"/>
  <c r="H506" i="1"/>
  <c r="I506" i="1"/>
  <c r="J506"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4" i="1"/>
  <c r="G3" i="1" a="1"/>
  <c r="B4" i="1" a="1"/>
  <c r="G3" i="1" l="1"/>
  <c r="K54" i="1"/>
  <c r="K26" i="1"/>
  <c r="K29" i="1"/>
  <c r="K32" i="1"/>
  <c r="K39" i="1"/>
  <c r="K79" i="1"/>
  <c r="L79" i="1" s="1"/>
  <c r="K95" i="1"/>
  <c r="K9" i="1"/>
  <c r="K43" i="1"/>
  <c r="K62" i="1"/>
  <c r="K84" i="1"/>
  <c r="K100" i="1"/>
  <c r="K14" i="1"/>
  <c r="K20" i="1"/>
  <c r="K23" i="1"/>
  <c r="K34" i="1"/>
  <c r="K50" i="1"/>
  <c r="L50" i="1" s="1"/>
  <c r="K52" i="1"/>
  <c r="K60" i="1"/>
  <c r="K80" i="1"/>
  <c r="K96" i="1"/>
  <c r="K112" i="1"/>
  <c r="K6" i="1"/>
  <c r="K41" i="1"/>
  <c r="K109" i="1"/>
  <c r="K17" i="1"/>
  <c r="K5" i="1"/>
  <c r="K8" i="1"/>
  <c r="L8" i="1" s="1"/>
  <c r="K11" i="1"/>
  <c r="K36" i="1"/>
  <c r="L36" i="1" s="1"/>
  <c r="K46" i="1"/>
  <c r="L46" i="1" s="1"/>
  <c r="K48" i="1"/>
  <c r="L48" i="1" s="1"/>
  <c r="K55" i="1"/>
  <c r="K63" i="1"/>
  <c r="K66" i="1"/>
  <c r="L66" i="1" s="1"/>
  <c r="K75" i="1"/>
  <c r="K91" i="1"/>
  <c r="K126" i="1"/>
  <c r="K12" i="1"/>
  <c r="K25" i="1"/>
  <c r="K28" i="1"/>
  <c r="L28" i="1" s="1"/>
  <c r="K31" i="1"/>
  <c r="K38" i="1"/>
  <c r="K42" i="1"/>
  <c r="K44" i="1"/>
  <c r="L44" i="1" s="1"/>
  <c r="K58" i="1"/>
  <c r="L58" i="1" s="1"/>
  <c r="K76" i="1"/>
  <c r="K92" i="1"/>
  <c r="K103" i="1"/>
  <c r="K22" i="1"/>
  <c r="L22" i="1" s="1"/>
  <c r="K10" i="1"/>
  <c r="K13" i="1"/>
  <c r="L13" i="1" s="1"/>
  <c r="K16" i="1"/>
  <c r="K19" i="1"/>
  <c r="L19" i="1" s="1"/>
  <c r="K33" i="1"/>
  <c r="K40" i="1"/>
  <c r="L40" i="1" s="1"/>
  <c r="K67" i="1"/>
  <c r="L67" i="1" s="1"/>
  <c r="K71" i="1"/>
  <c r="L71" i="1" s="1"/>
  <c r="K87" i="1"/>
  <c r="L87" i="1" s="1"/>
  <c r="K15" i="1"/>
  <c r="K30" i="1"/>
  <c r="K49" i="1"/>
  <c r="K51" i="1"/>
  <c r="L51" i="1" s="1"/>
  <c r="K56" i="1"/>
  <c r="K64" i="1"/>
  <c r="K72" i="1"/>
  <c r="K88" i="1"/>
  <c r="K106" i="1"/>
  <c r="K4" i="1"/>
  <c r="K7" i="1"/>
  <c r="L7" i="1" s="1"/>
  <c r="K18" i="1"/>
  <c r="K21" i="1"/>
  <c r="K24" i="1"/>
  <c r="K27" i="1"/>
  <c r="K35" i="1"/>
  <c r="K37" i="1"/>
  <c r="K45" i="1"/>
  <c r="K47" i="1"/>
  <c r="K59" i="1"/>
  <c r="K68" i="1"/>
  <c r="K83" i="1"/>
  <c r="K99" i="1"/>
  <c r="K133" i="1"/>
  <c r="K140" i="1"/>
  <c r="K142" i="1"/>
  <c r="K149" i="1"/>
  <c r="K159" i="1"/>
  <c r="K162" i="1"/>
  <c r="K195" i="1"/>
  <c r="K123" i="1"/>
  <c r="L123" i="1" s="1"/>
  <c r="K166" i="1"/>
  <c r="K221" i="1"/>
  <c r="K70" i="1"/>
  <c r="L70" i="1" s="1"/>
  <c r="K74" i="1"/>
  <c r="K78" i="1"/>
  <c r="L78" i="1" s="1"/>
  <c r="K82" i="1"/>
  <c r="L82" i="1" s="1"/>
  <c r="K86" i="1"/>
  <c r="K90" i="1"/>
  <c r="L90" i="1" s="1"/>
  <c r="K94" i="1"/>
  <c r="K98" i="1"/>
  <c r="K102" i="1"/>
  <c r="L102" i="1" s="1"/>
  <c r="K111" i="1"/>
  <c r="K114" i="1"/>
  <c r="L114" i="1" s="1"/>
  <c r="K117" i="1"/>
  <c r="L117" i="1" s="1"/>
  <c r="K120" i="1"/>
  <c r="L120" i="1" s="1"/>
  <c r="K128" i="1"/>
  <c r="L128" i="1" s="1"/>
  <c r="K130" i="1"/>
  <c r="K137" i="1"/>
  <c r="K144" i="1"/>
  <c r="K146" i="1"/>
  <c r="K152" i="1"/>
  <c r="L152" i="1" s="1"/>
  <c r="K157" i="1"/>
  <c r="K198" i="1"/>
  <c r="K286" i="1"/>
  <c r="K105" i="1"/>
  <c r="L105" i="1" s="1"/>
  <c r="K108" i="1"/>
  <c r="L108" i="1" s="1"/>
  <c r="K150" i="1"/>
  <c r="K160" i="1"/>
  <c r="L160" i="1" s="1"/>
  <c r="K163" i="1"/>
  <c r="L163" i="1" s="1"/>
  <c r="K224" i="1"/>
  <c r="K238" i="1"/>
  <c r="K53" i="1"/>
  <c r="L53" i="1" s="1"/>
  <c r="K57" i="1"/>
  <c r="L57" i="1" s="1"/>
  <c r="K61" i="1"/>
  <c r="K65" i="1"/>
  <c r="L65" i="1" s="1"/>
  <c r="K69" i="1"/>
  <c r="K73" i="1"/>
  <c r="L73" i="1" s="1"/>
  <c r="K77" i="1"/>
  <c r="K81" i="1"/>
  <c r="K85" i="1"/>
  <c r="K89" i="1"/>
  <c r="L89" i="1" s="1"/>
  <c r="K93" i="1"/>
  <c r="K97" i="1"/>
  <c r="K101" i="1"/>
  <c r="K119" i="1"/>
  <c r="L119" i="1" s="1"/>
  <c r="K122" i="1"/>
  <c r="L122" i="1" s="1"/>
  <c r="K125" i="1"/>
  <c r="L125" i="1" s="1"/>
  <c r="K132" i="1"/>
  <c r="L132" i="1" s="1"/>
  <c r="K134" i="1"/>
  <c r="K141" i="1"/>
  <c r="L141" i="1" s="1"/>
  <c r="K148" i="1"/>
  <c r="L148" i="1" s="1"/>
  <c r="K153" i="1"/>
  <c r="K155" i="1"/>
  <c r="L155" i="1" s="1"/>
  <c r="K189" i="1"/>
  <c r="K107" i="1"/>
  <c r="K110" i="1"/>
  <c r="L110" i="1" s="1"/>
  <c r="K113" i="1"/>
  <c r="L113" i="1" s="1"/>
  <c r="K116" i="1"/>
  <c r="L116" i="1" s="1"/>
  <c r="K161" i="1"/>
  <c r="K181" i="1"/>
  <c r="K302" i="1"/>
  <c r="K104" i="1"/>
  <c r="L104" i="1" s="1"/>
  <c r="K129" i="1"/>
  <c r="L129" i="1" s="1"/>
  <c r="K136" i="1"/>
  <c r="L136" i="1" s="1"/>
  <c r="K138" i="1"/>
  <c r="K145" i="1"/>
  <c r="K156" i="1"/>
  <c r="K158" i="1"/>
  <c r="L158" i="1" s="1"/>
  <c r="K192" i="1"/>
  <c r="K115" i="1"/>
  <c r="K118" i="1"/>
  <c r="L118" i="1" s="1"/>
  <c r="K121" i="1"/>
  <c r="K124" i="1"/>
  <c r="K270" i="1"/>
  <c r="K151" i="1"/>
  <c r="K154" i="1"/>
  <c r="K177" i="1"/>
  <c r="L177" i="1" s="1"/>
  <c r="K180" i="1"/>
  <c r="K183" i="1"/>
  <c r="K186" i="1"/>
  <c r="K209" i="1"/>
  <c r="L209" i="1" s="1"/>
  <c r="K212" i="1"/>
  <c r="K215" i="1"/>
  <c r="K218" i="1"/>
  <c r="K233" i="1"/>
  <c r="K240" i="1"/>
  <c r="K261" i="1"/>
  <c r="L261" i="1" s="1"/>
  <c r="K127" i="1"/>
  <c r="K131" i="1"/>
  <c r="L131" i="1" s="1"/>
  <c r="K135" i="1"/>
  <c r="K139" i="1"/>
  <c r="K143" i="1"/>
  <c r="L143" i="1" s="1"/>
  <c r="K147" i="1"/>
  <c r="K165" i="1"/>
  <c r="L165" i="1" s="1"/>
  <c r="K168" i="1"/>
  <c r="L168" i="1" s="1"/>
  <c r="K171" i="1"/>
  <c r="L171" i="1" s="1"/>
  <c r="K174" i="1"/>
  <c r="L174" i="1" s="1"/>
  <c r="K197" i="1"/>
  <c r="L197" i="1" s="1"/>
  <c r="K200" i="1"/>
  <c r="L200" i="1" s="1"/>
  <c r="K203" i="1"/>
  <c r="L203" i="1" s="1"/>
  <c r="K206" i="1"/>
  <c r="L206" i="1" s="1"/>
  <c r="K226" i="1"/>
  <c r="K242" i="1"/>
  <c r="K250" i="1"/>
  <c r="K258" i="1"/>
  <c r="K266" i="1"/>
  <c r="K282" i="1"/>
  <c r="K298" i="1"/>
  <c r="K327" i="1"/>
  <c r="K333" i="1"/>
  <c r="K185" i="1"/>
  <c r="K188" i="1"/>
  <c r="L188" i="1" s="1"/>
  <c r="K191" i="1"/>
  <c r="K194" i="1"/>
  <c r="K217" i="1"/>
  <c r="K220" i="1"/>
  <c r="L220" i="1" s="1"/>
  <c r="K223" i="1"/>
  <c r="K228" i="1"/>
  <c r="K237" i="1"/>
  <c r="K244" i="1"/>
  <c r="K253" i="1"/>
  <c r="L253" i="1" s="1"/>
  <c r="K262" i="1"/>
  <c r="K334" i="1"/>
  <c r="K340" i="1"/>
  <c r="K173" i="1"/>
  <c r="K176" i="1"/>
  <c r="L176" i="1" s="1"/>
  <c r="K179" i="1"/>
  <c r="L179" i="1" s="1"/>
  <c r="K182" i="1"/>
  <c r="L182" i="1" s="1"/>
  <c r="K205" i="1"/>
  <c r="K208" i="1"/>
  <c r="L208" i="1" s="1"/>
  <c r="K211" i="1"/>
  <c r="L211" i="1" s="1"/>
  <c r="K214" i="1"/>
  <c r="L214" i="1" s="1"/>
  <c r="K230" i="1"/>
  <c r="K246" i="1"/>
  <c r="K278" i="1"/>
  <c r="K294" i="1"/>
  <c r="K164" i="1"/>
  <c r="K167" i="1"/>
  <c r="L167" i="1" s="1"/>
  <c r="K170" i="1"/>
  <c r="L170" i="1" s="1"/>
  <c r="K193" i="1"/>
  <c r="K196" i="1"/>
  <c r="K199" i="1"/>
  <c r="L199" i="1" s="1"/>
  <c r="K202" i="1"/>
  <c r="L202" i="1" s="1"/>
  <c r="K225" i="1"/>
  <c r="K232" i="1"/>
  <c r="L232" i="1" s="1"/>
  <c r="K241" i="1"/>
  <c r="K387" i="1"/>
  <c r="K445" i="1"/>
  <c r="K184" i="1"/>
  <c r="L184" i="1" s="1"/>
  <c r="K187" i="1"/>
  <c r="L187" i="1" s="1"/>
  <c r="K190" i="1"/>
  <c r="K213" i="1"/>
  <c r="K216" i="1"/>
  <c r="L216" i="1" s="1"/>
  <c r="K219" i="1"/>
  <c r="L219" i="1" s="1"/>
  <c r="K222" i="1"/>
  <c r="K234" i="1"/>
  <c r="K254" i="1"/>
  <c r="K274" i="1"/>
  <c r="K290" i="1"/>
  <c r="K306" i="1"/>
  <c r="K330" i="1"/>
  <c r="K336" i="1"/>
  <c r="K169" i="1"/>
  <c r="L169" i="1" s="1"/>
  <c r="K172" i="1"/>
  <c r="L172" i="1" s="1"/>
  <c r="K175" i="1"/>
  <c r="K178" i="1"/>
  <c r="K201" i="1"/>
  <c r="L201" i="1" s="1"/>
  <c r="K204" i="1"/>
  <c r="L204" i="1" s="1"/>
  <c r="K207" i="1"/>
  <c r="K210" i="1"/>
  <c r="K229" i="1"/>
  <c r="L229" i="1" s="1"/>
  <c r="K236" i="1"/>
  <c r="L236" i="1" s="1"/>
  <c r="K245" i="1"/>
  <c r="K249" i="1"/>
  <c r="K257" i="1"/>
  <c r="K331" i="1"/>
  <c r="K337" i="1"/>
  <c r="K227" i="1"/>
  <c r="K231" i="1"/>
  <c r="K235" i="1"/>
  <c r="L235" i="1" s="1"/>
  <c r="K239" i="1"/>
  <c r="L239" i="1" s="1"/>
  <c r="K243" i="1"/>
  <c r="K247" i="1"/>
  <c r="K251" i="1"/>
  <c r="K255" i="1"/>
  <c r="K259" i="1"/>
  <c r="K263" i="1"/>
  <c r="K267" i="1"/>
  <c r="K271" i="1"/>
  <c r="K275" i="1"/>
  <c r="K279" i="1"/>
  <c r="K283" i="1"/>
  <c r="K287" i="1"/>
  <c r="K291" i="1"/>
  <c r="K295" i="1"/>
  <c r="K299" i="1"/>
  <c r="K303" i="1"/>
  <c r="K307" i="1"/>
  <c r="K319" i="1"/>
  <c r="K322" i="1"/>
  <c r="K325" i="1"/>
  <c r="K328" i="1"/>
  <c r="K351" i="1"/>
  <c r="L351" i="1" s="1"/>
  <c r="K354" i="1"/>
  <c r="K357" i="1"/>
  <c r="K360" i="1"/>
  <c r="K366" i="1"/>
  <c r="K383" i="1"/>
  <c r="K435" i="1"/>
  <c r="K467" i="1"/>
  <c r="K310" i="1"/>
  <c r="L310" i="1" s="1"/>
  <c r="K313" i="1"/>
  <c r="K316" i="1"/>
  <c r="K339" i="1"/>
  <c r="K342" i="1"/>
  <c r="L342" i="1" s="1"/>
  <c r="K345" i="1"/>
  <c r="L345" i="1" s="1"/>
  <c r="K348" i="1"/>
  <c r="K362" i="1"/>
  <c r="L362" i="1" s="1"/>
  <c r="K371" i="1"/>
  <c r="K393" i="1"/>
  <c r="K409" i="1"/>
  <c r="K437" i="1"/>
  <c r="K469" i="1"/>
  <c r="K359" i="1"/>
  <c r="L359" i="1" s="1"/>
  <c r="K384" i="1"/>
  <c r="K403" i="1"/>
  <c r="K418" i="1"/>
  <c r="K427" i="1"/>
  <c r="K459" i="1"/>
  <c r="K472" i="1"/>
  <c r="K315" i="1"/>
  <c r="K318" i="1"/>
  <c r="K321" i="1"/>
  <c r="K324" i="1"/>
  <c r="K347" i="1"/>
  <c r="K350" i="1"/>
  <c r="K353" i="1"/>
  <c r="K356" i="1"/>
  <c r="K367" i="1"/>
  <c r="K380" i="1"/>
  <c r="K394" i="1"/>
  <c r="L394" i="1" s="1"/>
  <c r="K399" i="1"/>
  <c r="K411" i="1"/>
  <c r="K429" i="1"/>
  <c r="K461" i="1"/>
  <c r="K265" i="1"/>
  <c r="L265" i="1" s="1"/>
  <c r="K269" i="1"/>
  <c r="L269" i="1" s="1"/>
  <c r="K273" i="1"/>
  <c r="K277" i="1"/>
  <c r="L277" i="1" s="1"/>
  <c r="K281" i="1"/>
  <c r="L281" i="1" s="1"/>
  <c r="K285" i="1"/>
  <c r="L285" i="1" s="1"/>
  <c r="K289" i="1"/>
  <c r="L289" i="1" s="1"/>
  <c r="K293" i="1"/>
  <c r="K297" i="1"/>
  <c r="L297" i="1" s="1"/>
  <c r="K301" i="1"/>
  <c r="K305" i="1"/>
  <c r="K309" i="1"/>
  <c r="L309" i="1" s="1"/>
  <c r="K312" i="1"/>
  <c r="L312" i="1" s="1"/>
  <c r="K335" i="1"/>
  <c r="K338" i="1"/>
  <c r="L338" i="1" s="1"/>
  <c r="K341" i="1"/>
  <c r="L341" i="1" s="1"/>
  <c r="K344" i="1"/>
  <c r="L344" i="1" s="1"/>
  <c r="K363" i="1"/>
  <c r="K390" i="1"/>
  <c r="K420" i="1"/>
  <c r="L420" i="1" s="1"/>
  <c r="K451" i="1"/>
  <c r="K479" i="1"/>
  <c r="K323" i="1"/>
  <c r="L323" i="1" s="1"/>
  <c r="K326" i="1"/>
  <c r="K329" i="1"/>
  <c r="L329" i="1" s="1"/>
  <c r="K332" i="1"/>
  <c r="K355" i="1"/>
  <c r="L355" i="1" s="1"/>
  <c r="K358" i="1"/>
  <c r="K375" i="1"/>
  <c r="K400" i="1"/>
  <c r="K453" i="1"/>
  <c r="L453" i="1" s="1"/>
  <c r="K484" i="1"/>
  <c r="K248" i="1"/>
  <c r="L248" i="1" s="1"/>
  <c r="K252" i="1"/>
  <c r="L252" i="1" s="1"/>
  <c r="K256" i="1"/>
  <c r="L256" i="1" s="1"/>
  <c r="K260" i="1"/>
  <c r="L260" i="1" s="1"/>
  <c r="K264" i="1"/>
  <c r="L264" i="1" s="1"/>
  <c r="K268" i="1"/>
  <c r="K272" i="1"/>
  <c r="L272" i="1" s="1"/>
  <c r="K276" i="1"/>
  <c r="K280" i="1"/>
  <c r="L280" i="1" s="1"/>
  <c r="K284" i="1"/>
  <c r="K288" i="1"/>
  <c r="L288" i="1" s="1"/>
  <c r="K292" i="1"/>
  <c r="K296" i="1"/>
  <c r="L296" i="1" s="1"/>
  <c r="K300" i="1"/>
  <c r="K304" i="1"/>
  <c r="L304" i="1" s="1"/>
  <c r="K308" i="1"/>
  <c r="K311" i="1"/>
  <c r="L311" i="1" s="1"/>
  <c r="K314" i="1"/>
  <c r="K317" i="1"/>
  <c r="K320" i="1"/>
  <c r="L320" i="1" s="1"/>
  <c r="K343" i="1"/>
  <c r="L343" i="1" s="1"/>
  <c r="K346" i="1"/>
  <c r="K349" i="1"/>
  <c r="K352" i="1"/>
  <c r="L352" i="1" s="1"/>
  <c r="K406" i="1"/>
  <c r="K443" i="1"/>
  <c r="K496" i="1"/>
  <c r="K361" i="1"/>
  <c r="L361" i="1" s="1"/>
  <c r="K365" i="1"/>
  <c r="L365" i="1" s="1"/>
  <c r="K369" i="1"/>
  <c r="L369" i="1" s="1"/>
  <c r="K373" i="1"/>
  <c r="K377" i="1"/>
  <c r="K385" i="1"/>
  <c r="L385" i="1" s="1"/>
  <c r="K392" i="1"/>
  <c r="K401" i="1"/>
  <c r="K405" i="1"/>
  <c r="K407" i="1"/>
  <c r="L407" i="1" s="1"/>
  <c r="K422" i="1"/>
  <c r="K424" i="1"/>
  <c r="K432" i="1"/>
  <c r="L432" i="1" s="1"/>
  <c r="K440" i="1"/>
  <c r="K448" i="1"/>
  <c r="L448" i="1" s="1"/>
  <c r="K456" i="1"/>
  <c r="K464" i="1"/>
  <c r="K476" i="1"/>
  <c r="K480" i="1"/>
  <c r="K364" i="1"/>
  <c r="L364" i="1" s="1"/>
  <c r="K368" i="1"/>
  <c r="K372" i="1"/>
  <c r="L372" i="1" s="1"/>
  <c r="K376" i="1"/>
  <c r="K389" i="1"/>
  <c r="K396" i="1"/>
  <c r="K414" i="1"/>
  <c r="K416" i="1"/>
  <c r="L416" i="1" s="1"/>
  <c r="K430" i="1"/>
  <c r="L430" i="1" s="1"/>
  <c r="K438" i="1"/>
  <c r="L438" i="1" s="1"/>
  <c r="K446" i="1"/>
  <c r="L446" i="1" s="1"/>
  <c r="K454" i="1"/>
  <c r="K462" i="1"/>
  <c r="K470" i="1"/>
  <c r="K491" i="1"/>
  <c r="L491" i="1" s="1"/>
  <c r="K500" i="1"/>
  <c r="K379" i="1"/>
  <c r="K382" i="1"/>
  <c r="L382" i="1" s="1"/>
  <c r="K391" i="1"/>
  <c r="K398" i="1"/>
  <c r="L398" i="1" s="1"/>
  <c r="K410" i="1"/>
  <c r="K412" i="1"/>
  <c r="L412" i="1" s="1"/>
  <c r="K425" i="1"/>
  <c r="L425" i="1" s="1"/>
  <c r="K433" i="1"/>
  <c r="K441" i="1"/>
  <c r="L441" i="1" s="1"/>
  <c r="K449" i="1"/>
  <c r="K457" i="1"/>
  <c r="L457" i="1" s="1"/>
  <c r="K465" i="1"/>
  <c r="K492" i="1"/>
  <c r="L492" i="1" s="1"/>
  <c r="K408" i="1"/>
  <c r="L408" i="1" s="1"/>
  <c r="K421" i="1"/>
  <c r="L421" i="1" s="1"/>
  <c r="K423" i="1"/>
  <c r="L423" i="1" s="1"/>
  <c r="K428" i="1"/>
  <c r="K436" i="1"/>
  <c r="L436" i="1" s="1"/>
  <c r="K444" i="1"/>
  <c r="K452" i="1"/>
  <c r="L452" i="1" s="1"/>
  <c r="K460" i="1"/>
  <c r="K468" i="1"/>
  <c r="L468" i="1" s="1"/>
  <c r="K474" i="1"/>
  <c r="L474" i="1" s="1"/>
  <c r="K487" i="1"/>
  <c r="K386" i="1"/>
  <c r="L386" i="1" s="1"/>
  <c r="K395" i="1"/>
  <c r="L395" i="1" s="1"/>
  <c r="K402" i="1"/>
  <c r="L402" i="1" s="1"/>
  <c r="K404" i="1"/>
  <c r="L404" i="1" s="1"/>
  <c r="K417" i="1"/>
  <c r="K419" i="1"/>
  <c r="K431" i="1"/>
  <c r="K439" i="1"/>
  <c r="L439" i="1" s="1"/>
  <c r="K447" i="1"/>
  <c r="K455" i="1"/>
  <c r="L455" i="1" s="1"/>
  <c r="K463" i="1"/>
  <c r="K471" i="1"/>
  <c r="L471" i="1" s="1"/>
  <c r="K478" i="1"/>
  <c r="K488" i="1"/>
  <c r="K504" i="1"/>
  <c r="K370" i="1"/>
  <c r="L370" i="1" s="1"/>
  <c r="K374" i="1"/>
  <c r="L374" i="1" s="1"/>
  <c r="K378" i="1"/>
  <c r="L378" i="1" s="1"/>
  <c r="K381" i="1"/>
  <c r="L381" i="1" s="1"/>
  <c r="K388" i="1"/>
  <c r="K397" i="1"/>
  <c r="K413" i="1"/>
  <c r="L413" i="1" s="1"/>
  <c r="K415" i="1"/>
  <c r="K426" i="1"/>
  <c r="L426" i="1" s="1"/>
  <c r="K434" i="1"/>
  <c r="K442" i="1"/>
  <c r="L442" i="1" s="1"/>
  <c r="K450" i="1"/>
  <c r="K458" i="1"/>
  <c r="L458" i="1" s="1"/>
  <c r="K466" i="1"/>
  <c r="K475" i="1"/>
  <c r="L475" i="1" s="1"/>
  <c r="K483" i="1"/>
  <c r="K495" i="1"/>
  <c r="L495" i="1" s="1"/>
  <c r="K499" i="1"/>
  <c r="K503" i="1"/>
  <c r="K482" i="1"/>
  <c r="K486" i="1"/>
  <c r="L486" i="1" s="1"/>
  <c r="K490" i="1"/>
  <c r="L490" i="1" s="1"/>
  <c r="K494" i="1"/>
  <c r="K498" i="1"/>
  <c r="K502" i="1"/>
  <c r="K506" i="1"/>
  <c r="K473" i="1"/>
  <c r="K477" i="1"/>
  <c r="L477" i="1" s="1"/>
  <c r="K481" i="1"/>
  <c r="L481" i="1" s="1"/>
  <c r="K485" i="1"/>
  <c r="K489" i="1"/>
  <c r="L489" i="1" s="1"/>
  <c r="K493" i="1"/>
  <c r="K497" i="1"/>
  <c r="L497" i="1" s="1"/>
  <c r="K501" i="1"/>
  <c r="K505" i="1"/>
  <c r="L505" i="1" s="1"/>
  <c r="B4" i="1"/>
  <c r="C4" i="1"/>
  <c r="D4" i="1"/>
  <c r="B5" i="1" a="1"/>
  <c r="L493" i="1" l="1"/>
  <c r="L463" i="1"/>
  <c r="L376" i="1"/>
  <c r="L373" i="1"/>
  <c r="L388" i="1"/>
  <c r="L350" i="1"/>
  <c r="L318" i="1"/>
  <c r="L290" i="1"/>
  <c r="L225" i="1"/>
  <c r="L193" i="1"/>
  <c r="L223" i="1"/>
  <c r="L191" i="1"/>
  <c r="L93" i="1"/>
  <c r="L77" i="1"/>
  <c r="L61" i="1"/>
  <c r="L111" i="1"/>
  <c r="L35" i="1"/>
  <c r="L38" i="1"/>
  <c r="L473" i="1"/>
  <c r="L494" i="1"/>
  <c r="L483" i="1"/>
  <c r="L450" i="1"/>
  <c r="L415" i="1"/>
  <c r="L488" i="1"/>
  <c r="L419" i="1"/>
  <c r="L449" i="1"/>
  <c r="L391" i="1"/>
  <c r="L470" i="1"/>
  <c r="L480" i="1"/>
  <c r="L456" i="1"/>
  <c r="L424" i="1"/>
  <c r="L300" i="1"/>
  <c r="L284" i="1"/>
  <c r="L268" i="1"/>
  <c r="L479" i="1"/>
  <c r="L293" i="1"/>
  <c r="L380" i="1"/>
  <c r="L347" i="1"/>
  <c r="L315" i="1"/>
  <c r="L243" i="1"/>
  <c r="L227" i="1"/>
  <c r="L249" i="1"/>
  <c r="L234" i="1"/>
  <c r="L230" i="1"/>
  <c r="L205" i="1"/>
  <c r="L173" i="1"/>
  <c r="L127" i="1"/>
  <c r="L233" i="1"/>
  <c r="L124" i="1"/>
  <c r="L86" i="1"/>
  <c r="L55" i="1"/>
  <c r="L478" i="1"/>
  <c r="L460" i="1"/>
  <c r="L462" i="1"/>
  <c r="L368" i="1"/>
  <c r="L451" i="1"/>
  <c r="L335" i="1"/>
  <c r="L305" i="1"/>
  <c r="L273" i="1"/>
  <c r="L210" i="1"/>
  <c r="L178" i="1"/>
  <c r="L244" i="1"/>
  <c r="L139" i="1"/>
  <c r="L145" i="1"/>
  <c r="L98" i="1"/>
  <c r="L25" i="1"/>
  <c r="L52" i="1"/>
  <c r="L485" i="1"/>
  <c r="L447" i="1"/>
  <c r="L428" i="1"/>
  <c r="L487" i="1"/>
  <c r="L332" i="1"/>
  <c r="L348" i="1"/>
  <c r="L316" i="1"/>
  <c r="L207" i="1"/>
  <c r="L175" i="1"/>
  <c r="L222" i="1"/>
  <c r="L190" i="1"/>
  <c r="L115" i="1"/>
  <c r="L107" i="1"/>
  <c r="L101" i="1"/>
  <c r="L85" i="1"/>
  <c r="L69" i="1"/>
  <c r="L144" i="1"/>
  <c r="L83" i="1"/>
  <c r="L24" i="1"/>
  <c r="L15" i="1"/>
  <c r="L75" i="1"/>
  <c r="L11" i="1"/>
  <c r="L20" i="1"/>
  <c r="L501" i="1"/>
  <c r="L502" i="1"/>
  <c r="L466" i="1"/>
  <c r="L434" i="1"/>
  <c r="L465" i="1"/>
  <c r="L433" i="1"/>
  <c r="L500" i="1"/>
  <c r="L454" i="1"/>
  <c r="L476" i="1"/>
  <c r="L440" i="1"/>
  <c r="L377" i="1"/>
  <c r="L308" i="1"/>
  <c r="L292" i="1"/>
  <c r="L276" i="1"/>
  <c r="L484" i="1"/>
  <c r="L301" i="1"/>
  <c r="L427" i="1"/>
  <c r="L313" i="1"/>
  <c r="L299" i="1"/>
  <c r="L283" i="1"/>
  <c r="L267" i="1"/>
  <c r="L251" i="1"/>
  <c r="L237" i="1"/>
  <c r="L135" i="1"/>
  <c r="L94" i="1"/>
  <c r="L166" i="1"/>
  <c r="L21" i="1"/>
  <c r="L4" i="1"/>
  <c r="L16" i="1"/>
  <c r="L306" i="1"/>
  <c r="L431" i="1"/>
  <c r="L444" i="1"/>
  <c r="L464" i="1"/>
  <c r="L353" i="1"/>
  <c r="L321" i="1"/>
  <c r="L196" i="1"/>
  <c r="L164" i="1"/>
  <c r="L228" i="1"/>
  <c r="L194" i="1"/>
  <c r="L147" i="1"/>
  <c r="L137" i="1"/>
  <c r="L74" i="1"/>
  <c r="L37" i="1"/>
  <c r="L498" i="1"/>
  <c r="L403" i="1"/>
  <c r="L469" i="1"/>
  <c r="L339" i="1"/>
  <c r="L467" i="1"/>
  <c r="L354" i="1"/>
  <c r="L322" i="1"/>
  <c r="L295" i="1"/>
  <c r="L279" i="1"/>
  <c r="L263" i="1"/>
  <c r="L247" i="1"/>
  <c r="L231" i="1"/>
  <c r="L257" i="1"/>
  <c r="L213" i="1"/>
  <c r="L445" i="1"/>
  <c r="L246" i="1"/>
  <c r="L240" i="1"/>
  <c r="L212" i="1"/>
  <c r="L180" i="1"/>
  <c r="L270" i="1"/>
  <c r="L189" i="1"/>
  <c r="L224" i="1"/>
  <c r="L157" i="1"/>
  <c r="L162" i="1"/>
  <c r="L49" i="1"/>
  <c r="L33" i="1"/>
  <c r="L10" i="1"/>
  <c r="L42" i="1"/>
  <c r="L126" i="1"/>
  <c r="L63" i="1"/>
  <c r="L17" i="1"/>
  <c r="L34" i="1"/>
  <c r="L100" i="1"/>
  <c r="L95" i="1"/>
  <c r="L482" i="1"/>
  <c r="L504" i="1"/>
  <c r="L401" i="1"/>
  <c r="L443" i="1"/>
  <c r="L319" i="1"/>
  <c r="L387" i="1"/>
  <c r="L262" i="1"/>
  <c r="L250" i="1"/>
  <c r="L156" i="1"/>
  <c r="L302" i="1"/>
  <c r="L159" i="1"/>
  <c r="L133" i="1"/>
  <c r="L59" i="1"/>
  <c r="L88" i="1"/>
  <c r="L76" i="1"/>
  <c r="L84" i="1"/>
  <c r="L390" i="1"/>
  <c r="L461" i="1"/>
  <c r="L437" i="1"/>
  <c r="L435" i="1"/>
  <c r="L307" i="1"/>
  <c r="L291" i="1"/>
  <c r="L275" i="1"/>
  <c r="L259" i="1"/>
  <c r="L298" i="1"/>
  <c r="L130" i="1"/>
  <c r="L31" i="1"/>
  <c r="L6" i="1"/>
  <c r="L60" i="1"/>
  <c r="L62" i="1"/>
  <c r="L32" i="1"/>
  <c r="L503" i="1"/>
  <c r="L417" i="1"/>
  <c r="L396" i="1"/>
  <c r="L422" i="1"/>
  <c r="L392" i="1"/>
  <c r="L406" i="1"/>
  <c r="L349" i="1"/>
  <c r="L317" i="1"/>
  <c r="L400" i="1"/>
  <c r="L367" i="1"/>
  <c r="L472" i="1"/>
  <c r="L384" i="1"/>
  <c r="L409" i="1"/>
  <c r="L245" i="1"/>
  <c r="L274" i="1"/>
  <c r="L217" i="1"/>
  <c r="L185" i="1"/>
  <c r="L242" i="1"/>
  <c r="L121" i="1"/>
  <c r="L286" i="1"/>
  <c r="L149" i="1"/>
  <c r="L99" i="1"/>
  <c r="L47" i="1"/>
  <c r="L72" i="1"/>
  <c r="L91" i="1"/>
  <c r="L109" i="1"/>
  <c r="L112" i="1"/>
  <c r="L29" i="1"/>
  <c r="L410" i="1"/>
  <c r="L346" i="1"/>
  <c r="L314" i="1"/>
  <c r="L363" i="1"/>
  <c r="L429" i="1"/>
  <c r="L459" i="1"/>
  <c r="L383" i="1"/>
  <c r="L303" i="1"/>
  <c r="L287" i="1"/>
  <c r="L271" i="1"/>
  <c r="L255" i="1"/>
  <c r="L337" i="1"/>
  <c r="L336" i="1"/>
  <c r="L294" i="1"/>
  <c r="L282" i="1"/>
  <c r="L181" i="1"/>
  <c r="L134" i="1"/>
  <c r="L150" i="1"/>
  <c r="L198" i="1"/>
  <c r="L146" i="1"/>
  <c r="L221" i="1"/>
  <c r="L195" i="1"/>
  <c r="L45" i="1"/>
  <c r="L27" i="1"/>
  <c r="L64" i="1"/>
  <c r="L30" i="1"/>
  <c r="L96" i="1"/>
  <c r="L23" i="1"/>
  <c r="L43" i="1"/>
  <c r="L26" i="1"/>
  <c r="L506" i="1"/>
  <c r="L499" i="1"/>
  <c r="L379" i="1"/>
  <c r="L389" i="1"/>
  <c r="L375" i="1"/>
  <c r="L393" i="1"/>
  <c r="L366" i="1"/>
  <c r="L331" i="1"/>
  <c r="L330" i="1"/>
  <c r="L241" i="1"/>
  <c r="L340" i="1"/>
  <c r="L226" i="1"/>
  <c r="L142" i="1"/>
  <c r="L411" i="1"/>
  <c r="L360" i="1"/>
  <c r="L328" i="1"/>
  <c r="L278" i="1"/>
  <c r="L334" i="1"/>
  <c r="L333" i="1"/>
  <c r="L266" i="1"/>
  <c r="L218" i="1"/>
  <c r="L186" i="1"/>
  <c r="L154" i="1"/>
  <c r="L138" i="1"/>
  <c r="L161" i="1"/>
  <c r="L153" i="1"/>
  <c r="L140" i="1"/>
  <c r="L56" i="1"/>
  <c r="L103" i="1"/>
  <c r="L80" i="1"/>
  <c r="L14" i="1"/>
  <c r="L9" i="1"/>
  <c r="L397" i="1"/>
  <c r="L414" i="1"/>
  <c r="L405" i="1"/>
  <c r="L496" i="1"/>
  <c r="L358" i="1"/>
  <c r="L326" i="1"/>
  <c r="L399" i="1"/>
  <c r="L356" i="1"/>
  <c r="L324" i="1"/>
  <c r="L418" i="1"/>
  <c r="L371" i="1"/>
  <c r="L357" i="1"/>
  <c r="L325" i="1"/>
  <c r="L254" i="1"/>
  <c r="L327" i="1"/>
  <c r="L258" i="1"/>
  <c r="L215" i="1"/>
  <c r="L183" i="1"/>
  <c r="L151" i="1"/>
  <c r="L192" i="1"/>
  <c r="L97" i="1"/>
  <c r="L81" i="1"/>
  <c r="L238" i="1"/>
  <c r="L68" i="1"/>
  <c r="L18" i="1"/>
  <c r="L106" i="1"/>
  <c r="L92" i="1"/>
  <c r="L12" i="1"/>
  <c r="L5" i="1"/>
  <c r="L41" i="1"/>
  <c r="L39" i="1"/>
  <c r="L54" i="1"/>
  <c r="B5" i="1"/>
  <c r="C5" i="1"/>
  <c r="D5" i="1"/>
  <c r="B6" i="1" a="1"/>
  <c r="B6" i="1"/>
  <c r="C6" i="1"/>
  <c r="D6" i="1"/>
  <c r="B7" i="1" a="1"/>
  <c r="B7" i="1"/>
  <c r="C7" i="1"/>
  <c r="D7" i="1"/>
  <c r="B8" i="1" a="1"/>
  <c r="B8" i="1"/>
  <c r="C8" i="1"/>
  <c r="D8" i="1"/>
  <c r="B9" i="1" a="1"/>
  <c r="B9" i="1"/>
  <c r="C9" i="1"/>
  <c r="D9" i="1"/>
  <c r="B10" i="1" a="1"/>
  <c r="B10" i="1"/>
  <c r="C10" i="1"/>
  <c r="D10" i="1"/>
  <c r="B11" i="1" a="1"/>
  <c r="B11" i="1"/>
  <c r="C11" i="1"/>
  <c r="D11" i="1"/>
  <c r="B12" i="1" a="1"/>
  <c r="B12" i="1"/>
  <c r="C12" i="1"/>
  <c r="D12" i="1"/>
  <c r="B13" i="1" a="1"/>
  <c r="B13" i="1"/>
  <c r="C13" i="1"/>
  <c r="D13" i="1"/>
  <c r="B14" i="1" a="1"/>
  <c r="B14" i="1"/>
  <c r="C14" i="1"/>
  <c r="D14" i="1"/>
  <c r="B15" i="1" a="1"/>
  <c r="B15" i="1"/>
  <c r="C15" i="1"/>
  <c r="D15" i="1"/>
  <c r="B16" i="1" a="1"/>
  <c r="B16" i="1"/>
  <c r="C16" i="1"/>
  <c r="D16" i="1"/>
  <c r="B17" i="1" a="1"/>
  <c r="B17" i="1"/>
  <c r="C17" i="1"/>
  <c r="D17" i="1"/>
  <c r="B18" i="1" a="1"/>
  <c r="B18" i="1"/>
  <c r="C18" i="1"/>
  <c r="D18" i="1"/>
  <c r="B19" i="1" a="1"/>
  <c r="B19" i="1"/>
  <c r="C19" i="1"/>
  <c r="D19" i="1"/>
  <c r="B20" i="1" a="1"/>
  <c r="B20" i="1"/>
  <c r="C20" i="1"/>
  <c r="D20" i="1"/>
  <c r="B21" i="1" a="1"/>
  <c r="B21" i="1"/>
  <c r="C21" i="1"/>
  <c r="D21" i="1"/>
  <c r="B22" i="1" a="1"/>
  <c r="B22" i="1"/>
  <c r="C22" i="1"/>
  <c r="D22" i="1"/>
  <c r="B23" i="1" a="1"/>
  <c r="B23" i="1"/>
  <c r="C23" i="1"/>
  <c r="D23" i="1"/>
  <c r="B24" i="1" a="1"/>
  <c r="B24" i="1"/>
  <c r="C24" i="1"/>
  <c r="D24" i="1"/>
  <c r="B25" i="1" a="1"/>
  <c r="B25" i="1"/>
  <c r="C25" i="1"/>
  <c r="D25" i="1"/>
  <c r="B26" i="1" a="1"/>
  <c r="B26" i="1"/>
  <c r="C26" i="1"/>
  <c r="D26" i="1"/>
  <c r="B27" i="1" a="1"/>
  <c r="B27" i="1"/>
  <c r="C27" i="1"/>
  <c r="D27" i="1"/>
  <c r="B28" i="1" a="1"/>
  <c r="B28" i="1"/>
  <c r="C28" i="1"/>
  <c r="D28" i="1"/>
  <c r="B29" i="1" a="1"/>
  <c r="B29" i="1"/>
  <c r="C29" i="1"/>
  <c r="D29" i="1"/>
  <c r="B30" i="1" a="1"/>
  <c r="B30" i="1"/>
  <c r="C30" i="1"/>
  <c r="D30" i="1"/>
  <c r="B31" i="1" a="1"/>
  <c r="B31" i="1"/>
  <c r="C31" i="1"/>
  <c r="D31" i="1"/>
  <c r="B32" i="1" a="1"/>
  <c r="B32" i="1"/>
  <c r="C32" i="1"/>
  <c r="D32" i="1"/>
  <c r="B33" i="1" a="1"/>
  <c r="B33" i="1"/>
  <c r="C33" i="1"/>
  <c r="D33" i="1"/>
  <c r="B34" i="1" a="1"/>
  <c r="B34" i="1"/>
  <c r="C34" i="1"/>
  <c r="D34" i="1"/>
  <c r="B35" i="1" a="1"/>
  <c r="B35" i="1"/>
  <c r="C35" i="1"/>
  <c r="D35" i="1"/>
  <c r="B36" i="1" a="1"/>
  <c r="B36" i="1"/>
  <c r="C36" i="1"/>
  <c r="D36" i="1"/>
  <c r="B37" i="1" a="1"/>
  <c r="B37" i="1"/>
  <c r="C37" i="1"/>
  <c r="D37" i="1"/>
  <c r="B38" i="1" a="1"/>
  <c r="B38" i="1"/>
  <c r="C38" i="1"/>
  <c r="D38" i="1"/>
  <c r="B39" i="1" a="1"/>
  <c r="B39" i="1"/>
  <c r="C39" i="1"/>
  <c r="D39" i="1"/>
  <c r="B40" i="1" a="1"/>
  <c r="B40" i="1"/>
  <c r="C40" i="1"/>
  <c r="D40" i="1"/>
  <c r="B41" i="1" a="1"/>
  <c r="B41" i="1"/>
  <c r="C41" i="1"/>
  <c r="D41" i="1"/>
  <c r="B42" i="1" a="1"/>
  <c r="B42" i="1"/>
  <c r="C42" i="1"/>
  <c r="D42" i="1"/>
  <c r="B43" i="1" a="1"/>
  <c r="B43" i="1"/>
  <c r="C43" i="1"/>
  <c r="D43" i="1"/>
  <c r="B44" i="1" a="1"/>
  <c r="B44" i="1"/>
  <c r="C44" i="1"/>
  <c r="D44" i="1"/>
  <c r="B45" i="1" a="1"/>
  <c r="B45" i="1"/>
  <c r="C45" i="1"/>
  <c r="D45" i="1"/>
  <c r="B46" i="1" a="1"/>
  <c r="B46" i="1"/>
  <c r="C46" i="1"/>
  <c r="D46" i="1"/>
  <c r="B47" i="1" a="1"/>
  <c r="B47" i="1"/>
  <c r="C47" i="1"/>
  <c r="D47" i="1"/>
  <c r="B48" i="1" a="1"/>
  <c r="B48" i="1"/>
  <c r="C48" i="1"/>
  <c r="D48" i="1"/>
  <c r="B49" i="1" a="1"/>
  <c r="B49" i="1"/>
  <c r="C49" i="1"/>
  <c r="D49" i="1"/>
  <c r="B50" i="1" a="1"/>
  <c r="B50" i="1"/>
  <c r="C50" i="1"/>
  <c r="D50" i="1"/>
  <c r="B51" i="1" a="1"/>
  <c r="B51" i="1"/>
  <c r="C51" i="1"/>
  <c r="D51" i="1"/>
  <c r="B52" i="1" a="1"/>
  <c r="B52" i="1"/>
  <c r="C52" i="1"/>
  <c r="D52" i="1"/>
  <c r="B53" i="1" a="1"/>
  <c r="B53" i="1"/>
  <c r="C53" i="1"/>
  <c r="D53" i="1"/>
  <c r="B54" i="1" a="1"/>
  <c r="B54" i="1"/>
  <c r="C54" i="1"/>
  <c r="D54" i="1"/>
  <c r="B55" i="1" a="1"/>
  <c r="B55" i="1"/>
  <c r="C55" i="1"/>
  <c r="D55" i="1"/>
  <c r="B56" i="1" a="1"/>
  <c r="B56" i="1"/>
  <c r="C56" i="1"/>
  <c r="D56" i="1"/>
  <c r="B57" i="1" a="1"/>
  <c r="B57" i="1"/>
  <c r="C57" i="1"/>
  <c r="D57" i="1"/>
  <c r="B58" i="1" a="1"/>
  <c r="B58" i="1"/>
  <c r="C58" i="1"/>
  <c r="D58" i="1"/>
  <c r="B59" i="1" a="1"/>
  <c r="B59" i="1"/>
  <c r="C59" i="1"/>
  <c r="D59" i="1"/>
  <c r="B60" i="1" a="1"/>
  <c r="B60" i="1"/>
  <c r="C60" i="1"/>
  <c r="D60" i="1"/>
  <c r="B61" i="1" a="1"/>
  <c r="B61" i="1"/>
  <c r="C61" i="1"/>
  <c r="D61" i="1"/>
  <c r="B62" i="1" a="1"/>
  <c r="B62" i="1"/>
  <c r="C62" i="1"/>
  <c r="D62" i="1"/>
  <c r="B63" i="1" a="1"/>
  <c r="B63" i="1"/>
  <c r="C63" i="1"/>
  <c r="D63" i="1"/>
  <c r="B64" i="1" a="1"/>
  <c r="B64" i="1"/>
  <c r="C64" i="1"/>
  <c r="D64" i="1"/>
  <c r="B65" i="1" a="1"/>
  <c r="B65" i="1"/>
  <c r="C65" i="1"/>
  <c r="D65" i="1"/>
  <c r="B66" i="1" a="1"/>
  <c r="B66" i="1"/>
  <c r="C66" i="1"/>
  <c r="D66" i="1"/>
  <c r="B67" i="1" a="1"/>
  <c r="B67" i="1"/>
  <c r="C67" i="1"/>
  <c r="D67" i="1"/>
  <c r="B68" i="1" a="1"/>
  <c r="B68" i="1"/>
  <c r="C68" i="1"/>
  <c r="D68" i="1"/>
  <c r="B69" i="1" a="1"/>
  <c r="B69" i="1"/>
  <c r="C69" i="1"/>
  <c r="D69" i="1"/>
  <c r="B70" i="1" a="1"/>
  <c r="B70" i="1"/>
  <c r="C70" i="1"/>
  <c r="D70" i="1"/>
  <c r="B71" i="1" a="1"/>
  <c r="B71" i="1"/>
  <c r="C71" i="1"/>
  <c r="D71" i="1"/>
  <c r="B72" i="1" a="1"/>
  <c r="B72" i="1"/>
  <c r="C72" i="1"/>
  <c r="D72" i="1"/>
  <c r="B73" i="1" a="1"/>
  <c r="B73" i="1"/>
  <c r="C73" i="1"/>
  <c r="D73" i="1"/>
  <c r="B74" i="1" a="1"/>
  <c r="B74" i="1"/>
  <c r="C74" i="1"/>
  <c r="D74" i="1"/>
  <c r="B75" i="1" a="1"/>
  <c r="B75" i="1"/>
  <c r="C75" i="1"/>
  <c r="D75" i="1"/>
  <c r="B76" i="1" a="1"/>
  <c r="B76" i="1"/>
  <c r="C76" i="1"/>
  <c r="D76" i="1"/>
  <c r="B77" i="1" a="1"/>
  <c r="B77" i="1"/>
  <c r="C77" i="1"/>
  <c r="D77" i="1"/>
  <c r="B78" i="1" a="1"/>
  <c r="B78" i="1"/>
  <c r="C78" i="1"/>
  <c r="D78" i="1"/>
  <c r="B79" i="1" a="1"/>
  <c r="B79" i="1"/>
  <c r="C79" i="1"/>
  <c r="D79" i="1"/>
  <c r="B80" i="1" a="1"/>
  <c r="B80" i="1"/>
  <c r="C80" i="1"/>
  <c r="D80" i="1"/>
  <c r="B81" i="1" a="1"/>
  <c r="B81" i="1"/>
  <c r="C81" i="1"/>
  <c r="D81" i="1"/>
  <c r="B82" i="1" a="1"/>
  <c r="B82" i="1"/>
  <c r="C82" i="1"/>
  <c r="D82" i="1"/>
  <c r="B83" i="1" a="1"/>
  <c r="B83" i="1"/>
  <c r="C83" i="1"/>
  <c r="D83" i="1"/>
  <c r="B84" i="1" a="1"/>
  <c r="B84" i="1"/>
  <c r="C84" i="1"/>
  <c r="D84" i="1"/>
  <c r="B85" i="1" a="1"/>
  <c r="B85" i="1"/>
  <c r="C85" i="1"/>
  <c r="D85" i="1"/>
  <c r="B86" i="1" a="1"/>
  <c r="B86" i="1"/>
  <c r="C86" i="1"/>
  <c r="D86" i="1"/>
  <c r="B87" i="1" a="1"/>
  <c r="B87" i="1"/>
  <c r="C87" i="1"/>
  <c r="D87" i="1"/>
  <c r="B88" i="1" a="1"/>
  <c r="B88" i="1"/>
  <c r="C88" i="1"/>
  <c r="D88" i="1"/>
  <c r="B89" i="1" a="1"/>
  <c r="B89" i="1"/>
  <c r="C89" i="1"/>
  <c r="D89" i="1"/>
  <c r="B90" i="1" a="1"/>
  <c r="B90" i="1"/>
  <c r="C90" i="1"/>
  <c r="D90" i="1"/>
  <c r="B91" i="1" a="1"/>
  <c r="B91" i="1"/>
  <c r="C91" i="1"/>
  <c r="D91" i="1"/>
  <c r="B92" i="1" a="1"/>
  <c r="B92" i="1"/>
  <c r="C92" i="1"/>
  <c r="D92" i="1"/>
  <c r="B93" i="1" a="1"/>
  <c r="B93" i="1"/>
  <c r="C93" i="1"/>
  <c r="D93" i="1"/>
  <c r="B94" i="1" a="1"/>
  <c r="B94" i="1"/>
  <c r="C94" i="1"/>
  <c r="D94" i="1"/>
  <c r="B95" i="1" a="1"/>
  <c r="B95" i="1"/>
  <c r="C95" i="1"/>
  <c r="D95" i="1"/>
  <c r="B96" i="1" a="1"/>
  <c r="B96" i="1"/>
  <c r="C96" i="1"/>
  <c r="D96" i="1"/>
  <c r="B97" i="1" a="1"/>
  <c r="B97" i="1"/>
  <c r="C97" i="1"/>
  <c r="D97" i="1"/>
  <c r="B98" i="1" a="1"/>
  <c r="B98" i="1"/>
  <c r="C98" i="1"/>
  <c r="D98" i="1"/>
  <c r="B99" i="1" a="1"/>
  <c r="B99" i="1"/>
  <c r="C99" i="1"/>
  <c r="D99" i="1"/>
  <c r="B100" i="1" a="1"/>
  <c r="B100" i="1"/>
  <c r="C100" i="1"/>
  <c r="D100" i="1"/>
  <c r="B101" i="1" a="1"/>
  <c r="B101" i="1"/>
  <c r="C101" i="1"/>
  <c r="D101" i="1"/>
  <c r="B102" i="1" a="1"/>
  <c r="B102" i="1"/>
  <c r="C102" i="1"/>
  <c r="D102" i="1"/>
  <c r="B103" i="1" a="1"/>
  <c r="B103" i="1"/>
  <c r="C103" i="1"/>
  <c r="D103" i="1"/>
  <c r="B104" i="1" a="1"/>
  <c r="B104" i="1"/>
  <c r="C104" i="1"/>
  <c r="D104" i="1"/>
  <c r="B105" i="1" a="1"/>
  <c r="B105" i="1"/>
  <c r="C105" i="1"/>
  <c r="D105" i="1"/>
  <c r="B106" i="1" a="1"/>
  <c r="B106" i="1"/>
  <c r="C106" i="1"/>
  <c r="D106" i="1"/>
  <c r="B107" i="1" a="1"/>
  <c r="B107" i="1"/>
  <c r="C107" i="1"/>
  <c r="D107" i="1"/>
  <c r="B108" i="1" a="1"/>
  <c r="B108" i="1"/>
  <c r="C108" i="1"/>
  <c r="D108" i="1"/>
  <c r="B109" i="1" a="1"/>
  <c r="B109" i="1"/>
  <c r="C109" i="1"/>
  <c r="D109" i="1"/>
  <c r="B110" i="1" a="1"/>
  <c r="B110" i="1"/>
  <c r="C110" i="1"/>
  <c r="D110" i="1"/>
  <c r="B111" i="1" a="1"/>
  <c r="B111" i="1"/>
  <c r="C111" i="1"/>
  <c r="D111" i="1"/>
  <c r="B112" i="1" a="1"/>
  <c r="B112" i="1"/>
  <c r="C112" i="1"/>
  <c r="D112" i="1"/>
  <c r="B113" i="1" a="1"/>
  <c r="B113" i="1"/>
  <c r="C113" i="1"/>
  <c r="D113" i="1"/>
  <c r="B114" i="1" a="1"/>
  <c r="B114" i="1"/>
  <c r="C114" i="1"/>
  <c r="D114" i="1"/>
  <c r="B115" i="1" a="1"/>
  <c r="B115" i="1"/>
  <c r="C115" i="1"/>
  <c r="D115" i="1"/>
  <c r="B116" i="1" a="1"/>
  <c r="B116" i="1"/>
  <c r="C116" i="1"/>
  <c r="D116" i="1"/>
  <c r="B117" i="1" a="1"/>
  <c r="B117" i="1"/>
  <c r="C117" i="1"/>
  <c r="D117" i="1"/>
  <c r="B118" i="1" a="1"/>
  <c r="B118" i="1"/>
  <c r="C118" i="1"/>
  <c r="D118" i="1"/>
  <c r="B119" i="1" a="1"/>
  <c r="B119" i="1"/>
  <c r="C119" i="1"/>
  <c r="D119" i="1"/>
  <c r="B120" i="1" a="1"/>
  <c r="B120" i="1"/>
  <c r="C120" i="1"/>
  <c r="D120" i="1"/>
  <c r="B121" i="1" a="1"/>
  <c r="B121" i="1"/>
  <c r="C121" i="1"/>
  <c r="D121" i="1"/>
  <c r="B122" i="1" a="1"/>
  <c r="B122" i="1"/>
  <c r="C122" i="1"/>
  <c r="D122" i="1"/>
  <c r="B123" i="1" a="1"/>
  <c r="B123" i="1"/>
  <c r="C123" i="1"/>
  <c r="D123" i="1"/>
  <c r="B124" i="1" a="1"/>
  <c r="B124" i="1"/>
  <c r="C124" i="1"/>
  <c r="D124" i="1"/>
  <c r="B125" i="1" a="1"/>
  <c r="B125" i="1"/>
  <c r="C125" i="1"/>
  <c r="D125" i="1"/>
  <c r="B126" i="1" a="1"/>
  <c r="B126" i="1"/>
  <c r="C126" i="1"/>
  <c r="D126" i="1"/>
  <c r="B127" i="1" a="1"/>
  <c r="B127" i="1"/>
  <c r="C127" i="1"/>
  <c r="D127" i="1"/>
  <c r="B128" i="1" a="1"/>
  <c r="B128" i="1"/>
  <c r="C128" i="1"/>
  <c r="D128" i="1"/>
  <c r="B129" i="1" a="1"/>
  <c r="B129" i="1"/>
  <c r="C129" i="1"/>
  <c r="D129" i="1"/>
  <c r="B130" i="1" a="1"/>
  <c r="B130" i="1"/>
  <c r="C130" i="1"/>
  <c r="D130" i="1"/>
  <c r="B131" i="1" a="1"/>
  <c r="B131" i="1"/>
  <c r="C131" i="1"/>
  <c r="D131" i="1"/>
  <c r="B132" i="1" a="1"/>
  <c r="B132" i="1"/>
  <c r="C132" i="1"/>
  <c r="D132" i="1"/>
  <c r="B133" i="1" a="1"/>
  <c r="B133" i="1"/>
  <c r="C133" i="1"/>
  <c r="D133" i="1"/>
  <c r="B134" i="1" a="1"/>
  <c r="B134" i="1"/>
  <c r="C134" i="1"/>
  <c r="D134" i="1"/>
  <c r="B135" i="1" a="1"/>
  <c r="B135" i="1"/>
  <c r="C135" i="1"/>
  <c r="D135" i="1"/>
  <c r="B136" i="1" a="1"/>
  <c r="B136" i="1"/>
  <c r="C136" i="1"/>
  <c r="D136" i="1"/>
  <c r="B137" i="1" a="1"/>
  <c r="B137" i="1"/>
  <c r="C137" i="1"/>
  <c r="D137" i="1"/>
  <c r="B138" i="1" a="1"/>
  <c r="B138" i="1"/>
  <c r="C138" i="1"/>
  <c r="D138" i="1"/>
  <c r="B139" i="1" a="1"/>
  <c r="B139" i="1"/>
  <c r="C139" i="1"/>
  <c r="D139" i="1"/>
  <c r="B140" i="1" a="1"/>
  <c r="B140" i="1"/>
  <c r="C140" i="1"/>
  <c r="D140" i="1"/>
  <c r="B141" i="1" a="1"/>
  <c r="B141" i="1"/>
  <c r="C141" i="1"/>
  <c r="D141" i="1"/>
  <c r="B142" i="1" a="1"/>
  <c r="B142" i="1"/>
  <c r="C142" i="1"/>
  <c r="D142" i="1"/>
  <c r="B143" i="1" a="1"/>
  <c r="B143" i="1"/>
  <c r="C143" i="1"/>
  <c r="D143" i="1"/>
  <c r="B144" i="1" a="1"/>
  <c r="B144" i="1"/>
  <c r="C144" i="1"/>
  <c r="D144" i="1"/>
  <c r="B145" i="1" a="1"/>
  <c r="B145" i="1"/>
  <c r="C145" i="1"/>
  <c r="D145" i="1"/>
  <c r="B146" i="1" a="1"/>
  <c r="B146" i="1"/>
  <c r="C146" i="1"/>
  <c r="D146" i="1"/>
  <c r="B147" i="1" a="1"/>
  <c r="B147" i="1"/>
  <c r="C147" i="1"/>
  <c r="D147" i="1"/>
  <c r="B148" i="1" a="1"/>
  <c r="B148" i="1"/>
  <c r="C148" i="1"/>
  <c r="D148" i="1"/>
  <c r="B149" i="1" a="1"/>
  <c r="B149" i="1"/>
  <c r="C149" i="1"/>
  <c r="D149" i="1"/>
  <c r="B150" i="1" a="1"/>
  <c r="B150" i="1"/>
  <c r="C150" i="1"/>
  <c r="D150" i="1"/>
  <c r="B151" i="1" a="1"/>
  <c r="B151" i="1"/>
  <c r="C151" i="1"/>
  <c r="D151" i="1"/>
  <c r="B152" i="1" a="1"/>
  <c r="B152" i="1"/>
  <c r="C152" i="1"/>
  <c r="D152" i="1"/>
  <c r="B153" i="1" a="1"/>
  <c r="B153" i="1"/>
  <c r="C153" i="1"/>
  <c r="D153" i="1"/>
  <c r="B154" i="1" a="1"/>
  <c r="B154" i="1"/>
  <c r="C154" i="1"/>
  <c r="D154" i="1"/>
  <c r="B155" i="1" a="1"/>
  <c r="B155" i="1"/>
  <c r="C155" i="1"/>
  <c r="D155" i="1"/>
  <c r="B156" i="1" a="1"/>
  <c r="B156" i="1"/>
  <c r="C156" i="1"/>
  <c r="D156" i="1"/>
  <c r="B157" i="1" a="1"/>
  <c r="B157" i="1"/>
  <c r="C157" i="1"/>
  <c r="D157" i="1"/>
  <c r="B158" i="1" a="1"/>
  <c r="B158" i="1"/>
  <c r="C158" i="1"/>
  <c r="D158" i="1"/>
  <c r="B159" i="1" a="1"/>
  <c r="B159" i="1"/>
  <c r="C159" i="1"/>
  <c r="D159" i="1"/>
  <c r="B160" i="1" a="1"/>
  <c r="B160" i="1"/>
  <c r="C160" i="1"/>
  <c r="D160" i="1"/>
  <c r="B161" i="1" a="1"/>
  <c r="B161" i="1"/>
  <c r="C161" i="1"/>
  <c r="D161" i="1"/>
  <c r="B162" i="1" a="1"/>
  <c r="B162" i="1"/>
  <c r="C162" i="1"/>
  <c r="D162" i="1"/>
  <c r="B163" i="1" a="1"/>
  <c r="B163" i="1"/>
  <c r="C163" i="1"/>
  <c r="D163" i="1"/>
  <c r="B164" i="1" a="1"/>
  <c r="B164" i="1"/>
  <c r="C164" i="1"/>
  <c r="D164" i="1"/>
  <c r="B165" i="1" a="1"/>
  <c r="B165" i="1"/>
  <c r="C165" i="1"/>
  <c r="D165" i="1"/>
  <c r="B166" i="1" a="1"/>
  <c r="B166" i="1"/>
  <c r="C166" i="1"/>
  <c r="D166" i="1"/>
  <c r="B167" i="1" a="1"/>
  <c r="B167" i="1"/>
  <c r="C167" i="1"/>
  <c r="D167" i="1"/>
  <c r="B168" i="1" a="1"/>
  <c r="B168" i="1"/>
  <c r="C168" i="1"/>
  <c r="D168" i="1"/>
  <c r="B169" i="1" a="1"/>
  <c r="B169" i="1"/>
  <c r="C169" i="1"/>
  <c r="D169" i="1"/>
  <c r="B170" i="1" a="1"/>
  <c r="B170" i="1"/>
  <c r="C170" i="1"/>
  <c r="D170" i="1"/>
  <c r="B171" i="1" a="1"/>
  <c r="B171" i="1"/>
  <c r="C171" i="1"/>
  <c r="D171" i="1"/>
  <c r="B172" i="1" a="1"/>
  <c r="B172" i="1"/>
  <c r="C172" i="1"/>
  <c r="D172" i="1"/>
  <c r="B173" i="1" a="1"/>
  <c r="B173" i="1"/>
  <c r="C173" i="1"/>
  <c r="D173" i="1"/>
  <c r="B174" i="1" a="1"/>
  <c r="B174" i="1"/>
  <c r="C174" i="1"/>
  <c r="D174" i="1"/>
  <c r="B175" i="1" a="1"/>
  <c r="B175" i="1"/>
  <c r="C175" i="1"/>
  <c r="D175" i="1"/>
  <c r="B176" i="1" a="1"/>
  <c r="B176" i="1"/>
  <c r="C176" i="1"/>
  <c r="D176" i="1"/>
  <c r="B177" i="1" a="1"/>
  <c r="B177" i="1"/>
  <c r="C177" i="1"/>
  <c r="D177" i="1"/>
  <c r="B178" i="1" a="1"/>
  <c r="B178" i="1"/>
  <c r="C178" i="1"/>
  <c r="D178" i="1"/>
  <c r="B179" i="1" a="1"/>
  <c r="B179" i="1"/>
  <c r="C179" i="1"/>
  <c r="D179" i="1"/>
  <c r="B180" i="1" a="1"/>
  <c r="B180" i="1"/>
  <c r="C180" i="1"/>
  <c r="D180" i="1"/>
  <c r="B181" i="1" a="1"/>
  <c r="B181" i="1"/>
  <c r="C181" i="1"/>
  <c r="D181" i="1"/>
  <c r="B182" i="1" a="1"/>
  <c r="B182" i="1"/>
  <c r="C182" i="1"/>
  <c r="D182" i="1"/>
  <c r="B183" i="1" a="1"/>
  <c r="B183" i="1"/>
  <c r="C183" i="1"/>
  <c r="D183" i="1"/>
  <c r="B184" i="1" a="1"/>
  <c r="B184" i="1"/>
  <c r="C184" i="1"/>
  <c r="D184" i="1"/>
  <c r="B185" i="1" a="1"/>
  <c r="B185" i="1"/>
  <c r="C185" i="1"/>
  <c r="D185" i="1"/>
  <c r="B186" i="1" a="1"/>
  <c r="B186" i="1"/>
  <c r="C186" i="1"/>
  <c r="D186" i="1"/>
  <c r="B187" i="1" a="1"/>
  <c r="B187" i="1"/>
  <c r="C187" i="1"/>
  <c r="D187" i="1"/>
  <c r="B188" i="1" a="1"/>
  <c r="B188" i="1"/>
  <c r="C188" i="1"/>
  <c r="D188" i="1"/>
  <c r="B189" i="1" a="1"/>
  <c r="B189" i="1"/>
  <c r="C189" i="1"/>
  <c r="D189" i="1"/>
  <c r="B190" i="1" a="1"/>
  <c r="B190" i="1"/>
  <c r="C190" i="1"/>
  <c r="D190" i="1"/>
  <c r="B191" i="1" a="1"/>
  <c r="B191" i="1"/>
  <c r="C191" i="1"/>
  <c r="D191" i="1"/>
  <c r="B192" i="1" a="1"/>
  <c r="B192" i="1"/>
  <c r="C192" i="1"/>
  <c r="D192" i="1"/>
  <c r="B193" i="1" a="1"/>
  <c r="B193" i="1"/>
  <c r="C193" i="1"/>
  <c r="D193" i="1"/>
  <c r="B194" i="1" a="1"/>
  <c r="B194" i="1"/>
  <c r="C194" i="1"/>
  <c r="D194" i="1"/>
  <c r="B195" i="1" a="1"/>
  <c r="B195" i="1"/>
  <c r="C195" i="1"/>
  <c r="D195" i="1"/>
  <c r="B196" i="1" a="1"/>
  <c r="B196" i="1"/>
  <c r="C196" i="1"/>
  <c r="D196" i="1"/>
  <c r="B197" i="1" a="1"/>
  <c r="B197" i="1"/>
  <c r="C197" i="1"/>
  <c r="D197" i="1"/>
  <c r="B198" i="1" a="1"/>
  <c r="B198" i="1"/>
  <c r="C198" i="1"/>
  <c r="D198" i="1"/>
  <c r="B199" i="1" a="1"/>
  <c r="B199" i="1"/>
  <c r="C199" i="1"/>
  <c r="D199" i="1"/>
  <c r="B200" i="1" a="1"/>
  <c r="B200" i="1"/>
  <c r="C200" i="1"/>
  <c r="D200" i="1"/>
  <c r="B201" i="1" a="1"/>
  <c r="B201" i="1"/>
  <c r="C201" i="1"/>
  <c r="D201" i="1"/>
  <c r="B202" i="1" a="1"/>
  <c r="B202" i="1"/>
  <c r="C202" i="1"/>
  <c r="D202" i="1"/>
  <c r="B203" i="1" a="1"/>
  <c r="B203" i="1"/>
  <c r="C203" i="1"/>
  <c r="D203" i="1"/>
  <c r="B204" i="1" a="1"/>
  <c r="B204" i="1"/>
  <c r="C204" i="1"/>
  <c r="D204" i="1"/>
  <c r="B205" i="1" a="1"/>
  <c r="B205" i="1"/>
  <c r="C205" i="1"/>
  <c r="D205" i="1"/>
  <c r="B206" i="1" a="1"/>
  <c r="B206" i="1"/>
  <c r="C206" i="1"/>
  <c r="D206" i="1"/>
  <c r="B207" i="1" a="1"/>
  <c r="B207" i="1"/>
  <c r="C207" i="1"/>
  <c r="D207" i="1"/>
  <c r="B208" i="1" a="1"/>
  <c r="B208" i="1"/>
  <c r="C208" i="1"/>
  <c r="D208" i="1"/>
  <c r="B209" i="1" a="1"/>
  <c r="B209" i="1"/>
  <c r="C209" i="1"/>
  <c r="D209" i="1"/>
  <c r="B210" i="1" a="1"/>
  <c r="B210" i="1"/>
  <c r="C210" i="1"/>
  <c r="D210" i="1"/>
  <c r="B211" i="1" a="1"/>
  <c r="B211" i="1"/>
  <c r="C211" i="1"/>
  <c r="D211" i="1"/>
  <c r="B212" i="1" a="1"/>
  <c r="B212" i="1"/>
  <c r="C212" i="1"/>
  <c r="D212" i="1"/>
  <c r="B213" i="1" a="1"/>
  <c r="B213" i="1"/>
  <c r="C213" i="1"/>
  <c r="D213" i="1"/>
  <c r="B214" i="1" a="1"/>
  <c r="B214" i="1"/>
  <c r="C214" i="1"/>
  <c r="D214" i="1"/>
  <c r="B215" i="1" a="1"/>
  <c r="B215" i="1"/>
  <c r="C215" i="1"/>
  <c r="D215" i="1"/>
  <c r="B216" i="1" a="1"/>
  <c r="B216" i="1"/>
  <c r="C216" i="1"/>
  <c r="D216" i="1"/>
  <c r="B217" i="1" a="1"/>
  <c r="B217" i="1"/>
  <c r="C217" i="1"/>
  <c r="D217" i="1"/>
  <c r="B218" i="1" a="1"/>
  <c r="B218" i="1"/>
  <c r="C218" i="1"/>
  <c r="D218" i="1"/>
  <c r="B219" i="1" a="1"/>
  <c r="B219" i="1"/>
  <c r="C219" i="1"/>
  <c r="D219" i="1"/>
  <c r="B220" i="1" a="1"/>
  <c r="B220" i="1"/>
  <c r="C220" i="1"/>
  <c r="D220" i="1"/>
  <c r="B221" i="1" a="1"/>
  <c r="B221" i="1"/>
  <c r="C221" i="1"/>
  <c r="D221" i="1"/>
  <c r="B222" i="1" a="1"/>
  <c r="B222" i="1"/>
  <c r="C222" i="1"/>
  <c r="D222" i="1"/>
  <c r="B223" i="1" a="1"/>
  <c r="B223" i="1"/>
  <c r="C223" i="1"/>
  <c r="D223" i="1"/>
  <c r="B224" i="1" a="1"/>
  <c r="B224" i="1"/>
  <c r="C224" i="1"/>
  <c r="D224" i="1"/>
  <c r="B225" i="1" a="1"/>
  <c r="B225" i="1"/>
  <c r="C225" i="1"/>
  <c r="D225" i="1"/>
  <c r="B226" i="1" a="1"/>
  <c r="B226" i="1"/>
  <c r="C226" i="1"/>
  <c r="D226" i="1"/>
  <c r="B227" i="1" a="1"/>
  <c r="B227" i="1"/>
  <c r="C227" i="1"/>
  <c r="D227" i="1"/>
  <c r="B228" i="1" a="1"/>
  <c r="B228" i="1"/>
  <c r="C228" i="1"/>
  <c r="D228" i="1"/>
  <c r="B229" i="1" a="1"/>
  <c r="B229" i="1"/>
  <c r="C229" i="1"/>
  <c r="D229" i="1"/>
  <c r="B230" i="1" a="1"/>
  <c r="B230" i="1"/>
  <c r="C230" i="1"/>
  <c r="D230" i="1"/>
  <c r="B231" i="1" a="1"/>
  <c r="B231" i="1"/>
  <c r="C231" i="1"/>
  <c r="D231" i="1"/>
  <c r="B232" i="1" a="1"/>
  <c r="B232" i="1"/>
  <c r="C232" i="1"/>
  <c r="D232" i="1"/>
  <c r="B233" i="1" a="1"/>
  <c r="B233" i="1"/>
  <c r="C233" i="1"/>
  <c r="D233" i="1"/>
  <c r="B234" i="1" a="1"/>
  <c r="B234" i="1"/>
  <c r="C234" i="1"/>
  <c r="D234" i="1"/>
  <c r="B235" i="1" a="1"/>
  <c r="B235" i="1"/>
  <c r="C235" i="1"/>
  <c r="D235" i="1"/>
  <c r="B236" i="1" a="1"/>
  <c r="B236" i="1"/>
  <c r="C236" i="1"/>
  <c r="D236" i="1"/>
  <c r="B237" i="1" a="1"/>
  <c r="B237" i="1"/>
  <c r="C237" i="1"/>
  <c r="D237" i="1"/>
  <c r="B238" i="1" a="1"/>
  <c r="B238" i="1"/>
  <c r="C238" i="1"/>
  <c r="D238" i="1"/>
  <c r="B239" i="1" a="1"/>
  <c r="B239" i="1"/>
  <c r="C239" i="1"/>
  <c r="D239" i="1"/>
  <c r="B240" i="1" a="1"/>
  <c r="B240" i="1"/>
  <c r="C240" i="1"/>
  <c r="D240" i="1"/>
  <c r="B241" i="1" a="1"/>
  <c r="B241" i="1"/>
  <c r="C241" i="1"/>
  <c r="D241" i="1"/>
  <c r="B242" i="1" a="1"/>
  <c r="B242" i="1"/>
  <c r="C242" i="1"/>
  <c r="D242" i="1"/>
  <c r="B243" i="1" a="1"/>
  <c r="B243" i="1"/>
  <c r="C243" i="1"/>
  <c r="D243" i="1"/>
  <c r="B244" i="1" a="1"/>
  <c r="B244" i="1"/>
  <c r="C244" i="1"/>
  <c r="D244" i="1"/>
  <c r="B245" i="1" a="1"/>
  <c r="B245" i="1"/>
  <c r="C245" i="1"/>
  <c r="D245" i="1"/>
  <c r="B246" i="1" a="1"/>
  <c r="B246" i="1"/>
  <c r="C246" i="1"/>
  <c r="D246" i="1"/>
  <c r="B247" i="1" a="1"/>
  <c r="B247" i="1"/>
  <c r="C247" i="1"/>
  <c r="D247" i="1"/>
  <c r="B248" i="1" a="1"/>
  <c r="B248" i="1"/>
  <c r="C248" i="1"/>
  <c r="D248" i="1"/>
  <c r="B249" i="1" a="1"/>
  <c r="B249" i="1"/>
  <c r="C249" i="1"/>
  <c r="D249" i="1"/>
  <c r="B250" i="1" a="1"/>
  <c r="B250" i="1"/>
  <c r="C250" i="1"/>
  <c r="D250" i="1"/>
  <c r="B251" i="1" a="1"/>
  <c r="B251" i="1"/>
  <c r="C251" i="1"/>
  <c r="D251" i="1"/>
  <c r="B252" i="1" a="1"/>
  <c r="B252" i="1"/>
  <c r="C252" i="1"/>
  <c r="D252" i="1"/>
  <c r="B253" i="1" a="1"/>
  <c r="B253" i="1"/>
  <c r="C253" i="1"/>
  <c r="D253" i="1"/>
  <c r="B254" i="1" a="1"/>
  <c r="B254" i="1"/>
  <c r="C254" i="1"/>
  <c r="D254" i="1"/>
  <c r="B255" i="1" a="1"/>
  <c r="B255" i="1"/>
  <c r="C255" i="1"/>
  <c r="D255" i="1"/>
  <c r="B256" i="1" a="1"/>
  <c r="B256" i="1"/>
  <c r="C256" i="1"/>
  <c r="D256" i="1"/>
  <c r="B257" i="1" a="1"/>
  <c r="B257" i="1"/>
  <c r="C257" i="1"/>
  <c r="D257" i="1"/>
  <c r="B258" i="1" a="1"/>
  <c r="B258" i="1"/>
  <c r="C258" i="1"/>
  <c r="D258" i="1"/>
  <c r="B259" i="1" a="1"/>
  <c r="B259" i="1"/>
  <c r="C259" i="1"/>
  <c r="D259" i="1"/>
  <c r="B260" i="1" a="1"/>
  <c r="B260" i="1"/>
  <c r="C260" i="1"/>
  <c r="D260" i="1"/>
  <c r="B261" i="1" a="1"/>
  <c r="B261" i="1"/>
  <c r="C261" i="1"/>
  <c r="D261" i="1"/>
  <c r="B262" i="1" a="1"/>
  <c r="B262" i="1"/>
  <c r="C262" i="1"/>
  <c r="D262" i="1"/>
  <c r="B263" i="1" a="1"/>
  <c r="B263" i="1"/>
  <c r="C263" i="1"/>
  <c r="D263" i="1"/>
  <c r="B264" i="1" a="1"/>
  <c r="B264" i="1"/>
  <c r="C264" i="1"/>
  <c r="D264" i="1"/>
  <c r="B265" i="1" a="1"/>
  <c r="B265" i="1"/>
  <c r="C265" i="1"/>
  <c r="D265" i="1"/>
  <c r="B266" i="1" a="1"/>
  <c r="B266" i="1"/>
  <c r="C266" i="1"/>
  <c r="D266" i="1"/>
  <c r="B267" i="1" a="1"/>
  <c r="B267" i="1"/>
  <c r="C267" i="1"/>
  <c r="D267" i="1"/>
  <c r="B268" i="1" a="1"/>
  <c r="B268" i="1"/>
  <c r="C268" i="1"/>
  <c r="D268" i="1"/>
  <c r="B269" i="1" a="1"/>
  <c r="B269" i="1"/>
  <c r="C269" i="1"/>
  <c r="D269" i="1"/>
  <c r="B270" i="1" a="1"/>
  <c r="B270" i="1"/>
  <c r="C270" i="1"/>
  <c r="D270" i="1"/>
  <c r="B271" i="1" a="1"/>
  <c r="B271" i="1"/>
  <c r="C271" i="1"/>
  <c r="D271" i="1"/>
  <c r="B272" i="1" a="1"/>
  <c r="B272" i="1"/>
  <c r="C272" i="1"/>
  <c r="D272" i="1"/>
  <c r="B273" i="1" a="1"/>
  <c r="B273" i="1"/>
  <c r="C273" i="1"/>
  <c r="D273" i="1"/>
  <c r="B274" i="1" a="1"/>
  <c r="B274" i="1"/>
  <c r="C274" i="1"/>
  <c r="D274" i="1"/>
  <c r="B275" i="1" a="1"/>
  <c r="B275" i="1"/>
  <c r="C275" i="1"/>
  <c r="D275" i="1"/>
  <c r="B276" i="1" a="1"/>
  <c r="B276" i="1"/>
  <c r="C276" i="1"/>
  <c r="D276" i="1"/>
  <c r="B277" i="1" a="1"/>
  <c r="B277" i="1"/>
  <c r="C277" i="1"/>
  <c r="D277" i="1"/>
  <c r="B278" i="1" a="1"/>
  <c r="B278" i="1"/>
  <c r="C278" i="1"/>
  <c r="D278" i="1"/>
  <c r="B279" i="1" a="1"/>
  <c r="B279" i="1"/>
  <c r="C279" i="1"/>
  <c r="D279" i="1"/>
  <c r="B280" i="1" a="1"/>
  <c r="B280" i="1"/>
  <c r="C280" i="1"/>
  <c r="D280" i="1"/>
  <c r="B281" i="1" a="1"/>
  <c r="B281" i="1"/>
  <c r="C281" i="1"/>
  <c r="D281" i="1"/>
  <c r="B282" i="1" a="1"/>
  <c r="B282" i="1"/>
  <c r="C282" i="1"/>
  <c r="D282" i="1"/>
  <c r="B283" i="1" a="1"/>
  <c r="B283" i="1"/>
  <c r="C283" i="1"/>
  <c r="D283" i="1"/>
  <c r="B284" i="1" a="1"/>
  <c r="B284" i="1"/>
  <c r="C284" i="1"/>
  <c r="D284" i="1"/>
  <c r="B285" i="1" a="1"/>
  <c r="B285" i="1"/>
  <c r="C285" i="1"/>
  <c r="D285" i="1"/>
  <c r="B286" i="1" a="1"/>
  <c r="B286" i="1"/>
  <c r="C286" i="1"/>
  <c r="D286" i="1"/>
  <c r="B287" i="1" a="1"/>
  <c r="B287" i="1"/>
  <c r="C287" i="1"/>
  <c r="D287" i="1"/>
  <c r="B288" i="1" a="1"/>
  <c r="B288" i="1"/>
  <c r="C288" i="1"/>
  <c r="D288" i="1"/>
  <c r="B289" i="1" a="1"/>
  <c r="B289" i="1"/>
  <c r="C289" i="1"/>
  <c r="D289" i="1"/>
  <c r="B290" i="1" a="1"/>
  <c r="B290" i="1"/>
  <c r="C290" i="1"/>
  <c r="D290" i="1"/>
  <c r="B291" i="1" a="1"/>
  <c r="B291" i="1"/>
  <c r="C291" i="1"/>
  <c r="D291" i="1"/>
  <c r="B292" i="1" a="1"/>
  <c r="B292" i="1"/>
  <c r="C292" i="1"/>
  <c r="D292" i="1"/>
  <c r="B293" i="1" a="1"/>
  <c r="B293" i="1"/>
  <c r="C293" i="1"/>
  <c r="D293" i="1"/>
  <c r="B294" i="1" a="1"/>
  <c r="B294" i="1"/>
  <c r="C294" i="1"/>
  <c r="D294" i="1"/>
  <c r="B295" i="1" a="1"/>
  <c r="B295" i="1"/>
  <c r="C295" i="1"/>
  <c r="D295" i="1"/>
  <c r="B296" i="1" a="1"/>
  <c r="B296" i="1"/>
  <c r="C296" i="1"/>
  <c r="D296" i="1"/>
  <c r="B297" i="1" a="1"/>
  <c r="B297" i="1"/>
  <c r="C297" i="1"/>
  <c r="D297" i="1"/>
  <c r="B298" i="1" a="1"/>
  <c r="B298" i="1"/>
  <c r="C298" i="1"/>
  <c r="D298" i="1"/>
  <c r="B299" i="1" a="1"/>
  <c r="B299" i="1"/>
  <c r="C299" i="1"/>
  <c r="D299" i="1"/>
  <c r="B300" i="1" a="1"/>
  <c r="B300" i="1"/>
  <c r="C300" i="1"/>
  <c r="D300" i="1"/>
  <c r="B301" i="1" a="1"/>
  <c r="B301" i="1"/>
  <c r="C301" i="1"/>
  <c r="D301" i="1"/>
  <c r="B302" i="1" a="1"/>
  <c r="B302" i="1"/>
  <c r="C302" i="1"/>
  <c r="D302" i="1"/>
  <c r="B303" i="1" a="1"/>
  <c r="B303" i="1"/>
  <c r="C303" i="1"/>
  <c r="D303" i="1"/>
  <c r="B304" i="1" a="1"/>
  <c r="B304" i="1"/>
  <c r="C304" i="1"/>
  <c r="D304" i="1"/>
  <c r="B305" i="1" a="1"/>
  <c r="B305" i="1"/>
  <c r="C305" i="1"/>
  <c r="D305" i="1"/>
  <c r="B306" i="1" a="1"/>
  <c r="B306" i="1"/>
  <c r="C306" i="1"/>
  <c r="D306" i="1"/>
  <c r="B307" i="1" a="1"/>
  <c r="B307" i="1"/>
  <c r="C307" i="1"/>
  <c r="D307" i="1"/>
  <c r="B308" i="1" a="1"/>
  <c r="B308" i="1"/>
  <c r="C308" i="1"/>
  <c r="D308" i="1"/>
  <c r="B309" i="1" a="1"/>
  <c r="B309" i="1"/>
  <c r="C309" i="1"/>
  <c r="D309" i="1"/>
  <c r="B310" i="1" a="1"/>
  <c r="B310" i="1"/>
  <c r="C310" i="1"/>
  <c r="D310" i="1"/>
  <c r="B311" i="1" a="1"/>
  <c r="B311" i="1"/>
  <c r="C311" i="1"/>
  <c r="D311" i="1"/>
  <c r="B312" i="1" a="1"/>
  <c r="B312" i="1"/>
  <c r="C312" i="1"/>
  <c r="D312" i="1"/>
  <c r="B313" i="1" a="1"/>
  <c r="B313" i="1"/>
  <c r="C313" i="1"/>
  <c r="D313" i="1"/>
  <c r="B314" i="1" a="1"/>
  <c r="B314" i="1"/>
  <c r="C314" i="1"/>
  <c r="D314" i="1"/>
  <c r="B315" i="1" a="1"/>
  <c r="B315" i="1"/>
  <c r="C315" i="1"/>
  <c r="D315" i="1"/>
  <c r="B316" i="1" a="1"/>
  <c r="B316" i="1"/>
  <c r="C316" i="1"/>
  <c r="D316" i="1"/>
  <c r="B317" i="1" a="1"/>
  <c r="B317" i="1"/>
  <c r="C317" i="1"/>
  <c r="D317" i="1"/>
  <c r="B318" i="1" a="1"/>
  <c r="B318" i="1"/>
  <c r="C318" i="1"/>
  <c r="D318" i="1"/>
  <c r="B319" i="1" a="1"/>
  <c r="B319" i="1"/>
  <c r="C319" i="1"/>
  <c r="D319" i="1"/>
  <c r="B320" i="1" a="1"/>
  <c r="B320" i="1"/>
  <c r="C320" i="1"/>
  <c r="D320" i="1"/>
  <c r="B321" i="1" a="1"/>
  <c r="B321" i="1"/>
  <c r="C321" i="1"/>
  <c r="D321" i="1"/>
  <c r="B322" i="1" a="1"/>
  <c r="B322" i="1"/>
  <c r="C322" i="1"/>
  <c r="D322" i="1"/>
  <c r="B323" i="1" a="1"/>
  <c r="B323" i="1"/>
  <c r="C323" i="1"/>
  <c r="D323" i="1"/>
  <c r="B324" i="1" a="1"/>
  <c r="B324" i="1"/>
  <c r="C324" i="1"/>
  <c r="D324" i="1"/>
  <c r="B325" i="1" a="1"/>
  <c r="B325" i="1"/>
  <c r="C325" i="1"/>
  <c r="D325" i="1"/>
  <c r="B326" i="1" a="1"/>
  <c r="B326" i="1"/>
  <c r="C326" i="1"/>
  <c r="D326" i="1"/>
  <c r="B327" i="1" a="1"/>
  <c r="B327" i="1"/>
  <c r="C327" i="1"/>
  <c r="D327" i="1"/>
  <c r="B328" i="1" a="1"/>
  <c r="B328" i="1"/>
  <c r="C328" i="1"/>
  <c r="D328" i="1"/>
  <c r="B329" i="1" a="1"/>
  <c r="B329" i="1"/>
  <c r="C329" i="1"/>
  <c r="D329" i="1"/>
  <c r="B330" i="1" a="1"/>
  <c r="B330" i="1"/>
  <c r="C330" i="1"/>
  <c r="D330" i="1"/>
  <c r="B331" i="1" a="1"/>
  <c r="B331" i="1"/>
  <c r="C331" i="1"/>
  <c r="D331" i="1"/>
  <c r="B332" i="1" a="1"/>
  <c r="B332" i="1"/>
  <c r="C332" i="1"/>
  <c r="D332" i="1"/>
  <c r="B333" i="1" a="1"/>
  <c r="B333" i="1"/>
  <c r="C333" i="1"/>
  <c r="D333" i="1"/>
  <c r="B334" i="1" a="1"/>
  <c r="B334" i="1"/>
  <c r="C334" i="1"/>
  <c r="D334" i="1"/>
  <c r="B335" i="1" a="1"/>
  <c r="B335" i="1"/>
  <c r="C335" i="1"/>
  <c r="D335" i="1"/>
  <c r="B336" i="1" a="1"/>
  <c r="B336" i="1"/>
  <c r="C336" i="1"/>
  <c r="D336" i="1"/>
  <c r="B337" i="1" a="1"/>
  <c r="B337" i="1"/>
  <c r="C337" i="1"/>
  <c r="D337" i="1"/>
  <c r="B338" i="1" a="1"/>
  <c r="B338" i="1"/>
  <c r="C338" i="1"/>
  <c r="D338" i="1"/>
  <c r="B339" i="1" a="1"/>
  <c r="B339" i="1"/>
  <c r="C339" i="1"/>
  <c r="D339" i="1"/>
  <c r="B340" i="1" a="1"/>
  <c r="B340" i="1"/>
  <c r="C340" i="1"/>
  <c r="D340" i="1"/>
  <c r="B341" i="1" a="1"/>
  <c r="B341" i="1"/>
  <c r="C341" i="1"/>
  <c r="D341" i="1"/>
  <c r="B342" i="1" a="1"/>
  <c r="B342" i="1"/>
  <c r="C342" i="1"/>
  <c r="D342" i="1"/>
  <c r="B343" i="1" a="1"/>
  <c r="B343" i="1"/>
  <c r="C343" i="1"/>
  <c r="D343" i="1"/>
  <c r="B344" i="1" a="1"/>
  <c r="B344" i="1"/>
  <c r="C344" i="1"/>
  <c r="D344" i="1"/>
  <c r="B345" i="1" a="1"/>
  <c r="B345" i="1"/>
  <c r="C345" i="1"/>
  <c r="D345" i="1"/>
  <c r="B346" i="1" a="1"/>
  <c r="B346" i="1"/>
  <c r="C346" i="1"/>
  <c r="D346" i="1"/>
  <c r="B347" i="1" a="1"/>
  <c r="B347" i="1"/>
  <c r="C347" i="1"/>
  <c r="D347" i="1"/>
  <c r="B348" i="1" a="1"/>
  <c r="B348" i="1"/>
  <c r="C348" i="1"/>
  <c r="D348" i="1"/>
  <c r="B349" i="1" a="1"/>
  <c r="B349" i="1"/>
  <c r="C349" i="1"/>
  <c r="D349" i="1"/>
  <c r="B350" i="1" a="1"/>
  <c r="B350" i="1"/>
  <c r="C350" i="1"/>
  <c r="D350" i="1"/>
  <c r="B351" i="1" a="1"/>
  <c r="B351" i="1"/>
  <c r="C351" i="1"/>
  <c r="D351" i="1"/>
  <c r="B352" i="1" a="1"/>
  <c r="B352" i="1"/>
  <c r="C352" i="1"/>
  <c r="D352" i="1"/>
  <c r="B353" i="1" a="1"/>
  <c r="B353" i="1"/>
  <c r="C353" i="1"/>
  <c r="D353" i="1"/>
  <c r="B354" i="1" a="1"/>
  <c r="B354" i="1"/>
  <c r="C354" i="1"/>
  <c r="D354" i="1"/>
  <c r="B355" i="1" a="1"/>
  <c r="B355" i="1"/>
  <c r="C355" i="1"/>
  <c r="D355" i="1"/>
  <c r="B356" i="1" a="1"/>
  <c r="B356" i="1"/>
  <c r="C356" i="1"/>
  <c r="D356" i="1"/>
  <c r="B357" i="1" a="1"/>
  <c r="B357" i="1"/>
  <c r="C357" i="1"/>
  <c r="D357" i="1"/>
  <c r="B358" i="1" a="1"/>
  <c r="B358" i="1"/>
  <c r="C358" i="1"/>
  <c r="D358" i="1"/>
  <c r="B359" i="1" a="1"/>
  <c r="B359" i="1"/>
  <c r="C359" i="1"/>
  <c r="D359" i="1"/>
  <c r="B360" i="1" a="1"/>
  <c r="B360" i="1"/>
  <c r="C360" i="1"/>
  <c r="D360" i="1"/>
  <c r="B361" i="1" a="1"/>
  <c r="B361" i="1"/>
  <c r="C361" i="1"/>
  <c r="D361" i="1"/>
  <c r="B362" i="1" a="1"/>
  <c r="B362" i="1"/>
  <c r="C362" i="1"/>
  <c r="D362" i="1"/>
  <c r="B363" i="1" a="1"/>
  <c r="B363" i="1"/>
  <c r="C363" i="1"/>
  <c r="D363" i="1"/>
  <c r="B364" i="1" a="1"/>
  <c r="B364" i="1"/>
  <c r="C364" i="1"/>
  <c r="D364" i="1"/>
  <c r="B365" i="1" a="1"/>
  <c r="B365" i="1"/>
  <c r="C365" i="1"/>
  <c r="D365" i="1"/>
  <c r="B366" i="1" a="1"/>
  <c r="B366" i="1"/>
  <c r="C366" i="1"/>
  <c r="D366" i="1"/>
  <c r="B367" i="1" a="1"/>
  <c r="B367" i="1"/>
  <c r="C367" i="1"/>
  <c r="D367" i="1"/>
  <c r="B368" i="1" a="1"/>
  <c r="B368" i="1"/>
  <c r="C368" i="1"/>
  <c r="D368" i="1"/>
  <c r="B369" i="1" a="1"/>
  <c r="B369" i="1"/>
  <c r="C369" i="1"/>
  <c r="D369" i="1"/>
  <c r="B370" i="1" a="1"/>
  <c r="B370" i="1"/>
  <c r="C370" i="1"/>
  <c r="D370" i="1"/>
  <c r="B371" i="1" a="1"/>
  <c r="B371" i="1"/>
  <c r="C371" i="1"/>
  <c r="D371" i="1"/>
  <c r="B372" i="1" a="1"/>
  <c r="B372" i="1"/>
  <c r="C372" i="1"/>
  <c r="D372" i="1"/>
  <c r="B373" i="1" a="1"/>
  <c r="B373" i="1"/>
  <c r="C373" i="1"/>
  <c r="D373" i="1"/>
  <c r="B374" i="1" a="1"/>
  <c r="B374" i="1"/>
  <c r="C374" i="1"/>
  <c r="D374" i="1"/>
  <c r="B375" i="1" a="1"/>
  <c r="B375" i="1"/>
  <c r="C375" i="1"/>
  <c r="D375" i="1"/>
  <c r="B376" i="1" a="1"/>
  <c r="B376" i="1"/>
  <c r="C376" i="1"/>
  <c r="D376" i="1"/>
  <c r="B377" i="1" a="1"/>
  <c r="B377" i="1"/>
  <c r="C377" i="1"/>
  <c r="D377" i="1"/>
  <c r="B378" i="1" a="1"/>
  <c r="B378" i="1"/>
  <c r="C378" i="1"/>
  <c r="D378" i="1"/>
  <c r="B379" i="1" a="1"/>
  <c r="B379" i="1"/>
  <c r="C379" i="1"/>
  <c r="D379" i="1"/>
  <c r="B380" i="1" a="1"/>
  <c r="B380" i="1"/>
  <c r="C380" i="1"/>
  <c r="D380" i="1"/>
  <c r="B381" i="1" a="1"/>
  <c r="B381" i="1"/>
  <c r="C381" i="1"/>
  <c r="D381" i="1"/>
  <c r="B382" i="1" a="1"/>
  <c r="B382" i="1"/>
  <c r="C382" i="1"/>
  <c r="D382" i="1"/>
  <c r="B383" i="1" a="1"/>
  <c r="B383" i="1"/>
  <c r="C383" i="1"/>
  <c r="D383" i="1"/>
  <c r="B384" i="1" a="1"/>
  <c r="B384" i="1"/>
  <c r="C384" i="1"/>
  <c r="D384" i="1"/>
  <c r="B385" i="1" a="1"/>
  <c r="B385" i="1"/>
  <c r="C385" i="1"/>
  <c r="D385" i="1"/>
  <c r="B386" i="1" a="1"/>
  <c r="B386" i="1"/>
  <c r="C386" i="1"/>
  <c r="D386" i="1"/>
  <c r="B387" i="1" a="1"/>
  <c r="B387" i="1"/>
  <c r="C387" i="1"/>
  <c r="D387" i="1"/>
  <c r="B388" i="1" a="1"/>
  <c r="B388" i="1"/>
  <c r="C388" i="1"/>
  <c r="D388" i="1"/>
  <c r="B389" i="1" a="1"/>
  <c r="B389" i="1"/>
  <c r="C389" i="1"/>
  <c r="D389" i="1"/>
  <c r="B390" i="1" a="1"/>
  <c r="B390" i="1"/>
  <c r="C390" i="1"/>
  <c r="D390" i="1"/>
  <c r="B391" i="1" a="1"/>
  <c r="B391" i="1"/>
  <c r="C391" i="1"/>
  <c r="D391" i="1"/>
  <c r="B392" i="1" a="1"/>
  <c r="B392" i="1"/>
  <c r="C392" i="1"/>
  <c r="D392" i="1"/>
  <c r="B393" i="1" a="1"/>
  <c r="B393" i="1"/>
  <c r="C393" i="1"/>
  <c r="D393" i="1"/>
  <c r="B394" i="1" a="1"/>
  <c r="B394" i="1"/>
  <c r="C394" i="1"/>
  <c r="D394" i="1"/>
  <c r="B395" i="1" a="1"/>
  <c r="B395" i="1"/>
  <c r="C395" i="1"/>
  <c r="D395" i="1"/>
  <c r="B396" i="1" a="1"/>
  <c r="B396" i="1"/>
  <c r="C396" i="1"/>
  <c r="D396" i="1"/>
  <c r="B397" i="1" a="1"/>
  <c r="B397" i="1"/>
  <c r="C397" i="1"/>
  <c r="D397" i="1"/>
  <c r="B398" i="1" a="1"/>
  <c r="B398" i="1"/>
  <c r="C398" i="1"/>
  <c r="D398" i="1"/>
  <c r="B399" i="1" a="1"/>
  <c r="B399" i="1"/>
  <c r="C399" i="1"/>
  <c r="D399" i="1"/>
  <c r="B400" i="1" a="1"/>
  <c r="B400" i="1"/>
  <c r="C400" i="1"/>
  <c r="D400" i="1"/>
  <c r="B401" i="1" a="1"/>
  <c r="B401" i="1"/>
  <c r="C401" i="1"/>
  <c r="D401" i="1"/>
  <c r="B402" i="1" a="1"/>
  <c r="B402" i="1"/>
  <c r="C402" i="1"/>
  <c r="D402" i="1"/>
  <c r="B403" i="1" a="1"/>
  <c r="B403" i="1"/>
  <c r="C403" i="1"/>
  <c r="D403" i="1"/>
  <c r="B404" i="1" a="1"/>
  <c r="B404" i="1"/>
  <c r="C404" i="1"/>
  <c r="D404" i="1"/>
  <c r="B405" i="1" a="1"/>
  <c r="B405" i="1"/>
  <c r="C405" i="1"/>
  <c r="D405" i="1"/>
  <c r="B406" i="1" a="1"/>
  <c r="B406" i="1"/>
  <c r="C406" i="1"/>
  <c r="D406" i="1"/>
  <c r="B407" i="1" a="1"/>
  <c r="B407" i="1"/>
  <c r="C407" i="1"/>
  <c r="D407" i="1"/>
  <c r="B408" i="1" a="1"/>
  <c r="B408" i="1"/>
  <c r="C408" i="1"/>
  <c r="D408" i="1"/>
  <c r="B409" i="1" a="1"/>
  <c r="B409" i="1"/>
  <c r="C409" i="1"/>
  <c r="D409" i="1"/>
  <c r="B410" i="1" a="1"/>
  <c r="B410" i="1"/>
  <c r="C410" i="1"/>
  <c r="D410" i="1"/>
  <c r="B411" i="1" a="1"/>
  <c r="B411" i="1"/>
  <c r="C411" i="1"/>
  <c r="D411" i="1"/>
  <c r="B412" i="1" a="1"/>
  <c r="B412" i="1"/>
  <c r="C412" i="1"/>
  <c r="D412" i="1"/>
  <c r="B413" i="1" a="1"/>
  <c r="B413" i="1"/>
  <c r="C413" i="1"/>
  <c r="D413" i="1"/>
  <c r="B414" i="1" a="1"/>
  <c r="B414" i="1"/>
  <c r="C414" i="1"/>
  <c r="D414" i="1"/>
  <c r="B415" i="1" a="1"/>
  <c r="B415" i="1"/>
  <c r="C415" i="1"/>
  <c r="D415" i="1"/>
  <c r="B416" i="1" a="1"/>
  <c r="B416" i="1"/>
  <c r="C416" i="1"/>
  <c r="D416" i="1"/>
  <c r="B417" i="1" a="1"/>
  <c r="B417" i="1"/>
  <c r="C417" i="1"/>
  <c r="D417" i="1"/>
  <c r="B418" i="1" a="1"/>
  <c r="B418" i="1"/>
  <c r="C418" i="1"/>
  <c r="D418" i="1"/>
  <c r="B419" i="1" a="1"/>
  <c r="B419" i="1"/>
  <c r="C419" i="1"/>
  <c r="D419" i="1"/>
  <c r="B420" i="1" a="1"/>
  <c r="B420" i="1"/>
  <c r="C420" i="1"/>
  <c r="D420" i="1"/>
  <c r="B421" i="1" a="1"/>
  <c r="B421" i="1"/>
  <c r="C421" i="1"/>
  <c r="D421" i="1"/>
  <c r="B422" i="1" a="1"/>
  <c r="B422" i="1"/>
  <c r="C422" i="1"/>
  <c r="D422" i="1"/>
  <c r="B423" i="1" a="1"/>
  <c r="B423" i="1"/>
  <c r="C423" i="1"/>
  <c r="D423" i="1"/>
  <c r="B424" i="1" a="1"/>
  <c r="B424" i="1"/>
  <c r="C424" i="1"/>
  <c r="D424" i="1"/>
  <c r="B425" i="1" a="1"/>
  <c r="B425" i="1"/>
  <c r="C425" i="1"/>
  <c r="D425" i="1"/>
  <c r="B426" i="1" a="1"/>
  <c r="B426" i="1"/>
  <c r="C426" i="1"/>
  <c r="D426" i="1"/>
  <c r="B427" i="1" a="1"/>
  <c r="B427" i="1"/>
  <c r="C427" i="1"/>
  <c r="D427" i="1"/>
  <c r="B428" i="1" a="1"/>
  <c r="B428" i="1"/>
  <c r="C428" i="1"/>
  <c r="D428" i="1"/>
  <c r="B429" i="1" a="1"/>
  <c r="B429" i="1"/>
  <c r="C429" i="1"/>
  <c r="D429" i="1"/>
  <c r="B430" i="1" a="1"/>
  <c r="B430" i="1"/>
  <c r="C430" i="1"/>
  <c r="D430" i="1"/>
  <c r="B431" i="1" a="1"/>
  <c r="B431" i="1"/>
  <c r="C431" i="1"/>
  <c r="D431" i="1"/>
  <c r="B432" i="1" a="1"/>
  <c r="B432" i="1"/>
  <c r="C432" i="1"/>
  <c r="D432" i="1"/>
  <c r="B433" i="1" a="1"/>
  <c r="B433" i="1"/>
  <c r="C433" i="1"/>
  <c r="D433" i="1"/>
  <c r="B434" i="1" a="1"/>
  <c r="B434" i="1"/>
  <c r="C434" i="1"/>
  <c r="D434" i="1"/>
  <c r="B435" i="1" a="1"/>
  <c r="B435" i="1"/>
  <c r="C435" i="1"/>
  <c r="D435" i="1"/>
  <c r="B436" i="1" a="1"/>
  <c r="B436" i="1"/>
  <c r="C436" i="1"/>
  <c r="D436" i="1"/>
  <c r="B437" i="1" a="1"/>
  <c r="B437" i="1"/>
  <c r="C437" i="1"/>
  <c r="D437" i="1"/>
  <c r="B438" i="1" a="1"/>
  <c r="B438" i="1"/>
  <c r="C438" i="1"/>
  <c r="D438" i="1"/>
  <c r="B439" i="1" a="1"/>
  <c r="B439" i="1"/>
  <c r="C439" i="1"/>
  <c r="D439" i="1"/>
  <c r="B440" i="1" a="1"/>
  <c r="B440" i="1"/>
  <c r="C440" i="1"/>
  <c r="D440" i="1"/>
  <c r="B441" i="1" a="1"/>
  <c r="B441" i="1"/>
  <c r="C441" i="1"/>
  <c r="D441" i="1"/>
  <c r="B442" i="1" a="1"/>
  <c r="B442" i="1"/>
  <c r="C442" i="1"/>
  <c r="D442" i="1"/>
  <c r="B443" i="1" a="1"/>
  <c r="B443" i="1"/>
  <c r="C443" i="1"/>
  <c r="D443" i="1"/>
  <c r="B444" i="1" a="1"/>
  <c r="B444" i="1"/>
  <c r="C444" i="1"/>
  <c r="D444" i="1"/>
  <c r="B445" i="1" a="1"/>
  <c r="B445" i="1"/>
  <c r="C445" i="1"/>
  <c r="D445" i="1"/>
  <c r="B446" i="1" a="1"/>
  <c r="B446" i="1"/>
  <c r="C446" i="1"/>
  <c r="D446" i="1"/>
  <c r="B447" i="1" a="1"/>
  <c r="B447" i="1"/>
  <c r="C447" i="1"/>
  <c r="D447" i="1"/>
  <c r="B448" i="1" a="1"/>
  <c r="B448" i="1"/>
  <c r="C448" i="1"/>
  <c r="D448" i="1"/>
  <c r="B449" i="1" a="1"/>
  <c r="B449" i="1"/>
  <c r="C449" i="1"/>
  <c r="D449" i="1"/>
  <c r="B450" i="1" a="1"/>
  <c r="B450" i="1"/>
  <c r="C450" i="1"/>
  <c r="D450" i="1"/>
  <c r="B451" i="1" a="1"/>
  <c r="B451" i="1"/>
  <c r="C451" i="1"/>
  <c r="D451" i="1"/>
  <c r="B452" i="1" a="1"/>
  <c r="B452" i="1"/>
  <c r="C452" i="1"/>
  <c r="D452" i="1"/>
  <c r="B453" i="1" a="1"/>
  <c r="B453" i="1"/>
  <c r="C453" i="1"/>
  <c r="D453" i="1"/>
  <c r="B454" i="1" a="1"/>
  <c r="B454" i="1"/>
  <c r="C454" i="1"/>
  <c r="D454" i="1"/>
  <c r="B455" i="1" a="1"/>
  <c r="B455" i="1"/>
  <c r="C455" i="1"/>
  <c r="D455" i="1"/>
  <c r="B456" i="1" a="1"/>
  <c r="B456" i="1"/>
  <c r="C456" i="1"/>
  <c r="D456" i="1"/>
  <c r="B457" i="1" a="1"/>
  <c r="B457" i="1"/>
  <c r="C457" i="1"/>
  <c r="D457" i="1"/>
  <c r="B458" i="1" a="1"/>
  <c r="B458" i="1"/>
  <c r="C458" i="1"/>
  <c r="D458" i="1"/>
  <c r="B459" i="1" a="1"/>
  <c r="B459" i="1"/>
  <c r="C459" i="1"/>
  <c r="D459" i="1"/>
  <c r="B460" i="1" a="1"/>
  <c r="B460" i="1"/>
  <c r="C460" i="1"/>
  <c r="D460" i="1"/>
  <c r="B461" i="1" a="1"/>
  <c r="B461" i="1"/>
  <c r="C461" i="1"/>
  <c r="D461" i="1"/>
  <c r="B462" i="1" a="1"/>
  <c r="B462" i="1"/>
  <c r="C462" i="1"/>
  <c r="D462" i="1"/>
  <c r="B463" i="1" a="1"/>
  <c r="B463" i="1"/>
  <c r="C463" i="1"/>
  <c r="D463" i="1"/>
  <c r="B464" i="1" a="1"/>
  <c r="B464" i="1"/>
  <c r="C464" i="1"/>
  <c r="D464" i="1"/>
  <c r="B465" i="1" a="1"/>
  <c r="B465" i="1"/>
  <c r="C465" i="1"/>
  <c r="D465" i="1"/>
  <c r="B466" i="1" a="1"/>
  <c r="B466" i="1"/>
  <c r="C466" i="1"/>
  <c r="D466" i="1"/>
  <c r="B467" i="1" a="1"/>
  <c r="B467" i="1"/>
  <c r="C467" i="1"/>
  <c r="D467" i="1"/>
  <c r="B468" i="1" a="1"/>
  <c r="B468" i="1"/>
  <c r="C468" i="1"/>
  <c r="D468" i="1"/>
  <c r="B469" i="1" a="1"/>
  <c r="B469" i="1"/>
  <c r="C469" i="1"/>
  <c r="D469" i="1"/>
  <c r="B470" i="1" a="1"/>
  <c r="B470" i="1"/>
  <c r="C470" i="1"/>
  <c r="D470" i="1"/>
  <c r="B471" i="1" a="1"/>
  <c r="B471" i="1"/>
  <c r="C471" i="1"/>
  <c r="D471" i="1"/>
  <c r="B472" i="1" a="1"/>
  <c r="B472" i="1"/>
  <c r="C472" i="1"/>
  <c r="D472" i="1"/>
  <c r="B473" i="1" a="1"/>
  <c r="B473" i="1"/>
  <c r="C473" i="1"/>
  <c r="D473" i="1"/>
  <c r="B474" i="1" a="1"/>
  <c r="B474" i="1"/>
  <c r="C474" i="1"/>
  <c r="D474" i="1"/>
  <c r="B475" i="1" a="1"/>
  <c r="B475" i="1"/>
  <c r="C475" i="1"/>
  <c r="D475" i="1"/>
  <c r="B476" i="1" a="1"/>
  <c r="B476" i="1"/>
  <c r="C476" i="1"/>
  <c r="D476" i="1"/>
  <c r="B477" i="1" a="1"/>
  <c r="B477" i="1"/>
  <c r="C477" i="1"/>
  <c r="D477" i="1"/>
  <c r="B478" i="1" a="1"/>
  <c r="B478" i="1"/>
  <c r="C478" i="1"/>
  <c r="D478" i="1"/>
  <c r="B479" i="1" a="1"/>
  <c r="B479" i="1"/>
  <c r="C479" i="1"/>
  <c r="D479" i="1"/>
  <c r="B480" i="1" a="1"/>
  <c r="B480" i="1"/>
  <c r="C480" i="1"/>
  <c r="D480" i="1"/>
  <c r="B481" i="1" a="1"/>
  <c r="B481" i="1"/>
  <c r="C481" i="1"/>
  <c r="D481" i="1"/>
  <c r="B482" i="1" a="1"/>
  <c r="B482" i="1"/>
  <c r="C482" i="1"/>
  <c r="D482" i="1"/>
  <c r="B483" i="1" a="1"/>
  <c r="B483" i="1"/>
  <c r="C483" i="1"/>
  <c r="D483" i="1"/>
  <c r="B484" i="1" a="1"/>
  <c r="B484" i="1"/>
  <c r="C484" i="1"/>
  <c r="D484" i="1"/>
  <c r="B485" i="1" a="1"/>
  <c r="B485" i="1"/>
  <c r="C485" i="1"/>
  <c r="D485" i="1"/>
  <c r="B486" i="1" a="1"/>
  <c r="B486" i="1"/>
  <c r="C486" i="1"/>
  <c r="D486" i="1"/>
  <c r="B487" i="1" a="1"/>
  <c r="B487" i="1"/>
  <c r="C487" i="1"/>
  <c r="D487" i="1"/>
  <c r="B488" i="1" a="1"/>
  <c r="B488" i="1"/>
  <c r="C488" i="1"/>
  <c r="D488" i="1"/>
  <c r="B489" i="1" a="1"/>
  <c r="B489" i="1"/>
  <c r="C489" i="1"/>
  <c r="D489" i="1"/>
  <c r="B490" i="1" a="1"/>
  <c r="B490" i="1"/>
  <c r="C490" i="1"/>
  <c r="D490" i="1"/>
  <c r="B491" i="1" a="1"/>
  <c r="B491" i="1"/>
  <c r="C491" i="1"/>
  <c r="D491" i="1"/>
  <c r="B492" i="1" a="1"/>
  <c r="B492" i="1"/>
  <c r="C492" i="1"/>
  <c r="D492" i="1"/>
  <c r="B493" i="1" a="1"/>
  <c r="B493" i="1"/>
  <c r="C493" i="1"/>
  <c r="D493" i="1"/>
  <c r="B494" i="1" a="1"/>
  <c r="B494" i="1"/>
  <c r="C494" i="1"/>
  <c r="D494" i="1"/>
  <c r="B495" i="1" a="1"/>
  <c r="B495" i="1"/>
  <c r="C495" i="1"/>
  <c r="D495" i="1"/>
  <c r="B496" i="1" a="1"/>
  <c r="B496" i="1"/>
  <c r="C496" i="1"/>
  <c r="D496" i="1"/>
  <c r="B497" i="1" a="1"/>
  <c r="B497" i="1"/>
  <c r="C497" i="1"/>
  <c r="D497" i="1"/>
  <c r="B498" i="1" a="1"/>
  <c r="B498" i="1"/>
  <c r="C498" i="1"/>
  <c r="D498" i="1"/>
  <c r="B499" i="1" a="1"/>
  <c r="B499" i="1"/>
  <c r="C499" i="1"/>
  <c r="D499" i="1"/>
  <c r="B500" i="1" a="1"/>
  <c r="B500" i="1"/>
  <c r="C500" i="1"/>
  <c r="D500" i="1"/>
  <c r="B501" i="1" a="1"/>
  <c r="B501" i="1"/>
  <c r="C501" i="1"/>
  <c r="D501" i="1"/>
  <c r="B502" i="1" a="1"/>
  <c r="B502" i="1"/>
  <c r="C502" i="1"/>
  <c r="D502" i="1"/>
  <c r="B503" i="1" a="1"/>
  <c r="B503" i="1"/>
  <c r="C503" i="1"/>
  <c r="D503" i="1"/>
  <c r="B504" i="1" a="1"/>
  <c r="B504" i="1"/>
  <c r="C504" i="1"/>
  <c r="D504" i="1"/>
  <c r="B505" i="1" a="1"/>
  <c r="B505" i="1"/>
  <c r="C505" i="1"/>
  <c r="D505" i="1"/>
  <c r="B506" i="1" a="1"/>
  <c r="B506" i="1"/>
  <c r="C506" i="1"/>
  <c r="D506" i="1"/>
  <c r="F4" i="1"/>
  <c r="A3" i="1" a="1"/>
  <c r="F482" i="1" l="1"/>
  <c r="F376" i="1"/>
  <c r="F504" i="1"/>
  <c r="F500" i="1"/>
  <c r="F488" i="1"/>
  <c r="F467" i="1"/>
  <c r="F456" i="1"/>
  <c r="F438" i="1"/>
  <c r="F423" i="1"/>
  <c r="F440" i="1"/>
  <c r="F499" i="1"/>
  <c r="F486" i="1"/>
  <c r="F485" i="1"/>
  <c r="F501" i="1"/>
  <c r="F489" i="1"/>
  <c r="F492" i="1"/>
  <c r="F419" i="1"/>
  <c r="F496" i="1"/>
  <c r="F459" i="1"/>
  <c r="F505" i="1"/>
  <c r="F476" i="1"/>
  <c r="F498" i="1"/>
  <c r="F506" i="1"/>
  <c r="F502" i="1"/>
  <c r="F479" i="1"/>
  <c r="F470" i="1"/>
  <c r="F493" i="1"/>
  <c r="F490" i="1"/>
  <c r="F466" i="1"/>
  <c r="F267" i="1"/>
  <c r="F503" i="1"/>
  <c r="F475" i="1"/>
  <c r="F462" i="1"/>
  <c r="F443" i="1"/>
  <c r="F460" i="1"/>
  <c r="F424" i="1"/>
  <c r="F412" i="1"/>
  <c r="F380" i="1"/>
  <c r="F446" i="1"/>
  <c r="F432" i="1"/>
  <c r="F415" i="1"/>
  <c r="F408" i="1"/>
  <c r="F404" i="1"/>
  <c r="F400" i="1"/>
  <c r="F396" i="1"/>
  <c r="F392" i="1"/>
  <c r="F388" i="1"/>
  <c r="F384" i="1"/>
  <c r="F183" i="1"/>
  <c r="F464" i="1"/>
  <c r="F435" i="1"/>
  <c r="F420" i="1"/>
  <c r="F428" i="1"/>
  <c r="F187" i="1"/>
  <c r="F416" i="1"/>
  <c r="F434" i="1"/>
  <c r="F430" i="1"/>
  <c r="F422" i="1"/>
  <c r="F370" i="1"/>
  <c r="F366" i="1"/>
  <c r="F362" i="1"/>
  <c r="F358" i="1"/>
  <c r="F354" i="1"/>
  <c r="F350" i="1"/>
  <c r="F346" i="1"/>
  <c r="F342" i="1"/>
  <c r="F338" i="1"/>
  <c r="F334" i="1"/>
  <c r="F330" i="1"/>
  <c r="F326" i="1"/>
  <c r="F322" i="1"/>
  <c r="F318" i="1"/>
  <c r="F314" i="1"/>
  <c r="F310" i="1"/>
  <c r="F306" i="1"/>
  <c r="F302" i="1"/>
  <c r="F298" i="1"/>
  <c r="F294" i="1"/>
  <c r="F268" i="1"/>
  <c r="F265" i="1"/>
  <c r="F239" i="1"/>
  <c r="F319" i="1"/>
  <c r="F315" i="1"/>
  <c r="F311" i="1"/>
  <c r="F307" i="1"/>
  <c r="F303" i="1"/>
  <c r="F299" i="1"/>
  <c r="F295" i="1"/>
  <c r="F271" i="1"/>
  <c r="F235" i="1"/>
  <c r="F292" i="1"/>
  <c r="F289" i="1"/>
  <c r="F260" i="1"/>
  <c r="F257" i="1"/>
  <c r="F240" i="1"/>
  <c r="F231" i="1"/>
  <c r="F227" i="1"/>
  <c r="F175" i="1"/>
  <c r="F372" i="1"/>
  <c r="F368" i="1"/>
  <c r="F364" i="1"/>
  <c r="F360" i="1"/>
  <c r="F356" i="1"/>
  <c r="F352" i="1"/>
  <c r="F348" i="1"/>
  <c r="F344" i="1"/>
  <c r="F340" i="1"/>
  <c r="F336" i="1"/>
  <c r="F332" i="1"/>
  <c r="F328" i="1"/>
  <c r="F324" i="1"/>
  <c r="F320" i="1"/>
  <c r="F316" i="1"/>
  <c r="F312" i="1"/>
  <c r="F308" i="1"/>
  <c r="F304" i="1"/>
  <c r="F300" i="1"/>
  <c r="F296" i="1"/>
  <c r="F263" i="1"/>
  <c r="F275" i="1"/>
  <c r="F243" i="1"/>
  <c r="F195" i="1"/>
  <c r="F179" i="1"/>
  <c r="F264" i="1"/>
  <c r="F261" i="1"/>
  <c r="F218" i="1"/>
  <c r="F215" i="1"/>
  <c r="F198" i="1"/>
  <c r="F166" i="1"/>
  <c r="F232" i="1"/>
  <c r="F224" i="1"/>
  <c r="F163" i="1"/>
  <c r="F155" i="1"/>
  <c r="F147" i="1"/>
  <c r="F139" i="1"/>
  <c r="F52" i="1"/>
  <c r="F170" i="1"/>
  <c r="F233" i="1"/>
  <c r="F229" i="1"/>
  <c r="F222" i="1"/>
  <c r="F219" i="1"/>
  <c r="F167" i="1"/>
  <c r="F100" i="1"/>
  <c r="F44" i="1"/>
  <c r="F159" i="1"/>
  <c r="F151" i="1"/>
  <c r="F143" i="1"/>
  <c r="F135" i="1"/>
  <c r="F223" i="1"/>
  <c r="F202" i="1"/>
  <c r="F171" i="1"/>
  <c r="F112" i="1"/>
  <c r="F40" i="1"/>
  <c r="F126" i="1"/>
  <c r="F68" i="1"/>
  <c r="F162" i="1"/>
  <c r="F158" i="1"/>
  <c r="F154" i="1"/>
  <c r="F150" i="1"/>
  <c r="F146" i="1"/>
  <c r="F142" i="1"/>
  <c r="F138" i="1"/>
  <c r="F134" i="1"/>
  <c r="F120" i="1"/>
  <c r="F64" i="1"/>
  <c r="F122" i="1"/>
  <c r="F92" i="1"/>
  <c r="F60" i="1"/>
  <c r="F56" i="1"/>
  <c r="F48" i="1"/>
  <c r="F22" i="1"/>
  <c r="F18" i="1"/>
  <c r="F14" i="1"/>
  <c r="F10" i="1"/>
  <c r="F6" i="1"/>
  <c r="F11" i="1"/>
  <c r="F7" i="1"/>
  <c r="F36" i="1"/>
  <c r="F32" i="1"/>
  <c r="F28" i="1"/>
  <c r="F24" i="1"/>
  <c r="F20" i="1"/>
  <c r="F16" i="1"/>
  <c r="F12" i="1"/>
  <c r="F8" i="1"/>
  <c r="F21" i="1"/>
  <c r="F17" i="1"/>
  <c r="F13" i="1"/>
  <c r="F9" i="1"/>
  <c r="F5" i="1"/>
  <c r="F494" i="1"/>
  <c r="F484" i="1"/>
  <c r="F472" i="1"/>
  <c r="F478" i="1"/>
  <c r="F497" i="1"/>
  <c r="F480" i="1"/>
  <c r="F463" i="1"/>
  <c r="F474" i="1"/>
  <c r="F461" i="1"/>
  <c r="F429" i="1"/>
  <c r="F426" i="1"/>
  <c r="F406" i="1"/>
  <c r="F398" i="1"/>
  <c r="F390" i="1"/>
  <c r="F382" i="1"/>
  <c r="F363" i="1"/>
  <c r="F288" i="1"/>
  <c r="F481" i="1"/>
  <c r="F458" i="1"/>
  <c r="F487" i="1"/>
  <c r="F468" i="1"/>
  <c r="F455" i="1"/>
  <c r="F452" i="1"/>
  <c r="F444" i="1"/>
  <c r="F437" i="1"/>
  <c r="F425" i="1"/>
  <c r="F374" i="1"/>
  <c r="F495" i="1"/>
  <c r="F477" i="1"/>
  <c r="F457" i="1"/>
  <c r="F439" i="1"/>
  <c r="F431" i="1"/>
  <c r="F411" i="1"/>
  <c r="F347" i="1"/>
  <c r="F454" i="1"/>
  <c r="F451" i="1"/>
  <c r="F410" i="1"/>
  <c r="F402" i="1"/>
  <c r="F394" i="1"/>
  <c r="F386" i="1"/>
  <c r="F378" i="1"/>
  <c r="F276" i="1"/>
  <c r="F447" i="1"/>
  <c r="F442" i="1"/>
  <c r="F491" i="1"/>
  <c r="F471" i="1"/>
  <c r="F448" i="1"/>
  <c r="F436" i="1"/>
  <c r="F418" i="1"/>
  <c r="F414" i="1"/>
  <c r="F245" i="1"/>
  <c r="F469" i="1"/>
  <c r="F433" i="1"/>
  <c r="F427" i="1"/>
  <c r="F331" i="1"/>
  <c r="F228" i="1"/>
  <c r="F483" i="1"/>
  <c r="F453" i="1"/>
  <c r="F450" i="1"/>
  <c r="F251" i="1"/>
  <c r="F473" i="1"/>
  <c r="F441" i="1"/>
  <c r="F413" i="1"/>
  <c r="F377" i="1"/>
  <c r="F375" i="1"/>
  <c r="F369" i="1"/>
  <c r="F353" i="1"/>
  <c r="F337" i="1"/>
  <c r="F321" i="1"/>
  <c r="F305" i="1"/>
  <c r="F256" i="1"/>
  <c r="F244" i="1"/>
  <c r="F359" i="1"/>
  <c r="F343" i="1"/>
  <c r="F327" i="1"/>
  <c r="F287" i="1"/>
  <c r="F281" i="1"/>
  <c r="F221" i="1"/>
  <c r="F190" i="1"/>
  <c r="F465" i="1"/>
  <c r="F421" i="1"/>
  <c r="F409" i="1"/>
  <c r="F405" i="1"/>
  <c r="F401" i="1"/>
  <c r="F397" i="1"/>
  <c r="F393" i="1"/>
  <c r="F389" i="1"/>
  <c r="F385" i="1"/>
  <c r="F381" i="1"/>
  <c r="F379" i="1"/>
  <c r="F365" i="1"/>
  <c r="F349" i="1"/>
  <c r="F333" i="1"/>
  <c r="F317" i="1"/>
  <c r="F301" i="1"/>
  <c r="F291" i="1"/>
  <c r="F286" i="1"/>
  <c r="F280" i="1"/>
  <c r="F255" i="1"/>
  <c r="F249" i="1"/>
  <c r="F220" i="1"/>
  <c r="F445" i="1"/>
  <c r="F407" i="1"/>
  <c r="F403" i="1"/>
  <c r="F399" i="1"/>
  <c r="F395" i="1"/>
  <c r="F391" i="1"/>
  <c r="F387" i="1"/>
  <c r="F383" i="1"/>
  <c r="F371" i="1"/>
  <c r="F355" i="1"/>
  <c r="F339" i="1"/>
  <c r="F323" i="1"/>
  <c r="F285" i="1"/>
  <c r="F279" i="1"/>
  <c r="F269" i="1"/>
  <c r="F259" i="1"/>
  <c r="F254" i="1"/>
  <c r="F248" i="1"/>
  <c r="F237" i="1"/>
  <c r="F207" i="1"/>
  <c r="F361" i="1"/>
  <c r="F345" i="1"/>
  <c r="F329" i="1"/>
  <c r="F313" i="1"/>
  <c r="F297" i="1"/>
  <c r="F273" i="1"/>
  <c r="F253" i="1"/>
  <c r="F247" i="1"/>
  <c r="F236" i="1"/>
  <c r="F417" i="1"/>
  <c r="F367" i="1"/>
  <c r="F351" i="1"/>
  <c r="F335" i="1"/>
  <c r="F284" i="1"/>
  <c r="F241" i="1"/>
  <c r="F449" i="1"/>
  <c r="F373" i="1"/>
  <c r="F357" i="1"/>
  <c r="F341" i="1"/>
  <c r="F325" i="1"/>
  <c r="F309" i="1"/>
  <c r="F293" i="1"/>
  <c r="F283" i="1"/>
  <c r="F277" i="1"/>
  <c r="F272" i="1"/>
  <c r="F252" i="1"/>
  <c r="F266" i="1"/>
  <c r="F225" i="1"/>
  <c r="F217" i="1"/>
  <c r="F214" i="1"/>
  <c r="F211" i="1"/>
  <c r="F199" i="1"/>
  <c r="F186" i="1"/>
  <c r="F182" i="1"/>
  <c r="F278" i="1"/>
  <c r="F246" i="1"/>
  <c r="F205" i="1"/>
  <c r="F103" i="1"/>
  <c r="F290" i="1"/>
  <c r="F258" i="1"/>
  <c r="F238" i="1"/>
  <c r="F72" i="1"/>
  <c r="F270" i="1"/>
  <c r="F234" i="1"/>
  <c r="F216" i="1"/>
  <c r="F213" i="1"/>
  <c r="F210" i="1"/>
  <c r="F204" i="1"/>
  <c r="F201" i="1"/>
  <c r="F93" i="1"/>
  <c r="F282" i="1"/>
  <c r="F250" i="1"/>
  <c r="F230" i="1"/>
  <c r="F226" i="1"/>
  <c r="F174" i="1"/>
  <c r="F130" i="1"/>
  <c r="F47" i="1"/>
  <c r="F262" i="1"/>
  <c r="F212" i="1"/>
  <c r="F200" i="1"/>
  <c r="F191" i="1"/>
  <c r="F274" i="1"/>
  <c r="F242" i="1"/>
  <c r="F206" i="1"/>
  <c r="F203" i="1"/>
  <c r="F194" i="1"/>
  <c r="F178" i="1"/>
  <c r="F208" i="1"/>
  <c r="F192" i="1"/>
  <c r="F188" i="1"/>
  <c r="F184" i="1"/>
  <c r="F180" i="1"/>
  <c r="F176" i="1"/>
  <c r="F172" i="1"/>
  <c r="F160" i="1"/>
  <c r="F152" i="1"/>
  <c r="F144" i="1"/>
  <c r="F136" i="1"/>
  <c r="F88" i="1"/>
  <c r="F71" i="1"/>
  <c r="F197" i="1"/>
  <c r="F165" i="1"/>
  <c r="F157" i="1"/>
  <c r="F149" i="1"/>
  <c r="F141" i="1"/>
  <c r="F133" i="1"/>
  <c r="F116" i="1"/>
  <c r="F77" i="1"/>
  <c r="F101" i="1"/>
  <c r="F76" i="1"/>
  <c r="F69" i="1"/>
  <c r="F209" i="1"/>
  <c r="F193" i="1"/>
  <c r="F169" i="1"/>
  <c r="F128" i="1"/>
  <c r="F124" i="1"/>
  <c r="F110" i="1"/>
  <c r="F96" i="1"/>
  <c r="F189" i="1"/>
  <c r="F185" i="1"/>
  <c r="F181" i="1"/>
  <c r="F177" i="1"/>
  <c r="F173" i="1"/>
  <c r="F164" i="1"/>
  <c r="F156" i="1"/>
  <c r="F148" i="1"/>
  <c r="F140" i="1"/>
  <c r="F132" i="1"/>
  <c r="F95" i="1"/>
  <c r="F62" i="1"/>
  <c r="F161" i="1"/>
  <c r="F153" i="1"/>
  <c r="F145" i="1"/>
  <c r="F137" i="1"/>
  <c r="F104" i="1"/>
  <c r="F80" i="1"/>
  <c r="F74" i="1"/>
  <c r="F61" i="1"/>
  <c r="F55" i="1"/>
  <c r="F196" i="1"/>
  <c r="F168" i="1"/>
  <c r="F131" i="1"/>
  <c r="F118" i="1"/>
  <c r="F108" i="1"/>
  <c r="F84" i="1"/>
  <c r="F54" i="1"/>
  <c r="F27" i="1"/>
  <c r="F129" i="1"/>
  <c r="F107" i="1"/>
  <c r="F105" i="1"/>
  <c r="F90" i="1"/>
  <c r="F57" i="1"/>
  <c r="F50" i="1"/>
  <c r="F43" i="1"/>
  <c r="F31" i="1"/>
  <c r="F127" i="1"/>
  <c r="F111" i="1"/>
  <c r="F109" i="1"/>
  <c r="F94" i="1"/>
  <c r="F85" i="1"/>
  <c r="F82" i="1"/>
  <c r="F79" i="1"/>
  <c r="F53" i="1"/>
  <c r="F46" i="1"/>
  <c r="F39" i="1"/>
  <c r="F35" i="1"/>
  <c r="F26" i="1"/>
  <c r="F125" i="1"/>
  <c r="F115" i="1"/>
  <c r="F113" i="1"/>
  <c r="F98" i="1"/>
  <c r="F87" i="1"/>
  <c r="F73" i="1"/>
  <c r="F70" i="1"/>
  <c r="F67" i="1"/>
  <c r="F49" i="1"/>
  <c r="F42" i="1"/>
  <c r="F30" i="1"/>
  <c r="F123" i="1"/>
  <c r="F119" i="1"/>
  <c r="F117" i="1"/>
  <c r="F102" i="1"/>
  <c r="F63" i="1"/>
  <c r="F45" i="1"/>
  <c r="F38" i="1"/>
  <c r="F34" i="1"/>
  <c r="F25" i="1"/>
  <c r="F121" i="1"/>
  <c r="F106" i="1"/>
  <c r="F91" i="1"/>
  <c r="F89" i="1"/>
  <c r="F81" i="1"/>
  <c r="F78" i="1"/>
  <c r="F75" i="1"/>
  <c r="F66" i="1"/>
  <c r="F59" i="1"/>
  <c r="F41" i="1"/>
  <c r="F29" i="1"/>
  <c r="F15" i="1"/>
  <c r="F37" i="1"/>
  <c r="F33" i="1"/>
  <c r="F19" i="1"/>
  <c r="F114" i="1"/>
  <c r="F99" i="1"/>
  <c r="F97" i="1"/>
  <c r="F86" i="1"/>
  <c r="F83" i="1"/>
  <c r="F65" i="1"/>
  <c r="F58" i="1"/>
  <c r="F51" i="1"/>
  <c r="F23" i="1"/>
  <c r="A3"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<sst xmlns="http://schemas.openxmlformats.org/spreadsheetml/2006/main" count="5127" uniqueCount="1051">
  <si>
    <t>CY2023</t>
  </si>
  <si>
    <t>Revenuue</t>
  </si>
  <si>
    <t>Shares</t>
  </si>
  <si>
    <t>EPS</t>
  </si>
  <si>
    <t>NI</t>
  </si>
  <si>
    <t>NI Margin</t>
  </si>
  <si>
    <t>NYSE:MMM</t>
  </si>
  <si>
    <t>NYSE:AOS</t>
  </si>
  <si>
    <t>NYSE:ABT</t>
  </si>
  <si>
    <t>NYSE:ABBV</t>
  </si>
  <si>
    <t>NYSE:ACN</t>
  </si>
  <si>
    <t>NasdaqGS:ADBE</t>
  </si>
  <si>
    <t>NasdaqGS:AMD</t>
  </si>
  <si>
    <t>NYSE:AFL</t>
  </si>
  <si>
    <t>NYSE:A</t>
  </si>
  <si>
    <t>NYSE:APD</t>
  </si>
  <si>
    <t>NasdaqGS:ABNB</t>
  </si>
  <si>
    <t>NasdaqGS:AKAM</t>
  </si>
  <si>
    <t>NYSE:ALB</t>
  </si>
  <si>
    <t>NYSE:ARE</t>
  </si>
  <si>
    <t>NasdaqGS:ALGN</t>
  </si>
  <si>
    <t>NYSE:ALLE</t>
  </si>
  <si>
    <t>NasdaqGS:LNT</t>
  </si>
  <si>
    <t>NasdaqGS:GOOG</t>
  </si>
  <si>
    <t>NasdaqGS:GOOGL</t>
  </si>
  <si>
    <t>NYSE:MO</t>
  </si>
  <si>
    <t>NasdaqGS:AMZN</t>
  </si>
  <si>
    <t>NYSE:AMCR</t>
  </si>
  <si>
    <t>NYSE:AEE</t>
  </si>
  <si>
    <t>NasdaqGS:AEP</t>
  </si>
  <si>
    <t>NYSE:AXP</t>
  </si>
  <si>
    <t>NYSE:AIG</t>
  </si>
  <si>
    <t>NYSE:AMT</t>
  </si>
  <si>
    <t>NYSE:AWK</t>
  </si>
  <si>
    <t>NYSE:AMP</t>
  </si>
  <si>
    <t>NYSE:AME</t>
  </si>
  <si>
    <t>NasdaqGS:AMGN</t>
  </si>
  <si>
    <t>NYSE:APH</t>
  </si>
  <si>
    <t>NasdaqGS:ADI</t>
  </si>
  <si>
    <t>NasdaqGS:ANSS</t>
  </si>
  <si>
    <t>NYSE:AON</t>
  </si>
  <si>
    <t>NasdaqGS:APA</t>
  </si>
  <si>
    <t>NYSE:APO</t>
  </si>
  <si>
    <t>NasdaqGS:AAPL</t>
  </si>
  <si>
    <t>NasdaqGS:AMAT</t>
  </si>
  <si>
    <t>NYSE:APTV</t>
  </si>
  <si>
    <t>NasdaqGS:ACGL</t>
  </si>
  <si>
    <t>NYSE:ADM</t>
  </si>
  <si>
    <t>NYSE:ANET</t>
  </si>
  <si>
    <t>NYSE:AJG</t>
  </si>
  <si>
    <t>NYSE:AIZ</t>
  </si>
  <si>
    <t>NYSE:T</t>
  </si>
  <si>
    <t>NYSE:ATO</t>
  </si>
  <si>
    <t>NasdaqGS:ADSK</t>
  </si>
  <si>
    <t>NasdaqGS:ADP</t>
  </si>
  <si>
    <t>NYSE:AZO</t>
  </si>
  <si>
    <t>NYSE:AVB</t>
  </si>
  <si>
    <t>NYSE:AVY</t>
  </si>
  <si>
    <t>NasdaqGS:AXON</t>
  </si>
  <si>
    <t>NasdaqGS:BKR</t>
  </si>
  <si>
    <t>NYSE:BALL</t>
  </si>
  <si>
    <t>NYSE:BAC</t>
  </si>
  <si>
    <t>NYSE:BAX</t>
  </si>
  <si>
    <t>NYSE:BDX</t>
  </si>
  <si>
    <t>NYSE:BRK.B</t>
  </si>
  <si>
    <t>NYSE:BBY</t>
  </si>
  <si>
    <t>NasdaqGS:TECH</t>
  </si>
  <si>
    <t>NasdaqGS:BIIB</t>
  </si>
  <si>
    <t>NYSE:BLK</t>
  </si>
  <si>
    <t>NYSE:BX</t>
  </si>
  <si>
    <t>NasdaqGS:BKNG</t>
  </si>
  <si>
    <t>NYSE:BWA</t>
  </si>
  <si>
    <t>NYSE:BSX</t>
  </si>
  <si>
    <t>NYSE:BMY</t>
  </si>
  <si>
    <t>NasdaqGS:AVGO</t>
  </si>
  <si>
    <t>NYSE:BR</t>
  </si>
  <si>
    <t>NYSE:BRO</t>
  </si>
  <si>
    <t>NYSE:BF.B</t>
  </si>
  <si>
    <t>NYSE:BLDR</t>
  </si>
  <si>
    <t>NYSE:BG</t>
  </si>
  <si>
    <t>NYSE:BXP</t>
  </si>
  <si>
    <t>NasdaqGS:CHRW</t>
  </si>
  <si>
    <t>NasdaqGS:CDNS</t>
  </si>
  <si>
    <t>NasdaqGS:CZR</t>
  </si>
  <si>
    <t>NYSE:CPT</t>
  </si>
  <si>
    <t>NYSE:COF</t>
  </si>
  <si>
    <t>NYSE:CAH</t>
  </si>
  <si>
    <t>NYSE:KMX</t>
  </si>
  <si>
    <t>NYSE:CCL</t>
  </si>
  <si>
    <t>NYSE:CARR</t>
  </si>
  <si>
    <t>NYSE:CAT</t>
  </si>
  <si>
    <t>BATS:CBOE</t>
  </si>
  <si>
    <t>NYSE:CBRE</t>
  </si>
  <si>
    <t>NasdaqGS:CDW</t>
  </si>
  <si>
    <t>NYSE:CE</t>
  </si>
  <si>
    <t>NYSE:COR</t>
  </si>
  <si>
    <t>NYSE:CNC</t>
  </si>
  <si>
    <t>NYSE:CNP</t>
  </si>
  <si>
    <t>NYSE:CF</t>
  </si>
  <si>
    <t>NYSE:CRL</t>
  </si>
  <si>
    <t>NasdaqGS:CHTR</t>
  </si>
  <si>
    <t>NYSE:CVX</t>
  </si>
  <si>
    <t>NYSE:CMG</t>
  </si>
  <si>
    <t>NYSE:CB</t>
  </si>
  <si>
    <t>NYSE:CHD</t>
  </si>
  <si>
    <t>NasdaqGS:CINF</t>
  </si>
  <si>
    <t>NasdaqGS:CTAS</t>
  </si>
  <si>
    <t>NasdaqGS:CSCO</t>
  </si>
  <si>
    <t>NYSE:C</t>
  </si>
  <si>
    <t>NYSE:CFG</t>
  </si>
  <si>
    <t>NasdaqGS:CME</t>
  </si>
  <si>
    <t>NYSE:CMS</t>
  </si>
  <si>
    <t>NasdaqGS:CTSH</t>
  </si>
  <si>
    <t>NYSE:CL</t>
  </si>
  <si>
    <t>NasdaqGS:CMCSA</t>
  </si>
  <si>
    <t>NYSE:CAG</t>
  </si>
  <si>
    <t>NYSE:COP</t>
  </si>
  <si>
    <t>NYSE:ED</t>
  </si>
  <si>
    <t>NYSE:STZ</t>
  </si>
  <si>
    <t>NasdaqGS:CEG</t>
  </si>
  <si>
    <t>NasdaqGS:CPRT</t>
  </si>
  <si>
    <t>NYSE:GLW</t>
  </si>
  <si>
    <t>NYSE:CPAY</t>
  </si>
  <si>
    <t>NYSE:CTVA</t>
  </si>
  <si>
    <t>NasdaqGS:CSGP</t>
  </si>
  <si>
    <t>NasdaqGS:COST</t>
  </si>
  <si>
    <t>NYSE:CTRA</t>
  </si>
  <si>
    <t>NasdaqGS:CRWD</t>
  </si>
  <si>
    <t>NYSE:CCI</t>
  </si>
  <si>
    <t>NasdaqGS:CSX</t>
  </si>
  <si>
    <t>NYSE:CMI</t>
  </si>
  <si>
    <t>NYSE:CVS</t>
  </si>
  <si>
    <t>NYSE:DHI</t>
  </si>
  <si>
    <t>NYSE:DHR</t>
  </si>
  <si>
    <t>NYSE:DRI</t>
  </si>
  <si>
    <t>NYSE:DVA</t>
  </si>
  <si>
    <t>NYSE:DAY</t>
  </si>
  <si>
    <t>NYSE:DECK</t>
  </si>
  <si>
    <t>NYSE:DE</t>
  </si>
  <si>
    <t>NYSE:DELL</t>
  </si>
  <si>
    <t>NYSE:DAL</t>
  </si>
  <si>
    <t>NYSE:DVN</t>
  </si>
  <si>
    <t>NasdaqGS:DXCM</t>
  </si>
  <si>
    <t>NasdaqGS:FANG</t>
  </si>
  <si>
    <t>NYSE:DLR</t>
  </si>
  <si>
    <t>NYSE:DFS</t>
  </si>
  <si>
    <t>NYSE:DG</t>
  </si>
  <si>
    <t>NasdaqGS:DLTR</t>
  </si>
  <si>
    <t>NYSE:D</t>
  </si>
  <si>
    <t>NasdaqGS:DPZ</t>
  </si>
  <si>
    <t>NYSE:DOV</t>
  </si>
  <si>
    <t>NYSE:DOW</t>
  </si>
  <si>
    <t>NYSE:DTE</t>
  </si>
  <si>
    <t>NYSE:DUK</t>
  </si>
  <si>
    <t>NYSE:DD</t>
  </si>
  <si>
    <t>NYSE:EMN</t>
  </si>
  <si>
    <t>NYSE:ETN</t>
  </si>
  <si>
    <t>NasdaqGS:EBAY</t>
  </si>
  <si>
    <t>NYSE:ECL</t>
  </si>
  <si>
    <t>NYSE:EIX</t>
  </si>
  <si>
    <t>NYSE:EW</t>
  </si>
  <si>
    <t>NasdaqGS:EA</t>
  </si>
  <si>
    <t>NYSE:ELV</t>
  </si>
  <si>
    <t>NYSE:LLY</t>
  </si>
  <si>
    <t>NYSE:EMR</t>
  </si>
  <si>
    <t>NasdaqGM:ENPH</t>
  </si>
  <si>
    <t>NYSE:ETR</t>
  </si>
  <si>
    <t>NYSE:EOG</t>
  </si>
  <si>
    <t>NYSE:EPAM</t>
  </si>
  <si>
    <t>NYSE:EQT</t>
  </si>
  <si>
    <t>NYSE:EFX</t>
  </si>
  <si>
    <t>NasdaqGS:EQIX</t>
  </si>
  <si>
    <t>NYSE:EQR</t>
  </si>
  <si>
    <t>NasdaqGS:ERIE</t>
  </si>
  <si>
    <t>NYSE:ESS</t>
  </si>
  <si>
    <t>NYSE:EG</t>
  </si>
  <si>
    <t>NasdaqGS:EVRG</t>
  </si>
  <si>
    <t>NYSE:ES</t>
  </si>
  <si>
    <t>NasdaqGS:EXC</t>
  </si>
  <si>
    <t>NasdaqGS:EXPE</t>
  </si>
  <si>
    <t>NYSE:EXPD</t>
  </si>
  <si>
    <t>NYSE:EXR</t>
  </si>
  <si>
    <t>NYSE:XOM</t>
  </si>
  <si>
    <t>NasdaqGS:FFIV</t>
  </si>
  <si>
    <t>NYSE:FDS</t>
  </si>
  <si>
    <t>NYSE:FICO</t>
  </si>
  <si>
    <t>NasdaqGS:FAST</t>
  </si>
  <si>
    <t>NYSE:FRT</t>
  </si>
  <si>
    <t>NYSE:FDX</t>
  </si>
  <si>
    <t>NYSE:FIS</t>
  </si>
  <si>
    <t>NasdaqGS:FITB</t>
  </si>
  <si>
    <t>NasdaqGS:FSLR</t>
  </si>
  <si>
    <t>NYSE:FE</t>
  </si>
  <si>
    <t>NYSE:FI</t>
  </si>
  <si>
    <t>NYSE:FMC</t>
  </si>
  <si>
    <t>NYSE:F</t>
  </si>
  <si>
    <t>NasdaqGS:FTNT</t>
  </si>
  <si>
    <t>NYSE:FTV</t>
  </si>
  <si>
    <t>NasdaqGS:FOX</t>
  </si>
  <si>
    <t>NasdaqGS:FOXA</t>
  </si>
  <si>
    <t>NYSE:BEN</t>
  </si>
  <si>
    <t>NYSE:FCX</t>
  </si>
  <si>
    <t>NYSE:GRMN</t>
  </si>
  <si>
    <t>NYSE:IT</t>
  </si>
  <si>
    <t>NasdaqGS:GEHC</t>
  </si>
  <si>
    <t>NYSE:GEV</t>
  </si>
  <si>
    <t>NasdaqGS:GEN</t>
  </si>
  <si>
    <t>NYSE:GNRC</t>
  </si>
  <si>
    <t>NYSE:GD</t>
  </si>
  <si>
    <t>NYSE:GE</t>
  </si>
  <si>
    <t>NYSE:GIS</t>
  </si>
  <si>
    <t>NYSE:GM</t>
  </si>
  <si>
    <t>NYSE:GPC</t>
  </si>
  <si>
    <t>NasdaqGS:GILD</t>
  </si>
  <si>
    <t>NYSE:GPN</t>
  </si>
  <si>
    <t>NYSE:GL</t>
  </si>
  <si>
    <t>NYSE:GDDY</t>
  </si>
  <si>
    <t>NYSE:HAL</t>
  </si>
  <si>
    <t>NasdaqGS:HAS</t>
  </si>
  <si>
    <t>NYSE:HCA</t>
  </si>
  <si>
    <t>NYSE:DOC</t>
  </si>
  <si>
    <t>NasdaqGS:HSIC</t>
  </si>
  <si>
    <t>NYSE:HES</t>
  </si>
  <si>
    <t>NYSE:HPE</t>
  </si>
  <si>
    <t>NYSE:HLT</t>
  </si>
  <si>
    <t>NasdaqGS:HOLX</t>
  </si>
  <si>
    <t>NasdaqGS:HON</t>
  </si>
  <si>
    <t>NYSE:HRL</t>
  </si>
  <si>
    <t>NasdaqGS:HST</t>
  </si>
  <si>
    <t>NYSE:HWM</t>
  </si>
  <si>
    <t>NYSE:HPQ</t>
  </si>
  <si>
    <t>NYSE:HUBB</t>
  </si>
  <si>
    <t>NYSE:HUM</t>
  </si>
  <si>
    <t>NasdaqGS:HBAN</t>
  </si>
  <si>
    <t>NYSE:HII</t>
  </si>
  <si>
    <t>NYSE:IEX</t>
  </si>
  <si>
    <t>NasdaqGS:IDXX</t>
  </si>
  <si>
    <t>NYSE:ITW</t>
  </si>
  <si>
    <t>NasdaqGS:INCY</t>
  </si>
  <si>
    <t>NYSE:IR</t>
  </si>
  <si>
    <t>NasdaqGS:PODD</t>
  </si>
  <si>
    <t>NasdaqGS:INTC</t>
  </si>
  <si>
    <t>NYSE:ICE</t>
  </si>
  <si>
    <t>NYSE:IBM</t>
  </si>
  <si>
    <t>NYSE:IFF</t>
  </si>
  <si>
    <t>NYSE:IP</t>
  </si>
  <si>
    <t>NasdaqGS:INTU</t>
  </si>
  <si>
    <t>NasdaqGS:ISRG</t>
  </si>
  <si>
    <t>NYSE:IVZ</t>
  </si>
  <si>
    <t>NYSE:INVH</t>
  </si>
  <si>
    <t>NYSE:IQV</t>
  </si>
  <si>
    <t>NYSE:IRM</t>
  </si>
  <si>
    <t>NasdaqGS:JBHT</t>
  </si>
  <si>
    <t>NYSE:JBL</t>
  </si>
  <si>
    <t>NasdaqGS:JKHY</t>
  </si>
  <si>
    <t>NYSE:J</t>
  </si>
  <si>
    <t>NYSE:JNJ</t>
  </si>
  <si>
    <t>NYSE:JCI</t>
  </si>
  <si>
    <t>NYSE:JPM</t>
  </si>
  <si>
    <t>NYSE:JNPR</t>
  </si>
  <si>
    <t>NYSE:K</t>
  </si>
  <si>
    <t>NYSE:KVUE</t>
  </si>
  <si>
    <t>NasdaqGS:KDP</t>
  </si>
  <si>
    <t>NYSE:KEY</t>
  </si>
  <si>
    <t>NYSE:KEYS</t>
  </si>
  <si>
    <t>NYSE:KMB</t>
  </si>
  <si>
    <t>NYSE:KIM</t>
  </si>
  <si>
    <t>NYSE:KMI</t>
  </si>
  <si>
    <t>NYSE:KKR</t>
  </si>
  <si>
    <t>NasdaqGS:KLAC</t>
  </si>
  <si>
    <t>NYSE:LHX</t>
  </si>
  <si>
    <t>NYSE:LH</t>
  </si>
  <si>
    <t>NasdaqGS:LRCX</t>
  </si>
  <si>
    <t>NYSE:LW</t>
  </si>
  <si>
    <t>NYSE:LVS</t>
  </si>
  <si>
    <t>NYSE:LDOS</t>
  </si>
  <si>
    <t>NYSE:LEN</t>
  </si>
  <si>
    <t>NYSE:LII</t>
  </si>
  <si>
    <t>NasdaqGS:LIN</t>
  </si>
  <si>
    <t>NYSE:LYV</t>
  </si>
  <si>
    <t>NasdaqGS:LKQ</t>
  </si>
  <si>
    <t>NYSE:LMT</t>
  </si>
  <si>
    <t>NYSE:L</t>
  </si>
  <si>
    <t>NYSE:LOW</t>
  </si>
  <si>
    <t>NasdaqGS:LULU</t>
  </si>
  <si>
    <t>NYSE:LYB</t>
  </si>
  <si>
    <t>NYSE:MTB</t>
  </si>
  <si>
    <t>NYSE:MPC</t>
  </si>
  <si>
    <t>NasdaqGS:MKTX</t>
  </si>
  <si>
    <t>NasdaqGS:MAR</t>
  </si>
  <si>
    <t>NYSE:MMC</t>
  </si>
  <si>
    <t>NYSE:MLM</t>
  </si>
  <si>
    <t>NYSE:MAS</t>
  </si>
  <si>
    <t>NYSE:MA</t>
  </si>
  <si>
    <t>NasdaqGS:MTCH</t>
  </si>
  <si>
    <t>NYSE:MKC</t>
  </si>
  <si>
    <t>NYSE:MCD</t>
  </si>
  <si>
    <t>NYSE:MCK</t>
  </si>
  <si>
    <t>NYSE:MDT</t>
  </si>
  <si>
    <t>NYSE:MRK</t>
  </si>
  <si>
    <t>NasdaqGS:META</t>
  </si>
  <si>
    <t>NYSE:MET</t>
  </si>
  <si>
    <t>NYSE:MTD</t>
  </si>
  <si>
    <t>NYSE:MGM</t>
  </si>
  <si>
    <t>NasdaqGS:MCHP</t>
  </si>
  <si>
    <t>NasdaqGS:MU</t>
  </si>
  <si>
    <t>NasdaqGS:MSFT</t>
  </si>
  <si>
    <t>NYSE:MAA</t>
  </si>
  <si>
    <t>NasdaqGS:MRNA</t>
  </si>
  <si>
    <t>NYSE:MHK</t>
  </si>
  <si>
    <t>NYSE:MOH</t>
  </si>
  <si>
    <t>NYSE:TAP</t>
  </si>
  <si>
    <t>NasdaqGS:MDLZ</t>
  </si>
  <si>
    <t>NasdaqGS:MPWR</t>
  </si>
  <si>
    <t>NasdaqGS:MNST</t>
  </si>
  <si>
    <t>NYSE:MCO</t>
  </si>
  <si>
    <t>NYSE:MS</t>
  </si>
  <si>
    <t>NYSE:MSI</t>
  </si>
  <si>
    <t>NYSE:MSCI</t>
  </si>
  <si>
    <t>NasdaqGS:NDAQ</t>
  </si>
  <si>
    <t>NasdaqGS:NTAP</t>
  </si>
  <si>
    <t>NasdaqGS:NFLX</t>
  </si>
  <si>
    <t>NYSE:NEM</t>
  </si>
  <si>
    <t>NasdaqGS:NWS</t>
  </si>
  <si>
    <t>NasdaqGS:NWSA</t>
  </si>
  <si>
    <t>NYSE:NEE</t>
  </si>
  <si>
    <t>NYSE:NKE</t>
  </si>
  <si>
    <t>NYSE:NI</t>
  </si>
  <si>
    <t>NasdaqGS:NDSN</t>
  </si>
  <si>
    <t>NYSE:NSC</t>
  </si>
  <si>
    <t>NasdaqGS:NTRS</t>
  </si>
  <si>
    <t>NYSE:NOC</t>
  </si>
  <si>
    <t>NYSE:NCLH</t>
  </si>
  <si>
    <t>NYSE:NRG</t>
  </si>
  <si>
    <t>NYSE:NUE</t>
  </si>
  <si>
    <t>NasdaqGS:NVDA</t>
  </si>
  <si>
    <t>NYSE:NVR</t>
  </si>
  <si>
    <t>NasdaqGS:NXPI</t>
  </si>
  <si>
    <t>NasdaqGS:ORLY</t>
  </si>
  <si>
    <t>NYSE:OXY</t>
  </si>
  <si>
    <t>NasdaqGS:ODFL</t>
  </si>
  <si>
    <t>NYSE:OMC</t>
  </si>
  <si>
    <t>NasdaqGS:ON</t>
  </si>
  <si>
    <t>NYSE:OKE</t>
  </si>
  <si>
    <t>NYSE:ORCL</t>
  </si>
  <si>
    <t>NYSE:OTIS</t>
  </si>
  <si>
    <t>NasdaqGS:PCAR</t>
  </si>
  <si>
    <t>NYSE:PKG</t>
  </si>
  <si>
    <t>NasdaqGS:PLTR</t>
  </si>
  <si>
    <t>NasdaqGS:PANW</t>
  </si>
  <si>
    <t>NasdaqGS:PARA</t>
  </si>
  <si>
    <t>NYSE:PH</t>
  </si>
  <si>
    <t>NasdaqGS:PAYX</t>
  </si>
  <si>
    <t>NYSE:PAYC</t>
  </si>
  <si>
    <t>NasdaqGS:PYPL</t>
  </si>
  <si>
    <t>NYSE:PNR</t>
  </si>
  <si>
    <t>NasdaqGS:PEP</t>
  </si>
  <si>
    <t>NYSE:PFE</t>
  </si>
  <si>
    <t>NYSE:PCG</t>
  </si>
  <si>
    <t>NYSE:PM</t>
  </si>
  <si>
    <t>NYSE:PSX</t>
  </si>
  <si>
    <t>NYSE:PNW</t>
  </si>
  <si>
    <t>NasdaqGS:POOL</t>
  </si>
  <si>
    <t>NYSE:PPG</t>
  </si>
  <si>
    <t>NYSE:PPL</t>
  </si>
  <si>
    <t>NasdaqGS:PFG</t>
  </si>
  <si>
    <t>NYSE:PLD</t>
  </si>
  <si>
    <t>NYSE:PRU</t>
  </si>
  <si>
    <t>NasdaqGS:PTC</t>
  </si>
  <si>
    <t>NYSE:PEG</t>
  </si>
  <si>
    <t>NYSE:PSA</t>
  </si>
  <si>
    <t>NYSE:PHM</t>
  </si>
  <si>
    <t>NasdaqGS:QCOM</t>
  </si>
  <si>
    <t>NYSE:PWR</t>
  </si>
  <si>
    <t>NYSE:DGX</t>
  </si>
  <si>
    <t>NYSE:RL</t>
  </si>
  <si>
    <t>NYSE:RJF</t>
  </si>
  <si>
    <t>NYSE:O</t>
  </si>
  <si>
    <t>NasdaqGS:REG</t>
  </si>
  <si>
    <t>NasdaqGS:REGN</t>
  </si>
  <si>
    <t>NYSE:RF</t>
  </si>
  <si>
    <t>NYSE:RSG</t>
  </si>
  <si>
    <t>NYSE:RMD</t>
  </si>
  <si>
    <t>NYSE:RVTY</t>
  </si>
  <si>
    <t>NYSE:ROK</t>
  </si>
  <si>
    <t>NYSE:ROL</t>
  </si>
  <si>
    <t>NasdaqGS:ROP</t>
  </si>
  <si>
    <t>NasdaqGS:ROST</t>
  </si>
  <si>
    <t>NYSE:RCL</t>
  </si>
  <si>
    <t>NYSE:RTX</t>
  </si>
  <si>
    <t>NYSE:SPGI</t>
  </si>
  <si>
    <t>NYSE:CRM</t>
  </si>
  <si>
    <t>NasdaqGS:SBAC</t>
  </si>
  <si>
    <t>NYSE:SLB</t>
  </si>
  <si>
    <t>NasdaqGS:STX</t>
  </si>
  <si>
    <t>NYSE:SRE</t>
  </si>
  <si>
    <t>NYSE:NOW</t>
  </si>
  <si>
    <t>NYSE:SPG</t>
  </si>
  <si>
    <t>NasdaqGS:SWKS</t>
  </si>
  <si>
    <t>NYSE:SW</t>
  </si>
  <si>
    <t>NYSE:SNA</t>
  </si>
  <si>
    <t>NYSE:SOLV</t>
  </si>
  <si>
    <t>NYSE:LUV</t>
  </si>
  <si>
    <t>NYSE:SWK</t>
  </si>
  <si>
    <t>NasdaqGS:SBUX</t>
  </si>
  <si>
    <t>NYSE:STT</t>
  </si>
  <si>
    <t>NasdaqGS:STLD</t>
  </si>
  <si>
    <t>NYSE:STE</t>
  </si>
  <si>
    <t>NYSE:SYK</t>
  </si>
  <si>
    <t>NasdaqGS:SMCI</t>
  </si>
  <si>
    <t>NYSE:SYF</t>
  </si>
  <si>
    <t>NasdaqGS:SNPS</t>
  </si>
  <si>
    <t>NYSE:SYY</t>
  </si>
  <si>
    <t>NasdaqGS:TMUS</t>
  </si>
  <si>
    <t>NasdaqGS:TROW</t>
  </si>
  <si>
    <t>NasdaqGS:TTWO</t>
  </si>
  <si>
    <t>NYSE:TPR</t>
  </si>
  <si>
    <t>NYSE:TRGP</t>
  </si>
  <si>
    <t>NYSE:TGT</t>
  </si>
  <si>
    <t>NYSE:TEL</t>
  </si>
  <si>
    <t>NYSE:TDY</t>
  </si>
  <si>
    <t>NYSE:TFX</t>
  </si>
  <si>
    <t>NasdaqGS:TER</t>
  </si>
  <si>
    <t>NasdaqGS:TSLA</t>
  </si>
  <si>
    <t>NasdaqGS:TXN</t>
  </si>
  <si>
    <t>NYSE:TPL</t>
  </si>
  <si>
    <t>NYSE:TXT</t>
  </si>
  <si>
    <t>NYSE:AES</t>
  </si>
  <si>
    <t>NYSE:ALL</t>
  </si>
  <si>
    <t>NYSE:BK</t>
  </si>
  <si>
    <t>NYSE:BA</t>
  </si>
  <si>
    <t>NasdaqGS:CPB</t>
  </si>
  <si>
    <t>NYSE:SCHW</t>
  </si>
  <si>
    <t>NYSE:CI</t>
  </si>
  <si>
    <t>NYSE:CLX</t>
  </si>
  <si>
    <t>NYSE:KO</t>
  </si>
  <si>
    <t>NasdaqGS:COO</t>
  </si>
  <si>
    <t>NYSE:EL</t>
  </si>
  <si>
    <t>NYSE:GS</t>
  </si>
  <si>
    <t>NYSE:HIG</t>
  </si>
  <si>
    <t>NYSE:HSY</t>
  </si>
  <si>
    <t>NYSE:HD</t>
  </si>
  <si>
    <t>NYSE:IPG</t>
  </si>
  <si>
    <t>NYSE:SJM</t>
  </si>
  <si>
    <t>NasdaqGS:KHC</t>
  </si>
  <si>
    <t>NYSE:KR</t>
  </si>
  <si>
    <t>NYSE:MOS</t>
  </si>
  <si>
    <t>NYSE:PNC</t>
  </si>
  <si>
    <t>NYSE:PG</t>
  </si>
  <si>
    <t>NYSE:PGR</t>
  </si>
  <si>
    <t>NYSE:SHW</t>
  </si>
  <si>
    <t>NYSE:SO</t>
  </si>
  <si>
    <t>NYSE:TJX</t>
  </si>
  <si>
    <t>NYSE:TRV</t>
  </si>
  <si>
    <t>NYSE:DIS</t>
  </si>
  <si>
    <t>NYSE:WMB</t>
  </si>
  <si>
    <t>NYSE:TMO</t>
  </si>
  <si>
    <t>NasdaqGS:TSCO</t>
  </si>
  <si>
    <t>NYSE:TT</t>
  </si>
  <si>
    <t>NYSE:TDG</t>
  </si>
  <si>
    <t>NasdaqGS:TRMB</t>
  </si>
  <si>
    <t>NYSE:TFC</t>
  </si>
  <si>
    <t>NYSE:TYL</t>
  </si>
  <si>
    <t>NYSE:TSN</t>
  </si>
  <si>
    <t>NYSE:USB</t>
  </si>
  <si>
    <t>NYSE:UBER</t>
  </si>
  <si>
    <t>NYSE:UDR</t>
  </si>
  <si>
    <t>NasdaqGS:ULTA</t>
  </si>
  <si>
    <t>NYSE:UNP</t>
  </si>
  <si>
    <t>NasdaqGS:UAL</t>
  </si>
  <si>
    <t>NYSE:UPS</t>
  </si>
  <si>
    <t>NYSE:URI</t>
  </si>
  <si>
    <t>NYSE:UNH</t>
  </si>
  <si>
    <t>NYSE:UHS</t>
  </si>
  <si>
    <t>NYSE:VLO</t>
  </si>
  <si>
    <t>NYSE:VTR</t>
  </si>
  <si>
    <t>NYSE:VLTO</t>
  </si>
  <si>
    <t>NasdaqGS:VRSN</t>
  </si>
  <si>
    <t>NasdaqGS:VRSK</t>
  </si>
  <si>
    <t>NYSE:VZ</t>
  </si>
  <si>
    <t>NasdaqGS:VRTX</t>
  </si>
  <si>
    <t>NasdaqGS:VTRS</t>
  </si>
  <si>
    <t>NYSE:VICI</t>
  </si>
  <si>
    <t>NYSE:V</t>
  </si>
  <si>
    <t>NYSE:VST</t>
  </si>
  <si>
    <t>NYSE:VMC</t>
  </si>
  <si>
    <t>NYSE:WRB</t>
  </si>
  <si>
    <t>NYSE:GWW</t>
  </si>
  <si>
    <t>NasdaqGS:WBA</t>
  </si>
  <si>
    <t>NYSE:WMT</t>
  </si>
  <si>
    <t>NasdaqGS:WBD</t>
  </si>
  <si>
    <t>NYSE:WM</t>
  </si>
  <si>
    <t>NYSE:WAT</t>
  </si>
  <si>
    <t>NYSE:WEC</t>
  </si>
  <si>
    <t>NYSE:WFC</t>
  </si>
  <si>
    <t>NYSE:WELL</t>
  </si>
  <si>
    <t>NYSE:WST</t>
  </si>
  <si>
    <t>NasdaqGS:WDC</t>
  </si>
  <si>
    <t>NYSE:WAB</t>
  </si>
  <si>
    <t>NYSE:WY</t>
  </si>
  <si>
    <t>NasdaqGS:WTW</t>
  </si>
  <si>
    <t>NasdaqGS:WDAY</t>
  </si>
  <si>
    <t>NasdaqGS:WYNN</t>
  </si>
  <si>
    <t>NasdaqGS:XEL</t>
  </si>
  <si>
    <t>NYSE:XYL</t>
  </si>
  <si>
    <t>NYSE:YUM</t>
  </si>
  <si>
    <t>NasdaqGS:ZBRA</t>
  </si>
  <si>
    <t>NYSE:ZBH</t>
  </si>
  <si>
    <t>NYSE:ZTS</t>
  </si>
  <si>
    <t>CY2022</t>
  </si>
  <si>
    <t>market_cap</t>
  </si>
  <si>
    <t>Share</t>
  </si>
  <si>
    <t>aggregation</t>
  </si>
  <si>
    <t>simple Avg</t>
  </si>
  <si>
    <t>weighted Avg</t>
  </si>
  <si>
    <t>CY2021</t>
  </si>
  <si>
    <t>MMM</t>
  </si>
  <si>
    <t>AOS</t>
  </si>
  <si>
    <t>ABT</t>
  </si>
  <si>
    <t>ABBV</t>
  </si>
  <si>
    <t>ACN</t>
  </si>
  <si>
    <t>ADBE</t>
  </si>
  <si>
    <t>AMD</t>
  </si>
  <si>
    <t>AES</t>
  </si>
  <si>
    <t>AFL</t>
  </si>
  <si>
    <t>A</t>
  </si>
  <si>
    <t>APD</t>
  </si>
  <si>
    <t>ABNB</t>
  </si>
  <si>
    <t>AKAM</t>
  </si>
  <si>
    <t>ALB</t>
  </si>
  <si>
    <t>ARE</t>
  </si>
  <si>
    <t>ALGN</t>
  </si>
  <si>
    <t>ALLE</t>
  </si>
  <si>
    <t>LNT</t>
  </si>
  <si>
    <t>ALL</t>
  </si>
  <si>
    <t>GOOGL</t>
  </si>
  <si>
    <t>GOOG</t>
  </si>
  <si>
    <t>MO</t>
  </si>
  <si>
    <t>AMZN</t>
  </si>
  <si>
    <t>AMCR</t>
  </si>
  <si>
    <t>AEE</t>
  </si>
  <si>
    <t>AAL</t>
  </si>
  <si>
    <t>AEP</t>
  </si>
  <si>
    <t>AXP</t>
  </si>
  <si>
    <t>AIG</t>
  </si>
  <si>
    <t>AMT</t>
  </si>
  <si>
    <t>AWK</t>
  </si>
  <si>
    <t>AMP</t>
  </si>
  <si>
    <t>AME</t>
  </si>
  <si>
    <t>AMGN</t>
  </si>
  <si>
    <t>APH</t>
  </si>
  <si>
    <t>ADI</t>
  </si>
  <si>
    <t>ANSS</t>
  </si>
  <si>
    <t>AON</t>
  </si>
  <si>
    <t>APA</t>
  </si>
  <si>
    <t>AAPL</t>
  </si>
  <si>
    <t>AMAT</t>
  </si>
  <si>
    <t>APTV</t>
  </si>
  <si>
    <t>ACGL</t>
  </si>
  <si>
    <t>ADM</t>
  </si>
  <si>
    <t>ANET</t>
  </si>
  <si>
    <t>AJG</t>
  </si>
  <si>
    <t>AIZ</t>
  </si>
  <si>
    <t>T</t>
  </si>
  <si>
    <t>ATO</t>
  </si>
  <si>
    <t>ADSK</t>
  </si>
  <si>
    <t>ADP</t>
  </si>
  <si>
    <t>AZO</t>
  </si>
  <si>
    <t>AVB</t>
  </si>
  <si>
    <t>AVY</t>
  </si>
  <si>
    <t>AXON</t>
  </si>
  <si>
    <t>BKR</t>
  </si>
  <si>
    <t>BALL</t>
  </si>
  <si>
    <t>BAC</t>
  </si>
  <si>
    <t>BK</t>
  </si>
  <si>
    <t>BBWI</t>
  </si>
  <si>
    <t>BAX</t>
  </si>
  <si>
    <t>BDX</t>
  </si>
  <si>
    <t>BRK.B</t>
  </si>
  <si>
    <t>BBY</t>
  </si>
  <si>
    <t>BIO</t>
  </si>
  <si>
    <t>TECH</t>
  </si>
  <si>
    <t>BIIB</t>
  </si>
  <si>
    <t>BLK</t>
  </si>
  <si>
    <t>BX</t>
  </si>
  <si>
    <t>BA</t>
  </si>
  <si>
    <t>BKNG</t>
  </si>
  <si>
    <t>BWA</t>
  </si>
  <si>
    <t>BXP</t>
  </si>
  <si>
    <t>BSX</t>
  </si>
  <si>
    <t>BMY</t>
  </si>
  <si>
    <t>AVGO</t>
  </si>
  <si>
    <t>BR</t>
  </si>
  <si>
    <t>BRO</t>
  </si>
  <si>
    <t>BF.B</t>
  </si>
  <si>
    <t>BG</t>
  </si>
  <si>
    <t>CDNS</t>
  </si>
  <si>
    <t>CZR</t>
  </si>
  <si>
    <t>CPT</t>
  </si>
  <si>
    <t>CPB</t>
  </si>
  <si>
    <t>COF</t>
  </si>
  <si>
    <t>CAH</t>
  </si>
  <si>
    <t>KMX</t>
  </si>
  <si>
    <t>CCL</t>
  </si>
  <si>
    <t>CARR</t>
  </si>
  <si>
    <t>CTLT</t>
  </si>
  <si>
    <t>CAT</t>
  </si>
  <si>
    <t>CBOE</t>
  </si>
  <si>
    <t>CBRE</t>
  </si>
  <si>
    <t>CDW</t>
  </si>
  <si>
    <t>CE</t>
  </si>
  <si>
    <t>COR</t>
  </si>
  <si>
    <t>CNC</t>
  </si>
  <si>
    <t>CNP</t>
  </si>
  <si>
    <t>CF</t>
  </si>
  <si>
    <t>CHRW</t>
  </si>
  <si>
    <t>CRL</t>
  </si>
  <si>
    <t>SCHW</t>
  </si>
  <si>
    <t>CHTR</t>
  </si>
  <si>
    <t>CVX</t>
  </si>
  <si>
    <t>CMG</t>
  </si>
  <si>
    <t>CB</t>
  </si>
  <si>
    <t>CHD</t>
  </si>
  <si>
    <t>CI</t>
  </si>
  <si>
    <t>CINF</t>
  </si>
  <si>
    <t>CTAS</t>
  </si>
  <si>
    <t>CSCO</t>
  </si>
  <si>
    <t>C</t>
  </si>
  <si>
    <t>CFG</t>
  </si>
  <si>
    <t>CLX</t>
  </si>
  <si>
    <t>CME</t>
  </si>
  <si>
    <t>CMS</t>
  </si>
  <si>
    <t>KO</t>
  </si>
  <si>
    <t>CTSH</t>
  </si>
  <si>
    <t>CL</t>
  </si>
  <si>
    <t>CMCSA</t>
  </si>
  <si>
    <t>CMA</t>
  </si>
  <si>
    <t>CAG</t>
  </si>
  <si>
    <t>COP</t>
  </si>
  <si>
    <t>ED</t>
  </si>
  <si>
    <t>STZ</t>
  </si>
  <si>
    <t>CEG</t>
  </si>
  <si>
    <t>COO</t>
  </si>
  <si>
    <t>CPRT</t>
  </si>
  <si>
    <t>GLW</t>
  </si>
  <si>
    <t>CPAY</t>
  </si>
  <si>
    <t>CTVA</t>
  </si>
  <si>
    <t>CSGP</t>
  </si>
  <si>
    <t>COST</t>
  </si>
  <si>
    <t>CTRA</t>
  </si>
  <si>
    <t>CCI</t>
  </si>
  <si>
    <t>CSX</t>
  </si>
  <si>
    <t>CMI</t>
  </si>
  <si>
    <t>CVS</t>
  </si>
  <si>
    <t>DHR</t>
  </si>
  <si>
    <t>DRI</t>
  </si>
  <si>
    <t>DVA</t>
  </si>
  <si>
    <t>DAY</t>
  </si>
  <si>
    <t>DE</t>
  </si>
  <si>
    <t>DAL</t>
  </si>
  <si>
    <t>DVN</t>
  </si>
  <si>
    <t>DXCM</t>
  </si>
  <si>
    <t>FANG</t>
  </si>
  <si>
    <t>DLR</t>
  </si>
  <si>
    <t>DFS</t>
  </si>
  <si>
    <t>DG</t>
  </si>
  <si>
    <t>DLTR</t>
  </si>
  <si>
    <t>D</t>
  </si>
  <si>
    <t>DPZ</t>
  </si>
  <si>
    <t>DOV</t>
  </si>
  <si>
    <t>DOW</t>
  </si>
  <si>
    <t>DHI</t>
  </si>
  <si>
    <t>DTE</t>
  </si>
  <si>
    <t>DUK</t>
  </si>
  <si>
    <t>DD</t>
  </si>
  <si>
    <t>EMN</t>
  </si>
  <si>
    <t>ETN</t>
  </si>
  <si>
    <t>EBAY</t>
  </si>
  <si>
    <t>ECL</t>
  </si>
  <si>
    <t>EIX</t>
  </si>
  <si>
    <t>EW</t>
  </si>
  <si>
    <t>EA</t>
  </si>
  <si>
    <t>ELV</t>
  </si>
  <si>
    <t>LLY</t>
  </si>
  <si>
    <t>EMR</t>
  </si>
  <si>
    <t>ENPH</t>
  </si>
  <si>
    <t>ETR</t>
  </si>
  <si>
    <t>EOG</t>
  </si>
  <si>
    <t>EPAM</t>
  </si>
  <si>
    <t>EQT</t>
  </si>
  <si>
    <t>EFX</t>
  </si>
  <si>
    <t>EQIX</t>
  </si>
  <si>
    <t>EQR</t>
  </si>
  <si>
    <t>ESS</t>
  </si>
  <si>
    <t>EL</t>
  </si>
  <si>
    <t>ETSY</t>
  </si>
  <si>
    <t>EG</t>
  </si>
  <si>
    <t>EVRG</t>
  </si>
  <si>
    <t>ES</t>
  </si>
  <si>
    <t>EXC</t>
  </si>
  <si>
    <t>EXPE</t>
  </si>
  <si>
    <t>EXPD</t>
  </si>
  <si>
    <t>EXR</t>
  </si>
  <si>
    <t>XOM</t>
  </si>
  <si>
    <t>FFIV</t>
  </si>
  <si>
    <t>FDS</t>
  </si>
  <si>
    <t>FICO</t>
  </si>
  <si>
    <t>FAST</t>
  </si>
  <si>
    <t>FRT</t>
  </si>
  <si>
    <t>FDX</t>
  </si>
  <si>
    <t>FIS</t>
  </si>
  <si>
    <t>FITB</t>
  </si>
  <si>
    <t>FSLR</t>
  </si>
  <si>
    <t>FE</t>
  </si>
  <si>
    <t>FI</t>
  </si>
  <si>
    <t>FMC</t>
  </si>
  <si>
    <t>F</t>
  </si>
  <si>
    <t>FTNT</t>
  </si>
  <si>
    <t>FTV</t>
  </si>
  <si>
    <t>FOXA</t>
  </si>
  <si>
    <t>FOX</t>
  </si>
  <si>
    <t>BEN</t>
  </si>
  <si>
    <t>FCX</t>
  </si>
  <si>
    <t>GRMN</t>
  </si>
  <si>
    <t>IT</t>
  </si>
  <si>
    <t>GE</t>
  </si>
  <si>
    <t>GEHC</t>
  </si>
  <si>
    <t>GEN</t>
  </si>
  <si>
    <t>GNRC</t>
  </si>
  <si>
    <t>GD</t>
  </si>
  <si>
    <t>GIS</t>
  </si>
  <si>
    <t>GM</t>
  </si>
  <si>
    <t>GPC</t>
  </si>
  <si>
    <t>GILD</t>
  </si>
  <si>
    <t>GPN</t>
  </si>
  <si>
    <t>GL</t>
  </si>
  <si>
    <t>GS</t>
  </si>
  <si>
    <t>HAL</t>
  </si>
  <si>
    <t>HIG</t>
  </si>
  <si>
    <t>HAS</t>
  </si>
  <si>
    <t>HCA</t>
  </si>
  <si>
    <t>DOC</t>
  </si>
  <si>
    <t>HSIC</t>
  </si>
  <si>
    <t>HSY</t>
  </si>
  <si>
    <t>HES</t>
  </si>
  <si>
    <t>HPE</t>
  </si>
  <si>
    <t>HLT</t>
  </si>
  <si>
    <t>HOLX</t>
  </si>
  <si>
    <t>HD</t>
  </si>
  <si>
    <t>HON</t>
  </si>
  <si>
    <t>HRL</t>
  </si>
  <si>
    <t>HST</t>
  </si>
  <si>
    <t>HWM</t>
  </si>
  <si>
    <t>HPQ</t>
  </si>
  <si>
    <t>HUBB</t>
  </si>
  <si>
    <t>HUM</t>
  </si>
  <si>
    <t>HBAN</t>
  </si>
  <si>
    <t>HII</t>
  </si>
  <si>
    <t>IBM</t>
  </si>
  <si>
    <t>IEX</t>
  </si>
  <si>
    <t>IDXX</t>
  </si>
  <si>
    <t>ITW</t>
  </si>
  <si>
    <t>ILMN</t>
  </si>
  <si>
    <t>INCY</t>
  </si>
  <si>
    <t>IR</t>
  </si>
  <si>
    <t>PODD</t>
  </si>
  <si>
    <t>INTC</t>
  </si>
  <si>
    <t>ICE</t>
  </si>
  <si>
    <t>IFF</t>
  </si>
  <si>
    <t>IP</t>
  </si>
  <si>
    <t>IPG</t>
  </si>
  <si>
    <t>INTU</t>
  </si>
  <si>
    <t>ISRG</t>
  </si>
  <si>
    <t>IVZ</t>
  </si>
  <si>
    <t>INVH</t>
  </si>
  <si>
    <t>IQV</t>
  </si>
  <si>
    <t>IRM</t>
  </si>
  <si>
    <t>JBHT</t>
  </si>
  <si>
    <t>JKHY</t>
  </si>
  <si>
    <t>J</t>
  </si>
  <si>
    <t>JNJ</t>
  </si>
  <si>
    <t>JCI</t>
  </si>
  <si>
    <t>JPM</t>
  </si>
  <si>
    <t>JNPR</t>
  </si>
  <si>
    <t>K</t>
  </si>
  <si>
    <t>KVUE</t>
  </si>
  <si>
    <t>KDP</t>
  </si>
  <si>
    <t>KEY</t>
  </si>
  <si>
    <t>KEYS</t>
  </si>
  <si>
    <t>KMB</t>
  </si>
  <si>
    <t>KIM</t>
  </si>
  <si>
    <t>KMI</t>
  </si>
  <si>
    <t>KLAC</t>
  </si>
  <si>
    <t>KHC</t>
  </si>
  <si>
    <t>KR</t>
  </si>
  <si>
    <t>LHX</t>
  </si>
  <si>
    <t>LH</t>
  </si>
  <si>
    <t>LRCX</t>
  </si>
  <si>
    <t>LW</t>
  </si>
  <si>
    <t>LVS</t>
  </si>
  <si>
    <t>LDOS</t>
  </si>
  <si>
    <t>LEN</t>
  </si>
  <si>
    <t>LIN</t>
  </si>
  <si>
    <t>LYV</t>
  </si>
  <si>
    <t>LKQ</t>
  </si>
  <si>
    <t>LMT</t>
  </si>
  <si>
    <t>L</t>
  </si>
  <si>
    <t>LOW</t>
  </si>
  <si>
    <t>LULU</t>
  </si>
  <si>
    <t>LYB</t>
  </si>
  <si>
    <t>MTB</t>
  </si>
  <si>
    <t>MRO</t>
  </si>
  <si>
    <t>MPC</t>
  </si>
  <si>
    <t>MKTX</t>
  </si>
  <si>
    <t>MAR</t>
  </si>
  <si>
    <t>MMC</t>
  </si>
  <si>
    <t>MLM</t>
  </si>
  <si>
    <t>MAS</t>
  </si>
  <si>
    <t>MA</t>
  </si>
  <si>
    <t>MTCH</t>
  </si>
  <si>
    <t>MKC</t>
  </si>
  <si>
    <t>MCD</t>
  </si>
  <si>
    <t>MCK</t>
  </si>
  <si>
    <t>MDT</t>
  </si>
  <si>
    <t>MRK</t>
  </si>
  <si>
    <t>META</t>
  </si>
  <si>
    <t>MET</t>
  </si>
  <si>
    <t>MTD</t>
  </si>
  <si>
    <t>MGM</t>
  </si>
  <si>
    <t>MCHP</t>
  </si>
  <si>
    <t>MU</t>
  </si>
  <si>
    <t>MSFT</t>
  </si>
  <si>
    <t>MAA</t>
  </si>
  <si>
    <t>MRNA</t>
  </si>
  <si>
    <t>MHK</t>
  </si>
  <si>
    <t>MOH</t>
  </si>
  <si>
    <t>TAP</t>
  </si>
  <si>
    <t>MDLZ</t>
  </si>
  <si>
    <t>MPWR</t>
  </si>
  <si>
    <t>MNST</t>
  </si>
  <si>
    <t>MCO</t>
  </si>
  <si>
    <t>MS</t>
  </si>
  <si>
    <t>MOS</t>
  </si>
  <si>
    <t>MSI</t>
  </si>
  <si>
    <t>MSCI</t>
  </si>
  <si>
    <t>NDAQ</t>
  </si>
  <si>
    <t>NTAP</t>
  </si>
  <si>
    <t>NFLX</t>
  </si>
  <si>
    <t>NEM</t>
  </si>
  <si>
    <t>NWSA</t>
  </si>
  <si>
    <t>NWS</t>
  </si>
  <si>
    <t>NEE</t>
  </si>
  <si>
    <t>NKE</t>
  </si>
  <si>
    <t>NDSN</t>
  </si>
  <si>
    <t>NSC</t>
  </si>
  <si>
    <t>NTRS</t>
  </si>
  <si>
    <t>NOC</t>
  </si>
  <si>
    <t>NCLH</t>
  </si>
  <si>
    <t>NRG</t>
  </si>
  <si>
    <t>NUE</t>
  </si>
  <si>
    <t>NVDA</t>
  </si>
  <si>
    <t>NVR</t>
  </si>
  <si>
    <t>NXPI</t>
  </si>
  <si>
    <t>ORLY</t>
  </si>
  <si>
    <t>OXY</t>
  </si>
  <si>
    <t>ODFL</t>
  </si>
  <si>
    <t>OMC</t>
  </si>
  <si>
    <t>ON</t>
  </si>
  <si>
    <t>OKE</t>
  </si>
  <si>
    <t>ORCL</t>
  </si>
  <si>
    <t>OTIS</t>
  </si>
  <si>
    <t>PCAR</t>
  </si>
  <si>
    <t>PKG</t>
  </si>
  <si>
    <t>PANW</t>
  </si>
  <si>
    <t>PARA</t>
  </si>
  <si>
    <t>PH</t>
  </si>
  <si>
    <t>PAYX</t>
  </si>
  <si>
    <t>PAYC</t>
  </si>
  <si>
    <t>PYPL</t>
  </si>
  <si>
    <t>PNR</t>
  </si>
  <si>
    <t>PEP</t>
  </si>
  <si>
    <t>PFE</t>
  </si>
  <si>
    <t>PCG</t>
  </si>
  <si>
    <t>PM</t>
  </si>
  <si>
    <t>PSX</t>
  </si>
  <si>
    <t>PNW</t>
  </si>
  <si>
    <t>PNC</t>
  </si>
  <si>
    <t>POOL</t>
  </si>
  <si>
    <t>PPG</t>
  </si>
  <si>
    <t>PPL</t>
  </si>
  <si>
    <t>PFG</t>
  </si>
  <si>
    <t>PG</t>
  </si>
  <si>
    <t>PGR</t>
  </si>
  <si>
    <t>PLD</t>
  </si>
  <si>
    <t>PRU</t>
  </si>
  <si>
    <t>PEG</t>
  </si>
  <si>
    <t>PTC</t>
  </si>
  <si>
    <t>PSA</t>
  </si>
  <si>
    <t>PHM</t>
  </si>
  <si>
    <t>QRVO</t>
  </si>
  <si>
    <t>PWR</t>
  </si>
  <si>
    <t>QCOM</t>
  </si>
  <si>
    <t>DGX</t>
  </si>
  <si>
    <t>RL</t>
  </si>
  <si>
    <t>RJF</t>
  </si>
  <si>
    <t>RTX</t>
  </si>
  <si>
    <t>O</t>
  </si>
  <si>
    <t>REG</t>
  </si>
  <si>
    <t>REGN</t>
  </si>
  <si>
    <t>RF</t>
  </si>
  <si>
    <t>RSG</t>
  </si>
  <si>
    <t>RMD</t>
  </si>
  <si>
    <t>RVTY</t>
  </si>
  <si>
    <t>RHI</t>
  </si>
  <si>
    <t>ROK</t>
  </si>
  <si>
    <t>ROL</t>
  </si>
  <si>
    <t>ROP</t>
  </si>
  <si>
    <t>ROST</t>
  </si>
  <si>
    <t>RCL</t>
  </si>
  <si>
    <t>SPGI</t>
  </si>
  <si>
    <t>CRM</t>
  </si>
  <si>
    <t>SBAC</t>
  </si>
  <si>
    <t>SLB</t>
  </si>
  <si>
    <t>STX</t>
  </si>
  <si>
    <t>SRE</t>
  </si>
  <si>
    <t>NOW</t>
  </si>
  <si>
    <t>SHW</t>
  </si>
  <si>
    <t>SPG</t>
  </si>
  <si>
    <t>SWKS</t>
  </si>
  <si>
    <t>SJM</t>
  </si>
  <si>
    <t>SNA</t>
  </si>
  <si>
    <t>SO</t>
  </si>
  <si>
    <t>LUV</t>
  </si>
  <si>
    <t>SWK</t>
  </si>
  <si>
    <t>SBUX</t>
  </si>
  <si>
    <t>STT</t>
  </si>
  <si>
    <t>STLD</t>
  </si>
  <si>
    <t>STE</t>
  </si>
  <si>
    <t>SYK</t>
  </si>
  <si>
    <t>SYF</t>
  </si>
  <si>
    <t>SNPS</t>
  </si>
  <si>
    <t>SYY</t>
  </si>
  <si>
    <t>TMUS</t>
  </si>
  <si>
    <t>TROW</t>
  </si>
  <si>
    <t>TTWO</t>
  </si>
  <si>
    <t>TPR</t>
  </si>
  <si>
    <t>TRGP</t>
  </si>
  <si>
    <t>TGT</t>
  </si>
  <si>
    <t>TEL</t>
  </si>
  <si>
    <t>TDY</t>
  </si>
  <si>
    <t>TFX</t>
  </si>
  <si>
    <t>TER</t>
  </si>
  <si>
    <t>TSLA</t>
  </si>
  <si>
    <t>TXN</t>
  </si>
  <si>
    <t>TXT</t>
  </si>
  <si>
    <t>TMO</t>
  </si>
  <si>
    <t>TJX</t>
  </si>
  <si>
    <t>TSCO</t>
  </si>
  <si>
    <t>TT</t>
  </si>
  <si>
    <t>TDG</t>
  </si>
  <si>
    <t>TRV</t>
  </si>
  <si>
    <t>TRMB</t>
  </si>
  <si>
    <t>TFC</t>
  </si>
  <si>
    <t>TYL</t>
  </si>
  <si>
    <t>TSN</t>
  </si>
  <si>
    <t>USB</t>
  </si>
  <si>
    <t>UDR</t>
  </si>
  <si>
    <t>ULTA</t>
  </si>
  <si>
    <t>UNP</t>
  </si>
  <si>
    <t>UAL</t>
  </si>
  <si>
    <t>UPS</t>
  </si>
  <si>
    <t>URI</t>
  </si>
  <si>
    <t>UNH</t>
  </si>
  <si>
    <t>UHS</t>
  </si>
  <si>
    <t>VLO</t>
  </si>
  <si>
    <t>VTR</t>
  </si>
  <si>
    <t>VLTO</t>
  </si>
  <si>
    <t>VRSN</t>
  </si>
  <si>
    <t>VRSK</t>
  </si>
  <si>
    <t>VZ</t>
  </si>
  <si>
    <t>VRTX</t>
  </si>
  <si>
    <t>VTRS</t>
  </si>
  <si>
    <t>VICI</t>
  </si>
  <si>
    <t>V</t>
  </si>
  <si>
    <t>VMC</t>
  </si>
  <si>
    <t>WRB</t>
  </si>
  <si>
    <t>GWW</t>
  </si>
  <si>
    <t>WAB</t>
  </si>
  <si>
    <t>WBA</t>
  </si>
  <si>
    <t>WMT</t>
  </si>
  <si>
    <t>DIS</t>
  </si>
  <si>
    <t>WBD</t>
  </si>
  <si>
    <t>WM</t>
  </si>
  <si>
    <t>WAT</t>
  </si>
  <si>
    <t>WEC</t>
  </si>
  <si>
    <t>WFC</t>
  </si>
  <si>
    <t>WELL</t>
  </si>
  <si>
    <t>WST</t>
  </si>
  <si>
    <t>WDC</t>
  </si>
  <si>
    <t>WRK</t>
  </si>
  <si>
    <t>WY</t>
  </si>
  <si>
    <t>WMB</t>
  </si>
  <si>
    <t>WTW</t>
  </si>
  <si>
    <t>WYNN</t>
  </si>
  <si>
    <t>XEL</t>
  </si>
  <si>
    <t>XYL</t>
  </si>
  <si>
    <t>YUM</t>
  </si>
  <si>
    <t>ZBRA</t>
  </si>
  <si>
    <t>ZBH</t>
  </si>
  <si>
    <t>ZTS</t>
  </si>
  <si>
    <t>PXD</t>
  </si>
  <si>
    <t>XRAY</t>
  </si>
  <si>
    <t>VFC</t>
  </si>
  <si>
    <t>WHR</t>
  </si>
  <si>
    <t>ZION</t>
  </si>
  <si>
    <t>SEE</t>
  </si>
  <si>
    <t>ALK</t>
  </si>
  <si>
    <t>SEDG</t>
  </si>
  <si>
    <t>OGN</t>
  </si>
  <si>
    <t>DXC</t>
  </si>
  <si>
    <t>LNC</t>
  </si>
  <si>
    <t>NWL</t>
  </si>
  <si>
    <t>AAP</t>
  </si>
  <si>
    <t>DISH</t>
  </si>
  <si>
    <t>LUMN</t>
  </si>
  <si>
    <t>VNO</t>
  </si>
  <si>
    <t>MBC</t>
  </si>
  <si>
    <t>Rev</t>
  </si>
  <si>
    <t>Margin</t>
  </si>
  <si>
    <t>APO</t>
  </si>
  <si>
    <t>BLDR</t>
  </si>
  <si>
    <t>CRWD</t>
  </si>
  <si>
    <t>DECK</t>
  </si>
  <si>
    <t>DELL</t>
  </si>
  <si>
    <t>ERIE</t>
  </si>
  <si>
    <t>GEV</t>
  </si>
  <si>
    <t>GDDY</t>
  </si>
  <si>
    <t>JBL</t>
  </si>
  <si>
    <t>KKR</t>
  </si>
  <si>
    <t>LII</t>
  </si>
  <si>
    <t>PLTR</t>
  </si>
  <si>
    <t>SW</t>
  </si>
  <si>
    <t>SOLV</t>
  </si>
  <si>
    <t>SMCI</t>
  </si>
  <si>
    <t>TPL</t>
  </si>
  <si>
    <t>UBER</t>
  </si>
  <si>
    <t>VST</t>
  </si>
  <si>
    <t>WDAY</t>
  </si>
  <si>
    <t>#INVALID COMPANY ID</t>
  </si>
  <si>
    <t>NA</t>
  </si>
  <si>
    <t>允䅁䍁䕫䅁䍁䅁䅁䅁允䅂䅁䅋䅁䍁䅍兓佂䙁䅙兑䵂䕁䅫䅒杁䕁䅍睔乂䙁䅁兑佂䙁䅫䅉䩂䕁䅑䅁湂杁䅁杋䅁䍁䅧兓畂䡁䅙兙獂䝁䅫䅚杁䙁䅍䅤桂䡁䅉䅤杁䙁䅉兙畂䝁䅳克䅁䉁䕅䅁坁䅁䅁免祁䍁䄸睍睁䍁䄸杍睁䑁䅉睍䅁䅁䍉䅁坁䅁䅁免祁䍁䄸睍硁䍁䄸杍睁䑁䅉免䅁䅁䍕䅁坁䅁䅁免祁䍁䄸睍硁䍁䄸杍睁䑁䅉杍䅁䅁䍍䅁坁䅁䅁杍睁䑁䅉免瑁䑁䅁免瑁䑁䅁免䅁䉁䕕䅁坁䅁䅁杍睁䑁䅉䅎瑁䑁䅁免瑁䑁䅁免䅁䉁䕑䅁坁䅁䅁杍睁䑁䅉兎瑁䑁䅁免瑁䑁䅁免䅁䅁䔸䅁䕁䅁䅁兑䅁䑁䌰䅁䥁䅁䅁兑䉂䕁䅷䅁偄杁䅁䅃䅁䕁䅅兑兂䅁䅁睭䅍䅁䅯䅁䉂䕁䅅䅕䵂䅁䅁儫䅉䅁䅯䅁䉂䕁䅉村坂䅁䅁杍䅉䅁䅯䅁䉂䕁䅉兔䕂䅁䅁元䅑䅁䅯䅁䉂䕁䅉杔䍂䅁䅁充䅉䅁䅧䅁䉂䕁䅉䅖䅁䅁䍙䅁䭁䅁䅁兑䑂䕁䅣䅔䅁䅁䑙䅁䥁䅁䅁兑䑂䕁䄴䅁佂杁䅁权䅁䕁䅅䅒䍂䕁䅕䅁奂杁䅁䅃䅁䕁䅅䅒䩂䅁䅁睁䅍䅁䅧䅁䉂䕁䅑兔䅁䉁䑕䅁䥁䅁䅁兑䕂䙁䅁䅁楃杁䅁权䅁䕁䅅䅒呂䕁䅳䅁獂杁䅁䅃䅁䕁䅅兒䙂䅁䅁睷䅉䅁䅧䅁䉂䕁䅕䅕䅁乁䍣䅁䥁䅁䅁兑䙂䙁䅍䅁ㅁ杁䅁䅃䅁䕁䅅杒䵂䅁䅁兣䅉䅁䅧䅁䉂䕁䅫睒䅁佁䍕䅁䥁䅁䅁兑䩂䙁䅯䅁䭁杁䅁䅃䅁䕁䅅杓䡂䅁䅁共䅉䅁䅯䅁䉂䕁䅳兑乂䅁䅁睈䅉䅁䅧䅁䉂䕁䅷村䅁䅁䍷䅁䭁䅁䅁兑䵂䕁䅣杔䅁䍁䍅䅁䥁䅁䅁兑䵂䕁䅳䅁䅄睁䅁䅃䅁䕁䅅䅔䵂䅁䅁杭䅉䅁䅯䅁䉂䕁䅷䅔䙂䅁䅁杤䅉䅁䅯䅁䉂䕁䄰兑啂䅁䅁䅊䅍䅁䅯䅁䉂䕁䄰睑卂䅁䅁杵䅉䅁䅧䅁䉂䕁䄰䅒䅁䝁䍫䅁䥁䅁䅁兑乂䕁䅕䅁佃杁䅁权䅁䕁䅅兔䡂䕁䄴䅁啂杁䅁䅃䅁䕁䅅兔兂䅁䅁党䅉䅁䅧䅁䉂䕁䄰䅖䅁佁䌴䅁䭁䅁䅁兑乂䙁䅯杔䅁䙁䍯䅁䭁䅁䅁兑佂䕁䅕䅖䅁偁䍧䅁䭁䅁䅁兑佂䙁䅍睕䅁䅁䑧䅁䥁䅁䅁兑偂䕁䄴䅁㡃杁䅁䅃䅁䕁䅅睔呂䅁䅁杄䅉䅁䅧䅁䉂䙁䅁兑䅁䉁䑣䅁䥁䅁䅁兑兂䕁䅑䅁⽂杁䅁䅃䅁䕁䅅䅕䥂䅁䅁儯䅉䅁䅧䅁䉂䙁䅁睔䅁䉁䕫䅁䭁䅁䅁兑兂䙁䅑杖䅁䡁䍧䅁䥁䅁䅁兑卂䕁䅕䅁䅂杁䅁䅃䅁䕁䅅䅖偂䅁䅁兏䅍䅁䅯䅁䉂䙁䅑杖䩂䅁䅁兩䅉䅁䅧䅁䉂䙁䅙村䅁䩁䍉䅁䭁䅁䅁兑坂䕁䅣睔䅁佁䍙䅁䥁䅁䅁兑坂䙁䅫䅁䉂睁䅁䅃䅁䕁䅅睖䱂䅁䅁儸䅉䅁䅯䅁䉂䙁䅧睔佂䅁䅁睃䅉䅁䅧䅁䉂䙁䅧䅕䅁䵁䍫䅁䥁䅁䅁兑慂䕁䄸䅁䍃杁䅁杂䅁䕁䅉兑䅁佁䍣䅁䥁䅁䅁村䉂䕁䅍䅁奁杁䅁权䅁䕁䅉兑䵂䕁䅷䅁䵄杁䅁䅆䅁䕁䅉兑啂䙁䅍杏䑂䕁䅉睔䙂䅁䅁兣䅁䅁䅧䅁䍂䕁䅅䅗䅁䙁䑉䅁䭁䅁䅁村䍂䙁䅣兓䅁䕁䍕䅁䥁䅁䅁村䍂䙁䅫䅁䭂睁䅁䅃䅁䕁䅉䅒奂䅁䅁睍䅉䅁䅧䅁䍂䕁䅕杔䅁䉁䐴䅁䭁䅁䅁村䝂䍁䄴村䅁䙁䍉䅁䝁䅁䅁村䡂䅁䅁䅄䅍䅁䅯䅁䍂䕁䅫兓䍂䅁䅁睥䅉䅁䅧䅁䍂䕁䅫睔䅁䙁䑯䅁䝁䅁䅁村䱂䅁䅁睐䅉䅁䅯䅁䍂䕁䅳杔䡂䅁䅁杰䅉䅁䅧䅁䍂䕁䅳杕䅁䕁䑕䅁䭁䅁䅁村䵂䕁䅑杕䅁䉁䕧䅁䥁䅁䅁村䵂䕁䅳䅁䵃杁䅁䅃䅁䕁䅉兔婂䅁䅁睊䅍䅁䅙䅁䍂䙁䅉䅁牁睁䅁䅄䅁䕁䅉杕䱂䍁䄴村䅁䱁䌴䅁䥁䅁䅁村卂䕁䄸䅁睁睁䅁䅃䅁䕁䅉睕奂䅁䅁兢䅉䅁䅧䅁䍂䙁䅣兑䅁佁䍧䅁䝁䅁䅁村奂䅁䅁䅈䅉䅁䅧䅁䍂䙁䅧䅕䅁乁䍫䅁䕁䅁䅁睑䅁䩁䍅䅁䥁䅁䅁睑䉂䕁䅣䅁䱂杁䅁䅃䅁䕁䅍兑䥂䅁䅁兄䅍䅁䅯䅁䑂䕁䅅杕卂䅁䅁䅲䅉䅁䅧䅁䑂䕁䅅䅖䅁䡁䍑䅁䝁䅁䅁睑䍂䅁䅁兘䅍䅁䅯䅁䑂䕁䅉睔䙂䅁䅁睅䅉䅁䅯䅁䑂䕁䅉杕䙂䅁䅁睌䅉䅁䅧䅁䑂䕁䅍兓䅁䥁䑳䅁䥁䅁䅁睑䑂䕁䅷䅁捂杁䅁权䅁䕁䅍䅒佂䙁䅍䅁獁杁䅁䅃䅁䕁䅍䅒塂䅁䅁兡䅍䅁䅙䅁䑂䕁䅕䅁䥃睁䅁䅃䅁䕁䅍兒䡂䅁䅁䅦䅉䅁䅙䅁䑂䕁䅙䅁㝄杁䅁䅃䅁䕁䅍杒䡂䅁䅁兦䅍䅁䅧䅁䑂䕁䅧䅒䅁䙁䑫䅁䭁䅁䅁睑䥂䙁䅉睖䅁䡁䑉䅁䭁䅁䅁睑䥂䙁䅑杕䅁䩁䑫䅁䝁䅁䅁睑䩂䅁䅁睬䅍䅁䅯䅁䑂䕁䅫杔䝂䅁䅁杏䅍䅁䅙䅁䑂䕁䅷䅁癃杁䅁䅃䅁䕁䅍䅔奂䅁䅁䅱䅍䅁䅧䅁䑂䕁䄰兑䅁䕁䍧䅁䵁䅁䅁睑乂䕁䅍睕䉂䅁䅁睂䅉䅁䅧䅁䑂䕁䄰兒䅁佁䍳䅁䥁䅁䅁睑乂䕁䅣䅁啁杁䅁䅃䅁䕁䅍兔䩂䅁䅁睰䅉䅁䅧䅁䑂䕁䄰睕䅁䑁䍯䅁䥁䅁䅁睑佂䕁䅍䅁偂睁䅁䅃䅁䕁䅍杔兂䅁䅁八䅍䅁䅧䅁䑂䕁䄸杒䅁䩁䌰䅁䥁䅁䅁睑偂䕁䄸䅁摃睁䅁䅃䅁䕁䅍睔兂䅁䅁睭䅉䅁䅧䅁䑂䕁䄸杕䅁䡁䌴䅁䭁䅁䅁睑偂䙁䅍䅖䅁偁䍁䅁䭁䅁䅁睑兂䕁䅅兗䅁䍁䍧䅁䥁䅁䅁睑兂䕁䅉䅁剄杁䅁权䅁䕁䅍䅕卂䙁䅑䅁扂杁䅁䅃䅁䕁䅍䅕啂䅁䅁先䅍䅁䅧䅁䑂䙁䅉䅔䅁䅁䑅䅁䥁䅁䅁睑卂䕁䄰䅁㝃杁䅁权䅁䕁䅍杕塂䕁䅑䅁杁䅂䅁权䅁䕁䅍睕䑂䕁䄸䅁睁杁䅁权䅁䕁䅍睕䡂䙁䅁䅁㕂杁䅁䅃䅁䕁䅍睕奂䅁䅁睃䅍䅁䅯䅁䑂䙁䅑兑呂䅁䅁䅯䅉䅁䅯䅁䑂䙁䅑䅔啂䅁䅁兣䅍䅁䅯䅁䑂䙁䅑杕䉂䅁䅁睕䅉䅁䅯䅁䑂䙁䅑睕䥂䅁䅁睆䅉䅁䅯䅁䑂䙁䅑杖䉂䅁䅁杌䅍䅁䅧䅁䑂䙁䅙睕䅁䵁䍁䅁䥁䅁䅁睑坂䙁䅧䅁㥃杁䅁杄䅁䕁䅍兗祁䑁䅁杍硁䅁䅁䅂䅉䅁䄴䅁䑂䙁䅫杍睁䑁䅉杍䅁偁䈸䅁佁䅁䅁睑婂䑁䅉䅍祁䑁䅍䅁䙁䅁䅁䅃䅁䕁䅍杗卂䅁䅁䅥䅍䉁䅯䅁䑂䝁䄸杢穂䡁䅑兡あ䡁䅕党畂䡁䅑督䅁䅁䅉䅁䕁䅁䅁䅒䅁佁䍁䅁䥁䅁䅁䅒䉂䕁䅷䅁穃睁䅁䅃䅁䕁䅑兑婂䅁䅁䅵䅍䅁䅙䅁䕂䕁䅑䅁㑁杁䅁杂䅁䕁䅑兒䅁䍁䍕䅁䭁䅁䅁䅒䙂䕁䅍睓䅁䉁䔸䅁䭁䅁䅁䅒䙂䕁䅷䅔䅁䉁䕯䅁䥁䅁䅁䅒䝂䙁䅍䅁楁杁䅁杂䅁䕁䅑睒䅁䝁䍯䅁䥁䅁䅁䅒䡂䙁䅧䅁獁睁䅁䅃䅁䕁䅑䅓䩂䅁䅁睑䅉䅁䅧䅁䕂䕁䅧杕䅁䝁䌴䅁䥁䅁䅁䅒䩂䙁䅍䅁ㅃ睁䅁权䅁䕁䅑兓呂䕁䅧䅁䭁䅂䅁䅃䅁䕁䅑䅔卂䅁䅁䅢䅍䅁䅯䅁䕂䕁䅷䅖卂䅁䅁兕䅍䅁䅧䅁䕂䕁䄸睑䅁偁䍕䅁䥁䅁䅁䅒偂䙁䅙䅁䕄杁䅁䅃䅁䕁䅑睔塂䅁䅁䅪䅍䅁䅧䅁䕂䙁䅁杗䅁䭁䑳䅁䥁䅁䅁䅒卂䕁䅫䅁㉃睁䅁䅃䅁䕁䅑䅖䙂䅁䅁眯䅉䅁䅧䅁䕂䙁䅕睓䅁䉁䌰䅁䥁䅁䅁䅒坂䕁䅅䅁䩁杁䅁䅃䅁䕁䅑杖佂䅁䅁条䅍䅁䅧䅁䕂䙁䅧睑䅁䩁䑑䅁䭁䅁䅁䅒奂䕁䅍兔䅁偁䍯䅁䝁䅁䅁兒䉂䅁䅁杸䅍䅁䅯䅁䙂䕁䅉兑婂䅁䅁兲䅉䅁䅧䅁䙂䕁䅍䅔䅁䍁䑧䅁䝁䅁䅁兒䕂䅁䅁䅙䅍䅁䅧䅁䙂䕁䅙䅗䅁䅁䑣䅁䝁䅁䅁兒䡂䅁䅁眳䅉䅁䅧䅁䙂䕁䅫䅗䅁䵁䑕䅁䝁䅁䅁兒䵂䅁䅁睓䅍䅁䅧䅁䙂䕁䅷杖䅁䡁䐸䅁䥁䅁䅁兒乂䕁䄴䅁㍁睁䅁䅃䅁䕁䅕兔卂䅁䅁兏䅉䅁䅯䅁䙂䕁䄴䅕䥂䅁䅁䄷䅉䅁䅧䅁䙂䕁䄸睒䅁䑁䐸䅁䭁䅁䅁兒兂䕁䅅兔䅁䙁䑕䅁䭁䅁䅁兒剂䕁䅫䅗䅁䵁䑫䅁䥁䅁䅁兒剂䙁䅉䅁ぃ杁䅁䅃䅁䕁䅕兕啂䅁䅁兤䅍䅁䅯䅁䙂䙁䅉兓䙂䅁䅁杉䅑䅁䅙䅁䙂䙁䅍䅁㑁睁䅁䅃䅁䕁䅕睕呂䅁䅁全䅉䅁䅧䅁䙂䙁䅑杔䅁䭁䍕䅁䥁䅁䅁兒啂䙁䅉䅁あ睁䅁权䅁䕁䅕䅖呂䙁䅫䅁橂睁䅁权䅁䕁䅕杖卂䕁䅣䅁捃杁䅁杂䅁䕁䅕睖䅁䙁䐴䅁䥁䅁䅁兒奂䕁䅍䅁坂杁䅁权䅁䕁䅕䅗兂䕁䅑䅁橃睁䅁权䅁䕁䅕䅗兂䕁䅕䅁祄杁䅁䅃䅁䕁䅕䅗卂䅁䅁杷䅉䅁䅑䅁䝂䅁䅁光䅍䅁䅯䅁䝂䕁䅅杔䡂䅁䅁儳䅉䅁䅯䅁䝂䕁䅅睕啂䅁䅁睇䅉䅁䅯䅁䝂䕁䅉䅓呂䅁䅁关䅍䅁䅧䅁䝂䕁䅍䅗䅁䩁䌸䅁䥁䅁䅁杒䕂䙁䅍䅁煃杁䅁䅃䅁䕁䅙䅒奂䅁䅁儴䅉䅁䅙䅁䝂䕁䅕䅁䥂睁䅁权䅁䕁䅙杒䩂䙁䅙䅁䝂睁䅁杂䅁䕁䅙兓䅁䩁䑧䅁䭁䅁䅁杒䩂䕁䅍睔䅁䵁䑉䅁䥁䅁䅁杒䩂䙁䅍䅁㙃睁䅁权䅁䕁䅙兓啂䕁䅉䅁乂睁䅁䅃䅁䕁䅙兔䑂䅁䅁克䅉䅁䅧䅁䝂䕁䄸䅗䅁乁䑣䅁䭁䅁䅁杒偂䙁䅧兑䅁佁䍑䅁䥁䅁䅁杒卂䕁䅍䅁㥂杁䅁䅃䅁䕁䅙杕啂䅁䅁䅂䅍䅁䅯䅁䝂䙁䅍䅔卂䅁䅁䄱䅍䅁䅯䅁䝂䙁䅑杔啂䅁䅁杰䅍䅁䅧䅁䝂䙁䅑杖䅁䕁䑣䅁䝁䅁䅁睒䕂䅁䅁元䅍䅁䅯䅁䡂䕁䅑䅒婂䅁䅁䅈䅑䅁䅙䅁䡂䕁䅕䅁瑁睁䅁权䅁䕁䅣兒䥂䕁䅍䅁塃杁䅁䅃䅁䕁䅣兒佂䅁䅁儲䅍䅁䅧䅁䡂䕁䅕杖䅁䍁䕍䅁䭁䅁䅁睒䩂䕁䅷䅒䅁偁䍑䅁䥁䅁䅁睒䩂䙁䅍䅁橂杁䅁杂䅁䕁䅣䅔䅁䥁䑉䅁䥁䅁䅁睒䵂䙁䅣䅁睃睁䅁杂䅁䕁䅣兔䅁䩁䍙䅁䭁䅁䅁睒佂䙁䅉睑䅁䍁䑕䅁䭁䅁䅁睒偂䕁䄸睒䅁䝁䍙䅁䵁䅁䅁睒偂䕁䄸睒䵂䅁䅁兌䅉䅁䅧䅁䡂䙁䅁睑䅁䵁䑯䅁䥁䅁䅁睒兂䕁䄴䅁ぁ杁䅁权䅁䕁䅣杕乂䕁䄴䅁祂杁䅁杂䅁䕁䅣睕䅁䉁䑁䅁䥁䅁䅁睒塂䙁䅣䅁捄睁䅁䅃䅁䕁䅧兑䵂䅁䅁䅇䅍䅁䅧䅁䥂䕁䅅睕䅁䥁䍙䅁䭁䅁䅁䅓䍂䕁䅅杔䅁䍁䍍䅁䥁䅁䅁䅓䑂䕁䅅䅁牂杁䅁杂䅁䕁䅧䅒䅁䙁䑙䅁䥁䅁䅁䅓䙂䙁䅍䅁千睁䅁䅃䅁䕁䅧兓䡂䅁䅁睔䅉䅁䅧䅁䥂䕁䅫兓䅁䭁䑣䅁䥁䅁䅁䅓䵂䙁䅑䅁䩂杁䅁权䅁䕁䅧睔䵂䙁䅧䅁呂睁䅁䅃䅁䕁䅧睔佂䅁䅁杓䅉䅁䅧䅁䥂䙁䅁兒䅁䵁䑣䅁䥁䅁䅁䅓兂䙁䅅䅁灄杁䅁䅃䅁䕁䅧杕䵂䅁䅁児䅍䅁䅯䅁䥂䙁䅍兓䑂䅁䅁儳䅍䅁䅧䅁䥂䙁䅍䅖䅁䥁䍣䅁䥁䅁䅁䅓呂䙁䅫䅁捂睁䅁权䅁䕁䅧兖䍂䕁䅉䅁佄睁䅁䅃䅁䕁䅧兖乂䅁䅁兎䅍䅁䅧䅁䥂䙁䅣兔䅁䅁䐴䅁䥁䅁䅁兓䍂䕁䄰䅁䩂睁䅁䅃䅁䕁䅫睑䙂䅁䅁杙䅉䅁䅯䅁䩂䕁䅑䅗奂䅁䅁杸䅉䅁䅧䅁䩂䕁䅕䅗䅁䭁䐴䅁䥁䅁䅁兓䝂䕁䅙䅁婂杁䅁权䅁䕁䅫䅔乂䕁䄴䅁乁杁䅁权䅁䕁䅫杔䑂䙁䅫䅁流杁䅁权䅁䕁䅫杔啂䕁䅍䅁䑃睁䅁权䅁䕁䅫杔啂䙁䅕䅁杁杁䅁权䅁䕁䅫杔坂䕁䅧䅁桃睁䅁杂䅁䕁䅫䅕䅁䍁䑯䅁䥁䅁䅁兓兂䕁䅣䅁乃睁䅁䅃䅁䕁䅫兕坂䅁䅁䄰䅉䑁䅁䅁䩂䙁䅅睘䉂䙁䅙睒時䕁䅑兓䵂䙁䅕䅖時䙁䅍䅓䉂䙁䅉兒呂䙁䄸睔噂䙁䅑䅁剁䅁䅁䅇䅁䕁䅫兕時䕁䅍兑䵂䕁䅕杔䕂䕁䅅杕䅁䅁䔰䅁杁䅁䅁兓剂䙁䄸睑偂䕁䄴睕啂䕁䅫䅖噂䕁䅕杔啂䙁䅍䅁䉁䅁䅁䅊䅁䕁䅫兕時䕁䅑兓䵂䙁䅕䅖時䕁䅕䅕呂䙁䄸杔偂䙁䅉兔䅁䅁䅯䅁䝁䅁䅁兓卂䅁䅁睸䅉䅁䅧䅁䩂䙁䅉兔䅁䭁䑁䅁䭁䅁䅁兓呂䙁䅉睒䅁䕁䍷䅁䝁䅁䅁兓啂䅁䅁杆䅍䅁䅧䅁䩂䙁䅑睖䅁䍁䑙䅁䥁䅁䅁兓坂䙁䅯䅁睂睁䅁䅂䅁䕁䅯䅁乄杁䅁权䅁䕁䅯村䥂䙁䅑䅁䅂睁䅁䅃䅁䕁䅯村䵂䅁䅁杊䅑䅁䅧䅁䭂䕁䅍兓䅁䝁䌸䅁䭁䅁䅁杓䱂䕁䅧兗䅁䩁䑁䅁䥁䅁䅁杓佂䕁䅯䅁剄睁䅁权䅁䕁䅯杔兂䙁䅉䅁祃杁䅁䅃䅁䕁䅯䅕乂䅁䅁䅧䅍䅁䅑䅁䱂䅁䅁睶䅍䅁䅧䅁䱂䕁䅑䅕䅁䍁䍯䅁䥁䅁䅁睓䙂䙁䅫䅁歃睁䅁权䅁䕁䅳兒婂䙁䅍䅁十杁䅁䅃䅁䕁䅳䅓䑂䅁䅁睡䅍䅁䅧䅁䱂䕁䅫兔䅁䥁䌸䅁䥁䅁䅁睓䱂䙁䅉䅁塁䅂䅁权䅁䕁䅳䅔䉂䕁䅍䅁歃杁䅁䅃䅁䕁䅳兔䍂䅁䅁睫䅍䅁䅧䅁䱂䕁䄰兓䅁䵁䑧䅁䥁䅁䅁睓乂䙁䅧䅁噄杁䅁杂䅁䕁䅳睔䅁䑁䑍䅁䝁䅁䅁睓卂䅁䅁䅔䅍䅁䅯䅁䱂䙁䅙兖䙂䅁䅁眹䅉䅁䅑䅁䵂䅁䅁杩䅍䅁䅯䅁䵂䕁䅑睔呂䅁䅁䅊䅉䅁䅧䅁䵂䕁䅕杔䅁䍁䍣䅁䝁䅁䅁䅔䥂䅁䅁杨䅍䅁䅧䅁䵂䕁䅧䅗䅁䉁䑫䅁䥁䅁䅁䅔䩂䕁䅫䅁扁䅂䅁䅃䅁䕁䅷兓佂䅁䅁免䅍䅁䅧䅁䵂䕁䅳兕䅁䙁䑑䅁䥁䅁䅁䅔䵂䙁䅫䅁扄杁䅁䅃䅁䕁䅷兔啂䅁䅁全䅍䅁䅧䅁䵂䕁䄴睑䅁䅁䐸䅁䥁䅁䅁䅔佂䙁䅑䅁乂杁䅁䅃䅁䕁䅷睔塂䅁䅁䅕䅉䅁䅯䅁䵂䙁䅉睑奂䅁䅁杤䅍䅁䅯䅁䵂䙁䅕䅔噂䅁䅁朲䅍䅁䅯䅁䵂䙁䅕兔佂䅁䅁睂䅑䅁䅧䅁䵂䙁䅕杖䅁䱁䍫䅁䥁䅁䅁䅔坂䙁䅍䅁䕃睁䅁杂䅁䕁䅷睖䅁䉁䑍䅁䥁䅁䅁䅔婂䕁䅉䅁睃杁䅁䅃䅁䕁䅷兗坂䅁䅁睩䅉䅁䅙䅁乂䕁䅅䅁噃杁䅁䅃䅁䕁䄰兑䉂䅁䅁䅆䅍䅁䅧䅁乂䕁䅅杕䅁䭁䑫䅁䥁䅁䅁兔䉂䙁䅍䅁啄杁䅁䅃䅁䕁䄰村䑂䅁䅁杂䅑䅁䅧䅁乂䕁䅍䅒䅁偁䌴䅁䭁䅁䅁兔䑂䕁䅧䅕䅁䝁䍁䅁䥁䅁䅁兔䑂䕁䅳䅁畃杁䅁䅃䅁䕁䄰睑偂䅁䅁睢䅍䅁䅯䅁乂䕁䅑䅔慂䅁䅁䅗䅍䅁䅧䅁乂䕁䅑䅖䅁䅁䍧䅁䥁䅁䅁兔䙂䙁䅑䅁摂杁䅁权䅁䕁䄰兒啂䕁䅅䅁䉃杁䅁䅃䅁䕁䄰睒乂䅁䅁公䅍䅁䅧䅁乂䕁䅧睓䅁䭁䍅䅁䥁䅁䅁兔䱂䕁䅍䅁䝂杁䅁权䅁䕁䄰睓啂䙁䅧䅁乃杁䅁䅃䅁䕁䄰䅔乂䅁䅁兕䅉䅁䅧䅁乂䕁䄰睑䅁䭁䑯䅁䥁䅁䅁兔乂䕁䄰䅁䅁杁䅁权䅁䕁䄰杔呂䙁䅑䅁䙄杁䅁杂䅁䕁䄰睔䅁䭁䍳䅁䥁䅁䅁兔偂䕁䅧䅁㕂睁䅁䅃䅁䕁䄰睔呂䅁䅁其䅍䅁䅧䅁乂䙁䅁睑䅁䵁䑷䅁䭁䅁䅁兔兂䙁䅣杕䅁偁䍷䅁䥁䅁䅁兔卂䕁䅳䅁歄睁䅁权䅁䕁䄰杕佂䕁䅅䅁㝁杁䅁䅃䅁䕁䄰杕偂䅁䅁內䅍䅁䅙䅁乂䙁䅍䅁穃杁䅁权䅁䕁䄰睕䑂䕁䅫䅁潃杁䅁权䅁䕁䄰睕䝂䙁䅑䅁⽃杁䅁䅃䅁䕁䄰睕䩂䅁䅁儷䅍䅁䅧䅁乂䙁䅑村䅁偁䍙䅁䭁䅁䅁兔啂䕁䅍䅓䅁䭁䑉䅁䥁䅁䅁兔啂䕁䅑䅁穂睁䅁杂䅁䕁䄰兖䅁乁䑙䅁䝁䅁䅁杔䉂䅁䅁睒䅁䅁䅯䅁佂䕁䅍䅔䥂䅁䅁朰䅉䅁䅯䅁佂䕁䅑兑剂䅁䅁儶䅍䅁䅯䅁佂䕁䅑睕佂䅁䅁杍䅍䅁䅧䅁佂䕁䅕兒䅁䙁䑁䅁䥁䅁䅁杔䙂䕁䄰䅁浂睁䅁权䅁䕁䄴杒䵂䙁䅧䅁潂杁䅁杂䅁䕁䄴兓䅁乁䍍䅁䥁䅁䅁杔䱂䕁䅕䅁䑃杁䅁䅃䅁䕁䄴睔䑂䅁䅁来䅍䅁䅧䅁佂䕁䄸睖䅁偁䍍䅁䥁䅁䅁杔卂䕁䅣䅁桄睁䅁䅃䅁䕁䄴睕䑂䅁䅁具䅉䅁䅯䅁佂䙁䅑兑兂䅁䅁䅬䅉䅁䅯䅁佂䙁䅑杕呂䅁䅁䅩䅉䅁䅧䅁佂䙁䅕兒䅁佁䑁䅁䭁䅁䅁杔坂䕁䅑兑䅁䕁䑉䅁䥁䅁䅁杔坂䙁䅉䅁楂睁䅁䅃䅁䕁䄴睖䵂䅁䅁睃䅑䅁䅧䅁佂䙁䅣睕䅁䅁䑁䅁䭁䅁䅁杔塂䙁䅍兑䅁佁䑧䅁䭁䅁䅁杔奂䙁䅁兓䅁䱁䍕䅁佁䅁䅁杔婂䙁䅍兒㙁䕁䅅䅁䑁䅁䅁䅆䅁䕁䄴兗呂䕁䅕杏䉂䕁䅉村坂䅁䅁兄䅁䉁䅉䅁佂䙁䅫睕䙂䑁䅯兑䍂䙁䅑䅁䡁䅁䅁杅䅁䕁䄴兗呂䕁䅕杏䉂䕁䅍杔䅁䙁䅙䅁十䅁䅁杔婂䙁䅍兒㙁䕁䅅䅒乂䅁䅁䄴䅁䉁䅉䅁佂䙁䅫睕䙂䑁䅯兑䙂䕁䅕䅁橁䅁䅁杅䅁䕁䄴兗呂䕁䅕杏䉂䕁䅕睕䅁偁䉅䅁十䅁䅁杔婂䙁䅍兒㙁䕁䅅杒䵂䅁䅁兡䅁䉁䅉䅁佂䙁䅫睕䙂䑁䅯兑䩂䕁䅣䅁䥃䅁䅁杅䅁䕁䄴兗呂䕁䅕杏䉂䕁䅫杗䅁䙁䅁䅁十䅁䅁杔婂䙁䅍兒㙁䕁䅅杓䡂䅁䅁睺䅁䉁䅉䅁佂䙁䅫睕䙂䑁䅯兑䵂䕁䅉䅁䥁䅁䅁杅䅁䕁䄴兗呂䕁䅕杏䉂䕁䅷䅔䅁䝁䉑䅁啁䅁䅁杔婂䙁䅍兒㙁䕁䅅䅔䵂䕁䅕䅁䭂䅁䅁䅆䅁䕁䄴兗呂䕁䅕杏䉂䕁䄰睑卂䅁䅁睪䅁䉁䅉䅁佂䙁䅫睕䙂䑁䅯兑乂䕁䅕䅁㉃䅁䅁杅䅁䕁䄴兗呂䕁䅕杏䉂䕁䄰䅕䅁䱁䅉䅁十䅁䅁杔婂䙁䅍兒㙁䕁䅅兔啂䅁䅁条䅁䉁䅑䅁佂䙁䅫睕䙂䑁䅯兑佂䕁䅕䅖䅁佁䅑䅁十䅁䅁杔婂䙁䅍兒㙁䕁䅅睔佂䅁䅁杊䅁䉁䅉䅁佂䙁䅫睕䙂䑁䅯兑偂䙁䅍䅁奁䅁䅁杅䅁䕁䄴兗呂䕁䅕杏䉂䙁䅁䅒䅁䡁䅕䅁十䅁䅁杔婂䙁䅍兒㙁䕁䅅䅕䥂䅁䅁䅶䅁䉁䅉䅁佂䙁䅫睕䙂䑁䅯兑兂䕁䄸䅁慃䅁䅁䅆䅁䕁䄴兗呂䕁䅕杏䉂䙁䅁䅖坂䅁䅁朲䅁䉁䅉䅁佂䙁䅫睕䙂䑁䅯兑卂䕁䅕䅁䝁䅁䅁杅䅁䕁䄴兗呂䕁䅕杏䉂䙁䅑睔䅁䍁䅉䅁十䅁䅁杔婂䙁䅍兒㙁䕁䅅杖䍂䅁䅁䄯䅁䉁䅉䅁佂䙁䅫睕䙂䑁䅯兑坂䙁䅫䅁獁䅁䅁杅䅁䕁䄴兗呂䕁䅕杏䉂䙁䅣睓䅁䭁䅷䅁十䅁䅁杔婂䙁䅍兒㙁䕁䅅䅗兂䅁䅁杧䅁䉁䅉䅁佂䙁䅫睕䙂䑁䅯兑慂䕁䄸䅁ㅄ䅁䅁䅅䅁䕁䄴兗呂䕁䅕杏䍂䕁䅅䅁㥃允䅁杅䅁䕁䄴兗呂䕁䅕杏䍂䕁䅅睑䅁乁䅣䅁啁䅁䅁杔婂䙁䅍兒㙁䕁䅉兑䵂䕁䅷䅁㉄䅁䅁杅䅁䕁䄴兗呂䕁䅕杏䍂䕁䅅䅗䅁䙁䅑䅁十䅁䅁杔婂䙁䅍兒㙁䕁䅉村婂䅁䅁充䅅䉁䅉䅁佂䙁䅫睕䙂䑁䅯村䕂䙁䅧䅁䕃䅁䅁杅䅁䕁䄴兗呂䕁䅕杏䍂䕁䅕杔䅁䡁䉉䅁啁䅁䅁杔婂䙁䅍兒㙁䕁䅉杒畁䕁䅉䅁ぁ䅁䅁䅅䅁䕁䄴兗呂䕁䅕杏䍂䕁䅣䅁慁䅁䅁䅅䅁䕁䄴兗呂䕁䅕杏䍂䕁䅳䅁䱁允䅁䅆䅁䕁䄴兗呂䕁䅕杏䍂䕁䅷䅒卂䅁䅁䅓䅁䉁䅉䅁佂䙁䅫睕䙂䑁䅯村䵂䕁䅳䅁潁䅁䅁杅䅁䕁䄴兗呂䕁䅕杏䍂䕁䄰兗䅁䍁䅣䅁允䅁䅁杔婂䙁䅍兒㙁䕁䅉杕䅁䉁䅉䅁坁䅁䅁杔婂䙁䅍兒㙁䕁䅉杕䱂䍁䄴村䅁䉁䉁䅁十䅁䅁杔婂䙁䅍兒㙁䕁䅉杕偂䅁䅁睈䅅䉁䅉䅁佂䙁䅫睕䙂䑁䅯村呂䙁䅧䅁偁允䅁杅䅁䕁䄴兗呂䕁䅕杏䍂䙁䅣兑䅁偁䅧䅁允䅁䅁杔婂䙁䅍兒㙁䕁䅉䅗䅁䙁䅷䅁十䅁䅁杔婂䙁䅍兒㙁䕁䅉䅗兂䅁䅁克䅅䅁䄴䅁佂䙁䅫睕䙂䑁䅯睑䅁䉁䉳䅁十䅁䅁杔婂䙁䅍兒㙁䕁䅍兑䡂䅁䅁兘䅁䉁䅉䅁佂䙁䅫睕䙂䑁䅯睑䉂䕁䅧䅁橃䅁䅁䅆䅁䕁䄴兗呂䕁䅕杏䑂䕁䅅杕卂䅁䅁村䅅䉁䅉䅁佂䙁䅫睕䙂䑁䅯睑䉂䙁䅑䅁䙂允䅁䅅䅁䕁䄴兗呂䕁䅕杏䑂䕁䅉䅁奁允䅁䅆䅁䕁䄴兗呂䕁䅕杏䑂䕁䅉杕䙂䅁䅁睶䅁䉁䅉䅁佂䙁䅫睕䙂䑁䅯睑䑂䕁䅫䅁捁䅁䅁杅䅁䕁䄴兗呂䕁䅕杏䑂䕁䅍䅔䅁偁䅣䅁允䅁䅁杔婂䙁䅍兒㙁䕁䅍兒䅁䕁䉷䅁允䅁䅁杔婂䙁䅍兒㙁䕁䅍杒䅁佁䅯䅁十䅁䅁杔婂䙁䅍兒㙁䕁䅍杒䡂䅁䅁兄䅅䉁䅉䅁佂䙁䅫睕䙂䑁䅯睑䥂䕁䅑䅁牂䅁䅁䅅䅁䕁䄴兗呂䕁䅕杏䑂䕁䅫䅁湄允䅁䅅䅁䕁䄴兗呂䕁䅕杏䑂䕁䅷䅁求允䅁杅䅁䕁䄴兗呂䕁䅕杏䑂䕁䅷䅗䅁䙁䉯䅁十䅁䅁杔婂䙁䅍兒㙁䕁䅍兔䡂䅁䅁睍䅅䉁䅉䅁佂䙁䅫睕䙂䑁䅯睑乂䕁䅫䅁桁允䅁杅䅁䕁䄴兗呂䕁䅕杏䑂䕁䄰睕䅁䝁䉍䅁十䅁䅁杔婂䙁䅍兒㙁䕁䅍杔䑂䅁䅁睇䅁䉁䅉䅁佂䙁䅫睕䙂䑁䅯睑佂䙁䅁䅁㍁允䅁杅䅁䕁䄴兗呂䕁䅕杏䑂䕁䄸杒䅁䑁䉧䅁十䅁䅁杔婂䙁䅍兒㙁䕁䅍睔兂䅁䅁允䅅䉁䅉䅁佂䙁䅫睕䙂䑁䅯睑偂䙁䅉䅁剂允䅁䅆䅁䕁䄴兗呂䕁䅕杏䑂䙁䅁兑婂䅁䅁杲䅁䉁䅉䅁佂䙁䅫睕䙂䑁䅯睑兂䙁䅑䅁睁允䅁杅䅁䕁䄴兗呂䕁䅕杏䑂䙁䅉䅔䅁䉁䅁䅁十䅁䅁杔婂䙁䅍兒㙁䕁䅍杕乂䅁䅁杸䅅䉁䅑䅁佂䙁䅫睕䙂䑁䅯睑啂䙁䅉兑䅁䱁䅣䅁啁䅁䅁杔婂䙁䅍兒㙁䕁䅍䅖坂䕁䅅䅁呂允䅁杅䅁䕁䄴兗呂䕁䅕杏䑂䙁䅙睕䅁䕁䅕䅁十䅁䅁杔婂䙁䅍兒㙁䕁䅍杖奂䅁䅁䅗䅅䅁䄴䅁佂䙁䅫睕䙂䑁䅯䅒䅁䕁䉍䅁十䅁䅁杔婂䙁䅍兒㙁䕁䅑兑䵂䅁䅁䄹䅁䉁䅉䅁佂䙁䅫睕䙂䑁䅯䅒䉂䙁䅫䅁䵁䅁䅁䅅䅁䕁䄴兗呂䕁䅕杏䕂䕁䅑䅁㕃䅁䅁䅅䅁䕁䄴兗呂䕁䅕杏䕂䕁䅕䅁捂允䅁䅆䅁䕁䄴兗呂䕁䅕杏䕂䕁䅕睑䱂䅁䅁杆䅅䉁䅑䅁佂䙁䅫睕䙂䑁䅯䅒䙂䕁䅷䅔䅁䡁䉙䅁十䅁䅁杔婂䙁䅍兒㙁䕁䅑杒呂䅁䅁全䅅䉁䅁䅁佂䙁䅫睕䙂䑁䅯䅒䡂䅁䅁兕䅁䉁䅉䅁佂䙁䅫睕䙂䑁䅯䅒䡂䙁䅧䅁癄䅁䅁杅䅁䕁䄴兗呂䕁䅕杏䕂䕁䅧兓䅁䭁䄸䅁十䅁䅁杔婂䙁䅍兒㙁䕁䅑䅓卂䅁䅁朰䅁䉁䅉䅁佂䙁䅫睕䙂䑁䅯䅒䩂䙁䅍䅁䉄䅁䅁杅䅁䕁䄴兗呂䕁䅕杏䕂䕁䅷杕䅁䡁䈴䅁十䅁䅁杔婂䙁䅍兒㙁䕁䅑睔䑂䅁䅁䅴䅅䉁䅉䅁佂䙁䅫睕䙂䑁䅯䅒偂䙁䅙䅁佄䅁䅁杅䅁䕁䄴兗呂䕁䅕杏䕂䕁䄸睖䅁䝁䉁䅁十䅁䅁杔婂䙁䅍兒㙁䕁䅑杕䩂䅁䅁睤䅅䉁䅉䅁佂䙁䅫睕䙂䑁䅯䅒啂䕁䅕䅁歁允䅁杅䅁䕁䄴兗呂䕁䅕杏䕂䙁䅕睓䅁䉁䄰䅁十䅁䅁杔婂䙁䅍兒㙁䕁䅑杖䉂䅁䅁李䅁䉁䅉䅁佂䙁䅫睕䙂䑁䅯䅒坂䕁䄴䅁元䅁䅁杅䅁䕁䄴兗呂䕁䅕杏䙂䕁䅍䅔䅁䥁䈰䅁允䅁䅁杔婂䙁䅍兒㙁䕁䅕䅒䅁䭁䅑䅁十䅁䅁杔婂䙁䅍兒㙁䕁䅕杒奂䅁䅁杒䅁䉁䅁䅁佂䙁䅫睕䙂䑁䅯兒䡂䅁䅁杄䅅䉁䅉䅁佂䙁䅫睕䙂䑁䅯兒䩂䙁䅧䅁時䅁䅁䅅䅁䕁䄴兗呂䕁䅕杏䙂䕁䅷䅁噂允䅁杅䅁䕁䄴兗呂䕁䅕杏䙂䕁䅷杖䅁䡁䅍䅁十䅁䅁杔婂䙁䅍兒㙁䕁䅕兔佂䅁䅁睱䅁䉁䅉䅁佂䙁䅫睕䙂䑁䅯兒乂䙁䅉䅁⭁允䅁杅䅁䕁䄴兗呂䕁䅕杏䙂䕁䄸睒䅁䕁䅳䅁啁䅁䅁杔婂䙁䅍兒㙁䕁䅕䅕䉂䕁䄰䅁汁允䅁杅䅁䕁䄴兗呂䕁䅕杏䙂䙁䅅杕䅁䝁䄸䅁十䅁䅁杔婂䙁䅍兒㙁䕁䅕兕啂䅁䅁䅴䅁䉁䅁䅁佂䙁䅫睕䙂䑁䅯兒呂䅁䅁八䅅䉁䅉䅁佂䙁䅫睕䙂䑁䅯兒呂䙁䅍䅁湄䅁䅁杅䅁䕁䄴兗呂䕁䅕杏䙂䙁䅑杔䅁䕁䈴䅁十䅁䅁杔婂䙁䅍兒㙁䕁䅕䅖卂䅁䅁睔䅁䉁䅁䅁佂䙁䅫睕䙂䑁䅯兒塂䅁䅁䅗䅁䉁䅑䅁佂䙁䅫睕䙂䑁䅯兒奂䙁䅁䅒䅁䕁䅉䅁十䅁䅁杔婂䙁䅍兒㙁䕁䅕䅗卂䅁䅁杫䅅䅁䄴䅁佂䙁䅫睕䙂䑁䅯杒䅁䅁䉉䅁十䅁䅁杔婂䙁䅍兒㙁䕁䅙睑奂䅁䅁睰䅅䉁䅉䅁佂䙁䅫睕䙂䑁䅯杒䕂䙁䅍䅁睃䅁䅁杅䅁䕁䄴兗呂䕁䅕杏䝂䕁䅑䅗䅁乁䄴䅁允䅁䅁杔婂䙁䅍兒㙁䕁䅙兒䅁䙁䉉䅁允䅁䅁杔婂䙁䅍兒㙁䕁䅙兓䅁䩁䉫䅁啁䅁䅁杔婂䙁䅍兒㙁䕁䅙兓䑂䕁䄸䅁硁允䅁杅䅁䕁䄴兗呂䕁䅕杏䝂䕁䅫睕䅁䩁䉧䅁十䅁䅁杔婂䙁䅍兒㙁䕁䅙兔䑂䅁䅁杭䅅䉁䅉䅁佂䙁䅫睕䙂䑁䅯杒卂䙁䅑䅁㝂允䅁杅䅁䕁䄴兗呂䕁䅕杏䝂䙁䅑杖䅁䱁䅍䅁允䅁䅁杔婂䙁䅍兒㙁䕁䅣䅒䅁䝁䉉䅁啁䅁䅁杔婂䙁䅍兒㙁䕁䅣䅒䕂䙁䅫䅁䱃䅁䅁䅅䅁䕁䄴兗呂䕁䅕杏䡂䕁䅕䅁牃允䅁杅䅁䕁䄴兗呂䕁䅕杏䡂䕁䅕杖䅁䭁䉯䅁十䅁䅁杔婂䙁䅍兒㙁䕁䅣兓呂䅁䅁䅧䅅䉁䅁䅁佂䙁䅫睕䙂䑁䅯睒䵂䅁䅁睖䅅䉁䅉䅁佂䙁䅫睕䙂䑁䅯睒䵂䙁䅣䅁楁允䅁䅅䅁䕁䄴兗呂䕁䅕杏䡂䕁䄰䅁瑄䅁䅁䅆䅁䕁䄴兗呂䕁䅕杏䡂䕁䄴杕䑂䅁䅁杍䅅䉁䅉䅁佂䙁䅫睕䙂䑁䅯睒兂䕁䅍䅁硂允䅁杅䅁䕁䄴兗呂䕁䅕杏䡂䙁䅁杔䅁䭁䈴䅁啁䅁䅁杔婂䙁䅍兒㙁䕁䅣杕乂䕁䄴䅁㑃䅁䅁䅅䅁䕁䄴兗呂䕁䅕杏䡂䙁䅍䅁杁䅁䅁杅䅁䕁䄴兗呂䕁䅕杏䡂䙁䅣睖䅁䥁䈴䅁十䅁䅁杔婂䙁䅍兒㙁䕁䅧兑䵂䅁䅁兏䅁䉁䅉䅁佂䙁䅫睕䙂䑁䅯䅓䑂䕁䅅䅁癃允䅁䅅䅁䕁䄴兗呂䕁䅕杏䥂䕁䅑䅁睂允䅁杅䅁䕁䄴兗呂䕁䅕杏䥂䕁䅕睕䅁䩁䉳䅁十䅁䅁杔婂䙁䅍兒㙁䕁䅧兓䡂䅁䅁䅮䅅䉁䅉䅁佂䙁䅫睕䙂䑁䅯䅓䩂䕁䅫䅁敃䅁䅁杅䅁䕁䄴兗呂䕁䅕杏䥂䕁䅷䅖䅁䙁䉁䅁十䅁䅁杔婂䙁䅍兒㙁䕁䅧䅕䙂䅁䅁兴䅅䉁䅉䅁佂䙁䅫睕䙂䑁䅯䅓兂䙁䅅䅁橃允䅁杅䅁䕁䄴兗呂䕁䅕杏䥂䙁䅉䅔䅁䥁䅁䅁十䅁䅁杔婂䙁䅍兒㙁䕁䅧睕婂䅁䅁杂䅅䉁䅑䅁佂䙁䅫睕䙂䑁䅯䅓噂䕁䅉村䅁䱁䉯䅁十䅁䅁杔婂䙁䅍兒㙁䕁䅧兖乂䅁䅁睋䅅䉁䅉䅁佂䙁䅫睕䙂䑁䅯䅓塂䕁䄰䅁ぁ允䅁杅䅁䕁䄴兗呂䕁䅕杏䩂䕁䅉兔䅁佁䅧䅁十䅁䅁杔婂䙁䅍兒㙁䕁䅫睑䙂䅁䅁睨䅁䉁䅉䅁佂䙁䅫睕䙂䑁䅯兓䙂䙁䅧䅁㙁允䅁杅䅁䕁䄴兗呂䕁䅕杏䩂䕁䅙杒䅁䵁䅫䅁啁䅁䅁杔婂䙁䅍兒㙁䕁䅫杔坂䕁䅧䅁䝂允䅁䅅䅁䕁䄴兗呂䕁䅕杏䩂䙁䅁䅁婁䅁䅁杅䅁䕁䄴兗呂䕁䅕杏䩂䙁䅁睒䅁偁䉉䅁十䅁䅁杔婂䙁䅍兒㙁䕁䅫兕坂䅁䅁兴䅁䉁䅁䅁佂䙁䅫睕䙂䑁䅯兓卂䅁䅁䄰䅁䉁䅉䅁佂䙁䅫睕䙂䑁䅯兓卂䕁䄰䅁歃允䅁䅅䅁䕁䄴兗呂䕁䅕杏䩂䙁䅑䅁灃允䅁杅䅁䕁䄴兗呂䕁䅕杏䩂䙁䅑睖䅁䅁䉕䅁十䅁䅁杔婂䙁䅍兒㙁䕁䅫杖慂䅁䅁兩䅁䅁䄴䅁佂䙁䅫睕䙂䑁䅯杓䅁䡁䅁䅁十䅁䅁杔婂䙁䅍兒㙁䕁䅯村䵂䅁䅁睸䅅䉁䅉䅁佂䙁䅫睕䙂䑁䅯杓䑂䕁䅫䅁䥄允䅁杅䅁䕁䄴兗呂䕁䅕杏䭂䕁䄴杓䅁䝁䅙䅁啁䅁䅁杔婂䙁䅍兒㙁䕁䅯杔兂䙁䅉䅁桂允䅁杅䅁䕁䄴兗呂䕁䅕杏䭂䙁䅁兔䅁䩁䉕䅁佁䅁䅁杔婂䙁䅍兒㙁䕁䅳䅁⭃允䅁杅䅁䕁䄴兗呂䕁䅕杏䱂䕁䅕兗䅁䵁䈰䅁啁䅁䅁杔婂䙁䅍兒㙁䕁䅳兒婂䙁䅍䅁䭂允䅁杅䅁䕁䄴兗呂䕁䅕杏䱂䕁䅫兔䅁䭁䅁䅁十䅁䅁杔婂䙁䅍兒㙁䕁䅳睓卂䅁䅁䅪䅅䉁䅉䅁佂䙁䅫睕䙂䑁䅯睓乂䕁䅉䅁䑃允䅁杅䅁䕁䄴兗呂䕁䅕杏䱂䕁䄰兓䅁佁䅫䅁十䅁䅁杔婂䙁䅍兒㙁䕁䅳兔奂䅁䅁儸䅁䉁䅁䅁佂䙁䅫睕䙂䑁䅯睓偂䅁䅁䄲䅅䉁䅁䅁佂䙁䅫睕䙂䑁䅯睓卂䅁䅁眸䅅䉁䅑䅁佂䙁䅫睕䙂䑁䅯睓坂䙁䅕兒䅁䥁䅯䅁佁䅁䅁杔婂䙁䅍兒㙁䕁䅷䅁慂䅁䅁䅆䅁䕁䄴兗呂䕁䅕杏䵂䕁䅑睔呂䅁䅁督䅅䉁䅉䅁佂䙁䅫睕䙂䑁䅯䅔䙂䕁䄴䅁穃允䅁䅅䅁䕁䄴兗呂䕁䅕杏䵂䕁䅧䅁䭁允䅁杅䅁䕁䄴兗呂䕁䅕杏䵂䕁䅧䅗䅁䭁䅙䅁十䅁䅁杔婂䙁䅍兒㙁䕁䅷兓䩂䅁䅁杹䅁䉁䅉䅁佂䙁䅫睕䙂䑁䅯䅔䵂䙁䅫䅁㥂允䅁杅䅁䕁䄴兗呂䕁䅕杏䵂䕁䄰䅖䅁䙁䉫䅁十䅁䅁杔婂䙁䅍兒㙁䕁䅷睔塂䅁䅁眰䅅䉁䅉䅁佂䙁䅫睕䙂䑁䅯䅔噂䙁䅙䅁䕂允䅁杅䅁䕁䄴兗呂䕁䅕杏䵂䙁䅙睕䅁䡁䅣䅁允䅁䅁杔婂䙁䅍兒㙁䕁䅷睖䅁䵁䉑䅁十䅁䅁杔婂䙁䅍兒㙁䕁䅷兗䍂䅁䅁儰䅅䉁䅉䅁佂䙁䅫睕䙂䑁䅯䅔婂䙁䅙䅁啄䅁䅁䅅䅁䕁䄴兗呂䕁䅕杏乂䕁䅅䅁䵃䅁䅁杅䅁䕁䄴兗呂䕁䅕杏乂䕁䅅兑䅁䥁䅍䅁十䅁䅁杔婂䙁䅍兒㙁䕁䄰兑呂䅁䅁睐䅅䉁䅉䅁佂䙁䅫睕䙂䑁䅯兔䑂䕁䅑䅁潃䅁䅁杅䅁䕁䄴兗呂䕁䅕杏乂䕁䅍睓䅁䍁䉙䅁十䅁䅁杔婂䙁䅍兒㙁䕁䄰睑偂䅁䅁睂䅅䉁䅉䅁佂䙁䅫睕䙂䑁䅯兔䕂䙁䅑䅁硃允䅁杅䅁䕁䄴兗呂䕁䅕杏乂䕁䅕䅖䅁䭁䅫䅁十䅁䅁杔婂䙁䅍兒㙁䕁䄰睒乂䅁䅁兺䅁䉁䅉䅁佂䙁䅫睕䙂䑁䅯兔䥂䕁䅳䅁䍃允䅁杅䅁䕁䄴兗呂䕁䅕杏乂䕁䅳睑䅁乁䉙䅁十䅁䅁杔婂䙁䅍兒㙁䕁䄰䅔乂䅁䅁儱䅅䉁䅉䅁佂䙁䅫睕䙂䑁䅯兔乂䕁䅍䅁⽂䅁䅁杅䅁䕁䄴兗呂䕁䅕杏乂䕁䄰兔䅁䉁䅍䅁允䅁䅁杔婂䙁䅍兒㙁䕁䄰睔䅁䝁䄰䅁十䅁䅁杔婂䙁䅍兒㙁䕁䄰睔䥂䅁䅁光䅁䉁䅉䅁佂䙁䅫睕䙂䑁䅯兔偂䙁䅍䅁い允䅁杅䅁䕁䄴兗呂䕁䅕杏乂䙁䅁睑䅁䝁䉷䅁十䅁䅁杔婂䙁䅍兒㙁䕁䄰杕䱂䅁䅁兑䅅䉁䅁䅁佂䙁䅫睕䙂䑁䅯兔呂䅁䅁条䅅䉁䅑䅁佂䙁䅫睕䙂䑁䅯兔呂䕁䅍兓䅁䑁䅯䅁十䅁䅁杔婂䙁䅍兒㙁䕁䄰睕䩂䅁䅁儳䅁䉁䅉䅁佂䙁䅫睕䙂䑁䅯兔啂䕁䅉䅁畂䅁䅁杅䅁䕁䄴兗呂䕁䅕杏乂䙁䅑䅒䅁䝁䅁䅁啁䅁䅁杔婂䙁䅍兒㙁䕁䄴睑䵂䕁䅧䅁晃䅁䅁杅䅁䕁䄴兗呂䕁䅕杏佂䕁䅕兒䅁䱁䈸䅁十䅁䅁杔婂䙁䅍兒㙁䕁䄴兒乂䅁䅁儫䅁䉁䅁䅁佂䙁䅫睕䙂䑁䅯杔䩂䅁䅁䅈䅅䉁䅉䅁佂䙁䅫睕䙂䑁䅯杔䱂䕁䅕䅁扂允䅁杅䅁䕁䄴兗呂䕁䅕杏佂䕁䄸睑䅁䍁䉷䅁十䅁䅁杔婂䙁䅍兒㙁䕁䄴睔塂䅁䅁末䅁䉁䅉䅁佂䙁䅫睕䙂䑁䅯杔卂䕁䅣䅁浄䅁䅁杅䅁䕁䄴兗呂䕁䅕杏佂䙁䅍睑䅁䡁䅑䅁十䅁䅁杔婂䙁䅍兒㙁䕁䄴兖䙂䅁䅁眲䅅䉁䅉䅁佂䙁䅫睕䙂䑁䅯杔坂䙁䅉䅁癁允䅁杄䅁䕁䄴兗呂䕁䅕杏偂䅁䅁兲䅅䉁䅉䅁佂䙁䅫睕䙂䑁䅯睔䱂䕁䅕䅁湂䅁䅁杅䅁䕁䄴兗呂䕁䅕杏偂䕁䄰睑䅁䡁䉫䅁啁䅁䅁杔婂䙁䅍兒㙁䕁䄸杕䑂䕁䅷䅁婁允䅁䅆䅁䕁䄴兗呂䕁䅕杏偂䙁䅑兓呂䅁䅁朱䅁䉁䅉䅁佂䙁䅫睕䙂䑁䅯睔奂䙁䅫䅁瑃䅁䅁䅆䅁䕁䄴兗呂䕁䅕杏兂䕁䅅兗䑂䅁䅁朳䅅䉁䅉䅁佂䙁䅫睕䙂䑁䅯䅕䑂䕁䅣䅁㡂允䅁杅䅁䕁䄴兗呂䕁䅕杏兂䕁䅕睒䅁䭁䉙䅁十䅁䅁杔婂䙁䅍兒㙁䙁䅁杒䙂䅁䅁䅥䅅䉁䅁䅁佂䙁䅫睕䙂䑁䅯䅕䡂䅁䅁杹䅅䉁䅉䅁佂䙁䅫睕䙂䑁䅯䅕䡂䙁䅉䅁湁允䅁䅅䅁䕁䄴兗呂䕁䅕杏兂䕁䅧䅁䵂䅁䅁杅䅁䕁䄴兗呂䕁䅕杏兂䕁䅧兔䅁䥁䄰䅁十䅁䅁杔婂䙁䅍兒㙁䙁䅁睓䡂䅁䅁儳䅅䉁䅉䅁佂䙁䅫睕䙂䑁䅯䅕䵂䕁䅑䅁硃䅁䅁䅅䅁䕁䄴兗呂䕁䅕杏兂䕁䄰䅁摁允䅁杅䅁䕁䄴兗呂䕁䅕杏兂䕁䄴睑䅁䍁䉧䅁十䅁䅁杔婂䙁䅍兒㙁䙁䅁杔卂䅁䅁䅉䅅䉁䅉䅁佂䙁䅫睕䙂䑁䅯䅕佂䙁䅣䅁敂䅁䅁杅䅁䕁䄴兗呂䕁䅕杏兂䙁䅁睒䅁䉁䉯䅁十䅁䅁杔婂䙁䅍兒㙁䙁䅁䅕䵂䅁䅁䅳䅅䉁䅉䅁佂䙁䅫睕䙂䑁䅯䅕卂䙁䅕䅁⽂允䅁杅䅁䕁䄴兗呂䕁䅕杏兂䙁䅍兑䅁佁䉑䅁十䅁䅁杔婂䙁䅍兒㙁䙁䅁睕奂䅁䅁睢䅅䉁䅉䅁佂䙁䅫睕䙂䑁䅯䅕塂䙁䅉䅁䝃允䅁杅䅁䕁䄴兗呂䕁䅕杏卂䕁䅍䅔䅁䍁䈰䅁允䅁䅁杔婂䙁䅍兒㙁䙁䅉杒䅁佁䉙䅁十䅁䅁杔婂䙁䅍兒㙁䙁䅉杓䝂䅁䅁䅄䅅䉁䅁䅁佂䙁䅫睕䙂䑁䅯杕䵂䅁䅁儵䅅䉁䅉䅁佂䙁䅫睕䙂䑁䅯杕乂䕁䅑䅁卄允䅁杅䅁䕁䄴兗呂䕁䅕杏卂䕁䄸睓䅁䑁䅕䅁十䅁䅁杔婂䙁䅍兒㙁䙁䅉睔䵂䅁䅁䄶䅅䉁䅉䅁佂䙁䅫睕䙂䑁䅯杕呂䕁䅣䅁䡂允䅁杅䅁䕁䄴兗呂䕁䅕杏卂䙁䅑䅗䅁䡁䉕䅁啁䅁䅁杔婂䙁䅍兒㙁䙁䅉杖啂䙁䅫䅁橁允䅁䅆䅁䕁䄴兗呂䕁䅕杏呂䕁䅍䅓塂䅁䅁兗䅁䉁䅉䅁佂䙁䅫睕䙂䑁䅯睕䥂䙁䅣䅁呄䅁䅁杅䅁䕁䄴兗呂䕁䅕杏呂䕁䅯兔䅁䕁䅫䅁十䅁䅁杔婂䙁䅍兒㙁䙁䅍䅔䍂䅁䅁儶䅅䉁䅉䅁佂䙁䅫睕䙂䑁䅯睕佂䕁䅅䅁⽁䅁䅁䅅䅁䕁䄴兗呂䕁䅕杏呂䕁䄸䅁扄䅁䅁䅆䅁䕁䄴兗呂䕁䅕杏呂䕁䄸䅔坂䅁䅁睡䅅䉁䅉䅁佂䙁䅫睕䙂䑁䅯睕兂䕁䅣䅁䉄允䅁䅆䅁䕁䄴兗呂䕁䅕杏呂䙁䅁睒䩂䅁䅁䄰䅅䉁䅉䅁佂䙁䅫睕䙂䑁䅯睕卂䕁䅕䅁㕁允䅁杅䅁䕁䄴兗呂䕁䅕杏呂䙁䅑兒䅁佁䉷䅁十䅁䅁杔婂䙁䅍兒㙁䙁䅍䅖啂䅁䅁䅊䅁䉁䅉䅁佂䙁䅫睕䙂䑁䅯睕啂䙁䅯䅁扃䅁䅁䅅䅁䕁䄴兗呂䕁䅕杏呂䙁䅣䅁乂允䅁杅䅁䕁䄴兗呂䕁䅕杏呂䙁䅣睓䅁乁䈸䅁十䅁䅁杔婂䙁䅍兒㙁䙁䅍兗䝂䅁䅁朷䅅䉁䅉䅁佂䙁䅫睕䙂䑁䅯睕婂䕁䅳䅁瑄允䅁杅䅁䕁䄴兗呂䕁䅕杏呂䙁䅫兗䅁䑁䉳䅁佁䅁䅁杔婂䙁䅍兒㙁䙁䅑䅁牄䅁䅁杅䅁䕁䄴兗呂䕁䅕杏啂䕁䅅䅕䅁乁䉣䅁十䅁䅁杔婂䙁䅍兒㙁䙁䅑䅒䡂䅁䅁杴䅅䉁䅉䅁佂䙁䅫睕䙂䑁䅯䅖䕂䙁䅫䅁時允䅁杅䅁䕁䄴兗呂䕁䅕杏啂䕁䅕䅔䅁偁䉁䅁十䅁䅁杔婂䙁䅍兒㙁䙁䅑杒䑂䅁䅁来䅅䉁䅉䅁佂䙁䅫睕䙂䑁䅯䅖䝂䙁䅧䅁㑂䅁䅁杅䅁䕁䄴兗呂䕁䅕杏啂䕁䅣䅖䅁䉁䈴䅁十䅁䅁杔婂䙁䅍兒㙁䙁䅑杓奂䅁䅁朸䅁䉁䅉䅁佂䙁䅫睕䙂䑁䅯䅖乂䕁䄸䅁䥁允䅁杅䅁䕁䄴兗呂䕁䅕杏啂䙁䅁䅔䅁䥁䉑䅁十䅁䅁杔婂䙁䅍兒㙁䙁䅑䅕卂䅁䅁䅲䅅䉁䅑䅁佂䙁䅫睕䙂䑁䅯䅖卂䕁䅣䅕䅁䡁䅳䅁十䅁䅁杔婂䙁䅍兒㙁䙁䅑杕坂䅁䅁全䅁䉁䅉䅁佂䙁䅫睕䙂䑁䅯䅖呂䕁䄴䅁㙃䅁䅁䅅䅁䕁䄴兗呂䕁䅕杏啂䙁䅑䅁䥃允䅁杅䅁䕁䄴兗呂䕁䅕杏啂䙁䅧䅖䅁䩁䈰䅁十䅁䅁杔婂䙁䅍兒㙁䙁䅑兗䵂䅁䅁䅓䅅䉁䅑䅁佂䙁䅫睕䙂䑁䅯兖䍂䕁䅕杕䅁䵁䅷䅁十䅁䅁杔婂䙁䅍兒㙁䙁䅕䅒卂䅁䅁杺䅅䉁䅉䅁佂䙁䅫睕䙂䑁䅯兖䥂䙁䅍䅁㑄允䅁杅䅁䕁䄴兗呂䕁䅕杏噂䕁䄴䅓䅁偁䉣䅁十䅁䅁杔婂䙁䅍兒㙁䙁䅕杔兂䅁䅁䅢䅁䉁䅉䅁佂䙁䅫睕䙂䑁䅯兖兂䙁䅍䅁㝃允䅁杅䅁䕁䄴兗呂䕁䅕杏噂䙁䅉兓䅁䍁䅫䅁十䅁䅁杔婂䙁䅍兒㙁䙁䅕睕䍂䅁䅁朹䅅䅁䄴䅁佂䙁䅫睕䙂䑁䅯杖䅁䥁䉅䅁啁䅁䅁杔婂䙁䅍兒㙁䙁䅙兓䑂䕁䅫䅁㙄允䅁杅䅁䕁䄴兗呂䕁䅕杏坂䕁䅷睔䅁䵁䉷䅁啁䅁䅁杔婂䙁䅍兒㙁䙁䅙䅔啂䕁䄸䅁䱂允䅁杅䅁䕁䄴兗呂䕁䅕杏坂䕁䄰睑䅁䍁䉯䅁十䅁䅁杔婂䙁䅍兒㙁䙁䅙睕啂䅁䅁䅮䅁䉁䅉䅁佂䙁䅫睕䙂䑁䅯杖啂䙁䅉䅁捄䅁䅁䅅䅁䕁䄴兗呂䕁䅕杏坂䙁䅯䅁橄允䅁杅䅁䕁䄴兗呂䕁䅕杏塂䕁䅅村䅁䭁䉧䅁十䅁䅁杔婂䙁䅍兒㙁䙁䅣兑啂䅁䅁杩䅅䉁䅉䅁佂䙁䅫睕䙂䑁䅯睖䙂䕁䅍䅁煁䅁䅁䅆䅁䕁䄴兗呂䕁䅕杏塂䕁䅕䅔䵂䅁䅁睪䅅䉁䅉䅁佂䙁䅫睕䙂䑁䅯睖䝂䕁䅍䅁瑁䅁䅁䅅䅁䕁䄴兗呂䕁䅕杏塂䕁䄰䅁㡄允䅁杅䅁䕁䄴兗呂䕁䅕杏塂䕁䄰村䅁䉁䉍䅁十䅁䅁杔婂䙁䅍兒㙁䙁䅣兔啂䅁䅁䄳䅅䉁䅉䅁佂䙁䅫睕䙂䑁䅯睖卂䕁䅉䅁偄允䅁杅䅁䕁䄴兗呂䕁䅕杏塂䙁䅍䅖䅁䙁䈴䅁允䅁䅁杔婂䙁䅍兒㙁䙁䅣兗䅁䩁䄰䅁十䅁䅁杔婂䙁䅍兒㙁䙁䅧睔乂䅁䅁䅬䅅䉁䅉䅁佂䙁䅫睕䙂䑁䅯䅗婂䕁䅷䅁䱄允䅁杅䅁䕁䄴兗呂䕁䅕杏婂䙁䅕兔䅁䡁䅙䅁十䅁䅁杔婂䙁䅍兒㙁䙁䅯村䥂䅁䅁杅䅅䉁䅉䅁佂䙁䅫睕䙂䑁䅯杗啂䙁䅍䅁㍃允䅁䅈䅁䕁䄴兙穂䝁䅑兙硂䕁䅣兔㙁䕁䅕杔兂䕁䅧䅁畂允䅁䅈䅁䕁䄴兙穂䝁䅑兙硂䕁䅣睕㙁䕁䅅兑兂䕁䅷䅁噄䅁䅁䅈䅁䕁䄴兙穂䝁䅑兙硂䕁䅣睕㙁䕁䅅村佂䕁䅉䅁牁䅁䅁䅈䅁䕁䄴兙穂䝁䅑兙硂䕁䅣睕㙁䕁䅅睑䡂䕁䅷䅁晄䅁䅁䅈䅁䕁䄴兙穂䝁䅑兙硂䕁䅣睕㙁䕁䅅䅒䍂䕁䅕䅁扂䅁䅁杇䅁䕁䄴兙穂䝁䅑兙硂䕁䅣睕㙁䕁䅅䅒䩂䅁䅁杷䅁䉁䅯䅁佂䝁䅅督歂䝁䅅兣䡂䙁䅍杏䉂䕁䅑䅕䅁䵁䅍䅁捁䅁䅁杔桂䡁䅍䅚桂䡁䅅睒呂䑁䅯兑䕂䙁䅍睓䅁偁䅍䅁慁䅁䅁杔桂䡁䅍䅚桂䡁䅅睒呂䑁䅯兑䙂䙁䅁䅁千䅁䅁䅈䅁䕁䄴兙穂䝁䅑兙硂䕁䅣睕㙁䕁䅅睓䉂䕁䄰䅁歂䅁䅁䅈䅁䕁䄴兙穂䝁䅑兙硂䕁䅣睕㙁䕁䅅䅔䡂䕁䄴䅁塂䅁䅁䅈䅁䕁䄴兙穂䝁䅑兙硂䕁䅣睕㙁䕁䅅兔䉂䙁䅑䅁桃䅁䅁杇䅁䕁䄴兙穂䝁䅑兙硂䕁䅣睕㙁䕁䅅兔䕂䅁䅁杙䅁䉁䅷䅁佂䝁䅅督歂䝁䅅兣䡂䙁䅍杏䉂䕁䄰睒佂䅁䅁睑䅁䉁䅷䅁佂䝁䅅督歂䝁䅅兣䡂䙁䅍杏䉂䕁䄰杗佂䅁䅁䅒䅁䉁䅷䅁佂䝁䅅督歂䝁䅅兣䡂䙁䅍杏䉂䕁䄴睕呂䅁䅁入䅁䉁䅯䅁佂䝁䅅督歂䝁䅅兣䡂䙁䅍杏䉂䙁䅁兑䅁䡁䅷䅁捁䅁䅁杔桂䡁䅍䅚桂䡁䅅睒呂䑁䅯兑坂䕁䅣睔䅁䩁䅫䅁捁䅁䅁杔桂䡁䅍䅚桂䡁䅅睒呂䑁䅯兑奂䕁䄸杔䅁䅁䉫䅁捁䅁䅁杔桂䡁䅍䅚桂䡁䅅睒呂䑁䅯村䩂䕁䅫村䅁䉁䉑䅁捁䅁䅁杔桂䡁䅍䅚桂䡁䅅睒呂䑁䅯村䱂䕁䄴睒䅁佁䄴䅁慁䅁䅁杔桂䡁䅍䅚桂䡁䅅睒呂䑁䅯村䱂䙁䅉䅁卂䅁䅁䅈䅁䕁䄴兙穂䝁䅑兙硂䕁䅣睕㙁䕁䅍䅒佂䙁䅍䅁畁允䅁杇䅁䕁䄴兙穂䝁䅑兙硂䕁䅣睕㙁䕁䅍䅒塂䅁䅁䅸䅁䉁䅯䅁佂䝁䅅督歂䝁䅅兣䡂䙁䅍杏䑂䕁䅕睒䅁䩁䅍䅁捁䅁䅁杔桂䡁䅍䅚桂䡁䅅睒呂䑁䅯睑䥂䙁䅉睖䅁䑁䄴䅁捁䅁䅁杔桂䡁䅍䅚桂䡁䅅睒呂䑁䅯睑䥂䙁䅑杕䅁䍁䄴䅁捁䅁䅁杔桂䡁䅍䅚桂䡁䅅睒呂䑁䅯睑䩂䕁䄴杒䅁䩁䅅䅁敁䅁䅁杔桂䡁䅍䅚桂䡁䅅睒呂䑁䅯睑乂䕁䅍睕䉂䅁䅁杚䅅䉁䅯䅁佂䝁䅅督歂䝁䅅兣䡂䙁䅍杏䑂䕁䄰兒䅁䝁䅍䅁慁䅁䅁杔桂䡁䅍䅚桂䡁䅅睒呂䑁䅯睑偂䕁䄸䅁敃允䅁䅈䅁䕁䄴兙穂䝁䅑兙硂䕁䅣睕㙁䕁䅍睔呂䙁䅑䅁乂䅁䅁杇䅁䕁䄴兙穂䝁䅑兙硂䕁䅣睕㙁䕁䅍䅕䍂䅁䅁兦䅁䉁䅷䅁佂䝁䅅督歂䝁䅅兣䡂䙁䅍杏䑂䙁䅁杕啂䅁䅁兢䅅䉁䅷䅁佂䝁䅅督歂䝁䅅兣䡂䙁䅍杏䑂䙁䅉睖䕂䅁䅁兰䅁䉁䅷䅁佂䝁䅅督歂䝁䅅兣䡂䙁䅍杏䑂䙁䅍睑偂䅁䅁睁䅅䉁䅷䅁佂䝁䅅督歂䝁䅅兣䡂䙁䅍杏䑂䙁䅍睒兂䅁䅁兎䅅䉁䅯䅁佂䝁䅅督歂䝁䅅兣䡂䙁䅍杏䑂䙁䅍䅗䅁䕁䅁䅁捁䅁䅁杔桂䡁䅍䅚桂䡁䅅睒呂䑁䅯睑啂䕁䅅睕䅁偁䄴䅁捁䅁䅁杔桂䡁䅍䅚桂䡁䅅睒呂䑁䅯睑啂䙁䅍䅓䅁䉁䄴䅁慁䅁䅁杔桂䡁䅍䅚桂䡁䅅睒呂䑁䅯睑慂䙁䅉䅁剄䅁䅁䅈䅁䕁䄴兙穂䝁䅑兙硂䕁䅣睕㙁䕁䅑䅔啂䙁䅉䅁䙄䅁䅁杇䅁䕁䄴兙穂䝁䅑兙硂䕁䅣睕㙁䕁䅑䅕慂䅁䅁杦䅁䉁䅷䅁佂䝁䅅督歂䝁䅅兣䡂䙁䅍杏䕂䙁䅧睑乂䅁䅁李䅅䉁䅧䅁佂䝁䅅督歂䝁䅅兣䡂䙁䅍杏䙂䕁䅅䅁啁䅁䅁䅈䅁䕁䄴兙穂䝁䅑兙硂䕁䅣睕㙁䕁䅕村䉂䙁䅫䅁㑁䅁䅁䅈䅁䕁䄴兙穂䝁䅑兙硂䕁䅣睕㙁䕁䅕兕䩂䙁䅧䅁穁䅁䅁䅈䅁䕁䄴兙穂䝁䅑兙硂䕁䅣睕㙁䕁䅕杕䩂䕁䅕䅁㥄䅁䅁䅈䅁䕁䄴兙穂䝁䅑兙硂䕁䅣睕㙁䕁䅕杖卂䕁䅣䅁䩁䅁䅁杇䅁䕁䄴兙穂䝁䅑兙硂䕁䅣睕㙁䕁䅕䅗䑂䅁䅁杄䅁䉁䅷䅁佂䝁䅅督歂䝁䅅兣䡂䙁䅍杏䙂䙁䅧䅕䙂䅁䅁杣䅁䉁䅷䅁佂䝁䅅督歂䝁䅅兣䡂䙁䅍杏䝂䕁䅅杔䡂䅁䅁眫䅁䉁䅷䅁佂䝁䅅督歂䝁䅅兣䡂䙁䅍杏䝂䕁䅅睕啂䅁䅁杬䅅䉁䅷䅁佂䝁䅅督歂䝁䅅兣䡂䙁䅍杏䝂䕁䅙兓坂䅁䅁䅡䅁䉁䅷䅁佂䝁䅅督歂䝁䅅兣䡂䙁䅍杏䝂䕁䅫䅖䍂䅁䅁兆䅅䉁䅯䅁佂䝁䅅督歂䝁䅅兣䡂䙁䅍杏䝂䕁䄸䅗䅁䩁䈸䅁捁䅁䅁杔桂䡁䅍䅚桂䡁䅅睒呂䑁䅯杒偂䙁䅧兑䅁䭁䉉䅁捁䅁䅁杔桂䡁䅍䅚桂䡁䅅睒呂䑁䅯杒呂䕁䅷杕䅁䭁䅉䅁捁䅁䅁杔桂䡁䅍䅚桂䡁䅅睒呂䑁䅯杒啂䕁䄴䅖䅁䑁䅁䅁捁䅁䅁杔桂䡁䅍䅚桂䡁䅅睒呂䑁䅯睒䙂䕁䅧睑䅁偁䅁䅁慁䅁䅁杔桂䡁䅍䅚桂䡁䅅睒呂䑁䅯睒䙂䕁䄴䅁啃䅁䅁䅈䅁䕁䄴兙穂䝁䅑兙硂䕁䅣睕㙁䕁䅣兓䵂䕁䅑䅁䱄䅁䅁䅈䅁䕁䄴兙穂䝁䅑兙硂䕁䅣睕㙁䕁䅣睔偂䕁䅣䅁㡁䅁䅁杈䅁䕁䄴兙穂䝁䅑兙硂䕁䅣睕㙁䕁䅣睔偂䕁䅣䅔䅁䑁䄰䅁慁䅁䅁杔桂䡁䅍䅚桂䡁䅅睒呂䑁䅯䅓䉂䙁䅍䅁噁䅁䅁䅈䅁䕁䄴兙穂䝁䅑兙硂䕁䅣睕㙁䕁䅧村䉂䕁䄴䅁汃允䅁䅈䅁䕁䄴兙穂䝁䅑兙硂䕁䅣睕㙁䕁䅧睔䵂䙁䅧䅁㑃允䅁杇䅁䕁䄴兙穂䝁䅑兙硂䕁䅣睕㙁䕁䅧睔佂䅁䅁䅯䅅䉁䅷䅁佂䝁䅅督歂䝁䅅兣䡂䙁䅍杏䥂䙁䅍兓䑂䅁䅁睨䅅䉁䅯䅁佂䝁䅅督歂䝁䅅兣䡂䙁䅍杏䥂䙁䅍䅖䅁䕁䅅䅁捁䅁䅁杔桂䡁䅍䅚桂䡁䅅睒呂䑁䅯兓䕂䙁䅧䅗䅁䑁䅳䅁捁䅁䅁杔桂䡁䅍䅚桂䡁䅅睒呂䑁䅯兓佂䕁䅍兗䅁䑁䈰䅁捁䅁䅁杔桂䡁䅍䅚桂䡁䅅睒呂䑁䅯兓佂䙁䅑睑䅁䵁䉁䅁捁䅁䅁杔桂䡁䅍䅚桂䡁䅅睒呂䑁䅯兓佂䙁䅑兖䅁䍁䅕䅁捁䅁䅁杔桂䡁䅍䅚桂䡁䅅睒呂䑁䅯兓呂䙁䅉睒䅁䝁䅅䅁捁䅁䅁杔桂䡁䅍䅚桂䡁䅅睒呂䑁䅯杓䍂䕁䅧䅖䅁䵁䉕䅁捁䅁䅁杔桂䡁䅍䅚桂䡁䅅睒呂䑁䅯杓䱂䕁䅧兗䅁䵁䉫䅁慁䅁䅁杔桂䡁䅍䅚桂䡁䅅睒呂䑁䅯睓䕂䙁䅁䅁䝄䅁䅁杇䅁䕁䄴兙穂䝁䅑兙硂䕁䅣睕㙁䕁䅳䅓䑂䅁䅁杨䅁䉁䅷䅁佂䝁䅅督歂䝁䅅兣䡂䙁䅍杏䱂䕁䅷兑䑂䅁䅁䅤䅅䉁䅯䅁佂䝁䅅督歂䝁䅅兣䡂䙁䅍杏䵂䕁䅫杔䅁䥁䉳䅁慁䅁䅁杔桂䡁䅍䅚桂䡁䅅睒呂䑁䅯䅔䱂䙁䅅䅁呂䅁䅁杇䅁䕁䄴兙穂䝁䅑兙硂䕁䅣睕㙁䕁䅷杔啂䅁䅁免䅁䉁䅷䅁佂䝁䅅督歂䝁䅅兣䡂䙁䅍杏䵂䙁䅉睑奂䅁䅁䅡䅅䉁䅷䅁佂䝁䅅督歂䝁䅅兣䡂䙁䅍杏䵂䙁䅕䅔噂䅁䅁䄱䅅䉁䅯䅁佂䝁䅅督歂䝁䅅兣䡂䙁䅍杏乂䕁䅅杕䅁䉁䅙䅁捁䅁䅁杔桂䡁䅍䅚桂䡁䅅睒呂䑁䅯兔䑂䕁䅧䅕䅁䑁䉷䅁捁䅁䅁杔桂䡁䅍䅚桂䡁䅅睒呂䑁䅯兔䕂䕁䅷杗䅁䩁䉣䅁捁䅁䅁杔桂䡁䅍䅚桂䡁䅅睒呂䑁䅯兔䙂䙁䅑兑䅁䑁䅣䅁捁䅁䅁杔桂䡁䅍䅚桂䡁䅅睒呂䑁䅯兔䱂䙁䅑䅗䅁䩁䉍䅁捁䅁䅁杔桂䡁䅍䅚桂䡁䅅睒呂䑁䅯兔佂䙁䅍䅖䅁䱁䄰䅁捁䅁䅁杔桂䡁䅍䅚桂䡁䅅睒呂䑁䅯兔兂䙁䅣杕䅁䩁䉁䅁捁䅁䅁杔桂䡁䅍䅚桂䡁䅅睒呂䑁䅯兔卂䕁䄴兑䅁䱁䉫䅁捁䅁䅁杔桂䡁䅍䅚桂䡁䅅睒呂䑁䅯兔呂䕁䅙䅖䅁乁䅫䅁捁䅁䅁杔桂䡁䅍䅚桂䡁䅅睒呂䑁䅯兔啂䕁䅍䅓䅁䉁䄸䅁奁䅁䅁杔桂䡁䅍䅚桂䡁䅅睒呂䑁䅯兔噂䅁䅁兓䅅䉁䅷䅁佂䝁䅅督歂䝁䅅兣䡂䙁䅍杏佂䕁䅑兑剂䅁䅁䅷䅁䉁䅷䅁佂䝁䅅督歂䝁䅅兣䡂䙁䅍杏佂䕁䅑睕佂䅁䅁䅑䅅䉁䅷䅁佂䝁䅅督歂䝁䅅兣䡂䙁䅍杏佂䕁䅙䅔奂䅁䅁䄲䅁䉁䅷䅁佂䝁䅅督歂䝁䅅兣䡂䙁䅍杏佂䙁䅑兑兂䅁䅁杪䅁䉁䅷䅁佂䝁䅅督歂䝁䅅兣䡂䙁䅍杏佂䙁䅑杕呂䅁䅁眯䅁䉁䅷䅁佂䝁䅅督歂䝁䅅兣䡂䙁䅍杏佂䙁䅙䅒䉂䅁䅁杶䅁䉁䅯䅁佂䝁䅅督歂䝁䅅兣䡂䙁䅍杏佂䙁䅣睕䅁乁䉫䅁捁䅁䅁杔桂䡁䅍䅚桂䡁䅅睒呂䑁䅯杔塂䙁䅍兑䅁乁䉯䅁捁䅁䅁杔桂䡁䅍䅚桂䡁䅅睒呂䑁䅯杔奂䙁䅁兓䅁䙁䉑䅁捁䅁䅁杔桂䡁䅍䅚桂䡁䅅睒呂䑁䅯睔䕂䕁䅙䅔䅁䕁䈸䅁奁䅁䅁杔桂䡁䅍䅚桂䡁䅅睒呂䑁䅯睔佂䅁䅁杍䅁䉁䅷䅁佂䝁䅅督歂䝁䅅兣䡂䙁䅍杏偂䙁䅉䅔婂䅁䅁䄷䅁䉁䅷䅁佂䝁䅅督歂䝁䅅兣䡂䙁䅍杏兂䕁䅅杔塂䅁䅁儵䅁䉁䅷䅁佂䝁䅅督歂䝁䅅兣䡂䙁䅍杏兂䕁䅅杕䉂䅁䅁儴䅁䉁䅷䅁佂䝁䅅督歂䝁䅅兣䡂䙁䅍杏兂䕁䅅兗奂䅁䅁杷䅅䉁䅷䅁佂䝁䅅督歂䝁䅅兣䡂䙁䅍杏兂䕁䅍兑卂䅁䅁杖䅅䉁䅯䅁佂䝁䅅督歂䝁䅅兣䡂䙁䅍杏兂䕁䅕䅕䅁䩁䅕䅁慁䅁䅁杔桂䡁䅍䅚桂䡁䅅睒呂䑁䅯䅕䝂䕁䅣䅁祃允䅁䅈䅁䕁䄴兙穂䝁䅑兙硂䕁䅣睕㙁䙁䅁䅔啂䙁䅉䅁䡄䅁䅁䅈䅁䕁䄴兙穂䝁䅑兙硂䕁䅣睕㙁䙁䅁睔䕂䕁䅑䅁㡃允䅁䅈䅁䕁䄴兙穂䝁䅑兙硂䕁䅣睕㙁䙁䅁睔偂䕁䅷䅁塁允䅁杇䅁䕁䄴兙穂䝁䅑兙硂䕁䅣睕㙁䙁䅁䅖䑂䅁䅁䄴䅅䉁䅷䅁佂䝁䅅督歂䝁䅅兣䡂䙁䅍杏兂䙁䅫䅕䵂䅁䅁兩䅅䉁䅷䅁佂䝁䅅督歂䝁䅅兣䡂䙁䅍杏剂䕁䅍睔乂䅁䅁東䅁䉁䅯䅁佂䝁䅅督歂䝁䅅兣䡂䙁䅍杏卂䕁䅕睒䅁䩁䅙䅁捁䅁䅁杔桂䡁䅍䅚桂䡁䅅睒呂䑁䅯杕䙂䕁䅣杔䅁䱁䅳䅁慁䅁䅁杔桂䡁䅍䅚桂䡁䅅睒呂䑁䅯杕偂䙁䅁䅁桃允䅁䅈䅁䕁䄴兙穂䝁䅑兙硂䕁䅣睕㙁䙁䅉睔呂䙁䅑䅁佂䅁䅁䅈䅁䕁䄴兙穂䝁䅑兙硂䕁䅣睕㙁䙁䅍村䉂䕁䅍䅁癁䅁䅁䅈䅁䕁䄴兙穂䝁䅑兙硂䕁䅣睕㙁䙁䅍村噂䙁䅧䅁牄允䅁䅈䅁䕁䄴兙穂䝁䅑兙硂䕁䅣睕㙁䙁䅍兔䑂䕁䅫䅁䱁䅁䅁䅈䅁䕁䄴兙穂䝁䅑兙硂䕁䅣睕㙁䙁䅍杔兂䙁䅍䅁㙂䅁䅁䅈䅁䕁䄴兙穂䝁䅑兙硂䕁䅣睕㙁䙁䅍䅖䵂䕁䅑䅁湃䅁䅁杇䅁䕁䄴兙穂䝁䅑兙硂䕁䅣睕㙁䙁䅍䅖奂䅁䅁儴䅅䉁䅷䅁佂䝁䅅督歂䝁䅅兣䡂䙁䅍杏呂䙁䅣睓呂䅁䅁朶䅅䉁䅷䅁佂䝁䅅督歂䝁䅅兣䡂䙁䅍杏啂䕁䅕睑䥂䅁䅁党䅁䉁䅯䅁佂䝁䅅督歂䝁䅅兣䡂䙁䅍杏啂䕁䅕杕䅁䩁䅣䅁捁䅁䅁杔桂䡁䅍䅚桂䡁䅅睒呂䑁䅯䅖乂䙁䅕睕䅁䝁䉣䅁捁䅁䅁杔桂䡁䅍䅚桂䡁䅅睒呂䑁䅯䅖卂䕁䄰村䅁偁䉕䅁捁䅁䅁杔桂䡁䅍䅚桂䡁䅅睒呂䑁䅯䅖卂䕁䄸睖䅁佁䈸䅁捁䅁䅁杔桂䡁䅍䅚桂䡁䅅睒呂䑁䅯䅖呂䕁䅍睔䅁䅁䉑䅁捁䅁䅁杔桂䡁䅍䅚桂䡁䅅睒呂䑁䅯䅖呂䕁䅷兑䅁䵁䉍䅁捁䅁䅁杔桂䡁䅍䅚桂䡁䅅睒呂䑁䅯䅖啂䙁䅣睔䅁䙁䅕䅁慁䅁䅁杔桂䡁䅍䅚桂䡁䅅睒呂䑁䅯䅖奂䕁䄴䅁偁䅁䅁杇䅁䕁䄴兙穂䝁䅑兙硂䕁䅣睕㙁䙁䅕兑䵂䅁䅁睆䅁䉁䅷䅁佂䝁䅅督歂䝁䅅兣䡂䙁䅍杏噂䕁䅷䅖䉂䅁䅁內䅁䉁䅷䅁佂䝁䅅督歂䝁䅅兣䡂䙁䅍杏坂䙁䅉睕䱂䅁䅁儫䅅䉁䅷䅁佂䝁䅅督歂䝁䅅兣䡂䙁䅍杏坂䙁䅉睕佂䅁䅁兘䅅䉁䅷䅁佂䝁䅅督歂䝁䅅兣䡂䙁䅍杏坂䙁䅉䅖奂䅁䅁兡䅅䉁䅷䅁佂䝁䅅督歂䝁䅅兣䡂䙁䅍杏坂䙁䅑杕呂䅁䅁䅁䅅䉁䅯䅁佂䝁䅅督歂䝁䅅兣䡂䙁䅍杏塂䕁䅉兑䅁佁䅉䅁慁䅁䅁杔桂䡁䅍䅚桂䡁䅅睒呂䑁䅯睖䍂䕁䅑䅁橄䅁䅁䅈䅁䕁䄴兙穂䝁䅑兙硂䕁䅣睕㙁䙁䅣䅒䉂䙁䅫䅁㥄允䅁杇䅁䕁䄴兙穂䝁䅑兙硂䕁䅣睕㙁䙁䅣䅒䑂䅁䅁䅹䅁䉁䅯䅁佂䝁䅅督歂䝁䅅兣䡂䙁䅍杏塂䙁䅑睖䅁佁䉉䅁捁䅁䅁杔桂䡁䅍䅚桂䡁䅅睒呂䑁䅯睖婂䕁䄴杔䅁偁䉳䅁慁䅁䅁杔桂䡁䅍䅚桂䡁䅅睒呂䑁䅯䅗䙂䕁䅷䅁奃䅁䅁䅈䅁䕁䄴兙穂䝁䅑兙硂䕁䅣睕㙁䙁䅯村卂䕁䅅䅁⭄允䅁䅂䅁䕁䄸䅁捁睁䅁权䅁䕁䄸䅒䝂䕁䅷䅁ぃ睁䅁䅃䅁䕁䄸睒佂䅁䅁䅃䅑䅁䅧䅁偂䕁䅳兒䅁䅁䑯䅁䥁䅁䅁睔乂䕁䅍䅁硄睁䅁杂䅁䕁䄸杔䅁乁䐴䅁䭁䅁䅁睔卂䕁䅍䅔䅁䩁䑯䅁䭁䅁䅁睔卂䕁䅷兗䅁䡁䐴䅁䭁䅁䅁睔啂䕁䅫睕䅁䥁䍯䅁䥁䅁䅁睔奂䙁䅫䅁捄杁䅁䅂䅁䙁䅁䅁佁䅂䅁权䅁䙁䅁兑佂䙁䅣䅁敃睁䅁权䅁䙁䅁兑卂䕁䅅䅁䑄睁䅁权䅁䙁䅁兑婂䕁䅍䅁い睁䅁权䅁䙁䅁兑婂䙁䅧䅁偁杁䅁权䅁䙁䅁睑䉂䙁䅉䅁剁睁䅁䅃䅁䙁䅁睑䡂䅁䅁兆䅉䅁䅧䅁兂䕁䅕睒䅁偁䑙䅁䥁䅁䅁䅕䙂䙁䅁䅁㡁睁䅁䅃䅁䙁䅁杒䙂䅁䅁兙䅉䅁䅧䅁兂䕁䅙睒䅁䉁䑉䅁䝁䅁䅁䅕䡂䅁䅁兑䅉䅁䅧䅁兂䕁䅣杕䅁䱁䑫䅁䝁䅁䅁䅕䥂䅁䅁睤䅉䅁䅧䅁兂䕁䅧兔䅁偁䑣䅁䥁䅁䅁䅕䱂䕁䅣䅁祄睁䅁䅃䅁䙁䅁䅔䕂䅁䅁䄰䅍䅁䅯䅁兂䕁䅷䅖卂䅁䅁䅊䅑䅁䅙䅁兂䕁䄰䅁元杁䅁䅃䅁䙁䅁杔䑂䅁䅁睒䅉䅁䅧䅁兂䕁䄴杕䅁佁䑳䅁䥁䅁䅁䅕佂䙁䅣䅁㉁杁䅁权䅁䙁䅁睔䕂䕁䅑䅁畁杁䅁权䅁䙁䅁睔偂䕁䅷䅁䭄杁䅁䅃䅁䙁䅁䅕䡂䅁䅁儱䅍䅁䅧䅁兂䙁䅁䅔䅁䡁䍕䅁䥁䅁䅁䅕卂䙁䅕䅁坁杁䅁䅃䅁䙁䅁睕䉂䅁䅁䅶䅍䅁䅧䅁兂䙁䅍䅗䅁䑁䑙䅁䥁䅁䅁䅕啂䕁䅍䅁湄睁䅁䅃䅁䙁䅁睖卂䅁䅁杇䅍䅁䅧䅁兂䙁䅧䅒䅁䭁䐸䅁䭁䅁䅁䅕婂䙁䅁䅔䅁䅁䑕䅁䭁䅁䅁兕䑂䕁䄸兔䅁䉁䍫䅁䭁䅁䅁兕卂䙁䅙睔䅁䙁䍕䅁䥁䅁䅁杕䑂䕁䅷䅁慄杁䅁䅃䅁䙁䅉兒䡂䅁䅁末䅍䅁䅯䅁卂䕁䅕睒佂䅁䅁来䅉䅁䅙䅁卂䕁䅙䅁㝄睁䅁䅃䅁䙁䅉䅓䩂䅁䅁䅣䅉䅁䅧䅁卂䕁䅯杒䅁佁䌰䅁䝁䅁䅁杕䵂䅁䅁朶䅉䅁䅧䅁卂䕁䄰䅒䅁偁䑷䅁䥁䅁䅁杕偂䕁䅳䅁ぁ睁䅁䅃䅁䙁䅉睔䵂䅁䅁朴䅍䅁䅧䅁卂䕁䄸䅕䅁䙁䌴䅁䭁䅁䅁杕偂䙁䅍䅖䅁䝁䑑䅁䥁䅁䅁杕呂䕁䅣䅁㍂睁䅁䅃䅁䙁䅉䅖奂䅁䅁儫䅍䅁䅯䅁卂䙁䅙䅖婂䅁䅁兺䅍䅁䅯䅁呂䕁䅉兑䑂䅁䅁䄸䅍䅁䅯䅁呂䕁䅉杔婂䅁䅁允䅑䅁䅯䅁呂䕁䅉兖奂䅁䅁䄲䅍䅁䅯䅁呂䕁䅍䅓塂䅁䅁眷䅉䅁䅯䅁呂䕁䅕䅒䡂䅁䅁睴䅍䅁䅧䅁呂䕁䅕兒䅁䑁䐴䅁䥁䅁䅁睕䥂䙁䅣䅁⭄睁䅁权䅁䙁䅍兓坂䕁䅉䅁煄睁䅁䅃䅁䙁䅍杓乂䅁䅁杶䅍䅁䅧䅁呂䕁䅷村䅁䵁䐸䅁䭁䅁䅁睕乂䕁䅍兓䅁䍁䕧䅁䥁䅁䅁睕佂䕁䅅䅁浄睁䅁权䅁䙁䅍杔兂䙁䅍䅁䑂睁䅁杂䅁䙁䅍睔䅁佁䑕䅁䭁䅁䅁睕偂䕁䅷杖䅁䍁䕅䅁䥁䅁䅁睕兂䕁䅣䅁呄睁䅁权䅁䙁䅍䅕䡂䕁䅫䅁婃杁䅁䅅䅁䙁䅍䅕奂䑁䅯兓佂䕁䅑䅁䵁䅂䅁杇䅁䙁䅍䅕時䕁䄰兑卂䕁䅳兒啂䕁䅍兑兂䅁䅁允䅉䉁䅯䅁呂䙁䅁睘啂䕁䄸䅖䉂䕁䅷睘卂䕁䅕杖䅁䅁䅑䅁䥁䅁䅁睕卂䕁䅕䅁佃睁䅁䅎䅁䙁䅍䅖䉂䙁䅉䅖時䙁䅉兑佂䕁䅳児硁䡁䅷兒佂䕁䅑睘卂䕁䅅杔䱂䑁䄰兎睁䑁䅁䅁十䅂䅁䅃䅁䙁䅍䅖䙂䅁䅁具䅍䅁䅯䅁呂䙁䅑䅔䕂䅁䅁䅐䅉䅁䅧䅁呂䙁䅑䅖䅁䉁䐸䅁䥁䅁䅁睕啂䙁䅧䅁㥄睁䅁䅃䅁䙁䅍䅖慂䅁䅁睫䅉䅁䅙䅁呂䙁䅣䅁坁䅂䅁䅃䅁䙁䅍睖䱂䅁䅁眯䅍䅁䅯䅁呂䙁䅣睓呂䅁䅁朳䅉䅁䅧䅁呂䙁䅫杒䅁䡁䑷䅁䥁䅁䅁睕婂䕁䅳䅁䅁䅂䅁䅃䅁䙁䅍兗婂䅁䅁䅭䅉䅁䅑䅁啂䅁䅁材䅉䅁䅧䅁啂䕁䅅䅕䅁䙁䑳䅁䥁䅁䅁䅖䕂䕁䅣䅁湂睁䅁䅃䅁䙁䅑䅒婂䅁䅁村䅉䅁䅯䅁啂䕁䅕睑䥂䅁䅁睌䅍䅁䅧䅁啂䕁䅕䅔䅁䅁䕕䅁䥁䅁䅁䅖䙂䙁䅉䅁杁睁䅁䅃䅁䙁䅑杒䑂䅁䅁睯䅉䅁䅧䅁啂䕁䅙䅗䅁䝁䑅䅁䥁䅁䅁䅖䡂䙁䅑䅁䕁䅂䅁䅃䅁䙁䅑杓奂䅁䅁䅹䅉䅁䅧䅁啂䕁䄰睔䅁䝁䑕䅁䭁䅁䅁䅖乂䙁䅕睕䅁䵁䌴䅁䥁䅁䅁䅖兂䕁䅷䅁湁䅂䅁䅃䅁䙁䅑䅕卂䅁䅁杁䅑䅁䅯䅁啂䙁䅉睒兂䅁䅁睁䅑䅁䅯䅁啂䙁䅉兔䍂䅁䅁睋䅉䅁䅯䅁啂䙁䅉睔塂䅁䅁睮䅍䅁䅧䅁啂䙁䅉杖䅁䭁䑕䅁䭁䅁䅁䅖呂䕁䅍睔䅁䭁䑷䅁䭁䅁䅁䅖呂䕁䅷兑䅁䥁䍁䅁䥁䅁䅁䅖呂䕁䄴䅁硁杁䅁杂䅁䙁䅑䅖䅁䥁䍑䅁䭁䅁䅁䅖啂䙁䅣睔䅁䉁䍯䅁䥁䅁䅁䅖奂䕁䄴䅁楁睁䅁䅃䅁䙁䅑䅗啂䅁䅁杴䅉䅁䅧䅁啂䙁䅫䅔䅁䙁䑣䅁䥁䅁䅁兖䉂䕁䅷䅁晄睁䅁权䅁䙁䅕村䙂䙁䅉䅁摁䅂䅁䅃䅁䙁䅕䅒卂䅁䅁朷䅍䅁䅧䅁噂䕁䅧睕䅁䕁䑑䅁䭁䅁䅁兖䵂䙁䅑兑䅁䱁䑉䅁䥁䅁䅁兖佂䕁䅧䅁卄睁䅁䅃䅁䙁䅕杔兂䅁䅁睴䅉䅁䅧䅁噂䙁䅁睕䅁䝁䑧䅁䥁䅁䅁兖卂䕁䅫䅁㑄睁䅁䅃䅁䙁䅕睕䍂䅁䅁䅮䅍䅁䅑䅁坂䅁䅁杁䅍䅁䅧䅁坂䕁䅙睑䅁䩁䌴䅁䭁䅁䅁杖䩂䕁䅍兓䅁佁䐸䅁䥁䅁䅁杖䵂䕁䄸䅁塂杁䅁权䅁䙁䅙䅔啂䕁䄸䅁時杁䅁䅃䅁䙁䅙兔䑂䅁䅁关䅉䅁䅧䅁坂䕁䄴睔䅁偁䑕䅁䭁䅁䅁杖卂䙁䅍睓䅁䩁䑙䅁䭁䅁䅁杖卂䙁䅍杔䅁佁䑷䅁䭁䅁䅁杖卂䙁䅑䅗䅁乁䑳䅁䥁䅁䅁杖呂䙁䅑䅁敁䅂䅁䅃䅁䙁䅙䅖卂䅁䅁克䅍䅁䅯䅁坂䙁䅑杕呂䅁䅁睏䅍䅁䅙䅁坂䙁䅯䅁允杁䅁䅃䅁䙁䅣兑䍂䅁䅁䅵䅉䅁䅧䅁塂䕁䅅䅖䅁䡁䍍䅁䥁䅁䅁睖䍂䕁䅅䅁瑂睁䅁䅃䅁䙁䅣村䕂䅁䅁䄲䅉䅁䅯䅁塂䕁䅑兑婂䅁䅁兊䅑䅁䅧䅁塂䕁䅑睑䅁偁䑍䅁䥁䅁䅁睖䙂䕁䅍䅁䱄睁䅁权䅁䙁䅣兒䵂䕁䅷䅁橁睁䅁䅃䅁䙁䅣杒䑂䅁䅁䅸䅍䅁䅧䅁塂䕁䅧杕䅁䥁䐸䅁䝁䅁䅁睖乂䅁䅁杢䅍䅁䅧䅁塂䕁䄰村䅁䡁䑳䅁䥁䅁䅁睖乂䙁䅑䅁歂杁䅁䅃䅁䙁䅣杕䍂䅁䅁睹䅉䅁䅧䅁塂䙁䅉睓䅁䕁䐴䅁䥁䅁䅁睖呂䙁䅑䅁䩃睁䅁䅃䅁䙁䅣䅖塂䅁䅁朴䅉䅁䅙䅁塂䙁䅫䅁敁杁䅁权䅁䙁䅣兗佂䕁䄴䅁坄杁䅁䅃䅁䙁䅧兒䵂䅁䅁睘䅍䅁䅧䅁奂䕁䄸兔䅁佁䍍䅁䭁䅁䅁䅗卂䕁䅅兗䅁䱁䑳䅁䥁䅁䅁䅗奂䙁䅧䅁呁䅂䅁䅃䅁䙁䅧兗䵂䅁䅁眴䅍䅁䅧䅁婂䙁䅕兔䅁䉁䑳䅁䥁䅁䅁杗䍂䕁䅧䅁䕂杁䅁权䅁䙁䅯村卂䕁䅅䅁䡃睁䅁权䅁䙁䅯兓偂䕁䄴䅁㍁杁䅁䅃䅁䙁䅯䅖呂䅁䅁兲䅍䅁䅯䅁敂䙁䅍䅕奂䅁䅁䅁䅁䅁䅁䅁㵁</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</si>
</sst>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0.0%"/>
    <numFmt numFmtId="166" formatCode="_(* #,##0.000_);_(* \(#,##0.000\);_(* &quot;-&quot;??_);_(@_)"/>
  </numFmts>
  <fonts count="4" x14ac:knownFonts="1">
    <font>
      <sz val="11"/>
      <color theme="1"/>
      <name val="Calibri"/>
      <family val="2"/>
      <scheme val="minor"/>
    </font>
    <font>
      <sz val="11"/>
      <color theme="1"/>
      <name val="Calibri"/>
      <family val="2"/>
      <scheme val="minor"/>
    </font>
    <font>
      <sz val="8"/>
      <name val="Arial"/>
      <family val="2"/>
    </font>
    <font>
      <b/>
      <sz val="7"/>
      <color rgb="FFCCCCCC"/>
      <name val="Arial"/>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10">
    <xf numFmtId="0" fontId="0" fillId="0" borderId="0" xfId="0"/>
    <xf numFmtId="164" fontId="2" fillId="0" borderId="0" xfId="1" applyNumberFormat="1" applyFont="1"/>
    <xf numFmtId="0" fontId="2" fillId="0" borderId="0" xfId="0" applyFont="1"/>
    <xf numFmtId="165" fontId="2" fillId="0" borderId="0" xfId="2" applyNumberFormat="1" applyFont="1"/>
    <xf numFmtId="3" fontId="0" fillId="0" borderId="0" xfId="0" applyNumberFormat="1" applyAlignment="1">
      <alignment horizontal="right"/>
    </xf>
    <xf numFmtId="4" fontId="0" fillId="0" borderId="0" xfId="0" applyNumberFormat="1" applyAlignment="1">
      <alignment horizontal="right"/>
    </xf>
    <xf numFmtId="166" fontId="0" fillId="2" borderId="0" xfId="1" applyNumberFormat="1" applyFont="1" applyFill="1"/>
    <xf numFmtId="10" fontId="0" fillId="0" borderId="0" xfId="2" applyNumberFormat="1" applyFont="1"/>
    <xf numFmtId="0" fontId="3" fillId="0" borderId="0" xfId="0" applyFont="1"/>
    <xf numFmtId="14" fontId="0" fillId="0" borderId="0" xfId="0" applyNumberFormat="1"/>
  </cellXfs>
  <cellStyles count="3">
    <cellStyle name="Comma" xfId="1" builtinId="3"/>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C2806-2364-4DB6-A521-15CCF42B56BC}">
  <dimension ref="A1"/>
  <sheetViews>
    <sheetView workbookViewId="0"/>
  </sheetViews>
  <sheetFormatPr defaultRowHeight="14.4" x14ac:dyDescent="0.3"/>
  <sheetData>
    <row r="1" spans="1:1" x14ac:dyDescent="0.3">
      <c r="A1" t="s">
        <v>1050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B17F9C-94E4-4C31-A344-7D81D53D68EF}">
  <dimension ref="A1:P505"/>
  <sheetViews>
    <sheetView tabSelected="1" topLeftCell="A496" zoomScale="130" zoomScaleNormal="130" workbookViewId="0">
      <selection activeCell="L499" sqref="L499"/>
    </sheetView>
  </sheetViews>
  <sheetFormatPr defaultRowHeight="14.4" x14ac:dyDescent="0.3"/>
  <cols>
    <col min="1" max="1" width="16.21875" bestFit="1" customWidth="1"/>
    <col min="2" max="2" width="11" bestFit="1" customWidth="1"/>
    <col min="3" max="3" width="13.6640625" bestFit="1" customWidth="1"/>
    <col min="4" max="4" width="9" bestFit="1" customWidth="1"/>
    <col min="5" max="6" width="12.6640625" bestFit="1" customWidth="1"/>
    <col min="11" max="11" width="10.6640625" bestFit="1" customWidth="1"/>
    <col min="12" max="12" width="20.44140625" bestFit="1" customWidth="1"/>
  </cols>
  <sheetData>
    <row r="1" spans="1:16" x14ac:dyDescent="0.3">
      <c r="A1" t="str" cm="1">
        <f t="array" ref="A1">_xll.ciqfunctions.udf.CIQRANGE("^SPX", "IQ_CONSTITUENTS", 1, 600, , , , , "Constituents")</f>
        <v>Constituents</v>
      </c>
      <c r="B1" s="1" t="s">
        <v>1</v>
      </c>
      <c r="C1" s="2" t="s">
        <v>2</v>
      </c>
      <c r="D1" s="2" t="s">
        <v>3</v>
      </c>
      <c r="E1" s="2" t="s">
        <v>4</v>
      </c>
      <c r="F1" s="3" t="s">
        <v>5</v>
      </c>
      <c r="L1" t="s">
        <v>1</v>
      </c>
      <c r="M1" t="s">
        <v>2</v>
      </c>
      <c r="N1" t="s">
        <v>3</v>
      </c>
      <c r="O1" s="9" t="s">
        <v>4</v>
      </c>
      <c r="P1" t="s">
        <v>5</v>
      </c>
    </row>
    <row r="2" spans="1:16" x14ac:dyDescent="0.3">
      <c r="A2" t="s">
        <v>6</v>
      </c>
      <c r="B2" s="4" cm="1">
        <f t="array" ref="B2">_xll.SNL.Clients.Office.Excel.Functions.SPG(A2, "SP_TOTAL_REV", "CY2023")</f>
        <v>32681000</v>
      </c>
      <c r="C2" s="4">
        <f>_xll.SNL.Clients.Office.Excel.Functions.SPG(A2,"IQ_AVG_DILUT_SHARES_OUT","CY2023")</f>
        <v>553900000</v>
      </c>
      <c r="D2" s="5">
        <f>_xll.SNL.Clients.Office.Excel.Functions.SPG(A2, "IQ_DILUT_EPS_NORM", "CY2023")</f>
        <v>5.8529999999999998</v>
      </c>
      <c r="E2">
        <f>C2*D2/1000</f>
        <v>3241976.7</v>
      </c>
      <c r="F2">
        <f>E2/B2</f>
        <v>9.9200657874606052E-2</v>
      </c>
      <c r="H2" t="b">
        <f>B2=L2</f>
        <v>1</v>
      </c>
      <c r="K2" t="s">
        <v>516</v>
      </c>
      <c r="L2">
        <v>32681000</v>
      </c>
      <c r="M2">
        <v>553900000</v>
      </c>
      <c r="N2">
        <v>5.8529999999999998</v>
      </c>
      <c r="O2" s="9">
        <v>3241976.7</v>
      </c>
      <c r="P2">
        <v>9.9200657874606052E-2</v>
      </c>
    </row>
    <row r="3" spans="1:16" x14ac:dyDescent="0.3">
      <c r="A3" t="s">
        <v>7</v>
      </c>
      <c r="B3" s="4" cm="1">
        <f t="array" ref="B3">_xll.SNL.Clients.Office.Excel.Functions.SPG(A3, "SP_TOTAL_REV", "CY2023")</f>
        <v>3852800</v>
      </c>
      <c r="C3" s="4">
        <f>_xll.SNL.Clients.Office.Excel.Functions.SPG(A3,"IQ_AVG_DILUT_SHARES_OUT","CY2023")</f>
        <v>151015574</v>
      </c>
      <c r="D3" s="5">
        <f>_xll.SNL.Clients.Office.Excel.Functions.SPG(A3, "IQ_DILUT_EPS_NORM", "CY2023")</f>
        <v>3.11</v>
      </c>
      <c r="E3">
        <f t="shared" ref="E3:E66" si="0">C3*D3/1000</f>
        <v>469658.43513999996</v>
      </c>
      <c r="F3">
        <f t="shared" ref="F3:F66" si="1">E3/B3</f>
        <v>0.12190054898774916</v>
      </c>
      <c r="H3" t="b">
        <f t="shared" ref="H3:H66" si="2">B3=L3</f>
        <v>1</v>
      </c>
      <c r="K3" t="s">
        <v>517</v>
      </c>
      <c r="L3">
        <v>3852800</v>
      </c>
      <c r="M3">
        <v>151015574</v>
      </c>
      <c r="N3">
        <v>3.11</v>
      </c>
      <c r="O3" s="9">
        <v>469658.43513999996</v>
      </c>
      <c r="P3">
        <v>0.12190054898774916</v>
      </c>
    </row>
    <row r="4" spans="1:16" x14ac:dyDescent="0.3">
      <c r="A4" t="s">
        <v>8</v>
      </c>
      <c r="B4" s="4" cm="1">
        <f t="array" ref="B4">_xll.SNL.Clients.Office.Excel.Functions.SPG(A4, "SP_TOTAL_REV", "CY2023")</f>
        <v>40109000</v>
      </c>
      <c r="C4" s="4">
        <f>_xll.SNL.Clients.Office.Excel.Functions.SPG(A4,"IQ_AVG_DILUT_SHARES_OUT","CY2023")</f>
        <v>1749000000</v>
      </c>
      <c r="D4" s="5">
        <f>_xll.SNL.Clients.Office.Excel.Functions.SPG(A4, "IQ_DILUT_EPS_NORM", "CY2023")</f>
        <v>2.4670000000000001</v>
      </c>
      <c r="E4">
        <f t="shared" si="0"/>
        <v>4314783</v>
      </c>
      <c r="F4">
        <f t="shared" si="1"/>
        <v>0.1075764292303473</v>
      </c>
      <c r="H4" t="b">
        <f t="shared" si="2"/>
        <v>1</v>
      </c>
      <c r="K4" t="s">
        <v>518</v>
      </c>
      <c r="L4">
        <v>40109000</v>
      </c>
      <c r="M4">
        <v>1749000000</v>
      </c>
      <c r="N4">
        <v>2.4670000000000001</v>
      </c>
      <c r="O4" s="9">
        <v>4314783</v>
      </c>
      <c r="P4">
        <v>0.1075764292303473</v>
      </c>
    </row>
    <row r="5" spans="1:16" x14ac:dyDescent="0.3">
      <c r="A5" t="s">
        <v>9</v>
      </c>
      <c r="B5" s="4" cm="1">
        <f t="array" ref="B5">_xll.SNL.Clients.Office.Excel.Functions.SPG(A5, "SP_TOTAL_REV", "CY2023")</f>
        <v>54318000</v>
      </c>
      <c r="C5" s="4">
        <f>_xll.SNL.Clients.Office.Excel.Functions.SPG(A5,"IQ_AVG_DILUT_SHARES_OUT","CY2023")</f>
        <v>1773000000</v>
      </c>
      <c r="D5" s="5">
        <f>_xll.SNL.Clients.Office.Excel.Functions.SPG(A5, "IQ_DILUT_EPS_NORM", "CY2023")</f>
        <v>5.6420000000000003</v>
      </c>
      <c r="E5">
        <f t="shared" si="0"/>
        <v>10003266</v>
      </c>
      <c r="F5">
        <f t="shared" si="1"/>
        <v>0.18416116204573069</v>
      </c>
      <c r="H5" t="b">
        <f t="shared" si="2"/>
        <v>1</v>
      </c>
      <c r="K5" t="s">
        <v>519</v>
      </c>
      <c r="L5">
        <v>54318000</v>
      </c>
      <c r="M5">
        <v>1773000000</v>
      </c>
      <c r="N5">
        <v>5.6420000000000003</v>
      </c>
      <c r="O5" s="9">
        <v>10003266</v>
      </c>
      <c r="P5">
        <v>0.18416116204573069</v>
      </c>
    </row>
    <row r="6" spans="1:16" x14ac:dyDescent="0.3">
      <c r="A6" t="s">
        <v>10</v>
      </c>
      <c r="B6" s="4" cm="1">
        <f t="array" ref="B6">_xll.SNL.Clients.Office.Excel.Functions.SPG(A6, "SP_TOTAL_REV", "CY2023")</f>
        <v>64588246</v>
      </c>
      <c r="C6" s="4">
        <f>_xll.SNL.Clients.Office.Excel.Functions.SPG(A6,"IQ_AVG_DILUT_SHARES_OUT","CY2023")</f>
        <v>638249501</v>
      </c>
      <c r="D6" s="5">
        <f>_xll.SNL.Clients.Office.Excel.Functions.SPG(A6, "IQ_DILUT_EPS_NORM", "CY2023")</f>
        <v>9.68</v>
      </c>
      <c r="E6">
        <f t="shared" si="0"/>
        <v>6178255.1696799994</v>
      </c>
      <c r="F6">
        <f t="shared" si="1"/>
        <v>9.5656029576650828E-2</v>
      </c>
      <c r="H6" t="b">
        <f t="shared" si="2"/>
        <v>1</v>
      </c>
      <c r="K6" t="s">
        <v>520</v>
      </c>
      <c r="L6">
        <v>64588246</v>
      </c>
      <c r="M6">
        <v>638249501</v>
      </c>
      <c r="N6">
        <v>9.68</v>
      </c>
      <c r="O6" s="9">
        <v>6178255.1696799994</v>
      </c>
      <c r="P6">
        <v>9.5656029576650828E-2</v>
      </c>
    </row>
    <row r="7" spans="1:16" x14ac:dyDescent="0.3">
      <c r="A7" t="s">
        <v>11</v>
      </c>
      <c r="B7" s="4" cm="1">
        <f t="array" ref="B7">_xll.SNL.Clients.Office.Excel.Functions.SPG(A7, "SP_TOTAL_REV", "CY2023")</f>
        <v>19409000</v>
      </c>
      <c r="C7" s="4">
        <f>_xll.SNL.Clients.Office.Excel.Functions.SPG(A7,"IQ_AVG_DILUT_SHARES_OUT","CY2023")</f>
        <v>459100000</v>
      </c>
      <c r="D7" s="5">
        <f>_xll.SNL.Clients.Office.Excel.Functions.SPG(A7, "IQ_DILUT_EPS_NORM", "CY2023")</f>
        <v>9.2439999999999998</v>
      </c>
      <c r="E7">
        <f t="shared" si="0"/>
        <v>4243920.4000000004</v>
      </c>
      <c r="F7">
        <f t="shared" si="1"/>
        <v>0.21865734453088775</v>
      </c>
      <c r="H7" t="b">
        <f t="shared" si="2"/>
        <v>1</v>
      </c>
      <c r="K7" t="s">
        <v>521</v>
      </c>
      <c r="L7">
        <v>19409000</v>
      </c>
      <c r="M7">
        <v>459100000</v>
      </c>
      <c r="N7">
        <v>9.2439999999999998</v>
      </c>
      <c r="O7" s="9">
        <v>4243920.4000000004</v>
      </c>
      <c r="P7">
        <v>0.21865734453088775</v>
      </c>
    </row>
    <row r="8" spans="1:16" x14ac:dyDescent="0.3">
      <c r="A8" t="s">
        <v>12</v>
      </c>
      <c r="B8" s="4" cm="1">
        <f t="array" ref="B8">_xll.SNL.Clients.Office.Excel.Functions.SPG(A8, "SP_TOTAL_REV", "CY2023")</f>
        <v>22680000</v>
      </c>
      <c r="C8" s="4">
        <f>_xll.SNL.Clients.Office.Excel.Functions.SPG(A8,"IQ_AVG_DILUT_SHARES_OUT","CY2023")</f>
        <v>1625000000</v>
      </c>
      <c r="D8" s="5">
        <f>_xll.SNL.Clients.Office.Excel.Functions.SPG(A8, "IQ_DILUT_EPS_NORM", "CY2023")</f>
        <v>0.19600000000000001</v>
      </c>
      <c r="E8">
        <f t="shared" si="0"/>
        <v>318500</v>
      </c>
      <c r="F8">
        <f t="shared" si="1"/>
        <v>1.404320987654321E-2</v>
      </c>
      <c r="H8" t="b">
        <f t="shared" si="2"/>
        <v>1</v>
      </c>
      <c r="K8" t="s">
        <v>522</v>
      </c>
      <c r="L8">
        <v>22680000</v>
      </c>
      <c r="M8">
        <v>1625000000</v>
      </c>
      <c r="N8">
        <v>0.19600000000000001</v>
      </c>
      <c r="O8" s="9">
        <v>318500</v>
      </c>
      <c r="P8">
        <v>1.404320987654321E-2</v>
      </c>
    </row>
    <row r="9" spans="1:16" x14ac:dyDescent="0.3">
      <c r="A9" t="s">
        <v>13</v>
      </c>
      <c r="B9" s="4" cm="1">
        <f t="array" ref="B9">_xll.SNL.Clients.Office.Excel.Functions.SPG(A9, "SP_TOTAL_REV", "CY2023")</f>
        <v>18701000</v>
      </c>
      <c r="C9" s="4">
        <f>_xll.SNL.Clients.Office.Excel.Functions.SPG(A9,"IQ_AVG_DILUT_SHARES_OUT","CY2023")</f>
        <v>598745000</v>
      </c>
      <c r="D9" s="5">
        <f>_xll.SNL.Clients.Office.Excel.Functions.SPG(A9, "IQ_DILUT_EPS_NORM", "CY2023")</f>
        <v>5.4930000000000003</v>
      </c>
      <c r="E9">
        <f t="shared" si="0"/>
        <v>3288906.2850000001</v>
      </c>
      <c r="F9">
        <f t="shared" si="1"/>
        <v>0.17586793674135073</v>
      </c>
      <c r="H9" t="b">
        <f t="shared" si="2"/>
        <v>1</v>
      </c>
      <c r="K9" t="s">
        <v>524</v>
      </c>
      <c r="L9">
        <v>18701000</v>
      </c>
      <c r="M9">
        <v>598745000</v>
      </c>
      <c r="N9">
        <v>5.4930000000000003</v>
      </c>
      <c r="O9">
        <v>3288906.2850000001</v>
      </c>
      <c r="P9">
        <v>0.17586793674135073</v>
      </c>
    </row>
    <row r="10" spans="1:16" x14ac:dyDescent="0.3">
      <c r="A10" t="s">
        <v>14</v>
      </c>
      <c r="B10" s="4" cm="1">
        <f t="array" ref="B10">_xll.SNL.Clients.Office.Excel.Functions.SPG(A10, "SP_TOTAL_REV", "CY2023")</f>
        <v>6735000</v>
      </c>
      <c r="C10" s="4">
        <f>_xll.SNL.Clients.Office.Excel.Functions.SPG(A10,"IQ_AVG_DILUT_SHARES_OUT","CY2023")</f>
        <v>295250000</v>
      </c>
      <c r="D10" s="5">
        <f>_xll.SNL.Clients.Office.Excel.Functions.SPG(A10, "IQ_DILUT_EPS_NORM", "CY2023")</f>
        <v>2.9849999999999999</v>
      </c>
      <c r="E10">
        <f t="shared" si="0"/>
        <v>881321.25</v>
      </c>
      <c r="F10">
        <f t="shared" si="1"/>
        <v>0.13085690423162583</v>
      </c>
      <c r="H10" t="b">
        <f t="shared" si="2"/>
        <v>1</v>
      </c>
      <c r="K10" t="s">
        <v>525</v>
      </c>
      <c r="L10">
        <v>6735000</v>
      </c>
      <c r="M10">
        <v>295250000</v>
      </c>
      <c r="N10">
        <v>2.9849999999999999</v>
      </c>
      <c r="O10">
        <v>881321.25</v>
      </c>
      <c r="P10">
        <v>0.13085690423162583</v>
      </c>
    </row>
    <row r="11" spans="1:16" x14ac:dyDescent="0.3">
      <c r="A11" t="s">
        <v>15</v>
      </c>
      <c r="B11" s="4" cm="1">
        <f t="array" ref="B11">_xll.SNL.Clients.Office.Excel.Functions.SPG(A11, "SP_TOTAL_REV", "CY2023")</f>
        <v>12422700</v>
      </c>
      <c r="C11" s="4">
        <f>_xll.SNL.Clients.Office.Excel.Functions.SPG(A11,"IQ_AVG_DILUT_SHARES_OUT","CY2023")</f>
        <v>222750000</v>
      </c>
      <c r="D11" s="5">
        <f>_xll.SNL.Clients.Office.Excel.Functions.SPG(A11, "IQ_DILUT_EPS_NORM", "CY2023")</f>
        <v>8.7070000000000007</v>
      </c>
      <c r="E11">
        <f t="shared" si="0"/>
        <v>1939484.2500000002</v>
      </c>
      <c r="F11">
        <f t="shared" si="1"/>
        <v>0.15612421212779831</v>
      </c>
      <c r="H11" t="b">
        <f t="shared" si="2"/>
        <v>1</v>
      </c>
      <c r="K11" t="s">
        <v>526</v>
      </c>
      <c r="L11">
        <v>12422700</v>
      </c>
      <c r="M11">
        <v>222750000</v>
      </c>
      <c r="N11">
        <v>8.7070000000000007</v>
      </c>
      <c r="O11">
        <v>1939484.2500000002</v>
      </c>
      <c r="P11">
        <v>0.15612421212779831</v>
      </c>
    </row>
    <row r="12" spans="1:16" x14ac:dyDescent="0.3">
      <c r="A12" t="s">
        <v>16</v>
      </c>
      <c r="B12" s="4" cm="1">
        <f t="array" ref="B12">_xll.SNL.Clients.Office.Excel.Functions.SPG(A12, "SP_TOTAL_REV", "CY2023")</f>
        <v>9917000</v>
      </c>
      <c r="C12" s="4">
        <f>_xll.SNL.Clients.Office.Excel.Functions.SPG(A12,"IQ_AVG_DILUT_SHARES_OUT","CY2023")</f>
        <v>662000000</v>
      </c>
      <c r="D12" s="5">
        <f>_xll.SNL.Clients.Office.Excel.Functions.SPG(A12, "IQ_DILUT_EPS_NORM", "CY2023")</f>
        <v>1.99</v>
      </c>
      <c r="E12">
        <f t="shared" si="0"/>
        <v>1317380</v>
      </c>
      <c r="F12">
        <f t="shared" si="1"/>
        <v>0.13284057678733488</v>
      </c>
      <c r="H12" t="b">
        <f t="shared" si="2"/>
        <v>1</v>
      </c>
      <c r="K12" t="s">
        <v>527</v>
      </c>
      <c r="L12">
        <v>9917000</v>
      </c>
      <c r="M12">
        <v>662000000</v>
      </c>
      <c r="N12">
        <v>1.99</v>
      </c>
      <c r="O12">
        <v>1317380</v>
      </c>
      <c r="P12">
        <v>0.13284057678733488</v>
      </c>
    </row>
    <row r="13" spans="1:16" x14ac:dyDescent="0.3">
      <c r="A13" t="s">
        <v>17</v>
      </c>
      <c r="B13" s="4" cm="1">
        <f t="array" ref="B13">_xll.SNL.Clients.Office.Excel.Functions.SPG(A13, "SP_TOTAL_REV", "CY2023")</f>
        <v>3811920</v>
      </c>
      <c r="C13" s="4">
        <f>_xll.SNL.Clients.Office.Excel.Functions.SPG(A13,"IQ_AVG_DILUT_SHARES_OUT","CY2023")</f>
        <v>155397000</v>
      </c>
      <c r="D13" s="5">
        <f>_xll.SNL.Clients.Office.Excel.Functions.SPG(A13, "IQ_DILUT_EPS_NORM", "CY2023")</f>
        <v>2.911</v>
      </c>
      <c r="E13">
        <f t="shared" si="0"/>
        <v>452360.66700000002</v>
      </c>
      <c r="F13">
        <f t="shared" si="1"/>
        <v>0.11867003163759995</v>
      </c>
      <c r="H13" t="b">
        <f t="shared" si="2"/>
        <v>1</v>
      </c>
      <c r="K13" t="s">
        <v>528</v>
      </c>
      <c r="L13">
        <v>3811920</v>
      </c>
      <c r="M13">
        <v>155397000</v>
      </c>
      <c r="N13">
        <v>2.911</v>
      </c>
      <c r="O13">
        <v>452360.66700000002</v>
      </c>
      <c r="P13">
        <v>0.11867003163759995</v>
      </c>
    </row>
    <row r="14" spans="1:16" x14ac:dyDescent="0.3">
      <c r="A14" t="s">
        <v>18</v>
      </c>
      <c r="B14" s="4" cm="1">
        <f t="array" ref="B14">_xll.SNL.Clients.Office.Excel.Functions.SPG(A14, "SP_TOTAL_REV", "CY2023")</f>
        <v>9617203</v>
      </c>
      <c r="C14" s="4">
        <f>_xll.SNL.Clients.Office.Excel.Functions.SPG(A14,"IQ_AVG_DILUT_SHARES_OUT","CY2023")</f>
        <v>117766000</v>
      </c>
      <c r="D14" s="5">
        <f>_xll.SNL.Clients.Office.Excel.Functions.SPG(A14, "IQ_DILUT_EPS_NORM", "CY2023")</f>
        <v>11.619</v>
      </c>
      <c r="E14">
        <f t="shared" si="0"/>
        <v>1368323.1540000001</v>
      </c>
      <c r="F14">
        <f t="shared" si="1"/>
        <v>0.14227870140621968</v>
      </c>
      <c r="H14" t="b">
        <f t="shared" si="2"/>
        <v>1</v>
      </c>
      <c r="K14" t="s">
        <v>529</v>
      </c>
      <c r="L14">
        <v>9617203</v>
      </c>
      <c r="M14">
        <v>117766000</v>
      </c>
      <c r="N14">
        <v>11.619</v>
      </c>
      <c r="O14">
        <v>1368323.1540000001</v>
      </c>
      <c r="P14">
        <v>0.14227870140621968</v>
      </c>
    </row>
    <row r="15" spans="1:16" x14ac:dyDescent="0.3">
      <c r="A15" t="s">
        <v>19</v>
      </c>
      <c r="B15" s="4" cm="1">
        <f t="array" ref="B15">_xll.SNL.Clients.Office.Excel.Functions.SPG(A15, "SP_TOTAL_REV", "CY2023")</f>
        <v>2886679</v>
      </c>
      <c r="C15" s="4">
        <f>_xll.SNL.Clients.Office.Excel.Functions.SPG(A15,"IQ_AVG_DILUT_SHARES_OUT","CY2023")</f>
        <v>170909000</v>
      </c>
      <c r="D15" s="5">
        <f>_xll.SNL.Clients.Office.Excel.Functions.SPG(A15, "IQ_DILUT_EPS_NORM", "CY2023")</f>
        <v>1.3779999999999999</v>
      </c>
      <c r="E15">
        <f t="shared" si="0"/>
        <v>235512.60199999998</v>
      </c>
      <c r="F15">
        <f t="shared" si="1"/>
        <v>8.1586003154489981E-2</v>
      </c>
      <c r="H15" t="b">
        <f t="shared" si="2"/>
        <v>1</v>
      </c>
      <c r="K15" t="s">
        <v>530</v>
      </c>
      <c r="L15">
        <v>2886679</v>
      </c>
      <c r="M15">
        <v>170909000</v>
      </c>
      <c r="N15">
        <v>1.3779999999999999</v>
      </c>
      <c r="O15">
        <v>235512.60199999998</v>
      </c>
      <c r="P15">
        <v>8.1586003154489981E-2</v>
      </c>
    </row>
    <row r="16" spans="1:16" x14ac:dyDescent="0.3">
      <c r="A16" t="s">
        <v>20</v>
      </c>
      <c r="B16" s="4" cm="1">
        <f t="array" ref="B16">_xll.SNL.Clients.Office.Excel.Functions.SPG(A16, "SP_TOTAL_REV", "CY2023")</f>
        <v>3862260</v>
      </c>
      <c r="C16" s="4">
        <f>_xll.SNL.Clients.Office.Excel.Functions.SPG(A16,"IQ_AVG_DILUT_SHARES_OUT","CY2023")</f>
        <v>76568000</v>
      </c>
      <c r="D16" s="5">
        <f>_xll.SNL.Clients.Office.Excel.Functions.SPG(A16, "IQ_DILUT_EPS_NORM", "CY2023")</f>
        <v>5.343</v>
      </c>
      <c r="E16">
        <f t="shared" si="0"/>
        <v>409102.82400000002</v>
      </c>
      <c r="F16">
        <f t="shared" si="1"/>
        <v>0.10592317037175127</v>
      </c>
      <c r="H16" t="b">
        <f t="shared" si="2"/>
        <v>1</v>
      </c>
      <c r="K16" t="s">
        <v>531</v>
      </c>
      <c r="L16">
        <v>3862260</v>
      </c>
      <c r="M16">
        <v>76568000</v>
      </c>
      <c r="N16">
        <v>5.343</v>
      </c>
      <c r="O16">
        <v>409102.82400000002</v>
      </c>
      <c r="P16">
        <v>0.10592317037175127</v>
      </c>
    </row>
    <row r="17" spans="1:16" x14ac:dyDescent="0.3">
      <c r="A17" t="s">
        <v>21</v>
      </c>
      <c r="B17" s="4" cm="1">
        <f t="array" ref="B17">_xll.SNL.Clients.Office.Excel.Functions.SPG(A17, "SP_TOTAL_REV", "CY2023")</f>
        <v>3650800</v>
      </c>
      <c r="C17" s="4">
        <f>_xll.SNL.Clients.Office.Excel.Functions.SPG(A17,"IQ_AVG_DILUT_SHARES_OUT","CY2023")</f>
        <v>88300000</v>
      </c>
      <c r="D17" s="5">
        <f>_xll.SNL.Clients.Office.Excel.Functions.SPG(A17, "IQ_DILUT_EPS_NORM", "CY2023")</f>
        <v>4.5679999999999996</v>
      </c>
      <c r="E17">
        <f t="shared" si="0"/>
        <v>403354.39999999997</v>
      </c>
      <c r="F17">
        <f t="shared" si="1"/>
        <v>0.11048383915854058</v>
      </c>
      <c r="H17" t="b">
        <f t="shared" si="2"/>
        <v>1</v>
      </c>
      <c r="K17" t="s">
        <v>532</v>
      </c>
      <c r="L17">
        <v>3650800</v>
      </c>
      <c r="M17">
        <v>88300000</v>
      </c>
      <c r="N17">
        <v>4.5679999999999996</v>
      </c>
      <c r="O17">
        <v>403354.39999999997</v>
      </c>
      <c r="P17">
        <v>0.11048383915854058</v>
      </c>
    </row>
    <row r="18" spans="1:16" x14ac:dyDescent="0.3">
      <c r="A18" t="s">
        <v>22</v>
      </c>
      <c r="B18" s="4" cm="1">
        <f t="array" ref="B18">_xll.SNL.Clients.Office.Excel.Functions.SPG(A18, "SP_TOTAL_REV", "CY2023")</f>
        <v>4027000</v>
      </c>
      <c r="C18" s="4">
        <f>_xll.SNL.Clients.Office.Excel.Functions.SPG(A18,"IQ_AVG_DILUT_SHARES_OUT","CY2023")</f>
        <v>253300000</v>
      </c>
      <c r="D18" s="5">
        <f>_xll.SNL.Clients.Office.Excel.Functions.SPG(A18, "IQ_DILUT_EPS_NORM", "CY2023")</f>
        <v>1.744</v>
      </c>
      <c r="E18">
        <f t="shared" si="0"/>
        <v>441755.2</v>
      </c>
      <c r="F18">
        <f t="shared" si="1"/>
        <v>0.1096983362304445</v>
      </c>
      <c r="H18" t="b">
        <f t="shared" si="2"/>
        <v>1</v>
      </c>
      <c r="K18" t="s">
        <v>533</v>
      </c>
      <c r="L18">
        <v>4027000</v>
      </c>
      <c r="M18">
        <v>253300000</v>
      </c>
      <c r="N18">
        <v>1.744</v>
      </c>
      <c r="O18">
        <v>441755.2</v>
      </c>
      <c r="P18">
        <v>0.1096983362304445</v>
      </c>
    </row>
    <row r="19" spans="1:16" x14ac:dyDescent="0.3">
      <c r="A19" t="s">
        <v>23</v>
      </c>
      <c r="B19" s="4" cm="1">
        <f t="array" ref="B19">_xll.SNL.Clients.Office.Excel.Functions.SPG(A19, "SP_TOTAL_REV", "CY2023")</f>
        <v>307394000</v>
      </c>
      <c r="C19" s="4">
        <f>_xll.SNL.Clients.Office.Excel.Functions.SPG(A19,"IQ_AVG_DILUT_SHARES_OUT","CY2023")</f>
        <v>12722000000</v>
      </c>
      <c r="D19" s="5" t="str">
        <f>_xll.SNL.Clients.Office.Excel.Functions.SPG(A19, "IQ_DILUT_EPS_NORM", "CY2023")</f>
        <v>NA</v>
      </c>
      <c r="E19" t="e">
        <f t="shared" si="0"/>
        <v>#VALUE!</v>
      </c>
      <c r="F19" t="e">
        <f t="shared" si="1"/>
        <v>#VALUE!</v>
      </c>
      <c r="H19" t="b">
        <f t="shared" si="2"/>
        <v>0</v>
      </c>
      <c r="K19" t="s">
        <v>536</v>
      </c>
      <c r="L19" t="s">
        <v>1048</v>
      </c>
      <c r="M19" t="s">
        <v>1048</v>
      </c>
      <c r="N19" t="s">
        <v>1048</v>
      </c>
      <c r="O19" t="e">
        <v>#VALUE!</v>
      </c>
      <c r="P19" t="e">
        <v>#VALUE!</v>
      </c>
    </row>
    <row r="20" spans="1:16" x14ac:dyDescent="0.3">
      <c r="A20" t="s">
        <v>24</v>
      </c>
      <c r="B20" s="4" cm="1">
        <f t="array" ref="B20">_xll.SNL.Clients.Office.Excel.Functions.SPG(A20, "SP_TOTAL_REV", "CY2023")</f>
        <v>307394000</v>
      </c>
      <c r="C20" s="4">
        <f>_xll.SNL.Clients.Office.Excel.Functions.SPG(A20,"IQ_AVG_DILUT_SHARES_OUT","CY2023")</f>
        <v>12722000000</v>
      </c>
      <c r="D20" s="5" t="str">
        <f>_xll.SNL.Clients.Office.Excel.Functions.SPG(A20, "IQ_DILUT_EPS_NORM", "CY2023")</f>
        <v>NA</v>
      </c>
      <c r="E20" t="e">
        <f t="shared" si="0"/>
        <v>#VALUE!</v>
      </c>
      <c r="F20" t="e">
        <f t="shared" si="1"/>
        <v>#VALUE!</v>
      </c>
      <c r="H20" t="b">
        <f t="shared" si="2"/>
        <v>1</v>
      </c>
      <c r="K20" t="s">
        <v>535</v>
      </c>
      <c r="L20">
        <v>307394000</v>
      </c>
      <c r="M20">
        <v>12722000000</v>
      </c>
      <c r="N20" t="s">
        <v>1049</v>
      </c>
      <c r="O20" t="e">
        <v>#VALUE!</v>
      </c>
      <c r="P20" t="e">
        <v>#VALUE!</v>
      </c>
    </row>
    <row r="21" spans="1:16" x14ac:dyDescent="0.3">
      <c r="A21" t="s">
        <v>25</v>
      </c>
      <c r="B21" s="4" cm="1">
        <f t="array" ref="B21">_xll.SNL.Clients.Office.Excel.Functions.SPG(A21, "SP_TOTAL_REV", "CY2023")</f>
        <v>20502000</v>
      </c>
      <c r="C21" s="4">
        <f>_xll.SNL.Clients.Office.Excel.Functions.SPG(A21,"IQ_AVG_DILUT_SHARES_OUT","CY2023")</f>
        <v>1777000000</v>
      </c>
      <c r="D21" s="5">
        <f>_xll.SNL.Clients.Office.Excel.Functions.SPG(A21, "IQ_DILUT_EPS_NORM", "CY2023")</f>
        <v>4.0309999999999997</v>
      </c>
      <c r="E21">
        <f t="shared" si="0"/>
        <v>7163086.9999999991</v>
      </c>
      <c r="F21">
        <f t="shared" si="1"/>
        <v>0.34938479172763626</v>
      </c>
      <c r="H21" t="b">
        <f t="shared" si="2"/>
        <v>1</v>
      </c>
      <c r="K21" t="s">
        <v>537</v>
      </c>
      <c r="L21">
        <v>20502000</v>
      </c>
      <c r="M21">
        <v>1777000000</v>
      </c>
      <c r="N21">
        <v>4.0309999999999997</v>
      </c>
      <c r="O21">
        <v>7163086.9999999991</v>
      </c>
      <c r="P21">
        <v>0.34938479172763626</v>
      </c>
    </row>
    <row r="22" spans="1:16" x14ac:dyDescent="0.3">
      <c r="A22" t="s">
        <v>26</v>
      </c>
      <c r="B22" s="4" cm="1">
        <f t="array" ref="B22">_xll.SNL.Clients.Office.Excel.Functions.SPG(A22, "SP_TOTAL_REV", "CY2023")</f>
        <v>574785000</v>
      </c>
      <c r="C22" s="4">
        <f>_xll.SNL.Clients.Office.Excel.Functions.SPG(A22,"IQ_AVG_DILUT_SHARES_OUT","CY2023")</f>
        <v>10492000000</v>
      </c>
      <c r="D22" s="5">
        <f>_xll.SNL.Clients.Office.Excel.Functions.SPG(A22, "IQ_DILUT_EPS_NORM", "CY2023")</f>
        <v>2.1739999999999999</v>
      </c>
      <c r="E22">
        <f t="shared" si="0"/>
        <v>22809608</v>
      </c>
      <c r="F22">
        <f t="shared" si="1"/>
        <v>3.9683721739433006E-2</v>
      </c>
      <c r="H22" t="b">
        <f t="shared" si="2"/>
        <v>1</v>
      </c>
      <c r="K22" t="s">
        <v>538</v>
      </c>
      <c r="L22">
        <v>574785000</v>
      </c>
      <c r="M22">
        <v>10492000000</v>
      </c>
      <c r="N22">
        <v>2.1739999999999999</v>
      </c>
      <c r="O22">
        <v>22809608</v>
      </c>
      <c r="P22">
        <v>3.9683721739433006E-2</v>
      </c>
    </row>
    <row r="23" spans="1:16" x14ac:dyDescent="0.3">
      <c r="A23" t="s">
        <v>27</v>
      </c>
      <c r="B23" s="4" cm="1">
        <f t="array" ref="B23">_xll.SNL.Clients.Office.Excel.Functions.SPG(A23, "SP_TOTAL_REV", "CY2023")</f>
        <v>14034000</v>
      </c>
      <c r="C23" s="4">
        <f>_xll.SNL.Clients.Office.Excel.Functions.SPG(A23,"IQ_AVG_DILUT_SHARES_OUT","CY2023")</f>
        <v>1453000000</v>
      </c>
      <c r="D23" s="5">
        <f>_xll.SNL.Clients.Office.Excel.Functions.SPG(A23, "IQ_DILUT_EPS_NORM", "CY2023")</f>
        <v>0.39400000000000002</v>
      </c>
      <c r="E23">
        <f t="shared" si="0"/>
        <v>572482</v>
      </c>
      <c r="F23">
        <f t="shared" si="1"/>
        <v>4.079250391905373E-2</v>
      </c>
      <c r="H23" t="b">
        <f t="shared" si="2"/>
        <v>1</v>
      </c>
      <c r="K23" t="s">
        <v>539</v>
      </c>
      <c r="L23">
        <v>14034000</v>
      </c>
      <c r="M23">
        <v>1453000000</v>
      </c>
      <c r="N23">
        <v>0.39400000000000002</v>
      </c>
      <c r="O23">
        <v>572482</v>
      </c>
      <c r="P23">
        <v>4.079250391905373E-2</v>
      </c>
    </row>
    <row r="24" spans="1:16" x14ac:dyDescent="0.3">
      <c r="A24" t="s">
        <v>28</v>
      </c>
      <c r="B24" s="4" cm="1">
        <f t="array" ref="B24">_xll.SNL.Clients.Office.Excel.Functions.SPG(A24, "SP_TOTAL_REV", "CY2023")</f>
        <v>7265000</v>
      </c>
      <c r="C24" s="4">
        <f>_xll.SNL.Clients.Office.Excel.Functions.SPG(A24,"IQ_AVG_DILUT_SHARES_OUT","CY2023")</f>
        <v>263400000</v>
      </c>
      <c r="D24" s="5">
        <f>_xll.SNL.Clients.Office.Excel.Functions.SPG(A24, "IQ_DILUT_EPS_NORM", "CY2023")</f>
        <v>3.161</v>
      </c>
      <c r="E24">
        <f t="shared" si="0"/>
        <v>832607.4</v>
      </c>
      <c r="F24">
        <f t="shared" si="1"/>
        <v>0.11460528561596697</v>
      </c>
      <c r="H24" t="b">
        <f t="shared" si="2"/>
        <v>1</v>
      </c>
      <c r="K24" t="s">
        <v>540</v>
      </c>
      <c r="L24">
        <v>7265000</v>
      </c>
      <c r="M24">
        <v>263400000</v>
      </c>
      <c r="N24">
        <v>3.161</v>
      </c>
      <c r="O24">
        <v>832607.4</v>
      </c>
      <c r="P24">
        <v>0.11460528561596697</v>
      </c>
    </row>
    <row r="25" spans="1:16" x14ac:dyDescent="0.3">
      <c r="A25" t="s">
        <v>29</v>
      </c>
      <c r="B25" s="4" cm="1">
        <f t="array" ref="B25">_xll.SNL.Clients.Office.Excel.Functions.SPG(A25, "SP_TOTAL_REV", "CY2023")</f>
        <v>18982300</v>
      </c>
      <c r="C25" s="4">
        <f>_xll.SNL.Clients.Office.Excel.Functions.SPG(A25,"IQ_AVG_DILUT_SHARES_OUT","CY2023")</f>
        <v>520206258</v>
      </c>
      <c r="D25" s="5">
        <f>_xll.SNL.Clients.Office.Excel.Functions.SPG(A25, "IQ_DILUT_EPS_NORM", "CY2023")</f>
        <v>2.9289999999999998</v>
      </c>
      <c r="E25">
        <f t="shared" si="0"/>
        <v>1523684.129682</v>
      </c>
      <c r="F25">
        <f t="shared" si="1"/>
        <v>8.0268678172929514E-2</v>
      </c>
      <c r="H25" t="b">
        <f t="shared" si="2"/>
        <v>1</v>
      </c>
      <c r="K25" t="s">
        <v>542</v>
      </c>
      <c r="L25">
        <v>18982300</v>
      </c>
      <c r="M25">
        <v>520206258</v>
      </c>
      <c r="N25">
        <v>2.9289999999999998</v>
      </c>
      <c r="O25">
        <v>1523684.129682</v>
      </c>
      <c r="P25">
        <v>8.0268678172929514E-2</v>
      </c>
    </row>
    <row r="26" spans="1:16" x14ac:dyDescent="0.3">
      <c r="A26" t="s">
        <v>30</v>
      </c>
      <c r="B26" s="4" cm="1">
        <f t="array" ref="B26">_xll.SNL.Clients.Office.Excel.Functions.SPG(A26, "SP_TOTAL_REV", "CY2023")</f>
        <v>55592000</v>
      </c>
      <c r="C26" s="4">
        <f>_xll.SNL.Clients.Office.Excel.Functions.SPG(A26,"IQ_AVG_DILUT_SHARES_OUT","CY2023")</f>
        <v>736000000</v>
      </c>
      <c r="D26" s="5">
        <f>_xll.SNL.Clients.Office.Excel.Functions.SPG(A26, "IQ_DILUT_EPS_NORM", "CY2023")</f>
        <v>9.2089999999999996</v>
      </c>
      <c r="E26">
        <f t="shared" si="0"/>
        <v>6777824</v>
      </c>
      <c r="F26">
        <f t="shared" si="1"/>
        <v>0.12192085192113973</v>
      </c>
      <c r="H26" t="b">
        <f t="shared" si="2"/>
        <v>1</v>
      </c>
      <c r="K26" t="s">
        <v>543</v>
      </c>
      <c r="L26">
        <v>55592000</v>
      </c>
      <c r="M26">
        <v>736000000</v>
      </c>
      <c r="N26">
        <v>9.2089999999999996</v>
      </c>
      <c r="O26">
        <v>6777824</v>
      </c>
      <c r="P26">
        <v>0.12192085192113973</v>
      </c>
    </row>
    <row r="27" spans="1:16" x14ac:dyDescent="0.3">
      <c r="A27" t="s">
        <v>31</v>
      </c>
      <c r="B27" s="4" cm="1">
        <f t="array" ref="B27">_xll.SNL.Clients.Office.Excel.Functions.SPG(A27, "SP_TOTAL_REV", "CY2023")</f>
        <v>27938000</v>
      </c>
      <c r="C27" s="4">
        <f>_xll.SNL.Clients.Office.Excel.Functions.SPG(A27,"IQ_AVG_DILUT_SHARES_OUT","CY2023")</f>
        <v>725233068</v>
      </c>
      <c r="D27" s="5">
        <f>_xll.SNL.Clients.Office.Excel.Functions.SPG(A27, "IQ_DILUT_EPS_NORM", "CY2023")</f>
        <v>2.8919999999999999</v>
      </c>
      <c r="E27">
        <f t="shared" si="0"/>
        <v>2097374.032656</v>
      </c>
      <c r="F27">
        <f t="shared" si="1"/>
        <v>7.5072447299591949E-2</v>
      </c>
      <c r="H27" t="b">
        <f t="shared" si="2"/>
        <v>1</v>
      </c>
      <c r="K27" t="s">
        <v>544</v>
      </c>
      <c r="L27">
        <v>27938000</v>
      </c>
      <c r="M27">
        <v>725233068</v>
      </c>
      <c r="N27">
        <v>2.8919999999999999</v>
      </c>
      <c r="O27">
        <v>2097374.032656</v>
      </c>
      <c r="P27">
        <v>7.5072447299591949E-2</v>
      </c>
    </row>
    <row r="28" spans="1:16" x14ac:dyDescent="0.3">
      <c r="A28" t="s">
        <v>32</v>
      </c>
      <c r="B28" s="4" cm="1">
        <f t="array" ref="B28">_xll.SNL.Clients.Office.Excel.Functions.SPG(A28, "SP_TOTAL_REV", "CY2023")</f>
        <v>10130800</v>
      </c>
      <c r="C28" s="4">
        <f>_xll.SNL.Clients.Office.Excel.Functions.SPG(A28,"IQ_AVG_DILUT_SHARES_OUT","CY2023")</f>
        <v>467162000</v>
      </c>
      <c r="D28" s="5">
        <f>_xll.SNL.Clients.Office.Excel.Functions.SPG(A28, "IQ_DILUT_EPS_NORM", "CY2023")</f>
        <v>3.335</v>
      </c>
      <c r="E28">
        <f t="shared" si="0"/>
        <v>1557985.27</v>
      </c>
      <c r="F28">
        <f t="shared" si="1"/>
        <v>0.15378699312986141</v>
      </c>
      <c r="H28" t="b">
        <f t="shared" si="2"/>
        <v>1</v>
      </c>
      <c r="K28" t="s">
        <v>545</v>
      </c>
      <c r="L28">
        <v>10130800</v>
      </c>
      <c r="M28">
        <v>467162000</v>
      </c>
      <c r="N28">
        <v>3.335</v>
      </c>
      <c r="O28">
        <v>1557985.27</v>
      </c>
      <c r="P28">
        <v>0.15378699312986141</v>
      </c>
    </row>
    <row r="29" spans="1:16" x14ac:dyDescent="0.3">
      <c r="A29" t="s">
        <v>33</v>
      </c>
      <c r="B29" s="4" cm="1">
        <f t="array" ref="B29">_xll.SNL.Clients.Office.Excel.Functions.SPG(A29, "SP_TOTAL_REV", "CY2023")</f>
        <v>4234000</v>
      </c>
      <c r="C29" s="4">
        <f>_xll.SNL.Clients.Office.Excel.Functions.SPG(A29,"IQ_AVG_DILUT_SHARES_OUT","CY2023")</f>
        <v>193000000</v>
      </c>
      <c r="D29" s="5">
        <f>_xll.SNL.Clients.Office.Excel.Functions.SPG(A29, "IQ_DILUT_EPS_NORM", "CY2023")</f>
        <v>3.8730000000000002</v>
      </c>
      <c r="E29">
        <f t="shared" si="0"/>
        <v>747489</v>
      </c>
      <c r="F29">
        <f t="shared" si="1"/>
        <v>0.17654440245630609</v>
      </c>
      <c r="H29" t="b">
        <f t="shared" si="2"/>
        <v>1</v>
      </c>
      <c r="K29" t="s">
        <v>546</v>
      </c>
      <c r="L29">
        <v>4234000</v>
      </c>
      <c r="M29">
        <v>193000000</v>
      </c>
      <c r="N29">
        <v>3.8730000000000002</v>
      </c>
      <c r="O29">
        <v>747489</v>
      </c>
      <c r="P29">
        <v>0.17654440245630609</v>
      </c>
    </row>
    <row r="30" spans="1:16" x14ac:dyDescent="0.3">
      <c r="A30" t="s">
        <v>34</v>
      </c>
      <c r="B30" s="4" cm="1">
        <f t="array" ref="B30">_xll.SNL.Clients.Office.Excel.Functions.SPG(A30, "SP_TOTAL_REV", "CY2023")</f>
        <v>16096000</v>
      </c>
      <c r="C30" s="4">
        <f>_xll.SNL.Clients.Office.Excel.Functions.SPG(A30,"IQ_AVG_DILUT_SHARES_OUT","CY2023")</f>
        <v>107800000</v>
      </c>
      <c r="D30" s="5">
        <f>_xll.SNL.Clients.Office.Excel.Functions.SPG(A30, "IQ_DILUT_EPS_NORM", "CY2023")</f>
        <v>19.109000000000002</v>
      </c>
      <c r="E30">
        <f t="shared" si="0"/>
        <v>2059950.2000000002</v>
      </c>
      <c r="F30">
        <f t="shared" si="1"/>
        <v>0.12797901341948312</v>
      </c>
      <c r="H30" t="b">
        <f t="shared" si="2"/>
        <v>1</v>
      </c>
      <c r="K30" t="s">
        <v>547</v>
      </c>
      <c r="L30">
        <v>16096000</v>
      </c>
      <c r="M30">
        <v>107800000</v>
      </c>
      <c r="N30">
        <v>19.109000000000002</v>
      </c>
      <c r="O30">
        <v>2059950.2000000002</v>
      </c>
      <c r="P30">
        <v>0.12797901341948312</v>
      </c>
    </row>
    <row r="31" spans="1:16" x14ac:dyDescent="0.3">
      <c r="A31" t="s">
        <v>35</v>
      </c>
      <c r="B31" s="4" cm="1">
        <f t="array" ref="B31">_xll.SNL.Clients.Office.Excel.Functions.SPG(A31, "SP_TOTAL_REV", "CY2023")</f>
        <v>6596950</v>
      </c>
      <c r="C31" s="4">
        <f>_xll.SNL.Clients.Office.Excel.Functions.SPG(A31,"IQ_AVG_DILUT_SHARES_OUT","CY2023")</f>
        <v>231509000</v>
      </c>
      <c r="D31" s="5">
        <f>_xll.SNL.Clients.Office.Excel.Functions.SPG(A31, "IQ_DILUT_EPS_NORM", "CY2023")</f>
        <v>4.3369999999999997</v>
      </c>
      <c r="E31">
        <f t="shared" si="0"/>
        <v>1004054.5330000001</v>
      </c>
      <c r="F31">
        <f t="shared" si="1"/>
        <v>0.15219980945740078</v>
      </c>
      <c r="H31" t="b">
        <f t="shared" si="2"/>
        <v>1</v>
      </c>
      <c r="K31" t="s">
        <v>548</v>
      </c>
      <c r="L31">
        <v>6596950</v>
      </c>
      <c r="M31">
        <v>231509000</v>
      </c>
      <c r="N31">
        <v>4.3369999999999997</v>
      </c>
      <c r="O31">
        <v>1004054.5330000001</v>
      </c>
      <c r="P31">
        <v>0.15219980945740078</v>
      </c>
    </row>
    <row r="32" spans="1:16" x14ac:dyDescent="0.3">
      <c r="A32" t="s">
        <v>36</v>
      </c>
      <c r="B32" s="4" cm="1">
        <f t="array" ref="B32">_xll.SNL.Clients.Office.Excel.Functions.SPG(A32, "SP_TOTAL_REV", "CY2023")</f>
        <v>28190000</v>
      </c>
      <c r="C32" s="4">
        <f>_xll.SNL.Clients.Office.Excel.Functions.SPG(A32,"IQ_AVG_DILUT_SHARES_OUT","CY2023")</f>
        <v>538000000</v>
      </c>
      <c r="D32" s="5">
        <f>_xll.SNL.Clients.Office.Excel.Functions.SPG(A32, "IQ_DILUT_EPS_NORM", "CY2023")</f>
        <v>7.5030000000000001</v>
      </c>
      <c r="E32">
        <f t="shared" si="0"/>
        <v>4036614</v>
      </c>
      <c r="F32">
        <f t="shared" si="1"/>
        <v>0.14319311812699539</v>
      </c>
      <c r="H32" t="b">
        <f t="shared" si="2"/>
        <v>1</v>
      </c>
      <c r="K32" t="s">
        <v>549</v>
      </c>
      <c r="L32">
        <v>28190000</v>
      </c>
      <c r="M32">
        <v>538000000</v>
      </c>
      <c r="N32">
        <v>7.5030000000000001</v>
      </c>
      <c r="O32">
        <v>4036614</v>
      </c>
      <c r="P32">
        <v>0.14319311812699539</v>
      </c>
    </row>
    <row r="33" spans="1:16" x14ac:dyDescent="0.3">
      <c r="A33" t="s">
        <v>37</v>
      </c>
      <c r="B33" s="4" cm="1">
        <f t="array" ref="B33">_xll.SNL.Clients.Office.Excel.Functions.SPG(A33, "SP_TOTAL_REV", "CY2023")</f>
        <v>12554700</v>
      </c>
      <c r="C33" s="4">
        <f>_xll.SNL.Clients.Office.Excel.Functions.SPG(A33,"IQ_AVG_DILUT_SHARES_OUT","CY2023")</f>
        <v>1241200000</v>
      </c>
      <c r="D33" s="5">
        <f>_xll.SNL.Clients.Office.Excel.Functions.SPG(A33, "IQ_DILUT_EPS_NORM", "CY2023")</f>
        <v>1.2370000000000001</v>
      </c>
      <c r="E33">
        <f t="shared" si="0"/>
        <v>1535364.4000000001</v>
      </c>
      <c r="F33">
        <f t="shared" si="1"/>
        <v>0.12229399348451178</v>
      </c>
      <c r="H33" t="b">
        <f t="shared" si="2"/>
        <v>1</v>
      </c>
      <c r="K33" t="s">
        <v>550</v>
      </c>
      <c r="L33">
        <v>12554700</v>
      </c>
      <c r="M33">
        <v>1241200000</v>
      </c>
      <c r="N33">
        <v>1.2370000000000001</v>
      </c>
      <c r="O33">
        <v>1535364.4000000001</v>
      </c>
      <c r="P33">
        <v>0.12229399348451178</v>
      </c>
    </row>
    <row r="34" spans="1:16" x14ac:dyDescent="0.3">
      <c r="A34" t="s">
        <v>38</v>
      </c>
      <c r="B34" s="4" cm="1">
        <f t="array" ref="B34">_xll.SNL.Clients.Office.Excel.Functions.SPG(A34, "SP_TOTAL_REV", "CY2023")</f>
        <v>11568613</v>
      </c>
      <c r="C34" s="4">
        <f>_xll.SNL.Clients.Office.Excel.Functions.SPG(A34,"IQ_AVG_DILUT_SHARES_OUT","CY2023")</f>
        <v>502848250</v>
      </c>
      <c r="D34" s="5">
        <f>_xll.SNL.Clients.Office.Excel.Functions.SPG(A34, "IQ_DILUT_EPS_NORM", "CY2023")</f>
        <v>4.008</v>
      </c>
      <c r="E34">
        <f t="shared" si="0"/>
        <v>2015415.7860000001</v>
      </c>
      <c r="F34">
        <f t="shared" si="1"/>
        <v>0.17421412454544033</v>
      </c>
      <c r="H34" t="b">
        <f t="shared" si="2"/>
        <v>1</v>
      </c>
      <c r="K34" t="s">
        <v>551</v>
      </c>
      <c r="L34">
        <v>11568613</v>
      </c>
      <c r="M34">
        <v>502848250</v>
      </c>
      <c r="N34">
        <v>4.008</v>
      </c>
      <c r="O34">
        <v>2015415.7860000001</v>
      </c>
      <c r="P34">
        <v>0.17421412454544033</v>
      </c>
    </row>
    <row r="35" spans="1:16" x14ac:dyDescent="0.3">
      <c r="A35" t="s">
        <v>39</v>
      </c>
      <c r="B35" s="4" cm="1">
        <f t="array" ref="B35">_xll.SNL.Clients.Office.Excel.Functions.SPG(A35, "SP_TOTAL_REV", "CY2023")</f>
        <v>2269949</v>
      </c>
      <c r="C35" s="4">
        <f>_xll.SNL.Clients.Office.Excel.Functions.SPG(A35,"IQ_AVG_DILUT_SHARES_OUT","CY2023")</f>
        <v>87386000</v>
      </c>
      <c r="D35" s="5">
        <f>_xll.SNL.Clients.Office.Excel.Functions.SPG(A35, "IQ_DILUT_EPS_NORM", "CY2023")</f>
        <v>4.2510000000000003</v>
      </c>
      <c r="E35">
        <f t="shared" si="0"/>
        <v>371477.886</v>
      </c>
      <c r="F35">
        <f t="shared" si="1"/>
        <v>0.16365032254028614</v>
      </c>
      <c r="H35" t="b">
        <f t="shared" si="2"/>
        <v>1</v>
      </c>
      <c r="K35" t="s">
        <v>552</v>
      </c>
      <c r="L35">
        <v>2269949</v>
      </c>
      <c r="M35">
        <v>87386000</v>
      </c>
      <c r="N35">
        <v>4.2510000000000003</v>
      </c>
      <c r="O35">
        <v>371477.886</v>
      </c>
      <c r="P35">
        <v>0.16365032254028614</v>
      </c>
    </row>
    <row r="36" spans="1:16" x14ac:dyDescent="0.3">
      <c r="A36" t="s">
        <v>40</v>
      </c>
      <c r="B36" s="4" cm="1">
        <f t="array" ref="B36">_xll.SNL.Clients.Office.Excel.Functions.SPG(A36, "SP_TOTAL_REV", "CY2023")</f>
        <v>13407000</v>
      </c>
      <c r="C36" s="4">
        <f>_xll.SNL.Clients.Office.Excel.Functions.SPG(A36,"IQ_AVG_DILUT_SHARES_OUT","CY2023")</f>
        <v>205000000</v>
      </c>
      <c r="D36" s="5">
        <f>_xll.SNL.Clients.Office.Excel.Functions.SPG(A36, "IQ_DILUT_EPS_NORM", "CY2023")</f>
        <v>10.401</v>
      </c>
      <c r="E36">
        <f t="shared" si="0"/>
        <v>2132205</v>
      </c>
      <c r="F36">
        <f t="shared" si="1"/>
        <v>0.15903669724770642</v>
      </c>
      <c r="H36" t="b">
        <f t="shared" si="2"/>
        <v>1</v>
      </c>
      <c r="K36" t="s">
        <v>553</v>
      </c>
      <c r="L36">
        <v>13407000</v>
      </c>
      <c r="M36">
        <v>205000000</v>
      </c>
      <c r="N36">
        <v>10.401</v>
      </c>
      <c r="O36">
        <v>2132205</v>
      </c>
      <c r="P36">
        <v>0.15903669724770642</v>
      </c>
    </row>
    <row r="37" spans="1:16" x14ac:dyDescent="0.3">
      <c r="A37" t="s">
        <v>41</v>
      </c>
      <c r="B37" s="4" cm="1">
        <f t="array" ref="B37">_xll.SNL.Clients.Office.Excel.Functions.SPG(A37, "SP_TOTAL_REV", "CY2023")</f>
        <v>8093000</v>
      </c>
      <c r="C37" s="4">
        <f>_xll.SNL.Clients.Office.Excel.Functions.SPG(A37,"IQ_AVG_DILUT_SHARES_OUT","CY2023")</f>
        <v>309000000</v>
      </c>
      <c r="D37" s="5">
        <f>_xll.SNL.Clients.Office.Excel.Functions.SPG(A37, "IQ_DILUT_EPS_NORM", "CY2023")</f>
        <v>5.1390000000000002</v>
      </c>
      <c r="E37">
        <f t="shared" si="0"/>
        <v>1587951</v>
      </c>
      <c r="F37">
        <f t="shared" si="1"/>
        <v>0.19621290003706907</v>
      </c>
      <c r="H37" t="b">
        <f t="shared" si="2"/>
        <v>1</v>
      </c>
      <c r="K37" t="s">
        <v>554</v>
      </c>
      <c r="L37">
        <v>8093000</v>
      </c>
      <c r="M37">
        <v>309000000</v>
      </c>
      <c r="N37">
        <v>5.1390000000000002</v>
      </c>
      <c r="O37">
        <v>1587951</v>
      </c>
      <c r="P37">
        <v>0.19621290003706907</v>
      </c>
    </row>
    <row r="38" spans="1:16" x14ac:dyDescent="0.3">
      <c r="A38" t="s">
        <v>42</v>
      </c>
      <c r="B38" s="4" cm="1">
        <f t="array" ref="B38">_xll.SNL.Clients.Office.Excel.Functions.SPG(A38, "SP_TOTAL_REV", "CY2023")</f>
        <v>31944000</v>
      </c>
      <c r="C38" s="4">
        <f>_xll.SNL.Clients.Office.Excel.Functions.SPG(A38,"IQ_AVG_DILUT_SHARES_OUT","CY2023")</f>
        <v>588846447</v>
      </c>
      <c r="D38" s="5">
        <f>_xll.SNL.Clients.Office.Excel.Functions.SPG(A38, "IQ_DILUT_EPS_NORM", "CY2023")</f>
        <v>3.4159999999999999</v>
      </c>
      <c r="E38">
        <f t="shared" si="0"/>
        <v>2011499.4629519999</v>
      </c>
      <c r="F38">
        <f t="shared" si="1"/>
        <v>6.296955493839218E-2</v>
      </c>
      <c r="H38" t="b">
        <f t="shared" si="2"/>
        <v>1</v>
      </c>
      <c r="K38" t="s">
        <v>1029</v>
      </c>
      <c r="L38">
        <v>31944000</v>
      </c>
      <c r="M38">
        <v>588846447</v>
      </c>
      <c r="N38">
        <v>3.4159999999999999</v>
      </c>
      <c r="O38">
        <v>2011499.4629519999</v>
      </c>
      <c r="P38">
        <v>6.296955493839218E-2</v>
      </c>
    </row>
    <row r="39" spans="1:16" x14ac:dyDescent="0.3">
      <c r="A39" t="s">
        <v>43</v>
      </c>
      <c r="B39" s="4" cm="1">
        <f t="array" ref="B39">_xll.SNL.Clients.Office.Excel.Functions.SPG(A39, "SP_TOTAL_REV", "CY2023")</f>
        <v>385706000</v>
      </c>
      <c r="C39" s="4">
        <f>_xll.SNL.Clients.Office.Excel.Functions.SPG(A39,"IQ_AVG_DILUT_SHARES_OUT","CY2023")</f>
        <v>15717777750</v>
      </c>
      <c r="D39" s="5">
        <f>_xll.SNL.Clients.Office.Excel.Functions.SPG(A39, "IQ_DILUT_EPS_NORM", "CY2023")</f>
        <v>4.7089999999999996</v>
      </c>
      <c r="E39">
        <f t="shared" si="0"/>
        <v>74015015.42475</v>
      </c>
      <c r="F39">
        <f t="shared" si="1"/>
        <v>0.19189490291763675</v>
      </c>
      <c r="H39" t="b">
        <f t="shared" si="2"/>
        <v>1</v>
      </c>
      <c r="K39" t="s">
        <v>555</v>
      </c>
      <c r="L39">
        <v>385706000</v>
      </c>
      <c r="M39">
        <v>15717777750</v>
      </c>
      <c r="N39">
        <v>4.7089999999999996</v>
      </c>
      <c r="O39">
        <v>74015015.42475</v>
      </c>
      <c r="P39">
        <v>0.19189490291763675</v>
      </c>
    </row>
    <row r="40" spans="1:16" x14ac:dyDescent="0.3">
      <c r="A40" t="s">
        <v>44</v>
      </c>
      <c r="B40" s="4" cm="1">
        <f t="array" ref="B40">_xll.SNL.Clients.Office.Excel.Functions.SPG(A40, "SP_TOTAL_REV", "CY2023")</f>
        <v>26485000</v>
      </c>
      <c r="C40" s="4">
        <f>_xll.SNL.Clients.Office.Excel.Functions.SPG(A40,"IQ_AVG_DILUT_SHARES_OUT","CY2023")</f>
        <v>842000000</v>
      </c>
      <c r="D40" s="5">
        <f>_xll.SNL.Clients.Office.Excel.Functions.SPG(A40, "IQ_DILUT_EPS_NORM", "CY2023")</f>
        <v>5.8479999999999999</v>
      </c>
      <c r="E40">
        <f t="shared" si="0"/>
        <v>4924016</v>
      </c>
      <c r="F40">
        <f t="shared" si="1"/>
        <v>0.18591716065697564</v>
      </c>
      <c r="H40" t="b">
        <f t="shared" si="2"/>
        <v>1</v>
      </c>
      <c r="K40" t="s">
        <v>556</v>
      </c>
      <c r="L40">
        <v>26485000</v>
      </c>
      <c r="M40">
        <v>842000000</v>
      </c>
      <c r="N40">
        <v>5.8479999999999999</v>
      </c>
      <c r="O40">
        <v>4924016</v>
      </c>
      <c r="P40">
        <v>0.18591716065697564</v>
      </c>
    </row>
    <row r="41" spans="1:16" x14ac:dyDescent="0.3">
      <c r="A41" t="s">
        <v>45</v>
      </c>
      <c r="B41" s="4" cm="1">
        <f t="array" ref="B41">_xll.SNL.Clients.Office.Excel.Functions.SPG(A41, "SP_TOTAL_REV", "CY2023")</f>
        <v>20051000</v>
      </c>
      <c r="C41" s="4">
        <f>_xll.SNL.Clients.Office.Excel.Functions.SPG(A41,"IQ_AVG_DILUT_SHARES_OUT","CY2023")</f>
        <v>282880000</v>
      </c>
      <c r="D41" s="5">
        <f>_xll.SNL.Clients.Office.Excel.Functions.SPG(A41, "IQ_DILUT_EPS_NORM", "CY2023")</f>
        <v>2.9409999999999998</v>
      </c>
      <c r="E41">
        <f t="shared" si="0"/>
        <v>831950.08</v>
      </c>
      <c r="F41">
        <f t="shared" si="1"/>
        <v>4.1491700164580321E-2</v>
      </c>
      <c r="H41" t="b">
        <f t="shared" si="2"/>
        <v>1</v>
      </c>
      <c r="K41" t="s">
        <v>557</v>
      </c>
      <c r="L41">
        <v>20051000</v>
      </c>
      <c r="M41">
        <v>282880000</v>
      </c>
      <c r="N41">
        <v>2.9409999999999998</v>
      </c>
      <c r="O41">
        <v>831950.08</v>
      </c>
      <c r="P41">
        <v>4.1491700164580321E-2</v>
      </c>
    </row>
    <row r="42" spans="1:16" x14ac:dyDescent="0.3">
      <c r="A42" t="s">
        <v>46</v>
      </c>
      <c r="B42" s="4" cm="1">
        <f t="array" ref="B42">_xll.SNL.Clients.Office.Excel.Functions.SPG(A42, "SP_TOTAL_REV", "CY2023")</f>
        <v>13574000</v>
      </c>
      <c r="C42" s="4">
        <f>_xll.SNL.Clients.Office.Excel.Functions.SPG(A42,"IQ_AVG_DILUT_SHARES_OUT","CY2023")</f>
        <v>378800000</v>
      </c>
      <c r="D42" s="5">
        <f>_xll.SNL.Clients.Office.Excel.Functions.SPG(A42, "IQ_DILUT_EPS_NORM", "CY2023")</f>
        <v>5.9009999999999998</v>
      </c>
      <c r="E42">
        <f t="shared" si="0"/>
        <v>2235298.7999999998</v>
      </c>
      <c r="F42">
        <f t="shared" si="1"/>
        <v>0.16467502578458817</v>
      </c>
      <c r="H42" t="b">
        <f t="shared" si="2"/>
        <v>1</v>
      </c>
      <c r="K42" t="s">
        <v>558</v>
      </c>
      <c r="L42">
        <v>13574000</v>
      </c>
      <c r="M42">
        <v>378800000</v>
      </c>
      <c r="N42">
        <v>5.9009999999999998</v>
      </c>
      <c r="O42">
        <v>2235298.7999999998</v>
      </c>
      <c r="P42">
        <v>0.16467502578458817</v>
      </c>
    </row>
    <row r="43" spans="1:16" x14ac:dyDescent="0.3">
      <c r="A43" t="s">
        <v>47</v>
      </c>
      <c r="B43" s="4" cm="1">
        <f t="array" ref="B43">_xll.SNL.Clients.Office.Excel.Functions.SPG(A43, "SP_TOTAL_REV", "CY2023")</f>
        <v>93935000</v>
      </c>
      <c r="C43" s="4">
        <f>_xll.SNL.Clients.Office.Excel.Functions.SPG(A43,"IQ_AVG_DILUT_SHARES_OUT","CY2023")</f>
        <v>542000000</v>
      </c>
      <c r="D43" s="5">
        <f>_xll.SNL.Clients.Office.Excel.Functions.SPG(A43, "IQ_DILUT_EPS_NORM", "CY2023")</f>
        <v>5.3120000000000003</v>
      </c>
      <c r="E43">
        <f t="shared" si="0"/>
        <v>2879104</v>
      </c>
      <c r="F43">
        <f t="shared" si="1"/>
        <v>3.0649960078777877E-2</v>
      </c>
      <c r="H43" t="b">
        <f t="shared" si="2"/>
        <v>1</v>
      </c>
      <c r="K43" t="s">
        <v>559</v>
      </c>
      <c r="L43">
        <v>93935000</v>
      </c>
      <c r="M43">
        <v>542000000</v>
      </c>
      <c r="N43">
        <v>5.3120000000000003</v>
      </c>
      <c r="O43">
        <v>2879104</v>
      </c>
      <c r="P43">
        <v>3.0649960078777877E-2</v>
      </c>
    </row>
    <row r="44" spans="1:16" x14ac:dyDescent="0.3">
      <c r="A44" t="s">
        <v>48</v>
      </c>
      <c r="B44" s="4" cm="1">
        <f t="array" ref="B44">_xll.SNL.Clients.Office.Excel.Functions.SPG(A44, "SP_TOTAL_REV", "CY2023")</f>
        <v>5860168</v>
      </c>
      <c r="C44" s="4">
        <f>_xll.SNL.Clients.Office.Excel.Functions.SPG(A44,"IQ_AVG_DILUT_SHARES_OUT","CY2023")</f>
        <v>317135000</v>
      </c>
      <c r="D44" s="5">
        <f>_xll.SNL.Clients.Office.Excel.Functions.SPG(A44, "IQ_DILUT_EPS_NORM", "CY2023")</f>
        <v>4.7359999999999998</v>
      </c>
      <c r="E44">
        <f t="shared" si="0"/>
        <v>1501951.36</v>
      </c>
      <c r="F44">
        <f t="shared" si="1"/>
        <v>0.2562983450303814</v>
      </c>
      <c r="H44" t="b">
        <f t="shared" si="2"/>
        <v>1</v>
      </c>
      <c r="K44" t="s">
        <v>560</v>
      </c>
      <c r="L44">
        <v>5860168</v>
      </c>
      <c r="M44">
        <v>317135000</v>
      </c>
      <c r="N44">
        <v>4.7359999999999998</v>
      </c>
      <c r="O44">
        <v>1501951.36</v>
      </c>
      <c r="P44">
        <v>0.2562983450303814</v>
      </c>
    </row>
    <row r="45" spans="1:16" x14ac:dyDescent="0.3">
      <c r="A45" t="s">
        <v>49</v>
      </c>
      <c r="B45" s="4" cm="1">
        <f t="array" ref="B45">_xll.SNL.Clients.Office.Excel.Functions.SPG(A45, "SP_TOTAL_REV", "CY2023")</f>
        <v>10071900</v>
      </c>
      <c r="C45" s="4">
        <f>_xll.SNL.Clients.Office.Excel.Functions.SPG(A45,"IQ_AVG_DILUT_SHARES_OUT","CY2023")</f>
        <v>219300000</v>
      </c>
      <c r="D45" s="5">
        <f>_xll.SNL.Clients.Office.Excel.Functions.SPG(A45, "IQ_DILUT_EPS_NORM", "CY2023")</f>
        <v>5.6619999999999999</v>
      </c>
      <c r="E45">
        <f t="shared" si="0"/>
        <v>1241676.6000000001</v>
      </c>
      <c r="F45">
        <f t="shared" si="1"/>
        <v>0.12328126768534239</v>
      </c>
      <c r="H45" t="b">
        <f t="shared" si="2"/>
        <v>1</v>
      </c>
      <c r="K45" t="s">
        <v>561</v>
      </c>
      <c r="L45">
        <v>10071900</v>
      </c>
      <c r="M45">
        <v>219300000</v>
      </c>
      <c r="N45">
        <v>5.6619999999999999</v>
      </c>
      <c r="O45">
        <v>1241676.6000000001</v>
      </c>
      <c r="P45">
        <v>0.12328126768534239</v>
      </c>
    </row>
    <row r="46" spans="1:16" x14ac:dyDescent="0.3">
      <c r="A46" t="s">
        <v>50</v>
      </c>
      <c r="B46" s="4" cm="1">
        <f t="array" ref="B46">_xll.SNL.Clients.Office.Excel.Functions.SPG(A46, "SP_TOTAL_REV", "CY2023")</f>
        <v>11131600</v>
      </c>
      <c r="C46" s="4">
        <f>_xll.SNL.Clients.Office.Excel.Functions.SPG(A46,"IQ_AVG_DILUT_SHARES_OUT","CY2023")</f>
        <v>53783069</v>
      </c>
      <c r="D46" s="5">
        <f>_xll.SNL.Clients.Office.Excel.Functions.SPG(A46, "IQ_DILUT_EPS_NORM", "CY2023")</f>
        <v>9.7729999999999997</v>
      </c>
      <c r="E46">
        <f t="shared" si="0"/>
        <v>525621.93333699997</v>
      </c>
      <c r="F46">
        <f t="shared" si="1"/>
        <v>4.7218902344406913E-2</v>
      </c>
      <c r="H46" t="b">
        <f t="shared" si="2"/>
        <v>1</v>
      </c>
      <c r="K46" t="s">
        <v>562</v>
      </c>
      <c r="L46">
        <v>11131600</v>
      </c>
      <c r="M46">
        <v>53783069</v>
      </c>
      <c r="N46">
        <v>9.7729999999999997</v>
      </c>
      <c r="O46">
        <v>525621.93333699997</v>
      </c>
      <c r="P46">
        <v>4.7218902344406913E-2</v>
      </c>
    </row>
    <row r="47" spans="1:16" x14ac:dyDescent="0.3">
      <c r="A47" t="s">
        <v>51</v>
      </c>
      <c r="B47" s="4" cm="1">
        <f t="array" ref="B47">_xll.SNL.Clients.Office.Excel.Functions.SPG(A47, "SP_TOTAL_REV", "CY2023")</f>
        <v>122428000</v>
      </c>
      <c r="C47" s="4">
        <f>_xll.SNL.Clients.Office.Excel.Functions.SPG(A47,"IQ_AVG_DILUT_SHARES_OUT","CY2023")</f>
        <v>7258000000</v>
      </c>
      <c r="D47" s="5">
        <f>_xll.SNL.Clients.Office.Excel.Functions.SPG(A47, "IQ_DILUT_EPS_NORM", "CY2023")</f>
        <v>1.6819999999999999</v>
      </c>
      <c r="E47">
        <f t="shared" si="0"/>
        <v>12207956</v>
      </c>
      <c r="F47">
        <f t="shared" si="1"/>
        <v>9.9715391903812858E-2</v>
      </c>
      <c r="H47" t="b">
        <f t="shared" si="2"/>
        <v>1</v>
      </c>
      <c r="K47" t="s">
        <v>563</v>
      </c>
      <c r="L47">
        <v>122428000</v>
      </c>
      <c r="M47">
        <v>7258000000</v>
      </c>
      <c r="N47">
        <v>1.6819999999999999</v>
      </c>
      <c r="O47">
        <v>12207956</v>
      </c>
      <c r="P47">
        <v>9.9715391903812858E-2</v>
      </c>
    </row>
    <row r="48" spans="1:16" x14ac:dyDescent="0.3">
      <c r="A48" t="s">
        <v>52</v>
      </c>
      <c r="B48" s="4" cm="1">
        <f t="array" ref="B48">_xll.SNL.Clients.Office.Excel.Functions.SPG(A48, "SP_TOTAL_REV", "CY2023")</f>
        <v>3949815</v>
      </c>
      <c r="C48" s="4">
        <f>_xll.SNL.Clients.Office.Excel.Functions.SPG(A48,"IQ_AVG_DILUT_SHARES_OUT","CY2023")</f>
        <v>147130750</v>
      </c>
      <c r="D48" s="5">
        <f>_xll.SNL.Clients.Office.Excel.Functions.SPG(A48, "IQ_DILUT_EPS_NORM", "CY2023")</f>
        <v>4.49</v>
      </c>
      <c r="E48">
        <f t="shared" si="0"/>
        <v>660617.0675</v>
      </c>
      <c r="F48">
        <f t="shared" si="1"/>
        <v>0.16725266056764684</v>
      </c>
      <c r="H48" t="b">
        <f t="shared" si="2"/>
        <v>1</v>
      </c>
      <c r="K48" t="s">
        <v>564</v>
      </c>
      <c r="L48">
        <v>3949815</v>
      </c>
      <c r="M48">
        <v>147130750</v>
      </c>
      <c r="N48">
        <v>4.49</v>
      </c>
      <c r="O48">
        <v>660617.0675</v>
      </c>
      <c r="P48">
        <v>0.16725266056764684</v>
      </c>
    </row>
    <row r="49" spans="1:16" x14ac:dyDescent="0.3">
      <c r="A49" t="s">
        <v>53</v>
      </c>
      <c r="B49" s="4" cm="1">
        <f t="array" ref="B49">_xll.SNL.Clients.Office.Excel.Functions.SPG(A49, "SP_TOTAL_REV", "CY2023")</f>
        <v>5497000</v>
      </c>
      <c r="C49" s="4">
        <f>_xll.SNL.Clients.Office.Excel.Functions.SPG(A49,"IQ_AVG_DILUT_SHARES_OUT","CY2023")</f>
        <v>216000000</v>
      </c>
      <c r="D49" s="5">
        <f>_xll.SNL.Clients.Office.Excel.Functions.SPG(A49, "IQ_DILUT_EPS_NORM", "CY2023")</f>
        <v>3.516</v>
      </c>
      <c r="E49">
        <f t="shared" si="0"/>
        <v>759456</v>
      </c>
      <c r="F49">
        <f t="shared" si="1"/>
        <v>0.13815826814626159</v>
      </c>
      <c r="H49" t="b">
        <f t="shared" si="2"/>
        <v>1</v>
      </c>
      <c r="K49" t="s">
        <v>565</v>
      </c>
      <c r="L49">
        <v>5497000</v>
      </c>
      <c r="M49">
        <v>216000000</v>
      </c>
      <c r="N49">
        <v>3.516</v>
      </c>
      <c r="O49">
        <v>759456</v>
      </c>
      <c r="P49">
        <v>0.13815826814626159</v>
      </c>
    </row>
    <row r="50" spans="1:16" x14ac:dyDescent="0.3">
      <c r="A50" t="s">
        <v>54</v>
      </c>
      <c r="B50" s="4" cm="1">
        <f t="array" ref="B50">_xll.SNL.Clients.Office.Excel.Functions.SPG(A50, "SP_TOTAL_REV", "CY2023")</f>
        <v>18585900</v>
      </c>
      <c r="C50" s="4">
        <f>_xll.SNL.Clients.Office.Excel.Functions.SPG(A50,"IQ_AVG_DILUT_SHARES_OUT","CY2023")</f>
        <v>414400000</v>
      </c>
      <c r="D50" s="5">
        <f>_xll.SNL.Clients.Office.Excel.Functions.SPG(A50, "IQ_DILUT_EPS_NORM", "CY2023")</f>
        <v>6.9359999999999999</v>
      </c>
      <c r="E50">
        <f t="shared" si="0"/>
        <v>2874278.4</v>
      </c>
      <c r="F50">
        <f t="shared" si="1"/>
        <v>0.154648330185786</v>
      </c>
      <c r="H50" t="b">
        <f t="shared" si="2"/>
        <v>1</v>
      </c>
      <c r="K50" t="s">
        <v>566</v>
      </c>
      <c r="L50">
        <v>18585900</v>
      </c>
      <c r="M50">
        <v>414400000</v>
      </c>
      <c r="N50">
        <v>6.9359999999999999</v>
      </c>
      <c r="O50">
        <v>2874278.4</v>
      </c>
      <c r="P50">
        <v>0.154648330185786</v>
      </c>
    </row>
    <row r="51" spans="1:16" x14ac:dyDescent="0.3">
      <c r="A51" t="s">
        <v>55</v>
      </c>
      <c r="B51" s="4" cm="1">
        <f t="array" ref="B51">_xll.SNL.Clients.Office.Excel.Functions.SPG(A51, "SP_TOTAL_REV", "CY2023")</f>
        <v>17662419</v>
      </c>
      <c r="C51" s="4">
        <f>_xll.SNL.Clients.Office.Excel.Functions.SPG(A51,"IQ_AVG_DILUT_SHARES_OUT","CY2023")</f>
        <v>18750250</v>
      </c>
      <c r="D51" s="5">
        <f>_xll.SNL.Clients.Office.Excel.Functions.SPG(A51, "IQ_DILUT_EPS_NORM", "CY2023")</f>
        <v>108.649</v>
      </c>
      <c r="E51">
        <f t="shared" si="0"/>
        <v>2037195.9122500001</v>
      </c>
      <c r="F51">
        <f t="shared" si="1"/>
        <v>0.11534070798852637</v>
      </c>
      <c r="H51" t="b">
        <f t="shared" si="2"/>
        <v>1</v>
      </c>
      <c r="K51" t="s">
        <v>567</v>
      </c>
      <c r="L51">
        <v>17662419</v>
      </c>
      <c r="M51">
        <v>18750250</v>
      </c>
      <c r="N51">
        <v>108.649</v>
      </c>
      <c r="O51">
        <v>2037195.9122500001</v>
      </c>
      <c r="P51">
        <v>0.11534070798852637</v>
      </c>
    </row>
    <row r="52" spans="1:16" x14ac:dyDescent="0.3">
      <c r="A52" t="s">
        <v>56</v>
      </c>
      <c r="B52" s="4" cm="1">
        <f t="array" ref="B52">_xll.SNL.Clients.Office.Excel.Functions.SPG(A52, "SP_TOTAL_REV", "CY2023")</f>
        <v>2815021</v>
      </c>
      <c r="C52" s="4">
        <f>_xll.SNL.Clients.Office.Excel.Functions.SPG(A52,"IQ_AVG_DILUT_SHARES_OUT","CY2023")</f>
        <v>141643788</v>
      </c>
      <c r="D52" s="5">
        <f>_xll.SNL.Clients.Office.Excel.Functions.SPG(A52, "IQ_DILUT_EPS_NORM", "CY2023")</f>
        <v>3.0649999999999999</v>
      </c>
      <c r="E52">
        <f t="shared" si="0"/>
        <v>434138.21021999995</v>
      </c>
      <c r="F52">
        <f t="shared" si="1"/>
        <v>0.15422201476294492</v>
      </c>
      <c r="H52" t="b">
        <f t="shared" si="2"/>
        <v>1</v>
      </c>
      <c r="K52" t="s">
        <v>568</v>
      </c>
      <c r="L52">
        <v>2815021</v>
      </c>
      <c r="M52">
        <v>141643788</v>
      </c>
      <c r="N52">
        <v>3.0649999999999999</v>
      </c>
      <c r="O52">
        <v>434138.21021999995</v>
      </c>
      <c r="P52">
        <v>0.15422201476294492</v>
      </c>
    </row>
    <row r="53" spans="1:16" x14ac:dyDescent="0.3">
      <c r="A53" t="s">
        <v>57</v>
      </c>
      <c r="B53" s="4" cm="1">
        <f t="array" ref="B53">_xll.SNL.Clients.Office.Excel.Functions.SPG(A53, "SP_TOTAL_REV", "CY2023")</f>
        <v>8364300</v>
      </c>
      <c r="C53" s="4">
        <f>_xll.SNL.Clients.Office.Excel.Functions.SPG(A53,"IQ_AVG_DILUT_SHARES_OUT","CY2023")</f>
        <v>81100000</v>
      </c>
      <c r="D53" s="5">
        <f>_xll.SNL.Clients.Office.Excel.Functions.SPG(A53, "IQ_DILUT_EPS_NORM", "CY2023")</f>
        <v>6.476</v>
      </c>
      <c r="E53">
        <f t="shared" si="0"/>
        <v>525203.6</v>
      </c>
      <c r="F53">
        <f t="shared" si="1"/>
        <v>6.2791100271391509E-2</v>
      </c>
      <c r="H53" t="b">
        <f t="shared" si="2"/>
        <v>1</v>
      </c>
      <c r="K53" t="s">
        <v>569</v>
      </c>
      <c r="L53">
        <v>8364300</v>
      </c>
      <c r="M53">
        <v>81100000</v>
      </c>
      <c r="N53">
        <v>6.476</v>
      </c>
      <c r="O53">
        <v>525203.6</v>
      </c>
      <c r="P53">
        <v>6.2791100271391509E-2</v>
      </c>
    </row>
    <row r="54" spans="1:16" x14ac:dyDescent="0.3">
      <c r="A54" t="s">
        <v>58</v>
      </c>
      <c r="B54" s="4" cm="1">
        <f t="array" ref="B54">_xll.SNL.Clients.Office.Excel.Functions.SPG(A54, "SP_TOTAL_REV", "CY2023")</f>
        <v>1563391</v>
      </c>
      <c r="C54" s="4">
        <f>_xll.SNL.Clients.Office.Excel.Functions.SPG(A54,"IQ_AVG_DILUT_SHARES_OUT","CY2023")</f>
        <v>75456000</v>
      </c>
      <c r="D54" s="5">
        <f>_xll.SNL.Clients.Office.Excel.Functions.SPG(A54, "IQ_DILUT_EPS_NORM", "CY2023")</f>
        <v>1.649</v>
      </c>
      <c r="E54">
        <f t="shared" si="0"/>
        <v>124426.944</v>
      </c>
      <c r="F54">
        <f t="shared" si="1"/>
        <v>7.9587859978725736E-2</v>
      </c>
      <c r="H54" t="b">
        <f t="shared" si="2"/>
        <v>1</v>
      </c>
      <c r="K54" t="s">
        <v>570</v>
      </c>
      <c r="L54">
        <v>1563391</v>
      </c>
      <c r="M54">
        <v>75456000</v>
      </c>
      <c r="N54">
        <v>1.649</v>
      </c>
      <c r="O54">
        <v>124426.944</v>
      </c>
      <c r="P54">
        <v>7.9587859978725736E-2</v>
      </c>
    </row>
    <row r="55" spans="1:16" x14ac:dyDescent="0.3">
      <c r="A55" t="s">
        <v>59</v>
      </c>
      <c r="B55" s="4" cm="1">
        <f t="array" ref="B55">_xll.SNL.Clients.Office.Excel.Functions.SPG(A55, "SP_TOTAL_REV", "CY2023")</f>
        <v>25506000</v>
      </c>
      <c r="C55" s="4">
        <f>_xll.SNL.Clients.Office.Excel.Functions.SPG(A55,"IQ_AVG_DILUT_SHARES_OUT","CY2023")</f>
        <v>1015000000</v>
      </c>
      <c r="D55" s="5">
        <f>_xll.SNL.Clients.Office.Excel.Functions.SPG(A55, "IQ_DILUT_EPS_NORM", "CY2023")</f>
        <v>1.48</v>
      </c>
      <c r="E55">
        <f t="shared" si="0"/>
        <v>1502200</v>
      </c>
      <c r="F55">
        <f t="shared" si="1"/>
        <v>5.8895946051909356E-2</v>
      </c>
      <c r="H55" t="b">
        <f t="shared" si="2"/>
        <v>1</v>
      </c>
      <c r="K55" t="s">
        <v>571</v>
      </c>
      <c r="L55">
        <v>25506000</v>
      </c>
      <c r="M55">
        <v>1015000000</v>
      </c>
      <c r="N55">
        <v>1.48</v>
      </c>
      <c r="O55">
        <v>1502200</v>
      </c>
      <c r="P55">
        <v>5.8895946051909356E-2</v>
      </c>
    </row>
    <row r="56" spans="1:16" x14ac:dyDescent="0.3">
      <c r="A56" t="s">
        <v>60</v>
      </c>
      <c r="B56" s="4" cm="1">
        <f t="array" ref="B56">_xll.SNL.Clients.Office.Excel.Functions.SPG(A56, "SP_TOTAL_REV", "CY2023")</f>
        <v>14029000</v>
      </c>
      <c r="C56" s="4">
        <f>_xll.SNL.Clients.Office.Excel.Functions.SPG(A56,"IQ_AVG_DILUT_SHARES_OUT","CY2023")</f>
        <v>317022000</v>
      </c>
      <c r="D56" s="5">
        <f>_xll.SNL.Clients.Office.Excel.Functions.SPG(A56, "IQ_DILUT_EPS_NORM", "CY2023")</f>
        <v>1.9059999999999999</v>
      </c>
      <c r="E56">
        <f t="shared" si="0"/>
        <v>604243.93200000003</v>
      </c>
      <c r="F56">
        <f t="shared" si="1"/>
        <v>4.3071062228241502E-2</v>
      </c>
      <c r="H56" t="b">
        <f t="shared" si="2"/>
        <v>1</v>
      </c>
      <c r="K56" t="s">
        <v>572</v>
      </c>
      <c r="L56">
        <v>14029000</v>
      </c>
      <c r="M56">
        <v>317022000</v>
      </c>
      <c r="N56">
        <v>1.9059999999999999</v>
      </c>
      <c r="O56">
        <v>604243.93200000003</v>
      </c>
      <c r="P56">
        <v>4.3071062228241502E-2</v>
      </c>
    </row>
    <row r="57" spans="1:16" x14ac:dyDescent="0.3">
      <c r="A57" t="s">
        <v>61</v>
      </c>
      <c r="B57" s="4" cm="1">
        <f t="array" ref="B57">_xll.SNL.Clients.Office.Excel.Functions.SPG(A57, "SP_TOTAL_REV", "CY2023")</f>
        <v>100181000</v>
      </c>
      <c r="C57" s="4">
        <f>_xll.SNL.Clients.Office.Excel.Functions.SPG(A57,"IQ_AVG_DILUT_SHARES_OUT","CY2023")</f>
        <v>8080500000</v>
      </c>
      <c r="D57" s="5">
        <f>_xll.SNL.Clients.Office.Excel.Functions.SPG(A57, "IQ_DILUT_EPS_NORM", "CY2023")</f>
        <v>2.4780000000000002</v>
      </c>
      <c r="E57">
        <f t="shared" si="0"/>
        <v>20023479</v>
      </c>
      <c r="F57">
        <f t="shared" si="1"/>
        <v>0.19987301983410027</v>
      </c>
      <c r="H57" t="b">
        <f t="shared" si="2"/>
        <v>1</v>
      </c>
      <c r="K57" t="s">
        <v>573</v>
      </c>
      <c r="L57">
        <v>100181000</v>
      </c>
      <c r="M57">
        <v>8080500000</v>
      </c>
      <c r="N57">
        <v>2.4780000000000002</v>
      </c>
      <c r="O57">
        <v>20023479</v>
      </c>
      <c r="P57">
        <v>0.19987301983410027</v>
      </c>
    </row>
    <row r="58" spans="1:16" x14ac:dyDescent="0.3">
      <c r="A58" t="s">
        <v>62</v>
      </c>
      <c r="B58" s="4" cm="1">
        <f t="array" ref="B58">_xll.SNL.Clients.Office.Excel.Functions.SPG(A58, "SP_TOTAL_REV", "CY2023")</f>
        <v>14813000</v>
      </c>
      <c r="C58" s="4">
        <f>_xll.SNL.Clients.Office.Excel.Functions.SPG(A58,"IQ_AVG_DILUT_SHARES_OUT","CY2023")</f>
        <v>506000000</v>
      </c>
      <c r="D58" s="5">
        <f>_xll.SNL.Clients.Office.Excel.Functions.SPG(A58, "IQ_DILUT_EPS_NORM", "CY2023")</f>
        <v>1.2509999999999999</v>
      </c>
      <c r="E58">
        <f t="shared" si="0"/>
        <v>633006</v>
      </c>
      <c r="F58">
        <f t="shared" si="1"/>
        <v>4.2733139809626682E-2</v>
      </c>
      <c r="H58" t="b">
        <f t="shared" si="2"/>
        <v>1</v>
      </c>
      <c r="K58" t="s">
        <v>576</v>
      </c>
      <c r="L58">
        <v>14813000</v>
      </c>
      <c r="M58">
        <v>506000000</v>
      </c>
      <c r="N58">
        <v>1.2509999999999999</v>
      </c>
      <c r="O58">
        <v>633006</v>
      </c>
      <c r="P58">
        <v>4.2733139809626682E-2</v>
      </c>
    </row>
    <row r="59" spans="1:16" x14ac:dyDescent="0.3">
      <c r="A59" t="s">
        <v>63</v>
      </c>
      <c r="B59" s="4" cm="1">
        <f t="array" ref="B59">_xll.SNL.Clients.Office.Excel.Functions.SPG(A59, "SP_TOTAL_REV", "CY2023")</f>
        <v>19492000</v>
      </c>
      <c r="C59" s="4">
        <f>_xll.SNL.Clients.Office.Excel.Functions.SPG(A59,"IQ_AVG_DILUT_SHARES_OUT","CY2023")</f>
        <v>289906500</v>
      </c>
      <c r="D59" s="5">
        <f>_xll.SNL.Clients.Office.Excel.Functions.SPG(A59, "IQ_DILUT_EPS_NORM", "CY2023")</f>
        <v>4.8460000000000001</v>
      </c>
      <c r="E59">
        <f t="shared" si="0"/>
        <v>1404886.899</v>
      </c>
      <c r="F59">
        <f t="shared" si="1"/>
        <v>7.2075051251795613E-2</v>
      </c>
      <c r="H59" t="b">
        <f t="shared" si="2"/>
        <v>1</v>
      </c>
      <c r="K59" t="s">
        <v>577</v>
      </c>
      <c r="L59">
        <v>19492000</v>
      </c>
      <c r="M59">
        <v>289906500</v>
      </c>
      <c r="N59">
        <v>4.8460000000000001</v>
      </c>
      <c r="O59">
        <v>1404886.899</v>
      </c>
      <c r="P59">
        <v>7.2075051251795613E-2</v>
      </c>
    </row>
    <row r="60" spans="1:16" x14ac:dyDescent="0.3">
      <c r="A60" t="s">
        <v>64</v>
      </c>
      <c r="B60" s="4" cm="1">
        <f t="array" ref="B60">_xll.SNL.Clients.Office.Excel.Functions.SPG(A60, "SP_TOTAL_REV", "CY2023")</f>
        <v>364482000</v>
      </c>
      <c r="C60" s="4">
        <f>_xll.SNL.Clients.Office.Excel.Functions.SPG(A60,"IQ_AVG_DILUT_SHARES_OUT","CY2023")</f>
        <v>1448880</v>
      </c>
      <c r="D60" s="5">
        <f>_xll.SNL.Clients.Office.Excel.Functions.SPG(A60, "IQ_DILUT_EPS_NORM", "CY2023")</f>
        <v>51197.993999999999</v>
      </c>
      <c r="E60">
        <f t="shared" si="0"/>
        <v>74179749.546719998</v>
      </c>
      <c r="F60">
        <f t="shared" si="1"/>
        <v>0.20352102311422784</v>
      </c>
      <c r="H60" t="b">
        <f t="shared" si="2"/>
        <v>1</v>
      </c>
      <c r="K60" t="s">
        <v>64</v>
      </c>
      <c r="L60" s="4" cm="1">
        <f t="array" ref="L60">_xll.SNL.Clients.Office.Excel.Functions.SPG(K60, "SP_TOTAL_REV", "CY2023")</f>
        <v>364482000</v>
      </c>
      <c r="M60" s="4">
        <f>_xll.SNL.Clients.Office.Excel.Functions.SPG(K60,"IQ_AVG_DILUT_SHARES_OUT","CY2023")</f>
        <v>1448880</v>
      </c>
      <c r="N60" s="5">
        <f>_xll.SNL.Clients.Office.Excel.Functions.SPG(K60, "IQ_DILUT_EPS_NORM", "CY2023")</f>
        <v>51197.993999999999</v>
      </c>
      <c r="O60">
        <f t="shared" ref="O60" si="3">M60*N60/1000</f>
        <v>74179749.546719998</v>
      </c>
      <c r="P60">
        <f t="shared" ref="P60" si="4">O60/L60</f>
        <v>0.20352102311422784</v>
      </c>
    </row>
    <row r="61" spans="1:16" x14ac:dyDescent="0.3">
      <c r="A61" t="s">
        <v>65</v>
      </c>
      <c r="B61" s="4" cm="1">
        <f t="array" ref="B61">_xll.SNL.Clients.Office.Excel.Functions.SPG(A61, "SP_TOTAL_REV", "CY2023")</f>
        <v>43452000</v>
      </c>
      <c r="C61" s="4">
        <f>_xll.SNL.Clients.Office.Excel.Functions.SPG(A61,"IQ_AVG_DILUT_SHARES_OUT","CY2023")</f>
        <v>218500000</v>
      </c>
      <c r="D61" s="5">
        <f>_xll.SNL.Clients.Office.Excel.Functions.SPG(A61, "IQ_DILUT_EPS_NORM", "CY2023")</f>
        <v>5.0170000000000003</v>
      </c>
      <c r="E61">
        <f t="shared" si="0"/>
        <v>1096214.5</v>
      </c>
      <c r="F61">
        <f t="shared" si="1"/>
        <v>2.5228171315474546E-2</v>
      </c>
      <c r="H61" t="b">
        <f t="shared" si="2"/>
        <v>1</v>
      </c>
      <c r="K61" t="s">
        <v>579</v>
      </c>
      <c r="L61">
        <v>43452000</v>
      </c>
      <c r="M61">
        <v>218500000</v>
      </c>
      <c r="N61">
        <v>5.0170000000000003</v>
      </c>
      <c r="O61">
        <v>1096214.5</v>
      </c>
      <c r="P61">
        <v>2.5228171315474546E-2</v>
      </c>
    </row>
    <row r="62" spans="1:16" x14ac:dyDescent="0.3">
      <c r="A62" t="s">
        <v>66</v>
      </c>
      <c r="B62" s="4" cm="1">
        <f t="array" ref="B62">_xll.SNL.Clients.Office.Excel.Functions.SPG(A62, "SP_TOTAL_REV", "CY2023")</f>
        <v>1144999</v>
      </c>
      <c r="C62" s="4">
        <f>_xll.SNL.Clients.Office.Excel.Functions.SPG(A62,"IQ_AVG_DILUT_SHARES_OUT","CY2023")</f>
        <v>161472000</v>
      </c>
      <c r="D62" s="5">
        <f>_xll.SNL.Clients.Office.Excel.Functions.SPG(A62, "IQ_DILUT_EPS_NORM", "CY2023")</f>
        <v>0.90600000000000003</v>
      </c>
      <c r="E62">
        <f t="shared" si="0"/>
        <v>146293.63200000001</v>
      </c>
      <c r="F62">
        <f t="shared" si="1"/>
        <v>0.12776747577945485</v>
      </c>
      <c r="H62" t="b">
        <f t="shared" si="2"/>
        <v>1</v>
      </c>
      <c r="K62" t="s">
        <v>581</v>
      </c>
      <c r="L62">
        <v>1144999</v>
      </c>
      <c r="M62">
        <v>161472000</v>
      </c>
      <c r="N62">
        <v>0.90600000000000003</v>
      </c>
      <c r="O62">
        <v>146293.63200000001</v>
      </c>
      <c r="P62">
        <v>0.12776747577945485</v>
      </c>
    </row>
    <row r="63" spans="1:16" x14ac:dyDescent="0.3">
      <c r="A63" t="s">
        <v>67</v>
      </c>
      <c r="B63" s="4" cm="1">
        <f t="array" ref="B63">_xll.SNL.Clients.Office.Excel.Functions.SPG(A63, "SP_TOTAL_REV", "CY2023")</f>
        <v>9835600</v>
      </c>
      <c r="C63" s="4">
        <f>_xll.SNL.Clients.Office.Excel.Functions.SPG(A63,"IQ_AVG_DILUT_SHARES_OUT","CY2023")</f>
        <v>145600000</v>
      </c>
      <c r="D63" s="5">
        <f>_xll.SNL.Clients.Office.Excel.Functions.SPG(A63, "IQ_DILUT_EPS_NORM", "CY2023")</f>
        <v>7.98</v>
      </c>
      <c r="E63">
        <f t="shared" si="0"/>
        <v>1161888</v>
      </c>
      <c r="F63">
        <f t="shared" si="1"/>
        <v>0.11813087152791898</v>
      </c>
      <c r="H63" t="b">
        <f t="shared" si="2"/>
        <v>1</v>
      </c>
      <c r="K63" t="s">
        <v>582</v>
      </c>
      <c r="L63">
        <v>9835600</v>
      </c>
      <c r="M63">
        <v>145600000</v>
      </c>
      <c r="N63">
        <v>7.98</v>
      </c>
      <c r="O63">
        <v>1161888</v>
      </c>
      <c r="P63">
        <v>0.11813087152791898</v>
      </c>
    </row>
    <row r="64" spans="1:16" x14ac:dyDescent="0.3">
      <c r="A64" t="s">
        <v>68</v>
      </c>
      <c r="B64" s="4" cm="1">
        <f t="array" ref="B64">_xll.SNL.Clients.Office.Excel.Functions.SPG(A64, "SP_TOTAL_REV", "CY2023")</f>
        <v>17859000</v>
      </c>
      <c r="C64" s="4">
        <f>_xll.SNL.Clients.Office.Excel.Functions.SPG(A64,"IQ_AVG_DILUT_SHARES_OUT","CY2023")</f>
        <v>150706451</v>
      </c>
      <c r="D64" s="5">
        <f>_xll.SNL.Clients.Office.Excel.Functions.SPG(A64, "IQ_DILUT_EPS_NORM", "CY2023")</f>
        <v>25.885000000000002</v>
      </c>
      <c r="E64">
        <f t="shared" si="0"/>
        <v>3901036.484135</v>
      </c>
      <c r="F64">
        <f t="shared" si="1"/>
        <v>0.21843532583767289</v>
      </c>
      <c r="H64" t="b">
        <f t="shared" si="2"/>
        <v>1</v>
      </c>
      <c r="K64" t="s">
        <v>583</v>
      </c>
      <c r="L64">
        <v>17859000</v>
      </c>
      <c r="M64">
        <v>150706451</v>
      </c>
      <c r="N64">
        <v>25.885000000000002</v>
      </c>
      <c r="O64">
        <v>3901036.484135</v>
      </c>
      <c r="P64">
        <v>0.21843532583767289</v>
      </c>
    </row>
    <row r="65" spans="1:16" x14ac:dyDescent="0.3">
      <c r="A65" t="s">
        <v>69</v>
      </c>
      <c r="B65" s="4" cm="1">
        <f t="array" ref="B65">_xll.SNL.Clients.Office.Excel.Functions.SPG(A65, "SP_TOTAL_REV", "CY2023")</f>
        <v>7683902</v>
      </c>
      <c r="C65" s="4">
        <f>_xll.SNL.Clients.Office.Excel.Functions.SPG(A65,"IQ_AVG_DILUT_SHARES_OUT","CY2023")</f>
        <v>758039099</v>
      </c>
      <c r="D65" s="5">
        <f>_xll.SNL.Clients.Office.Excel.Functions.SPG(A65, "IQ_DILUT_EPS_NORM", "CY2023")</f>
        <v>1.0960000000000001</v>
      </c>
      <c r="E65">
        <f t="shared" si="0"/>
        <v>830810.85250400007</v>
      </c>
      <c r="F65">
        <f t="shared" si="1"/>
        <v>0.10812356176640463</v>
      </c>
      <c r="H65" t="b">
        <f t="shared" si="2"/>
        <v>1</v>
      </c>
      <c r="K65" t="s">
        <v>584</v>
      </c>
      <c r="L65">
        <v>7683902</v>
      </c>
      <c r="M65">
        <v>758039099</v>
      </c>
      <c r="N65">
        <v>1.0960000000000001</v>
      </c>
      <c r="O65">
        <v>830810.85250400007</v>
      </c>
      <c r="P65">
        <v>0.10812356176640463</v>
      </c>
    </row>
    <row r="66" spans="1:16" x14ac:dyDescent="0.3">
      <c r="A66" t="s">
        <v>70</v>
      </c>
      <c r="B66" s="4" cm="1">
        <f t="array" ref="B66">_xll.SNL.Clients.Office.Excel.Functions.SPG(A66, "SP_TOTAL_REV", "CY2023")</f>
        <v>21365000</v>
      </c>
      <c r="C66" s="4">
        <f>_xll.SNL.Clients.Office.Excel.Functions.SPG(A66,"IQ_AVG_DILUT_SHARES_OUT","CY2023")</f>
        <v>36530000</v>
      </c>
      <c r="D66" s="5">
        <f>_xll.SNL.Clients.Office.Excel.Functions.SPG(A66, "IQ_DILUT_EPS_NORM", "CY2023")</f>
        <v>97.557000000000002</v>
      </c>
      <c r="E66">
        <f t="shared" si="0"/>
        <v>3563757.21</v>
      </c>
      <c r="F66">
        <f t="shared" si="1"/>
        <v>0.16680352024338871</v>
      </c>
      <c r="H66" t="b">
        <f t="shared" si="2"/>
        <v>1</v>
      </c>
      <c r="K66" t="s">
        <v>586</v>
      </c>
      <c r="L66">
        <v>21365000</v>
      </c>
      <c r="M66">
        <v>36530000</v>
      </c>
      <c r="N66">
        <v>97.557000000000002</v>
      </c>
      <c r="O66">
        <v>3563757.21</v>
      </c>
      <c r="P66">
        <v>0.16680352024338871</v>
      </c>
    </row>
    <row r="67" spans="1:16" x14ac:dyDescent="0.3">
      <c r="A67" t="s">
        <v>71</v>
      </c>
      <c r="B67" s="4" cm="1">
        <f t="array" ref="B67">_xll.SNL.Clients.Office.Excel.Functions.SPG(A67, "SP_TOTAL_REV", "CY2023")</f>
        <v>14198000</v>
      </c>
      <c r="C67" s="4">
        <f>_xll.SNL.Clients.Office.Excel.Functions.SPG(A67,"IQ_AVG_DILUT_SHARES_OUT","CY2023")</f>
        <v>234400000</v>
      </c>
      <c r="D67" s="5">
        <f>_xll.SNL.Clients.Office.Excel.Functions.SPG(A67, "IQ_DILUT_EPS_NORM", "CY2023")</f>
        <v>3.008</v>
      </c>
      <c r="E67">
        <f t="shared" ref="E67:E130" si="5">C67*D67/1000</f>
        <v>705075.19999999995</v>
      </c>
      <c r="F67">
        <f t="shared" ref="F67:F130" si="6">E67/B67</f>
        <v>4.9660177489787294E-2</v>
      </c>
      <c r="H67" t="b">
        <f t="shared" ref="H67:H130" si="7">B67=L67</f>
        <v>1</v>
      </c>
      <c r="K67" t="s">
        <v>587</v>
      </c>
      <c r="L67">
        <v>14198000</v>
      </c>
      <c r="M67">
        <v>234400000</v>
      </c>
      <c r="N67">
        <v>3.008</v>
      </c>
      <c r="O67">
        <v>705075.19999999995</v>
      </c>
      <c r="P67">
        <v>4.9660177489787294E-2</v>
      </c>
    </row>
    <row r="68" spans="1:16" x14ac:dyDescent="0.3">
      <c r="A68" t="s">
        <v>72</v>
      </c>
      <c r="B68" s="4" cm="1">
        <f t="array" ref="B68">_xll.SNL.Clients.Office.Excel.Functions.SPG(A68, "SP_TOTAL_REV", "CY2023")</f>
        <v>14240000</v>
      </c>
      <c r="C68" s="4">
        <f>_xll.SNL.Clients.Office.Excel.Functions.SPG(A68,"IQ_AVG_DILUT_SHARES_OUT","CY2023")</f>
        <v>1463500000</v>
      </c>
      <c r="D68" s="5">
        <f>_xll.SNL.Clients.Office.Excel.Functions.SPG(A68, "IQ_DILUT_EPS_NORM", "CY2023")</f>
        <v>0.90500000000000003</v>
      </c>
      <c r="E68">
        <f t="shared" si="5"/>
        <v>1324467.5</v>
      </c>
      <c r="F68">
        <f t="shared" si="6"/>
        <v>9.3010358146067409E-2</v>
      </c>
      <c r="H68" t="b">
        <f t="shared" si="7"/>
        <v>1</v>
      </c>
      <c r="K68" t="s">
        <v>589</v>
      </c>
      <c r="L68">
        <v>14240000</v>
      </c>
      <c r="M68">
        <v>1463500000</v>
      </c>
      <c r="N68">
        <v>0.90500000000000003</v>
      </c>
      <c r="O68">
        <v>1324467.5</v>
      </c>
      <c r="P68">
        <v>9.3010358146067409E-2</v>
      </c>
    </row>
    <row r="69" spans="1:16" x14ac:dyDescent="0.3">
      <c r="A69" t="s">
        <v>73</v>
      </c>
      <c r="B69" s="4" cm="1">
        <f t="array" ref="B69">_xll.SNL.Clients.Office.Excel.Functions.SPG(A69, "SP_TOTAL_REV", "CY2023")</f>
        <v>45006000</v>
      </c>
      <c r="C69" s="4">
        <f>_xll.SNL.Clients.Office.Excel.Functions.SPG(A69,"IQ_AVG_DILUT_SHARES_OUT","CY2023")</f>
        <v>2078000000</v>
      </c>
      <c r="D69" s="5">
        <f>_xll.SNL.Clients.Office.Excel.Functions.SPG(A69, "IQ_DILUT_EPS_NORM", "CY2023")</f>
        <v>3.0430000000000001</v>
      </c>
      <c r="E69">
        <f t="shared" si="5"/>
        <v>6323354</v>
      </c>
      <c r="F69">
        <f t="shared" si="6"/>
        <v>0.14050024441185618</v>
      </c>
      <c r="H69" t="b">
        <f t="shared" si="7"/>
        <v>1</v>
      </c>
      <c r="K69" t="s">
        <v>590</v>
      </c>
      <c r="L69">
        <v>45006000</v>
      </c>
      <c r="M69">
        <v>2078000000</v>
      </c>
      <c r="N69">
        <v>3.0430000000000001</v>
      </c>
      <c r="O69">
        <v>6323354</v>
      </c>
      <c r="P69">
        <v>0.14050024441185618</v>
      </c>
    </row>
    <row r="70" spans="1:16" x14ac:dyDescent="0.3">
      <c r="A70" t="s">
        <v>74</v>
      </c>
      <c r="B70" s="4" cm="1">
        <f t="array" ref="B70">_xll.SNL.Clients.Office.Excel.Functions.SPG(A70, "SP_TOTAL_REV", "CY2023")</f>
        <v>38865000</v>
      </c>
      <c r="C70" s="4">
        <f>_xll.SNL.Clients.Office.Excel.Functions.SPG(A70,"IQ_AVG_DILUT_SHARES_OUT","CY2023")</f>
        <v>4365000000</v>
      </c>
      <c r="D70" s="5">
        <f>_xll.SNL.Clients.Office.Excel.Functions.SPG(A70, "IQ_DILUT_EPS_NORM", "CY2023")</f>
        <v>1.97</v>
      </c>
      <c r="E70">
        <f t="shared" si="5"/>
        <v>8599050</v>
      </c>
      <c r="F70">
        <f t="shared" si="6"/>
        <v>0.22125434195291394</v>
      </c>
      <c r="H70" t="b">
        <f t="shared" si="7"/>
        <v>1</v>
      </c>
      <c r="K70" t="s">
        <v>591</v>
      </c>
      <c r="L70">
        <v>38865000</v>
      </c>
      <c r="M70">
        <v>4365000000</v>
      </c>
      <c r="N70">
        <v>1.97</v>
      </c>
      <c r="O70">
        <v>8599050</v>
      </c>
      <c r="P70">
        <v>0.22125434195291394</v>
      </c>
    </row>
    <row r="71" spans="1:16" x14ac:dyDescent="0.3">
      <c r="A71" t="s">
        <v>75</v>
      </c>
      <c r="B71" s="4" cm="1">
        <f t="array" ref="B71">_xll.SNL.Clients.Office.Excel.Functions.SPG(A71, "SP_TOTAL_REV", "CY2023")</f>
        <v>6320700</v>
      </c>
      <c r="C71" s="4">
        <f>_xll.SNL.Clients.Office.Excel.Functions.SPG(A71,"IQ_AVG_DILUT_SHARES_OUT","CY2023")</f>
        <v>119100000</v>
      </c>
      <c r="D71" s="5">
        <f>_xll.SNL.Clients.Office.Excel.Functions.SPG(A71, "IQ_DILUT_EPS_NORM", "CY2023")</f>
        <v>4.556</v>
      </c>
      <c r="E71">
        <f t="shared" si="5"/>
        <v>542619.6</v>
      </c>
      <c r="F71">
        <f t="shared" si="6"/>
        <v>8.5848023161991555E-2</v>
      </c>
      <c r="H71" t="b">
        <f t="shared" si="7"/>
        <v>1</v>
      </c>
      <c r="K71" t="s">
        <v>592</v>
      </c>
      <c r="L71">
        <v>6320700</v>
      </c>
      <c r="M71">
        <v>119100000</v>
      </c>
      <c r="N71">
        <v>4.556</v>
      </c>
      <c r="O71">
        <v>542619.6</v>
      </c>
      <c r="P71">
        <v>8.5848023161991555E-2</v>
      </c>
    </row>
    <row r="72" spans="1:16" x14ac:dyDescent="0.3">
      <c r="A72" t="s">
        <v>76</v>
      </c>
      <c r="B72" s="4" cm="1">
        <f t="array" ref="B72">_xll.SNL.Clients.Office.Excel.Functions.SPG(A72, "SP_TOTAL_REV", "CY2023")</f>
        <v>4257100</v>
      </c>
      <c r="C72" s="4">
        <f>_xll.SNL.Clients.Office.Excel.Functions.SPG(A72,"IQ_AVG_DILUT_SHARES_OUT","CY2023")</f>
        <v>280800000</v>
      </c>
      <c r="D72" s="5">
        <f>_xll.SNL.Clients.Office.Excel.Functions.SPG(A72, "IQ_DILUT_EPS_NORM", "CY2023")</f>
        <v>2.31</v>
      </c>
      <c r="E72">
        <f t="shared" si="5"/>
        <v>648648</v>
      </c>
      <c r="F72">
        <f t="shared" si="6"/>
        <v>0.15236851377698432</v>
      </c>
      <c r="H72" t="b">
        <f t="shared" si="7"/>
        <v>1</v>
      </c>
      <c r="K72" t="s">
        <v>593</v>
      </c>
      <c r="L72">
        <v>4257100</v>
      </c>
      <c r="M72">
        <v>280800000</v>
      </c>
      <c r="N72">
        <v>2.31</v>
      </c>
      <c r="O72">
        <v>648648</v>
      </c>
      <c r="P72">
        <v>0.15236851377698432</v>
      </c>
    </row>
    <row r="73" spans="1:16" x14ac:dyDescent="0.3">
      <c r="A73" t="s">
        <v>77</v>
      </c>
      <c r="B73" s="4" cm="1">
        <f t="array" ref="B73">_xll.SNL.Clients.Office.Excel.Functions.SPG(A73, "SP_TOTAL_REV", "CY2023")</f>
        <v>4260000</v>
      </c>
      <c r="C73" s="4">
        <f>_xll.SNL.Clients.Office.Excel.Functions.SPG(A73,"IQ_AVG_DILUT_SHARES_OUT","CY2023")</f>
        <v>479111641</v>
      </c>
      <c r="D73" s="5">
        <f>_xll.SNL.Clients.Office.Excel.Functions.SPG(A73, "IQ_DILUT_EPS_NORM", "CY2023")</f>
        <v>1.4710000000000001</v>
      </c>
      <c r="E73">
        <f t="shared" si="5"/>
        <v>704773.22391100007</v>
      </c>
      <c r="F73">
        <f t="shared" si="6"/>
        <v>0.16543972392276998</v>
      </c>
      <c r="H73" t="b">
        <f t="shared" si="7"/>
        <v>1</v>
      </c>
      <c r="K73" t="s">
        <v>594</v>
      </c>
      <c r="L73">
        <v>4260000</v>
      </c>
      <c r="M73">
        <v>479111641</v>
      </c>
      <c r="N73">
        <v>1.4710000000000001</v>
      </c>
      <c r="O73">
        <v>704773.22391100007</v>
      </c>
      <c r="P73">
        <v>0.16543972392276998</v>
      </c>
    </row>
    <row r="74" spans="1:16" x14ac:dyDescent="0.3">
      <c r="A74" t="s">
        <v>78</v>
      </c>
      <c r="B74" s="4" cm="1">
        <f t="array" ref="B74">_xll.SNL.Clients.Office.Excel.Functions.SPG(A74, "SP_TOTAL_REV", "CY2023")</f>
        <v>17097330</v>
      </c>
      <c r="C74" s="4">
        <f>_xll.SNL.Clients.Office.Excel.Functions.SPG(A74,"IQ_AVG_DILUT_SHARES_OUT","CY2023")</f>
        <v>128998000</v>
      </c>
      <c r="D74" s="5">
        <f>_xll.SNL.Clients.Office.Excel.Functions.SPG(A74, "IQ_DILUT_EPS_NORM", "CY2023")</f>
        <v>9.6140000000000008</v>
      </c>
      <c r="E74">
        <f t="shared" si="5"/>
        <v>1240186.7720000001</v>
      </c>
      <c r="F74">
        <f t="shared" si="6"/>
        <v>7.2536868154267367E-2</v>
      </c>
      <c r="H74" t="b">
        <f t="shared" si="7"/>
        <v>1</v>
      </c>
      <c r="K74" t="s">
        <v>1030</v>
      </c>
      <c r="L74">
        <v>17097330</v>
      </c>
      <c r="M74">
        <v>128998000</v>
      </c>
      <c r="N74">
        <v>9.6140000000000008</v>
      </c>
      <c r="O74">
        <v>1240186.7720000001</v>
      </c>
      <c r="P74">
        <v>7.2536868154267367E-2</v>
      </c>
    </row>
    <row r="75" spans="1:16" x14ac:dyDescent="0.3">
      <c r="A75" t="s">
        <v>79</v>
      </c>
      <c r="B75" s="4" cm="1">
        <f t="array" ref="B75">_xll.SNL.Clients.Office.Excel.Functions.SPG(A75, "SP_TOTAL_REV", "CY2023")</f>
        <v>59540000</v>
      </c>
      <c r="C75" s="4">
        <f>_xll.SNL.Clients.Office.Excel.Functions.SPG(A75,"IQ_AVG_DILUT_SHARES_OUT","CY2023")</f>
        <v>150787917</v>
      </c>
      <c r="D75" s="5">
        <f>_xll.SNL.Clients.Office.Excel.Functions.SPG(A75, "IQ_DILUT_EPS_NORM", "CY2023")</f>
        <v>12.698</v>
      </c>
      <c r="E75">
        <f t="shared" si="5"/>
        <v>1914704.970066</v>
      </c>
      <c r="F75">
        <f t="shared" si="6"/>
        <v>3.2158296440476991E-2</v>
      </c>
      <c r="H75" t="b">
        <f t="shared" si="7"/>
        <v>1</v>
      </c>
      <c r="K75" t="s">
        <v>595</v>
      </c>
      <c r="L75">
        <v>59540000</v>
      </c>
      <c r="M75">
        <v>150787917</v>
      </c>
      <c r="N75">
        <v>12.698</v>
      </c>
      <c r="O75">
        <v>1914704.970066</v>
      </c>
      <c r="P75">
        <v>3.2158296440476991E-2</v>
      </c>
    </row>
    <row r="76" spans="1:16" x14ac:dyDescent="0.3">
      <c r="A76" t="s">
        <v>80</v>
      </c>
      <c r="B76" s="4" cm="1">
        <f t="array" ref="B76">_xll.SNL.Clients.Office.Excel.Functions.SPG(A76, "SP_TOTAL_REV", "CY2023")</f>
        <v>3373491</v>
      </c>
      <c r="C76" s="4">
        <f>_xll.SNL.Clients.Office.Excel.Functions.SPG(A76,"IQ_AVG_DILUT_SHARES_OUT","CY2023")</f>
        <v>157201000</v>
      </c>
      <c r="D76" s="5">
        <f>_xll.SNL.Clients.Office.Excel.Functions.SPG(A76, "IQ_DILUT_EPS_NORM", "CY2023")</f>
        <v>1.389</v>
      </c>
      <c r="E76">
        <f t="shared" si="5"/>
        <v>218352.18900000001</v>
      </c>
      <c r="F76">
        <f t="shared" si="6"/>
        <v>6.4725884551048163E-2</v>
      </c>
      <c r="H76" t="b">
        <f t="shared" si="7"/>
        <v>1</v>
      </c>
      <c r="K76" t="s">
        <v>588</v>
      </c>
      <c r="L76">
        <v>3373491</v>
      </c>
      <c r="M76">
        <v>157201000</v>
      </c>
      <c r="N76">
        <v>1.389</v>
      </c>
      <c r="O76">
        <v>218352.18900000001</v>
      </c>
      <c r="P76">
        <v>6.4725884551048163E-2</v>
      </c>
    </row>
    <row r="77" spans="1:16" x14ac:dyDescent="0.3">
      <c r="A77" t="s">
        <v>81</v>
      </c>
      <c r="B77" s="4" cm="1">
        <f t="array" ref="B77">_xll.SNL.Clients.Office.Excel.Functions.SPG(A77, "SP_TOTAL_REV", "CY2023")</f>
        <v>17596443</v>
      </c>
      <c r="C77" s="4">
        <f>_xll.SNL.Clients.Office.Excel.Functions.SPG(A77,"IQ_AVG_DILUT_SHARES_OUT","CY2023")</f>
        <v>119677000</v>
      </c>
      <c r="D77" s="5">
        <f>_xll.SNL.Clients.Office.Excel.Functions.SPG(A77, "IQ_DILUT_EPS_NORM", "CY2023")</f>
        <v>2.2280000000000002</v>
      </c>
      <c r="E77">
        <f t="shared" si="5"/>
        <v>266640.35600000003</v>
      </c>
      <c r="F77">
        <f t="shared" si="6"/>
        <v>1.5153082699725168E-2</v>
      </c>
      <c r="H77" t="b">
        <f t="shared" si="7"/>
        <v>1</v>
      </c>
      <c r="K77" t="s">
        <v>615</v>
      </c>
      <c r="L77">
        <v>17596443</v>
      </c>
      <c r="M77">
        <v>119677000</v>
      </c>
      <c r="N77">
        <v>2.2280000000000002</v>
      </c>
      <c r="O77">
        <v>266640.35600000003</v>
      </c>
      <c r="P77">
        <v>1.5153082699725168E-2</v>
      </c>
    </row>
    <row r="78" spans="1:16" x14ac:dyDescent="0.3">
      <c r="A78" t="s">
        <v>82</v>
      </c>
      <c r="B78" s="4" cm="1">
        <f t="array" ref="B78">_xll.SNL.Clients.Office.Excel.Functions.SPG(A78, "SP_TOTAL_REV", "CY2023")</f>
        <v>4089986</v>
      </c>
      <c r="C78" s="4">
        <f>_xll.SNL.Clients.Office.Excel.Functions.SPG(A78,"IQ_AVG_DILUT_SHARES_OUT","CY2023")</f>
        <v>272748000</v>
      </c>
      <c r="D78" s="5">
        <f>_xll.SNL.Clients.Office.Excel.Functions.SPG(A78, "IQ_DILUT_EPS_NORM", "CY2023")</f>
        <v>2.911</v>
      </c>
      <c r="E78">
        <f t="shared" si="5"/>
        <v>793969.42799999996</v>
      </c>
      <c r="F78">
        <f t="shared" si="6"/>
        <v>0.19412521901052962</v>
      </c>
      <c r="H78" t="b">
        <f t="shared" si="7"/>
        <v>1</v>
      </c>
      <c r="K78" t="s">
        <v>596</v>
      </c>
      <c r="L78">
        <v>4089986</v>
      </c>
      <c r="M78">
        <v>272748000</v>
      </c>
      <c r="N78">
        <v>2.911</v>
      </c>
      <c r="O78">
        <v>793969.42799999996</v>
      </c>
      <c r="P78">
        <v>0.19412521901052962</v>
      </c>
    </row>
    <row r="79" spans="1:16" x14ac:dyDescent="0.3">
      <c r="A79" t="s">
        <v>83</v>
      </c>
      <c r="B79" s="4" cm="1">
        <f t="array" ref="B79">_xll.SNL.Clients.Office.Excel.Functions.SPG(A79, "SP_TOTAL_REV", "CY2023")</f>
        <v>11528000</v>
      </c>
      <c r="C79" s="4">
        <f>_xll.SNL.Clients.Office.Excel.Functions.SPG(A79,"IQ_AVG_DILUT_SHARES_OUT","CY2023")</f>
        <v>216000000</v>
      </c>
      <c r="D79" s="5">
        <f>_xll.SNL.Clients.Office.Excel.Functions.SPG(A79, "IQ_DILUT_EPS_NORM", "CY2023")</f>
        <v>0.44800000000000001</v>
      </c>
      <c r="E79">
        <f t="shared" si="5"/>
        <v>96768</v>
      </c>
      <c r="F79">
        <f t="shared" si="6"/>
        <v>8.3941707147814019E-3</v>
      </c>
      <c r="H79" t="b">
        <f t="shared" si="7"/>
        <v>0</v>
      </c>
      <c r="K79" t="s">
        <v>597</v>
      </c>
      <c r="L79" t="s">
        <v>1049</v>
      </c>
      <c r="M79" t="s">
        <v>1049</v>
      </c>
      <c r="N79" t="s">
        <v>1049</v>
      </c>
      <c r="O79" t="e">
        <v>#VALUE!</v>
      </c>
      <c r="P79" t="e">
        <v>#VALUE!</v>
      </c>
    </row>
    <row r="80" spans="1:16" x14ac:dyDescent="0.3">
      <c r="A80" t="s">
        <v>84</v>
      </c>
      <c r="B80" s="4" cm="1">
        <f t="array" ref="B80">_xll.SNL.Clients.Office.Excel.Functions.SPG(A80, "SP_TOTAL_REV", "CY2023")</f>
        <v>1561755</v>
      </c>
      <c r="C80" s="4">
        <f>_xll.SNL.Clients.Office.Excel.Functions.SPG(A80,"IQ_AVG_DILUT_SHARES_OUT","CY2023")</f>
        <v>109399000</v>
      </c>
      <c r="D80" s="5">
        <f>_xll.SNL.Clients.Office.Excel.Functions.SPG(A80, "IQ_DILUT_EPS_NORM", "CY2023")</f>
        <v>1.0269999999999999</v>
      </c>
      <c r="E80">
        <f t="shared" si="5"/>
        <v>112352.77299999999</v>
      </c>
      <c r="F80">
        <f t="shared" si="6"/>
        <v>7.19400757481167E-2</v>
      </c>
      <c r="H80" t="b">
        <f t="shared" si="7"/>
        <v>1</v>
      </c>
      <c r="K80" t="s">
        <v>598</v>
      </c>
      <c r="L80">
        <v>1561755</v>
      </c>
      <c r="M80">
        <v>109399000</v>
      </c>
      <c r="N80">
        <v>1.0269999999999999</v>
      </c>
      <c r="O80">
        <v>112352.77299999999</v>
      </c>
      <c r="P80">
        <v>7.19400757481167E-2</v>
      </c>
    </row>
    <row r="81" spans="1:16" x14ac:dyDescent="0.3">
      <c r="A81" t="s">
        <v>85</v>
      </c>
      <c r="B81" s="4" cm="1">
        <f t="array" ref="B81">_xll.SNL.Clients.Office.Excel.Functions.SPG(A81, "SP_TOTAL_REV", "CY2023")</f>
        <v>26361000</v>
      </c>
      <c r="C81" s="4">
        <f>_xll.SNL.Clients.Office.Excel.Functions.SPG(A81,"IQ_AVG_DILUT_SHARES_OUT","CY2023")</f>
        <v>383400000</v>
      </c>
      <c r="D81" s="5">
        <f>_xll.SNL.Clients.Office.Excel.Functions.SPG(A81, "IQ_DILUT_EPS_NORM", "CY2023")</f>
        <v>9.8539999999999992</v>
      </c>
      <c r="E81">
        <f t="shared" si="5"/>
        <v>3778023.5999999996</v>
      </c>
      <c r="F81">
        <f t="shared" si="6"/>
        <v>0.14331867531580744</v>
      </c>
      <c r="H81" t="b">
        <f t="shared" si="7"/>
        <v>1</v>
      </c>
      <c r="K81" t="s">
        <v>600</v>
      </c>
      <c r="L81">
        <v>26361000</v>
      </c>
      <c r="M81">
        <v>383400000</v>
      </c>
      <c r="N81">
        <v>9.8539999999999992</v>
      </c>
      <c r="O81">
        <v>3778023.5999999996</v>
      </c>
      <c r="P81">
        <v>0.14331867531580744</v>
      </c>
    </row>
    <row r="82" spans="1:16" x14ac:dyDescent="0.3">
      <c r="A82" t="s">
        <v>86</v>
      </c>
      <c r="B82" s="4" cm="1">
        <f t="array" ref="B82">_xll.SNL.Clients.Office.Excel.Functions.SPG(A82, "SP_TOTAL_REV", "CY2023")</f>
        <v>216002000</v>
      </c>
      <c r="C82" s="4">
        <f>_xll.SNL.Clients.Office.Excel.Functions.SPG(A82,"IQ_AVG_DILUT_SHARES_OUT","CY2023")</f>
        <v>252750000</v>
      </c>
      <c r="D82" s="5">
        <f>_xll.SNL.Clients.Office.Excel.Functions.SPG(A82, "IQ_DILUT_EPS_NORM", "CY2023")</f>
        <v>4.9059999999999997</v>
      </c>
      <c r="E82">
        <f t="shared" si="5"/>
        <v>1239991.5</v>
      </c>
      <c r="F82">
        <f t="shared" si="6"/>
        <v>5.7406482347385672E-3</v>
      </c>
      <c r="H82" t="b">
        <f t="shared" si="7"/>
        <v>1</v>
      </c>
      <c r="K82" t="s">
        <v>601</v>
      </c>
      <c r="L82">
        <v>216002000</v>
      </c>
      <c r="M82">
        <v>252750000</v>
      </c>
      <c r="N82">
        <v>4.9059999999999997</v>
      </c>
      <c r="O82">
        <v>1239991.5</v>
      </c>
      <c r="P82">
        <v>5.7406482347385672E-3</v>
      </c>
    </row>
    <row r="83" spans="1:16" x14ac:dyDescent="0.3">
      <c r="A83" t="s">
        <v>87</v>
      </c>
      <c r="B83" s="4" cm="1">
        <f t="array" ref="B83">_xll.SNL.Clients.Office.Excel.Functions.SPG(A83, "SP_TOTAL_REV", "CY2023")</f>
        <v>28248430</v>
      </c>
      <c r="C83" s="4">
        <f>_xll.SNL.Clients.Office.Excel.Functions.SPG(A83,"IQ_AVG_DILUT_SHARES_OUT","CY2023")</f>
        <v>158774250</v>
      </c>
      <c r="D83" s="5">
        <f>_xll.SNL.Clients.Office.Excel.Functions.SPG(A83, "IQ_DILUT_EPS_NORM", "CY2023")</f>
        <v>2.593</v>
      </c>
      <c r="E83">
        <f t="shared" si="5"/>
        <v>411701.63024999999</v>
      </c>
      <c r="F83">
        <f t="shared" si="6"/>
        <v>1.4574319006401418E-2</v>
      </c>
      <c r="H83" t="b">
        <f t="shared" si="7"/>
        <v>1</v>
      </c>
      <c r="K83" t="s">
        <v>602</v>
      </c>
      <c r="L83">
        <v>28248430</v>
      </c>
      <c r="M83">
        <v>158774250</v>
      </c>
      <c r="N83">
        <v>2.593</v>
      </c>
      <c r="O83">
        <v>411701.63024999999</v>
      </c>
      <c r="P83">
        <v>1.4574319006401418E-2</v>
      </c>
    </row>
    <row r="84" spans="1:16" x14ac:dyDescent="0.3">
      <c r="A84" t="s">
        <v>88</v>
      </c>
      <c r="B84" s="4" cm="1">
        <f t="array" ref="B84">_xll.SNL.Clients.Office.Excel.Functions.SPG(A84, "SP_TOTAL_REV", "CY2023")</f>
        <v>21593000</v>
      </c>
      <c r="C84" s="4">
        <f>_xll.SNL.Clients.Office.Excel.Functions.SPG(A84,"IQ_AVG_DILUT_SHARES_OUT","CY2023")</f>
        <v>1262000000</v>
      </c>
      <c r="D84" s="5">
        <f>_xll.SNL.Clients.Office.Excel.Functions.SPG(A84, "IQ_DILUT_EPS_NORM", "CY2023")</f>
        <v>3.5000000000000003E-2</v>
      </c>
      <c r="E84">
        <f t="shared" si="5"/>
        <v>44170.000000000007</v>
      </c>
      <c r="F84">
        <f t="shared" si="6"/>
        <v>2.0455703237160193E-3</v>
      </c>
      <c r="H84" t="b">
        <f t="shared" si="7"/>
        <v>1</v>
      </c>
      <c r="K84" t="s">
        <v>603</v>
      </c>
      <c r="L84">
        <v>21593000</v>
      </c>
      <c r="M84">
        <v>1262000000</v>
      </c>
      <c r="N84">
        <v>3.5000000000000003E-2</v>
      </c>
      <c r="O84">
        <v>44170.000000000007</v>
      </c>
      <c r="P84">
        <v>2.0455703237160193E-3</v>
      </c>
    </row>
    <row r="85" spans="1:16" x14ac:dyDescent="0.3">
      <c r="A85" t="s">
        <v>89</v>
      </c>
      <c r="B85" s="4" cm="1">
        <f t="array" ref="B85">_xll.SNL.Clients.Office.Excel.Functions.SPG(A85, "SP_TOTAL_REV", "CY2023")</f>
        <v>22098000</v>
      </c>
      <c r="C85" s="4">
        <f>_xll.SNL.Clients.Office.Excel.Functions.SPG(A85,"IQ_AVG_DILUT_SHARES_OUT","CY2023")</f>
        <v>853000000</v>
      </c>
      <c r="D85" s="5">
        <f>_xll.SNL.Clients.Office.Excel.Functions.SPG(A85, "IQ_DILUT_EPS_NORM", "CY2023")</f>
        <v>1.556</v>
      </c>
      <c r="E85">
        <f t="shared" si="5"/>
        <v>1327268</v>
      </c>
      <c r="F85">
        <f t="shared" si="6"/>
        <v>6.0062811114127979E-2</v>
      </c>
      <c r="H85" t="b">
        <f t="shared" si="7"/>
        <v>1</v>
      </c>
      <c r="K85" t="s">
        <v>604</v>
      </c>
      <c r="L85">
        <v>22098000</v>
      </c>
      <c r="M85">
        <v>853000000</v>
      </c>
      <c r="N85">
        <v>1.556</v>
      </c>
      <c r="O85">
        <v>1327268</v>
      </c>
      <c r="P85">
        <v>6.0062811114127979E-2</v>
      </c>
    </row>
    <row r="86" spans="1:16" x14ac:dyDescent="0.3">
      <c r="A86" t="s">
        <v>90</v>
      </c>
      <c r="B86" s="4" cm="1">
        <f t="array" ref="B86">_xll.SNL.Clients.Office.Excel.Functions.SPG(A86, "SP_TOTAL_REV", "CY2023")</f>
        <v>67060000</v>
      </c>
      <c r="C86" s="4">
        <f>_xll.SNL.Clients.Office.Excel.Functions.SPG(A86,"IQ_AVG_DILUT_SHARES_OUT","CY2023")</f>
        <v>513600000</v>
      </c>
      <c r="D86" s="5">
        <f>_xll.SNL.Clients.Office.Excel.Functions.SPG(A86, "IQ_DILUT_EPS_NORM", "CY2023")</f>
        <v>16.765999999999998</v>
      </c>
      <c r="E86">
        <f t="shared" si="5"/>
        <v>8611017.5999999996</v>
      </c>
      <c r="F86">
        <f t="shared" si="6"/>
        <v>0.12840765881300328</v>
      </c>
      <c r="H86" t="b">
        <f t="shared" si="7"/>
        <v>1</v>
      </c>
      <c r="K86" t="s">
        <v>606</v>
      </c>
      <c r="L86">
        <v>67060000</v>
      </c>
      <c r="M86">
        <v>513600000</v>
      </c>
      <c r="N86">
        <v>16.765999999999998</v>
      </c>
      <c r="O86">
        <v>8611017.5999999996</v>
      </c>
      <c r="P86">
        <v>0.12840765881300328</v>
      </c>
    </row>
    <row r="87" spans="1:16" x14ac:dyDescent="0.3">
      <c r="A87" t="s">
        <v>91</v>
      </c>
      <c r="B87" s="4" cm="1">
        <f t="array" ref="B87">_xll.SNL.Clients.Office.Excel.Functions.SPG(A87, "SP_TOTAL_REV", "CY2023")</f>
        <v>3773500</v>
      </c>
      <c r="C87" s="4">
        <f>_xll.SNL.Clients.Office.Excel.Functions.SPG(A87,"IQ_AVG_DILUT_SHARES_OUT","CY2023")</f>
        <v>106200000</v>
      </c>
      <c r="D87" s="5">
        <f>_xll.SNL.Clients.Office.Excel.Functions.SPG(A87, "IQ_DILUT_EPS_NORM", "CY2023")</f>
        <v>6.1349999999999998</v>
      </c>
      <c r="E87">
        <f t="shared" si="5"/>
        <v>651537</v>
      </c>
      <c r="F87">
        <f t="shared" si="6"/>
        <v>0.17266118987677223</v>
      </c>
      <c r="H87" t="b">
        <f t="shared" si="7"/>
        <v>1</v>
      </c>
      <c r="K87" t="s">
        <v>607</v>
      </c>
      <c r="L87">
        <v>3773500</v>
      </c>
      <c r="M87">
        <v>106200000</v>
      </c>
      <c r="N87">
        <v>6.1349999999999998</v>
      </c>
      <c r="O87">
        <v>651537</v>
      </c>
      <c r="P87">
        <v>0.17266118987677223</v>
      </c>
    </row>
    <row r="88" spans="1:16" x14ac:dyDescent="0.3">
      <c r="A88" t="s">
        <v>92</v>
      </c>
      <c r="B88" s="4" cm="1">
        <f t="array" ref="B88">_xll.SNL.Clients.Office.Excel.Functions.SPG(A88, "SP_TOTAL_REV", "CY2023")</f>
        <v>32252000</v>
      </c>
      <c r="C88" s="4">
        <f>_xll.SNL.Clients.Office.Excel.Functions.SPG(A88,"IQ_AVG_DILUT_SHARES_OUT","CY2023")</f>
        <v>312550942</v>
      </c>
      <c r="D88" s="5">
        <f>_xll.SNL.Clients.Office.Excel.Functions.SPG(A88, "IQ_DILUT_EPS_NORM", "CY2023")</f>
        <v>2.6070000000000002</v>
      </c>
      <c r="E88">
        <f t="shared" si="5"/>
        <v>814820.30579400004</v>
      </c>
      <c r="F88">
        <f t="shared" si="6"/>
        <v>2.5264179145293317E-2</v>
      </c>
      <c r="H88" t="b">
        <f t="shared" si="7"/>
        <v>1</v>
      </c>
      <c r="K88" t="s">
        <v>608</v>
      </c>
      <c r="L88">
        <v>32252000</v>
      </c>
      <c r="M88">
        <v>312550942</v>
      </c>
      <c r="N88">
        <v>2.6070000000000002</v>
      </c>
      <c r="O88">
        <v>814820.30579400004</v>
      </c>
      <c r="P88">
        <v>2.5264179145293317E-2</v>
      </c>
    </row>
    <row r="89" spans="1:16" x14ac:dyDescent="0.3">
      <c r="A89" t="s">
        <v>93</v>
      </c>
      <c r="B89" s="4" cm="1">
        <f t="array" ref="B89">_xll.SNL.Clients.Office.Excel.Functions.SPG(A89, "SP_TOTAL_REV", "CY2023")</f>
        <v>21376000</v>
      </c>
      <c r="C89" s="4">
        <f>_xll.SNL.Clients.Office.Excel.Functions.SPG(A89,"IQ_AVG_DILUT_SHARES_OUT","CY2023")</f>
        <v>136300000</v>
      </c>
      <c r="D89" s="5">
        <f>_xll.SNL.Clients.Office.Excel.Functions.SPG(A89, "IQ_DILUT_EPS_NORM", "CY2023")</f>
        <v>7.0060000000000002</v>
      </c>
      <c r="E89">
        <f t="shared" si="5"/>
        <v>954917.8</v>
      </c>
      <c r="F89">
        <f t="shared" si="6"/>
        <v>4.4672427020958083E-2</v>
      </c>
      <c r="H89" t="b">
        <f t="shared" si="7"/>
        <v>1</v>
      </c>
      <c r="K89" t="s">
        <v>609</v>
      </c>
      <c r="L89">
        <v>21376000</v>
      </c>
      <c r="M89">
        <v>136300000</v>
      </c>
      <c r="N89">
        <v>7.0060000000000002</v>
      </c>
      <c r="O89">
        <v>954917.8</v>
      </c>
      <c r="P89">
        <v>4.4672427020958083E-2</v>
      </c>
    </row>
    <row r="90" spans="1:16" x14ac:dyDescent="0.3">
      <c r="A90" t="s">
        <v>94</v>
      </c>
      <c r="B90" s="4" cm="1">
        <f t="array" ref="B90">_xll.SNL.Clients.Office.Excel.Functions.SPG(A90, "SP_TOTAL_REV", "CY2023")</f>
        <v>10940000</v>
      </c>
      <c r="C90" s="4">
        <f>_xll.SNL.Clients.Office.Excel.Functions.SPG(A90,"IQ_AVG_DILUT_SHARES_OUT","CY2023")</f>
        <v>109379664</v>
      </c>
      <c r="D90" s="5">
        <f>_xll.SNL.Clients.Office.Excel.Functions.SPG(A90, "IQ_DILUT_EPS_NORM", "CY2023")</f>
        <v>4.266</v>
      </c>
      <c r="E90">
        <f t="shared" si="5"/>
        <v>466613.64662399999</v>
      </c>
      <c r="F90">
        <f t="shared" si="6"/>
        <v>4.2652070075319924E-2</v>
      </c>
      <c r="H90" t="b">
        <f t="shared" si="7"/>
        <v>1</v>
      </c>
      <c r="K90" t="s">
        <v>610</v>
      </c>
      <c r="L90">
        <v>10940000</v>
      </c>
      <c r="M90">
        <v>109379664</v>
      </c>
      <c r="N90">
        <v>4.266</v>
      </c>
      <c r="O90">
        <v>466613.64662399999</v>
      </c>
      <c r="P90">
        <v>4.2652070075319924E-2</v>
      </c>
    </row>
    <row r="91" spans="1:16" x14ac:dyDescent="0.3">
      <c r="A91" t="s">
        <v>95</v>
      </c>
      <c r="B91" s="4" cm="1">
        <f t="array" ref="B91">_xll.SNL.Clients.Office.Excel.Functions.SPG(A91, "SP_TOTAL_REV", "CY2023")</f>
        <v>271579412</v>
      </c>
      <c r="C91" s="4">
        <f>_xll.SNL.Clients.Office.Excel.Functions.SPG(A91,"IQ_AVG_DILUT_SHARES_OUT","CY2023")</f>
        <v>203468500</v>
      </c>
      <c r="D91" s="5">
        <f>_xll.SNL.Clients.Office.Excel.Functions.SPG(A91, "IQ_DILUT_EPS_NORM", "CY2023")</f>
        <v>7.5510000000000002</v>
      </c>
      <c r="E91">
        <f t="shared" si="5"/>
        <v>1536390.6435</v>
      </c>
      <c r="F91">
        <f t="shared" si="6"/>
        <v>5.657242690767738E-3</v>
      </c>
      <c r="H91" t="b">
        <f t="shared" si="7"/>
        <v>1</v>
      </c>
      <c r="K91" t="s">
        <v>611</v>
      </c>
      <c r="L91">
        <v>271579412</v>
      </c>
      <c r="M91">
        <v>203468500</v>
      </c>
      <c r="N91">
        <v>7.5510000000000002</v>
      </c>
      <c r="O91">
        <v>1536390.6435</v>
      </c>
      <c r="P91">
        <v>5.657242690767738E-3</v>
      </c>
    </row>
    <row r="92" spans="1:16" x14ac:dyDescent="0.3">
      <c r="A92" t="s">
        <v>96</v>
      </c>
      <c r="B92" s="4" cm="1">
        <f t="array" ref="B92">_xll.SNL.Clients.Office.Excel.Functions.SPG(A92, "SP_TOTAL_REV", "CY2023")</f>
        <v>155392000</v>
      </c>
      <c r="C92" s="4">
        <f>_xll.SNL.Clients.Office.Excel.Functions.SPG(A92,"IQ_AVG_DILUT_SHARES_OUT","CY2023")</f>
        <v>545704000</v>
      </c>
      <c r="D92" s="5">
        <f>_xll.SNL.Clients.Office.Excel.Functions.SPG(A92, "IQ_DILUT_EPS_NORM", "CY2023")</f>
        <v>4.657</v>
      </c>
      <c r="E92">
        <f t="shared" si="5"/>
        <v>2541343.5279999999</v>
      </c>
      <c r="F92">
        <f t="shared" si="6"/>
        <v>1.6354403881795716E-2</v>
      </c>
      <c r="H92" t="b">
        <f t="shared" si="7"/>
        <v>1</v>
      </c>
      <c r="K92" t="s">
        <v>612</v>
      </c>
      <c r="L92">
        <v>155392000</v>
      </c>
      <c r="M92">
        <v>545704000</v>
      </c>
      <c r="N92">
        <v>4.657</v>
      </c>
      <c r="O92">
        <v>2541343.5279999999</v>
      </c>
      <c r="P92">
        <v>1.6354403881795716E-2</v>
      </c>
    </row>
    <row r="93" spans="1:16" x14ac:dyDescent="0.3">
      <c r="A93" t="s">
        <v>97</v>
      </c>
      <c r="B93" s="4" cm="1">
        <f t="array" ref="B93">_xll.SNL.Clients.Office.Excel.Functions.SPG(A93, "SP_TOTAL_REV", "CY2023")</f>
        <v>8696000</v>
      </c>
      <c r="C93" s="4">
        <f>_xll.SNL.Clients.Office.Excel.Functions.SPG(A93,"IQ_AVG_DILUT_SHARES_OUT","CY2023")</f>
        <v>633179000</v>
      </c>
      <c r="D93" s="5">
        <f>_xll.SNL.Clients.Office.Excel.Functions.SPG(A93, "IQ_DILUT_EPS_NORM", "CY2023")</f>
        <v>1.0820000000000001</v>
      </c>
      <c r="E93">
        <f t="shared" si="5"/>
        <v>685099.67799999996</v>
      </c>
      <c r="F93">
        <f t="shared" si="6"/>
        <v>7.8783311637534492E-2</v>
      </c>
      <c r="H93" t="b">
        <f t="shared" si="7"/>
        <v>1</v>
      </c>
      <c r="K93" t="s">
        <v>613</v>
      </c>
      <c r="L93">
        <v>8696000</v>
      </c>
      <c r="M93">
        <v>633179000</v>
      </c>
      <c r="N93">
        <v>1.0820000000000001</v>
      </c>
      <c r="O93">
        <v>685099.67799999996</v>
      </c>
      <c r="P93">
        <v>7.8783311637534492E-2</v>
      </c>
    </row>
    <row r="94" spans="1:16" x14ac:dyDescent="0.3">
      <c r="A94" t="s">
        <v>98</v>
      </c>
      <c r="B94" s="4" cm="1">
        <f t="array" ref="B94">_xll.SNL.Clients.Office.Excel.Functions.SPG(A94, "SP_TOTAL_REV", "CY2023")</f>
        <v>6631000</v>
      </c>
      <c r="C94" s="4">
        <f>_xll.SNL.Clients.Office.Excel.Functions.SPG(A94,"IQ_AVG_DILUT_SHARES_OUT","CY2023")</f>
        <v>193800000</v>
      </c>
      <c r="D94" s="5">
        <f>_xll.SNL.Clients.Office.Excel.Functions.SPG(A94, "IQ_DILUT_EPS_NORM", "CY2023")</f>
        <v>5.68</v>
      </c>
      <c r="E94">
        <f t="shared" si="5"/>
        <v>1100784</v>
      </c>
      <c r="F94">
        <f t="shared" si="6"/>
        <v>0.1660057306590258</v>
      </c>
      <c r="H94" t="b">
        <f t="shared" si="7"/>
        <v>1</v>
      </c>
      <c r="K94" t="s">
        <v>614</v>
      </c>
      <c r="L94">
        <v>6631000</v>
      </c>
      <c r="M94">
        <v>193800000</v>
      </c>
      <c r="N94">
        <v>5.68</v>
      </c>
      <c r="O94">
        <v>1100784</v>
      </c>
      <c r="P94">
        <v>0.1660057306590258</v>
      </c>
    </row>
    <row r="95" spans="1:16" x14ac:dyDescent="0.3">
      <c r="A95" t="s">
        <v>99</v>
      </c>
      <c r="B95" s="4" cm="1">
        <f t="array" ref="B95">_xll.SNL.Clients.Office.Excel.Functions.SPG(A95, "SP_TOTAL_REV", "CY2023")</f>
        <v>4129409</v>
      </c>
      <c r="C95" s="4">
        <f>_xll.SNL.Clients.Office.Excel.Functions.SPG(A95,"IQ_AVG_DILUT_SHARES_OUT","CY2023")</f>
        <v>51451000</v>
      </c>
      <c r="D95" s="5">
        <f>_xll.SNL.Clients.Office.Excel.Functions.SPG(A95, "IQ_DILUT_EPS_NORM", "CY2023")</f>
        <v>6.2759999999999998</v>
      </c>
      <c r="E95">
        <f t="shared" si="5"/>
        <v>322906.47600000002</v>
      </c>
      <c r="F95">
        <f t="shared" si="6"/>
        <v>7.8196777311232674E-2</v>
      </c>
      <c r="H95" t="b">
        <f t="shared" si="7"/>
        <v>1</v>
      </c>
      <c r="K95" t="s">
        <v>616</v>
      </c>
      <c r="L95">
        <v>4129409</v>
      </c>
      <c r="M95">
        <v>51451000</v>
      </c>
      <c r="N95">
        <v>6.2759999999999998</v>
      </c>
      <c r="O95">
        <v>322906.47600000002</v>
      </c>
      <c r="P95">
        <v>7.8196777311232674E-2</v>
      </c>
    </row>
    <row r="96" spans="1:16" x14ac:dyDescent="0.3">
      <c r="A96" t="s">
        <v>100</v>
      </c>
      <c r="B96" s="4" cm="1">
        <f t="array" ref="B96">_xll.SNL.Clients.Office.Excel.Functions.SPG(A96, "SP_TOTAL_REV", "CY2023")</f>
        <v>54607000</v>
      </c>
      <c r="C96" s="4">
        <f>_xll.SNL.Clients.Office.Excel.Functions.SPG(A96,"IQ_AVG_DILUT_SHARES_OUT","CY2023")</f>
        <v>151966313</v>
      </c>
      <c r="D96" s="5">
        <f>_xll.SNL.Clients.Office.Excel.Functions.SPG(A96, "IQ_DILUT_EPS_NORM", "CY2023")</f>
        <v>23.350999999999999</v>
      </c>
      <c r="E96">
        <f t="shared" si="5"/>
        <v>3548565.3748630001</v>
      </c>
      <c r="F96">
        <f t="shared" si="6"/>
        <v>6.4983708587964914E-2</v>
      </c>
      <c r="H96" t="b">
        <f t="shared" si="7"/>
        <v>1</v>
      </c>
      <c r="K96" t="s">
        <v>618</v>
      </c>
      <c r="L96">
        <v>54607000</v>
      </c>
      <c r="M96">
        <v>151966313</v>
      </c>
      <c r="N96">
        <v>23.350999999999999</v>
      </c>
      <c r="O96">
        <v>3548565.3748630001</v>
      </c>
      <c r="P96">
        <v>6.4983708587964914E-2</v>
      </c>
    </row>
    <row r="97" spans="1:16" x14ac:dyDescent="0.3">
      <c r="A97" t="s">
        <v>101</v>
      </c>
      <c r="B97" s="4" cm="1">
        <f t="array" ref="B97">_xll.SNL.Clients.Office.Excel.Functions.SPG(A97, "SP_TOTAL_REV", "CY2023")</f>
        <v>194799000</v>
      </c>
      <c r="C97" s="4">
        <f>_xll.SNL.Clients.Office.Excel.Functions.SPG(A97,"IQ_AVG_DILUT_SHARES_OUT","CY2023")</f>
        <v>1880000000</v>
      </c>
      <c r="D97" s="5">
        <f>_xll.SNL.Clients.Office.Excel.Functions.SPG(A97, "IQ_DILUT_EPS_NORM", "CY2023")</f>
        <v>10.492000000000001</v>
      </c>
      <c r="E97">
        <f t="shared" si="5"/>
        <v>19724960</v>
      </c>
      <c r="F97">
        <f t="shared" si="6"/>
        <v>0.10125801467153323</v>
      </c>
      <c r="H97" t="b">
        <f t="shared" si="7"/>
        <v>1</v>
      </c>
      <c r="K97" t="s">
        <v>619</v>
      </c>
      <c r="L97">
        <v>194799000</v>
      </c>
      <c r="M97">
        <v>1880000000</v>
      </c>
      <c r="N97">
        <v>10.492000000000001</v>
      </c>
      <c r="O97">
        <v>19724960</v>
      </c>
      <c r="P97">
        <v>0.10125801467153323</v>
      </c>
    </row>
    <row r="98" spans="1:16" x14ac:dyDescent="0.3">
      <c r="A98" t="s">
        <v>102</v>
      </c>
      <c r="B98" s="4" cm="1">
        <f t="array" ref="B98">_xll.SNL.Clients.Office.Excel.Functions.SPG(A98, "SP_TOTAL_REV", "CY2023")</f>
        <v>9871649</v>
      </c>
      <c r="C98" s="4">
        <f>_xll.SNL.Clients.Office.Excel.Functions.SPG(A98,"IQ_AVG_DILUT_SHARES_OUT","CY2023")</f>
        <v>1385500000</v>
      </c>
      <c r="D98" s="5">
        <f>_xll.SNL.Clients.Office.Excel.Functions.SPG(A98, "IQ_DILUT_EPS_NORM", "CY2023")</f>
        <v>0.748</v>
      </c>
      <c r="E98">
        <f t="shared" si="5"/>
        <v>1036354</v>
      </c>
      <c r="F98">
        <f t="shared" si="6"/>
        <v>0.10498286557797994</v>
      </c>
      <c r="H98" t="b">
        <f t="shared" si="7"/>
        <v>1</v>
      </c>
      <c r="K98" t="s">
        <v>620</v>
      </c>
      <c r="L98">
        <v>9871649</v>
      </c>
      <c r="M98">
        <v>1385500000</v>
      </c>
      <c r="N98">
        <v>0.748</v>
      </c>
      <c r="O98">
        <v>1036354</v>
      </c>
      <c r="P98">
        <v>0.10498286557797994</v>
      </c>
    </row>
    <row r="99" spans="1:16" x14ac:dyDescent="0.3">
      <c r="A99" t="s">
        <v>103</v>
      </c>
      <c r="B99" s="4" cm="1">
        <f t="array" ref="B99">_xll.SNL.Clients.Office.Excel.Functions.SPG(A99, "SP_TOTAL_REV", "CY2023")</f>
        <v>51000000</v>
      </c>
      <c r="C99" s="4">
        <f>_xll.SNL.Clients.Office.Excel.Functions.SPG(A99,"IQ_AVG_DILUT_SHARES_OUT","CY2023")</f>
        <v>414202568</v>
      </c>
      <c r="D99" s="5">
        <f>_xll.SNL.Clients.Office.Excel.Functions.SPG(A99, "IQ_DILUT_EPS_NORM", "CY2023")</f>
        <v>14.305999999999999</v>
      </c>
      <c r="E99">
        <f t="shared" si="5"/>
        <v>5925581.9378079996</v>
      </c>
      <c r="F99">
        <f t="shared" si="6"/>
        <v>0.11618788113349018</v>
      </c>
      <c r="H99" t="b">
        <f t="shared" si="7"/>
        <v>1</v>
      </c>
      <c r="K99" t="s">
        <v>621</v>
      </c>
      <c r="L99">
        <v>51000000</v>
      </c>
      <c r="M99">
        <v>414202568</v>
      </c>
      <c r="N99">
        <v>14.305999999999999</v>
      </c>
      <c r="O99">
        <v>5925581.9378079996</v>
      </c>
      <c r="P99">
        <v>0.11618788113349018</v>
      </c>
    </row>
    <row r="100" spans="1:16" x14ac:dyDescent="0.3">
      <c r="A100" t="s">
        <v>104</v>
      </c>
      <c r="B100" s="4" cm="1">
        <f t="array" ref="B100">_xll.SNL.Clients.Office.Excel.Functions.SPG(A100, "SP_TOTAL_REV", "CY2023")</f>
        <v>5867900</v>
      </c>
      <c r="C100" s="4">
        <f>_xll.SNL.Clients.Office.Excel.Functions.SPG(A100,"IQ_AVG_DILUT_SHARES_OUT","CY2023")</f>
        <v>247600000</v>
      </c>
      <c r="D100" s="5">
        <f>_xll.SNL.Clients.Office.Excel.Functions.SPG(A100, "IQ_DILUT_EPS_NORM", "CY2023")</f>
        <v>2.4420000000000002</v>
      </c>
      <c r="E100">
        <f t="shared" si="5"/>
        <v>604639.19999999995</v>
      </c>
      <c r="F100">
        <f t="shared" si="6"/>
        <v>0.10304183779546344</v>
      </c>
      <c r="H100" t="b">
        <f t="shared" si="7"/>
        <v>1</v>
      </c>
      <c r="K100" t="s">
        <v>622</v>
      </c>
      <c r="L100">
        <v>5867900</v>
      </c>
      <c r="M100">
        <v>247600000</v>
      </c>
      <c r="N100">
        <v>2.4420000000000002</v>
      </c>
      <c r="O100">
        <v>604639.19999999995</v>
      </c>
      <c r="P100">
        <v>0.10304183779546344</v>
      </c>
    </row>
    <row r="101" spans="1:16" x14ac:dyDescent="0.3">
      <c r="A101" t="s">
        <v>105</v>
      </c>
      <c r="B101" s="4" cm="1">
        <f t="array" ref="B101">_xll.SNL.Clients.Office.Excel.Functions.SPG(A101, "SP_TOTAL_REV", "CY2023")</f>
        <v>10013000</v>
      </c>
      <c r="C101" s="4">
        <f>_xll.SNL.Clients.Office.Excel.Functions.SPG(A101,"IQ_AVG_DILUT_SHARES_OUT","CY2023")</f>
        <v>158100000</v>
      </c>
      <c r="D101" s="5">
        <f>_xll.SNL.Clients.Office.Excel.Functions.SPG(A101, "IQ_DILUT_EPS_NORM", "CY2023")</f>
        <v>8.9969999999999999</v>
      </c>
      <c r="E101">
        <f t="shared" si="5"/>
        <v>1422425.7</v>
      </c>
      <c r="F101">
        <f t="shared" si="6"/>
        <v>0.14205789473684211</v>
      </c>
      <c r="H101" t="b">
        <f t="shared" si="7"/>
        <v>1</v>
      </c>
      <c r="K101" t="s">
        <v>624</v>
      </c>
      <c r="L101">
        <v>10013000</v>
      </c>
      <c r="M101">
        <v>158100000</v>
      </c>
      <c r="N101">
        <v>8.9969999999999999</v>
      </c>
      <c r="O101">
        <v>1422425.7</v>
      </c>
      <c r="P101">
        <v>0.14205789473684211</v>
      </c>
    </row>
    <row r="102" spans="1:16" x14ac:dyDescent="0.3">
      <c r="A102" t="s">
        <v>106</v>
      </c>
      <c r="B102" s="4" cm="1">
        <f t="array" ref="B102">_xll.SNL.Clients.Office.Excel.Functions.SPG(A102, "SP_TOTAL_REV", "CY2023")</f>
        <v>9193964</v>
      </c>
      <c r="C102" s="4">
        <f>_xll.SNL.Clients.Office.Excel.Functions.SPG(A102,"IQ_AVG_DILUT_SHARES_OUT","CY2023")</f>
        <v>413658000</v>
      </c>
      <c r="D102" s="5">
        <f>_xll.SNL.Clients.Office.Excel.Functions.SPG(A102, "IQ_DILUT_EPS_NORM", "CY2023")</f>
        <v>2.742</v>
      </c>
      <c r="E102">
        <f t="shared" si="5"/>
        <v>1134250.236</v>
      </c>
      <c r="F102">
        <f t="shared" si="6"/>
        <v>0.123369009928688</v>
      </c>
      <c r="H102" t="b">
        <f t="shared" si="7"/>
        <v>1</v>
      </c>
      <c r="K102" t="s">
        <v>625</v>
      </c>
      <c r="L102">
        <v>9193964</v>
      </c>
      <c r="M102">
        <v>413658000</v>
      </c>
      <c r="N102">
        <v>2.742</v>
      </c>
      <c r="O102">
        <v>1134250.236</v>
      </c>
      <c r="P102">
        <v>0.123369009928688</v>
      </c>
    </row>
    <row r="103" spans="1:16" x14ac:dyDescent="0.3">
      <c r="A103" t="s">
        <v>107</v>
      </c>
      <c r="B103" s="4" cm="1">
        <f t="array" ref="B103">_xll.SNL.Clients.Office.Excel.Functions.SPG(A103, "SP_TOTAL_REV", "CY2023")</f>
        <v>57233000</v>
      </c>
      <c r="C103" s="4">
        <f>_xll.SNL.Clients.Office.Excel.Functions.SPG(A103,"IQ_AVG_DILUT_SHARES_OUT","CY2023")</f>
        <v>4087000000</v>
      </c>
      <c r="D103" s="5">
        <f>_xll.SNL.Clients.Office.Excel.Functions.SPG(A103, "IQ_DILUT_EPS_NORM", "CY2023")</f>
        <v>2.5680000000000001</v>
      </c>
      <c r="E103">
        <f t="shared" si="5"/>
        <v>10495416</v>
      </c>
      <c r="F103">
        <f t="shared" si="6"/>
        <v>0.18338049726556357</v>
      </c>
      <c r="H103" t="b">
        <f t="shared" si="7"/>
        <v>1</v>
      </c>
      <c r="K103" t="s">
        <v>626</v>
      </c>
      <c r="L103">
        <v>57233000</v>
      </c>
      <c r="M103">
        <v>4087000000</v>
      </c>
      <c r="N103">
        <v>2.5680000000000001</v>
      </c>
      <c r="O103">
        <v>10495416</v>
      </c>
      <c r="P103">
        <v>0.18338049726556357</v>
      </c>
    </row>
    <row r="104" spans="1:16" x14ac:dyDescent="0.3">
      <c r="A104" t="s">
        <v>108</v>
      </c>
      <c r="B104" s="4" cm="1">
        <f t="array" ref="B104">_xll.SNL.Clients.Office.Excel.Functions.SPG(A104, "SP_TOTAL_REV", "CY2023")</f>
        <v>77116000</v>
      </c>
      <c r="C104" s="4">
        <f>_xll.SNL.Clients.Office.Excel.Functions.SPG(A104,"IQ_AVG_DILUT_SHARES_OUT","CY2023")</f>
        <v>1955800000</v>
      </c>
      <c r="D104" s="5">
        <f>_xll.SNL.Clients.Office.Excel.Functions.SPG(A104, "IQ_DILUT_EPS_NORM", "CY2023")</f>
        <v>4.2969999999999997</v>
      </c>
      <c r="E104">
        <f t="shared" si="5"/>
        <v>8404072.5999999996</v>
      </c>
      <c r="F104">
        <f t="shared" si="6"/>
        <v>0.10897962290575237</v>
      </c>
      <c r="H104" t="b">
        <f t="shared" si="7"/>
        <v>1</v>
      </c>
      <c r="K104" t="s">
        <v>627</v>
      </c>
      <c r="L104">
        <v>77116000</v>
      </c>
      <c r="M104">
        <v>1955800000</v>
      </c>
      <c r="N104">
        <v>4.2969999999999997</v>
      </c>
      <c r="O104">
        <v>8404072.5999999996</v>
      </c>
      <c r="P104">
        <v>0.10897962290575237</v>
      </c>
    </row>
    <row r="105" spans="1:16" x14ac:dyDescent="0.3">
      <c r="A105" t="s">
        <v>109</v>
      </c>
      <c r="B105" s="4" cm="1">
        <f t="array" ref="B105">_xll.SNL.Clients.Office.Excel.Functions.SPG(A105, "SP_TOTAL_REV", "CY2023")</f>
        <v>8224000</v>
      </c>
      <c r="C105" s="4">
        <f>_xll.SNL.Clients.Office.Excel.Functions.SPG(A105,"IQ_AVG_DILUT_SHARES_OUT","CY2023")</f>
        <v>476693148</v>
      </c>
      <c r="D105" s="5">
        <f>_xll.SNL.Clients.Office.Excel.Functions.SPG(A105, "IQ_DILUT_EPS_NORM", "CY2023")</f>
        <v>2.6619999999999999</v>
      </c>
      <c r="E105">
        <f t="shared" si="5"/>
        <v>1268957.159976</v>
      </c>
      <c r="F105">
        <f t="shared" si="6"/>
        <v>0.15429926556128404</v>
      </c>
      <c r="H105" t="b">
        <f t="shared" si="7"/>
        <v>1</v>
      </c>
      <c r="K105" t="s">
        <v>628</v>
      </c>
      <c r="L105">
        <v>8224000</v>
      </c>
      <c r="M105">
        <v>476693148</v>
      </c>
      <c r="N105">
        <v>2.6619999999999999</v>
      </c>
      <c r="O105">
        <v>1268957.159976</v>
      </c>
      <c r="P105">
        <v>0.15429926556128404</v>
      </c>
    </row>
    <row r="106" spans="1:16" x14ac:dyDescent="0.3">
      <c r="A106" t="s">
        <v>110</v>
      </c>
      <c r="B106" s="4" cm="1">
        <f t="array" ref="B106">_xll.SNL.Clients.Office.Excel.Functions.SPG(A106, "SP_TOTAL_REV", "CY2023")</f>
        <v>5569100</v>
      </c>
      <c r="C106" s="4">
        <f>_xll.SNL.Clients.Office.Excel.Functions.SPG(A106,"IQ_AVG_DILUT_SHARES_OUT","CY2023")</f>
        <v>359500000</v>
      </c>
      <c r="D106" s="5">
        <f>_xll.SNL.Clients.Office.Excel.Functions.SPG(A106, "IQ_DILUT_EPS_NORM", "CY2023")</f>
        <v>7.2210000000000001</v>
      </c>
      <c r="E106">
        <f t="shared" si="5"/>
        <v>2595949.5</v>
      </c>
      <c r="F106">
        <f t="shared" si="6"/>
        <v>0.46613447415201736</v>
      </c>
      <c r="H106" t="b">
        <f t="shared" si="7"/>
        <v>1</v>
      </c>
      <c r="K106" t="s">
        <v>630</v>
      </c>
      <c r="L106">
        <v>5569100</v>
      </c>
      <c r="M106">
        <v>359500000</v>
      </c>
      <c r="N106">
        <v>7.2210000000000001</v>
      </c>
      <c r="O106">
        <v>2595949.5</v>
      </c>
      <c r="P106">
        <v>0.46613447415201736</v>
      </c>
    </row>
    <row r="107" spans="1:16" x14ac:dyDescent="0.3">
      <c r="A107" t="s">
        <v>111</v>
      </c>
      <c r="B107" s="4" cm="1">
        <f t="array" ref="B107">_xll.SNL.Clients.Office.Excel.Functions.SPG(A107, "SP_TOTAL_REV", "CY2023")</f>
        <v>7462000</v>
      </c>
      <c r="C107" s="4">
        <f>_xll.SNL.Clients.Office.Excel.Functions.SPG(A107,"IQ_AVG_DILUT_SHARES_OUT","CY2023")</f>
        <v>291700000</v>
      </c>
      <c r="D107" s="5">
        <f>_xll.SNL.Clients.Office.Excel.Functions.SPG(A107, "IQ_DILUT_EPS_NORM", "CY2023")</f>
        <v>2.0339999999999998</v>
      </c>
      <c r="E107">
        <f t="shared" si="5"/>
        <v>593317.80000000005</v>
      </c>
      <c r="F107">
        <f t="shared" si="6"/>
        <v>7.9511900294827131E-2</v>
      </c>
      <c r="H107" t="b">
        <f t="shared" si="7"/>
        <v>1</v>
      </c>
      <c r="K107" t="s">
        <v>631</v>
      </c>
      <c r="L107">
        <v>7462000</v>
      </c>
      <c r="M107">
        <v>291700000</v>
      </c>
      <c r="N107">
        <v>2.0339999999999998</v>
      </c>
      <c r="O107">
        <v>593317.80000000005</v>
      </c>
      <c r="P107">
        <v>7.9511900294827131E-2</v>
      </c>
    </row>
    <row r="108" spans="1:16" x14ac:dyDescent="0.3">
      <c r="A108" t="s">
        <v>112</v>
      </c>
      <c r="B108" s="4" cm="1">
        <f t="array" ref="B108">_xll.SNL.Clients.Office.Excel.Functions.SPG(A108, "SP_TOTAL_REV", "CY2023")</f>
        <v>19353000</v>
      </c>
      <c r="C108" s="4">
        <f>_xll.SNL.Clients.Office.Excel.Functions.SPG(A108,"IQ_AVG_DILUT_SHARES_OUT","CY2023")</f>
        <v>505000000</v>
      </c>
      <c r="D108" s="5">
        <f>_xll.SNL.Clients.Office.Excel.Functions.SPG(A108, "IQ_DILUT_EPS_NORM", "CY2023")</f>
        <v>3.762</v>
      </c>
      <c r="E108">
        <f t="shared" si="5"/>
        <v>1899810</v>
      </c>
      <c r="F108">
        <f t="shared" si="6"/>
        <v>9.8166175786699741E-2</v>
      </c>
      <c r="H108" t="b">
        <f t="shared" si="7"/>
        <v>1</v>
      </c>
      <c r="K108" t="s">
        <v>633</v>
      </c>
      <c r="L108">
        <v>19353000</v>
      </c>
      <c r="M108">
        <v>505000000</v>
      </c>
      <c r="N108">
        <v>3.762</v>
      </c>
      <c r="O108">
        <v>1899810</v>
      </c>
      <c r="P108">
        <v>9.8166175786699741E-2</v>
      </c>
    </row>
    <row r="109" spans="1:16" x14ac:dyDescent="0.3">
      <c r="A109" t="s">
        <v>113</v>
      </c>
      <c r="B109" s="4" cm="1">
        <f t="array" ref="B109">_xll.SNL.Clients.Office.Excel.Functions.SPG(A109, "SP_TOTAL_REV", "CY2023")</f>
        <v>19457000</v>
      </c>
      <c r="C109" s="4">
        <f>_xll.SNL.Clients.Office.Excel.Functions.SPG(A109,"IQ_AVG_DILUT_SHARES_OUT","CY2023")</f>
        <v>829200000</v>
      </c>
      <c r="D109" s="5">
        <f>_xll.SNL.Clients.Office.Excel.Functions.SPG(A109, "IQ_DILUT_EPS_NORM", "CY2023")</f>
        <v>2.6219999999999999</v>
      </c>
      <c r="E109">
        <f t="shared" si="5"/>
        <v>2174162.4</v>
      </c>
      <c r="F109">
        <f t="shared" si="6"/>
        <v>0.11174191293621832</v>
      </c>
      <c r="H109" t="b">
        <f t="shared" si="7"/>
        <v>1</v>
      </c>
      <c r="K109" t="s">
        <v>634</v>
      </c>
      <c r="L109">
        <v>19457000</v>
      </c>
      <c r="M109">
        <v>829200000</v>
      </c>
      <c r="N109">
        <v>2.6219999999999999</v>
      </c>
      <c r="O109">
        <v>2174162.4</v>
      </c>
      <c r="P109">
        <v>0.11174191293621832</v>
      </c>
    </row>
    <row r="110" spans="1:16" x14ac:dyDescent="0.3">
      <c r="A110" t="s">
        <v>114</v>
      </c>
      <c r="B110" s="4" cm="1">
        <f t="array" ref="B110">_xll.SNL.Clients.Office.Excel.Functions.SPG(A110, "SP_TOTAL_REV", "CY2023")</f>
        <v>121572000</v>
      </c>
      <c r="C110" s="4">
        <f>_xll.SNL.Clients.Office.Excel.Functions.SPG(A110,"IQ_AVG_DILUT_SHARES_OUT","CY2023")</f>
        <v>4148000000</v>
      </c>
      <c r="D110" s="5">
        <f>_xll.SNL.Clients.Office.Excel.Functions.SPG(A110, "IQ_DILUT_EPS_NORM", "CY2023")</f>
        <v>3.173</v>
      </c>
      <c r="E110">
        <f t="shared" si="5"/>
        <v>13161604</v>
      </c>
      <c r="F110">
        <f t="shared" si="6"/>
        <v>0.10826180370480044</v>
      </c>
      <c r="H110" t="b">
        <f t="shared" si="7"/>
        <v>1</v>
      </c>
      <c r="K110" t="s">
        <v>635</v>
      </c>
      <c r="L110">
        <v>121572000</v>
      </c>
      <c r="M110">
        <v>4148000000</v>
      </c>
      <c r="N110">
        <v>3.173</v>
      </c>
      <c r="O110">
        <v>13161604</v>
      </c>
      <c r="P110">
        <v>0.10826180370480044</v>
      </c>
    </row>
    <row r="111" spans="1:16" x14ac:dyDescent="0.3">
      <c r="A111" t="s">
        <v>115</v>
      </c>
      <c r="B111" s="4" cm="1">
        <f t="array" ref="B111">_xll.SNL.Clients.Office.Excel.Functions.SPG(A111, "SP_TOTAL_REV", "CY2023")</f>
        <v>12171900</v>
      </c>
      <c r="C111" s="4">
        <f>_xll.SNL.Clients.Office.Excel.Functions.SPG(A111,"IQ_AVG_DILUT_SHARES_OUT","CY2023")</f>
        <v>479800000</v>
      </c>
      <c r="D111" s="5">
        <f>_xll.SNL.Clients.Office.Excel.Functions.SPG(A111, "IQ_DILUT_EPS_NORM", "CY2023")</f>
        <v>2.1760000000000002</v>
      </c>
      <c r="E111">
        <f t="shared" si="5"/>
        <v>1044044.8000000002</v>
      </c>
      <c r="F111">
        <f t="shared" si="6"/>
        <v>8.577500636712429E-2</v>
      </c>
      <c r="H111" t="b">
        <f t="shared" si="7"/>
        <v>1</v>
      </c>
      <c r="K111" t="s">
        <v>637</v>
      </c>
      <c r="L111">
        <v>12171900</v>
      </c>
      <c r="M111">
        <v>479800000</v>
      </c>
      <c r="N111">
        <v>2.1760000000000002</v>
      </c>
      <c r="O111">
        <v>1044044.8000000002</v>
      </c>
      <c r="P111">
        <v>8.577500636712429E-2</v>
      </c>
    </row>
    <row r="112" spans="1:16" x14ac:dyDescent="0.3">
      <c r="A112" t="s">
        <v>116</v>
      </c>
      <c r="B112" s="4" cm="1">
        <f t="array" ref="B112">_xll.SNL.Clients.Office.Excel.Functions.SPG(A112, "SP_TOTAL_REV", "CY2023")</f>
        <v>57861000</v>
      </c>
      <c r="C112" s="4">
        <f>_xll.SNL.Clients.Office.Excel.Functions.SPG(A112,"IQ_AVG_DILUT_SHARES_OUT","CY2023")</f>
        <v>1205675000</v>
      </c>
      <c r="D112" s="5">
        <f>_xll.SNL.Clients.Office.Excel.Functions.SPG(A112, "IQ_DILUT_EPS_NORM", "CY2023")</f>
        <v>8.3360000000000003</v>
      </c>
      <c r="E112">
        <f t="shared" si="5"/>
        <v>10050506.800000001</v>
      </c>
      <c r="F112">
        <f t="shared" si="6"/>
        <v>0.17370088315099982</v>
      </c>
      <c r="H112" t="b">
        <f t="shared" si="7"/>
        <v>1</v>
      </c>
      <c r="K112" t="s">
        <v>638</v>
      </c>
      <c r="L112">
        <v>57861000</v>
      </c>
      <c r="M112">
        <v>1205675000</v>
      </c>
      <c r="N112">
        <v>8.3360000000000003</v>
      </c>
      <c r="O112">
        <v>10050506.800000001</v>
      </c>
      <c r="P112">
        <v>0.17370088315099982</v>
      </c>
    </row>
    <row r="113" spans="1:16" x14ac:dyDescent="0.3">
      <c r="A113" t="s">
        <v>117</v>
      </c>
      <c r="B113" s="4" cm="1">
        <f t="array" ref="B113">_xll.SNL.Clients.Office.Excel.Functions.SPG(A113, "SP_TOTAL_REV", "CY2023")</f>
        <v>14663000</v>
      </c>
      <c r="C113" s="4">
        <f>_xll.SNL.Clients.Office.Excel.Functions.SPG(A113,"IQ_AVG_DILUT_SHARES_OUT","CY2023")</f>
        <v>349300000</v>
      </c>
      <c r="D113" s="5">
        <f>_xll.SNL.Clients.Office.Excel.Functions.SPG(A113, "IQ_DILUT_EPS_NORM", "CY2023")</f>
        <v>3.8340000000000001</v>
      </c>
      <c r="E113">
        <f t="shared" si="5"/>
        <v>1339216.2</v>
      </c>
      <c r="F113">
        <f t="shared" si="6"/>
        <v>9.1333028711723385E-2</v>
      </c>
      <c r="H113" t="b">
        <f t="shared" si="7"/>
        <v>1</v>
      </c>
      <c r="K113" t="s">
        <v>639</v>
      </c>
      <c r="L113">
        <v>14663000</v>
      </c>
      <c r="M113">
        <v>349300000</v>
      </c>
      <c r="N113">
        <v>3.8340000000000001</v>
      </c>
      <c r="O113">
        <v>1339216.2</v>
      </c>
      <c r="P113">
        <v>9.1333028711723385E-2</v>
      </c>
    </row>
    <row r="114" spans="1:16" x14ac:dyDescent="0.3">
      <c r="A114" t="s">
        <v>118</v>
      </c>
      <c r="B114" s="4" cm="1">
        <f t="array" ref="B114">_xll.SNL.Clients.Office.Excel.Functions.SPG(A114, "SP_TOTAL_REV", "CY2023")</f>
        <v>9820400</v>
      </c>
      <c r="C114" s="4">
        <f>_xll.SNL.Clients.Office.Excel.Functions.SPG(A114,"IQ_AVG_DILUT_SHARES_OUT","CY2023")</f>
        <v>166582112</v>
      </c>
      <c r="D114" s="5">
        <f>_xll.SNL.Clients.Office.Excel.Functions.SPG(A114, "IQ_DILUT_EPS_NORM", "CY2023")</f>
        <v>7.8440000000000003</v>
      </c>
      <c r="E114">
        <f t="shared" si="5"/>
        <v>1306670.0865280002</v>
      </c>
      <c r="F114">
        <f t="shared" si="6"/>
        <v>0.13305670711254125</v>
      </c>
      <c r="H114" t="b">
        <f t="shared" si="7"/>
        <v>1</v>
      </c>
      <c r="K114" t="s">
        <v>640</v>
      </c>
      <c r="L114">
        <v>9820400</v>
      </c>
      <c r="M114">
        <v>166582112</v>
      </c>
      <c r="N114">
        <v>7.8440000000000003</v>
      </c>
      <c r="O114">
        <v>1306670.0865280002</v>
      </c>
      <c r="P114">
        <v>0.13305670711254125</v>
      </c>
    </row>
    <row r="115" spans="1:16" x14ac:dyDescent="0.3">
      <c r="A115" t="s">
        <v>119</v>
      </c>
      <c r="B115" s="4" cm="1">
        <f t="array" ref="B115">_xll.SNL.Clients.Office.Excel.Functions.SPG(A115, "SP_TOTAL_REV", "CY2023")</f>
        <v>24918000</v>
      </c>
      <c r="C115" s="4">
        <f>_xll.SNL.Clients.Office.Excel.Functions.SPG(A115,"IQ_AVG_DILUT_SHARES_OUT","CY2023")</f>
        <v>324000000</v>
      </c>
      <c r="D115" s="5">
        <f>_xll.SNL.Clients.Office.Excel.Functions.SPG(A115, "IQ_DILUT_EPS_NORM", "CY2023")</f>
        <v>4.3920000000000003</v>
      </c>
      <c r="E115">
        <f t="shared" si="5"/>
        <v>1423008</v>
      </c>
      <c r="F115">
        <f t="shared" si="6"/>
        <v>5.7107633036359261E-2</v>
      </c>
      <c r="H115" t="b">
        <f t="shared" si="7"/>
        <v>1</v>
      </c>
      <c r="K115" t="s">
        <v>641</v>
      </c>
      <c r="L115">
        <v>24918000</v>
      </c>
      <c r="M115">
        <v>324000000</v>
      </c>
      <c r="N115">
        <v>4.3920000000000003</v>
      </c>
      <c r="O115">
        <v>1423008</v>
      </c>
      <c r="P115">
        <v>5.7107633036359261E-2</v>
      </c>
    </row>
    <row r="116" spans="1:16" x14ac:dyDescent="0.3">
      <c r="A116" t="s">
        <v>120</v>
      </c>
      <c r="B116" s="4" cm="1">
        <f t="array" ref="B116">_xll.SNL.Clients.Office.Excel.Functions.SPG(A116, "SP_TOTAL_REV", "CY2023")</f>
        <v>4059987</v>
      </c>
      <c r="C116" s="4">
        <f>_xll.SNL.Clients.Office.Excel.Functions.SPG(A116,"IQ_AVG_DILUT_SHARES_OUT","CY2023")</f>
        <v>970976500</v>
      </c>
      <c r="D116" s="5">
        <f>_xll.SNL.Clients.Office.Excel.Functions.SPG(A116, "IQ_DILUT_EPS_NORM", "CY2023")</f>
        <v>1.093</v>
      </c>
      <c r="E116">
        <f t="shared" si="5"/>
        <v>1061277.3145000001</v>
      </c>
      <c r="F116">
        <f t="shared" si="6"/>
        <v>0.2613991903176045</v>
      </c>
      <c r="H116" t="b">
        <f t="shared" si="7"/>
        <v>1</v>
      </c>
      <c r="K116" t="s">
        <v>643</v>
      </c>
      <c r="L116">
        <v>4059987</v>
      </c>
      <c r="M116">
        <v>970976500</v>
      </c>
      <c r="N116">
        <v>1.093</v>
      </c>
      <c r="O116">
        <v>1061277.3145000001</v>
      </c>
      <c r="P116">
        <v>0.2613991903176045</v>
      </c>
    </row>
    <row r="117" spans="1:16" x14ac:dyDescent="0.3">
      <c r="A117" t="s">
        <v>121</v>
      </c>
      <c r="B117" s="4" cm="1">
        <f t="array" ref="B117">_xll.SNL.Clients.Office.Excel.Functions.SPG(A117, "SP_TOTAL_REV", "CY2023")</f>
        <v>12588000</v>
      </c>
      <c r="C117" s="4">
        <f>_xll.SNL.Clients.Office.Excel.Functions.SPG(A117,"IQ_AVG_DILUT_SHARES_OUT","CY2023")</f>
        <v>859000000</v>
      </c>
      <c r="D117" s="5">
        <f>_xll.SNL.Clients.Office.Excel.Functions.SPG(A117, "IQ_DILUT_EPS_NORM", "CY2023")</f>
        <v>0.85899999999999999</v>
      </c>
      <c r="E117">
        <f t="shared" si="5"/>
        <v>737881</v>
      </c>
      <c r="F117">
        <f t="shared" si="6"/>
        <v>5.8617810613282494E-2</v>
      </c>
      <c r="H117" t="b">
        <f t="shared" si="7"/>
        <v>1</v>
      </c>
      <c r="K117" t="s">
        <v>644</v>
      </c>
      <c r="L117">
        <v>12588000</v>
      </c>
      <c r="M117">
        <v>859000000</v>
      </c>
      <c r="N117">
        <v>0.85899999999999999</v>
      </c>
      <c r="O117">
        <v>737881</v>
      </c>
      <c r="P117">
        <v>5.8617810613282494E-2</v>
      </c>
    </row>
    <row r="118" spans="1:16" x14ac:dyDescent="0.3">
      <c r="A118" t="s">
        <v>122</v>
      </c>
      <c r="B118" s="4" cm="1">
        <f t="array" ref="B118">_xll.SNL.Clients.Office.Excel.Functions.SPG(A118, "SP_TOTAL_REV", "CY2023")</f>
        <v>3757719</v>
      </c>
      <c r="C118" s="4">
        <f>_xll.SNL.Clients.Office.Excel.Functions.SPG(A118,"IQ_AVG_DILUT_SHARES_OUT","CY2023")</f>
        <v>74387000</v>
      </c>
      <c r="D118" s="5">
        <f>_xll.SNL.Clients.Office.Excel.Functions.SPG(A118, "IQ_DILUT_EPS_NORM", "CY2023")</f>
        <v>11.016999999999999</v>
      </c>
      <c r="E118">
        <f t="shared" si="5"/>
        <v>819521.57900000003</v>
      </c>
      <c r="F118">
        <f t="shared" si="6"/>
        <v>0.21809017092550029</v>
      </c>
      <c r="H118" t="b">
        <f t="shared" si="7"/>
        <v>1</v>
      </c>
      <c r="K118" t="s">
        <v>645</v>
      </c>
      <c r="L118">
        <v>3757719</v>
      </c>
      <c r="M118">
        <v>74387000</v>
      </c>
      <c r="N118">
        <v>11.016999999999999</v>
      </c>
      <c r="O118">
        <v>819521.57900000003</v>
      </c>
      <c r="P118">
        <v>0.21809017092550029</v>
      </c>
    </row>
    <row r="119" spans="1:16" x14ac:dyDescent="0.3">
      <c r="A119" t="s">
        <v>123</v>
      </c>
      <c r="B119" s="4" cm="1">
        <f t="array" ref="B119">_xll.SNL.Clients.Office.Excel.Functions.SPG(A119, "SP_TOTAL_REV", "CY2023")</f>
        <v>17226000</v>
      </c>
      <c r="C119" s="4">
        <f>_xll.SNL.Clients.Office.Excel.Functions.SPG(A119,"IQ_AVG_DILUT_SHARES_OUT","CY2023")</f>
        <v>711900000</v>
      </c>
      <c r="D119" s="5">
        <f>_xll.SNL.Clients.Office.Excel.Functions.SPG(A119, "IQ_DILUT_EPS_NORM", "CY2023")</f>
        <v>1.4119999999999999</v>
      </c>
      <c r="E119">
        <f t="shared" si="5"/>
        <v>1005202.8</v>
      </c>
      <c r="F119">
        <f t="shared" si="6"/>
        <v>5.8353814002089867E-2</v>
      </c>
      <c r="H119" t="b">
        <f t="shared" si="7"/>
        <v>1</v>
      </c>
      <c r="K119" t="s">
        <v>646</v>
      </c>
      <c r="L119">
        <v>17226000</v>
      </c>
      <c r="M119">
        <v>711900000</v>
      </c>
      <c r="N119">
        <v>1.4119999999999999</v>
      </c>
      <c r="O119">
        <v>1005202.8</v>
      </c>
      <c r="P119">
        <v>5.8353814002089867E-2</v>
      </c>
    </row>
    <row r="120" spans="1:16" x14ac:dyDescent="0.3">
      <c r="A120" t="s">
        <v>124</v>
      </c>
      <c r="B120" s="4" cm="1">
        <f t="array" ref="B120">_xll.SNL.Clients.Office.Excel.Functions.SPG(A120, "SP_TOTAL_REV", "CY2023")</f>
        <v>2455000</v>
      </c>
      <c r="C120" s="4">
        <f>_xll.SNL.Clients.Office.Excel.Functions.SPG(A120,"IQ_AVG_DILUT_SHARES_OUT","CY2023")</f>
        <v>406900000</v>
      </c>
      <c r="D120" s="5">
        <f>_xll.SNL.Clients.Office.Excel.Functions.SPG(A120, "IQ_DILUT_EPS_NORM", "CY2023")</f>
        <v>0.77</v>
      </c>
      <c r="E120">
        <f t="shared" si="5"/>
        <v>313313</v>
      </c>
      <c r="F120">
        <f t="shared" si="6"/>
        <v>0.12762240325865581</v>
      </c>
      <c r="H120" t="b">
        <f t="shared" si="7"/>
        <v>1</v>
      </c>
      <c r="K120" t="s">
        <v>647</v>
      </c>
      <c r="L120">
        <v>2455000</v>
      </c>
      <c r="M120">
        <v>406900000</v>
      </c>
      <c r="N120">
        <v>0.77</v>
      </c>
      <c r="O120">
        <v>313313</v>
      </c>
      <c r="P120">
        <v>0.12762240325865581</v>
      </c>
    </row>
    <row r="121" spans="1:16" x14ac:dyDescent="0.3">
      <c r="A121" t="s">
        <v>125</v>
      </c>
      <c r="B121" s="4" cm="1">
        <f t="array" ref="B121">_xll.SNL.Clients.Office.Excel.Functions.SPG(A121, "SP_TOTAL_REV", "CY2023")</f>
        <v>245652000</v>
      </c>
      <c r="C121" s="4">
        <f>_xll.SNL.Clients.Office.Excel.Functions.SPG(A121,"IQ_AVG_DILUT_SHARES_OUT","CY2023")</f>
        <v>444420000</v>
      </c>
      <c r="D121" s="5">
        <f>_xll.SNL.Clients.Office.Excel.Functions.SPG(A121, "IQ_DILUT_EPS_NORM", "CY2023")</f>
        <v>12.958</v>
      </c>
      <c r="E121">
        <f t="shared" si="5"/>
        <v>5758794.3600000003</v>
      </c>
      <c r="F121">
        <f t="shared" si="6"/>
        <v>2.3442896292315961E-2</v>
      </c>
      <c r="H121" t="b">
        <f t="shared" si="7"/>
        <v>1</v>
      </c>
      <c r="K121" t="s">
        <v>648</v>
      </c>
      <c r="L121">
        <v>245652000</v>
      </c>
      <c r="M121">
        <v>444420000</v>
      </c>
      <c r="N121">
        <v>12.958</v>
      </c>
      <c r="O121">
        <v>5758794.3600000003</v>
      </c>
      <c r="P121">
        <v>2.3442896292315961E-2</v>
      </c>
    </row>
    <row r="122" spans="1:16" x14ac:dyDescent="0.3">
      <c r="A122" t="s">
        <v>126</v>
      </c>
      <c r="B122" s="4" cm="1">
        <f t="array" ref="B122">_xll.SNL.Clients.Office.Excel.Functions.SPG(A122, "SP_TOTAL_REV", "CY2023")</f>
        <v>5684000</v>
      </c>
      <c r="C122" s="4">
        <f>_xll.SNL.Clients.Office.Excel.Functions.SPG(A122,"IQ_AVG_DILUT_SHARES_OUT","CY2023")</f>
        <v>760000000</v>
      </c>
      <c r="D122" s="5">
        <f>_xll.SNL.Clients.Office.Excel.Functions.SPG(A122, "IQ_DILUT_EPS_NORM", "CY2023")</f>
        <v>1.75</v>
      </c>
      <c r="E122">
        <f t="shared" si="5"/>
        <v>1330000</v>
      </c>
      <c r="F122">
        <f t="shared" si="6"/>
        <v>0.23399014778325122</v>
      </c>
      <c r="H122" t="b">
        <f t="shared" si="7"/>
        <v>1</v>
      </c>
      <c r="K122" t="s">
        <v>649</v>
      </c>
      <c r="L122">
        <v>5684000</v>
      </c>
      <c r="M122">
        <v>760000000</v>
      </c>
      <c r="N122">
        <v>1.75</v>
      </c>
      <c r="O122">
        <v>1330000</v>
      </c>
      <c r="P122">
        <v>0.23399014778325122</v>
      </c>
    </row>
    <row r="123" spans="1:16" x14ac:dyDescent="0.3">
      <c r="A123" t="s">
        <v>127</v>
      </c>
      <c r="B123" s="4" cm="1">
        <f t="array" ref="B123">_xll.SNL.Clients.Office.Excel.Functions.SPG(A123, "SP_TOTAL_REV", "CY2023")</f>
        <v>3055555</v>
      </c>
      <c r="C123" s="4">
        <f>_xll.SNL.Clients.Office.Excel.Functions.SPG(A123,"IQ_AVG_DILUT_SHARES_OUT","CY2023")</f>
        <v>243635000</v>
      </c>
      <c r="D123" s="5">
        <f>_xll.SNL.Clients.Office.Excel.Functions.SPG(A123, "IQ_DILUT_EPS_NORM", "CY2023")</f>
        <v>0.314</v>
      </c>
      <c r="E123">
        <f t="shared" si="5"/>
        <v>76501.39</v>
      </c>
      <c r="F123">
        <f t="shared" si="6"/>
        <v>2.5036823097604199E-2</v>
      </c>
      <c r="H123" t="b">
        <f t="shared" si="7"/>
        <v>1</v>
      </c>
      <c r="K123" t="s">
        <v>1031</v>
      </c>
      <c r="L123">
        <v>3055555</v>
      </c>
      <c r="M123">
        <v>243635000</v>
      </c>
      <c r="N123">
        <v>0.314</v>
      </c>
      <c r="O123">
        <v>76501.39</v>
      </c>
      <c r="P123">
        <v>2.5036823097604199E-2</v>
      </c>
    </row>
    <row r="124" spans="1:16" x14ac:dyDescent="0.3">
      <c r="A124" t="s">
        <v>128</v>
      </c>
      <c r="B124" s="4" cm="1">
        <f t="array" ref="B124">_xll.SNL.Clients.Office.Excel.Functions.SPG(A124, "SP_TOTAL_REV", "CY2023")</f>
        <v>6996000</v>
      </c>
      <c r="C124" s="4">
        <f>_xll.SNL.Clients.Office.Excel.Functions.SPG(A124,"IQ_AVG_DILUT_SHARES_OUT","CY2023")</f>
        <v>434000000</v>
      </c>
      <c r="D124" s="5">
        <f>_xll.SNL.Clients.Office.Excel.Functions.SPG(A124, "IQ_DILUT_EPS_NORM", "CY2023")</f>
        <v>2.3719999999999999</v>
      </c>
      <c r="E124">
        <f t="shared" si="5"/>
        <v>1029448</v>
      </c>
      <c r="F124">
        <f t="shared" si="6"/>
        <v>0.14714808461978274</v>
      </c>
      <c r="H124" t="b">
        <f t="shared" si="7"/>
        <v>1</v>
      </c>
      <c r="K124" t="s">
        <v>650</v>
      </c>
      <c r="L124">
        <v>6996000</v>
      </c>
      <c r="M124">
        <v>434000000</v>
      </c>
      <c r="N124">
        <v>2.3719999999999999</v>
      </c>
      <c r="O124">
        <v>1029448</v>
      </c>
      <c r="P124">
        <v>0.14714808461978274</v>
      </c>
    </row>
    <row r="125" spans="1:16" x14ac:dyDescent="0.3">
      <c r="A125" t="s">
        <v>129</v>
      </c>
      <c r="B125" s="4" cm="1">
        <f t="array" ref="B125">_xll.SNL.Clients.Office.Excel.Functions.SPG(A125, "SP_TOTAL_REV", "CY2023")</f>
        <v>14657000</v>
      </c>
      <c r="C125" s="4">
        <f>_xll.SNL.Clients.Office.Excel.Functions.SPG(A125,"IQ_AVG_DILUT_SHARES_OUT","CY2023")</f>
        <v>2013000000</v>
      </c>
      <c r="D125" s="5">
        <f>_xll.SNL.Clients.Office.Excel.Functions.SPG(A125, "IQ_DILUT_EPS_NORM", "CY2023")</f>
        <v>1.5089999999999999</v>
      </c>
      <c r="E125">
        <f t="shared" si="5"/>
        <v>3037617</v>
      </c>
      <c r="F125">
        <f t="shared" si="6"/>
        <v>0.20724684451115508</v>
      </c>
      <c r="H125" t="b">
        <f t="shared" si="7"/>
        <v>1</v>
      </c>
      <c r="K125" t="s">
        <v>651</v>
      </c>
      <c r="L125">
        <v>14657000</v>
      </c>
      <c r="M125">
        <v>2013000000</v>
      </c>
      <c r="N125">
        <v>1.5089999999999999</v>
      </c>
      <c r="O125">
        <v>3037617</v>
      </c>
      <c r="P125">
        <v>0.20724684451115508</v>
      </c>
    </row>
    <row r="126" spans="1:16" x14ac:dyDescent="0.3">
      <c r="A126" t="s">
        <v>130</v>
      </c>
      <c r="B126" s="4" cm="1">
        <f t="array" ref="B126">_xll.SNL.Clients.Office.Excel.Functions.SPG(A126, "SP_TOTAL_REV", "CY2023")</f>
        <v>34065000</v>
      </c>
      <c r="C126" s="4">
        <f>_xll.SNL.Clients.Office.Excel.Functions.SPG(A126,"IQ_AVG_DILUT_SHARES_OUT","CY2023")</f>
        <v>142700000</v>
      </c>
      <c r="D126" s="5">
        <f>_xll.SNL.Clients.Office.Excel.Functions.SPG(A126, "IQ_DILUT_EPS_NORM", "CY2023")</f>
        <v>15.276999999999999</v>
      </c>
      <c r="E126">
        <f t="shared" si="5"/>
        <v>2180027.9</v>
      </c>
      <c r="F126">
        <f t="shared" si="6"/>
        <v>6.3996122119477472E-2</v>
      </c>
      <c r="H126" t="b">
        <f t="shared" si="7"/>
        <v>1</v>
      </c>
      <c r="K126" t="s">
        <v>652</v>
      </c>
      <c r="L126">
        <v>34065000</v>
      </c>
      <c r="M126">
        <v>142700000</v>
      </c>
      <c r="N126">
        <v>15.276999999999999</v>
      </c>
      <c r="O126">
        <v>2180027.9</v>
      </c>
      <c r="P126">
        <v>6.3996122119477472E-2</v>
      </c>
    </row>
    <row r="127" spans="1:16" x14ac:dyDescent="0.3">
      <c r="A127" t="s">
        <v>131</v>
      </c>
      <c r="B127" s="4" cm="1">
        <f t="array" ref="B127">_xll.SNL.Clients.Office.Excel.Functions.SPG(A127, "SP_TOTAL_REV", "CY2023")</f>
        <v>356623000</v>
      </c>
      <c r="C127" s="4">
        <f>_xll.SNL.Clients.Office.Excel.Functions.SPG(A127,"IQ_AVG_DILUT_SHARES_OUT","CY2023")</f>
        <v>1290000000</v>
      </c>
      <c r="D127" s="5">
        <f>_xll.SNL.Clients.Office.Excel.Functions.SPG(A127, "IQ_DILUT_EPS_NORM", "CY2023")</f>
        <v>6.0679999999999996</v>
      </c>
      <c r="E127">
        <f t="shared" si="5"/>
        <v>7827719.9999999991</v>
      </c>
      <c r="F127">
        <f t="shared" si="6"/>
        <v>2.1949565787960954E-2</v>
      </c>
      <c r="H127" t="b">
        <f t="shared" si="7"/>
        <v>1</v>
      </c>
      <c r="K127" t="s">
        <v>653</v>
      </c>
      <c r="L127">
        <v>356623000</v>
      </c>
      <c r="M127">
        <v>1290000000</v>
      </c>
      <c r="N127">
        <v>6.0679999999999996</v>
      </c>
      <c r="O127">
        <v>7827719.9999999991</v>
      </c>
      <c r="P127">
        <v>2.1949565787960954E-2</v>
      </c>
    </row>
    <row r="128" spans="1:16" x14ac:dyDescent="0.3">
      <c r="A128" t="s">
        <v>132</v>
      </c>
      <c r="B128" s="4" cm="1">
        <f t="array" ref="B128">_xll.SNL.Clients.Office.Excel.Functions.SPG(A128, "SP_TOTAL_REV", "CY2023")</f>
        <v>35928600</v>
      </c>
      <c r="C128" s="4">
        <f>_xll.SNL.Clients.Office.Excel.Functions.SPG(A128,"IQ_AVG_DILUT_SHARES_OUT","CY2023")</f>
        <v>340500000</v>
      </c>
      <c r="D128" s="5">
        <f>_xll.SNL.Clients.Office.Excel.Functions.SPG(A128, "IQ_DILUT_EPS_NORM", "CY2023")</f>
        <v>11.53</v>
      </c>
      <c r="E128">
        <f t="shared" si="5"/>
        <v>3925965</v>
      </c>
      <c r="F128">
        <f t="shared" si="6"/>
        <v>0.10927130475442962</v>
      </c>
      <c r="H128" t="b">
        <f t="shared" si="7"/>
        <v>1</v>
      </c>
      <c r="K128" t="s">
        <v>671</v>
      </c>
      <c r="L128">
        <v>35928600</v>
      </c>
      <c r="M128">
        <v>340500000</v>
      </c>
      <c r="N128">
        <v>11.53</v>
      </c>
      <c r="O128">
        <v>3925965</v>
      </c>
      <c r="P128">
        <v>0.10927130475442962</v>
      </c>
    </row>
    <row r="129" spans="1:16" x14ac:dyDescent="0.3">
      <c r="A129" t="s">
        <v>133</v>
      </c>
      <c r="B129" s="4" cm="1">
        <f t="array" ref="B129">_xll.SNL.Clients.Office.Excel.Functions.SPG(A129, "SP_TOTAL_REV", "CY2023")</f>
        <v>23890000</v>
      </c>
      <c r="C129" s="4">
        <f>_xll.SNL.Clients.Office.Excel.Functions.SPG(A129,"IQ_AVG_DILUT_SHARES_OUT","CY2023")</f>
        <v>743100000</v>
      </c>
      <c r="D129" s="5">
        <f>_xll.SNL.Clients.Office.Excel.Functions.SPG(A129, "IQ_DILUT_EPS_NORM", "CY2023")</f>
        <v>4.54</v>
      </c>
      <c r="E129">
        <f t="shared" si="5"/>
        <v>3373674</v>
      </c>
      <c r="F129">
        <f t="shared" si="6"/>
        <v>0.14121699455839262</v>
      </c>
      <c r="H129" t="b">
        <f t="shared" si="7"/>
        <v>1</v>
      </c>
      <c r="K129" t="s">
        <v>654</v>
      </c>
      <c r="L129">
        <v>23890000</v>
      </c>
      <c r="M129">
        <v>743100000</v>
      </c>
      <c r="N129">
        <v>4.54</v>
      </c>
      <c r="O129">
        <v>3373674</v>
      </c>
      <c r="P129">
        <v>0.14121699455839262</v>
      </c>
    </row>
    <row r="130" spans="1:16" x14ac:dyDescent="0.3">
      <c r="A130" t="s">
        <v>134</v>
      </c>
      <c r="B130" s="4" cm="1">
        <f t="array" ref="B130">_xll.SNL.Clients.Office.Excel.Functions.SPG(A130, "SP_TOTAL_REV", "CY2023")</f>
        <v>11013100</v>
      </c>
      <c r="C130" s="4">
        <f>_xll.SNL.Clients.Office.Excel.Functions.SPG(A130,"IQ_AVG_DILUT_SHARES_OUT","CY2023")</f>
        <v>121850000</v>
      </c>
      <c r="D130" s="5">
        <f>_xll.SNL.Clients.Office.Excel.Functions.SPG(A130, "IQ_DILUT_EPS_NORM", "CY2023")</f>
        <v>5.9550000000000001</v>
      </c>
      <c r="E130">
        <f t="shared" si="5"/>
        <v>725616.75</v>
      </c>
      <c r="F130">
        <f t="shared" si="6"/>
        <v>6.5886694028021178E-2</v>
      </c>
      <c r="H130" t="b">
        <f t="shared" si="7"/>
        <v>1</v>
      </c>
      <c r="K130" t="s">
        <v>655</v>
      </c>
      <c r="L130">
        <v>11013100</v>
      </c>
      <c r="M130">
        <v>121850000</v>
      </c>
      <c r="N130">
        <v>5.9550000000000001</v>
      </c>
      <c r="O130">
        <v>725616.75</v>
      </c>
      <c r="P130">
        <v>6.5886694028021178E-2</v>
      </c>
    </row>
    <row r="131" spans="1:16" x14ac:dyDescent="0.3">
      <c r="A131" t="s">
        <v>135</v>
      </c>
      <c r="B131" s="4" cm="1">
        <f t="array" ref="B131">_xll.SNL.Clients.Office.Excel.Functions.SPG(A131, "SP_TOTAL_REV", "CY2023")</f>
        <v>12140147</v>
      </c>
      <c r="C131" s="4">
        <f>_xll.SNL.Clients.Office.Excel.Functions.SPG(A131,"IQ_AVG_DILUT_SHARES_OUT","CY2023")</f>
        <v>93182000</v>
      </c>
      <c r="D131" s="5">
        <f>_xll.SNL.Clients.Office.Excel.Functions.SPG(A131, "IQ_DILUT_EPS_NORM", "CY2023")</f>
        <v>5.2750000000000004</v>
      </c>
      <c r="E131">
        <f t="shared" ref="E131:E194" si="8">C131*D131/1000</f>
        <v>491535.05000000005</v>
      </c>
      <c r="F131">
        <f t="shared" ref="F131:F194" si="9">E131/B131</f>
        <v>4.048839359193921E-2</v>
      </c>
      <c r="H131" t="b">
        <f t="shared" ref="H131:H194" si="10">B131=L131</f>
        <v>1</v>
      </c>
      <c r="K131" t="s">
        <v>656</v>
      </c>
      <c r="L131">
        <v>12140147</v>
      </c>
      <c r="M131">
        <v>93182000</v>
      </c>
      <c r="N131">
        <v>5.2750000000000004</v>
      </c>
      <c r="O131">
        <v>491535.05000000005</v>
      </c>
      <c r="P131">
        <v>4.048839359193921E-2</v>
      </c>
    </row>
    <row r="132" spans="1:16" x14ac:dyDescent="0.3">
      <c r="A132" t="s">
        <v>136</v>
      </c>
      <c r="B132" s="4" cm="1">
        <f t="array" ref="B132">_xll.SNL.Clients.Office.Excel.Functions.SPG(A132, "SP_TOTAL_REV", "CY2023")</f>
        <v>1513700</v>
      </c>
      <c r="C132" s="4">
        <f>_xll.SNL.Clients.Office.Excel.Functions.SPG(A132,"IQ_AVG_DILUT_SHARES_OUT","CY2023")</f>
        <v>158500000</v>
      </c>
      <c r="D132" s="5">
        <f>_xll.SNL.Clients.Office.Excel.Functions.SPG(A132, "IQ_DILUT_EPS_NORM", "CY2023")</f>
        <v>0.39600000000000002</v>
      </c>
      <c r="E132">
        <f t="shared" si="8"/>
        <v>62766</v>
      </c>
      <c r="F132">
        <f t="shared" si="9"/>
        <v>4.146528374182467E-2</v>
      </c>
      <c r="H132" t="b">
        <f t="shared" si="10"/>
        <v>1</v>
      </c>
      <c r="K132" t="s">
        <v>657</v>
      </c>
      <c r="L132">
        <v>1513700</v>
      </c>
      <c r="M132">
        <v>158500000</v>
      </c>
      <c r="N132">
        <v>0.39600000000000002</v>
      </c>
      <c r="O132">
        <v>62766</v>
      </c>
      <c r="P132">
        <v>4.146528374182467E-2</v>
      </c>
    </row>
    <row r="133" spans="1:16" x14ac:dyDescent="0.3">
      <c r="A133" t="s">
        <v>137</v>
      </c>
      <c r="B133" s="4" cm="1">
        <f t="array" ref="B133">_xll.SNL.Clients.Office.Excel.Functions.SPG(A133, "SP_TOTAL_REV", "CY2023")</f>
        <v>4119576</v>
      </c>
      <c r="C133" s="4">
        <f>_xll.SNL.Clients.Office.Excel.Functions.SPG(A133,"IQ_AVG_DILUT_SHARES_OUT","CY2023")</f>
        <v>157299000</v>
      </c>
      <c r="D133" s="5">
        <f>_xll.SNL.Clients.Office.Excel.Functions.SPG(A133, "IQ_DILUT_EPS_NORM", "CY2023")</f>
        <v>3.7050000000000001</v>
      </c>
      <c r="E133">
        <f t="shared" si="8"/>
        <v>582792.79500000004</v>
      </c>
      <c r="F133">
        <f t="shared" si="9"/>
        <v>0.14146912085127208</v>
      </c>
      <c r="H133" t="b">
        <f t="shared" si="10"/>
        <v>1</v>
      </c>
      <c r="K133" t="s">
        <v>1032</v>
      </c>
      <c r="L133">
        <v>4119576</v>
      </c>
      <c r="M133">
        <v>157299000</v>
      </c>
      <c r="N133">
        <v>3.7050000000000001</v>
      </c>
      <c r="O133">
        <v>582792.79500000004</v>
      </c>
      <c r="P133">
        <v>0.14146912085127208</v>
      </c>
    </row>
    <row r="134" spans="1:16" x14ac:dyDescent="0.3">
      <c r="A134" t="s">
        <v>138</v>
      </c>
      <c r="B134" s="4" cm="1">
        <f t="array" ref="B134">_xll.SNL.Clients.Office.Excel.Functions.SPG(A134, "SP_TOTAL_REV", "CY2023")</f>
        <v>60755000</v>
      </c>
      <c r="C134" s="4">
        <f>_xll.SNL.Clients.Office.Excel.Functions.SPG(A134,"IQ_AVG_DILUT_SHARES_OUT","CY2023")</f>
        <v>289100000</v>
      </c>
      <c r="D134" s="5">
        <f>_xll.SNL.Clients.Office.Excel.Functions.SPG(A134, "IQ_DILUT_EPS_NORM", "CY2023")</f>
        <v>27.603000000000002</v>
      </c>
      <c r="E134">
        <f t="shared" si="8"/>
        <v>7980027.2999999998</v>
      </c>
      <c r="F134">
        <f t="shared" si="9"/>
        <v>0.13134766356678462</v>
      </c>
      <c r="H134" t="b">
        <f t="shared" si="10"/>
        <v>1</v>
      </c>
      <c r="K134" t="s">
        <v>658</v>
      </c>
      <c r="L134">
        <v>60755000</v>
      </c>
      <c r="M134">
        <v>289100000</v>
      </c>
      <c r="N134">
        <v>27.603000000000002</v>
      </c>
      <c r="O134">
        <v>7980027.2999999998</v>
      </c>
      <c r="P134">
        <v>0.13134766356678462</v>
      </c>
    </row>
    <row r="135" spans="1:16" x14ac:dyDescent="0.3">
      <c r="A135" t="s">
        <v>139</v>
      </c>
      <c r="B135" s="4" cm="1">
        <f t="array" ref="B135">_xll.SNL.Clients.Office.Excel.Functions.SPG(A135, "SP_TOTAL_REV", "CY2023")</f>
        <v>88425000</v>
      </c>
      <c r="C135" s="4">
        <f>_xll.SNL.Clients.Office.Excel.Functions.SPG(A135,"IQ_AVG_DILUT_SHARES_OUT","CY2023")</f>
        <v>736000000</v>
      </c>
      <c r="D135" s="5">
        <f>_xll.SNL.Clients.Office.Excel.Functions.SPG(A135, "IQ_DILUT_EPS_NORM", "CY2023")</f>
        <v>3.7749999999999999</v>
      </c>
      <c r="E135">
        <f t="shared" si="8"/>
        <v>2778400</v>
      </c>
      <c r="F135">
        <f t="shared" si="9"/>
        <v>3.1420978230138535E-2</v>
      </c>
      <c r="H135" t="b">
        <f t="shared" si="10"/>
        <v>1</v>
      </c>
      <c r="K135" t="s">
        <v>1033</v>
      </c>
      <c r="L135">
        <v>88425000</v>
      </c>
      <c r="M135">
        <v>736000000</v>
      </c>
      <c r="N135">
        <v>3.7749999999999999</v>
      </c>
      <c r="O135">
        <v>2778400</v>
      </c>
      <c r="P135">
        <v>3.1420978230138535E-2</v>
      </c>
    </row>
    <row r="136" spans="1:16" x14ac:dyDescent="0.3">
      <c r="A136" t="s">
        <v>140</v>
      </c>
      <c r="B136" s="4" cm="1">
        <f t="array" ref="B136">_xll.SNL.Clients.Office.Excel.Functions.SPG(A136, "SP_TOTAL_REV", "CY2023")</f>
        <v>58048000</v>
      </c>
      <c r="C136" s="4">
        <f>_xll.SNL.Clients.Office.Excel.Functions.SPG(A136,"IQ_AVG_DILUT_SHARES_OUT","CY2023")</f>
        <v>643000000</v>
      </c>
      <c r="D136" s="5">
        <f>_xll.SNL.Clients.Office.Excel.Functions.SPG(A136, "IQ_DILUT_EPS_NORM", "CY2023")</f>
        <v>5.0739999999999998</v>
      </c>
      <c r="E136">
        <f t="shared" si="8"/>
        <v>3262582</v>
      </c>
      <c r="F136">
        <f t="shared" si="9"/>
        <v>5.620489939360529E-2</v>
      </c>
      <c r="H136" t="b">
        <f t="shared" si="10"/>
        <v>1</v>
      </c>
      <c r="K136" t="s">
        <v>659</v>
      </c>
      <c r="L136">
        <v>58048000</v>
      </c>
      <c r="M136">
        <v>643000000</v>
      </c>
      <c r="N136">
        <v>5.0739999999999998</v>
      </c>
      <c r="O136">
        <v>3262582</v>
      </c>
      <c r="P136">
        <v>5.620489939360529E-2</v>
      </c>
    </row>
    <row r="137" spans="1:16" x14ac:dyDescent="0.3">
      <c r="A137" t="s">
        <v>141</v>
      </c>
      <c r="B137" s="4" cm="1">
        <f t="array" ref="B137">_xll.SNL.Clients.Office.Excel.Functions.SPG(A137, "SP_TOTAL_REV", "CY2023")</f>
        <v>14427000</v>
      </c>
      <c r="C137" s="4">
        <f>_xll.SNL.Clients.Office.Excel.Functions.SPG(A137,"IQ_AVG_DILUT_SHARES_OUT","CY2023")</f>
        <v>642000000</v>
      </c>
      <c r="D137" s="5">
        <f>_xll.SNL.Clients.Office.Excel.Functions.SPG(A137, "IQ_DILUT_EPS_NORM", "CY2023")</f>
        <v>4.4169999999999998</v>
      </c>
      <c r="E137">
        <f t="shared" si="8"/>
        <v>2835714</v>
      </c>
      <c r="F137">
        <f t="shared" si="9"/>
        <v>0.19655604075691413</v>
      </c>
      <c r="H137" t="b">
        <f t="shared" si="10"/>
        <v>1</v>
      </c>
      <c r="K137" t="s">
        <v>660</v>
      </c>
      <c r="L137">
        <v>14427000</v>
      </c>
      <c r="M137">
        <v>642000000</v>
      </c>
      <c r="N137">
        <v>4.4169999999999998</v>
      </c>
      <c r="O137">
        <v>2835714</v>
      </c>
      <c r="P137">
        <v>0.19655604075691413</v>
      </c>
    </row>
    <row r="138" spans="1:16" x14ac:dyDescent="0.3">
      <c r="A138" t="s">
        <v>142</v>
      </c>
      <c r="B138" s="4" cm="1">
        <f t="array" ref="B138">_xll.SNL.Clients.Office.Excel.Functions.SPG(A138, "SP_TOTAL_REV", "CY2023")</f>
        <v>3622300</v>
      </c>
      <c r="C138" s="4">
        <f>_xll.SNL.Clients.Office.Excel.Functions.SPG(A138,"IQ_AVG_DILUT_SHARES_OUT","CY2023")</f>
        <v>425500000</v>
      </c>
      <c r="D138" s="5">
        <f>_xll.SNL.Clients.Office.Excel.Functions.SPG(A138, "IQ_DILUT_EPS_NORM", "CY2023")</f>
        <v>1.0409999999999999</v>
      </c>
      <c r="E138">
        <f t="shared" si="8"/>
        <v>442945.49999999994</v>
      </c>
      <c r="F138">
        <f t="shared" si="9"/>
        <v>0.12228294177732378</v>
      </c>
      <c r="H138" t="b">
        <f t="shared" si="10"/>
        <v>1</v>
      </c>
      <c r="K138" t="s">
        <v>661</v>
      </c>
      <c r="L138">
        <v>3622300</v>
      </c>
      <c r="M138">
        <v>425500000</v>
      </c>
      <c r="N138">
        <v>1.0409999999999999</v>
      </c>
      <c r="O138">
        <v>442945.49999999994</v>
      </c>
      <c r="P138">
        <v>0.12228294177732378</v>
      </c>
    </row>
    <row r="139" spans="1:16" x14ac:dyDescent="0.3">
      <c r="A139" t="s">
        <v>143</v>
      </c>
      <c r="B139" s="4" cm="1">
        <f t="array" ref="B139">_xll.SNL.Clients.Office.Excel.Functions.SPG(A139, "SP_TOTAL_REV", "CY2023")</f>
        <v>7959000</v>
      </c>
      <c r="C139" s="4">
        <f>_xll.SNL.Clients.Office.Excel.Functions.SPG(A139,"IQ_AVG_DILUT_SHARES_OUT","CY2023")</f>
        <v>179999000</v>
      </c>
      <c r="D139" s="5">
        <f>_xll.SNL.Clients.Office.Excel.Functions.SPG(A139, "IQ_DILUT_EPS_NORM", "CY2023")</f>
        <v>13.423999999999999</v>
      </c>
      <c r="E139">
        <f t="shared" si="8"/>
        <v>2416306.5759999999</v>
      </c>
      <c r="F139">
        <f t="shared" si="9"/>
        <v>0.30359424249277545</v>
      </c>
      <c r="H139" t="b">
        <f t="shared" si="10"/>
        <v>1</v>
      </c>
      <c r="K139" t="s">
        <v>662</v>
      </c>
      <c r="L139">
        <v>7959000</v>
      </c>
      <c r="M139">
        <v>179999000</v>
      </c>
      <c r="N139">
        <v>13.423999999999999</v>
      </c>
      <c r="O139">
        <v>2416306.5759999999</v>
      </c>
      <c r="P139">
        <v>0.30359424249277545</v>
      </c>
    </row>
    <row r="140" spans="1:16" x14ac:dyDescent="0.3">
      <c r="A140" t="s">
        <v>144</v>
      </c>
      <c r="B140" s="4" cm="1">
        <f t="array" ref="B140">_xll.SNL.Clients.Office.Excel.Functions.SPG(A140, "SP_TOTAL_REV", "CY2023")</f>
        <v>5515702</v>
      </c>
      <c r="C140" s="4">
        <f>_xll.SNL.Clients.Office.Excel.Functions.SPG(A140,"IQ_AVG_DILUT_SHARES_OUT","CY2023")</f>
        <v>309065000</v>
      </c>
      <c r="D140" s="5">
        <f>_xll.SNL.Clients.Office.Excel.Functions.SPG(A140, "IQ_DILUT_EPS_NORM", "CY2023")</f>
        <v>0.65900000000000003</v>
      </c>
      <c r="E140">
        <f t="shared" si="8"/>
        <v>203673.83499999999</v>
      </c>
      <c r="F140">
        <f t="shared" si="9"/>
        <v>3.6926185461070953E-2</v>
      </c>
      <c r="H140" t="b">
        <f t="shared" si="10"/>
        <v>1</v>
      </c>
      <c r="K140" t="s">
        <v>663</v>
      </c>
      <c r="L140">
        <v>5515702</v>
      </c>
      <c r="M140">
        <v>309065000</v>
      </c>
      <c r="N140">
        <v>0.65900000000000003</v>
      </c>
      <c r="O140">
        <v>203673.83499999999</v>
      </c>
      <c r="P140">
        <v>3.6926185461070953E-2</v>
      </c>
    </row>
    <row r="141" spans="1:16" x14ac:dyDescent="0.3">
      <c r="A141" t="s">
        <v>145</v>
      </c>
      <c r="B141" s="4" cm="1">
        <f t="array" ref="B141">_xll.SNL.Clients.Office.Excel.Functions.SPG(A141, "SP_TOTAL_REV", "CY2023")</f>
        <v>9776000</v>
      </c>
      <c r="C141" s="4">
        <f>_xll.SNL.Clients.Office.Excel.Functions.SPG(A141,"IQ_AVG_DILUT_SHARES_OUT","CY2023")</f>
        <v>254000000</v>
      </c>
      <c r="D141" s="5">
        <f>_xll.SNL.Clients.Office.Excel.Functions.SPG(A141, "IQ_DILUT_EPS_NORM", "CY2023")</f>
        <v>9.2720000000000002</v>
      </c>
      <c r="E141">
        <f t="shared" si="8"/>
        <v>2355088</v>
      </c>
      <c r="F141">
        <f t="shared" si="9"/>
        <v>0.2409050736497545</v>
      </c>
      <c r="H141" t="b">
        <f t="shared" si="10"/>
        <v>1</v>
      </c>
      <c r="K141" t="s">
        <v>664</v>
      </c>
      <c r="L141">
        <v>9776000</v>
      </c>
      <c r="M141">
        <v>254000000</v>
      </c>
      <c r="N141">
        <v>9.2720000000000002</v>
      </c>
      <c r="O141">
        <v>2355088</v>
      </c>
      <c r="P141">
        <v>0.2409050736497545</v>
      </c>
    </row>
    <row r="142" spans="1:16" x14ac:dyDescent="0.3">
      <c r="A142" t="s">
        <v>146</v>
      </c>
      <c r="B142" s="4" cm="1">
        <f t="array" ref="B142">_xll.SNL.Clients.Office.Excel.Functions.SPG(A142, "SP_TOTAL_REV", "CY2023")</f>
        <v>38691609</v>
      </c>
      <c r="C142" s="4">
        <f>_xll.SNL.Clients.Office.Excel.Functions.SPG(A142,"IQ_AVG_DILUT_SHARES_OUT","CY2023")</f>
        <v>219938000</v>
      </c>
      <c r="D142" s="5">
        <f>_xll.SNL.Clients.Office.Excel.Functions.SPG(A142, "IQ_DILUT_EPS_NORM", "CY2023")</f>
        <v>6.0419999999999998</v>
      </c>
      <c r="E142">
        <f t="shared" si="8"/>
        <v>1328865.3959999999</v>
      </c>
      <c r="F142">
        <f t="shared" si="9"/>
        <v>3.434505388493924E-2</v>
      </c>
      <c r="H142" t="b">
        <f t="shared" si="10"/>
        <v>1</v>
      </c>
      <c r="K142" t="s">
        <v>665</v>
      </c>
      <c r="L142">
        <v>38691609</v>
      </c>
      <c r="M142">
        <v>219938000</v>
      </c>
      <c r="N142">
        <v>6.0419999999999998</v>
      </c>
      <c r="O142">
        <v>1328865.3959999999</v>
      </c>
      <c r="P142">
        <v>3.434505388493924E-2</v>
      </c>
    </row>
    <row r="143" spans="1:16" x14ac:dyDescent="0.3">
      <c r="A143" t="s">
        <v>147</v>
      </c>
      <c r="B143" s="4" cm="1">
        <f t="array" ref="B143">_xll.SNL.Clients.Office.Excel.Functions.SPG(A143, "SP_TOTAL_REV", "CY2023")</f>
        <v>30603800</v>
      </c>
      <c r="C143" s="4">
        <f>_xll.SNL.Clients.Office.Excel.Functions.SPG(A143,"IQ_AVG_DILUT_SHARES_OUT","CY2023")</f>
        <v>219500000</v>
      </c>
      <c r="D143" s="5">
        <f>_xll.SNL.Clients.Office.Excel.Functions.SPG(A143, "IQ_DILUT_EPS_NORM", "CY2023")</f>
        <v>4.8090000000000002</v>
      </c>
      <c r="E143">
        <f t="shared" si="8"/>
        <v>1055575.5</v>
      </c>
      <c r="F143">
        <f t="shared" si="9"/>
        <v>3.4491648095988078E-2</v>
      </c>
      <c r="H143" t="b">
        <f t="shared" si="10"/>
        <v>1</v>
      </c>
      <c r="K143" t="s">
        <v>666</v>
      </c>
      <c r="L143">
        <v>30603800</v>
      </c>
      <c r="M143">
        <v>219500000</v>
      </c>
      <c r="N143">
        <v>4.8090000000000002</v>
      </c>
      <c r="O143">
        <v>1055575.5</v>
      </c>
      <c r="P143">
        <v>3.4491648095988078E-2</v>
      </c>
    </row>
    <row r="144" spans="1:16" x14ac:dyDescent="0.3">
      <c r="A144" t="s">
        <v>148</v>
      </c>
      <c r="B144" s="4" cm="1">
        <f t="array" ref="B144">_xll.SNL.Clients.Office.Excel.Functions.SPG(A144, "SP_TOTAL_REV", "CY2023")</f>
        <v>14393000</v>
      </c>
      <c r="C144" s="4">
        <f>_xll.SNL.Clients.Office.Excel.Functions.SPG(A144,"IQ_AVG_DILUT_SHARES_OUT","CY2023")</f>
        <v>836500000</v>
      </c>
      <c r="D144" s="5">
        <f>_xll.SNL.Clients.Office.Excel.Functions.SPG(A144, "IQ_DILUT_EPS_NORM", "CY2023")</f>
        <v>1.782</v>
      </c>
      <c r="E144">
        <f t="shared" si="8"/>
        <v>1490643</v>
      </c>
      <c r="F144">
        <f t="shared" si="9"/>
        <v>0.10356722017647467</v>
      </c>
      <c r="H144" t="b">
        <f t="shared" si="10"/>
        <v>1</v>
      </c>
      <c r="K144" t="s">
        <v>667</v>
      </c>
      <c r="L144">
        <v>14393000</v>
      </c>
      <c r="M144">
        <v>836500000</v>
      </c>
      <c r="N144">
        <v>1.782</v>
      </c>
      <c r="O144">
        <v>1490643</v>
      </c>
      <c r="P144">
        <v>0.10356722017647467</v>
      </c>
    </row>
    <row r="145" spans="1:16" x14ac:dyDescent="0.3">
      <c r="A145" t="s">
        <v>149</v>
      </c>
      <c r="B145" s="4" cm="1">
        <f t="array" ref="B145">_xll.SNL.Clients.Office.Excel.Functions.SPG(A145, "SP_TOTAL_REV", "CY2023")</f>
        <v>4479358</v>
      </c>
      <c r="C145" s="4">
        <f>_xll.SNL.Clients.Office.Excel.Functions.SPG(A145,"IQ_AVG_DILUT_SHARES_OUT","CY2023")</f>
        <v>35401313</v>
      </c>
      <c r="D145" s="5">
        <f>_xll.SNL.Clients.Office.Excel.Functions.SPG(A145, "IQ_DILUT_EPS_NORM", "CY2023")</f>
        <v>11.209</v>
      </c>
      <c r="E145">
        <f t="shared" si="8"/>
        <v>396813.31741700001</v>
      </c>
      <c r="F145">
        <f t="shared" si="9"/>
        <v>8.8587096056399153E-2</v>
      </c>
      <c r="H145" t="b">
        <f t="shared" si="10"/>
        <v>1</v>
      </c>
      <c r="K145" t="s">
        <v>668</v>
      </c>
      <c r="L145">
        <v>4479358</v>
      </c>
      <c r="M145">
        <v>35401313</v>
      </c>
      <c r="N145">
        <v>11.209</v>
      </c>
      <c r="O145">
        <v>396813.31741700001</v>
      </c>
      <c r="P145">
        <v>8.8587096056399153E-2</v>
      </c>
    </row>
    <row r="146" spans="1:16" x14ac:dyDescent="0.3">
      <c r="A146" t="s">
        <v>150</v>
      </c>
      <c r="B146" s="4" cm="1">
        <f t="array" ref="B146">_xll.SNL.Clients.Office.Excel.Functions.SPG(A146, "SP_TOTAL_REV", "CY2023")</f>
        <v>8438134</v>
      </c>
      <c r="C146" s="4">
        <f>_xll.SNL.Clients.Office.Excel.Functions.SPG(A146,"IQ_AVG_DILUT_SHARES_OUT","CY2023")</f>
        <v>140599000</v>
      </c>
      <c r="D146" s="5">
        <f>_xll.SNL.Clients.Office.Excel.Functions.SPG(A146, "IQ_DILUT_EPS_NORM", "CY2023")</f>
        <v>5.87</v>
      </c>
      <c r="E146">
        <f t="shared" si="8"/>
        <v>825316.13</v>
      </c>
      <c r="F146">
        <f t="shared" si="9"/>
        <v>9.7807895679305396E-2</v>
      </c>
      <c r="H146" t="b">
        <f t="shared" si="10"/>
        <v>1</v>
      </c>
      <c r="K146" t="s">
        <v>669</v>
      </c>
      <c r="L146">
        <v>8438134</v>
      </c>
      <c r="M146">
        <v>140599000</v>
      </c>
      <c r="N146">
        <v>5.87</v>
      </c>
      <c r="O146">
        <v>825316.13</v>
      </c>
      <c r="P146">
        <v>9.7807895679305396E-2</v>
      </c>
    </row>
    <row r="147" spans="1:16" x14ac:dyDescent="0.3">
      <c r="A147" t="s">
        <v>151</v>
      </c>
      <c r="B147" s="4" cm="1">
        <f t="array" ref="B147">_xll.SNL.Clients.Office.Excel.Functions.SPG(A147, "SP_TOTAL_REV", "CY2023")</f>
        <v>44622000</v>
      </c>
      <c r="C147" s="4">
        <f>_xll.SNL.Clients.Office.Excel.Functions.SPG(A147,"IQ_AVG_DILUT_SHARES_OUT","CY2023")</f>
        <v>709000000</v>
      </c>
      <c r="D147" s="5">
        <f>_xll.SNL.Clients.Office.Excel.Functions.SPG(A147, "IQ_DILUT_EPS_NORM", "CY2023")</f>
        <v>1.472</v>
      </c>
      <c r="E147">
        <f t="shared" si="8"/>
        <v>1043648</v>
      </c>
      <c r="F147">
        <f t="shared" si="9"/>
        <v>2.3388642373716999E-2</v>
      </c>
      <c r="H147" t="b">
        <f t="shared" si="10"/>
        <v>1</v>
      </c>
      <c r="K147" t="s">
        <v>670</v>
      </c>
      <c r="L147">
        <v>44622000</v>
      </c>
      <c r="M147">
        <v>709000000</v>
      </c>
      <c r="N147">
        <v>1.472</v>
      </c>
      <c r="O147">
        <v>1043648</v>
      </c>
      <c r="P147">
        <v>2.3388642373716999E-2</v>
      </c>
    </row>
    <row r="148" spans="1:16" x14ac:dyDescent="0.3">
      <c r="A148" t="s">
        <v>152</v>
      </c>
      <c r="B148" s="4" cm="1">
        <f t="array" ref="B148">_xll.SNL.Clients.Office.Excel.Functions.SPG(A148, "SP_TOTAL_REV", "CY2023")</f>
        <v>12745000</v>
      </c>
      <c r="C148" s="4">
        <f>_xll.SNL.Clients.Office.Excel.Functions.SPG(A148,"IQ_AVG_DILUT_SHARES_OUT","CY2023")</f>
        <v>206000000</v>
      </c>
      <c r="D148" s="5">
        <f>_xll.SNL.Clients.Office.Excel.Functions.SPG(A148, "IQ_DILUT_EPS_NORM", "CY2023")</f>
        <v>4.8</v>
      </c>
      <c r="E148">
        <f t="shared" si="8"/>
        <v>988800</v>
      </c>
      <c r="F148">
        <f t="shared" si="9"/>
        <v>7.7583366025892511E-2</v>
      </c>
      <c r="H148" t="b">
        <f t="shared" si="10"/>
        <v>1</v>
      </c>
      <c r="K148" t="s">
        <v>672</v>
      </c>
      <c r="L148">
        <v>12745000</v>
      </c>
      <c r="M148">
        <v>206000000</v>
      </c>
      <c r="N148">
        <v>4.8</v>
      </c>
      <c r="O148">
        <v>988800</v>
      </c>
      <c r="P148">
        <v>7.7583366025892511E-2</v>
      </c>
    </row>
    <row r="149" spans="1:16" x14ac:dyDescent="0.3">
      <c r="A149" t="s">
        <v>153</v>
      </c>
      <c r="B149" s="4" cm="1">
        <f t="array" ref="B149">_xll.SNL.Clients.Office.Excel.Functions.SPG(A149, "SP_TOTAL_REV", "CY2023")</f>
        <v>28602000</v>
      </c>
      <c r="C149" s="4">
        <f>_xll.SNL.Clients.Office.Excel.Functions.SPG(A149,"IQ_AVG_DILUT_SHARES_OUT","CY2023")</f>
        <v>771000000</v>
      </c>
      <c r="D149" s="5">
        <f>_xll.SNL.Clients.Office.Excel.Functions.SPG(A149, "IQ_DILUT_EPS_NORM", "CY2023")</f>
        <v>3.931</v>
      </c>
      <c r="E149">
        <f t="shared" si="8"/>
        <v>3030801</v>
      </c>
      <c r="F149">
        <f t="shared" si="9"/>
        <v>0.10596465282148101</v>
      </c>
      <c r="H149" t="b">
        <f t="shared" si="10"/>
        <v>1</v>
      </c>
      <c r="K149" t="s">
        <v>673</v>
      </c>
      <c r="L149">
        <v>28602000</v>
      </c>
      <c r="M149">
        <v>771000000</v>
      </c>
      <c r="N149">
        <v>3.931</v>
      </c>
      <c r="O149">
        <v>3030801</v>
      </c>
      <c r="P149">
        <v>0.10596465282148101</v>
      </c>
    </row>
    <row r="150" spans="1:16" x14ac:dyDescent="0.3">
      <c r="A150" t="s">
        <v>154</v>
      </c>
      <c r="B150" s="4" cm="1">
        <f t="array" ref="B150">_xll.SNL.Clients.Office.Excel.Functions.SPG(A150, "SP_TOTAL_REV", "CY2023")</f>
        <v>12068000</v>
      </c>
      <c r="C150" s="4">
        <f>_xll.SNL.Clients.Office.Excel.Functions.SPG(A150,"IQ_AVG_DILUT_SHARES_OUT","CY2023")</f>
        <v>451200000</v>
      </c>
      <c r="D150" s="5">
        <f>_xll.SNL.Clients.Office.Excel.Functions.SPG(A150, "IQ_DILUT_EPS_NORM", "CY2023")</f>
        <v>1.929</v>
      </c>
      <c r="E150">
        <f t="shared" si="8"/>
        <v>870364.8</v>
      </c>
      <c r="F150">
        <f t="shared" si="9"/>
        <v>7.2121710308253234E-2</v>
      </c>
      <c r="H150" t="b">
        <f t="shared" si="10"/>
        <v>1</v>
      </c>
      <c r="K150" t="s">
        <v>674</v>
      </c>
      <c r="L150">
        <v>12068000</v>
      </c>
      <c r="M150">
        <v>451200000</v>
      </c>
      <c r="N150">
        <v>1.929</v>
      </c>
      <c r="O150">
        <v>870364.8</v>
      </c>
      <c r="P150">
        <v>7.2121710308253234E-2</v>
      </c>
    </row>
    <row r="151" spans="1:16" x14ac:dyDescent="0.3">
      <c r="A151" t="s">
        <v>155</v>
      </c>
      <c r="B151" s="4" cm="1">
        <f t="array" ref="B151">_xll.SNL.Clients.Office.Excel.Functions.SPG(A151, "SP_TOTAL_REV", "CY2023")</f>
        <v>9210000</v>
      </c>
      <c r="C151" s="4">
        <f>_xll.SNL.Clients.Office.Excel.Functions.SPG(A151,"IQ_AVG_DILUT_SHARES_OUT","CY2023")</f>
        <v>119400000</v>
      </c>
      <c r="D151" s="5">
        <f>_xll.SNL.Clients.Office.Excel.Functions.SPG(A151, "IQ_DILUT_EPS_NORM", "CY2023")</f>
        <v>4.2549999999999999</v>
      </c>
      <c r="E151">
        <f t="shared" si="8"/>
        <v>508047</v>
      </c>
      <c r="F151">
        <f t="shared" si="9"/>
        <v>5.5162540716612377E-2</v>
      </c>
      <c r="H151" t="b">
        <f t="shared" si="10"/>
        <v>1</v>
      </c>
      <c r="K151" t="s">
        <v>675</v>
      </c>
      <c r="L151">
        <v>9210000</v>
      </c>
      <c r="M151">
        <v>119400000</v>
      </c>
      <c r="N151">
        <v>4.2549999999999999</v>
      </c>
      <c r="O151">
        <v>508047</v>
      </c>
      <c r="P151">
        <v>5.5162540716612377E-2</v>
      </c>
    </row>
    <row r="152" spans="1:16" x14ac:dyDescent="0.3">
      <c r="A152" t="s">
        <v>156</v>
      </c>
      <c r="B152" s="4" cm="1">
        <f t="array" ref="B152">_xll.SNL.Clients.Office.Excel.Functions.SPG(A152, "SP_TOTAL_REV", "CY2023")</f>
        <v>23196000</v>
      </c>
      <c r="C152" s="4">
        <f>_xll.SNL.Clients.Office.Excel.Functions.SPG(A152,"IQ_AVG_DILUT_SHARES_OUT","CY2023")</f>
        <v>401100000</v>
      </c>
      <c r="D152" s="5">
        <f>_xll.SNL.Clients.Office.Excel.Functions.SPG(A152, "IQ_DILUT_EPS_NORM", "CY2023")</f>
        <v>5.9509999999999996</v>
      </c>
      <c r="E152">
        <f t="shared" si="8"/>
        <v>2386946.1</v>
      </c>
      <c r="F152">
        <f t="shared" si="9"/>
        <v>0.10290334971546819</v>
      </c>
      <c r="H152" t="b">
        <f t="shared" si="10"/>
        <v>1</v>
      </c>
      <c r="K152" t="s">
        <v>676</v>
      </c>
      <c r="L152">
        <v>23196000</v>
      </c>
      <c r="M152">
        <v>401100000</v>
      </c>
      <c r="N152">
        <v>5.9509999999999996</v>
      </c>
      <c r="O152">
        <v>2386946.1</v>
      </c>
      <c r="P152">
        <v>0.10290334971546819</v>
      </c>
    </row>
    <row r="153" spans="1:16" x14ac:dyDescent="0.3">
      <c r="A153" t="s">
        <v>157</v>
      </c>
      <c r="B153" s="4" cm="1">
        <f t="array" ref="B153">_xll.SNL.Clients.Office.Excel.Functions.SPG(A153, "SP_TOTAL_REV", "CY2023")</f>
        <v>10112000</v>
      </c>
      <c r="C153" s="4">
        <f>_xll.SNL.Clients.Office.Excel.Functions.SPG(A153,"IQ_AVG_DILUT_SHARES_OUT","CY2023")</f>
        <v>533000000</v>
      </c>
      <c r="D153" s="5">
        <f>_xll.SNL.Clients.Office.Excel.Functions.SPG(A153, "IQ_DILUT_EPS_NORM", "CY2023")</f>
        <v>2.3639999999999999</v>
      </c>
      <c r="E153">
        <f t="shared" si="8"/>
        <v>1260012</v>
      </c>
      <c r="F153">
        <f t="shared" si="9"/>
        <v>0.1246056170886076</v>
      </c>
      <c r="H153" t="b">
        <f t="shared" si="10"/>
        <v>1</v>
      </c>
      <c r="K153" t="s">
        <v>677</v>
      </c>
      <c r="L153">
        <v>10112000</v>
      </c>
      <c r="M153">
        <v>533000000</v>
      </c>
      <c r="N153">
        <v>2.3639999999999999</v>
      </c>
      <c r="O153">
        <v>1260012</v>
      </c>
      <c r="P153">
        <v>0.1246056170886076</v>
      </c>
    </row>
    <row r="154" spans="1:16" x14ac:dyDescent="0.3">
      <c r="A154" t="s">
        <v>158</v>
      </c>
      <c r="B154" s="4" cm="1">
        <f t="array" ref="B154">_xll.SNL.Clients.Office.Excel.Functions.SPG(A154, "SP_TOTAL_REV", "CY2023")</f>
        <v>15320200</v>
      </c>
      <c r="C154" s="4">
        <f>_xll.SNL.Clients.Office.Excel.Functions.SPG(A154,"IQ_AVG_DILUT_SHARES_OUT","CY2023")</f>
        <v>286500000</v>
      </c>
      <c r="D154" s="5">
        <f>_xll.SNL.Clients.Office.Excel.Functions.SPG(A154, "IQ_DILUT_EPS_NORM", "CY2023")</f>
        <v>4.0490000000000004</v>
      </c>
      <c r="E154">
        <f t="shared" si="8"/>
        <v>1160038.5</v>
      </c>
      <c r="F154">
        <f t="shared" si="9"/>
        <v>7.5719540214879699E-2</v>
      </c>
      <c r="H154" t="b">
        <f t="shared" si="10"/>
        <v>1</v>
      </c>
      <c r="K154" t="s">
        <v>678</v>
      </c>
      <c r="L154">
        <v>15320200</v>
      </c>
      <c r="M154">
        <v>286500000</v>
      </c>
      <c r="N154">
        <v>4.0490000000000004</v>
      </c>
      <c r="O154">
        <v>1160038.5</v>
      </c>
      <c r="P154">
        <v>7.5719540214879699E-2</v>
      </c>
    </row>
    <row r="155" spans="1:16" x14ac:dyDescent="0.3">
      <c r="A155" t="s">
        <v>159</v>
      </c>
      <c r="B155" s="4" cm="1">
        <f t="array" ref="B155">_xll.SNL.Clients.Office.Excel.Functions.SPG(A155, "SP_TOTAL_REV", "CY2023")</f>
        <v>16338000</v>
      </c>
      <c r="C155" s="4">
        <f>_xll.SNL.Clients.Office.Excel.Functions.SPG(A155,"IQ_AVG_DILUT_SHARES_OUT","CY2023")</f>
        <v>385000000</v>
      </c>
      <c r="D155" s="5">
        <f>_xll.SNL.Clients.Office.Excel.Functions.SPG(A155, "IQ_DILUT_EPS_NORM", "CY2023")</f>
        <v>3.5470000000000002</v>
      </c>
      <c r="E155">
        <f t="shared" si="8"/>
        <v>1365595</v>
      </c>
      <c r="F155">
        <f t="shared" si="9"/>
        <v>8.3583976006855187E-2</v>
      </c>
      <c r="H155" t="b">
        <f t="shared" si="10"/>
        <v>1</v>
      </c>
      <c r="K155" t="s">
        <v>679</v>
      </c>
      <c r="L155">
        <v>16338000</v>
      </c>
      <c r="M155">
        <v>385000000</v>
      </c>
      <c r="N155">
        <v>3.5470000000000002</v>
      </c>
      <c r="O155">
        <v>1365595</v>
      </c>
      <c r="P155">
        <v>8.3583976006855187E-2</v>
      </c>
    </row>
    <row r="156" spans="1:16" x14ac:dyDescent="0.3">
      <c r="A156" t="s">
        <v>160</v>
      </c>
      <c r="B156" s="4" cm="1">
        <f t="array" ref="B156">_xll.SNL.Clients.Office.Excel.Functions.SPG(A156, "SP_TOTAL_REV", "CY2023")</f>
        <v>6004800</v>
      </c>
      <c r="C156" s="4">
        <f>_xll.SNL.Clients.Office.Excel.Functions.SPG(A156,"IQ_AVG_DILUT_SHARES_OUT","CY2023")</f>
        <v>609400000</v>
      </c>
      <c r="D156" s="5">
        <f>_xll.SNL.Clients.Office.Excel.Functions.SPG(A156, "IQ_DILUT_EPS_NORM", "CY2023")</f>
        <v>1.8520000000000001</v>
      </c>
      <c r="E156">
        <f t="shared" si="8"/>
        <v>1128608.8</v>
      </c>
      <c r="F156">
        <f t="shared" si="9"/>
        <v>0.18795110578204105</v>
      </c>
      <c r="H156" t="b">
        <f t="shared" si="10"/>
        <v>1</v>
      </c>
      <c r="K156" t="s">
        <v>680</v>
      </c>
      <c r="L156">
        <v>6004800</v>
      </c>
      <c r="M156">
        <v>609400000</v>
      </c>
      <c r="N156">
        <v>1.8520000000000001</v>
      </c>
      <c r="O156">
        <v>1128608.8</v>
      </c>
      <c r="P156">
        <v>0.18795110578204105</v>
      </c>
    </row>
    <row r="157" spans="1:16" x14ac:dyDescent="0.3">
      <c r="A157" t="s">
        <v>161</v>
      </c>
      <c r="B157" s="4" cm="1">
        <f t="array" ref="B157">_xll.SNL.Clients.Office.Excel.Functions.SPG(A157, "SP_TOTAL_REV", "CY2023")</f>
        <v>7657000</v>
      </c>
      <c r="C157" s="4">
        <f>_xll.SNL.Clients.Office.Excel.Functions.SPG(A157,"IQ_AVG_DILUT_SHARES_OUT","CY2023")</f>
        <v>272750000</v>
      </c>
      <c r="D157" s="5">
        <f>_xll.SNL.Clients.Office.Excel.Functions.SPG(A157, "IQ_DILUT_EPS_NORM", "CY2023")</f>
        <v>3.7210000000000001</v>
      </c>
      <c r="E157">
        <f t="shared" si="8"/>
        <v>1014902.75</v>
      </c>
      <c r="F157">
        <f t="shared" si="9"/>
        <v>0.13254574245788167</v>
      </c>
      <c r="H157" t="b">
        <f t="shared" si="10"/>
        <v>1</v>
      </c>
      <c r="K157" t="s">
        <v>681</v>
      </c>
      <c r="L157">
        <v>7657000</v>
      </c>
      <c r="M157">
        <v>272750000</v>
      </c>
      <c r="N157">
        <v>3.7210000000000001</v>
      </c>
      <c r="O157">
        <v>1014902.75</v>
      </c>
      <c r="P157">
        <v>0.13254574245788167</v>
      </c>
    </row>
    <row r="158" spans="1:16" x14ac:dyDescent="0.3">
      <c r="A158" t="s">
        <v>162</v>
      </c>
      <c r="B158" s="4" cm="1">
        <f t="array" ref="B158">_xll.SNL.Clients.Office.Excel.Functions.SPG(A158, "SP_TOTAL_REV", "CY2023")</f>
        <v>171340000</v>
      </c>
      <c r="C158" s="4">
        <f>_xll.SNL.Clients.Office.Excel.Functions.SPG(A158,"IQ_AVG_DILUT_SHARES_OUT","CY2023")</f>
        <v>237400000</v>
      </c>
      <c r="D158" s="5">
        <f>_xll.SNL.Clients.Office.Excel.Functions.SPG(A158, "IQ_DILUT_EPS_NORM", "CY2023")</f>
        <v>23.306000000000001</v>
      </c>
      <c r="E158">
        <f t="shared" si="8"/>
        <v>5532844.4000000004</v>
      </c>
      <c r="F158">
        <f t="shared" si="9"/>
        <v>3.229160966499358E-2</v>
      </c>
      <c r="H158" t="b">
        <f t="shared" si="10"/>
        <v>1</v>
      </c>
      <c r="K158" t="s">
        <v>682</v>
      </c>
      <c r="L158">
        <v>171340000</v>
      </c>
      <c r="M158">
        <v>237400000</v>
      </c>
      <c r="N158">
        <v>23.306000000000001</v>
      </c>
      <c r="O158">
        <v>5532844.4000000004</v>
      </c>
      <c r="P158">
        <v>3.229160966499358E-2</v>
      </c>
    </row>
    <row r="159" spans="1:16" x14ac:dyDescent="0.3">
      <c r="A159" t="s">
        <v>163</v>
      </c>
      <c r="B159" s="4" cm="1">
        <f t="array" ref="B159">_xll.SNL.Clients.Office.Excel.Functions.SPG(A159, "SP_TOTAL_REV", "CY2023")</f>
        <v>34124100</v>
      </c>
      <c r="C159" s="4">
        <f>_xll.SNL.Clients.Office.Excel.Functions.SPG(A159,"IQ_AVG_DILUT_SHARES_OUT","CY2023")</f>
        <v>903284000</v>
      </c>
      <c r="D159" s="5">
        <f>_xll.SNL.Clients.Office.Excel.Functions.SPG(A159, "IQ_DILUT_EPS_NORM", "CY2023")</f>
        <v>7.2249999999999996</v>
      </c>
      <c r="E159">
        <f t="shared" si="8"/>
        <v>6526226.9000000004</v>
      </c>
      <c r="F159">
        <f t="shared" si="9"/>
        <v>0.19124978827280428</v>
      </c>
      <c r="H159" t="b">
        <f t="shared" si="10"/>
        <v>1</v>
      </c>
      <c r="K159" t="s">
        <v>683</v>
      </c>
      <c r="L159">
        <v>34124100</v>
      </c>
      <c r="M159">
        <v>903284000</v>
      </c>
      <c r="N159">
        <v>7.2249999999999996</v>
      </c>
      <c r="O159">
        <v>6526226.9000000004</v>
      </c>
      <c r="P159">
        <v>0.19124978827280428</v>
      </c>
    </row>
    <row r="160" spans="1:16" x14ac:dyDescent="0.3">
      <c r="A160" t="s">
        <v>164</v>
      </c>
      <c r="B160" s="4" cm="1">
        <f t="array" ref="B160">_xll.SNL.Clients.Office.Excel.Functions.SPG(A160, "SP_TOTAL_REV", "CY2023")</f>
        <v>15909000</v>
      </c>
      <c r="C160" s="4">
        <f>_xll.SNL.Clients.Office.Excel.Functions.SPG(A160,"IQ_AVG_DILUT_SHARES_OUT","CY2023")</f>
        <v>573950000</v>
      </c>
      <c r="D160" s="5">
        <f>_xll.SNL.Clients.Office.Excel.Functions.SPG(A160, "IQ_DILUT_EPS_NORM", "CY2023")</f>
        <v>3.0270000000000001</v>
      </c>
      <c r="E160">
        <f t="shared" si="8"/>
        <v>1737346.65</v>
      </c>
      <c r="F160">
        <f t="shared" si="9"/>
        <v>0.10920527060154629</v>
      </c>
      <c r="H160" t="b">
        <f t="shared" si="10"/>
        <v>1</v>
      </c>
      <c r="K160" t="s">
        <v>684</v>
      </c>
      <c r="L160">
        <v>15909000</v>
      </c>
      <c r="M160">
        <v>573950000</v>
      </c>
      <c r="N160">
        <v>3.0270000000000001</v>
      </c>
      <c r="O160">
        <v>1737346.65</v>
      </c>
      <c r="P160">
        <v>0.10920527060154629</v>
      </c>
    </row>
    <row r="161" spans="1:16" x14ac:dyDescent="0.3">
      <c r="A161" t="s">
        <v>165</v>
      </c>
      <c r="B161" s="4" cm="1">
        <f t="array" ref="B161">_xll.SNL.Clients.Office.Excel.Functions.SPG(A161, "SP_TOTAL_REV", "CY2023")</f>
        <v>2290786</v>
      </c>
      <c r="C161" s="4">
        <f>_xll.SNL.Clients.Office.Excel.Functions.SPG(A161,"IQ_AVG_DILUT_SHARES_OUT","CY2023")</f>
        <v>143290000</v>
      </c>
      <c r="D161" s="5">
        <f>_xll.SNL.Clients.Office.Excel.Functions.SPG(A161, "IQ_DILUT_EPS_NORM", "CY2023")</f>
        <v>2.2719999999999998</v>
      </c>
      <c r="E161">
        <f t="shared" si="8"/>
        <v>325554.88</v>
      </c>
      <c r="F161">
        <f t="shared" si="9"/>
        <v>0.14211492474635343</v>
      </c>
      <c r="H161" t="b">
        <f t="shared" si="10"/>
        <v>1</v>
      </c>
      <c r="K161" t="s">
        <v>685</v>
      </c>
      <c r="L161">
        <v>2290786</v>
      </c>
      <c r="M161">
        <v>143290000</v>
      </c>
      <c r="N161">
        <v>2.2719999999999998</v>
      </c>
      <c r="O161">
        <v>325554.88</v>
      </c>
      <c r="P161">
        <v>0.14211492474635343</v>
      </c>
    </row>
    <row r="162" spans="1:16" x14ac:dyDescent="0.3">
      <c r="A162" t="s">
        <v>166</v>
      </c>
      <c r="B162" s="4" cm="1">
        <f t="array" ref="B162">_xll.SNL.Clients.Office.Excel.Functions.SPG(A162, "SP_TOTAL_REV", "CY2023")</f>
        <v>12147412</v>
      </c>
      <c r="C162" s="4">
        <f>_xll.SNL.Clients.Office.Excel.Functions.SPG(A162,"IQ_AVG_DILUT_SHARES_OUT","CY2023")</f>
        <v>212376495</v>
      </c>
      <c r="D162" s="5">
        <f>_xll.SNL.Clients.Office.Excel.Functions.SPG(A162, "IQ_DILUT_EPS_NORM", "CY2023")</f>
        <v>5.5</v>
      </c>
      <c r="E162">
        <f t="shared" si="8"/>
        <v>1168070.7224999999</v>
      </c>
      <c r="F162">
        <f t="shared" si="9"/>
        <v>9.6157990072288646E-2</v>
      </c>
      <c r="H162" t="b">
        <f t="shared" si="10"/>
        <v>1</v>
      </c>
      <c r="K162" t="s">
        <v>686</v>
      </c>
      <c r="L162">
        <v>12147412</v>
      </c>
      <c r="M162">
        <v>212376495</v>
      </c>
      <c r="N162">
        <v>5.5</v>
      </c>
      <c r="O162">
        <v>1168070.7224999999</v>
      </c>
      <c r="P162">
        <v>9.6157990072288646E-2</v>
      </c>
    </row>
    <row r="163" spans="1:16" x14ac:dyDescent="0.3">
      <c r="A163" t="s">
        <v>167</v>
      </c>
      <c r="B163" s="4" cm="1">
        <f t="array" ref="B163">_xll.SNL.Clients.Office.Excel.Functions.SPG(A163, "SP_TOTAL_REV", "CY2023")</f>
        <v>23273000</v>
      </c>
      <c r="C163" s="4">
        <f>_xll.SNL.Clients.Office.Excel.Functions.SPG(A163,"IQ_AVG_DILUT_SHARES_OUT","CY2023")</f>
        <v>584000000</v>
      </c>
      <c r="D163" s="5">
        <f>_xll.SNL.Clients.Office.Excel.Functions.SPG(A163, "IQ_DILUT_EPS_NORM", "CY2023")</f>
        <v>10.303000000000001</v>
      </c>
      <c r="E163">
        <f t="shared" si="8"/>
        <v>6016952.0000000009</v>
      </c>
      <c r="F163">
        <f t="shared" si="9"/>
        <v>0.25853787650925969</v>
      </c>
      <c r="H163" t="b">
        <f t="shared" si="10"/>
        <v>1</v>
      </c>
      <c r="K163" t="s">
        <v>687</v>
      </c>
      <c r="L163">
        <v>23273000</v>
      </c>
      <c r="M163">
        <v>584000000</v>
      </c>
      <c r="N163">
        <v>10.303000000000001</v>
      </c>
      <c r="O163">
        <v>6016952.0000000009</v>
      </c>
      <c r="P163">
        <v>0.25853787650925969</v>
      </c>
    </row>
    <row r="164" spans="1:16" x14ac:dyDescent="0.3">
      <c r="A164" t="s">
        <v>168</v>
      </c>
      <c r="B164" s="4" cm="1">
        <f t="array" ref="B164">_xll.SNL.Clients.Office.Excel.Functions.SPG(A164, "SP_TOTAL_REV", "CY2023")</f>
        <v>4690540</v>
      </c>
      <c r="C164" s="4">
        <f>_xll.SNL.Clients.Office.Excel.Functions.SPG(A164,"IQ_AVG_DILUT_SHARES_OUT","CY2023")</f>
        <v>59085000</v>
      </c>
      <c r="D164" s="5">
        <f>_xll.SNL.Clients.Office.Excel.Functions.SPG(A164, "IQ_DILUT_EPS_NORM", "CY2023")</f>
        <v>6.5890000000000004</v>
      </c>
      <c r="E164">
        <f t="shared" si="8"/>
        <v>389311.065</v>
      </c>
      <c r="F164">
        <f t="shared" si="9"/>
        <v>8.2999199452515063E-2</v>
      </c>
      <c r="H164" t="b">
        <f t="shared" si="10"/>
        <v>1</v>
      </c>
      <c r="K164" t="s">
        <v>688</v>
      </c>
      <c r="L164">
        <v>4690540</v>
      </c>
      <c r="M164">
        <v>59085000</v>
      </c>
      <c r="N164">
        <v>6.5890000000000004</v>
      </c>
      <c r="O164">
        <v>389311.065</v>
      </c>
      <c r="P164">
        <v>8.2999199452515063E-2</v>
      </c>
    </row>
    <row r="165" spans="1:16" x14ac:dyDescent="0.3">
      <c r="A165" t="s">
        <v>169</v>
      </c>
      <c r="B165" s="4" cm="1">
        <f t="array" ref="B165">_xll.SNL.Clients.Office.Excel.Functions.SPG(A165, "SP_TOTAL_REV", "CY2023")</f>
        <v>4974255</v>
      </c>
      <c r="C165" s="4">
        <f>_xll.SNL.Clients.Office.Excel.Functions.SPG(A165,"IQ_AVG_DILUT_SHARES_OUT","CY2023")</f>
        <v>413224000</v>
      </c>
      <c r="D165" s="5">
        <f>_xll.SNL.Clients.Office.Excel.Functions.SPG(A165, "IQ_DILUT_EPS_NORM", "CY2023")</f>
        <v>3.4929999999999999</v>
      </c>
      <c r="E165">
        <f t="shared" si="8"/>
        <v>1443391.432</v>
      </c>
      <c r="F165">
        <f t="shared" si="9"/>
        <v>0.29017238400524298</v>
      </c>
      <c r="H165" t="b">
        <f t="shared" si="10"/>
        <v>1</v>
      </c>
      <c r="K165" t="s">
        <v>689</v>
      </c>
      <c r="L165">
        <v>4974255</v>
      </c>
      <c r="M165">
        <v>413224000</v>
      </c>
      <c r="N165">
        <v>3.4929999999999999</v>
      </c>
      <c r="O165">
        <v>1443391.432</v>
      </c>
      <c r="P165">
        <v>0.29017238400524298</v>
      </c>
    </row>
    <row r="166" spans="1:16" x14ac:dyDescent="0.3">
      <c r="A166" t="s">
        <v>170</v>
      </c>
      <c r="B166" s="4" cm="1">
        <f t="array" ref="B166">_xll.SNL.Clients.Office.Excel.Functions.SPG(A166, "SP_TOTAL_REV", "CY2023")</f>
        <v>5265200</v>
      </c>
      <c r="C166" s="4">
        <f>_xll.SNL.Clients.Office.Excel.Functions.SPG(A166,"IQ_AVG_DILUT_SHARES_OUT","CY2023")</f>
        <v>123900000</v>
      </c>
      <c r="D166" s="5">
        <f>_xll.SNL.Clients.Office.Excel.Functions.SPG(A166, "IQ_DILUT_EPS_NORM", "CY2023")</f>
        <v>3.7429999999999999</v>
      </c>
      <c r="E166">
        <f t="shared" si="8"/>
        <v>463757.7</v>
      </c>
      <c r="F166">
        <f t="shared" si="9"/>
        <v>8.8079788042239607E-2</v>
      </c>
      <c r="H166" t="b">
        <f t="shared" si="10"/>
        <v>1</v>
      </c>
      <c r="K166" t="s">
        <v>690</v>
      </c>
      <c r="L166">
        <v>5265200</v>
      </c>
      <c r="M166">
        <v>123900000</v>
      </c>
      <c r="N166">
        <v>3.7429999999999999</v>
      </c>
      <c r="O166">
        <v>463757.7</v>
      </c>
      <c r="P166">
        <v>8.8079788042239607E-2</v>
      </c>
    </row>
    <row r="167" spans="1:16" x14ac:dyDescent="0.3">
      <c r="A167" t="s">
        <v>171</v>
      </c>
      <c r="B167" s="4" cm="1">
        <f t="array" ref="B167">_xll.SNL.Clients.Office.Excel.Functions.SPG(A167, "SP_TOTAL_REV", "CY2023")</f>
        <v>8272667</v>
      </c>
      <c r="C167" s="4">
        <f>_xll.SNL.Clients.Office.Excel.Functions.SPG(A167,"IQ_AVG_DILUT_SHARES_OUT","CY2023")</f>
        <v>94009000</v>
      </c>
      <c r="D167" s="5">
        <f>_xll.SNL.Clients.Office.Excel.Functions.SPG(A167, "IQ_DILUT_EPS_NORM", "CY2023")</f>
        <v>4.5780000000000003</v>
      </c>
      <c r="E167">
        <f t="shared" si="8"/>
        <v>430373.20199999999</v>
      </c>
      <c r="F167">
        <f t="shared" si="9"/>
        <v>5.2023513336146611E-2</v>
      </c>
      <c r="H167" t="b">
        <f t="shared" si="10"/>
        <v>1</v>
      </c>
      <c r="K167" t="s">
        <v>691</v>
      </c>
      <c r="L167">
        <v>8272667</v>
      </c>
      <c r="M167">
        <v>94009000</v>
      </c>
      <c r="N167">
        <v>4.5780000000000003</v>
      </c>
      <c r="O167">
        <v>430373.20199999999</v>
      </c>
      <c r="P167">
        <v>5.2023513336146611E-2</v>
      </c>
    </row>
    <row r="168" spans="1:16" x14ac:dyDescent="0.3">
      <c r="A168" t="s">
        <v>172</v>
      </c>
      <c r="B168" s="4" cm="1">
        <f t="array" ref="B168">_xll.SNL.Clients.Office.Excel.Functions.SPG(A168, "SP_TOTAL_REV", "CY2023")</f>
        <v>2874906</v>
      </c>
      <c r="C168" s="4">
        <f>_xll.SNL.Clients.Office.Excel.Functions.SPG(A168,"IQ_AVG_DILUT_SHARES_OUT","CY2023")</f>
        <v>390897000</v>
      </c>
      <c r="D168" s="5">
        <f>_xll.SNL.Clients.Office.Excel.Functions.SPG(A168, "IQ_DILUT_EPS_NORM", "CY2023")</f>
        <v>0.83</v>
      </c>
      <c r="E168">
        <f t="shared" si="8"/>
        <v>324444.51</v>
      </c>
      <c r="F168">
        <f t="shared" si="9"/>
        <v>0.11285395418145845</v>
      </c>
      <c r="H168" t="b">
        <f t="shared" si="10"/>
        <v>1</v>
      </c>
      <c r="K168" t="s">
        <v>692</v>
      </c>
      <c r="L168">
        <v>2874906</v>
      </c>
      <c r="M168">
        <v>390897000</v>
      </c>
      <c r="N168">
        <v>0.83</v>
      </c>
      <c r="O168">
        <v>324444.51</v>
      </c>
      <c r="P168">
        <v>0.11285395418145845</v>
      </c>
    </row>
    <row r="169" spans="1:16" x14ac:dyDescent="0.3">
      <c r="A169" t="s">
        <v>173</v>
      </c>
      <c r="B169" s="4" cm="1">
        <f t="array" ref="B169">_xll.SNL.Clients.Office.Excel.Functions.SPG(A169, "SP_TOTAL_REV", "CY2023")</f>
        <v>3310620</v>
      </c>
      <c r="C169" s="4">
        <f>_xll.SNL.Clients.Office.Excel.Functions.SPG(A169,"IQ_AVG_DILUT_SHARES_OUT","CY2023")</f>
        <v>46188981</v>
      </c>
      <c r="D169" s="5">
        <f>_xll.SNL.Clients.Office.Excel.Functions.SPG(A169, "IQ_DILUT_EPS_NORM", "CY2023")</f>
        <v>7.8150000000000004</v>
      </c>
      <c r="E169">
        <f t="shared" si="8"/>
        <v>360966.88651500002</v>
      </c>
      <c r="F169">
        <f t="shared" si="9"/>
        <v>0.1090330169318738</v>
      </c>
      <c r="H169" t="b">
        <f t="shared" si="10"/>
        <v>1</v>
      </c>
      <c r="K169" t="s">
        <v>1034</v>
      </c>
      <c r="L169">
        <v>3310620</v>
      </c>
      <c r="M169">
        <v>46188981</v>
      </c>
      <c r="N169">
        <v>7.8150000000000004</v>
      </c>
      <c r="O169">
        <v>360966.88651500002</v>
      </c>
      <c r="P169">
        <v>0.1090330169318738</v>
      </c>
    </row>
    <row r="170" spans="1:16" x14ac:dyDescent="0.3">
      <c r="A170" t="s">
        <v>174</v>
      </c>
      <c r="B170" s="4" cm="1">
        <f t="array" ref="B170">_xll.SNL.Clients.Office.Excel.Functions.SPG(A170, "SP_TOTAL_REV", "CY2023")</f>
        <v>1744220</v>
      </c>
      <c r="C170" s="4">
        <f>_xll.SNL.Clients.Office.Excel.Functions.SPG(A170,"IQ_AVG_DILUT_SHARES_OUT","CY2023")</f>
        <v>64253385</v>
      </c>
      <c r="D170" s="5">
        <f>_xll.SNL.Clients.Office.Excel.Functions.SPG(A170, "IQ_DILUT_EPS_NORM", "CY2023")</f>
        <v>3.14</v>
      </c>
      <c r="E170">
        <f t="shared" si="8"/>
        <v>201755.62890000001</v>
      </c>
      <c r="F170">
        <f t="shared" si="9"/>
        <v>0.11567097550767678</v>
      </c>
      <c r="H170" t="b">
        <f t="shared" si="10"/>
        <v>1</v>
      </c>
      <c r="K170" t="s">
        <v>693</v>
      </c>
      <c r="L170">
        <v>1744220</v>
      </c>
      <c r="M170">
        <v>64253385</v>
      </c>
      <c r="N170">
        <v>3.14</v>
      </c>
      <c r="O170">
        <v>201755.62890000001</v>
      </c>
      <c r="P170">
        <v>0.11567097550767678</v>
      </c>
    </row>
    <row r="171" spans="1:16" x14ac:dyDescent="0.3">
      <c r="A171" t="s">
        <v>175</v>
      </c>
      <c r="B171" s="4" cm="1">
        <f t="array" ref="B171">_xll.SNL.Clients.Office.Excel.Functions.SPG(A171, "SP_TOTAL_REV", "CY2023")</f>
        <v>14586000</v>
      </c>
      <c r="C171" s="4">
        <f>_xll.SNL.Clients.Office.Excel.Functions.SPG(A171,"IQ_AVG_DILUT_SHARES_OUT","CY2023")</f>
        <v>41300000</v>
      </c>
      <c r="D171" s="5">
        <f>_xll.SNL.Clients.Office.Excel.Functions.SPG(A171, "IQ_DILUT_EPS_NORM", "CY2023")</f>
        <v>32.597000000000001</v>
      </c>
      <c r="E171">
        <f t="shared" si="8"/>
        <v>1346256.1</v>
      </c>
      <c r="F171">
        <f t="shared" si="9"/>
        <v>9.2297826683120809E-2</v>
      </c>
      <c r="H171" t="b">
        <f t="shared" si="10"/>
        <v>1</v>
      </c>
      <c r="K171" t="s">
        <v>696</v>
      </c>
      <c r="L171">
        <v>14586000</v>
      </c>
      <c r="M171">
        <v>41300000</v>
      </c>
      <c r="N171">
        <v>32.597000000000001</v>
      </c>
      <c r="O171">
        <v>1346256.1</v>
      </c>
      <c r="P171">
        <v>9.2297826683120809E-2</v>
      </c>
    </row>
    <row r="172" spans="1:16" x14ac:dyDescent="0.3">
      <c r="A172" t="s">
        <v>176</v>
      </c>
      <c r="B172" s="4" cm="1">
        <f t="array" ref="B172">_xll.SNL.Clients.Office.Excel.Functions.SPG(A172, "SP_TOTAL_REV", "CY2023")</f>
        <v>5508200</v>
      </c>
      <c r="C172" s="4">
        <f>_xll.SNL.Clients.Office.Excel.Functions.SPG(A172,"IQ_AVG_DILUT_SHARES_OUT","CY2023")</f>
        <v>230500000</v>
      </c>
      <c r="D172" s="5">
        <f>_xll.SNL.Clients.Office.Excel.Functions.SPG(A172, "IQ_DILUT_EPS_NORM", "CY2023")</f>
        <v>2.0049999999999999</v>
      </c>
      <c r="E172">
        <f t="shared" si="8"/>
        <v>462152.5</v>
      </c>
      <c r="F172">
        <f t="shared" si="9"/>
        <v>8.3902636069859482E-2</v>
      </c>
      <c r="H172" t="b">
        <f t="shared" si="10"/>
        <v>1</v>
      </c>
      <c r="K172" t="s">
        <v>697</v>
      </c>
      <c r="L172">
        <v>5508200</v>
      </c>
      <c r="M172">
        <v>230500000</v>
      </c>
      <c r="N172">
        <v>2.0049999999999999</v>
      </c>
      <c r="O172">
        <v>462152.5</v>
      </c>
      <c r="P172">
        <v>8.3902636069859482E-2</v>
      </c>
    </row>
    <row r="173" spans="1:16" x14ac:dyDescent="0.3">
      <c r="A173" t="s">
        <v>177</v>
      </c>
      <c r="B173" s="4" cm="1">
        <f t="array" ref="B173">_xll.SNL.Clients.Office.Excel.Functions.SPG(A173, "SP_TOTAL_REV", "CY2023")</f>
        <v>11910705</v>
      </c>
      <c r="C173" s="4">
        <f>_xll.SNL.Clients.Office.Excel.Functions.SPG(A173,"IQ_AVG_DILUT_SHARES_OUT","CY2023")</f>
        <v>349580638</v>
      </c>
      <c r="D173" s="5">
        <f>_xll.SNL.Clients.Office.Excel.Functions.SPG(A173, "IQ_DILUT_EPS_NORM", "CY2023")</f>
        <v>3.37</v>
      </c>
      <c r="E173">
        <f t="shared" si="8"/>
        <v>1178086.75006</v>
      </c>
      <c r="F173">
        <f t="shared" si="9"/>
        <v>9.8909909200169094E-2</v>
      </c>
      <c r="H173" t="b">
        <f t="shared" si="10"/>
        <v>1</v>
      </c>
      <c r="K173" t="s">
        <v>698</v>
      </c>
      <c r="L173">
        <v>11910705</v>
      </c>
      <c r="M173">
        <v>349580638</v>
      </c>
      <c r="N173">
        <v>3.37</v>
      </c>
      <c r="O173">
        <v>1178086.75006</v>
      </c>
      <c r="P173">
        <v>9.8909909200169094E-2</v>
      </c>
    </row>
    <row r="174" spans="1:16" x14ac:dyDescent="0.3">
      <c r="A174" t="s">
        <v>178</v>
      </c>
      <c r="B174" s="4" cm="1">
        <f t="array" ref="B174">_xll.SNL.Clients.Office.Excel.Functions.SPG(A174, "SP_TOTAL_REV", "CY2023")</f>
        <v>21727000</v>
      </c>
      <c r="C174" s="4">
        <f>_xll.SNL.Clients.Office.Excel.Functions.SPG(A174,"IQ_AVG_DILUT_SHARES_OUT","CY2023")</f>
        <v>997000000</v>
      </c>
      <c r="D174" s="5">
        <f>_xll.SNL.Clients.Office.Excel.Functions.SPG(A174, "IQ_DILUT_EPS_NORM", "CY2023")</f>
        <v>1.706</v>
      </c>
      <c r="E174">
        <f t="shared" si="8"/>
        <v>1700882</v>
      </c>
      <c r="F174">
        <f t="shared" si="9"/>
        <v>7.828425461407465E-2</v>
      </c>
      <c r="H174" t="b">
        <f t="shared" si="10"/>
        <v>1</v>
      </c>
      <c r="K174" t="s">
        <v>699</v>
      </c>
      <c r="L174">
        <v>21727000</v>
      </c>
      <c r="M174">
        <v>997000000</v>
      </c>
      <c r="N174">
        <v>1.706</v>
      </c>
      <c r="O174">
        <v>1700882</v>
      </c>
      <c r="P174">
        <v>7.828425461407465E-2</v>
      </c>
    </row>
    <row r="175" spans="1:16" x14ac:dyDescent="0.3">
      <c r="A175" t="s">
        <v>179</v>
      </c>
      <c r="B175" s="4" cm="1">
        <f t="array" ref="B175">_xll.SNL.Clients.Office.Excel.Functions.SPG(A175, "SP_TOTAL_REV", "CY2023")</f>
        <v>12839000</v>
      </c>
      <c r="C175" s="4">
        <f>_xll.SNL.Clients.Office.Excel.Functions.SPG(A175,"IQ_AVG_DILUT_SHARES_OUT","CY2023")</f>
        <v>150228000</v>
      </c>
      <c r="D175" s="5">
        <f>_xll.SNL.Clients.Office.Excel.Functions.SPG(A175, "IQ_DILUT_EPS_NORM", "CY2023")</f>
        <v>6.5960000000000001</v>
      </c>
      <c r="E175">
        <f t="shared" si="8"/>
        <v>990903.88800000004</v>
      </c>
      <c r="F175">
        <f t="shared" si="9"/>
        <v>7.7179210841965884E-2</v>
      </c>
      <c r="H175" t="b">
        <f t="shared" si="10"/>
        <v>1</v>
      </c>
      <c r="K175" t="s">
        <v>700</v>
      </c>
      <c r="L175">
        <v>12839000</v>
      </c>
      <c r="M175">
        <v>150228000</v>
      </c>
      <c r="N175">
        <v>6.5960000000000001</v>
      </c>
      <c r="O175">
        <v>990903.88800000004</v>
      </c>
      <c r="P175">
        <v>7.7179210841965884E-2</v>
      </c>
    </row>
    <row r="176" spans="1:16" x14ac:dyDescent="0.3">
      <c r="A176" t="s">
        <v>180</v>
      </c>
      <c r="B176" s="4" cm="1">
        <f t="array" ref="B176">_xll.SNL.Clients.Office.Excel.Functions.SPG(A176, "SP_TOTAL_REV", "CY2023")</f>
        <v>9300110</v>
      </c>
      <c r="C176" s="4">
        <f>_xll.SNL.Clients.Office.Excel.Functions.SPG(A176,"IQ_AVG_DILUT_SHARES_OUT","CY2023")</f>
        <v>150186000</v>
      </c>
      <c r="D176" s="5">
        <f>_xll.SNL.Clients.Office.Excel.Functions.SPG(A176, "IQ_DILUT_EPS_NORM", "CY2023")</f>
        <v>4.2309999999999999</v>
      </c>
      <c r="E176">
        <f t="shared" si="8"/>
        <v>635436.96600000001</v>
      </c>
      <c r="F176">
        <f t="shared" si="9"/>
        <v>6.832574732987029E-2</v>
      </c>
      <c r="H176" t="b">
        <f t="shared" si="10"/>
        <v>1</v>
      </c>
      <c r="K176" t="s">
        <v>701</v>
      </c>
      <c r="L176">
        <v>9300110</v>
      </c>
      <c r="M176">
        <v>150186000</v>
      </c>
      <c r="N176">
        <v>4.2309999999999999</v>
      </c>
      <c r="O176">
        <v>635436.96600000001</v>
      </c>
      <c r="P176">
        <v>6.832574732987029E-2</v>
      </c>
    </row>
    <row r="177" spans="1:16" x14ac:dyDescent="0.3">
      <c r="A177" t="s">
        <v>181</v>
      </c>
      <c r="B177" s="4" cm="1">
        <f t="array" ref="B177">_xll.SNL.Clients.Office.Excel.Functions.SPG(A177, "SP_TOTAL_REV", "CY2023")</f>
        <v>2699936</v>
      </c>
      <c r="C177" s="4">
        <f>_xll.SNL.Clients.Office.Excel.Functions.SPG(A177,"IQ_AVG_DILUT_SHARES_OUT","CY2023")</f>
        <v>169220882</v>
      </c>
      <c r="D177" s="5">
        <f>_xll.SNL.Clients.Office.Excel.Functions.SPG(A177, "IQ_DILUT_EPS_NORM", "CY2023")</f>
        <v>3.1880000000000002</v>
      </c>
      <c r="E177">
        <f t="shared" si="8"/>
        <v>539476.17181600002</v>
      </c>
      <c r="F177">
        <f t="shared" si="9"/>
        <v>0.19981072581572304</v>
      </c>
      <c r="H177" t="b">
        <f t="shared" si="10"/>
        <v>1</v>
      </c>
      <c r="K177" t="s">
        <v>702</v>
      </c>
      <c r="L177">
        <v>2699936</v>
      </c>
      <c r="M177">
        <v>169220882</v>
      </c>
      <c r="N177">
        <v>3.1880000000000002</v>
      </c>
      <c r="O177">
        <v>539476.17181600002</v>
      </c>
      <c r="P177">
        <v>0.19981072581572304</v>
      </c>
    </row>
    <row r="178" spans="1:16" x14ac:dyDescent="0.3">
      <c r="A178" t="s">
        <v>182</v>
      </c>
      <c r="B178" s="4" cm="1">
        <f t="array" ref="B178">_xll.SNL.Clients.Office.Excel.Functions.SPG(A178, "SP_TOTAL_REV", "CY2023")</f>
        <v>338293000</v>
      </c>
      <c r="C178" s="4">
        <f>_xll.SNL.Clients.Office.Excel.Functions.SPG(A178,"IQ_AVG_DILUT_SHARES_OUT","CY2023")</f>
        <v>4052000000</v>
      </c>
      <c r="D178" s="5">
        <f>_xll.SNL.Clients.Office.Excel.Functions.SPG(A178, "IQ_DILUT_EPS_NORM", "CY2023")</f>
        <v>8.24</v>
      </c>
      <c r="E178">
        <f t="shared" si="8"/>
        <v>33388480</v>
      </c>
      <c r="F178">
        <f t="shared" si="9"/>
        <v>9.8696928402302153E-2</v>
      </c>
      <c r="H178" t="b">
        <f t="shared" si="10"/>
        <v>1</v>
      </c>
      <c r="K178" t="s">
        <v>703</v>
      </c>
      <c r="L178">
        <v>338293000</v>
      </c>
      <c r="M178">
        <v>4052000000</v>
      </c>
      <c r="N178">
        <v>8.24</v>
      </c>
      <c r="O178">
        <v>33388480</v>
      </c>
      <c r="P178">
        <v>9.8696928402302153E-2</v>
      </c>
    </row>
    <row r="179" spans="1:16" x14ac:dyDescent="0.3">
      <c r="A179" t="s">
        <v>183</v>
      </c>
      <c r="B179" s="4" cm="1">
        <f t="array" ref="B179">_xll.SNL.Clients.Office.Excel.Functions.SPG(A179, "SP_TOTAL_REV", "CY2023")</f>
        <v>2805388</v>
      </c>
      <c r="C179" s="4">
        <f>_xll.SNL.Clients.Office.Excel.Functions.SPG(A179,"IQ_AVG_DILUT_SHARES_OUT","CY2023")</f>
        <v>60086500</v>
      </c>
      <c r="D179" s="5">
        <f>_xll.SNL.Clients.Office.Excel.Functions.SPG(A179, "IQ_DILUT_EPS_NORM", "CY2023")</f>
        <v>6.5490000000000004</v>
      </c>
      <c r="E179">
        <f t="shared" si="8"/>
        <v>393506.48849999998</v>
      </c>
      <c r="F179">
        <f t="shared" si="9"/>
        <v>0.1402681156759778</v>
      </c>
      <c r="H179" t="b">
        <f t="shared" si="10"/>
        <v>1</v>
      </c>
      <c r="K179" t="s">
        <v>704</v>
      </c>
      <c r="L179">
        <v>2805388</v>
      </c>
      <c r="M179">
        <v>60086500</v>
      </c>
      <c r="N179">
        <v>6.5490000000000004</v>
      </c>
      <c r="O179">
        <v>393506.48849999998</v>
      </c>
      <c r="P179">
        <v>0.1402681156759778</v>
      </c>
    </row>
    <row r="180" spans="1:16" x14ac:dyDescent="0.3">
      <c r="A180" t="s">
        <v>184</v>
      </c>
      <c r="B180" s="4" cm="1">
        <f t="array" ref="B180">_xll.SNL.Clients.Office.Excel.Functions.SPG(A180, "SP_TOTAL_REV", "CY2023")</f>
        <v>2122909</v>
      </c>
      <c r="C180" s="4">
        <f>_xll.SNL.Clients.Office.Excel.Functions.SPG(A180,"IQ_AVG_DILUT_SHARES_OUT","CY2023")</f>
        <v>38830250</v>
      </c>
      <c r="D180" s="5">
        <f>_xll.SNL.Clients.Office.Excel.Functions.SPG(A180, "IQ_DILUT_EPS_NORM", "CY2023")</f>
        <v>10.103999999999999</v>
      </c>
      <c r="E180">
        <f t="shared" si="8"/>
        <v>392340.84599999996</v>
      </c>
      <c r="F180">
        <f t="shared" si="9"/>
        <v>0.18481284218965577</v>
      </c>
      <c r="H180" t="b">
        <f t="shared" si="10"/>
        <v>1</v>
      </c>
      <c r="K180" t="s">
        <v>705</v>
      </c>
      <c r="L180">
        <v>2122909</v>
      </c>
      <c r="M180">
        <v>38830250</v>
      </c>
      <c r="N180">
        <v>10.103999999999999</v>
      </c>
      <c r="O180">
        <v>392340.84599999996</v>
      </c>
      <c r="P180">
        <v>0.18481284218965577</v>
      </c>
    </row>
    <row r="181" spans="1:16" x14ac:dyDescent="0.3">
      <c r="A181" t="s">
        <v>185</v>
      </c>
      <c r="B181" s="4" cm="1">
        <f t="array" ref="B181">_xll.SNL.Clients.Office.Excel.Functions.SPG(A181, "SP_TOTAL_REV", "CY2023")</f>
        <v>1550746</v>
      </c>
      <c r="C181" s="4">
        <f>_xll.SNL.Clients.Office.Excel.Functions.SPG(A181,"IQ_AVG_DILUT_SHARES_OUT","CY2023")</f>
        <v>25311000</v>
      </c>
      <c r="D181" s="5">
        <f>_xll.SNL.Clients.Office.Excel.Functions.SPG(A181, "IQ_DILUT_EPS_NORM", "CY2023")</f>
        <v>13.832000000000001</v>
      </c>
      <c r="E181">
        <f t="shared" si="8"/>
        <v>350101.75199999998</v>
      </c>
      <c r="F181">
        <f t="shared" si="9"/>
        <v>0.22576344030550458</v>
      </c>
      <c r="H181" t="b">
        <f t="shared" si="10"/>
        <v>1</v>
      </c>
      <c r="K181" t="s">
        <v>706</v>
      </c>
      <c r="L181">
        <v>1550746</v>
      </c>
      <c r="M181">
        <v>25311000</v>
      </c>
      <c r="N181">
        <v>13.832000000000001</v>
      </c>
      <c r="O181">
        <v>350101.75199999998</v>
      </c>
      <c r="P181">
        <v>0.22576344030550458</v>
      </c>
    </row>
    <row r="182" spans="1:16" x14ac:dyDescent="0.3">
      <c r="A182" t="s">
        <v>186</v>
      </c>
      <c r="B182" s="4" cm="1">
        <f t="array" ref="B182">_xll.SNL.Clients.Office.Excel.Functions.SPG(A182, "SP_TOTAL_REV", "CY2023")</f>
        <v>7346700</v>
      </c>
      <c r="C182" s="4">
        <f>_xll.SNL.Clients.Office.Excel.Functions.SPG(A182,"IQ_AVG_DILUT_SHARES_OUT","CY2023")</f>
        <v>573008608</v>
      </c>
      <c r="D182" s="5">
        <f>_xll.SNL.Clients.Office.Excel.Functions.SPG(A182, "IQ_DILUT_EPS_NORM", "CY2023")</f>
        <v>1.66</v>
      </c>
      <c r="E182">
        <f t="shared" si="8"/>
        <v>951194.28928000003</v>
      </c>
      <c r="F182">
        <f t="shared" si="9"/>
        <v>0.12947231944682647</v>
      </c>
      <c r="H182" t="b">
        <f t="shared" si="10"/>
        <v>1</v>
      </c>
      <c r="K182" t="s">
        <v>707</v>
      </c>
      <c r="L182">
        <v>7346700</v>
      </c>
      <c r="M182">
        <v>573008608</v>
      </c>
      <c r="N182">
        <v>1.66</v>
      </c>
      <c r="O182">
        <v>951194.28928000003</v>
      </c>
      <c r="P182">
        <v>0.12947231944682647</v>
      </c>
    </row>
    <row r="183" spans="1:16" x14ac:dyDescent="0.3">
      <c r="A183" t="s">
        <v>187</v>
      </c>
      <c r="B183" s="4" cm="1">
        <f t="array" ref="B183">_xll.SNL.Clients.Office.Excel.Functions.SPG(A183, "SP_TOTAL_REV", "CY2023")</f>
        <v>1140710</v>
      </c>
      <c r="C183" s="4">
        <f>_xll.SNL.Clients.Office.Excel.Functions.SPG(A183,"IQ_AVG_DILUT_SHARES_OUT","CY2023")</f>
        <v>81313000</v>
      </c>
      <c r="D183" s="5">
        <f>_xll.SNL.Clients.Office.Excel.Functions.SPG(A183, "IQ_DILUT_EPS_NORM", "CY2023")</f>
        <v>1.698</v>
      </c>
      <c r="E183">
        <f t="shared" si="8"/>
        <v>138069.47399999999</v>
      </c>
      <c r="F183">
        <f t="shared" si="9"/>
        <v>0.12103819024993205</v>
      </c>
      <c r="H183" t="b">
        <f t="shared" si="10"/>
        <v>1</v>
      </c>
      <c r="K183" t="s">
        <v>708</v>
      </c>
      <c r="L183">
        <v>1140710</v>
      </c>
      <c r="M183">
        <v>81313000</v>
      </c>
      <c r="N183">
        <v>1.698</v>
      </c>
      <c r="O183">
        <v>138069.47399999999</v>
      </c>
      <c r="P183">
        <v>0.12103819024993205</v>
      </c>
    </row>
    <row r="184" spans="1:16" x14ac:dyDescent="0.3">
      <c r="A184" t="s">
        <v>188</v>
      </c>
      <c r="B184" s="4" cm="1">
        <f t="array" ref="B184">_xll.SNL.Clients.Office.Excel.Functions.SPG(A184, "SP_TOTAL_REV", "CY2023")</f>
        <v>87945000</v>
      </c>
      <c r="C184" s="4">
        <f>_xll.SNL.Clients.Office.Excel.Functions.SPG(A184,"IQ_AVG_DILUT_SHARES_OUT","CY2023")</f>
        <v>253500000</v>
      </c>
      <c r="D184" s="5">
        <f>_xll.SNL.Clients.Office.Excel.Functions.SPG(A184, "IQ_DILUT_EPS_NORM", "CY2023")</f>
        <v>15.808999999999999</v>
      </c>
      <c r="E184">
        <f t="shared" si="8"/>
        <v>4007581.5</v>
      </c>
      <c r="F184">
        <f t="shared" si="9"/>
        <v>4.5569179600886918E-2</v>
      </c>
      <c r="H184" t="b">
        <f t="shared" si="10"/>
        <v>1</v>
      </c>
      <c r="K184" t="s">
        <v>709</v>
      </c>
      <c r="L184">
        <v>87945000</v>
      </c>
      <c r="M184">
        <v>253500000</v>
      </c>
      <c r="N184">
        <v>15.808999999999999</v>
      </c>
      <c r="O184">
        <v>4007581.5</v>
      </c>
      <c r="P184">
        <v>4.5569179600886918E-2</v>
      </c>
    </row>
    <row r="185" spans="1:16" x14ac:dyDescent="0.3">
      <c r="A185" t="s">
        <v>189</v>
      </c>
      <c r="B185" s="4" cm="1">
        <f t="array" ref="B185">_xll.SNL.Clients.Office.Excel.Functions.SPG(A185, "SP_TOTAL_REV", "CY2023")</f>
        <v>9821000</v>
      </c>
      <c r="C185" s="4">
        <f>_xll.SNL.Clients.Office.Excel.Functions.SPG(A185,"IQ_AVG_DILUT_SHARES_OUT","CY2023")</f>
        <v>591000000</v>
      </c>
      <c r="D185" s="5">
        <f>_xll.SNL.Clients.Office.Excel.Functions.SPG(A185, "IQ_DILUT_EPS_NORM", "CY2023")</f>
        <v>0.86599999999999999</v>
      </c>
      <c r="E185">
        <f t="shared" si="8"/>
        <v>511806</v>
      </c>
      <c r="F185">
        <f t="shared" si="9"/>
        <v>5.2113430404235821E-2</v>
      </c>
      <c r="H185" t="b">
        <f t="shared" si="10"/>
        <v>1</v>
      </c>
      <c r="K185" t="s">
        <v>710</v>
      </c>
      <c r="L185">
        <v>9821000</v>
      </c>
      <c r="M185">
        <v>591000000</v>
      </c>
      <c r="N185">
        <v>0.86599999999999999</v>
      </c>
      <c r="O185">
        <v>511806</v>
      </c>
      <c r="P185">
        <v>5.2113430404235821E-2</v>
      </c>
    </row>
    <row r="186" spans="1:16" x14ac:dyDescent="0.3">
      <c r="A186" t="s">
        <v>190</v>
      </c>
      <c r="B186" s="4" cm="1">
        <f t="array" ref="B186">_xll.SNL.Clients.Office.Excel.Functions.SPG(A186, "SP_TOTAL_REV", "CY2023")</f>
        <v>8708000</v>
      </c>
      <c r="C186" s="4">
        <f>_xll.SNL.Clients.Office.Excel.Functions.SPG(A186,"IQ_AVG_DILUT_SHARES_OUT","CY2023")</f>
        <v>687678291</v>
      </c>
      <c r="D186" s="5">
        <f>_xll.SNL.Clients.Office.Excel.Functions.SPG(A186, "IQ_DILUT_EPS_NORM", "CY2023")</f>
        <v>2.7189999999999999</v>
      </c>
      <c r="E186">
        <f t="shared" si="8"/>
        <v>1869797.2732289999</v>
      </c>
      <c r="F186">
        <f t="shared" si="9"/>
        <v>0.21472178149161689</v>
      </c>
      <c r="H186" t="b">
        <f t="shared" si="10"/>
        <v>1</v>
      </c>
      <c r="K186" t="s">
        <v>711</v>
      </c>
      <c r="L186">
        <v>8708000</v>
      </c>
      <c r="M186">
        <v>687678291</v>
      </c>
      <c r="N186">
        <v>2.7189999999999999</v>
      </c>
      <c r="O186">
        <v>1869797.2732289999</v>
      </c>
      <c r="P186">
        <v>0.21472178149161689</v>
      </c>
    </row>
    <row r="187" spans="1:16" x14ac:dyDescent="0.3">
      <c r="A187" t="s">
        <v>191</v>
      </c>
      <c r="B187" s="4" cm="1">
        <f t="array" ref="B187">_xll.SNL.Clients.Office.Excel.Functions.SPG(A187, "SP_TOTAL_REV", "CY2023")</f>
        <v>3318602</v>
      </c>
      <c r="C187" s="4">
        <f>_xll.SNL.Clients.Office.Excel.Functions.SPG(A187,"IQ_AVG_DILUT_SHARES_OUT","CY2023")</f>
        <v>107372000</v>
      </c>
      <c r="D187" s="5">
        <f>_xll.SNL.Clients.Office.Excel.Functions.SPG(A187, "IQ_DILUT_EPS_NORM", "CY2023")</f>
        <v>5.3550000000000004</v>
      </c>
      <c r="E187">
        <f t="shared" si="8"/>
        <v>574977.06000000006</v>
      </c>
      <c r="F187">
        <f t="shared" si="9"/>
        <v>0.1732588180203592</v>
      </c>
      <c r="H187" t="b">
        <f t="shared" si="10"/>
        <v>1</v>
      </c>
      <c r="K187" t="s">
        <v>712</v>
      </c>
      <c r="L187">
        <v>3318602</v>
      </c>
      <c r="M187">
        <v>107372000</v>
      </c>
      <c r="N187">
        <v>5.3550000000000004</v>
      </c>
      <c r="O187">
        <v>574977.06000000006</v>
      </c>
      <c r="P187">
        <v>0.1732588180203592</v>
      </c>
    </row>
    <row r="188" spans="1:16" x14ac:dyDescent="0.3">
      <c r="A188" t="s">
        <v>192</v>
      </c>
      <c r="B188" s="4" cm="1">
        <f t="array" ref="B188">_xll.SNL.Clients.Office.Excel.Functions.SPG(A188, "SP_TOTAL_REV", "CY2023")</f>
        <v>12685000</v>
      </c>
      <c r="C188" s="4">
        <f>_xll.SNL.Clients.Office.Excel.Functions.SPG(A188,"IQ_AVG_DILUT_SHARES_OUT","CY2023")</f>
        <v>574000000</v>
      </c>
      <c r="D188" s="5">
        <f>_xll.SNL.Clients.Office.Excel.Functions.SPG(A188, "IQ_DILUT_EPS_NORM", "CY2023")</f>
        <v>1.504</v>
      </c>
      <c r="E188">
        <f t="shared" si="8"/>
        <v>863296</v>
      </c>
      <c r="F188">
        <f t="shared" si="9"/>
        <v>6.805644461962948E-2</v>
      </c>
      <c r="H188" t="b">
        <f t="shared" si="10"/>
        <v>1</v>
      </c>
      <c r="K188" t="s">
        <v>713</v>
      </c>
      <c r="L188">
        <v>12685000</v>
      </c>
      <c r="M188">
        <v>574000000</v>
      </c>
      <c r="N188">
        <v>1.504</v>
      </c>
      <c r="O188">
        <v>863296</v>
      </c>
      <c r="P188">
        <v>6.805644461962948E-2</v>
      </c>
    </row>
    <row r="189" spans="1:16" x14ac:dyDescent="0.3">
      <c r="A189" t="s">
        <v>193</v>
      </c>
      <c r="B189" s="4" cm="1">
        <f t="array" ref="B189">_xll.SNL.Clients.Office.Excel.Functions.SPG(A189, "SP_TOTAL_REV", "CY2023")</f>
        <v>19093000</v>
      </c>
      <c r="C189" s="4">
        <f>_xll.SNL.Clients.Office.Excel.Functions.SPG(A189,"IQ_AVG_DILUT_SHARES_OUT","CY2023")</f>
        <v>615900000</v>
      </c>
      <c r="D189" s="5">
        <f>_xll.SNL.Clients.Office.Excel.Functions.SPG(A189, "IQ_DILUT_EPS_NORM", "CY2023")</f>
        <v>3.6720000000000002</v>
      </c>
      <c r="E189">
        <f t="shared" si="8"/>
        <v>2261584.7999999998</v>
      </c>
      <c r="F189">
        <f t="shared" si="9"/>
        <v>0.11845099251034409</v>
      </c>
      <c r="H189" t="b">
        <f t="shared" si="10"/>
        <v>1</v>
      </c>
      <c r="K189" t="s">
        <v>714</v>
      </c>
      <c r="L189">
        <v>19093000</v>
      </c>
      <c r="M189">
        <v>615900000</v>
      </c>
      <c r="N189">
        <v>3.6720000000000002</v>
      </c>
      <c r="O189">
        <v>2261584.7999999998</v>
      </c>
      <c r="P189">
        <v>0.11845099251034409</v>
      </c>
    </row>
    <row r="190" spans="1:16" x14ac:dyDescent="0.3">
      <c r="A190" t="s">
        <v>194</v>
      </c>
      <c r="B190" s="4" cm="1">
        <f t="array" ref="B190">_xll.SNL.Clients.Office.Excel.Functions.SPG(A190, "SP_TOTAL_REV", "CY2023")</f>
        <v>4486800</v>
      </c>
      <c r="C190" s="4">
        <f>_xll.SNL.Clients.Office.Excel.Functions.SPG(A190,"IQ_AVG_DILUT_SHARES_OUT","CY2023")</f>
        <v>125533000</v>
      </c>
      <c r="D190" s="5">
        <f>_xll.SNL.Clients.Office.Excel.Functions.SPG(A190, "IQ_DILUT_EPS_NORM", "CY2023")</f>
        <v>1.83</v>
      </c>
      <c r="E190">
        <f t="shared" si="8"/>
        <v>229725.39</v>
      </c>
      <c r="F190">
        <f t="shared" si="9"/>
        <v>5.1200274137469914E-2</v>
      </c>
      <c r="H190" t="b">
        <f t="shared" si="10"/>
        <v>1</v>
      </c>
      <c r="K190" t="s">
        <v>715</v>
      </c>
      <c r="L190">
        <v>4486800</v>
      </c>
      <c r="M190">
        <v>125533000</v>
      </c>
      <c r="N190">
        <v>1.83</v>
      </c>
      <c r="O190">
        <v>229725.39</v>
      </c>
      <c r="P190">
        <v>5.1200274137469914E-2</v>
      </c>
    </row>
    <row r="191" spans="1:16" x14ac:dyDescent="0.3">
      <c r="A191" t="s">
        <v>195</v>
      </c>
      <c r="B191" s="4" cm="1">
        <f t="array" ref="B191">_xll.SNL.Clients.Office.Excel.Functions.SPG(A191, "SP_TOTAL_REV", "CY2023")</f>
        <v>176191000</v>
      </c>
      <c r="C191" s="4">
        <f>_xll.SNL.Clients.Office.Excel.Functions.SPG(A191,"IQ_AVG_DILUT_SHARES_OUT","CY2023")</f>
        <v>4041000000</v>
      </c>
      <c r="D191" s="5">
        <f>_xll.SNL.Clients.Office.Excel.Functions.SPG(A191, "IQ_DILUT_EPS_NORM", "CY2023")</f>
        <v>1.0189999999999999</v>
      </c>
      <c r="E191">
        <f t="shared" si="8"/>
        <v>4117778.9999999995</v>
      </c>
      <c r="F191">
        <f t="shared" si="9"/>
        <v>2.3371108626433809E-2</v>
      </c>
      <c r="H191" t="b">
        <f t="shared" si="10"/>
        <v>1</v>
      </c>
      <c r="K191" t="s">
        <v>716</v>
      </c>
      <c r="L191">
        <v>176191000</v>
      </c>
      <c r="M191">
        <v>4041000000</v>
      </c>
      <c r="N191">
        <v>1.0189999999999999</v>
      </c>
      <c r="O191">
        <v>4117778.9999999995</v>
      </c>
      <c r="P191">
        <v>2.3371108626433809E-2</v>
      </c>
    </row>
    <row r="192" spans="1:16" x14ac:dyDescent="0.3">
      <c r="A192" t="s">
        <v>196</v>
      </c>
      <c r="B192" s="4" cm="1">
        <f t="array" ref="B192">_xll.SNL.Clients.Office.Excel.Functions.SPG(A192, "SP_TOTAL_REV", "CY2023")</f>
        <v>5304800</v>
      </c>
      <c r="C192" s="4">
        <f>_xll.SNL.Clients.Office.Excel.Functions.SPG(A192,"IQ_AVG_DILUT_SHARES_OUT","CY2023")</f>
        <v>788200000</v>
      </c>
      <c r="D192" s="5">
        <f>_xll.SNL.Clients.Office.Excel.Functions.SPG(A192, "IQ_DILUT_EPS_NORM", "CY2023")</f>
        <v>1.024</v>
      </c>
      <c r="E192">
        <f t="shared" si="8"/>
        <v>807116.80000000005</v>
      </c>
      <c r="F192">
        <f t="shared" si="9"/>
        <v>0.15214839390740462</v>
      </c>
      <c r="H192" t="b">
        <f t="shared" si="10"/>
        <v>1</v>
      </c>
      <c r="K192" t="s">
        <v>717</v>
      </c>
      <c r="L192">
        <v>5304800</v>
      </c>
      <c r="M192">
        <v>788200000</v>
      </c>
      <c r="N192">
        <v>1.024</v>
      </c>
      <c r="O192">
        <v>807116.80000000005</v>
      </c>
      <c r="P192">
        <v>0.15214839390740462</v>
      </c>
    </row>
    <row r="193" spans="1:16" x14ac:dyDescent="0.3">
      <c r="A193" t="s">
        <v>197</v>
      </c>
      <c r="B193" s="4" cm="1">
        <f t="array" ref="B193">_xll.SNL.Clients.Office.Excel.Functions.SPG(A193, "SP_TOTAL_REV", "CY2023")</f>
        <v>6065300</v>
      </c>
      <c r="C193" s="4">
        <f>_xll.SNL.Clients.Office.Excel.Functions.SPG(A193,"IQ_AVG_DILUT_SHARES_OUT","CY2023")</f>
        <v>355600000</v>
      </c>
      <c r="D193" s="5">
        <f>_xll.SNL.Clients.Office.Excel.Functions.SPG(A193, "IQ_DILUT_EPS_NORM", "CY2023")</f>
        <v>1.7410000000000001</v>
      </c>
      <c r="E193">
        <f t="shared" si="8"/>
        <v>619099.6</v>
      </c>
      <c r="F193">
        <f t="shared" si="9"/>
        <v>0.10207237894250902</v>
      </c>
      <c r="H193" t="b">
        <f t="shared" si="10"/>
        <v>1</v>
      </c>
      <c r="K193" t="s">
        <v>718</v>
      </c>
      <c r="L193">
        <v>6065300</v>
      </c>
      <c r="M193">
        <v>355600000</v>
      </c>
      <c r="N193">
        <v>1.7410000000000001</v>
      </c>
      <c r="O193">
        <v>619099.6</v>
      </c>
      <c r="P193">
        <v>0.10207237894250902</v>
      </c>
    </row>
    <row r="194" spans="1:16" x14ac:dyDescent="0.3">
      <c r="A194" t="s">
        <v>198</v>
      </c>
      <c r="B194" s="4" cm="1">
        <f t="array" ref="B194">_xll.SNL.Clients.Office.Excel.Functions.SPG(A194, "SP_TOTAL_REV", "CY2023")</f>
        <v>14557000</v>
      </c>
      <c r="C194" s="4">
        <f>_xll.SNL.Clients.Office.Excel.Functions.SPG(A194,"IQ_AVG_DILUT_SHARES_OUT","CY2023")</f>
        <v>501500000</v>
      </c>
      <c r="D194" s="5">
        <f>_xll.SNL.Clients.Office.Excel.Functions.SPG(A194, "IQ_DILUT_EPS_NORM", "CY2023")</f>
        <v>2.6219999999999999</v>
      </c>
      <c r="E194">
        <f t="shared" si="8"/>
        <v>1314933</v>
      </c>
      <c r="F194">
        <f t="shared" si="9"/>
        <v>9.03299443566669E-2</v>
      </c>
      <c r="H194" t="b">
        <f t="shared" si="10"/>
        <v>0</v>
      </c>
      <c r="K194" t="s">
        <v>720</v>
      </c>
      <c r="L194" t="s">
        <v>1049</v>
      </c>
      <c r="M194">
        <v>63002849</v>
      </c>
      <c r="N194">
        <v>-1.1117274098971246E-2</v>
      </c>
      <c r="O194">
        <v>-700.41994134909646</v>
      </c>
      <c r="P194" t="e">
        <v>#VALUE!</v>
      </c>
    </row>
    <row r="195" spans="1:16" x14ac:dyDescent="0.3">
      <c r="A195" t="s">
        <v>199</v>
      </c>
      <c r="B195" s="4" cm="1">
        <f t="array" ref="B195">_xll.SNL.Clients.Office.Excel.Functions.SPG(A195, "SP_TOTAL_REV", "CY2023")</f>
        <v>14557000</v>
      </c>
      <c r="C195" s="4">
        <f>_xll.SNL.Clients.Office.Excel.Functions.SPG(A195,"IQ_AVG_DILUT_SHARES_OUT","CY2023")</f>
        <v>501500000</v>
      </c>
      <c r="D195" s="5">
        <f>_xll.SNL.Clients.Office.Excel.Functions.SPG(A195, "IQ_DILUT_EPS_NORM", "CY2023")</f>
        <v>2.6219999999999999</v>
      </c>
      <c r="E195">
        <f t="shared" ref="E195:E258" si="11">C195*D195/1000</f>
        <v>1314933</v>
      </c>
      <c r="F195">
        <f t="shared" ref="F195:F258" si="12">E195/B195</f>
        <v>9.03299443566669E-2</v>
      </c>
      <c r="H195" t="b">
        <f t="shared" ref="H195:H258" si="13">B195=L195</f>
        <v>1</v>
      </c>
      <c r="K195" t="s">
        <v>719</v>
      </c>
      <c r="L195">
        <v>14557000</v>
      </c>
      <c r="M195">
        <v>501500000</v>
      </c>
      <c r="N195">
        <v>2.6219999999999999</v>
      </c>
      <c r="O195">
        <v>1314933</v>
      </c>
      <c r="P195">
        <v>9.03299443566669E-2</v>
      </c>
    </row>
    <row r="196" spans="1:16" x14ac:dyDescent="0.3">
      <c r="A196" t="s">
        <v>200</v>
      </c>
      <c r="B196" s="4" cm="1">
        <f t="array" ref="B196">_xll.SNL.Clients.Office.Excel.Functions.SPG(A196, "SP_TOTAL_REV", "CY2023")</f>
        <v>7873400</v>
      </c>
      <c r="C196" s="4">
        <f>_xll.SNL.Clients.Office.Excel.Functions.SPG(A196,"IQ_AVG_DILUT_SHARES_OUT","CY2023")</f>
        <v>490225000</v>
      </c>
      <c r="D196" s="5">
        <f>_xll.SNL.Clients.Office.Excel.Functions.SPG(A196, "IQ_DILUT_EPS_NORM", "CY2023")</f>
        <v>1.859</v>
      </c>
      <c r="E196">
        <f t="shared" si="11"/>
        <v>911328.27500000002</v>
      </c>
      <c r="F196">
        <f t="shared" si="12"/>
        <v>0.11574774239845556</v>
      </c>
      <c r="H196" t="b">
        <f t="shared" si="13"/>
        <v>1</v>
      </c>
      <c r="K196" t="s">
        <v>721</v>
      </c>
      <c r="L196">
        <v>7873400</v>
      </c>
      <c r="M196">
        <v>490225000</v>
      </c>
      <c r="N196">
        <v>1.859</v>
      </c>
      <c r="O196">
        <v>911328.27500000002</v>
      </c>
      <c r="P196">
        <v>0.11574774239845556</v>
      </c>
    </row>
    <row r="197" spans="1:16" x14ac:dyDescent="0.3">
      <c r="A197" t="s">
        <v>201</v>
      </c>
      <c r="B197" s="4" cm="1">
        <f t="array" ref="B197">_xll.SNL.Clients.Office.Excel.Functions.SPG(A197, "SP_TOTAL_REV", "CY2023")</f>
        <v>22855000</v>
      </c>
      <c r="C197" s="4">
        <f>_xll.SNL.Clients.Office.Excel.Functions.SPG(A197,"IQ_AVG_DILUT_SHARES_OUT","CY2023")</f>
        <v>1443000000</v>
      </c>
      <c r="D197" s="5">
        <f>_xll.SNL.Clients.Office.Excel.Functions.SPG(A197, "IQ_DILUT_EPS_NORM", "CY2023")</f>
        <v>1.2849999999999999</v>
      </c>
      <c r="E197">
        <f t="shared" si="11"/>
        <v>1854255</v>
      </c>
      <c r="F197">
        <f t="shared" si="12"/>
        <v>8.1131262305841167E-2</v>
      </c>
      <c r="H197" t="b">
        <f t="shared" si="13"/>
        <v>1</v>
      </c>
      <c r="K197" t="s">
        <v>722</v>
      </c>
      <c r="L197">
        <v>22855000</v>
      </c>
      <c r="M197">
        <v>1443000000</v>
      </c>
      <c r="N197">
        <v>1.2849999999999999</v>
      </c>
      <c r="O197">
        <v>1854255</v>
      </c>
      <c r="P197">
        <v>8.1131262305841167E-2</v>
      </c>
    </row>
    <row r="198" spans="1:16" x14ac:dyDescent="0.3">
      <c r="A198" t="s">
        <v>202</v>
      </c>
      <c r="B198" s="4" cm="1">
        <f t="array" ref="B198">_xll.SNL.Clients.Office.Excel.Functions.SPG(A198, "SP_TOTAL_REV", "CY2023")</f>
        <v>5228252</v>
      </c>
      <c r="C198" s="4">
        <f>_xll.SNL.Clients.Office.Excel.Functions.SPG(A198,"IQ_AVG_DILUT_SHARES_OUT","CY2023")</f>
        <v>192058000</v>
      </c>
      <c r="D198" s="5">
        <f>_xll.SNL.Clients.Office.Excel.Functions.SPG(A198, "IQ_DILUT_EPS_NORM", "CY2023")</f>
        <v>3.9060000000000001</v>
      </c>
      <c r="E198">
        <f t="shared" si="11"/>
        <v>750178.54799999995</v>
      </c>
      <c r="F198">
        <f t="shared" si="12"/>
        <v>0.14348553742245018</v>
      </c>
      <c r="H198" t="b">
        <f t="shared" si="13"/>
        <v>1</v>
      </c>
      <c r="K198" t="s">
        <v>723</v>
      </c>
      <c r="L198">
        <v>5228252</v>
      </c>
      <c r="M198">
        <v>192058000</v>
      </c>
      <c r="N198">
        <v>3.9060000000000001</v>
      </c>
      <c r="O198">
        <v>750178.54799999995</v>
      </c>
      <c r="P198">
        <v>0.14348553742245018</v>
      </c>
    </row>
    <row r="199" spans="1:16" x14ac:dyDescent="0.3">
      <c r="A199" t="s">
        <v>203</v>
      </c>
      <c r="B199" s="4" cm="1">
        <f t="array" ref="B199">_xll.SNL.Clients.Office.Excel.Functions.SPG(A199, "SP_TOTAL_REV", "CY2023")</f>
        <v>5906956</v>
      </c>
      <c r="C199" s="4">
        <f>_xll.SNL.Clients.Office.Excel.Functions.SPG(A199,"IQ_AVG_DILUT_SHARES_OUT","CY2023")</f>
        <v>79680000</v>
      </c>
      <c r="D199" s="5">
        <f>_xll.SNL.Clients.Office.Excel.Functions.SPG(A199, "IQ_DILUT_EPS_NORM", "CY2023")</f>
        <v>8.1470000000000002</v>
      </c>
      <c r="E199">
        <f t="shared" si="11"/>
        <v>649152.96</v>
      </c>
      <c r="F199">
        <f t="shared" si="12"/>
        <v>0.10989635947855375</v>
      </c>
      <c r="H199" t="b">
        <f t="shared" si="13"/>
        <v>1</v>
      </c>
      <c r="K199" t="s">
        <v>724</v>
      </c>
      <c r="L199">
        <v>5906956</v>
      </c>
      <c r="M199">
        <v>79680000</v>
      </c>
      <c r="N199">
        <v>8.1470000000000002</v>
      </c>
      <c r="O199">
        <v>649152.96</v>
      </c>
      <c r="P199">
        <v>0.10989635947855375</v>
      </c>
    </row>
    <row r="200" spans="1:16" x14ac:dyDescent="0.3">
      <c r="A200" t="s">
        <v>204</v>
      </c>
      <c r="B200" s="4" cm="1">
        <f t="array" ref="B200">_xll.SNL.Clients.Office.Excel.Functions.SPG(A200, "SP_TOTAL_REV", "CY2023")</f>
        <v>19552000</v>
      </c>
      <c r="C200" s="4">
        <f>_xll.SNL.Clients.Office.Excel.Functions.SPG(A200,"IQ_AVG_DILUT_SHARES_OUT","CY2023")</f>
        <v>458000000</v>
      </c>
      <c r="D200" s="5">
        <f>_xll.SNL.Clients.Office.Excel.Functions.SPG(A200, "IQ_DILUT_EPS_NORM", "CY2023")</f>
        <v>2.722</v>
      </c>
      <c r="E200">
        <f t="shared" si="11"/>
        <v>1246676</v>
      </c>
      <c r="F200">
        <f t="shared" si="12"/>
        <v>6.3762070376432084E-2</v>
      </c>
      <c r="H200" t="b">
        <f t="shared" si="13"/>
        <v>1</v>
      </c>
      <c r="K200" t="s">
        <v>726</v>
      </c>
      <c r="L200">
        <v>19552000</v>
      </c>
      <c r="M200">
        <v>458000000</v>
      </c>
      <c r="N200">
        <v>2.722</v>
      </c>
      <c r="O200">
        <v>1246676</v>
      </c>
      <c r="P200">
        <v>6.3762070376432084E-2</v>
      </c>
    </row>
    <row r="201" spans="1:16" x14ac:dyDescent="0.3">
      <c r="A201" t="s">
        <v>205</v>
      </c>
      <c r="B201" s="4" cm="1">
        <f t="array" ref="B201">_xll.SNL.Clients.Office.Excel.Functions.SPG(A201, "SP_TOTAL_REV", "CY2023")</f>
        <v>33239000</v>
      </c>
      <c r="C201" s="4" t="str">
        <f>_xll.SNL.Clients.Office.Excel.Functions.SPG(A201,"IQ_AVG_DILUT_SHARES_OUT","CY2023")</f>
        <v>NA</v>
      </c>
      <c r="D201" s="5" t="str">
        <f>_xll.SNL.Clients.Office.Excel.Functions.SPG(A201, "IQ_DILUT_EPS_NORM", "CY2023")</f>
        <v>NA</v>
      </c>
      <c r="E201" t="e">
        <f t="shared" si="11"/>
        <v>#VALUE!</v>
      </c>
      <c r="F201" t="e">
        <f t="shared" si="12"/>
        <v>#VALUE!</v>
      </c>
      <c r="H201" t="b">
        <f t="shared" si="13"/>
        <v>1</v>
      </c>
      <c r="K201" t="s">
        <v>1035</v>
      </c>
      <c r="L201">
        <v>33239000</v>
      </c>
      <c r="M201" t="s">
        <v>1049</v>
      </c>
      <c r="N201" t="s">
        <v>1049</v>
      </c>
      <c r="O201" t="e">
        <v>#VALUE!</v>
      </c>
      <c r="P201" t="e">
        <v>#VALUE!</v>
      </c>
    </row>
    <row r="202" spans="1:16" x14ac:dyDescent="0.3">
      <c r="A202" t="s">
        <v>206</v>
      </c>
      <c r="B202" s="4" cm="1">
        <f t="array" ref="B202">_xll.SNL.Clients.Office.Excel.Functions.SPG(A202, "SP_TOTAL_REV", "CY2023")</f>
        <v>3786000</v>
      </c>
      <c r="C202" s="4">
        <f>_xll.SNL.Clients.Office.Excel.Functions.SPG(A202,"IQ_AVG_DILUT_SHARES_OUT","CY2023")</f>
        <v>644499517</v>
      </c>
      <c r="D202" s="5">
        <f>_xll.SNL.Clients.Office.Excel.Functions.SPG(A202, "IQ_DILUT_EPS_NORM", "CY2023")</f>
        <v>0.71099999999999997</v>
      </c>
      <c r="E202">
        <f t="shared" si="11"/>
        <v>458239.15658699995</v>
      </c>
      <c r="F202">
        <f t="shared" si="12"/>
        <v>0.12103517078367669</v>
      </c>
      <c r="H202" t="b">
        <f t="shared" si="13"/>
        <v>1</v>
      </c>
      <c r="K202" t="s">
        <v>727</v>
      </c>
      <c r="L202">
        <v>3786000</v>
      </c>
      <c r="M202">
        <v>644499517</v>
      </c>
      <c r="N202">
        <v>0.71099999999999997</v>
      </c>
      <c r="O202">
        <v>458239.15658699995</v>
      </c>
      <c r="P202">
        <v>0.12103517078367669</v>
      </c>
    </row>
    <row r="203" spans="1:16" x14ac:dyDescent="0.3">
      <c r="A203" t="s">
        <v>207</v>
      </c>
      <c r="B203" s="4" cm="1">
        <f t="array" ref="B203">_xll.SNL.Clients.Office.Excel.Functions.SPG(A203, "SP_TOTAL_REV", "CY2023")</f>
        <v>4022667</v>
      </c>
      <c r="C203" s="4">
        <f>_xll.SNL.Clients.Office.Excel.Functions.SPG(A203,"IQ_AVG_DILUT_SHARES_OUT","CY2023")</f>
        <v>62058387</v>
      </c>
      <c r="D203" s="5">
        <f>_xll.SNL.Clients.Office.Excel.Functions.SPG(A203, "IQ_DILUT_EPS_NORM", "CY2023")</f>
        <v>2.8879999999999999</v>
      </c>
      <c r="E203">
        <f t="shared" si="11"/>
        <v>179224.62165599997</v>
      </c>
      <c r="F203">
        <f t="shared" si="12"/>
        <v>4.4553680843082456E-2</v>
      </c>
      <c r="H203" t="b">
        <f t="shared" si="13"/>
        <v>1</v>
      </c>
      <c r="K203" t="s">
        <v>728</v>
      </c>
      <c r="L203">
        <v>4022667</v>
      </c>
      <c r="M203">
        <v>62058387</v>
      </c>
      <c r="N203">
        <v>2.8879999999999999</v>
      </c>
      <c r="O203">
        <v>179224.62165599997</v>
      </c>
      <c r="P203">
        <v>4.4553680843082456E-2</v>
      </c>
    </row>
    <row r="204" spans="1:16" x14ac:dyDescent="0.3">
      <c r="A204" t="s">
        <v>208</v>
      </c>
      <c r="B204" s="4" cm="1">
        <f t="array" ref="B204">_xll.SNL.Clients.Office.Excel.Functions.SPG(A204, "SP_TOTAL_REV", "CY2023")</f>
        <v>42272000</v>
      </c>
      <c r="C204" s="4">
        <f>_xll.SNL.Clients.Office.Excel.Functions.SPG(A204,"IQ_AVG_DILUT_SHARES_OUT","CY2023")</f>
        <v>275725000</v>
      </c>
      <c r="D204" s="5">
        <f>_xll.SNL.Clients.Office.Excel.Functions.SPG(A204, "IQ_DILUT_EPS_NORM", "CY2023")</f>
        <v>9.0310000000000006</v>
      </c>
      <c r="E204">
        <f t="shared" si="11"/>
        <v>2490072.4750000001</v>
      </c>
      <c r="F204">
        <f t="shared" si="12"/>
        <v>5.8905953704579864E-2</v>
      </c>
      <c r="H204" t="b">
        <f t="shared" si="13"/>
        <v>1</v>
      </c>
      <c r="K204" t="s">
        <v>729</v>
      </c>
      <c r="L204">
        <v>42272000</v>
      </c>
      <c r="M204">
        <v>275725000</v>
      </c>
      <c r="N204">
        <v>9.0310000000000006</v>
      </c>
      <c r="O204">
        <v>2490072.4750000001</v>
      </c>
      <c r="P204">
        <v>5.8905953704579864E-2</v>
      </c>
    </row>
    <row r="205" spans="1:16" x14ac:dyDescent="0.3">
      <c r="A205" t="s">
        <v>209</v>
      </c>
      <c r="B205" s="4" cm="1">
        <f t="array" ref="B205">_xll.SNL.Clients.Office.Excel.Functions.SPG(A205, "SP_TOTAL_REV", "CY2023")</f>
        <v>67954000</v>
      </c>
      <c r="C205" s="4">
        <f>_xll.SNL.Clients.Office.Excel.Functions.SPG(A205,"IQ_AVG_DILUT_SHARES_OUT","CY2023")</f>
        <v>1099000000</v>
      </c>
      <c r="D205" s="5">
        <f>_xll.SNL.Clients.Office.Excel.Functions.SPG(A205, "IQ_DILUT_EPS_NORM", "CY2023")</f>
        <v>3.4420000000000002</v>
      </c>
      <c r="E205">
        <f t="shared" si="11"/>
        <v>3782758</v>
      </c>
      <c r="F205">
        <f t="shared" si="12"/>
        <v>5.5666450834387968E-2</v>
      </c>
      <c r="H205" t="b">
        <f t="shared" si="13"/>
        <v>1</v>
      </c>
      <c r="K205" t="s">
        <v>725</v>
      </c>
      <c r="L205">
        <v>67954000</v>
      </c>
      <c r="M205">
        <v>1099000000</v>
      </c>
      <c r="N205">
        <v>3.4420000000000002</v>
      </c>
      <c r="O205">
        <v>3782758</v>
      </c>
      <c r="P205">
        <v>5.5666450834387968E-2</v>
      </c>
    </row>
    <row r="206" spans="1:16" x14ac:dyDescent="0.3">
      <c r="A206" t="s">
        <v>210</v>
      </c>
      <c r="B206" s="4" cm="1">
        <f t="array" ref="B206">_xll.SNL.Clients.Office.Excel.Functions.SPG(A206, "SP_TOTAL_REV", "CY2023")</f>
        <v>20200000</v>
      </c>
      <c r="C206" s="4">
        <f>_xll.SNL.Clients.Office.Excel.Functions.SPG(A206,"IQ_AVG_DILUT_SHARES_OUT","CY2023")</f>
        <v>592900000</v>
      </c>
      <c r="D206" s="5">
        <f>_xll.SNL.Clients.Office.Excel.Functions.SPG(A206, "IQ_DILUT_EPS_NORM", "CY2023")</f>
        <v>3.3319999999999999</v>
      </c>
      <c r="E206">
        <f t="shared" si="11"/>
        <v>1975542.8</v>
      </c>
      <c r="F206">
        <f t="shared" si="12"/>
        <v>9.7799148514851483E-2</v>
      </c>
      <c r="H206" t="b">
        <f t="shared" si="13"/>
        <v>1</v>
      </c>
      <c r="K206" t="s">
        <v>730</v>
      </c>
      <c r="L206">
        <v>20200000</v>
      </c>
      <c r="M206">
        <v>592900000</v>
      </c>
      <c r="N206">
        <v>3.3319999999999999</v>
      </c>
      <c r="O206">
        <v>1975542.8</v>
      </c>
      <c r="P206">
        <v>9.7799148514851483E-2</v>
      </c>
    </row>
    <row r="207" spans="1:16" x14ac:dyDescent="0.3">
      <c r="A207" t="s">
        <v>211</v>
      </c>
      <c r="B207" s="4" cm="1">
        <f t="array" ref="B207">_xll.SNL.Clients.Office.Excel.Functions.SPG(A207, "SP_TOTAL_REV", "CY2023")</f>
        <v>171842000</v>
      </c>
      <c r="C207" s="4">
        <f>_xll.SNL.Clients.Office.Excel.Functions.SPG(A207,"IQ_AVG_DILUT_SHARES_OUT","CY2023")</f>
        <v>1369000000</v>
      </c>
      <c r="D207" s="5">
        <f>_xll.SNL.Clients.Office.Excel.Functions.SPG(A207, "IQ_DILUT_EPS_NORM", "CY2023")</f>
        <v>4.9939999999999998</v>
      </c>
      <c r="E207">
        <f t="shared" si="11"/>
        <v>6836786</v>
      </c>
      <c r="F207">
        <f t="shared" si="12"/>
        <v>3.97853027781334E-2</v>
      </c>
      <c r="H207" t="b">
        <f t="shared" si="13"/>
        <v>1</v>
      </c>
      <c r="K207" t="s">
        <v>731</v>
      </c>
      <c r="L207">
        <v>171842000</v>
      </c>
      <c r="M207">
        <v>1369000000</v>
      </c>
      <c r="N207">
        <v>4.9939999999999998</v>
      </c>
      <c r="O207">
        <v>6836786</v>
      </c>
      <c r="P207">
        <v>3.97853027781334E-2</v>
      </c>
    </row>
    <row r="208" spans="1:16" x14ac:dyDescent="0.3">
      <c r="A208" t="s">
        <v>212</v>
      </c>
      <c r="B208" s="4" cm="1">
        <f t="array" ref="B208">_xll.SNL.Clients.Office.Excel.Functions.SPG(A208, "SP_TOTAL_REV", "CY2023")</f>
        <v>23090610</v>
      </c>
      <c r="C208" s="4">
        <f>_xll.SNL.Clients.Office.Excel.Functions.SPG(A208,"IQ_AVG_DILUT_SHARES_OUT","CY2023")</f>
        <v>141034000</v>
      </c>
      <c r="D208" s="5">
        <f>_xll.SNL.Clients.Office.Excel.Functions.SPG(A208, "IQ_DILUT_EPS_NORM", "CY2023")</f>
        <v>7.7210000000000001</v>
      </c>
      <c r="E208">
        <f t="shared" si="11"/>
        <v>1088923.514</v>
      </c>
      <c r="F208">
        <f t="shared" si="12"/>
        <v>4.715871577234209E-2</v>
      </c>
      <c r="H208" t="b">
        <f t="shared" si="13"/>
        <v>1</v>
      </c>
      <c r="K208" t="s">
        <v>732</v>
      </c>
      <c r="L208">
        <v>23090610</v>
      </c>
      <c r="M208">
        <v>141034000</v>
      </c>
      <c r="N208">
        <v>7.7210000000000001</v>
      </c>
      <c r="O208">
        <v>1088923.514</v>
      </c>
      <c r="P208">
        <v>4.715871577234209E-2</v>
      </c>
    </row>
    <row r="209" spans="1:16" x14ac:dyDescent="0.3">
      <c r="A209" t="s">
        <v>213</v>
      </c>
      <c r="B209" s="4" cm="1">
        <f t="array" ref="B209">_xll.SNL.Clients.Office.Excel.Functions.SPG(A209, "SP_TOTAL_REV", "CY2023")</f>
        <v>27116000</v>
      </c>
      <c r="C209" s="4">
        <f>_xll.SNL.Clients.Office.Excel.Functions.SPG(A209,"IQ_AVG_DILUT_SHARES_OUT","CY2023")</f>
        <v>1258000000</v>
      </c>
      <c r="D209" s="5">
        <f>_xll.SNL.Clients.Office.Excel.Functions.SPG(A209, "IQ_DILUT_EPS_NORM", "CY2023")</f>
        <v>4.6239999999999997</v>
      </c>
      <c r="E209">
        <f t="shared" si="11"/>
        <v>5816992</v>
      </c>
      <c r="F209">
        <f t="shared" si="12"/>
        <v>0.21452249594335449</v>
      </c>
      <c r="H209" t="b">
        <f t="shared" si="13"/>
        <v>1</v>
      </c>
      <c r="K209" t="s">
        <v>733</v>
      </c>
      <c r="L209">
        <v>27116000</v>
      </c>
      <c r="M209">
        <v>1258000000</v>
      </c>
      <c r="N209">
        <v>4.6239999999999997</v>
      </c>
      <c r="O209">
        <v>5816992</v>
      </c>
      <c r="P209">
        <v>0.21452249594335449</v>
      </c>
    </row>
    <row r="210" spans="1:16" x14ac:dyDescent="0.3">
      <c r="A210" t="s">
        <v>214</v>
      </c>
      <c r="B210" s="4" cm="1">
        <f t="array" ref="B210">_xll.SNL.Clients.Office.Excel.Functions.SPG(A210, "SP_TOTAL_REV", "CY2023")</f>
        <v>9654419</v>
      </c>
      <c r="C210" s="4">
        <f>_xll.SNL.Clients.Office.Excel.Functions.SPG(A210,"IQ_AVG_DILUT_SHARES_OUT","CY2023")</f>
        <v>261698000</v>
      </c>
      <c r="D210" s="5">
        <f>_xll.SNL.Clients.Office.Excel.Functions.SPG(A210, "IQ_DILUT_EPS_NORM", "CY2023")</f>
        <v>3.98</v>
      </c>
      <c r="E210">
        <f t="shared" si="11"/>
        <v>1041558.04</v>
      </c>
      <c r="F210">
        <f t="shared" si="12"/>
        <v>0.1078840725682198</v>
      </c>
      <c r="H210" t="b">
        <f t="shared" si="13"/>
        <v>1</v>
      </c>
      <c r="K210" t="s">
        <v>734</v>
      </c>
      <c r="L210">
        <v>9654419</v>
      </c>
      <c r="M210">
        <v>261698000</v>
      </c>
      <c r="N210">
        <v>3.98</v>
      </c>
      <c r="O210">
        <v>1041558.04</v>
      </c>
      <c r="P210">
        <v>0.1078840725682198</v>
      </c>
    </row>
    <row r="211" spans="1:16" x14ac:dyDescent="0.3">
      <c r="A211" t="s">
        <v>215</v>
      </c>
      <c r="B211" s="4" cm="1">
        <f t="array" ref="B211">_xll.SNL.Clients.Office.Excel.Functions.SPG(A211, "SP_TOTAL_REV", "CY2023")</f>
        <v>5447533</v>
      </c>
      <c r="C211" s="4">
        <f>_xll.SNL.Clients.Office.Excel.Functions.SPG(A211,"IQ_AVG_DILUT_SHARES_OUT","CY2023")</f>
        <v>96363841</v>
      </c>
      <c r="D211" s="5">
        <f>_xll.SNL.Clients.Office.Excel.Functions.SPG(A211, "IQ_DILUT_EPS_NORM", "CY2023")</f>
        <v>7.7519999999999998</v>
      </c>
      <c r="E211">
        <f t="shared" si="11"/>
        <v>747012.49543199991</v>
      </c>
      <c r="F211">
        <f t="shared" si="12"/>
        <v>0.13712858562435509</v>
      </c>
      <c r="H211" t="b">
        <f t="shared" si="13"/>
        <v>1</v>
      </c>
      <c r="K211" t="s">
        <v>735</v>
      </c>
      <c r="L211">
        <v>5447533</v>
      </c>
      <c r="M211">
        <v>96363841</v>
      </c>
      <c r="N211">
        <v>7.7519999999999998</v>
      </c>
      <c r="O211">
        <v>747012.49543199991</v>
      </c>
      <c r="P211">
        <v>0.13712858562435509</v>
      </c>
    </row>
    <row r="212" spans="1:16" x14ac:dyDescent="0.3">
      <c r="A212" t="s">
        <v>216</v>
      </c>
      <c r="B212" s="4" cm="1">
        <f t="array" ref="B212">_xll.SNL.Clients.Office.Excel.Functions.SPG(A212, "SP_TOTAL_REV", "CY2023")</f>
        <v>4254100</v>
      </c>
      <c r="C212" s="4">
        <f>_xll.SNL.Clients.Office.Excel.Functions.SPG(A212,"IQ_AVG_DILUT_SHARES_OUT","CY2023")</f>
        <v>151452000</v>
      </c>
      <c r="D212" s="5">
        <f>_xll.SNL.Clients.Office.Excel.Functions.SPG(A212, "IQ_DILUT_EPS_NORM", "CY2023")</f>
        <v>2.0920000000000001</v>
      </c>
      <c r="E212">
        <f t="shared" si="11"/>
        <v>316837.58399999997</v>
      </c>
      <c r="F212">
        <f t="shared" si="12"/>
        <v>7.4478170235772537E-2</v>
      </c>
      <c r="H212" t="b">
        <f t="shared" si="13"/>
        <v>1</v>
      </c>
      <c r="K212" t="s">
        <v>1036</v>
      </c>
      <c r="L212">
        <v>4254100</v>
      </c>
      <c r="M212">
        <v>151452000</v>
      </c>
      <c r="N212">
        <v>2.0920000000000001</v>
      </c>
      <c r="O212">
        <v>316837.58399999997</v>
      </c>
      <c r="P212">
        <v>7.4478170235772537E-2</v>
      </c>
    </row>
    <row r="213" spans="1:16" x14ac:dyDescent="0.3">
      <c r="A213" t="s">
        <v>217</v>
      </c>
      <c r="B213" s="4" cm="1">
        <f t="array" ref="B213">_xll.SNL.Clients.Office.Excel.Functions.SPG(A213, "SP_TOTAL_REV", "CY2023")</f>
        <v>23018000</v>
      </c>
      <c r="C213" s="4">
        <f>_xll.SNL.Clients.Office.Excel.Functions.SPG(A213,"IQ_AVG_DILUT_SHARES_OUT","CY2023")</f>
        <v>902000000</v>
      </c>
      <c r="D213" s="5">
        <f>_xll.SNL.Clients.Office.Excel.Functions.SPG(A213, "IQ_DILUT_EPS_NORM", "CY2023")</f>
        <v>2.38</v>
      </c>
      <c r="E213">
        <f t="shared" si="11"/>
        <v>2146760</v>
      </c>
      <c r="F213">
        <f t="shared" si="12"/>
        <v>9.3264401772525846E-2</v>
      </c>
      <c r="H213" t="b">
        <f t="shared" si="13"/>
        <v>1</v>
      </c>
      <c r="K213" t="s">
        <v>737</v>
      </c>
      <c r="L213">
        <v>23018000</v>
      </c>
      <c r="M213">
        <v>902000000</v>
      </c>
      <c r="N213">
        <v>2.38</v>
      </c>
      <c r="O213">
        <v>2146760</v>
      </c>
      <c r="P213">
        <v>9.3264401772525846E-2</v>
      </c>
    </row>
    <row r="214" spans="1:16" x14ac:dyDescent="0.3">
      <c r="A214" t="s">
        <v>218</v>
      </c>
      <c r="B214" s="4" cm="1">
        <f t="array" ref="B214">_xll.SNL.Clients.Office.Excel.Functions.SPG(A214, "SP_TOTAL_REV", "CY2023")</f>
        <v>5003300</v>
      </c>
      <c r="C214" s="4">
        <f>_xll.SNL.Clients.Office.Excel.Functions.SPG(A214,"IQ_AVG_DILUT_SHARES_OUT","CY2023")</f>
        <v>138800000</v>
      </c>
      <c r="D214" s="5">
        <f>_xll.SNL.Clients.Office.Excel.Functions.SPG(A214, "IQ_DILUT_EPS_NORM", "CY2023")</f>
        <v>0.88800000000000001</v>
      </c>
      <c r="E214">
        <f t="shared" si="11"/>
        <v>123254.39999999999</v>
      </c>
      <c r="F214">
        <f t="shared" si="12"/>
        <v>2.4634621150040972E-2</v>
      </c>
      <c r="H214" t="b">
        <f t="shared" si="13"/>
        <v>1</v>
      </c>
      <c r="K214" t="s">
        <v>739</v>
      </c>
      <c r="L214">
        <v>5003300</v>
      </c>
      <c r="M214">
        <v>138800000</v>
      </c>
      <c r="N214">
        <v>0.88800000000000001</v>
      </c>
      <c r="O214">
        <v>123254.39999999999</v>
      </c>
      <c r="P214">
        <v>2.4634621150040972E-2</v>
      </c>
    </row>
    <row r="215" spans="1:16" x14ac:dyDescent="0.3">
      <c r="A215" t="s">
        <v>219</v>
      </c>
      <c r="B215" s="4" cm="1">
        <f t="array" ref="B215">_xll.SNL.Clients.Office.Excel.Functions.SPG(A215, "SP_TOTAL_REV", "CY2023")</f>
        <v>64968000</v>
      </c>
      <c r="C215" s="4">
        <f>_xll.SNL.Clients.Office.Excel.Functions.SPG(A215,"IQ_AVG_DILUT_SHARES_OUT","CY2023")</f>
        <v>276412000</v>
      </c>
      <c r="D215" s="5">
        <f>_xll.SNL.Clients.Office.Excel.Functions.SPG(A215, "IQ_DILUT_EPS_NORM", "CY2023")</f>
        <v>14.364000000000001</v>
      </c>
      <c r="E215">
        <f t="shared" si="11"/>
        <v>3970381.9679999999</v>
      </c>
      <c r="F215">
        <f t="shared" si="12"/>
        <v>6.1112885851496122E-2</v>
      </c>
      <c r="H215" t="b">
        <f t="shared" si="13"/>
        <v>1</v>
      </c>
      <c r="K215" t="s">
        <v>740</v>
      </c>
      <c r="L215">
        <v>64968000</v>
      </c>
      <c r="M215">
        <v>276412000</v>
      </c>
      <c r="N215">
        <v>14.364000000000001</v>
      </c>
      <c r="O215">
        <v>3970381.9679999999</v>
      </c>
      <c r="P215">
        <v>6.1112885851496122E-2</v>
      </c>
    </row>
    <row r="216" spans="1:16" x14ac:dyDescent="0.3">
      <c r="A216" t="s">
        <v>220</v>
      </c>
      <c r="B216" s="4" cm="1">
        <f t="array" ref="B216">_xll.SNL.Clients.Office.Excel.Functions.SPG(A216, "SP_TOTAL_REV", "CY2023")</f>
        <v>2193748</v>
      </c>
      <c r="C216" s="4">
        <f>_xll.SNL.Clients.Office.Excel.Functions.SPG(A216,"IQ_AVG_DILUT_SHARES_OUT","CY2023")</f>
        <v>547275000</v>
      </c>
      <c r="D216" s="5">
        <f>_xll.SNL.Clients.Office.Excel.Functions.SPG(A216, "IQ_DILUT_EPS_NORM", "CY2023")</f>
        <v>0.22</v>
      </c>
      <c r="E216">
        <f t="shared" si="11"/>
        <v>120400.5</v>
      </c>
      <c r="F216">
        <f t="shared" si="12"/>
        <v>5.4883468839629711E-2</v>
      </c>
      <c r="H216" t="b">
        <f t="shared" si="13"/>
        <v>1</v>
      </c>
      <c r="K216" t="s">
        <v>741</v>
      </c>
      <c r="L216">
        <v>2193748</v>
      </c>
      <c r="M216">
        <v>547275000</v>
      </c>
      <c r="N216">
        <v>0.22</v>
      </c>
      <c r="O216">
        <v>120400.5</v>
      </c>
      <c r="P216">
        <v>5.4883468839629711E-2</v>
      </c>
    </row>
    <row r="217" spans="1:16" x14ac:dyDescent="0.3">
      <c r="A217" t="s">
        <v>221</v>
      </c>
      <c r="B217" s="4" cm="1">
        <f t="array" ref="B217">_xll.SNL.Clients.Office.Excel.Functions.SPG(A217, "SP_TOTAL_REV", "CY2023")</f>
        <v>12339000</v>
      </c>
      <c r="C217" s="4">
        <f>_xll.SNL.Clients.Office.Excel.Functions.SPG(A217,"IQ_AVG_DILUT_SHARES_OUT","CY2023")</f>
        <v>131748171</v>
      </c>
      <c r="D217" s="5">
        <f>_xll.SNL.Clients.Office.Excel.Functions.SPG(A217, "IQ_DILUT_EPS_NORM", "CY2023")</f>
        <v>2.8650000000000002</v>
      </c>
      <c r="E217">
        <f t="shared" si="11"/>
        <v>377458.509915</v>
      </c>
      <c r="F217">
        <f t="shared" si="12"/>
        <v>3.0590688865791395E-2</v>
      </c>
      <c r="H217" t="b">
        <f t="shared" si="13"/>
        <v>1</v>
      </c>
      <c r="K217" t="s">
        <v>742</v>
      </c>
      <c r="L217">
        <v>12339000</v>
      </c>
      <c r="M217">
        <v>131748171</v>
      </c>
      <c r="N217">
        <v>2.8650000000000002</v>
      </c>
      <c r="O217">
        <v>377458.509915</v>
      </c>
      <c r="P217">
        <v>3.0590688865791395E-2</v>
      </c>
    </row>
    <row r="218" spans="1:16" x14ac:dyDescent="0.3">
      <c r="A218" t="s">
        <v>222</v>
      </c>
      <c r="B218" s="4" cm="1">
        <f t="array" ref="B218">_xll.SNL.Clients.Office.Excel.Functions.SPG(A218, "SP_TOTAL_REV", "CY2023")</f>
        <v>10295000</v>
      </c>
      <c r="C218" s="4">
        <f>_xll.SNL.Clients.Office.Excel.Functions.SPG(A218,"IQ_AVG_DILUT_SHARES_OUT","CY2023")</f>
        <v>307600000</v>
      </c>
      <c r="D218" s="5">
        <f>_xll.SNL.Clients.Office.Excel.Functions.SPG(A218, "IQ_DILUT_EPS_NORM", "CY2023")</f>
        <v>4.0259999999999998</v>
      </c>
      <c r="E218">
        <f t="shared" si="11"/>
        <v>1238397.6000000001</v>
      </c>
      <c r="F218">
        <f t="shared" si="12"/>
        <v>0.12029117047110248</v>
      </c>
      <c r="H218" t="b">
        <f t="shared" si="13"/>
        <v>1</v>
      </c>
      <c r="K218" t="s">
        <v>744</v>
      </c>
      <c r="L218">
        <v>10295000</v>
      </c>
      <c r="M218">
        <v>307600000</v>
      </c>
      <c r="N218">
        <v>4.0259999999999998</v>
      </c>
      <c r="O218">
        <v>1238397.6000000001</v>
      </c>
      <c r="P218">
        <v>0.12029117047110248</v>
      </c>
    </row>
    <row r="219" spans="1:16" x14ac:dyDescent="0.3">
      <c r="A219" t="s">
        <v>223</v>
      </c>
      <c r="B219" s="4" cm="1">
        <f t="array" ref="B219">_xll.SNL.Clients.Office.Excel.Functions.SPG(A219, "SP_TOTAL_REV", "CY2023")</f>
        <v>28081000</v>
      </c>
      <c r="C219" s="4">
        <f>_xll.SNL.Clients.Office.Excel.Functions.SPG(A219,"IQ_AVG_DILUT_SHARES_OUT","CY2023")</f>
        <v>1316250000</v>
      </c>
      <c r="D219" s="5">
        <f>_xll.SNL.Clients.Office.Excel.Functions.SPG(A219, "IQ_DILUT_EPS_NORM", "CY2023")</f>
        <v>1.163</v>
      </c>
      <c r="E219">
        <f t="shared" si="11"/>
        <v>1530798.75</v>
      </c>
      <c r="F219">
        <f t="shared" si="12"/>
        <v>5.4513683629500376E-2</v>
      </c>
      <c r="H219" t="b">
        <f t="shared" si="13"/>
        <v>1</v>
      </c>
      <c r="K219" t="s">
        <v>745</v>
      </c>
      <c r="L219">
        <v>28081000</v>
      </c>
      <c r="M219">
        <v>1316250000</v>
      </c>
      <c r="N219">
        <v>1.163</v>
      </c>
      <c r="O219">
        <v>1530798.75</v>
      </c>
      <c r="P219">
        <v>5.4513683629500376E-2</v>
      </c>
    </row>
    <row r="220" spans="1:16" x14ac:dyDescent="0.3">
      <c r="A220" t="s">
        <v>224</v>
      </c>
      <c r="B220" s="4" cm="1">
        <f t="array" ref="B220">_xll.SNL.Clients.Office.Excel.Functions.SPG(A220, "SP_TOTAL_REV", "CY2023")</f>
        <v>4408000</v>
      </c>
      <c r="C220" s="4">
        <f>_xll.SNL.Clients.Office.Excel.Functions.SPG(A220,"IQ_AVG_DILUT_SHARES_OUT","CY2023")</f>
        <v>264000000</v>
      </c>
      <c r="D220" s="5">
        <f>_xll.SNL.Clients.Office.Excel.Functions.SPG(A220, "IQ_DILUT_EPS_NORM", "CY2023")</f>
        <v>4.2759999999999998</v>
      </c>
      <c r="E220">
        <f t="shared" si="11"/>
        <v>1128864</v>
      </c>
      <c r="F220">
        <f t="shared" si="12"/>
        <v>0.25609437386569872</v>
      </c>
      <c r="H220" t="b">
        <f t="shared" si="13"/>
        <v>1</v>
      </c>
      <c r="K220" t="s">
        <v>746</v>
      </c>
      <c r="L220">
        <v>4408000</v>
      </c>
      <c r="M220">
        <v>264000000</v>
      </c>
      <c r="N220">
        <v>4.2759999999999998</v>
      </c>
      <c r="O220">
        <v>1128864</v>
      </c>
      <c r="P220">
        <v>0.25609437386569872</v>
      </c>
    </row>
    <row r="221" spans="1:16" x14ac:dyDescent="0.3">
      <c r="A221" t="s">
        <v>225</v>
      </c>
      <c r="B221" s="4" cm="1">
        <f t="array" ref="B221">_xll.SNL.Clients.Office.Excel.Functions.SPG(A221, "SP_TOTAL_REV", "CY2023")</f>
        <v>3969300</v>
      </c>
      <c r="C221" s="4">
        <f>_xll.SNL.Clients.Office.Excel.Functions.SPG(A221,"IQ_AVG_DILUT_SHARES_OUT","CY2023")</f>
        <v>246564250</v>
      </c>
      <c r="D221" s="5">
        <f>_xll.SNL.Clients.Office.Excel.Functions.SPG(A221, "IQ_DILUT_EPS_NORM", "CY2023")</f>
        <v>2.3969999999999998</v>
      </c>
      <c r="E221">
        <f t="shared" si="11"/>
        <v>591014.50725000002</v>
      </c>
      <c r="F221">
        <f t="shared" si="12"/>
        <v>0.14889640673418489</v>
      </c>
      <c r="H221" t="b">
        <f t="shared" si="13"/>
        <v>1</v>
      </c>
      <c r="K221" t="s">
        <v>747</v>
      </c>
      <c r="L221">
        <v>3969300</v>
      </c>
      <c r="M221">
        <v>246564250</v>
      </c>
      <c r="N221">
        <v>2.3969999999999998</v>
      </c>
      <c r="O221">
        <v>591014.50725000002</v>
      </c>
      <c r="P221">
        <v>0.14889640673418489</v>
      </c>
    </row>
    <row r="222" spans="1:16" x14ac:dyDescent="0.3">
      <c r="A222" t="s">
        <v>226</v>
      </c>
      <c r="B222" s="4" cm="1">
        <f t="array" ref="B222">_xll.SNL.Clients.Office.Excel.Functions.SPG(A222, "SP_TOTAL_REV", "CY2023")</f>
        <v>36662000</v>
      </c>
      <c r="C222" s="4">
        <f>_xll.SNL.Clients.Office.Excel.Functions.SPG(A222,"IQ_AVG_DILUT_SHARES_OUT","CY2023")</f>
        <v>668200000</v>
      </c>
      <c r="D222" s="5" t="str">
        <f>_xll.SNL.Clients.Office.Excel.Functions.SPG(A222, "IQ_DILUT_EPS_NORM", "CY2023")</f>
        <v>NA</v>
      </c>
      <c r="E222" t="e">
        <f t="shared" si="11"/>
        <v>#VALUE!</v>
      </c>
      <c r="F222" t="e">
        <f t="shared" si="12"/>
        <v>#VALUE!</v>
      </c>
      <c r="H222" t="b">
        <f t="shared" si="13"/>
        <v>1</v>
      </c>
      <c r="K222" t="s">
        <v>749</v>
      </c>
      <c r="L222">
        <v>36662000</v>
      </c>
      <c r="M222">
        <v>668200000</v>
      </c>
      <c r="N222" t="s">
        <v>1049</v>
      </c>
      <c r="O222" t="e">
        <v>#VALUE!</v>
      </c>
      <c r="P222" t="e">
        <v>#VALUE!</v>
      </c>
    </row>
    <row r="223" spans="1:16" x14ac:dyDescent="0.3">
      <c r="A223" t="s">
        <v>227</v>
      </c>
      <c r="B223" s="4" cm="1">
        <f t="array" ref="B223">_xll.SNL.Clients.Office.Excel.Functions.SPG(A223, "SP_TOTAL_REV", "CY2023")</f>
        <v>12135929</v>
      </c>
      <c r="C223" s="4">
        <f>_xll.SNL.Clients.Office.Excel.Functions.SPG(A223,"IQ_AVG_DILUT_SHARES_OUT","CY2023")</f>
        <v>548454250</v>
      </c>
      <c r="D223" s="5">
        <f>_xll.SNL.Clients.Office.Excel.Functions.SPG(A223, "IQ_DILUT_EPS_NORM", "CY2023")</f>
        <v>1.194</v>
      </c>
      <c r="E223">
        <f t="shared" si="11"/>
        <v>654854.37450000003</v>
      </c>
      <c r="F223">
        <f t="shared" si="12"/>
        <v>5.3959970802400052E-2</v>
      </c>
      <c r="H223" t="b">
        <f t="shared" si="13"/>
        <v>1</v>
      </c>
      <c r="K223" t="s">
        <v>750</v>
      </c>
      <c r="L223">
        <v>12135929</v>
      </c>
      <c r="M223">
        <v>548454250</v>
      </c>
      <c r="N223">
        <v>1.194</v>
      </c>
      <c r="O223">
        <v>654854.37450000003</v>
      </c>
      <c r="P223">
        <v>5.3959970802400052E-2</v>
      </c>
    </row>
    <row r="224" spans="1:16" x14ac:dyDescent="0.3">
      <c r="A224" t="s">
        <v>228</v>
      </c>
      <c r="B224" s="4" cm="1">
        <f t="array" ref="B224">_xll.SNL.Clients.Office.Excel.Functions.SPG(A224, "SP_TOTAL_REV", "CY2023")</f>
        <v>5392000</v>
      </c>
      <c r="C224" s="4">
        <f>_xll.SNL.Clients.Office.Excel.Functions.SPG(A224,"IQ_AVG_DILUT_SHARES_OUT","CY2023")</f>
        <v>712800000</v>
      </c>
      <c r="D224" s="5">
        <f>_xll.SNL.Clients.Office.Excel.Functions.SPG(A224, "IQ_DILUT_EPS_NORM", "CY2023")</f>
        <v>0.61299999999999999</v>
      </c>
      <c r="E224">
        <f t="shared" si="11"/>
        <v>436946.4</v>
      </c>
      <c r="F224">
        <f t="shared" si="12"/>
        <v>8.1036053412462908E-2</v>
      </c>
      <c r="H224" t="b">
        <f t="shared" si="13"/>
        <v>1</v>
      </c>
      <c r="K224" t="s">
        <v>751</v>
      </c>
      <c r="L224">
        <v>5392000</v>
      </c>
      <c r="M224">
        <v>712800000</v>
      </c>
      <c r="N224">
        <v>0.61299999999999999</v>
      </c>
      <c r="O224">
        <v>436946.4</v>
      </c>
      <c r="P224">
        <v>8.1036053412462908E-2</v>
      </c>
    </row>
    <row r="225" spans="1:16" x14ac:dyDescent="0.3">
      <c r="A225" t="s">
        <v>229</v>
      </c>
      <c r="B225" s="4" cm="1">
        <f t="array" ref="B225">_xll.SNL.Clients.Office.Excel.Functions.SPG(A225, "SP_TOTAL_REV", "CY2023")</f>
        <v>6640000</v>
      </c>
      <c r="C225" s="4">
        <f>_xll.SNL.Clients.Office.Excel.Functions.SPG(A225,"IQ_AVG_DILUT_SHARES_OUT","CY2023")</f>
        <v>416000000</v>
      </c>
      <c r="D225" s="5">
        <f>_xll.SNL.Clients.Office.Excel.Functions.SPG(A225, "IQ_DILUT_EPS_NORM", "CY2023")</f>
        <v>1.48</v>
      </c>
      <c r="E225">
        <f t="shared" si="11"/>
        <v>615680</v>
      </c>
      <c r="F225">
        <f t="shared" si="12"/>
        <v>9.2722891566265064E-2</v>
      </c>
      <c r="H225" t="b">
        <f t="shared" si="13"/>
        <v>1</v>
      </c>
      <c r="K225" t="s">
        <v>752</v>
      </c>
      <c r="L225">
        <v>6640000</v>
      </c>
      <c r="M225">
        <v>416000000</v>
      </c>
      <c r="N225">
        <v>1.48</v>
      </c>
      <c r="O225">
        <v>615680</v>
      </c>
      <c r="P225">
        <v>9.2722891566265064E-2</v>
      </c>
    </row>
    <row r="226" spans="1:16" x14ac:dyDescent="0.3">
      <c r="A226" t="s">
        <v>230</v>
      </c>
      <c r="B226" s="4" cm="1">
        <f t="array" ref="B226">_xll.SNL.Clients.Office.Excel.Functions.SPG(A226, "SP_TOTAL_REV", "CY2023")</f>
        <v>53105000</v>
      </c>
      <c r="C226" s="4">
        <f>_xll.SNL.Clients.Office.Excel.Functions.SPG(A226,"IQ_AVG_DILUT_SHARES_OUT","CY2023")</f>
        <v>1001500000</v>
      </c>
      <c r="D226" s="5">
        <f>_xll.SNL.Clients.Office.Excel.Functions.SPG(A226, "IQ_DILUT_EPS_NORM", "CY2023")</f>
        <v>2.3860000000000001</v>
      </c>
      <c r="E226">
        <f t="shared" si="11"/>
        <v>2389579</v>
      </c>
      <c r="F226">
        <f t="shared" si="12"/>
        <v>4.4997250729686473E-2</v>
      </c>
      <c r="H226" t="b">
        <f t="shared" si="13"/>
        <v>1</v>
      </c>
      <c r="K226" t="s">
        <v>753</v>
      </c>
      <c r="L226">
        <v>53105000</v>
      </c>
      <c r="M226">
        <v>1001500000</v>
      </c>
      <c r="N226">
        <v>2.3860000000000001</v>
      </c>
      <c r="O226">
        <v>2389579</v>
      </c>
      <c r="P226">
        <v>4.4997250729686473E-2</v>
      </c>
    </row>
    <row r="227" spans="1:16" x14ac:dyDescent="0.3">
      <c r="A227" t="s">
        <v>231</v>
      </c>
      <c r="B227" s="4" cm="1">
        <f t="array" ref="B227">_xll.SNL.Clients.Office.Excel.Functions.SPG(A227, "SP_TOTAL_REV", "CY2023")</f>
        <v>5372900</v>
      </c>
      <c r="C227" s="4">
        <f>_xll.SNL.Clients.Office.Excel.Functions.SPG(A227,"IQ_AVG_DILUT_SHARES_OUT","CY2023")</f>
        <v>54000000</v>
      </c>
      <c r="D227" s="5">
        <f>_xll.SNL.Clients.Office.Excel.Functions.SPG(A227, "IQ_DILUT_EPS_NORM", "CY2023")</f>
        <v>11.327999999999999</v>
      </c>
      <c r="E227">
        <f t="shared" si="11"/>
        <v>611712</v>
      </c>
      <c r="F227">
        <f t="shared" si="12"/>
        <v>0.11385136518453721</v>
      </c>
      <c r="H227" t="b">
        <f t="shared" si="13"/>
        <v>1</v>
      </c>
      <c r="K227" t="s">
        <v>754</v>
      </c>
      <c r="L227">
        <v>5372900</v>
      </c>
      <c r="M227">
        <v>54000000</v>
      </c>
      <c r="N227">
        <v>11.327999999999999</v>
      </c>
      <c r="O227">
        <v>611712</v>
      </c>
      <c r="P227">
        <v>0.11385136518453721</v>
      </c>
    </row>
    <row r="228" spans="1:16" x14ac:dyDescent="0.3">
      <c r="A228" t="s">
        <v>232</v>
      </c>
      <c r="B228" s="4" cm="1">
        <f t="array" ref="B228">_xll.SNL.Clients.Office.Excel.Functions.SPG(A228, "SP_TOTAL_REV", "CY2023")</f>
        <v>106374000</v>
      </c>
      <c r="C228" s="4">
        <f>_xll.SNL.Clients.Office.Excel.Functions.SPG(A228,"IQ_AVG_DILUT_SHARES_OUT","CY2023")</f>
        <v>124441000</v>
      </c>
      <c r="D228" s="5">
        <f>_xll.SNL.Clients.Office.Excel.Functions.SPG(A228, "IQ_DILUT_EPS_NORM", "CY2023")</f>
        <v>19.532</v>
      </c>
      <c r="E228">
        <f t="shared" si="11"/>
        <v>2430581.6120000002</v>
      </c>
      <c r="F228">
        <f t="shared" si="12"/>
        <v>2.284939564179217E-2</v>
      </c>
      <c r="H228" t="b">
        <f t="shared" si="13"/>
        <v>1</v>
      </c>
      <c r="K228" t="s">
        <v>755</v>
      </c>
      <c r="L228">
        <v>106374000</v>
      </c>
      <c r="M228">
        <v>124441000</v>
      </c>
      <c r="N228">
        <v>19.532</v>
      </c>
      <c r="O228">
        <v>2430581.6120000002</v>
      </c>
      <c r="P228">
        <v>2.284939564179217E-2</v>
      </c>
    </row>
    <row r="229" spans="1:16" x14ac:dyDescent="0.3">
      <c r="A229" t="s">
        <v>233</v>
      </c>
      <c r="B229" s="4" cm="1">
        <f t="array" ref="B229">_xll.SNL.Clients.Office.Excel.Functions.SPG(A229, "SP_TOTAL_REV", "CY2023")</f>
        <v>7303000</v>
      </c>
      <c r="C229" s="4">
        <f>_xll.SNL.Clients.Office.Excel.Functions.SPG(A229,"IQ_AVG_DILUT_SHARES_OUT","CY2023")</f>
        <v>1468016000</v>
      </c>
      <c r="D229" s="5">
        <f>_xll.SNL.Clients.Office.Excel.Functions.SPG(A229, "IQ_DILUT_EPS_NORM", "CY2023")</f>
        <v>1.0009999999999999</v>
      </c>
      <c r="E229">
        <f t="shared" si="11"/>
        <v>1469484.0159999998</v>
      </c>
      <c r="F229">
        <f t="shared" si="12"/>
        <v>0.20121648856634258</v>
      </c>
      <c r="H229" t="b">
        <f t="shared" si="13"/>
        <v>1</v>
      </c>
      <c r="K229" t="s">
        <v>756</v>
      </c>
      <c r="L229">
        <v>7303000</v>
      </c>
      <c r="M229">
        <v>1468016000</v>
      </c>
      <c r="N229">
        <v>1.0009999999999999</v>
      </c>
      <c r="O229">
        <v>1469484.0159999998</v>
      </c>
      <c r="P229">
        <v>0.20121648856634258</v>
      </c>
    </row>
    <row r="230" spans="1:16" x14ac:dyDescent="0.3">
      <c r="A230" t="s">
        <v>234</v>
      </c>
      <c r="B230" s="4" cm="1">
        <f t="array" ref="B230">_xll.SNL.Clients.Office.Excel.Functions.SPG(A230, "SP_TOTAL_REV", "CY2023")</f>
        <v>11454000</v>
      </c>
      <c r="C230" s="4">
        <f>_xll.SNL.Clients.Office.Excel.Functions.SPG(A230,"IQ_AVG_DILUT_SHARES_OUT","CY2023")</f>
        <v>39900000</v>
      </c>
      <c r="D230" s="5">
        <f>_xll.SNL.Clients.Office.Excel.Functions.SPG(A230, "IQ_DILUT_EPS_NORM", "CY2023")</f>
        <v>11.122</v>
      </c>
      <c r="E230">
        <f t="shared" si="11"/>
        <v>443767.8</v>
      </c>
      <c r="F230">
        <f t="shared" si="12"/>
        <v>3.8743478260869567E-2</v>
      </c>
      <c r="H230" t="b">
        <f t="shared" si="13"/>
        <v>1</v>
      </c>
      <c r="K230" t="s">
        <v>757</v>
      </c>
      <c r="L230">
        <v>11454000</v>
      </c>
      <c r="M230">
        <v>39900000</v>
      </c>
      <c r="N230">
        <v>11.122</v>
      </c>
      <c r="O230">
        <v>443767.8</v>
      </c>
      <c r="P230">
        <v>3.8743478260869567E-2</v>
      </c>
    </row>
    <row r="231" spans="1:16" x14ac:dyDescent="0.3">
      <c r="A231" t="s">
        <v>235</v>
      </c>
      <c r="B231" s="4" cm="1">
        <f t="array" ref="B231">_xll.SNL.Clients.Office.Excel.Functions.SPG(A231, "SP_TOTAL_REV", "CY2023")</f>
        <v>3273900</v>
      </c>
      <c r="C231" s="4">
        <f>_xll.SNL.Clients.Office.Excel.Functions.SPG(A231,"IQ_AVG_DILUT_SHARES_OUT","CY2023")</f>
        <v>75900000</v>
      </c>
      <c r="D231" s="5">
        <f>_xll.SNL.Clients.Office.Excel.Functions.SPG(A231, "IQ_DILUT_EPS_NORM", "CY2023")</f>
        <v>5.7329999999999997</v>
      </c>
      <c r="E231">
        <f t="shared" si="11"/>
        <v>435134.7</v>
      </c>
      <c r="F231">
        <f t="shared" si="12"/>
        <v>0.13291019884541372</v>
      </c>
      <c r="H231" t="b">
        <f t="shared" si="13"/>
        <v>1</v>
      </c>
      <c r="K231" t="s">
        <v>759</v>
      </c>
      <c r="L231">
        <v>3273900</v>
      </c>
      <c r="M231">
        <v>75900000</v>
      </c>
      <c r="N231">
        <v>5.7329999999999997</v>
      </c>
      <c r="O231">
        <v>435134.7</v>
      </c>
      <c r="P231">
        <v>0.13291019884541372</v>
      </c>
    </row>
    <row r="232" spans="1:16" x14ac:dyDescent="0.3">
      <c r="A232" t="s">
        <v>236</v>
      </c>
      <c r="B232" s="4" cm="1">
        <f t="array" ref="B232">_xll.SNL.Clients.Office.Excel.Functions.SPG(A232, "SP_TOTAL_REV", "CY2023")</f>
        <v>3660953</v>
      </c>
      <c r="C232" s="4">
        <f>_xll.SNL.Clients.Office.Excel.Functions.SPG(A232,"IQ_AVG_DILUT_SHARES_OUT","CY2023")</f>
        <v>83978000</v>
      </c>
      <c r="D232" s="5">
        <f>_xll.SNL.Clients.Office.Excel.Functions.SPG(A232, "IQ_DILUT_EPS_NORM", "CY2023")</f>
        <v>7.8979999999999997</v>
      </c>
      <c r="E232">
        <f t="shared" si="11"/>
        <v>663258.24399999995</v>
      </c>
      <c r="F232">
        <f t="shared" si="12"/>
        <v>0.18117092571251256</v>
      </c>
      <c r="H232" t="b">
        <f t="shared" si="13"/>
        <v>1</v>
      </c>
      <c r="K232" t="s">
        <v>760</v>
      </c>
      <c r="L232">
        <v>3660953</v>
      </c>
      <c r="M232">
        <v>83978000</v>
      </c>
      <c r="N232">
        <v>7.8979999999999997</v>
      </c>
      <c r="O232">
        <v>663258.24399999995</v>
      </c>
      <c r="P232">
        <v>0.18117092571251256</v>
      </c>
    </row>
    <row r="233" spans="1:16" x14ac:dyDescent="0.3">
      <c r="A233" t="s">
        <v>237</v>
      </c>
      <c r="B233" s="4" cm="1">
        <f t="array" ref="B233">_xll.SNL.Clients.Office.Excel.Functions.SPG(A233, "SP_TOTAL_REV", "CY2023")</f>
        <v>16107000</v>
      </c>
      <c r="C233" s="4">
        <f>_xll.SNL.Clients.Office.Excel.Functions.SPG(A233,"IQ_AVG_DILUT_SHARES_OUT","CY2023")</f>
        <v>303600000</v>
      </c>
      <c r="D233" s="5">
        <f>_xll.SNL.Clients.Office.Excel.Functions.SPG(A233, "IQ_DILUT_EPS_NORM", "CY2023")</f>
        <v>7.8639999999999999</v>
      </c>
      <c r="E233">
        <f t="shared" si="11"/>
        <v>2387510.4</v>
      </c>
      <c r="F233">
        <f t="shared" si="12"/>
        <v>0.14822812441795491</v>
      </c>
      <c r="H233" t="b">
        <f t="shared" si="13"/>
        <v>1</v>
      </c>
      <c r="K233" t="s">
        <v>761</v>
      </c>
      <c r="L233">
        <v>16107000</v>
      </c>
      <c r="M233">
        <v>303600000</v>
      </c>
      <c r="N233">
        <v>7.8639999999999999</v>
      </c>
      <c r="O233">
        <v>2387510.4</v>
      </c>
      <c r="P233">
        <v>0.14822812441795491</v>
      </c>
    </row>
    <row r="234" spans="1:16" x14ac:dyDescent="0.3">
      <c r="A234" t="s">
        <v>238</v>
      </c>
      <c r="B234" s="4" cm="1">
        <f t="array" ref="B234">_xll.SNL.Clients.Office.Excel.Functions.SPG(A234, "SP_TOTAL_REV", "CY2023")</f>
        <v>3695649</v>
      </c>
      <c r="C234" s="4">
        <f>_xll.SNL.Clients.Office.Excel.Functions.SPG(A234,"IQ_AVG_DILUT_SHARES_OUT","CY2023")</f>
        <v>225928000</v>
      </c>
      <c r="D234" s="5">
        <f>_xll.SNL.Clients.Office.Excel.Functions.SPG(A234, "IQ_DILUT_EPS_NORM", "CY2023")</f>
        <v>2.2669999999999999</v>
      </c>
      <c r="E234">
        <f t="shared" si="11"/>
        <v>512178.77600000001</v>
      </c>
      <c r="F234">
        <f t="shared" si="12"/>
        <v>0.13858967017701085</v>
      </c>
      <c r="H234" t="b">
        <f t="shared" si="13"/>
        <v>1</v>
      </c>
      <c r="K234" t="s">
        <v>763</v>
      </c>
      <c r="L234">
        <v>3695649</v>
      </c>
      <c r="M234">
        <v>225928000</v>
      </c>
      <c r="N234">
        <v>2.2669999999999999</v>
      </c>
      <c r="O234">
        <v>512178.77600000001</v>
      </c>
      <c r="P234">
        <v>0.13858967017701085</v>
      </c>
    </row>
    <row r="235" spans="1:16" x14ac:dyDescent="0.3">
      <c r="A235" t="s">
        <v>239</v>
      </c>
      <c r="B235" s="4" cm="1">
        <f t="array" ref="B235">_xll.SNL.Clients.Office.Excel.Functions.SPG(A235, "SP_TOTAL_REV", "CY2023")</f>
        <v>6876100</v>
      </c>
      <c r="C235" s="4">
        <f>_xll.SNL.Clients.Office.Excel.Functions.SPG(A235,"IQ_AVG_DILUT_SHARES_OUT","CY2023")</f>
        <v>409000000</v>
      </c>
      <c r="D235" s="5">
        <f>_xll.SNL.Clients.Office.Excel.Functions.SPG(A235, "IQ_DILUT_EPS_NORM", "CY2023")</f>
        <v>1.6819999999999999</v>
      </c>
      <c r="E235">
        <f t="shared" si="11"/>
        <v>687938</v>
      </c>
      <c r="F235">
        <f t="shared" si="12"/>
        <v>0.1000477014586757</v>
      </c>
      <c r="H235" t="b">
        <f t="shared" si="13"/>
        <v>1</v>
      </c>
      <c r="K235" t="s">
        <v>764</v>
      </c>
      <c r="L235">
        <v>6876100</v>
      </c>
      <c r="M235">
        <v>409000000</v>
      </c>
      <c r="N235">
        <v>1.6819999999999999</v>
      </c>
      <c r="O235">
        <v>687938</v>
      </c>
      <c r="P235">
        <v>0.1000477014586757</v>
      </c>
    </row>
    <row r="236" spans="1:16" x14ac:dyDescent="0.3">
      <c r="A236" t="s">
        <v>240</v>
      </c>
      <c r="B236" s="4" cm="1">
        <f t="array" ref="B236">_xll.SNL.Clients.Office.Excel.Functions.SPG(A236, "SP_TOTAL_REV", "CY2023")</f>
        <v>1697100</v>
      </c>
      <c r="C236" s="4">
        <f>_xll.SNL.Clients.Office.Excel.Functions.SPG(A236,"IQ_AVG_DILUT_SHARES_OUT","CY2023")</f>
        <v>73633000</v>
      </c>
      <c r="D236" s="5">
        <f>_xll.SNL.Clients.Office.Excel.Functions.SPG(A236, "IQ_DILUT_EPS_NORM", "CY2023")</f>
        <v>1.956</v>
      </c>
      <c r="E236">
        <f t="shared" si="11"/>
        <v>144026.14799999999</v>
      </c>
      <c r="F236">
        <f t="shared" si="12"/>
        <v>8.4866035000883855E-2</v>
      </c>
      <c r="H236" t="b">
        <f t="shared" si="13"/>
        <v>1</v>
      </c>
      <c r="K236" t="s">
        <v>765</v>
      </c>
      <c r="L236">
        <v>1697100</v>
      </c>
      <c r="M236">
        <v>73633000</v>
      </c>
      <c r="N236">
        <v>1.956</v>
      </c>
      <c r="O236">
        <v>144026.14799999999</v>
      </c>
      <c r="P236">
        <v>8.4866035000883855E-2</v>
      </c>
    </row>
    <row r="237" spans="1:16" x14ac:dyDescent="0.3">
      <c r="A237" t="s">
        <v>241</v>
      </c>
      <c r="B237" s="4" cm="1">
        <f t="array" ref="B237">_xll.SNL.Clients.Office.Excel.Functions.SPG(A237, "SP_TOTAL_REV", "CY2023")</f>
        <v>54228000</v>
      </c>
      <c r="C237" s="4">
        <f>_xll.SNL.Clients.Office.Excel.Functions.SPG(A237,"IQ_AVG_DILUT_SHARES_OUT","CY2023")</f>
        <v>4212000000</v>
      </c>
      <c r="D237" s="5" t="str">
        <f>_xll.SNL.Clients.Office.Excel.Functions.SPG(A237, "IQ_DILUT_EPS_NORM", "CY2023")</f>
        <v>NA</v>
      </c>
      <c r="E237" t="e">
        <f t="shared" si="11"/>
        <v>#VALUE!</v>
      </c>
      <c r="F237" t="e">
        <f t="shared" si="12"/>
        <v>#VALUE!</v>
      </c>
      <c r="H237" t="b">
        <f t="shared" si="13"/>
        <v>1</v>
      </c>
      <c r="K237" t="s">
        <v>766</v>
      </c>
      <c r="L237">
        <v>54228000</v>
      </c>
      <c r="M237">
        <v>4212000000</v>
      </c>
      <c r="N237" t="s">
        <v>1049</v>
      </c>
      <c r="O237" t="e">
        <v>#VALUE!</v>
      </c>
      <c r="P237" t="e">
        <v>#VALUE!</v>
      </c>
    </row>
    <row r="238" spans="1:16" x14ac:dyDescent="0.3">
      <c r="A238" t="s">
        <v>242</v>
      </c>
      <c r="B238" s="4" cm="1">
        <f t="array" ref="B238">_xll.SNL.Clients.Office.Excel.Functions.SPG(A238, "SP_TOTAL_REV", "CY2023")</f>
        <v>7988000</v>
      </c>
      <c r="C238" s="4">
        <f>_xll.SNL.Clients.Office.Excel.Functions.SPG(A238,"IQ_AVG_DILUT_SHARES_OUT","CY2023")</f>
        <v>565000000</v>
      </c>
      <c r="D238" s="5">
        <f>_xll.SNL.Clients.Office.Excel.Functions.SPG(A238, "IQ_DILUT_EPS_NORM", "CY2023")</f>
        <v>3.3780000000000001</v>
      </c>
      <c r="E238">
        <f t="shared" si="11"/>
        <v>1908570</v>
      </c>
      <c r="F238">
        <f t="shared" si="12"/>
        <v>0.23892964446670004</v>
      </c>
      <c r="H238" t="b">
        <f t="shared" si="13"/>
        <v>1</v>
      </c>
      <c r="K238" t="s">
        <v>767</v>
      </c>
      <c r="L238">
        <v>7988000</v>
      </c>
      <c r="M238">
        <v>565000000</v>
      </c>
      <c r="N238">
        <v>3.3780000000000001</v>
      </c>
      <c r="O238">
        <v>1908570</v>
      </c>
      <c r="P238">
        <v>0.23892964446670004</v>
      </c>
    </row>
    <row r="239" spans="1:16" x14ac:dyDescent="0.3">
      <c r="A239" t="s">
        <v>243</v>
      </c>
      <c r="B239" s="4" cm="1">
        <f t="array" ref="B239">_xll.SNL.Clients.Office.Excel.Functions.SPG(A239, "SP_TOTAL_REV", "CY2023")</f>
        <v>61860000</v>
      </c>
      <c r="C239" s="4">
        <f>_xll.SNL.Clients.Office.Excel.Functions.SPG(A239,"IQ_AVG_DILUT_SHARES_OUT","CY2023")</f>
        <v>922073828</v>
      </c>
      <c r="D239" s="5">
        <f>_xll.SNL.Clients.Office.Excel.Functions.SPG(A239, "IQ_DILUT_EPS_NORM", "CY2023")</f>
        <v>6.1779999999999999</v>
      </c>
      <c r="E239">
        <f t="shared" si="11"/>
        <v>5696572.1093839994</v>
      </c>
      <c r="F239">
        <f t="shared" si="12"/>
        <v>9.2088136265502732E-2</v>
      </c>
      <c r="H239" t="b">
        <f t="shared" si="13"/>
        <v>1</v>
      </c>
      <c r="K239" t="s">
        <v>758</v>
      </c>
      <c r="L239">
        <v>61860000</v>
      </c>
      <c r="M239">
        <v>922073828</v>
      </c>
      <c r="N239">
        <v>6.1779999999999999</v>
      </c>
      <c r="O239">
        <v>5696572.1093839994</v>
      </c>
      <c r="P239">
        <v>9.2088136265502732E-2</v>
      </c>
    </row>
    <row r="240" spans="1:16" x14ac:dyDescent="0.3">
      <c r="A240" t="s">
        <v>244</v>
      </c>
      <c r="B240" s="4" cm="1">
        <f t="array" ref="B240">_xll.SNL.Clients.Office.Excel.Functions.SPG(A240, "SP_TOTAL_REV", "CY2023")</f>
        <v>11479000</v>
      </c>
      <c r="C240" s="4">
        <f>_xll.SNL.Clients.Office.Excel.Functions.SPG(A240,"IQ_AVG_DILUT_SHARES_OUT","CY2023")</f>
        <v>255000000</v>
      </c>
      <c r="D240" s="5">
        <f>_xll.SNL.Clients.Office.Excel.Functions.SPG(A240, "IQ_DILUT_EPS_NORM", "CY2023")</f>
        <v>0.41799999999999998</v>
      </c>
      <c r="E240">
        <f t="shared" si="11"/>
        <v>106590</v>
      </c>
      <c r="F240">
        <f t="shared" si="12"/>
        <v>9.2856520602839967E-3</v>
      </c>
      <c r="H240" t="b">
        <f t="shared" si="13"/>
        <v>1</v>
      </c>
      <c r="K240" t="s">
        <v>768</v>
      </c>
      <c r="L240">
        <v>11479000</v>
      </c>
      <c r="M240">
        <v>255000000</v>
      </c>
      <c r="N240">
        <v>0.41799999999999998</v>
      </c>
      <c r="O240">
        <v>106590</v>
      </c>
      <c r="P240">
        <v>9.2856520602839967E-3</v>
      </c>
    </row>
    <row r="241" spans="1:16" x14ac:dyDescent="0.3">
      <c r="A241" t="s">
        <v>245</v>
      </c>
      <c r="B241" s="4" cm="1">
        <f t="array" ref="B241">_xll.SNL.Clients.Office.Excel.Functions.SPG(A241, "SP_TOTAL_REV", "CY2023")</f>
        <v>18916000</v>
      </c>
      <c r="C241" s="4">
        <f>_xll.SNL.Clients.Office.Excel.Functions.SPG(A241,"IQ_AVG_DILUT_SHARES_OUT","CY2023")</f>
        <v>349100000</v>
      </c>
      <c r="D241" s="5">
        <f>_xll.SNL.Clients.Office.Excel.Functions.SPG(A241, "IQ_DILUT_EPS_NORM", "CY2023")</f>
        <v>1.5840000000000001</v>
      </c>
      <c r="E241">
        <f t="shared" si="11"/>
        <v>552974.4</v>
      </c>
      <c r="F241">
        <f t="shared" si="12"/>
        <v>2.9233157115669275E-2</v>
      </c>
      <c r="H241" t="b">
        <f t="shared" si="13"/>
        <v>1</v>
      </c>
      <c r="K241" t="s">
        <v>769</v>
      </c>
      <c r="L241">
        <v>18916000</v>
      </c>
      <c r="M241">
        <v>349100000</v>
      </c>
      <c r="N241">
        <v>1.5840000000000001</v>
      </c>
      <c r="O241">
        <v>552974.4</v>
      </c>
      <c r="P241">
        <v>2.9233157115669275E-2</v>
      </c>
    </row>
    <row r="242" spans="1:16" x14ac:dyDescent="0.3">
      <c r="A242" t="s">
        <v>246</v>
      </c>
      <c r="B242" s="4" cm="1">
        <f t="array" ref="B242">_xll.SNL.Clients.Office.Excel.Functions.SPG(A242, "SP_TOTAL_REV", "CY2023")</f>
        <v>15094000</v>
      </c>
      <c r="C242" s="4">
        <f>_xll.SNL.Clients.Office.Excel.Functions.SPG(A242,"IQ_AVG_DILUT_SHARES_OUT","CY2023")</f>
        <v>283500000</v>
      </c>
      <c r="D242" s="5">
        <f>_xll.SNL.Clients.Office.Excel.Functions.SPG(A242, "IQ_DILUT_EPS_NORM", "CY2023")</f>
        <v>7.3920000000000003</v>
      </c>
      <c r="E242">
        <f t="shared" si="11"/>
        <v>2095632</v>
      </c>
      <c r="F242">
        <f t="shared" si="12"/>
        <v>0.13883874387173711</v>
      </c>
      <c r="H242" t="b">
        <f t="shared" si="13"/>
        <v>1</v>
      </c>
      <c r="K242" t="s">
        <v>771</v>
      </c>
      <c r="L242">
        <v>15094000</v>
      </c>
      <c r="M242">
        <v>283500000</v>
      </c>
      <c r="N242">
        <v>7.3920000000000003</v>
      </c>
      <c r="O242">
        <v>2095632</v>
      </c>
      <c r="P242">
        <v>0.13883874387173711</v>
      </c>
    </row>
    <row r="243" spans="1:16" x14ac:dyDescent="0.3">
      <c r="A243" t="s">
        <v>247</v>
      </c>
      <c r="B243" s="4" cm="1">
        <f t="array" ref="B243">_xll.SNL.Clients.Office.Excel.Functions.SPG(A243, "SP_TOTAL_REV", "CY2023")</f>
        <v>7124100</v>
      </c>
      <c r="C243" s="4">
        <f>_xll.SNL.Clients.Office.Excel.Functions.SPG(A243,"IQ_AVG_DILUT_SHARES_OUT","CY2023")</f>
        <v>357400000</v>
      </c>
      <c r="D243" s="5">
        <f>_xll.SNL.Clients.Office.Excel.Functions.SPG(A243, "IQ_DILUT_EPS_NORM", "CY2023")</f>
        <v>3.3839999999999999</v>
      </c>
      <c r="E243">
        <f t="shared" si="11"/>
        <v>1209441.6000000001</v>
      </c>
      <c r="F243">
        <f t="shared" si="12"/>
        <v>0.16976763380637555</v>
      </c>
      <c r="H243" t="b">
        <f t="shared" si="13"/>
        <v>1</v>
      </c>
      <c r="K243" t="s">
        <v>772</v>
      </c>
      <c r="L243">
        <v>7124100</v>
      </c>
      <c r="M243">
        <v>357400000</v>
      </c>
      <c r="N243">
        <v>3.3839999999999999</v>
      </c>
      <c r="O243">
        <v>1209441.6000000001</v>
      </c>
      <c r="P243">
        <v>0.16976763380637555</v>
      </c>
    </row>
    <row r="244" spans="1:16" x14ac:dyDescent="0.3">
      <c r="A244" t="s">
        <v>248</v>
      </c>
      <c r="B244" s="4" cm="1">
        <f t="array" ref="B244">_xll.SNL.Clients.Office.Excel.Functions.SPG(A244, "SP_TOTAL_REV", "CY2023")</f>
        <v>5716400</v>
      </c>
      <c r="C244" s="4">
        <f>_xll.SNL.Clients.Office.Excel.Functions.SPG(A244,"IQ_AVG_DILUT_SHARES_OUT","CY2023")</f>
        <v>456200000</v>
      </c>
      <c r="D244" s="5">
        <f>_xll.SNL.Clients.Office.Excel.Functions.SPG(A244, "IQ_DILUT_EPS_NORM", "CY2023")</f>
        <v>1.7509999999999999</v>
      </c>
      <c r="E244">
        <f t="shared" si="11"/>
        <v>798806.2</v>
      </c>
      <c r="F244">
        <f t="shared" si="12"/>
        <v>0.13973938142887132</v>
      </c>
      <c r="H244" t="b">
        <f t="shared" si="13"/>
        <v>1</v>
      </c>
      <c r="K244" t="s">
        <v>773</v>
      </c>
      <c r="L244">
        <v>5716400</v>
      </c>
      <c r="M244">
        <v>456200000</v>
      </c>
      <c r="N244">
        <v>1.7509999999999999</v>
      </c>
      <c r="O244">
        <v>798806.2</v>
      </c>
      <c r="P244">
        <v>0.13973938142887132</v>
      </c>
    </row>
    <row r="245" spans="1:16" x14ac:dyDescent="0.3">
      <c r="A245" t="s">
        <v>249</v>
      </c>
      <c r="B245" s="4" cm="1">
        <f t="array" ref="B245">_xll.SNL.Clients.Office.Excel.Functions.SPG(A245, "SP_TOTAL_REV", "CY2023")</f>
        <v>2412733</v>
      </c>
      <c r="C245" s="4">
        <f>_xll.SNL.Clients.Office.Excel.Functions.SPG(A245,"IQ_AVG_DILUT_SHARES_OUT","CY2023")</f>
        <v>613288708</v>
      </c>
      <c r="D245" s="5">
        <f>_xll.SNL.Clients.Office.Excel.Functions.SPG(A245, "IQ_DILUT_EPS_NORM", "CY2023")</f>
        <v>0.35099999999999998</v>
      </c>
      <c r="E245">
        <f t="shared" si="11"/>
        <v>215264.33650799998</v>
      </c>
      <c r="F245">
        <f t="shared" si="12"/>
        <v>8.9220123614175278E-2</v>
      </c>
      <c r="H245" t="b">
        <f t="shared" si="13"/>
        <v>1</v>
      </c>
      <c r="K245" t="s">
        <v>774</v>
      </c>
      <c r="L245">
        <v>2412733</v>
      </c>
      <c r="M245">
        <v>613288708</v>
      </c>
      <c r="N245">
        <v>0.35099999999999998</v>
      </c>
      <c r="O245">
        <v>215264.33650799998</v>
      </c>
      <c r="P245">
        <v>8.9220123614175278E-2</v>
      </c>
    </row>
    <row r="246" spans="1:16" x14ac:dyDescent="0.3">
      <c r="A246" t="s">
        <v>250</v>
      </c>
      <c r="B246" s="4" cm="1">
        <f t="array" ref="B246">_xll.SNL.Clients.Office.Excel.Functions.SPG(A246, "SP_TOTAL_REV", "CY2023")</f>
        <v>14984000</v>
      </c>
      <c r="C246" s="4">
        <f>_xll.SNL.Clients.Office.Excel.Functions.SPG(A246,"IQ_AVG_DILUT_SHARES_OUT","CY2023")</f>
        <v>186300000</v>
      </c>
      <c r="D246" s="5">
        <f>_xll.SNL.Clients.Office.Excel.Functions.SPG(A246, "IQ_DILUT_EPS_NORM", "CY2023")</f>
        <v>4.9349999999999996</v>
      </c>
      <c r="E246">
        <f t="shared" si="11"/>
        <v>919390.49999999988</v>
      </c>
      <c r="F246">
        <f t="shared" si="12"/>
        <v>6.1358148691938057E-2</v>
      </c>
      <c r="H246" t="b">
        <f t="shared" si="13"/>
        <v>1</v>
      </c>
      <c r="K246" t="s">
        <v>775</v>
      </c>
      <c r="L246">
        <v>14984000</v>
      </c>
      <c r="M246">
        <v>186300000</v>
      </c>
      <c r="N246">
        <v>4.9349999999999996</v>
      </c>
      <c r="O246">
        <v>919390.49999999988</v>
      </c>
      <c r="P246">
        <v>6.1358148691938057E-2</v>
      </c>
    </row>
    <row r="247" spans="1:16" x14ac:dyDescent="0.3">
      <c r="A247" t="s">
        <v>251</v>
      </c>
      <c r="B247" s="4" cm="1">
        <f t="array" ref="B247">_xll.SNL.Clients.Office.Excel.Functions.SPG(A247, "SP_TOTAL_REV", "CY2023")</f>
        <v>5492760</v>
      </c>
      <c r="C247" s="4">
        <f>_xll.SNL.Clients.Office.Excel.Functions.SPG(A247,"IQ_AVG_DILUT_SHARES_OUT","CY2023")</f>
        <v>293965000</v>
      </c>
      <c r="D247" s="5">
        <f>_xll.SNL.Clients.Office.Excel.Functions.SPG(A247, "IQ_DILUT_EPS_NORM", "CY2023")</f>
        <v>0.95399999999999996</v>
      </c>
      <c r="E247">
        <f t="shared" si="11"/>
        <v>280442.61</v>
      </c>
      <c r="F247">
        <f t="shared" si="12"/>
        <v>5.1056774736198192E-2</v>
      </c>
      <c r="H247" t="b">
        <f t="shared" si="13"/>
        <v>1</v>
      </c>
      <c r="K247" t="s">
        <v>776</v>
      </c>
      <c r="L247">
        <v>5492760</v>
      </c>
      <c r="M247">
        <v>293965000</v>
      </c>
      <c r="N247">
        <v>0.95399999999999996</v>
      </c>
      <c r="O247">
        <v>280442.61</v>
      </c>
      <c r="P247">
        <v>5.1056774736198192E-2</v>
      </c>
    </row>
    <row r="248" spans="1:16" x14ac:dyDescent="0.3">
      <c r="A248" t="s">
        <v>252</v>
      </c>
      <c r="B248" s="4" cm="1">
        <f t="array" ref="B248">_xll.SNL.Clients.Office.Excel.Functions.SPG(A248, "SP_TOTAL_REV", "CY2023")</f>
        <v>12829665</v>
      </c>
      <c r="C248" s="4">
        <f>_xll.SNL.Clients.Office.Excel.Functions.SPG(A248,"IQ_AVG_DILUT_SHARES_OUT","CY2023")</f>
        <v>104451000</v>
      </c>
      <c r="D248" s="5">
        <f>_xll.SNL.Clients.Office.Excel.Functions.SPG(A248, "IQ_DILUT_EPS_NORM", "CY2023")</f>
        <v>5.5940000000000003</v>
      </c>
      <c r="E248">
        <f t="shared" si="11"/>
        <v>584298.89399999997</v>
      </c>
      <c r="F248">
        <f t="shared" si="12"/>
        <v>4.5542802091870671E-2</v>
      </c>
      <c r="H248" t="b">
        <f t="shared" si="13"/>
        <v>1</v>
      </c>
      <c r="K248" t="s">
        <v>777</v>
      </c>
      <c r="L248">
        <v>12829665</v>
      </c>
      <c r="M248">
        <v>104451000</v>
      </c>
      <c r="N248">
        <v>5.5940000000000003</v>
      </c>
      <c r="O248">
        <v>584298.89399999997</v>
      </c>
      <c r="P248">
        <v>4.5542802091870671E-2</v>
      </c>
    </row>
    <row r="249" spans="1:16" x14ac:dyDescent="0.3">
      <c r="A249" t="s">
        <v>253</v>
      </c>
      <c r="B249" s="4" cm="1">
        <f t="array" ref="B249">_xll.SNL.Clients.Office.Excel.Functions.SPG(A249, "SP_TOTAL_REV", "CY2023")</f>
        <v>33454000</v>
      </c>
      <c r="C249" s="4">
        <f>_xll.SNL.Clients.Office.Excel.Functions.SPG(A249,"IQ_AVG_DILUT_SHARES_OUT","CY2023")</f>
        <v>134425000</v>
      </c>
      <c r="D249" s="5">
        <f>_xll.SNL.Clients.Office.Excel.Functions.SPG(A249, "IQ_DILUT_EPS_NORM", "CY2023")</f>
        <v>6.2859999999999996</v>
      </c>
      <c r="E249">
        <f t="shared" si="11"/>
        <v>844995.55</v>
      </c>
      <c r="F249">
        <f t="shared" si="12"/>
        <v>2.5258430979852933E-2</v>
      </c>
      <c r="H249" t="b">
        <f t="shared" si="13"/>
        <v>1</v>
      </c>
      <c r="K249" t="s">
        <v>1037</v>
      </c>
      <c r="L249">
        <v>33454000</v>
      </c>
      <c r="M249">
        <v>134425000</v>
      </c>
      <c r="N249">
        <v>6.2859999999999996</v>
      </c>
      <c r="O249">
        <v>844995.55</v>
      </c>
      <c r="P249">
        <v>2.5258430979852933E-2</v>
      </c>
    </row>
    <row r="250" spans="1:16" x14ac:dyDescent="0.3">
      <c r="A250" t="s">
        <v>254</v>
      </c>
      <c r="B250" s="4" cm="1">
        <f t="array" ref="B250">_xll.SNL.Clients.Office.Excel.Functions.SPG(A250, "SP_TOTAL_REV", "CY2023")</f>
        <v>2160255</v>
      </c>
      <c r="C250" s="4">
        <f>_xll.SNL.Clients.Office.Excel.Functions.SPG(A250,"IQ_AVG_DILUT_SHARES_OUT","CY2023")</f>
        <v>73025000</v>
      </c>
      <c r="D250" s="5">
        <f>_xll.SNL.Clients.Office.Excel.Functions.SPG(A250, "IQ_DILUT_EPS_NORM", "CY2023")</f>
        <v>4.1379999999999999</v>
      </c>
      <c r="E250">
        <f t="shared" si="11"/>
        <v>302177.45</v>
      </c>
      <c r="F250">
        <f t="shared" si="12"/>
        <v>0.13988045392789278</v>
      </c>
      <c r="H250" t="b">
        <f t="shared" si="13"/>
        <v>1</v>
      </c>
      <c r="K250" t="s">
        <v>778</v>
      </c>
      <c r="L250">
        <v>2160255</v>
      </c>
      <c r="M250">
        <v>73025000</v>
      </c>
      <c r="N250">
        <v>4.1379999999999999</v>
      </c>
      <c r="O250">
        <v>302177.45</v>
      </c>
      <c r="P250">
        <v>0.13988045392789278</v>
      </c>
    </row>
    <row r="251" spans="1:16" x14ac:dyDescent="0.3">
      <c r="A251" t="s">
        <v>255</v>
      </c>
      <c r="B251" s="4" cm="1">
        <f t="array" ref="B251">_xll.SNL.Clients.Office.Excel.Functions.SPG(A251, "SP_TOTAL_REV", "CY2023")</f>
        <v>16712971</v>
      </c>
      <c r="C251" s="4">
        <f>_xll.SNL.Clients.Office.Excel.Functions.SPG(A251,"IQ_AVG_DILUT_SHARES_OUT","CY2023")</f>
        <v>127043250</v>
      </c>
      <c r="D251" s="5">
        <f>_xll.SNL.Clients.Office.Excel.Functions.SPG(A251, "IQ_DILUT_EPS_NORM", "CY2023")</f>
        <v>4.88</v>
      </c>
      <c r="E251">
        <f t="shared" si="11"/>
        <v>619971.06000000006</v>
      </c>
      <c r="F251">
        <f t="shared" si="12"/>
        <v>3.7095203479979716E-2</v>
      </c>
      <c r="H251" t="b">
        <f t="shared" si="13"/>
        <v>1</v>
      </c>
      <c r="K251" t="s">
        <v>779</v>
      </c>
      <c r="L251">
        <v>16712971</v>
      </c>
      <c r="M251">
        <v>127043250</v>
      </c>
      <c r="N251">
        <v>4.88</v>
      </c>
      <c r="O251">
        <v>619971.06000000006</v>
      </c>
      <c r="P251">
        <v>3.7095203479979716E-2</v>
      </c>
    </row>
    <row r="252" spans="1:16" x14ac:dyDescent="0.3">
      <c r="A252" t="s">
        <v>256</v>
      </c>
      <c r="B252" s="4" cm="1">
        <f t="array" ref="B252">_xll.SNL.Clients.Office.Excel.Functions.SPG(A252, "SP_TOTAL_REV", "CY2023")</f>
        <v>85159000</v>
      </c>
      <c r="C252" s="4">
        <f>_xll.SNL.Clients.Office.Excel.Functions.SPG(A252,"IQ_AVG_DILUT_SHARES_OUT","CY2023")</f>
        <v>2560400000</v>
      </c>
      <c r="D252" s="5">
        <f>_xll.SNL.Clients.Office.Excel.Functions.SPG(A252, "IQ_DILUT_EPS_NORM", "CY2023")</f>
        <v>6.2130000000000001</v>
      </c>
      <c r="E252">
        <f t="shared" si="11"/>
        <v>15907765.199999999</v>
      </c>
      <c r="F252">
        <f t="shared" si="12"/>
        <v>0.18680075153536324</v>
      </c>
      <c r="H252" t="b">
        <f t="shared" si="13"/>
        <v>1</v>
      </c>
      <c r="K252" t="s">
        <v>780</v>
      </c>
      <c r="L252">
        <v>85159000</v>
      </c>
      <c r="M252">
        <v>2560400000</v>
      </c>
      <c r="N252">
        <v>6.2130000000000001</v>
      </c>
      <c r="O252">
        <v>15907765.199999999</v>
      </c>
      <c r="P252">
        <v>0.18680075153536324</v>
      </c>
    </row>
    <row r="253" spans="1:16" x14ac:dyDescent="0.3">
      <c r="A253" t="s">
        <v>257</v>
      </c>
      <c r="B253" s="4" cm="1">
        <f t="array" ref="B253">_xll.SNL.Clients.Office.Excel.Functions.SPG(A253, "SP_TOTAL_REV", "CY2023")</f>
        <v>26819000</v>
      </c>
      <c r="C253" s="4">
        <f>_xll.SNL.Clients.Office.Excel.Functions.SPG(A253,"IQ_AVG_DILUT_SHARES_OUT","CY2023")</f>
        <v>685425000</v>
      </c>
      <c r="D253" s="5">
        <f>_xll.SNL.Clients.Office.Excel.Functions.SPG(A253, "IQ_DILUT_EPS_NORM", "CY2023")</f>
        <v>2.2200000000000002</v>
      </c>
      <c r="E253">
        <f t="shared" si="11"/>
        <v>1521643.5000000002</v>
      </c>
      <c r="F253">
        <f t="shared" si="12"/>
        <v>5.6737518177411544E-2</v>
      </c>
      <c r="H253" t="b">
        <f t="shared" si="13"/>
        <v>1</v>
      </c>
      <c r="K253" t="s">
        <v>781</v>
      </c>
      <c r="L253">
        <v>26819000</v>
      </c>
      <c r="M253">
        <v>685425000</v>
      </c>
      <c r="N253">
        <v>2.2200000000000002</v>
      </c>
      <c r="O253">
        <v>1521643.5000000002</v>
      </c>
      <c r="P253">
        <v>5.6737518177411544E-2</v>
      </c>
    </row>
    <row r="254" spans="1:16" x14ac:dyDescent="0.3">
      <c r="A254" t="s">
        <v>258</v>
      </c>
      <c r="B254" s="4" cm="1">
        <f t="array" ref="B254">_xll.SNL.Clients.Office.Excel.Functions.SPG(A254, "SP_TOTAL_REV", "CY2023")</f>
        <v>154990000</v>
      </c>
      <c r="C254" s="4">
        <f>_xll.SNL.Clients.Office.Excel.Functions.SPG(A254,"IQ_AVG_DILUT_SHARES_OUT","CY2023")</f>
        <v>2943100000</v>
      </c>
      <c r="D254" s="5">
        <f>_xll.SNL.Clients.Office.Excel.Functions.SPG(A254, "IQ_DILUT_EPS_NORM", "CY2023")</f>
        <v>13.263999999999999</v>
      </c>
      <c r="E254">
        <f t="shared" si="11"/>
        <v>39037278.399999999</v>
      </c>
      <c r="F254">
        <f t="shared" si="12"/>
        <v>0.25186965868765726</v>
      </c>
      <c r="H254" t="b">
        <f t="shared" si="13"/>
        <v>1</v>
      </c>
      <c r="K254" t="s">
        <v>782</v>
      </c>
      <c r="L254">
        <v>154990000</v>
      </c>
      <c r="M254">
        <v>2943100000</v>
      </c>
      <c r="N254">
        <v>13.263999999999999</v>
      </c>
      <c r="O254">
        <v>39037278.399999999</v>
      </c>
      <c r="P254">
        <v>0.25186965868765726</v>
      </c>
    </row>
    <row r="255" spans="1:16" x14ac:dyDescent="0.3">
      <c r="A255" t="s">
        <v>259</v>
      </c>
      <c r="B255" s="4" cm="1">
        <f t="array" ref="B255">_xll.SNL.Clients.Office.Excel.Functions.SPG(A255, "SP_TOTAL_REV", "CY2023")</f>
        <v>5564500</v>
      </c>
      <c r="C255" s="4">
        <f>_xll.SNL.Clients.Office.Excel.Functions.SPG(A255,"IQ_AVG_DILUT_SHARES_OUT","CY2023")</f>
        <v>325900000</v>
      </c>
      <c r="D255" s="5">
        <f>_xll.SNL.Clients.Office.Excel.Functions.SPG(A255, "IQ_DILUT_EPS_NORM", "CY2023")</f>
        <v>1.014</v>
      </c>
      <c r="E255">
        <f t="shared" si="11"/>
        <v>330462.59999999998</v>
      </c>
      <c r="F255">
        <f t="shared" si="12"/>
        <v>5.9387653877257612E-2</v>
      </c>
      <c r="H255" t="b">
        <f t="shared" si="13"/>
        <v>1</v>
      </c>
      <c r="K255" t="s">
        <v>783</v>
      </c>
      <c r="L255">
        <v>5564500</v>
      </c>
      <c r="M255">
        <v>325900000</v>
      </c>
      <c r="N255">
        <v>1.014</v>
      </c>
      <c r="O255">
        <v>330462.59999999998</v>
      </c>
      <c r="P255">
        <v>5.9387653877257612E-2</v>
      </c>
    </row>
    <row r="256" spans="1:16" x14ac:dyDescent="0.3">
      <c r="A256" t="s">
        <v>260</v>
      </c>
      <c r="B256" s="4" cm="1">
        <f t="array" ref="B256">_xll.SNL.Clients.Office.Excel.Functions.SPG(A256, "SP_TOTAL_REV", "CY2023")</f>
        <v>13122000</v>
      </c>
      <c r="C256" s="4">
        <f>_xll.SNL.Clients.Office.Excel.Functions.SPG(A256,"IQ_AVG_DILUT_SHARES_OUT","CY2023")</f>
        <v>344565217</v>
      </c>
      <c r="D256" s="5">
        <f>_xll.SNL.Clients.Office.Excel.Functions.SPG(A256, "IQ_DILUT_EPS_NORM", "CY2023")</f>
        <v>1.9359999999999999</v>
      </c>
      <c r="E256">
        <f t="shared" si="11"/>
        <v>667078.26011199993</v>
      </c>
      <c r="F256">
        <f t="shared" si="12"/>
        <v>5.0836630095412276E-2</v>
      </c>
      <c r="H256" t="b">
        <f t="shared" si="13"/>
        <v>1</v>
      </c>
      <c r="K256" t="s">
        <v>784</v>
      </c>
      <c r="L256">
        <v>13122000</v>
      </c>
      <c r="M256">
        <v>344565217</v>
      </c>
      <c r="N256">
        <v>1.9359999999999999</v>
      </c>
      <c r="O256">
        <v>667078.26011199993</v>
      </c>
      <c r="P256">
        <v>5.0836630095412276E-2</v>
      </c>
    </row>
    <row r="257" spans="1:16" x14ac:dyDescent="0.3">
      <c r="A257" t="s">
        <v>261</v>
      </c>
      <c r="B257" s="4" cm="1">
        <f t="array" ref="B257">_xll.SNL.Clients.Office.Excel.Functions.SPG(A257, "SP_TOTAL_REV", "CY2023")</f>
        <v>15444000</v>
      </c>
      <c r="C257" s="4">
        <f>_xll.SNL.Clients.Office.Excel.Functions.SPG(A257,"IQ_AVG_DILUT_SHARES_OUT","CY2023")</f>
        <v>1850325000</v>
      </c>
      <c r="D257" s="5">
        <f>_xll.SNL.Clients.Office.Excel.Functions.SPG(A257, "IQ_DILUT_EPS_NORM", "CY2023")</f>
        <v>0.88800000000000001</v>
      </c>
      <c r="E257">
        <f t="shared" si="11"/>
        <v>1643088.6</v>
      </c>
      <c r="F257">
        <f t="shared" si="12"/>
        <v>0.10639009324009324</v>
      </c>
      <c r="H257" t="b">
        <f t="shared" si="13"/>
        <v>1</v>
      </c>
      <c r="K257" t="s">
        <v>785</v>
      </c>
      <c r="L257">
        <v>15444000</v>
      </c>
      <c r="M257">
        <v>1850325000</v>
      </c>
      <c r="N257">
        <v>0.88800000000000001</v>
      </c>
      <c r="O257">
        <v>1643088.6</v>
      </c>
      <c r="P257">
        <v>0.10639009324009324</v>
      </c>
    </row>
    <row r="258" spans="1:16" x14ac:dyDescent="0.3">
      <c r="A258" t="s">
        <v>262</v>
      </c>
      <c r="B258" s="4" cm="1">
        <f t="array" ref="B258">_xll.SNL.Clients.Office.Excel.Functions.SPG(A258, "SP_TOTAL_REV", "CY2023")</f>
        <v>14814000</v>
      </c>
      <c r="C258" s="4">
        <f>_xll.SNL.Clients.Office.Excel.Functions.SPG(A258,"IQ_AVG_DILUT_SHARES_OUT","CY2023")</f>
        <v>1408400000</v>
      </c>
      <c r="D258" s="5">
        <f>_xll.SNL.Clients.Office.Excel.Functions.SPG(A258, "IQ_DILUT_EPS_NORM", "CY2023")</f>
        <v>1.2370000000000001</v>
      </c>
      <c r="E258">
        <f t="shared" si="11"/>
        <v>1742190.8000000003</v>
      </c>
      <c r="F258">
        <f t="shared" si="12"/>
        <v>0.11760434723909817</v>
      </c>
      <c r="H258" t="b">
        <f t="shared" si="13"/>
        <v>1</v>
      </c>
      <c r="K258" t="s">
        <v>786</v>
      </c>
      <c r="L258">
        <v>14814000</v>
      </c>
      <c r="M258">
        <v>1408400000</v>
      </c>
      <c r="N258">
        <v>1.2370000000000001</v>
      </c>
      <c r="O258">
        <v>1742190.8000000003</v>
      </c>
      <c r="P258">
        <v>0.11760434723909817</v>
      </c>
    </row>
    <row r="259" spans="1:16" x14ac:dyDescent="0.3">
      <c r="A259" t="s">
        <v>263</v>
      </c>
      <c r="B259" s="4" cm="1">
        <f t="array" ref="B259">_xll.SNL.Clients.Office.Excel.Functions.SPG(A259, "SP_TOTAL_REV", "CY2023")</f>
        <v>6383000</v>
      </c>
      <c r="C259" s="4">
        <f>_xll.SNL.Clients.Office.Excel.Functions.SPG(A259,"IQ_AVG_DILUT_SHARES_OUT","CY2023")</f>
        <v>932759000</v>
      </c>
      <c r="D259" s="5">
        <f>_xll.SNL.Clients.Office.Excel.Functions.SPG(A259, "IQ_DILUT_EPS_NORM", "CY2023")</f>
        <v>0.83199999999999996</v>
      </c>
      <c r="E259">
        <f t="shared" ref="E259:E322" si="14">C259*D259/1000</f>
        <v>776055.48800000001</v>
      </c>
      <c r="F259">
        <f t="shared" ref="F259:F322" si="15">E259/B259</f>
        <v>0.12158162118126273</v>
      </c>
      <c r="H259" t="b">
        <f t="shared" ref="H259:H322" si="16">B259=L259</f>
        <v>1</v>
      </c>
      <c r="K259" t="s">
        <v>787</v>
      </c>
      <c r="L259">
        <v>6383000</v>
      </c>
      <c r="M259">
        <v>932759000</v>
      </c>
      <c r="N259">
        <v>0.83199999999999996</v>
      </c>
      <c r="O259">
        <v>776055.48800000001</v>
      </c>
      <c r="P259">
        <v>0.12158162118126273</v>
      </c>
    </row>
    <row r="260" spans="1:16" x14ac:dyDescent="0.3">
      <c r="A260" t="s">
        <v>264</v>
      </c>
      <c r="B260" s="4" cm="1">
        <f t="array" ref="B260">_xll.SNL.Clients.Office.Excel.Functions.SPG(A260, "SP_TOTAL_REV", "CY2023")</f>
        <v>5342000</v>
      </c>
      <c r="C260" s="4">
        <f>_xll.SNL.Clients.Office.Excel.Functions.SPG(A260,"IQ_AVG_DILUT_SHARES_OUT","CY2023")</f>
        <v>178000000</v>
      </c>
      <c r="D260" s="5">
        <f>_xll.SNL.Clients.Office.Excel.Functions.SPG(A260, "IQ_DILUT_EPS_NORM", "CY2023")</f>
        <v>4.3860000000000001</v>
      </c>
      <c r="E260">
        <f t="shared" si="14"/>
        <v>780708</v>
      </c>
      <c r="F260">
        <f t="shared" si="15"/>
        <v>0.14614526394608759</v>
      </c>
      <c r="H260" t="b">
        <f t="shared" si="16"/>
        <v>1</v>
      </c>
      <c r="K260" t="s">
        <v>788</v>
      </c>
      <c r="L260">
        <v>5342000</v>
      </c>
      <c r="M260">
        <v>178000000</v>
      </c>
      <c r="N260">
        <v>4.3860000000000001</v>
      </c>
      <c r="O260">
        <v>780708</v>
      </c>
      <c r="P260">
        <v>0.14614526394608759</v>
      </c>
    </row>
    <row r="261" spans="1:16" x14ac:dyDescent="0.3">
      <c r="A261" t="s">
        <v>265</v>
      </c>
      <c r="B261" s="4" cm="1">
        <f t="array" ref="B261">_xll.SNL.Clients.Office.Excel.Functions.SPG(A261, "SP_TOTAL_REV", "CY2023")</f>
        <v>20431000</v>
      </c>
      <c r="C261" s="4">
        <f>_xll.SNL.Clients.Office.Excel.Functions.SPG(A261,"IQ_AVG_DILUT_SHARES_OUT","CY2023")</f>
        <v>338800000</v>
      </c>
      <c r="D261" s="5">
        <f>_xll.SNL.Clients.Office.Excel.Functions.SPG(A261, "IQ_DILUT_EPS_NORM", "CY2023")</f>
        <v>5.2320000000000002</v>
      </c>
      <c r="E261">
        <f t="shared" si="14"/>
        <v>1772601.6</v>
      </c>
      <c r="F261">
        <f t="shared" si="15"/>
        <v>8.6760393519651521E-2</v>
      </c>
      <c r="H261" t="b">
        <f t="shared" si="16"/>
        <v>1</v>
      </c>
      <c r="K261" t="s">
        <v>789</v>
      </c>
      <c r="L261">
        <v>20431000</v>
      </c>
      <c r="M261">
        <v>338800000</v>
      </c>
      <c r="N261">
        <v>5.2320000000000002</v>
      </c>
      <c r="O261">
        <v>1772601.6</v>
      </c>
      <c r="P261">
        <v>8.6760393519651521E-2</v>
      </c>
    </row>
    <row r="262" spans="1:16" x14ac:dyDescent="0.3">
      <c r="A262" t="s">
        <v>266</v>
      </c>
      <c r="B262" s="4" cm="1">
        <f t="array" ref="B262">_xll.SNL.Clients.Office.Excel.Functions.SPG(A262, "SP_TOTAL_REV", "CY2023")</f>
        <v>2087463</v>
      </c>
      <c r="C262" s="4">
        <f>_xll.SNL.Clients.Office.Excel.Functions.SPG(A262,"IQ_AVG_DILUT_SHARES_OUT","CY2023")</f>
        <v>618199000</v>
      </c>
      <c r="D262" s="5">
        <f>_xll.SNL.Clients.Office.Excel.Functions.SPG(A262, "IQ_DILUT_EPS_NORM", "CY2023")</f>
        <v>0.63800000000000001</v>
      </c>
      <c r="E262">
        <f t="shared" si="14"/>
        <v>394410.962</v>
      </c>
      <c r="F262">
        <f t="shared" si="15"/>
        <v>0.18894273191908073</v>
      </c>
      <c r="H262" t="b">
        <f t="shared" si="16"/>
        <v>1</v>
      </c>
      <c r="K262" t="s">
        <v>790</v>
      </c>
      <c r="L262">
        <v>2087463</v>
      </c>
      <c r="M262">
        <v>618199000</v>
      </c>
      <c r="N262">
        <v>0.63800000000000001</v>
      </c>
      <c r="O262">
        <v>394410.962</v>
      </c>
      <c r="P262">
        <v>0.18894273191908073</v>
      </c>
    </row>
    <row r="263" spans="1:16" x14ac:dyDescent="0.3">
      <c r="A263" t="s">
        <v>267</v>
      </c>
      <c r="B263" s="4" cm="1">
        <f t="array" ref="B263">_xll.SNL.Clients.Office.Excel.Functions.SPG(A263, "SP_TOTAL_REV", "CY2023")</f>
        <v>15334000</v>
      </c>
      <c r="C263" s="4">
        <f>_xll.SNL.Clients.Office.Excel.Functions.SPG(A263,"IQ_AVG_DILUT_SHARES_OUT","CY2023")</f>
        <v>2234000000</v>
      </c>
      <c r="D263" s="5">
        <f>_xll.SNL.Clients.Office.Excel.Functions.SPG(A263, "IQ_DILUT_EPS_NORM", "CY2023")</f>
        <v>0.86699999999999999</v>
      </c>
      <c r="E263">
        <f t="shared" si="14"/>
        <v>1936878</v>
      </c>
      <c r="F263">
        <f t="shared" si="15"/>
        <v>0.12631263858093125</v>
      </c>
      <c r="H263" t="b">
        <f t="shared" si="16"/>
        <v>1</v>
      </c>
      <c r="K263" t="s">
        <v>791</v>
      </c>
      <c r="L263">
        <v>15334000</v>
      </c>
      <c r="M263">
        <v>2234000000</v>
      </c>
      <c r="N263">
        <v>0.86699999999999999</v>
      </c>
      <c r="O263">
        <v>1936878</v>
      </c>
      <c r="P263">
        <v>0.12631263858093125</v>
      </c>
    </row>
    <row r="264" spans="1:16" x14ac:dyDescent="0.3">
      <c r="A264" t="s">
        <v>268</v>
      </c>
      <c r="B264" s="4" cm="1">
        <f t="array" ref="B264">_xll.SNL.Clients.Office.Excel.Functions.SPG(A264, "SP_TOTAL_REV", "CY2023")</f>
        <v>18663644</v>
      </c>
      <c r="C264" s="4">
        <f>_xll.SNL.Clients.Office.Excel.Functions.SPG(A264,"IQ_AVG_DILUT_SHARES_OUT","CY2023")</f>
        <v>911787433</v>
      </c>
      <c r="D264" s="5">
        <f>_xll.SNL.Clients.Office.Excel.Functions.SPG(A264, "IQ_DILUT_EPS_NORM", "CY2023")</f>
        <v>2.7109999999999999</v>
      </c>
      <c r="E264">
        <f t="shared" si="14"/>
        <v>2471855.7308629998</v>
      </c>
      <c r="F264">
        <f t="shared" si="15"/>
        <v>0.13244228891544438</v>
      </c>
      <c r="H264" t="b">
        <f t="shared" si="16"/>
        <v>1</v>
      </c>
      <c r="K264" t="s">
        <v>1038</v>
      </c>
      <c r="L264">
        <v>18663644</v>
      </c>
      <c r="M264">
        <v>911787433</v>
      </c>
      <c r="N264">
        <v>2.7109999999999999</v>
      </c>
      <c r="O264">
        <v>2471855.7308629998</v>
      </c>
      <c r="P264">
        <v>0.13244228891544438</v>
      </c>
    </row>
    <row r="265" spans="1:16" x14ac:dyDescent="0.3">
      <c r="A265" t="s">
        <v>269</v>
      </c>
      <c r="B265" s="4" cm="1">
        <f t="array" ref="B265">_xll.SNL.Clients.Office.Excel.Functions.SPG(A265, "SP_TOTAL_REV", "CY2023")</f>
        <v>9671427</v>
      </c>
      <c r="C265" s="4">
        <f>_xll.SNL.Clients.Office.Excel.Functions.SPG(A265,"IQ_AVG_DILUT_SHARES_OUT","CY2023")</f>
        <v>137443000</v>
      </c>
      <c r="D265" s="5">
        <f>_xll.SNL.Clients.Office.Excel.Functions.SPG(A265, "IQ_DILUT_EPS_NORM", "CY2023")</f>
        <v>15.047000000000001</v>
      </c>
      <c r="E265">
        <f t="shared" si="14"/>
        <v>2068104.821</v>
      </c>
      <c r="F265">
        <f t="shared" si="15"/>
        <v>0.21383657458201361</v>
      </c>
      <c r="H265" t="b">
        <f t="shared" si="16"/>
        <v>1</v>
      </c>
      <c r="K265" t="s">
        <v>792</v>
      </c>
      <c r="L265">
        <v>9671427</v>
      </c>
      <c r="M265">
        <v>137443000</v>
      </c>
      <c r="N265">
        <v>15.047000000000001</v>
      </c>
      <c r="O265">
        <v>2068104.821</v>
      </c>
      <c r="P265">
        <v>0.21383657458201361</v>
      </c>
    </row>
    <row r="266" spans="1:16" x14ac:dyDescent="0.3">
      <c r="A266" t="s">
        <v>270</v>
      </c>
      <c r="B266" s="4" cm="1">
        <f t="array" ref="B266">_xll.SNL.Clients.Office.Excel.Functions.SPG(A266, "SP_TOTAL_REV", "CY2023")</f>
        <v>19419000</v>
      </c>
      <c r="C266" s="4">
        <f>_xll.SNL.Clients.Office.Excel.Functions.SPG(A266,"IQ_AVG_DILUT_SHARES_OUT","CY2023")</f>
        <v>190600000</v>
      </c>
      <c r="D266" s="5">
        <f>_xll.SNL.Clients.Office.Excel.Functions.SPG(A266, "IQ_DILUT_EPS_NORM", "CY2023")</f>
        <v>6.0449999999999999</v>
      </c>
      <c r="E266">
        <f t="shared" si="14"/>
        <v>1152177</v>
      </c>
      <c r="F266">
        <f t="shared" si="15"/>
        <v>5.9332457902054686E-2</v>
      </c>
      <c r="H266" t="b">
        <f t="shared" si="16"/>
        <v>1</v>
      </c>
      <c r="K266" t="s">
        <v>795</v>
      </c>
      <c r="L266">
        <v>19419000</v>
      </c>
      <c r="M266">
        <v>190600000</v>
      </c>
      <c r="N266">
        <v>6.0449999999999999</v>
      </c>
      <c r="O266">
        <v>1152177</v>
      </c>
      <c r="P266">
        <v>5.9332457902054686E-2</v>
      </c>
    </row>
    <row r="267" spans="1:16" x14ac:dyDescent="0.3">
      <c r="A267" t="s">
        <v>271</v>
      </c>
      <c r="B267" s="4" cm="1">
        <f t="array" ref="B267">_xll.SNL.Clients.Office.Excel.Functions.SPG(A267, "SP_TOTAL_REV", "CY2023")</f>
        <v>12161600</v>
      </c>
      <c r="C267" s="4">
        <f>_xll.SNL.Clients.Office.Excel.Functions.SPG(A267,"IQ_AVG_DILUT_SHARES_OUT","CY2023")</f>
        <v>87600000</v>
      </c>
      <c r="D267" s="5">
        <f>_xll.SNL.Clients.Office.Excel.Functions.SPG(A267, "IQ_DILUT_EPS_NORM", "CY2023")</f>
        <v>7.2140000000000004</v>
      </c>
      <c r="E267">
        <f t="shared" si="14"/>
        <v>631946.4</v>
      </c>
      <c r="F267">
        <f t="shared" si="15"/>
        <v>5.196243915274306E-2</v>
      </c>
      <c r="H267" t="b">
        <f t="shared" si="16"/>
        <v>1</v>
      </c>
      <c r="K267" t="s">
        <v>796</v>
      </c>
      <c r="L267">
        <v>12161600</v>
      </c>
      <c r="M267">
        <v>87600000</v>
      </c>
      <c r="N267">
        <v>7.2140000000000004</v>
      </c>
      <c r="O267">
        <v>631946.4</v>
      </c>
      <c r="P267">
        <v>5.196243915274306E-2</v>
      </c>
    </row>
    <row r="268" spans="1:16" x14ac:dyDescent="0.3">
      <c r="A268" t="s">
        <v>272</v>
      </c>
      <c r="B268" s="4" cm="1">
        <f t="array" ref="B268">_xll.SNL.Clients.Office.Excel.Functions.SPG(A268, "SP_TOTAL_REV", "CY2023")</f>
        <v>14317147</v>
      </c>
      <c r="C268" s="4">
        <f>_xll.SNL.Clients.Office.Excel.Functions.SPG(A268,"IQ_AVG_DILUT_SHARES_OUT","CY2023")</f>
        <v>1337935000</v>
      </c>
      <c r="D268" s="5">
        <f>_xll.SNL.Clients.Office.Excel.Functions.SPG(A268, "IQ_DILUT_EPS_NORM", "CY2023")</f>
        <v>1.8979999999999999</v>
      </c>
      <c r="E268">
        <f t="shared" si="14"/>
        <v>2539400.63</v>
      </c>
      <c r="F268">
        <f t="shared" si="15"/>
        <v>0.17736778353955573</v>
      </c>
      <c r="H268" t="b">
        <f t="shared" si="16"/>
        <v>1</v>
      </c>
      <c r="K268" t="s">
        <v>797</v>
      </c>
      <c r="L268">
        <v>14317147</v>
      </c>
      <c r="M268">
        <v>1337935000</v>
      </c>
      <c r="N268">
        <v>1.8979999999999999</v>
      </c>
      <c r="O268">
        <v>2539400.63</v>
      </c>
      <c r="P268">
        <v>0.17736778353955573</v>
      </c>
    </row>
    <row r="269" spans="1:16" x14ac:dyDescent="0.3">
      <c r="A269" t="s">
        <v>273</v>
      </c>
      <c r="B269" s="4" cm="1">
        <f t="array" ref="B269">_xll.SNL.Clients.Office.Excel.Functions.SPG(A269, "SP_TOTAL_REV", "CY2023")</f>
        <v>6345900</v>
      </c>
      <c r="C269" s="4">
        <f>_xll.SNL.Clients.Office.Excel.Functions.SPG(A269,"IQ_AVG_DILUT_SHARES_OUT","CY2023")</f>
        <v>145900000</v>
      </c>
      <c r="D269" s="5">
        <f>_xll.SNL.Clients.Office.Excel.Functions.SPG(A269, "IQ_DILUT_EPS_NORM", "CY2023")</f>
        <v>6.1479999999999997</v>
      </c>
      <c r="E269">
        <f t="shared" si="14"/>
        <v>896993.2</v>
      </c>
      <c r="F269">
        <f t="shared" si="15"/>
        <v>0.14135003703178428</v>
      </c>
      <c r="H269" t="b">
        <f t="shared" si="16"/>
        <v>1</v>
      </c>
      <c r="K269" t="s">
        <v>798</v>
      </c>
      <c r="L269">
        <v>6345900</v>
      </c>
      <c r="M269">
        <v>145900000</v>
      </c>
      <c r="N269">
        <v>6.1479999999999997</v>
      </c>
      <c r="O269">
        <v>896993.2</v>
      </c>
      <c r="P269">
        <v>0.14135003703178428</v>
      </c>
    </row>
    <row r="270" spans="1:16" x14ac:dyDescent="0.3">
      <c r="A270" t="s">
        <v>274</v>
      </c>
      <c r="B270" s="4" cm="1">
        <f t="array" ref="B270">_xll.SNL.Clients.Office.Excel.Functions.SPG(A270, "SP_TOTAL_REV", "CY2023")</f>
        <v>10372000</v>
      </c>
      <c r="C270" s="4">
        <f>_xll.SNL.Clients.Office.Excel.Functions.SPG(A270,"IQ_AVG_DILUT_SHARES_OUT","CY2023")</f>
        <v>765000000</v>
      </c>
      <c r="D270" s="5">
        <f>_xll.SNL.Clients.Office.Excel.Functions.SPG(A270, "IQ_DILUT_EPS_NORM", "CY2023")</f>
        <v>1.198</v>
      </c>
      <c r="E270">
        <f t="shared" si="14"/>
        <v>916470</v>
      </c>
      <c r="F270">
        <f t="shared" si="15"/>
        <v>8.836000771307366E-2</v>
      </c>
      <c r="H270" t="b">
        <f t="shared" si="16"/>
        <v>1</v>
      </c>
      <c r="K270" t="s">
        <v>799</v>
      </c>
      <c r="L270">
        <v>10372000</v>
      </c>
      <c r="M270">
        <v>765000000</v>
      </c>
      <c r="N270">
        <v>1.198</v>
      </c>
      <c r="O270">
        <v>916470</v>
      </c>
      <c r="P270">
        <v>8.836000771307366E-2</v>
      </c>
    </row>
    <row r="271" spans="1:16" x14ac:dyDescent="0.3">
      <c r="A271" t="s">
        <v>275</v>
      </c>
      <c r="B271" s="4" cm="1">
        <f t="array" ref="B271">_xll.SNL.Clients.Office.Excel.Functions.SPG(A271, "SP_TOTAL_REV", "CY2023")</f>
        <v>15438000</v>
      </c>
      <c r="C271" s="4">
        <f>_xll.SNL.Clients.Office.Excel.Functions.SPG(A271,"IQ_AVG_DILUT_SHARES_OUT","CY2023")</f>
        <v>138000000</v>
      </c>
      <c r="D271" s="5">
        <f>_xll.SNL.Clients.Office.Excel.Functions.SPG(A271, "IQ_DILUT_EPS_NORM", "CY2023")</f>
        <v>4.9800000000000004</v>
      </c>
      <c r="E271">
        <f t="shared" si="14"/>
        <v>687240</v>
      </c>
      <c r="F271">
        <f t="shared" si="15"/>
        <v>4.4516129032258066E-2</v>
      </c>
      <c r="H271" t="b">
        <f t="shared" si="16"/>
        <v>1</v>
      </c>
      <c r="K271" t="s">
        <v>800</v>
      </c>
      <c r="L271">
        <v>15438000</v>
      </c>
      <c r="M271">
        <v>138000000</v>
      </c>
      <c r="N271">
        <v>4.9800000000000004</v>
      </c>
      <c r="O271">
        <v>687240</v>
      </c>
      <c r="P271">
        <v>4.4516129032258066E-2</v>
      </c>
    </row>
    <row r="272" spans="1:16" x14ac:dyDescent="0.3">
      <c r="A272" t="s">
        <v>276</v>
      </c>
      <c r="B272" s="4" cm="1">
        <f t="array" ref="B272">_xll.SNL.Clients.Office.Excel.Functions.SPG(A272, "SP_TOTAL_REV", "CY2023")</f>
        <v>34233366</v>
      </c>
      <c r="C272" s="4">
        <f>_xll.SNL.Clients.Office.Excel.Functions.SPG(A272,"IQ_AVG_DILUT_SHARES_OUT","CY2023")</f>
        <v>283319000</v>
      </c>
      <c r="D272" s="5">
        <f>_xll.SNL.Clients.Office.Excel.Functions.SPG(A272, "IQ_DILUT_EPS_NORM", "CY2023")</f>
        <v>11.507</v>
      </c>
      <c r="E272">
        <f t="shared" si="14"/>
        <v>3260151.733</v>
      </c>
      <c r="F272">
        <f t="shared" si="15"/>
        <v>9.5233163253651429E-2</v>
      </c>
      <c r="H272" t="b">
        <f t="shared" si="16"/>
        <v>1</v>
      </c>
      <c r="K272" t="s">
        <v>801</v>
      </c>
      <c r="L272">
        <v>34233366</v>
      </c>
      <c r="M272">
        <v>283319000</v>
      </c>
      <c r="N272">
        <v>11.507</v>
      </c>
      <c r="O272">
        <v>3260151.733</v>
      </c>
      <c r="P272">
        <v>9.5233163253651429E-2</v>
      </c>
    </row>
    <row r="273" spans="1:16" x14ac:dyDescent="0.3">
      <c r="A273" t="s">
        <v>277</v>
      </c>
      <c r="B273" s="4" cm="1">
        <f t="array" ref="B273">_xll.SNL.Clients.Office.Excel.Functions.SPG(A273, "SP_TOTAL_REV", "CY2023")</f>
        <v>4981900</v>
      </c>
      <c r="C273" s="4">
        <f>_xll.SNL.Clients.Office.Excel.Functions.SPG(A273,"IQ_AVG_DILUT_SHARES_OUT","CY2023")</f>
        <v>35700000</v>
      </c>
      <c r="D273" s="5">
        <f>_xll.SNL.Clients.Office.Excel.Functions.SPG(A273, "IQ_DILUT_EPS_NORM", "CY2023")</f>
        <v>13.831</v>
      </c>
      <c r="E273">
        <f t="shared" si="14"/>
        <v>493766.7</v>
      </c>
      <c r="F273">
        <f t="shared" si="15"/>
        <v>9.9112125895742587E-2</v>
      </c>
      <c r="H273" t="b">
        <f t="shared" si="16"/>
        <v>1</v>
      </c>
      <c r="K273" t="s">
        <v>1039</v>
      </c>
      <c r="L273">
        <v>4981900</v>
      </c>
      <c r="M273">
        <v>35700000</v>
      </c>
      <c r="N273">
        <v>13.831</v>
      </c>
      <c r="O273">
        <v>493766.7</v>
      </c>
      <c r="P273">
        <v>9.9112125895742587E-2</v>
      </c>
    </row>
    <row r="274" spans="1:16" x14ac:dyDescent="0.3">
      <c r="A274" t="s">
        <v>278</v>
      </c>
      <c r="B274" s="4" cm="1">
        <f t="array" ref="B274">_xll.SNL.Clients.Office.Excel.Functions.SPG(A274, "SP_TOTAL_REV", "CY2023")</f>
        <v>32854000</v>
      </c>
      <c r="C274" s="4">
        <f>_xll.SNL.Clients.Office.Excel.Functions.SPG(A274,"IQ_AVG_DILUT_SHARES_OUT","CY2023")</f>
        <v>492290000</v>
      </c>
      <c r="D274" s="5">
        <f>_xll.SNL.Clients.Office.Excel.Functions.SPG(A274, "IQ_DILUT_EPS_NORM", "CY2023")</f>
        <v>10.122999999999999</v>
      </c>
      <c r="E274">
        <f t="shared" si="14"/>
        <v>4983451.67</v>
      </c>
      <c r="F274">
        <f t="shared" si="15"/>
        <v>0.15168477719607962</v>
      </c>
      <c r="H274" t="b">
        <f t="shared" si="16"/>
        <v>1</v>
      </c>
      <c r="K274" t="s">
        <v>802</v>
      </c>
      <c r="L274">
        <v>32854000</v>
      </c>
      <c r="M274">
        <v>492290000</v>
      </c>
      <c r="N274">
        <v>10.122999999999999</v>
      </c>
      <c r="O274">
        <v>4983451.67</v>
      </c>
      <c r="P274">
        <v>0.15168477719607962</v>
      </c>
    </row>
    <row r="275" spans="1:16" x14ac:dyDescent="0.3">
      <c r="A275" t="s">
        <v>279</v>
      </c>
      <c r="B275" s="4" cm="1">
        <f t="array" ref="B275">_xll.SNL.Clients.Office.Excel.Functions.SPG(A275, "SP_TOTAL_REV", "CY2023")</f>
        <v>22749073</v>
      </c>
      <c r="C275" s="4">
        <f>_xll.SNL.Clients.Office.Excel.Functions.SPG(A275,"IQ_AVG_DILUT_SHARES_OUT","CY2023")</f>
        <v>230977326</v>
      </c>
      <c r="D275" s="5">
        <f>_xll.SNL.Clients.Office.Excel.Functions.SPG(A275, "IQ_DILUT_EPS_NORM", "CY2023")</f>
        <v>1.8029999999999999</v>
      </c>
      <c r="E275">
        <f t="shared" si="14"/>
        <v>416452.118778</v>
      </c>
      <c r="F275">
        <f t="shared" si="15"/>
        <v>1.8306333571394315E-2</v>
      </c>
      <c r="H275" t="b">
        <f t="shared" si="16"/>
        <v>1</v>
      </c>
      <c r="K275" t="s">
        <v>803</v>
      </c>
      <c r="L275">
        <v>22749073</v>
      </c>
      <c r="M275">
        <v>230977326</v>
      </c>
      <c r="N275">
        <v>1.8029999999999999</v>
      </c>
      <c r="O275">
        <v>416452.118778</v>
      </c>
      <c r="P275">
        <v>1.8306333571394315E-2</v>
      </c>
    </row>
    <row r="276" spans="1:16" x14ac:dyDescent="0.3">
      <c r="A276" t="s">
        <v>280</v>
      </c>
      <c r="B276" s="4" cm="1">
        <f t="array" ref="B276">_xll.SNL.Clients.Office.Excel.Functions.SPG(A276, "SP_TOTAL_REV", "CY2023")</f>
        <v>13866000</v>
      </c>
      <c r="C276" s="4">
        <f>_xll.SNL.Clients.Office.Excel.Functions.SPG(A276,"IQ_AVG_DILUT_SHARES_OUT","CY2023")</f>
        <v>268300000</v>
      </c>
      <c r="D276" s="5">
        <f>_xll.SNL.Clients.Office.Excel.Functions.SPG(A276, "IQ_DILUT_EPS_NORM", "CY2023")</f>
        <v>2.9529999999999998</v>
      </c>
      <c r="E276">
        <f t="shared" si="14"/>
        <v>792289.9</v>
      </c>
      <c r="F276">
        <f t="shared" si="15"/>
        <v>5.7139037934516086E-2</v>
      </c>
      <c r="H276" t="b">
        <f t="shared" si="16"/>
        <v>1</v>
      </c>
      <c r="K276" t="s">
        <v>804</v>
      </c>
      <c r="L276">
        <v>13866000</v>
      </c>
      <c r="M276">
        <v>268300000</v>
      </c>
      <c r="N276">
        <v>2.9529999999999998</v>
      </c>
      <c r="O276">
        <v>792289.9</v>
      </c>
      <c r="P276">
        <v>5.7139037934516086E-2</v>
      </c>
    </row>
    <row r="277" spans="1:16" x14ac:dyDescent="0.3">
      <c r="A277" t="s">
        <v>281</v>
      </c>
      <c r="B277" s="4" cm="1">
        <f t="array" ref="B277">_xll.SNL.Clients.Office.Excel.Functions.SPG(A277, "SP_TOTAL_REV", "CY2023")</f>
        <v>67571000</v>
      </c>
      <c r="C277" s="4">
        <f>_xll.SNL.Clients.Office.Excel.Functions.SPG(A277,"IQ_AVG_DILUT_SHARES_OUT","CY2023")</f>
        <v>251200000</v>
      </c>
      <c r="D277" s="5">
        <f>_xll.SNL.Clients.Office.Excel.Functions.SPG(A277, "IQ_DILUT_EPS_NORM", "CY2023")</f>
        <v>20.536000000000001</v>
      </c>
      <c r="E277">
        <f t="shared" si="14"/>
        <v>5158643.2</v>
      </c>
      <c r="F277">
        <f t="shared" si="15"/>
        <v>7.6344041082713004E-2</v>
      </c>
      <c r="H277" t="b">
        <f t="shared" si="16"/>
        <v>1</v>
      </c>
      <c r="K277" t="s">
        <v>805</v>
      </c>
      <c r="L277">
        <v>67571000</v>
      </c>
      <c r="M277">
        <v>251200000</v>
      </c>
      <c r="N277">
        <v>20.536000000000001</v>
      </c>
      <c r="O277">
        <v>5158643.2</v>
      </c>
      <c r="P277">
        <v>7.6344041082713004E-2</v>
      </c>
    </row>
    <row r="278" spans="1:16" x14ac:dyDescent="0.3">
      <c r="A278" t="s">
        <v>282</v>
      </c>
      <c r="B278" s="4" cm="1">
        <f t="array" ref="B278">_xll.SNL.Clients.Office.Excel.Functions.SPG(A278, "SP_TOTAL_REV", "CY2023")</f>
        <v>15855000</v>
      </c>
      <c r="C278" s="4">
        <f>_xll.SNL.Clients.Office.Excel.Functions.SPG(A278,"IQ_AVG_DILUT_SHARES_OUT","CY2023")</f>
        <v>227810000</v>
      </c>
      <c r="D278" s="5">
        <f>_xll.SNL.Clients.Office.Excel.Functions.SPG(A278, "IQ_DILUT_EPS_NORM", "CY2023")</f>
        <v>5.0220000000000002</v>
      </c>
      <c r="E278">
        <f t="shared" si="14"/>
        <v>1144061.82</v>
      </c>
      <c r="F278">
        <f t="shared" si="15"/>
        <v>7.2157793755912969E-2</v>
      </c>
      <c r="H278" t="b">
        <f t="shared" si="16"/>
        <v>1</v>
      </c>
      <c r="K278" t="s">
        <v>806</v>
      </c>
      <c r="L278">
        <v>15855000</v>
      </c>
      <c r="M278">
        <v>227810000</v>
      </c>
      <c r="N278">
        <v>5.0220000000000002</v>
      </c>
      <c r="O278">
        <v>1144061.82</v>
      </c>
      <c r="P278">
        <v>7.2157793755912969E-2</v>
      </c>
    </row>
    <row r="279" spans="1:16" x14ac:dyDescent="0.3">
      <c r="A279" t="s">
        <v>283</v>
      </c>
      <c r="B279" s="4" cm="1">
        <f t="array" ref="B279">_xll.SNL.Clients.Office.Excel.Functions.SPG(A279, "SP_TOTAL_REV", "CY2023")</f>
        <v>86377000</v>
      </c>
      <c r="C279" s="4">
        <f>_xll.SNL.Clients.Office.Excel.Functions.SPG(A279,"IQ_AVG_DILUT_SHARES_OUT","CY2023")</f>
        <v>584000000</v>
      </c>
      <c r="D279" s="5">
        <f>_xll.SNL.Clients.Office.Excel.Functions.SPG(A279, "IQ_DILUT_EPS_NORM", "CY2023")</f>
        <v>10.888999999999999</v>
      </c>
      <c r="E279">
        <f t="shared" si="14"/>
        <v>6359176</v>
      </c>
      <c r="F279">
        <f t="shared" si="15"/>
        <v>7.3621172302812093E-2</v>
      </c>
      <c r="H279" t="b">
        <f t="shared" si="16"/>
        <v>1</v>
      </c>
      <c r="K279" t="s">
        <v>807</v>
      </c>
      <c r="L279">
        <v>86377000</v>
      </c>
      <c r="M279">
        <v>584000000</v>
      </c>
      <c r="N279">
        <v>10.888999999999999</v>
      </c>
      <c r="O279">
        <v>6359176</v>
      </c>
      <c r="P279">
        <v>7.3621172302812093E-2</v>
      </c>
    </row>
    <row r="280" spans="1:16" x14ac:dyDescent="0.3">
      <c r="A280" t="s">
        <v>284</v>
      </c>
      <c r="B280" s="4" cm="1">
        <f t="array" ref="B280">_xll.SNL.Clients.Office.Excel.Functions.SPG(A280, "SP_TOTAL_REV", "CY2023")</f>
        <v>9619278</v>
      </c>
      <c r="C280" s="4">
        <f>_xll.SNL.Clients.Office.Excel.Functions.SPG(A280,"IQ_AVG_DILUT_SHARES_OUT","CY2023")</f>
        <v>127060000</v>
      </c>
      <c r="D280" s="5">
        <f>_xll.SNL.Clients.Office.Excel.Functions.SPG(A280, "IQ_DILUT_EPS_NORM", "CY2023")</f>
        <v>11.069000000000001</v>
      </c>
      <c r="E280">
        <f t="shared" si="14"/>
        <v>1406427.14</v>
      </c>
      <c r="F280">
        <f t="shared" si="15"/>
        <v>0.14620922069203113</v>
      </c>
      <c r="H280" t="b">
        <f t="shared" si="16"/>
        <v>1</v>
      </c>
      <c r="K280" t="s">
        <v>808</v>
      </c>
      <c r="L280">
        <v>9619278</v>
      </c>
      <c r="M280">
        <v>127060000</v>
      </c>
      <c r="N280">
        <v>11.069000000000001</v>
      </c>
      <c r="O280">
        <v>1406427.14</v>
      </c>
      <c r="P280">
        <v>0.14620922069203113</v>
      </c>
    </row>
    <row r="281" spans="1:16" x14ac:dyDescent="0.3">
      <c r="A281" t="s">
        <v>285</v>
      </c>
      <c r="B281" s="4" cm="1">
        <f t="array" ref="B281">_xll.SNL.Clients.Office.Excel.Functions.SPG(A281, "SP_TOTAL_REV", "CY2023")</f>
        <v>41107000</v>
      </c>
      <c r="C281" s="4">
        <f>_xll.SNL.Clients.Office.Excel.Functions.SPG(A281,"IQ_AVG_DILUT_SHARES_OUT","CY2023")</f>
        <v>326000000</v>
      </c>
      <c r="D281" s="5">
        <f>_xll.SNL.Clients.Office.Excel.Functions.SPG(A281, "IQ_DILUT_EPS_NORM", "CY2023")</f>
        <v>6.016</v>
      </c>
      <c r="E281">
        <f t="shared" si="14"/>
        <v>1961216</v>
      </c>
      <c r="F281">
        <f t="shared" si="15"/>
        <v>4.7710025056559711E-2</v>
      </c>
      <c r="H281" t="b">
        <f t="shared" si="16"/>
        <v>1</v>
      </c>
      <c r="K281" t="s">
        <v>809</v>
      </c>
      <c r="L281">
        <v>41107000</v>
      </c>
      <c r="M281">
        <v>326000000</v>
      </c>
      <c r="N281">
        <v>6.016</v>
      </c>
      <c r="O281">
        <v>1961216</v>
      </c>
      <c r="P281">
        <v>4.7710025056559711E-2</v>
      </c>
    </row>
    <row r="282" spans="1:16" x14ac:dyDescent="0.3">
      <c r="A282" t="s">
        <v>286</v>
      </c>
      <c r="B282" s="4" cm="1">
        <f t="array" ref="B282">_xll.SNL.Clients.Office.Excel.Functions.SPG(A282, "SP_TOTAL_REV", "CY2023")</f>
        <v>9418362</v>
      </c>
      <c r="C282" s="4">
        <f>_xll.SNL.Clients.Office.Excel.Functions.SPG(A282,"IQ_AVG_DILUT_SHARES_OUT","CY2023")</f>
        <v>167002000</v>
      </c>
      <c r="D282" s="5">
        <f>_xll.SNL.Clients.Office.Excel.Functions.SPG(A282, "IQ_DILUT_EPS_NORM", "CY2023")</f>
        <v>13.544</v>
      </c>
      <c r="E282">
        <f t="shared" si="14"/>
        <v>2261875.088</v>
      </c>
      <c r="F282">
        <f t="shared" si="15"/>
        <v>0.24015588782847802</v>
      </c>
      <c r="H282" t="b">
        <f t="shared" si="16"/>
        <v>1</v>
      </c>
      <c r="K282" t="s">
        <v>810</v>
      </c>
      <c r="L282">
        <v>9418362</v>
      </c>
      <c r="M282">
        <v>167002000</v>
      </c>
      <c r="N282">
        <v>13.544</v>
      </c>
      <c r="O282">
        <v>2261875.088</v>
      </c>
      <c r="P282">
        <v>0.24015588782847802</v>
      </c>
    </row>
    <row r="283" spans="1:16" x14ac:dyDescent="0.3">
      <c r="A283" t="s">
        <v>287</v>
      </c>
      <c r="B283" s="4" cm="1">
        <f t="array" ref="B283">_xll.SNL.Clients.Office.Excel.Functions.SPG(A283, "SP_TOTAL_REV", "CY2023")</f>
        <v>149348000</v>
      </c>
      <c r="C283" s="4">
        <f>_xll.SNL.Clients.Office.Excel.Functions.SPG(A283,"IQ_AVG_DILUT_SHARES_OUT","CY2023")</f>
        <v>409000000</v>
      </c>
      <c r="D283" s="5">
        <f>_xll.SNL.Clients.Office.Excel.Functions.SPG(A283, "IQ_DILUT_EPS_NORM", "CY2023")</f>
        <v>17.196999999999999</v>
      </c>
      <c r="E283">
        <f t="shared" si="14"/>
        <v>7033573</v>
      </c>
      <c r="F283">
        <f t="shared" si="15"/>
        <v>4.7095193775611326E-2</v>
      </c>
      <c r="H283" t="b">
        <f t="shared" si="16"/>
        <v>1</v>
      </c>
      <c r="K283" t="s">
        <v>812</v>
      </c>
      <c r="L283">
        <v>149348000</v>
      </c>
      <c r="M283">
        <v>409000000</v>
      </c>
      <c r="N283">
        <v>17.196999999999999</v>
      </c>
      <c r="O283">
        <v>7033573</v>
      </c>
      <c r="P283">
        <v>4.7095193775611326E-2</v>
      </c>
    </row>
    <row r="284" spans="1:16" x14ac:dyDescent="0.3">
      <c r="A284" t="s">
        <v>288</v>
      </c>
      <c r="B284" s="4" cm="1">
        <f t="array" ref="B284">_xll.SNL.Clients.Office.Excel.Functions.SPG(A284, "SP_TOTAL_REV", "CY2023")</f>
        <v>752547</v>
      </c>
      <c r="C284" s="4">
        <f>_xll.SNL.Clients.Office.Excel.Functions.SPG(A284,"IQ_AVG_DILUT_SHARES_OUT","CY2023")</f>
        <v>37654000</v>
      </c>
      <c r="D284" s="5">
        <f>_xll.SNL.Clients.Office.Excel.Functions.SPG(A284, "IQ_DILUT_EPS_NORM", "CY2023")</f>
        <v>5.5250000000000004</v>
      </c>
      <c r="E284">
        <f t="shared" si="14"/>
        <v>208038.35</v>
      </c>
      <c r="F284">
        <f t="shared" si="15"/>
        <v>0.27644565721476533</v>
      </c>
      <c r="H284" t="b">
        <f t="shared" si="16"/>
        <v>1</v>
      </c>
      <c r="K284" t="s">
        <v>813</v>
      </c>
      <c r="L284">
        <v>752547</v>
      </c>
      <c r="M284">
        <v>37654000</v>
      </c>
      <c r="N284">
        <v>5.5250000000000004</v>
      </c>
      <c r="O284">
        <v>208038.35</v>
      </c>
      <c r="P284">
        <v>0.27644565721476533</v>
      </c>
    </row>
    <row r="285" spans="1:16" x14ac:dyDescent="0.3">
      <c r="A285" t="s">
        <v>289</v>
      </c>
      <c r="B285" s="4" cm="1">
        <f t="array" ref="B285">_xll.SNL.Clients.Office.Excel.Functions.SPG(A285, "SP_TOTAL_REV", "CY2023")</f>
        <v>6300000</v>
      </c>
      <c r="C285" s="4">
        <f>_xll.SNL.Clients.Office.Excel.Functions.SPG(A285,"IQ_AVG_DILUT_SHARES_OUT","CY2023")</f>
        <v>302900000</v>
      </c>
      <c r="D285" s="5">
        <f>_xll.SNL.Clients.Office.Excel.Functions.SPG(A285, "IQ_DILUT_EPS_NORM", "CY2023")</f>
        <v>7.0940000000000003</v>
      </c>
      <c r="E285">
        <f t="shared" si="14"/>
        <v>2148772.6</v>
      </c>
      <c r="F285">
        <f t="shared" si="15"/>
        <v>0.34107501587301586</v>
      </c>
      <c r="H285" t="b">
        <f t="shared" si="16"/>
        <v>1</v>
      </c>
      <c r="K285" t="s">
        <v>814</v>
      </c>
      <c r="L285">
        <v>6300000</v>
      </c>
      <c r="M285">
        <v>302900000</v>
      </c>
      <c r="N285">
        <v>7.0940000000000003</v>
      </c>
      <c r="O285">
        <v>2148772.6</v>
      </c>
      <c r="P285">
        <v>0.34107501587301586</v>
      </c>
    </row>
    <row r="286" spans="1:16" x14ac:dyDescent="0.3">
      <c r="A286" t="s">
        <v>290</v>
      </c>
      <c r="B286" s="4" cm="1">
        <f t="array" ref="B286">_xll.SNL.Clients.Office.Excel.Functions.SPG(A286, "SP_TOTAL_REV", "CY2023")</f>
        <v>22819000</v>
      </c>
      <c r="C286" s="4">
        <f>_xll.SNL.Clients.Office.Excel.Functions.SPG(A286,"IQ_AVG_DILUT_SHARES_OUT","CY2023")</f>
        <v>499000000</v>
      </c>
      <c r="D286" s="5">
        <f>_xll.SNL.Clients.Office.Excel.Functions.SPG(A286, "IQ_DILUT_EPS_NORM", "CY2023")</f>
        <v>6.6360000000000001</v>
      </c>
      <c r="E286">
        <f t="shared" si="14"/>
        <v>3311364</v>
      </c>
      <c r="F286">
        <f t="shared" si="15"/>
        <v>0.14511433454577327</v>
      </c>
      <c r="H286" t="b">
        <f t="shared" si="16"/>
        <v>1</v>
      </c>
      <c r="K286" t="s">
        <v>815</v>
      </c>
      <c r="L286">
        <v>22819000</v>
      </c>
      <c r="M286">
        <v>499000000</v>
      </c>
      <c r="N286">
        <v>6.6360000000000001</v>
      </c>
      <c r="O286">
        <v>3311364</v>
      </c>
      <c r="P286">
        <v>0.14511433454577327</v>
      </c>
    </row>
    <row r="287" spans="1:16" x14ac:dyDescent="0.3">
      <c r="A287" t="s">
        <v>291</v>
      </c>
      <c r="B287" s="4" cm="1">
        <f t="array" ref="B287">_xll.SNL.Clients.Office.Excel.Functions.SPG(A287, "SP_TOTAL_REV", "CY2023")</f>
        <v>6777200</v>
      </c>
      <c r="C287" s="4">
        <f>_xll.SNL.Clients.Office.Excel.Functions.SPG(A287,"IQ_AVG_DILUT_SHARES_OUT","CY2023")</f>
        <v>62100000</v>
      </c>
      <c r="D287" s="5">
        <f>_xll.SNL.Clients.Office.Excel.Functions.SPG(A287, "IQ_DILUT_EPS_NORM", "CY2023")</f>
        <v>14.943</v>
      </c>
      <c r="E287">
        <f t="shared" si="14"/>
        <v>927960.3</v>
      </c>
      <c r="F287">
        <f t="shared" si="15"/>
        <v>0.13692384760668122</v>
      </c>
      <c r="H287" t="b">
        <f t="shared" si="16"/>
        <v>1</v>
      </c>
      <c r="K287" t="s">
        <v>816</v>
      </c>
      <c r="L287">
        <v>6777200</v>
      </c>
      <c r="M287">
        <v>62100000</v>
      </c>
      <c r="N287">
        <v>14.943</v>
      </c>
      <c r="O287">
        <v>927960.3</v>
      </c>
      <c r="P287">
        <v>0.13692384760668122</v>
      </c>
    </row>
    <row r="288" spans="1:16" x14ac:dyDescent="0.3">
      <c r="A288" t="s">
        <v>292</v>
      </c>
      <c r="B288" s="4" cm="1">
        <f t="array" ref="B288">_xll.SNL.Clients.Office.Excel.Functions.SPG(A288, "SP_TOTAL_REV", "CY2023")</f>
        <v>7967000</v>
      </c>
      <c r="C288" s="4">
        <f>_xll.SNL.Clients.Office.Excel.Functions.SPG(A288,"IQ_AVG_DILUT_SHARES_OUT","CY2023")</f>
        <v>226000000</v>
      </c>
      <c r="D288" s="5">
        <f>_xll.SNL.Clients.Office.Excel.Functions.SPG(A288, "IQ_DILUT_EPS_NORM", "CY2023")</f>
        <v>3.2679999999999998</v>
      </c>
      <c r="E288">
        <f t="shared" si="14"/>
        <v>738568</v>
      </c>
      <c r="F288">
        <f t="shared" si="15"/>
        <v>9.2703401531316676E-2</v>
      </c>
      <c r="H288" t="b">
        <f t="shared" si="16"/>
        <v>1</v>
      </c>
      <c r="K288" t="s">
        <v>817</v>
      </c>
      <c r="L288">
        <v>7967000</v>
      </c>
      <c r="M288">
        <v>226000000</v>
      </c>
      <c r="N288">
        <v>3.2679999999999998</v>
      </c>
      <c r="O288">
        <v>738568</v>
      </c>
      <c r="P288">
        <v>9.2703401531316676E-2</v>
      </c>
    </row>
    <row r="289" spans="1:16" x14ac:dyDescent="0.3">
      <c r="A289" t="s">
        <v>293</v>
      </c>
      <c r="B289" s="4" cm="1">
        <f t="array" ref="B289">_xll.SNL.Clients.Office.Excel.Functions.SPG(A289, "SP_TOTAL_REV", "CY2023")</f>
        <v>25098000</v>
      </c>
      <c r="C289" s="4">
        <f>_xll.SNL.Clients.Office.Excel.Functions.SPG(A289,"IQ_AVG_DILUT_SHARES_OUT","CY2023")</f>
        <v>946000000</v>
      </c>
      <c r="D289" s="5">
        <f>_xll.SNL.Clients.Office.Excel.Functions.SPG(A289, "IQ_DILUT_EPS_NORM", "CY2023")</f>
        <v>9.407</v>
      </c>
      <c r="E289">
        <f t="shared" si="14"/>
        <v>8899022</v>
      </c>
      <c r="F289">
        <f t="shared" si="15"/>
        <v>0.35457096182962788</v>
      </c>
      <c r="H289" t="b">
        <f t="shared" si="16"/>
        <v>1</v>
      </c>
      <c r="K289" t="s">
        <v>818</v>
      </c>
      <c r="L289">
        <v>25098000</v>
      </c>
      <c r="M289">
        <v>946000000</v>
      </c>
      <c r="N289">
        <v>9.407</v>
      </c>
      <c r="O289">
        <v>8899022</v>
      </c>
      <c r="P289">
        <v>0.35457096182962788</v>
      </c>
    </row>
    <row r="290" spans="1:16" x14ac:dyDescent="0.3">
      <c r="A290" t="s">
        <v>294</v>
      </c>
      <c r="B290" s="4" cm="1">
        <f t="array" ref="B290">_xll.SNL.Clients.Office.Excel.Functions.SPG(A290, "SP_TOTAL_REV", "CY2023")</f>
        <v>3364504</v>
      </c>
      <c r="C290" s="4">
        <f>_xll.SNL.Clients.Office.Excel.Functions.SPG(A290,"IQ_AVG_DILUT_SHARES_OUT","CY2023")</f>
        <v>293284000</v>
      </c>
      <c r="D290" s="5">
        <f>_xll.SNL.Clients.Office.Excel.Functions.SPG(A290, "IQ_DILUT_EPS_NORM", "CY2023")</f>
        <v>1.6559999999999999</v>
      </c>
      <c r="E290">
        <f t="shared" si="14"/>
        <v>485678.304</v>
      </c>
      <c r="F290">
        <f t="shared" si="15"/>
        <v>0.14435361170621286</v>
      </c>
      <c r="H290" t="b">
        <f t="shared" si="16"/>
        <v>1</v>
      </c>
      <c r="K290" t="s">
        <v>819</v>
      </c>
      <c r="L290">
        <v>3364504</v>
      </c>
      <c r="M290">
        <v>293284000</v>
      </c>
      <c r="N290">
        <v>1.6559999999999999</v>
      </c>
      <c r="O290">
        <v>485678.304</v>
      </c>
      <c r="P290">
        <v>0.14435361170621286</v>
      </c>
    </row>
    <row r="291" spans="1:16" x14ac:dyDescent="0.3">
      <c r="A291" t="s">
        <v>295</v>
      </c>
      <c r="B291" s="4" cm="1">
        <f t="array" ref="B291">_xll.SNL.Clients.Office.Excel.Functions.SPG(A291, "SP_TOTAL_REV", "CY2023")</f>
        <v>6662200</v>
      </c>
      <c r="C291" s="4">
        <f>_xll.SNL.Clients.Office.Excel.Functions.SPG(A291,"IQ_AVG_DILUT_SHARES_OUT","CY2023")</f>
        <v>269800000</v>
      </c>
      <c r="D291" s="5">
        <f>_xll.SNL.Clients.Office.Excel.Functions.SPG(A291, "IQ_DILUT_EPS_NORM", "CY2023")</f>
        <v>2.125</v>
      </c>
      <c r="E291">
        <f t="shared" si="14"/>
        <v>573325</v>
      </c>
      <c r="F291">
        <f t="shared" si="15"/>
        <v>8.6056407793221462E-2</v>
      </c>
      <c r="H291" t="b">
        <f t="shared" si="16"/>
        <v>1</v>
      </c>
      <c r="K291" t="s">
        <v>820</v>
      </c>
      <c r="L291">
        <v>6662200</v>
      </c>
      <c r="M291">
        <v>269800000</v>
      </c>
      <c r="N291">
        <v>2.125</v>
      </c>
      <c r="O291">
        <v>573325</v>
      </c>
      <c r="P291">
        <v>8.6056407793221462E-2</v>
      </c>
    </row>
    <row r="292" spans="1:16" x14ac:dyDescent="0.3">
      <c r="A292" t="s">
        <v>296</v>
      </c>
      <c r="B292" s="4" cm="1">
        <f t="array" ref="B292">_xll.SNL.Clients.Office.Excel.Functions.SPG(A292, "SP_TOTAL_REV", "CY2023")</f>
        <v>25493700</v>
      </c>
      <c r="C292" s="4">
        <f>_xll.SNL.Clients.Office.Excel.Functions.SPG(A292,"IQ_AVG_DILUT_SHARES_OUT","CY2023")</f>
        <v>732300000</v>
      </c>
      <c r="D292" s="5">
        <f>_xll.SNL.Clients.Office.Excel.Functions.SPG(A292, "IQ_DILUT_EPS_NORM", "CY2023")</f>
        <v>9.1959999999999997</v>
      </c>
      <c r="E292">
        <f t="shared" si="14"/>
        <v>6734230.7999999998</v>
      </c>
      <c r="F292">
        <f t="shared" si="15"/>
        <v>0.26415274361901175</v>
      </c>
      <c r="H292" t="b">
        <f t="shared" si="16"/>
        <v>1</v>
      </c>
      <c r="K292" t="s">
        <v>821</v>
      </c>
      <c r="L292">
        <v>25493700</v>
      </c>
      <c r="M292">
        <v>732300000</v>
      </c>
      <c r="N292">
        <v>9.1959999999999997</v>
      </c>
      <c r="O292">
        <v>6734230.7999999998</v>
      </c>
      <c r="P292">
        <v>0.26415274361901175</v>
      </c>
    </row>
    <row r="293" spans="1:16" x14ac:dyDescent="0.3">
      <c r="A293" t="s">
        <v>297</v>
      </c>
      <c r="B293" s="4" cm="1">
        <f t="array" ref="B293">_xll.SNL.Clients.Office.Excel.Functions.SPG(A293, "SP_TOTAL_REV", "CY2023")</f>
        <v>301506000</v>
      </c>
      <c r="C293" s="4">
        <f>_xll.SNL.Clients.Office.Excel.Functions.SPG(A293,"IQ_AVG_DILUT_SHARES_OUT","CY2023")</f>
        <v>135599899</v>
      </c>
      <c r="D293" s="5">
        <f>_xll.SNL.Clients.Office.Excel.Functions.SPG(A293, "IQ_DILUT_EPS_NORM", "CY2023")</f>
        <v>16.843</v>
      </c>
      <c r="E293">
        <f t="shared" si="14"/>
        <v>2283909.098857</v>
      </c>
      <c r="F293">
        <f t="shared" si="15"/>
        <v>7.5750038103951497E-3</v>
      </c>
      <c r="H293" t="b">
        <f t="shared" si="16"/>
        <v>1</v>
      </c>
      <c r="K293" t="s">
        <v>822</v>
      </c>
      <c r="L293">
        <v>301506000</v>
      </c>
      <c r="M293">
        <v>135599899</v>
      </c>
      <c r="N293">
        <v>16.843</v>
      </c>
      <c r="O293">
        <v>2283909.098857</v>
      </c>
      <c r="P293">
        <v>7.5750038103951497E-3</v>
      </c>
    </row>
    <row r="294" spans="1:16" x14ac:dyDescent="0.3">
      <c r="A294" t="s">
        <v>298</v>
      </c>
      <c r="B294" s="4" cm="1">
        <f t="array" ref="B294">_xll.SNL.Clients.Office.Excel.Functions.SPG(A294, "SP_TOTAL_REV", "CY2023")</f>
        <v>32320000</v>
      </c>
      <c r="C294" s="4">
        <f>_xll.SNL.Clients.Office.Excel.Functions.SPG(A294,"IQ_AVG_DILUT_SHARES_OUT","CY2023")</f>
        <v>1332524001</v>
      </c>
      <c r="D294" s="5">
        <f>_xll.SNL.Clients.Office.Excel.Functions.SPG(A294, "IQ_DILUT_EPS_NORM", "CY2023")</f>
        <v>3.1030000000000002</v>
      </c>
      <c r="E294">
        <f t="shared" si="14"/>
        <v>4134821.9751030002</v>
      </c>
      <c r="F294">
        <f t="shared" si="15"/>
        <v>0.12793384823957302</v>
      </c>
      <c r="H294" t="b">
        <f t="shared" si="16"/>
        <v>1</v>
      </c>
      <c r="K294" t="s">
        <v>823</v>
      </c>
      <c r="L294">
        <v>32320000</v>
      </c>
      <c r="M294">
        <v>1332524001</v>
      </c>
      <c r="N294">
        <v>3.1030000000000002</v>
      </c>
      <c r="O294">
        <v>4134821.9751030002</v>
      </c>
      <c r="P294">
        <v>0.12793384823957302</v>
      </c>
    </row>
    <row r="295" spans="1:16" x14ac:dyDescent="0.3">
      <c r="A295" t="s">
        <v>299</v>
      </c>
      <c r="B295" s="4" cm="1">
        <f t="array" ref="B295">_xll.SNL.Clients.Office.Excel.Functions.SPG(A295, "SP_TOTAL_REV", "CY2023")</f>
        <v>60115000</v>
      </c>
      <c r="C295" s="4">
        <f>_xll.SNL.Clients.Office.Excel.Functions.SPG(A295,"IQ_AVG_DILUT_SHARES_OUT","CY2023")</f>
        <v>2547000000</v>
      </c>
      <c r="D295" s="5">
        <f>_xll.SNL.Clients.Office.Excel.Functions.SPG(A295, "IQ_DILUT_EPS_NORM", "CY2023")</f>
        <v>3.7360000000000002</v>
      </c>
      <c r="E295">
        <f t="shared" si="14"/>
        <v>9515592</v>
      </c>
      <c r="F295">
        <f t="shared" si="15"/>
        <v>0.15828981119520918</v>
      </c>
      <c r="H295" t="b">
        <f t="shared" si="16"/>
        <v>1</v>
      </c>
      <c r="K295" t="s">
        <v>824</v>
      </c>
      <c r="L295">
        <v>60115000</v>
      </c>
      <c r="M295">
        <v>2547000000</v>
      </c>
      <c r="N295">
        <v>3.7360000000000002</v>
      </c>
      <c r="O295">
        <v>9515592</v>
      </c>
      <c r="P295">
        <v>0.15828981119520918</v>
      </c>
    </row>
    <row r="296" spans="1:16" x14ac:dyDescent="0.3">
      <c r="A296" t="s">
        <v>300</v>
      </c>
      <c r="B296" s="4" cm="1">
        <f t="array" ref="B296">_xll.SNL.Clients.Office.Excel.Functions.SPG(A296, "SP_TOTAL_REV", "CY2023")</f>
        <v>134902000</v>
      </c>
      <c r="C296" s="4">
        <f>_xll.SNL.Clients.Office.Excel.Functions.SPG(A296,"IQ_AVG_DILUT_SHARES_OUT","CY2023")</f>
        <v>2629000000</v>
      </c>
      <c r="D296" s="5" t="str">
        <f>_xll.SNL.Clients.Office.Excel.Functions.SPG(A296, "IQ_DILUT_EPS_NORM", "CY2023")</f>
        <v>NA</v>
      </c>
      <c r="E296" t="e">
        <f t="shared" si="14"/>
        <v>#VALUE!</v>
      </c>
      <c r="F296" t="e">
        <f t="shared" si="15"/>
        <v>#VALUE!</v>
      </c>
      <c r="H296" t="b">
        <f t="shared" si="16"/>
        <v>1</v>
      </c>
      <c r="K296" t="s">
        <v>825</v>
      </c>
      <c r="L296">
        <v>134902000</v>
      </c>
      <c r="M296">
        <v>2629000000</v>
      </c>
      <c r="N296" t="s">
        <v>1049</v>
      </c>
      <c r="O296" t="e">
        <v>#VALUE!</v>
      </c>
      <c r="P296" t="e">
        <v>#VALUE!</v>
      </c>
    </row>
    <row r="297" spans="1:16" x14ac:dyDescent="0.3">
      <c r="A297" t="s">
        <v>301</v>
      </c>
      <c r="B297" s="4" cm="1">
        <f t="array" ref="B297">_xll.SNL.Clients.Office.Excel.Functions.SPG(A297, "SP_TOTAL_REV", "CY2023")</f>
        <v>66905000</v>
      </c>
      <c r="C297" s="4">
        <f>_xll.SNL.Clients.Office.Excel.Functions.SPG(A297,"IQ_AVG_DILUT_SHARES_OUT","CY2023")</f>
        <v>762300000</v>
      </c>
      <c r="D297" s="5">
        <f>_xll.SNL.Clients.Office.Excel.Functions.SPG(A297, "IQ_DILUT_EPS_NORM", "CY2023")</f>
        <v>1.7410000000000001</v>
      </c>
      <c r="E297">
        <f t="shared" si="14"/>
        <v>1327164.3</v>
      </c>
      <c r="F297">
        <f t="shared" si="15"/>
        <v>1.9836548837904491E-2</v>
      </c>
      <c r="H297" t="b">
        <f t="shared" si="16"/>
        <v>1</v>
      </c>
      <c r="K297" t="s">
        <v>826</v>
      </c>
      <c r="L297">
        <v>66905000</v>
      </c>
      <c r="M297">
        <v>762300000</v>
      </c>
      <c r="N297">
        <v>1.7410000000000001</v>
      </c>
      <c r="O297">
        <v>1327164.3</v>
      </c>
      <c r="P297">
        <v>1.9836548837904491E-2</v>
      </c>
    </row>
    <row r="298" spans="1:16" x14ac:dyDescent="0.3">
      <c r="A298" t="s">
        <v>302</v>
      </c>
      <c r="B298" s="4" cm="1">
        <f t="array" ref="B298">_xll.SNL.Clients.Office.Excel.Functions.SPG(A298, "SP_TOTAL_REV", "CY2023")</f>
        <v>3788309</v>
      </c>
      <c r="C298" s="4">
        <f>_xll.SNL.Clients.Office.Excel.Functions.SPG(A298,"IQ_AVG_DILUT_SHARES_OUT","CY2023")</f>
        <v>21971528</v>
      </c>
      <c r="D298" s="5">
        <f>_xll.SNL.Clients.Office.Excel.Functions.SPG(A298, "IQ_DILUT_EPS_NORM", "CY2023")</f>
        <v>28.63</v>
      </c>
      <c r="E298">
        <f t="shared" si="14"/>
        <v>629044.84664</v>
      </c>
      <c r="F298">
        <f t="shared" si="15"/>
        <v>0.16604898033396959</v>
      </c>
      <c r="H298" t="b">
        <f t="shared" si="16"/>
        <v>1</v>
      </c>
      <c r="K298" t="s">
        <v>827</v>
      </c>
      <c r="L298">
        <v>3788309</v>
      </c>
      <c r="M298">
        <v>21971528</v>
      </c>
      <c r="N298">
        <v>28.63</v>
      </c>
      <c r="O298">
        <v>629044.84664</v>
      </c>
      <c r="P298">
        <v>0.16604898033396959</v>
      </c>
    </row>
    <row r="299" spans="1:16" x14ac:dyDescent="0.3">
      <c r="A299" t="s">
        <v>303</v>
      </c>
      <c r="B299" s="4" cm="1">
        <f t="array" ref="B299">_xll.SNL.Clients.Office.Excel.Functions.SPG(A299, "SP_TOTAL_REV", "CY2023")</f>
        <v>16118509</v>
      </c>
      <c r="C299" s="4">
        <f>_xll.SNL.Clients.Office.Excel.Functions.SPG(A299,"IQ_AVG_DILUT_SHARES_OUT","CY2023")</f>
        <v>358627000</v>
      </c>
      <c r="D299" s="5">
        <f>_xll.SNL.Clients.Office.Excel.Functions.SPG(A299, "IQ_DILUT_EPS_NORM", "CY2023")</f>
        <v>1.4350000000000001</v>
      </c>
      <c r="E299">
        <f t="shared" si="14"/>
        <v>514629.745</v>
      </c>
      <c r="F299">
        <f t="shared" si="15"/>
        <v>3.1927875276801347E-2</v>
      </c>
      <c r="H299" t="b">
        <f t="shared" si="16"/>
        <v>1</v>
      </c>
      <c r="K299" t="s">
        <v>828</v>
      </c>
      <c r="L299">
        <v>16118509</v>
      </c>
      <c r="M299">
        <v>358627000</v>
      </c>
      <c r="N299">
        <v>1.4350000000000001</v>
      </c>
      <c r="O299">
        <v>514629.745</v>
      </c>
      <c r="P299">
        <v>3.1927875276801347E-2</v>
      </c>
    </row>
    <row r="300" spans="1:16" x14ac:dyDescent="0.3">
      <c r="A300" t="s">
        <v>304</v>
      </c>
      <c r="B300" s="4" cm="1">
        <f t="array" ref="B300">_xll.SNL.Clients.Office.Excel.Functions.SPG(A300, "SP_TOTAL_REV", "CY2023")</f>
        <v>8541300</v>
      </c>
      <c r="C300" s="4">
        <f>_xll.SNL.Clients.Office.Excel.Functions.SPG(A300,"IQ_AVG_DILUT_SHARES_OUT","CY2023")</f>
        <v>550250000</v>
      </c>
      <c r="D300" s="5">
        <f>_xll.SNL.Clients.Office.Excel.Functions.SPG(A300, "IQ_DILUT_EPS_NORM", "CY2023")</f>
        <v>3.3929999999999998</v>
      </c>
      <c r="E300">
        <f t="shared" si="14"/>
        <v>1866998.25</v>
      </c>
      <c r="F300">
        <f t="shared" si="15"/>
        <v>0.21858478802992518</v>
      </c>
      <c r="H300" t="b">
        <f t="shared" si="16"/>
        <v>1</v>
      </c>
      <c r="K300" t="s">
        <v>829</v>
      </c>
      <c r="L300">
        <v>8541300</v>
      </c>
      <c r="M300">
        <v>550250000</v>
      </c>
      <c r="N300">
        <v>3.3929999999999998</v>
      </c>
      <c r="O300">
        <v>1866998.25</v>
      </c>
      <c r="P300">
        <v>0.21858478802992518</v>
      </c>
    </row>
    <row r="301" spans="1:16" x14ac:dyDescent="0.3">
      <c r="A301" t="s">
        <v>305</v>
      </c>
      <c r="B301" s="4" cm="1">
        <f t="array" ref="B301">_xll.SNL.Clients.Office.Excel.Functions.SPG(A301, "SP_TOTAL_REV", "CY2023")</f>
        <v>16181000</v>
      </c>
      <c r="C301" s="4">
        <f>_xll.SNL.Clients.Office.Excel.Functions.SPG(A301,"IQ_AVG_DILUT_SHARES_OUT","CY2023")</f>
        <v>1095500000</v>
      </c>
      <c r="D301" s="5">
        <f>_xll.SNL.Clients.Office.Excel.Functions.SPG(A301, "IQ_DILUT_EPS_NORM", "CY2023")</f>
        <v>-3.609</v>
      </c>
      <c r="E301">
        <f t="shared" si="14"/>
        <v>-3953659.5</v>
      </c>
      <c r="F301">
        <f t="shared" si="15"/>
        <v>-0.24433962672269946</v>
      </c>
      <c r="H301" t="b">
        <f t="shared" si="16"/>
        <v>1</v>
      </c>
      <c r="K301" t="s">
        <v>830</v>
      </c>
      <c r="L301">
        <v>16181000</v>
      </c>
      <c r="M301">
        <v>1095500000</v>
      </c>
      <c r="N301">
        <v>-3.609</v>
      </c>
      <c r="O301">
        <v>-3953659.5</v>
      </c>
      <c r="P301">
        <v>-0.24433962672269946</v>
      </c>
    </row>
    <row r="302" spans="1:16" x14ac:dyDescent="0.3">
      <c r="A302" t="s">
        <v>306</v>
      </c>
      <c r="B302" s="4" cm="1">
        <f t="array" ref="B302">_xll.SNL.Clients.Office.Excel.Functions.SPG(A302, "SP_TOTAL_REV", "CY2023")</f>
        <v>227583000</v>
      </c>
      <c r="C302" s="4">
        <f>_xll.SNL.Clients.Office.Excel.Functions.SPG(A302,"IQ_AVG_DILUT_SHARES_OUT","CY2023")</f>
        <v>7465000000</v>
      </c>
      <c r="D302" s="5" t="str">
        <f>_xll.SNL.Clients.Office.Excel.Functions.SPG(A302, "IQ_DILUT_EPS_NORM", "CY2023")</f>
        <v>NA</v>
      </c>
      <c r="E302" t="e">
        <f t="shared" si="14"/>
        <v>#VALUE!</v>
      </c>
      <c r="F302" t="e">
        <f t="shared" si="15"/>
        <v>#VALUE!</v>
      </c>
      <c r="H302" t="b">
        <f t="shared" si="16"/>
        <v>1</v>
      </c>
      <c r="K302" t="s">
        <v>831</v>
      </c>
      <c r="L302">
        <v>227583000</v>
      </c>
      <c r="M302">
        <v>7465000000</v>
      </c>
      <c r="N302" t="s">
        <v>1049</v>
      </c>
      <c r="O302" t="e">
        <v>#VALUE!</v>
      </c>
      <c r="P302" t="e">
        <v>#VALUE!</v>
      </c>
    </row>
    <row r="303" spans="1:16" x14ac:dyDescent="0.3">
      <c r="A303" t="s">
        <v>307</v>
      </c>
      <c r="B303" s="4" cm="1">
        <f t="array" ref="B303">_xll.SNL.Clients.Office.Excel.Functions.SPG(A303, "SP_TOTAL_REV", "CY2023")</f>
        <v>2174952</v>
      </c>
      <c r="C303" s="4">
        <f>_xll.SNL.Clients.Office.Excel.Functions.SPG(A303,"IQ_AVG_DILUT_SHARES_OUT","CY2023")</f>
        <v>116645000</v>
      </c>
      <c r="D303" s="5">
        <f>_xll.SNL.Clients.Office.Excel.Functions.SPG(A303, "IQ_DILUT_EPS_NORM", "CY2023")</f>
        <v>2.8959999999999999</v>
      </c>
      <c r="E303">
        <f t="shared" si="14"/>
        <v>337803.92</v>
      </c>
      <c r="F303">
        <f t="shared" si="15"/>
        <v>0.1553155747805009</v>
      </c>
      <c r="H303" t="b">
        <f t="shared" si="16"/>
        <v>1</v>
      </c>
      <c r="K303" t="s">
        <v>832</v>
      </c>
      <c r="L303">
        <v>2174952</v>
      </c>
      <c r="M303">
        <v>116645000</v>
      </c>
      <c r="N303">
        <v>2.8959999999999999</v>
      </c>
      <c r="O303">
        <v>337803.92</v>
      </c>
      <c r="P303">
        <v>0.1553155747805009</v>
      </c>
    </row>
    <row r="304" spans="1:16" x14ac:dyDescent="0.3">
      <c r="A304" t="s">
        <v>308</v>
      </c>
      <c r="B304" s="4" cm="1">
        <f t="array" ref="B304">_xll.SNL.Clients.Office.Excel.Functions.SPG(A304, "SP_TOTAL_REV", "CY2023")</f>
        <v>6848000</v>
      </c>
      <c r="C304" s="4">
        <f>_xll.SNL.Clients.Office.Excel.Functions.SPG(A304,"IQ_AVG_DILUT_SHARES_OUT","CY2023")</f>
        <v>382000000</v>
      </c>
      <c r="D304" s="5">
        <f>_xll.SNL.Clients.Office.Excel.Functions.SPG(A304, "IQ_DILUT_EPS_NORM", "CY2023")</f>
        <v>-6.3319999999999999</v>
      </c>
      <c r="E304">
        <f t="shared" si="14"/>
        <v>-2418824</v>
      </c>
      <c r="F304">
        <f t="shared" si="15"/>
        <v>-0.35321612149532711</v>
      </c>
      <c r="H304" t="b">
        <f t="shared" si="16"/>
        <v>1</v>
      </c>
      <c r="K304" t="s">
        <v>833</v>
      </c>
      <c r="L304">
        <v>6848000</v>
      </c>
      <c r="M304">
        <v>382000000</v>
      </c>
      <c r="N304">
        <v>-6.3319999999999999</v>
      </c>
      <c r="O304">
        <v>-2418824</v>
      </c>
      <c r="P304">
        <v>-0.35321612149532711</v>
      </c>
    </row>
    <row r="305" spans="1:16" x14ac:dyDescent="0.3">
      <c r="A305" t="s">
        <v>309</v>
      </c>
      <c r="B305" s="4" cm="1">
        <f t="array" ref="B305">_xll.SNL.Clients.Office.Excel.Functions.SPG(A305, "SP_TOTAL_REV", "CY2023")</f>
        <v>11135115</v>
      </c>
      <c r="C305" s="4">
        <f>_xll.SNL.Clients.Office.Excel.Functions.SPG(A305,"IQ_AVG_DILUT_SHARES_OUT","CY2023")</f>
        <v>63657000</v>
      </c>
      <c r="D305" s="5">
        <f>_xll.SNL.Clients.Office.Excel.Functions.SPG(A305, "IQ_DILUT_EPS_NORM", "CY2023")</f>
        <v>7.3330000000000002</v>
      </c>
      <c r="E305">
        <f t="shared" si="14"/>
        <v>466796.78100000002</v>
      </c>
      <c r="F305">
        <f t="shared" si="15"/>
        <v>4.1921145942363416E-2</v>
      </c>
      <c r="H305" t="b">
        <f t="shared" si="16"/>
        <v>1</v>
      </c>
      <c r="K305" t="s">
        <v>834</v>
      </c>
      <c r="L305">
        <v>11135115</v>
      </c>
      <c r="M305">
        <v>63657000</v>
      </c>
      <c r="N305">
        <v>7.3330000000000002</v>
      </c>
      <c r="O305">
        <v>466796.78100000002</v>
      </c>
      <c r="P305">
        <v>4.1921145942363416E-2</v>
      </c>
    </row>
    <row r="306" spans="1:16" x14ac:dyDescent="0.3">
      <c r="A306" t="s">
        <v>310</v>
      </c>
      <c r="B306" s="4" cm="1">
        <f t="array" ref="B306">_xll.SNL.Clients.Office.Excel.Functions.SPG(A306, "SP_TOTAL_REV", "CY2023")</f>
        <v>34072000</v>
      </c>
      <c r="C306" s="4">
        <f>_xll.SNL.Clients.Office.Excel.Functions.SPG(A306,"IQ_AVG_DILUT_SHARES_OUT","CY2023")</f>
        <v>58100000</v>
      </c>
      <c r="D306" s="5">
        <f>_xll.SNL.Clients.Office.Excel.Functions.SPG(A306, "IQ_DILUT_EPS_NORM", "CY2023")</f>
        <v>16.233000000000001</v>
      </c>
      <c r="E306">
        <f t="shared" si="14"/>
        <v>943137.3</v>
      </c>
      <c r="F306">
        <f t="shared" si="15"/>
        <v>2.7680714369570324E-2</v>
      </c>
      <c r="H306" t="b">
        <f t="shared" si="16"/>
        <v>1</v>
      </c>
      <c r="K306" t="s">
        <v>835</v>
      </c>
      <c r="L306">
        <v>34072000</v>
      </c>
      <c r="M306">
        <v>58100000</v>
      </c>
      <c r="N306">
        <v>16.233000000000001</v>
      </c>
      <c r="O306">
        <v>943137.3</v>
      </c>
      <c r="P306">
        <v>2.7680714369570324E-2</v>
      </c>
    </row>
    <row r="307" spans="1:16" x14ac:dyDescent="0.3">
      <c r="A307" t="s">
        <v>311</v>
      </c>
      <c r="B307" s="4" cm="1">
        <f t="array" ref="B307">_xll.SNL.Clients.Office.Excel.Functions.SPG(A307, "SP_TOTAL_REV", "CY2023")</f>
        <v>11702100</v>
      </c>
      <c r="C307" s="4">
        <f>_xll.SNL.Clients.Office.Excel.Functions.SPG(A307,"IQ_AVG_DILUT_SHARES_OUT","CY2023")</f>
        <v>217300000</v>
      </c>
      <c r="D307" s="5">
        <f>_xll.SNL.Clients.Office.Excel.Functions.SPG(A307, "IQ_DILUT_EPS_NORM", "CY2023")</f>
        <v>4.0359999999999996</v>
      </c>
      <c r="E307">
        <f t="shared" si="14"/>
        <v>877022.79999999993</v>
      </c>
      <c r="F307">
        <f t="shared" si="15"/>
        <v>7.4945761871800784E-2</v>
      </c>
      <c r="H307" t="b">
        <f t="shared" si="16"/>
        <v>1</v>
      </c>
      <c r="K307" t="s">
        <v>836</v>
      </c>
      <c r="L307">
        <v>11702100</v>
      </c>
      <c r="M307">
        <v>217300000</v>
      </c>
      <c r="N307">
        <v>4.0359999999999996</v>
      </c>
      <c r="O307">
        <v>877022.79999999993</v>
      </c>
      <c r="P307">
        <v>7.4945761871800784E-2</v>
      </c>
    </row>
    <row r="308" spans="1:16" x14ac:dyDescent="0.3">
      <c r="A308" t="s">
        <v>312</v>
      </c>
      <c r="B308" s="4" cm="1">
        <f t="array" ref="B308">_xll.SNL.Clients.Office.Excel.Functions.SPG(A308, "SP_TOTAL_REV", "CY2023")</f>
        <v>36016000</v>
      </c>
      <c r="C308" s="4">
        <f>_xll.SNL.Clients.Office.Excel.Functions.SPG(A308,"IQ_AVG_DILUT_SHARES_OUT","CY2023")</f>
        <v>1370000000</v>
      </c>
      <c r="D308" s="5">
        <f>_xll.SNL.Clients.Office.Excel.Functions.SPG(A308, "IQ_DILUT_EPS_NORM", "CY2023")</f>
        <v>2.6539999999999999</v>
      </c>
      <c r="E308">
        <f t="shared" si="14"/>
        <v>3635980</v>
      </c>
      <c r="F308">
        <f t="shared" si="15"/>
        <v>0.10095457574411373</v>
      </c>
      <c r="H308" t="b">
        <f t="shared" si="16"/>
        <v>1</v>
      </c>
      <c r="K308" t="s">
        <v>837</v>
      </c>
      <c r="L308">
        <v>36016000</v>
      </c>
      <c r="M308">
        <v>1370000000</v>
      </c>
      <c r="N308">
        <v>2.6539999999999999</v>
      </c>
      <c r="O308">
        <v>3635980</v>
      </c>
      <c r="P308">
        <v>0.10095457574411373</v>
      </c>
    </row>
    <row r="309" spans="1:16" x14ac:dyDescent="0.3">
      <c r="A309" t="s">
        <v>313</v>
      </c>
      <c r="B309" s="4" cm="1">
        <f t="array" ref="B309">_xll.SNL.Clients.Office.Excel.Functions.SPG(A309, "SP_TOTAL_REV", "CY2023")</f>
        <v>1821072</v>
      </c>
      <c r="C309" s="4">
        <f>_xll.SNL.Clients.Office.Excel.Functions.SPG(A309,"IQ_AVG_DILUT_SHARES_OUT","CY2023")</f>
        <v>48771000</v>
      </c>
      <c r="D309" s="5">
        <f>_xll.SNL.Clients.Office.Excel.Functions.SPG(A309, "IQ_DILUT_EPS_NORM", "CY2023")</f>
        <v>6.3959999999999999</v>
      </c>
      <c r="E309">
        <f t="shared" si="14"/>
        <v>311939.31599999999</v>
      </c>
      <c r="F309">
        <f t="shared" si="15"/>
        <v>0.17129433432615515</v>
      </c>
      <c r="H309" t="b">
        <f t="shared" si="16"/>
        <v>1</v>
      </c>
      <c r="K309" t="s">
        <v>838</v>
      </c>
      <c r="L309">
        <v>1821072</v>
      </c>
      <c r="M309">
        <v>48771000</v>
      </c>
      <c r="N309">
        <v>6.3959999999999999</v>
      </c>
      <c r="O309">
        <v>311939.31599999999</v>
      </c>
      <c r="P309">
        <v>0.17129433432615515</v>
      </c>
    </row>
    <row r="310" spans="1:16" x14ac:dyDescent="0.3">
      <c r="A310" t="s">
        <v>314</v>
      </c>
      <c r="B310" s="4" cm="1">
        <f t="array" ref="B310">_xll.SNL.Clients.Office.Excel.Functions.SPG(A310, "SP_TOTAL_REV", "CY2023")</f>
        <v>7140027</v>
      </c>
      <c r="C310" s="4">
        <f>_xll.SNL.Clients.Office.Excel.Functions.SPG(A310,"IQ_AVG_DILUT_SHARES_OUT","CY2023")</f>
        <v>1057981000</v>
      </c>
      <c r="D310" s="5">
        <f>_xll.SNL.Clients.Office.Excel.Functions.SPG(A310, "IQ_DILUT_EPS_NORM", "CY2023")</f>
        <v>1.23</v>
      </c>
      <c r="E310">
        <f t="shared" si="14"/>
        <v>1301316.6299999999</v>
      </c>
      <c r="F310">
        <f t="shared" si="15"/>
        <v>0.18225654188702647</v>
      </c>
      <c r="H310" t="b">
        <f t="shared" si="16"/>
        <v>1</v>
      </c>
      <c r="K310" t="s">
        <v>839</v>
      </c>
      <c r="L310">
        <v>7140027</v>
      </c>
      <c r="M310">
        <v>1057981000</v>
      </c>
      <c r="N310">
        <v>1.23</v>
      </c>
      <c r="O310">
        <v>1301316.6299999999</v>
      </c>
      <c r="P310">
        <v>0.18225654188702647</v>
      </c>
    </row>
    <row r="311" spans="1:16" x14ac:dyDescent="0.3">
      <c r="A311" t="s">
        <v>315</v>
      </c>
      <c r="B311" s="4" cm="1">
        <f t="array" ref="B311">_xll.SNL.Clients.Office.Excel.Functions.SPG(A311, "SP_TOTAL_REV", "CY2023")</f>
        <v>5916000</v>
      </c>
      <c r="C311" s="4">
        <f>_xll.SNL.Clients.Office.Excel.Functions.SPG(A311,"IQ_AVG_DILUT_SHARES_OUT","CY2023")</f>
        <v>184000000</v>
      </c>
      <c r="D311" s="5">
        <f>_xll.SNL.Clients.Office.Excel.Functions.SPG(A311, "IQ_DILUT_EPS_NORM", "CY2023")</f>
        <v>6.8150000000000004</v>
      </c>
      <c r="E311">
        <f t="shared" si="14"/>
        <v>1253960</v>
      </c>
      <c r="F311">
        <f t="shared" si="15"/>
        <v>0.2119607843137255</v>
      </c>
      <c r="H311" t="b">
        <f t="shared" si="16"/>
        <v>1</v>
      </c>
      <c r="K311" t="s">
        <v>840</v>
      </c>
      <c r="L311">
        <v>5916000</v>
      </c>
      <c r="M311">
        <v>184000000</v>
      </c>
      <c r="N311">
        <v>6.8150000000000004</v>
      </c>
      <c r="O311">
        <v>1253960</v>
      </c>
      <c r="P311">
        <v>0.2119607843137255</v>
      </c>
    </row>
    <row r="312" spans="1:16" x14ac:dyDescent="0.3">
      <c r="A312" t="s">
        <v>316</v>
      </c>
      <c r="B312" s="4" cm="1">
        <f t="array" ref="B312">_xll.SNL.Clients.Office.Excel.Functions.SPG(A312, "SP_TOTAL_REV", "CY2023")</f>
        <v>54143000</v>
      </c>
      <c r="C312" s="4">
        <f>_xll.SNL.Clients.Office.Excel.Functions.SPG(A312,"IQ_AVG_DILUT_SHARES_OUT","CY2023")</f>
        <v>1646000000</v>
      </c>
      <c r="D312" s="5">
        <f>_xll.SNL.Clients.Office.Excel.Functions.SPG(A312, "IQ_DILUT_EPS_NORM", "CY2023")</f>
        <v>4.6440000000000001</v>
      </c>
      <c r="E312">
        <f t="shared" si="14"/>
        <v>7644024</v>
      </c>
      <c r="F312">
        <f t="shared" si="15"/>
        <v>0.141182128807048</v>
      </c>
      <c r="H312" t="b">
        <f t="shared" si="16"/>
        <v>1</v>
      </c>
      <c r="K312" t="s">
        <v>841</v>
      </c>
      <c r="L312">
        <v>54143000</v>
      </c>
      <c r="M312">
        <v>1646000000</v>
      </c>
      <c r="N312">
        <v>4.6440000000000001</v>
      </c>
      <c r="O312">
        <v>7644024</v>
      </c>
      <c r="P312">
        <v>0.141182128807048</v>
      </c>
    </row>
    <row r="313" spans="1:16" x14ac:dyDescent="0.3">
      <c r="A313" t="s">
        <v>317</v>
      </c>
      <c r="B313" s="4" cm="1">
        <f t="array" ref="B313">_xll.SNL.Clients.Office.Excel.Functions.SPG(A313, "SP_TOTAL_REV", "CY2023")</f>
        <v>9978000</v>
      </c>
      <c r="C313" s="4">
        <f>_xll.SNL.Clients.Office.Excel.Functions.SPG(A313,"IQ_AVG_DILUT_SHARES_OUT","CY2023")</f>
        <v>172100000</v>
      </c>
      <c r="D313" s="5">
        <f>_xll.SNL.Clients.Office.Excel.Functions.SPG(A313, "IQ_DILUT_EPS_NORM", "CY2023")</f>
        <v>8.0399999999999991</v>
      </c>
      <c r="E313">
        <f t="shared" si="14"/>
        <v>1383683.9999999998</v>
      </c>
      <c r="F313">
        <f t="shared" si="15"/>
        <v>0.13867348165965121</v>
      </c>
      <c r="H313" t="b">
        <f t="shared" si="16"/>
        <v>1</v>
      </c>
      <c r="K313" t="s">
        <v>843</v>
      </c>
      <c r="L313">
        <v>9978000</v>
      </c>
      <c r="M313">
        <v>172100000</v>
      </c>
      <c r="N313">
        <v>8.0399999999999991</v>
      </c>
      <c r="O313">
        <v>1383683.9999999998</v>
      </c>
      <c r="P313">
        <v>0.13867348165965121</v>
      </c>
    </row>
    <row r="314" spans="1:16" x14ac:dyDescent="0.3">
      <c r="A314" t="s">
        <v>318</v>
      </c>
      <c r="B314" s="4" cm="1">
        <f t="array" ref="B314">_xll.SNL.Clients.Office.Excel.Functions.SPG(A314, "SP_TOTAL_REV", "CY2023")</f>
        <v>2528920</v>
      </c>
      <c r="C314" s="4">
        <f>_xll.SNL.Clients.Office.Excel.Functions.SPG(A314,"IQ_AVG_DILUT_SHARES_OUT","CY2023")</f>
        <v>79843000</v>
      </c>
      <c r="D314" s="5">
        <f>_xll.SNL.Clients.Office.Excel.Functions.SPG(A314, "IQ_DILUT_EPS_NORM", "CY2023")</f>
        <v>9.6199999999999992</v>
      </c>
      <c r="E314">
        <f t="shared" si="14"/>
        <v>768089.65999999992</v>
      </c>
      <c r="F314">
        <f t="shared" si="15"/>
        <v>0.30372240323932742</v>
      </c>
      <c r="H314" t="b">
        <f t="shared" si="16"/>
        <v>1</v>
      </c>
      <c r="K314" t="s">
        <v>844</v>
      </c>
      <c r="L314">
        <v>2528920</v>
      </c>
      <c r="M314">
        <v>79843000</v>
      </c>
      <c r="N314">
        <v>9.6199999999999992</v>
      </c>
      <c r="O314">
        <v>768089.65999999992</v>
      </c>
      <c r="P314">
        <v>0.30372240323932742</v>
      </c>
    </row>
    <row r="315" spans="1:16" x14ac:dyDescent="0.3">
      <c r="A315" t="s">
        <v>319</v>
      </c>
      <c r="B315" s="4" cm="1">
        <f t="array" ref="B315">_xll.SNL.Clients.Office.Excel.Functions.SPG(A315, "SP_TOTAL_REV", "CY2023")</f>
        <v>6064000</v>
      </c>
      <c r="C315" s="4">
        <f>_xll.SNL.Clients.Office.Excel.Functions.SPG(A315,"IQ_AVG_DILUT_SHARES_OUT","CY2023")</f>
        <v>508392982</v>
      </c>
      <c r="D315" s="5">
        <f>_xll.SNL.Clients.Office.Excel.Functions.SPG(A315, "IQ_DILUT_EPS_NORM", "CY2023")</f>
        <v>2.008</v>
      </c>
      <c r="E315">
        <f t="shared" si="14"/>
        <v>1020853.107856</v>
      </c>
      <c r="F315">
        <f t="shared" si="15"/>
        <v>0.16834648876253297</v>
      </c>
      <c r="H315" t="b">
        <f t="shared" si="16"/>
        <v>1</v>
      </c>
      <c r="K315" t="s">
        <v>845</v>
      </c>
      <c r="L315">
        <v>6064000</v>
      </c>
      <c r="M315">
        <v>508392982</v>
      </c>
      <c r="N315">
        <v>2.008</v>
      </c>
      <c r="O315">
        <v>1020853.107856</v>
      </c>
      <c r="P315">
        <v>0.16834648876253297</v>
      </c>
    </row>
    <row r="316" spans="1:16" x14ac:dyDescent="0.3">
      <c r="A316" t="s">
        <v>320</v>
      </c>
      <c r="B316" s="4" cm="1">
        <f t="array" ref="B316">_xll.SNL.Clients.Office.Excel.Functions.SPG(A316, "SP_TOTAL_REV", "CY2023")</f>
        <v>6181000</v>
      </c>
      <c r="C316" s="4">
        <f>_xll.SNL.Clients.Office.Excel.Functions.SPG(A316,"IQ_AVG_DILUT_SHARES_OUT","CY2023")</f>
        <v>214000000</v>
      </c>
      <c r="D316" s="5">
        <f>_xll.SNL.Clients.Office.Excel.Functions.SPG(A316, "IQ_DILUT_EPS_NORM", "CY2023")</f>
        <v>3.63</v>
      </c>
      <c r="E316">
        <f t="shared" si="14"/>
        <v>776820</v>
      </c>
      <c r="F316">
        <f t="shared" si="15"/>
        <v>0.12567869276816049</v>
      </c>
      <c r="H316" t="b">
        <f t="shared" si="16"/>
        <v>1</v>
      </c>
      <c r="K316" t="s">
        <v>846</v>
      </c>
      <c r="L316">
        <v>6181000</v>
      </c>
      <c r="M316">
        <v>214000000</v>
      </c>
      <c r="N316">
        <v>3.63</v>
      </c>
      <c r="O316">
        <v>776820</v>
      </c>
      <c r="P316">
        <v>0.12567869276816049</v>
      </c>
    </row>
    <row r="317" spans="1:16" x14ac:dyDescent="0.3">
      <c r="A317" t="s">
        <v>321</v>
      </c>
      <c r="B317" s="4" cm="1">
        <f t="array" ref="B317">_xll.SNL.Clients.Office.Excel.Functions.SPG(A317, "SP_TOTAL_REV", "CY2023")</f>
        <v>33723297</v>
      </c>
      <c r="C317" s="4">
        <f>_xll.SNL.Clients.Office.Excel.Functions.SPG(A317,"IQ_AVG_DILUT_SHARES_OUT","CY2023")</f>
        <v>449498000</v>
      </c>
      <c r="D317" s="5">
        <f>_xll.SNL.Clients.Office.Excel.Functions.SPG(A317, "IQ_DILUT_EPS_NORM", "CY2023")</f>
        <v>8.6280000000000001</v>
      </c>
      <c r="E317">
        <f t="shared" si="14"/>
        <v>3878268.7439999999</v>
      </c>
      <c r="F317">
        <f t="shared" si="15"/>
        <v>0.11500265659078351</v>
      </c>
      <c r="H317" t="b">
        <f t="shared" si="16"/>
        <v>1</v>
      </c>
      <c r="K317" t="s">
        <v>847</v>
      </c>
      <c r="L317">
        <v>33723297</v>
      </c>
      <c r="M317">
        <v>449498000</v>
      </c>
      <c r="N317">
        <v>8.6280000000000001</v>
      </c>
      <c r="O317">
        <v>3878268.7439999999</v>
      </c>
      <c r="P317">
        <v>0.11500265659078351</v>
      </c>
    </row>
    <row r="318" spans="1:16" x14ac:dyDescent="0.3">
      <c r="A318" t="s">
        <v>322</v>
      </c>
      <c r="B318" s="4" cm="1">
        <f t="array" ref="B318">_xll.SNL.Clients.Office.Excel.Functions.SPG(A318, "SP_TOTAL_REV", "CY2023")</f>
        <v>11812000</v>
      </c>
      <c r="C318" s="4">
        <f>_xll.SNL.Clients.Office.Excel.Functions.SPG(A318,"IQ_AVG_DILUT_SHARES_OUT","CY2023")</f>
        <v>841000000</v>
      </c>
      <c r="D318" s="5">
        <f>_xll.SNL.Clients.Office.Excel.Functions.SPG(A318, "IQ_DILUT_EPS_NORM", "CY2023")</f>
        <v>0.44</v>
      </c>
      <c r="E318">
        <f t="shared" si="14"/>
        <v>370040</v>
      </c>
      <c r="F318">
        <f t="shared" si="15"/>
        <v>3.1327463596342704E-2</v>
      </c>
      <c r="H318" t="b">
        <f t="shared" si="16"/>
        <v>1</v>
      </c>
      <c r="K318" t="s">
        <v>848</v>
      </c>
      <c r="L318">
        <v>11812000</v>
      </c>
      <c r="M318">
        <v>841000000</v>
      </c>
      <c r="N318">
        <v>0.44</v>
      </c>
      <c r="O318">
        <v>370040</v>
      </c>
      <c r="P318">
        <v>3.1327463596342704E-2</v>
      </c>
    </row>
    <row r="319" spans="1:16" x14ac:dyDescent="0.3">
      <c r="A319" t="s">
        <v>323</v>
      </c>
      <c r="B319" s="4" cm="1">
        <f t="array" ref="B319">_xll.SNL.Clients.Office.Excel.Functions.SPG(A319, "SP_TOTAL_REV", "CY2023")</f>
        <v>9965000</v>
      </c>
      <c r="C319" s="4">
        <f>_xll.SNL.Clients.Office.Excel.Functions.SPG(A319,"IQ_AVG_DILUT_SHARES_OUT","CY2023")</f>
        <v>575300000</v>
      </c>
      <c r="D319" s="5">
        <f>_xll.SNL.Clients.Office.Excel.Functions.SPG(A319, "IQ_DILUT_EPS_NORM", "CY2023")</f>
        <v>0.61699999999999999</v>
      </c>
      <c r="E319">
        <f t="shared" si="14"/>
        <v>354960.1</v>
      </c>
      <c r="F319">
        <f t="shared" si="15"/>
        <v>3.5620682388359255E-2</v>
      </c>
      <c r="H319" t="b">
        <f t="shared" si="16"/>
        <v>0</v>
      </c>
      <c r="K319" t="s">
        <v>850</v>
      </c>
      <c r="L319" t="s">
        <v>1048</v>
      </c>
      <c r="M319" t="s">
        <v>1048</v>
      </c>
      <c r="N319" t="s">
        <v>1048</v>
      </c>
      <c r="O319" t="e">
        <v>#VALUE!</v>
      </c>
      <c r="P319" t="e">
        <v>#VALUE!</v>
      </c>
    </row>
    <row r="320" spans="1:16" x14ac:dyDescent="0.3">
      <c r="A320" t="s">
        <v>324</v>
      </c>
      <c r="B320" s="4" cm="1">
        <f t="array" ref="B320">_xll.SNL.Clients.Office.Excel.Functions.SPG(A320, "SP_TOTAL_REV", "CY2023")</f>
        <v>9965000</v>
      </c>
      <c r="C320" s="4">
        <f>_xll.SNL.Clients.Office.Excel.Functions.SPG(A320,"IQ_AVG_DILUT_SHARES_OUT","CY2023")</f>
        <v>575300000</v>
      </c>
      <c r="D320" s="5">
        <f>_xll.SNL.Clients.Office.Excel.Functions.SPG(A320, "IQ_DILUT_EPS_NORM", "CY2023")</f>
        <v>0.61699999999999999</v>
      </c>
      <c r="E320">
        <f t="shared" si="14"/>
        <v>354960.1</v>
      </c>
      <c r="F320">
        <f t="shared" si="15"/>
        <v>3.5620682388359255E-2</v>
      </c>
      <c r="H320" t="b">
        <f t="shared" si="16"/>
        <v>1</v>
      </c>
      <c r="K320" t="s">
        <v>849</v>
      </c>
      <c r="L320">
        <v>9965000</v>
      </c>
      <c r="M320">
        <v>575300000</v>
      </c>
      <c r="N320">
        <v>0.61699999999999999</v>
      </c>
      <c r="O320">
        <v>354960.1</v>
      </c>
      <c r="P320">
        <v>3.5620682388359255E-2</v>
      </c>
    </row>
    <row r="321" spans="1:16" x14ac:dyDescent="0.3">
      <c r="A321" t="s">
        <v>325</v>
      </c>
      <c r="B321" s="4" cm="1">
        <f t="array" ref="B321">_xll.SNL.Clients.Office.Excel.Functions.SPG(A321, "SP_TOTAL_REV", "CY2023")</f>
        <v>28114000</v>
      </c>
      <c r="C321" s="4">
        <f>_xll.SNL.Clients.Office.Excel.Functions.SPG(A321,"IQ_AVG_DILUT_SHARES_OUT","CY2023")</f>
        <v>2030800000</v>
      </c>
      <c r="D321" s="5">
        <f>_xll.SNL.Clients.Office.Excel.Functions.SPG(A321, "IQ_DILUT_EPS_NORM", "CY2023")</f>
        <v>2.5369999999999999</v>
      </c>
      <c r="E321">
        <f t="shared" si="14"/>
        <v>5152139.5999999996</v>
      </c>
      <c r="F321">
        <f t="shared" si="15"/>
        <v>0.18325886035427189</v>
      </c>
      <c r="H321" t="b">
        <f t="shared" si="16"/>
        <v>1</v>
      </c>
      <c r="K321" t="s">
        <v>851</v>
      </c>
      <c r="L321">
        <v>28114000</v>
      </c>
      <c r="M321">
        <v>2030800000</v>
      </c>
      <c r="N321">
        <v>2.5369999999999999</v>
      </c>
      <c r="O321">
        <v>5152139.5999999996</v>
      </c>
      <c r="P321">
        <v>0.18325886035427189</v>
      </c>
    </row>
    <row r="322" spans="1:16" x14ac:dyDescent="0.3">
      <c r="A322" t="s">
        <v>326</v>
      </c>
      <c r="B322" s="4" cm="1">
        <f t="array" ref="B322">_xll.SNL.Clients.Office.Excel.Functions.SPG(A322, "SP_TOTAL_REV", "CY2023")</f>
        <v>51542000</v>
      </c>
      <c r="C322" s="4">
        <f>_xll.SNL.Clients.Office.Excel.Functions.SPG(A322,"IQ_AVG_DILUT_SHARES_OUT","CY2023")</f>
        <v>1549100000</v>
      </c>
      <c r="D322" s="5">
        <f>_xll.SNL.Clients.Office.Excel.Functions.SPG(A322, "IQ_DILUT_EPS_NORM", "CY2023")</f>
        <v>2.5390000000000001</v>
      </c>
      <c r="E322">
        <f t="shared" si="14"/>
        <v>3933164.9</v>
      </c>
      <c r="F322">
        <f t="shared" si="15"/>
        <v>7.6309900663536531E-2</v>
      </c>
      <c r="H322" t="b">
        <f t="shared" si="16"/>
        <v>1</v>
      </c>
      <c r="K322" t="s">
        <v>852</v>
      </c>
      <c r="L322">
        <v>51542000</v>
      </c>
      <c r="M322">
        <v>1549100000</v>
      </c>
      <c r="N322">
        <v>2.5390000000000001</v>
      </c>
      <c r="O322">
        <v>3933164.9</v>
      </c>
      <c r="P322">
        <v>7.6309900663536531E-2</v>
      </c>
    </row>
    <row r="323" spans="1:16" x14ac:dyDescent="0.3">
      <c r="A323" t="s">
        <v>327</v>
      </c>
      <c r="B323" s="4" cm="1">
        <f t="array" ref="B323">_xll.SNL.Clients.Office.Excel.Functions.SPG(A323, "SP_TOTAL_REV", "CY2023")</f>
        <v>5505400</v>
      </c>
      <c r="C323" s="4">
        <f>_xll.SNL.Clients.Office.Excel.Functions.SPG(A323,"IQ_AVG_DILUT_SHARES_OUT","CY2023")</f>
        <v>447900000</v>
      </c>
      <c r="D323" s="5">
        <f>_xll.SNL.Clients.Office.Excel.Functions.SPG(A323, "IQ_DILUT_EPS_NORM", "CY2023")</f>
        <v>1.2290000000000001</v>
      </c>
      <c r="E323">
        <f t="shared" ref="E323:E386" si="17">C323*D323/1000</f>
        <v>550469.1</v>
      </c>
      <c r="F323">
        <f t="shared" ref="F323:F386" si="18">E323/B323</f>
        <v>9.998712173502379E-2</v>
      </c>
      <c r="H323" t="b">
        <f t="shared" ref="H323:H386" si="19">B323=L323</f>
        <v>1</v>
      </c>
      <c r="K323" t="s">
        <v>4</v>
      </c>
      <c r="L323">
        <v>5505400</v>
      </c>
      <c r="M323">
        <v>447900000</v>
      </c>
      <c r="N323">
        <v>1.2290000000000001</v>
      </c>
      <c r="O323">
        <v>550469.1</v>
      </c>
      <c r="P323">
        <v>9.998712173502379E-2</v>
      </c>
    </row>
    <row r="324" spans="1:16" x14ac:dyDescent="0.3">
      <c r="A324" t="s">
        <v>328</v>
      </c>
      <c r="B324" s="4" cm="1">
        <f t="array" ref="B324">_xll.SNL.Clients.Office.Excel.Functions.SPG(A324, "SP_TOTAL_REV", "CY2023")</f>
        <v>2651348</v>
      </c>
      <c r="C324" s="4">
        <f>_xll.SNL.Clients.Office.Excel.Functions.SPG(A324,"IQ_AVG_DILUT_SHARES_OUT","CY2023")</f>
        <v>57579250</v>
      </c>
      <c r="D324" s="5">
        <f>_xll.SNL.Clients.Office.Excel.Functions.SPG(A324, "IQ_DILUT_EPS_NORM", "CY2023")</f>
        <v>6.7619999999999996</v>
      </c>
      <c r="E324">
        <f t="shared" si="17"/>
        <v>389350.8885</v>
      </c>
      <c r="F324">
        <f t="shared" si="18"/>
        <v>0.14685016395433567</v>
      </c>
      <c r="H324" t="b">
        <f t="shared" si="19"/>
        <v>1</v>
      </c>
      <c r="K324" t="s">
        <v>853</v>
      </c>
      <c r="L324">
        <v>2651348</v>
      </c>
      <c r="M324">
        <v>57579250</v>
      </c>
      <c r="N324">
        <v>6.7619999999999996</v>
      </c>
      <c r="O324">
        <v>389350.8885</v>
      </c>
      <c r="P324">
        <v>0.14685016395433567</v>
      </c>
    </row>
    <row r="325" spans="1:16" x14ac:dyDescent="0.3">
      <c r="A325" t="s">
        <v>329</v>
      </c>
      <c r="B325" s="4" cm="1">
        <f t="array" ref="B325">_xll.SNL.Clients.Office.Excel.Functions.SPG(A325, "SP_TOTAL_REV", "CY2023")</f>
        <v>12156000</v>
      </c>
      <c r="C325" s="4">
        <f>_xll.SNL.Clients.Office.Excel.Functions.SPG(A325,"IQ_AVG_DILUT_SHARES_OUT","CY2023")</f>
        <v>227400000</v>
      </c>
      <c r="D325" s="5">
        <f>_xll.SNL.Clients.Office.Excel.Functions.SPG(A325, "IQ_DILUT_EPS_NORM", "CY2023")</f>
        <v>9.4440000000000008</v>
      </c>
      <c r="E325">
        <f t="shared" si="17"/>
        <v>2147565.6</v>
      </c>
      <c r="F325">
        <f t="shared" si="18"/>
        <v>0.17666712734452122</v>
      </c>
      <c r="H325" t="b">
        <f t="shared" si="19"/>
        <v>1</v>
      </c>
      <c r="K325" t="s">
        <v>854</v>
      </c>
      <c r="L325">
        <v>12156000</v>
      </c>
      <c r="M325">
        <v>227400000</v>
      </c>
      <c r="N325">
        <v>9.4440000000000008</v>
      </c>
      <c r="O325">
        <v>2147565.6</v>
      </c>
      <c r="P325">
        <v>0.17666712734452122</v>
      </c>
    </row>
    <row r="326" spans="1:16" x14ac:dyDescent="0.3">
      <c r="A326" t="s">
        <v>330</v>
      </c>
      <c r="B326" s="4" cm="1">
        <f t="array" ref="B326">_xll.SNL.Clients.Office.Excel.Functions.SPG(A326, "SP_TOTAL_REV", "CY2023")</f>
        <v>6749000</v>
      </c>
      <c r="C326" s="4">
        <f>_xll.SNL.Clients.Office.Excel.Functions.SPG(A326,"IQ_AVG_DILUT_SHARES_OUT","CY2023")</f>
        <v>207563746</v>
      </c>
      <c r="D326" s="5">
        <f>_xll.SNL.Clients.Office.Excel.Functions.SPG(A326, "IQ_DILUT_EPS_NORM", "CY2023")</f>
        <v>4.5209999999999999</v>
      </c>
      <c r="E326">
        <f t="shared" si="17"/>
        <v>938395.69566600001</v>
      </c>
      <c r="F326">
        <f t="shared" si="18"/>
        <v>0.13904218338509408</v>
      </c>
      <c r="H326" t="b">
        <f t="shared" si="19"/>
        <v>1</v>
      </c>
      <c r="K326" t="s">
        <v>855</v>
      </c>
      <c r="L326">
        <v>6749000</v>
      </c>
      <c r="M326">
        <v>207563746</v>
      </c>
      <c r="N326">
        <v>4.5209999999999999</v>
      </c>
      <c r="O326">
        <v>938395.69566600001</v>
      </c>
      <c r="P326">
        <v>0.13904218338509408</v>
      </c>
    </row>
    <row r="327" spans="1:16" x14ac:dyDescent="0.3">
      <c r="A327" t="s">
        <v>331</v>
      </c>
      <c r="B327" s="4" cm="1">
        <f t="array" ref="B327">_xll.SNL.Clients.Office.Excel.Functions.SPG(A327, "SP_TOTAL_REV", "CY2023")</f>
        <v>39290000</v>
      </c>
      <c r="C327" s="4">
        <f>_xll.SNL.Clients.Office.Excel.Functions.SPG(A327,"IQ_AVG_DILUT_SHARES_OUT","CY2023")</f>
        <v>152000000</v>
      </c>
      <c r="D327" s="5">
        <f>_xll.SNL.Clients.Office.Excel.Functions.SPG(A327, "IQ_DILUT_EPS_NORM", "CY2023")</f>
        <v>9.2479999999999993</v>
      </c>
      <c r="E327">
        <f t="shared" si="17"/>
        <v>1405696</v>
      </c>
      <c r="F327">
        <f t="shared" si="18"/>
        <v>3.5777449732756428E-2</v>
      </c>
      <c r="H327" t="b">
        <f t="shared" si="19"/>
        <v>1</v>
      </c>
      <c r="K327" t="s">
        <v>856</v>
      </c>
      <c r="L327">
        <v>39290000</v>
      </c>
      <c r="M327">
        <v>152000000</v>
      </c>
      <c r="N327">
        <v>9.2479999999999993</v>
      </c>
      <c r="O327">
        <v>1405696</v>
      </c>
      <c r="P327">
        <v>3.5777449732756428E-2</v>
      </c>
    </row>
    <row r="328" spans="1:16" x14ac:dyDescent="0.3">
      <c r="A328" t="s">
        <v>332</v>
      </c>
      <c r="B328" s="4" cm="1">
        <f t="array" ref="B328">_xll.SNL.Clients.Office.Excel.Functions.SPG(A328, "SP_TOTAL_REV", "CY2023")</f>
        <v>8549924</v>
      </c>
      <c r="C328" s="4">
        <f>_xll.SNL.Clients.Office.Excel.Functions.SPG(A328,"IQ_AVG_DILUT_SHARES_OUT","CY2023")</f>
        <v>427400849</v>
      </c>
      <c r="D328" s="5">
        <f>_xll.SNL.Clients.Office.Excel.Functions.SPG(A328, "IQ_DILUT_EPS_NORM", "CY2023")</f>
        <v>0.252</v>
      </c>
      <c r="E328">
        <f t="shared" si="17"/>
        <v>107705.01394799999</v>
      </c>
      <c r="F328">
        <f t="shared" si="18"/>
        <v>1.2597189629755772E-2</v>
      </c>
      <c r="H328" t="b">
        <f t="shared" si="19"/>
        <v>1</v>
      </c>
      <c r="K328" t="s">
        <v>857</v>
      </c>
      <c r="L328">
        <v>8549924</v>
      </c>
      <c r="M328">
        <v>427400849</v>
      </c>
      <c r="N328">
        <v>0.252</v>
      </c>
      <c r="O328">
        <v>107705.01394799999</v>
      </c>
      <c r="P328">
        <v>1.2597189629755772E-2</v>
      </c>
    </row>
    <row r="329" spans="1:16" x14ac:dyDescent="0.3">
      <c r="A329" t="s">
        <v>333</v>
      </c>
      <c r="B329" s="4" cm="1">
        <f t="array" ref="B329">_xll.SNL.Clients.Office.Excel.Functions.SPG(A329, "SP_TOTAL_REV", "CY2023")</f>
        <v>28823000</v>
      </c>
      <c r="C329" s="4">
        <f>_xll.SNL.Clients.Office.Excel.Functions.SPG(A329,"IQ_AVG_DILUT_SHARES_OUT","CY2023")</f>
        <v>228000000</v>
      </c>
      <c r="D329" s="5">
        <f>_xll.SNL.Clients.Office.Excel.Functions.SPG(A329, "IQ_DILUT_EPS_NORM", "CY2023")</f>
        <v>-4.55</v>
      </c>
      <c r="E329">
        <f t="shared" si="17"/>
        <v>-1037400</v>
      </c>
      <c r="F329">
        <f t="shared" si="18"/>
        <v>-3.5992089650626238E-2</v>
      </c>
      <c r="H329" t="b">
        <f t="shared" si="19"/>
        <v>1</v>
      </c>
      <c r="K329" t="s">
        <v>858</v>
      </c>
      <c r="L329">
        <v>28823000</v>
      </c>
      <c r="M329">
        <v>228000000</v>
      </c>
      <c r="N329">
        <v>-4.55</v>
      </c>
      <c r="O329">
        <v>-1037400</v>
      </c>
      <c r="P329">
        <v>-3.5992089650626238E-2</v>
      </c>
    </row>
    <row r="330" spans="1:16" x14ac:dyDescent="0.3">
      <c r="A330" t="s">
        <v>334</v>
      </c>
      <c r="B330" s="4" cm="1">
        <f t="array" ref="B330">_xll.SNL.Clients.Office.Excel.Functions.SPG(A330, "SP_TOTAL_REV", "CY2023")</f>
        <v>34713501</v>
      </c>
      <c r="C330" s="4">
        <f>_xll.SNL.Clients.Office.Excel.Functions.SPG(A330,"IQ_AVG_DILUT_SHARES_OUT","CY2023")</f>
        <v>250412000</v>
      </c>
      <c r="D330" s="5">
        <f>_xll.SNL.Clients.Office.Excel.Functions.SPG(A330, "IQ_DILUT_EPS_NORM", "CY2023")</f>
        <v>14.106999999999999</v>
      </c>
      <c r="E330">
        <f t="shared" si="17"/>
        <v>3532562.0839999998</v>
      </c>
      <c r="F330">
        <f t="shared" si="18"/>
        <v>0.10176334804144359</v>
      </c>
      <c r="H330" t="b">
        <f t="shared" si="19"/>
        <v>1</v>
      </c>
      <c r="K330" t="s">
        <v>859</v>
      </c>
      <c r="L330">
        <v>34713501</v>
      </c>
      <c r="M330">
        <v>250412000</v>
      </c>
      <c r="N330">
        <v>14.106999999999999</v>
      </c>
      <c r="O330">
        <v>3532562.0839999998</v>
      </c>
      <c r="P330">
        <v>0.10176334804144359</v>
      </c>
    </row>
    <row r="331" spans="1:16" x14ac:dyDescent="0.3">
      <c r="A331" t="s">
        <v>335</v>
      </c>
      <c r="B331" s="4" cm="1">
        <f t="array" ref="B331">_xll.SNL.Clients.Office.Excel.Functions.SPG(A331, "SP_TOTAL_REV", "CY2023")</f>
        <v>60922000</v>
      </c>
      <c r="C331" s="4">
        <f>_xll.SNL.Clients.Office.Excel.Functions.SPG(A331,"IQ_AVG_DILUT_SHARES_OUT","CY2023")</f>
        <v>24940000000</v>
      </c>
      <c r="D331" s="5">
        <f>_xll.SNL.Clients.Office.Excel.Functions.SPG(A331, "IQ_DILUT_EPS_NORM", "CY2023")</f>
        <v>0.84199999999999997</v>
      </c>
      <c r="E331">
        <f t="shared" si="17"/>
        <v>20999480</v>
      </c>
      <c r="F331">
        <f t="shared" si="18"/>
        <v>0.34469452742851514</v>
      </c>
      <c r="H331" t="b">
        <f t="shared" si="19"/>
        <v>1</v>
      </c>
      <c r="K331" t="s">
        <v>860</v>
      </c>
      <c r="L331">
        <v>60922000</v>
      </c>
      <c r="M331">
        <v>24940000000</v>
      </c>
      <c r="N331">
        <v>0.84199999999999997</v>
      </c>
      <c r="O331">
        <v>20999480</v>
      </c>
      <c r="P331">
        <v>0.34469452742851514</v>
      </c>
    </row>
    <row r="332" spans="1:16" x14ac:dyDescent="0.3">
      <c r="A332" t="s">
        <v>336</v>
      </c>
      <c r="B332" s="4" cm="1">
        <f t="array" ref="B332">_xll.SNL.Clients.Office.Excel.Functions.SPG(A332, "SP_TOTAL_REV", "CY2023")</f>
        <v>9682899</v>
      </c>
      <c r="C332" s="4">
        <f>_xll.SNL.Clients.Office.Excel.Functions.SPG(A332,"IQ_AVG_DILUT_SHARES_OUT","CY2023")</f>
        <v>3435294</v>
      </c>
      <c r="D332" s="5">
        <f>_xll.SNL.Clients.Office.Excel.Functions.SPG(A332, "IQ_DILUT_EPS_NORM", "CY2023")</f>
        <v>350.83800000000002</v>
      </c>
      <c r="E332">
        <f t="shared" si="17"/>
        <v>1205231.676372</v>
      </c>
      <c r="F332">
        <f t="shared" si="18"/>
        <v>0.12447012783795432</v>
      </c>
      <c r="H332" t="b">
        <f t="shared" si="19"/>
        <v>1</v>
      </c>
      <c r="K332" t="s">
        <v>861</v>
      </c>
      <c r="L332">
        <v>9682899</v>
      </c>
      <c r="M332">
        <v>3435294</v>
      </c>
      <c r="N332">
        <v>350.83800000000002</v>
      </c>
      <c r="O332">
        <v>1205231.676372</v>
      </c>
      <c r="P332">
        <v>0.12447012783795432</v>
      </c>
    </row>
    <row r="333" spans="1:16" x14ac:dyDescent="0.3">
      <c r="A333" t="s">
        <v>337</v>
      </c>
      <c r="B333" s="4" cm="1">
        <f t="array" ref="B333">_xll.SNL.Clients.Office.Excel.Functions.SPG(A333, "SP_TOTAL_REV", "CY2023")</f>
        <v>13276000</v>
      </c>
      <c r="C333" s="4">
        <f>_xll.SNL.Clients.Office.Excel.Functions.SPG(A333,"IQ_AVG_DILUT_SHARES_OUT","CY2023")</f>
        <v>261370000</v>
      </c>
      <c r="D333" s="5">
        <f>_xll.SNL.Clients.Office.Excel.Functions.SPG(A333, "IQ_DILUT_EPS_NORM", "CY2023")</f>
        <v>8.1349999999999998</v>
      </c>
      <c r="E333">
        <f t="shared" si="17"/>
        <v>2126244.9500000002</v>
      </c>
      <c r="F333">
        <f t="shared" si="18"/>
        <v>0.16015704655016572</v>
      </c>
      <c r="H333" t="b">
        <f t="shared" si="19"/>
        <v>1</v>
      </c>
      <c r="K333" t="s">
        <v>862</v>
      </c>
      <c r="L333">
        <v>13276000</v>
      </c>
      <c r="M333">
        <v>261370000</v>
      </c>
      <c r="N333">
        <v>8.1349999999999998</v>
      </c>
      <c r="O333">
        <v>2126244.9500000002</v>
      </c>
      <c r="P333">
        <v>0.16015704655016572</v>
      </c>
    </row>
    <row r="334" spans="1:16" x14ac:dyDescent="0.3">
      <c r="A334" t="s">
        <v>338</v>
      </c>
      <c r="B334" s="4" cm="1">
        <f t="array" ref="B334">_xll.SNL.Clients.Office.Excel.Functions.SPG(A334, "SP_TOTAL_REV", "CY2023")</f>
        <v>15812250</v>
      </c>
      <c r="C334" s="4">
        <f>_xll.SNL.Clients.Office.Excel.Functions.SPG(A334,"IQ_AVG_DILUT_SHARES_OUT","CY2023")</f>
        <v>60998000</v>
      </c>
      <c r="D334" s="5">
        <f>_xll.SNL.Clients.Office.Excel.Functions.SPG(A334, "IQ_DILUT_EPS_NORM", "CY2023")</f>
        <v>30.724</v>
      </c>
      <c r="E334">
        <f t="shared" si="17"/>
        <v>1874102.5519999999</v>
      </c>
      <c r="F334">
        <f t="shared" si="18"/>
        <v>0.1185221933627409</v>
      </c>
      <c r="H334" t="b">
        <f t="shared" si="19"/>
        <v>1</v>
      </c>
      <c r="K334" t="s">
        <v>863</v>
      </c>
      <c r="L334">
        <v>15812250</v>
      </c>
      <c r="M334">
        <v>60998000</v>
      </c>
      <c r="N334">
        <v>30.724</v>
      </c>
      <c r="O334">
        <v>1874102.5519999999</v>
      </c>
      <c r="P334">
        <v>0.1185221933627409</v>
      </c>
    </row>
    <row r="335" spans="1:16" x14ac:dyDescent="0.3">
      <c r="A335" t="s">
        <v>339</v>
      </c>
      <c r="B335" s="4" cm="1">
        <f t="array" ref="B335">_xll.SNL.Clients.Office.Excel.Functions.SPG(A335, "SP_TOTAL_REV", "CY2023")</f>
        <v>28257000</v>
      </c>
      <c r="C335" s="4">
        <f>_xll.SNL.Clients.Office.Excel.Functions.SPG(A335,"IQ_AVG_DILUT_SHARES_OUT","CY2023")</f>
        <v>960900000</v>
      </c>
      <c r="D335" s="5">
        <f>_xll.SNL.Clients.Office.Excel.Functions.SPG(A335, "IQ_DILUT_EPS_NORM", "CY2023")</f>
        <v>3.7090000000000001</v>
      </c>
      <c r="E335">
        <f t="shared" si="17"/>
        <v>3563978.1</v>
      </c>
      <c r="F335">
        <f t="shared" si="18"/>
        <v>0.12612726404076866</v>
      </c>
      <c r="H335" t="b">
        <f t="shared" si="19"/>
        <v>1</v>
      </c>
      <c r="K335" t="s">
        <v>864</v>
      </c>
      <c r="L335">
        <v>28257000</v>
      </c>
      <c r="M335">
        <v>960900000</v>
      </c>
      <c r="N335">
        <v>3.7090000000000001</v>
      </c>
      <c r="O335">
        <v>3563978.1</v>
      </c>
      <c r="P335">
        <v>0.12612726404076866</v>
      </c>
    </row>
    <row r="336" spans="1:16" x14ac:dyDescent="0.3">
      <c r="A336" t="s">
        <v>340</v>
      </c>
      <c r="B336" s="4" cm="1">
        <f t="array" ref="B336">_xll.SNL.Clients.Office.Excel.Functions.SPG(A336, "SP_TOTAL_REV", "CY2023")</f>
        <v>5866152</v>
      </c>
      <c r="C336" s="4">
        <f>_xll.SNL.Clients.Office.Excel.Functions.SPG(A336,"IQ_AVG_DILUT_SHARES_OUT","CY2023")</f>
        <v>220180424</v>
      </c>
      <c r="D336" s="5">
        <f>_xll.SNL.Clients.Office.Excel.Functions.SPG(A336, "IQ_DILUT_EPS_NORM", "CY2023")</f>
        <v>4.6769999999999996</v>
      </c>
      <c r="E336">
        <f t="shared" si="17"/>
        <v>1029783.8430479999</v>
      </c>
      <c r="F336">
        <f t="shared" si="18"/>
        <v>0.17554673711966548</v>
      </c>
      <c r="H336" t="b">
        <f t="shared" si="19"/>
        <v>1</v>
      </c>
      <c r="K336" t="s">
        <v>865</v>
      </c>
      <c r="L336">
        <v>5866152</v>
      </c>
      <c r="M336">
        <v>220180424</v>
      </c>
      <c r="N336">
        <v>4.6769999999999996</v>
      </c>
      <c r="O336">
        <v>1029783.8430479999</v>
      </c>
      <c r="P336">
        <v>0.17554673711966548</v>
      </c>
    </row>
    <row r="337" spans="1:16" x14ac:dyDescent="0.3">
      <c r="A337" t="s">
        <v>341</v>
      </c>
      <c r="B337" s="4" cm="1">
        <f t="array" ref="B337">_xll.SNL.Clients.Office.Excel.Functions.SPG(A337, "SP_TOTAL_REV", "CY2023")</f>
        <v>14692200</v>
      </c>
      <c r="C337" s="4">
        <f>_xll.SNL.Clients.Office.Excel.Functions.SPG(A337,"IQ_AVG_DILUT_SHARES_OUT","CY2023")</f>
        <v>201400000</v>
      </c>
      <c r="D337" s="5">
        <f>_xll.SNL.Clients.Office.Excel.Functions.SPG(A337, "IQ_DILUT_EPS_NORM", "CY2023")</f>
        <v>5.9649999999999999</v>
      </c>
      <c r="E337">
        <f t="shared" si="17"/>
        <v>1201351</v>
      </c>
      <c r="F337">
        <f t="shared" si="18"/>
        <v>8.1767944895931172E-2</v>
      </c>
      <c r="H337" t="b">
        <f t="shared" si="19"/>
        <v>1</v>
      </c>
      <c r="K337" t="s">
        <v>866</v>
      </c>
      <c r="L337">
        <v>14692200</v>
      </c>
      <c r="M337">
        <v>201400000</v>
      </c>
      <c r="N337">
        <v>5.9649999999999999</v>
      </c>
      <c r="O337">
        <v>1201351</v>
      </c>
      <c r="P337">
        <v>8.1767944895931172E-2</v>
      </c>
    </row>
    <row r="338" spans="1:16" x14ac:dyDescent="0.3">
      <c r="A338" t="s">
        <v>342</v>
      </c>
      <c r="B338" s="4" cm="1">
        <f t="array" ref="B338">_xll.SNL.Clients.Office.Excel.Functions.SPG(A338, "SP_TOTAL_REV", "CY2023")</f>
        <v>8253000</v>
      </c>
      <c r="C338" s="4">
        <f>_xll.SNL.Clients.Office.Excel.Functions.SPG(A338,"IQ_AVG_DILUT_SHARES_OUT","CY2023")</f>
        <v>446800000</v>
      </c>
      <c r="D338" s="5">
        <f>_xll.SNL.Clients.Office.Excel.Functions.SPG(A338, "IQ_DILUT_EPS_NORM", "CY2023")</f>
        <v>3.6669999999999998</v>
      </c>
      <c r="E338">
        <f t="shared" si="17"/>
        <v>1638415.6</v>
      </c>
      <c r="F338">
        <f t="shared" si="18"/>
        <v>0.19852363988852539</v>
      </c>
      <c r="H338" t="b">
        <f t="shared" si="19"/>
        <v>1</v>
      </c>
      <c r="K338" t="s">
        <v>867</v>
      </c>
      <c r="L338">
        <v>8253000</v>
      </c>
      <c r="M338">
        <v>446800000</v>
      </c>
      <c r="N338">
        <v>3.6669999999999998</v>
      </c>
      <c r="O338">
        <v>1638415.6</v>
      </c>
      <c r="P338">
        <v>0.19852363988852539</v>
      </c>
    </row>
    <row r="339" spans="1:16" x14ac:dyDescent="0.3">
      <c r="A339" t="s">
        <v>343</v>
      </c>
      <c r="B339" s="4" cm="1">
        <f t="array" ref="B339">_xll.SNL.Clients.Office.Excel.Functions.SPG(A339, "SP_TOTAL_REV", "CY2023")</f>
        <v>17677000</v>
      </c>
      <c r="C339" s="4">
        <f>_xll.SNL.Clients.Office.Excel.Functions.SPG(A339,"IQ_AVG_DILUT_SHARES_OUT","CY2023")</f>
        <v>485400000</v>
      </c>
      <c r="D339" s="5">
        <f>_xll.SNL.Clients.Office.Excel.Functions.SPG(A339, "IQ_DILUT_EPS_NORM", "CY2023")</f>
        <v>3.7029999999999998</v>
      </c>
      <c r="E339">
        <f t="shared" si="17"/>
        <v>1797436.2</v>
      </c>
      <c r="F339">
        <f t="shared" si="18"/>
        <v>0.10168219720540815</v>
      </c>
      <c r="H339" t="b">
        <f t="shared" si="19"/>
        <v>1</v>
      </c>
      <c r="K339" t="s">
        <v>868</v>
      </c>
      <c r="L339">
        <v>17677000</v>
      </c>
      <c r="M339">
        <v>485400000</v>
      </c>
      <c r="N339">
        <v>3.7029999999999998</v>
      </c>
      <c r="O339">
        <v>1797436.2</v>
      </c>
      <c r="P339">
        <v>0.10168219720540815</v>
      </c>
    </row>
    <row r="340" spans="1:16" x14ac:dyDescent="0.3">
      <c r="A340" t="s">
        <v>344</v>
      </c>
      <c r="B340" s="4" cm="1">
        <f t="array" ref="B340">_xll.SNL.Clients.Office.Excel.Functions.SPG(A340, "SP_TOTAL_REV", "CY2023")</f>
        <v>51628000</v>
      </c>
      <c r="C340" s="4">
        <f>_xll.SNL.Clients.Office.Excel.Functions.SPG(A340,"IQ_AVG_DILUT_SHARES_OUT","CY2023")</f>
        <v>2802500000</v>
      </c>
      <c r="D340" s="5">
        <f>_xll.SNL.Clients.Office.Excel.Functions.SPG(A340, "IQ_DILUT_EPS_NORM", "CY2023")</f>
        <v>2.524</v>
      </c>
      <c r="E340">
        <f t="shared" si="17"/>
        <v>7073510</v>
      </c>
      <c r="F340">
        <f t="shared" si="18"/>
        <v>0.13700918106453863</v>
      </c>
      <c r="H340" t="b">
        <f t="shared" si="19"/>
        <v>1</v>
      </c>
      <c r="K340" t="s">
        <v>869</v>
      </c>
      <c r="L340">
        <v>51628000</v>
      </c>
      <c r="M340">
        <v>2802500000</v>
      </c>
      <c r="N340">
        <v>2.524</v>
      </c>
      <c r="O340">
        <v>7073510</v>
      </c>
      <c r="P340">
        <v>0.13700918106453863</v>
      </c>
    </row>
    <row r="341" spans="1:16" x14ac:dyDescent="0.3">
      <c r="A341" t="s">
        <v>345</v>
      </c>
      <c r="B341" s="4" cm="1">
        <f t="array" ref="B341">_xll.SNL.Clients.Office.Excel.Functions.SPG(A341, "SP_TOTAL_REV", "CY2023")</f>
        <v>14209000</v>
      </c>
      <c r="C341" s="4">
        <f>_xll.SNL.Clients.Office.Excel.Functions.SPG(A341,"IQ_AVG_DILUT_SHARES_OUT","CY2023")</f>
        <v>414600000</v>
      </c>
      <c r="D341" s="5">
        <f>_xll.SNL.Clients.Office.Excel.Functions.SPG(A341, "IQ_DILUT_EPS_NORM", "CY2023")</f>
        <v>2.9649999999999999</v>
      </c>
      <c r="E341">
        <f t="shared" si="17"/>
        <v>1229289</v>
      </c>
      <c r="F341">
        <f t="shared" si="18"/>
        <v>8.6514814554155814E-2</v>
      </c>
      <c r="H341" t="b">
        <f t="shared" si="19"/>
        <v>1</v>
      </c>
      <c r="K341" t="s">
        <v>870</v>
      </c>
      <c r="L341">
        <v>14209000</v>
      </c>
      <c r="M341">
        <v>414600000</v>
      </c>
      <c r="N341">
        <v>2.9649999999999999</v>
      </c>
      <c r="O341">
        <v>1229289</v>
      </c>
      <c r="P341">
        <v>8.6514814554155814E-2</v>
      </c>
    </row>
    <row r="342" spans="1:16" x14ac:dyDescent="0.3">
      <c r="A342" t="s">
        <v>346</v>
      </c>
      <c r="B342" s="4" cm="1">
        <f t="array" ref="B342">_xll.SNL.Clients.Office.Excel.Functions.SPG(A342, "SP_TOTAL_REV", "CY2023")</f>
        <v>35127400</v>
      </c>
      <c r="C342" s="4">
        <f>_xll.SNL.Clients.Office.Excel.Functions.SPG(A342,"IQ_AVG_DILUT_SHARES_OUT","CY2023")</f>
        <v>525000000</v>
      </c>
      <c r="D342" s="5">
        <f>_xll.SNL.Clients.Office.Excel.Functions.SPG(A342, "IQ_DILUT_EPS_NORM", "CY2023")</f>
        <v>7.5220000000000002</v>
      </c>
      <c r="E342">
        <f t="shared" si="17"/>
        <v>3949050</v>
      </c>
      <c r="F342">
        <f t="shared" si="18"/>
        <v>0.11242078833047707</v>
      </c>
      <c r="H342" t="b">
        <f t="shared" si="19"/>
        <v>1</v>
      </c>
      <c r="K342" t="s">
        <v>871</v>
      </c>
      <c r="L342">
        <v>35127400</v>
      </c>
      <c r="M342">
        <v>525000000</v>
      </c>
      <c r="N342">
        <v>7.5220000000000002</v>
      </c>
      <c r="O342">
        <v>3949050</v>
      </c>
      <c r="P342">
        <v>0.11242078833047707</v>
      </c>
    </row>
    <row r="343" spans="1:16" x14ac:dyDescent="0.3">
      <c r="A343" t="s">
        <v>347</v>
      </c>
      <c r="B343" s="4" cm="1">
        <f t="array" ref="B343">_xll.SNL.Clients.Office.Excel.Functions.SPG(A343, "SP_TOTAL_REV", "CY2023")</f>
        <v>7802400</v>
      </c>
      <c r="C343" s="4">
        <f>_xll.SNL.Clients.Office.Excel.Functions.SPG(A343,"IQ_AVG_DILUT_SHARES_OUT","CY2023")</f>
        <v>89500000</v>
      </c>
      <c r="D343" s="5">
        <f>_xll.SNL.Clients.Office.Excel.Functions.SPG(A343, "IQ_DILUT_EPS_NORM", "CY2023")</f>
        <v>7.476</v>
      </c>
      <c r="E343">
        <f t="shared" si="17"/>
        <v>669102</v>
      </c>
      <c r="F343">
        <f t="shared" si="18"/>
        <v>8.5755921254998466E-2</v>
      </c>
      <c r="H343" t="b">
        <f t="shared" si="19"/>
        <v>1</v>
      </c>
      <c r="K343" t="s">
        <v>872</v>
      </c>
      <c r="L343">
        <v>7802400</v>
      </c>
      <c r="M343">
        <v>89500000</v>
      </c>
      <c r="N343">
        <v>7.476</v>
      </c>
      <c r="O343">
        <v>669102</v>
      </c>
      <c r="P343">
        <v>8.5755921254998466E-2</v>
      </c>
    </row>
    <row r="344" spans="1:16" x14ac:dyDescent="0.3">
      <c r="A344" t="s">
        <v>348</v>
      </c>
      <c r="B344" s="4" cm="1">
        <f t="array" ref="B344">_xll.SNL.Clients.Office.Excel.Functions.SPG(A344, "SP_TOTAL_REV", "CY2023")</f>
        <v>2225012</v>
      </c>
      <c r="C344" s="4">
        <f>_xll.SNL.Clients.Office.Excel.Functions.SPG(A344,"IQ_AVG_DILUT_SHARES_OUT","CY2023")</f>
        <v>2297927000</v>
      </c>
      <c r="D344" s="5">
        <f>_xll.SNL.Clients.Office.Excel.Functions.SPG(A344, "IQ_DILUT_EPS_NORM", "CY2023")</f>
        <v>6.0999999999999999E-2</v>
      </c>
      <c r="E344">
        <f t="shared" si="17"/>
        <v>140173.54699999999</v>
      </c>
      <c r="F344">
        <f t="shared" si="18"/>
        <v>6.2999007196365683E-2</v>
      </c>
      <c r="H344" t="b">
        <f t="shared" si="19"/>
        <v>1</v>
      </c>
      <c r="K344" t="s">
        <v>1040</v>
      </c>
      <c r="L344">
        <v>2225012</v>
      </c>
      <c r="M344">
        <v>2297927000</v>
      </c>
      <c r="N344">
        <v>6.0999999999999999E-2</v>
      </c>
      <c r="O344">
        <v>140173.54699999999</v>
      </c>
      <c r="P344">
        <v>6.2999007196365683E-2</v>
      </c>
    </row>
    <row r="345" spans="1:16" x14ac:dyDescent="0.3">
      <c r="A345" t="s">
        <v>349</v>
      </c>
      <c r="B345" s="4" cm="1">
        <f t="array" ref="B345">_xll.SNL.Clients.Office.Excel.Functions.SPG(A345, "SP_TOTAL_REV", "CY2023")</f>
        <v>7527400</v>
      </c>
      <c r="C345" s="4">
        <f>_xll.SNL.Clients.Office.Excel.Functions.SPG(A345,"IQ_AVG_DILUT_SHARES_OUT","CY2023")</f>
        <v>703300000</v>
      </c>
      <c r="D345" s="5">
        <f>_xll.SNL.Clients.Office.Excel.Functions.SPG(A345, "IQ_DILUT_EPS_NORM", "CY2023")</f>
        <v>0.92600000000000005</v>
      </c>
      <c r="E345">
        <f t="shared" si="17"/>
        <v>651255.80000000005</v>
      </c>
      <c r="F345">
        <f t="shared" si="18"/>
        <v>8.6518027472965442E-2</v>
      </c>
      <c r="H345" t="b">
        <f t="shared" si="19"/>
        <v>1</v>
      </c>
      <c r="K345" t="s">
        <v>873</v>
      </c>
      <c r="L345">
        <v>7527400</v>
      </c>
      <c r="M345">
        <v>703300000</v>
      </c>
      <c r="N345">
        <v>0.92600000000000005</v>
      </c>
      <c r="O345">
        <v>651255.80000000005</v>
      </c>
      <c r="P345">
        <v>8.6518027472965442E-2</v>
      </c>
    </row>
    <row r="346" spans="1:16" x14ac:dyDescent="0.3">
      <c r="A346" t="s">
        <v>350</v>
      </c>
      <c r="B346" s="4" cm="1">
        <f t="array" ref="B346">_xll.SNL.Clients.Office.Excel.Functions.SPG(A346, "SP_TOTAL_REV", "CY2023")</f>
        <v>29652000</v>
      </c>
      <c r="C346" s="4">
        <f>_xll.SNL.Clients.Office.Excel.Functions.SPG(A346,"IQ_AVG_DILUT_SHARES_OUT","CY2023")</f>
        <v>652000000</v>
      </c>
      <c r="D346" s="5">
        <f>_xll.SNL.Clients.Office.Excel.Functions.SPG(A346, "IQ_DILUT_EPS_NORM", "CY2023")</f>
        <v>0.57299999999999995</v>
      </c>
      <c r="E346">
        <f t="shared" si="17"/>
        <v>373595.99999999994</v>
      </c>
      <c r="F346">
        <f t="shared" si="18"/>
        <v>1.25993524888709E-2</v>
      </c>
      <c r="H346" t="b">
        <f t="shared" si="19"/>
        <v>1</v>
      </c>
      <c r="K346" t="s">
        <v>874</v>
      </c>
      <c r="L346">
        <v>29652000</v>
      </c>
      <c r="M346">
        <v>652000000</v>
      </c>
      <c r="N346">
        <v>0.57299999999999995</v>
      </c>
      <c r="O346">
        <v>373595.99999999994</v>
      </c>
      <c r="P346">
        <v>1.25993524888709E-2</v>
      </c>
    </row>
    <row r="347" spans="1:16" x14ac:dyDescent="0.3">
      <c r="A347" t="s">
        <v>351</v>
      </c>
      <c r="B347" s="4" cm="1">
        <f t="array" ref="B347">_xll.SNL.Clients.Office.Excel.Functions.SPG(A347, "SP_TOTAL_REV", "CY2023")</f>
        <v>19826043</v>
      </c>
      <c r="C347" s="4">
        <f>_xll.SNL.Clients.Office.Excel.Functions.SPG(A347,"IQ_AVG_DILUT_SHARES_OUT","CY2023")</f>
        <v>130023935</v>
      </c>
      <c r="D347" s="5">
        <f>_xll.SNL.Clients.Office.Excel.Functions.SPG(A347, "IQ_DILUT_EPS_NORM", "CY2023")</f>
        <v>17.509</v>
      </c>
      <c r="E347">
        <f t="shared" si="17"/>
        <v>2276589.0779149998</v>
      </c>
      <c r="F347">
        <f t="shared" si="18"/>
        <v>0.11482821246352587</v>
      </c>
      <c r="H347" t="b">
        <f t="shared" si="19"/>
        <v>1</v>
      </c>
      <c r="K347" t="s">
        <v>875</v>
      </c>
      <c r="L347">
        <v>19826043</v>
      </c>
      <c r="M347">
        <v>130023935</v>
      </c>
      <c r="N347">
        <v>17.509</v>
      </c>
      <c r="O347">
        <v>2276589.0779149998</v>
      </c>
      <c r="P347">
        <v>0.11482821246352587</v>
      </c>
    </row>
    <row r="348" spans="1:16" x14ac:dyDescent="0.3">
      <c r="A348" t="s">
        <v>352</v>
      </c>
      <c r="B348" s="4" cm="1">
        <f t="array" ref="B348">_xll.SNL.Clients.Office.Excel.Functions.SPG(A348, "SP_TOTAL_REV", "CY2023")</f>
        <v>5154500</v>
      </c>
      <c r="C348" s="4">
        <f>_xll.SNL.Clients.Office.Excel.Functions.SPG(A348,"IQ_AVG_DILUT_SHARES_OUT","CY2023")</f>
        <v>362350000</v>
      </c>
      <c r="D348" s="5">
        <f>_xll.SNL.Clients.Office.Excel.Functions.SPG(A348, "IQ_DILUT_EPS_NORM", "CY2023")</f>
        <v>3.722</v>
      </c>
      <c r="E348">
        <f t="shared" si="17"/>
        <v>1348666.7</v>
      </c>
      <c r="F348">
        <f t="shared" si="18"/>
        <v>0.26164840430691627</v>
      </c>
      <c r="H348" t="b">
        <f t="shared" si="19"/>
        <v>1</v>
      </c>
      <c r="K348" t="s">
        <v>876</v>
      </c>
      <c r="L348">
        <v>5154500</v>
      </c>
      <c r="M348">
        <v>362350000</v>
      </c>
      <c r="N348">
        <v>3.722</v>
      </c>
      <c r="O348">
        <v>1348666.7</v>
      </c>
      <c r="P348">
        <v>0.26164840430691627</v>
      </c>
    </row>
    <row r="349" spans="1:16" x14ac:dyDescent="0.3">
      <c r="A349" t="s">
        <v>353</v>
      </c>
      <c r="B349" s="4" cm="1">
        <f t="array" ref="B349">_xll.SNL.Clients.Office.Excel.Functions.SPG(A349, "SP_TOTAL_REV", "CY2023")</f>
        <v>1693674</v>
      </c>
      <c r="C349" s="4">
        <f>_xll.SNL.Clients.Office.Excel.Functions.SPG(A349,"IQ_AVG_DILUT_SHARES_OUT","CY2023")</f>
        <v>57974000</v>
      </c>
      <c r="D349" s="5">
        <f>_xll.SNL.Clients.Office.Excel.Functions.SPG(A349, "IQ_DILUT_EPS_NORM", "CY2023")</f>
        <v>5.093</v>
      </c>
      <c r="E349">
        <f t="shared" si="17"/>
        <v>295261.58199999999</v>
      </c>
      <c r="F349">
        <f t="shared" si="18"/>
        <v>0.17433200367957469</v>
      </c>
      <c r="H349" t="b">
        <f t="shared" si="19"/>
        <v>1</v>
      </c>
      <c r="K349" t="s">
        <v>877</v>
      </c>
      <c r="L349">
        <v>1693674</v>
      </c>
      <c r="M349">
        <v>57974000</v>
      </c>
      <c r="N349">
        <v>5.093</v>
      </c>
      <c r="O349">
        <v>295261.58199999999</v>
      </c>
      <c r="P349">
        <v>0.17433200367957469</v>
      </c>
    </row>
    <row r="350" spans="1:16" x14ac:dyDescent="0.3">
      <c r="A350" t="s">
        <v>354</v>
      </c>
      <c r="B350" s="4" cm="1">
        <f t="array" ref="B350">_xll.SNL.Clients.Office.Excel.Functions.SPG(A350, "SP_TOTAL_REV", "CY2023")</f>
        <v>29771000</v>
      </c>
      <c r="C350" s="4">
        <f>_xll.SNL.Clients.Office.Excel.Functions.SPG(A350,"IQ_AVG_DILUT_SHARES_OUT","CY2023")</f>
        <v>1107000000</v>
      </c>
      <c r="D350" s="5">
        <f>_xll.SNL.Clients.Office.Excel.Functions.SPG(A350, "IQ_DILUT_EPS_NORM", "CY2023")</f>
        <v>2.8119999999999998</v>
      </c>
      <c r="E350">
        <f t="shared" si="17"/>
        <v>3112884</v>
      </c>
      <c r="F350">
        <f t="shared" si="18"/>
        <v>0.10456094857411576</v>
      </c>
      <c r="H350" t="b">
        <f t="shared" si="19"/>
        <v>1</v>
      </c>
      <c r="K350" t="s">
        <v>878</v>
      </c>
      <c r="L350">
        <v>29771000</v>
      </c>
      <c r="M350">
        <v>1107000000</v>
      </c>
      <c r="N350">
        <v>2.8119999999999998</v>
      </c>
      <c r="O350">
        <v>3112884</v>
      </c>
      <c r="P350">
        <v>0.10456094857411576</v>
      </c>
    </row>
    <row r="351" spans="1:16" x14ac:dyDescent="0.3">
      <c r="A351" t="s">
        <v>355</v>
      </c>
      <c r="B351" s="4" cm="1">
        <f t="array" ref="B351">_xll.SNL.Clients.Office.Excel.Functions.SPG(A351, "SP_TOTAL_REV", "CY2023")</f>
        <v>4104500</v>
      </c>
      <c r="C351" s="4">
        <f>_xll.SNL.Clients.Office.Excel.Functions.SPG(A351,"IQ_AVG_DILUT_SHARES_OUT","CY2023")</f>
        <v>166300000</v>
      </c>
      <c r="D351" s="5">
        <f>_xll.SNL.Clients.Office.Excel.Functions.SPG(A351, "IQ_DILUT_EPS_NORM", "CY2023")</f>
        <v>2.5270000000000001</v>
      </c>
      <c r="E351">
        <f t="shared" si="17"/>
        <v>420240.1</v>
      </c>
      <c r="F351">
        <f t="shared" si="18"/>
        <v>0.10238521135339261</v>
      </c>
      <c r="H351" t="b">
        <f t="shared" si="19"/>
        <v>1</v>
      </c>
      <c r="K351" t="s">
        <v>879</v>
      </c>
      <c r="L351">
        <v>4104500</v>
      </c>
      <c r="M351">
        <v>166300000</v>
      </c>
      <c r="N351">
        <v>2.5270000000000001</v>
      </c>
      <c r="O351">
        <v>420240.1</v>
      </c>
      <c r="P351">
        <v>0.10238521135339261</v>
      </c>
    </row>
    <row r="352" spans="1:16" x14ac:dyDescent="0.3">
      <c r="A352" t="s">
        <v>356</v>
      </c>
      <c r="B352" s="4" cm="1">
        <f t="array" ref="B352">_xll.SNL.Clients.Office.Excel.Functions.SPG(A352, "SP_TOTAL_REV", "CY2023")</f>
        <v>91471000</v>
      </c>
      <c r="C352" s="4">
        <f>_xll.SNL.Clients.Office.Excel.Functions.SPG(A352,"IQ_AVG_DILUT_SHARES_OUT","CY2023")</f>
        <v>1383000000</v>
      </c>
      <c r="D352" s="5">
        <f>_xll.SNL.Clients.Office.Excel.Functions.SPG(A352, "IQ_DILUT_EPS_NORM", "CY2023")</f>
        <v>5.69</v>
      </c>
      <c r="E352">
        <f t="shared" si="17"/>
        <v>7869270.0000000009</v>
      </c>
      <c r="F352">
        <f t="shared" si="18"/>
        <v>8.6030217227317962E-2</v>
      </c>
      <c r="H352" t="b">
        <f t="shared" si="19"/>
        <v>1</v>
      </c>
      <c r="K352" t="s">
        <v>880</v>
      </c>
      <c r="L352">
        <v>91471000</v>
      </c>
      <c r="M352">
        <v>1383000000</v>
      </c>
      <c r="N352">
        <v>5.69</v>
      </c>
      <c r="O352">
        <v>7869270.0000000009</v>
      </c>
      <c r="P352">
        <v>8.6030217227317962E-2</v>
      </c>
    </row>
    <row r="353" spans="1:16" x14ac:dyDescent="0.3">
      <c r="A353" t="s">
        <v>357</v>
      </c>
      <c r="B353" s="4" cm="1">
        <f t="array" ref="B353">_xll.SNL.Clients.Office.Excel.Functions.SPG(A353, "SP_TOTAL_REV", "CY2023")</f>
        <v>58496000</v>
      </c>
      <c r="C353" s="4">
        <f>_xll.SNL.Clients.Office.Excel.Functions.SPG(A353,"IQ_AVG_DILUT_SHARES_OUT","CY2023")</f>
        <v>5709000000</v>
      </c>
      <c r="D353" s="5">
        <f>_xll.SNL.Clients.Office.Excel.Functions.SPG(A353, "IQ_DILUT_EPS_NORM", "CY2023")</f>
        <v>0.77</v>
      </c>
      <c r="E353">
        <f t="shared" si="17"/>
        <v>4395930</v>
      </c>
      <c r="F353">
        <f t="shared" si="18"/>
        <v>7.5149240973741788E-2</v>
      </c>
      <c r="H353" t="b">
        <f t="shared" si="19"/>
        <v>1</v>
      </c>
      <c r="K353" t="s">
        <v>881</v>
      </c>
      <c r="L353">
        <v>58496000</v>
      </c>
      <c r="M353">
        <v>5709000000</v>
      </c>
      <c r="N353">
        <v>0.77</v>
      </c>
      <c r="O353">
        <v>4395930</v>
      </c>
      <c r="P353">
        <v>7.5149240973741788E-2</v>
      </c>
    </row>
    <row r="354" spans="1:16" x14ac:dyDescent="0.3">
      <c r="A354" t="s">
        <v>358</v>
      </c>
      <c r="B354" s="4" cm="1">
        <f t="array" ref="B354">_xll.SNL.Clients.Office.Excel.Functions.SPG(A354, "SP_TOTAL_REV", "CY2023")</f>
        <v>24428000</v>
      </c>
      <c r="C354" s="4">
        <f>_xll.SNL.Clients.Office.Excel.Functions.SPG(A354,"IQ_AVG_DILUT_SHARES_OUT","CY2023")</f>
        <v>2138000000</v>
      </c>
      <c r="D354" s="5">
        <f>_xll.SNL.Clients.Office.Excel.Functions.SPG(A354, "IQ_DILUT_EPS_NORM", "CY2023")</f>
        <v>0.38500000000000001</v>
      </c>
      <c r="E354">
        <f t="shared" si="17"/>
        <v>823130</v>
      </c>
      <c r="F354">
        <f t="shared" si="18"/>
        <v>3.3696168331422957E-2</v>
      </c>
      <c r="H354" t="b">
        <f t="shared" si="19"/>
        <v>1</v>
      </c>
      <c r="K354" t="s">
        <v>882</v>
      </c>
      <c r="L354">
        <v>24428000</v>
      </c>
      <c r="M354">
        <v>2138000000</v>
      </c>
      <c r="N354">
        <v>0.38500000000000001</v>
      </c>
      <c r="O354">
        <v>823130</v>
      </c>
      <c r="P354">
        <v>3.3696168331422957E-2</v>
      </c>
    </row>
    <row r="355" spans="1:16" x14ac:dyDescent="0.3">
      <c r="A355" t="s">
        <v>359</v>
      </c>
      <c r="B355" s="4" cm="1">
        <f t="array" ref="B355">_xll.SNL.Clients.Office.Excel.Functions.SPG(A355, "SP_TOTAL_REV", "CY2023")</f>
        <v>35174000</v>
      </c>
      <c r="C355" s="4">
        <f>_xll.SNL.Clients.Office.Excel.Functions.SPG(A355,"IQ_AVG_DILUT_SHARES_OUT","CY2023")</f>
        <v>1553000000</v>
      </c>
      <c r="D355" s="5">
        <f>_xll.SNL.Clients.Office.Excel.Functions.SPG(A355, "IQ_DILUT_EPS_NORM", "CY2023")</f>
        <v>4.4530000000000003</v>
      </c>
      <c r="E355">
        <f t="shared" si="17"/>
        <v>6915509</v>
      </c>
      <c r="F355">
        <f t="shared" si="18"/>
        <v>0.19660854608517656</v>
      </c>
      <c r="H355" t="b">
        <f t="shared" si="19"/>
        <v>1</v>
      </c>
      <c r="K355" t="s">
        <v>883</v>
      </c>
      <c r="L355">
        <v>35174000</v>
      </c>
      <c r="M355">
        <v>1553000000</v>
      </c>
      <c r="N355">
        <v>4.4530000000000003</v>
      </c>
      <c r="O355">
        <v>6915509</v>
      </c>
      <c r="P355">
        <v>0.19660854608517656</v>
      </c>
    </row>
    <row r="356" spans="1:16" x14ac:dyDescent="0.3">
      <c r="A356" t="s">
        <v>360</v>
      </c>
      <c r="B356" s="4" cm="1">
        <f t="array" ref="B356">_xll.SNL.Clients.Office.Excel.Functions.SPG(A356, "SP_TOTAL_REV", "CY2023")</f>
        <v>147399000</v>
      </c>
      <c r="C356" s="4">
        <f>_xll.SNL.Clients.Office.Excel.Functions.SPG(A356,"IQ_AVG_DILUT_SHARES_OUT","CY2023")</f>
        <v>453210000</v>
      </c>
      <c r="D356" s="5">
        <f>_xll.SNL.Clients.Office.Excel.Functions.SPG(A356, "IQ_DILUT_EPS_NORM", "CY2023")</f>
        <v>12.564</v>
      </c>
      <c r="E356">
        <f t="shared" si="17"/>
        <v>5694130.4400000004</v>
      </c>
      <c r="F356">
        <f t="shared" si="18"/>
        <v>3.8630726395701469E-2</v>
      </c>
      <c r="H356" t="b">
        <f t="shared" si="19"/>
        <v>1</v>
      </c>
      <c r="K356" t="s">
        <v>884</v>
      </c>
      <c r="L356">
        <v>147399000</v>
      </c>
      <c r="M356">
        <v>453210000</v>
      </c>
      <c r="N356">
        <v>12.564</v>
      </c>
      <c r="O356">
        <v>5694130.4400000004</v>
      </c>
      <c r="P356">
        <v>3.8630726395701469E-2</v>
      </c>
    </row>
    <row r="357" spans="1:16" x14ac:dyDescent="0.3">
      <c r="A357" t="s">
        <v>361</v>
      </c>
      <c r="B357" s="4" cm="1">
        <f t="array" ref="B357">_xll.SNL.Clients.Office.Excel.Functions.SPG(A357, "SP_TOTAL_REV", "CY2023")</f>
        <v>4695991</v>
      </c>
      <c r="C357" s="4">
        <f>_xll.SNL.Clients.Office.Excel.Functions.SPG(A357,"IQ_AVG_DILUT_SHARES_OUT","CY2023")</f>
        <v>113804000</v>
      </c>
      <c r="D357" s="5">
        <f>_xll.SNL.Clients.Office.Excel.Functions.SPG(A357, "IQ_DILUT_EPS_NORM", "CY2023")</f>
        <v>3.105</v>
      </c>
      <c r="E357">
        <f t="shared" si="17"/>
        <v>353361.42</v>
      </c>
      <c r="F357">
        <f t="shared" si="18"/>
        <v>7.5247465337987235E-2</v>
      </c>
      <c r="H357" t="b">
        <f t="shared" si="19"/>
        <v>1</v>
      </c>
      <c r="K357" t="s">
        <v>885</v>
      </c>
      <c r="L357">
        <v>4695991</v>
      </c>
      <c r="M357">
        <v>113804000</v>
      </c>
      <c r="N357">
        <v>3.105</v>
      </c>
      <c r="O357">
        <v>353361.42</v>
      </c>
      <c r="P357">
        <v>7.5247465337987235E-2</v>
      </c>
    </row>
    <row r="358" spans="1:16" x14ac:dyDescent="0.3">
      <c r="A358" t="s">
        <v>362</v>
      </c>
      <c r="B358" s="4" cm="1">
        <f t="array" ref="B358">_xll.SNL.Clients.Office.Excel.Functions.SPG(A358, "SP_TOTAL_REV", "CY2023")</f>
        <v>5541595</v>
      </c>
      <c r="C358" s="4">
        <f>_xll.SNL.Clients.Office.Excel.Functions.SPG(A358,"IQ_AVG_DILUT_SHARES_OUT","CY2023")</f>
        <v>38997000</v>
      </c>
      <c r="D358" s="5">
        <f>_xll.SNL.Clients.Office.Excel.Functions.SPG(A358, "IQ_DILUT_EPS_NORM", "CY2023")</f>
        <v>11.04</v>
      </c>
      <c r="E358">
        <f t="shared" si="17"/>
        <v>430526.87999999995</v>
      </c>
      <c r="F358">
        <f t="shared" si="18"/>
        <v>7.7690065766264041E-2</v>
      </c>
      <c r="H358" t="b">
        <f t="shared" si="19"/>
        <v>1</v>
      </c>
      <c r="K358" t="s">
        <v>887</v>
      </c>
      <c r="L358">
        <v>5541595</v>
      </c>
      <c r="M358">
        <v>38997000</v>
      </c>
      <c r="N358">
        <v>11.04</v>
      </c>
      <c r="O358">
        <v>430526.87999999995</v>
      </c>
      <c r="P358">
        <v>7.7690065766264041E-2</v>
      </c>
    </row>
    <row r="359" spans="1:16" x14ac:dyDescent="0.3">
      <c r="A359" t="s">
        <v>363</v>
      </c>
      <c r="B359" s="4" cm="1">
        <f t="array" ref="B359">_xll.SNL.Clients.Office.Excel.Functions.SPG(A359, "SP_TOTAL_REV", "CY2023")</f>
        <v>18246000</v>
      </c>
      <c r="C359" s="4">
        <f>_xll.SNL.Clients.Office.Excel.Functions.SPG(A359,"IQ_AVG_DILUT_SHARES_OUT","CY2023")</f>
        <v>237200000</v>
      </c>
      <c r="D359" s="5">
        <f>_xll.SNL.Clients.Office.Excel.Functions.SPG(A359, "IQ_DILUT_EPS_NORM", "CY2023")</f>
        <v>5.4290000000000003</v>
      </c>
      <c r="E359">
        <f t="shared" si="17"/>
        <v>1287758.8</v>
      </c>
      <c r="F359">
        <f t="shared" si="18"/>
        <v>7.0577595089334658E-2</v>
      </c>
      <c r="H359" t="b">
        <f t="shared" si="19"/>
        <v>1</v>
      </c>
      <c r="K359" t="s">
        <v>888</v>
      </c>
      <c r="L359">
        <v>18246000</v>
      </c>
      <c r="M359">
        <v>237200000</v>
      </c>
      <c r="N359">
        <v>5.4290000000000003</v>
      </c>
      <c r="O359">
        <v>1287758.8</v>
      </c>
      <c r="P359">
        <v>7.0577595089334658E-2</v>
      </c>
    </row>
    <row r="360" spans="1:16" x14ac:dyDescent="0.3">
      <c r="A360" t="s">
        <v>364</v>
      </c>
      <c r="B360" s="4" cm="1">
        <f t="array" ref="B360">_xll.SNL.Clients.Office.Excel.Functions.SPG(A360, "SP_TOTAL_REV", "CY2023")</f>
        <v>8312000</v>
      </c>
      <c r="C360" s="4">
        <f>_xll.SNL.Clients.Office.Excel.Functions.SPG(A360,"IQ_AVG_DILUT_SHARES_OUT","CY2023")</f>
        <v>738166000</v>
      </c>
      <c r="D360" s="5">
        <f>_xll.SNL.Clients.Office.Excel.Functions.SPG(A360, "IQ_DILUT_EPS_NORM", "CY2023")</f>
        <v>0.997</v>
      </c>
      <c r="E360">
        <f t="shared" si="17"/>
        <v>735951.50199999998</v>
      </c>
      <c r="F360">
        <f t="shared" si="18"/>
        <v>8.854084480269489E-2</v>
      </c>
      <c r="H360" t="b">
        <f t="shared" si="19"/>
        <v>1</v>
      </c>
      <c r="K360" t="s">
        <v>889</v>
      </c>
      <c r="L360">
        <v>8312000</v>
      </c>
      <c r="M360">
        <v>738166000</v>
      </c>
      <c r="N360">
        <v>0.997</v>
      </c>
      <c r="O360">
        <v>735951.50199999998</v>
      </c>
      <c r="P360">
        <v>8.854084480269489E-2</v>
      </c>
    </row>
    <row r="361" spans="1:16" x14ac:dyDescent="0.3">
      <c r="A361" t="s">
        <v>365</v>
      </c>
      <c r="B361" s="4" cm="1">
        <f t="array" ref="B361">_xll.SNL.Clients.Office.Excel.Functions.SPG(A361, "SP_TOTAL_REV", "CY2023")</f>
        <v>13665800</v>
      </c>
      <c r="C361" s="4">
        <f>_xll.SNL.Clients.Office.Excel.Functions.SPG(A361,"IQ_AVG_DILUT_SHARES_OUT","CY2023")</f>
        <v>244600000</v>
      </c>
      <c r="D361" s="5">
        <f>_xll.SNL.Clients.Office.Excel.Functions.SPG(A361, "IQ_DILUT_EPS_NORM", "CY2023")</f>
        <v>1.696</v>
      </c>
      <c r="E361">
        <f t="shared" si="17"/>
        <v>414841.59999999998</v>
      </c>
      <c r="F361">
        <f t="shared" si="18"/>
        <v>3.0356188441218221E-2</v>
      </c>
      <c r="H361" t="b">
        <f t="shared" si="19"/>
        <v>1</v>
      </c>
      <c r="K361" t="s">
        <v>890</v>
      </c>
      <c r="L361">
        <v>13665800</v>
      </c>
      <c r="M361">
        <v>244600000</v>
      </c>
      <c r="N361">
        <v>1.696</v>
      </c>
      <c r="O361">
        <v>414841.59999999998</v>
      </c>
      <c r="P361">
        <v>3.0356188441218221E-2</v>
      </c>
    </row>
    <row r="362" spans="1:16" x14ac:dyDescent="0.3">
      <c r="A362" t="s">
        <v>366</v>
      </c>
      <c r="B362" s="4" cm="1">
        <f t="array" ref="B362">_xll.SNL.Clients.Office.Excel.Functions.SPG(A362, "SP_TOTAL_REV", "CY2023")</f>
        <v>8028436</v>
      </c>
      <c r="C362" s="4">
        <f>_xll.SNL.Clients.Office.Excel.Functions.SPG(A362,"IQ_AVG_DILUT_SHARES_OUT","CY2023")</f>
        <v>951791000</v>
      </c>
      <c r="D362" s="5">
        <f>_xll.SNL.Clients.Office.Excel.Functions.SPG(A362, "IQ_DILUT_EPS_NORM", "CY2023")</f>
        <v>1.66</v>
      </c>
      <c r="E362">
        <f t="shared" si="17"/>
        <v>1579973.06</v>
      </c>
      <c r="F362">
        <f t="shared" si="18"/>
        <v>0.19679711714710063</v>
      </c>
      <c r="H362" t="b">
        <f t="shared" si="19"/>
        <v>1</v>
      </c>
      <c r="K362" t="s">
        <v>893</v>
      </c>
      <c r="L362">
        <v>8028436</v>
      </c>
      <c r="M362">
        <v>951791000</v>
      </c>
      <c r="N362">
        <v>1.66</v>
      </c>
      <c r="O362">
        <v>1579973.06</v>
      </c>
      <c r="P362">
        <v>0.19679711714710063</v>
      </c>
    </row>
    <row r="363" spans="1:16" x14ac:dyDescent="0.3">
      <c r="A363" t="s">
        <v>367</v>
      </c>
      <c r="B363" s="4" cm="1">
        <f t="array" ref="B363">_xll.SNL.Clients.Office.Excel.Functions.SPG(A363, "SP_TOTAL_REV", "CY2023")</f>
        <v>53979000</v>
      </c>
      <c r="C363" s="4">
        <f>_xll.SNL.Clients.Office.Excel.Functions.SPG(A363,"IQ_AVG_DILUT_SHARES_OUT","CY2023")</f>
        <v>364600000</v>
      </c>
      <c r="D363" s="5">
        <f>_xll.SNL.Clients.Office.Excel.Functions.SPG(A363, "IQ_DILUT_EPS_NORM", "CY2023")</f>
        <v>5.65</v>
      </c>
      <c r="E363">
        <f t="shared" si="17"/>
        <v>2059990.0000000002</v>
      </c>
      <c r="F363">
        <f t="shared" si="18"/>
        <v>3.8162804053428187E-2</v>
      </c>
      <c r="H363" t="b">
        <f t="shared" si="19"/>
        <v>1</v>
      </c>
      <c r="K363" t="s">
        <v>894</v>
      </c>
      <c r="L363">
        <v>53979000</v>
      </c>
      <c r="M363">
        <v>364600000</v>
      </c>
      <c r="N363">
        <v>5.65</v>
      </c>
      <c r="O363">
        <v>2059990.0000000002</v>
      </c>
      <c r="P363">
        <v>3.8162804053428187E-2</v>
      </c>
    </row>
    <row r="364" spans="1:16" x14ac:dyDescent="0.3">
      <c r="A364" t="s">
        <v>368</v>
      </c>
      <c r="B364" s="4" cm="1">
        <f t="array" ref="B364">_xll.SNL.Clients.Office.Excel.Functions.SPG(A364, "SP_TOTAL_REV", "CY2023")</f>
        <v>2181357</v>
      </c>
      <c r="C364" s="4">
        <f>_xll.SNL.Clients.Office.Excel.Functions.SPG(A364,"IQ_AVG_DILUT_SHARES_OUT","CY2023")</f>
        <v>119699500</v>
      </c>
      <c r="D364" s="5">
        <f>_xll.SNL.Clients.Office.Excel.Functions.SPG(A364, "IQ_DILUT_EPS_NORM", "CY2023")</f>
        <v>1.8080000000000001</v>
      </c>
      <c r="E364">
        <f t="shared" si="17"/>
        <v>216416.696</v>
      </c>
      <c r="F364">
        <f t="shared" si="18"/>
        <v>9.9211956593991721E-2</v>
      </c>
      <c r="H364" t="b">
        <f t="shared" si="19"/>
        <v>1</v>
      </c>
      <c r="K364" t="s">
        <v>896</v>
      </c>
      <c r="L364">
        <v>2181357</v>
      </c>
      <c r="M364">
        <v>119699500</v>
      </c>
      <c r="N364">
        <v>1.8080000000000001</v>
      </c>
      <c r="O364">
        <v>216416.696</v>
      </c>
      <c r="P364">
        <v>9.9211956593991721E-2</v>
      </c>
    </row>
    <row r="365" spans="1:16" x14ac:dyDescent="0.3">
      <c r="A365" t="s">
        <v>369</v>
      </c>
      <c r="B365" s="4" cm="1">
        <f t="array" ref="B365">_xll.SNL.Clients.Office.Excel.Functions.SPG(A365, "SP_TOTAL_REV", "CY2023")</f>
        <v>11237000</v>
      </c>
      <c r="C365" s="4">
        <f>_xll.SNL.Clients.Office.Excel.Functions.SPG(A365,"IQ_AVG_DILUT_SHARES_OUT","CY2023")</f>
        <v>500000000</v>
      </c>
      <c r="D365" s="5">
        <f>_xll.SNL.Clients.Office.Excel.Functions.SPG(A365, "IQ_DILUT_EPS_NORM", "CY2023")</f>
        <v>3.6240000000000001</v>
      </c>
      <c r="E365">
        <f t="shared" si="17"/>
        <v>1812000</v>
      </c>
      <c r="F365">
        <f t="shared" si="18"/>
        <v>0.16125300347067723</v>
      </c>
      <c r="H365" t="b">
        <f t="shared" si="19"/>
        <v>1</v>
      </c>
      <c r="K365" t="s">
        <v>895</v>
      </c>
      <c r="L365">
        <v>11237000</v>
      </c>
      <c r="M365">
        <v>500000000</v>
      </c>
      <c r="N365">
        <v>3.6240000000000001</v>
      </c>
      <c r="O365">
        <v>1812000</v>
      </c>
      <c r="P365">
        <v>0.16125300347067723</v>
      </c>
    </row>
    <row r="366" spans="1:16" x14ac:dyDescent="0.3">
      <c r="A366" t="s">
        <v>370</v>
      </c>
      <c r="B366" s="4" t="str" cm="1">
        <f t="array" ref="B366">_xll.SNL.Clients.Office.Excel.Functions.SPG(A366, "SP_TOTAL_REV", "CY2023")</f>
        <v>NA</v>
      </c>
      <c r="C366" s="4">
        <f>_xll.SNL.Clients.Office.Excel.Functions.SPG(A366,"IQ_AVG_DILUT_SHARES_OUT","CY2023")</f>
        <v>176143000</v>
      </c>
      <c r="D366" s="5">
        <f>_xll.SNL.Clients.Office.Excel.Functions.SPG(A366, "IQ_DILUT_EPS_NORM", "CY2023")</f>
        <v>7.6070000000000002</v>
      </c>
      <c r="E366">
        <f t="shared" si="17"/>
        <v>1339919.801</v>
      </c>
      <c r="F366" t="e">
        <f t="shared" si="18"/>
        <v>#VALUE!</v>
      </c>
      <c r="H366" t="b">
        <f t="shared" si="19"/>
        <v>1</v>
      </c>
      <c r="K366" t="s">
        <v>897</v>
      </c>
      <c r="L366" t="s">
        <v>1049</v>
      </c>
      <c r="M366">
        <v>176143000</v>
      </c>
      <c r="N366">
        <v>7.6070000000000002</v>
      </c>
      <c r="O366">
        <v>1339919.801</v>
      </c>
      <c r="P366" t="e">
        <v>#VALUE!</v>
      </c>
    </row>
    <row r="367" spans="1:16" x14ac:dyDescent="0.3">
      <c r="A367" t="s">
        <v>371</v>
      </c>
      <c r="B367" s="4" cm="1">
        <f t="array" ref="B367">_xll.SNL.Clients.Office.Excel.Functions.SPG(A367, "SP_TOTAL_REV", "CY2023")</f>
        <v>16061578</v>
      </c>
      <c r="C367" s="4">
        <f>_xll.SNL.Clients.Office.Excel.Functions.SPG(A367,"IQ_AVG_DILUT_SHARES_OUT","CY2023")</f>
        <v>221163000</v>
      </c>
      <c r="D367" s="5">
        <f>_xll.SNL.Clients.Office.Excel.Functions.SPG(A367, "IQ_DILUT_EPS_NORM", "CY2023")</f>
        <v>9.8670000000000009</v>
      </c>
      <c r="E367">
        <f t="shared" si="17"/>
        <v>2182215.321</v>
      </c>
      <c r="F367">
        <f t="shared" si="18"/>
        <v>0.13586556196408597</v>
      </c>
      <c r="H367" t="b">
        <f t="shared" si="19"/>
        <v>1</v>
      </c>
      <c r="K367" t="s">
        <v>898</v>
      </c>
      <c r="L367">
        <v>16061578</v>
      </c>
      <c r="M367">
        <v>221163000</v>
      </c>
      <c r="N367">
        <v>9.8670000000000009</v>
      </c>
      <c r="O367">
        <v>2182215.321</v>
      </c>
      <c r="P367">
        <v>0.13586556196408597</v>
      </c>
    </row>
    <row r="368" spans="1:16" x14ac:dyDescent="0.3">
      <c r="A368" t="s">
        <v>372</v>
      </c>
      <c r="B368" s="4" cm="1">
        <f t="array" ref="B368">_xll.SNL.Clients.Office.Excel.Functions.SPG(A368, "SP_TOTAL_REV", "CY2023")</f>
        <v>36292000</v>
      </c>
      <c r="C368" s="4">
        <f>_xll.SNL.Clients.Office.Excel.Functions.SPG(A368,"IQ_AVG_DILUT_SHARES_OUT","CY2023")</f>
        <v>1125000000</v>
      </c>
      <c r="D368" s="5">
        <f>_xll.SNL.Clients.Office.Excel.Functions.SPG(A368, "IQ_DILUT_EPS_NORM", "CY2023")</f>
        <v>4.8979999999999997</v>
      </c>
      <c r="E368">
        <f t="shared" si="17"/>
        <v>5510250</v>
      </c>
      <c r="F368">
        <f t="shared" si="18"/>
        <v>0.15183098203460818</v>
      </c>
      <c r="H368" t="b">
        <f t="shared" si="19"/>
        <v>1</v>
      </c>
      <c r="K368" t="s">
        <v>901</v>
      </c>
      <c r="L368">
        <v>36292000</v>
      </c>
      <c r="M368">
        <v>1125000000</v>
      </c>
      <c r="N368">
        <v>4.8979999999999997</v>
      </c>
      <c r="O368">
        <v>5510250</v>
      </c>
      <c r="P368">
        <v>0.15183098203460818</v>
      </c>
    </row>
    <row r="369" spans="1:16" x14ac:dyDescent="0.3">
      <c r="A369" t="s">
        <v>373</v>
      </c>
      <c r="B369" s="4" cm="1">
        <f t="array" ref="B369">_xll.SNL.Clients.Office.Excel.Functions.SPG(A369, "SP_TOTAL_REV", "CY2023")</f>
        <v>20882206</v>
      </c>
      <c r="C369" s="4">
        <f>_xll.SNL.Clients.Office.Excel.Functions.SPG(A369,"IQ_AVG_DILUT_SHARES_OUT","CY2023")</f>
        <v>148823000</v>
      </c>
      <c r="D369" s="5">
        <f>_xll.SNL.Clients.Office.Excel.Functions.SPG(A369, "IQ_DILUT_EPS_NORM", "CY2023")</f>
        <v>4.0540000000000003</v>
      </c>
      <c r="E369">
        <f t="shared" si="17"/>
        <v>603328.44200000004</v>
      </c>
      <c r="F369">
        <f t="shared" si="18"/>
        <v>2.889198784841027E-2</v>
      </c>
      <c r="H369" t="b">
        <f t="shared" si="19"/>
        <v>1</v>
      </c>
      <c r="K369" t="s">
        <v>900</v>
      </c>
      <c r="L369">
        <v>20882206</v>
      </c>
      <c r="M369">
        <v>148823000</v>
      </c>
      <c r="N369">
        <v>4.0540000000000003</v>
      </c>
      <c r="O369">
        <v>603328.44200000004</v>
      </c>
      <c r="P369">
        <v>2.889198784841027E-2</v>
      </c>
    </row>
    <row r="370" spans="1:16" x14ac:dyDescent="0.3">
      <c r="A370" t="s">
        <v>374</v>
      </c>
      <c r="B370" s="4" cm="1">
        <f t="array" ref="B370">_xll.SNL.Clients.Office.Excel.Functions.SPG(A370, "SP_TOTAL_REV", "CY2023")</f>
        <v>9252000</v>
      </c>
      <c r="C370" s="4">
        <f>_xll.SNL.Clients.Office.Excel.Functions.SPG(A370,"IQ_AVG_DILUT_SHARES_OUT","CY2023")</f>
        <v>113000000</v>
      </c>
      <c r="D370" s="5">
        <f>_xll.SNL.Clients.Office.Excel.Functions.SPG(A370, "IQ_DILUT_EPS_NORM", "CY2023")</f>
        <v>6.3140000000000001</v>
      </c>
      <c r="E370">
        <f t="shared" si="17"/>
        <v>713482</v>
      </c>
      <c r="F370">
        <f t="shared" si="18"/>
        <v>7.7116515348032863E-2</v>
      </c>
      <c r="H370" t="b">
        <f t="shared" si="19"/>
        <v>1</v>
      </c>
      <c r="K370" t="s">
        <v>902</v>
      </c>
      <c r="L370">
        <v>9252000</v>
      </c>
      <c r="M370">
        <v>113000000</v>
      </c>
      <c r="N370">
        <v>6.3140000000000001</v>
      </c>
      <c r="O370">
        <v>713482</v>
      </c>
      <c r="P370">
        <v>7.7116515348032863E-2</v>
      </c>
    </row>
    <row r="371" spans="1:16" x14ac:dyDescent="0.3">
      <c r="A371" t="s">
        <v>375</v>
      </c>
      <c r="B371" s="4" cm="1">
        <f t="array" ref="B371">_xll.SNL.Clients.Office.Excel.Functions.SPG(A371, "SP_TOTAL_REV", "CY2023")</f>
        <v>6604300</v>
      </c>
      <c r="C371" s="4">
        <f>_xll.SNL.Clients.Office.Excel.Functions.SPG(A371,"IQ_AVG_DILUT_SHARES_OUT","CY2023")</f>
        <v>67099950</v>
      </c>
      <c r="D371" s="5">
        <f>_xll.SNL.Clients.Office.Excel.Functions.SPG(A371, "IQ_DILUT_EPS_NORM", "CY2023")</f>
        <v>7.2640000000000002</v>
      </c>
      <c r="E371">
        <f t="shared" si="17"/>
        <v>487414.0368</v>
      </c>
      <c r="F371">
        <f t="shared" si="18"/>
        <v>7.3802528171040077E-2</v>
      </c>
      <c r="H371" t="b">
        <f t="shared" si="19"/>
        <v>1</v>
      </c>
      <c r="K371" t="s">
        <v>903</v>
      </c>
      <c r="L371">
        <v>6604300</v>
      </c>
      <c r="M371">
        <v>67099950</v>
      </c>
      <c r="N371">
        <v>7.2640000000000002</v>
      </c>
      <c r="O371">
        <v>487414.0368</v>
      </c>
      <c r="P371">
        <v>7.3802528171040077E-2</v>
      </c>
    </row>
    <row r="372" spans="1:16" x14ac:dyDescent="0.3">
      <c r="A372" t="s">
        <v>376</v>
      </c>
      <c r="B372" s="4" cm="1">
        <f t="array" ref="B372">_xll.SNL.Clients.Office.Excel.Functions.SPG(A372, "SP_TOTAL_REV", "CY2023")</f>
        <v>11846000</v>
      </c>
      <c r="C372" s="4">
        <f>_xll.SNL.Clients.Office.Excel.Functions.SPG(A372,"IQ_AVG_DILUT_SHARES_OUT","CY2023")</f>
        <v>215250000</v>
      </c>
      <c r="D372" s="5">
        <f>_xll.SNL.Clients.Office.Excel.Functions.SPG(A372, "IQ_DILUT_EPS_NORM", "CY2023")</f>
        <v>6.7859999999999996</v>
      </c>
      <c r="E372">
        <f t="shared" si="17"/>
        <v>1460686.5</v>
      </c>
      <c r="F372">
        <f t="shared" si="18"/>
        <v>0.12330630592605099</v>
      </c>
      <c r="H372" t="b">
        <f t="shared" si="19"/>
        <v>1</v>
      </c>
      <c r="K372" t="s">
        <v>904</v>
      </c>
      <c r="L372">
        <v>11846000</v>
      </c>
      <c r="M372">
        <v>215250000</v>
      </c>
      <c r="N372">
        <v>6.7859999999999996</v>
      </c>
      <c r="O372">
        <v>1460686.5</v>
      </c>
      <c r="P372">
        <v>0.12330630592605099</v>
      </c>
    </row>
    <row r="373" spans="1:16" x14ac:dyDescent="0.3">
      <c r="A373" t="s">
        <v>377</v>
      </c>
      <c r="B373" s="4" cm="1">
        <f t="array" ref="B373">_xll.SNL.Clients.Office.Excel.Functions.SPG(A373, "SP_TOTAL_REV", "CY2023")</f>
        <v>4091914</v>
      </c>
      <c r="C373" s="4">
        <f>_xll.SNL.Clients.Office.Excel.Functions.SPG(A373,"IQ_AVG_DILUT_SHARES_OUT","CY2023")</f>
        <v>693024000</v>
      </c>
      <c r="D373" s="5">
        <f>_xll.SNL.Clients.Office.Excel.Functions.SPG(A373, "IQ_DILUT_EPS_NORM", "CY2023")</f>
        <v>0.9</v>
      </c>
      <c r="E373">
        <f t="shared" si="17"/>
        <v>623721.6</v>
      </c>
      <c r="F373">
        <f t="shared" si="18"/>
        <v>0.15242783694867487</v>
      </c>
      <c r="H373" t="b">
        <f t="shared" si="19"/>
        <v>1</v>
      </c>
      <c r="K373" t="s">
        <v>906</v>
      </c>
      <c r="L373">
        <v>4091914</v>
      </c>
      <c r="M373">
        <v>693024000</v>
      </c>
      <c r="N373">
        <v>0.9</v>
      </c>
      <c r="O373">
        <v>623721.6</v>
      </c>
      <c r="P373">
        <v>0.15242783694867487</v>
      </c>
    </row>
    <row r="374" spans="1:16" x14ac:dyDescent="0.3">
      <c r="A374" t="s">
        <v>378</v>
      </c>
      <c r="B374" s="4" cm="1">
        <f t="array" ref="B374">_xll.SNL.Clients.Office.Excel.Functions.SPG(A374, "SP_TOTAL_REV", "CY2023")</f>
        <v>1371811</v>
      </c>
      <c r="C374" s="4">
        <f>_xll.SNL.Clients.Office.Excel.Functions.SPG(A374,"IQ_AVG_DILUT_SHARES_OUT","CY2023")</f>
        <v>176371000</v>
      </c>
      <c r="D374" s="5">
        <f>_xll.SNL.Clients.Office.Excel.Functions.SPG(A374, "IQ_DILUT_EPS_NORM", "CY2023")</f>
        <v>1.268</v>
      </c>
      <c r="E374">
        <f t="shared" si="17"/>
        <v>223638.42800000001</v>
      </c>
      <c r="F374">
        <f t="shared" si="18"/>
        <v>0.16302422709833936</v>
      </c>
      <c r="H374" t="b">
        <f t="shared" si="19"/>
        <v>1</v>
      </c>
      <c r="K374" t="s">
        <v>907</v>
      </c>
      <c r="L374">
        <v>1371811</v>
      </c>
      <c r="M374">
        <v>176371000</v>
      </c>
      <c r="N374">
        <v>1.268</v>
      </c>
      <c r="O374">
        <v>223638.42800000001</v>
      </c>
      <c r="P374">
        <v>0.16302422709833936</v>
      </c>
    </row>
    <row r="375" spans="1:16" x14ac:dyDescent="0.3">
      <c r="A375" t="s">
        <v>379</v>
      </c>
      <c r="B375" s="4" cm="1">
        <f t="array" ref="B375">_xll.SNL.Clients.Office.Excel.Functions.SPG(A375, "SP_TOTAL_REV", "CY2023")</f>
        <v>13117200</v>
      </c>
      <c r="C375" s="4">
        <f>_xll.SNL.Clients.Office.Excel.Functions.SPG(A375,"IQ_AVG_DILUT_SHARES_OUT","CY2023")</f>
        <v>113700000</v>
      </c>
      <c r="D375" s="5">
        <f>_xll.SNL.Clients.Office.Excel.Functions.SPG(A375, "IQ_DILUT_EPS_NORM", "CY2023")</f>
        <v>25.413</v>
      </c>
      <c r="E375">
        <f t="shared" si="17"/>
        <v>2889458.1</v>
      </c>
      <c r="F375">
        <f t="shared" si="18"/>
        <v>0.22028009788674413</v>
      </c>
      <c r="H375" t="b">
        <f t="shared" si="19"/>
        <v>1</v>
      </c>
      <c r="K375" t="s">
        <v>908</v>
      </c>
      <c r="L375">
        <v>13117200</v>
      </c>
      <c r="M375">
        <v>113700000</v>
      </c>
      <c r="N375">
        <v>25.413</v>
      </c>
      <c r="O375">
        <v>2889458.1</v>
      </c>
      <c r="P375">
        <v>0.22028009788674413</v>
      </c>
    </row>
    <row r="376" spans="1:16" x14ac:dyDescent="0.3">
      <c r="A376" t="s">
        <v>380</v>
      </c>
      <c r="B376" s="4" cm="1">
        <f t="array" ref="B376">_xll.SNL.Clients.Office.Excel.Functions.SPG(A376, "SP_TOTAL_REV", "CY2023")</f>
        <v>7574000</v>
      </c>
      <c r="C376" s="4">
        <f>_xll.SNL.Clients.Office.Excel.Functions.SPG(A376,"IQ_AVG_DILUT_SHARES_OUT","CY2023")</f>
        <v>938000000</v>
      </c>
      <c r="D376" s="5">
        <f>_xll.SNL.Clients.Office.Excel.Functions.SPG(A376, "IQ_DILUT_EPS_NORM", "CY2023")</f>
        <v>1.8380000000000001</v>
      </c>
      <c r="E376">
        <f t="shared" si="17"/>
        <v>1724044</v>
      </c>
      <c r="F376">
        <f t="shared" si="18"/>
        <v>0.22762661737523104</v>
      </c>
      <c r="H376" t="b">
        <f t="shared" si="19"/>
        <v>1</v>
      </c>
      <c r="K376" t="s">
        <v>909</v>
      </c>
      <c r="L376">
        <v>7574000</v>
      </c>
      <c r="M376">
        <v>938000000</v>
      </c>
      <c r="N376">
        <v>1.8380000000000001</v>
      </c>
      <c r="O376">
        <v>1724044</v>
      </c>
      <c r="P376">
        <v>0.22762661737523104</v>
      </c>
    </row>
    <row r="377" spans="1:16" x14ac:dyDescent="0.3">
      <c r="A377" t="s">
        <v>381</v>
      </c>
      <c r="B377" s="4" cm="1">
        <f t="array" ref="B377">_xll.SNL.Clients.Office.Excel.Functions.SPG(A377, "SP_TOTAL_REV", "CY2023")</f>
        <v>14964500</v>
      </c>
      <c r="C377" s="4">
        <f>_xll.SNL.Clients.Office.Excel.Functions.SPG(A377,"IQ_AVG_DILUT_SHARES_OUT","CY2023")</f>
        <v>316665000</v>
      </c>
      <c r="D377" s="5">
        <f>_xll.SNL.Clients.Office.Excel.Functions.SPG(A377, "IQ_DILUT_EPS_NORM", "CY2023")</f>
        <v>4.4489999999999998</v>
      </c>
      <c r="E377">
        <f t="shared" si="17"/>
        <v>1408842.585</v>
      </c>
      <c r="F377">
        <f t="shared" si="18"/>
        <v>9.4145650372548365E-2</v>
      </c>
      <c r="H377" t="b">
        <f t="shared" si="19"/>
        <v>1</v>
      </c>
      <c r="K377" t="s">
        <v>910</v>
      </c>
      <c r="L377">
        <v>14964500</v>
      </c>
      <c r="M377">
        <v>316665000</v>
      </c>
      <c r="N377">
        <v>4.4489999999999998</v>
      </c>
      <c r="O377">
        <v>1408842.585</v>
      </c>
      <c r="P377">
        <v>9.4145650372548365E-2</v>
      </c>
    </row>
    <row r="378" spans="1:16" x14ac:dyDescent="0.3">
      <c r="A378" t="s">
        <v>382</v>
      </c>
      <c r="B378" s="4" cm="1">
        <f t="array" ref="B378">_xll.SNL.Clients.Office.Excel.Functions.SPG(A378, "SP_TOTAL_REV", "CY2023")</f>
        <v>4504077</v>
      </c>
      <c r="C378" s="4">
        <f>_xll.SNL.Clients.Office.Excel.Functions.SPG(A378,"IQ_AVG_DILUT_SHARES_OUT","CY2023")</f>
        <v>147557500</v>
      </c>
      <c r="D378" s="5">
        <f>_xll.SNL.Clients.Office.Excel.Functions.SPG(A378, "IQ_DILUT_EPS_NORM", "CY2023")</f>
        <v>4.8730000000000002</v>
      </c>
      <c r="E378">
        <f t="shared" si="17"/>
        <v>719047.69750000001</v>
      </c>
      <c r="F378">
        <f t="shared" si="18"/>
        <v>0.15964373999378786</v>
      </c>
      <c r="H378" t="b">
        <f t="shared" si="19"/>
        <v>1</v>
      </c>
      <c r="K378" t="s">
        <v>911</v>
      </c>
      <c r="L378">
        <v>4504077</v>
      </c>
      <c r="M378">
        <v>147557500</v>
      </c>
      <c r="N378">
        <v>4.8730000000000002</v>
      </c>
      <c r="O378">
        <v>719047.69750000001</v>
      </c>
      <c r="P378">
        <v>0.15964373999378786</v>
      </c>
    </row>
    <row r="379" spans="1:16" x14ac:dyDescent="0.3">
      <c r="A379" t="s">
        <v>383</v>
      </c>
      <c r="B379" s="4" cm="1">
        <f t="array" ref="B379">_xll.SNL.Clients.Office.Excel.Functions.SPG(A379, "SP_TOTAL_REV", "CY2023")</f>
        <v>2750571</v>
      </c>
      <c r="C379" s="4">
        <f>_xll.SNL.Clients.Office.Excel.Functions.SPG(A379,"IQ_AVG_DILUT_SHARES_OUT","CY2023")</f>
        <v>124812000</v>
      </c>
      <c r="D379" s="5">
        <f>_xll.SNL.Clients.Office.Excel.Functions.SPG(A379, "IQ_DILUT_EPS_NORM", "CY2023")</f>
        <v>1.7070000000000001</v>
      </c>
      <c r="E379">
        <f t="shared" si="17"/>
        <v>213054.084</v>
      </c>
      <c r="F379">
        <f t="shared" si="18"/>
        <v>7.7458129239347029E-2</v>
      </c>
      <c r="H379" t="b">
        <f t="shared" si="19"/>
        <v>1</v>
      </c>
      <c r="K379" t="s">
        <v>912</v>
      </c>
      <c r="L379">
        <v>2750571</v>
      </c>
      <c r="M379">
        <v>124812000</v>
      </c>
      <c r="N379">
        <v>1.7070000000000001</v>
      </c>
      <c r="O379">
        <v>213054.084</v>
      </c>
      <c r="P379">
        <v>7.7458129239347029E-2</v>
      </c>
    </row>
    <row r="380" spans="1:16" x14ac:dyDescent="0.3">
      <c r="A380" t="s">
        <v>384</v>
      </c>
      <c r="B380" s="4" cm="1">
        <f t="array" ref="B380">_xll.SNL.Clients.Office.Excel.Functions.SPG(A380, "SP_TOTAL_REV", "CY2023")</f>
        <v>9129100</v>
      </c>
      <c r="C380" s="4">
        <f>_xll.SNL.Clients.Office.Excel.Functions.SPG(A380,"IQ_AVG_DILUT_SHARES_OUT","CY2023")</f>
        <v>115525000</v>
      </c>
      <c r="D380" s="5">
        <f>_xll.SNL.Clients.Office.Excel.Functions.SPG(A380, "IQ_DILUT_EPS_NORM", "CY2023")</f>
        <v>8.5830000000000002</v>
      </c>
      <c r="E380">
        <f t="shared" si="17"/>
        <v>991551.07499999995</v>
      </c>
      <c r="F380">
        <f t="shared" si="18"/>
        <v>0.10861432945197226</v>
      </c>
      <c r="H380" t="b">
        <f t="shared" si="19"/>
        <v>1</v>
      </c>
      <c r="K380" t="s">
        <v>914</v>
      </c>
      <c r="L380">
        <v>9129100</v>
      </c>
      <c r="M380">
        <v>115525000</v>
      </c>
      <c r="N380">
        <v>8.5830000000000002</v>
      </c>
      <c r="O380">
        <v>991551.07499999995</v>
      </c>
      <c r="P380">
        <v>0.10861432945197226</v>
      </c>
    </row>
    <row r="381" spans="1:16" x14ac:dyDescent="0.3">
      <c r="A381" t="s">
        <v>385</v>
      </c>
      <c r="B381" s="4" cm="1">
        <f t="array" ref="B381">_xll.SNL.Clients.Office.Excel.Functions.SPG(A381, "SP_TOTAL_REV", "CY2023")</f>
        <v>3073278</v>
      </c>
      <c r="C381" s="4">
        <f>_xll.SNL.Clients.Office.Excel.Functions.SPG(A381,"IQ_AVG_DILUT_SHARES_OUT","CY2023")</f>
        <v>490130000</v>
      </c>
      <c r="D381" s="5">
        <f>_xll.SNL.Clients.Office.Excel.Functions.SPG(A381, "IQ_DILUT_EPS_NORM", "CY2023")</f>
        <v>0.73799999999999999</v>
      </c>
      <c r="E381">
        <f t="shared" si="17"/>
        <v>361715.94</v>
      </c>
      <c r="F381">
        <f t="shared" si="18"/>
        <v>0.11769711038181381</v>
      </c>
      <c r="H381" t="b">
        <f t="shared" si="19"/>
        <v>1</v>
      </c>
      <c r="K381" t="s">
        <v>915</v>
      </c>
      <c r="L381">
        <v>3073278</v>
      </c>
      <c r="M381">
        <v>490130000</v>
      </c>
      <c r="N381">
        <v>0.73799999999999999</v>
      </c>
      <c r="O381">
        <v>361715.94</v>
      </c>
      <c r="P381">
        <v>0.11769711038181381</v>
      </c>
    </row>
    <row r="382" spans="1:16" x14ac:dyDescent="0.3">
      <c r="A382" t="s">
        <v>386</v>
      </c>
      <c r="B382" s="4" cm="1">
        <f t="array" ref="B382">_xll.SNL.Clients.Office.Excel.Functions.SPG(A382, "SP_TOTAL_REV", "CY2023")</f>
        <v>6177800</v>
      </c>
      <c r="C382" s="4">
        <f>_xll.SNL.Clients.Office.Excel.Functions.SPG(A382,"IQ_AVG_DILUT_SHARES_OUT","CY2023")</f>
        <v>107400000</v>
      </c>
      <c r="D382" s="5">
        <f>_xll.SNL.Clients.Office.Excel.Functions.SPG(A382, "IQ_DILUT_EPS_NORM", "CY2023")</f>
        <v>9.1809999999999992</v>
      </c>
      <c r="E382">
        <f t="shared" si="17"/>
        <v>986039.39999999991</v>
      </c>
      <c r="F382">
        <f t="shared" si="18"/>
        <v>0.1596101201074816</v>
      </c>
      <c r="H382" t="b">
        <f t="shared" si="19"/>
        <v>1</v>
      </c>
      <c r="K382" t="s">
        <v>916</v>
      </c>
      <c r="L382">
        <v>6177800</v>
      </c>
      <c r="M382">
        <v>107400000</v>
      </c>
      <c r="N382">
        <v>9.1809999999999992</v>
      </c>
      <c r="O382">
        <v>986039.39999999991</v>
      </c>
      <c r="P382">
        <v>0.1596101201074816</v>
      </c>
    </row>
    <row r="383" spans="1:16" x14ac:dyDescent="0.3">
      <c r="A383" t="s">
        <v>387</v>
      </c>
      <c r="B383" s="4" cm="1">
        <f t="array" ref="B383">_xll.SNL.Clients.Office.Excel.Functions.SPG(A383, "SP_TOTAL_REV", "CY2023")</f>
        <v>20376941</v>
      </c>
      <c r="C383" s="4">
        <f>_xll.SNL.Clients.Office.Excel.Functions.SPG(A383,"IQ_AVG_DILUT_SHARES_OUT","CY2023")</f>
        <v>337433000</v>
      </c>
      <c r="D383" s="5">
        <f>_xll.SNL.Clients.Office.Excel.Functions.SPG(A383, "IQ_DILUT_EPS_NORM", "CY2023")</f>
        <v>4.5780000000000003</v>
      </c>
      <c r="E383">
        <f t="shared" si="17"/>
        <v>1544768.274</v>
      </c>
      <c r="F383">
        <f t="shared" si="18"/>
        <v>7.5809625890363039E-2</v>
      </c>
      <c r="H383" t="b">
        <f t="shared" si="19"/>
        <v>1</v>
      </c>
      <c r="K383" t="s">
        <v>917</v>
      </c>
      <c r="L383">
        <v>20376941</v>
      </c>
      <c r="M383">
        <v>337433000</v>
      </c>
      <c r="N383">
        <v>4.5780000000000003</v>
      </c>
      <c r="O383">
        <v>1544768.274</v>
      </c>
      <c r="P383">
        <v>7.5809625890363039E-2</v>
      </c>
    </row>
    <row r="384" spans="1:16" x14ac:dyDescent="0.3">
      <c r="A384" t="s">
        <v>388</v>
      </c>
      <c r="B384" s="4" cm="1">
        <f t="array" ref="B384">_xll.SNL.Clients.Office.Excel.Functions.SPG(A384, "SP_TOTAL_REV", "CY2023")</f>
        <v>13900000</v>
      </c>
      <c r="C384" s="4">
        <f>_xll.SNL.Clients.Office.Excel.Functions.SPG(A384,"IQ_AVG_DILUT_SHARES_OUT","CY2023")</f>
        <v>283000000</v>
      </c>
      <c r="D384" s="5">
        <f>_xll.SNL.Clients.Office.Excel.Functions.SPG(A384, "IQ_DILUT_EPS_NORM", "CY2023")</f>
        <v>3.7869999999999999</v>
      </c>
      <c r="E384">
        <f t="shared" si="17"/>
        <v>1071721</v>
      </c>
      <c r="F384">
        <f t="shared" si="18"/>
        <v>7.7102230215827336E-2</v>
      </c>
      <c r="H384" t="b">
        <f t="shared" si="19"/>
        <v>1</v>
      </c>
      <c r="K384" t="s">
        <v>918</v>
      </c>
      <c r="L384">
        <v>13900000</v>
      </c>
      <c r="M384">
        <v>283000000</v>
      </c>
      <c r="N384">
        <v>3.7869999999999999</v>
      </c>
      <c r="O384">
        <v>1071721</v>
      </c>
      <c r="P384">
        <v>7.7102230215827336E-2</v>
      </c>
    </row>
    <row r="385" spans="1:16" x14ac:dyDescent="0.3">
      <c r="A385" t="s">
        <v>389</v>
      </c>
      <c r="B385" s="4" cm="1">
        <f t="array" ref="B385">_xll.SNL.Clients.Office.Excel.Functions.SPG(A385, "SP_TOTAL_REV", "CY2023")</f>
        <v>68920000</v>
      </c>
      <c r="C385" s="4">
        <f>_xll.SNL.Clients.Office.Excel.Functions.SPG(A385,"IQ_AVG_DILUT_SHARES_OUT","CY2023")</f>
        <v>1435400000</v>
      </c>
      <c r="D385" s="5">
        <f>_xll.SNL.Clients.Office.Excel.Functions.SPG(A385, "IQ_DILUT_EPS_NORM", "CY2023")</f>
        <v>1.512</v>
      </c>
      <c r="E385">
        <f t="shared" si="17"/>
        <v>2170324.7999999998</v>
      </c>
      <c r="F385">
        <f t="shared" si="18"/>
        <v>3.1490493325594893E-2</v>
      </c>
      <c r="H385" t="b">
        <f t="shared" si="19"/>
        <v>1</v>
      </c>
      <c r="K385" t="s">
        <v>905</v>
      </c>
      <c r="L385">
        <v>68920000</v>
      </c>
      <c r="M385">
        <v>1435400000</v>
      </c>
      <c r="N385">
        <v>1.512</v>
      </c>
      <c r="O385">
        <v>2170324.7999999998</v>
      </c>
      <c r="P385">
        <v>3.1490493325594893E-2</v>
      </c>
    </row>
    <row r="386" spans="1:16" x14ac:dyDescent="0.3">
      <c r="A386" t="s">
        <v>390</v>
      </c>
      <c r="B386" s="4" cm="1">
        <f t="array" ref="B386">_xll.SNL.Clients.Office.Excel.Functions.SPG(A386, "SP_TOTAL_REV", "CY2023")</f>
        <v>12497000</v>
      </c>
      <c r="C386" s="4">
        <f>_xll.SNL.Clients.Office.Excel.Functions.SPG(A386,"IQ_AVG_DILUT_SHARES_OUT","CY2023")</f>
        <v>318900000</v>
      </c>
      <c r="D386" s="5">
        <f>_xll.SNL.Clients.Office.Excel.Functions.SPG(A386, "IQ_DILUT_EPS_NORM", "CY2023")</f>
        <v>7.5410000000000004</v>
      </c>
      <c r="E386">
        <f t="shared" si="17"/>
        <v>2404824.9</v>
      </c>
      <c r="F386">
        <f t="shared" si="18"/>
        <v>0.1924321757221733</v>
      </c>
      <c r="H386" t="b">
        <f t="shared" si="19"/>
        <v>1</v>
      </c>
      <c r="K386" t="s">
        <v>919</v>
      </c>
      <c r="L386">
        <v>12497000</v>
      </c>
      <c r="M386">
        <v>318900000</v>
      </c>
      <c r="N386">
        <v>7.5410000000000004</v>
      </c>
      <c r="O386">
        <v>2404824.9</v>
      </c>
      <c r="P386">
        <v>0.1924321757221733</v>
      </c>
    </row>
    <row r="387" spans="1:16" x14ac:dyDescent="0.3">
      <c r="A387" t="s">
        <v>391</v>
      </c>
      <c r="B387" s="4" cm="1">
        <f t="array" ref="B387">_xll.SNL.Clients.Office.Excel.Functions.SPG(A387, "SP_TOTAL_REV", "CY2023")</f>
        <v>34857000</v>
      </c>
      <c r="C387" s="4">
        <f>_xll.SNL.Clients.Office.Excel.Functions.SPG(A387,"IQ_AVG_DILUT_SHARES_OUT","CY2023")</f>
        <v>984000000</v>
      </c>
      <c r="D387" s="5" t="str">
        <f>_xll.SNL.Clients.Office.Excel.Functions.SPG(A387, "IQ_DILUT_EPS_NORM", "CY2023")</f>
        <v>NA</v>
      </c>
      <c r="E387" t="e">
        <f t="shared" ref="E387:E450" si="20">C387*D387/1000</f>
        <v>#VALUE!</v>
      </c>
      <c r="F387" t="e">
        <f t="shared" ref="F387:F450" si="21">E387/B387</f>
        <v>#VALUE!</v>
      </c>
      <c r="H387" t="b">
        <f t="shared" ref="H387:H450" si="22">B387=L387</f>
        <v>1</v>
      </c>
      <c r="K387" t="s">
        <v>920</v>
      </c>
      <c r="L387">
        <v>34857000</v>
      </c>
      <c r="M387">
        <v>984000000</v>
      </c>
      <c r="N387" t="s">
        <v>1049</v>
      </c>
      <c r="O387" t="e">
        <v>#VALUE!</v>
      </c>
      <c r="P387" t="e">
        <v>#VALUE!</v>
      </c>
    </row>
    <row r="388" spans="1:16" x14ac:dyDescent="0.3">
      <c r="A388" t="s">
        <v>392</v>
      </c>
      <c r="B388" s="4" cm="1">
        <f t="array" ref="B388">_xll.SNL.Clients.Office.Excel.Functions.SPG(A388, "SP_TOTAL_REV", "CY2023")</f>
        <v>2729889</v>
      </c>
      <c r="C388" s="4">
        <f>_xll.SNL.Clients.Office.Excel.Functions.SPG(A388,"IQ_AVG_DILUT_SHARES_OUT","CY2023")</f>
        <v>108907000</v>
      </c>
      <c r="D388" s="5">
        <f>_xll.SNL.Clients.Office.Excel.Functions.SPG(A388, "IQ_DILUT_EPS_NORM", "CY2023")</f>
        <v>4.101</v>
      </c>
      <c r="E388">
        <f t="shared" si="20"/>
        <v>446627.60700000002</v>
      </c>
      <c r="F388">
        <f t="shared" si="21"/>
        <v>0.16360650817670611</v>
      </c>
      <c r="H388" t="b">
        <f t="shared" si="22"/>
        <v>1</v>
      </c>
      <c r="K388" t="s">
        <v>921</v>
      </c>
      <c r="L388">
        <v>2729889</v>
      </c>
      <c r="M388">
        <v>108907000</v>
      </c>
      <c r="N388">
        <v>4.101</v>
      </c>
      <c r="O388">
        <v>446627.60700000002</v>
      </c>
      <c r="P388">
        <v>0.16360650817670611</v>
      </c>
    </row>
    <row r="389" spans="1:16" x14ac:dyDescent="0.3">
      <c r="A389" t="s">
        <v>393</v>
      </c>
      <c r="B389" s="4" cm="1">
        <f t="array" ref="B389">_xll.SNL.Clients.Office.Excel.Functions.SPG(A389, "SP_TOTAL_REV", "CY2023")</f>
        <v>33135000</v>
      </c>
      <c r="C389" s="4">
        <f>_xll.SNL.Clients.Office.Excel.Functions.SPG(A389,"IQ_AVG_DILUT_SHARES_OUT","CY2023")</f>
        <v>1443000000</v>
      </c>
      <c r="D389" s="5">
        <f>_xll.SNL.Clients.Office.Excel.Functions.SPG(A389, "IQ_DILUT_EPS_NORM", "CY2023")</f>
        <v>2.2469999999999999</v>
      </c>
      <c r="E389">
        <f t="shared" si="20"/>
        <v>3242421</v>
      </c>
      <c r="F389">
        <f t="shared" si="21"/>
        <v>9.7854866455409681E-2</v>
      </c>
      <c r="H389" t="b">
        <f t="shared" si="22"/>
        <v>1</v>
      </c>
      <c r="K389" t="s">
        <v>922</v>
      </c>
      <c r="L389">
        <v>33135000</v>
      </c>
      <c r="M389">
        <v>1443000000</v>
      </c>
      <c r="N389">
        <v>2.2469999999999999</v>
      </c>
      <c r="O389">
        <v>3242421</v>
      </c>
      <c r="P389">
        <v>9.7854866455409681E-2</v>
      </c>
    </row>
    <row r="390" spans="1:16" x14ac:dyDescent="0.3">
      <c r="A390" t="s">
        <v>394</v>
      </c>
      <c r="B390" s="4" cm="1">
        <f t="array" ref="B390">_xll.SNL.Clients.Office.Excel.Functions.SPG(A390, "SP_TOTAL_REV", "CY2023")</f>
        <v>6471000</v>
      </c>
      <c r="C390" s="4">
        <f>_xll.SNL.Clients.Office.Excel.Functions.SPG(A390,"IQ_AVG_DILUT_SHARES_OUT","CY2023")</f>
        <v>208000000</v>
      </c>
      <c r="D390" s="5">
        <f>_xll.SNL.Clients.Office.Excel.Functions.SPG(A390, "IQ_DILUT_EPS_NORM", "CY2023")</f>
        <v>-1.07</v>
      </c>
      <c r="E390">
        <f t="shared" si="20"/>
        <v>-222560</v>
      </c>
      <c r="F390">
        <f t="shared" si="21"/>
        <v>-3.4393447689692477E-2</v>
      </c>
      <c r="H390" t="b">
        <f t="shared" si="22"/>
        <v>1</v>
      </c>
      <c r="K390" t="s">
        <v>923</v>
      </c>
      <c r="L390">
        <v>6471000</v>
      </c>
      <c r="M390">
        <v>208000000</v>
      </c>
      <c r="N390">
        <v>-1.07</v>
      </c>
      <c r="O390">
        <v>-222560</v>
      </c>
      <c r="P390">
        <v>-3.4393447689692477E-2</v>
      </c>
    </row>
    <row r="391" spans="1:16" x14ac:dyDescent="0.3">
      <c r="A391" t="s">
        <v>395</v>
      </c>
      <c r="B391" s="4" cm="1">
        <f t="array" ref="B391">_xll.SNL.Clients.Office.Excel.Functions.SPG(A391, "SP_TOTAL_REV", "CY2023")</f>
        <v>16720000</v>
      </c>
      <c r="C391" s="4">
        <f>_xll.SNL.Clients.Office.Excel.Functions.SPG(A391,"IQ_AVG_DILUT_SHARES_OUT","CY2023")</f>
        <v>632733000</v>
      </c>
      <c r="D391" s="5">
        <f>_xll.SNL.Clients.Office.Excel.Functions.SPG(A391, "IQ_DILUT_EPS_NORM", "CY2023")</f>
        <v>3.198</v>
      </c>
      <c r="E391">
        <f t="shared" si="20"/>
        <v>2023480.1340000001</v>
      </c>
      <c r="F391">
        <f t="shared" si="21"/>
        <v>0.12102153911483254</v>
      </c>
      <c r="H391" t="b">
        <f t="shared" si="22"/>
        <v>1</v>
      </c>
      <c r="K391" t="s">
        <v>924</v>
      </c>
      <c r="L391">
        <v>16720000</v>
      </c>
      <c r="M391">
        <v>632733000</v>
      </c>
      <c r="N391">
        <v>3.198</v>
      </c>
      <c r="O391">
        <v>2023480.1340000001</v>
      </c>
      <c r="P391">
        <v>0.12102153911483254</v>
      </c>
    </row>
    <row r="392" spans="1:16" x14ac:dyDescent="0.3">
      <c r="A392" t="s">
        <v>396</v>
      </c>
      <c r="B392" s="4" cm="1">
        <f t="array" ref="B392">_xll.SNL.Clients.Office.Excel.Functions.SPG(A392, "SP_TOTAL_REV", "CY2023")</f>
        <v>8971000</v>
      </c>
      <c r="C392" s="4">
        <f>_xll.SNL.Clients.Office.Excel.Functions.SPG(A392,"IQ_AVG_DILUT_SHARES_OUT","CY2023")</f>
        <v>205591000</v>
      </c>
      <c r="D392" s="5">
        <f>_xll.SNL.Clients.Office.Excel.Functions.SPG(A392, "IQ_DILUT_EPS_NORM", "CY2023")</f>
        <v>3.0640000000000001</v>
      </c>
      <c r="E392">
        <f t="shared" si="20"/>
        <v>629930.82400000002</v>
      </c>
      <c r="F392">
        <f t="shared" si="21"/>
        <v>7.0218573626128641E-2</v>
      </c>
      <c r="H392" t="b">
        <f t="shared" si="22"/>
        <v>1</v>
      </c>
      <c r="K392" t="s">
        <v>925</v>
      </c>
      <c r="L392">
        <v>8971000</v>
      </c>
      <c r="M392">
        <v>205591000</v>
      </c>
      <c r="N392">
        <v>3.0640000000000001</v>
      </c>
      <c r="O392">
        <v>629930.82400000002</v>
      </c>
      <c r="P392">
        <v>7.0218573626128641E-2</v>
      </c>
    </row>
    <row r="393" spans="1:16" x14ac:dyDescent="0.3">
      <c r="A393" t="s">
        <v>397</v>
      </c>
      <c r="B393" s="4" cm="1">
        <f t="array" ref="B393">_xll.SNL.Clients.Office.Excel.Functions.SPG(A393, "SP_TOTAL_REV", "CY2023")</f>
        <v>6027849</v>
      </c>
      <c r="C393" s="4">
        <f>_xll.SNL.Clients.Office.Excel.Functions.SPG(A393,"IQ_AVG_DILUT_SHARES_OUT","CY2023")</f>
        <v>326807326</v>
      </c>
      <c r="D393" s="5">
        <f>_xll.SNL.Clients.Office.Excel.Functions.SPG(A393, "IQ_DILUT_EPS_NORM", "CY2023")</f>
        <v>3.431</v>
      </c>
      <c r="E393">
        <f t="shared" si="20"/>
        <v>1121275.935506</v>
      </c>
      <c r="F393">
        <f t="shared" si="21"/>
        <v>0.18601592964687735</v>
      </c>
      <c r="H393" t="b">
        <f t="shared" si="22"/>
        <v>1</v>
      </c>
      <c r="K393" t="s">
        <v>927</v>
      </c>
      <c r="L393">
        <v>6027849</v>
      </c>
      <c r="M393">
        <v>326807326</v>
      </c>
      <c r="N393">
        <v>3.431</v>
      </c>
      <c r="O393">
        <v>1121275.935506</v>
      </c>
      <c r="P393">
        <v>0.18601592964687735</v>
      </c>
    </row>
    <row r="394" spans="1:16" x14ac:dyDescent="0.3">
      <c r="A394" t="s">
        <v>398</v>
      </c>
      <c r="B394" s="4" cm="1">
        <f t="array" ref="B394">_xll.SNL.Clients.Office.Excel.Functions.SPG(A394, "SP_TOTAL_REV", "CY2023")</f>
        <v>4644600</v>
      </c>
      <c r="C394" s="4">
        <f>_xll.SNL.Clients.Office.Excel.Functions.SPG(A394,"IQ_AVG_DILUT_SHARES_OUT","CY2023")</f>
        <v>160500000</v>
      </c>
      <c r="D394" s="5">
        <f>_xll.SNL.Clients.Office.Excel.Functions.SPG(A394, "IQ_DILUT_EPS_NORM", "CY2023")</f>
        <v>3.9870000000000001</v>
      </c>
      <c r="E394">
        <f t="shared" si="20"/>
        <v>639913.5</v>
      </c>
      <c r="F394">
        <f t="shared" si="21"/>
        <v>0.13777580415966928</v>
      </c>
      <c r="H394" t="b">
        <f t="shared" si="22"/>
        <v>1</v>
      </c>
      <c r="K394" t="s">
        <v>928</v>
      </c>
      <c r="L394">
        <v>4644600</v>
      </c>
      <c r="M394">
        <v>160500000</v>
      </c>
      <c r="N394">
        <v>3.9870000000000001</v>
      </c>
      <c r="O394">
        <v>639913.5</v>
      </c>
      <c r="P394">
        <v>0.13777580415966928</v>
      </c>
    </row>
    <row r="395" spans="1:16" x14ac:dyDescent="0.3">
      <c r="A395" t="s">
        <v>399</v>
      </c>
      <c r="B395" s="4" cm="1">
        <f t="array" ref="B395">_xll.SNL.Clients.Office.Excel.Functions.SPG(A395, "SP_TOTAL_REV", "CY2023")</f>
        <v>12093000</v>
      </c>
      <c r="C395" s="4">
        <f>_xll.SNL.Clients.Office.Excel.Functions.SPG(A395,"IQ_AVG_DILUT_SHARES_OUT","CY2023")</f>
        <v>260342615</v>
      </c>
      <c r="D395" s="5">
        <f>_xll.SNL.Clients.Office.Excel.Functions.SPG(A395, "IQ_DILUT_EPS_NORM", "CY2023")</f>
        <v>3.052</v>
      </c>
      <c r="E395">
        <f t="shared" si="20"/>
        <v>794565.66098000004</v>
      </c>
      <c r="F395">
        <f t="shared" si="21"/>
        <v>6.5704594474489383E-2</v>
      </c>
      <c r="H395" t="b">
        <f t="shared" si="22"/>
        <v>1</v>
      </c>
      <c r="K395" t="s">
        <v>1041</v>
      </c>
      <c r="L395">
        <v>12093000</v>
      </c>
      <c r="M395">
        <v>260342615</v>
      </c>
      <c r="N395">
        <v>3.052</v>
      </c>
      <c r="O395">
        <v>794565.66098000004</v>
      </c>
      <c r="P395">
        <v>6.5704594474489383E-2</v>
      </c>
    </row>
    <row r="396" spans="1:16" x14ac:dyDescent="0.3">
      <c r="A396" t="s">
        <v>400</v>
      </c>
      <c r="B396" s="4" cm="1">
        <f t="array" ref="B396">_xll.SNL.Clients.Office.Excel.Functions.SPG(A396, "SP_TOTAL_REV", "CY2023")</f>
        <v>5108300</v>
      </c>
      <c r="C396" s="4">
        <f>_xll.SNL.Clients.Office.Excel.Functions.SPG(A396,"IQ_AVG_DILUT_SHARES_OUT","CY2023")</f>
        <v>53900000</v>
      </c>
      <c r="D396" s="5">
        <f>_xll.SNL.Clients.Office.Excel.Functions.SPG(A396, "IQ_DILUT_EPS_NORM", "CY2023")</f>
        <v>14.962999999999999</v>
      </c>
      <c r="E396">
        <f t="shared" si="20"/>
        <v>806505.7</v>
      </c>
      <c r="F396">
        <f t="shared" si="21"/>
        <v>0.15788142826380597</v>
      </c>
      <c r="H396" t="b">
        <f t="shared" si="22"/>
        <v>1</v>
      </c>
      <c r="K396" t="s">
        <v>930</v>
      </c>
      <c r="L396">
        <v>5108300</v>
      </c>
      <c r="M396">
        <v>53900000</v>
      </c>
      <c r="N396">
        <v>14.962999999999999</v>
      </c>
      <c r="O396">
        <v>806505.7</v>
      </c>
      <c r="P396">
        <v>0.15788142826380597</v>
      </c>
    </row>
    <row r="397" spans="1:16" x14ac:dyDescent="0.3">
      <c r="A397" t="s">
        <v>401</v>
      </c>
      <c r="B397" s="4" cm="1">
        <f t="array" ref="B397">_xll.SNL.Clients.Office.Excel.Functions.SPG(A397, "SP_TOTAL_REV", "CY2023")</f>
        <v>8197000</v>
      </c>
      <c r="C397" s="4" t="str">
        <f>_xll.SNL.Clients.Office.Excel.Functions.SPG(A397,"IQ_AVG_DILUT_SHARES_OUT","CY2023")</f>
        <v>NA</v>
      </c>
      <c r="D397" s="5" t="str">
        <f>_xll.SNL.Clients.Office.Excel.Functions.SPG(A397, "IQ_DILUT_EPS_NORM", "CY2023")</f>
        <v>NA</v>
      </c>
      <c r="E397" t="e">
        <f t="shared" si="20"/>
        <v>#VALUE!</v>
      </c>
      <c r="F397" t="e">
        <f t="shared" si="21"/>
        <v>#VALUE!</v>
      </c>
      <c r="H397" t="b">
        <f t="shared" si="22"/>
        <v>1</v>
      </c>
      <c r="K397" t="s">
        <v>1042</v>
      </c>
      <c r="L397">
        <v>8197000</v>
      </c>
      <c r="M397" t="s">
        <v>1049</v>
      </c>
      <c r="N397" t="s">
        <v>1049</v>
      </c>
      <c r="O397" t="e">
        <v>#VALUE!</v>
      </c>
      <c r="P397" t="e">
        <v>#VALUE!</v>
      </c>
    </row>
    <row r="398" spans="1:16" x14ac:dyDescent="0.3">
      <c r="A398" t="s">
        <v>402</v>
      </c>
      <c r="B398" s="4" cm="1">
        <f t="array" ref="B398">_xll.SNL.Clients.Office.Excel.Functions.SPG(A398, "SP_TOTAL_REV", "CY2023")</f>
        <v>26091000</v>
      </c>
      <c r="C398" s="4">
        <f>_xll.SNL.Clients.Office.Excel.Functions.SPG(A398,"IQ_AVG_DILUT_SHARES_OUT","CY2023")</f>
        <v>640000000</v>
      </c>
      <c r="D398" s="5">
        <f>_xll.SNL.Clients.Office.Excel.Functions.SPG(A398, "IQ_DILUT_EPS_NORM", "CY2023")</f>
        <v>1.2390000000000001</v>
      </c>
      <c r="E398">
        <f t="shared" si="20"/>
        <v>792960.00000000012</v>
      </c>
      <c r="F398">
        <f t="shared" si="21"/>
        <v>3.0392089226169948E-2</v>
      </c>
      <c r="H398" t="b">
        <f t="shared" si="22"/>
        <v>1</v>
      </c>
      <c r="K398" t="s">
        <v>932</v>
      </c>
      <c r="L398">
        <v>26091000</v>
      </c>
      <c r="M398">
        <v>640000000</v>
      </c>
      <c r="N398">
        <v>1.2390000000000001</v>
      </c>
      <c r="O398">
        <v>792960.00000000012</v>
      </c>
      <c r="P398">
        <v>3.0392089226169948E-2</v>
      </c>
    </row>
    <row r="399" spans="1:16" x14ac:dyDescent="0.3">
      <c r="A399" t="s">
        <v>403</v>
      </c>
      <c r="B399" s="4" cm="1">
        <f t="array" ref="B399">_xll.SNL.Clients.Office.Excel.Functions.SPG(A399, "SP_TOTAL_REV", "CY2023")</f>
        <v>15781100</v>
      </c>
      <c r="C399" s="4">
        <f>_xll.SNL.Clients.Office.Excel.Functions.SPG(A399,"IQ_AVG_DILUT_SHARES_OUT","CY2023")</f>
        <v>149751000</v>
      </c>
      <c r="D399" s="5">
        <f>_xll.SNL.Clients.Office.Excel.Functions.SPG(A399, "IQ_DILUT_EPS_NORM", "CY2023")</f>
        <v>0.89400000000000002</v>
      </c>
      <c r="E399">
        <f t="shared" si="20"/>
        <v>133877.394</v>
      </c>
      <c r="F399">
        <f t="shared" si="21"/>
        <v>8.4834006501447942E-3</v>
      </c>
      <c r="H399" t="b">
        <f t="shared" si="22"/>
        <v>1</v>
      </c>
      <c r="K399" t="s">
        <v>933</v>
      </c>
      <c r="L399">
        <v>15781100</v>
      </c>
      <c r="M399">
        <v>149751000</v>
      </c>
      <c r="N399">
        <v>0.89400000000000002</v>
      </c>
      <c r="O399">
        <v>133877.394</v>
      </c>
      <c r="P399">
        <v>8.4834006501447942E-3</v>
      </c>
    </row>
    <row r="400" spans="1:16" x14ac:dyDescent="0.3">
      <c r="A400" t="s">
        <v>404</v>
      </c>
      <c r="B400" s="4" cm="1">
        <f t="array" ref="B400">_xll.SNL.Clients.Office.Excel.Functions.SPG(A400, "SP_TOTAL_REV", "CY2023")</f>
        <v>36687000</v>
      </c>
      <c r="C400" s="4">
        <f>_xll.SNL.Clients.Office.Excel.Functions.SPG(A400,"IQ_AVG_DILUT_SHARES_OUT","CY2023")</f>
        <v>1148225000</v>
      </c>
      <c r="D400" s="5">
        <f>_xll.SNL.Clients.Office.Excel.Functions.SPG(A400, "IQ_DILUT_EPS_NORM", "CY2023")</f>
        <v>3.0459999999999998</v>
      </c>
      <c r="E400">
        <f t="shared" si="20"/>
        <v>3497493.35</v>
      </c>
      <c r="F400">
        <f t="shared" si="21"/>
        <v>9.5333315615885733E-2</v>
      </c>
      <c r="H400" t="b">
        <f t="shared" si="22"/>
        <v>1</v>
      </c>
      <c r="K400" t="s">
        <v>934</v>
      </c>
      <c r="L400">
        <v>36687000</v>
      </c>
      <c r="M400">
        <v>1148225000</v>
      </c>
      <c r="N400">
        <v>3.0459999999999998</v>
      </c>
      <c r="O400">
        <v>3497493.35</v>
      </c>
      <c r="P400">
        <v>9.5333315615885733E-2</v>
      </c>
    </row>
    <row r="401" spans="1:16" x14ac:dyDescent="0.3">
      <c r="A401" t="s">
        <v>405</v>
      </c>
      <c r="B401" s="4" cm="1">
        <f t="array" ref="B401">_xll.SNL.Clients.Office.Excel.Functions.SPG(A401, "SP_TOTAL_REV", "CY2023")</f>
        <v>11899000</v>
      </c>
      <c r="C401" s="4">
        <f>_xll.SNL.Clients.Office.Excel.Functions.SPG(A401,"IQ_AVG_DILUT_SHARES_OUT","CY2023")</f>
        <v>326568000</v>
      </c>
      <c r="D401" s="5">
        <f>_xll.SNL.Clients.Office.Excel.Functions.SPG(A401, "IQ_DILUT_EPS_NORM", "CY2023")</f>
        <v>4.7919999999999998</v>
      </c>
      <c r="E401">
        <f t="shared" si="20"/>
        <v>1564913.8559999999</v>
      </c>
      <c r="F401">
        <f t="shared" si="21"/>
        <v>0.13151641785023951</v>
      </c>
      <c r="H401" t="b">
        <f t="shared" si="22"/>
        <v>1</v>
      </c>
      <c r="K401" t="s">
        <v>935</v>
      </c>
      <c r="L401">
        <v>11899000</v>
      </c>
      <c r="M401">
        <v>326568000</v>
      </c>
      <c r="N401">
        <v>4.7919999999999998</v>
      </c>
      <c r="O401">
        <v>1564913.8559999999</v>
      </c>
      <c r="P401">
        <v>0.13151641785023951</v>
      </c>
    </row>
    <row r="402" spans="1:16" x14ac:dyDescent="0.3">
      <c r="A402" t="s">
        <v>406</v>
      </c>
      <c r="B402" s="4" cm="1">
        <f t="array" ref="B402">_xll.SNL.Clients.Office.Excel.Functions.SPG(A402, "SP_TOTAL_REV", "CY2023")</f>
        <v>18795316</v>
      </c>
      <c r="C402" s="4">
        <f>_xll.SNL.Clients.Office.Excel.Functions.SPG(A402,"IQ_AVG_DILUT_SHARES_OUT","CY2023")</f>
        <v>167431000</v>
      </c>
      <c r="D402" s="5">
        <f>_xll.SNL.Clients.Office.Excel.Functions.SPG(A402, "IQ_DILUT_EPS_NORM", "CY2023")</f>
        <v>11.917999999999999</v>
      </c>
      <c r="E402">
        <f t="shared" si="20"/>
        <v>1995442.6579999998</v>
      </c>
      <c r="F402">
        <f t="shared" si="21"/>
        <v>0.10616701831456304</v>
      </c>
      <c r="H402" t="b">
        <f t="shared" si="22"/>
        <v>1</v>
      </c>
      <c r="K402" t="s">
        <v>936</v>
      </c>
      <c r="L402">
        <v>18795316</v>
      </c>
      <c r="M402">
        <v>167431000</v>
      </c>
      <c r="N402">
        <v>11.917999999999999</v>
      </c>
      <c r="O402">
        <v>1995442.6579999998</v>
      </c>
      <c r="P402">
        <v>0.10616701831456304</v>
      </c>
    </row>
    <row r="403" spans="1:16" x14ac:dyDescent="0.3">
      <c r="A403" t="s">
        <v>407</v>
      </c>
      <c r="B403" s="4" cm="1">
        <f t="array" ref="B403">_xll.SNL.Clients.Office.Excel.Functions.SPG(A403, "SP_TOTAL_REV", "CY2023")</f>
        <v>4780499</v>
      </c>
      <c r="C403" s="4">
        <f>_xll.SNL.Clients.Office.Excel.Functions.SPG(A403,"IQ_AVG_DILUT_SHARES_OUT","CY2023")</f>
        <v>99804426</v>
      </c>
      <c r="D403" s="5">
        <f>_xll.SNL.Clients.Office.Excel.Functions.SPG(A403, "IQ_DILUT_EPS_NORM", "CY2023")</f>
        <v>4.7130000000000001</v>
      </c>
      <c r="E403">
        <f t="shared" si="20"/>
        <v>470378.25973800005</v>
      </c>
      <c r="F403">
        <f t="shared" si="21"/>
        <v>9.8395221866587584E-2</v>
      </c>
      <c r="H403" t="b">
        <f t="shared" si="22"/>
        <v>1</v>
      </c>
      <c r="K403" t="s">
        <v>937</v>
      </c>
      <c r="L403">
        <v>4780499</v>
      </c>
      <c r="M403">
        <v>99804426</v>
      </c>
      <c r="N403">
        <v>4.7130000000000001</v>
      </c>
      <c r="O403">
        <v>470378.25973800005</v>
      </c>
      <c r="P403">
        <v>9.8395221866587584E-2</v>
      </c>
    </row>
    <row r="404" spans="1:16" x14ac:dyDescent="0.3">
      <c r="A404" t="s">
        <v>408</v>
      </c>
      <c r="B404" s="4" cm="1">
        <f t="array" ref="B404">_xll.SNL.Clients.Office.Excel.Functions.SPG(A404, "SP_TOTAL_REV", "CY2023")</f>
        <v>20498000</v>
      </c>
      <c r="C404" s="4">
        <f>_xll.SNL.Clients.Office.Excel.Functions.SPG(A404,"IQ_AVG_DILUT_SHARES_OUT","CY2023")</f>
        <v>383700000</v>
      </c>
      <c r="D404" s="5">
        <f>_xll.SNL.Clients.Office.Excel.Functions.SPG(A404, "IQ_DILUT_EPS_NORM", "CY2023")</f>
        <v>6.38</v>
      </c>
      <c r="E404">
        <f t="shared" si="20"/>
        <v>2448006</v>
      </c>
      <c r="F404">
        <f t="shared" si="21"/>
        <v>0.11942657820275149</v>
      </c>
      <c r="H404" t="b">
        <f t="shared" si="22"/>
        <v>1</v>
      </c>
      <c r="K404" t="s">
        <v>938</v>
      </c>
      <c r="L404">
        <v>20498000</v>
      </c>
      <c r="M404">
        <v>383700000</v>
      </c>
      <c r="N404">
        <v>6.38</v>
      </c>
      <c r="O404">
        <v>2448006</v>
      </c>
      <c r="P404">
        <v>0.11942657820275149</v>
      </c>
    </row>
    <row r="405" spans="1:16" x14ac:dyDescent="0.3">
      <c r="A405" t="s">
        <v>409</v>
      </c>
      <c r="B405" s="4" cm="1">
        <f t="array" ref="B405">_xll.SNL.Clients.Office.Excel.Functions.SPG(A405, "SP_TOTAL_REV", "CY2023")</f>
        <v>9252753</v>
      </c>
      <c r="C405" s="4">
        <f>_xll.SNL.Clients.Office.Excel.Functions.SPG(A405,"IQ_AVG_DILUT_SHARES_OUT","CY2023")</f>
        <v>570725000</v>
      </c>
      <c r="D405" s="5">
        <f>_xll.SNL.Clients.Office.Excel.Functions.SPG(A405, "IQ_DILUT_EPS_NORM", "CY2023")</f>
        <v>0.94099999999999995</v>
      </c>
      <c r="E405">
        <f t="shared" si="20"/>
        <v>537052.22499999998</v>
      </c>
      <c r="F405">
        <f t="shared" si="21"/>
        <v>5.8042425319253632E-2</v>
      </c>
      <c r="H405" t="b">
        <f t="shared" si="22"/>
        <v>1</v>
      </c>
      <c r="K405" t="s">
        <v>1043</v>
      </c>
      <c r="L405">
        <v>9252753</v>
      </c>
      <c r="M405">
        <v>570725000</v>
      </c>
      <c r="N405">
        <v>0.94099999999999995</v>
      </c>
      <c r="O405">
        <v>537052.22499999998</v>
      </c>
      <c r="P405">
        <v>5.8042425319253632E-2</v>
      </c>
    </row>
    <row r="406" spans="1:16" x14ac:dyDescent="0.3">
      <c r="A406" t="s">
        <v>410</v>
      </c>
      <c r="B406" s="4" cm="1">
        <f t="array" ref="B406">_xll.SNL.Clients.Office.Excel.Functions.SPG(A406, "SP_TOTAL_REV", "CY2023")</f>
        <v>7662000</v>
      </c>
      <c r="C406" s="4">
        <f>_xll.SNL.Clients.Office.Excel.Functions.SPG(A406,"IQ_AVG_DILUT_SHARES_OUT","CY2023")</f>
        <v>423500000</v>
      </c>
      <c r="D406" s="5">
        <f>_xll.SNL.Clients.Office.Excel.Functions.SPG(A406, "IQ_DILUT_EPS_NORM", "CY2023")</f>
        <v>4.774</v>
      </c>
      <c r="E406">
        <f t="shared" si="20"/>
        <v>2021789</v>
      </c>
      <c r="F406">
        <f t="shared" si="21"/>
        <v>0.26387222657269643</v>
      </c>
      <c r="H406" t="b">
        <f t="shared" si="22"/>
        <v>1</v>
      </c>
      <c r="K406" t="s">
        <v>939</v>
      </c>
      <c r="L406">
        <v>7662000</v>
      </c>
      <c r="M406">
        <v>423500000</v>
      </c>
      <c r="N406">
        <v>4.774</v>
      </c>
      <c r="O406">
        <v>2021789</v>
      </c>
      <c r="P406">
        <v>0.26387222657269643</v>
      </c>
    </row>
    <row r="407" spans="1:16" x14ac:dyDescent="0.3">
      <c r="A407" t="s">
        <v>411</v>
      </c>
      <c r="B407" s="4" cm="1">
        <f t="array" ref="B407">_xll.SNL.Clients.Office.Excel.Functions.SPG(A407, "SP_TOTAL_REV", "CY2023")</f>
        <v>6120111</v>
      </c>
      <c r="C407" s="4">
        <f>_xll.SNL.Clients.Office.Excel.Functions.SPG(A407,"IQ_AVG_DILUT_SHARES_OUT","CY2023")</f>
        <v>155218000</v>
      </c>
      <c r="D407" s="5">
        <f>_xll.SNL.Clients.Office.Excel.Functions.SPG(A407, "IQ_DILUT_EPS_NORM", "CY2023")</f>
        <v>5.9690000000000003</v>
      </c>
      <c r="E407">
        <f t="shared" si="20"/>
        <v>926496.24199999997</v>
      </c>
      <c r="F407">
        <f t="shared" si="21"/>
        <v>0.1513855291186712</v>
      </c>
      <c r="H407" t="b">
        <f t="shared" si="22"/>
        <v>1</v>
      </c>
      <c r="K407" t="s">
        <v>940</v>
      </c>
      <c r="L407">
        <v>6120111</v>
      </c>
      <c r="M407">
        <v>155218000</v>
      </c>
      <c r="N407">
        <v>5.9690000000000003</v>
      </c>
      <c r="O407">
        <v>926496.24199999997</v>
      </c>
      <c r="P407">
        <v>0.1513855291186712</v>
      </c>
    </row>
    <row r="408" spans="1:16" x14ac:dyDescent="0.3">
      <c r="A408" t="s">
        <v>412</v>
      </c>
      <c r="B408" s="4" cm="1">
        <f t="array" ref="B408">_xll.SNL.Clients.Office.Excel.Functions.SPG(A408, "SP_TOTAL_REV", "CY2023")</f>
        <v>77512159</v>
      </c>
      <c r="C408" s="4">
        <f>_xll.SNL.Clients.Office.Excel.Functions.SPG(A408,"IQ_AVG_DILUT_SHARES_OUT","CY2023")</f>
        <v>507837214</v>
      </c>
      <c r="D408" s="5">
        <f>_xll.SNL.Clients.Office.Excel.Functions.SPG(A408, "IQ_DILUT_EPS_NORM", "CY2023")</f>
        <v>3.843</v>
      </c>
      <c r="E408">
        <f t="shared" si="20"/>
        <v>1951618.413402</v>
      </c>
      <c r="F408">
        <f t="shared" si="21"/>
        <v>2.5178222856648853E-2</v>
      </c>
      <c r="H408" t="b">
        <f t="shared" si="22"/>
        <v>1</v>
      </c>
      <c r="K408" t="s">
        <v>941</v>
      </c>
      <c r="L408">
        <v>77512159</v>
      </c>
      <c r="M408">
        <v>507837214</v>
      </c>
      <c r="N408">
        <v>3.843</v>
      </c>
      <c r="O408">
        <v>1951618.413402</v>
      </c>
      <c r="P408">
        <v>2.5178222856648853E-2</v>
      </c>
    </row>
    <row r="409" spans="1:16" x14ac:dyDescent="0.3">
      <c r="A409" t="s">
        <v>413</v>
      </c>
      <c r="B409" s="4" cm="1">
        <f t="array" ref="B409">_xll.SNL.Clients.Office.Excel.Functions.SPG(A409, "SP_TOTAL_REV", "CY2023")</f>
        <v>78558000</v>
      </c>
      <c r="C409" s="4">
        <f>_xll.SNL.Clients.Office.Excel.Functions.SPG(A409,"IQ_AVG_DILUT_SHARES_OUT","CY2023")</f>
        <v>1200286264</v>
      </c>
      <c r="D409" s="5">
        <f>_xll.SNL.Clients.Office.Excel.Functions.SPG(A409, "IQ_DILUT_EPS_NORM", "CY2023")</f>
        <v>6.4930000000000003</v>
      </c>
      <c r="E409">
        <f t="shared" si="20"/>
        <v>7793458.7121520005</v>
      </c>
      <c r="F409">
        <f t="shared" si="21"/>
        <v>9.9206429799027482E-2</v>
      </c>
      <c r="H409" t="b">
        <f t="shared" si="22"/>
        <v>1</v>
      </c>
      <c r="K409" t="s">
        <v>942</v>
      </c>
      <c r="L409">
        <v>78558000</v>
      </c>
      <c r="M409">
        <v>1200286264</v>
      </c>
      <c r="N409">
        <v>6.4930000000000003</v>
      </c>
      <c r="O409">
        <v>7793458.7121520005</v>
      </c>
      <c r="P409">
        <v>9.9206429799027482E-2</v>
      </c>
    </row>
    <row r="410" spans="1:16" x14ac:dyDescent="0.3">
      <c r="A410" t="s">
        <v>414</v>
      </c>
      <c r="B410" s="4" cm="1">
        <f t="array" ref="B410">_xll.SNL.Clients.Office.Excel.Functions.SPG(A410, "SP_TOTAL_REV", "CY2023")</f>
        <v>6460500</v>
      </c>
      <c r="C410" s="4">
        <f>_xll.SNL.Clients.Office.Excel.Functions.SPG(A410,"IQ_AVG_DILUT_SHARES_OUT","CY2023")</f>
        <v>224800000</v>
      </c>
      <c r="D410" s="5">
        <f>_xll.SNL.Clients.Office.Excel.Functions.SPG(A410, "IQ_DILUT_EPS_NORM", "CY2023")</f>
        <v>6.4850000000000003</v>
      </c>
      <c r="E410">
        <f t="shared" si="20"/>
        <v>1457828</v>
      </c>
      <c r="F410">
        <f t="shared" si="21"/>
        <v>0.22565250367618606</v>
      </c>
      <c r="H410" t="b">
        <f t="shared" si="22"/>
        <v>1</v>
      </c>
      <c r="K410" t="s">
        <v>943</v>
      </c>
      <c r="L410">
        <v>6460500</v>
      </c>
      <c r="M410">
        <v>224800000</v>
      </c>
      <c r="N410">
        <v>6.4850000000000003</v>
      </c>
      <c r="O410">
        <v>1457828</v>
      </c>
      <c r="P410">
        <v>0.22565250367618606</v>
      </c>
    </row>
    <row r="411" spans="1:16" x14ac:dyDescent="0.3">
      <c r="A411" t="s">
        <v>415</v>
      </c>
      <c r="B411" s="4" cm="1">
        <f t="array" ref="B411">_xll.SNL.Clients.Office.Excel.Functions.SPG(A411, "SP_TOTAL_REV", "CY2023")</f>
        <v>5396400</v>
      </c>
      <c r="C411" s="4">
        <f>_xll.SNL.Clients.Office.Excel.Functions.SPG(A411,"IQ_AVG_DILUT_SHARES_OUT","CY2023")</f>
        <v>169374873</v>
      </c>
      <c r="D411" s="5">
        <f>_xll.SNL.Clients.Office.Excel.Functions.SPG(A411, "IQ_DILUT_EPS_NORM", "CY2023")</f>
        <v>-2.3439999999999999</v>
      </c>
      <c r="E411">
        <f t="shared" si="20"/>
        <v>-397014.70231199998</v>
      </c>
      <c r="F411">
        <f t="shared" si="21"/>
        <v>-7.3570288027573941E-2</v>
      </c>
      <c r="H411" t="b">
        <f t="shared" si="22"/>
        <v>1</v>
      </c>
      <c r="K411" t="s">
        <v>944</v>
      </c>
      <c r="L411">
        <v>5396400</v>
      </c>
      <c r="M411">
        <v>169374873</v>
      </c>
      <c r="N411">
        <v>-2.3439999999999999</v>
      </c>
      <c r="O411">
        <v>-397014.70231199998</v>
      </c>
      <c r="P411">
        <v>-7.3570288027573941E-2</v>
      </c>
    </row>
    <row r="412" spans="1:16" x14ac:dyDescent="0.3">
      <c r="A412" t="s">
        <v>416</v>
      </c>
      <c r="B412" s="4" cm="1">
        <f t="array" ref="B412">_xll.SNL.Clients.Office.Excel.Functions.SPG(A412, "SP_TOTAL_REV", "CY2023")</f>
        <v>6726700</v>
      </c>
      <c r="C412" s="4">
        <f>_xll.SNL.Clients.Office.Excel.Functions.SPG(A412,"IQ_AVG_DILUT_SHARES_OUT","CY2023")</f>
        <v>234800000</v>
      </c>
      <c r="D412" s="5">
        <f>_xll.SNL.Clients.Office.Excel.Functions.SPG(A412, "IQ_DILUT_EPS_NORM", "CY2023")</f>
        <v>3.2749999999999999</v>
      </c>
      <c r="E412">
        <f t="shared" si="20"/>
        <v>768970</v>
      </c>
      <c r="F412">
        <f t="shared" si="21"/>
        <v>0.11431608366658243</v>
      </c>
      <c r="H412" t="b">
        <f t="shared" si="22"/>
        <v>1</v>
      </c>
      <c r="K412" t="s">
        <v>945</v>
      </c>
      <c r="L412">
        <v>6726700</v>
      </c>
      <c r="M412">
        <v>234800000</v>
      </c>
      <c r="N412">
        <v>3.2749999999999999</v>
      </c>
      <c r="O412">
        <v>768970</v>
      </c>
      <c r="P412">
        <v>0.11431608366658243</v>
      </c>
    </row>
    <row r="413" spans="1:16" x14ac:dyDescent="0.3">
      <c r="A413" t="s">
        <v>417</v>
      </c>
      <c r="B413" s="4" cm="1">
        <f t="array" ref="B413">_xll.SNL.Clients.Office.Excel.Functions.SPG(A413, "SP_TOTAL_REV", "CY2023")</f>
        <v>16060300</v>
      </c>
      <c r="C413" s="4">
        <f>_xll.SNL.Clients.Office.Excel.Functions.SPG(A413,"IQ_AVG_DILUT_SHARES_OUT","CY2023")</f>
        <v>226000000</v>
      </c>
      <c r="D413" s="5">
        <f>_xll.SNL.Clients.Office.Excel.Functions.SPG(A413, "IQ_DILUT_EPS_NORM", "CY2023")</f>
        <v>4.3449999999999998</v>
      </c>
      <c r="E413">
        <f t="shared" si="20"/>
        <v>981970</v>
      </c>
      <c r="F413">
        <f t="shared" si="21"/>
        <v>6.1142693473969972E-2</v>
      </c>
      <c r="H413" t="b">
        <f t="shared" si="22"/>
        <v>1</v>
      </c>
      <c r="K413" t="s">
        <v>946</v>
      </c>
      <c r="L413">
        <v>16060300</v>
      </c>
      <c r="M413">
        <v>226000000</v>
      </c>
      <c r="N413">
        <v>4.3449999999999998</v>
      </c>
      <c r="O413">
        <v>981970</v>
      </c>
      <c r="P413">
        <v>6.1142693473969972E-2</v>
      </c>
    </row>
    <row r="414" spans="1:16" x14ac:dyDescent="0.3">
      <c r="A414" t="s">
        <v>418</v>
      </c>
      <c r="B414" s="4" cm="1">
        <f t="array" ref="B414">_xll.SNL.Clients.Office.Excel.Functions.SPG(A414, "SP_TOTAL_REV", "CY2023")</f>
        <v>107412000</v>
      </c>
      <c r="C414" s="4">
        <f>_xll.SNL.Clients.Office.Excel.Functions.SPG(A414,"IQ_AVG_DILUT_SHARES_OUT","CY2023")</f>
        <v>462800000</v>
      </c>
      <c r="D414" s="5">
        <f>_xll.SNL.Clients.Office.Excel.Functions.SPG(A414, "IQ_DILUT_EPS_NORM", "CY2023")</f>
        <v>7.2910000000000004</v>
      </c>
      <c r="E414">
        <f t="shared" si="20"/>
        <v>3374274.8</v>
      </c>
      <c r="F414">
        <f t="shared" si="21"/>
        <v>3.1414318698097042E-2</v>
      </c>
      <c r="H414" t="b">
        <f t="shared" si="22"/>
        <v>1</v>
      </c>
      <c r="K414" t="s">
        <v>947</v>
      </c>
      <c r="L414">
        <v>107412000</v>
      </c>
      <c r="M414">
        <v>462800000</v>
      </c>
      <c r="N414">
        <v>7.2910000000000004</v>
      </c>
      <c r="O414">
        <v>3374274.8</v>
      </c>
      <c r="P414">
        <v>3.1414318698097042E-2</v>
      </c>
    </row>
    <row r="415" spans="1:16" x14ac:dyDescent="0.3">
      <c r="A415" t="s">
        <v>419</v>
      </c>
      <c r="B415" s="4" cm="1">
        <f t="array" ref="B415">_xll.SNL.Clients.Office.Excel.Functions.SPG(A415, "SP_TOTAL_REV", "CY2023")</f>
        <v>16024000</v>
      </c>
      <c r="C415" s="4">
        <f>_xll.SNL.Clients.Office.Excel.Functions.SPG(A415,"IQ_AVG_DILUT_SHARES_OUT","CY2023")</f>
        <v>315500000</v>
      </c>
      <c r="D415" s="5">
        <f>_xll.SNL.Clients.Office.Excel.Functions.SPG(A415, "IQ_DILUT_EPS_NORM", "CY2023")</f>
        <v>5.4690000000000003</v>
      </c>
      <c r="E415">
        <f t="shared" si="20"/>
        <v>1725469.5</v>
      </c>
      <c r="F415">
        <f t="shared" si="21"/>
        <v>0.10768032326510235</v>
      </c>
      <c r="H415" t="b">
        <f t="shared" si="22"/>
        <v>1</v>
      </c>
      <c r="K415" t="s">
        <v>948</v>
      </c>
      <c r="L415">
        <v>16024000</v>
      </c>
      <c r="M415">
        <v>315500000</v>
      </c>
      <c r="N415">
        <v>5.4690000000000003</v>
      </c>
      <c r="O415">
        <v>1725469.5</v>
      </c>
      <c r="P415">
        <v>0.10768032326510235</v>
      </c>
    </row>
    <row r="416" spans="1:16" x14ac:dyDescent="0.3">
      <c r="A416" t="s">
        <v>420</v>
      </c>
      <c r="B416" s="4" cm="1">
        <f t="array" ref="B416">_xll.SNL.Clients.Office.Excel.Functions.SPG(A416, "SP_TOTAL_REV", "CY2023")</f>
        <v>5635500</v>
      </c>
      <c r="C416" s="4">
        <f>_xll.SNL.Clients.Office.Excel.Functions.SPG(A416,"IQ_AVG_DILUT_SHARES_OUT","CY2023")</f>
        <v>47900000</v>
      </c>
      <c r="D416" s="5">
        <f>_xll.SNL.Clients.Office.Excel.Functions.SPG(A416, "IQ_DILUT_EPS_NORM", "CY2023")</f>
        <v>12.472</v>
      </c>
      <c r="E416">
        <f t="shared" si="20"/>
        <v>597408.80000000005</v>
      </c>
      <c r="F416">
        <f t="shared" si="21"/>
        <v>0.10600812705172567</v>
      </c>
      <c r="H416" t="b">
        <f t="shared" si="22"/>
        <v>1</v>
      </c>
      <c r="K416" t="s">
        <v>949</v>
      </c>
      <c r="L416">
        <v>5635500</v>
      </c>
      <c r="M416">
        <v>47900000</v>
      </c>
      <c r="N416">
        <v>12.472</v>
      </c>
      <c r="O416">
        <v>597408.80000000005</v>
      </c>
      <c r="P416">
        <v>0.10600812705172567</v>
      </c>
    </row>
    <row r="417" spans="1:16" x14ac:dyDescent="0.3">
      <c r="A417" t="s">
        <v>421</v>
      </c>
      <c r="B417" s="4" cm="1">
        <f t="array" ref="B417">_xll.SNL.Clients.Office.Excel.Functions.SPG(A417, "SP_TOTAL_REV", "CY2023")</f>
        <v>2974489</v>
      </c>
      <c r="C417" s="4">
        <f>_xll.SNL.Clients.Office.Excel.Functions.SPG(A417,"IQ_AVG_DILUT_SHARES_OUT","CY2023")</f>
        <v>47304000</v>
      </c>
      <c r="D417" s="5">
        <f>_xll.SNL.Clients.Office.Excel.Functions.SPG(A417, "IQ_DILUT_EPS_NORM", "CY2023")</f>
        <v>5.6719999999999997</v>
      </c>
      <c r="E417">
        <f t="shared" si="20"/>
        <v>268308.288</v>
      </c>
      <c r="F417">
        <f t="shared" si="21"/>
        <v>9.0203153550071968E-2</v>
      </c>
      <c r="H417" t="b">
        <f t="shared" si="22"/>
        <v>1</v>
      </c>
      <c r="K417" t="s">
        <v>950</v>
      </c>
      <c r="L417">
        <v>2974489</v>
      </c>
      <c r="M417">
        <v>47304000</v>
      </c>
      <c r="N417">
        <v>5.6719999999999997</v>
      </c>
      <c r="O417">
        <v>268308.288</v>
      </c>
      <c r="P417">
        <v>9.0203153550071968E-2</v>
      </c>
    </row>
    <row r="418" spans="1:16" x14ac:dyDescent="0.3">
      <c r="A418" t="s">
        <v>422</v>
      </c>
      <c r="B418" s="4" cm="1">
        <f t="array" ref="B418">_xll.SNL.Clients.Office.Excel.Functions.SPG(A418, "SP_TOTAL_REV", "CY2023")</f>
        <v>2676298</v>
      </c>
      <c r="C418" s="4">
        <f>_xll.SNL.Clients.Office.Excel.Functions.SPG(A418,"IQ_AVG_DILUT_SHARES_OUT","CY2023")</f>
        <v>164304000</v>
      </c>
      <c r="D418" s="5">
        <f>_xll.SNL.Clients.Office.Excel.Functions.SPG(A418, "IQ_DILUT_EPS_NORM", "CY2023")</f>
        <v>2.0499999999999998</v>
      </c>
      <c r="E418">
        <f t="shared" si="20"/>
        <v>336823.2</v>
      </c>
      <c r="F418">
        <f t="shared" si="21"/>
        <v>0.12585414628714739</v>
      </c>
      <c r="H418" t="b">
        <f t="shared" si="22"/>
        <v>1</v>
      </c>
      <c r="K418" t="s">
        <v>951</v>
      </c>
      <c r="L418">
        <v>2676298</v>
      </c>
      <c r="M418">
        <v>164304000</v>
      </c>
      <c r="N418">
        <v>2.0499999999999998</v>
      </c>
      <c r="O418">
        <v>336823.2</v>
      </c>
      <c r="P418">
        <v>0.12585414628714739</v>
      </c>
    </row>
    <row r="419" spans="1:16" x14ac:dyDescent="0.3">
      <c r="A419" t="s">
        <v>423</v>
      </c>
      <c r="B419" s="4" cm="1">
        <f t="array" ref="B419">_xll.SNL.Clients.Office.Excel.Functions.SPG(A419, "SP_TOTAL_REV", "CY2023")</f>
        <v>96773000</v>
      </c>
      <c r="C419" s="4">
        <f>_xll.SNL.Clients.Office.Excel.Functions.SPG(A419,"IQ_AVG_DILUT_SHARES_OUT","CY2023")</f>
        <v>3485000000</v>
      </c>
      <c r="D419" s="5" t="str">
        <f>_xll.SNL.Clients.Office.Excel.Functions.SPG(A419, "IQ_DILUT_EPS_NORM", "CY2023")</f>
        <v>NA</v>
      </c>
      <c r="E419" t="e">
        <f t="shared" si="20"/>
        <v>#VALUE!</v>
      </c>
      <c r="F419" t="e">
        <f t="shared" si="21"/>
        <v>#VALUE!</v>
      </c>
      <c r="H419" t="b">
        <f t="shared" si="22"/>
        <v>1</v>
      </c>
      <c r="K419" t="s">
        <v>952</v>
      </c>
      <c r="L419">
        <v>96773000</v>
      </c>
      <c r="M419">
        <v>3485000000</v>
      </c>
      <c r="N419" t="s">
        <v>1049</v>
      </c>
      <c r="O419" t="e">
        <v>#VALUE!</v>
      </c>
      <c r="P419" t="e">
        <v>#VALUE!</v>
      </c>
    </row>
    <row r="420" spans="1:16" x14ac:dyDescent="0.3">
      <c r="A420" t="s">
        <v>424</v>
      </c>
      <c r="B420" s="4" cm="1">
        <f t="array" ref="B420">_xll.SNL.Clients.Office.Excel.Functions.SPG(A420, "SP_TOTAL_REV", "CY2023")</f>
        <v>17519000</v>
      </c>
      <c r="C420" s="4">
        <f>_xll.SNL.Clients.Office.Excel.Functions.SPG(A420,"IQ_AVG_DILUT_SHARES_OUT","CY2023")</f>
        <v>916000000</v>
      </c>
      <c r="D420" s="5">
        <f>_xll.SNL.Clients.Office.Excel.Functions.SPG(A420, "IQ_DILUT_EPS_NORM", "CY2023")</f>
        <v>5.0609999999999999</v>
      </c>
      <c r="E420">
        <f t="shared" si="20"/>
        <v>4635876</v>
      </c>
      <c r="F420">
        <f t="shared" si="21"/>
        <v>0.26461989839602718</v>
      </c>
      <c r="H420" t="b">
        <f t="shared" si="22"/>
        <v>1</v>
      </c>
      <c r="K420" t="s">
        <v>953</v>
      </c>
      <c r="L420">
        <v>17519000</v>
      </c>
      <c r="M420">
        <v>916000000</v>
      </c>
      <c r="N420">
        <v>5.0609999999999999</v>
      </c>
      <c r="O420">
        <v>4635876</v>
      </c>
      <c r="P420">
        <v>0.26461989839602718</v>
      </c>
    </row>
    <row r="421" spans="1:16" x14ac:dyDescent="0.3">
      <c r="A421" t="s">
        <v>425</v>
      </c>
      <c r="B421" s="4" cm="1">
        <f t="array" ref="B421">_xll.SNL.Clients.Office.Excel.Functions.SPG(A421, "SP_TOTAL_REV", "CY2023")</f>
        <v>631595</v>
      </c>
      <c r="C421" s="4">
        <f>_xll.SNL.Clients.Office.Excel.Functions.SPG(A421,"IQ_AVG_DILUT_SHARES_OUT","CY2023")</f>
        <v>23059845</v>
      </c>
      <c r="D421" s="5">
        <f>_xll.SNL.Clients.Office.Excel.Functions.SPG(A421, "IQ_DILUT_EPS_NORM", "CY2023")</f>
        <v>14.041</v>
      </c>
      <c r="E421">
        <f t="shared" si="20"/>
        <v>323783.28364499996</v>
      </c>
      <c r="F421">
        <f t="shared" si="21"/>
        <v>0.51264383607374975</v>
      </c>
      <c r="H421" t="b">
        <f t="shared" si="22"/>
        <v>1</v>
      </c>
      <c r="K421" t="s">
        <v>1044</v>
      </c>
      <c r="L421">
        <v>631595</v>
      </c>
      <c r="M421">
        <v>23059845</v>
      </c>
      <c r="N421">
        <v>14.041</v>
      </c>
      <c r="O421">
        <v>323783.28364499996</v>
      </c>
      <c r="P421">
        <v>0.51264383607374975</v>
      </c>
    </row>
    <row r="422" spans="1:16" x14ac:dyDescent="0.3">
      <c r="A422" t="s">
        <v>426</v>
      </c>
      <c r="B422" s="4" cm="1">
        <f t="array" ref="B422">_xll.SNL.Clients.Office.Excel.Functions.SPG(A422, "SP_TOTAL_REV", "CY2023")</f>
        <v>13683000</v>
      </c>
      <c r="C422" s="4">
        <f>_xll.SNL.Clients.Office.Excel.Functions.SPG(A422,"IQ_AVG_DILUT_SHARES_OUT","CY2023")</f>
        <v>201774000</v>
      </c>
      <c r="D422" s="5">
        <f>_xll.SNL.Clients.Office.Excel.Functions.SPG(A422, "IQ_DILUT_EPS_NORM", "CY2023")</f>
        <v>3.7570000000000001</v>
      </c>
      <c r="E422">
        <f t="shared" si="20"/>
        <v>758064.91799999995</v>
      </c>
      <c r="F422">
        <f t="shared" si="21"/>
        <v>5.5401952641964479E-2</v>
      </c>
      <c r="H422" t="b">
        <f t="shared" si="22"/>
        <v>1</v>
      </c>
      <c r="K422" t="s">
        <v>954</v>
      </c>
      <c r="L422">
        <v>13683000</v>
      </c>
      <c r="M422">
        <v>201774000</v>
      </c>
      <c r="N422">
        <v>3.7570000000000001</v>
      </c>
      <c r="O422">
        <v>758064.91799999995</v>
      </c>
      <c r="P422">
        <v>5.5401952641964479E-2</v>
      </c>
    </row>
    <row r="423" spans="1:16" x14ac:dyDescent="0.3">
      <c r="A423" t="s">
        <v>427</v>
      </c>
      <c r="B423" s="4" cm="1">
        <f t="array" ref="B423">_xll.SNL.Clients.Office.Excel.Functions.SPG(A423, "SP_TOTAL_REV", "CY2023")</f>
        <v>12668000</v>
      </c>
      <c r="C423" s="4">
        <f>_xll.SNL.Clients.Office.Excel.Functions.SPG(A423,"IQ_AVG_DILUT_SHARES_OUT","CY2023")</f>
        <v>712000000</v>
      </c>
      <c r="D423" s="5">
        <f>_xll.SNL.Clients.Office.Excel.Functions.SPG(A423, "IQ_DILUT_EPS_NORM", "CY2023")</f>
        <v>1.5589999999999999</v>
      </c>
      <c r="E423">
        <f t="shared" si="20"/>
        <v>1110008</v>
      </c>
      <c r="F423">
        <f t="shared" si="21"/>
        <v>8.7622987053994322E-2</v>
      </c>
      <c r="H423" t="b">
        <f t="shared" si="22"/>
        <v>1</v>
      </c>
      <c r="K423" t="s">
        <v>523</v>
      </c>
      <c r="L423">
        <v>12668000</v>
      </c>
      <c r="M423">
        <v>712000000</v>
      </c>
      <c r="N423">
        <v>1.5589999999999999</v>
      </c>
      <c r="O423">
        <v>1110008</v>
      </c>
      <c r="P423">
        <v>8.7622987053994322E-2</v>
      </c>
    </row>
    <row r="424" spans="1:16" x14ac:dyDescent="0.3">
      <c r="A424" t="s">
        <v>428</v>
      </c>
      <c r="B424" s="4" cm="1">
        <f t="array" ref="B424">_xll.SNL.Clients.Office.Excel.Functions.SPG(A424, "SP_TOTAL_REV", "CY2023")</f>
        <v>57094000</v>
      </c>
      <c r="C424" s="4">
        <f>_xll.SNL.Clients.Office.Excel.Functions.SPG(A424,"IQ_AVG_DILUT_SHARES_OUT","CY2023")</f>
        <v>262500000</v>
      </c>
      <c r="D424" s="5">
        <f>_xll.SNL.Clients.Office.Excel.Functions.SPG(A424, "IQ_DILUT_EPS_NORM", "CY2023")</f>
        <v>-0.33100000000000002</v>
      </c>
      <c r="E424">
        <f t="shared" si="20"/>
        <v>-86887.5</v>
      </c>
      <c r="F424">
        <f t="shared" si="21"/>
        <v>-1.5218324167162924E-3</v>
      </c>
      <c r="H424" t="b">
        <f t="shared" si="22"/>
        <v>1</v>
      </c>
      <c r="K424" t="s">
        <v>534</v>
      </c>
      <c r="L424">
        <v>57094000</v>
      </c>
      <c r="M424">
        <v>262500000</v>
      </c>
      <c r="N424">
        <v>-0.33100000000000002</v>
      </c>
      <c r="O424">
        <v>-86887.5</v>
      </c>
      <c r="P424">
        <v>-1.5218324167162924E-3</v>
      </c>
    </row>
    <row r="425" spans="1:16" x14ac:dyDescent="0.3">
      <c r="A425" t="s">
        <v>429</v>
      </c>
      <c r="B425" s="4" cm="1">
        <f t="array" ref="B425">_xll.SNL.Clients.Office.Excel.Functions.SPG(A425, "SP_TOTAL_REV", "CY2023")</f>
        <v>17383000</v>
      </c>
      <c r="C425" s="4">
        <f>_xll.SNL.Clients.Office.Excel.Functions.SPG(A425,"IQ_AVG_DILUT_SHARES_OUT","CY2023")</f>
        <v>787798000</v>
      </c>
      <c r="D425" s="5">
        <f>_xll.SNL.Clients.Office.Excel.Functions.SPG(A425, "IQ_DILUT_EPS_NORM", "CY2023")</f>
        <v>4.0279999999999996</v>
      </c>
      <c r="E425">
        <f t="shared" si="20"/>
        <v>3173250.3439999996</v>
      </c>
      <c r="F425">
        <f t="shared" si="21"/>
        <v>0.18254906195708448</v>
      </c>
      <c r="H425" t="b">
        <f t="shared" si="22"/>
        <v>1</v>
      </c>
      <c r="K425" t="s">
        <v>574</v>
      </c>
      <c r="L425">
        <v>17383000</v>
      </c>
      <c r="M425">
        <v>787798000</v>
      </c>
      <c r="N425">
        <v>4.0279999999999996</v>
      </c>
      <c r="O425">
        <v>3173250.3439999996</v>
      </c>
      <c r="P425">
        <v>0.18254906195708448</v>
      </c>
    </row>
    <row r="426" spans="1:16" x14ac:dyDescent="0.3">
      <c r="A426" t="s">
        <v>430</v>
      </c>
      <c r="B426" s="4" cm="1">
        <f t="array" ref="B426">_xll.SNL.Clients.Office.Excel.Functions.SPG(A426, "SP_TOTAL_REV", "CY2023")</f>
        <v>77794000</v>
      </c>
      <c r="C426" s="4">
        <f>_xll.SNL.Clients.Office.Excel.Functions.SPG(A426,"IQ_AVG_DILUT_SHARES_OUT","CY2023")</f>
        <v>605800000</v>
      </c>
      <c r="D426" s="5">
        <f>_xll.SNL.Clients.Office.Excel.Functions.SPG(A426, "IQ_DILUT_EPS_NORM", "CY2023")</f>
        <v>-0.46200000000000002</v>
      </c>
      <c r="E426">
        <f t="shared" si="20"/>
        <v>-279879.59999999998</v>
      </c>
      <c r="F426">
        <f t="shared" si="21"/>
        <v>-3.5977016222330767E-3</v>
      </c>
      <c r="H426" t="b">
        <f t="shared" si="22"/>
        <v>1</v>
      </c>
      <c r="K426" t="s">
        <v>585</v>
      </c>
      <c r="L426">
        <v>77794000</v>
      </c>
      <c r="M426">
        <v>605800000</v>
      </c>
      <c r="N426">
        <v>-0.46200000000000002</v>
      </c>
      <c r="O426">
        <v>-279879.59999999998</v>
      </c>
      <c r="P426">
        <v>-3.5977016222330767E-3</v>
      </c>
    </row>
    <row r="427" spans="1:16" x14ac:dyDescent="0.3">
      <c r="A427" t="s">
        <v>431</v>
      </c>
      <c r="B427" s="4" cm="1">
        <f t="array" ref="B427">_xll.SNL.Clients.Office.Excel.Functions.SPG(A427, "SP_TOTAL_REV", "CY2023")</f>
        <v>9271000</v>
      </c>
      <c r="C427" s="4">
        <f>_xll.SNL.Clients.Office.Excel.Functions.SPG(A427,"IQ_AVG_DILUT_SHARES_OUT","CY2023")</f>
        <v>300000000</v>
      </c>
      <c r="D427" s="5">
        <f>_xll.SNL.Clients.Office.Excel.Functions.SPG(A427, "IQ_DILUT_EPS_NORM", "CY2023")</f>
        <v>2.444</v>
      </c>
      <c r="E427">
        <f t="shared" si="20"/>
        <v>733200</v>
      </c>
      <c r="F427">
        <f t="shared" si="21"/>
        <v>7.9085319814475252E-2</v>
      </c>
      <c r="H427" t="b">
        <f t="shared" si="22"/>
        <v>1</v>
      </c>
      <c r="K427" t="s">
        <v>599</v>
      </c>
      <c r="L427">
        <v>9271000</v>
      </c>
      <c r="M427">
        <v>300000000</v>
      </c>
      <c r="N427">
        <v>2.444</v>
      </c>
      <c r="O427">
        <v>733200</v>
      </c>
      <c r="P427">
        <v>7.9085319814475252E-2</v>
      </c>
    </row>
    <row r="428" spans="1:16" x14ac:dyDescent="0.3">
      <c r="A428" t="s">
        <v>432</v>
      </c>
      <c r="B428" s="4" cm="1">
        <f t="array" ref="B428">_xll.SNL.Clients.Office.Excel.Functions.SPG(A428, "SP_TOTAL_REV", "CY2023")</f>
        <v>18837000</v>
      </c>
      <c r="C428" s="4">
        <f>_xll.SNL.Clients.Office.Excel.Functions.SPG(A428,"IQ_AVG_DILUT_SHARES_OUT","CY2023")</f>
        <v>1831000000</v>
      </c>
      <c r="D428" s="5">
        <f>_xll.SNL.Clients.Office.Excel.Functions.SPG(A428, "IQ_DILUT_EPS_NORM", "CY2023")</f>
        <v>2.4729999999999999</v>
      </c>
      <c r="E428">
        <f t="shared" si="20"/>
        <v>4528063</v>
      </c>
      <c r="F428">
        <f t="shared" si="21"/>
        <v>0.24038132399001963</v>
      </c>
      <c r="H428" t="b">
        <f t="shared" si="22"/>
        <v>1</v>
      </c>
      <c r="K428" t="s">
        <v>617</v>
      </c>
      <c r="L428">
        <v>18837000</v>
      </c>
      <c r="M428">
        <v>1831000000</v>
      </c>
      <c r="N428">
        <v>2.4729999999999999</v>
      </c>
      <c r="O428">
        <v>4528063</v>
      </c>
      <c r="P428">
        <v>0.24038132399001963</v>
      </c>
    </row>
    <row r="429" spans="1:16" x14ac:dyDescent="0.3">
      <c r="A429" t="s">
        <v>433</v>
      </c>
      <c r="B429" s="4" cm="1">
        <f t="array" ref="B429">_xll.SNL.Clients.Office.Excel.Functions.SPG(A429, "SP_TOTAL_REV", "CY2023")</f>
        <v>195187000</v>
      </c>
      <c r="C429" s="4">
        <f>_xll.SNL.Clients.Office.Excel.Functions.SPG(A429,"IQ_AVG_DILUT_SHARES_OUT","CY2023")</f>
        <v>296882000</v>
      </c>
      <c r="D429" s="5">
        <f>_xll.SNL.Clients.Office.Excel.Functions.SPG(A429, "IQ_DILUT_EPS_NORM", "CY2023")</f>
        <v>15.11</v>
      </c>
      <c r="E429">
        <f t="shared" si="20"/>
        <v>4485887.0199999996</v>
      </c>
      <c r="F429">
        <f t="shared" si="21"/>
        <v>2.2982509183500949E-2</v>
      </c>
      <c r="H429" t="b">
        <f t="shared" si="22"/>
        <v>1</v>
      </c>
      <c r="K429" t="s">
        <v>623</v>
      </c>
      <c r="L429">
        <v>195187000</v>
      </c>
      <c r="M429">
        <v>296882000</v>
      </c>
      <c r="N429">
        <v>15.11</v>
      </c>
      <c r="O429">
        <v>4485887.0199999996</v>
      </c>
      <c r="P429">
        <v>2.2982509183500949E-2</v>
      </c>
    </row>
    <row r="430" spans="1:16" x14ac:dyDescent="0.3">
      <c r="A430" t="s">
        <v>434</v>
      </c>
      <c r="B430" s="4" cm="1">
        <f t="array" ref="B430">_xll.SNL.Clients.Office.Excel.Functions.SPG(A430, "SP_TOTAL_REV", "CY2023")</f>
        <v>7310000</v>
      </c>
      <c r="C430" s="4">
        <f>_xll.SNL.Clients.Office.Excel.Functions.SPG(A430,"IQ_AVG_DILUT_SHARES_OUT","CY2023")</f>
        <v>124523000</v>
      </c>
      <c r="D430" s="5">
        <f>_xll.SNL.Clients.Office.Excel.Functions.SPG(A430, "IQ_DILUT_EPS_NORM", "CY2023")</f>
        <v>3.7050000000000001</v>
      </c>
      <c r="E430">
        <f t="shared" si="20"/>
        <v>461357.71500000003</v>
      </c>
      <c r="F430">
        <f t="shared" si="21"/>
        <v>6.3113230506155957E-2</v>
      </c>
      <c r="H430" t="b">
        <f t="shared" si="22"/>
        <v>1</v>
      </c>
      <c r="K430" t="s">
        <v>629</v>
      </c>
      <c r="L430">
        <v>7310000</v>
      </c>
      <c r="M430">
        <v>124523000</v>
      </c>
      <c r="N430">
        <v>3.7050000000000001</v>
      </c>
      <c r="O430">
        <v>461357.71500000003</v>
      </c>
      <c r="P430">
        <v>6.3113230506155957E-2</v>
      </c>
    </row>
    <row r="431" spans="1:16" x14ac:dyDescent="0.3">
      <c r="A431" t="s">
        <v>435</v>
      </c>
      <c r="B431" s="4" cm="1">
        <f t="array" ref="B431">_xll.SNL.Clients.Office.Excel.Functions.SPG(A431, "SP_TOTAL_REV", "CY2023")</f>
        <v>45754000</v>
      </c>
      <c r="C431" s="4">
        <f>_xll.SNL.Clients.Office.Excel.Functions.SPG(A431,"IQ_AVG_DILUT_SHARES_OUT","CY2023")</f>
        <v>4339000000</v>
      </c>
      <c r="D431" s="5">
        <f>_xll.SNL.Clients.Office.Excel.Functions.SPG(A431, "IQ_DILUT_EPS_NORM", "CY2023")</f>
        <v>2.0510000000000002</v>
      </c>
      <c r="E431">
        <f t="shared" si="20"/>
        <v>8899289</v>
      </c>
      <c r="F431">
        <f t="shared" si="21"/>
        <v>0.19450297241771211</v>
      </c>
      <c r="H431" t="b">
        <f t="shared" si="22"/>
        <v>1</v>
      </c>
      <c r="K431" t="s">
        <v>632</v>
      </c>
      <c r="L431">
        <v>45754000</v>
      </c>
      <c r="M431">
        <v>4339000000</v>
      </c>
      <c r="N431">
        <v>2.0510000000000002</v>
      </c>
      <c r="O431">
        <v>8899289</v>
      </c>
      <c r="P431">
        <v>0.19450297241771211</v>
      </c>
    </row>
    <row r="432" spans="1:16" x14ac:dyDescent="0.3">
      <c r="A432" t="s">
        <v>436</v>
      </c>
      <c r="B432" s="4" cm="1">
        <f t="array" ref="B432">_xll.SNL.Clients.Office.Excel.Functions.SPG(A432, "SP_TOTAL_REV", "CY2023")</f>
        <v>3666300</v>
      </c>
      <c r="C432" s="4">
        <f>_xll.SNL.Clients.Office.Excel.Functions.SPG(A432,"IQ_AVG_DILUT_SHARES_OUT","CY2023")</f>
        <v>199500000</v>
      </c>
      <c r="D432" s="5">
        <f>_xll.SNL.Clients.Office.Excel.Functions.SPG(A432, "IQ_DILUT_EPS_NORM", "CY2023")</f>
        <v>1.1870000000000001</v>
      </c>
      <c r="E432">
        <f t="shared" si="20"/>
        <v>236806.5</v>
      </c>
      <c r="F432">
        <f t="shared" si="21"/>
        <v>6.459004991408232E-2</v>
      </c>
      <c r="H432" t="b">
        <f t="shared" si="22"/>
        <v>1</v>
      </c>
      <c r="K432" t="s">
        <v>642</v>
      </c>
      <c r="L432">
        <v>3666300</v>
      </c>
      <c r="M432">
        <v>199500000</v>
      </c>
      <c r="N432">
        <v>1.1870000000000001</v>
      </c>
      <c r="O432">
        <v>236806.5</v>
      </c>
      <c r="P432">
        <v>6.459004991408232E-2</v>
      </c>
    </row>
    <row r="433" spans="1:16" x14ac:dyDescent="0.3">
      <c r="A433" t="s">
        <v>437</v>
      </c>
      <c r="B433" s="4" cm="1">
        <f t="array" ref="B433">_xll.SNL.Clients.Office.Excel.Functions.SPG(A433, "SP_TOTAL_REV", "CY2023")</f>
        <v>15157000</v>
      </c>
      <c r="C433" s="4">
        <f>_xll.SNL.Clients.Office.Excel.Functions.SPG(A433,"IQ_AVG_DILUT_SHARES_OUT","CY2023")</f>
        <v>360600000</v>
      </c>
      <c r="D433" s="5">
        <f>_xll.SNL.Clients.Office.Excel.Functions.SPG(A433, "IQ_DILUT_EPS_NORM", "CY2023")</f>
        <v>1.413</v>
      </c>
      <c r="E433">
        <f t="shared" si="20"/>
        <v>509527.8</v>
      </c>
      <c r="F433">
        <f t="shared" si="21"/>
        <v>3.3616665567064719E-2</v>
      </c>
      <c r="H433" t="b">
        <f t="shared" si="22"/>
        <v>1</v>
      </c>
      <c r="K433" t="s">
        <v>694</v>
      </c>
      <c r="L433">
        <v>15157000</v>
      </c>
      <c r="M433">
        <v>360600000</v>
      </c>
      <c r="N433">
        <v>1.413</v>
      </c>
      <c r="O433">
        <v>509527.8</v>
      </c>
      <c r="P433">
        <v>3.3616665567064719E-2</v>
      </c>
    </row>
    <row r="434" spans="1:16" x14ac:dyDescent="0.3">
      <c r="A434" t="s">
        <v>438</v>
      </c>
      <c r="B434" s="4" cm="1">
        <f t="array" ref="B434">_xll.SNL.Clients.Office.Excel.Functions.SPG(A434, "SP_TOTAL_REV", "CY2023")</f>
        <v>46254000</v>
      </c>
      <c r="C434" s="4">
        <f>_xll.SNL.Clients.Office.Excel.Functions.SPG(A434,"IQ_AVG_DILUT_SHARES_OUT","CY2023")</f>
        <v>345800000</v>
      </c>
      <c r="D434" s="5">
        <f>_xll.SNL.Clients.Office.Excel.Functions.SPG(A434, "IQ_DILUT_EPS_NORM", "CY2023")</f>
        <v>22.47</v>
      </c>
      <c r="E434">
        <f t="shared" si="20"/>
        <v>7770126</v>
      </c>
      <c r="F434">
        <f t="shared" si="21"/>
        <v>0.16798819561551434</v>
      </c>
      <c r="H434" t="b">
        <f t="shared" si="22"/>
        <v>1</v>
      </c>
      <c r="K434" t="s">
        <v>736</v>
      </c>
      <c r="L434">
        <v>46254000</v>
      </c>
      <c r="M434">
        <v>345800000</v>
      </c>
      <c r="N434">
        <v>22.47</v>
      </c>
      <c r="O434">
        <v>7770126</v>
      </c>
      <c r="P434">
        <v>0.16798819561551434</v>
      </c>
    </row>
    <row r="435" spans="1:16" x14ac:dyDescent="0.3">
      <c r="A435" t="s">
        <v>439</v>
      </c>
      <c r="B435" s="4" cm="1">
        <f t="array" ref="B435">_xll.SNL.Clients.Office.Excel.Functions.SPG(A435, "SP_TOTAL_REV", "CY2023")</f>
        <v>24527000</v>
      </c>
      <c r="C435" s="4">
        <f>_xll.SNL.Clients.Office.Excel.Functions.SPG(A435,"IQ_AVG_DILUT_SHARES_OUT","CY2023")</f>
        <v>311500000</v>
      </c>
      <c r="D435" s="5">
        <f>_xll.SNL.Clients.Office.Excel.Functions.SPG(A435, "IQ_DILUT_EPS_NORM", "CY2023")</f>
        <v>6.1840000000000002</v>
      </c>
      <c r="E435">
        <f t="shared" si="20"/>
        <v>1926316</v>
      </c>
      <c r="F435">
        <f t="shared" si="21"/>
        <v>7.8538590125168187E-2</v>
      </c>
      <c r="H435" t="b">
        <f t="shared" si="22"/>
        <v>1</v>
      </c>
      <c r="K435" t="s">
        <v>738</v>
      </c>
      <c r="L435">
        <v>24527000</v>
      </c>
      <c r="M435">
        <v>311500000</v>
      </c>
      <c r="N435">
        <v>6.1840000000000002</v>
      </c>
      <c r="O435">
        <v>1926316</v>
      </c>
      <c r="P435">
        <v>7.8538590125168187E-2</v>
      </c>
    </row>
    <row r="436" spans="1:16" x14ac:dyDescent="0.3">
      <c r="A436" t="s">
        <v>440</v>
      </c>
      <c r="B436" s="4" cm="1">
        <f t="array" ref="B436">_xll.SNL.Clients.Office.Excel.Functions.SPG(A436, "SP_TOTAL_REV", "CY2023")</f>
        <v>11164992</v>
      </c>
      <c r="C436" s="4">
        <f>_xll.SNL.Clients.Office.Excel.Functions.SPG(A436,"IQ_AVG_DILUT_SHARES_OUT","CY2023")</f>
        <v>205547000</v>
      </c>
      <c r="D436" s="5">
        <f>_xll.SNL.Clients.Office.Excel.Functions.SPG(A436, "IQ_DILUT_EPS_NORM", "CY2023")</f>
        <v>7.2539999999999996</v>
      </c>
      <c r="E436">
        <f t="shared" si="20"/>
        <v>1491037.9380000001</v>
      </c>
      <c r="F436">
        <f t="shared" si="21"/>
        <v>0.13354581337810184</v>
      </c>
      <c r="H436" t="b">
        <f t="shared" si="22"/>
        <v>1</v>
      </c>
      <c r="K436" t="s">
        <v>743</v>
      </c>
      <c r="L436">
        <v>11164992</v>
      </c>
      <c r="M436">
        <v>205547000</v>
      </c>
      <c r="N436">
        <v>7.2539999999999996</v>
      </c>
      <c r="O436">
        <v>1491037.9380000001</v>
      </c>
      <c r="P436">
        <v>0.13354581337810184</v>
      </c>
    </row>
    <row r="437" spans="1:16" x14ac:dyDescent="0.3">
      <c r="A437" t="s">
        <v>441</v>
      </c>
      <c r="B437" s="4" cm="1">
        <f t="array" ref="B437">_xll.SNL.Clients.Office.Excel.Functions.SPG(A437, "SP_TOTAL_REV", "CY2023")</f>
        <v>152669000</v>
      </c>
      <c r="C437" s="4">
        <f>_xll.SNL.Clients.Office.Excel.Functions.SPG(A437,"IQ_AVG_DILUT_SHARES_OUT","CY2023")</f>
        <v>1002000000</v>
      </c>
      <c r="D437" s="5">
        <f>_xll.SNL.Clients.Office.Excel.Functions.SPG(A437, "IQ_DILUT_EPS_NORM", "CY2023")</f>
        <v>12.428000000000001</v>
      </c>
      <c r="E437">
        <f t="shared" si="20"/>
        <v>12452856</v>
      </c>
      <c r="F437">
        <f t="shared" si="21"/>
        <v>8.1567679096607698E-2</v>
      </c>
      <c r="H437" t="b">
        <f t="shared" si="22"/>
        <v>1</v>
      </c>
      <c r="K437" t="s">
        <v>748</v>
      </c>
      <c r="L437">
        <v>152669000</v>
      </c>
      <c r="M437">
        <v>1002000000</v>
      </c>
      <c r="N437">
        <v>12.428000000000001</v>
      </c>
      <c r="O437">
        <v>12452856</v>
      </c>
      <c r="P437">
        <v>8.1567679096607698E-2</v>
      </c>
    </row>
    <row r="438" spans="1:16" x14ac:dyDescent="0.3">
      <c r="A438" t="s">
        <v>442</v>
      </c>
      <c r="B438" s="4" cm="1">
        <f t="array" ref="B438">_xll.SNL.Clients.Office.Excel.Functions.SPG(A438, "SP_TOTAL_REV", "CY2023")</f>
        <v>9400600</v>
      </c>
      <c r="C438" s="4">
        <f>_xll.SNL.Clients.Office.Excel.Functions.SPG(A438,"IQ_AVG_DILUT_SHARES_OUT","CY2023")</f>
        <v>385900000</v>
      </c>
      <c r="D438" s="5">
        <f>_xll.SNL.Clients.Office.Excel.Functions.SPG(A438, "IQ_DILUT_EPS_NORM", "CY2023")</f>
        <v>2.2069999999999999</v>
      </c>
      <c r="E438">
        <f t="shared" si="20"/>
        <v>851681.3</v>
      </c>
      <c r="F438">
        <f t="shared" si="21"/>
        <v>9.0598610726974879E-2</v>
      </c>
      <c r="H438" t="b">
        <f t="shared" si="22"/>
        <v>1</v>
      </c>
      <c r="K438" t="s">
        <v>770</v>
      </c>
      <c r="L438">
        <v>9400600</v>
      </c>
      <c r="M438">
        <v>385900000</v>
      </c>
      <c r="N438">
        <v>2.2069999999999999</v>
      </c>
      <c r="O438">
        <v>851681.3</v>
      </c>
      <c r="P438">
        <v>9.0598610726974879E-2</v>
      </c>
    </row>
    <row r="439" spans="1:16" x14ac:dyDescent="0.3">
      <c r="A439" t="s">
        <v>443</v>
      </c>
      <c r="B439" s="4" cm="1">
        <f t="array" ref="B439">_xll.SNL.Clients.Office.Excel.Functions.SPG(A439, "SP_TOTAL_REV", "CY2023")</f>
        <v>8207800</v>
      </c>
      <c r="C439" s="4">
        <f>_xll.SNL.Clients.Office.Excel.Functions.SPG(A439,"IQ_AVG_DILUT_SHARES_OUT","CY2023")</f>
        <v>104024923</v>
      </c>
      <c r="D439" s="5">
        <f>_xll.SNL.Clients.Office.Excel.Functions.SPG(A439, "IQ_DILUT_EPS_NORM", "CY2023")</f>
        <v>6.8730000000000002</v>
      </c>
      <c r="E439">
        <f t="shared" si="20"/>
        <v>714963.29577900004</v>
      </c>
      <c r="F439">
        <f t="shared" si="21"/>
        <v>8.7107787199858677E-2</v>
      </c>
      <c r="H439" t="b">
        <f t="shared" si="22"/>
        <v>1</v>
      </c>
      <c r="K439" t="s">
        <v>929</v>
      </c>
      <c r="L439">
        <v>8207800</v>
      </c>
      <c r="M439">
        <v>104024923</v>
      </c>
      <c r="N439">
        <v>6.8730000000000002</v>
      </c>
      <c r="O439">
        <v>714963.29577900004</v>
      </c>
      <c r="P439">
        <v>8.7107787199858677E-2</v>
      </c>
    </row>
    <row r="440" spans="1:16" x14ac:dyDescent="0.3">
      <c r="A440" t="s">
        <v>444</v>
      </c>
      <c r="B440" s="4" cm="1">
        <f t="array" ref="B440">_xll.SNL.Clients.Office.Excel.Functions.SPG(A440, "SP_TOTAL_REV", "CY2023")</f>
        <v>26640000</v>
      </c>
      <c r="C440" s="4">
        <f>_xll.SNL.Clients.Office.Excel.Functions.SPG(A440,"IQ_AVG_DILUT_SHARES_OUT","CY2023")</f>
        <v>1235000000</v>
      </c>
      <c r="D440" s="5">
        <f>_xll.SNL.Clients.Office.Excel.Functions.SPG(A440, "IQ_DILUT_EPS_NORM", "CY2023")</f>
        <v>2.294</v>
      </c>
      <c r="E440">
        <f t="shared" si="20"/>
        <v>2833090</v>
      </c>
      <c r="F440">
        <f t="shared" si="21"/>
        <v>0.10634722222222222</v>
      </c>
      <c r="H440" t="b">
        <f t="shared" si="22"/>
        <v>1</v>
      </c>
      <c r="K440" t="s">
        <v>793</v>
      </c>
      <c r="L440">
        <v>26640000</v>
      </c>
      <c r="M440">
        <v>1235000000</v>
      </c>
      <c r="N440">
        <v>2.294</v>
      </c>
      <c r="O440">
        <v>2833090</v>
      </c>
      <c r="P440">
        <v>0.10634722222222222</v>
      </c>
    </row>
    <row r="441" spans="1:16" x14ac:dyDescent="0.3">
      <c r="A441" t="s">
        <v>445</v>
      </c>
      <c r="B441" s="4" cm="1">
        <f t="array" ref="B441">_xll.SNL.Clients.Office.Excel.Functions.SPG(A441, "SP_TOTAL_REV", "CY2023")</f>
        <v>150039000</v>
      </c>
      <c r="C441" s="4">
        <f>_xll.SNL.Clients.Office.Excel.Functions.SPG(A441,"IQ_AVG_DILUT_SHARES_OUT","CY2023")</f>
        <v>725000000</v>
      </c>
      <c r="D441" s="5">
        <f>_xll.SNL.Clients.Office.Excel.Functions.SPG(A441, "IQ_DILUT_EPS_NORM", "CY2023")</f>
        <v>3.911</v>
      </c>
      <c r="E441">
        <f t="shared" si="20"/>
        <v>2835475</v>
      </c>
      <c r="F441">
        <f t="shared" si="21"/>
        <v>1.8898253120855243E-2</v>
      </c>
      <c r="H441" t="b">
        <f t="shared" si="22"/>
        <v>1</v>
      </c>
      <c r="K441" t="s">
        <v>794</v>
      </c>
      <c r="L441">
        <v>150039000</v>
      </c>
      <c r="M441">
        <v>725000000</v>
      </c>
      <c r="N441">
        <v>3.911</v>
      </c>
      <c r="O441">
        <v>2835475</v>
      </c>
      <c r="P441">
        <v>1.8898253120855243E-2</v>
      </c>
    </row>
    <row r="442" spans="1:16" x14ac:dyDescent="0.3">
      <c r="A442" t="s">
        <v>446</v>
      </c>
      <c r="B442" s="4" cm="1">
        <f t="array" ref="B442">_xll.SNL.Clients.Office.Excel.Functions.SPG(A442, "SP_TOTAL_REV", "CY2023")</f>
        <v>13696100</v>
      </c>
      <c r="C442" s="4">
        <f>_xll.SNL.Clients.Office.Excel.Functions.SPG(A442,"IQ_AVG_DILUT_SHARES_OUT","CY2023")</f>
        <v>333200000</v>
      </c>
      <c r="D442" s="5">
        <f>_xll.SNL.Clients.Office.Excel.Functions.SPG(A442, "IQ_DILUT_EPS_NORM", "CY2023")</f>
        <v>2.4750000000000001</v>
      </c>
      <c r="E442">
        <f t="shared" si="20"/>
        <v>824670</v>
      </c>
      <c r="F442">
        <f t="shared" si="21"/>
        <v>6.0212031162155649E-2</v>
      </c>
      <c r="H442" t="b">
        <f t="shared" si="22"/>
        <v>1</v>
      </c>
      <c r="K442" t="s">
        <v>842</v>
      </c>
      <c r="L442">
        <v>13696100</v>
      </c>
      <c r="M442">
        <v>333200000</v>
      </c>
      <c r="N442">
        <v>2.4750000000000001</v>
      </c>
      <c r="O442">
        <v>824670</v>
      </c>
      <c r="P442">
        <v>6.0212031162155649E-2</v>
      </c>
    </row>
    <row r="443" spans="1:16" x14ac:dyDescent="0.3">
      <c r="A443" t="s">
        <v>447</v>
      </c>
      <c r="B443" s="4" cm="1">
        <f t="array" ref="B443">_xll.SNL.Clients.Office.Excel.Functions.SPG(A443, "SP_TOTAL_REV", "CY2023")</f>
        <v>21490000</v>
      </c>
      <c r="C443" s="4">
        <f>_xll.SNL.Clients.Office.Excel.Functions.SPG(A443,"IQ_AVG_DILUT_SHARES_OUT","CY2023")</f>
        <v>401000000</v>
      </c>
      <c r="D443" s="5">
        <f>_xll.SNL.Clients.Office.Excel.Functions.SPG(A443, "IQ_DILUT_EPS_NORM", "CY2023")</f>
        <v>10.327</v>
      </c>
      <c r="E443">
        <f t="shared" si="20"/>
        <v>4141127</v>
      </c>
      <c r="F443">
        <f t="shared" si="21"/>
        <v>0.19270018613308515</v>
      </c>
      <c r="H443" t="b">
        <f t="shared" si="22"/>
        <v>1</v>
      </c>
      <c r="K443" t="s">
        <v>886</v>
      </c>
      <c r="L443">
        <v>21490000</v>
      </c>
      <c r="M443">
        <v>401000000</v>
      </c>
      <c r="N443">
        <v>10.327</v>
      </c>
      <c r="O443">
        <v>4141127</v>
      </c>
      <c r="P443">
        <v>0.19270018613308515</v>
      </c>
    </row>
    <row r="444" spans="1:16" x14ac:dyDescent="0.3">
      <c r="A444" t="s">
        <v>448</v>
      </c>
      <c r="B444" s="4" cm="1">
        <f t="array" ref="B444">_xll.SNL.Clients.Office.Excel.Functions.SPG(A444, "SP_TOTAL_REV", "CY2023")</f>
        <v>83933000</v>
      </c>
      <c r="C444" s="4">
        <f>_xll.SNL.Clients.Office.Excel.Functions.SPG(A444,"IQ_AVG_DILUT_SHARES_OUT","CY2023")</f>
        <v>2473600000</v>
      </c>
      <c r="D444" s="5">
        <f>_xll.SNL.Clients.Office.Excel.Functions.SPG(A444, "IQ_DILUT_EPS_NORM", "CY2023")</f>
        <v>5.141</v>
      </c>
      <c r="E444">
        <f t="shared" si="20"/>
        <v>12716777.6</v>
      </c>
      <c r="F444">
        <f t="shared" si="21"/>
        <v>0.15151105762929956</v>
      </c>
      <c r="H444" t="b">
        <f t="shared" si="22"/>
        <v>1</v>
      </c>
      <c r="K444" t="s">
        <v>891</v>
      </c>
      <c r="L444">
        <v>83933000</v>
      </c>
      <c r="M444">
        <v>2473600000</v>
      </c>
      <c r="N444">
        <v>5.141</v>
      </c>
      <c r="O444">
        <v>12716777.6</v>
      </c>
      <c r="P444">
        <v>0.15151105762929956</v>
      </c>
    </row>
    <row r="445" spans="1:16" x14ac:dyDescent="0.3">
      <c r="A445" t="s">
        <v>449</v>
      </c>
      <c r="B445" s="4" cm="1">
        <f t="array" ref="B445">_xll.SNL.Clients.Office.Excel.Functions.SPG(A445, "SP_TOTAL_REV", "CY2023")</f>
        <v>62082300</v>
      </c>
      <c r="C445" s="4">
        <f>_xll.SNL.Clients.Office.Excel.Functions.SPG(A445,"IQ_AVG_DILUT_SHARES_OUT","CY2023")</f>
        <v>587500000</v>
      </c>
      <c r="D445" s="5">
        <f>_xll.SNL.Clients.Office.Excel.Functions.SPG(A445, "IQ_DILUT_EPS_NORM", "CY2023")</f>
        <v>5.2169999999999996</v>
      </c>
      <c r="E445">
        <f t="shared" si="20"/>
        <v>3064987.5</v>
      </c>
      <c r="F445">
        <f t="shared" si="21"/>
        <v>4.9369747899159662E-2</v>
      </c>
      <c r="H445" t="b">
        <f t="shared" si="22"/>
        <v>1</v>
      </c>
      <c r="K445" t="s">
        <v>892</v>
      </c>
      <c r="L445">
        <v>62082300</v>
      </c>
      <c r="M445">
        <v>587500000</v>
      </c>
      <c r="N445">
        <v>5.2169999999999996</v>
      </c>
      <c r="O445">
        <v>3064987.5</v>
      </c>
      <c r="P445">
        <v>4.9369747899159662E-2</v>
      </c>
    </row>
    <row r="446" spans="1:16" x14ac:dyDescent="0.3">
      <c r="A446" t="s">
        <v>450</v>
      </c>
      <c r="B446" s="4" cm="1">
        <f t="array" ref="B446">_xll.SNL.Clients.Office.Excel.Functions.SPG(A446, "SP_TOTAL_REV", "CY2023")</f>
        <v>23051900</v>
      </c>
      <c r="C446" s="4">
        <f>_xll.SNL.Clients.Office.Excel.Functions.SPG(A446,"IQ_AVG_DILUT_SHARES_OUT","CY2023")</f>
        <v>258300000</v>
      </c>
      <c r="D446" s="5">
        <f>_xll.SNL.Clients.Office.Excel.Functions.SPG(A446, "IQ_DILUT_EPS_NORM", "CY2023")</f>
        <v>7.6950000000000003</v>
      </c>
      <c r="E446">
        <f t="shared" si="20"/>
        <v>1987618.5</v>
      </c>
      <c r="F446">
        <f t="shared" si="21"/>
        <v>8.6223630156299483E-2</v>
      </c>
      <c r="H446" t="b">
        <f t="shared" si="22"/>
        <v>1</v>
      </c>
      <c r="K446" t="s">
        <v>926</v>
      </c>
      <c r="L446">
        <v>23051900</v>
      </c>
      <c r="M446">
        <v>258300000</v>
      </c>
      <c r="N446">
        <v>7.6950000000000003</v>
      </c>
      <c r="O446">
        <v>1987618.5</v>
      </c>
      <c r="P446">
        <v>8.6223630156299483E-2</v>
      </c>
    </row>
    <row r="447" spans="1:16" x14ac:dyDescent="0.3">
      <c r="A447" t="s">
        <v>451</v>
      </c>
      <c r="B447" s="4" cm="1">
        <f t="array" ref="B447">_xll.SNL.Clients.Office.Excel.Functions.SPG(A447, "SP_TOTAL_REV", "CY2023")</f>
        <v>25253000</v>
      </c>
      <c r="C447" s="4">
        <f>_xll.SNL.Clients.Office.Excel.Functions.SPG(A447,"IQ_AVG_DILUT_SHARES_OUT","CY2023")</f>
        <v>1098000000</v>
      </c>
      <c r="D447" s="5">
        <f>_xll.SNL.Clients.Office.Excel.Functions.SPG(A447, "IQ_DILUT_EPS_NORM", "CY2023")</f>
        <v>2.589</v>
      </c>
      <c r="E447">
        <f t="shared" si="20"/>
        <v>2842722</v>
      </c>
      <c r="F447">
        <f t="shared" si="21"/>
        <v>0.11256967489011206</v>
      </c>
      <c r="H447" t="b">
        <f t="shared" si="22"/>
        <v>1</v>
      </c>
      <c r="K447" t="s">
        <v>931</v>
      </c>
      <c r="L447">
        <v>25253000</v>
      </c>
      <c r="M447">
        <v>1098000000</v>
      </c>
      <c r="N447">
        <v>2.589</v>
      </c>
      <c r="O447">
        <v>2842722</v>
      </c>
      <c r="P447">
        <v>0.11256967489011206</v>
      </c>
    </row>
    <row r="448" spans="1:16" x14ac:dyDescent="0.3">
      <c r="A448" t="s">
        <v>452</v>
      </c>
      <c r="B448" s="4" cm="1">
        <f t="array" ref="B448">_xll.SNL.Clients.Office.Excel.Functions.SPG(A448, "SP_TOTAL_REV", "CY2023")</f>
        <v>54217000</v>
      </c>
      <c r="C448" s="4">
        <f>_xll.SNL.Clients.Office.Excel.Functions.SPG(A448,"IQ_AVG_DILUT_SHARES_OUT","CY2023")</f>
        <v>1159000000</v>
      </c>
      <c r="D448" s="5">
        <f>_xll.SNL.Clients.Office.Excel.Functions.SPG(A448, "IQ_DILUT_EPS_NORM", "CY2023")</f>
        <v>3.218</v>
      </c>
      <c r="E448">
        <f t="shared" si="20"/>
        <v>3729662</v>
      </c>
      <c r="F448">
        <f t="shared" si="21"/>
        <v>6.8791375398860141E-2</v>
      </c>
      <c r="H448" t="b">
        <f t="shared" si="22"/>
        <v>1</v>
      </c>
      <c r="K448" t="s">
        <v>956</v>
      </c>
      <c r="L448">
        <v>54217000</v>
      </c>
      <c r="M448">
        <v>1159000000</v>
      </c>
      <c r="N448">
        <v>3.218</v>
      </c>
      <c r="O448">
        <v>3729662</v>
      </c>
      <c r="P448">
        <v>6.8791375398860141E-2</v>
      </c>
    </row>
    <row r="449" spans="1:16" x14ac:dyDescent="0.3">
      <c r="A449" t="s">
        <v>453</v>
      </c>
      <c r="B449" s="4" cm="1">
        <f t="array" ref="B449">_xll.SNL.Clients.Office.Excel.Functions.SPG(A449, "SP_TOTAL_REV", "CY2023")</f>
        <v>41364000</v>
      </c>
      <c r="C449" s="4">
        <f>_xll.SNL.Clients.Office.Excel.Functions.SPG(A449,"IQ_AVG_DILUT_SHARES_OUT","CY2023")</f>
        <v>232200000</v>
      </c>
      <c r="D449" s="5">
        <f>_xll.SNL.Clients.Office.Excel.Functions.SPG(A449, "IQ_DILUT_EPS_NORM", "CY2023")</f>
        <v>9.0739999999999998</v>
      </c>
      <c r="E449">
        <f t="shared" si="20"/>
        <v>2106982.7999999998</v>
      </c>
      <c r="F449">
        <f t="shared" si="21"/>
        <v>5.093759791122715E-2</v>
      </c>
      <c r="H449" t="b">
        <f t="shared" si="22"/>
        <v>1</v>
      </c>
      <c r="K449" t="s">
        <v>960</v>
      </c>
      <c r="L449">
        <v>41364000</v>
      </c>
      <c r="M449">
        <v>232200000</v>
      </c>
      <c r="N449">
        <v>9.0739999999999998</v>
      </c>
      <c r="O449">
        <v>2106982.7999999998</v>
      </c>
      <c r="P449">
        <v>5.093759791122715E-2</v>
      </c>
    </row>
    <row r="450" spans="1:16" x14ac:dyDescent="0.3">
      <c r="A450" t="s">
        <v>454</v>
      </c>
      <c r="B450" s="4" cm="1">
        <f t="array" ref="B450">_xll.SNL.Clients.Office.Excel.Functions.SPG(A450, "SP_TOTAL_REV", "CY2023")</f>
        <v>88935000</v>
      </c>
      <c r="C450" s="4">
        <f>_xll.SNL.Clients.Office.Excel.Functions.SPG(A450,"IQ_AVG_DILUT_SHARES_OUT","CY2023")</f>
        <v>1832000000</v>
      </c>
      <c r="D450" s="5">
        <f>_xll.SNL.Clients.Office.Excel.Functions.SPG(A450, "IQ_DILUT_EPS_NORM", "CY2023")</f>
        <v>2.5819999999999999</v>
      </c>
      <c r="E450">
        <f t="shared" si="20"/>
        <v>4730224</v>
      </c>
      <c r="F450">
        <f t="shared" si="21"/>
        <v>5.3187429021195255E-2</v>
      </c>
      <c r="H450" t="b">
        <f t="shared" si="22"/>
        <v>1</v>
      </c>
      <c r="K450" t="s">
        <v>990</v>
      </c>
      <c r="L450">
        <v>88935000</v>
      </c>
      <c r="M450">
        <v>1832000000</v>
      </c>
      <c r="N450">
        <v>2.5819999999999999</v>
      </c>
      <c r="O450">
        <v>4730224</v>
      </c>
      <c r="P450">
        <v>5.3187429021195255E-2</v>
      </c>
    </row>
    <row r="451" spans="1:16" x14ac:dyDescent="0.3">
      <c r="A451" t="s">
        <v>455</v>
      </c>
      <c r="B451" s="4" cm="1">
        <f t="array" ref="B451">_xll.SNL.Clients.Office.Excel.Functions.SPG(A451, "SP_TOTAL_REV", "CY2023")</f>
        <v>9951000</v>
      </c>
      <c r="C451" s="4">
        <f>_xll.SNL.Clients.Office.Excel.Functions.SPG(A451,"IQ_AVG_DILUT_SHARES_OUT","CY2023")</f>
        <v>1222715000</v>
      </c>
      <c r="D451" s="5">
        <f>_xll.SNL.Clients.Office.Excel.Functions.SPG(A451, "IQ_DILUT_EPS_NORM", "CY2023")</f>
        <v>1.823</v>
      </c>
      <c r="E451">
        <f t="shared" ref="E451:E504" si="23">C451*D451/1000</f>
        <v>2229009.4449999998</v>
      </c>
      <c r="F451">
        <f t="shared" ref="F451:F504" si="24">E451/B451</f>
        <v>0.22399853733293135</v>
      </c>
      <c r="H451" t="b">
        <f t="shared" ref="H451:H504" si="25">B451=L451</f>
        <v>1</v>
      </c>
      <c r="K451" t="s">
        <v>1001</v>
      </c>
      <c r="L451">
        <v>9951000</v>
      </c>
      <c r="M451">
        <v>1222715000</v>
      </c>
      <c r="N451">
        <v>1.823</v>
      </c>
      <c r="O451">
        <v>2229009.4449999998</v>
      </c>
      <c r="P451">
        <v>0.22399853733293135</v>
      </c>
    </row>
    <row r="452" spans="1:16" x14ac:dyDescent="0.3">
      <c r="A452" t="s">
        <v>456</v>
      </c>
      <c r="B452" s="4" cm="1">
        <f t="array" ref="B452">_xll.SNL.Clients.Office.Excel.Functions.SPG(A452, "SP_TOTAL_REV", "CY2023")</f>
        <v>42857000</v>
      </c>
      <c r="C452" s="4">
        <f>_xll.SNL.Clients.Office.Excel.Functions.SPG(A452,"IQ_AVG_DILUT_SHARES_OUT","CY2023")</f>
        <v>388000000</v>
      </c>
      <c r="D452" s="5">
        <f>_xll.SNL.Clients.Office.Excel.Functions.SPG(A452, "IQ_DILUT_EPS_NORM", "CY2023")</f>
        <v>11.081</v>
      </c>
      <c r="E452">
        <f t="shared" si="23"/>
        <v>4299428</v>
      </c>
      <c r="F452">
        <f t="shared" si="24"/>
        <v>0.10032032106773689</v>
      </c>
      <c r="H452" t="b">
        <f t="shared" si="25"/>
        <v>1</v>
      </c>
      <c r="K452" t="s">
        <v>955</v>
      </c>
      <c r="L452">
        <v>42857000</v>
      </c>
      <c r="M452">
        <v>388000000</v>
      </c>
      <c r="N452">
        <v>11.081</v>
      </c>
      <c r="O452">
        <v>4299428</v>
      </c>
      <c r="P452">
        <v>0.10032032106773689</v>
      </c>
    </row>
    <row r="453" spans="1:16" x14ac:dyDescent="0.3">
      <c r="A453" t="s">
        <v>457</v>
      </c>
      <c r="B453" s="4" cm="1">
        <f t="array" ref="B453">_xll.SNL.Clients.Office.Excel.Functions.SPG(A453, "SP_TOTAL_REV", "CY2023")</f>
        <v>14555741</v>
      </c>
      <c r="C453" s="4">
        <f>_xll.SNL.Clients.Office.Excel.Functions.SPG(A453,"IQ_AVG_DILUT_SHARES_OUT","CY2023")</f>
        <v>109746000</v>
      </c>
      <c r="D453" s="5">
        <f>_xll.SNL.Clients.Office.Excel.Functions.SPG(A453, "IQ_DILUT_EPS_NORM", "CY2023")</f>
        <v>8.157</v>
      </c>
      <c r="E453">
        <f t="shared" si="23"/>
        <v>895198.12199999997</v>
      </c>
      <c r="F453">
        <f t="shared" si="24"/>
        <v>6.1501377497717225E-2</v>
      </c>
      <c r="H453" t="b">
        <f t="shared" si="25"/>
        <v>1</v>
      </c>
      <c r="K453" t="s">
        <v>957</v>
      </c>
      <c r="L453">
        <v>14555741</v>
      </c>
      <c r="M453">
        <v>109746000</v>
      </c>
      <c r="N453">
        <v>8.157</v>
      </c>
      <c r="O453">
        <v>895198.12199999997</v>
      </c>
      <c r="P453">
        <v>6.1501377497717225E-2</v>
      </c>
    </row>
    <row r="454" spans="1:16" x14ac:dyDescent="0.3">
      <c r="A454" t="s">
        <v>458</v>
      </c>
      <c r="B454" s="4" cm="1">
        <f t="array" ref="B454">_xll.SNL.Clients.Office.Excel.Functions.SPG(A454, "SP_TOTAL_REV", "CY2023")</f>
        <v>17677600</v>
      </c>
      <c r="C454" s="4">
        <f>_xll.SNL.Clients.Office.Excel.Functions.SPG(A454,"IQ_AVG_DILUT_SHARES_OUT","CY2023")</f>
        <v>230700000</v>
      </c>
      <c r="D454" s="5">
        <f>_xll.SNL.Clients.Office.Excel.Functions.SPG(A454, "IQ_DILUT_EPS_NORM", "CY2023")</f>
        <v>6.8860000000000001</v>
      </c>
      <c r="E454">
        <f t="shared" si="23"/>
        <v>1588600.2</v>
      </c>
      <c r="F454">
        <f t="shared" si="24"/>
        <v>8.986515137801511E-2</v>
      </c>
      <c r="H454" t="b">
        <f t="shared" si="25"/>
        <v>1</v>
      </c>
      <c r="K454" t="s">
        <v>958</v>
      </c>
      <c r="L454">
        <v>17677600</v>
      </c>
      <c r="M454">
        <v>230700000</v>
      </c>
      <c r="N454">
        <v>6.8860000000000001</v>
      </c>
      <c r="O454">
        <v>1588600.2</v>
      </c>
      <c r="P454">
        <v>8.986515137801511E-2</v>
      </c>
    </row>
    <row r="455" spans="1:16" x14ac:dyDescent="0.3">
      <c r="A455" t="s">
        <v>459</v>
      </c>
      <c r="B455" s="4" cm="1">
        <f t="array" ref="B455">_xll.SNL.Clients.Office.Excel.Functions.SPG(A455, "SP_TOTAL_REV", "CY2023")</f>
        <v>6977000</v>
      </c>
      <c r="C455" s="4">
        <f>_xll.SNL.Clients.Office.Excel.Functions.SPG(A455,"IQ_AVG_DILUT_SHARES_OUT","CY2023")</f>
        <v>57350000</v>
      </c>
      <c r="D455" s="5">
        <f>_xll.SNL.Clients.Office.Excel.Functions.SPG(A455, "IQ_DILUT_EPS_NORM", "CY2023")</f>
        <v>21.446999999999999</v>
      </c>
      <c r="E455">
        <f t="shared" si="23"/>
        <v>1229985.45</v>
      </c>
      <c r="F455">
        <f t="shared" si="24"/>
        <v>0.17629145048014905</v>
      </c>
      <c r="H455" t="b">
        <f t="shared" si="25"/>
        <v>1</v>
      </c>
      <c r="K455" t="s">
        <v>959</v>
      </c>
      <c r="L455">
        <v>6977000</v>
      </c>
      <c r="M455">
        <v>57350000</v>
      </c>
      <c r="N455">
        <v>21.446999999999999</v>
      </c>
      <c r="O455">
        <v>1229985.45</v>
      </c>
      <c r="P455">
        <v>0.17629145048014905</v>
      </c>
    </row>
    <row r="456" spans="1:16" x14ac:dyDescent="0.3">
      <c r="A456" t="s">
        <v>460</v>
      </c>
      <c r="B456" s="4" cm="1">
        <f t="array" ref="B456">_xll.SNL.Clients.Office.Excel.Functions.SPG(A456, "SP_TOTAL_REV", "CY2023")</f>
        <v>3798700</v>
      </c>
      <c r="C456" s="4">
        <f>_xll.SNL.Clients.Office.Excel.Functions.SPG(A456,"IQ_AVG_DILUT_SHARES_OUT","CY2023")</f>
        <v>249100000</v>
      </c>
      <c r="D456" s="5">
        <f>_xll.SNL.Clients.Office.Excel.Functions.SPG(A456, "IQ_DILUT_EPS_NORM", "CY2023")</f>
        <v>1.103</v>
      </c>
      <c r="E456">
        <f t="shared" si="23"/>
        <v>274757.3</v>
      </c>
      <c r="F456">
        <f t="shared" si="24"/>
        <v>7.2329296864716869E-2</v>
      </c>
      <c r="H456" t="b">
        <f t="shared" si="25"/>
        <v>1</v>
      </c>
      <c r="K456" t="s">
        <v>961</v>
      </c>
      <c r="L456">
        <v>3798700</v>
      </c>
      <c r="M456">
        <v>249100000</v>
      </c>
      <c r="N456">
        <v>1.103</v>
      </c>
      <c r="O456">
        <v>274757.3</v>
      </c>
      <c r="P456">
        <v>7.2329296864716869E-2</v>
      </c>
    </row>
    <row r="457" spans="1:16" x14ac:dyDescent="0.3">
      <c r="A457" t="s">
        <v>461</v>
      </c>
      <c r="B457" s="4" cm="1">
        <f t="array" ref="B457">_xll.SNL.Clients.Office.Excel.Functions.SPG(A457, "SP_TOTAL_REV", "CY2023")</f>
        <v>20022000</v>
      </c>
      <c r="C457" s="4">
        <f>_xll.SNL.Clients.Office.Excel.Functions.SPG(A457,"IQ_AVG_DILUT_SHARES_OUT","CY2023")</f>
        <v>1331963000</v>
      </c>
      <c r="D457" s="5">
        <f>_xll.SNL.Clients.Office.Excel.Functions.SPG(A457, "IQ_DILUT_EPS_NORM", "CY2023")</f>
        <v>2.9079999999999999</v>
      </c>
      <c r="E457">
        <f t="shared" si="23"/>
        <v>3873348.4040000001</v>
      </c>
      <c r="F457">
        <f t="shared" si="24"/>
        <v>0.19345462011787035</v>
      </c>
      <c r="H457" t="b">
        <f t="shared" si="25"/>
        <v>1</v>
      </c>
      <c r="K457" t="s">
        <v>962</v>
      </c>
      <c r="L457">
        <v>20022000</v>
      </c>
      <c r="M457">
        <v>1331963000</v>
      </c>
      <c r="N457">
        <v>2.9079999999999999</v>
      </c>
      <c r="O457">
        <v>3873348.4040000001</v>
      </c>
      <c r="P457">
        <v>0.19345462011787035</v>
      </c>
    </row>
    <row r="458" spans="1:16" x14ac:dyDescent="0.3">
      <c r="A458" t="s">
        <v>462</v>
      </c>
      <c r="B458" s="4" cm="1">
        <f t="array" ref="B458">_xll.SNL.Clients.Office.Excel.Functions.SPG(A458, "SP_TOTAL_REV", "CY2023")</f>
        <v>1951751</v>
      </c>
      <c r="C458" s="4">
        <f>_xll.SNL.Clients.Office.Excel.Functions.SPG(A458,"IQ_AVG_DILUT_SHARES_OUT","CY2023")</f>
        <v>42769000</v>
      </c>
      <c r="D458" s="5">
        <f>_xll.SNL.Clients.Office.Excel.Functions.SPG(A458, "IQ_DILUT_EPS_NORM", "CY2023")</f>
        <v>2.903</v>
      </c>
      <c r="E458">
        <f t="shared" si="23"/>
        <v>124158.40700000001</v>
      </c>
      <c r="F458">
        <f t="shared" si="24"/>
        <v>6.3613855968307431E-2</v>
      </c>
      <c r="H458" t="b">
        <f t="shared" si="25"/>
        <v>1</v>
      </c>
      <c r="K458" t="s">
        <v>963</v>
      </c>
      <c r="L458">
        <v>1951751</v>
      </c>
      <c r="M458">
        <v>42769000</v>
      </c>
      <c r="N458">
        <v>2.903</v>
      </c>
      <c r="O458">
        <v>124158.40700000001</v>
      </c>
      <c r="P458">
        <v>6.3613855968307431E-2</v>
      </c>
    </row>
    <row r="459" spans="1:16" x14ac:dyDescent="0.3">
      <c r="A459" t="s">
        <v>463</v>
      </c>
      <c r="B459" s="4" cm="1">
        <f t="array" ref="B459">_xll.SNL.Clients.Office.Excel.Functions.SPG(A459, "SP_TOTAL_REV", "CY2023")</f>
        <v>52940000</v>
      </c>
      <c r="C459" s="4">
        <f>_xll.SNL.Clients.Office.Excel.Functions.SPG(A459,"IQ_AVG_DILUT_SHARES_OUT","CY2023")</f>
        <v>353500000</v>
      </c>
      <c r="D459" s="5">
        <f>_xll.SNL.Clients.Office.Excel.Functions.SPG(A459, "IQ_DILUT_EPS_NORM", "CY2023")</f>
        <v>0.60599999999999998</v>
      </c>
      <c r="E459">
        <f t="shared" si="23"/>
        <v>214221</v>
      </c>
      <c r="F459">
        <f t="shared" si="24"/>
        <v>4.0464865885908577E-3</v>
      </c>
      <c r="H459" t="b">
        <f t="shared" si="25"/>
        <v>1</v>
      </c>
      <c r="K459" t="s">
        <v>964</v>
      </c>
      <c r="L459">
        <v>52940000</v>
      </c>
      <c r="M459">
        <v>353500000</v>
      </c>
      <c r="N459">
        <v>0.60599999999999998</v>
      </c>
      <c r="O459">
        <v>214221</v>
      </c>
      <c r="P459">
        <v>4.0464865885908577E-3</v>
      </c>
    </row>
    <row r="460" spans="1:16" x14ac:dyDescent="0.3">
      <c r="A460" t="s">
        <v>464</v>
      </c>
      <c r="B460" s="4" cm="1">
        <f t="array" ref="B460">_xll.SNL.Clients.Office.Excel.Functions.SPG(A460, "SP_TOTAL_REV", "CY2023")</f>
        <v>28153000</v>
      </c>
      <c r="C460" s="4">
        <f>_xll.SNL.Clients.Office.Excel.Functions.SPG(A460,"IQ_AVG_DILUT_SHARES_OUT","CY2023")</f>
        <v>1543000000</v>
      </c>
      <c r="D460" s="5">
        <f>_xll.SNL.Clients.Office.Excel.Functions.SPG(A460, "IQ_DILUT_EPS_NORM", "CY2023")</f>
        <v>3.1709999999999998</v>
      </c>
      <c r="E460">
        <f t="shared" si="23"/>
        <v>4892853</v>
      </c>
      <c r="F460">
        <f t="shared" si="24"/>
        <v>0.17379508400525698</v>
      </c>
      <c r="H460" t="b">
        <f t="shared" si="25"/>
        <v>1</v>
      </c>
      <c r="K460" t="s">
        <v>965</v>
      </c>
      <c r="L460">
        <v>28153000</v>
      </c>
      <c r="M460">
        <v>1543000000</v>
      </c>
      <c r="N460">
        <v>3.1709999999999998</v>
      </c>
      <c r="O460">
        <v>4892853</v>
      </c>
      <c r="P460">
        <v>0.17379508400525698</v>
      </c>
    </row>
    <row r="461" spans="1:16" x14ac:dyDescent="0.3">
      <c r="A461" t="s">
        <v>465</v>
      </c>
      <c r="B461" s="4" cm="1">
        <f t="array" ref="B461">_xll.SNL.Clients.Office.Excel.Functions.SPG(A461, "SP_TOTAL_REV", "CY2023")</f>
        <v>37281000</v>
      </c>
      <c r="C461" s="4">
        <f>_xll.SNL.Clients.Office.Excel.Functions.SPG(A461,"IQ_AVG_DILUT_SHARES_OUT","CY2023")</f>
        <v>2091782000</v>
      </c>
      <c r="D461" s="5">
        <f>_xll.SNL.Clients.Office.Excel.Functions.SPG(A461, "IQ_DILUT_EPS_NORM", "CY2023")</f>
        <v>-7.0999999999999994E-2</v>
      </c>
      <c r="E461">
        <f t="shared" si="23"/>
        <v>-148516.522</v>
      </c>
      <c r="F461">
        <f t="shared" si="24"/>
        <v>-3.9837054263565895E-3</v>
      </c>
      <c r="H461" t="b">
        <f t="shared" si="25"/>
        <v>1</v>
      </c>
      <c r="K461" t="s">
        <v>1045</v>
      </c>
      <c r="L461">
        <v>37281000</v>
      </c>
      <c r="M461">
        <v>2091782000</v>
      </c>
      <c r="N461">
        <v>-7.0999999999999994E-2</v>
      </c>
      <c r="O461">
        <v>-148516.522</v>
      </c>
      <c r="P461">
        <v>-3.9837054263565895E-3</v>
      </c>
    </row>
    <row r="462" spans="1:16" x14ac:dyDescent="0.3">
      <c r="A462" t="s">
        <v>466</v>
      </c>
      <c r="B462" s="4" cm="1">
        <f t="array" ref="B462">_xll.SNL.Clients.Office.Excel.Functions.SPG(A462, "SP_TOTAL_REV", "CY2023")</f>
        <v>1650653</v>
      </c>
      <c r="C462" s="4">
        <f>_xll.SNL.Clients.Office.Excel.Functions.SPG(A462,"IQ_AVG_DILUT_SHARES_OUT","CY2023")</f>
        <v>329104000</v>
      </c>
      <c r="D462" s="5">
        <f>_xll.SNL.Clients.Office.Excel.Functions.SPG(A462, "IQ_DILUT_EPS_NORM", "CY2023")</f>
        <v>0.192</v>
      </c>
      <c r="E462">
        <f t="shared" si="23"/>
        <v>63187.968000000001</v>
      </c>
      <c r="F462">
        <f t="shared" si="24"/>
        <v>3.8280588348974617E-2</v>
      </c>
      <c r="H462" t="b">
        <f t="shared" si="25"/>
        <v>1</v>
      </c>
      <c r="K462" t="s">
        <v>966</v>
      </c>
      <c r="L462">
        <v>1650653</v>
      </c>
      <c r="M462">
        <v>329104000</v>
      </c>
      <c r="N462">
        <v>0.192</v>
      </c>
      <c r="O462">
        <v>63187.968000000001</v>
      </c>
      <c r="P462">
        <v>3.8280588348974617E-2</v>
      </c>
    </row>
    <row r="463" spans="1:16" x14ac:dyDescent="0.3">
      <c r="A463" t="s">
        <v>467</v>
      </c>
      <c r="B463" s="4" cm="1">
        <f t="array" ref="B463">_xll.SNL.Clients.Office.Excel.Functions.SPG(A463, "SP_TOTAL_REV", "CY2023")</f>
        <v>11207303</v>
      </c>
      <c r="C463" s="4">
        <f>_xll.SNL.Clients.Office.Excel.Functions.SPG(A463,"IQ_AVG_DILUT_SHARES_OUT","CY2023")</f>
        <v>49596000</v>
      </c>
      <c r="D463" s="5">
        <f>_xll.SNL.Clients.Office.Excel.Functions.SPG(A463, "IQ_DILUT_EPS_NORM", "CY2023")</f>
        <v>21.367999999999999</v>
      </c>
      <c r="E463">
        <f t="shared" si="23"/>
        <v>1059767.328</v>
      </c>
      <c r="F463">
        <f t="shared" si="24"/>
        <v>9.4560424394700485E-2</v>
      </c>
      <c r="H463" t="b">
        <f t="shared" si="25"/>
        <v>1</v>
      </c>
      <c r="K463" t="s">
        <v>967</v>
      </c>
      <c r="L463">
        <v>11207303</v>
      </c>
      <c r="M463">
        <v>49596000</v>
      </c>
      <c r="N463">
        <v>21.367999999999999</v>
      </c>
      <c r="O463">
        <v>1059767.328</v>
      </c>
      <c r="P463">
        <v>9.4560424394700485E-2</v>
      </c>
    </row>
    <row r="464" spans="1:16" x14ac:dyDescent="0.3">
      <c r="A464" t="s">
        <v>468</v>
      </c>
      <c r="B464" s="4" cm="1">
        <f t="array" ref="B464">_xll.SNL.Clients.Office.Excel.Functions.SPG(A464, "SP_TOTAL_REV", "CY2023")</f>
        <v>24119000</v>
      </c>
      <c r="C464" s="4">
        <f>_xll.SNL.Clients.Office.Excel.Functions.SPG(A464,"IQ_AVG_DILUT_SHARES_OUT","CY2023")</f>
        <v>610200000</v>
      </c>
      <c r="D464" s="5">
        <f>_xll.SNL.Clients.Office.Excel.Functions.SPG(A464, "IQ_DILUT_EPS_NORM", "CY2023")</f>
        <v>8.3230000000000004</v>
      </c>
      <c r="E464">
        <f t="shared" si="23"/>
        <v>5078694.5999999996</v>
      </c>
      <c r="F464">
        <f t="shared" si="24"/>
        <v>0.21056820763713255</v>
      </c>
      <c r="H464" t="b">
        <f t="shared" si="25"/>
        <v>1</v>
      </c>
      <c r="K464" t="s">
        <v>968</v>
      </c>
      <c r="L464">
        <v>24119000</v>
      </c>
      <c r="M464">
        <v>610200000</v>
      </c>
      <c r="N464">
        <v>8.3230000000000004</v>
      </c>
      <c r="O464">
        <v>5078694.5999999996</v>
      </c>
      <c r="P464">
        <v>0.21056820763713255</v>
      </c>
    </row>
    <row r="465" spans="1:16" x14ac:dyDescent="0.3">
      <c r="A465" t="s">
        <v>469</v>
      </c>
      <c r="B465" s="4" cm="1">
        <f t="array" ref="B465">_xll.SNL.Clients.Office.Excel.Functions.SPG(A465, "SP_TOTAL_REV", "CY2023")</f>
        <v>53717000</v>
      </c>
      <c r="C465" s="4">
        <f>_xll.SNL.Clients.Office.Excel.Functions.SPG(A465,"IQ_AVG_DILUT_SHARES_OUT","CY2023")</f>
        <v>331900000</v>
      </c>
      <c r="D465" s="5">
        <f>_xll.SNL.Clients.Office.Excel.Functions.SPG(A465, "IQ_DILUT_EPS_NORM", "CY2023")</f>
        <v>8.1349999999999998</v>
      </c>
      <c r="E465">
        <f t="shared" si="23"/>
        <v>2700006.5</v>
      </c>
      <c r="F465">
        <f t="shared" si="24"/>
        <v>5.0263538544594824E-2</v>
      </c>
      <c r="H465" t="b">
        <f t="shared" si="25"/>
        <v>1</v>
      </c>
      <c r="K465" t="s">
        <v>969</v>
      </c>
      <c r="L465">
        <v>53717000</v>
      </c>
      <c r="M465">
        <v>331900000</v>
      </c>
      <c r="N465">
        <v>8.1349999999999998</v>
      </c>
      <c r="O465">
        <v>2700006.5</v>
      </c>
      <c r="P465">
        <v>5.0263538544594824E-2</v>
      </c>
    </row>
    <row r="466" spans="1:16" x14ac:dyDescent="0.3">
      <c r="A466" t="s">
        <v>470</v>
      </c>
      <c r="B466" s="4" cm="1">
        <f t="array" ref="B466">_xll.SNL.Clients.Office.Excel.Functions.SPG(A466, "SP_TOTAL_REV", "CY2023")</f>
        <v>90958000</v>
      </c>
      <c r="C466" s="4">
        <f>_xll.SNL.Clients.Office.Excel.Functions.SPG(A466,"IQ_AVG_DILUT_SHARES_OUT","CY2023")</f>
        <v>860000000</v>
      </c>
      <c r="D466" s="5">
        <f>_xll.SNL.Clients.Office.Excel.Functions.SPG(A466, "IQ_DILUT_EPS_NORM", "CY2023")</f>
        <v>7.04</v>
      </c>
      <c r="E466">
        <f t="shared" si="23"/>
        <v>6054400</v>
      </c>
      <c r="F466">
        <f t="shared" si="24"/>
        <v>6.6562589326942104E-2</v>
      </c>
      <c r="H466" t="b">
        <f t="shared" si="25"/>
        <v>1</v>
      </c>
      <c r="K466" t="s">
        <v>970</v>
      </c>
      <c r="L466">
        <v>90958000</v>
      </c>
      <c r="M466">
        <v>860000000</v>
      </c>
      <c r="N466">
        <v>7.04</v>
      </c>
      <c r="O466">
        <v>6054400</v>
      </c>
      <c r="P466">
        <v>6.6562589326942104E-2</v>
      </c>
    </row>
    <row r="467" spans="1:16" x14ac:dyDescent="0.3">
      <c r="A467" t="s">
        <v>471</v>
      </c>
      <c r="B467" s="4" cm="1">
        <f t="array" ref="B467">_xll.SNL.Clients.Office.Excel.Functions.SPG(A467, "SP_TOTAL_REV", "CY2023")</f>
        <v>14332000</v>
      </c>
      <c r="C467" s="4">
        <f>_xll.SNL.Clients.Office.Excel.Functions.SPG(A467,"IQ_AVG_DILUT_SHARES_OUT","CY2023")</f>
        <v>68710000</v>
      </c>
      <c r="D467" s="5">
        <f>_xll.SNL.Clients.Office.Excel.Functions.SPG(A467, "IQ_DILUT_EPS_NORM", "CY2023")</f>
        <v>30.445</v>
      </c>
      <c r="E467">
        <f t="shared" si="23"/>
        <v>2091875.95</v>
      </c>
      <c r="F467">
        <f t="shared" si="24"/>
        <v>0.1459584112475579</v>
      </c>
      <c r="H467" t="b">
        <f t="shared" si="25"/>
        <v>1</v>
      </c>
      <c r="K467" t="s">
        <v>971</v>
      </c>
      <c r="L467">
        <v>14332000</v>
      </c>
      <c r="M467">
        <v>68710000</v>
      </c>
      <c r="N467">
        <v>30.445</v>
      </c>
      <c r="O467">
        <v>2091875.95</v>
      </c>
      <c r="P467">
        <v>0.1459584112475579</v>
      </c>
    </row>
    <row r="468" spans="1:16" x14ac:dyDescent="0.3">
      <c r="A468" t="s">
        <v>472</v>
      </c>
      <c r="B468" s="4" cm="1">
        <f t="array" ref="B468">_xll.SNL.Clients.Office.Excel.Functions.SPG(A468, "SP_TOTAL_REV", "CY2023")</f>
        <v>371622000</v>
      </c>
      <c r="C468" s="4">
        <f>_xll.SNL.Clients.Office.Excel.Functions.SPG(A468,"IQ_AVG_DILUT_SHARES_OUT","CY2023")</f>
        <v>938000000</v>
      </c>
      <c r="D468" s="5">
        <f>_xll.SNL.Clients.Office.Excel.Functions.SPG(A468, "IQ_DILUT_EPS_NORM", "CY2023")</f>
        <v>18.584</v>
      </c>
      <c r="E468">
        <f t="shared" si="23"/>
        <v>17431792</v>
      </c>
      <c r="F468">
        <f t="shared" si="24"/>
        <v>4.69073198034562E-2</v>
      </c>
      <c r="H468" t="b">
        <f t="shared" si="25"/>
        <v>1</v>
      </c>
      <c r="K468" t="s">
        <v>972</v>
      </c>
      <c r="L468">
        <v>371622000</v>
      </c>
      <c r="M468">
        <v>938000000</v>
      </c>
      <c r="N468">
        <v>18.584</v>
      </c>
      <c r="O468">
        <v>17431792</v>
      </c>
      <c r="P468">
        <v>4.69073198034562E-2</v>
      </c>
    </row>
    <row r="469" spans="1:16" x14ac:dyDescent="0.3">
      <c r="A469" t="s">
        <v>473</v>
      </c>
      <c r="B469" s="4" cm="1">
        <f t="array" ref="B469">_xll.SNL.Clients.Office.Excel.Functions.SPG(A469, "SP_TOTAL_REV", "CY2023")</f>
        <v>14281976</v>
      </c>
      <c r="C469" s="4">
        <f>_xll.SNL.Clients.Office.Excel.Functions.SPG(A469,"IQ_AVG_DILUT_SHARES_OUT","CY2023")</f>
        <v>70125000</v>
      </c>
      <c r="D469" s="5">
        <f>_xll.SNL.Clients.Office.Excel.Functions.SPG(A469, "IQ_DILUT_EPS_NORM", "CY2023")</f>
        <v>8.36</v>
      </c>
      <c r="E469">
        <f t="shared" si="23"/>
        <v>586245</v>
      </c>
      <c r="F469">
        <f t="shared" si="24"/>
        <v>4.104789141222475E-2</v>
      </c>
      <c r="H469" t="b">
        <f t="shared" si="25"/>
        <v>1</v>
      </c>
      <c r="K469" t="s">
        <v>973</v>
      </c>
      <c r="L469">
        <v>14281976</v>
      </c>
      <c r="M469">
        <v>70125000</v>
      </c>
      <c r="N469">
        <v>8.36</v>
      </c>
      <c r="O469">
        <v>586245</v>
      </c>
      <c r="P469">
        <v>4.104789141222475E-2</v>
      </c>
    </row>
    <row r="470" spans="1:16" x14ac:dyDescent="0.3">
      <c r="A470" t="s">
        <v>474</v>
      </c>
      <c r="B470" s="4" cm="1">
        <f t="array" ref="B470">_xll.SNL.Clients.Office.Excel.Functions.SPG(A470, "SP_TOTAL_REV", "CY2023")</f>
        <v>139001000</v>
      </c>
      <c r="C470" s="4">
        <f>_xll.SNL.Clients.Office.Excel.Functions.SPG(A470,"IQ_AVG_DILUT_SHARES_OUT","CY2023")</f>
        <v>353000000</v>
      </c>
      <c r="D470" s="5">
        <f>_xll.SNL.Clients.Office.Excel.Functions.SPG(A470, "IQ_DILUT_EPS_NORM", "CY2023")</f>
        <v>19.927</v>
      </c>
      <c r="E470">
        <f t="shared" si="23"/>
        <v>7034231</v>
      </c>
      <c r="F470">
        <f t="shared" si="24"/>
        <v>5.0605614348098217E-2</v>
      </c>
      <c r="H470" t="b">
        <f t="shared" si="25"/>
        <v>1</v>
      </c>
      <c r="K470" t="s">
        <v>974</v>
      </c>
      <c r="L470">
        <v>139001000</v>
      </c>
      <c r="M470">
        <v>353000000</v>
      </c>
      <c r="N470">
        <v>19.927</v>
      </c>
      <c r="O470">
        <v>7034231</v>
      </c>
      <c r="P470">
        <v>5.0605614348098217E-2</v>
      </c>
    </row>
    <row r="471" spans="1:16" x14ac:dyDescent="0.3">
      <c r="A471" t="s">
        <v>475</v>
      </c>
      <c r="B471" s="4" cm="1">
        <f t="array" ref="B471">_xll.SNL.Clients.Office.Excel.Functions.SPG(A471, "SP_TOTAL_REV", "CY2023")</f>
        <v>4480722</v>
      </c>
      <c r="C471" s="4">
        <f>_xll.SNL.Clients.Office.Excel.Functions.SPG(A471,"IQ_AVG_DILUT_SHARES_OUT","CY2023")</f>
        <v>405670000</v>
      </c>
      <c r="D471" s="5">
        <f>_xll.SNL.Clients.Office.Excel.Functions.SPG(A471, "IQ_DILUT_EPS_NORM", "CY2023")</f>
        <v>0.17199999999999999</v>
      </c>
      <c r="E471">
        <f t="shared" si="23"/>
        <v>69775.240000000005</v>
      </c>
      <c r="F471">
        <f t="shared" si="24"/>
        <v>1.5572320710814018E-2</v>
      </c>
      <c r="H471" t="b">
        <f t="shared" si="25"/>
        <v>1</v>
      </c>
      <c r="K471" t="s">
        <v>975</v>
      </c>
      <c r="L471">
        <v>4480722</v>
      </c>
      <c r="M471">
        <v>405670000</v>
      </c>
      <c r="N471">
        <v>0.17199999999999999</v>
      </c>
      <c r="O471">
        <v>69775.240000000005</v>
      </c>
      <c r="P471">
        <v>1.5572320710814018E-2</v>
      </c>
    </row>
    <row r="472" spans="1:16" x14ac:dyDescent="0.3">
      <c r="A472" t="s">
        <v>476</v>
      </c>
      <c r="B472" s="4" cm="1">
        <f t="array" ref="B472">_xll.SNL.Clients.Office.Excel.Functions.SPG(A472, "SP_TOTAL_REV", "CY2023")</f>
        <v>5021000</v>
      </c>
      <c r="C472" s="4">
        <f>_xll.SNL.Clients.Office.Excel.Functions.SPG(A472,"IQ_AVG_DILUT_SHARES_OUT","CY2023")</f>
        <v>246800000</v>
      </c>
      <c r="D472" s="5">
        <f>_xll.SNL.Clients.Office.Excel.Functions.SPG(A472, "IQ_DILUT_EPS_NORM", "CY2023")</f>
        <v>2.8439999999999999</v>
      </c>
      <c r="E472">
        <f t="shared" si="23"/>
        <v>701899.2</v>
      </c>
      <c r="F472">
        <f t="shared" si="24"/>
        <v>0.13979271061541523</v>
      </c>
      <c r="H472" t="b">
        <f t="shared" si="25"/>
        <v>1</v>
      </c>
      <c r="K472" t="s">
        <v>976</v>
      </c>
      <c r="L472">
        <v>5021000</v>
      </c>
      <c r="M472">
        <v>246800000</v>
      </c>
      <c r="N472">
        <v>2.8439999999999999</v>
      </c>
      <c r="O472">
        <v>701899.2</v>
      </c>
      <c r="P472">
        <v>0.13979271061541523</v>
      </c>
    </row>
    <row r="473" spans="1:16" x14ac:dyDescent="0.3">
      <c r="A473" t="s">
        <v>477</v>
      </c>
      <c r="B473" s="4" cm="1">
        <f t="array" ref="B473">_xll.SNL.Clients.Office.Excel.Functions.SPG(A473, "SP_TOTAL_REV", "CY2023")</f>
        <v>1493100</v>
      </c>
      <c r="C473" s="4">
        <f>_xll.SNL.Clients.Office.Excel.Functions.SPG(A473,"IQ_AVG_DILUT_SHARES_OUT","CY2023")</f>
        <v>103500000</v>
      </c>
      <c r="D473" s="5">
        <f>_xll.SNL.Clients.Office.Excel.Functions.SPG(A473, "IQ_DILUT_EPS_NORM", "CY2023")</f>
        <v>5.8970000000000002</v>
      </c>
      <c r="E473">
        <f t="shared" si="23"/>
        <v>610339.5</v>
      </c>
      <c r="F473">
        <f t="shared" si="24"/>
        <v>0.40877335744424353</v>
      </c>
      <c r="H473" t="b">
        <f t="shared" si="25"/>
        <v>1</v>
      </c>
      <c r="K473" t="s">
        <v>977</v>
      </c>
      <c r="L473">
        <v>1493100</v>
      </c>
      <c r="M473">
        <v>103500000</v>
      </c>
      <c r="N473">
        <v>5.8970000000000002</v>
      </c>
      <c r="O473">
        <v>610339.5</v>
      </c>
      <c r="P473">
        <v>0.40877335744424353</v>
      </c>
    </row>
    <row r="474" spans="1:16" x14ac:dyDescent="0.3">
      <c r="A474" t="s">
        <v>478</v>
      </c>
      <c r="B474" s="4" cm="1">
        <f t="array" ref="B474">_xll.SNL.Clients.Office.Excel.Functions.SPG(A474, "SP_TOTAL_REV", "CY2023")</f>
        <v>2681400</v>
      </c>
      <c r="C474" s="4">
        <f>_xll.SNL.Clients.Office.Excel.Functions.SPG(A474,"IQ_AVG_DILUT_SHARES_OUT","CY2023")</f>
        <v>147336159</v>
      </c>
      <c r="D474" s="5">
        <f>_xll.SNL.Clients.Office.Excel.Functions.SPG(A474, "IQ_DILUT_EPS_NORM", "CY2023")</f>
        <v>4.3689999999999998</v>
      </c>
      <c r="E474">
        <f t="shared" si="23"/>
        <v>643711.67867100006</v>
      </c>
      <c r="F474">
        <f t="shared" si="24"/>
        <v>0.2400655175173417</v>
      </c>
      <c r="H474" t="b">
        <f t="shared" si="25"/>
        <v>1</v>
      </c>
      <c r="K474" t="s">
        <v>978</v>
      </c>
      <c r="L474">
        <v>2681400</v>
      </c>
      <c r="M474">
        <v>147336159</v>
      </c>
      <c r="N474">
        <v>4.3689999999999998</v>
      </c>
      <c r="O474">
        <v>643711.67867100006</v>
      </c>
      <c r="P474">
        <v>0.2400655175173417</v>
      </c>
    </row>
    <row r="475" spans="1:16" x14ac:dyDescent="0.3">
      <c r="A475" t="s">
        <v>479</v>
      </c>
      <c r="B475" s="4" cm="1">
        <f t="array" ref="B475">_xll.SNL.Clients.Office.Excel.Functions.SPG(A475, "SP_TOTAL_REV", "CY2023")</f>
        <v>133974000</v>
      </c>
      <c r="C475" s="4">
        <f>_xll.SNL.Clients.Office.Excel.Functions.SPG(A475,"IQ_AVG_DILUT_SHARES_OUT","CY2023")</f>
        <v>4215000000</v>
      </c>
      <c r="D475" s="5">
        <f>_xll.SNL.Clients.Office.Excel.Functions.SPG(A475, "IQ_DILUT_EPS_NORM", "CY2023")</f>
        <v>3.5939999999999999</v>
      </c>
      <c r="E475">
        <f t="shared" si="23"/>
        <v>15148710</v>
      </c>
      <c r="F475">
        <f t="shared" si="24"/>
        <v>0.1130720139728604</v>
      </c>
      <c r="H475" t="b">
        <f t="shared" si="25"/>
        <v>1</v>
      </c>
      <c r="K475" t="s">
        <v>979</v>
      </c>
      <c r="L475">
        <v>133974000</v>
      </c>
      <c r="M475">
        <v>4215000000</v>
      </c>
      <c r="N475">
        <v>3.5939999999999999</v>
      </c>
      <c r="O475">
        <v>15148710</v>
      </c>
      <c r="P475">
        <v>0.1130720139728604</v>
      </c>
    </row>
    <row r="476" spans="1:16" x14ac:dyDescent="0.3">
      <c r="A476" t="s">
        <v>480</v>
      </c>
      <c r="B476" s="4" cm="1">
        <f t="array" ref="B476">_xll.SNL.Clients.Office.Excel.Functions.SPG(A476, "SP_TOTAL_REV", "CY2023")</f>
        <v>9869200</v>
      </c>
      <c r="C476" s="4">
        <f>_xll.SNL.Clients.Office.Excel.Functions.SPG(A476,"IQ_AVG_DILUT_SHARES_OUT","CY2023")</f>
        <v>260500000</v>
      </c>
      <c r="D476" s="5">
        <f>_xll.SNL.Clients.Office.Excel.Functions.SPG(A476, "IQ_DILUT_EPS_NORM", "CY2023")</f>
        <v>11.667</v>
      </c>
      <c r="E476">
        <f t="shared" si="23"/>
        <v>3039253.5</v>
      </c>
      <c r="F476">
        <f t="shared" si="24"/>
        <v>0.30795338021318852</v>
      </c>
      <c r="H476" t="b">
        <f t="shared" si="25"/>
        <v>1</v>
      </c>
      <c r="K476" t="s">
        <v>980</v>
      </c>
      <c r="L476">
        <v>9869200</v>
      </c>
      <c r="M476">
        <v>260500000</v>
      </c>
      <c r="N476">
        <v>11.667</v>
      </c>
      <c r="O476">
        <v>3039253.5</v>
      </c>
      <c r="P476">
        <v>0.30795338021318852</v>
      </c>
    </row>
    <row r="477" spans="1:16" x14ac:dyDescent="0.3">
      <c r="A477" t="s">
        <v>481</v>
      </c>
      <c r="B477" s="4" cm="1">
        <f t="array" ref="B477">_xll.SNL.Clients.Office.Excel.Functions.SPG(A477, "SP_TOTAL_REV", "CY2023")</f>
        <v>15426900</v>
      </c>
      <c r="C477" s="4">
        <f>_xll.SNL.Clients.Office.Excel.Functions.SPG(A477,"IQ_AVG_DILUT_SHARES_OUT","CY2023")</f>
        <v>1206900000</v>
      </c>
      <c r="D477" s="5">
        <f>_xll.SNL.Clients.Office.Excel.Functions.SPG(A477, "IQ_DILUT_EPS_NORM", "CY2023")</f>
        <v>0.94799999999999995</v>
      </c>
      <c r="E477">
        <f t="shared" si="23"/>
        <v>1144141.2</v>
      </c>
      <c r="F477">
        <f t="shared" si="24"/>
        <v>7.4165334577912606E-2</v>
      </c>
      <c r="H477" t="b">
        <f t="shared" si="25"/>
        <v>1</v>
      </c>
      <c r="K477" t="s">
        <v>981</v>
      </c>
      <c r="L477">
        <v>15426900</v>
      </c>
      <c r="M477">
        <v>1206900000</v>
      </c>
      <c r="N477">
        <v>0.94799999999999995</v>
      </c>
      <c r="O477">
        <v>1144141.2</v>
      </c>
      <c r="P477">
        <v>7.4165334577912606E-2</v>
      </c>
    </row>
    <row r="478" spans="1:16" x14ac:dyDescent="0.3">
      <c r="A478" t="s">
        <v>482</v>
      </c>
      <c r="B478" s="4" cm="1">
        <f t="array" ref="B478">_xll.SNL.Clients.Office.Excel.Functions.SPG(A478, "SP_TOTAL_REV", "CY2023")</f>
        <v>3641694</v>
      </c>
      <c r="C478" s="4">
        <f>_xll.SNL.Clients.Office.Excel.Functions.SPG(A478,"IQ_AVG_DILUT_SHARES_OUT","CY2023")</f>
        <v>1015776697</v>
      </c>
      <c r="D478" s="5">
        <f>_xll.SNL.Clients.Office.Excel.Functions.SPG(A478, "IQ_DILUT_EPS_NORM", "CY2023")</f>
        <v>1.528</v>
      </c>
      <c r="E478">
        <f t="shared" si="23"/>
        <v>1552106.793016</v>
      </c>
      <c r="F478">
        <f t="shared" si="24"/>
        <v>0.42620461604297338</v>
      </c>
      <c r="H478" t="b">
        <f t="shared" si="25"/>
        <v>1</v>
      </c>
      <c r="K478" t="s">
        <v>982</v>
      </c>
      <c r="L478">
        <v>3641694</v>
      </c>
      <c r="M478">
        <v>1015776697</v>
      </c>
      <c r="N478">
        <v>1.528</v>
      </c>
      <c r="O478">
        <v>1552106.793016</v>
      </c>
      <c r="P478">
        <v>0.42620461604297338</v>
      </c>
    </row>
    <row r="479" spans="1:16" x14ac:dyDescent="0.3">
      <c r="A479" t="s">
        <v>483</v>
      </c>
      <c r="B479" s="4" cm="1">
        <f t="array" ref="B479">_xll.SNL.Clients.Office.Excel.Functions.SPG(A479, "SP_TOTAL_REV", "CY2023")</f>
        <v>33351000</v>
      </c>
      <c r="C479" s="4">
        <f>_xll.SNL.Clients.Office.Excel.Functions.SPG(A479,"IQ_AVG_DILUT_SHARES_OUT","CY2023")</f>
        <v>2070750000</v>
      </c>
      <c r="D479" s="5">
        <f>_xll.SNL.Clients.Office.Excel.Functions.SPG(A479, "IQ_DILUT_EPS_NORM", "CY2023")</f>
        <v>6.8419999999999996</v>
      </c>
      <c r="E479">
        <f t="shared" si="23"/>
        <v>14168071.5</v>
      </c>
      <c r="F479">
        <f t="shared" si="24"/>
        <v>0.42481699199424305</v>
      </c>
      <c r="H479" t="b">
        <f t="shared" si="25"/>
        <v>1</v>
      </c>
      <c r="K479" t="s">
        <v>983</v>
      </c>
      <c r="L479">
        <v>33351000</v>
      </c>
      <c r="M479">
        <v>2070750000</v>
      </c>
      <c r="N479">
        <v>6.8419999999999996</v>
      </c>
      <c r="O479">
        <v>14168071.5</v>
      </c>
      <c r="P479">
        <v>0.42481699199424305</v>
      </c>
    </row>
    <row r="480" spans="1:16" x14ac:dyDescent="0.3">
      <c r="A480" t="s">
        <v>484</v>
      </c>
      <c r="B480" s="4" cm="1">
        <f t="array" ref="B480">_xll.SNL.Clients.Office.Excel.Functions.SPG(A480, "SP_TOTAL_REV", "CY2023")</f>
        <v>14779000</v>
      </c>
      <c r="C480" s="4">
        <f>_xll.SNL.Clients.Office.Excel.Functions.SPG(A480,"IQ_AVG_DILUT_SHARES_OUT","CY2023")</f>
        <v>375193110</v>
      </c>
      <c r="D480" s="5">
        <f>_xll.SNL.Clients.Office.Excel.Functions.SPG(A480, "IQ_DILUT_EPS_NORM", "CY2023")</f>
        <v>3.4380000000000002</v>
      </c>
      <c r="E480">
        <f t="shared" si="23"/>
        <v>1289913.91218</v>
      </c>
      <c r="F480">
        <f t="shared" si="24"/>
        <v>8.7280188928885574E-2</v>
      </c>
      <c r="H480" t="b">
        <f t="shared" si="25"/>
        <v>1</v>
      </c>
      <c r="K480" t="s">
        <v>1046</v>
      </c>
      <c r="L480">
        <v>14779000</v>
      </c>
      <c r="M480">
        <v>375193110</v>
      </c>
      <c r="N480">
        <v>3.4380000000000002</v>
      </c>
      <c r="O480">
        <v>1289913.91218</v>
      </c>
      <c r="P480">
        <v>8.7280188928885574E-2</v>
      </c>
    </row>
    <row r="481" spans="1:16" x14ac:dyDescent="0.3">
      <c r="A481" t="s">
        <v>485</v>
      </c>
      <c r="B481" s="4" cm="1">
        <f t="array" ref="B481">_xll.SNL.Clients.Office.Excel.Functions.SPG(A481, "SP_TOTAL_REV", "CY2023")</f>
        <v>7781900</v>
      </c>
      <c r="C481" s="4">
        <f>_xll.SNL.Clients.Office.Excel.Functions.SPG(A481,"IQ_AVG_DILUT_SHARES_OUT","CY2023")</f>
        <v>133700000</v>
      </c>
      <c r="D481" s="5">
        <f>_xll.SNL.Clients.Office.Excel.Functions.SPG(A481, "IQ_DILUT_EPS_NORM", "CY2023")</f>
        <v>5.6269999999999998</v>
      </c>
      <c r="E481">
        <f t="shared" si="23"/>
        <v>752329.9</v>
      </c>
      <c r="F481">
        <f t="shared" si="24"/>
        <v>9.6676891247638758E-2</v>
      </c>
      <c r="H481" t="b">
        <f t="shared" si="25"/>
        <v>1</v>
      </c>
      <c r="K481" t="s">
        <v>984</v>
      </c>
      <c r="L481">
        <v>7781900</v>
      </c>
      <c r="M481">
        <v>133700000</v>
      </c>
      <c r="N481">
        <v>5.6269999999999998</v>
      </c>
      <c r="O481">
        <v>752329.9</v>
      </c>
      <c r="P481">
        <v>9.6676891247638758E-2</v>
      </c>
    </row>
    <row r="482" spans="1:16" x14ac:dyDescent="0.3">
      <c r="A482" t="s">
        <v>486</v>
      </c>
      <c r="B482" s="4" cm="1">
        <f t="array" ref="B482">_xll.SNL.Clients.Office.Excel.Functions.SPG(A482, "SP_TOTAL_REV", "CY2023")</f>
        <v>12142938</v>
      </c>
      <c r="C482" s="4">
        <f>_xll.SNL.Clients.Office.Excel.Functions.SPG(A482,"IQ_AVG_DILUT_SHARES_OUT","CY2023")</f>
        <v>409947000</v>
      </c>
      <c r="D482" s="5">
        <f>_xll.SNL.Clients.Office.Excel.Functions.SPG(A482, "IQ_DILUT_EPS_NORM", "CY2023")</f>
        <v>2.669</v>
      </c>
      <c r="E482">
        <f t="shared" si="23"/>
        <v>1094148.5430000001</v>
      </c>
      <c r="F482">
        <f t="shared" si="24"/>
        <v>9.0105750601707765E-2</v>
      </c>
      <c r="H482" t="b">
        <f t="shared" si="25"/>
        <v>1</v>
      </c>
      <c r="K482" t="s">
        <v>985</v>
      </c>
      <c r="L482">
        <v>12142938</v>
      </c>
      <c r="M482">
        <v>409947000</v>
      </c>
      <c r="N482">
        <v>2.669</v>
      </c>
      <c r="O482">
        <v>1094148.5430000001</v>
      </c>
      <c r="P482">
        <v>9.0105750601707765E-2</v>
      </c>
    </row>
    <row r="483" spans="1:16" x14ac:dyDescent="0.3">
      <c r="A483" t="s">
        <v>487</v>
      </c>
      <c r="B483" s="4" cm="1">
        <f t="array" ref="B483">_xll.SNL.Clients.Office.Excel.Functions.SPG(A483, "SP_TOTAL_REV", "CY2023")</f>
        <v>16478000</v>
      </c>
      <c r="C483" s="4">
        <f>_xll.SNL.Clients.Office.Excel.Functions.SPG(A483,"IQ_AVG_DILUT_SHARES_OUT","CY2023")</f>
        <v>50100000</v>
      </c>
      <c r="D483" s="5">
        <f>_xll.SNL.Clients.Office.Excel.Functions.SPG(A483, "IQ_DILUT_EPS_NORM", "CY2023")</f>
        <v>30.035</v>
      </c>
      <c r="E483">
        <f t="shared" si="23"/>
        <v>1504753.5</v>
      </c>
      <c r="F483">
        <f t="shared" si="24"/>
        <v>9.1318940405389001E-2</v>
      </c>
      <c r="H483" t="b">
        <f t="shared" si="25"/>
        <v>1</v>
      </c>
      <c r="K483" t="s">
        <v>986</v>
      </c>
      <c r="L483">
        <v>16478000</v>
      </c>
      <c r="M483">
        <v>50100000</v>
      </c>
      <c r="N483">
        <v>30.035</v>
      </c>
      <c r="O483">
        <v>1504753.5</v>
      </c>
      <c r="P483">
        <v>9.1318940405389001E-2</v>
      </c>
    </row>
    <row r="484" spans="1:16" x14ac:dyDescent="0.3">
      <c r="A484" t="s">
        <v>488</v>
      </c>
      <c r="B484" s="4" cm="1">
        <f t="array" ref="B484">_xll.SNL.Clients.Office.Excel.Functions.SPG(A484, "SP_TOTAL_REV", "CY2023")</f>
        <v>142406000</v>
      </c>
      <c r="C484" s="4">
        <f>_xll.SNL.Clients.Office.Excel.Functions.SPG(A484,"IQ_AVG_DILUT_SHARES_OUT","CY2023")</f>
        <v>863050000</v>
      </c>
      <c r="D484" s="5">
        <f>_xll.SNL.Clients.Office.Excel.Functions.SPG(A484, "IQ_DILUT_EPS_NORM", "CY2023")</f>
        <v>0.95799999999999996</v>
      </c>
      <c r="E484">
        <f t="shared" si="23"/>
        <v>826801.9</v>
      </c>
      <c r="F484">
        <f t="shared" si="24"/>
        <v>5.8059484853166298E-3</v>
      </c>
      <c r="H484" t="b">
        <f t="shared" si="25"/>
        <v>1</v>
      </c>
      <c r="K484" t="s">
        <v>988</v>
      </c>
      <c r="L484">
        <v>142406000</v>
      </c>
      <c r="M484">
        <v>863050000</v>
      </c>
      <c r="N484">
        <v>0.95799999999999996</v>
      </c>
      <c r="O484">
        <v>826801.9</v>
      </c>
      <c r="P484">
        <v>5.8059484853166298E-3</v>
      </c>
    </row>
    <row r="485" spans="1:16" x14ac:dyDescent="0.3">
      <c r="A485" t="s">
        <v>489</v>
      </c>
      <c r="B485" s="4" cm="1">
        <f t="array" ref="B485">_xll.SNL.Clients.Office.Excel.Functions.SPG(A485, "SP_TOTAL_REV", "CY2023")</f>
        <v>648125000</v>
      </c>
      <c r="C485" s="4">
        <f>_xll.SNL.Clients.Office.Excel.Functions.SPG(A485,"IQ_AVG_DILUT_SHARES_OUT","CY2023")</f>
        <v>8108000000</v>
      </c>
      <c r="D485" s="5">
        <f>_xll.SNL.Clients.Office.Excel.Functions.SPG(A485, "IQ_DILUT_EPS_NORM", "CY2023")</f>
        <v>1.837</v>
      </c>
      <c r="E485">
        <f t="shared" si="23"/>
        <v>14894396</v>
      </c>
      <c r="F485">
        <f t="shared" si="24"/>
        <v>2.2980745998071359E-2</v>
      </c>
      <c r="H485" t="b">
        <f t="shared" si="25"/>
        <v>1</v>
      </c>
      <c r="K485" t="s">
        <v>989</v>
      </c>
      <c r="L485">
        <v>648125000</v>
      </c>
      <c r="M485">
        <v>8108000000</v>
      </c>
      <c r="N485">
        <v>1.837</v>
      </c>
      <c r="O485">
        <v>14894396</v>
      </c>
      <c r="P485">
        <v>2.2980745998071359E-2</v>
      </c>
    </row>
    <row r="486" spans="1:16" x14ac:dyDescent="0.3">
      <c r="A486" t="s">
        <v>490</v>
      </c>
      <c r="B486" s="4" cm="1">
        <f t="array" ref="B486">_xll.SNL.Clients.Office.Excel.Functions.SPG(A486, "SP_TOTAL_REV", "CY2023")</f>
        <v>41321000</v>
      </c>
      <c r="C486" s="4">
        <f>_xll.SNL.Clients.Office.Excel.Functions.SPG(A486,"IQ_AVG_DILUT_SHARES_OUT","CY2023")</f>
        <v>2436000000</v>
      </c>
      <c r="D486" s="5">
        <f>_xll.SNL.Clients.Office.Excel.Functions.SPG(A486, "IQ_DILUT_EPS_NORM", "CY2023")</f>
        <v>-0.74</v>
      </c>
      <c r="E486">
        <f t="shared" si="23"/>
        <v>-1802640</v>
      </c>
      <c r="F486">
        <f t="shared" si="24"/>
        <v>-4.3625275283754025E-2</v>
      </c>
      <c r="H486" t="b">
        <f t="shared" si="25"/>
        <v>1</v>
      </c>
      <c r="K486" t="s">
        <v>991</v>
      </c>
      <c r="L486">
        <v>41321000</v>
      </c>
      <c r="M486">
        <v>2436000000</v>
      </c>
      <c r="N486">
        <v>-0.74</v>
      </c>
      <c r="O486">
        <v>-1802640</v>
      </c>
      <c r="P486">
        <v>-4.3625275283754025E-2</v>
      </c>
    </row>
    <row r="487" spans="1:16" x14ac:dyDescent="0.3">
      <c r="A487" t="s">
        <v>491</v>
      </c>
      <c r="B487" s="4" cm="1">
        <f t="array" ref="B487">_xll.SNL.Clients.Office.Excel.Functions.SPG(A487, "SP_TOTAL_REV", "CY2023")</f>
        <v>20426000</v>
      </c>
      <c r="C487" s="4">
        <f>_xll.SNL.Clients.Office.Excel.Functions.SPG(A487,"IQ_AVG_DILUT_SHARES_OUT","CY2023")</f>
        <v>406900000</v>
      </c>
      <c r="D487" s="5">
        <f>_xll.SNL.Clients.Office.Excel.Functions.SPG(A487, "IQ_DILUT_EPS_NORM", "CY2023")</f>
        <v>5.09</v>
      </c>
      <c r="E487">
        <f t="shared" si="23"/>
        <v>2071121</v>
      </c>
      <c r="F487">
        <f t="shared" si="24"/>
        <v>0.10139630862626065</v>
      </c>
      <c r="H487" t="b">
        <f t="shared" si="25"/>
        <v>1</v>
      </c>
      <c r="K487" t="s">
        <v>992</v>
      </c>
      <c r="L487">
        <v>20426000</v>
      </c>
      <c r="M487">
        <v>406900000</v>
      </c>
      <c r="N487">
        <v>5.09</v>
      </c>
      <c r="O487">
        <v>2071121</v>
      </c>
      <c r="P487">
        <v>0.10139630862626065</v>
      </c>
    </row>
    <row r="488" spans="1:16" x14ac:dyDescent="0.3">
      <c r="A488" t="s">
        <v>492</v>
      </c>
      <c r="B488" s="4" cm="1">
        <f t="array" ref="B488">_xll.SNL.Clients.Office.Excel.Functions.SPG(A488, "SP_TOTAL_REV", "CY2023")</f>
        <v>2956416</v>
      </c>
      <c r="C488" s="4">
        <f>_xll.SNL.Clients.Office.Excel.Functions.SPG(A488,"IQ_AVG_DILUT_SHARES_OUT","CY2023")</f>
        <v>59270000</v>
      </c>
      <c r="D488" s="5">
        <f>_xll.SNL.Clients.Office.Excel.Functions.SPG(A488, "IQ_DILUT_EPS_NORM", "CY2023")</f>
        <v>8.1750000000000007</v>
      </c>
      <c r="E488">
        <f t="shared" si="23"/>
        <v>484532.25000000006</v>
      </c>
      <c r="F488">
        <f t="shared" si="24"/>
        <v>0.16389176962917265</v>
      </c>
      <c r="H488" t="b">
        <f t="shared" si="25"/>
        <v>1</v>
      </c>
      <c r="K488" t="s">
        <v>993</v>
      </c>
      <c r="L488">
        <v>2956416</v>
      </c>
      <c r="M488">
        <v>59270000</v>
      </c>
      <c r="N488">
        <v>8.1750000000000007</v>
      </c>
      <c r="O488">
        <v>484532.25000000006</v>
      </c>
      <c r="P488">
        <v>0.16389176962917265</v>
      </c>
    </row>
    <row r="489" spans="1:16" x14ac:dyDescent="0.3">
      <c r="A489" t="s">
        <v>493</v>
      </c>
      <c r="B489" s="4" cm="1">
        <f t="array" ref="B489">_xll.SNL.Clients.Office.Excel.Functions.SPG(A489, "SP_TOTAL_REV", "CY2023")</f>
        <v>8893000</v>
      </c>
      <c r="C489" s="4">
        <f>_xll.SNL.Clients.Office.Excel.Functions.SPG(A489,"IQ_AVG_DILUT_SHARES_OUT","CY2023")</f>
        <v>315900000</v>
      </c>
      <c r="D489" s="5">
        <f>_xll.SNL.Clients.Office.Excel.Functions.SPG(A489, "IQ_DILUT_EPS_NORM", "CY2023")</f>
        <v>3.395</v>
      </c>
      <c r="E489">
        <f t="shared" si="23"/>
        <v>1072480.5</v>
      </c>
      <c r="F489">
        <f t="shared" si="24"/>
        <v>0.1205982795457101</v>
      </c>
      <c r="H489" t="b">
        <f t="shared" si="25"/>
        <v>1</v>
      </c>
      <c r="K489" t="s">
        <v>994</v>
      </c>
      <c r="L489">
        <v>8893000</v>
      </c>
      <c r="M489">
        <v>315900000</v>
      </c>
      <c r="N489">
        <v>3.395</v>
      </c>
      <c r="O489">
        <v>1072480.5</v>
      </c>
      <c r="P489">
        <v>0.1205982795457101</v>
      </c>
    </row>
    <row r="490" spans="1:16" x14ac:dyDescent="0.3">
      <c r="A490" t="s">
        <v>494</v>
      </c>
      <c r="B490" s="4" cm="1">
        <f t="array" ref="B490">_xll.SNL.Clients.Office.Excel.Functions.SPG(A490, "SP_TOTAL_REV", "CY2023")</f>
        <v>82597000</v>
      </c>
      <c r="C490" s="4">
        <f>_xll.SNL.Clients.Office.Excel.Functions.SPG(A490,"IQ_AVG_DILUT_SHARES_OUT","CY2023")</f>
        <v>3720400000</v>
      </c>
      <c r="D490" s="5">
        <f>_xll.SNL.Clients.Office.Excel.Functions.SPG(A490, "IQ_DILUT_EPS_NORM", "CY2023")</f>
        <v>4.0140000000000002</v>
      </c>
      <c r="E490">
        <f t="shared" si="23"/>
        <v>14933685.6</v>
      </c>
      <c r="F490">
        <f t="shared" si="24"/>
        <v>0.18080179183263315</v>
      </c>
      <c r="H490" t="b">
        <f t="shared" si="25"/>
        <v>1</v>
      </c>
      <c r="K490" t="s">
        <v>995</v>
      </c>
      <c r="L490">
        <v>82597000</v>
      </c>
      <c r="M490">
        <v>3720400000</v>
      </c>
      <c r="N490">
        <v>4.0140000000000002</v>
      </c>
      <c r="O490">
        <v>14933685.6</v>
      </c>
      <c r="P490">
        <v>0.18080179183263315</v>
      </c>
    </row>
    <row r="491" spans="1:16" x14ac:dyDescent="0.3">
      <c r="A491" t="s">
        <v>495</v>
      </c>
      <c r="B491" s="4" cm="1">
        <f t="array" ref="B491">_xll.SNL.Clients.Office.Excel.Functions.SPG(A491, "SP_TOTAL_REV", "CY2023")</f>
        <v>6554361</v>
      </c>
      <c r="C491" s="4">
        <f>_xll.SNL.Clients.Office.Excel.Functions.SPG(A491,"IQ_AVG_DILUT_SHARES_OUT","CY2023")</f>
        <v>518701000</v>
      </c>
      <c r="D491" s="5">
        <f>_xll.SNL.Clients.Office.Excel.Functions.SPG(A491, "IQ_DILUT_EPS_NORM", "CY2023")</f>
        <v>0.39200000000000002</v>
      </c>
      <c r="E491">
        <f t="shared" si="23"/>
        <v>203330.79199999999</v>
      </c>
      <c r="F491">
        <f t="shared" si="24"/>
        <v>3.1022214369943919E-2</v>
      </c>
      <c r="H491" t="b">
        <f t="shared" si="25"/>
        <v>1</v>
      </c>
      <c r="K491" t="s">
        <v>996</v>
      </c>
      <c r="L491">
        <v>6554361</v>
      </c>
      <c r="M491">
        <v>518701000</v>
      </c>
      <c r="N491">
        <v>0.39200000000000002</v>
      </c>
      <c r="O491">
        <v>203330.79199999999</v>
      </c>
      <c r="P491">
        <v>3.1022214369943919E-2</v>
      </c>
    </row>
    <row r="492" spans="1:16" x14ac:dyDescent="0.3">
      <c r="A492" t="s">
        <v>496</v>
      </c>
      <c r="B492" s="4" cm="1">
        <f t="array" ref="B492">_xll.SNL.Clients.Office.Excel.Functions.SPG(A492, "SP_TOTAL_REV", "CY2023")</f>
        <v>2949800</v>
      </c>
      <c r="C492" s="4">
        <f>_xll.SNL.Clients.Office.Excel.Functions.SPG(A492,"IQ_AVG_DILUT_SHARES_OUT","CY2023")</f>
        <v>75300000</v>
      </c>
      <c r="D492" s="5">
        <f>_xll.SNL.Clients.Office.Excel.Functions.SPG(A492, "IQ_DILUT_EPS_NORM", "CY2023")</f>
        <v>6.1239999999999997</v>
      </c>
      <c r="E492">
        <f t="shared" si="23"/>
        <v>461137.2</v>
      </c>
      <c r="F492">
        <f t="shared" si="24"/>
        <v>0.15632829344362331</v>
      </c>
      <c r="H492" t="b">
        <f t="shared" si="25"/>
        <v>1</v>
      </c>
      <c r="K492" t="s">
        <v>997</v>
      </c>
      <c r="L492">
        <v>2949800</v>
      </c>
      <c r="M492">
        <v>75300000</v>
      </c>
      <c r="N492">
        <v>6.1239999999999997</v>
      </c>
      <c r="O492">
        <v>461137.2</v>
      </c>
      <c r="P492">
        <v>0.15632829344362331</v>
      </c>
    </row>
    <row r="493" spans="1:16" x14ac:dyDescent="0.3">
      <c r="A493" t="s">
        <v>497</v>
      </c>
      <c r="B493" s="4" cm="1">
        <f t="array" ref="B493">_xll.SNL.Clients.Office.Excel.Functions.SPG(A493, "SP_TOTAL_REV", "CY2023")</f>
        <v>11257000</v>
      </c>
      <c r="C493" s="4">
        <f>_xll.SNL.Clients.Office.Excel.Functions.SPG(A493,"IQ_AVG_DILUT_SHARES_OUT","CY2023")</f>
        <v>321000000</v>
      </c>
      <c r="D493" s="5">
        <f>_xll.SNL.Clients.Office.Excel.Functions.SPG(A493, "IQ_DILUT_EPS_NORM", "CY2023")</f>
        <v>-3.97</v>
      </c>
      <c r="E493">
        <f t="shared" si="23"/>
        <v>-1274370</v>
      </c>
      <c r="F493">
        <f t="shared" si="24"/>
        <v>-0.11320689348849605</v>
      </c>
      <c r="H493" t="b">
        <f t="shared" si="25"/>
        <v>1</v>
      </c>
      <c r="K493" t="s">
        <v>998</v>
      </c>
      <c r="L493">
        <v>11257000</v>
      </c>
      <c r="M493">
        <v>321000000</v>
      </c>
      <c r="N493">
        <v>-3.97</v>
      </c>
      <c r="O493">
        <v>-1274370</v>
      </c>
      <c r="P493">
        <v>-0.11320689348849605</v>
      </c>
    </row>
    <row r="494" spans="1:16" x14ac:dyDescent="0.3">
      <c r="A494" t="s">
        <v>498</v>
      </c>
      <c r="B494" s="4" cm="1">
        <f t="array" ref="B494">_xll.SNL.Clients.Office.Excel.Functions.SPG(A494, "SP_TOTAL_REV", "CY2023")</f>
        <v>9677000</v>
      </c>
      <c r="C494" s="4">
        <f>_xll.SNL.Clients.Office.Excel.Functions.SPG(A494,"IQ_AVG_DILUT_SHARES_OUT","CY2023")</f>
        <v>179500000</v>
      </c>
      <c r="D494" s="5">
        <f>_xll.SNL.Clients.Office.Excel.Functions.SPG(A494, "IQ_DILUT_EPS_NORM", "CY2023")</f>
        <v>3.827</v>
      </c>
      <c r="E494">
        <f t="shared" si="23"/>
        <v>686946.5</v>
      </c>
      <c r="F494">
        <f t="shared" si="24"/>
        <v>7.0987547793737726E-2</v>
      </c>
      <c r="H494" t="b">
        <f t="shared" si="25"/>
        <v>1</v>
      </c>
      <c r="K494" t="s">
        <v>987</v>
      </c>
      <c r="L494">
        <v>9677000</v>
      </c>
      <c r="M494">
        <v>179500000</v>
      </c>
      <c r="N494">
        <v>3.827</v>
      </c>
      <c r="O494">
        <v>686946.5</v>
      </c>
      <c r="P494">
        <v>7.0987547793737726E-2</v>
      </c>
    </row>
    <row r="495" spans="1:16" x14ac:dyDescent="0.3">
      <c r="A495" t="s">
        <v>499</v>
      </c>
      <c r="B495" s="4" cm="1">
        <f t="array" ref="B495">_xll.SNL.Clients.Office.Excel.Functions.SPG(A495, "SP_TOTAL_REV", "CY2023")</f>
        <v>7721000</v>
      </c>
      <c r="C495" s="4">
        <f>_xll.SNL.Clients.Office.Excel.Functions.SPG(A495,"IQ_AVG_DILUT_SHARES_OUT","CY2023")</f>
        <v>732222000</v>
      </c>
      <c r="D495" s="5">
        <f>_xll.SNL.Clients.Office.Excel.Functions.SPG(A495, "IQ_DILUT_EPS_NORM", "CY2023")</f>
        <v>0.73599999999999999</v>
      </c>
      <c r="E495">
        <f t="shared" si="23"/>
        <v>538915.39199999999</v>
      </c>
      <c r="F495">
        <f t="shared" si="24"/>
        <v>6.9798651988084451E-2</v>
      </c>
      <c r="H495" t="b">
        <f t="shared" si="25"/>
        <v>1</v>
      </c>
      <c r="K495" t="s">
        <v>1000</v>
      </c>
      <c r="L495">
        <v>7721000</v>
      </c>
      <c r="M495">
        <v>732222000</v>
      </c>
      <c r="N495">
        <v>0.73599999999999999</v>
      </c>
      <c r="O495">
        <v>538915.39199999999</v>
      </c>
      <c r="P495">
        <v>6.9798651988084451E-2</v>
      </c>
    </row>
    <row r="496" spans="1:16" x14ac:dyDescent="0.3">
      <c r="A496" t="s">
        <v>500</v>
      </c>
      <c r="B496" s="4" cm="1">
        <f t="array" ref="B496">_xll.SNL.Clients.Office.Excel.Functions.SPG(A496, "SP_TOTAL_REV", "CY2023")</f>
        <v>9632000</v>
      </c>
      <c r="C496" s="4">
        <f>_xll.SNL.Clients.Office.Excel.Functions.SPG(A496,"IQ_AVG_DILUT_SHARES_OUT","CY2023")</f>
        <v>106000000</v>
      </c>
      <c r="D496" s="5">
        <f>_xll.SNL.Clients.Office.Excel.Functions.SPG(A496, "IQ_DILUT_EPS_NORM", "CY2023")</f>
        <v>9.8800000000000008</v>
      </c>
      <c r="E496">
        <f t="shared" si="23"/>
        <v>1047280.0000000001</v>
      </c>
      <c r="F496">
        <f t="shared" si="24"/>
        <v>0.10872923588039868</v>
      </c>
      <c r="H496" t="b">
        <f t="shared" si="25"/>
        <v>1</v>
      </c>
      <c r="K496" t="s">
        <v>1002</v>
      </c>
      <c r="L496">
        <v>9632000</v>
      </c>
      <c r="M496">
        <v>106000000</v>
      </c>
      <c r="N496">
        <v>9.8800000000000008</v>
      </c>
      <c r="O496">
        <v>1047280.0000000001</v>
      </c>
      <c r="P496">
        <v>0.10872923588039868</v>
      </c>
    </row>
    <row r="497" spans="1:16" x14ac:dyDescent="0.3">
      <c r="A497" t="s">
        <v>501</v>
      </c>
      <c r="B497" s="4" cm="1">
        <f t="array" ref="B497">_xll.SNL.Clients.Office.Excel.Functions.SPG(A497, "SP_TOTAL_REV", "CY2023")</f>
        <v>7259000</v>
      </c>
      <c r="C497" s="4">
        <f>_xll.SNL.Clients.Office.Excel.Functions.SPG(A497,"IQ_AVG_DILUT_SHARES_OUT","CY2023")</f>
        <v>265285000</v>
      </c>
      <c r="D497" s="5">
        <f>_xll.SNL.Clients.Office.Excel.Functions.SPG(A497, "IQ_DILUT_EPS_NORM", "CY2023")</f>
        <v>0.89500000000000002</v>
      </c>
      <c r="E497">
        <f t="shared" si="23"/>
        <v>237430.07500000001</v>
      </c>
      <c r="F497">
        <f t="shared" si="24"/>
        <v>3.2708372365339577E-2</v>
      </c>
      <c r="H497" t="b">
        <f t="shared" si="25"/>
        <v>1</v>
      </c>
      <c r="K497" t="s">
        <v>1047</v>
      </c>
      <c r="L497">
        <v>7259000</v>
      </c>
      <c r="M497">
        <v>265285000</v>
      </c>
      <c r="N497">
        <v>0.89500000000000002</v>
      </c>
      <c r="O497">
        <v>237430.07500000001</v>
      </c>
      <c r="P497">
        <v>3.2708372365339577E-2</v>
      </c>
    </row>
    <row r="498" spans="1:16" x14ac:dyDescent="0.3">
      <c r="A498" t="s">
        <v>502</v>
      </c>
      <c r="B498" s="4" cm="1">
        <f t="array" ref="B498">_xll.SNL.Clients.Office.Excel.Functions.SPG(A498, "SP_TOTAL_REV", "CY2023")</f>
        <v>6531897</v>
      </c>
      <c r="C498" s="4">
        <f>_xll.SNL.Clients.Office.Excel.Functions.SPG(A498,"IQ_AVG_DILUT_SHARES_OUT","CY2023")</f>
        <v>112855000</v>
      </c>
      <c r="D498" s="5">
        <f>_xll.SNL.Clients.Office.Excel.Functions.SPG(A498, "IQ_DILUT_EPS_NORM", "CY2023")</f>
        <v>2.3279999999999998</v>
      </c>
      <c r="E498">
        <f t="shared" si="23"/>
        <v>262726.43999999994</v>
      </c>
      <c r="F498">
        <f t="shared" si="24"/>
        <v>4.0222073311933719E-2</v>
      </c>
      <c r="H498" t="b">
        <f t="shared" si="25"/>
        <v>1</v>
      </c>
      <c r="K498" t="s">
        <v>1003</v>
      </c>
      <c r="L498">
        <v>6531897</v>
      </c>
      <c r="M498">
        <v>112855000</v>
      </c>
      <c r="N498">
        <v>2.3279999999999998</v>
      </c>
      <c r="O498">
        <v>262726.43999999994</v>
      </c>
      <c r="P498">
        <v>4.0222073311933719E-2</v>
      </c>
    </row>
    <row r="499" spans="1:16" x14ac:dyDescent="0.3">
      <c r="A499" t="s">
        <v>503</v>
      </c>
      <c r="B499" s="4" cm="1">
        <f t="array" ref="B499">_xll.SNL.Clients.Office.Excel.Functions.SPG(A499, "SP_TOTAL_REV", "CY2023")</f>
        <v>14206000</v>
      </c>
      <c r="C499" s="4">
        <f>_xll.SNL.Clients.Office.Excel.Functions.SPG(A499,"IQ_AVG_DILUT_SHARES_OUT","CY2023")</f>
        <v>552000000</v>
      </c>
      <c r="D499" s="5">
        <f>_xll.SNL.Clients.Office.Excel.Functions.SPG(A499, "IQ_DILUT_EPS_NORM", "CY2023")</f>
        <v>1.9610000000000001</v>
      </c>
      <c r="E499">
        <f t="shared" si="23"/>
        <v>1082472</v>
      </c>
      <c r="F499">
        <f t="shared" si="24"/>
        <v>7.6198226101647185E-2</v>
      </c>
      <c r="H499" t="b">
        <f t="shared" si="25"/>
        <v>1</v>
      </c>
      <c r="K499" t="s">
        <v>1004</v>
      </c>
      <c r="L499">
        <v>14206000</v>
      </c>
      <c r="M499">
        <v>552000000</v>
      </c>
      <c r="N499">
        <v>1.9610000000000001</v>
      </c>
      <c r="O499">
        <v>1082472</v>
      </c>
      <c r="P499">
        <v>7.6198226101647185E-2</v>
      </c>
    </row>
    <row r="500" spans="1:16" x14ac:dyDescent="0.3">
      <c r="A500" t="s">
        <v>504</v>
      </c>
      <c r="B500" s="4" cm="1">
        <f t="array" ref="B500">_xll.SNL.Clients.Office.Excel.Functions.SPG(A500, "SP_TOTAL_REV", "CY2023")</f>
        <v>7364000</v>
      </c>
      <c r="C500" s="4">
        <f>_xll.SNL.Clients.Office.Excel.Functions.SPG(A500,"IQ_AVG_DILUT_SHARES_OUT","CY2023")</f>
        <v>218180000</v>
      </c>
      <c r="D500" s="5">
        <f>_xll.SNL.Clients.Office.Excel.Functions.SPG(A500, "IQ_DILUT_EPS_NORM", "CY2023")</f>
        <v>2.4009999999999998</v>
      </c>
      <c r="E500">
        <f t="shared" si="23"/>
        <v>523850.17999999993</v>
      </c>
      <c r="F500">
        <f t="shared" si="24"/>
        <v>7.1136634980988586E-2</v>
      </c>
      <c r="H500" t="b">
        <f t="shared" si="25"/>
        <v>1</v>
      </c>
      <c r="K500" t="s">
        <v>1005</v>
      </c>
      <c r="L500">
        <v>7364000</v>
      </c>
      <c r="M500">
        <v>218180000</v>
      </c>
      <c r="N500">
        <v>2.4009999999999998</v>
      </c>
      <c r="O500">
        <v>523850.17999999993</v>
      </c>
      <c r="P500">
        <v>7.1136634980988586E-2</v>
      </c>
    </row>
    <row r="501" spans="1:16" x14ac:dyDescent="0.3">
      <c r="A501" t="s">
        <v>505</v>
      </c>
      <c r="B501" s="4" cm="1">
        <f t="array" ref="B501">_xll.SNL.Clients.Office.Excel.Functions.SPG(A501, "SP_TOTAL_REV", "CY2023")</f>
        <v>7076000</v>
      </c>
      <c r="C501" s="4">
        <f>_xll.SNL.Clients.Office.Excel.Functions.SPG(A501,"IQ_AVG_DILUT_SHARES_OUT","CY2023")</f>
        <v>285000000</v>
      </c>
      <c r="D501" s="5">
        <f>_xll.SNL.Clients.Office.Excel.Functions.SPG(A501, "IQ_DILUT_EPS_NORM", "CY2023")</f>
        <v>4.1180000000000003</v>
      </c>
      <c r="E501">
        <f t="shared" si="23"/>
        <v>1173630</v>
      </c>
      <c r="F501">
        <f t="shared" si="24"/>
        <v>0.16586065573770492</v>
      </c>
      <c r="H501" t="b">
        <f t="shared" si="25"/>
        <v>1</v>
      </c>
      <c r="K501" t="s">
        <v>1006</v>
      </c>
      <c r="L501">
        <v>7076000</v>
      </c>
      <c r="M501">
        <v>285000000</v>
      </c>
      <c r="N501">
        <v>4.1180000000000003</v>
      </c>
      <c r="O501">
        <v>1173630</v>
      </c>
      <c r="P501">
        <v>0.16586065573770492</v>
      </c>
    </row>
    <row r="502" spans="1:16" x14ac:dyDescent="0.3">
      <c r="A502" t="s">
        <v>506</v>
      </c>
      <c r="B502" s="4" cm="1">
        <f t="array" ref="B502">_xll.SNL.Clients.Office.Excel.Functions.SPG(A502, "SP_TOTAL_REV", "CY2023")</f>
        <v>4584000</v>
      </c>
      <c r="C502" s="4">
        <f>_xll.SNL.Clients.Office.Excel.Functions.SPG(A502,"IQ_AVG_DILUT_SHARES_OUT","CY2023")</f>
        <v>51710962</v>
      </c>
      <c r="D502" s="5">
        <f>_xll.SNL.Clients.Office.Excel.Functions.SPG(A502, "IQ_DILUT_EPS_NORM", "CY2023")</f>
        <v>5.2939999999999996</v>
      </c>
      <c r="E502">
        <f t="shared" si="23"/>
        <v>273757.83282799996</v>
      </c>
      <c r="F502">
        <f t="shared" si="24"/>
        <v>5.9720295119546241E-2</v>
      </c>
      <c r="H502" t="b">
        <f t="shared" si="25"/>
        <v>1</v>
      </c>
      <c r="K502" t="s">
        <v>1007</v>
      </c>
      <c r="L502">
        <v>4584000</v>
      </c>
      <c r="M502">
        <v>51710962</v>
      </c>
      <c r="N502">
        <v>5.2939999999999996</v>
      </c>
      <c r="O502">
        <v>273757.83282799996</v>
      </c>
      <c r="P502">
        <v>5.9720295119546241E-2</v>
      </c>
    </row>
    <row r="503" spans="1:16" x14ac:dyDescent="0.3">
      <c r="A503" t="s">
        <v>507</v>
      </c>
      <c r="B503" s="4" cm="1">
        <f t="array" ref="B503">_xll.SNL.Clients.Office.Excel.Functions.SPG(A503, "SP_TOTAL_REV", "CY2023")</f>
        <v>7394200</v>
      </c>
      <c r="C503" s="4">
        <f>_xll.SNL.Clients.Office.Excel.Functions.SPG(A503,"IQ_AVG_DILUT_SHARES_OUT","CY2023")</f>
        <v>209700000</v>
      </c>
      <c r="D503" s="5">
        <f>_xll.SNL.Clients.Office.Excel.Functions.SPG(A503, "IQ_DILUT_EPS_NORM", "CY2023")</f>
        <v>3.758</v>
      </c>
      <c r="E503">
        <f t="shared" si="23"/>
        <v>788052.6</v>
      </c>
      <c r="F503">
        <f t="shared" si="24"/>
        <v>0.10657712801925834</v>
      </c>
      <c r="H503" t="b">
        <f t="shared" si="25"/>
        <v>1</v>
      </c>
      <c r="K503" t="s">
        <v>1008</v>
      </c>
      <c r="L503">
        <v>7394200</v>
      </c>
      <c r="M503">
        <v>209700000</v>
      </c>
      <c r="N503">
        <v>3.758</v>
      </c>
      <c r="O503">
        <v>788052.6</v>
      </c>
      <c r="P503">
        <v>0.10657712801925834</v>
      </c>
    </row>
    <row r="504" spans="1:16" x14ac:dyDescent="0.3">
      <c r="A504" t="s">
        <v>508</v>
      </c>
      <c r="B504" s="4" cm="1">
        <f t="array" ref="B504">_xll.SNL.Clients.Office.Excel.Functions.SPG(A504, "SP_TOTAL_REV", "CY2023")</f>
        <v>8544000</v>
      </c>
      <c r="C504" s="4">
        <f>_xll.SNL.Clients.Office.Excel.Functions.SPG(A504,"IQ_AVG_DILUT_SHARES_OUT","CY2023")</f>
        <v>462269000</v>
      </c>
      <c r="D504" s="5">
        <f>_xll.SNL.Clients.Office.Excel.Functions.SPG(A504, "IQ_DILUT_EPS_NORM", "CY2023")</f>
        <v>3.9660000000000002</v>
      </c>
      <c r="E504">
        <f t="shared" si="23"/>
        <v>1833358.8540000001</v>
      </c>
      <c r="F504">
        <f t="shared" si="24"/>
        <v>0.21457851755617979</v>
      </c>
      <c r="H504" t="b">
        <f t="shared" si="25"/>
        <v>1</v>
      </c>
      <c r="K504" t="s">
        <v>1009</v>
      </c>
      <c r="L504">
        <v>8544000</v>
      </c>
      <c r="M504">
        <v>462269000</v>
      </c>
      <c r="N504">
        <v>3.9660000000000002</v>
      </c>
      <c r="O504">
        <v>1833358.8540000001</v>
      </c>
      <c r="P504">
        <v>0.21457851755617979</v>
      </c>
    </row>
    <row r="505" spans="1:16" x14ac:dyDescent="0.3">
      <c r="B505">
        <f>SUM(B2:B504)</f>
        <v>16569580075</v>
      </c>
      <c r="C505">
        <f>SUM(C2:C504)</f>
        <v>393106620983</v>
      </c>
      <c r="D505">
        <f>E505/C505*1000</f>
        <v>3.2712679409181198</v>
      </c>
      <c r="E505">
        <f>SUMIF(E2:E504, "&lt;&gt;#VALUE!")</f>
        <v>1285957086.5843382</v>
      </c>
      <c r="F505">
        <f>E505/B505</f>
        <v>7.7609515797239556E-2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DBA3EB-8725-4938-9DC7-83087053DF40}">
  <dimension ref="A2:R512"/>
  <sheetViews>
    <sheetView workbookViewId="0">
      <pane xSplit="1" ySplit="3" topLeftCell="B454" activePane="bottomRight" state="frozen"/>
      <selection pane="topRight" activeCell="B1" sqref="B1"/>
      <selection pane="bottomLeft" activeCell="A4" sqref="A4"/>
      <selection pane="bottomRight" activeCell="B481" sqref="B481"/>
    </sheetView>
  </sheetViews>
  <sheetFormatPr defaultRowHeight="14.4" x14ac:dyDescent="0.3"/>
  <cols>
    <col min="1" max="1" width="15.88671875" bestFit="1" customWidth="1"/>
    <col min="2" max="2" width="10.88671875" bestFit="1" customWidth="1"/>
    <col min="3" max="3" width="13.44140625" bestFit="1" customWidth="1"/>
    <col min="4" max="4" width="9" bestFit="1" customWidth="1"/>
    <col min="5" max="5" width="9.33203125" customWidth="1"/>
    <col min="6" max="6" width="8.109375" bestFit="1" customWidth="1"/>
    <col min="7" max="7" width="15.88671875" bestFit="1" customWidth="1"/>
    <col min="8" max="8" width="10.88671875" bestFit="1" customWidth="1"/>
    <col min="9" max="9" width="13.44140625" bestFit="1" customWidth="1"/>
    <col min="10" max="10" width="9" bestFit="1" customWidth="1"/>
    <col min="11" max="11" width="9.33203125" customWidth="1"/>
    <col min="12" max="12" width="8.109375" bestFit="1" customWidth="1"/>
    <col min="13" max="13" width="15.88671875" bestFit="1" customWidth="1"/>
    <col min="14" max="14" width="10.88671875" bestFit="1" customWidth="1"/>
    <col min="15" max="15" width="13.44140625" bestFit="1" customWidth="1"/>
    <col min="16" max="16" width="9" bestFit="1" customWidth="1"/>
    <col min="17" max="17" width="9.33203125" customWidth="1"/>
    <col min="18" max="18" width="8.109375" bestFit="1" customWidth="1"/>
  </cols>
  <sheetData>
    <row r="2" spans="1:18" x14ac:dyDescent="0.3">
      <c r="B2" t="s">
        <v>0</v>
      </c>
      <c r="H2" t="s">
        <v>509</v>
      </c>
      <c r="N2" t="s">
        <v>509</v>
      </c>
    </row>
    <row r="3" spans="1:18" x14ac:dyDescent="0.3">
      <c r="B3" s="1" t="s">
        <v>1</v>
      </c>
      <c r="C3" s="2" t="s">
        <v>2</v>
      </c>
      <c r="D3" s="2" t="s">
        <v>3</v>
      </c>
      <c r="E3" s="2" t="s">
        <v>4</v>
      </c>
      <c r="F3" s="3" t="s">
        <v>5</v>
      </c>
      <c r="H3" s="1" t="s">
        <v>1</v>
      </c>
      <c r="I3" s="2" t="s">
        <v>2</v>
      </c>
      <c r="J3" s="2" t="s">
        <v>3</v>
      </c>
      <c r="K3" s="2" t="s">
        <v>4</v>
      </c>
      <c r="L3" s="3" t="s">
        <v>5</v>
      </c>
      <c r="N3" s="1" t="s">
        <v>1</v>
      </c>
      <c r="O3" s="2" t="s">
        <v>2</v>
      </c>
      <c r="P3" s="2" t="s">
        <v>3</v>
      </c>
      <c r="Q3" s="2" t="s">
        <v>4</v>
      </c>
      <c r="R3" s="3" t="s">
        <v>5</v>
      </c>
    </row>
    <row r="4" spans="1:18" x14ac:dyDescent="0.3">
      <c r="A4" t="s">
        <v>516</v>
      </c>
      <c r="B4" s="4" cm="1">
        <f t="array" ref="B4">_xll.SNL.Clients.Office.Excel.Functions.SPG(A4, "SP_TOTAL_REV", "CY2023")</f>
        <v>32681000</v>
      </c>
      <c r="C4" s="4">
        <f>_xll.SNL.Clients.Office.Excel.Functions.SPG(A4,"IQ_AVG_DILUT_SHARES_OUT","CY2023")</f>
        <v>553900000</v>
      </c>
      <c r="D4" s="5">
        <f>_xll.SNL.Clients.Office.Excel.Functions.SPG(A4, "IQ_DILUT_EPS_NORM", "CY2023")</f>
        <v>5.8529999999999998</v>
      </c>
      <c r="E4">
        <f>C4*D4/1000</f>
        <v>3241976.7</v>
      </c>
      <c r="F4">
        <f>E4/B4</f>
        <v>9.9200657874606052E-2</v>
      </c>
      <c r="G4" t="s">
        <v>516</v>
      </c>
      <c r="H4" s="4" cm="1">
        <f t="array" ref="H4">_xll.SNL.Clients.Office.Excel.Functions.SPG(G4, "SP_TOTAL_REV", "CY2022")</f>
        <v>34229000</v>
      </c>
      <c r="I4" s="4">
        <f>_xll.SNL.Clients.Office.Excel.Functions.SPG(G4,"IQ_AVG_DILUT_SHARES_OUT","CY2022")</f>
        <v>567600000</v>
      </c>
      <c r="J4" s="5">
        <f>_xll.SNL.Clients.Office.Excel.Functions.SPG(G4, "IQ_DILUT_EPS_NORM", "CY2022")</f>
        <v>6.6470000000000002</v>
      </c>
      <c r="K4">
        <f>I4*J4/1000</f>
        <v>3772837.2</v>
      </c>
      <c r="L4">
        <f>K4/H4</f>
        <v>0.11022341289549797</v>
      </c>
      <c r="M4" t="s">
        <v>516</v>
      </c>
      <c r="N4" s="4" cm="1">
        <f t="array" ref="N4">_xll.SNL.Clients.Office.Excel.Functions.SPG(M4, "SP_TOTAL_REV", "CY2022")</f>
        <v>34229000</v>
      </c>
      <c r="O4" s="4">
        <f>_xll.SNL.Clients.Office.Excel.Functions.SPG(M4,"IQ_AVG_DILUT_SHARES_OUT","CY2022")</f>
        <v>567600000</v>
      </c>
      <c r="P4" s="5">
        <f>_xll.SNL.Clients.Office.Excel.Functions.SPG(M4, "IQ_DILUT_EPS_NORM", "CY2022")</f>
        <v>6.6470000000000002</v>
      </c>
      <c r="Q4">
        <f>O4*P4/1000</f>
        <v>3772837.2</v>
      </c>
      <c r="R4">
        <f>Q4/N4</f>
        <v>0.11022341289549797</v>
      </c>
    </row>
    <row r="5" spans="1:18" x14ac:dyDescent="0.3">
      <c r="A5" t="s">
        <v>517</v>
      </c>
      <c r="B5" s="4" cm="1">
        <f t="array" ref="B5">_xll.SNL.Clients.Office.Excel.Functions.SPG(A5, "SP_TOTAL_REV", "CY2023")</f>
        <v>3852800</v>
      </c>
      <c r="C5" s="4">
        <f>_xll.SNL.Clients.Office.Excel.Functions.SPG(A5,"IQ_AVG_DILUT_SHARES_OUT","CY2023")</f>
        <v>151015574</v>
      </c>
      <c r="D5" s="5">
        <f>_xll.SNL.Clients.Office.Excel.Functions.SPG(A5, "IQ_DILUT_EPS_NORM", "CY2023")</f>
        <v>3.11</v>
      </c>
      <c r="E5">
        <f t="shared" ref="E5:E68" si="0">C5*D5/1000</f>
        <v>469658.43513999996</v>
      </c>
      <c r="F5">
        <f t="shared" ref="F5:F68" si="1">E5/B5</f>
        <v>0.12190054898774916</v>
      </c>
      <c r="G5" t="s">
        <v>517</v>
      </c>
      <c r="H5" s="4" cm="1">
        <f t="array" ref="H5">_xll.SNL.Clients.Office.Excel.Functions.SPG(G5, "SP_TOTAL_REV", "CY2022")</f>
        <v>3753900</v>
      </c>
      <c r="I5" s="4">
        <f>_xll.SNL.Clients.Office.Excel.Functions.SPG(G5,"IQ_AVG_DILUT_SHARES_OUT","CY2022")</f>
        <v>155779364</v>
      </c>
      <c r="J5" s="5">
        <f>_xll.SNL.Clients.Office.Excel.Functions.SPG(G5, "IQ_DILUT_EPS_NORM", "CY2022")</f>
        <v>2.5430000000000001</v>
      </c>
      <c r="K5">
        <f t="shared" ref="K5:K68" si="2">I5*J5/1000</f>
        <v>396146.92265200004</v>
      </c>
      <c r="L5">
        <f t="shared" ref="L5:L68" si="3">K5/H5</f>
        <v>0.10552942876794801</v>
      </c>
      <c r="M5" t="s">
        <v>517</v>
      </c>
      <c r="N5" s="4" cm="1">
        <f t="array" ref="N5">_xll.SNL.Clients.Office.Excel.Functions.SPG(M5, "SP_TOTAL_REV", "CY2022")</f>
        <v>3753900</v>
      </c>
      <c r="O5" s="4">
        <f>_xll.SNL.Clients.Office.Excel.Functions.SPG(M5,"IQ_AVG_DILUT_SHARES_OUT","CY2022")</f>
        <v>155779364</v>
      </c>
      <c r="P5" s="5">
        <f>_xll.SNL.Clients.Office.Excel.Functions.SPG(M5, "IQ_DILUT_EPS_NORM", "CY2022")</f>
        <v>2.5430000000000001</v>
      </c>
      <c r="Q5">
        <f t="shared" ref="Q5:Q68" si="4">O5*P5/1000</f>
        <v>396146.92265200004</v>
      </c>
      <c r="R5">
        <f t="shared" ref="R5:R68" si="5">Q5/N5</f>
        <v>0.10552942876794801</v>
      </c>
    </row>
    <row r="6" spans="1:18" x14ac:dyDescent="0.3">
      <c r="A6" t="s">
        <v>518</v>
      </c>
      <c r="B6" s="4" cm="1">
        <f t="array" ref="B6">_xll.SNL.Clients.Office.Excel.Functions.SPG(A6, "SP_TOTAL_REV", "CY2023")</f>
        <v>40109000</v>
      </c>
      <c r="C6" s="4">
        <f>_xll.SNL.Clients.Office.Excel.Functions.SPG(A6,"IQ_AVG_DILUT_SHARES_OUT","CY2023")</f>
        <v>1749000000</v>
      </c>
      <c r="D6" s="5">
        <f>_xll.SNL.Clients.Office.Excel.Functions.SPG(A6, "IQ_DILUT_EPS_NORM", "CY2023")</f>
        <v>2.4670000000000001</v>
      </c>
      <c r="E6">
        <f t="shared" si="0"/>
        <v>4314783</v>
      </c>
      <c r="F6">
        <f t="shared" si="1"/>
        <v>0.1075764292303473</v>
      </c>
      <c r="G6" t="s">
        <v>518</v>
      </c>
      <c r="H6" s="4" cm="1">
        <f t="array" ref="H6">_xll.SNL.Clients.Office.Excel.Functions.SPG(G6, "SP_TOTAL_REV", "CY2022")</f>
        <v>43653000</v>
      </c>
      <c r="I6" s="4">
        <f>_xll.SNL.Clients.Office.Excel.Functions.SPG(G6,"IQ_AVG_DILUT_SHARES_OUT","CY2022")</f>
        <v>1764000000</v>
      </c>
      <c r="J6" s="5">
        <f>_xll.SNL.Clients.Office.Excel.Functions.SPG(G6, "IQ_DILUT_EPS_NORM", "CY2022")</f>
        <v>3.081</v>
      </c>
      <c r="K6">
        <f t="shared" si="2"/>
        <v>5434884</v>
      </c>
      <c r="L6">
        <f t="shared" si="3"/>
        <v>0.12450195862827297</v>
      </c>
      <c r="M6" t="s">
        <v>518</v>
      </c>
      <c r="N6" s="4" cm="1">
        <f t="array" ref="N6">_xll.SNL.Clients.Office.Excel.Functions.SPG(M6, "SP_TOTAL_REV", "CY2022")</f>
        <v>43653000</v>
      </c>
      <c r="O6" s="4">
        <f>_xll.SNL.Clients.Office.Excel.Functions.SPG(M6,"IQ_AVG_DILUT_SHARES_OUT","CY2022")</f>
        <v>1764000000</v>
      </c>
      <c r="P6" s="5">
        <f>_xll.SNL.Clients.Office.Excel.Functions.SPG(M6, "IQ_DILUT_EPS_NORM", "CY2022")</f>
        <v>3.081</v>
      </c>
      <c r="Q6">
        <f t="shared" si="4"/>
        <v>5434884</v>
      </c>
      <c r="R6">
        <f t="shared" si="5"/>
        <v>0.12450195862827297</v>
      </c>
    </row>
    <row r="7" spans="1:18" x14ac:dyDescent="0.3">
      <c r="A7" t="s">
        <v>519</v>
      </c>
      <c r="B7" s="4" cm="1">
        <f t="array" ref="B7">_xll.SNL.Clients.Office.Excel.Functions.SPG(A7, "SP_TOTAL_REV", "CY2023")</f>
        <v>54318000</v>
      </c>
      <c r="C7" s="4">
        <f>_xll.SNL.Clients.Office.Excel.Functions.SPG(A7,"IQ_AVG_DILUT_SHARES_OUT","CY2023")</f>
        <v>1773000000</v>
      </c>
      <c r="D7" s="5">
        <f>_xll.SNL.Clients.Office.Excel.Functions.SPG(A7, "IQ_DILUT_EPS_NORM", "CY2023")</f>
        <v>5.6420000000000003</v>
      </c>
      <c r="E7">
        <f t="shared" si="0"/>
        <v>10003266</v>
      </c>
      <c r="F7">
        <f t="shared" si="1"/>
        <v>0.18416116204573069</v>
      </c>
      <c r="G7" t="s">
        <v>519</v>
      </c>
      <c r="H7" s="4" cm="1">
        <f t="array" ref="H7">_xll.SNL.Clients.Office.Excel.Functions.SPG(G7, "SP_TOTAL_REV", "CY2022")</f>
        <v>58054000</v>
      </c>
      <c r="I7" s="4">
        <f>_xll.SNL.Clients.Office.Excel.Functions.SPG(G7,"IQ_AVG_DILUT_SHARES_OUT","CY2022")</f>
        <v>1778000000</v>
      </c>
      <c r="J7" s="5">
        <f>_xll.SNL.Clients.Office.Excel.Functions.SPG(G7, "IQ_DILUT_EPS_NORM", "CY2022")</f>
        <v>7.3440000000000003</v>
      </c>
      <c r="K7">
        <f t="shared" si="2"/>
        <v>13057632</v>
      </c>
      <c r="L7">
        <f t="shared" si="3"/>
        <v>0.22492217590519173</v>
      </c>
      <c r="M7" t="s">
        <v>519</v>
      </c>
      <c r="N7" s="4" cm="1">
        <f t="array" ref="N7">_xll.SNL.Clients.Office.Excel.Functions.SPG(M7, "SP_TOTAL_REV", "CY2022")</f>
        <v>58054000</v>
      </c>
      <c r="O7" s="4">
        <f>_xll.SNL.Clients.Office.Excel.Functions.SPG(M7,"IQ_AVG_DILUT_SHARES_OUT","CY2022")</f>
        <v>1778000000</v>
      </c>
      <c r="P7" s="5">
        <f>_xll.SNL.Clients.Office.Excel.Functions.SPG(M7, "IQ_DILUT_EPS_NORM", "CY2022")</f>
        <v>7.3440000000000003</v>
      </c>
      <c r="Q7">
        <f t="shared" si="4"/>
        <v>13057632</v>
      </c>
      <c r="R7">
        <f t="shared" si="5"/>
        <v>0.22492217590519173</v>
      </c>
    </row>
    <row r="8" spans="1:18" x14ac:dyDescent="0.3">
      <c r="A8" t="s">
        <v>520</v>
      </c>
      <c r="B8" s="4" cm="1">
        <f t="array" ref="B8">_xll.SNL.Clients.Office.Excel.Functions.SPG(A8, "SP_TOTAL_REV", "CY2023")</f>
        <v>64588246</v>
      </c>
      <c r="C8" s="4">
        <f>_xll.SNL.Clients.Office.Excel.Functions.SPG(A8,"IQ_AVG_DILUT_SHARES_OUT","CY2023")</f>
        <v>638249501</v>
      </c>
      <c r="D8" s="5">
        <f>_xll.SNL.Clients.Office.Excel.Functions.SPG(A8, "IQ_DILUT_EPS_NORM", "CY2023")</f>
        <v>9.68</v>
      </c>
      <c r="E8">
        <f t="shared" si="0"/>
        <v>6178255.1696799994</v>
      </c>
      <c r="F8">
        <f t="shared" si="1"/>
        <v>9.5656029576650828E-2</v>
      </c>
      <c r="G8" t="s">
        <v>520</v>
      </c>
      <c r="H8" s="4" cm="1">
        <f t="array" ref="H8">_xll.SNL.Clients.Office.Excel.Functions.SPG(G8, "SP_TOTAL_REV", "CY2022")</f>
        <v>62376954</v>
      </c>
      <c r="I8" s="4">
        <f>_xll.SNL.Clients.Office.Excel.Functions.SPG(G8,"IQ_AVG_DILUT_SHARES_OUT","CY2022")</f>
        <v>641300221</v>
      </c>
      <c r="J8" s="5">
        <f>_xll.SNL.Clients.Office.Excel.Functions.SPG(G8, "IQ_DILUT_EPS_NORM", "CY2022")</f>
        <v>9.0679999999999996</v>
      </c>
      <c r="K8">
        <f t="shared" si="2"/>
        <v>5815310.4040280003</v>
      </c>
      <c r="L8">
        <f t="shared" si="3"/>
        <v>9.3228508785921163E-2</v>
      </c>
      <c r="M8" t="s">
        <v>520</v>
      </c>
      <c r="N8" s="4" cm="1">
        <f t="array" ref="N8">_xll.SNL.Clients.Office.Excel.Functions.SPG(M8, "SP_TOTAL_REV", "CY2022")</f>
        <v>62376954</v>
      </c>
      <c r="O8" s="4">
        <f>_xll.SNL.Clients.Office.Excel.Functions.SPG(M8,"IQ_AVG_DILUT_SHARES_OUT","CY2022")</f>
        <v>641300221</v>
      </c>
      <c r="P8" s="5">
        <f>_xll.SNL.Clients.Office.Excel.Functions.SPG(M8, "IQ_DILUT_EPS_NORM", "CY2022")</f>
        <v>9.0679999999999996</v>
      </c>
      <c r="Q8">
        <f t="shared" si="4"/>
        <v>5815310.4040280003</v>
      </c>
      <c r="R8">
        <f t="shared" si="5"/>
        <v>9.3228508785921163E-2</v>
      </c>
    </row>
    <row r="9" spans="1:18" x14ac:dyDescent="0.3">
      <c r="A9" t="s">
        <v>521</v>
      </c>
      <c r="B9" s="4" cm="1">
        <f t="array" ref="B9">_xll.SNL.Clients.Office.Excel.Functions.SPG(A9, "SP_TOTAL_REV", "CY2023")</f>
        <v>19409000</v>
      </c>
      <c r="C9" s="4">
        <f>_xll.SNL.Clients.Office.Excel.Functions.SPG(A9,"IQ_AVG_DILUT_SHARES_OUT","CY2023")</f>
        <v>459100000</v>
      </c>
      <c r="D9" s="5">
        <f>_xll.SNL.Clients.Office.Excel.Functions.SPG(A9, "IQ_DILUT_EPS_NORM", "CY2023")</f>
        <v>9.2439999999999998</v>
      </c>
      <c r="E9">
        <f t="shared" si="0"/>
        <v>4243920.4000000004</v>
      </c>
      <c r="F9">
        <f t="shared" si="1"/>
        <v>0.21865734453088775</v>
      </c>
      <c r="G9" t="s">
        <v>521</v>
      </c>
      <c r="H9" s="4" cm="1">
        <f t="array" ref="H9">_xll.SNL.Clients.Office.Excel.Functions.SPG(G9, "SP_TOTAL_REV", "CY2022")</f>
        <v>17606000</v>
      </c>
      <c r="I9" s="4">
        <f>_xll.SNL.Clients.Office.Excel.Functions.SPG(G9,"IQ_AVG_DILUT_SHARES_OUT","CY2022")</f>
        <v>470900000</v>
      </c>
      <c r="J9" s="5">
        <f>_xll.SNL.Clients.Office.Excel.Functions.SPG(G9, "IQ_DILUT_EPS_NORM", "CY2022")</f>
        <v>7.9989999999999997</v>
      </c>
      <c r="K9">
        <f t="shared" si="2"/>
        <v>3766729.1</v>
      </c>
      <c r="L9">
        <f t="shared" si="3"/>
        <v>0.2139457628081336</v>
      </c>
      <c r="M9" t="s">
        <v>521</v>
      </c>
      <c r="N9" s="4" cm="1">
        <f t="array" ref="N9">_xll.SNL.Clients.Office.Excel.Functions.SPG(M9, "SP_TOTAL_REV", "CY2022")</f>
        <v>17606000</v>
      </c>
      <c r="O9" s="4">
        <f>_xll.SNL.Clients.Office.Excel.Functions.SPG(M9,"IQ_AVG_DILUT_SHARES_OUT","CY2022")</f>
        <v>470900000</v>
      </c>
      <c r="P9" s="5">
        <f>_xll.SNL.Clients.Office.Excel.Functions.SPG(M9, "IQ_DILUT_EPS_NORM", "CY2022")</f>
        <v>7.9989999999999997</v>
      </c>
      <c r="Q9">
        <f t="shared" si="4"/>
        <v>3766729.1</v>
      </c>
      <c r="R9">
        <f t="shared" si="5"/>
        <v>0.2139457628081336</v>
      </c>
    </row>
    <row r="10" spans="1:18" x14ac:dyDescent="0.3">
      <c r="A10" t="s">
        <v>522</v>
      </c>
      <c r="B10" s="4" cm="1">
        <f t="array" ref="B10">_xll.SNL.Clients.Office.Excel.Functions.SPG(A10, "SP_TOTAL_REV", "CY2023")</f>
        <v>22680000</v>
      </c>
      <c r="C10" s="4">
        <f>_xll.SNL.Clients.Office.Excel.Functions.SPG(A10,"IQ_AVG_DILUT_SHARES_OUT","CY2023")</f>
        <v>1625000000</v>
      </c>
      <c r="D10" s="5">
        <f>_xll.SNL.Clients.Office.Excel.Functions.SPG(A10, "IQ_DILUT_EPS_NORM", "CY2023")</f>
        <v>0.19600000000000001</v>
      </c>
      <c r="E10">
        <f t="shared" si="0"/>
        <v>318500</v>
      </c>
      <c r="F10">
        <f t="shared" si="1"/>
        <v>1.404320987654321E-2</v>
      </c>
      <c r="G10" t="s">
        <v>522</v>
      </c>
      <c r="H10" s="4" cm="1">
        <f t="array" ref="H10">_xll.SNL.Clients.Office.Excel.Functions.SPG(G10, "SP_TOTAL_REV", "CY2022")</f>
        <v>23601000</v>
      </c>
      <c r="I10" s="4">
        <f>_xll.SNL.Clients.Office.Excel.Functions.SPG(G10,"IQ_AVG_DILUT_SHARES_OUT","CY2022")</f>
        <v>1571000000</v>
      </c>
      <c r="J10" s="5">
        <f>_xll.SNL.Clients.Office.Excel.Functions.SPG(G10, "IQ_DILUT_EPS_NORM", "CY2022")</f>
        <v>0.501</v>
      </c>
      <c r="K10">
        <f t="shared" si="2"/>
        <v>787071</v>
      </c>
      <c r="L10">
        <f t="shared" si="3"/>
        <v>3.3349053006228549E-2</v>
      </c>
      <c r="M10" t="s">
        <v>522</v>
      </c>
      <c r="N10" s="4" cm="1">
        <f t="array" ref="N10">_xll.SNL.Clients.Office.Excel.Functions.SPG(M10, "SP_TOTAL_REV", "CY2022")</f>
        <v>23601000</v>
      </c>
      <c r="O10" s="4">
        <f>_xll.SNL.Clients.Office.Excel.Functions.SPG(M10,"IQ_AVG_DILUT_SHARES_OUT","CY2022")</f>
        <v>1571000000</v>
      </c>
      <c r="P10" s="5">
        <f>_xll.SNL.Clients.Office.Excel.Functions.SPG(M10, "IQ_DILUT_EPS_NORM", "CY2022")</f>
        <v>0.501</v>
      </c>
      <c r="Q10">
        <f t="shared" si="4"/>
        <v>787071</v>
      </c>
      <c r="R10">
        <f t="shared" si="5"/>
        <v>3.3349053006228549E-2</v>
      </c>
    </row>
    <row r="11" spans="1:18" x14ac:dyDescent="0.3">
      <c r="A11" t="s">
        <v>523</v>
      </c>
      <c r="B11" s="4" cm="1">
        <f t="array" ref="B11">_xll.SNL.Clients.Office.Excel.Functions.SPG(A11, "SP_TOTAL_REV", "CY2023")</f>
        <v>12668000</v>
      </c>
      <c r="C11" s="4">
        <f>_xll.SNL.Clients.Office.Excel.Functions.SPG(A11,"IQ_AVG_DILUT_SHARES_OUT","CY2023")</f>
        <v>712000000</v>
      </c>
      <c r="D11" s="5">
        <f>_xll.SNL.Clients.Office.Excel.Functions.SPG(A11, "IQ_DILUT_EPS_NORM", "CY2023")</f>
        <v>1.5589999999999999</v>
      </c>
      <c r="E11">
        <f t="shared" si="0"/>
        <v>1110008</v>
      </c>
      <c r="F11">
        <f t="shared" si="1"/>
        <v>8.7622987053994322E-2</v>
      </c>
      <c r="G11" t="s">
        <v>523</v>
      </c>
      <c r="H11" s="4" cm="1">
        <f t="array" ref="H11">_xll.SNL.Clients.Office.Excel.Functions.SPG(G11, "SP_TOTAL_REV", "CY2022")</f>
        <v>12617000</v>
      </c>
      <c r="I11" s="4">
        <f>_xll.SNL.Clients.Office.Excel.Functions.SPG(G11,"IQ_AVG_DILUT_SHARES_OUT","CY2022")</f>
        <v>668000000</v>
      </c>
      <c r="J11" s="5">
        <f>_xll.SNL.Clients.Office.Excel.Functions.SPG(G11, "IQ_DILUT_EPS_NORM", "CY2022")</f>
        <v>1.33</v>
      </c>
      <c r="K11">
        <f t="shared" si="2"/>
        <v>888440</v>
      </c>
      <c r="L11">
        <f t="shared" si="3"/>
        <v>7.0416105254814926E-2</v>
      </c>
      <c r="M11" t="s">
        <v>523</v>
      </c>
      <c r="N11" s="4" cm="1">
        <f t="array" ref="N11">_xll.SNL.Clients.Office.Excel.Functions.SPG(M11, "SP_TOTAL_REV", "CY2022")</f>
        <v>12617000</v>
      </c>
      <c r="O11" s="4">
        <f>_xll.SNL.Clients.Office.Excel.Functions.SPG(M11,"IQ_AVG_DILUT_SHARES_OUT","CY2022")</f>
        <v>668000000</v>
      </c>
      <c r="P11" s="5">
        <f>_xll.SNL.Clients.Office.Excel.Functions.SPG(M11, "IQ_DILUT_EPS_NORM", "CY2022")</f>
        <v>1.33</v>
      </c>
      <c r="Q11">
        <f t="shared" si="4"/>
        <v>888440</v>
      </c>
      <c r="R11">
        <f t="shared" si="5"/>
        <v>7.0416105254814926E-2</v>
      </c>
    </row>
    <row r="12" spans="1:18" x14ac:dyDescent="0.3">
      <c r="A12" t="s">
        <v>524</v>
      </c>
      <c r="B12" s="4" cm="1">
        <f t="array" ref="B12">_xll.SNL.Clients.Office.Excel.Functions.SPG(A12, "SP_TOTAL_REV", "CY2023")</f>
        <v>18701000</v>
      </c>
      <c r="C12" s="4">
        <f>_xll.SNL.Clients.Office.Excel.Functions.SPG(A12,"IQ_AVG_DILUT_SHARES_OUT","CY2023")</f>
        <v>598745000</v>
      </c>
      <c r="D12" s="5">
        <f>_xll.SNL.Clients.Office.Excel.Functions.SPG(A12, "IQ_DILUT_EPS_NORM", "CY2023")</f>
        <v>5.4930000000000003</v>
      </c>
      <c r="E12">
        <f t="shared" si="0"/>
        <v>3288906.2850000001</v>
      </c>
      <c r="F12">
        <f t="shared" si="1"/>
        <v>0.17586793674135073</v>
      </c>
      <c r="G12" t="s">
        <v>524</v>
      </c>
      <c r="H12" s="4" cm="1">
        <f t="array" ref="H12">_xll.SNL.Clients.Office.Excel.Functions.SPG(G12, "SP_TOTAL_REV", "CY2022")</f>
        <v>19140000</v>
      </c>
      <c r="I12" s="4">
        <f>_xll.SNL.Clients.Office.Excel.Functions.SPG(G12,"IQ_AVG_DILUT_SHARES_OUT","CY2022")</f>
        <v>637655000</v>
      </c>
      <c r="J12" s="5">
        <f>_xll.SNL.Clients.Office.Excel.Functions.SPG(G12, "IQ_DILUT_EPS_NORM", "CY2022")</f>
        <v>4.7720000000000002</v>
      </c>
      <c r="K12">
        <f t="shared" si="2"/>
        <v>3042889.66</v>
      </c>
      <c r="L12">
        <f t="shared" si="3"/>
        <v>0.15898065099268549</v>
      </c>
      <c r="M12" t="s">
        <v>524</v>
      </c>
      <c r="N12" s="4" cm="1">
        <f t="array" ref="N12">_xll.SNL.Clients.Office.Excel.Functions.SPG(M12, "SP_TOTAL_REV", "CY2022")</f>
        <v>19140000</v>
      </c>
      <c r="O12" s="4">
        <f>_xll.SNL.Clients.Office.Excel.Functions.SPG(M12,"IQ_AVG_DILUT_SHARES_OUT","CY2022")</f>
        <v>637655000</v>
      </c>
      <c r="P12" s="5">
        <f>_xll.SNL.Clients.Office.Excel.Functions.SPG(M12, "IQ_DILUT_EPS_NORM", "CY2022")</f>
        <v>4.7720000000000002</v>
      </c>
      <c r="Q12">
        <f t="shared" si="4"/>
        <v>3042889.66</v>
      </c>
      <c r="R12">
        <f t="shared" si="5"/>
        <v>0.15898065099268549</v>
      </c>
    </row>
    <row r="13" spans="1:18" x14ac:dyDescent="0.3">
      <c r="A13" t="s">
        <v>525</v>
      </c>
      <c r="B13" s="4" cm="1">
        <f t="array" ref="B13">_xll.SNL.Clients.Office.Excel.Functions.SPG(A13, "SP_TOTAL_REV", "CY2023")</f>
        <v>6735000</v>
      </c>
      <c r="C13" s="4">
        <f>_xll.SNL.Clients.Office.Excel.Functions.SPG(A13,"IQ_AVG_DILUT_SHARES_OUT","CY2023")</f>
        <v>295250000</v>
      </c>
      <c r="D13" s="5">
        <f>_xll.SNL.Clients.Office.Excel.Functions.SPG(A13, "IQ_DILUT_EPS_NORM", "CY2023")</f>
        <v>2.9849999999999999</v>
      </c>
      <c r="E13">
        <f t="shared" si="0"/>
        <v>881321.25</v>
      </c>
      <c r="F13">
        <f t="shared" si="1"/>
        <v>0.13085690423162583</v>
      </c>
      <c r="G13" t="s">
        <v>525</v>
      </c>
      <c r="H13" s="4" cm="1">
        <f t="array" ref="H13">_xll.SNL.Clients.Office.Excel.Functions.SPG(G13, "SP_TOTAL_REV", "CY2022")</f>
        <v>6930000</v>
      </c>
      <c r="I13" s="4">
        <f>_xll.SNL.Clients.Office.Excel.Functions.SPG(G13,"IQ_AVG_DILUT_SHARES_OUT","CY2022")</f>
        <v>298500000</v>
      </c>
      <c r="J13" s="5">
        <f>_xll.SNL.Clients.Office.Excel.Functions.SPG(G13, "IQ_DILUT_EPS_NORM", "CY2022")</f>
        <v>3.48</v>
      </c>
      <c r="K13">
        <f t="shared" si="2"/>
        <v>1038780</v>
      </c>
      <c r="L13">
        <f t="shared" si="3"/>
        <v>0.14989610389610389</v>
      </c>
      <c r="M13" t="s">
        <v>525</v>
      </c>
      <c r="N13" s="4" cm="1">
        <f t="array" ref="N13">_xll.SNL.Clients.Office.Excel.Functions.SPG(M13, "SP_TOTAL_REV", "CY2022")</f>
        <v>6930000</v>
      </c>
      <c r="O13" s="4">
        <f>_xll.SNL.Clients.Office.Excel.Functions.SPG(M13,"IQ_AVG_DILUT_SHARES_OUT","CY2022")</f>
        <v>298500000</v>
      </c>
      <c r="P13" s="5">
        <f>_xll.SNL.Clients.Office.Excel.Functions.SPG(M13, "IQ_DILUT_EPS_NORM", "CY2022")</f>
        <v>3.48</v>
      </c>
      <c r="Q13">
        <f t="shared" si="4"/>
        <v>1038780</v>
      </c>
      <c r="R13">
        <f t="shared" si="5"/>
        <v>0.14989610389610389</v>
      </c>
    </row>
    <row r="14" spans="1:18" x14ac:dyDescent="0.3">
      <c r="A14" t="s">
        <v>526</v>
      </c>
      <c r="B14" s="4" cm="1">
        <f t="array" ref="B14">_xll.SNL.Clients.Office.Excel.Functions.SPG(A14, "SP_TOTAL_REV", "CY2023")</f>
        <v>12422700</v>
      </c>
      <c r="C14" s="4">
        <f>_xll.SNL.Clients.Office.Excel.Functions.SPG(A14,"IQ_AVG_DILUT_SHARES_OUT","CY2023")</f>
        <v>222750000</v>
      </c>
      <c r="D14" s="5">
        <f>_xll.SNL.Clients.Office.Excel.Functions.SPG(A14, "IQ_DILUT_EPS_NORM", "CY2023")</f>
        <v>8.7070000000000007</v>
      </c>
      <c r="E14">
        <f t="shared" si="0"/>
        <v>1939484.2500000002</v>
      </c>
      <c r="F14">
        <f t="shared" si="1"/>
        <v>0.15612421212779831</v>
      </c>
      <c r="G14" t="s">
        <v>526</v>
      </c>
      <c r="H14" s="4" cm="1">
        <f t="array" ref="H14">_xll.SNL.Clients.Office.Excel.Functions.SPG(G14, "SP_TOTAL_REV", "CY2022")</f>
        <v>12879100</v>
      </c>
      <c r="I14" s="4">
        <f>_xll.SNL.Clients.Office.Excel.Functions.SPG(G14,"IQ_AVG_DILUT_SHARES_OUT","CY2022")</f>
        <v>222500000</v>
      </c>
      <c r="J14" s="5">
        <f>_xll.SNL.Clients.Office.Excel.Functions.SPG(G14, "IQ_DILUT_EPS_NORM", "CY2022")</f>
        <v>7.976</v>
      </c>
      <c r="K14">
        <f t="shared" si="2"/>
        <v>1774660</v>
      </c>
      <c r="L14">
        <f t="shared" si="3"/>
        <v>0.13779378993873795</v>
      </c>
      <c r="M14" t="s">
        <v>526</v>
      </c>
      <c r="N14" s="4" cm="1">
        <f t="array" ref="N14">_xll.SNL.Clients.Office.Excel.Functions.SPG(M14, "SP_TOTAL_REV", "CY2022")</f>
        <v>12879100</v>
      </c>
      <c r="O14" s="4">
        <f>_xll.SNL.Clients.Office.Excel.Functions.SPG(M14,"IQ_AVG_DILUT_SHARES_OUT","CY2022")</f>
        <v>222500000</v>
      </c>
      <c r="P14" s="5">
        <f>_xll.SNL.Clients.Office.Excel.Functions.SPG(M14, "IQ_DILUT_EPS_NORM", "CY2022")</f>
        <v>7.976</v>
      </c>
      <c r="Q14">
        <f t="shared" si="4"/>
        <v>1774660</v>
      </c>
      <c r="R14">
        <f t="shared" si="5"/>
        <v>0.13779378993873795</v>
      </c>
    </row>
    <row r="15" spans="1:18" x14ac:dyDescent="0.3">
      <c r="A15" t="s">
        <v>527</v>
      </c>
      <c r="B15" s="4" cm="1">
        <f t="array" ref="B15">_xll.SNL.Clients.Office.Excel.Functions.SPG(A15, "SP_TOTAL_REV", "CY2023")</f>
        <v>9917000</v>
      </c>
      <c r="C15" s="4">
        <f>_xll.SNL.Clients.Office.Excel.Functions.SPG(A15,"IQ_AVG_DILUT_SHARES_OUT","CY2023")</f>
        <v>662000000</v>
      </c>
      <c r="D15" s="5">
        <f>_xll.SNL.Clients.Office.Excel.Functions.SPG(A15, "IQ_DILUT_EPS_NORM", "CY2023")</f>
        <v>1.99</v>
      </c>
      <c r="E15">
        <f t="shared" si="0"/>
        <v>1317380</v>
      </c>
      <c r="F15">
        <f t="shared" si="1"/>
        <v>0.13284057678733488</v>
      </c>
      <c r="G15" t="s">
        <v>527</v>
      </c>
      <c r="H15" s="4" cm="1">
        <f t="array" ref="H15">_xll.SNL.Clients.Office.Excel.Functions.SPG(G15, "SP_TOTAL_REV", "CY2022")</f>
        <v>8399000</v>
      </c>
      <c r="I15" s="4">
        <f>_xll.SNL.Clients.Office.Excel.Functions.SPG(G15,"IQ_AVG_DILUT_SHARES_OUT","CY2022")</f>
        <v>680000000</v>
      </c>
      <c r="J15" s="5">
        <f>_xll.SNL.Clients.Office.Excel.Functions.SPG(G15, "IQ_DILUT_EPS_NORM", "CY2022")</f>
        <v>1.9159999999999999</v>
      </c>
      <c r="K15">
        <f t="shared" si="2"/>
        <v>1302880</v>
      </c>
      <c r="L15">
        <f t="shared" si="3"/>
        <v>0.15512322895582809</v>
      </c>
      <c r="M15" t="s">
        <v>528</v>
      </c>
      <c r="N15" s="4" cm="1">
        <f t="array" ref="N15">_xll.SNL.Clients.Office.Excel.Functions.SPG(M15, "SP_TOTAL_REV", "CY2022")</f>
        <v>3616654</v>
      </c>
      <c r="O15" s="4">
        <f>_xll.SNL.Clients.Office.Excel.Functions.SPG(M15,"IQ_AVG_DILUT_SHARES_OUT","CY2022")</f>
        <v>160467000</v>
      </c>
      <c r="P15" s="5">
        <f>_xll.SNL.Clients.Office.Excel.Functions.SPG(M15, "IQ_DILUT_EPS_NORM", "CY2022")</f>
        <v>2.734</v>
      </c>
      <c r="Q15">
        <f t="shared" si="4"/>
        <v>438716.77799999999</v>
      </c>
      <c r="R15">
        <f t="shared" si="5"/>
        <v>0.12130460309446245</v>
      </c>
    </row>
    <row r="16" spans="1:18" x14ac:dyDescent="0.3">
      <c r="A16" t="s">
        <v>528</v>
      </c>
      <c r="B16" s="4" cm="1">
        <f t="array" ref="B16">_xll.SNL.Clients.Office.Excel.Functions.SPG(A16, "SP_TOTAL_REV", "CY2023")</f>
        <v>3811920</v>
      </c>
      <c r="C16" s="4">
        <f>_xll.SNL.Clients.Office.Excel.Functions.SPG(A16,"IQ_AVG_DILUT_SHARES_OUT","CY2023")</f>
        <v>155397000</v>
      </c>
      <c r="D16" s="5">
        <f>_xll.SNL.Clients.Office.Excel.Functions.SPG(A16, "IQ_DILUT_EPS_NORM", "CY2023")</f>
        <v>2.911</v>
      </c>
      <c r="E16">
        <f t="shared" si="0"/>
        <v>452360.66700000002</v>
      </c>
      <c r="F16">
        <f t="shared" si="1"/>
        <v>0.11867003163759995</v>
      </c>
      <c r="G16" t="s">
        <v>528</v>
      </c>
      <c r="H16" s="4" cm="1">
        <f t="array" ref="H16">_xll.SNL.Clients.Office.Excel.Functions.SPG(G16, "SP_TOTAL_REV", "CY2022")</f>
        <v>3616654</v>
      </c>
      <c r="I16" s="4">
        <f>_xll.SNL.Clients.Office.Excel.Functions.SPG(G16,"IQ_AVG_DILUT_SHARES_OUT","CY2022")</f>
        <v>160467000</v>
      </c>
      <c r="J16" s="5">
        <f>_xll.SNL.Clients.Office.Excel.Functions.SPG(G16, "IQ_DILUT_EPS_NORM", "CY2022")</f>
        <v>2.734</v>
      </c>
      <c r="K16">
        <f t="shared" si="2"/>
        <v>438716.77799999999</v>
      </c>
      <c r="L16">
        <f t="shared" si="3"/>
        <v>0.12130460309446245</v>
      </c>
      <c r="M16" t="s">
        <v>529</v>
      </c>
      <c r="N16" s="4" cm="1">
        <f t="array" ref="N16">_xll.SNL.Clients.Office.Excel.Functions.SPG(M16, "SP_TOTAL_REV", "CY2022")</f>
        <v>7320104</v>
      </c>
      <c r="O16" s="4">
        <f>_xll.SNL.Clients.Office.Excel.Functions.SPG(M16,"IQ_AVG_DILUT_SHARES_OUT","CY2022")</f>
        <v>117793000</v>
      </c>
      <c r="P16" s="5">
        <f>_xll.SNL.Clients.Office.Excel.Functions.SPG(M16, "IQ_DILUT_EPS_NORM", "CY2022")</f>
        <v>16.222000000000001</v>
      </c>
      <c r="Q16">
        <f t="shared" si="4"/>
        <v>1910838.0460000003</v>
      </c>
      <c r="R16">
        <f t="shared" si="5"/>
        <v>0.26103974014576847</v>
      </c>
    </row>
    <row r="17" spans="1:18" x14ac:dyDescent="0.3">
      <c r="A17" t="s">
        <v>529</v>
      </c>
      <c r="B17" s="4" cm="1">
        <f t="array" ref="B17">_xll.SNL.Clients.Office.Excel.Functions.SPG(A17, "SP_TOTAL_REV", "CY2023")</f>
        <v>9617203</v>
      </c>
      <c r="C17" s="4">
        <f>_xll.SNL.Clients.Office.Excel.Functions.SPG(A17,"IQ_AVG_DILUT_SHARES_OUT","CY2023")</f>
        <v>117766000</v>
      </c>
      <c r="D17" s="5">
        <f>_xll.SNL.Clients.Office.Excel.Functions.SPG(A17, "IQ_DILUT_EPS_NORM", "CY2023")</f>
        <v>11.619</v>
      </c>
      <c r="E17">
        <f t="shared" si="0"/>
        <v>1368323.1540000001</v>
      </c>
      <c r="F17">
        <f t="shared" si="1"/>
        <v>0.14227870140621968</v>
      </c>
      <c r="G17" t="s">
        <v>529</v>
      </c>
      <c r="H17" s="4" cm="1">
        <f t="array" ref="H17">_xll.SNL.Clients.Office.Excel.Functions.SPG(G17, "SP_TOTAL_REV", "CY2022")</f>
        <v>7320104</v>
      </c>
      <c r="I17" s="4">
        <f>_xll.SNL.Clients.Office.Excel.Functions.SPG(G17,"IQ_AVG_DILUT_SHARES_OUT","CY2022")</f>
        <v>117793000</v>
      </c>
      <c r="J17" s="5">
        <f>_xll.SNL.Clients.Office.Excel.Functions.SPG(G17, "IQ_DILUT_EPS_NORM", "CY2022")</f>
        <v>16.222000000000001</v>
      </c>
      <c r="K17">
        <f t="shared" si="2"/>
        <v>1910838.0460000003</v>
      </c>
      <c r="L17">
        <f t="shared" si="3"/>
        <v>0.26103974014576847</v>
      </c>
      <c r="M17" t="s">
        <v>530</v>
      </c>
      <c r="N17" s="4" cm="1">
        <f t="array" ref="N17">_xll.SNL.Clients.Office.Excel.Functions.SPG(M17, "SP_TOTAL_REV", "CY2022")</f>
        <v>2589607</v>
      </c>
      <c r="O17" s="4">
        <f>_xll.SNL.Clients.Office.Excel.Functions.SPG(M17,"IQ_AVG_DILUT_SHARES_OUT","CY2022")</f>
        <v>161659000</v>
      </c>
      <c r="P17" s="5">
        <f>_xll.SNL.Clients.Office.Excel.Functions.SPG(M17, "IQ_DILUT_EPS_NORM", "CY2022")</f>
        <v>1.1379999999999999</v>
      </c>
      <c r="Q17">
        <f t="shared" si="4"/>
        <v>183967.94199999998</v>
      </c>
      <c r="R17">
        <f t="shared" si="5"/>
        <v>7.104087299733125E-2</v>
      </c>
    </row>
    <row r="18" spans="1:18" x14ac:dyDescent="0.3">
      <c r="A18" t="s">
        <v>530</v>
      </c>
      <c r="B18" s="4" cm="1">
        <f t="array" ref="B18">_xll.SNL.Clients.Office.Excel.Functions.SPG(A18, "SP_TOTAL_REV", "CY2023")</f>
        <v>2886679</v>
      </c>
      <c r="C18" s="4">
        <f>_xll.SNL.Clients.Office.Excel.Functions.SPG(A18,"IQ_AVG_DILUT_SHARES_OUT","CY2023")</f>
        <v>170909000</v>
      </c>
      <c r="D18" s="5">
        <f>_xll.SNL.Clients.Office.Excel.Functions.SPG(A18, "IQ_DILUT_EPS_NORM", "CY2023")</f>
        <v>1.3779999999999999</v>
      </c>
      <c r="E18">
        <f t="shared" si="0"/>
        <v>235512.60199999998</v>
      </c>
      <c r="F18">
        <f t="shared" si="1"/>
        <v>8.1586003154489981E-2</v>
      </c>
      <c r="G18" t="s">
        <v>530</v>
      </c>
      <c r="H18" s="4" cm="1">
        <f t="array" ref="H18">_xll.SNL.Clients.Office.Excel.Functions.SPG(G18, "SP_TOTAL_REV", "CY2022")</f>
        <v>2589607</v>
      </c>
      <c r="I18" s="4">
        <f>_xll.SNL.Clients.Office.Excel.Functions.SPG(G18,"IQ_AVG_DILUT_SHARES_OUT","CY2022")</f>
        <v>161659000</v>
      </c>
      <c r="J18" s="5">
        <f>_xll.SNL.Clients.Office.Excel.Functions.SPG(G18, "IQ_DILUT_EPS_NORM", "CY2022")</f>
        <v>1.1379999999999999</v>
      </c>
      <c r="K18">
        <f t="shared" si="2"/>
        <v>183967.94199999998</v>
      </c>
      <c r="L18">
        <f t="shared" si="3"/>
        <v>7.104087299733125E-2</v>
      </c>
      <c r="M18" t="s">
        <v>531</v>
      </c>
      <c r="N18" s="4" cm="1">
        <f t="array" ref="N18">_xll.SNL.Clients.Office.Excel.Functions.SPG(M18, "SP_TOTAL_REV", "CY2022")</f>
        <v>3734635</v>
      </c>
      <c r="O18" s="4">
        <f>_xll.SNL.Clients.Office.Excel.Functions.SPG(M18,"IQ_AVG_DILUT_SHARES_OUT","CY2022")</f>
        <v>78420000</v>
      </c>
      <c r="P18" s="5">
        <f>_xll.SNL.Clients.Office.Excel.Functions.SPG(M18, "IQ_DILUT_EPS_NORM", "CY2022")</f>
        <v>4.774</v>
      </c>
      <c r="Q18">
        <f t="shared" si="4"/>
        <v>374377.08</v>
      </c>
      <c r="R18">
        <f t="shared" si="5"/>
        <v>0.10024462363791911</v>
      </c>
    </row>
    <row r="19" spans="1:18" x14ac:dyDescent="0.3">
      <c r="A19" t="s">
        <v>531</v>
      </c>
      <c r="B19" s="4" cm="1">
        <f t="array" ref="B19">_xll.SNL.Clients.Office.Excel.Functions.SPG(A19, "SP_TOTAL_REV", "CY2023")</f>
        <v>3862260</v>
      </c>
      <c r="C19" s="4">
        <f>_xll.SNL.Clients.Office.Excel.Functions.SPG(A19,"IQ_AVG_DILUT_SHARES_OUT","CY2023")</f>
        <v>76568000</v>
      </c>
      <c r="D19" s="5">
        <f>_xll.SNL.Clients.Office.Excel.Functions.SPG(A19, "IQ_DILUT_EPS_NORM", "CY2023")</f>
        <v>5.343</v>
      </c>
      <c r="E19">
        <f t="shared" si="0"/>
        <v>409102.82400000002</v>
      </c>
      <c r="F19">
        <f t="shared" si="1"/>
        <v>0.10592317037175127</v>
      </c>
      <c r="G19" t="s">
        <v>531</v>
      </c>
      <c r="H19" s="4" cm="1">
        <f t="array" ref="H19">_xll.SNL.Clients.Office.Excel.Functions.SPG(G19, "SP_TOTAL_REV", "CY2022")</f>
        <v>3734635</v>
      </c>
      <c r="I19" s="4">
        <f>_xll.SNL.Clients.Office.Excel.Functions.SPG(G19,"IQ_AVG_DILUT_SHARES_OUT","CY2022")</f>
        <v>78420000</v>
      </c>
      <c r="J19" s="5">
        <f>_xll.SNL.Clients.Office.Excel.Functions.SPG(G19, "IQ_DILUT_EPS_NORM", "CY2022")</f>
        <v>4.774</v>
      </c>
      <c r="K19">
        <f t="shared" si="2"/>
        <v>374377.08</v>
      </c>
      <c r="L19">
        <f t="shared" si="3"/>
        <v>0.10024462363791911</v>
      </c>
      <c r="M19" t="s">
        <v>532</v>
      </c>
      <c r="N19" s="4" cm="1">
        <f t="array" ref="N19">_xll.SNL.Clients.Office.Excel.Functions.SPG(M19, "SP_TOTAL_REV", "CY2022")</f>
        <v>3271900</v>
      </c>
      <c r="O19" s="4">
        <f>_xll.SNL.Clients.Office.Excel.Functions.SPG(M19,"IQ_AVG_DILUT_SHARES_OUT","CY2022")</f>
        <v>88300000</v>
      </c>
      <c r="P19" s="5">
        <f>_xll.SNL.Clients.Office.Excel.Functions.SPG(M19, "IQ_DILUT_EPS_NORM", "CY2022")</f>
        <v>3.9079999999999999</v>
      </c>
      <c r="Q19">
        <f t="shared" si="4"/>
        <v>345076.4</v>
      </c>
      <c r="R19">
        <f t="shared" si="5"/>
        <v>0.10546667074177084</v>
      </c>
    </row>
    <row r="20" spans="1:18" x14ac:dyDescent="0.3">
      <c r="A20" t="s">
        <v>532</v>
      </c>
      <c r="B20" s="4" cm="1">
        <f t="array" ref="B20">_xll.SNL.Clients.Office.Excel.Functions.SPG(A20, "SP_TOTAL_REV", "CY2023")</f>
        <v>3650800</v>
      </c>
      <c r="C20" s="4">
        <f>_xll.SNL.Clients.Office.Excel.Functions.SPG(A20,"IQ_AVG_DILUT_SHARES_OUT","CY2023")</f>
        <v>88300000</v>
      </c>
      <c r="D20" s="5">
        <f>_xll.SNL.Clients.Office.Excel.Functions.SPG(A20, "IQ_DILUT_EPS_NORM", "CY2023")</f>
        <v>4.5679999999999996</v>
      </c>
      <c r="E20">
        <f t="shared" si="0"/>
        <v>403354.39999999997</v>
      </c>
      <c r="F20">
        <f t="shared" si="1"/>
        <v>0.11048383915854058</v>
      </c>
      <c r="G20" t="s">
        <v>532</v>
      </c>
      <c r="H20" s="4" cm="1">
        <f t="array" ref="H20">_xll.SNL.Clients.Office.Excel.Functions.SPG(G20, "SP_TOTAL_REV", "CY2022")</f>
        <v>3271900</v>
      </c>
      <c r="I20" s="4">
        <f>_xll.SNL.Clients.Office.Excel.Functions.SPG(G20,"IQ_AVG_DILUT_SHARES_OUT","CY2022")</f>
        <v>88300000</v>
      </c>
      <c r="J20" s="5">
        <f>_xll.SNL.Clients.Office.Excel.Functions.SPG(G20, "IQ_DILUT_EPS_NORM", "CY2022")</f>
        <v>3.9079999999999999</v>
      </c>
      <c r="K20">
        <f t="shared" si="2"/>
        <v>345076.4</v>
      </c>
      <c r="L20">
        <f t="shared" si="3"/>
        <v>0.10546667074177084</v>
      </c>
      <c r="M20" t="s">
        <v>533</v>
      </c>
      <c r="N20" s="4" cm="1">
        <f t="array" ref="N20">_xll.SNL.Clients.Office.Excel.Functions.SPG(M20, "SP_TOTAL_REV", "CY2022")</f>
        <v>4205000</v>
      </c>
      <c r="O20" s="4">
        <f>_xll.SNL.Clients.Office.Excel.Functions.SPG(M20,"IQ_AVG_DILUT_SHARES_OUT","CY2022")</f>
        <v>251200000</v>
      </c>
      <c r="P20" s="5">
        <f>_xll.SNL.Clients.Office.Excel.Functions.SPG(M20, "IQ_DILUT_EPS_NORM", "CY2022")</f>
        <v>1.762</v>
      </c>
      <c r="Q20">
        <f t="shared" si="4"/>
        <v>442614.4</v>
      </c>
      <c r="R20">
        <f t="shared" si="5"/>
        <v>0.10525907253269917</v>
      </c>
    </row>
    <row r="21" spans="1:18" x14ac:dyDescent="0.3">
      <c r="A21" t="s">
        <v>533</v>
      </c>
      <c r="B21" s="4" cm="1">
        <f t="array" ref="B21">_xll.SNL.Clients.Office.Excel.Functions.SPG(A21, "SP_TOTAL_REV", "CY2023")</f>
        <v>4027000</v>
      </c>
      <c r="C21" s="4">
        <f>_xll.SNL.Clients.Office.Excel.Functions.SPG(A21,"IQ_AVG_DILUT_SHARES_OUT","CY2023")</f>
        <v>253300000</v>
      </c>
      <c r="D21" s="5">
        <f>_xll.SNL.Clients.Office.Excel.Functions.SPG(A21, "IQ_DILUT_EPS_NORM", "CY2023")</f>
        <v>1.744</v>
      </c>
      <c r="E21">
        <f t="shared" si="0"/>
        <v>441755.2</v>
      </c>
      <c r="F21">
        <f t="shared" si="1"/>
        <v>0.1096983362304445</v>
      </c>
      <c r="G21" t="s">
        <v>533</v>
      </c>
      <c r="H21" s="4" cm="1">
        <f t="array" ref="H21">_xll.SNL.Clients.Office.Excel.Functions.SPG(G21, "SP_TOTAL_REV", "CY2022")</f>
        <v>4205000</v>
      </c>
      <c r="I21" s="4">
        <f>_xll.SNL.Clients.Office.Excel.Functions.SPG(G21,"IQ_AVG_DILUT_SHARES_OUT","CY2022")</f>
        <v>251200000</v>
      </c>
      <c r="J21" s="5">
        <f>_xll.SNL.Clients.Office.Excel.Functions.SPG(G21, "IQ_DILUT_EPS_NORM", "CY2022")</f>
        <v>1.762</v>
      </c>
      <c r="K21">
        <f t="shared" si="2"/>
        <v>442614.4</v>
      </c>
      <c r="L21">
        <f t="shared" si="3"/>
        <v>0.10525907253269917</v>
      </c>
      <c r="M21" t="s">
        <v>534</v>
      </c>
      <c r="N21" s="4" cm="1">
        <f t="array" ref="N21">_xll.SNL.Clients.Office.Excel.Functions.SPG(M21, "SP_TOTAL_REV", "CY2022")</f>
        <v>51411000</v>
      </c>
      <c r="O21" s="4">
        <f>_xll.SNL.Clients.Office.Excel.Functions.SPG(M21,"IQ_AVG_DILUT_SHARES_OUT","CY2022")</f>
        <v>271200000</v>
      </c>
      <c r="P21" s="5">
        <f>_xll.SNL.Clients.Office.Excel.Functions.SPG(M21, "IQ_DILUT_EPS_NORM", "CY2022")</f>
        <v>-3.9039999999999999</v>
      </c>
      <c r="Q21">
        <f t="shared" si="4"/>
        <v>-1058764.8</v>
      </c>
      <c r="R21">
        <f t="shared" si="5"/>
        <v>-2.0594129660967499E-2</v>
      </c>
    </row>
    <row r="22" spans="1:18" x14ac:dyDescent="0.3">
      <c r="A22" t="s">
        <v>534</v>
      </c>
      <c r="B22" s="4" cm="1">
        <f t="array" ref="B22">_xll.SNL.Clients.Office.Excel.Functions.SPG(A22, "SP_TOTAL_REV", "CY2023")</f>
        <v>57094000</v>
      </c>
      <c r="C22" s="4">
        <f>_xll.SNL.Clients.Office.Excel.Functions.SPG(A22,"IQ_AVG_DILUT_SHARES_OUT","CY2023")</f>
        <v>262500000</v>
      </c>
      <c r="D22" s="5">
        <f>_xll.SNL.Clients.Office.Excel.Functions.SPG(A22, "IQ_DILUT_EPS_NORM", "CY2023")</f>
        <v>-0.33100000000000002</v>
      </c>
      <c r="E22">
        <f t="shared" si="0"/>
        <v>-86887.5</v>
      </c>
      <c r="F22">
        <f t="shared" si="1"/>
        <v>-1.5218324167162924E-3</v>
      </c>
      <c r="G22" t="s">
        <v>534</v>
      </c>
      <c r="H22" s="4" cm="1">
        <f t="array" ref="H22">_xll.SNL.Clients.Office.Excel.Functions.SPG(G22, "SP_TOTAL_REV", "CY2022")</f>
        <v>51411000</v>
      </c>
      <c r="I22" s="4">
        <f>_xll.SNL.Clients.Office.Excel.Functions.SPG(G22,"IQ_AVG_DILUT_SHARES_OUT","CY2022")</f>
        <v>271200000</v>
      </c>
      <c r="J22" s="5">
        <f>_xll.SNL.Clients.Office.Excel.Functions.SPG(G22, "IQ_DILUT_EPS_NORM", "CY2022")</f>
        <v>-3.9039999999999999</v>
      </c>
      <c r="K22">
        <f t="shared" si="2"/>
        <v>-1058764.8</v>
      </c>
      <c r="L22">
        <f t="shared" si="3"/>
        <v>-2.0594129660967499E-2</v>
      </c>
      <c r="M22" t="s">
        <v>535</v>
      </c>
      <c r="N22" s="4" cm="1">
        <f t="array" ref="N22">_xll.SNL.Clients.Office.Excel.Functions.SPG(M22, "SP_TOTAL_REV", "CY2022")</f>
        <v>282836000</v>
      </c>
      <c r="O22" s="4">
        <f>_xll.SNL.Clients.Office.Excel.Functions.SPG(M22,"IQ_AVG_DILUT_SHARES_OUT","CY2022")</f>
        <v>13159000000</v>
      </c>
      <c r="P22" s="5" t="str">
        <f>_xll.SNL.Clients.Office.Excel.Functions.SPG(M22, "IQ_DILUT_EPS_NORM", "CY2022")</f>
        <v>NA</v>
      </c>
      <c r="Q22" t="e">
        <f t="shared" si="4"/>
        <v>#VALUE!</v>
      </c>
      <c r="R22" t="e">
        <f t="shared" si="5"/>
        <v>#VALUE!</v>
      </c>
    </row>
    <row r="23" spans="1:18" x14ac:dyDescent="0.3">
      <c r="A23" t="s">
        <v>535</v>
      </c>
      <c r="B23" s="4" cm="1">
        <f t="array" ref="B23">_xll.SNL.Clients.Office.Excel.Functions.SPG(A23, "SP_TOTAL_REV", "CY2023")</f>
        <v>307394000</v>
      </c>
      <c r="C23" s="4">
        <f>_xll.SNL.Clients.Office.Excel.Functions.SPG(A23,"IQ_AVG_DILUT_SHARES_OUT","CY2023")</f>
        <v>12722000000</v>
      </c>
      <c r="D23" s="5" t="str">
        <f>_xll.SNL.Clients.Office.Excel.Functions.SPG(A23, "IQ_DILUT_EPS_NORM", "CY2023")</f>
        <v>NA</v>
      </c>
      <c r="E23" t="e">
        <f t="shared" si="0"/>
        <v>#VALUE!</v>
      </c>
      <c r="F23" t="e">
        <f t="shared" si="1"/>
        <v>#VALUE!</v>
      </c>
      <c r="G23" t="s">
        <v>535</v>
      </c>
      <c r="H23" s="4" cm="1">
        <f t="array" ref="H23">_xll.SNL.Clients.Office.Excel.Functions.SPG(G23, "SP_TOTAL_REV", "CY2022")</f>
        <v>282836000</v>
      </c>
      <c r="I23" s="4">
        <f>_xll.SNL.Clients.Office.Excel.Functions.SPG(G23,"IQ_AVG_DILUT_SHARES_OUT","CY2022")</f>
        <v>13159000000</v>
      </c>
      <c r="J23" s="5" t="str">
        <f>_xll.SNL.Clients.Office.Excel.Functions.SPG(G23, "IQ_DILUT_EPS_NORM", "CY2022")</f>
        <v>NA</v>
      </c>
      <c r="K23" t="e">
        <f t="shared" si="2"/>
        <v>#VALUE!</v>
      </c>
      <c r="L23" t="e">
        <f t="shared" si="3"/>
        <v>#VALUE!</v>
      </c>
      <c r="M23" t="s">
        <v>536</v>
      </c>
      <c r="N23" s="4" t="str" cm="1">
        <f t="array" ref="N23">_xll.SNL.Clients.Office.Excel.Functions.SPG(M23, "SP_TOTAL_REV", "CY2022")</f>
        <v>#INVALID COMPANY ID</v>
      </c>
      <c r="O23" s="4" t="str">
        <f>_xll.SNL.Clients.Office.Excel.Functions.SPG(M23,"IQ_AVG_DILUT_SHARES_OUT","CY2022")</f>
        <v>#INVALID COMPANY ID</v>
      </c>
      <c r="P23" s="5" t="str">
        <f>_xll.SNL.Clients.Office.Excel.Functions.SPG(M23, "IQ_DILUT_EPS_NORM", "CY2022")</f>
        <v>#INVALID COMPANY ID</v>
      </c>
      <c r="Q23" t="e">
        <f t="shared" si="4"/>
        <v>#VALUE!</v>
      </c>
      <c r="R23" t="e">
        <f t="shared" si="5"/>
        <v>#VALUE!</v>
      </c>
    </row>
    <row r="24" spans="1:18" x14ac:dyDescent="0.3">
      <c r="A24" t="s">
        <v>536</v>
      </c>
      <c r="B24" s="4" t="str" cm="1">
        <f t="array" ref="B24">_xll.SNL.Clients.Office.Excel.Functions.SPG(A24, "SP_TOTAL_REV", "CY2023")</f>
        <v>#INVALID COMPANY ID</v>
      </c>
      <c r="C24" s="4" t="str">
        <f>_xll.SNL.Clients.Office.Excel.Functions.SPG(A24,"IQ_AVG_DILUT_SHARES_OUT","CY2023")</f>
        <v>#INVALID COMPANY ID</v>
      </c>
      <c r="D24" s="5" t="str">
        <f>_xll.SNL.Clients.Office.Excel.Functions.SPG(A24, "IQ_DILUT_EPS_NORM", "CY2023")</f>
        <v>#INVALID COMPANY ID</v>
      </c>
      <c r="E24" t="e">
        <f t="shared" si="0"/>
        <v>#VALUE!</v>
      </c>
      <c r="F24" t="e">
        <f t="shared" si="1"/>
        <v>#VALUE!</v>
      </c>
      <c r="G24" t="s">
        <v>536</v>
      </c>
      <c r="H24" s="4" t="str" cm="1">
        <f t="array" ref="H24">_xll.SNL.Clients.Office.Excel.Functions.SPG(G24, "SP_TOTAL_REV", "CY2022")</f>
        <v>#INVALID COMPANY ID</v>
      </c>
      <c r="I24" s="4" t="str">
        <f>_xll.SNL.Clients.Office.Excel.Functions.SPG(G24,"IQ_AVG_DILUT_SHARES_OUT","CY2022")</f>
        <v>#INVALID COMPANY ID</v>
      </c>
      <c r="J24" s="5" t="str">
        <f>_xll.SNL.Clients.Office.Excel.Functions.SPG(G24, "IQ_DILUT_EPS_NORM", "CY2022")</f>
        <v>#INVALID COMPANY ID</v>
      </c>
      <c r="K24" t="e">
        <f t="shared" si="2"/>
        <v>#VALUE!</v>
      </c>
      <c r="L24" t="e">
        <f t="shared" si="3"/>
        <v>#VALUE!</v>
      </c>
      <c r="M24" t="s">
        <v>537</v>
      </c>
      <c r="N24" s="4" cm="1">
        <f t="array" ref="N24">_xll.SNL.Clients.Office.Excel.Functions.SPG(M24, "SP_TOTAL_REV", "CY2022")</f>
        <v>20688000</v>
      </c>
      <c r="O24" s="4">
        <f>_xll.SNL.Clients.Office.Excel.Functions.SPG(M24,"IQ_AVG_DILUT_SHARES_OUT","CY2022")</f>
        <v>1804000000</v>
      </c>
      <c r="P24" s="5">
        <f>_xll.SNL.Clients.Office.Excel.Functions.SPG(M24, "IQ_DILUT_EPS_NORM", "CY2022")</f>
        <v>2.6349999999999998</v>
      </c>
      <c r="Q24">
        <f t="shared" si="4"/>
        <v>4753540</v>
      </c>
      <c r="R24">
        <f t="shared" si="5"/>
        <v>0.22977281515854603</v>
      </c>
    </row>
    <row r="25" spans="1:18" x14ac:dyDescent="0.3">
      <c r="A25" t="s">
        <v>537</v>
      </c>
      <c r="B25" s="4" cm="1">
        <f t="array" ref="B25">_xll.SNL.Clients.Office.Excel.Functions.SPG(A25, "SP_TOTAL_REV", "CY2023")</f>
        <v>20502000</v>
      </c>
      <c r="C25" s="4">
        <f>_xll.SNL.Clients.Office.Excel.Functions.SPG(A25,"IQ_AVG_DILUT_SHARES_OUT","CY2023")</f>
        <v>1777000000</v>
      </c>
      <c r="D25" s="5">
        <f>_xll.SNL.Clients.Office.Excel.Functions.SPG(A25, "IQ_DILUT_EPS_NORM", "CY2023")</f>
        <v>4.0309999999999997</v>
      </c>
      <c r="E25">
        <f t="shared" si="0"/>
        <v>7163086.9999999991</v>
      </c>
      <c r="F25">
        <f t="shared" si="1"/>
        <v>0.34938479172763626</v>
      </c>
      <c r="G25" t="s">
        <v>537</v>
      </c>
      <c r="H25" s="4" cm="1">
        <f t="array" ref="H25">_xll.SNL.Clients.Office.Excel.Functions.SPG(G25, "SP_TOTAL_REV", "CY2022")</f>
        <v>20688000</v>
      </c>
      <c r="I25" s="4">
        <f>_xll.SNL.Clients.Office.Excel.Functions.SPG(G25,"IQ_AVG_DILUT_SHARES_OUT","CY2022")</f>
        <v>1804000000</v>
      </c>
      <c r="J25" s="5">
        <f>_xll.SNL.Clients.Office.Excel.Functions.SPG(G25, "IQ_DILUT_EPS_NORM", "CY2022")</f>
        <v>2.6349999999999998</v>
      </c>
      <c r="K25">
        <f t="shared" si="2"/>
        <v>4753540</v>
      </c>
      <c r="L25">
        <f t="shared" si="3"/>
        <v>0.22977281515854603</v>
      </c>
      <c r="M25" t="s">
        <v>538</v>
      </c>
      <c r="N25" s="4" cm="1">
        <f t="array" ref="N25">_xll.SNL.Clients.Office.Excel.Functions.SPG(M25, "SP_TOTAL_REV", "CY2022")</f>
        <v>513983000</v>
      </c>
      <c r="O25" s="4">
        <f>_xll.SNL.Clients.Office.Excel.Functions.SPG(M25,"IQ_AVG_DILUT_SHARES_OUT","CY2022")</f>
        <v>10189000000</v>
      </c>
      <c r="P25" s="5">
        <f>_xll.SNL.Clients.Office.Excel.Functions.SPG(M25, "IQ_DILUT_EPS_NORM", "CY2022")</f>
        <v>0.68</v>
      </c>
      <c r="Q25">
        <f t="shared" si="4"/>
        <v>6928520.0000000009</v>
      </c>
      <c r="R25">
        <f t="shared" si="5"/>
        <v>1.3480056733393907E-2</v>
      </c>
    </row>
    <row r="26" spans="1:18" x14ac:dyDescent="0.3">
      <c r="A26" t="s">
        <v>538</v>
      </c>
      <c r="B26" s="4" cm="1">
        <f t="array" ref="B26">_xll.SNL.Clients.Office.Excel.Functions.SPG(A26, "SP_TOTAL_REV", "CY2023")</f>
        <v>574785000</v>
      </c>
      <c r="C26" s="4">
        <f>_xll.SNL.Clients.Office.Excel.Functions.SPG(A26,"IQ_AVG_DILUT_SHARES_OUT","CY2023")</f>
        <v>10492000000</v>
      </c>
      <c r="D26" s="5">
        <f>_xll.SNL.Clients.Office.Excel.Functions.SPG(A26, "IQ_DILUT_EPS_NORM", "CY2023")</f>
        <v>2.1739999999999999</v>
      </c>
      <c r="E26">
        <f t="shared" si="0"/>
        <v>22809608</v>
      </c>
      <c r="F26">
        <f t="shared" si="1"/>
        <v>3.9683721739433006E-2</v>
      </c>
      <c r="G26" t="s">
        <v>538</v>
      </c>
      <c r="H26" s="4" cm="1">
        <f t="array" ref="H26">_xll.SNL.Clients.Office.Excel.Functions.SPG(G26, "SP_TOTAL_REV", "CY2022")</f>
        <v>513983000</v>
      </c>
      <c r="I26" s="4">
        <f>_xll.SNL.Clients.Office.Excel.Functions.SPG(G26,"IQ_AVG_DILUT_SHARES_OUT","CY2022")</f>
        <v>10189000000</v>
      </c>
      <c r="J26" s="5">
        <f>_xll.SNL.Clients.Office.Excel.Functions.SPG(G26, "IQ_DILUT_EPS_NORM", "CY2022")</f>
        <v>0.68</v>
      </c>
      <c r="K26">
        <f t="shared" si="2"/>
        <v>6928520.0000000009</v>
      </c>
      <c r="L26">
        <f t="shared" si="3"/>
        <v>1.3480056733393907E-2</v>
      </c>
      <c r="M26" t="s">
        <v>539</v>
      </c>
      <c r="N26" s="4" cm="1">
        <f t="array" ref="N26">_xll.SNL.Clients.Office.Excel.Functions.SPG(M26, "SP_TOTAL_REV", "CY2022")</f>
        <v>14971000</v>
      </c>
      <c r="O26" s="4">
        <f>_xll.SNL.Clients.Office.Excel.Functions.SPG(M26,"IQ_AVG_DILUT_SHARES_OUT","CY2022")</f>
        <v>1495000000</v>
      </c>
      <c r="P26" s="5">
        <f>_xll.SNL.Clients.Office.Excel.Functions.SPG(M26, "IQ_DILUT_EPS_NORM", "CY2022")</f>
        <v>0.55700000000000005</v>
      </c>
      <c r="Q26">
        <f t="shared" si="4"/>
        <v>832715.00000000012</v>
      </c>
      <c r="R26">
        <f t="shared" si="5"/>
        <v>5.5621868946630161E-2</v>
      </c>
    </row>
    <row r="27" spans="1:18" x14ac:dyDescent="0.3">
      <c r="A27" t="s">
        <v>539</v>
      </c>
      <c r="B27" s="4" cm="1">
        <f t="array" ref="B27">_xll.SNL.Clients.Office.Excel.Functions.SPG(A27, "SP_TOTAL_REV", "CY2023")</f>
        <v>14034000</v>
      </c>
      <c r="C27" s="4">
        <f>_xll.SNL.Clients.Office.Excel.Functions.SPG(A27,"IQ_AVG_DILUT_SHARES_OUT","CY2023")</f>
        <v>1453000000</v>
      </c>
      <c r="D27" s="5">
        <f>_xll.SNL.Clients.Office.Excel.Functions.SPG(A27, "IQ_DILUT_EPS_NORM", "CY2023")</f>
        <v>0.39400000000000002</v>
      </c>
      <c r="E27">
        <f t="shared" si="0"/>
        <v>572482</v>
      </c>
      <c r="F27">
        <f t="shared" si="1"/>
        <v>4.079250391905373E-2</v>
      </c>
      <c r="G27" t="s">
        <v>539</v>
      </c>
      <c r="H27" s="4" cm="1">
        <f t="array" ref="H27">_xll.SNL.Clients.Office.Excel.Functions.SPG(G27, "SP_TOTAL_REV", "CY2022")</f>
        <v>14971000</v>
      </c>
      <c r="I27" s="4">
        <f>_xll.SNL.Clients.Office.Excel.Functions.SPG(G27,"IQ_AVG_DILUT_SHARES_OUT","CY2022")</f>
        <v>1495000000</v>
      </c>
      <c r="J27" s="5">
        <f>_xll.SNL.Clients.Office.Excel.Functions.SPG(G27, "IQ_DILUT_EPS_NORM", "CY2022")</f>
        <v>0.55700000000000005</v>
      </c>
      <c r="K27">
        <f t="shared" si="2"/>
        <v>832715.00000000012</v>
      </c>
      <c r="L27">
        <f t="shared" si="3"/>
        <v>5.5621868946630161E-2</v>
      </c>
      <c r="M27" t="s">
        <v>540</v>
      </c>
      <c r="N27" s="4" cm="1">
        <f t="array" ref="N27">_xll.SNL.Clients.Office.Excel.Functions.SPG(M27, "SP_TOTAL_REV", "CY2022")</f>
        <v>7713000</v>
      </c>
      <c r="O27" s="4">
        <f>_xll.SNL.Clients.Office.Excel.Functions.SPG(M27,"IQ_AVG_DILUT_SHARES_OUT","CY2022")</f>
        <v>259500000</v>
      </c>
      <c r="P27" s="5">
        <f>_xll.SNL.Clients.Office.Excel.Functions.SPG(M27, "IQ_DILUT_EPS_NORM", "CY2022")</f>
        <v>3.0030000000000001</v>
      </c>
      <c r="Q27">
        <f t="shared" si="4"/>
        <v>779278.5</v>
      </c>
      <c r="R27">
        <f t="shared" si="5"/>
        <v>0.10103442240373396</v>
      </c>
    </row>
    <row r="28" spans="1:18" x14ac:dyDescent="0.3">
      <c r="A28" t="s">
        <v>540</v>
      </c>
      <c r="B28" s="4" cm="1">
        <f t="array" ref="B28">_xll.SNL.Clients.Office.Excel.Functions.SPG(A28, "SP_TOTAL_REV", "CY2023")</f>
        <v>7265000</v>
      </c>
      <c r="C28" s="4">
        <f>_xll.SNL.Clients.Office.Excel.Functions.SPG(A28,"IQ_AVG_DILUT_SHARES_OUT","CY2023")</f>
        <v>263400000</v>
      </c>
      <c r="D28" s="5">
        <f>_xll.SNL.Clients.Office.Excel.Functions.SPG(A28, "IQ_DILUT_EPS_NORM", "CY2023")</f>
        <v>3.161</v>
      </c>
      <c r="E28">
        <f t="shared" si="0"/>
        <v>832607.4</v>
      </c>
      <c r="F28">
        <f t="shared" si="1"/>
        <v>0.11460528561596697</v>
      </c>
      <c r="G28" t="s">
        <v>540</v>
      </c>
      <c r="H28" s="4" cm="1">
        <f t="array" ref="H28">_xll.SNL.Clients.Office.Excel.Functions.SPG(G28, "SP_TOTAL_REV", "CY2022")</f>
        <v>7713000</v>
      </c>
      <c r="I28" s="4">
        <f>_xll.SNL.Clients.Office.Excel.Functions.SPG(G28,"IQ_AVG_DILUT_SHARES_OUT","CY2022")</f>
        <v>259500000</v>
      </c>
      <c r="J28" s="5">
        <f>_xll.SNL.Clients.Office.Excel.Functions.SPG(G28, "IQ_DILUT_EPS_NORM", "CY2022")</f>
        <v>3.0030000000000001</v>
      </c>
      <c r="K28">
        <f t="shared" si="2"/>
        <v>779278.5</v>
      </c>
      <c r="L28">
        <f t="shared" si="3"/>
        <v>0.10103442240373396</v>
      </c>
      <c r="M28" t="s">
        <v>541</v>
      </c>
      <c r="N28" s="4" cm="1">
        <f t="array" ref="N28">_xll.SNL.Clients.Office.Excel.Functions.SPG(M28, "SP_TOTAL_REV", "CY2022")</f>
        <v>48971000</v>
      </c>
      <c r="O28" s="4">
        <f>_xll.SNL.Clients.Office.Excel.Functions.SPG(M28,"IQ_AVG_DILUT_SHARES_OUT","CY2022")</f>
        <v>655122000</v>
      </c>
      <c r="P28" s="5">
        <f>_xll.SNL.Clients.Office.Excel.Functions.SPG(M28, "IQ_DILUT_EPS_NORM", "CY2022")</f>
        <v>0.437</v>
      </c>
      <c r="Q28">
        <f t="shared" si="4"/>
        <v>286288.31400000001</v>
      </c>
      <c r="R28">
        <f t="shared" si="5"/>
        <v>5.8460785771170696E-3</v>
      </c>
    </row>
    <row r="29" spans="1:18" x14ac:dyDescent="0.3">
      <c r="A29" t="s">
        <v>541</v>
      </c>
      <c r="B29" s="4" cm="1">
        <f t="array" ref="B29">_xll.SNL.Clients.Office.Excel.Functions.SPG(A29, "SP_TOTAL_REV", "CY2023")</f>
        <v>52788000</v>
      </c>
      <c r="C29" s="4">
        <f>_xll.SNL.Clients.Office.Excel.Functions.SPG(A29,"IQ_AVG_DILUT_SHARES_OUT","CY2023")</f>
        <v>719669000</v>
      </c>
      <c r="D29" s="5">
        <f>_xll.SNL.Clients.Office.Excel.Functions.SPG(A29, "IQ_DILUT_EPS_NORM", "CY2023")</f>
        <v>2.1379999999999999</v>
      </c>
      <c r="E29">
        <f t="shared" si="0"/>
        <v>1538652.3219999999</v>
      </c>
      <c r="F29">
        <f t="shared" si="1"/>
        <v>2.9147766954610896E-2</v>
      </c>
      <c r="G29" t="s">
        <v>541</v>
      </c>
      <c r="H29" s="4" cm="1">
        <f t="array" ref="H29">_xll.SNL.Clients.Office.Excel.Functions.SPG(G29, "SP_TOTAL_REV", "CY2022")</f>
        <v>48971000</v>
      </c>
      <c r="I29" s="4">
        <f>_xll.SNL.Clients.Office.Excel.Functions.SPG(G29,"IQ_AVG_DILUT_SHARES_OUT","CY2022")</f>
        <v>655122000</v>
      </c>
      <c r="J29" s="5">
        <f>_xll.SNL.Clients.Office.Excel.Functions.SPG(G29, "IQ_DILUT_EPS_NORM", "CY2022")</f>
        <v>0.437</v>
      </c>
      <c r="K29">
        <f t="shared" si="2"/>
        <v>286288.31400000001</v>
      </c>
      <c r="L29">
        <f t="shared" si="3"/>
        <v>5.8460785771170696E-3</v>
      </c>
      <c r="M29" t="s">
        <v>542</v>
      </c>
      <c r="N29" s="4" cm="1">
        <f t="array" ref="N29">_xll.SNL.Clients.Office.Excel.Functions.SPG(M29, "SP_TOTAL_REV", "CY2022")</f>
        <v>19639500</v>
      </c>
      <c r="O29" s="4">
        <f>_xll.SNL.Clients.Office.Excel.Functions.SPG(M29,"IQ_AVG_DILUT_SHARES_OUT","CY2022")</f>
        <v>513484609</v>
      </c>
      <c r="P29" s="5">
        <f>_xll.SNL.Clients.Office.Excel.Functions.SPG(M29, "IQ_DILUT_EPS_NORM", "CY2022")</f>
        <v>3.1760000000000002</v>
      </c>
      <c r="Q29">
        <f t="shared" si="4"/>
        <v>1630827.118184</v>
      </c>
      <c r="R29">
        <f t="shared" si="5"/>
        <v>8.3038117985895776E-2</v>
      </c>
    </row>
    <row r="30" spans="1:18" x14ac:dyDescent="0.3">
      <c r="A30" t="s">
        <v>542</v>
      </c>
      <c r="B30" s="4" cm="1">
        <f t="array" ref="B30">_xll.SNL.Clients.Office.Excel.Functions.SPG(A30, "SP_TOTAL_REV", "CY2023")</f>
        <v>18982300</v>
      </c>
      <c r="C30" s="4">
        <f>_xll.SNL.Clients.Office.Excel.Functions.SPG(A30,"IQ_AVG_DILUT_SHARES_OUT","CY2023")</f>
        <v>520206258</v>
      </c>
      <c r="D30" s="5">
        <f>_xll.SNL.Clients.Office.Excel.Functions.SPG(A30, "IQ_DILUT_EPS_NORM", "CY2023")</f>
        <v>2.9289999999999998</v>
      </c>
      <c r="E30">
        <f t="shared" si="0"/>
        <v>1523684.129682</v>
      </c>
      <c r="F30">
        <f t="shared" si="1"/>
        <v>8.0268678172929514E-2</v>
      </c>
      <c r="G30" t="s">
        <v>542</v>
      </c>
      <c r="H30" s="4" cm="1">
        <f t="array" ref="H30">_xll.SNL.Clients.Office.Excel.Functions.SPG(G30, "SP_TOTAL_REV", "CY2022")</f>
        <v>19639500</v>
      </c>
      <c r="I30" s="4">
        <f>_xll.SNL.Clients.Office.Excel.Functions.SPG(G30,"IQ_AVG_DILUT_SHARES_OUT","CY2022")</f>
        <v>513484609</v>
      </c>
      <c r="J30" s="5">
        <f>_xll.SNL.Clients.Office.Excel.Functions.SPG(G30, "IQ_DILUT_EPS_NORM", "CY2022")</f>
        <v>3.1760000000000002</v>
      </c>
      <c r="K30">
        <f t="shared" si="2"/>
        <v>1630827.118184</v>
      </c>
      <c r="L30">
        <f t="shared" si="3"/>
        <v>8.3038117985895776E-2</v>
      </c>
      <c r="M30" t="s">
        <v>543</v>
      </c>
      <c r="N30" s="4" cm="1">
        <f t="array" ref="N30">_xll.SNL.Clients.Office.Excel.Functions.SPG(M30, "SP_TOTAL_REV", "CY2022")</f>
        <v>50680000</v>
      </c>
      <c r="O30" s="4">
        <f>_xll.SNL.Clients.Office.Excel.Functions.SPG(M30,"IQ_AVG_DILUT_SHARES_OUT","CY2022")</f>
        <v>752000000</v>
      </c>
      <c r="P30" s="5">
        <f>_xll.SNL.Clients.Office.Excel.Functions.SPG(M30, "IQ_DILUT_EPS_NORM", "CY2022")</f>
        <v>8.3350000000000009</v>
      </c>
      <c r="Q30">
        <f t="shared" si="4"/>
        <v>6267920.0000000009</v>
      </c>
      <c r="R30">
        <f t="shared" si="5"/>
        <v>0.12367640094711919</v>
      </c>
    </row>
    <row r="31" spans="1:18" x14ac:dyDescent="0.3">
      <c r="A31" t="s">
        <v>543</v>
      </c>
      <c r="B31" s="4" cm="1">
        <f t="array" ref="B31">_xll.SNL.Clients.Office.Excel.Functions.SPG(A31, "SP_TOTAL_REV", "CY2023")</f>
        <v>55592000</v>
      </c>
      <c r="C31" s="4">
        <f>_xll.SNL.Clients.Office.Excel.Functions.SPG(A31,"IQ_AVG_DILUT_SHARES_OUT","CY2023")</f>
        <v>736000000</v>
      </c>
      <c r="D31" s="5">
        <f>_xll.SNL.Clients.Office.Excel.Functions.SPG(A31, "IQ_DILUT_EPS_NORM", "CY2023")</f>
        <v>9.2089999999999996</v>
      </c>
      <c r="E31">
        <f t="shared" si="0"/>
        <v>6777824</v>
      </c>
      <c r="F31">
        <f t="shared" si="1"/>
        <v>0.12192085192113973</v>
      </c>
      <c r="G31" t="s">
        <v>543</v>
      </c>
      <c r="H31" s="4" cm="1">
        <f t="array" ref="H31">_xll.SNL.Clients.Office.Excel.Functions.SPG(G31, "SP_TOTAL_REV", "CY2022")</f>
        <v>50680000</v>
      </c>
      <c r="I31" s="4">
        <f>_xll.SNL.Clients.Office.Excel.Functions.SPG(G31,"IQ_AVG_DILUT_SHARES_OUT","CY2022")</f>
        <v>752000000</v>
      </c>
      <c r="J31" s="5">
        <f>_xll.SNL.Clients.Office.Excel.Functions.SPG(G31, "IQ_DILUT_EPS_NORM", "CY2022")</f>
        <v>8.3350000000000009</v>
      </c>
      <c r="K31">
        <f t="shared" si="2"/>
        <v>6267920.0000000009</v>
      </c>
      <c r="L31">
        <f t="shared" si="3"/>
        <v>0.12367640094711919</v>
      </c>
      <c r="M31" t="s">
        <v>544</v>
      </c>
      <c r="N31" s="4" cm="1">
        <f t="array" ref="N31">_xll.SNL.Clients.Office.Excel.Functions.SPG(M31, "SP_TOTAL_REV", "CY2022")</f>
        <v>54450000</v>
      </c>
      <c r="O31" s="4">
        <f>_xll.SNL.Clients.Office.Excel.Functions.SPG(M31,"IQ_AVG_DILUT_SHARES_OUT","CY2022")</f>
        <v>787941750</v>
      </c>
      <c r="P31" s="5">
        <f>_xll.SNL.Clients.Office.Excel.Functions.SPG(M31, "IQ_DILUT_EPS_NORM", "CY2022")</f>
        <v>10.74</v>
      </c>
      <c r="Q31">
        <f t="shared" si="4"/>
        <v>8462494.3949999996</v>
      </c>
      <c r="R31">
        <f t="shared" si="5"/>
        <v>0.15541771157024792</v>
      </c>
    </row>
    <row r="32" spans="1:18" x14ac:dyDescent="0.3">
      <c r="A32" t="s">
        <v>544</v>
      </c>
      <c r="B32" s="4" cm="1">
        <f t="array" ref="B32">_xll.SNL.Clients.Office.Excel.Functions.SPG(A32, "SP_TOTAL_REV", "CY2023")</f>
        <v>27938000</v>
      </c>
      <c r="C32" s="4">
        <f>_xll.SNL.Clients.Office.Excel.Functions.SPG(A32,"IQ_AVG_DILUT_SHARES_OUT","CY2023")</f>
        <v>725233068</v>
      </c>
      <c r="D32" s="5">
        <f>_xll.SNL.Clients.Office.Excel.Functions.SPG(A32, "IQ_DILUT_EPS_NORM", "CY2023")</f>
        <v>2.8919999999999999</v>
      </c>
      <c r="E32">
        <f t="shared" si="0"/>
        <v>2097374.032656</v>
      </c>
      <c r="F32">
        <f t="shared" si="1"/>
        <v>7.5072447299591949E-2</v>
      </c>
      <c r="G32" t="s">
        <v>544</v>
      </c>
      <c r="H32" s="4" cm="1">
        <f t="array" ref="H32">_xll.SNL.Clients.Office.Excel.Functions.SPG(G32, "SP_TOTAL_REV", "CY2022")</f>
        <v>54450000</v>
      </c>
      <c r="I32" s="4">
        <f>_xll.SNL.Clients.Office.Excel.Functions.SPG(G32,"IQ_AVG_DILUT_SHARES_OUT","CY2022")</f>
        <v>787941750</v>
      </c>
      <c r="J32" s="5">
        <f>_xll.SNL.Clients.Office.Excel.Functions.SPG(G32, "IQ_DILUT_EPS_NORM", "CY2022")</f>
        <v>10.74</v>
      </c>
      <c r="K32">
        <f t="shared" si="2"/>
        <v>8462494.3949999996</v>
      </c>
      <c r="L32">
        <f t="shared" si="3"/>
        <v>0.15541771157024792</v>
      </c>
      <c r="M32" t="s">
        <v>545</v>
      </c>
      <c r="N32" s="4" cm="1">
        <f t="array" ref="N32">_xll.SNL.Clients.Office.Excel.Functions.SPG(M32, "SP_TOTAL_REV", "CY2022")</f>
        <v>9694500</v>
      </c>
      <c r="O32" s="4">
        <f>_xll.SNL.Clients.Office.Excel.Functions.SPG(M32,"IQ_AVG_DILUT_SHARES_OUT","CY2022")</f>
        <v>462750000</v>
      </c>
      <c r="P32" s="5">
        <f>_xll.SNL.Clients.Office.Excel.Functions.SPG(M32, "IQ_DILUT_EPS_NORM", "CY2022")</f>
        <v>3.536</v>
      </c>
      <c r="Q32">
        <f t="shared" si="4"/>
        <v>1636284</v>
      </c>
      <c r="R32">
        <f t="shared" si="5"/>
        <v>0.1687847748723503</v>
      </c>
    </row>
    <row r="33" spans="1:18" x14ac:dyDescent="0.3">
      <c r="A33" t="s">
        <v>545</v>
      </c>
      <c r="B33" s="4" cm="1">
        <f t="array" ref="B33">_xll.SNL.Clients.Office.Excel.Functions.SPG(A33, "SP_TOTAL_REV", "CY2023")</f>
        <v>10130800</v>
      </c>
      <c r="C33" s="4">
        <f>_xll.SNL.Clients.Office.Excel.Functions.SPG(A33,"IQ_AVG_DILUT_SHARES_OUT","CY2023")</f>
        <v>467162000</v>
      </c>
      <c r="D33" s="5">
        <f>_xll.SNL.Clients.Office.Excel.Functions.SPG(A33, "IQ_DILUT_EPS_NORM", "CY2023")</f>
        <v>3.335</v>
      </c>
      <c r="E33">
        <f t="shared" si="0"/>
        <v>1557985.27</v>
      </c>
      <c r="F33">
        <f t="shared" si="1"/>
        <v>0.15378699312986141</v>
      </c>
      <c r="G33" t="s">
        <v>545</v>
      </c>
      <c r="H33" s="4" cm="1">
        <f t="array" ref="H33">_xll.SNL.Clients.Office.Excel.Functions.SPG(G33, "SP_TOTAL_REV", "CY2022")</f>
        <v>9694500</v>
      </c>
      <c r="I33" s="4">
        <f>_xll.SNL.Clients.Office.Excel.Functions.SPG(G33,"IQ_AVG_DILUT_SHARES_OUT","CY2022")</f>
        <v>462750000</v>
      </c>
      <c r="J33" s="5">
        <f>_xll.SNL.Clients.Office.Excel.Functions.SPG(G33, "IQ_DILUT_EPS_NORM", "CY2022")</f>
        <v>3.536</v>
      </c>
      <c r="K33">
        <f t="shared" si="2"/>
        <v>1636284</v>
      </c>
      <c r="L33">
        <f t="shared" si="3"/>
        <v>0.1687847748723503</v>
      </c>
      <c r="M33" t="s">
        <v>546</v>
      </c>
      <c r="N33" s="4" cm="1">
        <f t="array" ref="N33">_xll.SNL.Clients.Office.Excel.Functions.SPG(M33, "SP_TOTAL_REV", "CY2022")</f>
        <v>3792000</v>
      </c>
      <c r="O33" s="4">
        <f>_xll.SNL.Clients.Office.Excel.Functions.SPG(M33,"IQ_AVG_DILUT_SHARES_OUT","CY2022")</f>
        <v>182000000</v>
      </c>
      <c r="P33" s="5">
        <f>_xll.SNL.Clients.Office.Excel.Functions.SPG(M33, "IQ_DILUT_EPS_NORM", "CY2022")</f>
        <v>3.3959999999999999</v>
      </c>
      <c r="Q33">
        <f t="shared" si="4"/>
        <v>618072</v>
      </c>
      <c r="R33">
        <f t="shared" si="5"/>
        <v>0.16299367088607594</v>
      </c>
    </row>
    <row r="34" spans="1:18" x14ac:dyDescent="0.3">
      <c r="A34" t="s">
        <v>546</v>
      </c>
      <c r="B34" s="4" cm="1">
        <f t="array" ref="B34">_xll.SNL.Clients.Office.Excel.Functions.SPG(A34, "SP_TOTAL_REV", "CY2023")</f>
        <v>4234000</v>
      </c>
      <c r="C34" s="4">
        <f>_xll.SNL.Clients.Office.Excel.Functions.SPG(A34,"IQ_AVG_DILUT_SHARES_OUT","CY2023")</f>
        <v>193000000</v>
      </c>
      <c r="D34" s="5">
        <f>_xll.SNL.Clients.Office.Excel.Functions.SPG(A34, "IQ_DILUT_EPS_NORM", "CY2023")</f>
        <v>3.8730000000000002</v>
      </c>
      <c r="E34">
        <f t="shared" si="0"/>
        <v>747489</v>
      </c>
      <c r="F34">
        <f t="shared" si="1"/>
        <v>0.17654440245630609</v>
      </c>
      <c r="G34" t="s">
        <v>546</v>
      </c>
      <c r="H34" s="4" cm="1">
        <f t="array" ref="H34">_xll.SNL.Clients.Office.Excel.Functions.SPG(G34, "SP_TOTAL_REV", "CY2022")</f>
        <v>3792000</v>
      </c>
      <c r="I34" s="4">
        <f>_xll.SNL.Clients.Office.Excel.Functions.SPG(G34,"IQ_AVG_DILUT_SHARES_OUT","CY2022")</f>
        <v>182000000</v>
      </c>
      <c r="J34" s="5">
        <f>_xll.SNL.Clients.Office.Excel.Functions.SPG(G34, "IQ_DILUT_EPS_NORM", "CY2022")</f>
        <v>3.3959999999999999</v>
      </c>
      <c r="K34">
        <f t="shared" si="2"/>
        <v>618072</v>
      </c>
      <c r="L34">
        <f t="shared" si="3"/>
        <v>0.16299367088607594</v>
      </c>
      <c r="M34" t="s">
        <v>547</v>
      </c>
      <c r="N34" s="4" cm="1">
        <f t="array" ref="N34">_xll.SNL.Clients.Office.Excel.Functions.SPG(M34, "SP_TOTAL_REV", "CY2022")</f>
        <v>14334000</v>
      </c>
      <c r="O34" s="4">
        <f>_xll.SNL.Clients.Office.Excel.Functions.SPG(M34,"IQ_AVG_DILUT_SHARES_OUT","CY2022")</f>
        <v>113700000</v>
      </c>
      <c r="P34" s="5">
        <f>_xll.SNL.Clients.Office.Excel.Functions.SPG(M34, "IQ_DILUT_EPS_NORM", "CY2022")</f>
        <v>21.882999999999999</v>
      </c>
      <c r="Q34">
        <f t="shared" si="4"/>
        <v>2488097.1</v>
      </c>
      <c r="R34">
        <f t="shared" si="5"/>
        <v>0.17358009627459189</v>
      </c>
    </row>
    <row r="35" spans="1:18" x14ac:dyDescent="0.3">
      <c r="A35" t="s">
        <v>547</v>
      </c>
      <c r="B35" s="4" cm="1">
        <f t="array" ref="B35">_xll.SNL.Clients.Office.Excel.Functions.SPG(A35, "SP_TOTAL_REV", "CY2023")</f>
        <v>16096000</v>
      </c>
      <c r="C35" s="4">
        <f>_xll.SNL.Clients.Office.Excel.Functions.SPG(A35,"IQ_AVG_DILUT_SHARES_OUT","CY2023")</f>
        <v>107800000</v>
      </c>
      <c r="D35" s="5">
        <f>_xll.SNL.Clients.Office.Excel.Functions.SPG(A35, "IQ_DILUT_EPS_NORM", "CY2023")</f>
        <v>19.109000000000002</v>
      </c>
      <c r="E35">
        <f t="shared" si="0"/>
        <v>2059950.2000000002</v>
      </c>
      <c r="F35">
        <f t="shared" si="1"/>
        <v>0.12797901341948312</v>
      </c>
      <c r="G35" t="s">
        <v>547</v>
      </c>
      <c r="H35" s="4" cm="1">
        <f t="array" ref="H35">_xll.SNL.Clients.Office.Excel.Functions.SPG(G35, "SP_TOTAL_REV", "CY2022")</f>
        <v>14334000</v>
      </c>
      <c r="I35" s="4">
        <f>_xll.SNL.Clients.Office.Excel.Functions.SPG(G35,"IQ_AVG_DILUT_SHARES_OUT","CY2022")</f>
        <v>113700000</v>
      </c>
      <c r="J35" s="5">
        <f>_xll.SNL.Clients.Office.Excel.Functions.SPG(G35, "IQ_DILUT_EPS_NORM", "CY2022")</f>
        <v>21.882999999999999</v>
      </c>
      <c r="K35">
        <f t="shared" si="2"/>
        <v>2488097.1</v>
      </c>
      <c r="L35">
        <f t="shared" si="3"/>
        <v>0.17358009627459189</v>
      </c>
      <c r="M35" t="s">
        <v>548</v>
      </c>
      <c r="N35" s="4" cm="1">
        <f t="array" ref="N35">_xll.SNL.Clients.Office.Excel.Functions.SPG(M35, "SP_TOTAL_REV", "CY2022")</f>
        <v>6150530</v>
      </c>
      <c r="O35" s="4">
        <f>_xll.SNL.Clients.Office.Excel.Functions.SPG(M35,"IQ_AVG_DILUT_SHARES_OUT","CY2022")</f>
        <v>231536000</v>
      </c>
      <c r="P35" s="5">
        <f>_xll.SNL.Clients.Office.Excel.Functions.SPG(M35, "IQ_DILUT_EPS_NORM", "CY2022")</f>
        <v>3.847</v>
      </c>
      <c r="Q35">
        <f t="shared" si="4"/>
        <v>890718.99199999997</v>
      </c>
      <c r="R35">
        <f t="shared" si="5"/>
        <v>0.14481987601068524</v>
      </c>
    </row>
    <row r="36" spans="1:18" x14ac:dyDescent="0.3">
      <c r="A36" t="s">
        <v>548</v>
      </c>
      <c r="B36" s="4" cm="1">
        <f t="array" ref="B36">_xll.SNL.Clients.Office.Excel.Functions.SPG(A36, "SP_TOTAL_REV", "CY2023")</f>
        <v>6596950</v>
      </c>
      <c r="C36" s="4">
        <f>_xll.SNL.Clients.Office.Excel.Functions.SPG(A36,"IQ_AVG_DILUT_SHARES_OUT","CY2023")</f>
        <v>231509000</v>
      </c>
      <c r="D36" s="5">
        <f>_xll.SNL.Clients.Office.Excel.Functions.SPG(A36, "IQ_DILUT_EPS_NORM", "CY2023")</f>
        <v>4.3369999999999997</v>
      </c>
      <c r="E36">
        <f t="shared" si="0"/>
        <v>1004054.5330000001</v>
      </c>
      <c r="F36">
        <f t="shared" si="1"/>
        <v>0.15219980945740078</v>
      </c>
      <c r="G36" t="s">
        <v>548</v>
      </c>
      <c r="H36" s="4" cm="1">
        <f t="array" ref="H36">_xll.SNL.Clients.Office.Excel.Functions.SPG(G36, "SP_TOTAL_REV", "CY2022")</f>
        <v>6150530</v>
      </c>
      <c r="I36" s="4">
        <f>_xll.SNL.Clients.Office.Excel.Functions.SPG(G36,"IQ_AVG_DILUT_SHARES_OUT","CY2022")</f>
        <v>231536000</v>
      </c>
      <c r="J36" s="5">
        <f>_xll.SNL.Clients.Office.Excel.Functions.SPG(G36, "IQ_DILUT_EPS_NORM", "CY2022")</f>
        <v>3.847</v>
      </c>
      <c r="K36">
        <f t="shared" si="2"/>
        <v>890718.99199999997</v>
      </c>
      <c r="L36">
        <f t="shared" si="3"/>
        <v>0.14481987601068524</v>
      </c>
      <c r="M36" t="s">
        <v>549</v>
      </c>
      <c r="N36" s="4" cm="1">
        <f t="array" ref="N36">_xll.SNL.Clients.Office.Excel.Functions.SPG(M36, "SP_TOTAL_REV", "CY2022")</f>
        <v>26323000</v>
      </c>
      <c r="O36" s="4">
        <f>_xll.SNL.Clients.Office.Excel.Functions.SPG(M36,"IQ_AVG_DILUT_SHARES_OUT","CY2022")</f>
        <v>541000000</v>
      </c>
      <c r="P36" s="5">
        <f>_xll.SNL.Clients.Office.Excel.Functions.SPG(M36, "IQ_DILUT_EPS_NORM", "CY2022")</f>
        <v>9.5310000000000006</v>
      </c>
      <c r="Q36">
        <f t="shared" si="4"/>
        <v>5156271</v>
      </c>
      <c r="R36">
        <f t="shared" si="5"/>
        <v>0.19588462561258216</v>
      </c>
    </row>
    <row r="37" spans="1:18" x14ac:dyDescent="0.3">
      <c r="A37" t="s">
        <v>549</v>
      </c>
      <c r="B37" s="4" cm="1">
        <f t="array" ref="B37">_xll.SNL.Clients.Office.Excel.Functions.SPG(A37, "SP_TOTAL_REV", "CY2023")</f>
        <v>28190000</v>
      </c>
      <c r="C37" s="4">
        <f>_xll.SNL.Clients.Office.Excel.Functions.SPG(A37,"IQ_AVG_DILUT_SHARES_OUT","CY2023")</f>
        <v>538000000</v>
      </c>
      <c r="D37" s="5">
        <f>_xll.SNL.Clients.Office.Excel.Functions.SPG(A37, "IQ_DILUT_EPS_NORM", "CY2023")</f>
        <v>7.5030000000000001</v>
      </c>
      <c r="E37">
        <f t="shared" si="0"/>
        <v>4036614</v>
      </c>
      <c r="F37">
        <f t="shared" si="1"/>
        <v>0.14319311812699539</v>
      </c>
      <c r="G37" t="s">
        <v>549</v>
      </c>
      <c r="H37" s="4" cm="1">
        <f t="array" ref="H37">_xll.SNL.Clients.Office.Excel.Functions.SPG(G37, "SP_TOTAL_REV", "CY2022")</f>
        <v>26323000</v>
      </c>
      <c r="I37" s="4">
        <f>_xll.SNL.Clients.Office.Excel.Functions.SPG(G37,"IQ_AVG_DILUT_SHARES_OUT","CY2022")</f>
        <v>541000000</v>
      </c>
      <c r="J37" s="5">
        <f>_xll.SNL.Clients.Office.Excel.Functions.SPG(G37, "IQ_DILUT_EPS_NORM", "CY2022")</f>
        <v>9.5310000000000006</v>
      </c>
      <c r="K37">
        <f t="shared" si="2"/>
        <v>5156271</v>
      </c>
      <c r="L37">
        <f t="shared" si="3"/>
        <v>0.19588462561258216</v>
      </c>
      <c r="M37" t="s">
        <v>550</v>
      </c>
      <c r="N37" s="4" cm="1">
        <f t="array" ref="N37">_xll.SNL.Clients.Office.Excel.Functions.SPG(M37, "SP_TOTAL_REV", "CY2022")</f>
        <v>12623000</v>
      </c>
      <c r="O37" s="4">
        <f>_xll.SNL.Clients.Office.Excel.Functions.SPG(M37,"IQ_AVG_DILUT_SHARES_OUT","CY2022")</f>
        <v>1242000000</v>
      </c>
      <c r="P37" s="5">
        <f>_xll.SNL.Clients.Office.Excel.Functions.SPG(M37, "IQ_DILUT_EPS_NORM", "CY2022")</f>
        <v>1.2410000000000001</v>
      </c>
      <c r="Q37">
        <f t="shared" si="4"/>
        <v>1541322.0000000002</v>
      </c>
      <c r="R37">
        <f t="shared" si="5"/>
        <v>0.12210425413926961</v>
      </c>
    </row>
    <row r="38" spans="1:18" x14ac:dyDescent="0.3">
      <c r="A38" t="s">
        <v>550</v>
      </c>
      <c r="B38" s="4" cm="1">
        <f t="array" ref="B38">_xll.SNL.Clients.Office.Excel.Functions.SPG(A38, "SP_TOTAL_REV", "CY2023")</f>
        <v>12554700</v>
      </c>
      <c r="C38" s="4">
        <f>_xll.SNL.Clients.Office.Excel.Functions.SPG(A38,"IQ_AVG_DILUT_SHARES_OUT","CY2023")</f>
        <v>1241200000</v>
      </c>
      <c r="D38" s="5">
        <f>_xll.SNL.Clients.Office.Excel.Functions.SPG(A38, "IQ_DILUT_EPS_NORM", "CY2023")</f>
        <v>1.2370000000000001</v>
      </c>
      <c r="E38">
        <f t="shared" si="0"/>
        <v>1535364.4000000001</v>
      </c>
      <c r="F38">
        <f t="shared" si="1"/>
        <v>0.12229399348451178</v>
      </c>
      <c r="G38" t="s">
        <v>550</v>
      </c>
      <c r="H38" s="4" cm="1">
        <f t="array" ref="H38">_xll.SNL.Clients.Office.Excel.Functions.SPG(G38, "SP_TOTAL_REV", "CY2022")</f>
        <v>12623000</v>
      </c>
      <c r="I38" s="4">
        <f>_xll.SNL.Clients.Office.Excel.Functions.SPG(G38,"IQ_AVG_DILUT_SHARES_OUT","CY2022")</f>
        <v>1242000000</v>
      </c>
      <c r="J38" s="5">
        <f>_xll.SNL.Clients.Office.Excel.Functions.SPG(G38, "IQ_DILUT_EPS_NORM", "CY2022")</f>
        <v>1.2410000000000001</v>
      </c>
      <c r="K38">
        <f t="shared" si="2"/>
        <v>1541322.0000000002</v>
      </c>
      <c r="L38">
        <f t="shared" si="3"/>
        <v>0.12210425413926961</v>
      </c>
      <c r="M38" t="s">
        <v>551</v>
      </c>
      <c r="N38" s="4" cm="1">
        <f t="array" ref="N38">_xll.SNL.Clients.Office.Excel.Functions.SPG(M38, "SP_TOTAL_REV", "CY2022")</f>
        <v>12579290</v>
      </c>
      <c r="O38" s="4">
        <f>_xll.SNL.Clients.Office.Excel.Functions.SPG(M38,"IQ_AVG_DILUT_SHARES_OUT","CY2022")</f>
        <v>518438500</v>
      </c>
      <c r="P38" s="5">
        <f>_xll.SNL.Clients.Office.Excel.Functions.SPG(M38, "IQ_DILUT_EPS_NORM", "CY2022")</f>
        <v>4.899</v>
      </c>
      <c r="Q38">
        <f t="shared" si="4"/>
        <v>2539830.2115000002</v>
      </c>
      <c r="R38">
        <f t="shared" si="5"/>
        <v>0.20190568875508874</v>
      </c>
    </row>
    <row r="39" spans="1:18" x14ac:dyDescent="0.3">
      <c r="A39" t="s">
        <v>551</v>
      </c>
      <c r="B39" s="4" cm="1">
        <f t="array" ref="B39">_xll.SNL.Clients.Office.Excel.Functions.SPG(A39, "SP_TOTAL_REV", "CY2023")</f>
        <v>11568613</v>
      </c>
      <c r="C39" s="4">
        <f>_xll.SNL.Clients.Office.Excel.Functions.SPG(A39,"IQ_AVG_DILUT_SHARES_OUT","CY2023")</f>
        <v>502848250</v>
      </c>
      <c r="D39" s="5">
        <f>_xll.SNL.Clients.Office.Excel.Functions.SPG(A39, "IQ_DILUT_EPS_NORM", "CY2023")</f>
        <v>4.008</v>
      </c>
      <c r="E39">
        <f t="shared" si="0"/>
        <v>2015415.7860000001</v>
      </c>
      <c r="F39">
        <f t="shared" si="1"/>
        <v>0.17421412454544033</v>
      </c>
      <c r="G39" t="s">
        <v>551</v>
      </c>
      <c r="H39" s="4" cm="1">
        <f t="array" ref="H39">_xll.SNL.Clients.Office.Excel.Functions.SPG(G39, "SP_TOTAL_REV", "CY2022")</f>
        <v>12579290</v>
      </c>
      <c r="I39" s="4">
        <f>_xll.SNL.Clients.Office.Excel.Functions.SPG(G39,"IQ_AVG_DILUT_SHARES_OUT","CY2022")</f>
        <v>518438500</v>
      </c>
      <c r="J39" s="5">
        <f>_xll.SNL.Clients.Office.Excel.Functions.SPG(G39, "IQ_DILUT_EPS_NORM", "CY2022")</f>
        <v>4.899</v>
      </c>
      <c r="K39">
        <f t="shared" si="2"/>
        <v>2539830.2115000002</v>
      </c>
      <c r="L39">
        <f t="shared" si="3"/>
        <v>0.20190568875508874</v>
      </c>
      <c r="M39" t="s">
        <v>552</v>
      </c>
      <c r="N39" s="4" cm="1">
        <f t="array" ref="N39">_xll.SNL.Clients.Office.Excel.Functions.SPG(M39, "SP_TOTAL_REV", "CY2022")</f>
        <v>2065553</v>
      </c>
      <c r="O39" s="4">
        <f>_xll.SNL.Clients.Office.Excel.Functions.SPG(M39,"IQ_AVG_DILUT_SHARES_OUT","CY2022")</f>
        <v>87490000</v>
      </c>
      <c r="P39" s="5">
        <f>_xll.SNL.Clients.Office.Excel.Functions.SPG(M39, "IQ_DILUT_EPS_NORM", "CY2022")</f>
        <v>4.1210000000000004</v>
      </c>
      <c r="Q39">
        <f t="shared" si="4"/>
        <v>360546.29000000004</v>
      </c>
      <c r="R39">
        <f t="shared" si="5"/>
        <v>0.17455194323263554</v>
      </c>
    </row>
    <row r="40" spans="1:18" x14ac:dyDescent="0.3">
      <c r="A40" t="s">
        <v>552</v>
      </c>
      <c r="B40" s="4" cm="1">
        <f t="array" ref="B40">_xll.SNL.Clients.Office.Excel.Functions.SPG(A40, "SP_TOTAL_REV", "CY2023")</f>
        <v>2269949</v>
      </c>
      <c r="C40" s="4">
        <f>_xll.SNL.Clients.Office.Excel.Functions.SPG(A40,"IQ_AVG_DILUT_SHARES_OUT","CY2023")</f>
        <v>87386000</v>
      </c>
      <c r="D40" s="5">
        <f>_xll.SNL.Clients.Office.Excel.Functions.SPG(A40, "IQ_DILUT_EPS_NORM", "CY2023")</f>
        <v>4.2510000000000003</v>
      </c>
      <c r="E40">
        <f t="shared" si="0"/>
        <v>371477.886</v>
      </c>
      <c r="F40">
        <f t="shared" si="1"/>
        <v>0.16365032254028614</v>
      </c>
      <c r="G40" t="s">
        <v>552</v>
      </c>
      <c r="H40" s="4" cm="1">
        <f t="array" ref="H40">_xll.SNL.Clients.Office.Excel.Functions.SPG(G40, "SP_TOTAL_REV", "CY2022")</f>
        <v>2065553</v>
      </c>
      <c r="I40" s="4">
        <f>_xll.SNL.Clients.Office.Excel.Functions.SPG(G40,"IQ_AVG_DILUT_SHARES_OUT","CY2022")</f>
        <v>87490000</v>
      </c>
      <c r="J40" s="5">
        <f>_xll.SNL.Clients.Office.Excel.Functions.SPG(G40, "IQ_DILUT_EPS_NORM", "CY2022")</f>
        <v>4.1210000000000004</v>
      </c>
      <c r="K40">
        <f t="shared" si="2"/>
        <v>360546.29000000004</v>
      </c>
      <c r="L40">
        <f t="shared" si="3"/>
        <v>0.17455194323263554</v>
      </c>
      <c r="M40" t="s">
        <v>553</v>
      </c>
      <c r="N40" s="4" cm="1">
        <f t="array" ref="N40">_xll.SNL.Clients.Office.Excel.Functions.SPG(M40, "SP_TOTAL_REV", "CY2022")</f>
        <v>12497000</v>
      </c>
      <c r="O40" s="4">
        <f>_xll.SNL.Clients.Office.Excel.Functions.SPG(M40,"IQ_AVG_DILUT_SHARES_OUT","CY2022")</f>
        <v>213200000</v>
      </c>
      <c r="P40" s="5">
        <f>_xll.SNL.Clients.Office.Excel.Functions.SPG(M40, "IQ_DILUT_EPS_NORM", "CY2022")</f>
        <v>8.9960000000000004</v>
      </c>
      <c r="Q40">
        <f t="shared" si="4"/>
        <v>1917947.2</v>
      </c>
      <c r="R40">
        <f t="shared" si="5"/>
        <v>0.15347260942626231</v>
      </c>
    </row>
    <row r="41" spans="1:18" x14ac:dyDescent="0.3">
      <c r="A41" t="s">
        <v>553</v>
      </c>
      <c r="B41" s="4" cm="1">
        <f t="array" ref="B41">_xll.SNL.Clients.Office.Excel.Functions.SPG(A41, "SP_TOTAL_REV", "CY2023")</f>
        <v>13407000</v>
      </c>
      <c r="C41" s="4">
        <f>_xll.SNL.Clients.Office.Excel.Functions.SPG(A41,"IQ_AVG_DILUT_SHARES_OUT","CY2023")</f>
        <v>205000000</v>
      </c>
      <c r="D41" s="5">
        <f>_xll.SNL.Clients.Office.Excel.Functions.SPG(A41, "IQ_DILUT_EPS_NORM", "CY2023")</f>
        <v>10.401</v>
      </c>
      <c r="E41">
        <f t="shared" si="0"/>
        <v>2132205</v>
      </c>
      <c r="F41">
        <f t="shared" si="1"/>
        <v>0.15903669724770642</v>
      </c>
      <c r="G41" t="s">
        <v>553</v>
      </c>
      <c r="H41" s="4" cm="1">
        <f t="array" ref="H41">_xll.SNL.Clients.Office.Excel.Functions.SPG(G41, "SP_TOTAL_REV", "CY2022")</f>
        <v>12497000</v>
      </c>
      <c r="I41" s="4">
        <f>_xll.SNL.Clients.Office.Excel.Functions.SPG(G41,"IQ_AVG_DILUT_SHARES_OUT","CY2022")</f>
        <v>213200000</v>
      </c>
      <c r="J41" s="5">
        <f>_xll.SNL.Clients.Office.Excel.Functions.SPG(G41, "IQ_DILUT_EPS_NORM", "CY2022")</f>
        <v>8.9960000000000004</v>
      </c>
      <c r="K41">
        <f t="shared" si="2"/>
        <v>1917947.2</v>
      </c>
      <c r="L41">
        <f t="shared" si="3"/>
        <v>0.15347260942626231</v>
      </c>
      <c r="M41" t="s">
        <v>554</v>
      </c>
      <c r="N41" s="4" cm="1">
        <f t="array" ref="N41">_xll.SNL.Clients.Office.Excel.Functions.SPG(M41, "SP_TOTAL_REV", "CY2022")</f>
        <v>10960000</v>
      </c>
      <c r="O41" s="4">
        <f>_xll.SNL.Clients.Office.Excel.Functions.SPG(M41,"IQ_AVG_DILUT_SHARES_OUT","CY2022")</f>
        <v>333000000</v>
      </c>
      <c r="P41" s="5">
        <f>_xll.SNL.Clients.Office.Excel.Functions.SPG(M41, "IQ_DILUT_EPS_NORM", "CY2022")</f>
        <v>7.7910000000000004</v>
      </c>
      <c r="Q41">
        <f t="shared" si="4"/>
        <v>2594403</v>
      </c>
      <c r="R41">
        <f t="shared" si="5"/>
        <v>0.23671560218978102</v>
      </c>
    </row>
    <row r="42" spans="1:18" x14ac:dyDescent="0.3">
      <c r="A42" t="s">
        <v>554</v>
      </c>
      <c r="B42" s="4" cm="1">
        <f t="array" ref="B42">_xll.SNL.Clients.Office.Excel.Functions.SPG(A42, "SP_TOTAL_REV", "CY2023")</f>
        <v>8093000</v>
      </c>
      <c r="C42" s="4">
        <f>_xll.SNL.Clients.Office.Excel.Functions.SPG(A42,"IQ_AVG_DILUT_SHARES_OUT","CY2023")</f>
        <v>309000000</v>
      </c>
      <c r="D42" s="5">
        <f>_xll.SNL.Clients.Office.Excel.Functions.SPG(A42, "IQ_DILUT_EPS_NORM", "CY2023")</f>
        <v>5.1390000000000002</v>
      </c>
      <c r="E42">
        <f t="shared" si="0"/>
        <v>1587951</v>
      </c>
      <c r="F42">
        <f t="shared" si="1"/>
        <v>0.19621290003706907</v>
      </c>
      <c r="G42" t="s">
        <v>554</v>
      </c>
      <c r="H42" s="4" cm="1">
        <f t="array" ref="H42">_xll.SNL.Clients.Office.Excel.Functions.SPG(G42, "SP_TOTAL_REV", "CY2022")</f>
        <v>10960000</v>
      </c>
      <c r="I42" s="4">
        <f>_xll.SNL.Clients.Office.Excel.Functions.SPG(G42,"IQ_AVG_DILUT_SHARES_OUT","CY2022")</f>
        <v>333000000</v>
      </c>
      <c r="J42" s="5">
        <f>_xll.SNL.Clients.Office.Excel.Functions.SPG(G42, "IQ_DILUT_EPS_NORM", "CY2022")</f>
        <v>7.7910000000000004</v>
      </c>
      <c r="K42">
        <f t="shared" si="2"/>
        <v>2594403</v>
      </c>
      <c r="L42">
        <f t="shared" si="3"/>
        <v>0.23671560218978102</v>
      </c>
      <c r="M42" t="s">
        <v>555</v>
      </c>
      <c r="N42" s="4" cm="1">
        <f t="array" ref="N42">_xll.SNL.Clients.Office.Excel.Functions.SPG(M42, "SP_TOTAL_REV", "CY2022")</f>
        <v>387537000</v>
      </c>
      <c r="O42" s="4">
        <f>_xll.SNL.Clients.Office.Excel.Functions.SPG(M42,"IQ_AVG_DILUT_SHARES_OUT","CY2022")</f>
        <v>16184925750</v>
      </c>
      <c r="P42" s="5">
        <f>_xll.SNL.Clients.Office.Excel.Functions.SPG(M42, "IQ_DILUT_EPS_NORM", "CY2022")</f>
        <v>4.3819999999999997</v>
      </c>
      <c r="Q42">
        <f t="shared" si="4"/>
        <v>70922344.636500001</v>
      </c>
      <c r="R42">
        <f t="shared" si="5"/>
        <v>0.18300793120785885</v>
      </c>
    </row>
    <row r="43" spans="1:18" x14ac:dyDescent="0.3">
      <c r="A43" t="s">
        <v>555</v>
      </c>
      <c r="B43" s="4" cm="1">
        <f t="array" ref="B43">_xll.SNL.Clients.Office.Excel.Functions.SPG(A43, "SP_TOTAL_REV", "CY2023")</f>
        <v>385706000</v>
      </c>
      <c r="C43" s="4">
        <f>_xll.SNL.Clients.Office.Excel.Functions.SPG(A43,"IQ_AVG_DILUT_SHARES_OUT","CY2023")</f>
        <v>15717777750</v>
      </c>
      <c r="D43" s="5">
        <f>_xll.SNL.Clients.Office.Excel.Functions.SPG(A43, "IQ_DILUT_EPS_NORM", "CY2023")</f>
        <v>4.7089999999999996</v>
      </c>
      <c r="E43">
        <f t="shared" si="0"/>
        <v>74015015.42475</v>
      </c>
      <c r="F43">
        <f t="shared" si="1"/>
        <v>0.19189490291763675</v>
      </c>
      <c r="G43" t="s">
        <v>555</v>
      </c>
      <c r="H43" s="4" cm="1">
        <f t="array" ref="H43">_xll.SNL.Clients.Office.Excel.Functions.SPG(G43, "SP_TOTAL_REV", "CY2022")</f>
        <v>387537000</v>
      </c>
      <c r="I43" s="4">
        <f>_xll.SNL.Clients.Office.Excel.Functions.SPG(G43,"IQ_AVG_DILUT_SHARES_OUT","CY2022")</f>
        <v>16184925750</v>
      </c>
      <c r="J43" s="5">
        <f>_xll.SNL.Clients.Office.Excel.Functions.SPG(G43, "IQ_DILUT_EPS_NORM", "CY2022")</f>
        <v>4.3819999999999997</v>
      </c>
      <c r="K43">
        <f t="shared" si="2"/>
        <v>70922344.636500001</v>
      </c>
      <c r="L43">
        <f t="shared" si="3"/>
        <v>0.18300793120785885</v>
      </c>
      <c r="M43" t="s">
        <v>556</v>
      </c>
      <c r="N43" s="4" cm="1">
        <f t="array" ref="N43">_xll.SNL.Clients.Office.Excel.Functions.SPG(M43, "SP_TOTAL_REV", "CY2022")</f>
        <v>26253000</v>
      </c>
      <c r="O43" s="4">
        <f>_xll.SNL.Clients.Office.Excel.Functions.SPG(M43,"IQ_AVG_DILUT_SHARES_OUT","CY2022")</f>
        <v>865000000</v>
      </c>
      <c r="P43" s="5">
        <f>_xll.SNL.Clients.Office.Excel.Functions.SPG(M43, "IQ_DILUT_EPS_NORM", "CY2022")</f>
        <v>5.508</v>
      </c>
      <c r="Q43">
        <f t="shared" si="4"/>
        <v>4764420</v>
      </c>
      <c r="R43">
        <f t="shared" si="5"/>
        <v>0.18148097360301679</v>
      </c>
    </row>
    <row r="44" spans="1:18" x14ac:dyDescent="0.3">
      <c r="A44" t="s">
        <v>556</v>
      </c>
      <c r="B44" s="4" cm="1">
        <f t="array" ref="B44">_xll.SNL.Clients.Office.Excel.Functions.SPG(A44, "SP_TOTAL_REV", "CY2023")</f>
        <v>26485000</v>
      </c>
      <c r="C44" s="4">
        <f>_xll.SNL.Clients.Office.Excel.Functions.SPG(A44,"IQ_AVG_DILUT_SHARES_OUT","CY2023")</f>
        <v>842000000</v>
      </c>
      <c r="D44" s="5">
        <f>_xll.SNL.Clients.Office.Excel.Functions.SPG(A44, "IQ_DILUT_EPS_NORM", "CY2023")</f>
        <v>5.8479999999999999</v>
      </c>
      <c r="E44">
        <f t="shared" si="0"/>
        <v>4924016</v>
      </c>
      <c r="F44">
        <f t="shared" si="1"/>
        <v>0.18591716065697564</v>
      </c>
      <c r="G44" t="s">
        <v>556</v>
      </c>
      <c r="H44" s="4" cm="1">
        <f t="array" ref="H44">_xll.SNL.Clients.Office.Excel.Functions.SPG(G44, "SP_TOTAL_REV", "CY2022")</f>
        <v>26253000</v>
      </c>
      <c r="I44" s="4">
        <f>_xll.SNL.Clients.Office.Excel.Functions.SPG(G44,"IQ_AVG_DILUT_SHARES_OUT","CY2022")</f>
        <v>865000000</v>
      </c>
      <c r="J44" s="5">
        <f>_xll.SNL.Clients.Office.Excel.Functions.SPG(G44, "IQ_DILUT_EPS_NORM", "CY2022")</f>
        <v>5.508</v>
      </c>
      <c r="K44">
        <f t="shared" si="2"/>
        <v>4764420</v>
      </c>
      <c r="L44">
        <f t="shared" si="3"/>
        <v>0.18148097360301679</v>
      </c>
      <c r="M44" t="s">
        <v>557</v>
      </c>
      <c r="N44" s="4" cm="1">
        <f t="array" ref="N44">_xll.SNL.Clients.Office.Excel.Functions.SPG(M44, "SP_TOTAL_REV", "CY2022")</f>
        <v>17489000</v>
      </c>
      <c r="O44" s="4">
        <f>_xll.SNL.Clients.Office.Excel.Functions.SPG(M44,"IQ_AVG_DILUT_SHARES_OUT","CY2022")</f>
        <v>271180000</v>
      </c>
      <c r="P44" s="5">
        <f>_xll.SNL.Clients.Office.Excel.Functions.SPG(M44, "IQ_DILUT_EPS_NORM", "CY2022")</f>
        <v>2.1949999999999998</v>
      </c>
      <c r="Q44">
        <f t="shared" si="4"/>
        <v>595240.1</v>
      </c>
      <c r="R44">
        <f t="shared" si="5"/>
        <v>3.4035113499914234E-2</v>
      </c>
    </row>
    <row r="45" spans="1:18" x14ac:dyDescent="0.3">
      <c r="A45" t="s">
        <v>557</v>
      </c>
      <c r="B45" s="4" cm="1">
        <f t="array" ref="B45">_xll.SNL.Clients.Office.Excel.Functions.SPG(A45, "SP_TOTAL_REV", "CY2023")</f>
        <v>20051000</v>
      </c>
      <c r="C45" s="4">
        <f>_xll.SNL.Clients.Office.Excel.Functions.SPG(A45,"IQ_AVG_DILUT_SHARES_OUT","CY2023")</f>
        <v>282880000</v>
      </c>
      <c r="D45" s="5">
        <f>_xll.SNL.Clients.Office.Excel.Functions.SPG(A45, "IQ_DILUT_EPS_NORM", "CY2023")</f>
        <v>2.9409999999999998</v>
      </c>
      <c r="E45">
        <f t="shared" si="0"/>
        <v>831950.08</v>
      </c>
      <c r="F45">
        <f t="shared" si="1"/>
        <v>4.1491700164580321E-2</v>
      </c>
      <c r="G45" t="s">
        <v>557</v>
      </c>
      <c r="H45" s="4" cm="1">
        <f t="array" ref="H45">_xll.SNL.Clients.Office.Excel.Functions.SPG(G45, "SP_TOTAL_REV", "CY2022")</f>
        <v>17489000</v>
      </c>
      <c r="I45" s="4">
        <f>_xll.SNL.Clients.Office.Excel.Functions.SPG(G45,"IQ_AVG_DILUT_SHARES_OUT","CY2022")</f>
        <v>271180000</v>
      </c>
      <c r="J45" s="5">
        <f>_xll.SNL.Clients.Office.Excel.Functions.SPG(G45, "IQ_DILUT_EPS_NORM", "CY2022")</f>
        <v>2.1949999999999998</v>
      </c>
      <c r="K45">
        <f t="shared" si="2"/>
        <v>595240.1</v>
      </c>
      <c r="L45">
        <f t="shared" si="3"/>
        <v>3.4035113499914234E-2</v>
      </c>
      <c r="M45" t="s">
        <v>558</v>
      </c>
      <c r="N45" s="4" cm="1">
        <f t="array" ref="N45">_xll.SNL.Clients.Office.Excel.Functions.SPG(M45, "SP_TOTAL_REV", "CY2022")</f>
        <v>9715713</v>
      </c>
      <c r="O45" s="4">
        <f>_xll.SNL.Clients.Office.Excel.Functions.SPG(M45,"IQ_AVG_DILUT_SHARES_OUT","CY2022")</f>
        <v>377600000</v>
      </c>
      <c r="P45" s="5">
        <f>_xll.SNL.Clients.Office.Excel.Functions.SPG(M45, "IQ_DILUT_EPS_NORM", "CY2022")</f>
        <v>2.57</v>
      </c>
      <c r="Q45">
        <f t="shared" si="4"/>
        <v>970431.99999999988</v>
      </c>
      <c r="R45">
        <f t="shared" si="5"/>
        <v>9.9882736346781742E-2</v>
      </c>
    </row>
    <row r="46" spans="1:18" x14ac:dyDescent="0.3">
      <c r="A46" t="s">
        <v>558</v>
      </c>
      <c r="B46" s="4" cm="1">
        <f t="array" ref="B46">_xll.SNL.Clients.Office.Excel.Functions.SPG(A46, "SP_TOTAL_REV", "CY2023")</f>
        <v>13574000</v>
      </c>
      <c r="C46" s="4">
        <f>_xll.SNL.Clients.Office.Excel.Functions.SPG(A46,"IQ_AVG_DILUT_SHARES_OUT","CY2023")</f>
        <v>378800000</v>
      </c>
      <c r="D46" s="5">
        <f>_xll.SNL.Clients.Office.Excel.Functions.SPG(A46, "IQ_DILUT_EPS_NORM", "CY2023")</f>
        <v>5.9009999999999998</v>
      </c>
      <c r="E46">
        <f t="shared" si="0"/>
        <v>2235298.7999999998</v>
      </c>
      <c r="F46">
        <f t="shared" si="1"/>
        <v>0.16467502578458817</v>
      </c>
      <c r="G46" t="s">
        <v>558</v>
      </c>
      <c r="H46" s="4" cm="1">
        <f t="array" ref="H46">_xll.SNL.Clients.Office.Excel.Functions.SPG(G46, "SP_TOTAL_REV", "CY2022")</f>
        <v>9715713</v>
      </c>
      <c r="I46" s="4">
        <f>_xll.SNL.Clients.Office.Excel.Functions.SPG(G46,"IQ_AVG_DILUT_SHARES_OUT","CY2022")</f>
        <v>377600000</v>
      </c>
      <c r="J46" s="5">
        <f>_xll.SNL.Clients.Office.Excel.Functions.SPG(G46, "IQ_DILUT_EPS_NORM", "CY2022")</f>
        <v>2.57</v>
      </c>
      <c r="K46">
        <f t="shared" si="2"/>
        <v>970431.99999999988</v>
      </c>
      <c r="L46">
        <f t="shared" si="3"/>
        <v>9.9882736346781742E-2</v>
      </c>
      <c r="M46" t="s">
        <v>559</v>
      </c>
      <c r="N46" s="4" cm="1">
        <f t="array" ref="N46">_xll.SNL.Clients.Office.Excel.Functions.SPG(M46, "SP_TOTAL_REV", "CY2022")</f>
        <v>101556000</v>
      </c>
      <c r="O46" s="4">
        <f>_xll.SNL.Clients.Office.Excel.Functions.SPG(M46,"IQ_AVG_DILUT_SHARES_OUT","CY2022")</f>
        <v>563000000</v>
      </c>
      <c r="P46" s="5">
        <f>_xll.SNL.Clients.Office.Excel.Functions.SPG(M46, "IQ_DILUT_EPS_NORM", "CY2022")</f>
        <v>5.6120000000000001</v>
      </c>
      <c r="Q46">
        <f t="shared" si="4"/>
        <v>3159556</v>
      </c>
      <c r="R46">
        <f t="shared" si="5"/>
        <v>3.1111465595336563E-2</v>
      </c>
    </row>
    <row r="47" spans="1:18" x14ac:dyDescent="0.3">
      <c r="A47" t="s">
        <v>559</v>
      </c>
      <c r="B47" s="4" cm="1">
        <f t="array" ref="B47">_xll.SNL.Clients.Office.Excel.Functions.SPG(A47, "SP_TOTAL_REV", "CY2023")</f>
        <v>93935000</v>
      </c>
      <c r="C47" s="4">
        <f>_xll.SNL.Clients.Office.Excel.Functions.SPG(A47,"IQ_AVG_DILUT_SHARES_OUT","CY2023")</f>
        <v>542000000</v>
      </c>
      <c r="D47" s="5">
        <f>_xll.SNL.Clients.Office.Excel.Functions.SPG(A47, "IQ_DILUT_EPS_NORM", "CY2023")</f>
        <v>5.3120000000000003</v>
      </c>
      <c r="E47">
        <f t="shared" si="0"/>
        <v>2879104</v>
      </c>
      <c r="F47">
        <f t="shared" si="1"/>
        <v>3.0649960078777877E-2</v>
      </c>
      <c r="G47" t="s">
        <v>559</v>
      </c>
      <c r="H47" s="4" cm="1">
        <f t="array" ref="H47">_xll.SNL.Clients.Office.Excel.Functions.SPG(G47, "SP_TOTAL_REV", "CY2022")</f>
        <v>101556000</v>
      </c>
      <c r="I47" s="4">
        <f>_xll.SNL.Clients.Office.Excel.Functions.SPG(G47,"IQ_AVG_DILUT_SHARES_OUT","CY2022")</f>
        <v>563000000</v>
      </c>
      <c r="J47" s="5">
        <f>_xll.SNL.Clients.Office.Excel.Functions.SPG(G47, "IQ_DILUT_EPS_NORM", "CY2022")</f>
        <v>5.6120000000000001</v>
      </c>
      <c r="K47">
        <f t="shared" si="2"/>
        <v>3159556</v>
      </c>
      <c r="L47">
        <f t="shared" si="3"/>
        <v>3.1111465595336563E-2</v>
      </c>
      <c r="M47" t="s">
        <v>560</v>
      </c>
      <c r="N47" s="4" cm="1">
        <f t="array" ref="N47">_xll.SNL.Clients.Office.Excel.Functions.SPG(M47, "SP_TOTAL_REV", "CY2022")</f>
        <v>4381310</v>
      </c>
      <c r="O47" s="4">
        <f>_xll.SNL.Clients.Office.Excel.Functions.SPG(M47,"IQ_AVG_DILUT_SHARES_OUT","CY2022")</f>
        <v>316459000</v>
      </c>
      <c r="P47" s="5">
        <f>_xll.SNL.Clients.Office.Excel.Functions.SPG(M47, "IQ_DILUT_EPS_NORM", "CY2022")</f>
        <v>3.07</v>
      </c>
      <c r="Q47">
        <f t="shared" si="4"/>
        <v>971529.13</v>
      </c>
      <c r="R47">
        <f t="shared" si="5"/>
        <v>0.22174398296399936</v>
      </c>
    </row>
    <row r="48" spans="1:18" x14ac:dyDescent="0.3">
      <c r="A48" t="s">
        <v>560</v>
      </c>
      <c r="B48" s="4" cm="1">
        <f t="array" ref="B48">_xll.SNL.Clients.Office.Excel.Functions.SPG(A48, "SP_TOTAL_REV", "CY2023")</f>
        <v>5860168</v>
      </c>
      <c r="C48" s="4">
        <f>_xll.SNL.Clients.Office.Excel.Functions.SPG(A48,"IQ_AVG_DILUT_SHARES_OUT","CY2023")</f>
        <v>317135000</v>
      </c>
      <c r="D48" s="5">
        <f>_xll.SNL.Clients.Office.Excel.Functions.SPG(A48, "IQ_DILUT_EPS_NORM", "CY2023")</f>
        <v>4.7359999999999998</v>
      </c>
      <c r="E48">
        <f t="shared" si="0"/>
        <v>1501951.36</v>
      </c>
      <c r="F48">
        <f t="shared" si="1"/>
        <v>0.2562983450303814</v>
      </c>
      <c r="G48" t="s">
        <v>560</v>
      </c>
      <c r="H48" s="4" cm="1">
        <f t="array" ref="H48">_xll.SNL.Clients.Office.Excel.Functions.SPG(G48, "SP_TOTAL_REV", "CY2022")</f>
        <v>4381310</v>
      </c>
      <c r="I48" s="4">
        <f>_xll.SNL.Clients.Office.Excel.Functions.SPG(G48,"IQ_AVG_DILUT_SHARES_OUT","CY2022")</f>
        <v>316459000</v>
      </c>
      <c r="J48" s="5">
        <f>_xll.SNL.Clients.Office.Excel.Functions.SPG(G48, "IQ_DILUT_EPS_NORM", "CY2022")</f>
        <v>3.07</v>
      </c>
      <c r="K48">
        <f t="shared" si="2"/>
        <v>971529.13</v>
      </c>
      <c r="L48">
        <f t="shared" si="3"/>
        <v>0.22174398296399936</v>
      </c>
      <c r="M48" t="s">
        <v>561</v>
      </c>
      <c r="N48" s="4" cm="1">
        <f t="array" ref="N48">_xll.SNL.Clients.Office.Excel.Functions.SPG(M48, "SP_TOTAL_REV", "CY2022")</f>
        <v>8527700</v>
      </c>
      <c r="O48" s="4">
        <f>_xll.SNL.Clients.Office.Excel.Functions.SPG(M48,"IQ_AVG_DILUT_SHARES_OUT","CY2022")</f>
        <v>214700000</v>
      </c>
      <c r="P48" s="5">
        <f>_xll.SNL.Clients.Office.Excel.Functions.SPG(M48, "IQ_DILUT_EPS_NORM", "CY2022")</f>
        <v>5.0129999999999999</v>
      </c>
      <c r="Q48">
        <f t="shared" si="4"/>
        <v>1076291.1000000001</v>
      </c>
      <c r="R48">
        <f t="shared" si="5"/>
        <v>0.12621118238211945</v>
      </c>
    </row>
    <row r="49" spans="1:18" x14ac:dyDescent="0.3">
      <c r="A49" t="s">
        <v>561</v>
      </c>
      <c r="B49" s="4" cm="1">
        <f t="array" ref="B49">_xll.SNL.Clients.Office.Excel.Functions.SPG(A49, "SP_TOTAL_REV", "CY2023")</f>
        <v>10071900</v>
      </c>
      <c r="C49" s="4">
        <f>_xll.SNL.Clients.Office.Excel.Functions.SPG(A49,"IQ_AVG_DILUT_SHARES_OUT","CY2023")</f>
        <v>219300000</v>
      </c>
      <c r="D49" s="5">
        <f>_xll.SNL.Clients.Office.Excel.Functions.SPG(A49, "IQ_DILUT_EPS_NORM", "CY2023")</f>
        <v>5.6619999999999999</v>
      </c>
      <c r="E49">
        <f t="shared" si="0"/>
        <v>1241676.6000000001</v>
      </c>
      <c r="F49">
        <f t="shared" si="1"/>
        <v>0.12328126768534239</v>
      </c>
      <c r="G49" t="s">
        <v>561</v>
      </c>
      <c r="H49" s="4" cm="1">
        <f t="array" ref="H49">_xll.SNL.Clients.Office.Excel.Functions.SPG(G49, "SP_TOTAL_REV", "CY2022")</f>
        <v>8527700</v>
      </c>
      <c r="I49" s="4">
        <f>_xll.SNL.Clients.Office.Excel.Functions.SPG(G49,"IQ_AVG_DILUT_SHARES_OUT","CY2022")</f>
        <v>214700000</v>
      </c>
      <c r="J49" s="5">
        <f>_xll.SNL.Clients.Office.Excel.Functions.SPG(G49, "IQ_DILUT_EPS_NORM", "CY2022")</f>
        <v>5.0129999999999999</v>
      </c>
      <c r="K49">
        <f t="shared" si="2"/>
        <v>1076291.1000000001</v>
      </c>
      <c r="L49">
        <f t="shared" si="3"/>
        <v>0.12621118238211945</v>
      </c>
      <c r="M49" t="s">
        <v>562</v>
      </c>
      <c r="N49" s="4" cm="1">
        <f t="array" ref="N49">_xll.SNL.Clients.Office.Excel.Functions.SPG(M49, "SP_TOTAL_REV", "CY2022")</f>
        <v>10193000</v>
      </c>
      <c r="O49" s="4">
        <f>_xll.SNL.Clients.Office.Excel.Functions.SPG(M49,"IQ_AVG_DILUT_SHARES_OUT","CY2022")</f>
        <v>54782528</v>
      </c>
      <c r="P49" s="5">
        <f>_xll.SNL.Clients.Office.Excel.Functions.SPG(M49, "IQ_DILUT_EPS_NORM", "CY2022")</f>
        <v>4.6970000000000001</v>
      </c>
      <c r="Q49">
        <f t="shared" si="4"/>
        <v>257313.53401599999</v>
      </c>
      <c r="R49">
        <f t="shared" si="5"/>
        <v>2.5244141471205728E-2</v>
      </c>
    </row>
    <row r="50" spans="1:18" x14ac:dyDescent="0.3">
      <c r="A50" t="s">
        <v>562</v>
      </c>
      <c r="B50" s="4" cm="1">
        <f t="array" ref="B50">_xll.SNL.Clients.Office.Excel.Functions.SPG(A50, "SP_TOTAL_REV", "CY2023")</f>
        <v>11131600</v>
      </c>
      <c r="C50" s="4">
        <f>_xll.SNL.Clients.Office.Excel.Functions.SPG(A50,"IQ_AVG_DILUT_SHARES_OUT","CY2023")</f>
        <v>53783069</v>
      </c>
      <c r="D50" s="5">
        <f>_xll.SNL.Clients.Office.Excel.Functions.SPG(A50, "IQ_DILUT_EPS_NORM", "CY2023")</f>
        <v>9.7729999999999997</v>
      </c>
      <c r="E50">
        <f t="shared" si="0"/>
        <v>525621.93333699997</v>
      </c>
      <c r="F50">
        <f t="shared" si="1"/>
        <v>4.7218902344406913E-2</v>
      </c>
      <c r="G50" t="s">
        <v>562</v>
      </c>
      <c r="H50" s="4" cm="1">
        <f t="array" ref="H50">_xll.SNL.Clients.Office.Excel.Functions.SPG(G50, "SP_TOTAL_REV", "CY2022")</f>
        <v>10193000</v>
      </c>
      <c r="I50" s="4">
        <f>_xll.SNL.Clients.Office.Excel.Functions.SPG(G50,"IQ_AVG_DILUT_SHARES_OUT","CY2022")</f>
        <v>54782528</v>
      </c>
      <c r="J50" s="5">
        <f>_xll.SNL.Clients.Office.Excel.Functions.SPG(G50, "IQ_DILUT_EPS_NORM", "CY2022")</f>
        <v>4.6970000000000001</v>
      </c>
      <c r="K50">
        <f t="shared" si="2"/>
        <v>257313.53401599999</v>
      </c>
      <c r="L50">
        <f t="shared" si="3"/>
        <v>2.5244141471205728E-2</v>
      </c>
      <c r="M50" t="s">
        <v>563</v>
      </c>
      <c r="N50" s="4" cm="1">
        <f t="array" ref="N50">_xll.SNL.Clients.Office.Excel.Functions.SPG(M50, "SP_TOTAL_REV", "CY2022")</f>
        <v>120741000</v>
      </c>
      <c r="O50" s="4">
        <f>_xll.SNL.Clients.Office.Excel.Functions.SPG(M50,"IQ_AVG_DILUT_SHARES_OUT","CY2022")</f>
        <v>7166000000</v>
      </c>
      <c r="P50" s="5">
        <f>_xll.SNL.Clients.Office.Excel.Functions.SPG(M50, "IQ_DILUT_EPS_NORM", "CY2022")</f>
        <v>1.923</v>
      </c>
      <c r="Q50">
        <f t="shared" si="4"/>
        <v>13780218</v>
      </c>
      <c r="R50">
        <f t="shared" si="5"/>
        <v>0.11413039481203568</v>
      </c>
    </row>
    <row r="51" spans="1:18" x14ac:dyDescent="0.3">
      <c r="A51" t="s">
        <v>563</v>
      </c>
      <c r="B51" s="4" cm="1">
        <f t="array" ref="B51">_xll.SNL.Clients.Office.Excel.Functions.SPG(A51, "SP_TOTAL_REV", "CY2023")</f>
        <v>122428000</v>
      </c>
      <c r="C51" s="4">
        <f>_xll.SNL.Clients.Office.Excel.Functions.SPG(A51,"IQ_AVG_DILUT_SHARES_OUT","CY2023")</f>
        <v>7258000000</v>
      </c>
      <c r="D51" s="5">
        <f>_xll.SNL.Clients.Office.Excel.Functions.SPG(A51, "IQ_DILUT_EPS_NORM", "CY2023")</f>
        <v>1.6819999999999999</v>
      </c>
      <c r="E51">
        <f t="shared" si="0"/>
        <v>12207956</v>
      </c>
      <c r="F51">
        <f t="shared" si="1"/>
        <v>9.9715391903812858E-2</v>
      </c>
      <c r="G51" t="s">
        <v>563</v>
      </c>
      <c r="H51" s="4" cm="1">
        <f t="array" ref="H51">_xll.SNL.Clients.Office.Excel.Functions.SPG(G51, "SP_TOTAL_REV", "CY2022")</f>
        <v>120741000</v>
      </c>
      <c r="I51" s="4">
        <f>_xll.SNL.Clients.Office.Excel.Functions.SPG(G51,"IQ_AVG_DILUT_SHARES_OUT","CY2022")</f>
        <v>7166000000</v>
      </c>
      <c r="J51" s="5">
        <f>_xll.SNL.Clients.Office.Excel.Functions.SPG(G51, "IQ_DILUT_EPS_NORM", "CY2022")</f>
        <v>1.923</v>
      </c>
      <c r="K51">
        <f t="shared" si="2"/>
        <v>13780218</v>
      </c>
      <c r="L51">
        <f t="shared" si="3"/>
        <v>0.11413039481203568</v>
      </c>
      <c r="M51" t="s">
        <v>564</v>
      </c>
      <c r="N51" s="4" cm="1">
        <f t="array" ref="N51">_xll.SNL.Clients.Office.Excel.Functions.SPG(M51, "SP_TOTAL_REV", "CY2022")</f>
        <v>4672885</v>
      </c>
      <c r="O51" s="4">
        <f>_xll.SNL.Clients.Office.Excel.Functions.SPG(M51,"IQ_AVG_DILUT_SHARES_OUT","CY2022")</f>
        <v>140158000</v>
      </c>
      <c r="P51" s="5">
        <f>_xll.SNL.Clients.Office.Excel.Functions.SPG(M51, "IQ_DILUT_EPS_NORM", "CY2022")</f>
        <v>4.016</v>
      </c>
      <c r="Q51">
        <f t="shared" si="4"/>
        <v>562874.52800000005</v>
      </c>
      <c r="R51">
        <f t="shared" si="5"/>
        <v>0.12045546338075944</v>
      </c>
    </row>
    <row r="52" spans="1:18" x14ac:dyDescent="0.3">
      <c r="A52" t="s">
        <v>564</v>
      </c>
      <c r="B52" s="4" cm="1">
        <f t="array" ref="B52">_xll.SNL.Clients.Office.Excel.Functions.SPG(A52, "SP_TOTAL_REV", "CY2023")</f>
        <v>3949815</v>
      </c>
      <c r="C52" s="4">
        <f>_xll.SNL.Clients.Office.Excel.Functions.SPG(A52,"IQ_AVG_DILUT_SHARES_OUT","CY2023")</f>
        <v>147130750</v>
      </c>
      <c r="D52" s="5">
        <f>_xll.SNL.Clients.Office.Excel.Functions.SPG(A52, "IQ_DILUT_EPS_NORM", "CY2023")</f>
        <v>4.49</v>
      </c>
      <c r="E52">
        <f t="shared" si="0"/>
        <v>660617.0675</v>
      </c>
      <c r="F52">
        <f t="shared" si="1"/>
        <v>0.16725266056764684</v>
      </c>
      <c r="G52" t="s">
        <v>564</v>
      </c>
      <c r="H52" s="4" cm="1">
        <f t="array" ref="H52">_xll.SNL.Clients.Office.Excel.Functions.SPG(G52, "SP_TOTAL_REV", "CY2022")</f>
        <v>4672885</v>
      </c>
      <c r="I52" s="4">
        <f>_xll.SNL.Clients.Office.Excel.Functions.SPG(G52,"IQ_AVG_DILUT_SHARES_OUT","CY2022")</f>
        <v>140158000</v>
      </c>
      <c r="J52" s="5">
        <f>_xll.SNL.Clients.Office.Excel.Functions.SPG(G52, "IQ_DILUT_EPS_NORM", "CY2022")</f>
        <v>4.016</v>
      </c>
      <c r="K52">
        <f t="shared" si="2"/>
        <v>562874.52800000005</v>
      </c>
      <c r="L52">
        <f t="shared" si="3"/>
        <v>0.12045546338075944</v>
      </c>
      <c r="M52" t="s">
        <v>565</v>
      </c>
      <c r="N52" s="4" cm="1">
        <f t="array" ref="N52">_xll.SNL.Clients.Office.Excel.Functions.SPG(M52, "SP_TOTAL_REV", "CY2022")</f>
        <v>5005000</v>
      </c>
      <c r="O52" s="4">
        <f>_xll.SNL.Clients.Office.Excel.Functions.SPG(M52,"IQ_AVG_DILUT_SHARES_OUT","CY2022")</f>
        <v>218000000</v>
      </c>
      <c r="P52" s="5">
        <f>_xll.SNL.Clients.Office.Excel.Functions.SPG(M52, "IQ_DILUT_EPS_NORM", "CY2022")</f>
        <v>2.8330000000000002</v>
      </c>
      <c r="Q52">
        <f t="shared" si="4"/>
        <v>617594</v>
      </c>
      <c r="R52">
        <f t="shared" si="5"/>
        <v>0.1233954045954046</v>
      </c>
    </row>
    <row r="53" spans="1:18" x14ac:dyDescent="0.3">
      <c r="A53" t="s">
        <v>565</v>
      </c>
      <c r="B53" s="4" cm="1">
        <f t="array" ref="B53">_xll.SNL.Clients.Office.Excel.Functions.SPG(A53, "SP_TOTAL_REV", "CY2023")</f>
        <v>5497000</v>
      </c>
      <c r="C53" s="4">
        <f>_xll.SNL.Clients.Office.Excel.Functions.SPG(A53,"IQ_AVG_DILUT_SHARES_OUT","CY2023")</f>
        <v>216000000</v>
      </c>
      <c r="D53" s="5">
        <f>_xll.SNL.Clients.Office.Excel.Functions.SPG(A53, "IQ_DILUT_EPS_NORM", "CY2023")</f>
        <v>3.516</v>
      </c>
      <c r="E53">
        <f t="shared" si="0"/>
        <v>759456</v>
      </c>
      <c r="F53">
        <f t="shared" si="1"/>
        <v>0.13815826814626159</v>
      </c>
      <c r="G53" t="s">
        <v>565</v>
      </c>
      <c r="H53" s="4" cm="1">
        <f t="array" ref="H53">_xll.SNL.Clients.Office.Excel.Functions.SPG(G53, "SP_TOTAL_REV", "CY2022")</f>
        <v>5005000</v>
      </c>
      <c r="I53" s="4">
        <f>_xll.SNL.Clients.Office.Excel.Functions.SPG(G53,"IQ_AVG_DILUT_SHARES_OUT","CY2022")</f>
        <v>218000000</v>
      </c>
      <c r="J53" s="5">
        <f>_xll.SNL.Clients.Office.Excel.Functions.SPG(G53, "IQ_DILUT_EPS_NORM", "CY2022")</f>
        <v>2.8330000000000002</v>
      </c>
      <c r="K53">
        <f t="shared" si="2"/>
        <v>617594</v>
      </c>
      <c r="L53">
        <f t="shared" si="3"/>
        <v>0.1233954045954046</v>
      </c>
      <c r="M53" t="s">
        <v>566</v>
      </c>
      <c r="N53" s="4" cm="1">
        <f t="array" ref="N53">_xll.SNL.Clients.Office.Excel.Functions.SPG(M53, "SP_TOTAL_REV", "CY2022")</f>
        <v>17247200</v>
      </c>
      <c r="O53" s="4">
        <f>_xll.SNL.Clients.Office.Excel.Functions.SPG(M53,"IQ_AVG_DILUT_SHARES_OUT","CY2022")</f>
        <v>417950000</v>
      </c>
      <c r="P53" s="5">
        <f>_xll.SNL.Clients.Office.Excel.Functions.SPG(M53, "IQ_DILUT_EPS_NORM", "CY2022")</f>
        <v>6.0869999999999997</v>
      </c>
      <c r="Q53">
        <f t="shared" si="4"/>
        <v>2544061.65</v>
      </c>
      <c r="R53">
        <f t="shared" si="5"/>
        <v>0.1475057777494318</v>
      </c>
    </row>
    <row r="54" spans="1:18" x14ac:dyDescent="0.3">
      <c r="A54" t="s">
        <v>566</v>
      </c>
      <c r="B54" s="4" cm="1">
        <f t="array" ref="B54">_xll.SNL.Clients.Office.Excel.Functions.SPG(A54, "SP_TOTAL_REV", "CY2023")</f>
        <v>18585900</v>
      </c>
      <c r="C54" s="4">
        <f>_xll.SNL.Clients.Office.Excel.Functions.SPG(A54,"IQ_AVG_DILUT_SHARES_OUT","CY2023")</f>
        <v>414400000</v>
      </c>
      <c r="D54" s="5">
        <f>_xll.SNL.Clients.Office.Excel.Functions.SPG(A54, "IQ_DILUT_EPS_NORM", "CY2023")</f>
        <v>6.9359999999999999</v>
      </c>
      <c r="E54">
        <f t="shared" si="0"/>
        <v>2874278.4</v>
      </c>
      <c r="F54">
        <f t="shared" si="1"/>
        <v>0.154648330185786</v>
      </c>
      <c r="G54" t="s">
        <v>566</v>
      </c>
      <c r="H54" s="4" cm="1">
        <f t="array" ref="H54">_xll.SNL.Clients.Office.Excel.Functions.SPG(G54, "SP_TOTAL_REV", "CY2022")</f>
        <v>17247200</v>
      </c>
      <c r="I54" s="4">
        <f>_xll.SNL.Clients.Office.Excel.Functions.SPG(G54,"IQ_AVG_DILUT_SHARES_OUT","CY2022")</f>
        <v>417950000</v>
      </c>
      <c r="J54" s="5">
        <f>_xll.SNL.Clients.Office.Excel.Functions.SPG(G54, "IQ_DILUT_EPS_NORM", "CY2022")</f>
        <v>6.0869999999999997</v>
      </c>
      <c r="K54">
        <f t="shared" si="2"/>
        <v>2544061.65</v>
      </c>
      <c r="L54">
        <f t="shared" si="3"/>
        <v>0.1475057777494318</v>
      </c>
      <c r="M54" t="s">
        <v>567</v>
      </c>
      <c r="N54" s="4" cm="1">
        <f t="array" ref="N54">_xll.SNL.Clients.Office.Excel.Functions.SPG(M54, "SP_TOTAL_REV", "CY2022")</f>
        <v>16889626</v>
      </c>
      <c r="O54" s="4">
        <f>_xll.SNL.Clients.Office.Excel.Functions.SPG(M54,"IQ_AVG_DILUT_SHARES_OUT","CY2022")</f>
        <v>19787000</v>
      </c>
      <c r="P54" s="5">
        <f>_xll.SNL.Clients.Office.Excel.Functions.SPG(M54, "IQ_DILUT_EPS_NORM", "CY2022")</f>
        <v>96.441999999999993</v>
      </c>
      <c r="Q54">
        <f t="shared" si="4"/>
        <v>1908297.8539999998</v>
      </c>
      <c r="R54">
        <f t="shared" si="5"/>
        <v>0.11298638904141511</v>
      </c>
    </row>
    <row r="55" spans="1:18" x14ac:dyDescent="0.3">
      <c r="A55" t="s">
        <v>567</v>
      </c>
      <c r="B55" s="4" cm="1">
        <f t="array" ref="B55">_xll.SNL.Clients.Office.Excel.Functions.SPG(A55, "SP_TOTAL_REV", "CY2023")</f>
        <v>17830563</v>
      </c>
      <c r="C55" s="4">
        <f>_xll.SNL.Clients.Office.Excel.Functions.SPG(A55,"IQ_AVG_DILUT_SHARES_OUT","CY2023")</f>
        <v>18750250</v>
      </c>
      <c r="D55" s="5">
        <f>_xll.SNL.Clients.Office.Excel.Functions.SPG(A55, "IQ_DILUT_EPS_NORM", "CY2023")</f>
        <v>108.649</v>
      </c>
      <c r="E55">
        <f t="shared" si="0"/>
        <v>2037195.9122500001</v>
      </c>
      <c r="F55">
        <f t="shared" si="1"/>
        <v>0.11425303352732048</v>
      </c>
      <c r="G55" t="s">
        <v>567</v>
      </c>
      <c r="H55" s="4" cm="1">
        <f t="array" ref="H55">_xll.SNL.Clients.Office.Excel.Functions.SPG(G55, "SP_TOTAL_REV", "CY2022")</f>
        <v>16889626</v>
      </c>
      <c r="I55" s="4">
        <f>_xll.SNL.Clients.Office.Excel.Functions.SPG(G55,"IQ_AVG_DILUT_SHARES_OUT","CY2022")</f>
        <v>19787000</v>
      </c>
      <c r="J55" s="5">
        <f>_xll.SNL.Clients.Office.Excel.Functions.SPG(G55, "IQ_DILUT_EPS_NORM", "CY2022")</f>
        <v>96.441999999999993</v>
      </c>
      <c r="K55">
        <f t="shared" si="2"/>
        <v>1908297.8539999998</v>
      </c>
      <c r="L55">
        <f t="shared" si="3"/>
        <v>0.11298638904141511</v>
      </c>
      <c r="M55" t="s">
        <v>568</v>
      </c>
      <c r="N55" s="4" cm="1">
        <f t="array" ref="N55">_xll.SNL.Clients.Office.Excel.Functions.SPG(M55, "SP_TOTAL_REV", "CY2022")</f>
        <v>2610790</v>
      </c>
      <c r="O55" s="4">
        <f>_xll.SNL.Clients.Office.Excel.Functions.SPG(M55,"IQ_AVG_DILUT_SHARES_OUT","CY2022")</f>
        <v>139975087</v>
      </c>
      <c r="P55" s="5">
        <f>_xll.SNL.Clients.Office.Excel.Functions.SPG(M55, "IQ_DILUT_EPS_NORM", "CY2022")</f>
        <v>2.5459999999999998</v>
      </c>
      <c r="Q55">
        <f t="shared" si="4"/>
        <v>356376.57150199998</v>
      </c>
      <c r="R55">
        <f t="shared" si="5"/>
        <v>0.13650143117677024</v>
      </c>
    </row>
    <row r="56" spans="1:18" x14ac:dyDescent="0.3">
      <c r="A56" t="s">
        <v>568</v>
      </c>
      <c r="B56" s="4" cm="1">
        <f t="array" ref="B56">_xll.SNL.Clients.Office.Excel.Functions.SPG(A56, "SP_TOTAL_REV", "CY2023")</f>
        <v>2815021</v>
      </c>
      <c r="C56" s="4">
        <f>_xll.SNL.Clients.Office.Excel.Functions.SPG(A56,"IQ_AVG_DILUT_SHARES_OUT","CY2023")</f>
        <v>141643788</v>
      </c>
      <c r="D56" s="5">
        <f>_xll.SNL.Clients.Office.Excel.Functions.SPG(A56, "IQ_DILUT_EPS_NORM", "CY2023")</f>
        <v>3.0649999999999999</v>
      </c>
      <c r="E56">
        <f t="shared" si="0"/>
        <v>434138.21021999995</v>
      </c>
      <c r="F56">
        <f t="shared" si="1"/>
        <v>0.15422201476294492</v>
      </c>
      <c r="G56" t="s">
        <v>568</v>
      </c>
      <c r="H56" s="4" cm="1">
        <f t="array" ref="H56">_xll.SNL.Clients.Office.Excel.Functions.SPG(G56, "SP_TOTAL_REV", "CY2022")</f>
        <v>2610790</v>
      </c>
      <c r="I56" s="4">
        <f>_xll.SNL.Clients.Office.Excel.Functions.SPG(G56,"IQ_AVG_DILUT_SHARES_OUT","CY2022")</f>
        <v>139975087</v>
      </c>
      <c r="J56" s="5">
        <f>_xll.SNL.Clients.Office.Excel.Functions.SPG(G56, "IQ_DILUT_EPS_NORM", "CY2022")</f>
        <v>2.5459999999999998</v>
      </c>
      <c r="K56">
        <f t="shared" si="2"/>
        <v>356376.57150199998</v>
      </c>
      <c r="L56">
        <f t="shared" si="3"/>
        <v>0.13650143117677024</v>
      </c>
      <c r="M56" t="s">
        <v>569</v>
      </c>
      <c r="N56" s="4" cm="1">
        <f t="array" ref="N56">_xll.SNL.Clients.Office.Excel.Functions.SPG(M56, "SP_TOTAL_REV", "CY2022")</f>
        <v>9039300</v>
      </c>
      <c r="O56" s="4">
        <f>_xll.SNL.Clients.Office.Excel.Functions.SPG(M56,"IQ_AVG_DILUT_SHARES_OUT","CY2022")</f>
        <v>82200000</v>
      </c>
      <c r="P56" s="5">
        <f>_xll.SNL.Clients.Office.Excel.Functions.SPG(M56, "IQ_DILUT_EPS_NORM", "CY2022")</f>
        <v>7.5910000000000002</v>
      </c>
      <c r="Q56">
        <f t="shared" si="4"/>
        <v>623980.19999999995</v>
      </c>
      <c r="R56">
        <f t="shared" si="5"/>
        <v>6.9029703627493277E-2</v>
      </c>
    </row>
    <row r="57" spans="1:18" x14ac:dyDescent="0.3">
      <c r="A57" t="s">
        <v>569</v>
      </c>
      <c r="B57" s="4" cm="1">
        <f t="array" ref="B57">_xll.SNL.Clients.Office.Excel.Functions.SPG(A57, "SP_TOTAL_REV", "CY2023")</f>
        <v>8364300</v>
      </c>
      <c r="C57" s="4">
        <f>_xll.SNL.Clients.Office.Excel.Functions.SPG(A57,"IQ_AVG_DILUT_SHARES_OUT","CY2023")</f>
        <v>81100000</v>
      </c>
      <c r="D57" s="5">
        <f>_xll.SNL.Clients.Office.Excel.Functions.SPG(A57, "IQ_DILUT_EPS_NORM", "CY2023")</f>
        <v>6.476</v>
      </c>
      <c r="E57">
        <f t="shared" si="0"/>
        <v>525203.6</v>
      </c>
      <c r="F57">
        <f t="shared" si="1"/>
        <v>6.2791100271391509E-2</v>
      </c>
      <c r="G57" t="s">
        <v>569</v>
      </c>
      <c r="H57" s="4" cm="1">
        <f t="array" ref="H57">_xll.SNL.Clients.Office.Excel.Functions.SPG(G57, "SP_TOTAL_REV", "CY2022")</f>
        <v>9039300</v>
      </c>
      <c r="I57" s="4">
        <f>_xll.SNL.Clients.Office.Excel.Functions.SPG(G57,"IQ_AVG_DILUT_SHARES_OUT","CY2022")</f>
        <v>82200000</v>
      </c>
      <c r="J57" s="5">
        <f>_xll.SNL.Clients.Office.Excel.Functions.SPG(G57, "IQ_DILUT_EPS_NORM", "CY2022")</f>
        <v>7.5910000000000002</v>
      </c>
      <c r="K57">
        <f t="shared" si="2"/>
        <v>623980.19999999995</v>
      </c>
      <c r="L57">
        <f t="shared" si="3"/>
        <v>6.9029703627493277E-2</v>
      </c>
      <c r="M57" t="s">
        <v>571</v>
      </c>
      <c r="N57" s="4" cm="1">
        <f t="array" ref="N57">_xll.SNL.Clients.Office.Excel.Functions.SPG(M57, "SP_TOTAL_REV", "CY2022")</f>
        <v>21156000</v>
      </c>
      <c r="O57" s="4">
        <f>_xll.SNL.Clients.Office.Excel.Functions.SPG(M57,"IQ_AVG_DILUT_SHARES_OUT","CY2022")</f>
        <v>987000000</v>
      </c>
      <c r="P57" s="5">
        <f>_xll.SNL.Clients.Office.Excel.Functions.SPG(M57, "IQ_DILUT_EPS_NORM", "CY2022")</f>
        <v>0.999</v>
      </c>
      <c r="Q57">
        <f t="shared" si="4"/>
        <v>986013</v>
      </c>
      <c r="R57">
        <f t="shared" si="5"/>
        <v>4.6606778218944982E-2</v>
      </c>
    </row>
    <row r="58" spans="1:18" x14ac:dyDescent="0.3">
      <c r="A58" t="s">
        <v>570</v>
      </c>
      <c r="B58" s="4" cm="1">
        <f t="array" ref="B58">_xll.SNL.Clients.Office.Excel.Functions.SPG(A58, "SP_TOTAL_REV", "CY2023")</f>
        <v>1563391</v>
      </c>
      <c r="C58" s="4">
        <f>_xll.SNL.Clients.Office.Excel.Functions.SPG(A58,"IQ_AVG_DILUT_SHARES_OUT","CY2023")</f>
        <v>75456000</v>
      </c>
      <c r="D58" s="5">
        <f>_xll.SNL.Clients.Office.Excel.Functions.SPG(A58, "IQ_DILUT_EPS_NORM", "CY2023")</f>
        <v>1.649</v>
      </c>
      <c r="E58">
        <f t="shared" si="0"/>
        <v>124426.944</v>
      </c>
      <c r="F58">
        <f t="shared" si="1"/>
        <v>7.9587859978725736E-2</v>
      </c>
      <c r="G58" t="s">
        <v>570</v>
      </c>
      <c r="H58" s="4" cm="1">
        <f t="array" ref="H58">_xll.SNL.Clients.Office.Excel.Functions.SPG(G58, "SP_TOTAL_REV", "CY2022")</f>
        <v>1189935</v>
      </c>
      <c r="I58" s="4">
        <f>_xll.SNL.Clients.Office.Excel.Functions.SPG(G58,"IQ_AVG_DILUT_SHARES_OUT","CY2022")</f>
        <v>72534000</v>
      </c>
      <c r="J58" s="5">
        <f>_xll.SNL.Clients.Office.Excel.Functions.SPG(G58, "IQ_DILUT_EPS_NORM", "CY2022")</f>
        <v>0.84</v>
      </c>
      <c r="K58">
        <f t="shared" si="2"/>
        <v>60928.56</v>
      </c>
      <c r="L58">
        <f t="shared" si="3"/>
        <v>5.1203267405362476E-2</v>
      </c>
      <c r="M58" t="s">
        <v>572</v>
      </c>
      <c r="N58" s="4" cm="1">
        <f t="array" ref="N58">_xll.SNL.Clients.Office.Excel.Functions.SPG(M58, "SP_TOTAL_REV", "CY2022")</f>
        <v>15349000</v>
      </c>
      <c r="O58" s="4">
        <f>_xll.SNL.Clients.Office.Excel.Functions.SPG(M58,"IQ_AVG_DILUT_SHARES_OUT","CY2022")</f>
        <v>320008000</v>
      </c>
      <c r="P58" s="5">
        <f>_xll.SNL.Clients.Office.Excel.Functions.SPG(M58, "IQ_DILUT_EPS_NORM", "CY2022")</f>
        <v>1.7030000000000001</v>
      </c>
      <c r="Q58">
        <f t="shared" si="4"/>
        <v>544973.62399999995</v>
      </c>
      <c r="R58">
        <f t="shared" si="5"/>
        <v>3.5505480747931459E-2</v>
      </c>
    </row>
    <row r="59" spans="1:18" x14ac:dyDescent="0.3">
      <c r="A59" t="s">
        <v>571</v>
      </c>
      <c r="B59" s="4" cm="1">
        <f t="array" ref="B59">_xll.SNL.Clients.Office.Excel.Functions.SPG(A59, "SP_TOTAL_REV", "CY2023")</f>
        <v>25506000</v>
      </c>
      <c r="C59" s="4">
        <f>_xll.SNL.Clients.Office.Excel.Functions.SPG(A59,"IQ_AVG_DILUT_SHARES_OUT","CY2023")</f>
        <v>1015000000</v>
      </c>
      <c r="D59" s="5">
        <f>_xll.SNL.Clients.Office.Excel.Functions.SPG(A59, "IQ_DILUT_EPS_NORM", "CY2023")</f>
        <v>1.48</v>
      </c>
      <c r="E59">
        <f t="shared" si="0"/>
        <v>1502200</v>
      </c>
      <c r="F59">
        <f t="shared" si="1"/>
        <v>5.8895946051909356E-2</v>
      </c>
      <c r="G59" t="s">
        <v>571</v>
      </c>
      <c r="H59" s="4" cm="1">
        <f t="array" ref="H59">_xll.SNL.Clients.Office.Excel.Functions.SPG(G59, "SP_TOTAL_REV", "CY2022")</f>
        <v>21156000</v>
      </c>
      <c r="I59" s="4">
        <f>_xll.SNL.Clients.Office.Excel.Functions.SPG(G59,"IQ_AVG_DILUT_SHARES_OUT","CY2022")</f>
        <v>987000000</v>
      </c>
      <c r="J59" s="5">
        <f>_xll.SNL.Clients.Office.Excel.Functions.SPG(G59, "IQ_DILUT_EPS_NORM", "CY2022")</f>
        <v>0.999</v>
      </c>
      <c r="K59">
        <f t="shared" si="2"/>
        <v>986013</v>
      </c>
      <c r="L59">
        <f t="shared" si="3"/>
        <v>4.6606778218944982E-2</v>
      </c>
      <c r="M59" t="s">
        <v>573</v>
      </c>
      <c r="N59" s="4" cm="1">
        <f t="array" ref="N59">_xll.SNL.Clients.Office.Excel.Functions.SPG(M59, "SP_TOTAL_REV", "CY2022")</f>
        <v>94950000</v>
      </c>
      <c r="O59" s="4">
        <f>_xll.SNL.Clients.Office.Excel.Functions.SPG(M59,"IQ_AVG_DILUT_SHARES_OUT","CY2022")</f>
        <v>8167500000</v>
      </c>
      <c r="P59" s="5">
        <f>_xll.SNL.Clients.Office.Excel.Functions.SPG(M59, "IQ_DILUT_EPS_NORM", "CY2022")</f>
        <v>2.37</v>
      </c>
      <c r="Q59">
        <f t="shared" si="4"/>
        <v>19356975</v>
      </c>
      <c r="R59">
        <f t="shared" si="5"/>
        <v>0.20386492890995261</v>
      </c>
    </row>
    <row r="60" spans="1:18" x14ac:dyDescent="0.3">
      <c r="A60" t="s">
        <v>572</v>
      </c>
      <c r="B60" s="4" cm="1">
        <f t="array" ref="B60">_xll.SNL.Clients.Office.Excel.Functions.SPG(A60, "SP_TOTAL_REV", "CY2023")</f>
        <v>14029000</v>
      </c>
      <c r="C60" s="4">
        <f>_xll.SNL.Clients.Office.Excel.Functions.SPG(A60,"IQ_AVG_DILUT_SHARES_OUT","CY2023")</f>
        <v>317022000</v>
      </c>
      <c r="D60" s="5">
        <f>_xll.SNL.Clients.Office.Excel.Functions.SPG(A60, "IQ_DILUT_EPS_NORM", "CY2023")</f>
        <v>1.9059999999999999</v>
      </c>
      <c r="E60">
        <f t="shared" si="0"/>
        <v>604243.93200000003</v>
      </c>
      <c r="F60">
        <f t="shared" si="1"/>
        <v>4.3071062228241502E-2</v>
      </c>
      <c r="G60" t="s">
        <v>572</v>
      </c>
      <c r="H60" s="4" cm="1">
        <f t="array" ref="H60">_xll.SNL.Clients.Office.Excel.Functions.SPG(G60, "SP_TOTAL_REV", "CY2022")</f>
        <v>15349000</v>
      </c>
      <c r="I60" s="4">
        <f>_xll.SNL.Clients.Office.Excel.Functions.SPG(G60,"IQ_AVG_DILUT_SHARES_OUT","CY2022")</f>
        <v>320008000</v>
      </c>
      <c r="J60" s="5">
        <f>_xll.SNL.Clients.Office.Excel.Functions.SPG(G60, "IQ_DILUT_EPS_NORM", "CY2022")</f>
        <v>1.7030000000000001</v>
      </c>
      <c r="K60">
        <f t="shared" si="2"/>
        <v>544973.62399999995</v>
      </c>
      <c r="L60">
        <f t="shared" si="3"/>
        <v>3.5505480747931459E-2</v>
      </c>
      <c r="M60" t="s">
        <v>574</v>
      </c>
      <c r="N60" s="4" cm="1">
        <f t="array" ref="N60">_xll.SNL.Clients.Office.Excel.Functions.SPG(M60, "SP_TOTAL_REV", "CY2022")</f>
        <v>16338000</v>
      </c>
      <c r="O60" s="4">
        <f>_xll.SNL.Clients.Office.Excel.Functions.SPG(M60,"IQ_AVG_DILUT_SHARES_OUT","CY2022")</f>
        <v>814795000</v>
      </c>
      <c r="P60" s="5">
        <f>_xll.SNL.Clients.Office.Excel.Functions.SPG(M60, "IQ_DILUT_EPS_NORM", "CY2022")</f>
        <v>3.3580000000000001</v>
      </c>
      <c r="Q60">
        <f t="shared" si="4"/>
        <v>2736081.61</v>
      </c>
      <c r="R60">
        <f t="shared" si="5"/>
        <v>0.16746735279715999</v>
      </c>
    </row>
    <row r="61" spans="1:18" x14ac:dyDescent="0.3">
      <c r="A61" t="s">
        <v>573</v>
      </c>
      <c r="B61" s="4" cm="1">
        <f t="array" ref="B61">_xll.SNL.Clients.Office.Excel.Functions.SPG(A61, "SP_TOTAL_REV", "CY2023")</f>
        <v>100181000</v>
      </c>
      <c r="C61" s="4">
        <f>_xll.SNL.Clients.Office.Excel.Functions.SPG(A61,"IQ_AVG_DILUT_SHARES_OUT","CY2023")</f>
        <v>8080500000</v>
      </c>
      <c r="D61" s="5">
        <f>_xll.SNL.Clients.Office.Excel.Functions.SPG(A61, "IQ_DILUT_EPS_NORM", "CY2023")</f>
        <v>2.4780000000000002</v>
      </c>
      <c r="E61">
        <f t="shared" si="0"/>
        <v>20023479</v>
      </c>
      <c r="F61">
        <f t="shared" si="1"/>
        <v>0.19987301983410027</v>
      </c>
      <c r="G61" t="s">
        <v>573</v>
      </c>
      <c r="H61" s="4" cm="1">
        <f t="array" ref="H61">_xll.SNL.Clients.Office.Excel.Functions.SPG(G61, "SP_TOTAL_REV", "CY2022")</f>
        <v>94950000</v>
      </c>
      <c r="I61" s="4">
        <f>_xll.SNL.Clients.Office.Excel.Functions.SPG(G61,"IQ_AVG_DILUT_SHARES_OUT","CY2022")</f>
        <v>8167500000</v>
      </c>
      <c r="J61" s="5">
        <f>_xll.SNL.Clients.Office.Excel.Functions.SPG(G61, "IQ_DILUT_EPS_NORM", "CY2022")</f>
        <v>2.37</v>
      </c>
      <c r="K61">
        <f t="shared" si="2"/>
        <v>19356975</v>
      </c>
      <c r="L61">
        <f t="shared" si="3"/>
        <v>0.20386492890995261</v>
      </c>
      <c r="M61" t="s">
        <v>575</v>
      </c>
      <c r="N61" s="4" cm="1">
        <f t="array" ref="N61">_xll.SNL.Clients.Office.Excel.Functions.SPG(M61, "SP_TOTAL_REV", "CY2022")</f>
        <v>7560000</v>
      </c>
      <c r="O61" s="4">
        <f>_xll.SNL.Clients.Office.Excel.Functions.SPG(M61,"IQ_AVG_DILUT_SHARES_OUT","CY2022")</f>
        <v>233000000</v>
      </c>
      <c r="P61" s="5">
        <f>_xll.SNL.Clients.Office.Excel.Functions.SPG(M61, "IQ_DILUT_EPS_NORM", "CY2022")</f>
        <v>2.8029999999999999</v>
      </c>
      <c r="Q61">
        <f t="shared" si="4"/>
        <v>653099</v>
      </c>
      <c r="R61">
        <f t="shared" si="5"/>
        <v>8.6388756613756612E-2</v>
      </c>
    </row>
    <row r="62" spans="1:18" x14ac:dyDescent="0.3">
      <c r="A62" t="s">
        <v>574</v>
      </c>
      <c r="B62" s="4" cm="1">
        <f t="array" ref="B62">_xll.SNL.Clients.Office.Excel.Functions.SPG(A62, "SP_TOTAL_REV", "CY2023")</f>
        <v>17383000</v>
      </c>
      <c r="C62" s="4">
        <f>_xll.SNL.Clients.Office.Excel.Functions.SPG(A62,"IQ_AVG_DILUT_SHARES_OUT","CY2023")</f>
        <v>787798000</v>
      </c>
      <c r="D62" s="5">
        <f>_xll.SNL.Clients.Office.Excel.Functions.SPG(A62, "IQ_DILUT_EPS_NORM", "CY2023")</f>
        <v>4.0279999999999996</v>
      </c>
      <c r="E62">
        <f t="shared" si="0"/>
        <v>3173250.3439999996</v>
      </c>
      <c r="F62">
        <f t="shared" si="1"/>
        <v>0.18254906195708448</v>
      </c>
      <c r="G62" t="s">
        <v>574</v>
      </c>
      <c r="H62" s="4" cm="1">
        <f t="array" ref="H62">_xll.SNL.Clients.Office.Excel.Functions.SPG(G62, "SP_TOTAL_REV", "CY2022")</f>
        <v>16338000</v>
      </c>
      <c r="I62" s="4">
        <f>_xll.SNL.Clients.Office.Excel.Functions.SPG(G62,"IQ_AVG_DILUT_SHARES_OUT","CY2022")</f>
        <v>814795000</v>
      </c>
      <c r="J62" s="5">
        <f>_xll.SNL.Clients.Office.Excel.Functions.SPG(G62, "IQ_DILUT_EPS_NORM", "CY2022")</f>
        <v>3.3580000000000001</v>
      </c>
      <c r="K62">
        <f t="shared" si="2"/>
        <v>2736081.61</v>
      </c>
      <c r="L62">
        <f t="shared" si="3"/>
        <v>0.16746735279715999</v>
      </c>
      <c r="M62" t="s">
        <v>576</v>
      </c>
      <c r="N62" s="4" cm="1">
        <f t="array" ref="N62">_xll.SNL.Clients.Office.Excel.Functions.SPG(M62, "SP_TOTAL_REV", "CY2022")</f>
        <v>14506000</v>
      </c>
      <c r="O62" s="4">
        <f>_xll.SNL.Clients.Office.Excel.Functions.SPG(M62,"IQ_AVG_DILUT_SHARES_OUT","CY2022")</f>
        <v>504000000</v>
      </c>
      <c r="P62" s="5">
        <f>_xll.SNL.Clients.Office.Excel.Functions.SPG(M62, "IQ_DILUT_EPS_NORM", "CY2022")</f>
        <v>1.4179999999999999</v>
      </c>
      <c r="Q62">
        <f t="shared" si="4"/>
        <v>714672</v>
      </c>
      <c r="R62">
        <f t="shared" si="5"/>
        <v>4.9267337653384806E-2</v>
      </c>
    </row>
    <row r="63" spans="1:18" x14ac:dyDescent="0.3">
      <c r="A63" t="s">
        <v>575</v>
      </c>
      <c r="B63" s="4" cm="1">
        <f t="array" ref="B63">_xll.SNL.Clients.Office.Excel.Functions.SPG(A63, "SP_TOTAL_REV", "CY2023")</f>
        <v>7429000</v>
      </c>
      <c r="C63" s="4">
        <f>_xll.SNL.Clients.Office.Excel.Functions.SPG(A63,"IQ_AVG_DILUT_SHARES_OUT","CY2023")</f>
        <v>229000000</v>
      </c>
      <c r="D63" s="5">
        <f>_xll.SNL.Clients.Office.Excel.Functions.SPG(A63, "IQ_DILUT_EPS_NORM", "CY2023")</f>
        <v>2.7160000000000002</v>
      </c>
      <c r="E63">
        <f t="shared" si="0"/>
        <v>621964</v>
      </c>
      <c r="F63">
        <f t="shared" si="1"/>
        <v>8.3721093013864586E-2</v>
      </c>
      <c r="G63" t="s">
        <v>575</v>
      </c>
      <c r="H63" s="4" cm="1">
        <f t="array" ref="H63">_xll.SNL.Clients.Office.Excel.Functions.SPG(G63, "SP_TOTAL_REV", "CY2022")</f>
        <v>7560000</v>
      </c>
      <c r="I63" s="4">
        <f>_xll.SNL.Clients.Office.Excel.Functions.SPG(G63,"IQ_AVG_DILUT_SHARES_OUT","CY2022")</f>
        <v>233000000</v>
      </c>
      <c r="J63" s="5">
        <f>_xll.SNL.Clients.Office.Excel.Functions.SPG(G63, "IQ_DILUT_EPS_NORM", "CY2022")</f>
        <v>2.8029999999999999</v>
      </c>
      <c r="K63">
        <f t="shared" si="2"/>
        <v>653099</v>
      </c>
      <c r="L63">
        <f t="shared" si="3"/>
        <v>8.6388756613756612E-2</v>
      </c>
      <c r="M63" t="s">
        <v>577</v>
      </c>
      <c r="N63" s="4" cm="1">
        <f t="array" ref="N63">_xll.SNL.Clients.Office.Excel.Functions.SPG(M63, "SP_TOTAL_REV", "CY2022")</f>
        <v>18738000</v>
      </c>
      <c r="O63" s="4">
        <f>_xll.SNL.Clients.Office.Excel.Functions.SPG(M63,"IQ_AVG_DILUT_SHARES_OUT","CY2022")</f>
        <v>287018250</v>
      </c>
      <c r="P63" s="5">
        <f>_xll.SNL.Clients.Office.Excel.Functions.SPG(M63, "IQ_DILUT_EPS_NORM", "CY2022")</f>
        <v>4.5209999999999999</v>
      </c>
      <c r="Q63">
        <f t="shared" si="4"/>
        <v>1297609.50825</v>
      </c>
      <c r="R63">
        <f t="shared" si="5"/>
        <v>6.9250160542747352E-2</v>
      </c>
    </row>
    <row r="64" spans="1:18" x14ac:dyDescent="0.3">
      <c r="A64" t="s">
        <v>576</v>
      </c>
      <c r="B64" s="4" cm="1">
        <f t="array" ref="B64">_xll.SNL.Clients.Office.Excel.Functions.SPG(A64, "SP_TOTAL_REV", "CY2023")</f>
        <v>14813000</v>
      </c>
      <c r="C64" s="4">
        <f>_xll.SNL.Clients.Office.Excel.Functions.SPG(A64,"IQ_AVG_DILUT_SHARES_OUT","CY2023")</f>
        <v>506000000</v>
      </c>
      <c r="D64" s="5">
        <f>_xll.SNL.Clients.Office.Excel.Functions.SPG(A64, "IQ_DILUT_EPS_NORM", "CY2023")</f>
        <v>1.2509999999999999</v>
      </c>
      <c r="E64">
        <f t="shared" si="0"/>
        <v>633006</v>
      </c>
      <c r="F64">
        <f t="shared" si="1"/>
        <v>4.2733139809626682E-2</v>
      </c>
      <c r="G64" t="s">
        <v>576</v>
      </c>
      <c r="H64" s="4" cm="1">
        <f t="array" ref="H64">_xll.SNL.Clients.Office.Excel.Functions.SPG(G64, "SP_TOTAL_REV", "CY2022")</f>
        <v>14506000</v>
      </c>
      <c r="I64" s="4">
        <f>_xll.SNL.Clients.Office.Excel.Functions.SPG(G64,"IQ_AVG_DILUT_SHARES_OUT","CY2022")</f>
        <v>504000000</v>
      </c>
      <c r="J64" s="5">
        <f>_xll.SNL.Clients.Office.Excel.Functions.SPG(G64, "IQ_DILUT_EPS_NORM", "CY2022")</f>
        <v>1.4179999999999999</v>
      </c>
      <c r="K64">
        <f t="shared" si="2"/>
        <v>714672</v>
      </c>
      <c r="L64">
        <f t="shared" si="3"/>
        <v>4.9267337653384806E-2</v>
      </c>
      <c r="M64" t="s">
        <v>578</v>
      </c>
      <c r="N64" s="4" t="str" cm="1">
        <f t="array" ref="N64">_xll.SNL.Clients.Office.Excel.Functions.SPG(M64, "SP_TOTAL_REV", "CY2022")</f>
        <v>#INVALID COMPANY ID</v>
      </c>
      <c r="O64" s="4" t="str">
        <f>_xll.SNL.Clients.Office.Excel.Functions.SPG(M64,"IQ_AVG_DILUT_SHARES_OUT","CY2022")</f>
        <v>#INVALID COMPANY ID</v>
      </c>
      <c r="P64" s="5" t="str">
        <f>_xll.SNL.Clients.Office.Excel.Functions.SPG(M64, "IQ_DILUT_EPS_NORM", "CY2022")</f>
        <v>#INVALID COMPANY ID</v>
      </c>
      <c r="Q64" t="e">
        <f t="shared" si="4"/>
        <v>#VALUE!</v>
      </c>
      <c r="R64" t="e">
        <f t="shared" si="5"/>
        <v>#VALUE!</v>
      </c>
    </row>
    <row r="65" spans="1:18" x14ac:dyDescent="0.3">
      <c r="A65" t="s">
        <v>577</v>
      </c>
      <c r="B65" s="4" cm="1">
        <f t="array" ref="B65">_xll.SNL.Clients.Office.Excel.Functions.SPG(A65, "SP_TOTAL_REV", "CY2023")</f>
        <v>19492000</v>
      </c>
      <c r="C65" s="4">
        <f>_xll.SNL.Clients.Office.Excel.Functions.SPG(A65,"IQ_AVG_DILUT_SHARES_OUT","CY2023")</f>
        <v>289906500</v>
      </c>
      <c r="D65" s="5">
        <f>_xll.SNL.Clients.Office.Excel.Functions.SPG(A65, "IQ_DILUT_EPS_NORM", "CY2023")</f>
        <v>4.8460000000000001</v>
      </c>
      <c r="E65">
        <f t="shared" si="0"/>
        <v>1404886.899</v>
      </c>
      <c r="F65">
        <f t="shared" si="1"/>
        <v>7.2075051251795613E-2</v>
      </c>
      <c r="G65" t="s">
        <v>577</v>
      </c>
      <c r="H65" s="4" cm="1">
        <f t="array" ref="H65">_xll.SNL.Clients.Office.Excel.Functions.SPG(G65, "SP_TOTAL_REV", "CY2022")</f>
        <v>18738000</v>
      </c>
      <c r="I65" s="4">
        <f>_xll.SNL.Clients.Office.Excel.Functions.SPG(G65,"IQ_AVG_DILUT_SHARES_OUT","CY2022")</f>
        <v>287018250</v>
      </c>
      <c r="J65" s="5">
        <f>_xll.SNL.Clients.Office.Excel.Functions.SPG(G65, "IQ_DILUT_EPS_NORM", "CY2022")</f>
        <v>4.5209999999999999</v>
      </c>
      <c r="K65">
        <f t="shared" si="2"/>
        <v>1297609.50825</v>
      </c>
      <c r="L65">
        <f t="shared" si="3"/>
        <v>6.9250160542747352E-2</v>
      </c>
      <c r="M65" t="s">
        <v>579</v>
      </c>
      <c r="N65" s="4" cm="1">
        <f t="array" ref="N65">_xll.SNL.Clients.Office.Excel.Functions.SPG(M65, "SP_TOTAL_REV", "CY2022")</f>
        <v>46298000</v>
      </c>
      <c r="O65" s="4">
        <f>_xll.SNL.Clients.Office.Excel.Functions.SPG(M65,"IQ_AVG_DILUT_SHARES_OUT","CY2022")</f>
        <v>225700000</v>
      </c>
      <c r="P65" s="5">
        <f>_xll.SNL.Clients.Office.Excel.Functions.SPG(M65, "IQ_DILUT_EPS_NORM", "CY2022")</f>
        <v>5.3609999999999998</v>
      </c>
      <c r="Q65">
        <f t="shared" si="4"/>
        <v>1209977.7</v>
      </c>
      <c r="R65">
        <f t="shared" si="5"/>
        <v>2.6134556568318285E-2</v>
      </c>
    </row>
    <row r="66" spans="1:18" x14ac:dyDescent="0.3">
      <c r="A66" t="s">
        <v>578</v>
      </c>
      <c r="B66" s="4" t="str" cm="1">
        <f t="array" ref="B66">_xll.SNL.Clients.Office.Excel.Functions.SPG(A66, "SP_TOTAL_REV", "CY2023")</f>
        <v>#INVALID COMPANY ID</v>
      </c>
      <c r="C66" s="4" t="str">
        <f>_xll.SNL.Clients.Office.Excel.Functions.SPG(A66,"IQ_AVG_DILUT_SHARES_OUT","CY2023")</f>
        <v>#INVALID COMPANY ID</v>
      </c>
      <c r="D66" s="5" t="str">
        <f>_xll.SNL.Clients.Office.Excel.Functions.SPG(A66, "IQ_DILUT_EPS_NORM", "CY2023")</f>
        <v>#INVALID COMPANY ID</v>
      </c>
      <c r="E66" t="e">
        <f t="shared" si="0"/>
        <v>#VALUE!</v>
      </c>
      <c r="F66" t="e">
        <f t="shared" si="1"/>
        <v>#VALUE!</v>
      </c>
      <c r="G66" t="s">
        <v>578</v>
      </c>
      <c r="H66" s="4" t="str" cm="1">
        <f t="array" ref="H66">_xll.SNL.Clients.Office.Excel.Functions.SPG(G66, "SP_TOTAL_REV", "CY2022")</f>
        <v>#INVALID COMPANY ID</v>
      </c>
      <c r="I66" s="4" t="str">
        <f>_xll.SNL.Clients.Office.Excel.Functions.SPG(G66,"IQ_AVG_DILUT_SHARES_OUT","CY2022")</f>
        <v>#INVALID COMPANY ID</v>
      </c>
      <c r="J66" s="5" t="str">
        <f>_xll.SNL.Clients.Office.Excel.Functions.SPG(G66, "IQ_DILUT_EPS_NORM", "CY2022")</f>
        <v>#INVALID COMPANY ID</v>
      </c>
      <c r="K66" t="e">
        <f t="shared" si="2"/>
        <v>#VALUE!</v>
      </c>
      <c r="L66" t="e">
        <f t="shared" si="3"/>
        <v>#VALUE!</v>
      </c>
      <c r="M66" t="s">
        <v>580</v>
      </c>
      <c r="N66" s="4" cm="1">
        <f t="array" ref="N66">_xll.SNL.Clients.Office.Excel.Functions.SPG(M66, "SP_TOTAL_REV", "CY2022")</f>
        <v>2802249</v>
      </c>
      <c r="O66" s="4">
        <f>_xll.SNL.Clients.Office.Excel.Functions.SPG(M66,"IQ_AVG_DILUT_SHARES_OUT","CY2022")</f>
        <v>29785000</v>
      </c>
      <c r="P66" s="5">
        <f>_xll.SNL.Clients.Office.Excel.Functions.SPG(M66, "IQ_DILUT_EPS_NORM", "CY2022")</f>
        <v>10.526999999999999</v>
      </c>
      <c r="Q66">
        <f t="shared" si="4"/>
        <v>313546.69500000001</v>
      </c>
      <c r="R66">
        <f t="shared" si="5"/>
        <v>0.11189108997808546</v>
      </c>
    </row>
    <row r="67" spans="1:18" x14ac:dyDescent="0.3">
      <c r="A67" t="s">
        <v>579</v>
      </c>
      <c r="B67" s="4" cm="1">
        <f t="array" ref="B67">_xll.SNL.Clients.Office.Excel.Functions.SPG(A67, "SP_TOTAL_REV", "CY2023")</f>
        <v>43452000</v>
      </c>
      <c r="C67" s="4">
        <f>_xll.SNL.Clients.Office.Excel.Functions.SPG(A67,"IQ_AVG_DILUT_SHARES_OUT","CY2023")</f>
        <v>218500000</v>
      </c>
      <c r="D67" s="5">
        <f>_xll.SNL.Clients.Office.Excel.Functions.SPG(A67, "IQ_DILUT_EPS_NORM", "CY2023")</f>
        <v>5.0170000000000003</v>
      </c>
      <c r="E67">
        <f t="shared" si="0"/>
        <v>1096214.5</v>
      </c>
      <c r="F67">
        <f t="shared" si="1"/>
        <v>2.5228171315474546E-2</v>
      </c>
      <c r="G67" t="s">
        <v>579</v>
      </c>
      <c r="H67" s="4" cm="1">
        <f t="array" ref="H67">_xll.SNL.Clients.Office.Excel.Functions.SPG(G67, "SP_TOTAL_REV", "CY2022")</f>
        <v>46298000</v>
      </c>
      <c r="I67" s="4">
        <f>_xll.SNL.Clients.Office.Excel.Functions.SPG(G67,"IQ_AVG_DILUT_SHARES_OUT","CY2022")</f>
        <v>225700000</v>
      </c>
      <c r="J67" s="5">
        <f>_xll.SNL.Clients.Office.Excel.Functions.SPG(G67, "IQ_DILUT_EPS_NORM", "CY2022")</f>
        <v>5.3609999999999998</v>
      </c>
      <c r="K67">
        <f t="shared" si="2"/>
        <v>1209977.7</v>
      </c>
      <c r="L67">
        <f t="shared" si="3"/>
        <v>2.6134556568318285E-2</v>
      </c>
      <c r="M67" t="s">
        <v>581</v>
      </c>
      <c r="N67" s="4" cm="1">
        <f t="array" ref="N67">_xll.SNL.Clients.Office.Excel.Functions.SPG(M67, "SP_TOTAL_REV", "CY2022")</f>
        <v>1119840</v>
      </c>
      <c r="O67" s="4">
        <f>_xll.SNL.Clients.Office.Excel.Functions.SPG(M67,"IQ_AVG_DILUT_SHARES_OUT","CY2022")</f>
        <v>162679000</v>
      </c>
      <c r="P67" s="5">
        <f>_xll.SNL.Clients.Office.Excel.Functions.SPG(M67, "IQ_DILUT_EPS_NORM", "CY2022")</f>
        <v>1.0589999999999999</v>
      </c>
      <c r="Q67">
        <f t="shared" si="4"/>
        <v>172277.06099999999</v>
      </c>
      <c r="R67">
        <f t="shared" si="5"/>
        <v>0.15384078171881696</v>
      </c>
    </row>
    <row r="68" spans="1:18" x14ac:dyDescent="0.3">
      <c r="A68" t="s">
        <v>580</v>
      </c>
      <c r="B68" s="4" cm="1">
        <f t="array" ref="B68">_xll.SNL.Clients.Office.Excel.Functions.SPG(A68, "SP_TOTAL_REV", "CY2023")</f>
        <v>2671262</v>
      </c>
      <c r="C68" s="4">
        <f>_xll.SNL.Clients.Office.Excel.Functions.SPG(A68,"IQ_AVG_DILUT_SHARES_OUT","CY2023")</f>
        <v>29209000</v>
      </c>
      <c r="D68" s="5">
        <f>_xll.SNL.Clients.Office.Excel.Functions.SPG(A68, "IQ_DILUT_EPS_NORM", "CY2023")</f>
        <v>9.1869999999999994</v>
      </c>
      <c r="E68">
        <f t="shared" si="0"/>
        <v>268343.08299999998</v>
      </c>
      <c r="F68">
        <f t="shared" si="1"/>
        <v>0.10045554610517425</v>
      </c>
      <c r="G68" t="s">
        <v>580</v>
      </c>
      <c r="H68" s="4" cm="1">
        <f t="array" ref="H68">_xll.SNL.Clients.Office.Excel.Functions.SPG(G68, "SP_TOTAL_REV", "CY2022")</f>
        <v>2802249</v>
      </c>
      <c r="I68" s="4">
        <f>_xll.SNL.Clients.Office.Excel.Functions.SPG(G68,"IQ_AVG_DILUT_SHARES_OUT","CY2022")</f>
        <v>29785000</v>
      </c>
      <c r="J68" s="5">
        <f>_xll.SNL.Clients.Office.Excel.Functions.SPG(G68, "IQ_DILUT_EPS_NORM", "CY2022")</f>
        <v>10.526999999999999</v>
      </c>
      <c r="K68">
        <f t="shared" si="2"/>
        <v>313546.69500000001</v>
      </c>
      <c r="L68">
        <f t="shared" si="3"/>
        <v>0.11189108997808546</v>
      </c>
      <c r="M68" t="s">
        <v>582</v>
      </c>
      <c r="N68" s="4" cm="1">
        <f t="array" ref="N68">_xll.SNL.Clients.Office.Excel.Functions.SPG(M68, "SP_TOTAL_REV", "CY2022")</f>
        <v>10173400</v>
      </c>
      <c r="O68" s="4">
        <f>_xll.SNL.Clients.Office.Excel.Functions.SPG(M68,"IQ_AVG_DILUT_SHARES_OUT","CY2022")</f>
        <v>146000000</v>
      </c>
      <c r="P68" s="5">
        <f>_xll.SNL.Clients.Office.Excel.Functions.SPG(M68, "IQ_DILUT_EPS_NORM", "CY2022")</f>
        <v>12.661</v>
      </c>
      <c r="Q68">
        <f t="shared" si="4"/>
        <v>1848506</v>
      </c>
      <c r="R68">
        <f t="shared" si="5"/>
        <v>0.18169992332946705</v>
      </c>
    </row>
    <row r="69" spans="1:18" x14ac:dyDescent="0.3">
      <c r="A69" t="s">
        <v>581</v>
      </c>
      <c r="B69" s="4" cm="1">
        <f t="array" ref="B69">_xll.SNL.Clients.Office.Excel.Functions.SPG(A69, "SP_TOTAL_REV", "CY2023")</f>
        <v>1144999</v>
      </c>
      <c r="C69" s="4">
        <f>_xll.SNL.Clients.Office.Excel.Functions.SPG(A69,"IQ_AVG_DILUT_SHARES_OUT","CY2023")</f>
        <v>161472000</v>
      </c>
      <c r="D69" s="5">
        <f>_xll.SNL.Clients.Office.Excel.Functions.SPG(A69, "IQ_DILUT_EPS_NORM", "CY2023")</f>
        <v>0.90600000000000003</v>
      </c>
      <c r="E69">
        <f t="shared" ref="E69:E132" si="6">C69*D69/1000</f>
        <v>146293.63200000001</v>
      </c>
      <c r="F69">
        <f t="shared" ref="F69:F132" si="7">E69/B69</f>
        <v>0.12776747577945485</v>
      </c>
      <c r="G69" t="s">
        <v>581</v>
      </c>
      <c r="H69" s="4" cm="1">
        <f t="array" ref="H69">_xll.SNL.Clients.Office.Excel.Functions.SPG(G69, "SP_TOTAL_REV", "CY2022")</f>
        <v>1119840</v>
      </c>
      <c r="I69" s="4">
        <f>_xll.SNL.Clients.Office.Excel.Functions.SPG(G69,"IQ_AVG_DILUT_SHARES_OUT","CY2022")</f>
        <v>162679000</v>
      </c>
      <c r="J69" s="5">
        <f>_xll.SNL.Clients.Office.Excel.Functions.SPG(G69, "IQ_DILUT_EPS_NORM", "CY2022")</f>
        <v>1.0589999999999999</v>
      </c>
      <c r="K69">
        <f t="shared" ref="K69:K132" si="8">I69*J69/1000</f>
        <v>172277.06099999999</v>
      </c>
      <c r="L69">
        <f t="shared" ref="L69:L132" si="9">K69/H69</f>
        <v>0.15384078171881696</v>
      </c>
      <c r="M69" t="s">
        <v>583</v>
      </c>
      <c r="N69" s="4" cm="1">
        <f t="array" ref="N69">_xll.SNL.Clients.Office.Excel.Functions.SPG(M69, "SP_TOTAL_REV", "CY2022")</f>
        <v>17873000</v>
      </c>
      <c r="O69" s="4">
        <f>_xll.SNL.Clients.Office.Excel.Functions.SPG(M69,"IQ_AVG_DILUT_SHARES_OUT","CY2022")</f>
        <v>152440471</v>
      </c>
      <c r="P69" s="5">
        <f>_xll.SNL.Clients.Office.Excel.Functions.SPG(M69, "IQ_DILUT_EPS_NORM", "CY2022")</f>
        <v>27.524999999999999</v>
      </c>
      <c r="Q69">
        <f t="shared" ref="Q69:Q132" si="10">O69*P69/1000</f>
        <v>4195923.9642749997</v>
      </c>
      <c r="R69">
        <f t="shared" ref="R69:R132" si="11">Q69/N69</f>
        <v>0.23476327221367424</v>
      </c>
    </row>
    <row r="70" spans="1:18" x14ac:dyDescent="0.3">
      <c r="A70" t="s">
        <v>582</v>
      </c>
      <c r="B70" s="4" cm="1">
        <f t="array" ref="B70">_xll.SNL.Clients.Office.Excel.Functions.SPG(A70, "SP_TOTAL_REV", "CY2023")</f>
        <v>9835600</v>
      </c>
      <c r="C70" s="4">
        <f>_xll.SNL.Clients.Office.Excel.Functions.SPG(A70,"IQ_AVG_DILUT_SHARES_OUT","CY2023")</f>
        <v>145600000</v>
      </c>
      <c r="D70" s="5">
        <f>_xll.SNL.Clients.Office.Excel.Functions.SPG(A70, "IQ_DILUT_EPS_NORM", "CY2023")</f>
        <v>7.98</v>
      </c>
      <c r="E70">
        <f t="shared" si="6"/>
        <v>1161888</v>
      </c>
      <c r="F70">
        <f t="shared" si="7"/>
        <v>0.11813087152791898</v>
      </c>
      <c r="G70" t="s">
        <v>582</v>
      </c>
      <c r="H70" s="4" cm="1">
        <f t="array" ref="H70">_xll.SNL.Clients.Office.Excel.Functions.SPG(G70, "SP_TOTAL_REV", "CY2022")</f>
        <v>10173400</v>
      </c>
      <c r="I70" s="4">
        <f>_xll.SNL.Clients.Office.Excel.Functions.SPG(G70,"IQ_AVG_DILUT_SHARES_OUT","CY2022")</f>
        <v>146000000</v>
      </c>
      <c r="J70" s="5">
        <f>_xll.SNL.Clients.Office.Excel.Functions.SPG(G70, "IQ_DILUT_EPS_NORM", "CY2022")</f>
        <v>12.661</v>
      </c>
      <c r="K70">
        <f t="shared" si="8"/>
        <v>1848506</v>
      </c>
      <c r="L70">
        <f t="shared" si="9"/>
        <v>0.18169992332946705</v>
      </c>
      <c r="M70" t="s">
        <v>585</v>
      </c>
      <c r="N70" s="4" cm="1">
        <f t="array" ref="N70">_xll.SNL.Clients.Office.Excel.Functions.SPG(M70, "SP_TOTAL_REV", "CY2022")</f>
        <v>66608000</v>
      </c>
      <c r="O70" s="4">
        <f>_xll.SNL.Clients.Office.Excel.Functions.SPG(M70,"IQ_AVG_DILUT_SHARES_OUT","CY2022")</f>
        <v>594900000</v>
      </c>
      <c r="P70" s="5">
        <f>_xll.SNL.Clients.Office.Excel.Functions.SPG(M70, "IQ_DILUT_EPS_NORM", "CY2022")</f>
        <v>-3.226</v>
      </c>
      <c r="Q70">
        <f t="shared" si="10"/>
        <v>-1919147.4</v>
      </c>
      <c r="R70">
        <f t="shared" si="11"/>
        <v>-2.8812566058131154E-2</v>
      </c>
    </row>
    <row r="71" spans="1:18" x14ac:dyDescent="0.3">
      <c r="A71" t="s">
        <v>583</v>
      </c>
      <c r="B71" s="4" cm="1">
        <f t="array" ref="B71">_xll.SNL.Clients.Office.Excel.Functions.SPG(A71, "SP_TOTAL_REV", "CY2023")</f>
        <v>17859000</v>
      </c>
      <c r="C71" s="4">
        <f>_xll.SNL.Clients.Office.Excel.Functions.SPG(A71,"IQ_AVG_DILUT_SHARES_OUT","CY2023")</f>
        <v>150706451</v>
      </c>
      <c r="D71" s="5">
        <f>_xll.SNL.Clients.Office.Excel.Functions.SPG(A71, "IQ_DILUT_EPS_NORM", "CY2023")</f>
        <v>25.885000000000002</v>
      </c>
      <c r="E71">
        <f t="shared" si="6"/>
        <v>3901036.484135</v>
      </c>
      <c r="F71">
        <f t="shared" si="7"/>
        <v>0.21843532583767289</v>
      </c>
      <c r="G71" t="s">
        <v>583</v>
      </c>
      <c r="H71" s="4" cm="1">
        <f t="array" ref="H71">_xll.SNL.Clients.Office.Excel.Functions.SPG(G71, "SP_TOTAL_REV", "CY2022")</f>
        <v>17873000</v>
      </c>
      <c r="I71" s="4">
        <f>_xll.SNL.Clients.Office.Excel.Functions.SPG(G71,"IQ_AVG_DILUT_SHARES_OUT","CY2022")</f>
        <v>152440471</v>
      </c>
      <c r="J71" s="5">
        <f>_xll.SNL.Clients.Office.Excel.Functions.SPG(G71, "IQ_DILUT_EPS_NORM", "CY2022")</f>
        <v>27.524999999999999</v>
      </c>
      <c r="K71">
        <f t="shared" si="8"/>
        <v>4195923.9642749997</v>
      </c>
      <c r="L71">
        <f t="shared" si="9"/>
        <v>0.23476327221367424</v>
      </c>
      <c r="M71" t="s">
        <v>586</v>
      </c>
      <c r="N71" s="4" cm="1">
        <f t="array" ref="N71">_xll.SNL.Clients.Office.Excel.Functions.SPG(M71, "SP_TOTAL_REV", "CY2022")</f>
        <v>17090000</v>
      </c>
      <c r="O71" s="4">
        <f>_xll.SNL.Clients.Office.Excel.Functions.SPG(M71,"IQ_AVG_DILUT_SHARES_OUT","CY2022")</f>
        <v>40052000</v>
      </c>
      <c r="P71" s="5">
        <f>_xll.SNL.Clients.Office.Excel.Functions.SPG(M71, "IQ_DILUT_EPS_NORM", "CY2022")</f>
        <v>72.5</v>
      </c>
      <c r="Q71">
        <f t="shared" si="10"/>
        <v>2903770</v>
      </c>
      <c r="R71">
        <f t="shared" si="11"/>
        <v>0.16991047396138093</v>
      </c>
    </row>
    <row r="72" spans="1:18" x14ac:dyDescent="0.3">
      <c r="A72" t="s">
        <v>584</v>
      </c>
      <c r="B72" s="4" cm="1">
        <f t="array" ref="B72">_xll.SNL.Clients.Office.Excel.Functions.SPG(A72, "SP_TOTAL_REV", "CY2023")</f>
        <v>7683902</v>
      </c>
      <c r="C72" s="4">
        <f>_xll.SNL.Clients.Office.Excel.Functions.SPG(A72,"IQ_AVG_DILUT_SHARES_OUT","CY2023")</f>
        <v>758039099</v>
      </c>
      <c r="D72" s="5">
        <f>_xll.SNL.Clients.Office.Excel.Functions.SPG(A72, "IQ_DILUT_EPS_NORM", "CY2023")</f>
        <v>1.0960000000000001</v>
      </c>
      <c r="E72">
        <f t="shared" si="6"/>
        <v>830810.85250400007</v>
      </c>
      <c r="F72">
        <f t="shared" si="7"/>
        <v>0.10812356176640463</v>
      </c>
      <c r="G72" t="s">
        <v>584</v>
      </c>
      <c r="H72" s="4" cm="1">
        <f t="array" ref="H72">_xll.SNL.Clients.Office.Excel.Functions.SPG(G72, "SP_TOTAL_REV", "CY2022")</f>
        <v>8015891</v>
      </c>
      <c r="I72" s="4">
        <f>_xll.SNL.Clients.Office.Excel.Functions.SPG(G72,"IQ_AVG_DILUT_SHARES_OUT","CY2022")</f>
        <v>742653758</v>
      </c>
      <c r="J72" s="5">
        <f>_xll.SNL.Clients.Office.Excel.Functions.SPG(G72, "IQ_DILUT_EPS_NORM", "CY2022")</f>
        <v>1.33</v>
      </c>
      <c r="K72">
        <f t="shared" si="8"/>
        <v>987729.49814000016</v>
      </c>
      <c r="L72">
        <f t="shared" si="9"/>
        <v>0.12322142331276713</v>
      </c>
      <c r="M72" t="s">
        <v>587</v>
      </c>
      <c r="N72" s="4" cm="1">
        <f t="array" ref="N72">_xll.SNL.Clients.Office.Excel.Functions.SPG(M72, "SP_TOTAL_REV", "CY2022")</f>
        <v>12635000</v>
      </c>
      <c r="O72" s="4">
        <f>_xll.SNL.Clients.Office.Excel.Functions.SPG(M72,"IQ_AVG_DILUT_SHARES_OUT","CY2022")</f>
        <v>236800000</v>
      </c>
      <c r="P72" s="5">
        <f>_xll.SNL.Clients.Office.Excel.Functions.SPG(M72, "IQ_DILUT_EPS_NORM", "CY2022")</f>
        <v>2.4510000000000001</v>
      </c>
      <c r="Q72">
        <f t="shared" si="10"/>
        <v>580396.80000000005</v>
      </c>
      <c r="R72">
        <f t="shared" si="11"/>
        <v>4.5935639097744362E-2</v>
      </c>
    </row>
    <row r="73" spans="1:18" x14ac:dyDescent="0.3">
      <c r="A73" t="s">
        <v>585</v>
      </c>
      <c r="B73" s="4" cm="1">
        <f t="array" ref="B73">_xll.SNL.Clients.Office.Excel.Functions.SPG(A73, "SP_TOTAL_REV", "CY2023")</f>
        <v>77794000</v>
      </c>
      <c r="C73" s="4">
        <f>_xll.SNL.Clients.Office.Excel.Functions.SPG(A73,"IQ_AVG_DILUT_SHARES_OUT","CY2023")</f>
        <v>605800000</v>
      </c>
      <c r="D73" s="5">
        <f>_xll.SNL.Clients.Office.Excel.Functions.SPG(A73, "IQ_DILUT_EPS_NORM", "CY2023")</f>
        <v>-0.46200000000000002</v>
      </c>
      <c r="E73">
        <f t="shared" si="6"/>
        <v>-279879.59999999998</v>
      </c>
      <c r="F73">
        <f t="shared" si="7"/>
        <v>-3.5977016222330767E-3</v>
      </c>
      <c r="G73" t="s">
        <v>585</v>
      </c>
      <c r="H73" s="4" cm="1">
        <f t="array" ref="H73">_xll.SNL.Clients.Office.Excel.Functions.SPG(G73, "SP_TOTAL_REV", "CY2022")</f>
        <v>66608000</v>
      </c>
      <c r="I73" s="4">
        <f>_xll.SNL.Clients.Office.Excel.Functions.SPG(G73,"IQ_AVG_DILUT_SHARES_OUT","CY2022")</f>
        <v>594900000</v>
      </c>
      <c r="J73" s="5">
        <f>_xll.SNL.Clients.Office.Excel.Functions.SPG(G73, "IQ_DILUT_EPS_NORM", "CY2022")</f>
        <v>-3.226</v>
      </c>
      <c r="K73">
        <f t="shared" si="8"/>
        <v>-1919147.4</v>
      </c>
      <c r="L73">
        <f t="shared" si="9"/>
        <v>-2.8812566058131154E-2</v>
      </c>
      <c r="M73" t="s">
        <v>588</v>
      </c>
      <c r="N73" s="4" cm="1">
        <f t="array" ref="N73">_xll.SNL.Clients.Office.Excel.Functions.SPG(M73, "SP_TOTAL_REV", "CY2022")</f>
        <v>3110313</v>
      </c>
      <c r="O73" s="4">
        <f>_xll.SNL.Clients.Office.Excel.Functions.SPG(M73,"IQ_AVG_DILUT_SHARES_OUT","CY2022")</f>
        <v>157137000</v>
      </c>
      <c r="P73" s="5">
        <f>_xll.SNL.Clients.Office.Excel.Functions.SPG(M73, "IQ_DILUT_EPS_NORM", "CY2022")</f>
        <v>1.4430000000000001</v>
      </c>
      <c r="Q73">
        <f t="shared" si="10"/>
        <v>226748.69099999999</v>
      </c>
      <c r="R73">
        <f t="shared" si="11"/>
        <v>7.2902209841903362E-2</v>
      </c>
    </row>
    <row r="74" spans="1:18" x14ac:dyDescent="0.3">
      <c r="A74" t="s">
        <v>586</v>
      </c>
      <c r="B74" s="4" cm="1">
        <f t="array" ref="B74">_xll.SNL.Clients.Office.Excel.Functions.SPG(A74, "SP_TOTAL_REV", "CY2023")</f>
        <v>21365000</v>
      </c>
      <c r="C74" s="4">
        <f>_xll.SNL.Clients.Office.Excel.Functions.SPG(A74,"IQ_AVG_DILUT_SHARES_OUT","CY2023")</f>
        <v>36530000</v>
      </c>
      <c r="D74" s="5">
        <f>_xll.SNL.Clients.Office.Excel.Functions.SPG(A74, "IQ_DILUT_EPS_NORM", "CY2023")</f>
        <v>97.557000000000002</v>
      </c>
      <c r="E74">
        <f t="shared" si="6"/>
        <v>3563757.21</v>
      </c>
      <c r="F74">
        <f t="shared" si="7"/>
        <v>0.16680352024338871</v>
      </c>
      <c r="G74" t="s">
        <v>586</v>
      </c>
      <c r="H74" s="4" cm="1">
        <f t="array" ref="H74">_xll.SNL.Clients.Office.Excel.Functions.SPG(G74, "SP_TOTAL_REV", "CY2022")</f>
        <v>17090000</v>
      </c>
      <c r="I74" s="4">
        <f>_xll.SNL.Clients.Office.Excel.Functions.SPG(G74,"IQ_AVG_DILUT_SHARES_OUT","CY2022")</f>
        <v>40052000</v>
      </c>
      <c r="J74" s="5">
        <f>_xll.SNL.Clients.Office.Excel.Functions.SPG(G74, "IQ_DILUT_EPS_NORM", "CY2022")</f>
        <v>72.5</v>
      </c>
      <c r="K74">
        <f t="shared" si="8"/>
        <v>2903770</v>
      </c>
      <c r="L74">
        <f t="shared" si="9"/>
        <v>0.16991047396138093</v>
      </c>
      <c r="M74" t="s">
        <v>589</v>
      </c>
      <c r="N74" s="4" cm="1">
        <f t="array" ref="N74">_xll.SNL.Clients.Office.Excel.Functions.SPG(M74, "SP_TOTAL_REV", "CY2022")</f>
        <v>12682000</v>
      </c>
      <c r="O74" s="4">
        <f>_xll.SNL.Clients.Office.Excel.Functions.SPG(M74,"IQ_AVG_DILUT_SHARES_OUT","CY2022")</f>
        <v>1439700000</v>
      </c>
      <c r="P74" s="5">
        <f>_xll.SNL.Clients.Office.Excel.Functions.SPG(M74, "IQ_DILUT_EPS_NORM", "CY2022")</f>
        <v>0.66300000000000003</v>
      </c>
      <c r="Q74">
        <f t="shared" si="10"/>
        <v>954521.1</v>
      </c>
      <c r="R74">
        <f t="shared" si="11"/>
        <v>7.5265817694369977E-2</v>
      </c>
    </row>
    <row r="75" spans="1:18" x14ac:dyDescent="0.3">
      <c r="A75" t="s">
        <v>587</v>
      </c>
      <c r="B75" s="4" cm="1">
        <f t="array" ref="B75">_xll.SNL.Clients.Office.Excel.Functions.SPG(A75, "SP_TOTAL_REV", "CY2023")</f>
        <v>14198000</v>
      </c>
      <c r="C75" s="4">
        <f>_xll.SNL.Clients.Office.Excel.Functions.SPG(A75,"IQ_AVG_DILUT_SHARES_OUT","CY2023")</f>
        <v>234400000</v>
      </c>
      <c r="D75" s="5">
        <f>_xll.SNL.Clients.Office.Excel.Functions.SPG(A75, "IQ_DILUT_EPS_NORM", "CY2023")</f>
        <v>3.008</v>
      </c>
      <c r="E75">
        <f t="shared" si="6"/>
        <v>705075.19999999995</v>
      </c>
      <c r="F75">
        <f t="shared" si="7"/>
        <v>4.9660177489787294E-2</v>
      </c>
      <c r="G75" t="s">
        <v>587</v>
      </c>
      <c r="H75" s="4" cm="1">
        <f t="array" ref="H75">_xll.SNL.Clients.Office.Excel.Functions.SPG(G75, "SP_TOTAL_REV", "CY2022")</f>
        <v>12635000</v>
      </c>
      <c r="I75" s="4">
        <f>_xll.SNL.Clients.Office.Excel.Functions.SPG(G75,"IQ_AVG_DILUT_SHARES_OUT","CY2022")</f>
        <v>236800000</v>
      </c>
      <c r="J75" s="5">
        <f>_xll.SNL.Clients.Office.Excel.Functions.SPG(G75, "IQ_DILUT_EPS_NORM", "CY2022")</f>
        <v>2.4510000000000001</v>
      </c>
      <c r="K75">
        <f t="shared" si="8"/>
        <v>580396.80000000005</v>
      </c>
      <c r="L75">
        <f t="shared" si="9"/>
        <v>4.5935639097744362E-2</v>
      </c>
      <c r="M75" t="s">
        <v>590</v>
      </c>
      <c r="N75" s="4" cm="1">
        <f t="array" ref="N75">_xll.SNL.Clients.Office.Excel.Functions.SPG(M75, "SP_TOTAL_REV", "CY2022")</f>
        <v>46159000</v>
      </c>
      <c r="O75" s="4">
        <f>_xll.SNL.Clients.Office.Excel.Functions.SPG(M75,"IQ_AVG_DILUT_SHARES_OUT","CY2022")</f>
        <v>2146000000</v>
      </c>
      <c r="P75" s="5">
        <f>_xll.SNL.Clients.Office.Excel.Functions.SPG(M75, "IQ_DILUT_EPS_NORM", "CY2022")</f>
        <v>3.109</v>
      </c>
      <c r="Q75">
        <f t="shared" si="10"/>
        <v>6671914</v>
      </c>
      <c r="R75">
        <f t="shared" si="11"/>
        <v>0.14454199614376395</v>
      </c>
    </row>
    <row r="76" spans="1:18" x14ac:dyDescent="0.3">
      <c r="A76" t="s">
        <v>588</v>
      </c>
      <c r="B76" s="4" cm="1">
        <f t="array" ref="B76">_xll.SNL.Clients.Office.Excel.Functions.SPG(A76, "SP_TOTAL_REV", "CY2023")</f>
        <v>3373491</v>
      </c>
      <c r="C76" s="4">
        <f>_xll.SNL.Clients.Office.Excel.Functions.SPG(A76,"IQ_AVG_DILUT_SHARES_OUT","CY2023")</f>
        <v>157201000</v>
      </c>
      <c r="D76" s="5">
        <f>_xll.SNL.Clients.Office.Excel.Functions.SPG(A76, "IQ_DILUT_EPS_NORM", "CY2023")</f>
        <v>1.389</v>
      </c>
      <c r="E76">
        <f t="shared" si="6"/>
        <v>218352.18900000001</v>
      </c>
      <c r="F76">
        <f t="shared" si="7"/>
        <v>6.4725884551048163E-2</v>
      </c>
      <c r="G76" t="s">
        <v>588</v>
      </c>
      <c r="H76" s="4" cm="1">
        <f t="array" ref="H76">_xll.SNL.Clients.Office.Excel.Functions.SPG(G76, "SP_TOTAL_REV", "CY2022")</f>
        <v>3110313</v>
      </c>
      <c r="I76" s="4">
        <f>_xll.SNL.Clients.Office.Excel.Functions.SPG(G76,"IQ_AVG_DILUT_SHARES_OUT","CY2022")</f>
        <v>157137000</v>
      </c>
      <c r="J76" s="5">
        <f>_xll.SNL.Clients.Office.Excel.Functions.SPG(G76, "IQ_DILUT_EPS_NORM", "CY2022")</f>
        <v>1.4430000000000001</v>
      </c>
      <c r="K76">
        <f t="shared" si="8"/>
        <v>226748.69099999999</v>
      </c>
      <c r="L76">
        <f t="shared" si="9"/>
        <v>7.2902209841903362E-2</v>
      </c>
      <c r="M76" t="s">
        <v>591</v>
      </c>
      <c r="N76" s="4" cm="1">
        <f t="array" ref="N76">_xll.SNL.Clients.Office.Excel.Functions.SPG(M76, "SP_TOTAL_REV", "CY2022")</f>
        <v>34412000</v>
      </c>
      <c r="O76" s="4">
        <f>_xll.SNL.Clients.Office.Excel.Functions.SPG(M76,"IQ_AVG_DILUT_SHARES_OUT","CY2022")</f>
        <v>4230000000</v>
      </c>
      <c r="P76" s="5">
        <f>_xll.SNL.Clients.Office.Excel.Functions.SPG(M76, "IQ_DILUT_EPS_NORM", "CY2022")</f>
        <v>2.0409999999999999</v>
      </c>
      <c r="Q76">
        <f t="shared" si="10"/>
        <v>8633430</v>
      </c>
      <c r="R76">
        <f t="shared" si="11"/>
        <v>0.25088428455190048</v>
      </c>
    </row>
    <row r="77" spans="1:18" x14ac:dyDescent="0.3">
      <c r="A77" t="s">
        <v>589</v>
      </c>
      <c r="B77" s="4" cm="1">
        <f t="array" ref="B77">_xll.SNL.Clients.Office.Excel.Functions.SPG(A77, "SP_TOTAL_REV", "CY2023")</f>
        <v>14240000</v>
      </c>
      <c r="C77" s="4">
        <f>_xll.SNL.Clients.Office.Excel.Functions.SPG(A77,"IQ_AVG_DILUT_SHARES_OUT","CY2023")</f>
        <v>1463500000</v>
      </c>
      <c r="D77" s="5">
        <f>_xll.SNL.Clients.Office.Excel.Functions.SPG(A77, "IQ_DILUT_EPS_NORM", "CY2023")</f>
        <v>0.90500000000000003</v>
      </c>
      <c r="E77">
        <f t="shared" si="6"/>
        <v>1324467.5</v>
      </c>
      <c r="F77">
        <f t="shared" si="7"/>
        <v>9.3010358146067409E-2</v>
      </c>
      <c r="G77" t="s">
        <v>589</v>
      </c>
      <c r="H77" s="4" cm="1">
        <f t="array" ref="H77">_xll.SNL.Clients.Office.Excel.Functions.SPG(G77, "SP_TOTAL_REV", "CY2022")</f>
        <v>12682000</v>
      </c>
      <c r="I77" s="4">
        <f>_xll.SNL.Clients.Office.Excel.Functions.SPG(G77,"IQ_AVG_DILUT_SHARES_OUT","CY2022")</f>
        <v>1439700000</v>
      </c>
      <c r="J77" s="5">
        <f>_xll.SNL.Clients.Office.Excel.Functions.SPG(G77, "IQ_DILUT_EPS_NORM", "CY2022")</f>
        <v>0.66300000000000003</v>
      </c>
      <c r="K77">
        <f t="shared" si="8"/>
        <v>954521.1</v>
      </c>
      <c r="L77">
        <f t="shared" si="9"/>
        <v>7.5265817694369977E-2</v>
      </c>
      <c r="M77" t="s">
        <v>592</v>
      </c>
      <c r="N77" s="4" cm="1">
        <f t="array" ref="N77">_xll.SNL.Clients.Office.Excel.Functions.SPG(M77, "SP_TOTAL_REV", "CY2022")</f>
        <v>5832800</v>
      </c>
      <c r="O77" s="4">
        <f>_xll.SNL.Clients.Office.Excel.Functions.SPG(M77,"IQ_AVG_DILUT_SHARES_OUT","CY2022")</f>
        <v>118700000</v>
      </c>
      <c r="P77" s="5">
        <f>_xll.SNL.Clients.Office.Excel.Functions.SPG(M77, "IQ_DILUT_EPS_NORM", "CY2022")</f>
        <v>3.4830000000000001</v>
      </c>
      <c r="Q77">
        <f t="shared" si="10"/>
        <v>413432.1</v>
      </c>
      <c r="R77">
        <f t="shared" si="11"/>
        <v>7.088055479358113E-2</v>
      </c>
    </row>
    <row r="78" spans="1:18" x14ac:dyDescent="0.3">
      <c r="A78" t="s">
        <v>590</v>
      </c>
      <c r="B78" s="4" cm="1">
        <f t="array" ref="B78">_xll.SNL.Clients.Office.Excel.Functions.SPG(A78, "SP_TOTAL_REV", "CY2023")</f>
        <v>45006000</v>
      </c>
      <c r="C78" s="4">
        <f>_xll.SNL.Clients.Office.Excel.Functions.SPG(A78,"IQ_AVG_DILUT_SHARES_OUT","CY2023")</f>
        <v>2078000000</v>
      </c>
      <c r="D78" s="5">
        <f>_xll.SNL.Clients.Office.Excel.Functions.SPG(A78, "IQ_DILUT_EPS_NORM", "CY2023")</f>
        <v>3.0430000000000001</v>
      </c>
      <c r="E78">
        <f t="shared" si="6"/>
        <v>6323354</v>
      </c>
      <c r="F78">
        <f t="shared" si="7"/>
        <v>0.14050024441185618</v>
      </c>
      <c r="G78" t="s">
        <v>590</v>
      </c>
      <c r="H78" s="4" cm="1">
        <f t="array" ref="H78">_xll.SNL.Clients.Office.Excel.Functions.SPG(G78, "SP_TOTAL_REV", "CY2022")</f>
        <v>46159000</v>
      </c>
      <c r="I78" s="4">
        <f>_xll.SNL.Clients.Office.Excel.Functions.SPG(G78,"IQ_AVG_DILUT_SHARES_OUT","CY2022")</f>
        <v>2146000000</v>
      </c>
      <c r="J78" s="5">
        <f>_xll.SNL.Clients.Office.Excel.Functions.SPG(G78, "IQ_DILUT_EPS_NORM", "CY2022")</f>
        <v>3.109</v>
      </c>
      <c r="K78">
        <f t="shared" si="8"/>
        <v>6671914</v>
      </c>
      <c r="L78">
        <f t="shared" si="9"/>
        <v>0.14454199614376395</v>
      </c>
      <c r="M78" t="s">
        <v>593</v>
      </c>
      <c r="N78" s="4" cm="1">
        <f t="array" ref="N78">_xll.SNL.Clients.Office.Excel.Functions.SPG(M78, "SP_TOTAL_REV", "CY2022")</f>
        <v>3573400</v>
      </c>
      <c r="O78" s="4">
        <f>_xll.SNL.Clients.Office.Excel.Functions.SPG(M78,"IQ_AVG_DILUT_SHARES_OUT","CY2022")</f>
        <v>278600000</v>
      </c>
      <c r="P78" s="5">
        <f>_xll.SNL.Clients.Office.Excel.Functions.SPG(M78, "IQ_DILUT_EPS_NORM", "CY2022")</f>
        <v>1.893</v>
      </c>
      <c r="Q78">
        <f t="shared" si="10"/>
        <v>527389.80000000005</v>
      </c>
      <c r="R78">
        <f t="shared" si="11"/>
        <v>0.14758767560306713</v>
      </c>
    </row>
    <row r="79" spans="1:18" x14ac:dyDescent="0.3">
      <c r="A79" t="s">
        <v>591</v>
      </c>
      <c r="B79" s="4" cm="1">
        <f t="array" ref="B79">_xll.SNL.Clients.Office.Excel.Functions.SPG(A79, "SP_TOTAL_REV", "CY2023")</f>
        <v>38865000</v>
      </c>
      <c r="C79" s="4">
        <f>_xll.SNL.Clients.Office.Excel.Functions.SPG(A79,"IQ_AVG_DILUT_SHARES_OUT","CY2023")</f>
        <v>4365000000</v>
      </c>
      <c r="D79" s="5">
        <f>_xll.SNL.Clients.Office.Excel.Functions.SPG(A79, "IQ_DILUT_EPS_NORM", "CY2023")</f>
        <v>1.97</v>
      </c>
      <c r="E79">
        <f t="shared" si="6"/>
        <v>8599050</v>
      </c>
      <c r="F79">
        <f t="shared" si="7"/>
        <v>0.22125434195291394</v>
      </c>
      <c r="G79" t="s">
        <v>591</v>
      </c>
      <c r="H79" s="4" cm="1">
        <f t="array" ref="H79">_xll.SNL.Clients.Office.Excel.Functions.SPG(G79, "SP_TOTAL_REV", "CY2022")</f>
        <v>34412000</v>
      </c>
      <c r="I79" s="4">
        <f>_xll.SNL.Clients.Office.Excel.Functions.SPG(G79,"IQ_AVG_DILUT_SHARES_OUT","CY2022")</f>
        <v>4230000000</v>
      </c>
      <c r="J79" s="5">
        <f>_xll.SNL.Clients.Office.Excel.Functions.SPG(G79, "IQ_DILUT_EPS_NORM", "CY2022")</f>
        <v>2.0409999999999999</v>
      </c>
      <c r="K79">
        <f t="shared" si="8"/>
        <v>8633430</v>
      </c>
      <c r="L79">
        <f t="shared" si="9"/>
        <v>0.25088428455190048</v>
      </c>
      <c r="M79" t="s">
        <v>594</v>
      </c>
      <c r="N79" s="4" cm="1">
        <f t="array" ref="N79">_xll.SNL.Clients.Office.Excel.Functions.SPG(M79, "SP_TOTAL_REV", "CY2022")</f>
        <v>4178000</v>
      </c>
      <c r="O79" s="4">
        <f>_xll.SNL.Clients.Office.Excel.Functions.SPG(M79,"IQ_AVG_DILUT_SHARES_OUT","CY2022")</f>
        <v>480477250</v>
      </c>
      <c r="P79" s="5">
        <f>_xll.SNL.Clients.Office.Excel.Functions.SPG(M79, "IQ_DILUT_EPS_NORM", "CY2022")</f>
        <v>1.512</v>
      </c>
      <c r="Q79">
        <f t="shared" si="10"/>
        <v>726481.60199999996</v>
      </c>
      <c r="R79">
        <f t="shared" si="11"/>
        <v>0.1738826237434179</v>
      </c>
    </row>
    <row r="80" spans="1:18" x14ac:dyDescent="0.3">
      <c r="A80" t="s">
        <v>592</v>
      </c>
      <c r="B80" s="4" cm="1">
        <f t="array" ref="B80">_xll.SNL.Clients.Office.Excel.Functions.SPG(A80, "SP_TOTAL_REV", "CY2023")</f>
        <v>6320700</v>
      </c>
      <c r="C80" s="4">
        <f>_xll.SNL.Clients.Office.Excel.Functions.SPG(A80,"IQ_AVG_DILUT_SHARES_OUT","CY2023")</f>
        <v>119100000</v>
      </c>
      <c r="D80" s="5">
        <f>_xll.SNL.Clients.Office.Excel.Functions.SPG(A80, "IQ_DILUT_EPS_NORM", "CY2023")</f>
        <v>4.556</v>
      </c>
      <c r="E80">
        <f t="shared" si="6"/>
        <v>542619.6</v>
      </c>
      <c r="F80">
        <f t="shared" si="7"/>
        <v>8.5848023161991555E-2</v>
      </c>
      <c r="G80" t="s">
        <v>592</v>
      </c>
      <c r="H80" s="4" cm="1">
        <f t="array" ref="H80">_xll.SNL.Clients.Office.Excel.Functions.SPG(G80, "SP_TOTAL_REV", "CY2022")</f>
        <v>5832800</v>
      </c>
      <c r="I80" s="4">
        <f>_xll.SNL.Clients.Office.Excel.Functions.SPG(G80,"IQ_AVG_DILUT_SHARES_OUT","CY2022")</f>
        <v>118700000</v>
      </c>
      <c r="J80" s="5">
        <f>_xll.SNL.Clients.Office.Excel.Functions.SPG(G80, "IQ_DILUT_EPS_NORM", "CY2022")</f>
        <v>3.4830000000000001</v>
      </c>
      <c r="K80">
        <f t="shared" si="8"/>
        <v>413432.1</v>
      </c>
      <c r="L80">
        <f t="shared" si="9"/>
        <v>7.088055479358113E-2</v>
      </c>
      <c r="M80" t="s">
        <v>596</v>
      </c>
      <c r="N80" s="4" cm="1">
        <f t="array" ref="N80">_xll.SNL.Clients.Office.Excel.Functions.SPG(M80, "SP_TOTAL_REV", "CY2022")</f>
        <v>3561718</v>
      </c>
      <c r="O80" s="4">
        <f>_xll.SNL.Clients.Office.Excel.Functions.SPG(M80,"IQ_AVG_DILUT_SHARES_OUT","CY2022")</f>
        <v>275011000</v>
      </c>
      <c r="P80" s="5">
        <f>_xll.SNL.Clients.Office.Excel.Functions.SPG(M80, "IQ_DILUT_EPS_NORM", "CY2022")</f>
        <v>2.411</v>
      </c>
      <c r="Q80">
        <f t="shared" si="10"/>
        <v>663051.52099999995</v>
      </c>
      <c r="R80">
        <f t="shared" si="11"/>
        <v>0.18616058907527208</v>
      </c>
    </row>
    <row r="81" spans="1:18" x14ac:dyDescent="0.3">
      <c r="A81" t="s">
        <v>593</v>
      </c>
      <c r="B81" s="4" cm="1">
        <f t="array" ref="B81">_xll.SNL.Clients.Office.Excel.Functions.SPG(A81, "SP_TOTAL_REV", "CY2023")</f>
        <v>4257100</v>
      </c>
      <c r="C81" s="4">
        <f>_xll.SNL.Clients.Office.Excel.Functions.SPG(A81,"IQ_AVG_DILUT_SHARES_OUT","CY2023")</f>
        <v>280800000</v>
      </c>
      <c r="D81" s="5">
        <f>_xll.SNL.Clients.Office.Excel.Functions.SPG(A81, "IQ_DILUT_EPS_NORM", "CY2023")</f>
        <v>2.31</v>
      </c>
      <c r="E81">
        <f t="shared" si="6"/>
        <v>648648</v>
      </c>
      <c r="F81">
        <f t="shared" si="7"/>
        <v>0.15236851377698432</v>
      </c>
      <c r="G81" t="s">
        <v>593</v>
      </c>
      <c r="H81" s="4" cm="1">
        <f t="array" ref="H81">_xll.SNL.Clients.Office.Excel.Functions.SPG(G81, "SP_TOTAL_REV", "CY2022")</f>
        <v>3573400</v>
      </c>
      <c r="I81" s="4">
        <f>_xll.SNL.Clients.Office.Excel.Functions.SPG(G81,"IQ_AVG_DILUT_SHARES_OUT","CY2022")</f>
        <v>278600000</v>
      </c>
      <c r="J81" s="5">
        <f>_xll.SNL.Clients.Office.Excel.Functions.SPG(G81, "IQ_DILUT_EPS_NORM", "CY2022")</f>
        <v>1.893</v>
      </c>
      <c r="K81">
        <f t="shared" si="8"/>
        <v>527389.80000000005</v>
      </c>
      <c r="L81">
        <f t="shared" si="9"/>
        <v>0.14758767560306713</v>
      </c>
      <c r="M81" t="s">
        <v>597</v>
      </c>
      <c r="N81" s="4" t="str" cm="1">
        <f t="array" ref="N81">_xll.SNL.Clients.Office.Excel.Functions.SPG(M81, "SP_TOTAL_REV", "CY2022")</f>
        <v>NA</v>
      </c>
      <c r="O81" s="4" t="str">
        <f>_xll.SNL.Clients.Office.Excel.Functions.SPG(M81,"IQ_AVG_DILUT_SHARES_OUT","CY2022")</f>
        <v>NA</v>
      </c>
      <c r="P81" s="5" t="str">
        <f>_xll.SNL.Clients.Office.Excel.Functions.SPG(M81, "IQ_DILUT_EPS_NORM", "CY2022")</f>
        <v>NA</v>
      </c>
      <c r="Q81" t="e">
        <f t="shared" si="10"/>
        <v>#VALUE!</v>
      </c>
      <c r="R81" t="e">
        <f t="shared" si="11"/>
        <v>#VALUE!</v>
      </c>
    </row>
    <row r="82" spans="1:18" x14ac:dyDescent="0.3">
      <c r="A82" t="s">
        <v>594</v>
      </c>
      <c r="B82" s="4" cm="1">
        <f t="array" ref="B82">_xll.SNL.Clients.Office.Excel.Functions.SPG(A82, "SP_TOTAL_REV", "CY2023")</f>
        <v>4260000</v>
      </c>
      <c r="C82" s="4">
        <f>_xll.SNL.Clients.Office.Excel.Functions.SPG(A82,"IQ_AVG_DILUT_SHARES_OUT","CY2023")</f>
        <v>479111641</v>
      </c>
      <c r="D82" s="5">
        <f>_xll.SNL.Clients.Office.Excel.Functions.SPG(A82, "IQ_DILUT_EPS_NORM", "CY2023")</f>
        <v>1.4710000000000001</v>
      </c>
      <c r="E82">
        <f t="shared" si="6"/>
        <v>704773.22391100007</v>
      </c>
      <c r="F82">
        <f t="shared" si="7"/>
        <v>0.16543972392276998</v>
      </c>
      <c r="G82" t="s">
        <v>594</v>
      </c>
      <c r="H82" s="4" cm="1">
        <f t="array" ref="H82">_xll.SNL.Clients.Office.Excel.Functions.SPG(G82, "SP_TOTAL_REV", "CY2022")</f>
        <v>4178000</v>
      </c>
      <c r="I82" s="4">
        <f>_xll.SNL.Clients.Office.Excel.Functions.SPG(G82,"IQ_AVG_DILUT_SHARES_OUT","CY2022")</f>
        <v>480477250</v>
      </c>
      <c r="J82" s="5">
        <f>_xll.SNL.Clients.Office.Excel.Functions.SPG(G82, "IQ_DILUT_EPS_NORM", "CY2022")</f>
        <v>1.512</v>
      </c>
      <c r="K82">
        <f t="shared" si="8"/>
        <v>726481.60199999996</v>
      </c>
      <c r="L82">
        <f t="shared" si="9"/>
        <v>0.1738826237434179</v>
      </c>
      <c r="M82" t="s">
        <v>598</v>
      </c>
      <c r="N82" s="4" cm="1">
        <f t="array" ref="N82">_xll.SNL.Clients.Office.Excel.Functions.SPG(M82, "SP_TOTAL_REV", "CY2022")</f>
        <v>1414374</v>
      </c>
      <c r="O82" s="4">
        <f>_xll.SNL.Clients.Office.Excel.Functions.SPG(M82,"IQ_AVG_DILUT_SHARES_OUT","CY2022")</f>
        <v>108388000</v>
      </c>
      <c r="P82" s="5">
        <f>_xll.SNL.Clients.Office.Excel.Functions.SPG(M82, "IQ_DILUT_EPS_NORM", "CY2022")</f>
        <v>0.81499999999999995</v>
      </c>
      <c r="Q82">
        <f t="shared" si="10"/>
        <v>88336.22</v>
      </c>
      <c r="R82">
        <f t="shared" si="11"/>
        <v>6.245605476345012E-2</v>
      </c>
    </row>
    <row r="83" spans="1:18" x14ac:dyDescent="0.3">
      <c r="A83" t="s">
        <v>595</v>
      </c>
      <c r="B83" s="4" cm="1">
        <f t="array" ref="B83">_xll.SNL.Clients.Office.Excel.Functions.SPG(A83, "SP_TOTAL_REV", "CY2023")</f>
        <v>59540000</v>
      </c>
      <c r="C83" s="4">
        <f>_xll.SNL.Clients.Office.Excel.Functions.SPG(A83,"IQ_AVG_DILUT_SHARES_OUT","CY2023")</f>
        <v>150787917</v>
      </c>
      <c r="D83" s="5">
        <f>_xll.SNL.Clients.Office.Excel.Functions.SPG(A83, "IQ_DILUT_EPS_NORM", "CY2023")</f>
        <v>12.698</v>
      </c>
      <c r="E83">
        <f t="shared" si="6"/>
        <v>1914704.970066</v>
      </c>
      <c r="F83">
        <f t="shared" si="7"/>
        <v>3.2158296440476991E-2</v>
      </c>
      <c r="G83" t="s">
        <v>595</v>
      </c>
      <c r="H83" s="4" cm="1">
        <f t="array" ref="H83">_xll.SNL.Clients.Office.Excel.Functions.SPG(G83, "SP_TOTAL_REV", "CY2022")</f>
        <v>67232000</v>
      </c>
      <c r="I83" s="4">
        <f>_xll.SNL.Clients.Office.Excel.Functions.SPG(G83,"IQ_AVG_DILUT_SHARES_OUT","CY2022")</f>
        <v>153134754</v>
      </c>
      <c r="J83" s="5">
        <f>_xll.SNL.Clients.Office.Excel.Functions.SPG(G83, "IQ_DILUT_EPS_NORM", "CY2022")</f>
        <v>9.3510000000000009</v>
      </c>
      <c r="K83">
        <f t="shared" si="8"/>
        <v>1431963.0846540001</v>
      </c>
      <c r="L83">
        <f t="shared" si="9"/>
        <v>2.1298832172983104E-2</v>
      </c>
      <c r="M83" t="s">
        <v>599</v>
      </c>
      <c r="N83" s="4" cm="1">
        <f t="array" ref="N83">_xll.SNL.Clients.Office.Excel.Functions.SPG(M83, "SP_TOTAL_REV", "CY2022")</f>
        <v>9177000</v>
      </c>
      <c r="O83" s="4">
        <f>_xll.SNL.Clients.Office.Excel.Functions.SPG(M83,"IQ_AVG_DILUT_SHARES_OUT","CY2022")</f>
        <v>301000000</v>
      </c>
      <c r="P83" s="5">
        <f>_xll.SNL.Clients.Office.Excel.Functions.SPG(M83, "IQ_DILUT_EPS_NORM", "CY2022")</f>
        <v>2.3260000000000001</v>
      </c>
      <c r="Q83">
        <f t="shared" si="10"/>
        <v>700126</v>
      </c>
      <c r="R83">
        <f t="shared" si="11"/>
        <v>7.6291380625476732E-2</v>
      </c>
    </row>
    <row r="84" spans="1:18" x14ac:dyDescent="0.3">
      <c r="A84" t="s">
        <v>596</v>
      </c>
      <c r="B84" s="4" cm="1">
        <f t="array" ref="B84">_xll.SNL.Clients.Office.Excel.Functions.SPG(A84, "SP_TOTAL_REV", "CY2023")</f>
        <v>4089986</v>
      </c>
      <c r="C84" s="4">
        <f>_xll.SNL.Clients.Office.Excel.Functions.SPG(A84,"IQ_AVG_DILUT_SHARES_OUT","CY2023")</f>
        <v>272748000</v>
      </c>
      <c r="D84" s="5">
        <f>_xll.SNL.Clients.Office.Excel.Functions.SPG(A84, "IQ_DILUT_EPS_NORM", "CY2023")</f>
        <v>2.911</v>
      </c>
      <c r="E84">
        <f t="shared" si="6"/>
        <v>793969.42799999996</v>
      </c>
      <c r="F84">
        <f t="shared" si="7"/>
        <v>0.19412521901052962</v>
      </c>
      <c r="G84" t="s">
        <v>596</v>
      </c>
      <c r="H84" s="4" cm="1">
        <f t="array" ref="H84">_xll.SNL.Clients.Office.Excel.Functions.SPG(G84, "SP_TOTAL_REV", "CY2022")</f>
        <v>3561718</v>
      </c>
      <c r="I84" s="4">
        <f>_xll.SNL.Clients.Office.Excel.Functions.SPG(G84,"IQ_AVG_DILUT_SHARES_OUT","CY2022")</f>
        <v>275011000</v>
      </c>
      <c r="J84" s="5">
        <f>_xll.SNL.Clients.Office.Excel.Functions.SPG(G84, "IQ_DILUT_EPS_NORM", "CY2022")</f>
        <v>2.411</v>
      </c>
      <c r="K84">
        <f t="shared" si="8"/>
        <v>663051.52099999995</v>
      </c>
      <c r="L84">
        <f t="shared" si="9"/>
        <v>0.18616058907527208</v>
      </c>
      <c r="M84" t="s">
        <v>600</v>
      </c>
      <c r="N84" s="4" cm="1">
        <f t="array" ref="N84">_xll.SNL.Clients.Office.Excel.Functions.SPG(M84, "SP_TOTAL_REV", "CY2022")</f>
        <v>28403000</v>
      </c>
      <c r="O84" s="4">
        <f>_xll.SNL.Clients.Office.Excel.Functions.SPG(M84,"IQ_AVG_DILUT_SHARES_OUT","CY2022")</f>
        <v>393200000</v>
      </c>
      <c r="P84" s="5">
        <f>_xll.SNL.Clients.Office.Excel.Functions.SPG(M84, "IQ_DILUT_EPS_NORM", "CY2022")</f>
        <v>14.686999999999999</v>
      </c>
      <c r="Q84">
        <f t="shared" si="10"/>
        <v>5774928.4000000004</v>
      </c>
      <c r="R84">
        <f t="shared" si="11"/>
        <v>0.2033210717177763</v>
      </c>
    </row>
    <row r="85" spans="1:18" x14ac:dyDescent="0.3">
      <c r="A85" t="s">
        <v>597</v>
      </c>
      <c r="B85" s="4" t="str" cm="1">
        <f t="array" ref="B85">_xll.SNL.Clients.Office.Excel.Functions.SPG(A85, "SP_TOTAL_REV", "CY2023")</f>
        <v>NA</v>
      </c>
      <c r="C85" s="4" t="str">
        <f>_xll.SNL.Clients.Office.Excel.Functions.SPG(A85,"IQ_AVG_DILUT_SHARES_OUT","CY2023")</f>
        <v>NA</v>
      </c>
      <c r="D85" s="5" t="str">
        <f>_xll.SNL.Clients.Office.Excel.Functions.SPG(A85, "IQ_DILUT_EPS_NORM", "CY2023")</f>
        <v>NA</v>
      </c>
      <c r="E85" t="e">
        <f t="shared" si="6"/>
        <v>#VALUE!</v>
      </c>
      <c r="F85" t="e">
        <f t="shared" si="7"/>
        <v>#VALUE!</v>
      </c>
      <c r="G85" t="s">
        <v>597</v>
      </c>
      <c r="H85" s="4" t="str" cm="1">
        <f t="array" ref="H85">_xll.SNL.Clients.Office.Excel.Functions.SPG(G85, "SP_TOTAL_REV", "CY2022")</f>
        <v>NA</v>
      </c>
      <c r="I85" s="4" t="str">
        <f>_xll.SNL.Clients.Office.Excel.Functions.SPG(G85,"IQ_AVG_DILUT_SHARES_OUT","CY2022")</f>
        <v>NA</v>
      </c>
      <c r="J85" s="5" t="str">
        <f>_xll.SNL.Clients.Office.Excel.Functions.SPG(G85, "IQ_DILUT_EPS_NORM", "CY2022")</f>
        <v>NA</v>
      </c>
      <c r="K85" t="e">
        <f t="shared" si="8"/>
        <v>#VALUE!</v>
      </c>
      <c r="L85" t="e">
        <f t="shared" si="9"/>
        <v>#VALUE!</v>
      </c>
      <c r="M85" t="s">
        <v>601</v>
      </c>
      <c r="N85" s="4" cm="1">
        <f t="array" ref="N85">_xll.SNL.Clients.Office.Excel.Functions.SPG(M85, "SP_TOTAL_REV", "CY2022")</f>
        <v>193011000</v>
      </c>
      <c r="O85" s="4">
        <f>_xll.SNL.Clients.Office.Excel.Functions.SPG(M85,"IQ_AVG_DILUT_SHARES_OUT","CY2022")</f>
        <v>270500000</v>
      </c>
      <c r="P85" s="5">
        <f>_xll.SNL.Clients.Office.Excel.Functions.SPG(M85, "IQ_DILUT_EPS_NORM", "CY2022")</f>
        <v>3.2909999999999999</v>
      </c>
      <c r="Q85">
        <f t="shared" si="10"/>
        <v>890215.5</v>
      </c>
      <c r="R85">
        <f t="shared" si="11"/>
        <v>4.6122526695369691E-3</v>
      </c>
    </row>
    <row r="86" spans="1:18" x14ac:dyDescent="0.3">
      <c r="A86" t="s">
        <v>598</v>
      </c>
      <c r="B86" s="4" cm="1">
        <f t="array" ref="B86">_xll.SNL.Clients.Office.Excel.Functions.SPG(A86, "SP_TOTAL_REV", "CY2023")</f>
        <v>1561755</v>
      </c>
      <c r="C86" s="4">
        <f>_xll.SNL.Clients.Office.Excel.Functions.SPG(A86,"IQ_AVG_DILUT_SHARES_OUT","CY2023")</f>
        <v>109399000</v>
      </c>
      <c r="D86" s="5">
        <f>_xll.SNL.Clients.Office.Excel.Functions.SPG(A86, "IQ_DILUT_EPS_NORM", "CY2023")</f>
        <v>1.0269999999999999</v>
      </c>
      <c r="E86">
        <f t="shared" si="6"/>
        <v>112352.77299999999</v>
      </c>
      <c r="F86">
        <f t="shared" si="7"/>
        <v>7.19400757481167E-2</v>
      </c>
      <c r="G86" t="s">
        <v>598</v>
      </c>
      <c r="H86" s="4" cm="1">
        <f t="array" ref="H86">_xll.SNL.Clients.Office.Excel.Functions.SPG(G86, "SP_TOTAL_REV", "CY2022")</f>
        <v>1414374</v>
      </c>
      <c r="I86" s="4">
        <f>_xll.SNL.Clients.Office.Excel.Functions.SPG(G86,"IQ_AVG_DILUT_SHARES_OUT","CY2022")</f>
        <v>108388000</v>
      </c>
      <c r="J86" s="5">
        <f>_xll.SNL.Clients.Office.Excel.Functions.SPG(G86, "IQ_DILUT_EPS_NORM", "CY2022")</f>
        <v>0.81499999999999995</v>
      </c>
      <c r="K86">
        <f t="shared" si="8"/>
        <v>88336.22</v>
      </c>
      <c r="L86">
        <f t="shared" si="9"/>
        <v>6.245605476345012E-2</v>
      </c>
      <c r="M86" t="s">
        <v>602</v>
      </c>
      <c r="N86" s="4" cm="1">
        <f t="array" ref="N86">_xll.SNL.Clients.Office.Excel.Functions.SPG(M86, "SP_TOTAL_REV", "CY2022")</f>
        <v>33050775</v>
      </c>
      <c r="O86" s="4">
        <f>_xll.SNL.Clients.Office.Excel.Functions.SPG(M86,"IQ_AVG_DILUT_SHARES_OUT","CY2022")</f>
        <v>161117750</v>
      </c>
      <c r="P86" s="5">
        <f>_xll.SNL.Clients.Office.Excel.Functions.SPG(M86, "IQ_DILUT_EPS_NORM", "CY2022")</f>
        <v>2.93</v>
      </c>
      <c r="Q86">
        <f t="shared" si="10"/>
        <v>472075.00750000001</v>
      </c>
      <c r="R86">
        <f t="shared" si="11"/>
        <v>1.4283326412164314E-2</v>
      </c>
    </row>
    <row r="87" spans="1:18" x14ac:dyDescent="0.3">
      <c r="A87" t="s">
        <v>599</v>
      </c>
      <c r="B87" s="4" cm="1">
        <f t="array" ref="B87">_xll.SNL.Clients.Office.Excel.Functions.SPG(A87, "SP_TOTAL_REV", "CY2023")</f>
        <v>9271000</v>
      </c>
      <c r="C87" s="4">
        <f>_xll.SNL.Clients.Office.Excel.Functions.SPG(A87,"IQ_AVG_DILUT_SHARES_OUT","CY2023")</f>
        <v>300000000</v>
      </c>
      <c r="D87" s="5">
        <f>_xll.SNL.Clients.Office.Excel.Functions.SPG(A87, "IQ_DILUT_EPS_NORM", "CY2023")</f>
        <v>2.444</v>
      </c>
      <c r="E87">
        <f t="shared" si="6"/>
        <v>733200</v>
      </c>
      <c r="F87">
        <f t="shared" si="7"/>
        <v>7.9085319814475252E-2</v>
      </c>
      <c r="G87" t="s">
        <v>599</v>
      </c>
      <c r="H87" s="4" cm="1">
        <f t="array" ref="H87">_xll.SNL.Clients.Office.Excel.Functions.SPG(G87, "SP_TOTAL_REV", "CY2022")</f>
        <v>9177000</v>
      </c>
      <c r="I87" s="4">
        <f>_xll.SNL.Clients.Office.Excel.Functions.SPG(G87,"IQ_AVG_DILUT_SHARES_OUT","CY2022")</f>
        <v>301000000</v>
      </c>
      <c r="J87" s="5">
        <f>_xll.SNL.Clients.Office.Excel.Functions.SPG(G87, "IQ_DILUT_EPS_NORM", "CY2022")</f>
        <v>2.3260000000000001</v>
      </c>
      <c r="K87">
        <f t="shared" si="8"/>
        <v>700126</v>
      </c>
      <c r="L87">
        <f t="shared" si="9"/>
        <v>7.6291380625476732E-2</v>
      </c>
      <c r="M87" t="s">
        <v>603</v>
      </c>
      <c r="N87" s="4" cm="1">
        <f t="array" ref="N87">_xll.SNL.Clients.Office.Excel.Functions.SPG(M87, "SP_TOTAL_REV", "CY2022")</f>
        <v>12169000</v>
      </c>
      <c r="O87" s="4">
        <f>_xll.SNL.Clients.Office.Excel.Functions.SPG(M87,"IQ_AVG_DILUT_SHARES_OUT","CY2022")</f>
        <v>1180000000</v>
      </c>
      <c r="P87" s="5">
        <f>_xll.SNL.Clients.Office.Excel.Functions.SPG(M87, "IQ_DILUT_EPS_NORM", "CY2022")</f>
        <v>-2.97</v>
      </c>
      <c r="Q87">
        <f t="shared" si="10"/>
        <v>-3504600</v>
      </c>
      <c r="R87">
        <f t="shared" si="11"/>
        <v>-0.28799408332648535</v>
      </c>
    </row>
    <row r="88" spans="1:18" x14ac:dyDescent="0.3">
      <c r="A88" t="s">
        <v>600</v>
      </c>
      <c r="B88" s="4" cm="1">
        <f t="array" ref="B88">_xll.SNL.Clients.Office.Excel.Functions.SPG(A88, "SP_TOTAL_REV", "CY2023")</f>
        <v>26361000</v>
      </c>
      <c r="C88" s="4">
        <f>_xll.SNL.Clients.Office.Excel.Functions.SPG(A88,"IQ_AVG_DILUT_SHARES_OUT","CY2023")</f>
        <v>383400000</v>
      </c>
      <c r="D88" s="5">
        <f>_xll.SNL.Clients.Office.Excel.Functions.SPG(A88, "IQ_DILUT_EPS_NORM", "CY2023")</f>
        <v>9.8539999999999992</v>
      </c>
      <c r="E88">
        <f t="shared" si="6"/>
        <v>3778023.5999999996</v>
      </c>
      <c r="F88">
        <f t="shared" si="7"/>
        <v>0.14331867531580744</v>
      </c>
      <c r="G88" t="s">
        <v>600</v>
      </c>
      <c r="H88" s="4" cm="1">
        <f t="array" ref="H88">_xll.SNL.Clients.Office.Excel.Functions.SPG(G88, "SP_TOTAL_REV", "CY2022")</f>
        <v>28403000</v>
      </c>
      <c r="I88" s="4">
        <f>_xll.SNL.Clients.Office.Excel.Functions.SPG(G88,"IQ_AVG_DILUT_SHARES_OUT","CY2022")</f>
        <v>393200000</v>
      </c>
      <c r="J88" s="5">
        <f>_xll.SNL.Clients.Office.Excel.Functions.SPG(G88, "IQ_DILUT_EPS_NORM", "CY2022")</f>
        <v>14.686999999999999</v>
      </c>
      <c r="K88">
        <f t="shared" si="8"/>
        <v>5774928.4000000004</v>
      </c>
      <c r="L88">
        <f t="shared" si="9"/>
        <v>0.2033210717177763</v>
      </c>
      <c r="M88" t="s">
        <v>604</v>
      </c>
      <c r="N88" s="4" cm="1">
        <f t="array" ref="N88">_xll.SNL.Clients.Office.Excel.Functions.SPG(M88, "SP_TOTAL_REV", "CY2022")</f>
        <v>20421000</v>
      </c>
      <c r="O88" s="4">
        <f>_xll.SNL.Clients.Office.Excel.Functions.SPG(M88,"IQ_AVG_DILUT_SHARES_OUT","CY2022")</f>
        <v>861200000</v>
      </c>
      <c r="P88" s="5">
        <f>_xll.SNL.Clients.Office.Excel.Functions.SPG(M88, "IQ_DILUT_EPS_NORM", "CY2022")</f>
        <v>1.8029999999999999</v>
      </c>
      <c r="Q88">
        <f t="shared" si="10"/>
        <v>1552743.6</v>
      </c>
      <c r="R88">
        <f t="shared" si="11"/>
        <v>7.6036609372704567E-2</v>
      </c>
    </row>
    <row r="89" spans="1:18" x14ac:dyDescent="0.3">
      <c r="A89" t="s">
        <v>601</v>
      </c>
      <c r="B89" s="4" cm="1">
        <f t="array" ref="B89">_xll.SNL.Clients.Office.Excel.Functions.SPG(A89, "SP_TOTAL_REV", "CY2023")</f>
        <v>216002000</v>
      </c>
      <c r="C89" s="4">
        <f>_xll.SNL.Clients.Office.Excel.Functions.SPG(A89,"IQ_AVG_DILUT_SHARES_OUT","CY2023")</f>
        <v>252750000</v>
      </c>
      <c r="D89" s="5">
        <f>_xll.SNL.Clients.Office.Excel.Functions.SPG(A89, "IQ_DILUT_EPS_NORM", "CY2023")</f>
        <v>4.9059999999999997</v>
      </c>
      <c r="E89">
        <f t="shared" si="6"/>
        <v>1239991.5</v>
      </c>
      <c r="F89">
        <f t="shared" si="7"/>
        <v>5.7406482347385672E-3</v>
      </c>
      <c r="G89" t="s">
        <v>601</v>
      </c>
      <c r="H89" s="4" cm="1">
        <f t="array" ref="H89">_xll.SNL.Clients.Office.Excel.Functions.SPG(G89, "SP_TOTAL_REV", "CY2022")</f>
        <v>193011000</v>
      </c>
      <c r="I89" s="4">
        <f>_xll.SNL.Clients.Office.Excel.Functions.SPG(G89,"IQ_AVG_DILUT_SHARES_OUT","CY2022")</f>
        <v>270500000</v>
      </c>
      <c r="J89" s="5">
        <f>_xll.SNL.Clients.Office.Excel.Functions.SPG(G89, "IQ_DILUT_EPS_NORM", "CY2022")</f>
        <v>3.2909999999999999</v>
      </c>
      <c r="K89">
        <f t="shared" si="8"/>
        <v>890215.5</v>
      </c>
      <c r="L89">
        <f t="shared" si="9"/>
        <v>4.6122526695369691E-3</v>
      </c>
      <c r="M89" t="s">
        <v>605</v>
      </c>
      <c r="N89" s="4" cm="1">
        <f t="array" ref="N89">_xll.SNL.Clients.Office.Excel.Functions.SPG(M89, "SP_TOTAL_REV", "CY2022")</f>
        <v>4731000</v>
      </c>
      <c r="O89" s="4">
        <f>_xll.SNL.Clients.Office.Excel.Functions.SPG(M89,"IQ_AVG_DILUT_SHARES_OUT","CY2022")</f>
        <v>181000000</v>
      </c>
      <c r="P89" s="5">
        <f>_xll.SNL.Clients.Office.Excel.Functions.SPG(M89, "IQ_DILUT_EPS_NORM", "CY2022")</f>
        <v>1.7749999999999999</v>
      </c>
      <c r="Q89">
        <f t="shared" si="10"/>
        <v>321275</v>
      </c>
      <c r="R89">
        <f t="shared" si="11"/>
        <v>6.7908476009300361E-2</v>
      </c>
    </row>
    <row r="90" spans="1:18" x14ac:dyDescent="0.3">
      <c r="A90" t="s">
        <v>602</v>
      </c>
      <c r="B90" s="4" cm="1">
        <f t="array" ref="B90">_xll.SNL.Clients.Office.Excel.Functions.SPG(A90, "SP_TOTAL_REV", "CY2023")</f>
        <v>28248430</v>
      </c>
      <c r="C90" s="4">
        <f>_xll.SNL.Clients.Office.Excel.Functions.SPG(A90,"IQ_AVG_DILUT_SHARES_OUT","CY2023")</f>
        <v>158774250</v>
      </c>
      <c r="D90" s="5">
        <f>_xll.SNL.Clients.Office.Excel.Functions.SPG(A90, "IQ_DILUT_EPS_NORM", "CY2023")</f>
        <v>2.593</v>
      </c>
      <c r="E90">
        <f t="shared" si="6"/>
        <v>411701.63024999999</v>
      </c>
      <c r="F90">
        <f t="shared" si="7"/>
        <v>1.4574319006401418E-2</v>
      </c>
      <c r="G90" t="s">
        <v>602</v>
      </c>
      <c r="H90" s="4" cm="1">
        <f t="array" ref="H90">_xll.SNL.Clients.Office.Excel.Functions.SPG(G90, "SP_TOTAL_REV", "CY2022")</f>
        <v>33050775</v>
      </c>
      <c r="I90" s="4">
        <f>_xll.SNL.Clients.Office.Excel.Functions.SPG(G90,"IQ_AVG_DILUT_SHARES_OUT","CY2022")</f>
        <v>161117750</v>
      </c>
      <c r="J90" s="5">
        <f>_xll.SNL.Clients.Office.Excel.Functions.SPG(G90, "IQ_DILUT_EPS_NORM", "CY2022")</f>
        <v>2.93</v>
      </c>
      <c r="K90">
        <f t="shared" si="8"/>
        <v>472075.00750000001</v>
      </c>
      <c r="L90">
        <f t="shared" si="9"/>
        <v>1.4283326412164314E-2</v>
      </c>
      <c r="M90" t="s">
        <v>606</v>
      </c>
      <c r="N90" s="4" cm="1">
        <f t="array" ref="N90">_xll.SNL.Clients.Office.Excel.Functions.SPG(M90, "SP_TOTAL_REV", "CY2022")</f>
        <v>59427000</v>
      </c>
      <c r="O90" s="4">
        <f>_xll.SNL.Clients.Office.Excel.Functions.SPG(M90,"IQ_AVG_DILUT_SHARES_OUT","CY2022")</f>
        <v>530400000</v>
      </c>
      <c r="P90" s="5">
        <f>_xll.SNL.Clients.Office.Excel.Functions.SPG(M90, "IQ_DILUT_EPS_NORM", "CY2022")</f>
        <v>11.593</v>
      </c>
      <c r="Q90">
        <f t="shared" si="10"/>
        <v>6148927.2000000002</v>
      </c>
      <c r="R90">
        <f t="shared" si="11"/>
        <v>0.10347026099247816</v>
      </c>
    </row>
    <row r="91" spans="1:18" x14ac:dyDescent="0.3">
      <c r="A91" t="s">
        <v>603</v>
      </c>
      <c r="B91" s="4" cm="1">
        <f t="array" ref="B91">_xll.SNL.Clients.Office.Excel.Functions.SPG(A91, "SP_TOTAL_REV", "CY2023")</f>
        <v>21593000</v>
      </c>
      <c r="C91" s="4">
        <f>_xll.SNL.Clients.Office.Excel.Functions.SPG(A91,"IQ_AVG_DILUT_SHARES_OUT","CY2023")</f>
        <v>1262000000</v>
      </c>
      <c r="D91" s="5">
        <f>_xll.SNL.Clients.Office.Excel.Functions.SPG(A91, "IQ_DILUT_EPS_NORM", "CY2023")</f>
        <v>3.5000000000000003E-2</v>
      </c>
      <c r="E91">
        <f t="shared" si="6"/>
        <v>44170.000000000007</v>
      </c>
      <c r="F91">
        <f t="shared" si="7"/>
        <v>2.0455703237160193E-3</v>
      </c>
      <c r="G91" t="s">
        <v>603</v>
      </c>
      <c r="H91" s="4" cm="1">
        <f t="array" ref="H91">_xll.SNL.Clients.Office.Excel.Functions.SPG(G91, "SP_TOTAL_REV", "CY2022")</f>
        <v>12169000</v>
      </c>
      <c r="I91" s="4">
        <f>_xll.SNL.Clients.Office.Excel.Functions.SPG(G91,"IQ_AVG_DILUT_SHARES_OUT","CY2022")</f>
        <v>1180000000</v>
      </c>
      <c r="J91" s="5">
        <f>_xll.SNL.Clients.Office.Excel.Functions.SPG(G91, "IQ_DILUT_EPS_NORM", "CY2022")</f>
        <v>-2.97</v>
      </c>
      <c r="K91">
        <f t="shared" si="8"/>
        <v>-3504600</v>
      </c>
      <c r="L91">
        <f t="shared" si="9"/>
        <v>-0.28799408332648535</v>
      </c>
      <c r="M91" t="s">
        <v>607</v>
      </c>
      <c r="N91" s="4" cm="1">
        <f t="array" ref="N91">_xll.SNL.Clients.Office.Excel.Functions.SPG(M91, "SP_TOTAL_REV", "CY2022")</f>
        <v>3958500</v>
      </c>
      <c r="O91" s="4">
        <f>_xll.SNL.Clients.Office.Excel.Functions.SPG(M91,"IQ_AVG_DILUT_SHARES_OUT","CY2022")</f>
        <v>106700000</v>
      </c>
      <c r="P91" s="5">
        <f>_xll.SNL.Clients.Office.Excel.Functions.SPG(M91, "IQ_DILUT_EPS_NORM", "CY2022")</f>
        <v>5.3760000000000003</v>
      </c>
      <c r="Q91">
        <f t="shared" si="10"/>
        <v>573619.19999999995</v>
      </c>
      <c r="R91">
        <f t="shared" si="11"/>
        <v>0.14490822281167107</v>
      </c>
    </row>
    <row r="92" spans="1:18" x14ac:dyDescent="0.3">
      <c r="A92" t="s">
        <v>604</v>
      </c>
      <c r="B92" s="4" cm="1">
        <f t="array" ref="B92">_xll.SNL.Clients.Office.Excel.Functions.SPG(A92, "SP_TOTAL_REV", "CY2023")</f>
        <v>22098000</v>
      </c>
      <c r="C92" s="4">
        <f>_xll.SNL.Clients.Office.Excel.Functions.SPG(A92,"IQ_AVG_DILUT_SHARES_OUT","CY2023")</f>
        <v>853000000</v>
      </c>
      <c r="D92" s="5">
        <f>_xll.SNL.Clients.Office.Excel.Functions.SPG(A92, "IQ_DILUT_EPS_NORM", "CY2023")</f>
        <v>1.556</v>
      </c>
      <c r="E92">
        <f t="shared" si="6"/>
        <v>1327268</v>
      </c>
      <c r="F92">
        <f t="shared" si="7"/>
        <v>6.0062811114127979E-2</v>
      </c>
      <c r="G92" t="s">
        <v>604</v>
      </c>
      <c r="H92" s="4" cm="1">
        <f t="array" ref="H92">_xll.SNL.Clients.Office.Excel.Functions.SPG(G92, "SP_TOTAL_REV", "CY2022")</f>
        <v>20421000</v>
      </c>
      <c r="I92" s="4">
        <f>_xll.SNL.Clients.Office.Excel.Functions.SPG(G92,"IQ_AVG_DILUT_SHARES_OUT","CY2022")</f>
        <v>861200000</v>
      </c>
      <c r="J92" s="5">
        <f>_xll.SNL.Clients.Office.Excel.Functions.SPG(G92, "IQ_DILUT_EPS_NORM", "CY2022")</f>
        <v>1.8029999999999999</v>
      </c>
      <c r="K92">
        <f t="shared" si="8"/>
        <v>1552743.6</v>
      </c>
      <c r="L92">
        <f t="shared" si="9"/>
        <v>7.6036609372704567E-2</v>
      </c>
      <c r="M92" t="s">
        <v>608</v>
      </c>
      <c r="N92" s="4" cm="1">
        <f t="array" ref="N92">_xll.SNL.Clients.Office.Excel.Functions.SPG(M92, "SP_TOTAL_REV", "CY2022")</f>
        <v>31075862</v>
      </c>
      <c r="O92" s="4">
        <f>_xll.SNL.Clients.Office.Excel.Functions.SPG(M92,"IQ_AVG_DILUT_SHARES_OUT","CY2022")</f>
        <v>327696115</v>
      </c>
      <c r="P92" s="5">
        <f>_xll.SNL.Clients.Office.Excel.Functions.SPG(M92, "IQ_DILUT_EPS_NORM", "CY2022")</f>
        <v>3.0579999999999998</v>
      </c>
      <c r="Q92">
        <f t="shared" si="10"/>
        <v>1002094.7196699999</v>
      </c>
      <c r="R92">
        <f t="shared" si="11"/>
        <v>3.2246723185667382E-2</v>
      </c>
    </row>
    <row r="93" spans="1:18" x14ac:dyDescent="0.3">
      <c r="A93" t="s">
        <v>605</v>
      </c>
      <c r="B93" s="4" cm="1">
        <f t="array" ref="B93">_xll.SNL.Clients.Office.Excel.Functions.SPG(A93, "SP_TOTAL_REV", "CY2023")</f>
        <v>4098000</v>
      </c>
      <c r="C93" s="4">
        <f>_xll.SNL.Clients.Office.Excel.Functions.SPG(A93,"IQ_AVG_DILUT_SHARES_OUT","CY2023")</f>
        <v>181750000</v>
      </c>
      <c r="D93" s="5">
        <f>_xll.SNL.Clients.Office.Excel.Functions.SPG(A93, "IQ_DILUT_EPS_NORM", "CY2023")</f>
        <v>-1.272</v>
      </c>
      <c r="E93">
        <f t="shared" si="6"/>
        <v>-231186</v>
      </c>
      <c r="F93">
        <f t="shared" si="7"/>
        <v>-5.6414348462664715E-2</v>
      </c>
      <c r="G93" t="s">
        <v>605</v>
      </c>
      <c r="H93" s="4" cm="1">
        <f t="array" ref="H93">_xll.SNL.Clients.Office.Excel.Functions.SPG(G93, "SP_TOTAL_REV", "CY2022")</f>
        <v>4731000</v>
      </c>
      <c r="I93" s="4">
        <f>_xll.SNL.Clients.Office.Excel.Functions.SPG(G93,"IQ_AVG_DILUT_SHARES_OUT","CY2022")</f>
        <v>181000000</v>
      </c>
      <c r="J93" s="5">
        <f>_xll.SNL.Clients.Office.Excel.Functions.SPG(G93, "IQ_DILUT_EPS_NORM", "CY2022")</f>
        <v>1.7749999999999999</v>
      </c>
      <c r="K93">
        <f t="shared" si="8"/>
        <v>321275</v>
      </c>
      <c r="L93">
        <f t="shared" si="9"/>
        <v>6.7908476009300361E-2</v>
      </c>
      <c r="M93" t="s">
        <v>609</v>
      </c>
      <c r="N93" s="4" cm="1">
        <f t="array" ref="N93">_xll.SNL.Clients.Office.Excel.Functions.SPG(M93, "SP_TOTAL_REV", "CY2022")</f>
        <v>23748700</v>
      </c>
      <c r="O93" s="4">
        <f>_xll.SNL.Clients.Office.Excel.Functions.SPG(M93,"IQ_AVG_DILUT_SHARES_OUT","CY2022")</f>
        <v>137000000</v>
      </c>
      <c r="P93" s="5">
        <f>_xll.SNL.Clients.Office.Excel.Functions.SPG(M93, "IQ_DILUT_EPS_NORM", "CY2022")</f>
        <v>7.0149999999999997</v>
      </c>
      <c r="Q93">
        <f t="shared" si="10"/>
        <v>961055</v>
      </c>
      <c r="R93">
        <f t="shared" si="11"/>
        <v>4.0467688757700425E-2</v>
      </c>
    </row>
    <row r="94" spans="1:18" x14ac:dyDescent="0.3">
      <c r="A94" t="s">
        <v>606</v>
      </c>
      <c r="B94" s="4" cm="1">
        <f t="array" ref="B94">_xll.SNL.Clients.Office.Excel.Functions.SPG(A94, "SP_TOTAL_REV", "CY2023")</f>
        <v>67060000</v>
      </c>
      <c r="C94" s="4">
        <f>_xll.SNL.Clients.Office.Excel.Functions.SPG(A94,"IQ_AVG_DILUT_SHARES_OUT","CY2023")</f>
        <v>513600000</v>
      </c>
      <c r="D94" s="5">
        <f>_xll.SNL.Clients.Office.Excel.Functions.SPG(A94, "IQ_DILUT_EPS_NORM", "CY2023")</f>
        <v>16.765999999999998</v>
      </c>
      <c r="E94">
        <f t="shared" si="6"/>
        <v>8611017.5999999996</v>
      </c>
      <c r="F94">
        <f t="shared" si="7"/>
        <v>0.12840765881300328</v>
      </c>
      <c r="G94" t="s">
        <v>606</v>
      </c>
      <c r="H94" s="4" cm="1">
        <f t="array" ref="H94">_xll.SNL.Clients.Office.Excel.Functions.SPG(G94, "SP_TOTAL_REV", "CY2022")</f>
        <v>59427000</v>
      </c>
      <c r="I94" s="4">
        <f>_xll.SNL.Clients.Office.Excel.Functions.SPG(G94,"IQ_AVG_DILUT_SHARES_OUT","CY2022")</f>
        <v>530400000</v>
      </c>
      <c r="J94" s="5">
        <f>_xll.SNL.Clients.Office.Excel.Functions.SPG(G94, "IQ_DILUT_EPS_NORM", "CY2022")</f>
        <v>11.593</v>
      </c>
      <c r="K94">
        <f t="shared" si="8"/>
        <v>6148927.2000000002</v>
      </c>
      <c r="L94">
        <f t="shared" si="9"/>
        <v>0.10347026099247816</v>
      </c>
      <c r="M94" t="s">
        <v>610</v>
      </c>
      <c r="N94" s="4" cm="1">
        <f t="array" ref="N94">_xll.SNL.Clients.Office.Excel.Functions.SPG(M94, "SP_TOTAL_REV", "CY2022")</f>
        <v>9673000</v>
      </c>
      <c r="O94" s="4">
        <f>_xll.SNL.Clients.Office.Excel.Functions.SPG(M94,"IQ_AVG_DILUT_SHARES_OUT","CY2022")</f>
        <v>109235376</v>
      </c>
      <c r="P94" s="5">
        <f>_xll.SNL.Clients.Office.Excel.Functions.SPG(M94, "IQ_DILUT_EPS_NORM", "CY2022")</f>
        <v>8.7439999999999998</v>
      </c>
      <c r="Q94">
        <f t="shared" si="10"/>
        <v>955154.12774399994</v>
      </c>
      <c r="R94">
        <f t="shared" si="11"/>
        <v>9.8744353121472131E-2</v>
      </c>
    </row>
    <row r="95" spans="1:18" x14ac:dyDescent="0.3">
      <c r="A95" t="s">
        <v>607</v>
      </c>
      <c r="B95" s="4" cm="1">
        <f t="array" ref="B95">_xll.SNL.Clients.Office.Excel.Functions.SPG(A95, "SP_TOTAL_REV", "CY2023")</f>
        <v>3773500</v>
      </c>
      <c r="C95" s="4">
        <f>_xll.SNL.Clients.Office.Excel.Functions.SPG(A95,"IQ_AVG_DILUT_SHARES_OUT","CY2023")</f>
        <v>106200000</v>
      </c>
      <c r="D95" s="5">
        <f>_xll.SNL.Clients.Office.Excel.Functions.SPG(A95, "IQ_DILUT_EPS_NORM", "CY2023")</f>
        <v>6.1349999999999998</v>
      </c>
      <c r="E95">
        <f t="shared" si="6"/>
        <v>651537</v>
      </c>
      <c r="F95">
        <f t="shared" si="7"/>
        <v>0.17266118987677223</v>
      </c>
      <c r="G95" t="s">
        <v>607</v>
      </c>
      <c r="H95" s="4" cm="1">
        <f t="array" ref="H95">_xll.SNL.Clients.Office.Excel.Functions.SPG(G95, "SP_TOTAL_REV", "CY2022")</f>
        <v>3958500</v>
      </c>
      <c r="I95" s="4">
        <f>_xll.SNL.Clients.Office.Excel.Functions.SPG(G95,"IQ_AVG_DILUT_SHARES_OUT","CY2022")</f>
        <v>106700000</v>
      </c>
      <c r="J95" s="5">
        <f>_xll.SNL.Clients.Office.Excel.Functions.SPG(G95, "IQ_DILUT_EPS_NORM", "CY2022")</f>
        <v>5.3760000000000003</v>
      </c>
      <c r="K95">
        <f t="shared" si="8"/>
        <v>573619.19999999995</v>
      </c>
      <c r="L95">
        <f t="shared" si="9"/>
        <v>0.14490822281167107</v>
      </c>
      <c r="M95" t="s">
        <v>611</v>
      </c>
      <c r="N95" s="4" cm="1">
        <f t="array" ref="N95">_xll.SNL.Clients.Office.Excel.Functions.SPG(M95, "SP_TOTAL_REV", "CY2022")</f>
        <v>241805028</v>
      </c>
      <c r="O95" s="4">
        <f>_xll.SNL.Clients.Office.Excel.Functions.SPG(M95,"IQ_AVG_DILUT_SHARES_OUT","CY2022")</f>
        <v>209999750</v>
      </c>
      <c r="P95" s="5">
        <f>_xll.SNL.Clients.Office.Excel.Functions.SPG(M95, "IQ_DILUT_EPS_NORM", "CY2022")</f>
        <v>7.548</v>
      </c>
      <c r="Q95">
        <f t="shared" si="10"/>
        <v>1585078.1129999999</v>
      </c>
      <c r="R95">
        <f t="shared" si="11"/>
        <v>6.5551908746909922E-3</v>
      </c>
    </row>
    <row r="96" spans="1:18" x14ac:dyDescent="0.3">
      <c r="A96" t="s">
        <v>608</v>
      </c>
      <c r="B96" s="4" cm="1">
        <f t="array" ref="B96">_xll.SNL.Clients.Office.Excel.Functions.SPG(A96, "SP_TOTAL_REV", "CY2023")</f>
        <v>32252000</v>
      </c>
      <c r="C96" s="4">
        <f>_xll.SNL.Clients.Office.Excel.Functions.SPG(A96,"IQ_AVG_DILUT_SHARES_OUT","CY2023")</f>
        <v>312550942</v>
      </c>
      <c r="D96" s="5">
        <f>_xll.SNL.Clients.Office.Excel.Functions.SPG(A96, "IQ_DILUT_EPS_NORM", "CY2023")</f>
        <v>2.6070000000000002</v>
      </c>
      <c r="E96">
        <f t="shared" si="6"/>
        <v>814820.30579400004</v>
      </c>
      <c r="F96">
        <f t="shared" si="7"/>
        <v>2.5264179145293317E-2</v>
      </c>
      <c r="G96" t="s">
        <v>608</v>
      </c>
      <c r="H96" s="4" cm="1">
        <f t="array" ref="H96">_xll.SNL.Clients.Office.Excel.Functions.SPG(G96, "SP_TOTAL_REV", "CY2022")</f>
        <v>31075862</v>
      </c>
      <c r="I96" s="4">
        <f>_xll.SNL.Clients.Office.Excel.Functions.SPG(G96,"IQ_AVG_DILUT_SHARES_OUT","CY2022")</f>
        <v>327696115</v>
      </c>
      <c r="J96" s="5">
        <f>_xll.SNL.Clients.Office.Excel.Functions.SPG(G96, "IQ_DILUT_EPS_NORM", "CY2022")</f>
        <v>3.0579999999999998</v>
      </c>
      <c r="K96">
        <f t="shared" si="8"/>
        <v>1002094.7196699999</v>
      </c>
      <c r="L96">
        <f t="shared" si="9"/>
        <v>3.2246723185667382E-2</v>
      </c>
      <c r="M96" t="s">
        <v>612</v>
      </c>
      <c r="N96" s="4" cm="1">
        <f t="array" ref="N96">_xll.SNL.Clients.Office.Excel.Functions.SPG(M96, "SP_TOTAL_REV", "CY2022")</f>
        <v>145826000</v>
      </c>
      <c r="O96" s="4">
        <f>_xll.SNL.Clients.Office.Excel.Functions.SPG(M96,"IQ_AVG_DILUT_SHARES_OUT","CY2022")</f>
        <v>582040000</v>
      </c>
      <c r="P96" s="5">
        <f>_xll.SNL.Clients.Office.Excel.Functions.SPG(M96, "IQ_DILUT_EPS_NORM", "CY2022")</f>
        <v>3.988</v>
      </c>
      <c r="Q96">
        <f t="shared" si="10"/>
        <v>2321175.52</v>
      </c>
      <c r="R96">
        <f t="shared" si="11"/>
        <v>1.591743255660856E-2</v>
      </c>
    </row>
    <row r="97" spans="1:18" x14ac:dyDescent="0.3">
      <c r="A97" t="s">
        <v>609</v>
      </c>
      <c r="B97" s="4" cm="1">
        <f t="array" ref="B97">_xll.SNL.Clients.Office.Excel.Functions.SPG(A97, "SP_TOTAL_REV", "CY2023")</f>
        <v>21376000</v>
      </c>
      <c r="C97" s="4">
        <f>_xll.SNL.Clients.Office.Excel.Functions.SPG(A97,"IQ_AVG_DILUT_SHARES_OUT","CY2023")</f>
        <v>136300000</v>
      </c>
      <c r="D97" s="5">
        <f>_xll.SNL.Clients.Office.Excel.Functions.SPG(A97, "IQ_DILUT_EPS_NORM", "CY2023")</f>
        <v>7.0060000000000002</v>
      </c>
      <c r="E97">
        <f t="shared" si="6"/>
        <v>954917.8</v>
      </c>
      <c r="F97">
        <f t="shared" si="7"/>
        <v>4.4672427020958083E-2</v>
      </c>
      <c r="G97" t="s">
        <v>609</v>
      </c>
      <c r="H97" s="4" cm="1">
        <f t="array" ref="H97">_xll.SNL.Clients.Office.Excel.Functions.SPG(G97, "SP_TOTAL_REV", "CY2022")</f>
        <v>23748700</v>
      </c>
      <c r="I97" s="4">
        <f>_xll.SNL.Clients.Office.Excel.Functions.SPG(G97,"IQ_AVG_DILUT_SHARES_OUT","CY2022")</f>
        <v>137000000</v>
      </c>
      <c r="J97" s="5">
        <f>_xll.SNL.Clients.Office.Excel.Functions.SPG(G97, "IQ_DILUT_EPS_NORM", "CY2022")</f>
        <v>7.0149999999999997</v>
      </c>
      <c r="K97">
        <f t="shared" si="8"/>
        <v>961055</v>
      </c>
      <c r="L97">
        <f t="shared" si="9"/>
        <v>4.0467688757700425E-2</v>
      </c>
      <c r="M97" t="s">
        <v>613</v>
      </c>
      <c r="N97" s="4" cm="1">
        <f t="array" ref="N97">_xll.SNL.Clients.Office.Excel.Functions.SPG(M97, "SP_TOTAL_REV", "CY2022")</f>
        <v>9321000</v>
      </c>
      <c r="O97" s="4">
        <f>_xll.SNL.Clients.Office.Excel.Functions.SPG(M97,"IQ_AVG_DILUT_SHARES_OUT","CY2022")</f>
        <v>632346000</v>
      </c>
      <c r="P97" s="5">
        <f>_xll.SNL.Clients.Office.Excel.Functions.SPG(M97, "IQ_DILUT_EPS_NORM", "CY2022")</f>
        <v>1.129</v>
      </c>
      <c r="Q97">
        <f t="shared" si="10"/>
        <v>713918.63399999996</v>
      </c>
      <c r="R97">
        <f t="shared" si="11"/>
        <v>7.6592493723849367E-2</v>
      </c>
    </row>
    <row r="98" spans="1:18" x14ac:dyDescent="0.3">
      <c r="A98" t="s">
        <v>610</v>
      </c>
      <c r="B98" s="4" cm="1">
        <f t="array" ref="B98">_xll.SNL.Clients.Office.Excel.Functions.SPG(A98, "SP_TOTAL_REV", "CY2023")</f>
        <v>10940000</v>
      </c>
      <c r="C98" s="4">
        <f>_xll.SNL.Clients.Office.Excel.Functions.SPG(A98,"IQ_AVG_DILUT_SHARES_OUT","CY2023")</f>
        <v>109379664</v>
      </c>
      <c r="D98" s="5">
        <f>_xll.SNL.Clients.Office.Excel.Functions.SPG(A98, "IQ_DILUT_EPS_NORM", "CY2023")</f>
        <v>4.266</v>
      </c>
      <c r="E98">
        <f t="shared" si="6"/>
        <v>466613.64662399999</v>
      </c>
      <c r="F98">
        <f t="shared" si="7"/>
        <v>4.2652070075319924E-2</v>
      </c>
      <c r="G98" t="s">
        <v>610</v>
      </c>
      <c r="H98" s="4" cm="1">
        <f t="array" ref="H98">_xll.SNL.Clients.Office.Excel.Functions.SPG(G98, "SP_TOTAL_REV", "CY2022")</f>
        <v>9673000</v>
      </c>
      <c r="I98" s="4">
        <f>_xll.SNL.Clients.Office.Excel.Functions.SPG(G98,"IQ_AVG_DILUT_SHARES_OUT","CY2022")</f>
        <v>109235376</v>
      </c>
      <c r="J98" s="5">
        <f>_xll.SNL.Clients.Office.Excel.Functions.SPG(G98, "IQ_DILUT_EPS_NORM", "CY2022")</f>
        <v>8.7439999999999998</v>
      </c>
      <c r="K98">
        <f t="shared" si="8"/>
        <v>955154.12774399994</v>
      </c>
      <c r="L98">
        <f t="shared" si="9"/>
        <v>9.8744353121472131E-2</v>
      </c>
      <c r="M98" t="s">
        <v>614</v>
      </c>
      <c r="N98" s="4" cm="1">
        <f t="array" ref="N98">_xll.SNL.Clients.Office.Excel.Functions.SPG(M98, "SP_TOTAL_REV", "CY2022")</f>
        <v>11186000</v>
      </c>
      <c r="O98" s="4">
        <f>_xll.SNL.Clients.Office.Excel.Functions.SPG(M98,"IQ_AVG_DILUT_SHARES_OUT","CY2022")</f>
        <v>204200000</v>
      </c>
      <c r="P98" s="5">
        <f>_xll.SNL.Clients.Office.Excel.Functions.SPG(M98, "IQ_DILUT_EPS_NORM", "CY2022")</f>
        <v>13.502000000000001</v>
      </c>
      <c r="Q98">
        <f t="shared" si="10"/>
        <v>2757108.4</v>
      </c>
      <c r="R98">
        <f t="shared" si="11"/>
        <v>0.24647849097085642</v>
      </c>
    </row>
    <row r="99" spans="1:18" x14ac:dyDescent="0.3">
      <c r="A99" t="s">
        <v>611</v>
      </c>
      <c r="B99" s="4" cm="1">
        <f t="array" ref="B99">_xll.SNL.Clients.Office.Excel.Functions.SPG(A99, "SP_TOTAL_REV", "CY2023")</f>
        <v>271579412</v>
      </c>
      <c r="C99" s="4">
        <f>_xll.SNL.Clients.Office.Excel.Functions.SPG(A99,"IQ_AVG_DILUT_SHARES_OUT","CY2023")</f>
        <v>203468500</v>
      </c>
      <c r="D99" s="5">
        <f>_xll.SNL.Clients.Office.Excel.Functions.SPG(A99, "IQ_DILUT_EPS_NORM", "CY2023")</f>
        <v>7.5510000000000002</v>
      </c>
      <c r="E99">
        <f t="shared" si="6"/>
        <v>1536390.6435</v>
      </c>
      <c r="F99">
        <f t="shared" si="7"/>
        <v>5.657242690767738E-3</v>
      </c>
      <c r="G99" t="s">
        <v>611</v>
      </c>
      <c r="H99" s="4" cm="1">
        <f t="array" ref="H99">_xll.SNL.Clients.Office.Excel.Functions.SPG(G99, "SP_TOTAL_REV", "CY2022")</f>
        <v>241805028</v>
      </c>
      <c r="I99" s="4">
        <f>_xll.SNL.Clients.Office.Excel.Functions.SPG(G99,"IQ_AVG_DILUT_SHARES_OUT","CY2022")</f>
        <v>209999750</v>
      </c>
      <c r="J99" s="5">
        <f>_xll.SNL.Clients.Office.Excel.Functions.SPG(G99, "IQ_DILUT_EPS_NORM", "CY2022")</f>
        <v>7.548</v>
      </c>
      <c r="K99">
        <f t="shared" si="8"/>
        <v>1585078.1129999999</v>
      </c>
      <c r="L99">
        <f t="shared" si="9"/>
        <v>6.5551908746909922E-3</v>
      </c>
      <c r="M99" t="s">
        <v>615</v>
      </c>
      <c r="N99" s="4" cm="1">
        <f t="array" ref="N99">_xll.SNL.Clients.Office.Excel.Functions.SPG(M99, "SP_TOTAL_REV", "CY2022")</f>
        <v>24696625</v>
      </c>
      <c r="O99" s="4">
        <f>_xll.SNL.Clients.Office.Excel.Functions.SPG(M99,"IQ_AVG_DILUT_SHARES_OUT","CY2022")</f>
        <v>127150000</v>
      </c>
      <c r="P99" s="5">
        <f>_xll.SNL.Clients.Office.Excel.Functions.SPG(M99, "IQ_DILUT_EPS_NORM", "CY2022")</f>
        <v>5.915</v>
      </c>
      <c r="Q99">
        <f t="shared" si="10"/>
        <v>752092.25</v>
      </c>
      <c r="R99">
        <f t="shared" si="11"/>
        <v>3.0453240068227947E-2</v>
      </c>
    </row>
    <row r="100" spans="1:18" x14ac:dyDescent="0.3">
      <c r="A100" t="s">
        <v>612</v>
      </c>
      <c r="B100" s="4" cm="1">
        <f t="array" ref="B100">_xll.SNL.Clients.Office.Excel.Functions.SPG(A100, "SP_TOTAL_REV", "CY2023")</f>
        <v>155392000</v>
      </c>
      <c r="C100" s="4">
        <f>_xll.SNL.Clients.Office.Excel.Functions.SPG(A100,"IQ_AVG_DILUT_SHARES_OUT","CY2023")</f>
        <v>545704000</v>
      </c>
      <c r="D100" s="5">
        <f>_xll.SNL.Clients.Office.Excel.Functions.SPG(A100, "IQ_DILUT_EPS_NORM", "CY2023")</f>
        <v>4.657</v>
      </c>
      <c r="E100">
        <f t="shared" si="6"/>
        <v>2541343.5279999999</v>
      </c>
      <c r="F100">
        <f t="shared" si="7"/>
        <v>1.6354403881795716E-2</v>
      </c>
      <c r="G100" t="s">
        <v>612</v>
      </c>
      <c r="H100" s="4" cm="1">
        <f t="array" ref="H100">_xll.SNL.Clients.Office.Excel.Functions.SPG(G100, "SP_TOTAL_REV", "CY2022")</f>
        <v>145826000</v>
      </c>
      <c r="I100" s="4">
        <f>_xll.SNL.Clients.Office.Excel.Functions.SPG(G100,"IQ_AVG_DILUT_SHARES_OUT","CY2022")</f>
        <v>582040000</v>
      </c>
      <c r="J100" s="5">
        <f>_xll.SNL.Clients.Office.Excel.Functions.SPG(G100, "IQ_DILUT_EPS_NORM", "CY2022")</f>
        <v>3.988</v>
      </c>
      <c r="K100">
        <f t="shared" si="8"/>
        <v>2321175.52</v>
      </c>
      <c r="L100">
        <f t="shared" si="9"/>
        <v>1.591743255660856E-2</v>
      </c>
      <c r="M100" t="s">
        <v>616</v>
      </c>
      <c r="N100" s="4" cm="1">
        <f t="array" ref="N100">_xll.SNL.Clients.Office.Excel.Functions.SPG(M100, "SP_TOTAL_REV", "CY2022")</f>
        <v>3976060</v>
      </c>
      <c r="O100" s="4">
        <f>_xll.SNL.Clients.Office.Excel.Functions.SPG(M100,"IQ_AVG_DILUT_SHARES_OUT","CY2022")</f>
        <v>51301000</v>
      </c>
      <c r="P100" s="5">
        <f>_xll.SNL.Clients.Office.Excel.Functions.SPG(M100, "IQ_DILUT_EPS_NORM", "CY2022")</f>
        <v>6.165</v>
      </c>
      <c r="Q100">
        <f t="shared" si="10"/>
        <v>316270.66499999998</v>
      </c>
      <c r="R100">
        <f t="shared" si="11"/>
        <v>7.9543735507009453E-2</v>
      </c>
    </row>
    <row r="101" spans="1:18" x14ac:dyDescent="0.3">
      <c r="A101" t="s">
        <v>613</v>
      </c>
      <c r="B101" s="4" cm="1">
        <f t="array" ref="B101">_xll.SNL.Clients.Office.Excel.Functions.SPG(A101, "SP_TOTAL_REV", "CY2023")</f>
        <v>8696000</v>
      </c>
      <c r="C101" s="4">
        <f>_xll.SNL.Clients.Office.Excel.Functions.SPG(A101,"IQ_AVG_DILUT_SHARES_OUT","CY2023")</f>
        <v>633179000</v>
      </c>
      <c r="D101" s="5">
        <f>_xll.SNL.Clients.Office.Excel.Functions.SPG(A101, "IQ_DILUT_EPS_NORM", "CY2023")</f>
        <v>1.0820000000000001</v>
      </c>
      <c r="E101">
        <f t="shared" si="6"/>
        <v>685099.67799999996</v>
      </c>
      <c r="F101">
        <f t="shared" si="7"/>
        <v>7.8783311637534492E-2</v>
      </c>
      <c r="G101" t="s">
        <v>613</v>
      </c>
      <c r="H101" s="4" cm="1">
        <f t="array" ref="H101">_xll.SNL.Clients.Office.Excel.Functions.SPG(G101, "SP_TOTAL_REV", "CY2022")</f>
        <v>9321000</v>
      </c>
      <c r="I101" s="4">
        <f>_xll.SNL.Clients.Office.Excel.Functions.SPG(G101,"IQ_AVG_DILUT_SHARES_OUT","CY2022")</f>
        <v>632346000</v>
      </c>
      <c r="J101" s="5">
        <f>_xll.SNL.Clients.Office.Excel.Functions.SPG(G101, "IQ_DILUT_EPS_NORM", "CY2022")</f>
        <v>1.129</v>
      </c>
      <c r="K101">
        <f t="shared" si="8"/>
        <v>713918.63399999996</v>
      </c>
      <c r="L101">
        <f t="shared" si="9"/>
        <v>7.6592493723849367E-2</v>
      </c>
      <c r="M101" t="s">
        <v>617</v>
      </c>
      <c r="N101" s="4" cm="1">
        <f t="array" ref="N101">_xll.SNL.Clients.Office.Excel.Functions.SPG(M101, "SP_TOTAL_REV", "CY2022")</f>
        <v>20762000</v>
      </c>
      <c r="O101" s="4">
        <f>_xll.SNL.Clients.Office.Excel.Functions.SPG(M101,"IQ_AVG_DILUT_SHARES_OUT","CY2022")</f>
        <v>1894000000</v>
      </c>
      <c r="P101" s="5">
        <f>_xll.SNL.Clients.Office.Excel.Functions.SPG(M101, "IQ_DILUT_EPS_NORM", "CY2022")</f>
        <v>3.2240000000000002</v>
      </c>
      <c r="Q101">
        <f t="shared" si="10"/>
        <v>6106256</v>
      </c>
      <c r="R101">
        <f t="shared" si="11"/>
        <v>0.2941073114343512</v>
      </c>
    </row>
    <row r="102" spans="1:18" x14ac:dyDescent="0.3">
      <c r="A102" t="s">
        <v>614</v>
      </c>
      <c r="B102" s="4" cm="1">
        <f t="array" ref="B102">_xll.SNL.Clients.Office.Excel.Functions.SPG(A102, "SP_TOTAL_REV", "CY2023")</f>
        <v>6631000</v>
      </c>
      <c r="C102" s="4">
        <f>_xll.SNL.Clients.Office.Excel.Functions.SPG(A102,"IQ_AVG_DILUT_SHARES_OUT","CY2023")</f>
        <v>193800000</v>
      </c>
      <c r="D102" s="5">
        <f>_xll.SNL.Clients.Office.Excel.Functions.SPG(A102, "IQ_DILUT_EPS_NORM", "CY2023")</f>
        <v>5.68</v>
      </c>
      <c r="E102">
        <f t="shared" si="6"/>
        <v>1100784</v>
      </c>
      <c r="F102">
        <f t="shared" si="7"/>
        <v>0.1660057306590258</v>
      </c>
      <c r="G102" t="s">
        <v>614</v>
      </c>
      <c r="H102" s="4" cm="1">
        <f t="array" ref="H102">_xll.SNL.Clients.Office.Excel.Functions.SPG(G102, "SP_TOTAL_REV", "CY2022")</f>
        <v>11186000</v>
      </c>
      <c r="I102" s="4">
        <f>_xll.SNL.Clients.Office.Excel.Functions.SPG(G102,"IQ_AVG_DILUT_SHARES_OUT","CY2022")</f>
        <v>204200000</v>
      </c>
      <c r="J102" s="5">
        <f>_xll.SNL.Clients.Office.Excel.Functions.SPG(G102, "IQ_DILUT_EPS_NORM", "CY2022")</f>
        <v>13.502000000000001</v>
      </c>
      <c r="K102">
        <f t="shared" si="8"/>
        <v>2757108.4</v>
      </c>
      <c r="L102">
        <f t="shared" si="9"/>
        <v>0.24647849097085642</v>
      </c>
      <c r="M102" t="s">
        <v>618</v>
      </c>
      <c r="N102" s="4" cm="1">
        <f t="array" ref="N102">_xll.SNL.Clients.Office.Excel.Functions.SPG(M102, "SP_TOTAL_REV", "CY2022")</f>
        <v>54022000</v>
      </c>
      <c r="O102" s="4">
        <f>_xll.SNL.Clients.Office.Excel.Functions.SPG(M102,"IQ_AVG_DILUT_SHARES_OUT","CY2022")</f>
        <v>164433596</v>
      </c>
      <c r="P102" s="5">
        <f>_xll.SNL.Clients.Office.Excel.Functions.SPG(M102, "IQ_DILUT_EPS_NORM", "CY2022")</f>
        <v>24.613</v>
      </c>
      <c r="Q102">
        <f t="shared" si="10"/>
        <v>4047204.0983480001</v>
      </c>
      <c r="R102">
        <f t="shared" si="11"/>
        <v>7.4917702016733922E-2</v>
      </c>
    </row>
    <row r="103" spans="1:18" x14ac:dyDescent="0.3">
      <c r="A103" t="s">
        <v>615</v>
      </c>
      <c r="B103" s="4" cm="1">
        <f t="array" ref="B103">_xll.SNL.Clients.Office.Excel.Functions.SPG(A103, "SP_TOTAL_REV", "CY2023")</f>
        <v>17596443</v>
      </c>
      <c r="C103" s="4">
        <f>_xll.SNL.Clients.Office.Excel.Functions.SPG(A103,"IQ_AVG_DILUT_SHARES_OUT","CY2023")</f>
        <v>119677000</v>
      </c>
      <c r="D103" s="5">
        <f>_xll.SNL.Clients.Office.Excel.Functions.SPG(A103, "IQ_DILUT_EPS_NORM", "CY2023")</f>
        <v>2.2280000000000002</v>
      </c>
      <c r="E103">
        <f t="shared" si="6"/>
        <v>266640.35600000003</v>
      </c>
      <c r="F103">
        <f t="shared" si="7"/>
        <v>1.5153082699725168E-2</v>
      </c>
      <c r="G103" t="s">
        <v>615</v>
      </c>
      <c r="H103" s="4" cm="1">
        <f t="array" ref="H103">_xll.SNL.Clients.Office.Excel.Functions.SPG(G103, "SP_TOTAL_REV", "CY2022")</f>
        <v>24696625</v>
      </c>
      <c r="I103" s="4">
        <f>_xll.SNL.Clients.Office.Excel.Functions.SPG(G103,"IQ_AVG_DILUT_SHARES_OUT","CY2022")</f>
        <v>127150000</v>
      </c>
      <c r="J103" s="5">
        <f>_xll.SNL.Clients.Office.Excel.Functions.SPG(G103, "IQ_DILUT_EPS_NORM", "CY2022")</f>
        <v>5.915</v>
      </c>
      <c r="K103">
        <f t="shared" si="8"/>
        <v>752092.25</v>
      </c>
      <c r="L103">
        <f t="shared" si="9"/>
        <v>3.0453240068227947E-2</v>
      </c>
      <c r="M103" t="s">
        <v>619</v>
      </c>
      <c r="N103" s="4" cm="1">
        <f t="array" ref="N103">_xll.SNL.Clients.Office.Excel.Functions.SPG(M103, "SP_TOTAL_REV", "CY2022")</f>
        <v>235916000</v>
      </c>
      <c r="O103" s="4">
        <f>_xll.SNL.Clients.Office.Excel.Functions.SPG(M103,"IQ_AVG_DILUT_SHARES_OUT","CY2022")</f>
        <v>1940000000</v>
      </c>
      <c r="P103" s="5">
        <f>_xll.SNL.Clients.Office.Excel.Functions.SPG(M103, "IQ_DILUT_EPS_NORM", "CY2022")</f>
        <v>16.058</v>
      </c>
      <c r="Q103">
        <f t="shared" si="10"/>
        <v>31152520</v>
      </c>
      <c r="R103">
        <f t="shared" si="11"/>
        <v>0.1320492039539497</v>
      </c>
    </row>
    <row r="104" spans="1:18" x14ac:dyDescent="0.3">
      <c r="A104" t="s">
        <v>616</v>
      </c>
      <c r="B104" s="4" cm="1">
        <f t="array" ref="B104">_xll.SNL.Clients.Office.Excel.Functions.SPG(A104, "SP_TOTAL_REV", "CY2023")</f>
        <v>4129409</v>
      </c>
      <c r="C104" s="4">
        <f>_xll.SNL.Clients.Office.Excel.Functions.SPG(A104,"IQ_AVG_DILUT_SHARES_OUT","CY2023")</f>
        <v>51451000</v>
      </c>
      <c r="D104" s="5">
        <f>_xll.SNL.Clients.Office.Excel.Functions.SPG(A104, "IQ_DILUT_EPS_NORM", "CY2023")</f>
        <v>6.2759999999999998</v>
      </c>
      <c r="E104">
        <f t="shared" si="6"/>
        <v>322906.47600000002</v>
      </c>
      <c r="F104">
        <f t="shared" si="7"/>
        <v>7.8196777311232674E-2</v>
      </c>
      <c r="G104" t="s">
        <v>616</v>
      </c>
      <c r="H104" s="4" cm="1">
        <f t="array" ref="H104">_xll.SNL.Clients.Office.Excel.Functions.SPG(G104, "SP_TOTAL_REV", "CY2022")</f>
        <v>3976060</v>
      </c>
      <c r="I104" s="4">
        <f>_xll.SNL.Clients.Office.Excel.Functions.SPG(G104,"IQ_AVG_DILUT_SHARES_OUT","CY2022")</f>
        <v>51301000</v>
      </c>
      <c r="J104" s="5">
        <f>_xll.SNL.Clients.Office.Excel.Functions.SPG(G104, "IQ_DILUT_EPS_NORM", "CY2022")</f>
        <v>6.165</v>
      </c>
      <c r="K104">
        <f t="shared" si="8"/>
        <v>316270.66499999998</v>
      </c>
      <c r="L104">
        <f t="shared" si="9"/>
        <v>7.9543735507009453E-2</v>
      </c>
      <c r="M104" t="s">
        <v>620</v>
      </c>
      <c r="N104" s="4" cm="1">
        <f t="array" ref="N104">_xll.SNL.Clients.Office.Excel.Functions.SPG(M104, "SP_TOTAL_REV", "CY2022")</f>
        <v>8634652</v>
      </c>
      <c r="O104" s="4">
        <f>_xll.SNL.Clients.Office.Excel.Functions.SPG(M104,"IQ_AVG_DILUT_SHARES_OUT","CY2022")</f>
        <v>1403100000</v>
      </c>
      <c r="P104" s="5">
        <f>_xll.SNL.Clients.Office.Excel.Functions.SPG(M104, "IQ_DILUT_EPS_NORM", "CY2022")</f>
        <v>0.53100000000000003</v>
      </c>
      <c r="Q104">
        <f t="shared" si="10"/>
        <v>745046.1</v>
      </c>
      <c r="R104">
        <f t="shared" si="11"/>
        <v>8.62855966864675E-2</v>
      </c>
    </row>
    <row r="105" spans="1:18" x14ac:dyDescent="0.3">
      <c r="A105" t="s">
        <v>617</v>
      </c>
      <c r="B105" s="4" cm="1">
        <f t="array" ref="B105">_xll.SNL.Clients.Office.Excel.Functions.SPG(A105, "SP_TOTAL_REV", "CY2023")</f>
        <v>18837000</v>
      </c>
      <c r="C105" s="4">
        <f>_xll.SNL.Clients.Office.Excel.Functions.SPG(A105,"IQ_AVG_DILUT_SHARES_OUT","CY2023")</f>
        <v>1831000000</v>
      </c>
      <c r="D105" s="5">
        <f>_xll.SNL.Clients.Office.Excel.Functions.SPG(A105, "IQ_DILUT_EPS_NORM", "CY2023")</f>
        <v>2.4729999999999999</v>
      </c>
      <c r="E105">
        <f t="shared" si="6"/>
        <v>4528063</v>
      </c>
      <c r="F105">
        <f t="shared" si="7"/>
        <v>0.24038132399001963</v>
      </c>
      <c r="G105" t="s">
        <v>617</v>
      </c>
      <c r="H105" s="4" cm="1">
        <f t="array" ref="H105">_xll.SNL.Clients.Office.Excel.Functions.SPG(G105, "SP_TOTAL_REV", "CY2022")</f>
        <v>20762000</v>
      </c>
      <c r="I105" s="4">
        <f>_xll.SNL.Clients.Office.Excel.Functions.SPG(G105,"IQ_AVG_DILUT_SHARES_OUT","CY2022")</f>
        <v>1894000000</v>
      </c>
      <c r="J105" s="5">
        <f>_xll.SNL.Clients.Office.Excel.Functions.SPG(G105, "IQ_DILUT_EPS_NORM", "CY2022")</f>
        <v>3.2240000000000002</v>
      </c>
      <c r="K105">
        <f t="shared" si="8"/>
        <v>6106256</v>
      </c>
      <c r="L105">
        <f t="shared" si="9"/>
        <v>0.2941073114343512</v>
      </c>
      <c r="M105" t="s">
        <v>621</v>
      </c>
      <c r="N105" s="4" cm="1">
        <f t="array" ref="N105">_xll.SNL.Clients.Office.Excel.Functions.SPG(M105, "SP_TOTAL_REV", "CY2022")</f>
        <v>42976000</v>
      </c>
      <c r="O105" s="4">
        <f>_xll.SNL.Clients.Office.Excel.Functions.SPG(M105,"IQ_AVG_DILUT_SHARES_OUT","CY2022")</f>
        <v>423527444</v>
      </c>
      <c r="P105" s="5">
        <f>_xll.SNL.Clients.Office.Excel.Functions.SPG(M105, "IQ_DILUT_EPS_NORM", "CY2022")</f>
        <v>9.641</v>
      </c>
      <c r="Q105">
        <f t="shared" si="10"/>
        <v>4083228.0876040002</v>
      </c>
      <c r="R105">
        <f t="shared" si="11"/>
        <v>9.501182258944528E-2</v>
      </c>
    </row>
    <row r="106" spans="1:18" x14ac:dyDescent="0.3">
      <c r="A106" t="s">
        <v>618</v>
      </c>
      <c r="B106" s="4" cm="1">
        <f t="array" ref="B106">_xll.SNL.Clients.Office.Excel.Functions.SPG(A106, "SP_TOTAL_REV", "CY2023")</f>
        <v>54607000</v>
      </c>
      <c r="C106" s="4">
        <f>_xll.SNL.Clients.Office.Excel.Functions.SPG(A106,"IQ_AVG_DILUT_SHARES_OUT","CY2023")</f>
        <v>151966313</v>
      </c>
      <c r="D106" s="5">
        <f>_xll.SNL.Clients.Office.Excel.Functions.SPG(A106, "IQ_DILUT_EPS_NORM", "CY2023")</f>
        <v>23.350999999999999</v>
      </c>
      <c r="E106">
        <f t="shared" si="6"/>
        <v>3548565.3748630001</v>
      </c>
      <c r="F106">
        <f t="shared" si="7"/>
        <v>6.4983708587964914E-2</v>
      </c>
      <c r="G106" t="s">
        <v>618</v>
      </c>
      <c r="H106" s="4" cm="1">
        <f t="array" ref="H106">_xll.SNL.Clients.Office.Excel.Functions.SPG(G106, "SP_TOTAL_REV", "CY2022")</f>
        <v>54022000</v>
      </c>
      <c r="I106" s="4">
        <f>_xll.SNL.Clients.Office.Excel.Functions.SPG(G106,"IQ_AVG_DILUT_SHARES_OUT","CY2022")</f>
        <v>164433596</v>
      </c>
      <c r="J106" s="5">
        <f>_xll.SNL.Clients.Office.Excel.Functions.SPG(G106, "IQ_DILUT_EPS_NORM", "CY2022")</f>
        <v>24.613</v>
      </c>
      <c r="K106">
        <f t="shared" si="8"/>
        <v>4047204.0983480001</v>
      </c>
      <c r="L106">
        <f t="shared" si="9"/>
        <v>7.4917702016733922E-2</v>
      </c>
      <c r="M106" t="s">
        <v>622</v>
      </c>
      <c r="N106" s="4" cm="1">
        <f t="array" ref="N106">_xll.SNL.Clients.Office.Excel.Functions.SPG(M106, "SP_TOTAL_REV", "CY2022")</f>
        <v>5375600</v>
      </c>
      <c r="O106" s="4">
        <f>_xll.SNL.Clients.Office.Excel.Functions.SPG(M106,"IQ_AVG_DILUT_SHARES_OUT","CY2022")</f>
        <v>246300000</v>
      </c>
      <c r="P106" s="5">
        <f>_xll.SNL.Clients.Office.Excel.Functions.SPG(M106, "IQ_DILUT_EPS_NORM", "CY2022")</f>
        <v>2.371</v>
      </c>
      <c r="Q106">
        <f t="shared" si="10"/>
        <v>583977.30000000005</v>
      </c>
      <c r="R106">
        <f t="shared" si="11"/>
        <v>0.10863481285809957</v>
      </c>
    </row>
    <row r="107" spans="1:18" x14ac:dyDescent="0.3">
      <c r="A107" t="s">
        <v>619</v>
      </c>
      <c r="B107" s="4" cm="1">
        <f t="array" ref="B107">_xll.SNL.Clients.Office.Excel.Functions.SPG(A107, "SP_TOTAL_REV", "CY2023")</f>
        <v>194799000</v>
      </c>
      <c r="C107" s="4">
        <f>_xll.SNL.Clients.Office.Excel.Functions.SPG(A107,"IQ_AVG_DILUT_SHARES_OUT","CY2023")</f>
        <v>1880000000</v>
      </c>
      <c r="D107" s="5">
        <f>_xll.SNL.Clients.Office.Excel.Functions.SPG(A107, "IQ_DILUT_EPS_NORM", "CY2023")</f>
        <v>10.492000000000001</v>
      </c>
      <c r="E107">
        <f t="shared" si="6"/>
        <v>19724960</v>
      </c>
      <c r="F107">
        <f t="shared" si="7"/>
        <v>0.10125801467153323</v>
      </c>
      <c r="G107" t="s">
        <v>619</v>
      </c>
      <c r="H107" s="4" cm="1">
        <f t="array" ref="H107">_xll.SNL.Clients.Office.Excel.Functions.SPG(G107, "SP_TOTAL_REV", "CY2022")</f>
        <v>235916000</v>
      </c>
      <c r="I107" s="4">
        <f>_xll.SNL.Clients.Office.Excel.Functions.SPG(G107,"IQ_AVG_DILUT_SHARES_OUT","CY2022")</f>
        <v>1940000000</v>
      </c>
      <c r="J107" s="5">
        <f>_xll.SNL.Clients.Office.Excel.Functions.SPG(G107, "IQ_DILUT_EPS_NORM", "CY2022")</f>
        <v>16.058</v>
      </c>
      <c r="K107">
        <f t="shared" si="8"/>
        <v>31152520</v>
      </c>
      <c r="L107">
        <f t="shared" si="9"/>
        <v>0.1320492039539497</v>
      </c>
      <c r="M107" t="s">
        <v>623</v>
      </c>
      <c r="N107" s="4" cm="1">
        <f t="array" ref="N107">_xll.SNL.Clients.Office.Excel.Functions.SPG(M107, "SP_TOTAL_REV", "CY2022")</f>
        <v>180031000</v>
      </c>
      <c r="O107" s="4">
        <f>_xll.SNL.Clients.Office.Excel.Functions.SPG(M107,"IQ_AVG_DILUT_SHARES_OUT","CY2022")</f>
        <v>313065000</v>
      </c>
      <c r="P107" s="5">
        <f>_xll.SNL.Clients.Office.Excel.Functions.SPG(M107, "IQ_DILUT_EPS_NORM", "CY2022")</f>
        <v>13.454000000000001</v>
      </c>
      <c r="Q107">
        <f t="shared" si="10"/>
        <v>4211976.51</v>
      </c>
      <c r="R107">
        <f t="shared" si="11"/>
        <v>2.3395840216407175E-2</v>
      </c>
    </row>
    <row r="108" spans="1:18" x14ac:dyDescent="0.3">
      <c r="A108" t="s">
        <v>620</v>
      </c>
      <c r="B108" s="4" cm="1">
        <f t="array" ref="B108">_xll.SNL.Clients.Office.Excel.Functions.SPG(A108, "SP_TOTAL_REV", "CY2023")</f>
        <v>9871649</v>
      </c>
      <c r="C108" s="4">
        <f>_xll.SNL.Clients.Office.Excel.Functions.SPG(A108,"IQ_AVG_DILUT_SHARES_OUT","CY2023")</f>
        <v>1385500000</v>
      </c>
      <c r="D108" s="5">
        <f>_xll.SNL.Clients.Office.Excel.Functions.SPG(A108, "IQ_DILUT_EPS_NORM", "CY2023")</f>
        <v>0.748</v>
      </c>
      <c r="E108">
        <f t="shared" si="6"/>
        <v>1036354</v>
      </c>
      <c r="F108">
        <f t="shared" si="7"/>
        <v>0.10498286557797994</v>
      </c>
      <c r="G108" t="s">
        <v>620</v>
      </c>
      <c r="H108" s="4" cm="1">
        <f t="array" ref="H108">_xll.SNL.Clients.Office.Excel.Functions.SPG(G108, "SP_TOTAL_REV", "CY2022")</f>
        <v>8634652</v>
      </c>
      <c r="I108" s="4">
        <f>_xll.SNL.Clients.Office.Excel.Functions.SPG(G108,"IQ_AVG_DILUT_SHARES_OUT","CY2022")</f>
        <v>1403100000</v>
      </c>
      <c r="J108" s="5">
        <f>_xll.SNL.Clients.Office.Excel.Functions.SPG(G108, "IQ_DILUT_EPS_NORM", "CY2022")</f>
        <v>0.53100000000000003</v>
      </c>
      <c r="K108">
        <f t="shared" si="8"/>
        <v>745046.1</v>
      </c>
      <c r="L108">
        <f t="shared" si="9"/>
        <v>8.62855966864675E-2</v>
      </c>
      <c r="M108" t="s">
        <v>624</v>
      </c>
      <c r="N108" s="4" cm="1">
        <f t="array" ref="N108">_xll.SNL.Clients.Office.Excel.Functions.SPG(M108, "SP_TOTAL_REV", "CY2022")</f>
        <v>6563000</v>
      </c>
      <c r="O108" s="4">
        <f>_xll.SNL.Clients.Office.Excel.Functions.SPG(M108,"IQ_AVG_DILUT_SHARES_OUT","CY2022")</f>
        <v>158800000</v>
      </c>
      <c r="P108" s="5">
        <f>_xll.SNL.Clients.Office.Excel.Functions.SPG(M108, "IQ_DILUT_EPS_NORM", "CY2022")</f>
        <v>-2.7309999999999999</v>
      </c>
      <c r="Q108">
        <f t="shared" si="10"/>
        <v>-433682.8</v>
      </c>
      <c r="R108">
        <f t="shared" si="11"/>
        <v>-6.6079963431357608E-2</v>
      </c>
    </row>
    <row r="109" spans="1:18" x14ac:dyDescent="0.3">
      <c r="A109" t="s">
        <v>621</v>
      </c>
      <c r="B109" s="4" cm="1">
        <f t="array" ref="B109">_xll.SNL.Clients.Office.Excel.Functions.SPG(A109, "SP_TOTAL_REV", "CY2023")</f>
        <v>51000000</v>
      </c>
      <c r="C109" s="4">
        <f>_xll.SNL.Clients.Office.Excel.Functions.SPG(A109,"IQ_AVG_DILUT_SHARES_OUT","CY2023")</f>
        <v>414202568</v>
      </c>
      <c r="D109" s="5">
        <f>_xll.SNL.Clients.Office.Excel.Functions.SPG(A109, "IQ_DILUT_EPS_NORM", "CY2023")</f>
        <v>14.305999999999999</v>
      </c>
      <c r="E109">
        <f t="shared" si="6"/>
        <v>5925581.9378079996</v>
      </c>
      <c r="F109">
        <f t="shared" si="7"/>
        <v>0.11618788113349018</v>
      </c>
      <c r="G109" t="s">
        <v>621</v>
      </c>
      <c r="H109" s="4" cm="1">
        <f t="array" ref="H109">_xll.SNL.Clients.Office.Excel.Functions.SPG(G109, "SP_TOTAL_REV", "CY2022")</f>
        <v>42976000</v>
      </c>
      <c r="I109" s="4">
        <f>_xll.SNL.Clients.Office.Excel.Functions.SPG(G109,"IQ_AVG_DILUT_SHARES_OUT","CY2022")</f>
        <v>423527444</v>
      </c>
      <c r="J109" s="5">
        <f>_xll.SNL.Clients.Office.Excel.Functions.SPG(G109, "IQ_DILUT_EPS_NORM", "CY2022")</f>
        <v>9.641</v>
      </c>
      <c r="K109">
        <f t="shared" si="8"/>
        <v>4083228.0876040002</v>
      </c>
      <c r="L109">
        <f t="shared" si="9"/>
        <v>9.501182258944528E-2</v>
      </c>
      <c r="M109" t="s">
        <v>625</v>
      </c>
      <c r="N109" s="4" cm="1">
        <f t="array" ref="N109">_xll.SNL.Clients.Office.Excel.Functions.SPG(M109, "SP_TOTAL_REV", "CY2022")</f>
        <v>8376540</v>
      </c>
      <c r="O109" s="4">
        <f>_xll.SNL.Clients.Office.Excel.Functions.SPG(M109,"IQ_AVG_DILUT_SHARES_OUT","CY2022")</f>
        <v>416726000</v>
      </c>
      <c r="P109" s="5">
        <f>_xll.SNL.Clients.Office.Excel.Functions.SPG(M109, "IQ_DILUT_EPS_NORM", "CY2022")</f>
        <v>2.3940000000000001</v>
      </c>
      <c r="Q109">
        <f t="shared" si="10"/>
        <v>997642.04399999999</v>
      </c>
      <c r="R109">
        <f t="shared" si="11"/>
        <v>0.11909953799540145</v>
      </c>
    </row>
    <row r="110" spans="1:18" x14ac:dyDescent="0.3">
      <c r="A110" t="s">
        <v>622</v>
      </c>
      <c r="B110" s="4" cm="1">
        <f t="array" ref="B110">_xll.SNL.Clients.Office.Excel.Functions.SPG(A110, "SP_TOTAL_REV", "CY2023")</f>
        <v>5867900</v>
      </c>
      <c r="C110" s="4">
        <f>_xll.SNL.Clients.Office.Excel.Functions.SPG(A110,"IQ_AVG_DILUT_SHARES_OUT","CY2023")</f>
        <v>247600000</v>
      </c>
      <c r="D110" s="5">
        <f>_xll.SNL.Clients.Office.Excel.Functions.SPG(A110, "IQ_DILUT_EPS_NORM", "CY2023")</f>
        <v>2.4420000000000002</v>
      </c>
      <c r="E110">
        <f t="shared" si="6"/>
        <v>604639.19999999995</v>
      </c>
      <c r="F110">
        <f t="shared" si="7"/>
        <v>0.10304183779546344</v>
      </c>
      <c r="G110" t="s">
        <v>622</v>
      </c>
      <c r="H110" s="4" cm="1">
        <f t="array" ref="H110">_xll.SNL.Clients.Office.Excel.Functions.SPG(G110, "SP_TOTAL_REV", "CY2022")</f>
        <v>5375600</v>
      </c>
      <c r="I110" s="4">
        <f>_xll.SNL.Clients.Office.Excel.Functions.SPG(G110,"IQ_AVG_DILUT_SHARES_OUT","CY2022")</f>
        <v>246300000</v>
      </c>
      <c r="J110" s="5">
        <f>_xll.SNL.Clients.Office.Excel.Functions.SPG(G110, "IQ_DILUT_EPS_NORM", "CY2022")</f>
        <v>2.371</v>
      </c>
      <c r="K110">
        <f t="shared" si="8"/>
        <v>583977.30000000005</v>
      </c>
      <c r="L110">
        <f t="shared" si="9"/>
        <v>0.10863481285809957</v>
      </c>
      <c r="M110" t="s">
        <v>626</v>
      </c>
      <c r="N110" s="4" cm="1">
        <f t="array" ref="N110">_xll.SNL.Clients.Office.Excel.Functions.SPG(M110, "SP_TOTAL_REV", "CY2022")</f>
        <v>53161000</v>
      </c>
      <c r="O110" s="4">
        <f>_xll.SNL.Clients.Office.Excel.Functions.SPG(M110,"IQ_AVG_DILUT_SHARES_OUT","CY2022")</f>
        <v>4138500000</v>
      </c>
      <c r="P110" s="5">
        <f>_xll.SNL.Clients.Office.Excel.Functions.SPG(M110, "IQ_DILUT_EPS_NORM", "CY2022")</f>
        <v>2.16</v>
      </c>
      <c r="Q110">
        <f t="shared" si="10"/>
        <v>8939160</v>
      </c>
      <c r="R110">
        <f t="shared" si="11"/>
        <v>0.16815259306634564</v>
      </c>
    </row>
    <row r="111" spans="1:18" x14ac:dyDescent="0.3">
      <c r="A111" t="s">
        <v>623</v>
      </c>
      <c r="B111" s="4" cm="1">
        <f t="array" ref="B111">_xll.SNL.Clients.Office.Excel.Functions.SPG(A111, "SP_TOTAL_REV", "CY2023")</f>
        <v>195187000</v>
      </c>
      <c r="C111" s="4">
        <f>_xll.SNL.Clients.Office.Excel.Functions.SPG(A111,"IQ_AVG_DILUT_SHARES_OUT","CY2023")</f>
        <v>296882000</v>
      </c>
      <c r="D111" s="5">
        <f>_xll.SNL.Clients.Office.Excel.Functions.SPG(A111, "IQ_DILUT_EPS_NORM", "CY2023")</f>
        <v>15.11</v>
      </c>
      <c r="E111">
        <f t="shared" si="6"/>
        <v>4485887.0199999996</v>
      </c>
      <c r="F111">
        <f t="shared" si="7"/>
        <v>2.2982509183500949E-2</v>
      </c>
      <c r="G111" t="s">
        <v>623</v>
      </c>
      <c r="H111" s="4" cm="1">
        <f t="array" ref="H111">_xll.SNL.Clients.Office.Excel.Functions.SPG(G111, "SP_TOTAL_REV", "CY2022")</f>
        <v>180031000</v>
      </c>
      <c r="I111" s="4">
        <f>_xll.SNL.Clients.Office.Excel.Functions.SPG(G111,"IQ_AVG_DILUT_SHARES_OUT","CY2022")</f>
        <v>313065000</v>
      </c>
      <c r="J111" s="5">
        <f>_xll.SNL.Clients.Office.Excel.Functions.SPG(G111, "IQ_DILUT_EPS_NORM", "CY2022")</f>
        <v>13.454000000000001</v>
      </c>
      <c r="K111">
        <f t="shared" si="8"/>
        <v>4211976.51</v>
      </c>
      <c r="L111">
        <f t="shared" si="9"/>
        <v>2.3395840216407175E-2</v>
      </c>
      <c r="M111" t="s">
        <v>627</v>
      </c>
      <c r="N111" s="4" cm="1">
        <f t="array" ref="N111">_xll.SNL.Clients.Office.Excel.Functions.SPG(M111, "SP_TOTAL_REV", "CY2022")</f>
        <v>74484000</v>
      </c>
      <c r="O111" s="4">
        <f>_xll.SNL.Clients.Office.Excel.Functions.SPG(M111,"IQ_AVG_DILUT_SHARES_OUT","CY2022")</f>
        <v>1964300000</v>
      </c>
      <c r="P111" s="5">
        <f>_xll.SNL.Clients.Office.Excel.Functions.SPG(M111, "IQ_DILUT_EPS_NORM", "CY2022")</f>
        <v>5.9390000000000001</v>
      </c>
      <c r="Q111">
        <f t="shared" si="10"/>
        <v>11665977.699999999</v>
      </c>
      <c r="R111">
        <f t="shared" si="11"/>
        <v>0.15662394205466945</v>
      </c>
    </row>
    <row r="112" spans="1:18" x14ac:dyDescent="0.3">
      <c r="A112" t="s">
        <v>624</v>
      </c>
      <c r="B112" s="4" cm="1">
        <f t="array" ref="B112">_xll.SNL.Clients.Office.Excel.Functions.SPG(A112, "SP_TOTAL_REV", "CY2023")</f>
        <v>10013000</v>
      </c>
      <c r="C112" s="4">
        <f>_xll.SNL.Clients.Office.Excel.Functions.SPG(A112,"IQ_AVG_DILUT_SHARES_OUT","CY2023")</f>
        <v>158100000</v>
      </c>
      <c r="D112" s="5">
        <f>_xll.SNL.Clients.Office.Excel.Functions.SPG(A112, "IQ_DILUT_EPS_NORM", "CY2023")</f>
        <v>8.9969999999999999</v>
      </c>
      <c r="E112">
        <f t="shared" si="6"/>
        <v>1422425.7</v>
      </c>
      <c r="F112">
        <f t="shared" si="7"/>
        <v>0.14205789473684211</v>
      </c>
      <c r="G112" t="s">
        <v>624</v>
      </c>
      <c r="H112" s="4" cm="1">
        <f t="array" ref="H112">_xll.SNL.Clients.Office.Excel.Functions.SPG(G112, "SP_TOTAL_REV", "CY2022")</f>
        <v>6563000</v>
      </c>
      <c r="I112" s="4">
        <f>_xll.SNL.Clients.Office.Excel.Functions.SPG(G112,"IQ_AVG_DILUT_SHARES_OUT","CY2022")</f>
        <v>158800000</v>
      </c>
      <c r="J112" s="5">
        <f>_xll.SNL.Clients.Office.Excel.Functions.SPG(G112, "IQ_DILUT_EPS_NORM", "CY2022")</f>
        <v>-2.7309999999999999</v>
      </c>
      <c r="K112">
        <f t="shared" si="8"/>
        <v>-433682.8</v>
      </c>
      <c r="L112">
        <f t="shared" si="9"/>
        <v>-6.6079963431357608E-2</v>
      </c>
      <c r="M112" t="s">
        <v>628</v>
      </c>
      <c r="N112" s="4" cm="1">
        <f t="array" ref="N112">_xll.SNL.Clients.Office.Excel.Functions.SPG(M112, "SP_TOTAL_REV", "CY2022")</f>
        <v>8052000</v>
      </c>
      <c r="O112" s="4">
        <f>_xll.SNL.Clients.Office.Excel.Functions.SPG(M112,"IQ_AVG_DILUT_SHARES_OUT","CY2022")</f>
        <v>477803142</v>
      </c>
      <c r="P112" s="5">
        <f>_xll.SNL.Clients.Office.Excel.Functions.SPG(M112, "IQ_DILUT_EPS_NORM", "CY2022")</f>
        <v>3.4729999999999999</v>
      </c>
      <c r="Q112">
        <f t="shared" si="10"/>
        <v>1659410.3121659998</v>
      </c>
      <c r="R112">
        <f t="shared" si="11"/>
        <v>0.20608672530625929</v>
      </c>
    </row>
    <row r="113" spans="1:18" x14ac:dyDescent="0.3">
      <c r="A113" t="s">
        <v>625</v>
      </c>
      <c r="B113" s="4" cm="1">
        <f t="array" ref="B113">_xll.SNL.Clients.Office.Excel.Functions.SPG(A113, "SP_TOTAL_REV", "CY2023")</f>
        <v>9193964</v>
      </c>
      <c r="C113" s="4">
        <f>_xll.SNL.Clients.Office.Excel.Functions.SPG(A113,"IQ_AVG_DILUT_SHARES_OUT","CY2023")</f>
        <v>413658000</v>
      </c>
      <c r="D113" s="5">
        <f>_xll.SNL.Clients.Office.Excel.Functions.SPG(A113, "IQ_DILUT_EPS_NORM", "CY2023")</f>
        <v>2.742</v>
      </c>
      <c r="E113">
        <f t="shared" si="6"/>
        <v>1134250.236</v>
      </c>
      <c r="F113">
        <f t="shared" si="7"/>
        <v>0.123369009928688</v>
      </c>
      <c r="G113" t="s">
        <v>625</v>
      </c>
      <c r="H113" s="4" cm="1">
        <f t="array" ref="H113">_xll.SNL.Clients.Office.Excel.Functions.SPG(G113, "SP_TOTAL_REV", "CY2022")</f>
        <v>8376540</v>
      </c>
      <c r="I113" s="4">
        <f>_xll.SNL.Clients.Office.Excel.Functions.SPG(G113,"IQ_AVG_DILUT_SHARES_OUT","CY2022")</f>
        <v>416726000</v>
      </c>
      <c r="J113" s="5">
        <f>_xll.SNL.Clients.Office.Excel.Functions.SPG(G113, "IQ_DILUT_EPS_NORM", "CY2022")</f>
        <v>2.3940000000000001</v>
      </c>
      <c r="K113">
        <f t="shared" si="8"/>
        <v>997642.04399999999</v>
      </c>
      <c r="L113">
        <f t="shared" si="9"/>
        <v>0.11909953799540145</v>
      </c>
      <c r="M113" t="s">
        <v>629</v>
      </c>
      <c r="N113" s="4" cm="1">
        <f t="array" ref="N113">_xll.SNL.Clients.Office.Excel.Functions.SPG(M113, "SP_TOTAL_REV", "CY2022")</f>
        <v>7065000</v>
      </c>
      <c r="O113" s="4">
        <f>_xll.SNL.Clients.Office.Excel.Functions.SPG(M113,"IQ_AVG_DILUT_SHARES_OUT","CY2022")</f>
        <v>123893500</v>
      </c>
      <c r="P113" s="5">
        <f>_xll.SNL.Clients.Office.Excel.Functions.SPG(M113, "IQ_DILUT_EPS_NORM", "CY2022")</f>
        <v>3.218</v>
      </c>
      <c r="Q113">
        <f t="shared" si="10"/>
        <v>398689.283</v>
      </c>
      <c r="R113">
        <f t="shared" si="11"/>
        <v>5.6431604104741684E-2</v>
      </c>
    </row>
    <row r="114" spans="1:18" x14ac:dyDescent="0.3">
      <c r="A114" t="s">
        <v>626</v>
      </c>
      <c r="B114" s="4" cm="1">
        <f t="array" ref="B114">_xll.SNL.Clients.Office.Excel.Functions.SPG(A114, "SP_TOTAL_REV", "CY2023")</f>
        <v>57233000</v>
      </c>
      <c r="C114" s="4">
        <f>_xll.SNL.Clients.Office.Excel.Functions.SPG(A114,"IQ_AVG_DILUT_SHARES_OUT","CY2023")</f>
        <v>4087000000</v>
      </c>
      <c r="D114" s="5">
        <f>_xll.SNL.Clients.Office.Excel.Functions.SPG(A114, "IQ_DILUT_EPS_NORM", "CY2023")</f>
        <v>2.5680000000000001</v>
      </c>
      <c r="E114">
        <f t="shared" si="6"/>
        <v>10495416</v>
      </c>
      <c r="F114">
        <f t="shared" si="7"/>
        <v>0.18338049726556357</v>
      </c>
      <c r="G114" t="s">
        <v>626</v>
      </c>
      <c r="H114" s="4" cm="1">
        <f t="array" ref="H114">_xll.SNL.Clients.Office.Excel.Functions.SPG(G114, "SP_TOTAL_REV", "CY2022")</f>
        <v>53161000</v>
      </c>
      <c r="I114" s="4">
        <f>_xll.SNL.Clients.Office.Excel.Functions.SPG(G114,"IQ_AVG_DILUT_SHARES_OUT","CY2022")</f>
        <v>4138500000</v>
      </c>
      <c r="J114" s="5">
        <f>_xll.SNL.Clients.Office.Excel.Functions.SPG(G114, "IQ_DILUT_EPS_NORM", "CY2022")</f>
        <v>2.16</v>
      </c>
      <c r="K114">
        <f t="shared" si="8"/>
        <v>8939160</v>
      </c>
      <c r="L114">
        <f t="shared" si="9"/>
        <v>0.16815259306634564</v>
      </c>
      <c r="M114" t="s">
        <v>630</v>
      </c>
      <c r="N114" s="4" cm="1">
        <f t="array" ref="N114">_xll.SNL.Clients.Office.Excel.Functions.SPG(M114, "SP_TOTAL_REV", "CY2022")</f>
        <v>5008800</v>
      </c>
      <c r="O114" s="4">
        <f>_xll.SNL.Clients.Office.Excel.Functions.SPG(M114,"IQ_AVG_DILUT_SHARES_OUT","CY2022")</f>
        <v>359181000</v>
      </c>
      <c r="P114" s="5">
        <f>_xll.SNL.Clients.Office.Excel.Functions.SPG(M114, "IQ_DILUT_EPS_NORM", "CY2022")</f>
        <v>6.0730000000000004</v>
      </c>
      <c r="Q114">
        <f t="shared" si="10"/>
        <v>2181306.213</v>
      </c>
      <c r="R114">
        <f t="shared" si="11"/>
        <v>0.43549477180162915</v>
      </c>
    </row>
    <row r="115" spans="1:18" x14ac:dyDescent="0.3">
      <c r="A115" t="s">
        <v>627</v>
      </c>
      <c r="B115" s="4" cm="1">
        <f t="array" ref="B115">_xll.SNL.Clients.Office.Excel.Functions.SPG(A115, "SP_TOTAL_REV", "CY2023")</f>
        <v>77116000</v>
      </c>
      <c r="C115" s="4">
        <f>_xll.SNL.Clients.Office.Excel.Functions.SPG(A115,"IQ_AVG_DILUT_SHARES_OUT","CY2023")</f>
        <v>1955800000</v>
      </c>
      <c r="D115" s="5">
        <f>_xll.SNL.Clients.Office.Excel.Functions.SPG(A115, "IQ_DILUT_EPS_NORM", "CY2023")</f>
        <v>4.2969999999999997</v>
      </c>
      <c r="E115">
        <f t="shared" si="6"/>
        <v>8404072.5999999996</v>
      </c>
      <c r="F115">
        <f t="shared" si="7"/>
        <v>0.10897962290575237</v>
      </c>
      <c r="G115" t="s">
        <v>627</v>
      </c>
      <c r="H115" s="4" cm="1">
        <f t="array" ref="H115">_xll.SNL.Clients.Office.Excel.Functions.SPG(G115, "SP_TOTAL_REV", "CY2022")</f>
        <v>74484000</v>
      </c>
      <c r="I115" s="4">
        <f>_xll.SNL.Clients.Office.Excel.Functions.SPG(G115,"IQ_AVG_DILUT_SHARES_OUT","CY2022")</f>
        <v>1964300000</v>
      </c>
      <c r="J115" s="5">
        <f>_xll.SNL.Clients.Office.Excel.Functions.SPG(G115, "IQ_DILUT_EPS_NORM", "CY2022")</f>
        <v>5.9390000000000001</v>
      </c>
      <c r="K115">
        <f t="shared" si="8"/>
        <v>11665977.699999999</v>
      </c>
      <c r="L115">
        <f t="shared" si="9"/>
        <v>0.15662394205466945</v>
      </c>
      <c r="M115" t="s">
        <v>631</v>
      </c>
      <c r="N115" s="4" cm="1">
        <f t="array" ref="N115">_xll.SNL.Clients.Office.Excel.Functions.SPG(M115, "SP_TOTAL_REV", "CY2022")</f>
        <v>8596000</v>
      </c>
      <c r="O115" s="4">
        <f>_xll.SNL.Clients.Office.Excel.Functions.SPG(M115,"IQ_AVG_DILUT_SHARES_OUT","CY2022")</f>
        <v>290000000</v>
      </c>
      <c r="P115" s="5">
        <f>_xll.SNL.Clients.Office.Excel.Functions.SPG(M115, "IQ_DILUT_EPS_NORM", "CY2022")</f>
        <v>2.0270000000000001</v>
      </c>
      <c r="Q115">
        <f t="shared" si="10"/>
        <v>587830</v>
      </c>
      <c r="R115">
        <f t="shared" si="11"/>
        <v>6.8384132154490462E-2</v>
      </c>
    </row>
    <row r="116" spans="1:18" x14ac:dyDescent="0.3">
      <c r="A116" t="s">
        <v>628</v>
      </c>
      <c r="B116" s="4" cm="1">
        <f t="array" ref="B116">_xll.SNL.Clients.Office.Excel.Functions.SPG(A116, "SP_TOTAL_REV", "CY2023")</f>
        <v>8224000</v>
      </c>
      <c r="C116" s="4">
        <f>_xll.SNL.Clients.Office.Excel.Functions.SPG(A116,"IQ_AVG_DILUT_SHARES_OUT","CY2023")</f>
        <v>476693148</v>
      </c>
      <c r="D116" s="5">
        <f>_xll.SNL.Clients.Office.Excel.Functions.SPG(A116, "IQ_DILUT_EPS_NORM", "CY2023")</f>
        <v>2.6619999999999999</v>
      </c>
      <c r="E116">
        <f t="shared" si="6"/>
        <v>1268957.159976</v>
      </c>
      <c r="F116">
        <f t="shared" si="7"/>
        <v>0.15429926556128404</v>
      </c>
      <c r="G116" t="s">
        <v>628</v>
      </c>
      <c r="H116" s="4" cm="1">
        <f t="array" ref="H116">_xll.SNL.Clients.Office.Excel.Functions.SPG(G116, "SP_TOTAL_REV", "CY2022")</f>
        <v>8052000</v>
      </c>
      <c r="I116" s="4">
        <f>_xll.SNL.Clients.Office.Excel.Functions.SPG(G116,"IQ_AVG_DILUT_SHARES_OUT","CY2022")</f>
        <v>477803142</v>
      </c>
      <c r="J116" s="5">
        <f>_xll.SNL.Clients.Office.Excel.Functions.SPG(G116, "IQ_DILUT_EPS_NORM", "CY2022")</f>
        <v>3.4729999999999999</v>
      </c>
      <c r="K116">
        <f t="shared" si="8"/>
        <v>1659410.3121659998</v>
      </c>
      <c r="L116">
        <f t="shared" si="9"/>
        <v>0.20608672530625929</v>
      </c>
      <c r="M116" t="s">
        <v>632</v>
      </c>
      <c r="N116" s="4" cm="1">
        <f t="array" ref="N116">_xll.SNL.Clients.Office.Excel.Functions.SPG(M116, "SP_TOTAL_REV", "CY2022")</f>
        <v>43004000</v>
      </c>
      <c r="O116" s="4">
        <f>_xll.SNL.Clients.Office.Excel.Functions.SPG(M116,"IQ_AVG_DILUT_SHARES_OUT","CY2022")</f>
        <v>4350000000</v>
      </c>
      <c r="P116" s="5">
        <f>_xll.SNL.Clients.Office.Excel.Functions.SPG(M116, "IQ_DILUT_EPS_NORM", "CY2022")</f>
        <v>1.917</v>
      </c>
      <c r="Q116">
        <f t="shared" si="10"/>
        <v>8338950</v>
      </c>
      <c r="R116">
        <f t="shared" si="11"/>
        <v>0.19391103153195052</v>
      </c>
    </row>
    <row r="117" spans="1:18" x14ac:dyDescent="0.3">
      <c r="A117" t="s">
        <v>629</v>
      </c>
      <c r="B117" s="4" cm="1">
        <f t="array" ref="B117">_xll.SNL.Clients.Office.Excel.Functions.SPG(A117, "SP_TOTAL_REV", "CY2023")</f>
        <v>7310000</v>
      </c>
      <c r="C117" s="4">
        <f>_xll.SNL.Clients.Office.Excel.Functions.SPG(A117,"IQ_AVG_DILUT_SHARES_OUT","CY2023")</f>
        <v>124523000</v>
      </c>
      <c r="D117" s="5">
        <f>_xll.SNL.Clients.Office.Excel.Functions.SPG(A117, "IQ_DILUT_EPS_NORM", "CY2023")</f>
        <v>3.7050000000000001</v>
      </c>
      <c r="E117">
        <f t="shared" si="6"/>
        <v>461357.71500000003</v>
      </c>
      <c r="F117">
        <f t="shared" si="7"/>
        <v>6.3113230506155957E-2</v>
      </c>
      <c r="G117" t="s">
        <v>629</v>
      </c>
      <c r="H117" s="4" cm="1">
        <f t="array" ref="H117">_xll.SNL.Clients.Office.Excel.Functions.SPG(G117, "SP_TOTAL_REV", "CY2022")</f>
        <v>7065000</v>
      </c>
      <c r="I117" s="4">
        <f>_xll.SNL.Clients.Office.Excel.Functions.SPG(G117,"IQ_AVG_DILUT_SHARES_OUT","CY2022")</f>
        <v>123893500</v>
      </c>
      <c r="J117" s="5">
        <f>_xll.SNL.Clients.Office.Excel.Functions.SPG(G117, "IQ_DILUT_EPS_NORM", "CY2022")</f>
        <v>3.218</v>
      </c>
      <c r="K117">
        <f t="shared" si="8"/>
        <v>398689.283</v>
      </c>
      <c r="L117">
        <f t="shared" si="9"/>
        <v>5.6431604104741684E-2</v>
      </c>
      <c r="M117" t="s">
        <v>633</v>
      </c>
      <c r="N117" s="4" cm="1">
        <f t="array" ref="N117">_xll.SNL.Clients.Office.Excel.Functions.SPG(M117, "SP_TOTAL_REV", "CY2022")</f>
        <v>19428000</v>
      </c>
      <c r="O117" s="4">
        <f>_xll.SNL.Clients.Office.Excel.Functions.SPG(M117,"IQ_AVG_DILUT_SHARES_OUT","CY2022")</f>
        <v>519000000</v>
      </c>
      <c r="P117" s="5">
        <f>_xll.SNL.Clients.Office.Excel.Functions.SPG(M117, "IQ_DILUT_EPS_NORM", "CY2022")</f>
        <v>3.7069999999999999</v>
      </c>
      <c r="Q117">
        <f t="shared" si="10"/>
        <v>1923933</v>
      </c>
      <c r="R117">
        <f t="shared" si="11"/>
        <v>9.9028875849289683E-2</v>
      </c>
    </row>
    <row r="118" spans="1:18" x14ac:dyDescent="0.3">
      <c r="A118" t="s">
        <v>630</v>
      </c>
      <c r="B118" s="4" cm="1">
        <f t="array" ref="B118">_xll.SNL.Clients.Office.Excel.Functions.SPG(A118, "SP_TOTAL_REV", "CY2023")</f>
        <v>5569100</v>
      </c>
      <c r="C118" s="4">
        <f>_xll.SNL.Clients.Office.Excel.Functions.SPG(A118,"IQ_AVG_DILUT_SHARES_OUT","CY2023")</f>
        <v>359500000</v>
      </c>
      <c r="D118" s="5">
        <f>_xll.SNL.Clients.Office.Excel.Functions.SPG(A118, "IQ_DILUT_EPS_NORM", "CY2023")</f>
        <v>7.2210000000000001</v>
      </c>
      <c r="E118">
        <f t="shared" si="6"/>
        <v>2595949.5</v>
      </c>
      <c r="F118">
        <f t="shared" si="7"/>
        <v>0.46613447415201736</v>
      </c>
      <c r="G118" t="s">
        <v>630</v>
      </c>
      <c r="H118" s="4" cm="1">
        <f t="array" ref="H118">_xll.SNL.Clients.Office.Excel.Functions.SPG(G118, "SP_TOTAL_REV", "CY2022")</f>
        <v>5008800</v>
      </c>
      <c r="I118" s="4">
        <f>_xll.SNL.Clients.Office.Excel.Functions.SPG(G118,"IQ_AVG_DILUT_SHARES_OUT","CY2022")</f>
        <v>359181000</v>
      </c>
      <c r="J118" s="5">
        <f>_xll.SNL.Clients.Office.Excel.Functions.SPG(G118, "IQ_DILUT_EPS_NORM", "CY2022")</f>
        <v>6.0730000000000004</v>
      </c>
      <c r="K118">
        <f t="shared" si="8"/>
        <v>2181306.213</v>
      </c>
      <c r="L118">
        <f t="shared" si="9"/>
        <v>0.43549477180162915</v>
      </c>
      <c r="M118" t="s">
        <v>634</v>
      </c>
      <c r="N118" s="4" cm="1">
        <f t="array" ref="N118">_xll.SNL.Clients.Office.Excel.Functions.SPG(M118, "SP_TOTAL_REV", "CY2022")</f>
        <v>17967000</v>
      </c>
      <c r="O118" s="4">
        <f>_xll.SNL.Clients.Office.Excel.Functions.SPG(M118,"IQ_AVG_DILUT_SHARES_OUT","CY2022")</f>
        <v>838800000</v>
      </c>
      <c r="P118" s="5">
        <f>_xll.SNL.Clients.Office.Excel.Functions.SPG(M118, "IQ_DILUT_EPS_NORM", "CY2022")</f>
        <v>2.347</v>
      </c>
      <c r="Q118">
        <f t="shared" si="10"/>
        <v>1968663.6</v>
      </c>
      <c r="R118">
        <f t="shared" si="11"/>
        <v>0.10957108031390884</v>
      </c>
    </row>
    <row r="119" spans="1:18" x14ac:dyDescent="0.3">
      <c r="A119" t="s">
        <v>631</v>
      </c>
      <c r="B119" s="4" cm="1">
        <f t="array" ref="B119">_xll.SNL.Clients.Office.Excel.Functions.SPG(A119, "SP_TOTAL_REV", "CY2023")</f>
        <v>7462000</v>
      </c>
      <c r="C119" s="4">
        <f>_xll.SNL.Clients.Office.Excel.Functions.SPG(A119,"IQ_AVG_DILUT_SHARES_OUT","CY2023")</f>
        <v>291700000</v>
      </c>
      <c r="D119" s="5">
        <f>_xll.SNL.Clients.Office.Excel.Functions.SPG(A119, "IQ_DILUT_EPS_NORM", "CY2023")</f>
        <v>2.0339999999999998</v>
      </c>
      <c r="E119">
        <f t="shared" si="6"/>
        <v>593317.80000000005</v>
      </c>
      <c r="F119">
        <f t="shared" si="7"/>
        <v>7.9511900294827131E-2</v>
      </c>
      <c r="G119" t="s">
        <v>631</v>
      </c>
      <c r="H119" s="4" cm="1">
        <f t="array" ref="H119">_xll.SNL.Clients.Office.Excel.Functions.SPG(G119, "SP_TOTAL_REV", "CY2022")</f>
        <v>8596000</v>
      </c>
      <c r="I119" s="4">
        <f>_xll.SNL.Clients.Office.Excel.Functions.SPG(G119,"IQ_AVG_DILUT_SHARES_OUT","CY2022")</f>
        <v>290000000</v>
      </c>
      <c r="J119" s="5">
        <f>_xll.SNL.Clients.Office.Excel.Functions.SPG(G119, "IQ_DILUT_EPS_NORM", "CY2022")</f>
        <v>2.0270000000000001</v>
      </c>
      <c r="K119">
        <f t="shared" si="8"/>
        <v>587830</v>
      </c>
      <c r="L119">
        <f t="shared" si="9"/>
        <v>6.8384132154490462E-2</v>
      </c>
      <c r="M119" t="s">
        <v>635</v>
      </c>
      <c r="N119" s="4" cm="1">
        <f t="array" ref="N119">_xll.SNL.Clients.Office.Excel.Functions.SPG(M119, "SP_TOTAL_REV", "CY2022")</f>
        <v>121427000</v>
      </c>
      <c r="O119" s="4">
        <f>_xll.SNL.Clients.Office.Excel.Functions.SPG(M119,"IQ_AVG_DILUT_SHARES_OUT","CY2022")</f>
        <v>4430000000</v>
      </c>
      <c r="P119" s="5">
        <f>_xll.SNL.Clients.Office.Excel.Functions.SPG(M119, "IQ_DILUT_EPS_NORM", "CY2022")</f>
        <v>2.6659999999999999</v>
      </c>
      <c r="Q119">
        <f t="shared" si="10"/>
        <v>11810380</v>
      </c>
      <c r="R119">
        <f t="shared" si="11"/>
        <v>9.7263211641562416E-2</v>
      </c>
    </row>
    <row r="120" spans="1:18" x14ac:dyDescent="0.3">
      <c r="A120" t="s">
        <v>632</v>
      </c>
      <c r="B120" s="4" cm="1">
        <f t="array" ref="B120">_xll.SNL.Clients.Office.Excel.Functions.SPG(A120, "SP_TOTAL_REV", "CY2023")</f>
        <v>45754000</v>
      </c>
      <c r="C120" s="4">
        <f>_xll.SNL.Clients.Office.Excel.Functions.SPG(A120,"IQ_AVG_DILUT_SHARES_OUT","CY2023")</f>
        <v>4339000000</v>
      </c>
      <c r="D120" s="5">
        <f>_xll.SNL.Clients.Office.Excel.Functions.SPG(A120, "IQ_DILUT_EPS_NORM", "CY2023")</f>
        <v>2.0510000000000002</v>
      </c>
      <c r="E120">
        <f t="shared" si="6"/>
        <v>8899289</v>
      </c>
      <c r="F120">
        <f t="shared" si="7"/>
        <v>0.19450297241771211</v>
      </c>
      <c r="G120" t="s">
        <v>632</v>
      </c>
      <c r="H120" s="4" cm="1">
        <f t="array" ref="H120">_xll.SNL.Clients.Office.Excel.Functions.SPG(G120, "SP_TOTAL_REV", "CY2022")</f>
        <v>43004000</v>
      </c>
      <c r="I120" s="4">
        <f>_xll.SNL.Clients.Office.Excel.Functions.SPG(G120,"IQ_AVG_DILUT_SHARES_OUT","CY2022")</f>
        <v>4350000000</v>
      </c>
      <c r="J120" s="5">
        <f>_xll.SNL.Clients.Office.Excel.Functions.SPG(G120, "IQ_DILUT_EPS_NORM", "CY2022")</f>
        <v>1.917</v>
      </c>
      <c r="K120">
        <f t="shared" si="8"/>
        <v>8338950</v>
      </c>
      <c r="L120">
        <f t="shared" si="9"/>
        <v>0.19391103153195052</v>
      </c>
      <c r="M120" t="s">
        <v>636</v>
      </c>
      <c r="N120" s="4" cm="1">
        <f t="array" ref="N120">_xll.SNL.Clients.Office.Excel.Functions.SPG(M120, "SP_TOTAL_REV", "CY2022")</f>
        <v>3534000</v>
      </c>
      <c r="O120" s="4">
        <f>_xll.SNL.Clients.Office.Excel.Functions.SPG(M120,"IQ_AVG_DILUT_SHARES_OUT","CY2022")</f>
        <v>133000000</v>
      </c>
      <c r="P120" s="5">
        <f>_xll.SNL.Clients.Office.Excel.Functions.SPG(M120, "IQ_DILUT_EPS_NORM", "CY2022")</f>
        <v>7.016</v>
      </c>
      <c r="Q120">
        <f t="shared" si="10"/>
        <v>933128</v>
      </c>
      <c r="R120">
        <f t="shared" si="11"/>
        <v>0.26404301075268816</v>
      </c>
    </row>
    <row r="121" spans="1:18" x14ac:dyDescent="0.3">
      <c r="A121" t="s">
        <v>633</v>
      </c>
      <c r="B121" s="4" cm="1">
        <f t="array" ref="B121">_xll.SNL.Clients.Office.Excel.Functions.SPG(A121, "SP_TOTAL_REV", "CY2023")</f>
        <v>19353000</v>
      </c>
      <c r="C121" s="4">
        <f>_xll.SNL.Clients.Office.Excel.Functions.SPG(A121,"IQ_AVG_DILUT_SHARES_OUT","CY2023")</f>
        <v>505000000</v>
      </c>
      <c r="D121" s="5">
        <f>_xll.SNL.Clients.Office.Excel.Functions.SPG(A121, "IQ_DILUT_EPS_NORM", "CY2023")</f>
        <v>3.762</v>
      </c>
      <c r="E121">
        <f t="shared" si="6"/>
        <v>1899810</v>
      </c>
      <c r="F121">
        <f t="shared" si="7"/>
        <v>9.8166175786699741E-2</v>
      </c>
      <c r="G121" t="s">
        <v>633</v>
      </c>
      <c r="H121" s="4" cm="1">
        <f t="array" ref="H121">_xll.SNL.Clients.Office.Excel.Functions.SPG(G121, "SP_TOTAL_REV", "CY2022")</f>
        <v>19428000</v>
      </c>
      <c r="I121" s="4">
        <f>_xll.SNL.Clients.Office.Excel.Functions.SPG(G121,"IQ_AVG_DILUT_SHARES_OUT","CY2022")</f>
        <v>519000000</v>
      </c>
      <c r="J121" s="5">
        <f>_xll.SNL.Clients.Office.Excel.Functions.SPG(G121, "IQ_DILUT_EPS_NORM", "CY2022")</f>
        <v>3.7069999999999999</v>
      </c>
      <c r="K121">
        <f t="shared" si="8"/>
        <v>1923933</v>
      </c>
      <c r="L121">
        <f t="shared" si="9"/>
        <v>9.9028875849289683E-2</v>
      </c>
      <c r="M121" t="s">
        <v>637</v>
      </c>
      <c r="N121" s="4" cm="1">
        <f t="array" ref="N121">_xll.SNL.Clients.Office.Excel.Functions.SPG(M121, "SP_TOTAL_REV", "CY2022")</f>
        <v>12040900</v>
      </c>
      <c r="O121" s="4">
        <f>_xll.SNL.Clients.Office.Excel.Functions.SPG(M121,"IQ_AVG_DILUT_SHARES_OUT","CY2022")</f>
        <v>481950000</v>
      </c>
      <c r="P121" s="5">
        <f>_xll.SNL.Clients.Office.Excel.Functions.SPG(M121, "IQ_DILUT_EPS_NORM", "CY2022")</f>
        <v>2.1280000000000001</v>
      </c>
      <c r="Q121">
        <f t="shared" si="10"/>
        <v>1025589.6</v>
      </c>
      <c r="R121">
        <f t="shared" si="11"/>
        <v>8.5175493526231424E-2</v>
      </c>
    </row>
    <row r="122" spans="1:18" x14ac:dyDescent="0.3">
      <c r="A122" t="s">
        <v>634</v>
      </c>
      <c r="B122" s="4" cm="1">
        <f t="array" ref="B122">_xll.SNL.Clients.Office.Excel.Functions.SPG(A122, "SP_TOTAL_REV", "CY2023")</f>
        <v>19457000</v>
      </c>
      <c r="C122" s="4">
        <f>_xll.SNL.Clients.Office.Excel.Functions.SPG(A122,"IQ_AVG_DILUT_SHARES_OUT","CY2023")</f>
        <v>829200000</v>
      </c>
      <c r="D122" s="5">
        <f>_xll.SNL.Clients.Office.Excel.Functions.SPG(A122, "IQ_DILUT_EPS_NORM", "CY2023")</f>
        <v>2.6219999999999999</v>
      </c>
      <c r="E122">
        <f t="shared" si="6"/>
        <v>2174162.4</v>
      </c>
      <c r="F122">
        <f t="shared" si="7"/>
        <v>0.11174191293621832</v>
      </c>
      <c r="G122" t="s">
        <v>634</v>
      </c>
      <c r="H122" s="4" cm="1">
        <f t="array" ref="H122">_xll.SNL.Clients.Office.Excel.Functions.SPG(G122, "SP_TOTAL_REV", "CY2022")</f>
        <v>17967000</v>
      </c>
      <c r="I122" s="4">
        <f>_xll.SNL.Clients.Office.Excel.Functions.SPG(G122,"IQ_AVG_DILUT_SHARES_OUT","CY2022")</f>
        <v>838800000</v>
      </c>
      <c r="J122" s="5">
        <f>_xll.SNL.Clients.Office.Excel.Functions.SPG(G122, "IQ_DILUT_EPS_NORM", "CY2022")</f>
        <v>2.347</v>
      </c>
      <c r="K122">
        <f t="shared" si="8"/>
        <v>1968663.6</v>
      </c>
      <c r="L122">
        <f t="shared" si="9"/>
        <v>0.10957108031390884</v>
      </c>
      <c r="M122" t="s">
        <v>638</v>
      </c>
      <c r="N122" s="4" cm="1">
        <f t="array" ref="N122">_xll.SNL.Clients.Office.Excel.Functions.SPG(M122, "SP_TOTAL_REV", "CY2022")</f>
        <v>80575000</v>
      </c>
      <c r="O122" s="4">
        <f>_xll.SNL.Clients.Office.Excel.Functions.SPG(M122,"IQ_AVG_DILUT_SHARES_OUT","CY2022")</f>
        <v>1278163000</v>
      </c>
      <c r="P122" s="5">
        <f>_xll.SNL.Clients.Office.Excel.Functions.SPG(M122, "IQ_DILUT_EPS_NORM", "CY2022")</f>
        <v>13.166</v>
      </c>
      <c r="Q122">
        <f t="shared" si="10"/>
        <v>16828294.057999998</v>
      </c>
      <c r="R122">
        <f t="shared" si="11"/>
        <v>0.20885254803599129</v>
      </c>
    </row>
    <row r="123" spans="1:18" x14ac:dyDescent="0.3">
      <c r="A123" t="s">
        <v>635</v>
      </c>
      <c r="B123" s="4" cm="1">
        <f t="array" ref="B123">_xll.SNL.Clients.Office.Excel.Functions.SPG(A123, "SP_TOTAL_REV", "CY2023")</f>
        <v>121572000</v>
      </c>
      <c r="C123" s="4">
        <f>_xll.SNL.Clients.Office.Excel.Functions.SPG(A123,"IQ_AVG_DILUT_SHARES_OUT","CY2023")</f>
        <v>4148000000</v>
      </c>
      <c r="D123" s="5">
        <f>_xll.SNL.Clients.Office.Excel.Functions.SPG(A123, "IQ_DILUT_EPS_NORM", "CY2023")</f>
        <v>3.173</v>
      </c>
      <c r="E123">
        <f t="shared" si="6"/>
        <v>13161604</v>
      </c>
      <c r="F123">
        <f t="shared" si="7"/>
        <v>0.10826180370480044</v>
      </c>
      <c r="G123" t="s">
        <v>635</v>
      </c>
      <c r="H123" s="4" cm="1">
        <f t="array" ref="H123">_xll.SNL.Clients.Office.Excel.Functions.SPG(G123, "SP_TOTAL_REV", "CY2022")</f>
        <v>121427000</v>
      </c>
      <c r="I123" s="4">
        <f>_xll.SNL.Clients.Office.Excel.Functions.SPG(G123,"IQ_AVG_DILUT_SHARES_OUT","CY2022")</f>
        <v>4430000000</v>
      </c>
      <c r="J123" s="5">
        <f>_xll.SNL.Clients.Office.Excel.Functions.SPG(G123, "IQ_DILUT_EPS_NORM", "CY2022")</f>
        <v>2.6659999999999999</v>
      </c>
      <c r="K123">
        <f t="shared" si="8"/>
        <v>11810380</v>
      </c>
      <c r="L123">
        <f t="shared" si="9"/>
        <v>9.7263211641562416E-2</v>
      </c>
      <c r="M123" t="s">
        <v>639</v>
      </c>
      <c r="N123" s="4" cm="1">
        <f t="array" ref="N123">_xll.SNL.Clients.Office.Excel.Functions.SPG(M123, "SP_TOTAL_REV", "CY2022")</f>
        <v>15670000</v>
      </c>
      <c r="O123" s="4">
        <f>_xll.SNL.Clients.Office.Excel.Functions.SPG(M123,"IQ_AVG_DILUT_SHARES_OUT","CY2022")</f>
        <v>355800000</v>
      </c>
      <c r="P123" s="5">
        <f>_xll.SNL.Clients.Office.Excel.Functions.SPG(M123, "IQ_DILUT_EPS_NORM", "CY2022")</f>
        <v>3.8540000000000001</v>
      </c>
      <c r="Q123">
        <f t="shared" si="10"/>
        <v>1371253.2</v>
      </c>
      <c r="R123">
        <f t="shared" si="11"/>
        <v>8.7508181238034458E-2</v>
      </c>
    </row>
    <row r="124" spans="1:18" x14ac:dyDescent="0.3">
      <c r="A124" t="s">
        <v>636</v>
      </c>
      <c r="B124" s="4" cm="1">
        <f t="array" ref="B124">_xll.SNL.Clients.Office.Excel.Functions.SPG(A124, "SP_TOTAL_REV", "CY2023")</f>
        <v>3592000</v>
      </c>
      <c r="C124" s="4">
        <f>_xll.SNL.Clients.Office.Excel.Functions.SPG(A124,"IQ_AVG_DILUT_SHARES_OUT","CY2023")</f>
        <v>133000000</v>
      </c>
      <c r="D124" s="5">
        <f>_xll.SNL.Clients.Office.Excel.Functions.SPG(A124, "IQ_DILUT_EPS_NORM", "CY2023")</f>
        <v>5.4980000000000002</v>
      </c>
      <c r="E124">
        <f t="shared" si="6"/>
        <v>731234</v>
      </c>
      <c r="F124">
        <f t="shared" si="7"/>
        <v>0.20357293986636971</v>
      </c>
      <c r="G124" t="s">
        <v>636</v>
      </c>
      <c r="H124" s="4" cm="1">
        <f t="array" ref="H124">_xll.SNL.Clients.Office.Excel.Functions.SPG(G124, "SP_TOTAL_REV", "CY2022")</f>
        <v>3534000</v>
      </c>
      <c r="I124" s="4">
        <f>_xll.SNL.Clients.Office.Excel.Functions.SPG(G124,"IQ_AVG_DILUT_SHARES_OUT","CY2022")</f>
        <v>133000000</v>
      </c>
      <c r="J124" s="5">
        <f>_xll.SNL.Clients.Office.Excel.Functions.SPG(G124, "IQ_DILUT_EPS_NORM", "CY2022")</f>
        <v>7.016</v>
      </c>
      <c r="K124">
        <f t="shared" si="8"/>
        <v>933128</v>
      </c>
      <c r="L124">
        <f t="shared" si="9"/>
        <v>0.26404301075268816</v>
      </c>
      <c r="M124" t="s">
        <v>640</v>
      </c>
      <c r="N124" s="4" cm="1">
        <f t="array" ref="N124">_xll.SNL.Clients.Office.Excel.Functions.SPG(M124, "SP_TOTAL_REV", "CY2022")</f>
        <v>9557300</v>
      </c>
      <c r="O124" s="4">
        <f>_xll.SNL.Clients.Office.Excel.Functions.SPG(M124,"IQ_AVG_DILUT_SHARES_OUT","CY2022")</f>
        <v>188298750</v>
      </c>
      <c r="P124" s="5">
        <f>_xll.SNL.Clients.Office.Excel.Functions.SPG(M124, "IQ_DILUT_EPS_NORM", "CY2022")</f>
        <v>1.9610000000000001</v>
      </c>
      <c r="Q124">
        <f t="shared" si="10"/>
        <v>369253.84875</v>
      </c>
      <c r="R124">
        <f t="shared" si="11"/>
        <v>3.8635791358438053E-2</v>
      </c>
    </row>
    <row r="125" spans="1:18" x14ac:dyDescent="0.3">
      <c r="A125" t="s">
        <v>637</v>
      </c>
      <c r="B125" s="4" cm="1">
        <f t="array" ref="B125">_xll.SNL.Clients.Office.Excel.Functions.SPG(A125, "SP_TOTAL_REV", "CY2023")</f>
        <v>12171900</v>
      </c>
      <c r="C125" s="4">
        <f>_xll.SNL.Clients.Office.Excel.Functions.SPG(A125,"IQ_AVG_DILUT_SHARES_OUT","CY2023")</f>
        <v>479800000</v>
      </c>
      <c r="D125" s="5">
        <f>_xll.SNL.Clients.Office.Excel.Functions.SPG(A125, "IQ_DILUT_EPS_NORM", "CY2023")</f>
        <v>2.1760000000000002</v>
      </c>
      <c r="E125">
        <f t="shared" si="6"/>
        <v>1044044.8000000002</v>
      </c>
      <c r="F125">
        <f t="shared" si="7"/>
        <v>8.577500636712429E-2</v>
      </c>
      <c r="G125" t="s">
        <v>637</v>
      </c>
      <c r="H125" s="4" cm="1">
        <f t="array" ref="H125">_xll.SNL.Clients.Office.Excel.Functions.SPG(G125, "SP_TOTAL_REV", "CY2022")</f>
        <v>12040900</v>
      </c>
      <c r="I125" s="4">
        <f>_xll.SNL.Clients.Office.Excel.Functions.SPG(G125,"IQ_AVG_DILUT_SHARES_OUT","CY2022")</f>
        <v>481950000</v>
      </c>
      <c r="J125" s="5">
        <f>_xll.SNL.Clients.Office.Excel.Functions.SPG(G125, "IQ_DILUT_EPS_NORM", "CY2022")</f>
        <v>2.1280000000000001</v>
      </c>
      <c r="K125">
        <f t="shared" si="8"/>
        <v>1025589.6</v>
      </c>
      <c r="L125">
        <f t="shared" si="9"/>
        <v>8.5175493526231424E-2</v>
      </c>
      <c r="M125" t="s">
        <v>641</v>
      </c>
      <c r="N125" s="4" cm="1">
        <f t="array" ref="N125">_xll.SNL.Clients.Office.Excel.Functions.SPG(M125, "SP_TOTAL_REV", "CY2022")</f>
        <v>24440000</v>
      </c>
      <c r="O125" s="4">
        <f>_xll.SNL.Clients.Office.Excel.Functions.SPG(M125,"IQ_AVG_DILUT_SHARES_OUT","CY2022")</f>
        <v>329000000</v>
      </c>
      <c r="P125" s="5">
        <f>_xll.SNL.Clients.Office.Excel.Functions.SPG(M125, "IQ_DILUT_EPS_NORM", "CY2022")</f>
        <v>-0.83899999999999997</v>
      </c>
      <c r="Q125">
        <f t="shared" si="10"/>
        <v>-276031</v>
      </c>
      <c r="R125">
        <f t="shared" si="11"/>
        <v>-1.129423076923077E-2</v>
      </c>
    </row>
    <row r="126" spans="1:18" x14ac:dyDescent="0.3">
      <c r="A126" t="s">
        <v>638</v>
      </c>
      <c r="B126" s="4" cm="1">
        <f t="array" ref="B126">_xll.SNL.Clients.Office.Excel.Functions.SPG(A126, "SP_TOTAL_REV", "CY2023")</f>
        <v>57861000</v>
      </c>
      <c r="C126" s="4">
        <f>_xll.SNL.Clients.Office.Excel.Functions.SPG(A126,"IQ_AVG_DILUT_SHARES_OUT","CY2023")</f>
        <v>1205675000</v>
      </c>
      <c r="D126" s="5">
        <f>_xll.SNL.Clients.Office.Excel.Functions.SPG(A126, "IQ_DILUT_EPS_NORM", "CY2023")</f>
        <v>8.3360000000000003</v>
      </c>
      <c r="E126">
        <f t="shared" si="6"/>
        <v>10050506.800000001</v>
      </c>
      <c r="F126">
        <f t="shared" si="7"/>
        <v>0.17370088315099982</v>
      </c>
      <c r="G126" t="s">
        <v>638</v>
      </c>
      <c r="H126" s="4" cm="1">
        <f t="array" ref="H126">_xll.SNL.Clients.Office.Excel.Functions.SPG(G126, "SP_TOTAL_REV", "CY2022")</f>
        <v>80575000</v>
      </c>
      <c r="I126" s="4">
        <f>_xll.SNL.Clients.Office.Excel.Functions.SPG(G126,"IQ_AVG_DILUT_SHARES_OUT","CY2022")</f>
        <v>1278163000</v>
      </c>
      <c r="J126" s="5">
        <f>_xll.SNL.Clients.Office.Excel.Functions.SPG(G126, "IQ_DILUT_EPS_NORM", "CY2022")</f>
        <v>13.166</v>
      </c>
      <c r="K126">
        <f t="shared" si="8"/>
        <v>16828294.057999998</v>
      </c>
      <c r="L126">
        <f t="shared" si="9"/>
        <v>0.20885254803599129</v>
      </c>
      <c r="M126" t="s">
        <v>642</v>
      </c>
      <c r="N126" s="4" cm="1">
        <f t="array" ref="N126">_xll.SNL.Clients.Office.Excel.Functions.SPG(M126, "SP_TOTAL_REV", "CY2022")</f>
        <v>3379700</v>
      </c>
      <c r="O126" s="4">
        <f>_xll.SNL.Clients.Office.Excel.Functions.SPG(M126,"IQ_AVG_DILUT_SHARES_OUT","CY2022")</f>
        <v>198575000</v>
      </c>
      <c r="P126" s="5">
        <f>_xll.SNL.Clients.Office.Excel.Functions.SPG(M126, "IQ_DILUT_EPS_NORM", "CY2022")</f>
        <v>1.419</v>
      </c>
      <c r="Q126">
        <f t="shared" si="10"/>
        <v>281777.92499999999</v>
      </c>
      <c r="R126">
        <f t="shared" si="11"/>
        <v>8.3373650028108995E-2</v>
      </c>
    </row>
    <row r="127" spans="1:18" x14ac:dyDescent="0.3">
      <c r="A127" t="s">
        <v>639</v>
      </c>
      <c r="B127" s="4" cm="1">
        <f t="array" ref="B127">_xll.SNL.Clients.Office.Excel.Functions.SPG(A127, "SP_TOTAL_REV", "CY2023")</f>
        <v>14663000</v>
      </c>
      <c r="C127" s="4">
        <f>_xll.SNL.Clients.Office.Excel.Functions.SPG(A127,"IQ_AVG_DILUT_SHARES_OUT","CY2023")</f>
        <v>349300000</v>
      </c>
      <c r="D127" s="5">
        <f>_xll.SNL.Clients.Office.Excel.Functions.SPG(A127, "IQ_DILUT_EPS_NORM", "CY2023")</f>
        <v>3.8340000000000001</v>
      </c>
      <c r="E127">
        <f t="shared" si="6"/>
        <v>1339216.2</v>
      </c>
      <c r="F127">
        <f t="shared" si="7"/>
        <v>9.1333028711723385E-2</v>
      </c>
      <c r="G127" t="s">
        <v>639</v>
      </c>
      <c r="H127" s="4" cm="1">
        <f t="array" ref="H127">_xll.SNL.Clients.Office.Excel.Functions.SPG(G127, "SP_TOTAL_REV", "CY2022")</f>
        <v>15670000</v>
      </c>
      <c r="I127" s="4">
        <f>_xll.SNL.Clients.Office.Excel.Functions.SPG(G127,"IQ_AVG_DILUT_SHARES_OUT","CY2022")</f>
        <v>355800000</v>
      </c>
      <c r="J127" s="5">
        <f>_xll.SNL.Clients.Office.Excel.Functions.SPG(G127, "IQ_DILUT_EPS_NORM", "CY2022")</f>
        <v>3.8540000000000001</v>
      </c>
      <c r="K127">
        <f t="shared" si="8"/>
        <v>1371253.2</v>
      </c>
      <c r="L127">
        <f t="shared" si="9"/>
        <v>8.7508181238034458E-2</v>
      </c>
      <c r="M127" t="s">
        <v>643</v>
      </c>
      <c r="N127" s="4" cm="1">
        <f t="array" ref="N127">_xll.SNL.Clients.Office.Excel.Functions.SPG(M127, "SP_TOTAL_REV", "CY2022")</f>
        <v>3673425</v>
      </c>
      <c r="O127" s="4">
        <f>_xll.SNL.Clients.Office.Excel.Functions.SPG(M127,"IQ_AVG_DILUT_SHARES_OUT","CY2022")</f>
        <v>964354000</v>
      </c>
      <c r="P127" s="5">
        <f>_xll.SNL.Clients.Office.Excel.Functions.SPG(M127, "IQ_DILUT_EPS_NORM", "CY2022")</f>
        <v>0.89400000000000002</v>
      </c>
      <c r="Q127">
        <f t="shared" si="10"/>
        <v>862132.47600000002</v>
      </c>
      <c r="R127">
        <f t="shared" si="11"/>
        <v>0.23469445435799016</v>
      </c>
    </row>
    <row r="128" spans="1:18" x14ac:dyDescent="0.3">
      <c r="A128" t="s">
        <v>640</v>
      </c>
      <c r="B128" s="4" cm="1">
        <f t="array" ref="B128">_xll.SNL.Clients.Office.Excel.Functions.SPG(A128, "SP_TOTAL_REV", "CY2023")</f>
        <v>9820400</v>
      </c>
      <c r="C128" s="4">
        <f>_xll.SNL.Clients.Office.Excel.Functions.SPG(A128,"IQ_AVG_DILUT_SHARES_OUT","CY2023")</f>
        <v>166582112</v>
      </c>
      <c r="D128" s="5">
        <f>_xll.SNL.Clients.Office.Excel.Functions.SPG(A128, "IQ_DILUT_EPS_NORM", "CY2023")</f>
        <v>7.8440000000000003</v>
      </c>
      <c r="E128">
        <f t="shared" si="6"/>
        <v>1306670.0865280002</v>
      </c>
      <c r="F128">
        <f t="shared" si="7"/>
        <v>0.13305670711254125</v>
      </c>
      <c r="G128" t="s">
        <v>640</v>
      </c>
      <c r="H128" s="4" cm="1">
        <f t="array" ref="H128">_xll.SNL.Clients.Office.Excel.Functions.SPG(G128, "SP_TOTAL_REV", "CY2022")</f>
        <v>9557300</v>
      </c>
      <c r="I128" s="4">
        <f>_xll.SNL.Clients.Office.Excel.Functions.SPG(G128,"IQ_AVG_DILUT_SHARES_OUT","CY2022")</f>
        <v>188298750</v>
      </c>
      <c r="J128" s="5">
        <f>_xll.SNL.Clients.Office.Excel.Functions.SPG(G128, "IQ_DILUT_EPS_NORM", "CY2022")</f>
        <v>1.9610000000000001</v>
      </c>
      <c r="K128">
        <f t="shared" si="8"/>
        <v>369253.84875</v>
      </c>
      <c r="L128">
        <f t="shared" si="9"/>
        <v>3.8635791358438053E-2</v>
      </c>
      <c r="M128" t="s">
        <v>644</v>
      </c>
      <c r="N128" s="4" cm="1">
        <f t="array" ref="N128">_xll.SNL.Clients.Office.Excel.Functions.SPG(M128, "SP_TOTAL_REV", "CY2022")</f>
        <v>14189000</v>
      </c>
      <c r="O128" s="4">
        <f>_xll.SNL.Clients.Office.Excel.Functions.SPG(M128,"IQ_AVG_DILUT_SHARES_OUT","CY2022")</f>
        <v>857000000</v>
      </c>
      <c r="P128" s="5">
        <f>_xll.SNL.Clients.Office.Excel.Functions.SPG(M128, "IQ_DILUT_EPS_NORM", "CY2022")</f>
        <v>1.5309999999999999</v>
      </c>
      <c r="Q128">
        <f t="shared" si="10"/>
        <v>1312067</v>
      </c>
      <c r="R128">
        <f t="shared" si="11"/>
        <v>9.2470716752413848E-2</v>
      </c>
    </row>
    <row r="129" spans="1:18" x14ac:dyDescent="0.3">
      <c r="A129" t="s">
        <v>641</v>
      </c>
      <c r="B129" s="4" cm="1">
        <f t="array" ref="B129">_xll.SNL.Clients.Office.Excel.Functions.SPG(A129, "SP_TOTAL_REV", "CY2023")</f>
        <v>24918000</v>
      </c>
      <c r="C129" s="4">
        <f>_xll.SNL.Clients.Office.Excel.Functions.SPG(A129,"IQ_AVG_DILUT_SHARES_OUT","CY2023")</f>
        <v>324000000</v>
      </c>
      <c r="D129" s="5">
        <f>_xll.SNL.Clients.Office.Excel.Functions.SPG(A129, "IQ_DILUT_EPS_NORM", "CY2023")</f>
        <v>4.3920000000000003</v>
      </c>
      <c r="E129">
        <f t="shared" si="6"/>
        <v>1423008</v>
      </c>
      <c r="F129">
        <f t="shared" si="7"/>
        <v>5.7107633036359261E-2</v>
      </c>
      <c r="G129" t="s">
        <v>641</v>
      </c>
      <c r="H129" s="4" cm="1">
        <f t="array" ref="H129">_xll.SNL.Clients.Office.Excel.Functions.SPG(G129, "SP_TOTAL_REV", "CY2022")</f>
        <v>24440000</v>
      </c>
      <c r="I129" s="4">
        <f>_xll.SNL.Clients.Office.Excel.Functions.SPG(G129,"IQ_AVG_DILUT_SHARES_OUT","CY2022")</f>
        <v>329000000</v>
      </c>
      <c r="J129" s="5">
        <f>_xll.SNL.Clients.Office.Excel.Functions.SPG(G129, "IQ_DILUT_EPS_NORM", "CY2022")</f>
        <v>-0.83899999999999997</v>
      </c>
      <c r="K129">
        <f t="shared" si="8"/>
        <v>-276031</v>
      </c>
      <c r="L129">
        <f t="shared" si="9"/>
        <v>-1.129423076923077E-2</v>
      </c>
      <c r="M129" t="s">
        <v>645</v>
      </c>
      <c r="N129" s="4" cm="1">
        <f t="array" ref="N129">_xll.SNL.Clients.Office.Excel.Functions.SPG(M129, "SP_TOTAL_REV", "CY2022")</f>
        <v>3427129</v>
      </c>
      <c r="O129" s="4">
        <f>_xll.SNL.Clients.Office.Excel.Functions.SPG(M129,"IQ_AVG_DILUT_SHARES_OUT","CY2022")</f>
        <v>76862000</v>
      </c>
      <c r="P129" s="5">
        <f>_xll.SNL.Clients.Office.Excel.Functions.SPG(M129, "IQ_DILUT_EPS_NORM", "CY2022")</f>
        <v>10.4</v>
      </c>
      <c r="Q129">
        <f t="shared" si="10"/>
        <v>799364.8</v>
      </c>
      <c r="R129">
        <f t="shared" si="11"/>
        <v>0.23324619528474128</v>
      </c>
    </row>
    <row r="130" spans="1:18" x14ac:dyDescent="0.3">
      <c r="A130" t="s">
        <v>642</v>
      </c>
      <c r="B130" s="4" cm="1">
        <f t="array" ref="B130">_xll.SNL.Clients.Office.Excel.Functions.SPG(A130, "SP_TOTAL_REV", "CY2023")</f>
        <v>3666300</v>
      </c>
      <c r="C130" s="4">
        <f>_xll.SNL.Clients.Office.Excel.Functions.SPG(A130,"IQ_AVG_DILUT_SHARES_OUT","CY2023")</f>
        <v>199500000</v>
      </c>
      <c r="D130" s="5">
        <f>_xll.SNL.Clients.Office.Excel.Functions.SPG(A130, "IQ_DILUT_EPS_NORM", "CY2023")</f>
        <v>1.1870000000000001</v>
      </c>
      <c r="E130">
        <f t="shared" si="6"/>
        <v>236806.5</v>
      </c>
      <c r="F130">
        <f t="shared" si="7"/>
        <v>6.459004991408232E-2</v>
      </c>
      <c r="G130" t="s">
        <v>642</v>
      </c>
      <c r="H130" s="4" cm="1">
        <f t="array" ref="H130">_xll.SNL.Clients.Office.Excel.Functions.SPG(G130, "SP_TOTAL_REV", "CY2022")</f>
        <v>3379700</v>
      </c>
      <c r="I130" s="4">
        <f>_xll.SNL.Clients.Office.Excel.Functions.SPG(G130,"IQ_AVG_DILUT_SHARES_OUT","CY2022")</f>
        <v>198575000</v>
      </c>
      <c r="J130" s="5">
        <f>_xll.SNL.Clients.Office.Excel.Functions.SPG(G130, "IQ_DILUT_EPS_NORM", "CY2022")</f>
        <v>1.419</v>
      </c>
      <c r="K130">
        <f t="shared" si="8"/>
        <v>281777.92499999999</v>
      </c>
      <c r="L130">
        <f t="shared" si="9"/>
        <v>8.3373650028108995E-2</v>
      </c>
      <c r="M130" t="s">
        <v>646</v>
      </c>
      <c r="N130" s="4" cm="1">
        <f t="array" ref="N130">_xll.SNL.Clients.Office.Excel.Functions.SPG(M130, "SP_TOTAL_REV", "CY2022")</f>
        <v>17455000</v>
      </c>
      <c r="O130" s="4">
        <f>_xll.SNL.Clients.Office.Excel.Functions.SPG(M130,"IQ_AVG_DILUT_SHARES_OUT","CY2022")</f>
        <v>724500000</v>
      </c>
      <c r="P130" s="5">
        <f>_xll.SNL.Clients.Office.Excel.Functions.SPG(M130, "IQ_DILUT_EPS_NORM", "CY2022")</f>
        <v>1.587</v>
      </c>
      <c r="Q130">
        <f t="shared" si="10"/>
        <v>1149781.5</v>
      </c>
      <c r="R130">
        <f t="shared" si="11"/>
        <v>6.5871183042108275E-2</v>
      </c>
    </row>
    <row r="131" spans="1:18" x14ac:dyDescent="0.3">
      <c r="A131" t="s">
        <v>643</v>
      </c>
      <c r="B131" s="4" cm="1">
        <f t="array" ref="B131">_xll.SNL.Clients.Office.Excel.Functions.SPG(A131, "SP_TOTAL_REV", "CY2023")</f>
        <v>4059987</v>
      </c>
      <c r="C131" s="4">
        <f>_xll.SNL.Clients.Office.Excel.Functions.SPG(A131,"IQ_AVG_DILUT_SHARES_OUT","CY2023")</f>
        <v>970976500</v>
      </c>
      <c r="D131" s="5">
        <f>_xll.SNL.Clients.Office.Excel.Functions.SPG(A131, "IQ_DILUT_EPS_NORM", "CY2023")</f>
        <v>1.093</v>
      </c>
      <c r="E131">
        <f t="shared" si="6"/>
        <v>1061277.3145000001</v>
      </c>
      <c r="F131">
        <f t="shared" si="7"/>
        <v>0.2613991903176045</v>
      </c>
      <c r="G131" t="s">
        <v>643</v>
      </c>
      <c r="H131" s="4" cm="1">
        <f t="array" ref="H131">_xll.SNL.Clients.Office.Excel.Functions.SPG(G131, "SP_TOTAL_REV", "CY2022")</f>
        <v>3673425</v>
      </c>
      <c r="I131" s="4">
        <f>_xll.SNL.Clients.Office.Excel.Functions.SPG(G131,"IQ_AVG_DILUT_SHARES_OUT","CY2022")</f>
        <v>964354000</v>
      </c>
      <c r="J131" s="5">
        <f>_xll.SNL.Clients.Office.Excel.Functions.SPG(G131, "IQ_DILUT_EPS_NORM", "CY2022")</f>
        <v>0.89400000000000002</v>
      </c>
      <c r="K131">
        <f t="shared" si="8"/>
        <v>862132.47600000002</v>
      </c>
      <c r="L131">
        <f t="shared" si="9"/>
        <v>0.23469445435799016</v>
      </c>
      <c r="M131" t="s">
        <v>647</v>
      </c>
      <c r="N131" s="4" cm="1">
        <f t="array" ref="N131">_xll.SNL.Clients.Office.Excel.Functions.SPG(M131, "SP_TOTAL_REV", "CY2022")</f>
        <v>2182400</v>
      </c>
      <c r="O131" s="4">
        <f>_xll.SNL.Clients.Office.Excel.Functions.SPG(M131,"IQ_AVG_DILUT_SHARES_OUT","CY2022")</f>
        <v>397800000</v>
      </c>
      <c r="P131" s="5">
        <f>_xll.SNL.Clients.Office.Excel.Functions.SPG(M131, "IQ_DILUT_EPS_NORM", "CY2022")</f>
        <v>0.76400000000000001</v>
      </c>
      <c r="Q131">
        <f t="shared" si="10"/>
        <v>303919.2</v>
      </c>
      <c r="R131">
        <f t="shared" si="11"/>
        <v>0.1392591642228739</v>
      </c>
    </row>
    <row r="132" spans="1:18" x14ac:dyDescent="0.3">
      <c r="A132" t="s">
        <v>644</v>
      </c>
      <c r="B132" s="4" cm="1">
        <f t="array" ref="B132">_xll.SNL.Clients.Office.Excel.Functions.SPG(A132, "SP_TOTAL_REV", "CY2023")</f>
        <v>12588000</v>
      </c>
      <c r="C132" s="4">
        <f>_xll.SNL.Clients.Office.Excel.Functions.SPG(A132,"IQ_AVG_DILUT_SHARES_OUT","CY2023")</f>
        <v>859000000</v>
      </c>
      <c r="D132" s="5">
        <f>_xll.SNL.Clients.Office.Excel.Functions.SPG(A132, "IQ_DILUT_EPS_NORM", "CY2023")</f>
        <v>0.85899999999999999</v>
      </c>
      <c r="E132">
        <f t="shared" si="6"/>
        <v>737881</v>
      </c>
      <c r="F132">
        <f t="shared" si="7"/>
        <v>5.8617810613282494E-2</v>
      </c>
      <c r="G132" t="s">
        <v>644</v>
      </c>
      <c r="H132" s="4" cm="1">
        <f t="array" ref="H132">_xll.SNL.Clients.Office.Excel.Functions.SPG(G132, "SP_TOTAL_REV", "CY2022")</f>
        <v>14189000</v>
      </c>
      <c r="I132" s="4">
        <f>_xll.SNL.Clients.Office.Excel.Functions.SPG(G132,"IQ_AVG_DILUT_SHARES_OUT","CY2022")</f>
        <v>857000000</v>
      </c>
      <c r="J132" s="5">
        <f>_xll.SNL.Clients.Office.Excel.Functions.SPG(G132, "IQ_DILUT_EPS_NORM", "CY2022")</f>
        <v>1.5309999999999999</v>
      </c>
      <c r="K132">
        <f t="shared" si="8"/>
        <v>1312067</v>
      </c>
      <c r="L132">
        <f t="shared" si="9"/>
        <v>9.2470716752413848E-2</v>
      </c>
      <c r="M132" t="s">
        <v>648</v>
      </c>
      <c r="N132" s="4" cm="1">
        <f t="array" ref="N132">_xll.SNL.Clients.Office.Excel.Functions.SPG(M132, "SP_TOTAL_REV", "CY2022")</f>
        <v>234390000</v>
      </c>
      <c r="O132" s="4">
        <f>_xll.SNL.Clients.Office.Excel.Functions.SPG(M132,"IQ_AVG_DILUT_SHARES_OUT","CY2022")</f>
        <v>444628500</v>
      </c>
      <c r="P132" s="5">
        <f>_xll.SNL.Clients.Office.Excel.Functions.SPG(M132, "IQ_DILUT_EPS_NORM", "CY2022")</f>
        <v>11.481</v>
      </c>
      <c r="Q132">
        <f t="shared" si="10"/>
        <v>5104779.8085000003</v>
      </c>
      <c r="R132">
        <f t="shared" si="11"/>
        <v>2.1778999993600411E-2</v>
      </c>
    </row>
    <row r="133" spans="1:18" x14ac:dyDescent="0.3">
      <c r="A133" t="s">
        <v>645</v>
      </c>
      <c r="B133" s="4" cm="1">
        <f t="array" ref="B133">_xll.SNL.Clients.Office.Excel.Functions.SPG(A133, "SP_TOTAL_REV", "CY2023")</f>
        <v>3757719</v>
      </c>
      <c r="C133" s="4">
        <f>_xll.SNL.Clients.Office.Excel.Functions.SPG(A133,"IQ_AVG_DILUT_SHARES_OUT","CY2023")</f>
        <v>74387000</v>
      </c>
      <c r="D133" s="5">
        <f>_xll.SNL.Clients.Office.Excel.Functions.SPG(A133, "IQ_DILUT_EPS_NORM", "CY2023")</f>
        <v>11.016999999999999</v>
      </c>
      <c r="E133">
        <f t="shared" ref="E133:E196" si="12">C133*D133/1000</f>
        <v>819521.57900000003</v>
      </c>
      <c r="F133">
        <f t="shared" ref="F133:F196" si="13">E133/B133</f>
        <v>0.21809017092550029</v>
      </c>
      <c r="G133" t="s">
        <v>645</v>
      </c>
      <c r="H133" s="4" cm="1">
        <f t="array" ref="H133">_xll.SNL.Clients.Office.Excel.Functions.SPG(G133, "SP_TOTAL_REV", "CY2022")</f>
        <v>3427129</v>
      </c>
      <c r="I133" s="4">
        <f>_xll.SNL.Clients.Office.Excel.Functions.SPG(G133,"IQ_AVG_DILUT_SHARES_OUT","CY2022")</f>
        <v>76862000</v>
      </c>
      <c r="J133" s="5">
        <f>_xll.SNL.Clients.Office.Excel.Functions.SPG(G133, "IQ_DILUT_EPS_NORM", "CY2022")</f>
        <v>10.4</v>
      </c>
      <c r="K133">
        <f t="shared" ref="K133:K196" si="14">I133*J133/1000</f>
        <v>799364.8</v>
      </c>
      <c r="L133">
        <f t="shared" ref="L133:L196" si="15">K133/H133</f>
        <v>0.23324619528474128</v>
      </c>
      <c r="M133" t="s">
        <v>649</v>
      </c>
      <c r="N133" s="4" cm="1">
        <f t="array" ref="N133">_xll.SNL.Clients.Office.Excel.Functions.SPG(M133, "SP_TOTAL_REV", "CY2022")</f>
        <v>9514000</v>
      </c>
      <c r="O133" s="4">
        <f>_xll.SNL.Clients.Office.Excel.Functions.SPG(M133,"IQ_AVG_DILUT_SHARES_OUT","CY2022")</f>
        <v>799000000</v>
      </c>
      <c r="P133" s="5">
        <f>_xll.SNL.Clients.Office.Excel.Functions.SPG(M133, "IQ_DILUT_EPS_NORM", "CY2022")</f>
        <v>4.0759999999999996</v>
      </c>
      <c r="Q133">
        <f t="shared" ref="Q133:Q196" si="16">O133*P133/1000</f>
        <v>3256723.9999999995</v>
      </c>
      <c r="R133">
        <f t="shared" ref="R133:R196" si="17">Q133/N133</f>
        <v>0.34230859785579143</v>
      </c>
    </row>
    <row r="134" spans="1:18" x14ac:dyDescent="0.3">
      <c r="A134" t="s">
        <v>646</v>
      </c>
      <c r="B134" s="4" cm="1">
        <f t="array" ref="B134">_xll.SNL.Clients.Office.Excel.Functions.SPG(A134, "SP_TOTAL_REV", "CY2023")</f>
        <v>17226000</v>
      </c>
      <c r="C134" s="4">
        <f>_xll.SNL.Clients.Office.Excel.Functions.SPG(A134,"IQ_AVG_DILUT_SHARES_OUT","CY2023")</f>
        <v>711900000</v>
      </c>
      <c r="D134" s="5">
        <f>_xll.SNL.Clients.Office.Excel.Functions.SPG(A134, "IQ_DILUT_EPS_NORM", "CY2023")</f>
        <v>1.4119999999999999</v>
      </c>
      <c r="E134">
        <f t="shared" si="12"/>
        <v>1005202.8</v>
      </c>
      <c r="F134">
        <f t="shared" si="13"/>
        <v>5.8353814002089867E-2</v>
      </c>
      <c r="G134" t="s">
        <v>646</v>
      </c>
      <c r="H134" s="4" cm="1">
        <f t="array" ref="H134">_xll.SNL.Clients.Office.Excel.Functions.SPG(G134, "SP_TOTAL_REV", "CY2022")</f>
        <v>17455000</v>
      </c>
      <c r="I134" s="4">
        <f>_xll.SNL.Clients.Office.Excel.Functions.SPG(G134,"IQ_AVG_DILUT_SHARES_OUT","CY2022")</f>
        <v>724500000</v>
      </c>
      <c r="J134" s="5">
        <f>_xll.SNL.Clients.Office.Excel.Functions.SPG(G134, "IQ_DILUT_EPS_NORM", "CY2022")</f>
        <v>1.587</v>
      </c>
      <c r="K134">
        <f t="shared" si="14"/>
        <v>1149781.5</v>
      </c>
      <c r="L134">
        <f t="shared" si="15"/>
        <v>6.5871183042108275E-2</v>
      </c>
      <c r="M134" t="s">
        <v>650</v>
      </c>
      <c r="N134" s="4" cm="1">
        <f t="array" ref="N134">_xll.SNL.Clients.Office.Excel.Functions.SPG(M134, "SP_TOTAL_REV", "CY2022")</f>
        <v>6989000</v>
      </c>
      <c r="O134" s="4">
        <f>_xll.SNL.Clients.Office.Excel.Functions.SPG(M134,"IQ_AVG_DILUT_SHARES_OUT","CY2022")</f>
        <v>434000000</v>
      </c>
      <c r="P134" s="5">
        <f>_xll.SNL.Clients.Office.Excel.Functions.SPG(M134, "IQ_DILUT_EPS_NORM", "CY2022")</f>
        <v>2.5270000000000001</v>
      </c>
      <c r="Q134">
        <f t="shared" si="16"/>
        <v>1096718</v>
      </c>
      <c r="R134">
        <f t="shared" si="17"/>
        <v>0.15692058949778223</v>
      </c>
    </row>
    <row r="135" spans="1:18" x14ac:dyDescent="0.3">
      <c r="A135" t="s">
        <v>647</v>
      </c>
      <c r="B135" s="4" cm="1">
        <f t="array" ref="B135">_xll.SNL.Clients.Office.Excel.Functions.SPG(A135, "SP_TOTAL_REV", "CY2023")</f>
        <v>2455000</v>
      </c>
      <c r="C135" s="4">
        <f>_xll.SNL.Clients.Office.Excel.Functions.SPG(A135,"IQ_AVG_DILUT_SHARES_OUT","CY2023")</f>
        <v>406900000</v>
      </c>
      <c r="D135" s="5">
        <f>_xll.SNL.Clients.Office.Excel.Functions.SPG(A135, "IQ_DILUT_EPS_NORM", "CY2023")</f>
        <v>0.77</v>
      </c>
      <c r="E135">
        <f t="shared" si="12"/>
        <v>313313</v>
      </c>
      <c r="F135">
        <f t="shared" si="13"/>
        <v>0.12762240325865581</v>
      </c>
      <c r="G135" t="s">
        <v>647</v>
      </c>
      <c r="H135" s="4" cm="1">
        <f t="array" ref="H135">_xll.SNL.Clients.Office.Excel.Functions.SPG(G135, "SP_TOTAL_REV", "CY2022")</f>
        <v>2182400</v>
      </c>
      <c r="I135" s="4">
        <f>_xll.SNL.Clients.Office.Excel.Functions.SPG(G135,"IQ_AVG_DILUT_SHARES_OUT","CY2022")</f>
        <v>397800000</v>
      </c>
      <c r="J135" s="5">
        <f>_xll.SNL.Clients.Office.Excel.Functions.SPG(G135, "IQ_DILUT_EPS_NORM", "CY2022")</f>
        <v>0.76400000000000001</v>
      </c>
      <c r="K135">
        <f t="shared" si="14"/>
        <v>303919.2</v>
      </c>
      <c r="L135">
        <f t="shared" si="15"/>
        <v>0.1392591642228739</v>
      </c>
      <c r="M135" t="s">
        <v>651</v>
      </c>
      <c r="N135" s="4" cm="1">
        <f t="array" ref="N135">_xll.SNL.Clients.Office.Excel.Functions.SPG(M135, "SP_TOTAL_REV", "CY2022")</f>
        <v>14853000</v>
      </c>
      <c r="O135" s="4">
        <f>_xll.SNL.Clients.Office.Excel.Functions.SPG(M135,"IQ_AVG_DILUT_SHARES_OUT","CY2022")</f>
        <v>2141000000</v>
      </c>
      <c r="P135" s="5">
        <f>_xll.SNL.Clients.Office.Excel.Functions.SPG(M135, "IQ_DILUT_EPS_NORM", "CY2022")</f>
        <v>1.5189999999999999</v>
      </c>
      <c r="Q135">
        <f t="shared" si="16"/>
        <v>3252179</v>
      </c>
      <c r="R135">
        <f t="shared" si="17"/>
        <v>0.21895771897933078</v>
      </c>
    </row>
    <row r="136" spans="1:18" x14ac:dyDescent="0.3">
      <c r="A136" t="s">
        <v>648</v>
      </c>
      <c r="B136" s="4" cm="1">
        <f t="array" ref="B136">_xll.SNL.Clients.Office.Excel.Functions.SPG(A136, "SP_TOTAL_REV", "CY2023")</f>
        <v>245652000</v>
      </c>
      <c r="C136" s="4">
        <f>_xll.SNL.Clients.Office.Excel.Functions.SPG(A136,"IQ_AVG_DILUT_SHARES_OUT","CY2023")</f>
        <v>444420000</v>
      </c>
      <c r="D136" s="5">
        <f>_xll.SNL.Clients.Office.Excel.Functions.SPG(A136, "IQ_DILUT_EPS_NORM", "CY2023")</f>
        <v>12.958</v>
      </c>
      <c r="E136">
        <f t="shared" si="12"/>
        <v>5758794.3600000003</v>
      </c>
      <c r="F136">
        <f t="shared" si="13"/>
        <v>2.3442896292315961E-2</v>
      </c>
      <c r="G136" t="s">
        <v>648</v>
      </c>
      <c r="H136" s="4" cm="1">
        <f t="array" ref="H136">_xll.SNL.Clients.Office.Excel.Functions.SPG(G136, "SP_TOTAL_REV", "CY2022")</f>
        <v>234390000</v>
      </c>
      <c r="I136" s="4">
        <f>_xll.SNL.Clients.Office.Excel.Functions.SPG(G136,"IQ_AVG_DILUT_SHARES_OUT","CY2022")</f>
        <v>444628500</v>
      </c>
      <c r="J136" s="5">
        <f>_xll.SNL.Clients.Office.Excel.Functions.SPG(G136, "IQ_DILUT_EPS_NORM", "CY2022")</f>
        <v>11.481</v>
      </c>
      <c r="K136">
        <f t="shared" si="14"/>
        <v>5104779.8085000003</v>
      </c>
      <c r="L136">
        <f t="shared" si="15"/>
        <v>2.1778999993600411E-2</v>
      </c>
      <c r="M136" t="s">
        <v>652</v>
      </c>
      <c r="N136" s="4" cm="1">
        <f t="array" ref="N136">_xll.SNL.Clients.Office.Excel.Functions.SPG(M136, "SP_TOTAL_REV", "CY2022")</f>
        <v>28074000</v>
      </c>
      <c r="O136" s="4">
        <f>_xll.SNL.Clients.Office.Excel.Functions.SPG(M136,"IQ_AVG_DILUT_SHARES_OUT","CY2022")</f>
        <v>142300000</v>
      </c>
      <c r="P136" s="5">
        <f>_xll.SNL.Clients.Office.Excel.Functions.SPG(M136, "IQ_DILUT_EPS_NORM", "CY2022")</f>
        <v>12.859</v>
      </c>
      <c r="Q136">
        <f t="shared" si="16"/>
        <v>1829835.7</v>
      </c>
      <c r="R136">
        <f t="shared" si="17"/>
        <v>6.517901617154663E-2</v>
      </c>
    </row>
    <row r="137" spans="1:18" x14ac:dyDescent="0.3">
      <c r="A137" t="s">
        <v>649</v>
      </c>
      <c r="B137" s="4" cm="1">
        <f t="array" ref="B137">_xll.SNL.Clients.Office.Excel.Functions.SPG(A137, "SP_TOTAL_REV", "CY2023")</f>
        <v>5684000</v>
      </c>
      <c r="C137" s="4">
        <f>_xll.SNL.Clients.Office.Excel.Functions.SPG(A137,"IQ_AVG_DILUT_SHARES_OUT","CY2023")</f>
        <v>760000000</v>
      </c>
      <c r="D137" s="5">
        <f>_xll.SNL.Clients.Office.Excel.Functions.SPG(A137, "IQ_DILUT_EPS_NORM", "CY2023")</f>
        <v>1.75</v>
      </c>
      <c r="E137">
        <f t="shared" si="12"/>
        <v>1330000</v>
      </c>
      <c r="F137">
        <f t="shared" si="13"/>
        <v>0.23399014778325122</v>
      </c>
      <c r="G137" t="s">
        <v>649</v>
      </c>
      <c r="H137" s="4" cm="1">
        <f t="array" ref="H137">_xll.SNL.Clients.Office.Excel.Functions.SPG(G137, "SP_TOTAL_REV", "CY2022")</f>
        <v>9514000</v>
      </c>
      <c r="I137" s="4">
        <f>_xll.SNL.Clients.Office.Excel.Functions.SPG(G137,"IQ_AVG_DILUT_SHARES_OUT","CY2022")</f>
        <v>799000000</v>
      </c>
      <c r="J137" s="5">
        <f>_xll.SNL.Clients.Office.Excel.Functions.SPG(G137, "IQ_DILUT_EPS_NORM", "CY2022")</f>
        <v>4.0759999999999996</v>
      </c>
      <c r="K137">
        <f t="shared" si="14"/>
        <v>3256723.9999999995</v>
      </c>
      <c r="L137">
        <f t="shared" si="15"/>
        <v>0.34230859785579143</v>
      </c>
      <c r="M137" t="s">
        <v>653</v>
      </c>
      <c r="N137" s="4" cm="1">
        <f t="array" ref="N137">_xll.SNL.Clients.Office.Excel.Functions.SPG(M137, "SP_TOTAL_REV", "CY2022")</f>
        <v>321629000</v>
      </c>
      <c r="O137" s="4">
        <f>_xll.SNL.Clients.Office.Excel.Functions.SPG(M137,"IQ_AVG_DILUT_SHARES_OUT","CY2022")</f>
        <v>1323000000</v>
      </c>
      <c r="P137" s="5">
        <f>_xll.SNL.Clients.Office.Excel.Functions.SPG(M137, "IQ_DILUT_EPS_NORM", "CY2022")</f>
        <v>6.7380000000000004</v>
      </c>
      <c r="Q137">
        <f t="shared" si="16"/>
        <v>8914374</v>
      </c>
      <c r="R137">
        <f t="shared" si="17"/>
        <v>2.7716325331360044E-2</v>
      </c>
    </row>
    <row r="138" spans="1:18" x14ac:dyDescent="0.3">
      <c r="A138" t="s">
        <v>650</v>
      </c>
      <c r="B138" s="4" cm="1">
        <f t="array" ref="B138">_xll.SNL.Clients.Office.Excel.Functions.SPG(A138, "SP_TOTAL_REV", "CY2023")</f>
        <v>6996000</v>
      </c>
      <c r="C138" s="4">
        <f>_xll.SNL.Clients.Office.Excel.Functions.SPG(A138,"IQ_AVG_DILUT_SHARES_OUT","CY2023")</f>
        <v>434000000</v>
      </c>
      <c r="D138" s="5">
        <f>_xll.SNL.Clients.Office.Excel.Functions.SPG(A138, "IQ_DILUT_EPS_NORM", "CY2023")</f>
        <v>2.3719999999999999</v>
      </c>
      <c r="E138">
        <f t="shared" si="12"/>
        <v>1029448</v>
      </c>
      <c r="F138">
        <f t="shared" si="13"/>
        <v>0.14714808461978274</v>
      </c>
      <c r="G138" t="s">
        <v>650</v>
      </c>
      <c r="H138" s="4" cm="1">
        <f t="array" ref="H138">_xll.SNL.Clients.Office.Excel.Functions.SPG(G138, "SP_TOTAL_REV", "CY2022")</f>
        <v>6989000</v>
      </c>
      <c r="I138" s="4">
        <f>_xll.SNL.Clients.Office.Excel.Functions.SPG(G138,"IQ_AVG_DILUT_SHARES_OUT","CY2022")</f>
        <v>434000000</v>
      </c>
      <c r="J138" s="5">
        <f>_xll.SNL.Clients.Office.Excel.Functions.SPG(G138, "IQ_DILUT_EPS_NORM", "CY2022")</f>
        <v>2.5270000000000001</v>
      </c>
      <c r="K138">
        <f t="shared" si="14"/>
        <v>1096718</v>
      </c>
      <c r="L138">
        <f t="shared" si="15"/>
        <v>0.15692058949778223</v>
      </c>
      <c r="M138" t="s">
        <v>654</v>
      </c>
      <c r="N138" s="4" cm="1">
        <f t="array" ref="N138">_xll.SNL.Clients.Office.Excel.Functions.SPG(M138, "SP_TOTAL_REV", "CY2022")</f>
        <v>26643000</v>
      </c>
      <c r="O138" s="4">
        <f>_xll.SNL.Clients.Office.Excel.Functions.SPG(M138,"IQ_AVG_DILUT_SHARES_OUT","CY2022")</f>
        <v>737100000</v>
      </c>
      <c r="P138" s="5">
        <f>_xll.SNL.Clients.Office.Excel.Functions.SPG(M138, "IQ_DILUT_EPS_NORM", "CY2022")</f>
        <v>6.2889999999999997</v>
      </c>
      <c r="Q138">
        <f t="shared" si="16"/>
        <v>4635621.9000000004</v>
      </c>
      <c r="R138">
        <f t="shared" si="17"/>
        <v>0.17399023758585747</v>
      </c>
    </row>
    <row r="139" spans="1:18" x14ac:dyDescent="0.3">
      <c r="A139" t="s">
        <v>651</v>
      </c>
      <c r="B139" s="4" cm="1">
        <f t="array" ref="B139">_xll.SNL.Clients.Office.Excel.Functions.SPG(A139, "SP_TOTAL_REV", "CY2023")</f>
        <v>14657000</v>
      </c>
      <c r="C139" s="4">
        <f>_xll.SNL.Clients.Office.Excel.Functions.SPG(A139,"IQ_AVG_DILUT_SHARES_OUT","CY2023")</f>
        <v>2013000000</v>
      </c>
      <c r="D139" s="5">
        <f>_xll.SNL.Clients.Office.Excel.Functions.SPG(A139, "IQ_DILUT_EPS_NORM", "CY2023")</f>
        <v>1.5089999999999999</v>
      </c>
      <c r="E139">
        <f t="shared" si="12"/>
        <v>3037617</v>
      </c>
      <c r="F139">
        <f t="shared" si="13"/>
        <v>0.20724684451115508</v>
      </c>
      <c r="G139" t="s">
        <v>651</v>
      </c>
      <c r="H139" s="4" cm="1">
        <f t="array" ref="H139">_xll.SNL.Clients.Office.Excel.Functions.SPG(G139, "SP_TOTAL_REV", "CY2022")</f>
        <v>14853000</v>
      </c>
      <c r="I139" s="4">
        <f>_xll.SNL.Clients.Office.Excel.Functions.SPG(G139,"IQ_AVG_DILUT_SHARES_OUT","CY2022")</f>
        <v>2141000000</v>
      </c>
      <c r="J139" s="5">
        <f>_xll.SNL.Clients.Office.Excel.Functions.SPG(G139, "IQ_DILUT_EPS_NORM", "CY2022")</f>
        <v>1.5189999999999999</v>
      </c>
      <c r="K139">
        <f t="shared" si="14"/>
        <v>3252179</v>
      </c>
      <c r="L139">
        <f t="shared" si="15"/>
        <v>0.21895771897933078</v>
      </c>
      <c r="M139" t="s">
        <v>655</v>
      </c>
      <c r="N139" s="4" cm="1">
        <f t="array" ref="N139">_xll.SNL.Clients.Office.Excel.Functions.SPG(M139, "SP_TOTAL_REV", "CY2022")</f>
        <v>9984400</v>
      </c>
      <c r="O139" s="4">
        <f>_xll.SNL.Clients.Office.Excel.Functions.SPG(M139,"IQ_AVG_DILUT_SHARES_OUT","CY2022")</f>
        <v>125200000</v>
      </c>
      <c r="P139" s="5">
        <f>_xll.SNL.Clients.Office.Excel.Functions.SPG(M139, "IQ_DILUT_EPS_NORM", "CY2022")</f>
        <v>5.1150000000000002</v>
      </c>
      <c r="Q139">
        <f t="shared" si="16"/>
        <v>640398</v>
      </c>
      <c r="R139">
        <f t="shared" si="17"/>
        <v>6.4139858178758863E-2</v>
      </c>
    </row>
    <row r="140" spans="1:18" x14ac:dyDescent="0.3">
      <c r="A140" t="s">
        <v>652</v>
      </c>
      <c r="B140" s="4" cm="1">
        <f t="array" ref="B140">_xll.SNL.Clients.Office.Excel.Functions.SPG(A140, "SP_TOTAL_REV", "CY2023")</f>
        <v>34065000</v>
      </c>
      <c r="C140" s="4">
        <f>_xll.SNL.Clients.Office.Excel.Functions.SPG(A140,"IQ_AVG_DILUT_SHARES_OUT","CY2023")</f>
        <v>142700000</v>
      </c>
      <c r="D140" s="5">
        <f>_xll.SNL.Clients.Office.Excel.Functions.SPG(A140, "IQ_DILUT_EPS_NORM", "CY2023")</f>
        <v>15.276999999999999</v>
      </c>
      <c r="E140">
        <f t="shared" si="12"/>
        <v>2180027.9</v>
      </c>
      <c r="F140">
        <f t="shared" si="13"/>
        <v>6.3996122119477472E-2</v>
      </c>
      <c r="G140" t="s">
        <v>652</v>
      </c>
      <c r="H140" s="4" cm="1">
        <f t="array" ref="H140">_xll.SNL.Clients.Office.Excel.Functions.SPG(G140, "SP_TOTAL_REV", "CY2022")</f>
        <v>28074000</v>
      </c>
      <c r="I140" s="4">
        <f>_xll.SNL.Clients.Office.Excel.Functions.SPG(G140,"IQ_AVG_DILUT_SHARES_OUT","CY2022")</f>
        <v>142300000</v>
      </c>
      <c r="J140" s="5">
        <f>_xll.SNL.Clients.Office.Excel.Functions.SPG(G140, "IQ_DILUT_EPS_NORM", "CY2022")</f>
        <v>12.859</v>
      </c>
      <c r="K140">
        <f t="shared" si="14"/>
        <v>1829835.7</v>
      </c>
      <c r="L140">
        <f t="shared" si="15"/>
        <v>6.517901617154663E-2</v>
      </c>
      <c r="M140" t="s">
        <v>656</v>
      </c>
      <c r="N140" s="4" cm="1">
        <f t="array" ref="N140">_xll.SNL.Clients.Office.Excel.Functions.SPG(M140, "SP_TOTAL_REV", "CY2022")</f>
        <v>11609894</v>
      </c>
      <c r="O140" s="4">
        <f>_xll.SNL.Clients.Office.Excel.Functions.SPG(M140,"IQ_AVG_DILUT_SHARES_OUT","CY2022")</f>
        <v>95834000</v>
      </c>
      <c r="P140" s="5">
        <f>_xll.SNL.Clients.Office.Excel.Functions.SPG(M140, "IQ_DILUT_EPS_NORM", "CY2022")</f>
        <v>4.125</v>
      </c>
      <c r="Q140">
        <f t="shared" si="16"/>
        <v>395315.25</v>
      </c>
      <c r="R140">
        <f t="shared" si="17"/>
        <v>3.4049858680880292E-2</v>
      </c>
    </row>
    <row r="141" spans="1:18" x14ac:dyDescent="0.3">
      <c r="A141" t="s">
        <v>653</v>
      </c>
      <c r="B141" s="4" cm="1">
        <f t="array" ref="B141">_xll.SNL.Clients.Office.Excel.Functions.SPG(A141, "SP_TOTAL_REV", "CY2023")</f>
        <v>356623000</v>
      </c>
      <c r="C141" s="4">
        <f>_xll.SNL.Clients.Office.Excel.Functions.SPG(A141,"IQ_AVG_DILUT_SHARES_OUT","CY2023")</f>
        <v>1290000000</v>
      </c>
      <c r="D141" s="5">
        <f>_xll.SNL.Clients.Office.Excel.Functions.SPG(A141, "IQ_DILUT_EPS_NORM", "CY2023")</f>
        <v>6.0679999999999996</v>
      </c>
      <c r="E141">
        <f t="shared" si="12"/>
        <v>7827719.9999999991</v>
      </c>
      <c r="F141">
        <f t="shared" si="13"/>
        <v>2.1949565787960954E-2</v>
      </c>
      <c r="G141" t="s">
        <v>653</v>
      </c>
      <c r="H141" s="4" cm="1">
        <f t="array" ref="H141">_xll.SNL.Clients.Office.Excel.Functions.SPG(G141, "SP_TOTAL_REV", "CY2022")</f>
        <v>321629000</v>
      </c>
      <c r="I141" s="4">
        <f>_xll.SNL.Clients.Office.Excel.Functions.SPG(G141,"IQ_AVG_DILUT_SHARES_OUT","CY2022")</f>
        <v>1323000000</v>
      </c>
      <c r="J141" s="5">
        <f>_xll.SNL.Clients.Office.Excel.Functions.SPG(G141, "IQ_DILUT_EPS_NORM", "CY2022")</f>
        <v>6.7380000000000004</v>
      </c>
      <c r="K141">
        <f t="shared" si="14"/>
        <v>8914374</v>
      </c>
      <c r="L141">
        <f t="shared" si="15"/>
        <v>2.7716325331360044E-2</v>
      </c>
      <c r="M141" t="s">
        <v>657</v>
      </c>
      <c r="N141" s="4" cm="1">
        <f t="array" ref="N141">_xll.SNL.Clients.Office.Excel.Functions.SPG(M141, "SP_TOTAL_REV", "CY2022")</f>
        <v>1246200</v>
      </c>
      <c r="O141" s="4">
        <f>_xll.SNL.Clients.Office.Excel.Functions.SPG(M141,"IQ_AVG_DILUT_SHARES_OUT","CY2022")</f>
        <v>152900000</v>
      </c>
      <c r="P141" s="5">
        <f>_xll.SNL.Clients.Office.Excel.Functions.SPG(M141, "IQ_DILUT_EPS_NORM", "CY2022")</f>
        <v>-0.159</v>
      </c>
      <c r="Q141">
        <f t="shared" si="16"/>
        <v>-24311.1</v>
      </c>
      <c r="R141">
        <f t="shared" si="17"/>
        <v>-1.9508184882041403E-2</v>
      </c>
    </row>
    <row r="142" spans="1:18" x14ac:dyDescent="0.3">
      <c r="A142" t="s">
        <v>654</v>
      </c>
      <c r="B142" s="4" cm="1">
        <f t="array" ref="B142">_xll.SNL.Clients.Office.Excel.Functions.SPG(A142, "SP_TOTAL_REV", "CY2023")</f>
        <v>23890000</v>
      </c>
      <c r="C142" s="4">
        <f>_xll.SNL.Clients.Office.Excel.Functions.SPG(A142,"IQ_AVG_DILUT_SHARES_OUT","CY2023")</f>
        <v>743100000</v>
      </c>
      <c r="D142" s="5">
        <f>_xll.SNL.Clients.Office.Excel.Functions.SPG(A142, "IQ_DILUT_EPS_NORM", "CY2023")</f>
        <v>4.54</v>
      </c>
      <c r="E142">
        <f t="shared" si="12"/>
        <v>3373674</v>
      </c>
      <c r="F142">
        <f t="shared" si="13"/>
        <v>0.14121699455839262</v>
      </c>
      <c r="G142" t="s">
        <v>654</v>
      </c>
      <c r="H142" s="4" cm="1">
        <f t="array" ref="H142">_xll.SNL.Clients.Office.Excel.Functions.SPG(G142, "SP_TOTAL_REV", "CY2022")</f>
        <v>26643000</v>
      </c>
      <c r="I142" s="4">
        <f>_xll.SNL.Clients.Office.Excel.Functions.SPG(G142,"IQ_AVG_DILUT_SHARES_OUT","CY2022")</f>
        <v>737100000</v>
      </c>
      <c r="J142" s="5">
        <f>_xll.SNL.Clients.Office.Excel.Functions.SPG(G142, "IQ_DILUT_EPS_NORM", "CY2022")</f>
        <v>6.2889999999999997</v>
      </c>
      <c r="K142">
        <f t="shared" si="14"/>
        <v>4635621.9000000004</v>
      </c>
      <c r="L142">
        <f t="shared" si="15"/>
        <v>0.17399023758585747</v>
      </c>
      <c r="M142" t="s">
        <v>658</v>
      </c>
      <c r="N142" s="4" cm="1">
        <f t="array" ref="N142">_xll.SNL.Clients.Office.Excel.Functions.SPG(M142, "SP_TOTAL_REV", "CY2022")</f>
        <v>55646000</v>
      </c>
      <c r="O142" s="4">
        <f>_xll.SNL.Clients.Office.Excel.Functions.SPG(M142,"IQ_AVG_DILUT_SHARES_OUT","CY2022")</f>
        <v>303725000</v>
      </c>
      <c r="P142" s="5">
        <f>_xll.SNL.Clients.Office.Excel.Functions.SPG(M142, "IQ_DILUT_EPS_NORM", "CY2022")</f>
        <v>22.282</v>
      </c>
      <c r="Q142">
        <f t="shared" si="16"/>
        <v>6767600.4500000002</v>
      </c>
      <c r="R142">
        <f t="shared" si="17"/>
        <v>0.12161881267296841</v>
      </c>
    </row>
    <row r="143" spans="1:18" x14ac:dyDescent="0.3">
      <c r="A143" t="s">
        <v>655</v>
      </c>
      <c r="B143" s="4" cm="1">
        <f t="array" ref="B143">_xll.SNL.Clients.Office.Excel.Functions.SPG(A143, "SP_TOTAL_REV", "CY2023")</f>
        <v>11013100</v>
      </c>
      <c r="C143" s="4">
        <f>_xll.SNL.Clients.Office.Excel.Functions.SPG(A143,"IQ_AVG_DILUT_SHARES_OUT","CY2023")</f>
        <v>121850000</v>
      </c>
      <c r="D143" s="5">
        <f>_xll.SNL.Clients.Office.Excel.Functions.SPG(A143, "IQ_DILUT_EPS_NORM", "CY2023")</f>
        <v>5.9550000000000001</v>
      </c>
      <c r="E143">
        <f t="shared" si="12"/>
        <v>725616.75</v>
      </c>
      <c r="F143">
        <f t="shared" si="13"/>
        <v>6.5886694028021178E-2</v>
      </c>
      <c r="G143" t="s">
        <v>655</v>
      </c>
      <c r="H143" s="4" cm="1">
        <f t="array" ref="H143">_xll.SNL.Clients.Office.Excel.Functions.SPG(G143, "SP_TOTAL_REV", "CY2022")</f>
        <v>9984400</v>
      </c>
      <c r="I143" s="4">
        <f>_xll.SNL.Clients.Office.Excel.Functions.SPG(G143,"IQ_AVG_DILUT_SHARES_OUT","CY2022")</f>
        <v>125200000</v>
      </c>
      <c r="J143" s="5">
        <f>_xll.SNL.Clients.Office.Excel.Functions.SPG(G143, "IQ_DILUT_EPS_NORM", "CY2022")</f>
        <v>5.1150000000000002</v>
      </c>
      <c r="K143">
        <f t="shared" si="14"/>
        <v>640398</v>
      </c>
      <c r="L143">
        <f t="shared" si="15"/>
        <v>6.4139858178758863E-2</v>
      </c>
      <c r="M143" t="s">
        <v>659</v>
      </c>
      <c r="N143" s="4" cm="1">
        <f t="array" ref="N143">_xll.SNL.Clients.Office.Excel.Functions.SPG(M143, "SP_TOTAL_REV", "CY2022")</f>
        <v>50582000</v>
      </c>
      <c r="O143" s="4">
        <f>_xll.SNL.Clients.Office.Excel.Functions.SPG(M143,"IQ_AVG_DILUT_SHARES_OUT","CY2022")</f>
        <v>641000000</v>
      </c>
      <c r="P143" s="5">
        <f>_xll.SNL.Clients.Office.Excel.Functions.SPG(M143, "IQ_DILUT_EPS_NORM", "CY2022")</f>
        <v>2.7549999999999999</v>
      </c>
      <c r="Q143">
        <f t="shared" si="16"/>
        <v>1765955</v>
      </c>
      <c r="R143">
        <f t="shared" si="17"/>
        <v>3.4912715985923846E-2</v>
      </c>
    </row>
    <row r="144" spans="1:18" x14ac:dyDescent="0.3">
      <c r="A144" t="s">
        <v>656</v>
      </c>
      <c r="B144" s="4" cm="1">
        <f t="array" ref="B144">_xll.SNL.Clients.Office.Excel.Functions.SPG(A144, "SP_TOTAL_REV", "CY2023")</f>
        <v>12140147</v>
      </c>
      <c r="C144" s="4">
        <f>_xll.SNL.Clients.Office.Excel.Functions.SPG(A144,"IQ_AVG_DILUT_SHARES_OUT","CY2023")</f>
        <v>93182000</v>
      </c>
      <c r="D144" s="5">
        <f>_xll.SNL.Clients.Office.Excel.Functions.SPG(A144, "IQ_DILUT_EPS_NORM", "CY2023")</f>
        <v>5.2750000000000004</v>
      </c>
      <c r="E144">
        <f t="shared" si="12"/>
        <v>491535.05000000005</v>
      </c>
      <c r="F144">
        <f t="shared" si="13"/>
        <v>4.048839359193921E-2</v>
      </c>
      <c r="G144" t="s">
        <v>656</v>
      </c>
      <c r="H144" s="4" cm="1">
        <f t="array" ref="H144">_xll.SNL.Clients.Office.Excel.Functions.SPG(G144, "SP_TOTAL_REV", "CY2022")</f>
        <v>11609894</v>
      </c>
      <c r="I144" s="4">
        <f>_xll.SNL.Clients.Office.Excel.Functions.SPG(G144,"IQ_AVG_DILUT_SHARES_OUT","CY2022")</f>
        <v>95834000</v>
      </c>
      <c r="J144" s="5">
        <f>_xll.SNL.Clients.Office.Excel.Functions.SPG(G144, "IQ_DILUT_EPS_NORM", "CY2022")</f>
        <v>4.125</v>
      </c>
      <c r="K144">
        <f t="shared" si="14"/>
        <v>395315.25</v>
      </c>
      <c r="L144">
        <f t="shared" si="15"/>
        <v>3.4049858680880292E-2</v>
      </c>
      <c r="M144" t="s">
        <v>660</v>
      </c>
      <c r="N144" s="4" cm="1">
        <f t="array" ref="N144">_xll.SNL.Clients.Office.Excel.Functions.SPG(M144, "SP_TOTAL_REV", "CY2022")</f>
        <v>18873000</v>
      </c>
      <c r="O144" s="4">
        <f>_xll.SNL.Clients.Office.Excel.Functions.SPG(M144,"IQ_AVG_DILUT_SHARES_OUT","CY2022")</f>
        <v>653000000</v>
      </c>
      <c r="P144" s="5">
        <f>_xll.SNL.Clients.Office.Excel.Functions.SPG(M144, "IQ_DILUT_EPS_NORM", "CY2022")</f>
        <v>7.3470000000000004</v>
      </c>
      <c r="Q144">
        <f t="shared" si="16"/>
        <v>4797591</v>
      </c>
      <c r="R144">
        <f t="shared" si="17"/>
        <v>0.25420394213956443</v>
      </c>
    </row>
    <row r="145" spans="1:18" x14ac:dyDescent="0.3">
      <c r="A145" t="s">
        <v>657</v>
      </c>
      <c r="B145" s="4" cm="1">
        <f t="array" ref="B145">_xll.SNL.Clients.Office.Excel.Functions.SPG(A145, "SP_TOTAL_REV", "CY2023")</f>
        <v>1513700</v>
      </c>
      <c r="C145" s="4">
        <f>_xll.SNL.Clients.Office.Excel.Functions.SPG(A145,"IQ_AVG_DILUT_SHARES_OUT","CY2023")</f>
        <v>158500000</v>
      </c>
      <c r="D145" s="5">
        <f>_xll.SNL.Clients.Office.Excel.Functions.SPG(A145, "IQ_DILUT_EPS_NORM", "CY2023")</f>
        <v>0.39600000000000002</v>
      </c>
      <c r="E145">
        <f t="shared" si="12"/>
        <v>62766</v>
      </c>
      <c r="F145">
        <f t="shared" si="13"/>
        <v>4.146528374182467E-2</v>
      </c>
      <c r="G145" t="s">
        <v>657</v>
      </c>
      <c r="H145" s="4" cm="1">
        <f t="array" ref="H145">_xll.SNL.Clients.Office.Excel.Functions.SPG(G145, "SP_TOTAL_REV", "CY2022")</f>
        <v>1246200</v>
      </c>
      <c r="I145" s="4">
        <f>_xll.SNL.Clients.Office.Excel.Functions.SPG(G145,"IQ_AVG_DILUT_SHARES_OUT","CY2022")</f>
        <v>152900000</v>
      </c>
      <c r="J145" s="5">
        <f>_xll.SNL.Clients.Office.Excel.Functions.SPG(G145, "IQ_DILUT_EPS_NORM", "CY2022")</f>
        <v>-0.159</v>
      </c>
      <c r="K145">
        <f t="shared" si="14"/>
        <v>-24311.1</v>
      </c>
      <c r="L145">
        <f t="shared" si="15"/>
        <v>-1.9508184882041403E-2</v>
      </c>
      <c r="M145" t="s">
        <v>661</v>
      </c>
      <c r="N145" s="4" cm="1">
        <f t="array" ref="N145">_xll.SNL.Clients.Office.Excel.Functions.SPG(M145, "SP_TOTAL_REV", "CY2022")</f>
        <v>2909800</v>
      </c>
      <c r="O145" s="4">
        <f>_xll.SNL.Clients.Office.Excel.Functions.SPG(M145,"IQ_AVG_DILUT_SHARES_OUT","CY2022")</f>
        <v>427500000</v>
      </c>
      <c r="P145" s="5">
        <f>_xll.SNL.Clients.Office.Excel.Functions.SPG(M145, "IQ_DILUT_EPS_NORM", "CY2022")</f>
        <v>0.57099999999999995</v>
      </c>
      <c r="Q145">
        <f t="shared" si="16"/>
        <v>244102.49999999997</v>
      </c>
      <c r="R145">
        <f t="shared" si="17"/>
        <v>8.3889786239604081E-2</v>
      </c>
    </row>
    <row r="146" spans="1:18" x14ac:dyDescent="0.3">
      <c r="A146" t="s">
        <v>658</v>
      </c>
      <c r="B146" s="4" cm="1">
        <f t="array" ref="B146">_xll.SNL.Clients.Office.Excel.Functions.SPG(A146, "SP_TOTAL_REV", "CY2023")</f>
        <v>60755000</v>
      </c>
      <c r="C146" s="4">
        <f>_xll.SNL.Clients.Office.Excel.Functions.SPG(A146,"IQ_AVG_DILUT_SHARES_OUT","CY2023")</f>
        <v>289100000</v>
      </c>
      <c r="D146" s="5">
        <f>_xll.SNL.Clients.Office.Excel.Functions.SPG(A146, "IQ_DILUT_EPS_NORM", "CY2023")</f>
        <v>27.603000000000002</v>
      </c>
      <c r="E146">
        <f t="shared" si="12"/>
        <v>7980027.2999999998</v>
      </c>
      <c r="F146">
        <f t="shared" si="13"/>
        <v>0.13134766356678462</v>
      </c>
      <c r="G146" t="s">
        <v>658</v>
      </c>
      <c r="H146" s="4" cm="1">
        <f t="array" ref="H146">_xll.SNL.Clients.Office.Excel.Functions.SPG(G146, "SP_TOTAL_REV", "CY2022")</f>
        <v>55646000</v>
      </c>
      <c r="I146" s="4">
        <f>_xll.SNL.Clients.Office.Excel.Functions.SPG(G146,"IQ_AVG_DILUT_SHARES_OUT","CY2022")</f>
        <v>303725000</v>
      </c>
      <c r="J146" s="5">
        <f>_xll.SNL.Clients.Office.Excel.Functions.SPG(G146, "IQ_DILUT_EPS_NORM", "CY2022")</f>
        <v>22.282</v>
      </c>
      <c r="K146">
        <f t="shared" si="14"/>
        <v>6767600.4500000002</v>
      </c>
      <c r="L146">
        <f t="shared" si="15"/>
        <v>0.12161881267296841</v>
      </c>
      <c r="M146" t="s">
        <v>662</v>
      </c>
      <c r="N146" s="4" cm="1">
        <f t="array" ref="N146">_xll.SNL.Clients.Office.Excel.Functions.SPG(M146, "SP_TOTAL_REV", "CY2022")</f>
        <v>9083000</v>
      </c>
      <c r="O146" s="4">
        <f>_xll.SNL.Clients.Office.Excel.Functions.SPG(M146,"IQ_AVG_DILUT_SHARES_OUT","CY2022")</f>
        <v>176539000</v>
      </c>
      <c r="P146" s="5">
        <f>_xll.SNL.Clients.Office.Excel.Functions.SPG(M146, "IQ_DILUT_EPS_NORM", "CY2022")</f>
        <v>19.71</v>
      </c>
      <c r="Q146">
        <f t="shared" si="16"/>
        <v>3479583.69</v>
      </c>
      <c r="R146">
        <f t="shared" si="17"/>
        <v>0.3830874920180557</v>
      </c>
    </row>
    <row r="147" spans="1:18" x14ac:dyDescent="0.3">
      <c r="A147" t="s">
        <v>659</v>
      </c>
      <c r="B147" s="4" cm="1">
        <f t="array" ref="B147">_xll.SNL.Clients.Office.Excel.Functions.SPG(A147, "SP_TOTAL_REV", "CY2023")</f>
        <v>58048000</v>
      </c>
      <c r="C147" s="4">
        <f>_xll.SNL.Clients.Office.Excel.Functions.SPG(A147,"IQ_AVG_DILUT_SHARES_OUT","CY2023")</f>
        <v>643000000</v>
      </c>
      <c r="D147" s="5">
        <f>_xll.SNL.Clients.Office.Excel.Functions.SPG(A147, "IQ_DILUT_EPS_NORM", "CY2023")</f>
        <v>5.0739999999999998</v>
      </c>
      <c r="E147">
        <f t="shared" si="12"/>
        <v>3262582</v>
      </c>
      <c r="F147">
        <f t="shared" si="13"/>
        <v>5.620489939360529E-2</v>
      </c>
      <c r="G147" t="s">
        <v>659</v>
      </c>
      <c r="H147" s="4" cm="1">
        <f t="array" ref="H147">_xll.SNL.Clients.Office.Excel.Functions.SPG(G147, "SP_TOTAL_REV", "CY2022")</f>
        <v>50582000</v>
      </c>
      <c r="I147" s="4">
        <f>_xll.SNL.Clients.Office.Excel.Functions.SPG(G147,"IQ_AVG_DILUT_SHARES_OUT","CY2022")</f>
        <v>641000000</v>
      </c>
      <c r="J147" s="5">
        <f>_xll.SNL.Clients.Office.Excel.Functions.SPG(G147, "IQ_DILUT_EPS_NORM", "CY2022")</f>
        <v>2.7549999999999999</v>
      </c>
      <c r="K147">
        <f t="shared" si="14"/>
        <v>1765955</v>
      </c>
      <c r="L147">
        <f t="shared" si="15"/>
        <v>3.4912715985923846E-2</v>
      </c>
      <c r="M147" t="s">
        <v>663</v>
      </c>
      <c r="N147" s="4" cm="1">
        <f t="array" ref="N147">_xll.SNL.Clients.Office.Excel.Functions.SPG(M147, "SP_TOTAL_REV", "CY2022")</f>
        <v>4687254</v>
      </c>
      <c r="O147" s="4">
        <f>_xll.SNL.Clients.Office.Excel.Functions.SPG(M147,"IQ_AVG_DILUT_SHARES_OUT","CY2022")</f>
        <v>297919000</v>
      </c>
      <c r="P147" s="5">
        <f>_xll.SNL.Clients.Office.Excel.Functions.SPG(M147, "IQ_DILUT_EPS_NORM", "CY2022")</f>
        <v>0.74199999999999999</v>
      </c>
      <c r="Q147">
        <f t="shared" si="16"/>
        <v>221055.89799999999</v>
      </c>
      <c r="R147">
        <f t="shared" si="17"/>
        <v>4.7161066586107768E-2</v>
      </c>
    </row>
    <row r="148" spans="1:18" x14ac:dyDescent="0.3">
      <c r="A148" t="s">
        <v>660</v>
      </c>
      <c r="B148" s="4" cm="1">
        <f t="array" ref="B148">_xll.SNL.Clients.Office.Excel.Functions.SPG(A148, "SP_TOTAL_REV", "CY2023")</f>
        <v>14427000</v>
      </c>
      <c r="C148" s="4">
        <f>_xll.SNL.Clients.Office.Excel.Functions.SPG(A148,"IQ_AVG_DILUT_SHARES_OUT","CY2023")</f>
        <v>642000000</v>
      </c>
      <c r="D148" s="5">
        <f>_xll.SNL.Clients.Office.Excel.Functions.SPG(A148, "IQ_DILUT_EPS_NORM", "CY2023")</f>
        <v>4.4169999999999998</v>
      </c>
      <c r="E148">
        <f t="shared" si="12"/>
        <v>2835714</v>
      </c>
      <c r="F148">
        <f t="shared" si="13"/>
        <v>0.19655604075691413</v>
      </c>
      <c r="G148" t="s">
        <v>660</v>
      </c>
      <c r="H148" s="4" cm="1">
        <f t="array" ref="H148">_xll.SNL.Clients.Office.Excel.Functions.SPG(G148, "SP_TOTAL_REV", "CY2022")</f>
        <v>18873000</v>
      </c>
      <c r="I148" s="4">
        <f>_xll.SNL.Clients.Office.Excel.Functions.SPG(G148,"IQ_AVG_DILUT_SHARES_OUT","CY2022")</f>
        <v>653000000</v>
      </c>
      <c r="J148" s="5">
        <f>_xll.SNL.Clients.Office.Excel.Functions.SPG(G148, "IQ_DILUT_EPS_NORM", "CY2022")</f>
        <v>7.3470000000000004</v>
      </c>
      <c r="K148">
        <f t="shared" si="14"/>
        <v>4797591</v>
      </c>
      <c r="L148">
        <f t="shared" si="15"/>
        <v>0.25420394213956443</v>
      </c>
      <c r="M148" t="s">
        <v>664</v>
      </c>
      <c r="N148" s="4" cm="1">
        <f t="array" ref="N148">_xll.SNL.Clients.Office.Excel.Functions.SPG(M148, "SP_TOTAL_REV", "CY2022")</f>
        <v>10857000</v>
      </c>
      <c r="O148" s="4">
        <f>_xll.SNL.Clients.Office.Excel.Functions.SPG(M148,"IQ_AVG_DILUT_SHARES_OUT","CY2022")</f>
        <v>278000000</v>
      </c>
      <c r="P148" s="5">
        <f>_xll.SNL.Clients.Office.Excel.Functions.SPG(M148, "IQ_DILUT_EPS_NORM", "CY2022")</f>
        <v>13.016999999999999</v>
      </c>
      <c r="Q148">
        <f t="shared" si="16"/>
        <v>3618726</v>
      </c>
      <c r="R148">
        <f t="shared" si="17"/>
        <v>0.33330809615916002</v>
      </c>
    </row>
    <row r="149" spans="1:18" x14ac:dyDescent="0.3">
      <c r="A149" t="s">
        <v>661</v>
      </c>
      <c r="B149" s="4" cm="1">
        <f t="array" ref="B149">_xll.SNL.Clients.Office.Excel.Functions.SPG(A149, "SP_TOTAL_REV", "CY2023")</f>
        <v>3622300</v>
      </c>
      <c r="C149" s="4">
        <f>_xll.SNL.Clients.Office.Excel.Functions.SPG(A149,"IQ_AVG_DILUT_SHARES_OUT","CY2023")</f>
        <v>425500000</v>
      </c>
      <c r="D149" s="5">
        <f>_xll.SNL.Clients.Office.Excel.Functions.SPG(A149, "IQ_DILUT_EPS_NORM", "CY2023")</f>
        <v>1.0409999999999999</v>
      </c>
      <c r="E149">
        <f t="shared" si="12"/>
        <v>442945.49999999994</v>
      </c>
      <c r="F149">
        <f t="shared" si="13"/>
        <v>0.12228294177732378</v>
      </c>
      <c r="G149" t="s">
        <v>661</v>
      </c>
      <c r="H149" s="4" cm="1">
        <f t="array" ref="H149">_xll.SNL.Clients.Office.Excel.Functions.SPG(G149, "SP_TOTAL_REV", "CY2022")</f>
        <v>2909800</v>
      </c>
      <c r="I149" s="4">
        <f>_xll.SNL.Clients.Office.Excel.Functions.SPG(G149,"IQ_AVG_DILUT_SHARES_OUT","CY2022")</f>
        <v>427500000</v>
      </c>
      <c r="J149" s="5">
        <f>_xll.SNL.Clients.Office.Excel.Functions.SPG(G149, "IQ_DILUT_EPS_NORM", "CY2022")</f>
        <v>0.57099999999999995</v>
      </c>
      <c r="K149">
        <f t="shared" si="14"/>
        <v>244102.49999999997</v>
      </c>
      <c r="L149">
        <f t="shared" si="15"/>
        <v>8.3889786239604081E-2</v>
      </c>
      <c r="M149" t="s">
        <v>665</v>
      </c>
      <c r="N149" s="4" cm="1">
        <f t="array" ref="N149">_xll.SNL.Clients.Office.Excel.Functions.SPG(M149, "SP_TOTAL_REV", "CY2022")</f>
        <v>37844863</v>
      </c>
      <c r="O149" s="4">
        <f>_xll.SNL.Clients.Office.Excel.Functions.SPG(M149,"IQ_AVG_DILUT_SHARES_OUT","CY2022")</f>
        <v>226297000</v>
      </c>
      <c r="P149" s="5">
        <f>_xll.SNL.Clients.Office.Excel.Functions.SPG(M149, "IQ_DILUT_EPS_NORM", "CY2022")</f>
        <v>8.6129999999999995</v>
      </c>
      <c r="Q149">
        <f t="shared" si="16"/>
        <v>1949096.061</v>
      </c>
      <c r="R149">
        <f t="shared" si="17"/>
        <v>5.1502262301755461E-2</v>
      </c>
    </row>
    <row r="150" spans="1:18" x14ac:dyDescent="0.3">
      <c r="A150" t="s">
        <v>662</v>
      </c>
      <c r="B150" s="4" cm="1">
        <f t="array" ref="B150">_xll.SNL.Clients.Office.Excel.Functions.SPG(A150, "SP_TOTAL_REV", "CY2023")</f>
        <v>7959000</v>
      </c>
      <c r="C150" s="4">
        <f>_xll.SNL.Clients.Office.Excel.Functions.SPG(A150,"IQ_AVG_DILUT_SHARES_OUT","CY2023")</f>
        <v>179999000</v>
      </c>
      <c r="D150" s="5">
        <f>_xll.SNL.Clients.Office.Excel.Functions.SPG(A150, "IQ_DILUT_EPS_NORM", "CY2023")</f>
        <v>13.423999999999999</v>
      </c>
      <c r="E150">
        <f t="shared" si="12"/>
        <v>2416306.5759999999</v>
      </c>
      <c r="F150">
        <f t="shared" si="13"/>
        <v>0.30359424249277545</v>
      </c>
      <c r="G150" t="s">
        <v>662</v>
      </c>
      <c r="H150" s="4" cm="1">
        <f t="array" ref="H150">_xll.SNL.Clients.Office.Excel.Functions.SPG(G150, "SP_TOTAL_REV", "CY2022")</f>
        <v>9083000</v>
      </c>
      <c r="I150" s="4">
        <f>_xll.SNL.Clients.Office.Excel.Functions.SPG(G150,"IQ_AVG_DILUT_SHARES_OUT","CY2022")</f>
        <v>176539000</v>
      </c>
      <c r="J150" s="5">
        <f>_xll.SNL.Clients.Office.Excel.Functions.SPG(G150, "IQ_DILUT_EPS_NORM", "CY2022")</f>
        <v>19.71</v>
      </c>
      <c r="K150">
        <f t="shared" si="14"/>
        <v>3479583.69</v>
      </c>
      <c r="L150">
        <f t="shared" si="15"/>
        <v>0.3830874920180557</v>
      </c>
      <c r="M150" t="s">
        <v>666</v>
      </c>
      <c r="N150" s="4" cm="1">
        <f t="array" ref="N150">_xll.SNL.Clients.Office.Excel.Functions.SPG(M150, "SP_TOTAL_REV", "CY2022")</f>
        <v>28331700</v>
      </c>
      <c r="O150" s="4">
        <f>_xll.SNL.Clients.Office.Excel.Functions.SPG(M150,"IQ_AVG_DILUT_SHARES_OUT","CY2022")</f>
        <v>224100000</v>
      </c>
      <c r="P150" s="5">
        <f>_xll.SNL.Clients.Office.Excel.Functions.SPG(M150, "IQ_DILUT_EPS_NORM", "CY2022")</f>
        <v>5.9980000000000002</v>
      </c>
      <c r="Q150">
        <f t="shared" si="16"/>
        <v>1344151.8</v>
      </c>
      <c r="R150">
        <f t="shared" si="17"/>
        <v>4.7443386736411866E-2</v>
      </c>
    </row>
    <row r="151" spans="1:18" x14ac:dyDescent="0.3">
      <c r="A151" t="s">
        <v>663</v>
      </c>
      <c r="B151" s="4" cm="1">
        <f t="array" ref="B151">_xll.SNL.Clients.Office.Excel.Functions.SPG(A151, "SP_TOTAL_REV", "CY2023")</f>
        <v>5515702</v>
      </c>
      <c r="C151" s="4">
        <f>_xll.SNL.Clients.Office.Excel.Functions.SPG(A151,"IQ_AVG_DILUT_SHARES_OUT","CY2023")</f>
        <v>309065000</v>
      </c>
      <c r="D151" s="5">
        <f>_xll.SNL.Clients.Office.Excel.Functions.SPG(A151, "IQ_DILUT_EPS_NORM", "CY2023")</f>
        <v>0.65900000000000003</v>
      </c>
      <c r="E151">
        <f t="shared" si="12"/>
        <v>203673.83499999999</v>
      </c>
      <c r="F151">
        <f t="shared" si="13"/>
        <v>3.6926185461070953E-2</v>
      </c>
      <c r="G151" t="s">
        <v>663</v>
      </c>
      <c r="H151" s="4" cm="1">
        <f t="array" ref="H151">_xll.SNL.Clients.Office.Excel.Functions.SPG(G151, "SP_TOTAL_REV", "CY2022")</f>
        <v>4687254</v>
      </c>
      <c r="I151" s="4">
        <f>_xll.SNL.Clients.Office.Excel.Functions.SPG(G151,"IQ_AVG_DILUT_SHARES_OUT","CY2022")</f>
        <v>297919000</v>
      </c>
      <c r="J151" s="5">
        <f>_xll.SNL.Clients.Office.Excel.Functions.SPG(G151, "IQ_DILUT_EPS_NORM", "CY2022")</f>
        <v>0.74199999999999999</v>
      </c>
      <c r="K151">
        <f t="shared" si="14"/>
        <v>221055.89799999999</v>
      </c>
      <c r="L151">
        <f t="shared" si="15"/>
        <v>4.7161066586107768E-2</v>
      </c>
      <c r="M151" t="s">
        <v>667</v>
      </c>
      <c r="N151" s="4" cm="1">
        <f t="array" ref="N151">_xll.SNL.Clients.Office.Excel.Functions.SPG(M151, "SP_TOTAL_REV", "CY2022")</f>
        <v>13938000</v>
      </c>
      <c r="O151" s="4">
        <f>_xll.SNL.Clients.Office.Excel.Functions.SPG(M151,"IQ_AVG_DILUT_SHARES_OUT","CY2022")</f>
        <v>824800000</v>
      </c>
      <c r="P151" s="5">
        <f>_xll.SNL.Clients.Office.Excel.Functions.SPG(M151, "IQ_DILUT_EPS_NORM", "CY2022")</f>
        <v>2.27</v>
      </c>
      <c r="Q151">
        <f t="shared" si="16"/>
        <v>1872296</v>
      </c>
      <c r="R151">
        <f t="shared" si="17"/>
        <v>0.1343303199885206</v>
      </c>
    </row>
    <row r="152" spans="1:18" x14ac:dyDescent="0.3">
      <c r="A152" t="s">
        <v>664</v>
      </c>
      <c r="B152" s="4" cm="1">
        <f t="array" ref="B152">_xll.SNL.Clients.Office.Excel.Functions.SPG(A152, "SP_TOTAL_REV", "CY2023")</f>
        <v>9776000</v>
      </c>
      <c r="C152" s="4">
        <f>_xll.SNL.Clients.Office.Excel.Functions.SPG(A152,"IQ_AVG_DILUT_SHARES_OUT","CY2023")</f>
        <v>254000000</v>
      </c>
      <c r="D152" s="5">
        <f>_xll.SNL.Clients.Office.Excel.Functions.SPG(A152, "IQ_DILUT_EPS_NORM", "CY2023")</f>
        <v>9.2720000000000002</v>
      </c>
      <c r="E152">
        <f t="shared" si="12"/>
        <v>2355088</v>
      </c>
      <c r="F152">
        <f t="shared" si="13"/>
        <v>0.2409050736497545</v>
      </c>
      <c r="G152" t="s">
        <v>664</v>
      </c>
      <c r="H152" s="4" cm="1">
        <f t="array" ref="H152">_xll.SNL.Clients.Office.Excel.Functions.SPG(G152, "SP_TOTAL_REV", "CY2022")</f>
        <v>10857000</v>
      </c>
      <c r="I152" s="4">
        <f>_xll.SNL.Clients.Office.Excel.Functions.SPG(G152,"IQ_AVG_DILUT_SHARES_OUT","CY2022")</f>
        <v>278000000</v>
      </c>
      <c r="J152" s="5">
        <f>_xll.SNL.Clients.Office.Excel.Functions.SPG(G152, "IQ_DILUT_EPS_NORM", "CY2022")</f>
        <v>13.016999999999999</v>
      </c>
      <c r="K152">
        <f t="shared" si="14"/>
        <v>3618726</v>
      </c>
      <c r="L152">
        <f t="shared" si="15"/>
        <v>0.33330809615916002</v>
      </c>
      <c r="M152" t="s">
        <v>668</v>
      </c>
      <c r="N152" s="4" cm="1">
        <f t="array" ref="N152">_xll.SNL.Clients.Office.Excel.Functions.SPG(M152, "SP_TOTAL_REV", "CY2022")</f>
        <v>4537158</v>
      </c>
      <c r="O152" s="4">
        <f>_xll.SNL.Clients.Office.Excel.Functions.SPG(M152,"IQ_AVG_DILUT_SHARES_OUT","CY2022")</f>
        <v>36093754</v>
      </c>
      <c r="P152" s="5">
        <f>_xll.SNL.Clients.Office.Excel.Functions.SPG(M152, "IQ_DILUT_EPS_NORM", "CY2022")</f>
        <v>9.5530000000000008</v>
      </c>
      <c r="Q152">
        <f t="shared" si="16"/>
        <v>344803.63196199998</v>
      </c>
      <c r="R152">
        <f t="shared" si="17"/>
        <v>7.5995509074623366E-2</v>
      </c>
    </row>
    <row r="153" spans="1:18" x14ac:dyDescent="0.3">
      <c r="A153" t="s">
        <v>665</v>
      </c>
      <c r="B153" s="4" cm="1">
        <f t="array" ref="B153">_xll.SNL.Clients.Office.Excel.Functions.SPG(A153, "SP_TOTAL_REV", "CY2023")</f>
        <v>38691609</v>
      </c>
      <c r="C153" s="4">
        <f>_xll.SNL.Clients.Office.Excel.Functions.SPG(A153,"IQ_AVG_DILUT_SHARES_OUT","CY2023")</f>
        <v>219938000</v>
      </c>
      <c r="D153" s="5">
        <f>_xll.SNL.Clients.Office.Excel.Functions.SPG(A153, "IQ_DILUT_EPS_NORM", "CY2023")</f>
        <v>6.0419999999999998</v>
      </c>
      <c r="E153">
        <f t="shared" si="12"/>
        <v>1328865.3959999999</v>
      </c>
      <c r="F153">
        <f t="shared" si="13"/>
        <v>3.434505388493924E-2</v>
      </c>
      <c r="G153" t="s">
        <v>665</v>
      </c>
      <c r="H153" s="4" cm="1">
        <f t="array" ref="H153">_xll.SNL.Clients.Office.Excel.Functions.SPG(G153, "SP_TOTAL_REV", "CY2022")</f>
        <v>37844863</v>
      </c>
      <c r="I153" s="4">
        <f>_xll.SNL.Clients.Office.Excel.Functions.SPG(G153,"IQ_AVG_DILUT_SHARES_OUT","CY2022")</f>
        <v>226297000</v>
      </c>
      <c r="J153" s="5">
        <f>_xll.SNL.Clients.Office.Excel.Functions.SPG(G153, "IQ_DILUT_EPS_NORM", "CY2022")</f>
        <v>8.6129999999999995</v>
      </c>
      <c r="K153">
        <f t="shared" si="14"/>
        <v>1949096.061</v>
      </c>
      <c r="L153">
        <f t="shared" si="15"/>
        <v>5.1502262301755461E-2</v>
      </c>
      <c r="M153" t="s">
        <v>669</v>
      </c>
      <c r="N153" s="4" cm="1">
        <f t="array" ref="N153">_xll.SNL.Clients.Office.Excel.Functions.SPG(M153, "SP_TOTAL_REV", "CY2022")</f>
        <v>8508088</v>
      </c>
      <c r="O153" s="4">
        <f>_xll.SNL.Clients.Office.Excel.Functions.SPG(M153,"IQ_AVG_DILUT_SHARES_OUT","CY2022")</f>
        <v>143595000</v>
      </c>
      <c r="P153" s="5">
        <f>_xll.SNL.Clients.Office.Excel.Functions.SPG(M153, "IQ_DILUT_EPS_NORM", "CY2022")</f>
        <v>5.7370000000000001</v>
      </c>
      <c r="Q153">
        <f t="shared" si="16"/>
        <v>823804.51500000001</v>
      </c>
      <c r="R153">
        <f t="shared" si="17"/>
        <v>9.682604540526614E-2</v>
      </c>
    </row>
    <row r="154" spans="1:18" x14ac:dyDescent="0.3">
      <c r="A154" t="s">
        <v>666</v>
      </c>
      <c r="B154" s="4" cm="1">
        <f t="array" ref="B154">_xll.SNL.Clients.Office.Excel.Functions.SPG(A154, "SP_TOTAL_REV", "CY2023")</f>
        <v>30603800</v>
      </c>
      <c r="C154" s="4">
        <f>_xll.SNL.Clients.Office.Excel.Functions.SPG(A154,"IQ_AVG_DILUT_SHARES_OUT","CY2023")</f>
        <v>219500000</v>
      </c>
      <c r="D154" s="5">
        <f>_xll.SNL.Clients.Office.Excel.Functions.SPG(A154, "IQ_DILUT_EPS_NORM", "CY2023")</f>
        <v>4.8090000000000002</v>
      </c>
      <c r="E154">
        <f t="shared" si="12"/>
        <v>1055575.5</v>
      </c>
      <c r="F154">
        <f t="shared" si="13"/>
        <v>3.4491648095988078E-2</v>
      </c>
      <c r="G154" t="s">
        <v>666</v>
      </c>
      <c r="H154" s="4" cm="1">
        <f t="array" ref="H154">_xll.SNL.Clients.Office.Excel.Functions.SPG(G154, "SP_TOTAL_REV", "CY2022")</f>
        <v>28331700</v>
      </c>
      <c r="I154" s="4">
        <f>_xll.SNL.Clients.Office.Excel.Functions.SPG(G154,"IQ_AVG_DILUT_SHARES_OUT","CY2022")</f>
        <v>224100000</v>
      </c>
      <c r="J154" s="5">
        <f>_xll.SNL.Clients.Office.Excel.Functions.SPG(G154, "IQ_DILUT_EPS_NORM", "CY2022")</f>
        <v>5.9980000000000002</v>
      </c>
      <c r="K154">
        <f t="shared" si="14"/>
        <v>1344151.8</v>
      </c>
      <c r="L154">
        <f t="shared" si="15"/>
        <v>4.7443386736411866E-2</v>
      </c>
      <c r="M154" t="s">
        <v>670</v>
      </c>
      <c r="N154" s="4" cm="1">
        <f t="array" ref="N154">_xll.SNL.Clients.Office.Excel.Functions.SPG(M154, "SP_TOTAL_REV", "CY2022")</f>
        <v>56902000</v>
      </c>
      <c r="O154" s="4">
        <f>_xll.SNL.Clients.Office.Excel.Functions.SPG(M154,"IQ_AVG_DILUT_SHARES_OUT","CY2022")</f>
        <v>725600000</v>
      </c>
      <c r="P154" s="5">
        <f>_xll.SNL.Clients.Office.Excel.Functions.SPG(M154, "IQ_DILUT_EPS_NORM", "CY2022")</f>
        <v>4.7649999999999997</v>
      </c>
      <c r="Q154">
        <f t="shared" si="16"/>
        <v>3457484</v>
      </c>
      <c r="R154">
        <f t="shared" si="17"/>
        <v>6.0762082176373411E-2</v>
      </c>
    </row>
    <row r="155" spans="1:18" x14ac:dyDescent="0.3">
      <c r="A155" t="s">
        <v>667</v>
      </c>
      <c r="B155" s="4" cm="1">
        <f t="array" ref="B155">_xll.SNL.Clients.Office.Excel.Functions.SPG(A155, "SP_TOTAL_REV", "CY2023")</f>
        <v>14393000</v>
      </c>
      <c r="C155" s="4">
        <f>_xll.SNL.Clients.Office.Excel.Functions.SPG(A155,"IQ_AVG_DILUT_SHARES_OUT","CY2023")</f>
        <v>836500000</v>
      </c>
      <c r="D155" s="5">
        <f>_xll.SNL.Clients.Office.Excel.Functions.SPG(A155, "IQ_DILUT_EPS_NORM", "CY2023")</f>
        <v>1.782</v>
      </c>
      <c r="E155">
        <f t="shared" si="12"/>
        <v>1490643</v>
      </c>
      <c r="F155">
        <f t="shared" si="13"/>
        <v>0.10356722017647467</v>
      </c>
      <c r="G155" t="s">
        <v>667</v>
      </c>
      <c r="H155" s="4" cm="1">
        <f t="array" ref="H155">_xll.SNL.Clients.Office.Excel.Functions.SPG(G155, "SP_TOTAL_REV", "CY2022")</f>
        <v>13938000</v>
      </c>
      <c r="I155" s="4">
        <f>_xll.SNL.Clients.Office.Excel.Functions.SPG(G155,"IQ_AVG_DILUT_SHARES_OUT","CY2022")</f>
        <v>824800000</v>
      </c>
      <c r="J155" s="5">
        <f>_xll.SNL.Clients.Office.Excel.Functions.SPG(G155, "IQ_DILUT_EPS_NORM", "CY2022")</f>
        <v>2.27</v>
      </c>
      <c r="K155">
        <f t="shared" si="14"/>
        <v>1872296</v>
      </c>
      <c r="L155">
        <f t="shared" si="15"/>
        <v>0.1343303199885206</v>
      </c>
      <c r="M155" t="s">
        <v>671</v>
      </c>
      <c r="N155" s="4" cm="1">
        <f t="array" ref="N155">_xll.SNL.Clients.Office.Excel.Functions.SPG(M155, "SP_TOTAL_REV", "CY2022")</f>
        <v>33684400</v>
      </c>
      <c r="O155" s="4">
        <f>_xll.SNL.Clients.Office.Excel.Functions.SPG(M155,"IQ_AVG_DILUT_SHARES_OUT","CY2022")</f>
        <v>351500000</v>
      </c>
      <c r="P155" s="5">
        <f>_xll.SNL.Clients.Office.Excel.Functions.SPG(M155, "IQ_DILUT_EPS_NORM", "CY2022")</f>
        <v>13.19</v>
      </c>
      <c r="Q155">
        <f t="shared" si="16"/>
        <v>4636285</v>
      </c>
      <c r="R155">
        <f t="shared" si="17"/>
        <v>0.13763893671848096</v>
      </c>
    </row>
    <row r="156" spans="1:18" x14ac:dyDescent="0.3">
      <c r="A156" t="s">
        <v>668</v>
      </c>
      <c r="B156" s="4" cm="1">
        <f t="array" ref="B156">_xll.SNL.Clients.Office.Excel.Functions.SPG(A156, "SP_TOTAL_REV", "CY2023")</f>
        <v>4479358</v>
      </c>
      <c r="C156" s="4">
        <f>_xll.SNL.Clients.Office.Excel.Functions.SPG(A156,"IQ_AVG_DILUT_SHARES_OUT","CY2023")</f>
        <v>35401313</v>
      </c>
      <c r="D156" s="5">
        <f>_xll.SNL.Clients.Office.Excel.Functions.SPG(A156, "IQ_DILUT_EPS_NORM", "CY2023")</f>
        <v>11.209</v>
      </c>
      <c r="E156">
        <f t="shared" si="12"/>
        <v>396813.31741700001</v>
      </c>
      <c r="F156">
        <f t="shared" si="13"/>
        <v>8.8587096056399153E-2</v>
      </c>
      <c r="G156" t="s">
        <v>668</v>
      </c>
      <c r="H156" s="4" cm="1">
        <f t="array" ref="H156">_xll.SNL.Clients.Office.Excel.Functions.SPG(G156, "SP_TOTAL_REV", "CY2022")</f>
        <v>4537158</v>
      </c>
      <c r="I156" s="4">
        <f>_xll.SNL.Clients.Office.Excel.Functions.SPG(G156,"IQ_AVG_DILUT_SHARES_OUT","CY2022")</f>
        <v>36093754</v>
      </c>
      <c r="J156" s="5">
        <f>_xll.SNL.Clients.Office.Excel.Functions.SPG(G156, "IQ_DILUT_EPS_NORM", "CY2022")</f>
        <v>9.5530000000000008</v>
      </c>
      <c r="K156">
        <f t="shared" si="14"/>
        <v>344803.63196199998</v>
      </c>
      <c r="L156">
        <f t="shared" si="15"/>
        <v>7.5995509074623366E-2</v>
      </c>
      <c r="M156" t="s">
        <v>672</v>
      </c>
      <c r="N156" s="4" cm="1">
        <f t="array" ref="N156">_xll.SNL.Clients.Office.Excel.Functions.SPG(M156, "SP_TOTAL_REV", "CY2022")</f>
        <v>19228000</v>
      </c>
      <c r="O156" s="4">
        <f>_xll.SNL.Clients.Office.Excel.Functions.SPG(M156,"IQ_AVG_DILUT_SHARES_OUT","CY2022")</f>
        <v>196000000</v>
      </c>
      <c r="P156" s="5">
        <f>_xll.SNL.Clients.Office.Excel.Functions.SPG(M156, "IQ_DILUT_EPS_NORM", "CY2022")</f>
        <v>3.53</v>
      </c>
      <c r="Q156">
        <f t="shared" si="16"/>
        <v>691880</v>
      </c>
      <c r="R156">
        <f t="shared" si="17"/>
        <v>3.5982941543582274E-2</v>
      </c>
    </row>
    <row r="157" spans="1:18" x14ac:dyDescent="0.3">
      <c r="A157" t="s">
        <v>669</v>
      </c>
      <c r="B157" s="4" cm="1">
        <f t="array" ref="B157">_xll.SNL.Clients.Office.Excel.Functions.SPG(A157, "SP_TOTAL_REV", "CY2023")</f>
        <v>8438134</v>
      </c>
      <c r="C157" s="4">
        <f>_xll.SNL.Clients.Office.Excel.Functions.SPG(A157,"IQ_AVG_DILUT_SHARES_OUT","CY2023")</f>
        <v>140599000</v>
      </c>
      <c r="D157" s="5">
        <f>_xll.SNL.Clients.Office.Excel.Functions.SPG(A157, "IQ_DILUT_EPS_NORM", "CY2023")</f>
        <v>5.87</v>
      </c>
      <c r="E157">
        <f t="shared" si="12"/>
        <v>825316.13</v>
      </c>
      <c r="F157">
        <f t="shared" si="13"/>
        <v>9.7807895679305396E-2</v>
      </c>
      <c r="G157" t="s">
        <v>669</v>
      </c>
      <c r="H157" s="4" cm="1">
        <f t="array" ref="H157">_xll.SNL.Clients.Office.Excel.Functions.SPG(G157, "SP_TOTAL_REV", "CY2022")</f>
        <v>8508088</v>
      </c>
      <c r="I157" s="4">
        <f>_xll.SNL.Clients.Office.Excel.Functions.SPG(G157,"IQ_AVG_DILUT_SHARES_OUT","CY2022")</f>
        <v>143595000</v>
      </c>
      <c r="J157" s="5">
        <f>_xll.SNL.Clients.Office.Excel.Functions.SPG(G157, "IQ_DILUT_EPS_NORM", "CY2022")</f>
        <v>5.7370000000000001</v>
      </c>
      <c r="K157">
        <f t="shared" si="14"/>
        <v>823804.51500000001</v>
      </c>
      <c r="L157">
        <f t="shared" si="15"/>
        <v>9.682604540526614E-2</v>
      </c>
      <c r="M157" t="s">
        <v>673</v>
      </c>
      <c r="N157" s="4" cm="1">
        <f t="array" ref="N157">_xll.SNL.Clients.Office.Excel.Functions.SPG(M157, "SP_TOTAL_REV", "CY2022")</f>
        <v>28319000</v>
      </c>
      <c r="O157" s="4">
        <f>_xll.SNL.Clients.Office.Excel.Functions.SPG(M157,"IQ_AVG_DILUT_SHARES_OUT","CY2022")</f>
        <v>770000000</v>
      </c>
      <c r="P157" s="5">
        <f>_xll.SNL.Clients.Office.Excel.Functions.SPG(M157, "IQ_DILUT_EPS_NORM", "CY2022")</f>
        <v>3.8780000000000001</v>
      </c>
      <c r="Q157">
        <f t="shared" si="16"/>
        <v>2986060</v>
      </c>
      <c r="R157">
        <f t="shared" si="17"/>
        <v>0.10544369504572902</v>
      </c>
    </row>
    <row r="158" spans="1:18" x14ac:dyDescent="0.3">
      <c r="A158" t="s">
        <v>670</v>
      </c>
      <c r="B158" s="4" cm="1">
        <f t="array" ref="B158">_xll.SNL.Clients.Office.Excel.Functions.SPG(A158, "SP_TOTAL_REV", "CY2023")</f>
        <v>44622000</v>
      </c>
      <c r="C158" s="4">
        <f>_xll.SNL.Clients.Office.Excel.Functions.SPG(A158,"IQ_AVG_DILUT_SHARES_OUT","CY2023")</f>
        <v>709000000</v>
      </c>
      <c r="D158" s="5">
        <f>_xll.SNL.Clients.Office.Excel.Functions.SPG(A158, "IQ_DILUT_EPS_NORM", "CY2023")</f>
        <v>1.472</v>
      </c>
      <c r="E158">
        <f t="shared" si="12"/>
        <v>1043648</v>
      </c>
      <c r="F158">
        <f t="shared" si="13"/>
        <v>2.3388642373716999E-2</v>
      </c>
      <c r="G158" t="s">
        <v>670</v>
      </c>
      <c r="H158" s="4" cm="1">
        <f t="array" ref="H158">_xll.SNL.Clients.Office.Excel.Functions.SPG(G158, "SP_TOTAL_REV", "CY2022")</f>
        <v>56902000</v>
      </c>
      <c r="I158" s="4">
        <f>_xll.SNL.Clients.Office.Excel.Functions.SPG(G158,"IQ_AVG_DILUT_SHARES_OUT","CY2022")</f>
        <v>725600000</v>
      </c>
      <c r="J158" s="5">
        <f>_xll.SNL.Clients.Office.Excel.Functions.SPG(G158, "IQ_DILUT_EPS_NORM", "CY2022")</f>
        <v>4.7649999999999997</v>
      </c>
      <c r="K158">
        <f t="shared" si="14"/>
        <v>3457484</v>
      </c>
      <c r="L158">
        <f t="shared" si="15"/>
        <v>6.0762082176373411E-2</v>
      </c>
      <c r="M158" t="s">
        <v>674</v>
      </c>
      <c r="N158" s="4" cm="1">
        <f t="array" ref="N158">_xll.SNL.Clients.Office.Excel.Functions.SPG(M158, "SP_TOTAL_REV", "CY2022")</f>
        <v>13017000</v>
      </c>
      <c r="O158" s="4">
        <f>_xll.SNL.Clients.Office.Excel.Functions.SPG(M158,"IQ_AVG_DILUT_SHARES_OUT","CY2022")</f>
        <v>499400000</v>
      </c>
      <c r="P158" s="5">
        <f>_xll.SNL.Clients.Office.Excel.Functions.SPG(M158, "IQ_DILUT_EPS_NORM", "CY2022")</f>
        <v>2.052</v>
      </c>
      <c r="Q158">
        <f t="shared" si="16"/>
        <v>1024768.8</v>
      </c>
      <c r="R158">
        <f t="shared" si="17"/>
        <v>7.8725420603825771E-2</v>
      </c>
    </row>
    <row r="159" spans="1:18" x14ac:dyDescent="0.3">
      <c r="A159" t="s">
        <v>671</v>
      </c>
      <c r="B159" s="4" cm="1">
        <f t="array" ref="B159">_xll.SNL.Clients.Office.Excel.Functions.SPG(A159, "SP_TOTAL_REV", "CY2023")</f>
        <v>35928600</v>
      </c>
      <c r="C159" s="4">
        <f>_xll.SNL.Clients.Office.Excel.Functions.SPG(A159,"IQ_AVG_DILUT_SHARES_OUT","CY2023")</f>
        <v>340500000</v>
      </c>
      <c r="D159" s="5">
        <f>_xll.SNL.Clients.Office.Excel.Functions.SPG(A159, "IQ_DILUT_EPS_NORM", "CY2023")</f>
        <v>11.53</v>
      </c>
      <c r="E159">
        <f t="shared" si="12"/>
        <v>3925965</v>
      </c>
      <c r="F159">
        <f t="shared" si="13"/>
        <v>0.10927130475442962</v>
      </c>
      <c r="G159" t="s">
        <v>671</v>
      </c>
      <c r="H159" s="4" cm="1">
        <f t="array" ref="H159">_xll.SNL.Clients.Office.Excel.Functions.SPG(G159, "SP_TOTAL_REV", "CY2022")</f>
        <v>33684400</v>
      </c>
      <c r="I159" s="4">
        <f>_xll.SNL.Clients.Office.Excel.Functions.SPG(G159,"IQ_AVG_DILUT_SHARES_OUT","CY2022")</f>
        <v>351500000</v>
      </c>
      <c r="J159" s="5">
        <f>_xll.SNL.Clients.Office.Excel.Functions.SPG(G159, "IQ_DILUT_EPS_NORM", "CY2022")</f>
        <v>13.19</v>
      </c>
      <c r="K159">
        <f t="shared" si="14"/>
        <v>4636285</v>
      </c>
      <c r="L159">
        <f t="shared" si="15"/>
        <v>0.13763893671848096</v>
      </c>
      <c r="M159" t="s">
        <v>675</v>
      </c>
      <c r="N159" s="4" cm="1">
        <f t="array" ref="N159">_xll.SNL.Clients.Office.Excel.Functions.SPG(M159, "SP_TOTAL_REV", "CY2022")</f>
        <v>10580000</v>
      </c>
      <c r="O159" s="4">
        <f>_xll.SNL.Clients.Office.Excel.Functions.SPG(M159,"IQ_AVG_DILUT_SHARES_OUT","CY2022")</f>
        <v>124900000</v>
      </c>
      <c r="P159" s="5">
        <f>_xll.SNL.Clients.Office.Excel.Functions.SPG(M159, "IQ_DILUT_EPS_NORM", "CY2022")</f>
        <v>5.5049999999999999</v>
      </c>
      <c r="Q159">
        <f t="shared" si="16"/>
        <v>687574.5</v>
      </c>
      <c r="R159">
        <f t="shared" si="17"/>
        <v>6.4988137996219275E-2</v>
      </c>
    </row>
    <row r="160" spans="1:18" x14ac:dyDescent="0.3">
      <c r="A160" t="s">
        <v>672</v>
      </c>
      <c r="B160" s="4" cm="1">
        <f t="array" ref="B160">_xll.SNL.Clients.Office.Excel.Functions.SPG(A160, "SP_TOTAL_REV", "CY2023")</f>
        <v>12745000</v>
      </c>
      <c r="C160" s="4">
        <f>_xll.SNL.Clients.Office.Excel.Functions.SPG(A160,"IQ_AVG_DILUT_SHARES_OUT","CY2023")</f>
        <v>206000000</v>
      </c>
      <c r="D160" s="5">
        <f>_xll.SNL.Clients.Office.Excel.Functions.SPG(A160, "IQ_DILUT_EPS_NORM", "CY2023")</f>
        <v>4.8</v>
      </c>
      <c r="E160">
        <f t="shared" si="12"/>
        <v>988800</v>
      </c>
      <c r="F160">
        <f t="shared" si="13"/>
        <v>7.7583366025892511E-2</v>
      </c>
      <c r="G160" t="s">
        <v>672</v>
      </c>
      <c r="H160" s="4" cm="1">
        <f t="array" ref="H160">_xll.SNL.Clients.Office.Excel.Functions.SPG(G160, "SP_TOTAL_REV", "CY2022")</f>
        <v>19228000</v>
      </c>
      <c r="I160" s="4">
        <f>_xll.SNL.Clients.Office.Excel.Functions.SPG(G160,"IQ_AVG_DILUT_SHARES_OUT","CY2022")</f>
        <v>196000000</v>
      </c>
      <c r="J160" s="5">
        <f>_xll.SNL.Clients.Office.Excel.Functions.SPG(G160, "IQ_DILUT_EPS_NORM", "CY2022")</f>
        <v>3.53</v>
      </c>
      <c r="K160">
        <f t="shared" si="14"/>
        <v>691880</v>
      </c>
      <c r="L160">
        <f t="shared" si="15"/>
        <v>3.5982941543582274E-2</v>
      </c>
      <c r="M160" t="s">
        <v>676</v>
      </c>
      <c r="N160" s="4" cm="1">
        <f t="array" ref="N160">_xll.SNL.Clients.Office.Excel.Functions.SPG(M160, "SP_TOTAL_REV", "CY2022")</f>
        <v>20752000</v>
      </c>
      <c r="O160" s="4">
        <f>_xll.SNL.Clients.Office.Excel.Functions.SPG(M160,"IQ_AVG_DILUT_SHARES_OUT","CY2022")</f>
        <v>400800000</v>
      </c>
      <c r="P160" s="5">
        <f>_xll.SNL.Clients.Office.Excel.Functions.SPG(M160, "IQ_DILUT_EPS_NORM", "CY2022")</f>
        <v>4.5369999999999999</v>
      </c>
      <c r="Q160">
        <f t="shared" si="16"/>
        <v>1818429.6</v>
      </c>
      <c r="R160">
        <f t="shared" si="17"/>
        <v>8.7626715497301472E-2</v>
      </c>
    </row>
    <row r="161" spans="1:18" x14ac:dyDescent="0.3">
      <c r="A161" t="s">
        <v>673</v>
      </c>
      <c r="B161" s="4" cm="1">
        <f t="array" ref="B161">_xll.SNL.Clients.Office.Excel.Functions.SPG(A161, "SP_TOTAL_REV", "CY2023")</f>
        <v>28602000</v>
      </c>
      <c r="C161" s="4">
        <f>_xll.SNL.Clients.Office.Excel.Functions.SPG(A161,"IQ_AVG_DILUT_SHARES_OUT","CY2023")</f>
        <v>771000000</v>
      </c>
      <c r="D161" s="5">
        <f>_xll.SNL.Clients.Office.Excel.Functions.SPG(A161, "IQ_DILUT_EPS_NORM", "CY2023")</f>
        <v>3.931</v>
      </c>
      <c r="E161">
        <f t="shared" si="12"/>
        <v>3030801</v>
      </c>
      <c r="F161">
        <f t="shared" si="13"/>
        <v>0.10596465282148101</v>
      </c>
      <c r="G161" t="s">
        <v>673</v>
      </c>
      <c r="H161" s="4" cm="1">
        <f t="array" ref="H161">_xll.SNL.Clients.Office.Excel.Functions.SPG(G161, "SP_TOTAL_REV", "CY2022")</f>
        <v>28319000</v>
      </c>
      <c r="I161" s="4">
        <f>_xll.SNL.Clients.Office.Excel.Functions.SPG(G161,"IQ_AVG_DILUT_SHARES_OUT","CY2022")</f>
        <v>770000000</v>
      </c>
      <c r="J161" s="5">
        <f>_xll.SNL.Clients.Office.Excel.Functions.SPG(G161, "IQ_DILUT_EPS_NORM", "CY2022")</f>
        <v>3.8780000000000001</v>
      </c>
      <c r="K161">
        <f t="shared" si="14"/>
        <v>2986060</v>
      </c>
      <c r="L161">
        <f t="shared" si="15"/>
        <v>0.10544369504572902</v>
      </c>
      <c r="M161" t="s">
        <v>677</v>
      </c>
      <c r="N161" s="4" cm="1">
        <f t="array" ref="N161">_xll.SNL.Clients.Office.Excel.Functions.SPG(M161, "SP_TOTAL_REV", "CY2022")</f>
        <v>9795000</v>
      </c>
      <c r="O161" s="4">
        <f>_xll.SNL.Clients.Office.Excel.Functions.SPG(M161,"IQ_AVG_DILUT_SHARES_OUT","CY2022")</f>
        <v>558000000</v>
      </c>
      <c r="P161" s="5">
        <f>_xll.SNL.Clients.Office.Excel.Functions.SPG(M161, "IQ_DILUT_EPS_NORM", "CY2022")</f>
        <v>2.4470000000000001</v>
      </c>
      <c r="Q161">
        <f t="shared" si="16"/>
        <v>1365426</v>
      </c>
      <c r="R161">
        <f t="shared" si="17"/>
        <v>0.13940030627871364</v>
      </c>
    </row>
    <row r="162" spans="1:18" x14ac:dyDescent="0.3">
      <c r="A162" t="s">
        <v>674</v>
      </c>
      <c r="B162" s="4" cm="1">
        <f t="array" ref="B162">_xll.SNL.Clients.Office.Excel.Functions.SPG(A162, "SP_TOTAL_REV", "CY2023")</f>
        <v>12068000</v>
      </c>
      <c r="C162" s="4">
        <f>_xll.SNL.Clients.Office.Excel.Functions.SPG(A162,"IQ_AVG_DILUT_SHARES_OUT","CY2023")</f>
        <v>451200000</v>
      </c>
      <c r="D162" s="5">
        <f>_xll.SNL.Clients.Office.Excel.Functions.SPG(A162, "IQ_DILUT_EPS_NORM", "CY2023")</f>
        <v>1.929</v>
      </c>
      <c r="E162">
        <f t="shared" si="12"/>
        <v>870364.8</v>
      </c>
      <c r="F162">
        <f t="shared" si="13"/>
        <v>7.2121710308253234E-2</v>
      </c>
      <c r="G162" t="s">
        <v>674</v>
      </c>
      <c r="H162" s="4" cm="1">
        <f t="array" ref="H162">_xll.SNL.Clients.Office.Excel.Functions.SPG(G162, "SP_TOTAL_REV", "CY2022")</f>
        <v>13017000</v>
      </c>
      <c r="I162" s="4">
        <f>_xll.SNL.Clients.Office.Excel.Functions.SPG(G162,"IQ_AVG_DILUT_SHARES_OUT","CY2022")</f>
        <v>499400000</v>
      </c>
      <c r="J162" s="5">
        <f>_xll.SNL.Clients.Office.Excel.Functions.SPG(G162, "IQ_DILUT_EPS_NORM", "CY2022")</f>
        <v>2.052</v>
      </c>
      <c r="K162">
        <f t="shared" si="14"/>
        <v>1024768.8</v>
      </c>
      <c r="L162">
        <f t="shared" si="15"/>
        <v>7.8725420603825771E-2</v>
      </c>
      <c r="M162" t="s">
        <v>678</v>
      </c>
      <c r="N162" s="4" cm="1">
        <f t="array" ref="N162">_xll.SNL.Clients.Office.Excel.Functions.SPG(M162, "SP_TOTAL_REV", "CY2022")</f>
        <v>14187800</v>
      </c>
      <c r="O162" s="4">
        <f>_xll.SNL.Clients.Office.Excel.Functions.SPG(M162,"IQ_AVG_DILUT_SHARES_OUT","CY2022")</f>
        <v>286600000</v>
      </c>
      <c r="P162" s="5">
        <f>_xll.SNL.Clients.Office.Excel.Functions.SPG(M162, "IQ_DILUT_EPS_NORM", "CY2022")</f>
        <v>3.4390000000000001</v>
      </c>
      <c r="Q162">
        <f t="shared" si="16"/>
        <v>985617.4</v>
      </c>
      <c r="R162">
        <f t="shared" si="17"/>
        <v>6.9469361000296034E-2</v>
      </c>
    </row>
    <row r="163" spans="1:18" x14ac:dyDescent="0.3">
      <c r="A163" t="s">
        <v>675</v>
      </c>
      <c r="B163" s="4" cm="1">
        <f t="array" ref="B163">_xll.SNL.Clients.Office.Excel.Functions.SPG(A163, "SP_TOTAL_REV", "CY2023")</f>
        <v>9210000</v>
      </c>
      <c r="C163" s="4">
        <f>_xll.SNL.Clients.Office.Excel.Functions.SPG(A163,"IQ_AVG_DILUT_SHARES_OUT","CY2023")</f>
        <v>119400000</v>
      </c>
      <c r="D163" s="5">
        <f>_xll.SNL.Clients.Office.Excel.Functions.SPG(A163, "IQ_DILUT_EPS_NORM", "CY2023")</f>
        <v>4.2549999999999999</v>
      </c>
      <c r="E163">
        <f t="shared" si="12"/>
        <v>508047</v>
      </c>
      <c r="F163">
        <f t="shared" si="13"/>
        <v>5.5162540716612377E-2</v>
      </c>
      <c r="G163" t="s">
        <v>675</v>
      </c>
      <c r="H163" s="4" cm="1">
        <f t="array" ref="H163">_xll.SNL.Clients.Office.Excel.Functions.SPG(G163, "SP_TOTAL_REV", "CY2022")</f>
        <v>10580000</v>
      </c>
      <c r="I163" s="4">
        <f>_xll.SNL.Clients.Office.Excel.Functions.SPG(G163,"IQ_AVG_DILUT_SHARES_OUT","CY2022")</f>
        <v>124900000</v>
      </c>
      <c r="J163" s="5">
        <f>_xll.SNL.Clients.Office.Excel.Functions.SPG(G163, "IQ_DILUT_EPS_NORM", "CY2022")</f>
        <v>5.5049999999999999</v>
      </c>
      <c r="K163">
        <f t="shared" si="14"/>
        <v>687574.5</v>
      </c>
      <c r="L163">
        <f t="shared" si="15"/>
        <v>6.4988137996219275E-2</v>
      </c>
      <c r="M163" t="s">
        <v>679</v>
      </c>
      <c r="N163" s="4" cm="1">
        <f t="array" ref="N163">_xll.SNL.Clients.Office.Excel.Functions.SPG(M163, "SP_TOTAL_REV", "CY2022")</f>
        <v>17220000</v>
      </c>
      <c r="O163" s="4">
        <f>_xll.SNL.Clients.Office.Excel.Functions.SPG(M163,"IQ_AVG_DILUT_SHARES_OUT","CY2022")</f>
        <v>383000000</v>
      </c>
      <c r="P163" s="5">
        <f>_xll.SNL.Clients.Office.Excel.Functions.SPG(M163, "IQ_DILUT_EPS_NORM", "CY2022")</f>
        <v>3.3029999999999999</v>
      </c>
      <c r="Q163">
        <f t="shared" si="16"/>
        <v>1265049</v>
      </c>
      <c r="R163">
        <f t="shared" si="17"/>
        <v>7.3463937282229969E-2</v>
      </c>
    </row>
    <row r="164" spans="1:18" x14ac:dyDescent="0.3">
      <c r="A164" t="s">
        <v>676</v>
      </c>
      <c r="B164" s="4" cm="1">
        <f t="array" ref="B164">_xll.SNL.Clients.Office.Excel.Functions.SPG(A164, "SP_TOTAL_REV", "CY2023")</f>
        <v>23196000</v>
      </c>
      <c r="C164" s="4">
        <f>_xll.SNL.Clients.Office.Excel.Functions.SPG(A164,"IQ_AVG_DILUT_SHARES_OUT","CY2023")</f>
        <v>401100000</v>
      </c>
      <c r="D164" s="5">
        <f>_xll.SNL.Clients.Office.Excel.Functions.SPG(A164, "IQ_DILUT_EPS_NORM", "CY2023")</f>
        <v>5.9509999999999996</v>
      </c>
      <c r="E164">
        <f t="shared" si="12"/>
        <v>2386946.1</v>
      </c>
      <c r="F164">
        <f t="shared" si="13"/>
        <v>0.10290334971546819</v>
      </c>
      <c r="G164" t="s">
        <v>676</v>
      </c>
      <c r="H164" s="4" cm="1">
        <f t="array" ref="H164">_xll.SNL.Clients.Office.Excel.Functions.SPG(G164, "SP_TOTAL_REV", "CY2022")</f>
        <v>20752000</v>
      </c>
      <c r="I164" s="4">
        <f>_xll.SNL.Clients.Office.Excel.Functions.SPG(G164,"IQ_AVG_DILUT_SHARES_OUT","CY2022")</f>
        <v>400800000</v>
      </c>
      <c r="J164" s="5">
        <f>_xll.SNL.Clients.Office.Excel.Functions.SPG(G164, "IQ_DILUT_EPS_NORM", "CY2022")</f>
        <v>4.5369999999999999</v>
      </c>
      <c r="K164">
        <f t="shared" si="14"/>
        <v>1818429.6</v>
      </c>
      <c r="L164">
        <f t="shared" si="15"/>
        <v>8.7626715497301472E-2</v>
      </c>
      <c r="M164" t="s">
        <v>680</v>
      </c>
      <c r="N164" s="4" cm="1">
        <f t="array" ref="N164">_xll.SNL.Clients.Office.Excel.Functions.SPG(M164, "SP_TOTAL_REV", "CY2022")</f>
        <v>5382400</v>
      </c>
      <c r="O164" s="4">
        <f>_xll.SNL.Clients.Office.Excel.Functions.SPG(M164,"IQ_AVG_DILUT_SHARES_OUT","CY2022")</f>
        <v>624200000</v>
      </c>
      <c r="P164" s="5">
        <f>_xll.SNL.Clients.Office.Excel.Functions.SPG(M164, "IQ_DILUT_EPS_NORM", "CY2022")</f>
        <v>1.8280000000000001</v>
      </c>
      <c r="Q164">
        <f t="shared" si="16"/>
        <v>1141037.6000000001</v>
      </c>
      <c r="R164">
        <f t="shared" si="17"/>
        <v>0.2119942033293698</v>
      </c>
    </row>
    <row r="165" spans="1:18" x14ac:dyDescent="0.3">
      <c r="A165" t="s">
        <v>677</v>
      </c>
      <c r="B165" s="4" cm="1">
        <f t="array" ref="B165">_xll.SNL.Clients.Office.Excel.Functions.SPG(A165, "SP_TOTAL_REV", "CY2023")</f>
        <v>10112000</v>
      </c>
      <c r="C165" s="4">
        <f>_xll.SNL.Clients.Office.Excel.Functions.SPG(A165,"IQ_AVG_DILUT_SHARES_OUT","CY2023")</f>
        <v>533000000</v>
      </c>
      <c r="D165" s="5">
        <f>_xll.SNL.Clients.Office.Excel.Functions.SPG(A165, "IQ_DILUT_EPS_NORM", "CY2023")</f>
        <v>2.3639999999999999</v>
      </c>
      <c r="E165">
        <f t="shared" si="12"/>
        <v>1260012</v>
      </c>
      <c r="F165">
        <f t="shared" si="13"/>
        <v>0.1246056170886076</v>
      </c>
      <c r="G165" t="s">
        <v>677</v>
      </c>
      <c r="H165" s="4" cm="1">
        <f t="array" ref="H165">_xll.SNL.Clients.Office.Excel.Functions.SPG(G165, "SP_TOTAL_REV", "CY2022")</f>
        <v>9795000</v>
      </c>
      <c r="I165" s="4">
        <f>_xll.SNL.Clients.Office.Excel.Functions.SPG(G165,"IQ_AVG_DILUT_SHARES_OUT","CY2022")</f>
        <v>558000000</v>
      </c>
      <c r="J165" s="5">
        <f>_xll.SNL.Clients.Office.Excel.Functions.SPG(G165, "IQ_DILUT_EPS_NORM", "CY2022")</f>
        <v>2.4470000000000001</v>
      </c>
      <c r="K165">
        <f t="shared" si="14"/>
        <v>1365426</v>
      </c>
      <c r="L165">
        <f t="shared" si="15"/>
        <v>0.13940030627871364</v>
      </c>
      <c r="M165" t="s">
        <v>681</v>
      </c>
      <c r="N165" s="4" cm="1">
        <f t="array" ref="N165">_xll.SNL.Clients.Office.Excel.Functions.SPG(M165, "SP_TOTAL_REV", "CY2022")</f>
        <v>7377000</v>
      </c>
      <c r="O165" s="4">
        <f>_xll.SNL.Clients.Office.Excel.Functions.SPG(M165,"IQ_AVG_DILUT_SHARES_OUT","CY2022")</f>
        <v>280000000</v>
      </c>
      <c r="P165" s="5">
        <f>_xll.SNL.Clients.Office.Excel.Functions.SPG(M165, "IQ_DILUT_EPS_NORM", "CY2022")</f>
        <v>3.4820000000000002</v>
      </c>
      <c r="Q165">
        <f t="shared" si="16"/>
        <v>974960</v>
      </c>
      <c r="R165">
        <f t="shared" si="17"/>
        <v>0.13216212552528128</v>
      </c>
    </row>
    <row r="166" spans="1:18" x14ac:dyDescent="0.3">
      <c r="A166" t="s">
        <v>678</v>
      </c>
      <c r="B166" s="4" cm="1">
        <f t="array" ref="B166">_xll.SNL.Clients.Office.Excel.Functions.SPG(A166, "SP_TOTAL_REV", "CY2023")</f>
        <v>15320200</v>
      </c>
      <c r="C166" s="4">
        <f>_xll.SNL.Clients.Office.Excel.Functions.SPG(A166,"IQ_AVG_DILUT_SHARES_OUT","CY2023")</f>
        <v>286500000</v>
      </c>
      <c r="D166" s="5">
        <f>_xll.SNL.Clients.Office.Excel.Functions.SPG(A166, "IQ_DILUT_EPS_NORM", "CY2023")</f>
        <v>4.0490000000000004</v>
      </c>
      <c r="E166">
        <f t="shared" si="12"/>
        <v>1160038.5</v>
      </c>
      <c r="F166">
        <f t="shared" si="13"/>
        <v>7.5719540214879699E-2</v>
      </c>
      <c r="G166" t="s">
        <v>678</v>
      </c>
      <c r="H166" s="4" cm="1">
        <f t="array" ref="H166">_xll.SNL.Clients.Office.Excel.Functions.SPG(G166, "SP_TOTAL_REV", "CY2022")</f>
        <v>14187800</v>
      </c>
      <c r="I166" s="4">
        <f>_xll.SNL.Clients.Office.Excel.Functions.SPG(G166,"IQ_AVG_DILUT_SHARES_OUT","CY2022")</f>
        <v>286600000</v>
      </c>
      <c r="J166" s="5">
        <f>_xll.SNL.Clients.Office.Excel.Functions.SPG(G166, "IQ_DILUT_EPS_NORM", "CY2022")</f>
        <v>3.4390000000000001</v>
      </c>
      <c r="K166">
        <f t="shared" si="14"/>
        <v>985617.4</v>
      </c>
      <c r="L166">
        <f t="shared" si="15"/>
        <v>6.9469361000296034E-2</v>
      </c>
      <c r="M166" t="s">
        <v>682</v>
      </c>
      <c r="N166" s="4" cm="1">
        <f t="array" ref="N166">_xll.SNL.Clients.Office.Excel.Functions.SPG(M166, "SP_TOTAL_REV", "CY2022")</f>
        <v>156595000</v>
      </c>
      <c r="O166" s="4">
        <f>_xll.SNL.Clients.Office.Excel.Functions.SPG(M166,"IQ_AVG_DILUT_SHARES_OUT","CY2022")</f>
        <v>242800000</v>
      </c>
      <c r="P166" s="5">
        <f>_xll.SNL.Clients.Office.Excel.Functions.SPG(M166, "IQ_DILUT_EPS_NORM", "CY2022")</f>
        <v>19.689</v>
      </c>
      <c r="Q166">
        <f t="shared" si="16"/>
        <v>4780489.2</v>
      </c>
      <c r="R166">
        <f t="shared" si="17"/>
        <v>3.0527725661738881E-2</v>
      </c>
    </row>
    <row r="167" spans="1:18" x14ac:dyDescent="0.3">
      <c r="A167" t="s">
        <v>679</v>
      </c>
      <c r="B167" s="4" cm="1">
        <f t="array" ref="B167">_xll.SNL.Clients.Office.Excel.Functions.SPG(A167, "SP_TOTAL_REV", "CY2023")</f>
        <v>16338000</v>
      </c>
      <c r="C167" s="4">
        <f>_xll.SNL.Clients.Office.Excel.Functions.SPG(A167,"IQ_AVG_DILUT_SHARES_OUT","CY2023")</f>
        <v>385000000</v>
      </c>
      <c r="D167" s="5">
        <f>_xll.SNL.Clients.Office.Excel.Functions.SPG(A167, "IQ_DILUT_EPS_NORM", "CY2023")</f>
        <v>3.5470000000000002</v>
      </c>
      <c r="E167">
        <f t="shared" si="12"/>
        <v>1365595</v>
      </c>
      <c r="F167">
        <f t="shared" si="13"/>
        <v>8.3583976006855187E-2</v>
      </c>
      <c r="G167" t="s">
        <v>679</v>
      </c>
      <c r="H167" s="4" cm="1">
        <f t="array" ref="H167">_xll.SNL.Clients.Office.Excel.Functions.SPG(G167, "SP_TOTAL_REV", "CY2022")</f>
        <v>17220000</v>
      </c>
      <c r="I167" s="4">
        <f>_xll.SNL.Clients.Office.Excel.Functions.SPG(G167,"IQ_AVG_DILUT_SHARES_OUT","CY2022")</f>
        <v>383000000</v>
      </c>
      <c r="J167" s="5">
        <f>_xll.SNL.Clients.Office.Excel.Functions.SPG(G167, "IQ_DILUT_EPS_NORM", "CY2022")</f>
        <v>3.3029999999999999</v>
      </c>
      <c r="K167">
        <f t="shared" si="14"/>
        <v>1265049</v>
      </c>
      <c r="L167">
        <f t="shared" si="15"/>
        <v>7.3463937282229969E-2</v>
      </c>
      <c r="M167" t="s">
        <v>683</v>
      </c>
      <c r="N167" s="4" cm="1">
        <f t="array" ref="N167">_xll.SNL.Clients.Office.Excel.Functions.SPG(M167, "SP_TOTAL_REV", "CY2022")</f>
        <v>28541400</v>
      </c>
      <c r="O167" s="4">
        <f>_xll.SNL.Clients.Office.Excel.Functions.SPG(M167,"IQ_AVG_DILUT_SHARES_OUT","CY2022")</f>
        <v>904619000</v>
      </c>
      <c r="P167" s="5">
        <f>_xll.SNL.Clients.Office.Excel.Functions.SPG(M167, "IQ_DILUT_EPS_NORM", "CY2022")</f>
        <v>5.7830000000000004</v>
      </c>
      <c r="Q167">
        <f t="shared" si="16"/>
        <v>5231411.6770000001</v>
      </c>
      <c r="R167">
        <f t="shared" si="17"/>
        <v>0.18329204863811865</v>
      </c>
    </row>
    <row r="168" spans="1:18" x14ac:dyDescent="0.3">
      <c r="A168" t="s">
        <v>680</v>
      </c>
      <c r="B168" s="4" cm="1">
        <f t="array" ref="B168">_xll.SNL.Clients.Office.Excel.Functions.SPG(A168, "SP_TOTAL_REV", "CY2023")</f>
        <v>6004800</v>
      </c>
      <c r="C168" s="4">
        <f>_xll.SNL.Clients.Office.Excel.Functions.SPG(A168,"IQ_AVG_DILUT_SHARES_OUT","CY2023")</f>
        <v>609400000</v>
      </c>
      <c r="D168" s="5">
        <f>_xll.SNL.Clients.Office.Excel.Functions.SPG(A168, "IQ_DILUT_EPS_NORM", "CY2023")</f>
        <v>1.8520000000000001</v>
      </c>
      <c r="E168">
        <f t="shared" si="12"/>
        <v>1128608.8</v>
      </c>
      <c r="F168">
        <f t="shared" si="13"/>
        <v>0.18795110578204105</v>
      </c>
      <c r="G168" t="s">
        <v>680</v>
      </c>
      <c r="H168" s="4" cm="1">
        <f t="array" ref="H168">_xll.SNL.Clients.Office.Excel.Functions.SPG(G168, "SP_TOTAL_REV", "CY2022")</f>
        <v>5382400</v>
      </c>
      <c r="I168" s="4">
        <f>_xll.SNL.Clients.Office.Excel.Functions.SPG(G168,"IQ_AVG_DILUT_SHARES_OUT","CY2022")</f>
        <v>624200000</v>
      </c>
      <c r="J168" s="5">
        <f>_xll.SNL.Clients.Office.Excel.Functions.SPG(G168, "IQ_DILUT_EPS_NORM", "CY2022")</f>
        <v>1.8280000000000001</v>
      </c>
      <c r="K168">
        <f t="shared" si="14"/>
        <v>1141037.6000000001</v>
      </c>
      <c r="L168">
        <f t="shared" si="15"/>
        <v>0.2119942033293698</v>
      </c>
      <c r="M168" t="s">
        <v>684</v>
      </c>
      <c r="N168" s="4" cm="1">
        <f t="array" ref="N168">_xll.SNL.Clients.Office.Excel.Functions.SPG(M168, "SP_TOTAL_REV", "CY2022")</f>
        <v>14021000</v>
      </c>
      <c r="O168" s="4">
        <f>_xll.SNL.Clients.Office.Excel.Functions.SPG(M168,"IQ_AVG_DILUT_SHARES_OUT","CY2022")</f>
        <v>593450000</v>
      </c>
      <c r="P168" s="5">
        <f>_xll.SNL.Clients.Office.Excel.Functions.SPG(M168, "IQ_DILUT_EPS_NORM", "CY2022")</f>
        <v>2.3540000000000001</v>
      </c>
      <c r="Q168">
        <f t="shared" si="16"/>
        <v>1396981.3</v>
      </c>
      <c r="R168">
        <f t="shared" si="17"/>
        <v>9.9634926182155345E-2</v>
      </c>
    </row>
    <row r="169" spans="1:18" x14ac:dyDescent="0.3">
      <c r="A169" t="s">
        <v>681</v>
      </c>
      <c r="B169" s="4" cm="1">
        <f t="array" ref="B169">_xll.SNL.Clients.Office.Excel.Functions.SPG(A169, "SP_TOTAL_REV", "CY2023")</f>
        <v>7657000</v>
      </c>
      <c r="C169" s="4">
        <f>_xll.SNL.Clients.Office.Excel.Functions.SPG(A169,"IQ_AVG_DILUT_SHARES_OUT","CY2023")</f>
        <v>272750000</v>
      </c>
      <c r="D169" s="5">
        <f>_xll.SNL.Clients.Office.Excel.Functions.SPG(A169, "IQ_DILUT_EPS_NORM", "CY2023")</f>
        <v>3.7210000000000001</v>
      </c>
      <c r="E169">
        <f t="shared" si="12"/>
        <v>1014902.75</v>
      </c>
      <c r="F169">
        <f t="shared" si="13"/>
        <v>0.13254574245788167</v>
      </c>
      <c r="G169" t="s">
        <v>681</v>
      </c>
      <c r="H169" s="4" cm="1">
        <f t="array" ref="H169">_xll.SNL.Clients.Office.Excel.Functions.SPG(G169, "SP_TOTAL_REV", "CY2022")</f>
        <v>7377000</v>
      </c>
      <c r="I169" s="4">
        <f>_xll.SNL.Clients.Office.Excel.Functions.SPG(G169,"IQ_AVG_DILUT_SHARES_OUT","CY2022")</f>
        <v>280000000</v>
      </c>
      <c r="J169" s="5">
        <f>_xll.SNL.Clients.Office.Excel.Functions.SPG(G169, "IQ_DILUT_EPS_NORM", "CY2022")</f>
        <v>3.4820000000000002</v>
      </c>
      <c r="K169">
        <f t="shared" si="14"/>
        <v>974960</v>
      </c>
      <c r="L169">
        <f t="shared" si="15"/>
        <v>0.13216212552528128</v>
      </c>
      <c r="M169" t="s">
        <v>685</v>
      </c>
      <c r="N169" s="4" cm="1">
        <f t="array" ref="N169">_xll.SNL.Clients.Office.Excel.Functions.SPG(M169, "SP_TOTAL_REV", "CY2022")</f>
        <v>2330853</v>
      </c>
      <c r="O169" s="4">
        <f>_xll.SNL.Clients.Office.Excel.Functions.SPG(M169,"IQ_AVG_DILUT_SHARES_OUT","CY2022")</f>
        <v>144390000</v>
      </c>
      <c r="P169" s="5">
        <f>_xll.SNL.Clients.Office.Excel.Functions.SPG(M169, "IQ_DILUT_EPS_NORM", "CY2022")</f>
        <v>1.976</v>
      </c>
      <c r="Q169">
        <f t="shared" si="16"/>
        <v>285314.64</v>
      </c>
      <c r="R169">
        <f t="shared" si="17"/>
        <v>0.12240782237232464</v>
      </c>
    </row>
    <row r="170" spans="1:18" x14ac:dyDescent="0.3">
      <c r="A170" t="s">
        <v>682</v>
      </c>
      <c r="B170" s="4" cm="1">
        <f t="array" ref="B170">_xll.SNL.Clients.Office.Excel.Functions.SPG(A170, "SP_TOTAL_REV", "CY2023")</f>
        <v>171340000</v>
      </c>
      <c r="C170" s="4">
        <f>_xll.SNL.Clients.Office.Excel.Functions.SPG(A170,"IQ_AVG_DILUT_SHARES_OUT","CY2023")</f>
        <v>237400000</v>
      </c>
      <c r="D170" s="5">
        <f>_xll.SNL.Clients.Office.Excel.Functions.SPG(A170, "IQ_DILUT_EPS_NORM", "CY2023")</f>
        <v>23.306000000000001</v>
      </c>
      <c r="E170">
        <f t="shared" si="12"/>
        <v>5532844.4000000004</v>
      </c>
      <c r="F170">
        <f t="shared" si="13"/>
        <v>3.229160966499358E-2</v>
      </c>
      <c r="G170" t="s">
        <v>682</v>
      </c>
      <c r="H170" s="4" cm="1">
        <f t="array" ref="H170">_xll.SNL.Clients.Office.Excel.Functions.SPG(G170, "SP_TOTAL_REV", "CY2022")</f>
        <v>156595000</v>
      </c>
      <c r="I170" s="4">
        <f>_xll.SNL.Clients.Office.Excel.Functions.SPG(G170,"IQ_AVG_DILUT_SHARES_OUT","CY2022")</f>
        <v>242800000</v>
      </c>
      <c r="J170" s="5">
        <f>_xll.SNL.Clients.Office.Excel.Functions.SPG(G170, "IQ_DILUT_EPS_NORM", "CY2022")</f>
        <v>19.689</v>
      </c>
      <c r="K170">
        <f t="shared" si="14"/>
        <v>4780489.2</v>
      </c>
      <c r="L170">
        <f t="shared" si="15"/>
        <v>3.0527725661738881E-2</v>
      </c>
      <c r="M170" t="s">
        <v>686</v>
      </c>
      <c r="N170" s="4" cm="1">
        <f t="array" ref="N170">_xll.SNL.Clients.Office.Excel.Functions.SPG(M170, "SP_TOTAL_REV", "CY2022")</f>
        <v>13764237</v>
      </c>
      <c r="O170" s="4">
        <f>_xll.SNL.Clients.Office.Excel.Functions.SPG(M170,"IQ_AVG_DILUT_SHARES_OUT","CY2022")</f>
        <v>205547578</v>
      </c>
      <c r="P170" s="5">
        <f>_xll.SNL.Clients.Office.Excel.Functions.SPG(M170, "IQ_DILUT_EPS_NORM", "CY2022")</f>
        <v>3.7090000000000001</v>
      </c>
      <c r="Q170">
        <f t="shared" si="16"/>
        <v>762375.96680200007</v>
      </c>
      <c r="R170">
        <f t="shared" si="17"/>
        <v>5.5388174934941914E-2</v>
      </c>
    </row>
    <row r="171" spans="1:18" x14ac:dyDescent="0.3">
      <c r="A171" t="s">
        <v>683</v>
      </c>
      <c r="B171" s="4" cm="1">
        <f t="array" ref="B171">_xll.SNL.Clients.Office.Excel.Functions.SPG(A171, "SP_TOTAL_REV", "CY2023")</f>
        <v>34124100</v>
      </c>
      <c r="C171" s="4">
        <f>_xll.SNL.Clients.Office.Excel.Functions.SPG(A171,"IQ_AVG_DILUT_SHARES_OUT","CY2023")</f>
        <v>903284000</v>
      </c>
      <c r="D171" s="5">
        <f>_xll.SNL.Clients.Office.Excel.Functions.SPG(A171, "IQ_DILUT_EPS_NORM", "CY2023")</f>
        <v>7.2249999999999996</v>
      </c>
      <c r="E171">
        <f t="shared" si="12"/>
        <v>6526226.9000000004</v>
      </c>
      <c r="F171">
        <f t="shared" si="13"/>
        <v>0.19124978827280428</v>
      </c>
      <c r="G171" t="s">
        <v>683</v>
      </c>
      <c r="H171" s="4" cm="1">
        <f t="array" ref="H171">_xll.SNL.Clients.Office.Excel.Functions.SPG(G171, "SP_TOTAL_REV", "CY2022")</f>
        <v>28541400</v>
      </c>
      <c r="I171" s="4">
        <f>_xll.SNL.Clients.Office.Excel.Functions.SPG(G171,"IQ_AVG_DILUT_SHARES_OUT","CY2022")</f>
        <v>904619000</v>
      </c>
      <c r="J171" s="5">
        <f>_xll.SNL.Clients.Office.Excel.Functions.SPG(G171, "IQ_DILUT_EPS_NORM", "CY2022")</f>
        <v>5.7830000000000004</v>
      </c>
      <c r="K171">
        <f t="shared" si="14"/>
        <v>5231411.6770000001</v>
      </c>
      <c r="L171">
        <f t="shared" si="15"/>
        <v>0.18329204863811865</v>
      </c>
      <c r="M171" t="s">
        <v>687</v>
      </c>
      <c r="N171" s="4" cm="1">
        <f t="array" ref="N171">_xll.SNL.Clients.Office.Excel.Functions.SPG(M171, "SP_TOTAL_REV", "CY2022")</f>
        <v>29610000</v>
      </c>
      <c r="O171" s="4">
        <f>_xll.SNL.Clients.Office.Excel.Functions.SPG(M171,"IQ_AVG_DILUT_SHARES_OUT","CY2022")</f>
        <v>587000000</v>
      </c>
      <c r="P171" s="5">
        <f>_xll.SNL.Clients.Office.Excel.Functions.SPG(M171, "IQ_DILUT_EPS_NORM", "CY2022")</f>
        <v>10.496</v>
      </c>
      <c r="Q171">
        <f t="shared" si="16"/>
        <v>6161152</v>
      </c>
      <c r="R171">
        <f t="shared" si="17"/>
        <v>0.20807673083417763</v>
      </c>
    </row>
    <row r="172" spans="1:18" x14ac:dyDescent="0.3">
      <c r="A172" t="s">
        <v>684</v>
      </c>
      <c r="B172" s="4" cm="1">
        <f t="array" ref="B172">_xll.SNL.Clients.Office.Excel.Functions.SPG(A172, "SP_TOTAL_REV", "CY2023")</f>
        <v>15909000</v>
      </c>
      <c r="C172" s="4">
        <f>_xll.SNL.Clients.Office.Excel.Functions.SPG(A172,"IQ_AVG_DILUT_SHARES_OUT","CY2023")</f>
        <v>573950000</v>
      </c>
      <c r="D172" s="5">
        <f>_xll.SNL.Clients.Office.Excel.Functions.SPG(A172, "IQ_DILUT_EPS_NORM", "CY2023")</f>
        <v>3.0270000000000001</v>
      </c>
      <c r="E172">
        <f t="shared" si="12"/>
        <v>1737346.65</v>
      </c>
      <c r="F172">
        <f t="shared" si="13"/>
        <v>0.10920527060154629</v>
      </c>
      <c r="G172" t="s">
        <v>684</v>
      </c>
      <c r="H172" s="4" cm="1">
        <f t="array" ref="H172">_xll.SNL.Clients.Office.Excel.Functions.SPG(G172, "SP_TOTAL_REV", "CY2022")</f>
        <v>14021000</v>
      </c>
      <c r="I172" s="4">
        <f>_xll.SNL.Clients.Office.Excel.Functions.SPG(G172,"IQ_AVG_DILUT_SHARES_OUT","CY2022")</f>
        <v>593450000</v>
      </c>
      <c r="J172" s="5">
        <f>_xll.SNL.Clients.Office.Excel.Functions.SPG(G172, "IQ_DILUT_EPS_NORM", "CY2022")</f>
        <v>2.3540000000000001</v>
      </c>
      <c r="K172">
        <f t="shared" si="14"/>
        <v>1396981.3</v>
      </c>
      <c r="L172">
        <f t="shared" si="15"/>
        <v>9.9634926182155345E-2</v>
      </c>
      <c r="M172" t="s">
        <v>688</v>
      </c>
      <c r="N172" s="4" cm="1">
        <f t="array" ref="N172">_xll.SNL.Clients.Office.Excel.Functions.SPG(M172, "SP_TOTAL_REV", "CY2022")</f>
        <v>4824698</v>
      </c>
      <c r="O172" s="4">
        <f>_xll.SNL.Clients.Office.Excel.Functions.SPG(M172,"IQ_AVG_DILUT_SHARES_OUT","CY2022")</f>
        <v>59169000</v>
      </c>
      <c r="P172" s="5">
        <f>_xll.SNL.Clients.Office.Excel.Functions.SPG(M172, "IQ_DILUT_EPS_NORM", "CY2022")</f>
        <v>6.968</v>
      </c>
      <c r="Q172">
        <f t="shared" si="16"/>
        <v>412289.592</v>
      </c>
      <c r="R172">
        <f t="shared" si="17"/>
        <v>8.5453968725089119E-2</v>
      </c>
    </row>
    <row r="173" spans="1:18" x14ac:dyDescent="0.3">
      <c r="A173" t="s">
        <v>685</v>
      </c>
      <c r="B173" s="4" cm="1">
        <f t="array" ref="B173">_xll.SNL.Clients.Office.Excel.Functions.SPG(A173, "SP_TOTAL_REV", "CY2023")</f>
        <v>2290786</v>
      </c>
      <c r="C173" s="4">
        <f>_xll.SNL.Clients.Office.Excel.Functions.SPG(A173,"IQ_AVG_DILUT_SHARES_OUT","CY2023")</f>
        <v>143290000</v>
      </c>
      <c r="D173" s="5">
        <f>_xll.SNL.Clients.Office.Excel.Functions.SPG(A173, "IQ_DILUT_EPS_NORM", "CY2023")</f>
        <v>2.2719999999999998</v>
      </c>
      <c r="E173">
        <f t="shared" si="12"/>
        <v>325554.88</v>
      </c>
      <c r="F173">
        <f t="shared" si="13"/>
        <v>0.14211492474635343</v>
      </c>
      <c r="G173" t="s">
        <v>685</v>
      </c>
      <c r="H173" s="4" cm="1">
        <f t="array" ref="H173">_xll.SNL.Clients.Office.Excel.Functions.SPG(G173, "SP_TOTAL_REV", "CY2022")</f>
        <v>2330853</v>
      </c>
      <c r="I173" s="4">
        <f>_xll.SNL.Clients.Office.Excel.Functions.SPG(G173,"IQ_AVG_DILUT_SHARES_OUT","CY2022")</f>
        <v>144390000</v>
      </c>
      <c r="J173" s="5">
        <f>_xll.SNL.Clients.Office.Excel.Functions.SPG(G173, "IQ_DILUT_EPS_NORM", "CY2022")</f>
        <v>1.976</v>
      </c>
      <c r="K173">
        <f t="shared" si="14"/>
        <v>285314.64</v>
      </c>
      <c r="L173">
        <f t="shared" si="15"/>
        <v>0.12240782237232464</v>
      </c>
      <c r="M173" t="s">
        <v>689</v>
      </c>
      <c r="N173" s="4" cm="1">
        <f t="array" ref="N173">_xll.SNL.Clients.Office.Excel.Functions.SPG(M173, "SP_TOTAL_REV", "CY2022")</f>
        <v>11996159</v>
      </c>
      <c r="O173" s="4">
        <f>_xll.SNL.Clients.Office.Excel.Functions.SPG(M173,"IQ_AVG_DILUT_SHARES_OUT","CY2022")</f>
        <v>406495000</v>
      </c>
      <c r="P173" s="5">
        <f>_xll.SNL.Clients.Office.Excel.Functions.SPG(M173, "IQ_DILUT_EPS_NORM", "CY2022")</f>
        <v>4.133</v>
      </c>
      <c r="Q173">
        <f t="shared" si="16"/>
        <v>1680043.835</v>
      </c>
      <c r="R173">
        <f t="shared" si="17"/>
        <v>0.14004848010100565</v>
      </c>
    </row>
    <row r="174" spans="1:18" x14ac:dyDescent="0.3">
      <c r="A174" t="s">
        <v>686</v>
      </c>
      <c r="B174" s="4" cm="1">
        <f t="array" ref="B174">_xll.SNL.Clients.Office.Excel.Functions.SPG(A174, "SP_TOTAL_REV", "CY2023")</f>
        <v>12147412</v>
      </c>
      <c r="C174" s="4">
        <f>_xll.SNL.Clients.Office.Excel.Functions.SPG(A174,"IQ_AVG_DILUT_SHARES_OUT","CY2023")</f>
        <v>212376495</v>
      </c>
      <c r="D174" s="5">
        <f>_xll.SNL.Clients.Office.Excel.Functions.SPG(A174, "IQ_DILUT_EPS_NORM", "CY2023")</f>
        <v>5.5</v>
      </c>
      <c r="E174">
        <f t="shared" si="12"/>
        <v>1168070.7224999999</v>
      </c>
      <c r="F174">
        <f t="shared" si="13"/>
        <v>9.6157990072288646E-2</v>
      </c>
      <c r="G174" t="s">
        <v>686</v>
      </c>
      <c r="H174" s="4" cm="1">
        <f t="array" ref="H174">_xll.SNL.Clients.Office.Excel.Functions.SPG(G174, "SP_TOTAL_REV", "CY2022")</f>
        <v>13764237</v>
      </c>
      <c r="I174" s="4">
        <f>_xll.SNL.Clients.Office.Excel.Functions.SPG(G174,"IQ_AVG_DILUT_SHARES_OUT","CY2022")</f>
        <v>205547578</v>
      </c>
      <c r="J174" s="5">
        <f>_xll.SNL.Clients.Office.Excel.Functions.SPG(G174, "IQ_DILUT_EPS_NORM", "CY2022")</f>
        <v>3.7090000000000001</v>
      </c>
      <c r="K174">
        <f t="shared" si="14"/>
        <v>762375.96680200007</v>
      </c>
      <c r="L174">
        <f t="shared" si="15"/>
        <v>5.5388174934941914E-2</v>
      </c>
      <c r="M174" t="s">
        <v>690</v>
      </c>
      <c r="N174" s="4" cm="1">
        <f t="array" ref="N174">_xll.SNL.Clients.Office.Excel.Functions.SPG(M174, "SP_TOTAL_REV", "CY2022")</f>
        <v>5122200</v>
      </c>
      <c r="O174" s="4">
        <f>_xll.SNL.Clients.Office.Excel.Functions.SPG(M174,"IQ_AVG_DILUT_SHARES_OUT","CY2022")</f>
        <v>123300000</v>
      </c>
      <c r="P174" s="5">
        <f>_xll.SNL.Clients.Office.Excel.Functions.SPG(M174, "IQ_DILUT_EPS_NORM", "CY2022")</f>
        <v>4.6369999999999996</v>
      </c>
      <c r="Q174">
        <f t="shared" si="16"/>
        <v>571742.1</v>
      </c>
      <c r="R174">
        <f t="shared" si="17"/>
        <v>0.11162041700831674</v>
      </c>
    </row>
    <row r="175" spans="1:18" x14ac:dyDescent="0.3">
      <c r="A175" t="s">
        <v>687</v>
      </c>
      <c r="B175" s="4" cm="1">
        <f t="array" ref="B175">_xll.SNL.Clients.Office.Excel.Functions.SPG(A175, "SP_TOTAL_REV", "CY2023")</f>
        <v>23273000</v>
      </c>
      <c r="C175" s="4">
        <f>_xll.SNL.Clients.Office.Excel.Functions.SPG(A175,"IQ_AVG_DILUT_SHARES_OUT","CY2023")</f>
        <v>584000000</v>
      </c>
      <c r="D175" s="5">
        <f>_xll.SNL.Clients.Office.Excel.Functions.SPG(A175, "IQ_DILUT_EPS_NORM", "CY2023")</f>
        <v>10.303000000000001</v>
      </c>
      <c r="E175">
        <f t="shared" si="12"/>
        <v>6016952.0000000009</v>
      </c>
      <c r="F175">
        <f t="shared" si="13"/>
        <v>0.25853787650925969</v>
      </c>
      <c r="G175" t="s">
        <v>687</v>
      </c>
      <c r="H175" s="4" cm="1">
        <f t="array" ref="H175">_xll.SNL.Clients.Office.Excel.Functions.SPG(G175, "SP_TOTAL_REV", "CY2022")</f>
        <v>29610000</v>
      </c>
      <c r="I175" s="4">
        <f>_xll.SNL.Clients.Office.Excel.Functions.SPG(G175,"IQ_AVG_DILUT_SHARES_OUT","CY2022")</f>
        <v>587000000</v>
      </c>
      <c r="J175" s="5">
        <f>_xll.SNL.Clients.Office.Excel.Functions.SPG(G175, "IQ_DILUT_EPS_NORM", "CY2022")</f>
        <v>10.496</v>
      </c>
      <c r="K175">
        <f t="shared" si="14"/>
        <v>6161152</v>
      </c>
      <c r="L175">
        <f t="shared" si="15"/>
        <v>0.20807673083417763</v>
      </c>
      <c r="M175" t="s">
        <v>691</v>
      </c>
      <c r="N175" s="4" cm="1">
        <f t="array" ref="N175">_xll.SNL.Clients.Office.Excel.Functions.SPG(M175, "SP_TOTAL_REV", "CY2022")</f>
        <v>7249771</v>
      </c>
      <c r="O175" s="4">
        <f>_xll.SNL.Clients.Office.Excel.Functions.SPG(M175,"IQ_AVG_DILUT_SHARES_OUT","CY2022")</f>
        <v>91828000</v>
      </c>
      <c r="P175" s="5">
        <f>_xll.SNL.Clients.Office.Excel.Functions.SPG(M175, "IQ_DILUT_EPS_NORM", "CY2022")</f>
        <v>3.149</v>
      </c>
      <c r="Q175">
        <f t="shared" si="16"/>
        <v>289166.37199999997</v>
      </c>
      <c r="R175">
        <f t="shared" si="17"/>
        <v>3.9886276683773869E-2</v>
      </c>
    </row>
    <row r="176" spans="1:18" x14ac:dyDescent="0.3">
      <c r="A176" t="s">
        <v>688</v>
      </c>
      <c r="B176" s="4" cm="1">
        <f t="array" ref="B176">_xll.SNL.Clients.Office.Excel.Functions.SPG(A176, "SP_TOTAL_REV", "CY2023")</f>
        <v>4690540</v>
      </c>
      <c r="C176" s="4">
        <f>_xll.SNL.Clients.Office.Excel.Functions.SPG(A176,"IQ_AVG_DILUT_SHARES_OUT","CY2023")</f>
        <v>59085000</v>
      </c>
      <c r="D176" s="5">
        <f>_xll.SNL.Clients.Office.Excel.Functions.SPG(A176, "IQ_DILUT_EPS_NORM", "CY2023")</f>
        <v>6.5890000000000004</v>
      </c>
      <c r="E176">
        <f t="shared" si="12"/>
        <v>389311.065</v>
      </c>
      <c r="F176">
        <f t="shared" si="13"/>
        <v>8.2999199452515063E-2</v>
      </c>
      <c r="G176" t="s">
        <v>688</v>
      </c>
      <c r="H176" s="4" cm="1">
        <f t="array" ref="H176">_xll.SNL.Clients.Office.Excel.Functions.SPG(G176, "SP_TOTAL_REV", "CY2022")</f>
        <v>4824698</v>
      </c>
      <c r="I176" s="4">
        <f>_xll.SNL.Clients.Office.Excel.Functions.SPG(G176,"IQ_AVG_DILUT_SHARES_OUT","CY2022")</f>
        <v>59169000</v>
      </c>
      <c r="J176" s="5">
        <f>_xll.SNL.Clients.Office.Excel.Functions.SPG(G176, "IQ_DILUT_EPS_NORM", "CY2022")</f>
        <v>6.968</v>
      </c>
      <c r="K176">
        <f t="shared" si="14"/>
        <v>412289.592</v>
      </c>
      <c r="L176">
        <f t="shared" si="15"/>
        <v>8.5453968725089119E-2</v>
      </c>
      <c r="M176" t="s">
        <v>692</v>
      </c>
      <c r="N176" s="4" cm="1">
        <f t="array" ref="N176">_xll.SNL.Clients.Office.Excel.Functions.SPG(M176, "SP_TOTAL_REV", "CY2022")</f>
        <v>2731847</v>
      </c>
      <c r="O176" s="4">
        <f>_xll.SNL.Clients.Office.Excel.Functions.SPG(M176,"IQ_AVG_DILUT_SHARES_OUT","CY2022")</f>
        <v>389450000</v>
      </c>
      <c r="P176" s="5">
        <f>_xll.SNL.Clients.Office.Excel.Functions.SPG(M176, "IQ_DILUT_EPS_NORM", "CY2022")</f>
        <v>0.72799999999999998</v>
      </c>
      <c r="Q176">
        <f t="shared" si="16"/>
        <v>283519.59999999998</v>
      </c>
      <c r="R176">
        <f t="shared" si="17"/>
        <v>0.103783118161449</v>
      </c>
    </row>
    <row r="177" spans="1:18" x14ac:dyDescent="0.3">
      <c r="A177" t="s">
        <v>689</v>
      </c>
      <c r="B177" s="4" cm="1">
        <f t="array" ref="B177">_xll.SNL.Clients.Office.Excel.Functions.SPG(A177, "SP_TOTAL_REV", "CY2023")</f>
        <v>4974255</v>
      </c>
      <c r="C177" s="4">
        <f>_xll.SNL.Clients.Office.Excel.Functions.SPG(A177,"IQ_AVG_DILUT_SHARES_OUT","CY2023")</f>
        <v>413224000</v>
      </c>
      <c r="D177" s="5">
        <f>_xll.SNL.Clients.Office.Excel.Functions.SPG(A177, "IQ_DILUT_EPS_NORM", "CY2023")</f>
        <v>3.4929999999999999</v>
      </c>
      <c r="E177">
        <f t="shared" si="12"/>
        <v>1443391.432</v>
      </c>
      <c r="F177">
        <f t="shared" si="13"/>
        <v>0.29017238400524298</v>
      </c>
      <c r="G177" t="s">
        <v>689</v>
      </c>
      <c r="H177" s="4" cm="1">
        <f t="array" ref="H177">_xll.SNL.Clients.Office.Excel.Functions.SPG(G177, "SP_TOTAL_REV", "CY2022")</f>
        <v>11996159</v>
      </c>
      <c r="I177" s="4">
        <f>_xll.SNL.Clients.Office.Excel.Functions.SPG(G177,"IQ_AVG_DILUT_SHARES_OUT","CY2022")</f>
        <v>406495000</v>
      </c>
      <c r="J177" s="5">
        <f>_xll.SNL.Clients.Office.Excel.Functions.SPG(G177, "IQ_DILUT_EPS_NORM", "CY2022")</f>
        <v>4.133</v>
      </c>
      <c r="K177">
        <f t="shared" si="14"/>
        <v>1680043.835</v>
      </c>
      <c r="L177">
        <f t="shared" si="15"/>
        <v>0.14004848010100565</v>
      </c>
      <c r="M177" t="s">
        <v>693</v>
      </c>
      <c r="N177" s="4" cm="1">
        <f t="array" ref="N177">_xll.SNL.Clients.Office.Excel.Functions.SPG(M177, "SP_TOTAL_REV", "CY2022")</f>
        <v>1662779</v>
      </c>
      <c r="O177" s="4">
        <f>_xll.SNL.Clients.Office.Excel.Functions.SPG(M177,"IQ_AVG_DILUT_SHARES_OUT","CY2022")</f>
        <v>65098186</v>
      </c>
      <c r="P177" s="5">
        <f>_xll.SNL.Clients.Office.Excel.Functions.SPG(M177, "IQ_DILUT_EPS_NORM", "CY2022")</f>
        <v>3.036</v>
      </c>
      <c r="Q177">
        <f t="shared" si="16"/>
        <v>197638.09269600001</v>
      </c>
      <c r="R177">
        <f t="shared" si="17"/>
        <v>0.11886010870717036</v>
      </c>
    </row>
    <row r="178" spans="1:18" x14ac:dyDescent="0.3">
      <c r="A178" t="s">
        <v>690</v>
      </c>
      <c r="B178" s="4" cm="1">
        <f t="array" ref="B178">_xll.SNL.Clients.Office.Excel.Functions.SPG(A178, "SP_TOTAL_REV", "CY2023")</f>
        <v>5265200</v>
      </c>
      <c r="C178" s="4">
        <f>_xll.SNL.Clients.Office.Excel.Functions.SPG(A178,"IQ_AVG_DILUT_SHARES_OUT","CY2023")</f>
        <v>123900000</v>
      </c>
      <c r="D178" s="5">
        <f>_xll.SNL.Clients.Office.Excel.Functions.SPG(A178, "IQ_DILUT_EPS_NORM", "CY2023")</f>
        <v>3.7429999999999999</v>
      </c>
      <c r="E178">
        <f t="shared" si="12"/>
        <v>463757.7</v>
      </c>
      <c r="F178">
        <f t="shared" si="13"/>
        <v>8.8079788042239607E-2</v>
      </c>
      <c r="G178" t="s">
        <v>690</v>
      </c>
      <c r="H178" s="4" cm="1">
        <f t="array" ref="H178">_xll.SNL.Clients.Office.Excel.Functions.SPG(G178, "SP_TOTAL_REV", "CY2022")</f>
        <v>5122200</v>
      </c>
      <c r="I178" s="4">
        <f>_xll.SNL.Clients.Office.Excel.Functions.SPG(G178,"IQ_AVG_DILUT_SHARES_OUT","CY2022")</f>
        <v>123300000</v>
      </c>
      <c r="J178" s="5">
        <f>_xll.SNL.Clients.Office.Excel.Functions.SPG(G178, "IQ_DILUT_EPS_NORM", "CY2022")</f>
        <v>4.6369999999999996</v>
      </c>
      <c r="K178">
        <f t="shared" si="14"/>
        <v>571742.1</v>
      </c>
      <c r="L178">
        <f t="shared" si="15"/>
        <v>0.11162041700831674</v>
      </c>
      <c r="M178" t="s">
        <v>694</v>
      </c>
      <c r="N178" s="4" cm="1">
        <f t="array" ref="N178">_xll.SNL.Clients.Office.Excel.Functions.SPG(M178, "SP_TOTAL_REV", "CY2022")</f>
        <v>16356000</v>
      </c>
      <c r="O178" s="4">
        <f>_xll.SNL.Clients.Office.Excel.Functions.SPG(M178,"IQ_AVG_DILUT_SHARES_OUT","CY2022")</f>
        <v>361850000</v>
      </c>
      <c r="P178" s="5">
        <f>_xll.SNL.Clients.Office.Excel.Functions.SPG(M178, "IQ_DILUT_EPS_NORM", "CY2022")</f>
        <v>4.1159999999999997</v>
      </c>
      <c r="Q178">
        <f t="shared" si="16"/>
        <v>1489374.5999999999</v>
      </c>
      <c r="R178">
        <f t="shared" si="17"/>
        <v>9.1059831254585472E-2</v>
      </c>
    </row>
    <row r="179" spans="1:18" x14ac:dyDescent="0.3">
      <c r="A179" t="s">
        <v>691</v>
      </c>
      <c r="B179" s="4" cm="1">
        <f t="array" ref="B179">_xll.SNL.Clients.Office.Excel.Functions.SPG(A179, "SP_TOTAL_REV", "CY2023")</f>
        <v>8272667</v>
      </c>
      <c r="C179" s="4">
        <f>_xll.SNL.Clients.Office.Excel.Functions.SPG(A179,"IQ_AVG_DILUT_SHARES_OUT","CY2023")</f>
        <v>94009000</v>
      </c>
      <c r="D179" s="5">
        <f>_xll.SNL.Clients.Office.Excel.Functions.SPG(A179, "IQ_DILUT_EPS_NORM", "CY2023")</f>
        <v>4.5780000000000003</v>
      </c>
      <c r="E179">
        <f t="shared" si="12"/>
        <v>430373.20199999999</v>
      </c>
      <c r="F179">
        <f t="shared" si="13"/>
        <v>5.2023513336146611E-2</v>
      </c>
      <c r="G179" t="s">
        <v>691</v>
      </c>
      <c r="H179" s="4" cm="1">
        <f t="array" ref="H179">_xll.SNL.Clients.Office.Excel.Functions.SPG(G179, "SP_TOTAL_REV", "CY2022")</f>
        <v>7249771</v>
      </c>
      <c r="I179" s="4">
        <f>_xll.SNL.Clients.Office.Excel.Functions.SPG(G179,"IQ_AVG_DILUT_SHARES_OUT","CY2022")</f>
        <v>91828000</v>
      </c>
      <c r="J179" s="5">
        <f>_xll.SNL.Clients.Office.Excel.Functions.SPG(G179, "IQ_DILUT_EPS_NORM", "CY2022")</f>
        <v>3.149</v>
      </c>
      <c r="K179">
        <f t="shared" si="14"/>
        <v>289166.37199999997</v>
      </c>
      <c r="L179">
        <f t="shared" si="15"/>
        <v>3.9886276683773869E-2</v>
      </c>
      <c r="M179" t="s">
        <v>695</v>
      </c>
      <c r="N179" s="4" cm="1">
        <f t="array" ref="N179">_xll.SNL.Clients.Office.Excel.Functions.SPG(M179, "SP_TOTAL_REV", "CY2022")</f>
        <v>2566111</v>
      </c>
      <c r="O179" s="4">
        <f>_xll.SNL.Clients.Office.Excel.Functions.SPG(M179,"IQ_AVG_DILUT_SHARES_OUT","CY2022")</f>
        <v>126778626</v>
      </c>
      <c r="P179" s="5">
        <f>_xll.SNL.Clients.Office.Excel.Functions.SPG(M179, "IQ_DILUT_EPS_NORM", "CY2022")</f>
        <v>1.9019999999999999</v>
      </c>
      <c r="Q179">
        <f t="shared" si="16"/>
        <v>241132.94665199998</v>
      </c>
      <c r="R179">
        <f t="shared" si="17"/>
        <v>9.3968244807804482E-2</v>
      </c>
    </row>
    <row r="180" spans="1:18" x14ac:dyDescent="0.3">
      <c r="A180" t="s">
        <v>692</v>
      </c>
      <c r="B180" s="4" cm="1">
        <f t="array" ref="B180">_xll.SNL.Clients.Office.Excel.Functions.SPG(A180, "SP_TOTAL_REV", "CY2023")</f>
        <v>2874906</v>
      </c>
      <c r="C180" s="4">
        <f>_xll.SNL.Clients.Office.Excel.Functions.SPG(A180,"IQ_AVG_DILUT_SHARES_OUT","CY2023")</f>
        <v>390897000</v>
      </c>
      <c r="D180" s="5">
        <f>_xll.SNL.Clients.Office.Excel.Functions.SPG(A180, "IQ_DILUT_EPS_NORM", "CY2023")</f>
        <v>0.83</v>
      </c>
      <c r="E180">
        <f t="shared" si="12"/>
        <v>324444.51</v>
      </c>
      <c r="F180">
        <f t="shared" si="13"/>
        <v>0.11285395418145845</v>
      </c>
      <c r="G180" t="s">
        <v>692</v>
      </c>
      <c r="H180" s="4" cm="1">
        <f t="array" ref="H180">_xll.SNL.Clients.Office.Excel.Functions.SPG(G180, "SP_TOTAL_REV", "CY2022")</f>
        <v>2731847</v>
      </c>
      <c r="I180" s="4">
        <f>_xll.SNL.Clients.Office.Excel.Functions.SPG(G180,"IQ_AVG_DILUT_SHARES_OUT","CY2022")</f>
        <v>389450000</v>
      </c>
      <c r="J180" s="5">
        <f>_xll.SNL.Clients.Office.Excel.Functions.SPG(G180, "IQ_DILUT_EPS_NORM", "CY2022")</f>
        <v>0.72799999999999998</v>
      </c>
      <c r="K180">
        <f t="shared" si="14"/>
        <v>283519.59999999998</v>
      </c>
      <c r="L180">
        <f t="shared" si="15"/>
        <v>0.103783118161449</v>
      </c>
      <c r="M180" t="s">
        <v>696</v>
      </c>
      <c r="N180" s="4" cm="1">
        <f t="array" ref="N180">_xll.SNL.Clients.Office.Excel.Functions.SPG(M180, "SP_TOTAL_REV", "CY2022")</f>
        <v>12060000</v>
      </c>
      <c r="O180" s="4">
        <f>_xll.SNL.Clients.Office.Excel.Functions.SPG(M180,"IQ_AVG_DILUT_SHARES_OUT","CY2022")</f>
        <v>38800000</v>
      </c>
      <c r="P180" s="5">
        <f>_xll.SNL.Clients.Office.Excel.Functions.SPG(M180, "IQ_DILUT_EPS_NORM", "CY2022")</f>
        <v>9.4719999999999995</v>
      </c>
      <c r="Q180">
        <f t="shared" si="16"/>
        <v>367513.59999999998</v>
      </c>
      <c r="R180">
        <f t="shared" si="17"/>
        <v>3.0473764510779433E-2</v>
      </c>
    </row>
    <row r="181" spans="1:18" x14ac:dyDescent="0.3">
      <c r="A181" t="s">
        <v>693</v>
      </c>
      <c r="B181" s="4" cm="1">
        <f t="array" ref="B181">_xll.SNL.Clients.Office.Excel.Functions.SPG(A181, "SP_TOTAL_REV", "CY2023")</f>
        <v>1744220</v>
      </c>
      <c r="C181" s="4">
        <f>_xll.SNL.Clients.Office.Excel.Functions.SPG(A181,"IQ_AVG_DILUT_SHARES_OUT","CY2023")</f>
        <v>64253385</v>
      </c>
      <c r="D181" s="5">
        <f>_xll.SNL.Clients.Office.Excel.Functions.SPG(A181, "IQ_DILUT_EPS_NORM", "CY2023")</f>
        <v>3.14</v>
      </c>
      <c r="E181">
        <f t="shared" si="12"/>
        <v>201755.62890000001</v>
      </c>
      <c r="F181">
        <f t="shared" si="13"/>
        <v>0.11567097550767678</v>
      </c>
      <c r="G181" t="s">
        <v>693</v>
      </c>
      <c r="H181" s="4" cm="1">
        <f t="array" ref="H181">_xll.SNL.Clients.Office.Excel.Functions.SPG(G181, "SP_TOTAL_REV", "CY2022")</f>
        <v>1662779</v>
      </c>
      <c r="I181" s="4">
        <f>_xll.SNL.Clients.Office.Excel.Functions.SPG(G181,"IQ_AVG_DILUT_SHARES_OUT","CY2022")</f>
        <v>65098186</v>
      </c>
      <c r="J181" s="5">
        <f>_xll.SNL.Clients.Office.Excel.Functions.SPG(G181, "IQ_DILUT_EPS_NORM", "CY2022")</f>
        <v>3.036</v>
      </c>
      <c r="K181">
        <f t="shared" si="14"/>
        <v>197638.09269600001</v>
      </c>
      <c r="L181">
        <f t="shared" si="15"/>
        <v>0.11886010870717036</v>
      </c>
      <c r="M181" t="s">
        <v>697</v>
      </c>
      <c r="N181" s="4" cm="1">
        <f t="array" ref="N181">_xll.SNL.Clients.Office.Excel.Functions.SPG(M181, "SP_TOTAL_REV", "CY2022")</f>
        <v>5859100</v>
      </c>
      <c r="O181" s="4">
        <f>_xll.SNL.Clients.Office.Excel.Functions.SPG(M181,"IQ_AVG_DILUT_SHARES_OUT","CY2022")</f>
        <v>230300000</v>
      </c>
      <c r="P181" s="5">
        <f>_xll.SNL.Clients.Office.Excel.Functions.SPG(M181, "IQ_DILUT_EPS_NORM", "CY2022")</f>
        <v>2.2589999999999999</v>
      </c>
      <c r="Q181">
        <f t="shared" si="16"/>
        <v>520247.7</v>
      </c>
      <c r="R181">
        <f t="shared" si="17"/>
        <v>8.8793108156542816E-2</v>
      </c>
    </row>
    <row r="182" spans="1:18" x14ac:dyDescent="0.3">
      <c r="A182" t="s">
        <v>694</v>
      </c>
      <c r="B182" s="4" cm="1">
        <f t="array" ref="B182">_xll.SNL.Clients.Office.Excel.Functions.SPG(A182, "SP_TOTAL_REV", "CY2023")</f>
        <v>15157000</v>
      </c>
      <c r="C182" s="4">
        <f>_xll.SNL.Clients.Office.Excel.Functions.SPG(A182,"IQ_AVG_DILUT_SHARES_OUT","CY2023")</f>
        <v>360600000</v>
      </c>
      <c r="D182" s="5">
        <f>_xll.SNL.Clients.Office.Excel.Functions.SPG(A182, "IQ_DILUT_EPS_NORM", "CY2023")</f>
        <v>1.413</v>
      </c>
      <c r="E182">
        <f t="shared" si="12"/>
        <v>509527.8</v>
      </c>
      <c r="F182">
        <f t="shared" si="13"/>
        <v>3.3616665567064719E-2</v>
      </c>
      <c r="G182" t="s">
        <v>694</v>
      </c>
      <c r="H182" s="4" cm="1">
        <f t="array" ref="H182">_xll.SNL.Clients.Office.Excel.Functions.SPG(G182, "SP_TOTAL_REV", "CY2022")</f>
        <v>16356000</v>
      </c>
      <c r="I182" s="4">
        <f>_xll.SNL.Clients.Office.Excel.Functions.SPG(G182,"IQ_AVG_DILUT_SHARES_OUT","CY2022")</f>
        <v>361850000</v>
      </c>
      <c r="J182" s="5">
        <f>_xll.SNL.Clients.Office.Excel.Functions.SPG(G182, "IQ_DILUT_EPS_NORM", "CY2022")</f>
        <v>4.1159999999999997</v>
      </c>
      <c r="K182">
        <f t="shared" si="14"/>
        <v>1489374.5999999999</v>
      </c>
      <c r="L182">
        <f t="shared" si="15"/>
        <v>9.1059831254585472E-2</v>
      </c>
      <c r="M182" t="s">
        <v>698</v>
      </c>
      <c r="N182" s="4" cm="1">
        <f t="array" ref="N182">_xll.SNL.Clients.Office.Excel.Functions.SPG(M182, "SP_TOTAL_REV", "CY2022")</f>
        <v>12289336</v>
      </c>
      <c r="O182" s="4">
        <f>_xll.SNL.Clients.Office.Excel.Functions.SPG(M182,"IQ_AVG_DILUT_SHARES_OUT","CY2022")</f>
        <v>347246768</v>
      </c>
      <c r="P182" s="5">
        <f>_xll.SNL.Clients.Office.Excel.Functions.SPG(M182, "IQ_DILUT_EPS_NORM", "CY2022")</f>
        <v>3.3330000000000002</v>
      </c>
      <c r="Q182">
        <f t="shared" si="16"/>
        <v>1157373.477744</v>
      </c>
      <c r="R182">
        <f t="shared" si="17"/>
        <v>9.4177055436030069E-2</v>
      </c>
    </row>
    <row r="183" spans="1:18" x14ac:dyDescent="0.3">
      <c r="A183" t="s">
        <v>695</v>
      </c>
      <c r="B183" s="4" cm="1">
        <f t="array" ref="B183">_xll.SNL.Clients.Office.Excel.Functions.SPG(A183, "SP_TOTAL_REV", "CY2023")</f>
        <v>2748377</v>
      </c>
      <c r="C183" s="4">
        <f>_xll.SNL.Clients.Office.Excel.Functions.SPG(A183,"IQ_AVG_DILUT_SHARES_OUT","CY2023")</f>
        <v>140145406</v>
      </c>
      <c r="D183" s="5">
        <f>_xll.SNL.Clients.Office.Excel.Functions.SPG(A183, "IQ_DILUT_EPS_NORM", "CY2023")</f>
        <v>1.7450000000000001</v>
      </c>
      <c r="E183">
        <f t="shared" si="12"/>
        <v>244553.73347000004</v>
      </c>
      <c r="F183">
        <f t="shared" si="13"/>
        <v>8.8981145406907436E-2</v>
      </c>
      <c r="G183" t="s">
        <v>695</v>
      </c>
      <c r="H183" s="4" cm="1">
        <f t="array" ref="H183">_xll.SNL.Clients.Office.Excel.Functions.SPG(G183, "SP_TOTAL_REV", "CY2022")</f>
        <v>2566111</v>
      </c>
      <c r="I183" s="4">
        <f>_xll.SNL.Clients.Office.Excel.Functions.SPG(G183,"IQ_AVG_DILUT_SHARES_OUT","CY2022")</f>
        <v>126778626</v>
      </c>
      <c r="J183" s="5">
        <f>_xll.SNL.Clients.Office.Excel.Functions.SPG(G183, "IQ_DILUT_EPS_NORM", "CY2022")</f>
        <v>1.9019999999999999</v>
      </c>
      <c r="K183">
        <f t="shared" si="14"/>
        <v>241132.94665199998</v>
      </c>
      <c r="L183">
        <f t="shared" si="15"/>
        <v>9.3968244807804482E-2</v>
      </c>
      <c r="M183" t="s">
        <v>699</v>
      </c>
      <c r="N183" s="4" cm="1">
        <f t="array" ref="N183">_xll.SNL.Clients.Office.Excel.Functions.SPG(M183, "SP_TOTAL_REV", "CY2022")</f>
        <v>19078000</v>
      </c>
      <c r="O183" s="4">
        <f>_xll.SNL.Clients.Office.Excel.Functions.SPG(M183,"IQ_AVG_DILUT_SHARES_OUT","CY2022")</f>
        <v>987000000</v>
      </c>
      <c r="P183" s="5">
        <f>_xll.SNL.Clients.Office.Excel.Functions.SPG(M183, "IQ_DILUT_EPS_NORM", "CY2022")</f>
        <v>1.5740000000000001</v>
      </c>
      <c r="Q183">
        <f t="shared" si="16"/>
        <v>1553538</v>
      </c>
      <c r="R183">
        <f t="shared" si="17"/>
        <v>8.1430862773875665E-2</v>
      </c>
    </row>
    <row r="184" spans="1:18" x14ac:dyDescent="0.3">
      <c r="A184" t="s">
        <v>696</v>
      </c>
      <c r="B184" s="4" cm="1">
        <f t="array" ref="B184">_xll.SNL.Clients.Office.Excel.Functions.SPG(A184, "SP_TOTAL_REV", "CY2023")</f>
        <v>14586000</v>
      </c>
      <c r="C184" s="4">
        <f>_xll.SNL.Clients.Office.Excel.Functions.SPG(A184,"IQ_AVG_DILUT_SHARES_OUT","CY2023")</f>
        <v>41300000</v>
      </c>
      <c r="D184" s="5">
        <f>_xll.SNL.Clients.Office.Excel.Functions.SPG(A184, "IQ_DILUT_EPS_NORM", "CY2023")</f>
        <v>32.597000000000001</v>
      </c>
      <c r="E184">
        <f t="shared" si="12"/>
        <v>1346256.1</v>
      </c>
      <c r="F184">
        <f t="shared" si="13"/>
        <v>9.2297826683120809E-2</v>
      </c>
      <c r="G184" t="s">
        <v>696</v>
      </c>
      <c r="H184" s="4" cm="1">
        <f t="array" ref="H184">_xll.SNL.Clients.Office.Excel.Functions.SPG(G184, "SP_TOTAL_REV", "CY2022")</f>
        <v>12060000</v>
      </c>
      <c r="I184" s="4">
        <f>_xll.SNL.Clients.Office.Excel.Functions.SPG(G184,"IQ_AVG_DILUT_SHARES_OUT","CY2022")</f>
        <v>38800000</v>
      </c>
      <c r="J184" s="5">
        <f>_xll.SNL.Clients.Office.Excel.Functions.SPG(G184, "IQ_DILUT_EPS_NORM", "CY2022")</f>
        <v>9.4719999999999995</v>
      </c>
      <c r="K184">
        <f t="shared" si="14"/>
        <v>367513.59999999998</v>
      </c>
      <c r="L184">
        <f t="shared" si="15"/>
        <v>3.0473764510779433E-2</v>
      </c>
      <c r="M184" t="s">
        <v>700</v>
      </c>
      <c r="N184" s="4" cm="1">
        <f t="array" ref="N184">_xll.SNL.Clients.Office.Excel.Functions.SPG(M184, "SP_TOTAL_REV", "CY2022")</f>
        <v>11667000</v>
      </c>
      <c r="O184" s="4">
        <f>_xll.SNL.Clients.Office.Excel.Functions.SPG(M184,"IQ_AVG_DILUT_SHARES_OUT","CY2022")</f>
        <v>161751000</v>
      </c>
      <c r="P184" s="5">
        <f>_xll.SNL.Clients.Office.Excel.Functions.SPG(M184, "IQ_DILUT_EPS_NORM", "CY2022")</f>
        <v>3.657</v>
      </c>
      <c r="Q184">
        <f t="shared" si="16"/>
        <v>591523.40700000001</v>
      </c>
      <c r="R184">
        <f t="shared" si="17"/>
        <v>5.0700557726922085E-2</v>
      </c>
    </row>
    <row r="185" spans="1:18" x14ac:dyDescent="0.3">
      <c r="A185" t="s">
        <v>697</v>
      </c>
      <c r="B185" s="4" cm="1">
        <f t="array" ref="B185">_xll.SNL.Clients.Office.Excel.Functions.SPG(A185, "SP_TOTAL_REV", "CY2023")</f>
        <v>5508200</v>
      </c>
      <c r="C185" s="4">
        <f>_xll.SNL.Clients.Office.Excel.Functions.SPG(A185,"IQ_AVG_DILUT_SHARES_OUT","CY2023")</f>
        <v>230500000</v>
      </c>
      <c r="D185" s="5">
        <f>_xll.SNL.Clients.Office.Excel.Functions.SPG(A185, "IQ_DILUT_EPS_NORM", "CY2023")</f>
        <v>2.0049999999999999</v>
      </c>
      <c r="E185">
        <f t="shared" si="12"/>
        <v>462152.5</v>
      </c>
      <c r="F185">
        <f t="shared" si="13"/>
        <v>8.3902636069859482E-2</v>
      </c>
      <c r="G185" t="s">
        <v>697</v>
      </c>
      <c r="H185" s="4" cm="1">
        <f t="array" ref="H185">_xll.SNL.Clients.Office.Excel.Functions.SPG(G185, "SP_TOTAL_REV", "CY2022")</f>
        <v>5859100</v>
      </c>
      <c r="I185" s="4">
        <f>_xll.SNL.Clients.Office.Excel.Functions.SPG(G185,"IQ_AVG_DILUT_SHARES_OUT","CY2022")</f>
        <v>230300000</v>
      </c>
      <c r="J185" s="5">
        <f>_xll.SNL.Clients.Office.Excel.Functions.SPG(G185, "IQ_DILUT_EPS_NORM", "CY2022")</f>
        <v>2.2589999999999999</v>
      </c>
      <c r="K185">
        <f t="shared" si="14"/>
        <v>520247.7</v>
      </c>
      <c r="L185">
        <f t="shared" si="15"/>
        <v>8.8793108156542816E-2</v>
      </c>
      <c r="M185" t="s">
        <v>701</v>
      </c>
      <c r="N185" s="4" cm="1">
        <f t="array" ref="N185">_xll.SNL.Clients.Office.Excel.Functions.SPG(M185, "SP_TOTAL_REV", "CY2022")</f>
        <v>17071284</v>
      </c>
      <c r="O185" s="4">
        <f>_xll.SNL.Clients.Office.Excel.Functions.SPG(M185,"IQ_AVG_DILUT_SHARES_OUT","CY2022")</f>
        <v>164427000</v>
      </c>
      <c r="P185" s="5">
        <f>_xll.SNL.Clients.Office.Excel.Functions.SPG(M185, "IQ_DILUT_EPS_NORM", "CY2022")</f>
        <v>7.2060000000000004</v>
      </c>
      <c r="Q185">
        <f t="shared" si="16"/>
        <v>1184860.9620000001</v>
      </c>
      <c r="R185">
        <f t="shared" si="17"/>
        <v>6.9406669234721885E-2</v>
      </c>
    </row>
    <row r="186" spans="1:18" x14ac:dyDescent="0.3">
      <c r="A186" t="s">
        <v>698</v>
      </c>
      <c r="B186" s="4" cm="1">
        <f t="array" ref="B186">_xll.SNL.Clients.Office.Excel.Functions.SPG(A186, "SP_TOTAL_REV", "CY2023")</f>
        <v>11910705</v>
      </c>
      <c r="C186" s="4">
        <f>_xll.SNL.Clients.Office.Excel.Functions.SPG(A186,"IQ_AVG_DILUT_SHARES_OUT","CY2023")</f>
        <v>349580638</v>
      </c>
      <c r="D186" s="5">
        <f>_xll.SNL.Clients.Office.Excel.Functions.SPG(A186, "IQ_DILUT_EPS_NORM", "CY2023")</f>
        <v>3.37</v>
      </c>
      <c r="E186">
        <f t="shared" si="12"/>
        <v>1178086.75006</v>
      </c>
      <c r="F186">
        <f t="shared" si="13"/>
        <v>9.8909909200169094E-2</v>
      </c>
      <c r="G186" t="s">
        <v>698</v>
      </c>
      <c r="H186" s="4" cm="1">
        <f t="array" ref="H186">_xll.SNL.Clients.Office.Excel.Functions.SPG(G186, "SP_TOTAL_REV", "CY2022")</f>
        <v>12289336</v>
      </c>
      <c r="I186" s="4">
        <f>_xll.SNL.Clients.Office.Excel.Functions.SPG(G186,"IQ_AVG_DILUT_SHARES_OUT","CY2022")</f>
        <v>347246768</v>
      </c>
      <c r="J186" s="5">
        <f>_xll.SNL.Clients.Office.Excel.Functions.SPG(G186, "IQ_DILUT_EPS_NORM", "CY2022")</f>
        <v>3.3330000000000002</v>
      </c>
      <c r="K186">
        <f t="shared" si="14"/>
        <v>1157373.477744</v>
      </c>
      <c r="L186">
        <f t="shared" si="15"/>
        <v>9.4177055436030069E-2</v>
      </c>
      <c r="M186" t="s">
        <v>702</v>
      </c>
      <c r="N186" s="4" cm="1">
        <f t="array" ref="N186">_xll.SNL.Clients.Office.Excel.Functions.SPG(M186, "SP_TOTAL_REV", "CY2022")</f>
        <v>2035020</v>
      </c>
      <c r="O186" s="4">
        <f>_xll.SNL.Clients.Office.Excel.Functions.SPG(M186,"IQ_AVG_DILUT_SHARES_OUT","CY2022")</f>
        <v>141681388</v>
      </c>
      <c r="P186" s="5">
        <f>_xll.SNL.Clients.Office.Excel.Functions.SPG(M186, "IQ_DILUT_EPS_NORM", "CY2022")</f>
        <v>3.673</v>
      </c>
      <c r="Q186">
        <f t="shared" si="16"/>
        <v>520395.73812400002</v>
      </c>
      <c r="R186">
        <f t="shared" si="17"/>
        <v>0.2557202082161355</v>
      </c>
    </row>
    <row r="187" spans="1:18" x14ac:dyDescent="0.3">
      <c r="A187" t="s">
        <v>699</v>
      </c>
      <c r="B187" s="4" cm="1">
        <f t="array" ref="B187">_xll.SNL.Clients.Office.Excel.Functions.SPG(A187, "SP_TOTAL_REV", "CY2023")</f>
        <v>21727000</v>
      </c>
      <c r="C187" s="4">
        <f>_xll.SNL.Clients.Office.Excel.Functions.SPG(A187,"IQ_AVG_DILUT_SHARES_OUT","CY2023")</f>
        <v>997000000</v>
      </c>
      <c r="D187" s="5">
        <f>_xll.SNL.Clients.Office.Excel.Functions.SPG(A187, "IQ_DILUT_EPS_NORM", "CY2023")</f>
        <v>1.706</v>
      </c>
      <c r="E187">
        <f t="shared" si="12"/>
        <v>1700882</v>
      </c>
      <c r="F187">
        <f t="shared" si="13"/>
        <v>7.828425461407465E-2</v>
      </c>
      <c r="G187" t="s">
        <v>699</v>
      </c>
      <c r="H187" s="4" cm="1">
        <f t="array" ref="H187">_xll.SNL.Clients.Office.Excel.Functions.SPG(G187, "SP_TOTAL_REV", "CY2022")</f>
        <v>19078000</v>
      </c>
      <c r="I187" s="4">
        <f>_xll.SNL.Clients.Office.Excel.Functions.SPG(G187,"IQ_AVG_DILUT_SHARES_OUT","CY2022")</f>
        <v>987000000</v>
      </c>
      <c r="J187" s="5">
        <f>_xll.SNL.Clients.Office.Excel.Functions.SPG(G187, "IQ_DILUT_EPS_NORM", "CY2022")</f>
        <v>1.5740000000000001</v>
      </c>
      <c r="K187">
        <f t="shared" si="14"/>
        <v>1553538</v>
      </c>
      <c r="L187">
        <f t="shared" si="15"/>
        <v>8.1430862773875665E-2</v>
      </c>
      <c r="M187" t="s">
        <v>703</v>
      </c>
      <c r="N187" s="4" cm="1">
        <f t="array" ref="N187">_xll.SNL.Clients.Office.Excel.Functions.SPG(M187, "SP_TOTAL_REV", "CY2022")</f>
        <v>401183000</v>
      </c>
      <c r="O187" s="4">
        <f>_xll.SNL.Clients.Office.Excel.Functions.SPG(M187,"IQ_AVG_DILUT_SHARES_OUT","CY2022")</f>
        <v>4205000000</v>
      </c>
      <c r="P187" s="5">
        <f>_xll.SNL.Clients.Office.Excel.Functions.SPG(M187, "IQ_DILUT_EPS_NORM", "CY2022")</f>
        <v>11.65</v>
      </c>
      <c r="Q187">
        <f t="shared" si="16"/>
        <v>48988250</v>
      </c>
      <c r="R187">
        <f t="shared" si="17"/>
        <v>0.12210948619457954</v>
      </c>
    </row>
    <row r="188" spans="1:18" x14ac:dyDescent="0.3">
      <c r="A188" t="s">
        <v>700</v>
      </c>
      <c r="B188" s="4" cm="1">
        <f t="array" ref="B188">_xll.SNL.Clients.Office.Excel.Functions.SPG(A188, "SP_TOTAL_REV", "CY2023")</f>
        <v>12839000</v>
      </c>
      <c r="C188" s="4">
        <f>_xll.SNL.Clients.Office.Excel.Functions.SPG(A188,"IQ_AVG_DILUT_SHARES_OUT","CY2023")</f>
        <v>150228000</v>
      </c>
      <c r="D188" s="5">
        <f>_xll.SNL.Clients.Office.Excel.Functions.SPG(A188, "IQ_DILUT_EPS_NORM", "CY2023")</f>
        <v>6.5960000000000001</v>
      </c>
      <c r="E188">
        <f t="shared" si="12"/>
        <v>990903.88800000004</v>
      </c>
      <c r="F188">
        <f t="shared" si="13"/>
        <v>7.7179210841965884E-2</v>
      </c>
      <c r="G188" t="s">
        <v>700</v>
      </c>
      <c r="H188" s="4" cm="1">
        <f t="array" ref="H188">_xll.SNL.Clients.Office.Excel.Functions.SPG(G188, "SP_TOTAL_REV", "CY2022")</f>
        <v>11667000</v>
      </c>
      <c r="I188" s="4">
        <f>_xll.SNL.Clients.Office.Excel.Functions.SPG(G188,"IQ_AVG_DILUT_SHARES_OUT","CY2022")</f>
        <v>161751000</v>
      </c>
      <c r="J188" s="5">
        <f>_xll.SNL.Clients.Office.Excel.Functions.SPG(G188, "IQ_DILUT_EPS_NORM", "CY2022")</f>
        <v>3.657</v>
      </c>
      <c r="K188">
        <f t="shared" si="14"/>
        <v>591523.40700000001</v>
      </c>
      <c r="L188">
        <f t="shared" si="15"/>
        <v>5.0700557726922085E-2</v>
      </c>
      <c r="M188" t="s">
        <v>704</v>
      </c>
      <c r="N188" s="4" cm="1">
        <f t="array" ref="N188">_xll.SNL.Clients.Office.Excel.Functions.SPG(M188, "SP_TOTAL_REV", "CY2022")</f>
        <v>2709123</v>
      </c>
      <c r="O188" s="4">
        <f>_xll.SNL.Clients.Office.Excel.Functions.SPG(M188,"IQ_AVG_DILUT_SHARES_OUT","CY2022")</f>
        <v>60723250</v>
      </c>
      <c r="P188" s="5">
        <f>_xll.SNL.Clients.Office.Excel.Functions.SPG(M188, "IQ_DILUT_EPS_NORM", "CY2022")</f>
        <v>3.8940000000000001</v>
      </c>
      <c r="Q188">
        <f t="shared" si="16"/>
        <v>236456.33549999999</v>
      </c>
      <c r="R188">
        <f t="shared" si="17"/>
        <v>8.7281506044576046E-2</v>
      </c>
    </row>
    <row r="189" spans="1:18" x14ac:dyDescent="0.3">
      <c r="A189" t="s">
        <v>701</v>
      </c>
      <c r="B189" s="4" cm="1">
        <f t="array" ref="B189">_xll.SNL.Clients.Office.Excel.Functions.SPG(A189, "SP_TOTAL_REV", "CY2023")</f>
        <v>9300110</v>
      </c>
      <c r="C189" s="4">
        <f>_xll.SNL.Clients.Office.Excel.Functions.SPG(A189,"IQ_AVG_DILUT_SHARES_OUT","CY2023")</f>
        <v>150186000</v>
      </c>
      <c r="D189" s="5">
        <f>_xll.SNL.Clients.Office.Excel.Functions.SPG(A189, "IQ_DILUT_EPS_NORM", "CY2023")</f>
        <v>4.2309999999999999</v>
      </c>
      <c r="E189">
        <f t="shared" si="12"/>
        <v>635436.96600000001</v>
      </c>
      <c r="F189">
        <f t="shared" si="13"/>
        <v>6.832574732987029E-2</v>
      </c>
      <c r="G189" t="s">
        <v>701</v>
      </c>
      <c r="H189" s="4" cm="1">
        <f t="array" ref="H189">_xll.SNL.Clients.Office.Excel.Functions.SPG(G189, "SP_TOTAL_REV", "CY2022")</f>
        <v>17071284</v>
      </c>
      <c r="I189" s="4">
        <f>_xll.SNL.Clients.Office.Excel.Functions.SPG(G189,"IQ_AVG_DILUT_SHARES_OUT","CY2022")</f>
        <v>164427000</v>
      </c>
      <c r="J189" s="5">
        <f>_xll.SNL.Clients.Office.Excel.Functions.SPG(G189, "IQ_DILUT_EPS_NORM", "CY2022")</f>
        <v>7.2060000000000004</v>
      </c>
      <c r="K189">
        <f t="shared" si="14"/>
        <v>1184860.9620000001</v>
      </c>
      <c r="L189">
        <f t="shared" si="15"/>
        <v>6.9406669234721885E-2</v>
      </c>
      <c r="M189" t="s">
        <v>705</v>
      </c>
      <c r="N189" s="4" cm="1">
        <f t="array" ref="N189">_xll.SNL.Clients.Office.Excel.Functions.SPG(M189, "SP_TOTAL_REV", "CY2022")</f>
        <v>1923982</v>
      </c>
      <c r="O189" s="4">
        <f>_xll.SNL.Clients.Office.Excel.Functions.SPG(M189,"IQ_AVG_DILUT_SHARES_OUT","CY2022")</f>
        <v>38804250</v>
      </c>
      <c r="P189" s="5">
        <f>_xll.SNL.Clients.Office.Excel.Functions.SPG(M189, "IQ_DILUT_EPS_NORM", "CY2022")</f>
        <v>8.68</v>
      </c>
      <c r="Q189">
        <f t="shared" si="16"/>
        <v>336820.89</v>
      </c>
      <c r="R189">
        <f t="shared" si="17"/>
        <v>0.17506447045762383</v>
      </c>
    </row>
    <row r="190" spans="1:18" x14ac:dyDescent="0.3">
      <c r="A190" t="s">
        <v>702</v>
      </c>
      <c r="B190" s="4" cm="1">
        <f t="array" ref="B190">_xll.SNL.Clients.Office.Excel.Functions.SPG(A190, "SP_TOTAL_REV", "CY2023")</f>
        <v>2699936</v>
      </c>
      <c r="C190" s="4">
        <f>_xll.SNL.Clients.Office.Excel.Functions.SPG(A190,"IQ_AVG_DILUT_SHARES_OUT","CY2023")</f>
        <v>169220882</v>
      </c>
      <c r="D190" s="5">
        <f>_xll.SNL.Clients.Office.Excel.Functions.SPG(A190, "IQ_DILUT_EPS_NORM", "CY2023")</f>
        <v>3.1880000000000002</v>
      </c>
      <c r="E190">
        <f t="shared" si="12"/>
        <v>539476.17181600002</v>
      </c>
      <c r="F190">
        <f t="shared" si="13"/>
        <v>0.19981072581572304</v>
      </c>
      <c r="G190" t="s">
        <v>702</v>
      </c>
      <c r="H190" s="4" cm="1">
        <f t="array" ref="H190">_xll.SNL.Clients.Office.Excel.Functions.SPG(G190, "SP_TOTAL_REV", "CY2022")</f>
        <v>2035020</v>
      </c>
      <c r="I190" s="4">
        <f>_xll.SNL.Clients.Office.Excel.Functions.SPG(G190,"IQ_AVG_DILUT_SHARES_OUT","CY2022")</f>
        <v>141681388</v>
      </c>
      <c r="J190" s="5">
        <f>_xll.SNL.Clients.Office.Excel.Functions.SPG(G190, "IQ_DILUT_EPS_NORM", "CY2022")</f>
        <v>3.673</v>
      </c>
      <c r="K190">
        <f t="shared" si="14"/>
        <v>520395.73812400002</v>
      </c>
      <c r="L190">
        <f t="shared" si="15"/>
        <v>0.2557202082161355</v>
      </c>
      <c r="M190" t="s">
        <v>707</v>
      </c>
      <c r="N190" s="4" cm="1">
        <f t="array" ref="N190">_xll.SNL.Clients.Office.Excel.Functions.SPG(M190, "SP_TOTAL_REV", "CY2022")</f>
        <v>6980600</v>
      </c>
      <c r="O190" s="4">
        <f>_xll.SNL.Clients.Office.Excel.Functions.SPG(M190,"IQ_AVG_DILUT_SHARES_OUT","CY2022")</f>
        <v>575623114</v>
      </c>
      <c r="P190" s="5">
        <f>_xll.SNL.Clients.Office.Excel.Functions.SPG(M190, "IQ_DILUT_EPS_NORM", "CY2022")</f>
        <v>1.5640000000000001</v>
      </c>
      <c r="Q190">
        <f t="shared" si="16"/>
        <v>900274.55029599997</v>
      </c>
      <c r="R190">
        <f t="shared" si="17"/>
        <v>0.1289680758525055</v>
      </c>
    </row>
    <row r="191" spans="1:18" x14ac:dyDescent="0.3">
      <c r="A191" t="s">
        <v>703</v>
      </c>
      <c r="B191" s="4" cm="1">
        <f t="array" ref="B191">_xll.SNL.Clients.Office.Excel.Functions.SPG(A191, "SP_TOTAL_REV", "CY2023")</f>
        <v>338293000</v>
      </c>
      <c r="C191" s="4">
        <f>_xll.SNL.Clients.Office.Excel.Functions.SPG(A191,"IQ_AVG_DILUT_SHARES_OUT","CY2023")</f>
        <v>4052000000</v>
      </c>
      <c r="D191" s="5">
        <f>_xll.SNL.Clients.Office.Excel.Functions.SPG(A191, "IQ_DILUT_EPS_NORM", "CY2023")</f>
        <v>8.24</v>
      </c>
      <c r="E191">
        <f t="shared" si="12"/>
        <v>33388480</v>
      </c>
      <c r="F191">
        <f t="shared" si="13"/>
        <v>9.8696928402302153E-2</v>
      </c>
      <c r="G191" t="s">
        <v>703</v>
      </c>
      <c r="H191" s="4" cm="1">
        <f t="array" ref="H191">_xll.SNL.Clients.Office.Excel.Functions.SPG(G191, "SP_TOTAL_REV", "CY2022")</f>
        <v>401183000</v>
      </c>
      <c r="I191" s="4">
        <f>_xll.SNL.Clients.Office.Excel.Functions.SPG(G191,"IQ_AVG_DILUT_SHARES_OUT","CY2022")</f>
        <v>4205000000</v>
      </c>
      <c r="J191" s="5">
        <f>_xll.SNL.Clients.Office.Excel.Functions.SPG(G191, "IQ_DILUT_EPS_NORM", "CY2022")</f>
        <v>11.65</v>
      </c>
      <c r="K191">
        <f t="shared" si="14"/>
        <v>48988250</v>
      </c>
      <c r="L191">
        <f t="shared" si="15"/>
        <v>0.12210948619457954</v>
      </c>
      <c r="M191" t="s">
        <v>708</v>
      </c>
      <c r="N191" s="4" cm="1">
        <f t="array" ref="N191">_xll.SNL.Clients.Office.Excel.Functions.SPG(M191, "SP_TOTAL_REV", "CY2022")</f>
        <v>1080620</v>
      </c>
      <c r="O191" s="4">
        <f>_xll.SNL.Clients.Office.Excel.Functions.SPG(M191,"IQ_AVG_DILUT_SHARES_OUT","CY2022")</f>
        <v>80508000</v>
      </c>
      <c r="P191" s="5">
        <f>_xll.SNL.Clients.Office.Excel.Functions.SPG(M191, "IQ_DILUT_EPS_NORM", "CY2022")</f>
        <v>1.673</v>
      </c>
      <c r="Q191">
        <f t="shared" si="16"/>
        <v>134689.88399999999</v>
      </c>
      <c r="R191">
        <f t="shared" si="17"/>
        <v>0.12464130221539486</v>
      </c>
    </row>
    <row r="192" spans="1:18" x14ac:dyDescent="0.3">
      <c r="A192" t="s">
        <v>704</v>
      </c>
      <c r="B192" s="4" cm="1">
        <f t="array" ref="B192">_xll.SNL.Clients.Office.Excel.Functions.SPG(A192, "SP_TOTAL_REV", "CY2023")</f>
        <v>2805388</v>
      </c>
      <c r="C192" s="4">
        <f>_xll.SNL.Clients.Office.Excel.Functions.SPG(A192,"IQ_AVG_DILUT_SHARES_OUT","CY2023")</f>
        <v>60086500</v>
      </c>
      <c r="D192" s="5">
        <f>_xll.SNL.Clients.Office.Excel.Functions.SPG(A192, "IQ_DILUT_EPS_NORM", "CY2023")</f>
        <v>6.5490000000000004</v>
      </c>
      <c r="E192">
        <f t="shared" si="12"/>
        <v>393506.48849999998</v>
      </c>
      <c r="F192">
        <f t="shared" si="13"/>
        <v>0.1402681156759778</v>
      </c>
      <c r="G192" t="s">
        <v>704</v>
      </c>
      <c r="H192" s="4" cm="1">
        <f t="array" ref="H192">_xll.SNL.Clients.Office.Excel.Functions.SPG(G192, "SP_TOTAL_REV", "CY2022")</f>
        <v>2709123</v>
      </c>
      <c r="I192" s="4">
        <f>_xll.SNL.Clients.Office.Excel.Functions.SPG(G192,"IQ_AVG_DILUT_SHARES_OUT","CY2022")</f>
        <v>60723250</v>
      </c>
      <c r="J192" s="5">
        <f>_xll.SNL.Clients.Office.Excel.Functions.SPG(G192, "IQ_DILUT_EPS_NORM", "CY2022")</f>
        <v>3.8940000000000001</v>
      </c>
      <c r="K192">
        <f t="shared" si="14"/>
        <v>236456.33549999999</v>
      </c>
      <c r="L192">
        <f t="shared" si="15"/>
        <v>8.7281506044576046E-2</v>
      </c>
      <c r="M192" t="s">
        <v>709</v>
      </c>
      <c r="N192" s="4" cm="1">
        <f t="array" ref="N192">_xll.SNL.Clients.Office.Excel.Functions.SPG(M192, "SP_TOTAL_REV", "CY2022")</f>
        <v>94091000</v>
      </c>
      <c r="O192" s="4">
        <f>_xll.SNL.Clients.Office.Excel.Functions.SPG(M192,"IQ_AVG_DILUT_SHARES_OUT","CY2022")</f>
        <v>260500000</v>
      </c>
      <c r="P192" s="5">
        <f>_xll.SNL.Clients.Office.Excel.Functions.SPG(M192, "IQ_DILUT_EPS_NORM", "CY2022")</f>
        <v>11.332000000000001</v>
      </c>
      <c r="Q192">
        <f t="shared" si="16"/>
        <v>2951986</v>
      </c>
      <c r="R192">
        <f t="shared" si="17"/>
        <v>3.1373733938421314E-2</v>
      </c>
    </row>
    <row r="193" spans="1:18" x14ac:dyDescent="0.3">
      <c r="A193" t="s">
        <v>705</v>
      </c>
      <c r="B193" s="4" cm="1">
        <f t="array" ref="B193">_xll.SNL.Clients.Office.Excel.Functions.SPG(A193, "SP_TOTAL_REV", "CY2023")</f>
        <v>2122909</v>
      </c>
      <c r="C193" s="4">
        <f>_xll.SNL.Clients.Office.Excel.Functions.SPG(A193,"IQ_AVG_DILUT_SHARES_OUT","CY2023")</f>
        <v>38830250</v>
      </c>
      <c r="D193" s="5">
        <f>_xll.SNL.Clients.Office.Excel.Functions.SPG(A193, "IQ_DILUT_EPS_NORM", "CY2023")</f>
        <v>10.103999999999999</v>
      </c>
      <c r="E193">
        <f t="shared" si="12"/>
        <v>392340.84599999996</v>
      </c>
      <c r="F193">
        <f t="shared" si="13"/>
        <v>0.18481284218965577</v>
      </c>
      <c r="G193" t="s">
        <v>705</v>
      </c>
      <c r="H193" s="4" cm="1">
        <f t="array" ref="H193">_xll.SNL.Clients.Office.Excel.Functions.SPG(G193, "SP_TOTAL_REV", "CY2022")</f>
        <v>1923982</v>
      </c>
      <c r="I193" s="4">
        <f>_xll.SNL.Clients.Office.Excel.Functions.SPG(G193,"IQ_AVG_DILUT_SHARES_OUT","CY2022")</f>
        <v>38804250</v>
      </c>
      <c r="J193" s="5">
        <f>_xll.SNL.Clients.Office.Excel.Functions.SPG(G193, "IQ_DILUT_EPS_NORM", "CY2022")</f>
        <v>8.68</v>
      </c>
      <c r="K193">
        <f t="shared" si="14"/>
        <v>336820.89</v>
      </c>
      <c r="L193">
        <f t="shared" si="15"/>
        <v>0.17506447045762383</v>
      </c>
      <c r="M193" t="s">
        <v>710</v>
      </c>
      <c r="N193" s="4" cm="1">
        <f t="array" ref="N193">_xll.SNL.Clients.Office.Excel.Functions.SPG(M193, "SP_TOTAL_REV", "CY2022")</f>
        <v>9719000</v>
      </c>
      <c r="O193" s="4">
        <f>_xll.SNL.Clients.Office.Excel.Functions.SPG(M193,"IQ_AVG_DILUT_SHARES_OUT","CY2022")</f>
        <v>604000000</v>
      </c>
      <c r="P193" s="5">
        <f>_xll.SNL.Clients.Office.Excel.Functions.SPG(M193, "IQ_DILUT_EPS_NORM", "CY2022")</f>
        <v>1.099</v>
      </c>
      <c r="Q193">
        <f t="shared" si="16"/>
        <v>663796</v>
      </c>
      <c r="R193">
        <f t="shared" si="17"/>
        <v>6.8298796172445719E-2</v>
      </c>
    </row>
    <row r="194" spans="1:18" x14ac:dyDescent="0.3">
      <c r="A194" t="s">
        <v>706</v>
      </c>
      <c r="B194" s="4" cm="1">
        <f t="array" ref="B194">_xll.SNL.Clients.Office.Excel.Functions.SPG(A194, "SP_TOTAL_REV", "CY2023")</f>
        <v>1550746</v>
      </c>
      <c r="C194" s="4">
        <f>_xll.SNL.Clients.Office.Excel.Functions.SPG(A194,"IQ_AVG_DILUT_SHARES_OUT","CY2023")</f>
        <v>25311000</v>
      </c>
      <c r="D194" s="5">
        <f>_xll.SNL.Clients.Office.Excel.Functions.SPG(A194, "IQ_DILUT_EPS_NORM", "CY2023")</f>
        <v>13.832000000000001</v>
      </c>
      <c r="E194">
        <f t="shared" si="12"/>
        <v>350101.75199999998</v>
      </c>
      <c r="F194">
        <f t="shared" si="13"/>
        <v>0.22576344030550458</v>
      </c>
      <c r="G194" t="s">
        <v>706</v>
      </c>
      <c r="H194" s="4" cm="1">
        <f t="array" ref="H194">_xll.SNL.Clients.Office.Excel.Functions.SPG(G194, "SP_TOTAL_REV", "CY2022")</f>
        <v>1399779</v>
      </c>
      <c r="I194" s="4">
        <f>_xll.SNL.Clients.Office.Excel.Functions.SPG(G194,"IQ_AVG_DILUT_SHARES_OUT","CY2022")</f>
        <v>25826750</v>
      </c>
      <c r="J194" s="5">
        <f>_xll.SNL.Clients.Office.Excel.Functions.SPG(G194, "IQ_DILUT_EPS_NORM", "CY2022")</f>
        <v>11.894</v>
      </c>
      <c r="K194">
        <f t="shared" si="14"/>
        <v>307183.36450000003</v>
      </c>
      <c r="L194">
        <f t="shared" si="15"/>
        <v>0.21945133088866173</v>
      </c>
      <c r="M194" t="s">
        <v>711</v>
      </c>
      <c r="N194" s="4" cm="1">
        <f t="array" ref="N194">_xll.SNL.Clients.Office.Excel.Functions.SPG(M194, "SP_TOTAL_REV", "CY2022")</f>
        <v>8387000</v>
      </c>
      <c r="O194" s="4">
        <f>_xll.SNL.Clients.Office.Excel.Functions.SPG(M194,"IQ_AVG_DILUT_SHARES_OUT","CY2022")</f>
        <v>694952038</v>
      </c>
      <c r="P194" s="5">
        <f>_xll.SNL.Clients.Office.Excel.Functions.SPG(M194, "IQ_DILUT_EPS_NORM", "CY2022")</f>
        <v>2.7930000000000001</v>
      </c>
      <c r="Q194">
        <f t="shared" si="16"/>
        <v>1941001.042134</v>
      </c>
      <c r="R194">
        <f t="shared" si="17"/>
        <v>0.23142971767425777</v>
      </c>
    </row>
    <row r="195" spans="1:18" x14ac:dyDescent="0.3">
      <c r="A195" t="s">
        <v>707</v>
      </c>
      <c r="B195" s="4" cm="1">
        <f t="array" ref="B195">_xll.SNL.Clients.Office.Excel.Functions.SPG(A195, "SP_TOTAL_REV", "CY2023")</f>
        <v>7346700</v>
      </c>
      <c r="C195" s="4">
        <f>_xll.SNL.Clients.Office.Excel.Functions.SPG(A195,"IQ_AVG_DILUT_SHARES_OUT","CY2023")</f>
        <v>573008608</v>
      </c>
      <c r="D195" s="5">
        <f>_xll.SNL.Clients.Office.Excel.Functions.SPG(A195, "IQ_DILUT_EPS_NORM", "CY2023")</f>
        <v>1.66</v>
      </c>
      <c r="E195">
        <f t="shared" si="12"/>
        <v>951194.28928000003</v>
      </c>
      <c r="F195">
        <f t="shared" si="13"/>
        <v>0.12947231944682647</v>
      </c>
      <c r="G195" t="s">
        <v>707</v>
      </c>
      <c r="H195" s="4" cm="1">
        <f t="array" ref="H195">_xll.SNL.Clients.Office.Excel.Functions.SPG(G195, "SP_TOTAL_REV", "CY2022")</f>
        <v>6980600</v>
      </c>
      <c r="I195" s="4">
        <f>_xll.SNL.Clients.Office.Excel.Functions.SPG(G195,"IQ_AVG_DILUT_SHARES_OUT","CY2022")</f>
        <v>575623114</v>
      </c>
      <c r="J195" s="5">
        <f>_xll.SNL.Clients.Office.Excel.Functions.SPG(G195, "IQ_DILUT_EPS_NORM", "CY2022")</f>
        <v>1.5640000000000001</v>
      </c>
      <c r="K195">
        <f t="shared" si="14"/>
        <v>900274.55029599997</v>
      </c>
      <c r="L195">
        <f t="shared" si="15"/>
        <v>0.1289680758525055</v>
      </c>
      <c r="M195" t="s">
        <v>713</v>
      </c>
      <c r="N195" s="4" cm="1">
        <f t="array" ref="N195">_xll.SNL.Clients.Office.Excel.Functions.SPG(M195, "SP_TOTAL_REV", "CY2022")</f>
        <v>12268000</v>
      </c>
      <c r="O195" s="4">
        <f>_xll.SNL.Clients.Office.Excel.Functions.SPG(M195,"IQ_AVG_DILUT_SHARES_OUT","CY2022")</f>
        <v>572000000</v>
      </c>
      <c r="P195" s="5">
        <f>_xll.SNL.Clients.Office.Excel.Functions.SPG(M195, "IQ_DILUT_EPS_NORM", "CY2022")</f>
        <v>1.7010000000000001</v>
      </c>
      <c r="Q195">
        <f t="shared" si="16"/>
        <v>972972</v>
      </c>
      <c r="R195">
        <f t="shared" si="17"/>
        <v>7.9309748940332575E-2</v>
      </c>
    </row>
    <row r="196" spans="1:18" x14ac:dyDescent="0.3">
      <c r="A196" t="s">
        <v>708</v>
      </c>
      <c r="B196" s="4" cm="1">
        <f t="array" ref="B196">_xll.SNL.Clients.Office.Excel.Functions.SPG(A196, "SP_TOTAL_REV", "CY2023")</f>
        <v>1140710</v>
      </c>
      <c r="C196" s="4">
        <f>_xll.SNL.Clients.Office.Excel.Functions.SPG(A196,"IQ_AVG_DILUT_SHARES_OUT","CY2023")</f>
        <v>81313000</v>
      </c>
      <c r="D196" s="5">
        <f>_xll.SNL.Clients.Office.Excel.Functions.SPG(A196, "IQ_DILUT_EPS_NORM", "CY2023")</f>
        <v>1.698</v>
      </c>
      <c r="E196">
        <f t="shared" si="12"/>
        <v>138069.47399999999</v>
      </c>
      <c r="F196">
        <f t="shared" si="13"/>
        <v>0.12103819024993205</v>
      </c>
      <c r="G196" t="s">
        <v>708</v>
      </c>
      <c r="H196" s="4" cm="1">
        <f t="array" ref="H196">_xll.SNL.Clients.Office.Excel.Functions.SPG(G196, "SP_TOTAL_REV", "CY2022")</f>
        <v>1080620</v>
      </c>
      <c r="I196" s="4">
        <f>_xll.SNL.Clients.Office.Excel.Functions.SPG(G196,"IQ_AVG_DILUT_SHARES_OUT","CY2022")</f>
        <v>80508000</v>
      </c>
      <c r="J196" s="5">
        <f>_xll.SNL.Clients.Office.Excel.Functions.SPG(G196, "IQ_DILUT_EPS_NORM", "CY2022")</f>
        <v>1.673</v>
      </c>
      <c r="K196">
        <f t="shared" si="14"/>
        <v>134689.88399999999</v>
      </c>
      <c r="L196">
        <f t="shared" si="15"/>
        <v>0.12464130221539486</v>
      </c>
      <c r="M196" t="s">
        <v>714</v>
      </c>
      <c r="N196" s="4" cm="1">
        <f t="array" ref="N196">_xll.SNL.Clients.Office.Excel.Functions.SPG(M196, "SP_TOTAL_REV", "CY2022")</f>
        <v>17737000</v>
      </c>
      <c r="O196" s="4">
        <f>_xll.SNL.Clients.Office.Excel.Functions.SPG(M196,"IQ_AVG_DILUT_SHARES_OUT","CY2022")</f>
        <v>647900000</v>
      </c>
      <c r="P196" s="5">
        <f>_xll.SNL.Clients.Office.Excel.Functions.SPG(M196, "IQ_DILUT_EPS_NORM", "CY2022")</f>
        <v>2.903</v>
      </c>
      <c r="Q196">
        <f t="shared" si="16"/>
        <v>1880853.7</v>
      </c>
      <c r="R196">
        <f t="shared" si="17"/>
        <v>0.10604125274849185</v>
      </c>
    </row>
    <row r="197" spans="1:18" x14ac:dyDescent="0.3">
      <c r="A197" t="s">
        <v>709</v>
      </c>
      <c r="B197" s="4" cm="1">
        <f t="array" ref="B197">_xll.SNL.Clients.Office.Excel.Functions.SPG(A197, "SP_TOTAL_REV", "CY2023")</f>
        <v>87945000</v>
      </c>
      <c r="C197" s="4">
        <f>_xll.SNL.Clients.Office.Excel.Functions.SPG(A197,"IQ_AVG_DILUT_SHARES_OUT","CY2023")</f>
        <v>253500000</v>
      </c>
      <c r="D197" s="5">
        <f>_xll.SNL.Clients.Office.Excel.Functions.SPG(A197, "IQ_DILUT_EPS_NORM", "CY2023")</f>
        <v>15.808999999999999</v>
      </c>
      <c r="E197">
        <f t="shared" ref="E197:E260" si="18">C197*D197/1000</f>
        <v>4007581.5</v>
      </c>
      <c r="F197">
        <f t="shared" ref="F197:F260" si="19">E197/B197</f>
        <v>4.5569179600886918E-2</v>
      </c>
      <c r="G197" t="s">
        <v>709</v>
      </c>
      <c r="H197" s="4" cm="1">
        <f t="array" ref="H197">_xll.SNL.Clients.Office.Excel.Functions.SPG(G197, "SP_TOTAL_REV", "CY2022")</f>
        <v>94091000</v>
      </c>
      <c r="I197" s="4">
        <f>_xll.SNL.Clients.Office.Excel.Functions.SPG(G197,"IQ_AVG_DILUT_SHARES_OUT","CY2022")</f>
        <v>260500000</v>
      </c>
      <c r="J197" s="5">
        <f>_xll.SNL.Clients.Office.Excel.Functions.SPG(G197, "IQ_DILUT_EPS_NORM", "CY2022")</f>
        <v>11.332000000000001</v>
      </c>
      <c r="K197">
        <f t="shared" ref="K197:K260" si="20">I197*J197/1000</f>
        <v>2951986</v>
      </c>
      <c r="L197">
        <f t="shared" ref="L197:L260" si="21">K197/H197</f>
        <v>3.1373733938421314E-2</v>
      </c>
      <c r="M197" t="s">
        <v>715</v>
      </c>
      <c r="N197" s="4" cm="1">
        <f t="array" ref="N197">_xll.SNL.Clients.Office.Excel.Functions.SPG(M197, "SP_TOTAL_REV", "CY2022")</f>
        <v>5802300</v>
      </c>
      <c r="O197" s="4">
        <f>_xll.SNL.Clients.Office.Excel.Functions.SPG(M197,"IQ_AVG_DILUT_SHARES_OUT","CY2022")</f>
        <v>126707000</v>
      </c>
      <c r="P197" s="5">
        <f>_xll.SNL.Clients.Office.Excel.Functions.SPG(M197, "IQ_DILUT_EPS_NORM", "CY2022")</f>
        <v>5.3150000000000004</v>
      </c>
      <c r="Q197">
        <f t="shared" ref="Q197:Q260" si="22">O197*P197/1000</f>
        <v>673447.70499999996</v>
      </c>
      <c r="R197">
        <f t="shared" ref="R197:R260" si="23">Q197/N197</f>
        <v>0.11606564724333453</v>
      </c>
    </row>
    <row r="198" spans="1:18" x14ac:dyDescent="0.3">
      <c r="A198" t="s">
        <v>710</v>
      </c>
      <c r="B198" s="4" cm="1">
        <f t="array" ref="B198">_xll.SNL.Clients.Office.Excel.Functions.SPG(A198, "SP_TOTAL_REV", "CY2023")</f>
        <v>9821000</v>
      </c>
      <c r="C198" s="4">
        <f>_xll.SNL.Clients.Office.Excel.Functions.SPG(A198,"IQ_AVG_DILUT_SHARES_OUT","CY2023")</f>
        <v>591000000</v>
      </c>
      <c r="D198" s="5">
        <f>_xll.SNL.Clients.Office.Excel.Functions.SPG(A198, "IQ_DILUT_EPS_NORM", "CY2023")</f>
        <v>0.86599999999999999</v>
      </c>
      <c r="E198">
        <f t="shared" si="18"/>
        <v>511806</v>
      </c>
      <c r="F198">
        <f t="shared" si="19"/>
        <v>5.2113430404235821E-2</v>
      </c>
      <c r="G198" t="s">
        <v>710</v>
      </c>
      <c r="H198" s="4" cm="1">
        <f t="array" ref="H198">_xll.SNL.Clients.Office.Excel.Functions.SPG(G198, "SP_TOTAL_REV", "CY2022")</f>
        <v>9719000</v>
      </c>
      <c r="I198" s="4">
        <f>_xll.SNL.Clients.Office.Excel.Functions.SPG(G198,"IQ_AVG_DILUT_SHARES_OUT","CY2022")</f>
        <v>604000000</v>
      </c>
      <c r="J198" s="5">
        <f>_xll.SNL.Clients.Office.Excel.Functions.SPG(G198, "IQ_DILUT_EPS_NORM", "CY2022")</f>
        <v>1.099</v>
      </c>
      <c r="K198">
        <f t="shared" si="20"/>
        <v>663796</v>
      </c>
      <c r="L198">
        <f t="shared" si="21"/>
        <v>6.8298796172445719E-2</v>
      </c>
      <c r="M198" t="s">
        <v>716</v>
      </c>
      <c r="N198" s="4" cm="1">
        <f t="array" ref="N198">_xll.SNL.Clients.Office.Excel.Functions.SPG(M198, "SP_TOTAL_REV", "CY2022")</f>
        <v>158057000</v>
      </c>
      <c r="O198" s="4">
        <f>_xll.SNL.Clients.Office.Excel.Functions.SPG(M198,"IQ_AVG_DILUT_SHARES_OUT","CY2022")</f>
        <v>4014000000</v>
      </c>
      <c r="P198" s="5">
        <f>_xll.SNL.Clients.Office.Excel.Functions.SPG(M198, "IQ_DILUT_EPS_NORM", "CY2022")</f>
        <v>0.85699999999999998</v>
      </c>
      <c r="Q198">
        <f t="shared" si="22"/>
        <v>3439998</v>
      </c>
      <c r="R198">
        <f t="shared" si="23"/>
        <v>2.1764287567143499E-2</v>
      </c>
    </row>
    <row r="199" spans="1:18" x14ac:dyDescent="0.3">
      <c r="A199" t="s">
        <v>711</v>
      </c>
      <c r="B199" s="4" cm="1">
        <f t="array" ref="B199">_xll.SNL.Clients.Office.Excel.Functions.SPG(A199, "SP_TOTAL_REV", "CY2023")</f>
        <v>8708000</v>
      </c>
      <c r="C199" s="4">
        <f>_xll.SNL.Clients.Office.Excel.Functions.SPG(A199,"IQ_AVG_DILUT_SHARES_OUT","CY2023")</f>
        <v>687678291</v>
      </c>
      <c r="D199" s="5">
        <f>_xll.SNL.Clients.Office.Excel.Functions.SPG(A199, "IQ_DILUT_EPS_NORM", "CY2023")</f>
        <v>2.7189999999999999</v>
      </c>
      <c r="E199">
        <f t="shared" si="18"/>
        <v>1869797.2732289999</v>
      </c>
      <c r="F199">
        <f t="shared" si="19"/>
        <v>0.21472178149161689</v>
      </c>
      <c r="G199" t="s">
        <v>711</v>
      </c>
      <c r="H199" s="4" cm="1">
        <f t="array" ref="H199">_xll.SNL.Clients.Office.Excel.Functions.SPG(G199, "SP_TOTAL_REV", "CY2022")</f>
        <v>8387000</v>
      </c>
      <c r="I199" s="4">
        <f>_xll.SNL.Clients.Office.Excel.Functions.SPG(G199,"IQ_AVG_DILUT_SHARES_OUT","CY2022")</f>
        <v>694952038</v>
      </c>
      <c r="J199" s="5">
        <f>_xll.SNL.Clients.Office.Excel.Functions.SPG(G199, "IQ_DILUT_EPS_NORM", "CY2022")</f>
        <v>2.7930000000000001</v>
      </c>
      <c r="K199">
        <f t="shared" si="20"/>
        <v>1941001.042134</v>
      </c>
      <c r="L199">
        <f t="shared" si="21"/>
        <v>0.23142971767425777</v>
      </c>
      <c r="M199" t="s">
        <v>717</v>
      </c>
      <c r="N199" s="4" cm="1">
        <f t="array" ref="N199">_xll.SNL.Clients.Office.Excel.Functions.SPG(M199, "SP_TOTAL_REV", "CY2022")</f>
        <v>4417400</v>
      </c>
      <c r="O199" s="4">
        <f>_xll.SNL.Clients.Office.Excel.Functions.SPG(M199,"IQ_AVG_DILUT_SHARES_OUT","CY2022")</f>
        <v>805300000</v>
      </c>
      <c r="P199" s="5">
        <f>_xll.SNL.Clients.Office.Excel.Functions.SPG(M199, "IQ_DILUT_EPS_NORM", "CY2022")</f>
        <v>0.69599999999999995</v>
      </c>
      <c r="Q199">
        <f t="shared" si="22"/>
        <v>560488.80000000005</v>
      </c>
      <c r="R199">
        <f t="shared" si="23"/>
        <v>0.12688205731878482</v>
      </c>
    </row>
    <row r="200" spans="1:18" x14ac:dyDescent="0.3">
      <c r="A200" t="s">
        <v>712</v>
      </c>
      <c r="B200" s="4" cm="1">
        <f t="array" ref="B200">_xll.SNL.Clients.Office.Excel.Functions.SPG(A200, "SP_TOTAL_REV", "CY2023")</f>
        <v>3318602</v>
      </c>
      <c r="C200" s="4">
        <f>_xll.SNL.Clients.Office.Excel.Functions.SPG(A200,"IQ_AVG_DILUT_SHARES_OUT","CY2023")</f>
        <v>107372000</v>
      </c>
      <c r="D200" s="5">
        <f>_xll.SNL.Clients.Office.Excel.Functions.SPG(A200, "IQ_DILUT_EPS_NORM", "CY2023")</f>
        <v>5.3550000000000004</v>
      </c>
      <c r="E200">
        <f t="shared" si="18"/>
        <v>574977.06000000006</v>
      </c>
      <c r="F200">
        <f t="shared" si="19"/>
        <v>0.1732588180203592</v>
      </c>
      <c r="G200" t="s">
        <v>712</v>
      </c>
      <c r="H200" s="4" cm="1">
        <f t="array" ref="H200">_xll.SNL.Clients.Office.Excel.Functions.SPG(G200, "SP_TOTAL_REV", "CY2022")</f>
        <v>2619319</v>
      </c>
      <c r="I200" s="4">
        <f>_xll.SNL.Clients.Office.Excel.Functions.SPG(G200,"IQ_AVG_DILUT_SHARES_OUT","CY2022")</f>
        <v>106551000</v>
      </c>
      <c r="J200" s="5">
        <f>_xll.SNL.Clients.Office.Excel.Functions.SPG(G200, "IQ_DILUT_EPS_NORM", "CY2022")</f>
        <v>-1.0980000000000001</v>
      </c>
      <c r="K200">
        <f t="shared" si="20"/>
        <v>-116992.99800000002</v>
      </c>
      <c r="L200">
        <f t="shared" si="21"/>
        <v>-4.4665425631624109E-2</v>
      </c>
      <c r="M200" t="s">
        <v>718</v>
      </c>
      <c r="N200" s="4" cm="1">
        <f t="array" ref="N200">_xll.SNL.Clients.Office.Excel.Functions.SPG(M200, "SP_TOTAL_REV", "CY2022")</f>
        <v>5825700</v>
      </c>
      <c r="O200" s="4">
        <f>_xll.SNL.Clients.Office.Excel.Functions.SPG(M200,"IQ_AVG_DILUT_SHARES_OUT","CY2022")</f>
        <v>360800000</v>
      </c>
      <c r="P200" s="5">
        <f>_xll.SNL.Clients.Office.Excel.Functions.SPG(M200, "IQ_DILUT_EPS_NORM", "CY2022")</f>
        <v>1.5569999999999999</v>
      </c>
      <c r="Q200">
        <f t="shared" si="22"/>
        <v>561765.6</v>
      </c>
      <c r="R200">
        <f t="shared" si="23"/>
        <v>9.6428858334620726E-2</v>
      </c>
    </row>
    <row r="201" spans="1:18" x14ac:dyDescent="0.3">
      <c r="A201" t="s">
        <v>713</v>
      </c>
      <c r="B201" s="4" cm="1">
        <f t="array" ref="B201">_xll.SNL.Clients.Office.Excel.Functions.SPG(A201, "SP_TOTAL_REV", "CY2023")</f>
        <v>12685000</v>
      </c>
      <c r="C201" s="4">
        <f>_xll.SNL.Clients.Office.Excel.Functions.SPG(A201,"IQ_AVG_DILUT_SHARES_OUT","CY2023")</f>
        <v>574000000</v>
      </c>
      <c r="D201" s="5">
        <f>_xll.SNL.Clients.Office.Excel.Functions.SPG(A201, "IQ_DILUT_EPS_NORM", "CY2023")</f>
        <v>1.504</v>
      </c>
      <c r="E201">
        <f t="shared" si="18"/>
        <v>863296</v>
      </c>
      <c r="F201">
        <f t="shared" si="19"/>
        <v>6.805644461962948E-2</v>
      </c>
      <c r="G201" t="s">
        <v>713</v>
      </c>
      <c r="H201" s="4" cm="1">
        <f t="array" ref="H201">_xll.SNL.Clients.Office.Excel.Functions.SPG(G201, "SP_TOTAL_REV", "CY2022")</f>
        <v>12268000</v>
      </c>
      <c r="I201" s="4">
        <f>_xll.SNL.Clients.Office.Excel.Functions.SPG(G201,"IQ_AVG_DILUT_SHARES_OUT","CY2022")</f>
        <v>572000000</v>
      </c>
      <c r="J201" s="5">
        <f>_xll.SNL.Clients.Office.Excel.Functions.SPG(G201, "IQ_DILUT_EPS_NORM", "CY2022")</f>
        <v>1.7010000000000001</v>
      </c>
      <c r="K201">
        <f t="shared" si="20"/>
        <v>972972</v>
      </c>
      <c r="L201">
        <f t="shared" si="21"/>
        <v>7.9309748940332575E-2</v>
      </c>
      <c r="M201" t="s">
        <v>719</v>
      </c>
      <c r="N201" s="4" cm="1">
        <f t="array" ref="N201">_xll.SNL.Clients.Office.Excel.Functions.SPG(M201, "SP_TOTAL_REV", "CY2022")</f>
        <v>14285000</v>
      </c>
      <c r="O201" s="4">
        <f>_xll.SNL.Clients.Office.Excel.Functions.SPG(M201,"IQ_AVG_DILUT_SHARES_OUT","CY2022")</f>
        <v>556000000</v>
      </c>
      <c r="P201" s="5">
        <f>_xll.SNL.Clients.Office.Excel.Functions.SPG(M201, "IQ_DILUT_EPS_NORM", "CY2022")</f>
        <v>2.633</v>
      </c>
      <c r="Q201">
        <f t="shared" si="22"/>
        <v>1463948</v>
      </c>
      <c r="R201">
        <f t="shared" si="23"/>
        <v>0.10248148407420371</v>
      </c>
    </row>
    <row r="202" spans="1:18" x14ac:dyDescent="0.3">
      <c r="A202" t="s">
        <v>714</v>
      </c>
      <c r="B202" s="4" cm="1">
        <f t="array" ref="B202">_xll.SNL.Clients.Office.Excel.Functions.SPG(A202, "SP_TOTAL_REV", "CY2023")</f>
        <v>19093000</v>
      </c>
      <c r="C202" s="4">
        <f>_xll.SNL.Clients.Office.Excel.Functions.SPG(A202,"IQ_AVG_DILUT_SHARES_OUT","CY2023")</f>
        <v>615900000</v>
      </c>
      <c r="D202" s="5">
        <f>_xll.SNL.Clients.Office.Excel.Functions.SPG(A202, "IQ_DILUT_EPS_NORM", "CY2023")</f>
        <v>3.6720000000000002</v>
      </c>
      <c r="E202">
        <f t="shared" si="18"/>
        <v>2261584.7999999998</v>
      </c>
      <c r="F202">
        <f t="shared" si="19"/>
        <v>0.11845099251034409</v>
      </c>
      <c r="G202" t="s">
        <v>714</v>
      </c>
      <c r="H202" s="4" cm="1">
        <f t="array" ref="H202">_xll.SNL.Clients.Office.Excel.Functions.SPG(G202, "SP_TOTAL_REV", "CY2022")</f>
        <v>17737000</v>
      </c>
      <c r="I202" s="4">
        <f>_xll.SNL.Clients.Office.Excel.Functions.SPG(G202,"IQ_AVG_DILUT_SHARES_OUT","CY2022")</f>
        <v>647900000</v>
      </c>
      <c r="J202" s="5">
        <f>_xll.SNL.Clients.Office.Excel.Functions.SPG(G202, "IQ_DILUT_EPS_NORM", "CY2022")</f>
        <v>2.903</v>
      </c>
      <c r="K202">
        <f t="shared" si="20"/>
        <v>1880853.7</v>
      </c>
      <c r="L202">
        <f t="shared" si="21"/>
        <v>0.10604125274849185</v>
      </c>
      <c r="M202" t="s">
        <v>720</v>
      </c>
      <c r="N202" s="4" t="str" cm="1">
        <f t="array" ref="N202">_xll.SNL.Clients.Office.Excel.Functions.SPG(M202, "SP_TOTAL_REV", "CY2022")</f>
        <v>#INVALID COMPANY ID</v>
      </c>
      <c r="O202" s="4" t="str">
        <f>_xll.SNL.Clients.Office.Excel.Functions.SPG(M202,"IQ_AVG_DILUT_SHARES_OUT","CY2022")</f>
        <v>#INVALID COMPANY ID</v>
      </c>
      <c r="P202" s="5" t="str">
        <f>_xll.SNL.Clients.Office.Excel.Functions.SPG(M202, "IQ_DILUT_EPS_NORM", "CY2022")</f>
        <v>#INVALID COMPANY ID</v>
      </c>
      <c r="Q202" t="e">
        <f t="shared" si="22"/>
        <v>#VALUE!</v>
      </c>
      <c r="R202" t="e">
        <f t="shared" si="23"/>
        <v>#VALUE!</v>
      </c>
    </row>
    <row r="203" spans="1:18" x14ac:dyDescent="0.3">
      <c r="A203" t="s">
        <v>715</v>
      </c>
      <c r="B203" s="4" cm="1">
        <f t="array" ref="B203">_xll.SNL.Clients.Office.Excel.Functions.SPG(A203, "SP_TOTAL_REV", "CY2023")</f>
        <v>4486800</v>
      </c>
      <c r="C203" s="4">
        <f>_xll.SNL.Clients.Office.Excel.Functions.SPG(A203,"IQ_AVG_DILUT_SHARES_OUT","CY2023")</f>
        <v>125533000</v>
      </c>
      <c r="D203" s="5">
        <f>_xll.SNL.Clients.Office.Excel.Functions.SPG(A203, "IQ_DILUT_EPS_NORM", "CY2023")</f>
        <v>1.83</v>
      </c>
      <c r="E203">
        <f t="shared" si="18"/>
        <v>229725.39</v>
      </c>
      <c r="F203">
        <f t="shared" si="19"/>
        <v>5.1200274137469914E-2</v>
      </c>
      <c r="G203" t="s">
        <v>715</v>
      </c>
      <c r="H203" s="4" cm="1">
        <f t="array" ref="H203">_xll.SNL.Clients.Office.Excel.Functions.SPG(G203, "SP_TOTAL_REV", "CY2022")</f>
        <v>5802300</v>
      </c>
      <c r="I203" s="4">
        <f>_xll.SNL.Clients.Office.Excel.Functions.SPG(G203,"IQ_AVG_DILUT_SHARES_OUT","CY2022")</f>
        <v>126707000</v>
      </c>
      <c r="J203" s="5">
        <f>_xll.SNL.Clients.Office.Excel.Functions.SPG(G203, "IQ_DILUT_EPS_NORM", "CY2022")</f>
        <v>5.3150000000000004</v>
      </c>
      <c r="K203">
        <f t="shared" si="20"/>
        <v>673447.70499999996</v>
      </c>
      <c r="L203">
        <f t="shared" si="21"/>
        <v>0.11606564724333453</v>
      </c>
      <c r="M203" t="s">
        <v>721</v>
      </c>
      <c r="N203" s="4" cm="1">
        <f t="array" ref="N203">_xll.SNL.Clients.Office.Excel.Functions.SPG(M203, "SP_TOTAL_REV", "CY2022")</f>
        <v>8018400</v>
      </c>
      <c r="O203" s="4">
        <f>_xll.SNL.Clients.Office.Excel.Functions.SPG(M203,"IQ_AVG_DILUT_SHARES_OUT","CY2022")</f>
        <v>489200000</v>
      </c>
      <c r="P203" s="5">
        <f>_xll.SNL.Clients.Office.Excel.Functions.SPG(M203, "IQ_DILUT_EPS_NORM", "CY2022")</f>
        <v>2.343</v>
      </c>
      <c r="Q203">
        <f t="shared" si="22"/>
        <v>1146195.6000000001</v>
      </c>
      <c r="R203">
        <f t="shared" si="23"/>
        <v>0.14294567494762048</v>
      </c>
    </row>
    <row r="204" spans="1:18" x14ac:dyDescent="0.3">
      <c r="A204" t="s">
        <v>716</v>
      </c>
      <c r="B204" s="4" cm="1">
        <f t="array" ref="B204">_xll.SNL.Clients.Office.Excel.Functions.SPG(A204, "SP_TOTAL_REV", "CY2023")</f>
        <v>176191000</v>
      </c>
      <c r="C204" s="4">
        <f>_xll.SNL.Clients.Office.Excel.Functions.SPG(A204,"IQ_AVG_DILUT_SHARES_OUT","CY2023")</f>
        <v>4041000000</v>
      </c>
      <c r="D204" s="5">
        <f>_xll.SNL.Clients.Office.Excel.Functions.SPG(A204, "IQ_DILUT_EPS_NORM", "CY2023")</f>
        <v>1.0189999999999999</v>
      </c>
      <c r="E204">
        <f t="shared" si="18"/>
        <v>4117778.9999999995</v>
      </c>
      <c r="F204">
        <f t="shared" si="19"/>
        <v>2.3371108626433809E-2</v>
      </c>
      <c r="G204" t="s">
        <v>716</v>
      </c>
      <c r="H204" s="4" cm="1">
        <f t="array" ref="H204">_xll.SNL.Clients.Office.Excel.Functions.SPG(G204, "SP_TOTAL_REV", "CY2022")</f>
        <v>158057000</v>
      </c>
      <c r="I204" s="4">
        <f>_xll.SNL.Clients.Office.Excel.Functions.SPG(G204,"IQ_AVG_DILUT_SHARES_OUT","CY2022")</f>
        <v>4014000000</v>
      </c>
      <c r="J204" s="5">
        <f>_xll.SNL.Clients.Office.Excel.Functions.SPG(G204, "IQ_DILUT_EPS_NORM", "CY2022")</f>
        <v>0.85699999999999998</v>
      </c>
      <c r="K204">
        <f t="shared" si="20"/>
        <v>3439998</v>
      </c>
      <c r="L204">
        <f t="shared" si="21"/>
        <v>2.1764287567143499E-2</v>
      </c>
      <c r="M204" t="s">
        <v>722</v>
      </c>
      <c r="N204" s="4" cm="1">
        <f t="array" ref="N204">_xll.SNL.Clients.Office.Excel.Functions.SPG(M204, "SP_TOTAL_REV", "CY2022")</f>
        <v>22780000</v>
      </c>
      <c r="O204" s="4">
        <f>_xll.SNL.Clients.Office.Excel.Functions.SPG(M204,"IQ_AVG_DILUT_SHARES_OUT","CY2022")</f>
        <v>1451000000</v>
      </c>
      <c r="P204" s="5">
        <f>_xll.SNL.Clients.Office.Excel.Functions.SPG(M204, "IQ_DILUT_EPS_NORM", "CY2022")</f>
        <v>2.1829999999999998</v>
      </c>
      <c r="Q204">
        <f t="shared" si="22"/>
        <v>3167532.9999999995</v>
      </c>
      <c r="R204">
        <f t="shared" si="23"/>
        <v>0.13904885864793676</v>
      </c>
    </row>
    <row r="205" spans="1:18" x14ac:dyDescent="0.3">
      <c r="A205" t="s">
        <v>717</v>
      </c>
      <c r="B205" s="4" cm="1">
        <f t="array" ref="B205">_xll.SNL.Clients.Office.Excel.Functions.SPG(A205, "SP_TOTAL_REV", "CY2023")</f>
        <v>5304800</v>
      </c>
      <c r="C205" s="4">
        <f>_xll.SNL.Clients.Office.Excel.Functions.SPG(A205,"IQ_AVG_DILUT_SHARES_OUT","CY2023")</f>
        <v>788200000</v>
      </c>
      <c r="D205" s="5">
        <f>_xll.SNL.Clients.Office.Excel.Functions.SPG(A205, "IQ_DILUT_EPS_NORM", "CY2023")</f>
        <v>1.024</v>
      </c>
      <c r="E205">
        <f t="shared" si="18"/>
        <v>807116.80000000005</v>
      </c>
      <c r="F205">
        <f t="shared" si="19"/>
        <v>0.15214839390740462</v>
      </c>
      <c r="G205" t="s">
        <v>717</v>
      </c>
      <c r="H205" s="4" cm="1">
        <f t="array" ref="H205">_xll.SNL.Clients.Office.Excel.Functions.SPG(G205, "SP_TOTAL_REV", "CY2022")</f>
        <v>4417400</v>
      </c>
      <c r="I205" s="4">
        <f>_xll.SNL.Clients.Office.Excel.Functions.SPG(G205,"IQ_AVG_DILUT_SHARES_OUT","CY2022")</f>
        <v>805300000</v>
      </c>
      <c r="J205" s="5">
        <f>_xll.SNL.Clients.Office.Excel.Functions.SPG(G205, "IQ_DILUT_EPS_NORM", "CY2022")</f>
        <v>0.69599999999999995</v>
      </c>
      <c r="K205">
        <f t="shared" si="20"/>
        <v>560488.80000000005</v>
      </c>
      <c r="L205">
        <f t="shared" si="21"/>
        <v>0.12688205731878482</v>
      </c>
      <c r="M205" t="s">
        <v>723</v>
      </c>
      <c r="N205" s="4" cm="1">
        <f t="array" ref="N205">_xll.SNL.Clients.Office.Excel.Functions.SPG(M205, "SP_TOTAL_REV", "CY2022")</f>
        <v>4860286</v>
      </c>
      <c r="O205" s="4">
        <f>_xll.SNL.Clients.Office.Excel.Functions.SPG(M205,"IQ_AVG_DILUT_SHARES_OUT","CY2022")</f>
        <v>193042000</v>
      </c>
      <c r="P205" s="5">
        <f>_xll.SNL.Clients.Office.Excel.Functions.SPG(M205, "IQ_DILUT_EPS_NORM", "CY2022")</f>
        <v>3.4510000000000001</v>
      </c>
      <c r="Q205">
        <f t="shared" si="22"/>
        <v>666187.94200000004</v>
      </c>
      <c r="R205">
        <f t="shared" si="23"/>
        <v>0.13706764210994993</v>
      </c>
    </row>
    <row r="206" spans="1:18" x14ac:dyDescent="0.3">
      <c r="A206" t="s">
        <v>718</v>
      </c>
      <c r="B206" s="4" cm="1">
        <f t="array" ref="B206">_xll.SNL.Clients.Office.Excel.Functions.SPG(A206, "SP_TOTAL_REV", "CY2023")</f>
        <v>6065300</v>
      </c>
      <c r="C206" s="4">
        <f>_xll.SNL.Clients.Office.Excel.Functions.SPG(A206,"IQ_AVG_DILUT_SHARES_OUT","CY2023")</f>
        <v>355600000</v>
      </c>
      <c r="D206" s="5">
        <f>_xll.SNL.Clients.Office.Excel.Functions.SPG(A206, "IQ_DILUT_EPS_NORM", "CY2023")</f>
        <v>1.7410000000000001</v>
      </c>
      <c r="E206">
        <f t="shared" si="18"/>
        <v>619099.6</v>
      </c>
      <c r="F206">
        <f t="shared" si="19"/>
        <v>0.10207237894250902</v>
      </c>
      <c r="G206" t="s">
        <v>718</v>
      </c>
      <c r="H206" s="4" cm="1">
        <f t="array" ref="H206">_xll.SNL.Clients.Office.Excel.Functions.SPG(G206, "SP_TOTAL_REV", "CY2022")</f>
        <v>5825700</v>
      </c>
      <c r="I206" s="4">
        <f>_xll.SNL.Clients.Office.Excel.Functions.SPG(G206,"IQ_AVG_DILUT_SHARES_OUT","CY2022")</f>
        <v>360800000</v>
      </c>
      <c r="J206" s="5">
        <f>_xll.SNL.Clients.Office.Excel.Functions.SPG(G206, "IQ_DILUT_EPS_NORM", "CY2022")</f>
        <v>1.5569999999999999</v>
      </c>
      <c r="K206">
        <f t="shared" si="20"/>
        <v>561765.6</v>
      </c>
      <c r="L206">
        <f t="shared" si="21"/>
        <v>9.6428858334620726E-2</v>
      </c>
      <c r="M206" t="s">
        <v>724</v>
      </c>
      <c r="N206" s="4" cm="1">
        <f t="array" ref="N206">_xll.SNL.Clients.Office.Excel.Functions.SPG(M206, "SP_TOTAL_REV", "CY2022")</f>
        <v>5475846</v>
      </c>
      <c r="O206" s="4">
        <f>_xll.SNL.Clients.Office.Excel.Functions.SPG(M206,"IQ_AVG_DILUT_SHARES_OUT","CY2022")</f>
        <v>81067000</v>
      </c>
      <c r="P206" s="5">
        <f>_xll.SNL.Clients.Office.Excel.Functions.SPG(M206, "IQ_DILUT_EPS_NORM", "CY2022")</f>
        <v>8.4049999999999994</v>
      </c>
      <c r="Q206">
        <f t="shared" si="22"/>
        <v>681368.13500000001</v>
      </c>
      <c r="R206">
        <f t="shared" si="23"/>
        <v>0.12443157367829556</v>
      </c>
    </row>
    <row r="207" spans="1:18" x14ac:dyDescent="0.3">
      <c r="A207" t="s">
        <v>719</v>
      </c>
      <c r="B207" s="4" cm="1">
        <f t="array" ref="B207">_xll.SNL.Clients.Office.Excel.Functions.SPG(A207, "SP_TOTAL_REV", "CY2023")</f>
        <v>14557000</v>
      </c>
      <c r="C207" s="4">
        <f>_xll.SNL.Clients.Office.Excel.Functions.SPG(A207,"IQ_AVG_DILUT_SHARES_OUT","CY2023")</f>
        <v>501500000</v>
      </c>
      <c r="D207" s="5">
        <f>_xll.SNL.Clients.Office.Excel.Functions.SPG(A207, "IQ_DILUT_EPS_NORM", "CY2023")</f>
        <v>2.6219999999999999</v>
      </c>
      <c r="E207">
        <f t="shared" si="18"/>
        <v>1314933</v>
      </c>
      <c r="F207">
        <f t="shared" si="19"/>
        <v>9.03299443566669E-2</v>
      </c>
      <c r="G207" t="s">
        <v>719</v>
      </c>
      <c r="H207" s="4" cm="1">
        <f t="array" ref="H207">_xll.SNL.Clients.Office.Excel.Functions.SPG(G207, "SP_TOTAL_REV", "CY2022")</f>
        <v>14285000</v>
      </c>
      <c r="I207" s="4">
        <f>_xll.SNL.Clients.Office.Excel.Functions.SPG(G207,"IQ_AVG_DILUT_SHARES_OUT","CY2022")</f>
        <v>556000000</v>
      </c>
      <c r="J207" s="5">
        <f>_xll.SNL.Clients.Office.Excel.Functions.SPG(G207, "IQ_DILUT_EPS_NORM", "CY2022")</f>
        <v>2.633</v>
      </c>
      <c r="K207">
        <f t="shared" si="20"/>
        <v>1463948</v>
      </c>
      <c r="L207">
        <f t="shared" si="21"/>
        <v>0.10248148407420371</v>
      </c>
      <c r="M207" t="s">
        <v>725</v>
      </c>
      <c r="N207" s="4" cm="1">
        <f t="array" ref="N207">_xll.SNL.Clients.Office.Excel.Functions.SPG(M207, "SP_TOTAL_REV", "CY2022")</f>
        <v>58100000</v>
      </c>
      <c r="O207" s="4">
        <f>_xll.SNL.Clients.Office.Excel.Functions.SPG(M207,"IQ_AVG_DILUT_SHARES_OUT","CY2022")</f>
        <v>1096000000</v>
      </c>
      <c r="P207" s="5">
        <f>_xll.SNL.Clients.Office.Excel.Functions.SPG(M207, "IQ_DILUT_EPS_NORM", "CY2022")</f>
        <v>1.046</v>
      </c>
      <c r="Q207">
        <f t="shared" si="22"/>
        <v>1146416</v>
      </c>
      <c r="R207">
        <f t="shared" si="23"/>
        <v>1.9731772805507745E-2</v>
      </c>
    </row>
    <row r="208" spans="1:18" x14ac:dyDescent="0.3">
      <c r="A208" t="s">
        <v>720</v>
      </c>
      <c r="B208" s="4" t="str" cm="1">
        <f t="array" ref="B208">_xll.SNL.Clients.Office.Excel.Functions.SPG(A208, "SP_TOTAL_REV", "CY2023")</f>
        <v>#INVALID COMPANY ID</v>
      </c>
      <c r="C208" s="4" t="str">
        <f>_xll.SNL.Clients.Office.Excel.Functions.SPG(A208,"IQ_AVG_DILUT_SHARES_OUT","CY2023")</f>
        <v>#INVALID COMPANY ID</v>
      </c>
      <c r="D208" s="5" t="str">
        <f>_xll.SNL.Clients.Office.Excel.Functions.SPG(A208, "IQ_DILUT_EPS_NORM", "CY2023")</f>
        <v>#INVALID COMPANY ID</v>
      </c>
      <c r="E208" t="e">
        <f t="shared" si="18"/>
        <v>#VALUE!</v>
      </c>
      <c r="F208" t="e">
        <f t="shared" si="19"/>
        <v>#VALUE!</v>
      </c>
      <c r="G208" t="s">
        <v>720</v>
      </c>
      <c r="H208" s="4" t="str" cm="1">
        <f t="array" ref="H208">_xll.SNL.Clients.Office.Excel.Functions.SPG(G208, "SP_TOTAL_REV", "CY2022")</f>
        <v>#INVALID COMPANY ID</v>
      </c>
      <c r="I208" s="4" t="str">
        <f>_xll.SNL.Clients.Office.Excel.Functions.SPG(G208,"IQ_AVG_DILUT_SHARES_OUT","CY2022")</f>
        <v>#INVALID COMPANY ID</v>
      </c>
      <c r="J208" s="5" t="str">
        <f>_xll.SNL.Clients.Office.Excel.Functions.SPG(G208, "IQ_DILUT_EPS_NORM", "CY2022")</f>
        <v>#INVALID COMPANY ID</v>
      </c>
      <c r="K208" t="e">
        <f t="shared" si="20"/>
        <v>#VALUE!</v>
      </c>
      <c r="L208" t="e">
        <f t="shared" si="21"/>
        <v>#VALUE!</v>
      </c>
      <c r="M208" t="s">
        <v>727</v>
      </c>
      <c r="N208" s="4" cm="1">
        <f t="array" ref="N208">_xll.SNL.Clients.Office.Excel.Functions.SPG(M208, "SP_TOTAL_REV", "CY2022")</f>
        <v>3107000</v>
      </c>
      <c r="O208" s="4">
        <f>_xll.SNL.Clients.Office.Excel.Functions.SPG(M208,"IQ_AVG_DILUT_SHARES_OUT","CY2022")</f>
        <v>610500000</v>
      </c>
      <c r="P208" s="5">
        <f>_xll.SNL.Clients.Office.Excel.Functions.SPG(M208, "IQ_DILUT_EPS_NORM", "CY2022")</f>
        <v>0.97899999999999998</v>
      </c>
      <c r="Q208">
        <f t="shared" si="22"/>
        <v>597679.5</v>
      </c>
      <c r="R208">
        <f t="shared" si="23"/>
        <v>0.19236546507885419</v>
      </c>
    </row>
    <row r="209" spans="1:18" x14ac:dyDescent="0.3">
      <c r="A209" t="s">
        <v>721</v>
      </c>
      <c r="B209" s="4" cm="1">
        <f t="array" ref="B209">_xll.SNL.Clients.Office.Excel.Functions.SPG(A209, "SP_TOTAL_REV", "CY2023")</f>
        <v>7873400</v>
      </c>
      <c r="C209" s="4">
        <f>_xll.SNL.Clients.Office.Excel.Functions.SPG(A209,"IQ_AVG_DILUT_SHARES_OUT","CY2023")</f>
        <v>490225000</v>
      </c>
      <c r="D209" s="5">
        <f>_xll.SNL.Clients.Office.Excel.Functions.SPG(A209, "IQ_DILUT_EPS_NORM", "CY2023")</f>
        <v>1.859</v>
      </c>
      <c r="E209">
        <f t="shared" si="18"/>
        <v>911328.27500000002</v>
      </c>
      <c r="F209">
        <f t="shared" si="19"/>
        <v>0.11574774239845556</v>
      </c>
      <c r="G209" t="s">
        <v>721</v>
      </c>
      <c r="H209" s="4" cm="1">
        <f t="array" ref="H209">_xll.SNL.Clients.Office.Excel.Functions.SPG(G209, "SP_TOTAL_REV", "CY2022")</f>
        <v>8018400</v>
      </c>
      <c r="I209" s="4">
        <f>_xll.SNL.Clients.Office.Excel.Functions.SPG(G209,"IQ_AVG_DILUT_SHARES_OUT","CY2022")</f>
        <v>489200000</v>
      </c>
      <c r="J209" s="5">
        <f>_xll.SNL.Clients.Office.Excel.Functions.SPG(G209, "IQ_DILUT_EPS_NORM", "CY2022")</f>
        <v>2.343</v>
      </c>
      <c r="K209">
        <f t="shared" si="20"/>
        <v>1146195.6000000001</v>
      </c>
      <c r="L209">
        <f t="shared" si="21"/>
        <v>0.14294567494762048</v>
      </c>
      <c r="M209" t="s">
        <v>728</v>
      </c>
      <c r="N209" s="4" cm="1">
        <f t="array" ref="N209">_xll.SNL.Clients.Office.Excel.Functions.SPG(M209, "SP_TOTAL_REV", "CY2022")</f>
        <v>4564737</v>
      </c>
      <c r="O209" s="4">
        <f>_xll.SNL.Clients.Office.Excel.Functions.SPG(M209,"IQ_AVG_DILUT_SHARES_OUT","CY2022")</f>
        <v>64681357</v>
      </c>
      <c r="P209" s="5">
        <f>_xll.SNL.Clients.Office.Excel.Functions.SPG(M209, "IQ_DILUT_EPS_NORM", "CY2022")</f>
        <v>4.819</v>
      </c>
      <c r="Q209">
        <f t="shared" si="22"/>
        <v>311699.45938300004</v>
      </c>
      <c r="R209">
        <f t="shared" si="23"/>
        <v>6.8284209886133651E-2</v>
      </c>
    </row>
    <row r="210" spans="1:18" x14ac:dyDescent="0.3">
      <c r="A210" t="s">
        <v>722</v>
      </c>
      <c r="B210" s="4" cm="1">
        <f t="array" ref="B210">_xll.SNL.Clients.Office.Excel.Functions.SPG(A210, "SP_TOTAL_REV", "CY2023")</f>
        <v>22855000</v>
      </c>
      <c r="C210" s="4">
        <f>_xll.SNL.Clients.Office.Excel.Functions.SPG(A210,"IQ_AVG_DILUT_SHARES_OUT","CY2023")</f>
        <v>1443000000</v>
      </c>
      <c r="D210" s="5">
        <f>_xll.SNL.Clients.Office.Excel.Functions.SPG(A210, "IQ_DILUT_EPS_NORM", "CY2023")</f>
        <v>1.2849999999999999</v>
      </c>
      <c r="E210">
        <f t="shared" si="18"/>
        <v>1854255</v>
      </c>
      <c r="F210">
        <f t="shared" si="19"/>
        <v>8.1131262305841167E-2</v>
      </c>
      <c r="G210" t="s">
        <v>722</v>
      </c>
      <c r="H210" s="4" cm="1">
        <f t="array" ref="H210">_xll.SNL.Clients.Office.Excel.Functions.SPG(G210, "SP_TOTAL_REV", "CY2022")</f>
        <v>22780000</v>
      </c>
      <c r="I210" s="4">
        <f>_xll.SNL.Clients.Office.Excel.Functions.SPG(G210,"IQ_AVG_DILUT_SHARES_OUT","CY2022")</f>
        <v>1451000000</v>
      </c>
      <c r="J210" s="5">
        <f>_xll.SNL.Clients.Office.Excel.Functions.SPG(G210, "IQ_DILUT_EPS_NORM", "CY2022")</f>
        <v>2.1829999999999998</v>
      </c>
      <c r="K210">
        <f t="shared" si="20"/>
        <v>3167532.9999999995</v>
      </c>
      <c r="L210">
        <f t="shared" si="21"/>
        <v>0.13904885864793676</v>
      </c>
      <c r="M210" t="s">
        <v>729</v>
      </c>
      <c r="N210" s="4" cm="1">
        <f t="array" ref="N210">_xll.SNL.Clients.Office.Excel.Functions.SPG(M210, "SP_TOTAL_REV", "CY2022")</f>
        <v>39407000</v>
      </c>
      <c r="O210" s="4">
        <f>_xll.SNL.Clients.Office.Excel.Functions.SPG(M210,"IQ_AVG_DILUT_SHARES_OUT","CY2022")</f>
        <v>278169000</v>
      </c>
      <c r="P210" s="5">
        <f>_xll.SNL.Clients.Office.Excel.Functions.SPG(M210, "IQ_DILUT_EPS_NORM", "CY2022")</f>
        <v>9.0679999999999996</v>
      </c>
      <c r="Q210">
        <f t="shared" si="22"/>
        <v>2522436.4920000001</v>
      </c>
      <c r="R210">
        <f t="shared" si="23"/>
        <v>6.4009858451544138E-2</v>
      </c>
    </row>
    <row r="211" spans="1:18" x14ac:dyDescent="0.3">
      <c r="A211" t="s">
        <v>723</v>
      </c>
      <c r="B211" s="4" cm="1">
        <f t="array" ref="B211">_xll.SNL.Clients.Office.Excel.Functions.SPG(A211, "SP_TOTAL_REV", "CY2023")</f>
        <v>5228252</v>
      </c>
      <c r="C211" s="4">
        <f>_xll.SNL.Clients.Office.Excel.Functions.SPG(A211,"IQ_AVG_DILUT_SHARES_OUT","CY2023")</f>
        <v>192058000</v>
      </c>
      <c r="D211" s="5">
        <f>_xll.SNL.Clients.Office.Excel.Functions.SPG(A211, "IQ_DILUT_EPS_NORM", "CY2023")</f>
        <v>3.9060000000000001</v>
      </c>
      <c r="E211">
        <f t="shared" si="18"/>
        <v>750178.54799999995</v>
      </c>
      <c r="F211">
        <f t="shared" si="19"/>
        <v>0.14348553742245018</v>
      </c>
      <c r="G211" t="s">
        <v>723</v>
      </c>
      <c r="H211" s="4" cm="1">
        <f t="array" ref="H211">_xll.SNL.Clients.Office.Excel.Functions.SPG(G211, "SP_TOTAL_REV", "CY2022")</f>
        <v>4860286</v>
      </c>
      <c r="I211" s="4">
        <f>_xll.SNL.Clients.Office.Excel.Functions.SPG(G211,"IQ_AVG_DILUT_SHARES_OUT","CY2022")</f>
        <v>193042000</v>
      </c>
      <c r="J211" s="5">
        <f>_xll.SNL.Clients.Office.Excel.Functions.SPG(G211, "IQ_DILUT_EPS_NORM", "CY2022")</f>
        <v>3.4510000000000001</v>
      </c>
      <c r="K211">
        <f t="shared" si="20"/>
        <v>666187.94200000004</v>
      </c>
      <c r="L211">
        <f t="shared" si="21"/>
        <v>0.13706764210994993</v>
      </c>
      <c r="M211" t="s">
        <v>730</v>
      </c>
      <c r="N211" s="4" cm="1">
        <f t="array" ref="N211">_xll.SNL.Clients.Office.Excel.Functions.SPG(M211, "SP_TOTAL_REV", "CY2022")</f>
        <v>19367200</v>
      </c>
      <c r="O211" s="4">
        <f>_xll.SNL.Clients.Office.Excel.Functions.SPG(M211,"IQ_AVG_DILUT_SHARES_OUT","CY2022")</f>
        <v>607700000</v>
      </c>
      <c r="P211" s="5">
        <f>_xll.SNL.Clients.Office.Excel.Functions.SPG(M211, "IQ_DILUT_EPS_NORM", "CY2022")</f>
        <v>3.0009999999999999</v>
      </c>
      <c r="Q211">
        <f t="shared" si="22"/>
        <v>1823707.7</v>
      </c>
      <c r="R211">
        <f t="shared" si="23"/>
        <v>9.4164757941261515E-2</v>
      </c>
    </row>
    <row r="212" spans="1:18" x14ac:dyDescent="0.3">
      <c r="A212" t="s">
        <v>724</v>
      </c>
      <c r="B212" s="4" cm="1">
        <f t="array" ref="B212">_xll.SNL.Clients.Office.Excel.Functions.SPG(A212, "SP_TOTAL_REV", "CY2023")</f>
        <v>5906956</v>
      </c>
      <c r="C212" s="4">
        <f>_xll.SNL.Clients.Office.Excel.Functions.SPG(A212,"IQ_AVG_DILUT_SHARES_OUT","CY2023")</f>
        <v>79680000</v>
      </c>
      <c r="D212" s="5">
        <f>_xll.SNL.Clients.Office.Excel.Functions.SPG(A212, "IQ_DILUT_EPS_NORM", "CY2023")</f>
        <v>8.1470000000000002</v>
      </c>
      <c r="E212">
        <f t="shared" si="18"/>
        <v>649152.96</v>
      </c>
      <c r="F212">
        <f t="shared" si="19"/>
        <v>0.10989635947855375</v>
      </c>
      <c r="G212" t="s">
        <v>724</v>
      </c>
      <c r="H212" s="4" cm="1">
        <f t="array" ref="H212">_xll.SNL.Clients.Office.Excel.Functions.SPG(G212, "SP_TOTAL_REV", "CY2022")</f>
        <v>5475846</v>
      </c>
      <c r="I212" s="4">
        <f>_xll.SNL.Clients.Office.Excel.Functions.SPG(G212,"IQ_AVG_DILUT_SHARES_OUT","CY2022")</f>
        <v>81067000</v>
      </c>
      <c r="J212" s="5">
        <f>_xll.SNL.Clients.Office.Excel.Functions.SPG(G212, "IQ_DILUT_EPS_NORM", "CY2022")</f>
        <v>8.4049999999999994</v>
      </c>
      <c r="K212">
        <f t="shared" si="20"/>
        <v>681368.13500000001</v>
      </c>
      <c r="L212">
        <f t="shared" si="21"/>
        <v>0.12443157367829556</v>
      </c>
      <c r="M212" t="s">
        <v>731</v>
      </c>
      <c r="N212" s="4" cm="1">
        <f t="array" ref="N212">_xll.SNL.Clients.Office.Excel.Functions.SPG(M212, "SP_TOTAL_REV", "CY2022")</f>
        <v>156735000</v>
      </c>
      <c r="O212" s="4">
        <f>_xll.SNL.Clients.Office.Excel.Functions.SPG(M212,"IQ_AVG_DILUT_SHARES_OUT","CY2022")</f>
        <v>1454000000</v>
      </c>
      <c r="P212" s="5">
        <f>_xll.SNL.Clients.Office.Excel.Functions.SPG(M212, "IQ_DILUT_EPS_NORM", "CY2022")</f>
        <v>5.524</v>
      </c>
      <c r="Q212">
        <f t="shared" si="22"/>
        <v>8031896</v>
      </c>
      <c r="R212">
        <f t="shared" si="23"/>
        <v>5.1245069703639901E-2</v>
      </c>
    </row>
    <row r="213" spans="1:18" x14ac:dyDescent="0.3">
      <c r="A213" t="s">
        <v>725</v>
      </c>
      <c r="B213" s="4" cm="1">
        <f t="array" ref="B213">_xll.SNL.Clients.Office.Excel.Functions.SPG(A213, "SP_TOTAL_REV", "CY2023")</f>
        <v>67954000</v>
      </c>
      <c r="C213" s="4">
        <f>_xll.SNL.Clients.Office.Excel.Functions.SPG(A213,"IQ_AVG_DILUT_SHARES_OUT","CY2023")</f>
        <v>1099000000</v>
      </c>
      <c r="D213" s="5">
        <f>_xll.SNL.Clients.Office.Excel.Functions.SPG(A213, "IQ_DILUT_EPS_NORM", "CY2023")</f>
        <v>3.4420000000000002</v>
      </c>
      <c r="E213">
        <f t="shared" si="18"/>
        <v>3782758</v>
      </c>
      <c r="F213">
        <f t="shared" si="19"/>
        <v>5.5666450834387968E-2</v>
      </c>
      <c r="G213" t="s">
        <v>725</v>
      </c>
      <c r="H213" s="4" cm="1">
        <f t="array" ref="H213">_xll.SNL.Clients.Office.Excel.Functions.SPG(G213, "SP_TOTAL_REV", "CY2022")</f>
        <v>58100000</v>
      </c>
      <c r="I213" s="4">
        <f>_xll.SNL.Clients.Office.Excel.Functions.SPG(G213,"IQ_AVG_DILUT_SHARES_OUT","CY2022")</f>
        <v>1096000000</v>
      </c>
      <c r="J213" s="5">
        <f>_xll.SNL.Clients.Office.Excel.Functions.SPG(G213, "IQ_DILUT_EPS_NORM", "CY2022")</f>
        <v>1.046</v>
      </c>
      <c r="K213">
        <f t="shared" si="20"/>
        <v>1146416</v>
      </c>
      <c r="L213">
        <f t="shared" si="21"/>
        <v>1.9731772805507745E-2</v>
      </c>
      <c r="M213" t="s">
        <v>732</v>
      </c>
      <c r="N213" s="4" cm="1">
        <f t="array" ref="N213">_xll.SNL.Clients.Office.Excel.Functions.SPG(M213, "SP_TOTAL_REV", "CY2022")</f>
        <v>22095973</v>
      </c>
      <c r="O213" s="4">
        <f>_xll.SNL.Clients.Office.Excel.Functions.SPG(M213,"IQ_AVG_DILUT_SHARES_OUT","CY2022")</f>
        <v>142322000</v>
      </c>
      <c r="P213" s="5">
        <f>_xll.SNL.Clients.Office.Excel.Functions.SPG(M213, "IQ_DILUT_EPS_NORM", "CY2022")</f>
        <v>7.0259999999999998</v>
      </c>
      <c r="Q213">
        <f t="shared" si="22"/>
        <v>999954.37199999997</v>
      </c>
      <c r="R213">
        <f t="shared" si="23"/>
        <v>4.5255050411221992E-2</v>
      </c>
    </row>
    <row r="214" spans="1:18" x14ac:dyDescent="0.3">
      <c r="A214" t="s">
        <v>726</v>
      </c>
      <c r="B214" s="4" cm="1">
        <f t="array" ref="B214">_xll.SNL.Clients.Office.Excel.Functions.SPG(A214, "SP_TOTAL_REV", "CY2023")</f>
        <v>19552000</v>
      </c>
      <c r="C214" s="4">
        <f>_xll.SNL.Clients.Office.Excel.Functions.SPG(A214,"IQ_AVG_DILUT_SHARES_OUT","CY2023")</f>
        <v>458000000</v>
      </c>
      <c r="D214" s="5">
        <f>_xll.SNL.Clients.Office.Excel.Functions.SPG(A214, "IQ_DILUT_EPS_NORM", "CY2023")</f>
        <v>2.722</v>
      </c>
      <c r="E214">
        <f t="shared" si="18"/>
        <v>1246676</v>
      </c>
      <c r="F214">
        <f t="shared" si="19"/>
        <v>6.3762070376432084E-2</v>
      </c>
      <c r="G214" t="s">
        <v>726</v>
      </c>
      <c r="H214" s="4" cm="1">
        <f t="array" ref="H214">_xll.SNL.Clients.Office.Excel.Functions.SPG(G214, "SP_TOTAL_REV", "CY2022")</f>
        <v>18341000</v>
      </c>
      <c r="I214" s="4">
        <f>_xll.SNL.Clients.Office.Excel.Functions.SPG(G214,"IQ_AVG_DILUT_SHARES_OUT","CY2022")</f>
        <v>454000000</v>
      </c>
      <c r="J214" s="5">
        <f>_xll.SNL.Clients.Office.Excel.Functions.SPG(G214, "IQ_DILUT_EPS_NORM", "CY2022")</f>
        <v>3.3460000000000001</v>
      </c>
      <c r="K214">
        <f t="shared" si="20"/>
        <v>1519084</v>
      </c>
      <c r="L214">
        <f t="shared" si="21"/>
        <v>8.2824491576249937E-2</v>
      </c>
      <c r="M214" t="s">
        <v>733</v>
      </c>
      <c r="N214" s="4" cm="1">
        <f t="array" ref="N214">_xll.SNL.Clients.Office.Excel.Functions.SPG(M214, "SP_TOTAL_REV", "CY2022")</f>
        <v>27281000</v>
      </c>
      <c r="O214" s="4">
        <f>_xll.SNL.Clients.Office.Excel.Functions.SPG(M214,"IQ_AVG_DILUT_SHARES_OUT","CY2022")</f>
        <v>1262000000</v>
      </c>
      <c r="P214" s="5">
        <f>_xll.SNL.Clients.Office.Excel.Functions.SPG(M214, "IQ_DILUT_EPS_NORM", "CY2022")</f>
        <v>5.0199999999999996</v>
      </c>
      <c r="Q214">
        <f t="shared" si="22"/>
        <v>6335239.9999999991</v>
      </c>
      <c r="R214">
        <f t="shared" si="23"/>
        <v>0.23222169275319815</v>
      </c>
    </row>
    <row r="215" spans="1:18" x14ac:dyDescent="0.3">
      <c r="A215" t="s">
        <v>727</v>
      </c>
      <c r="B215" s="4" cm="1">
        <f t="array" ref="B215">_xll.SNL.Clients.Office.Excel.Functions.SPG(A215, "SP_TOTAL_REV", "CY2023")</f>
        <v>3786000</v>
      </c>
      <c r="C215" s="4">
        <f>_xll.SNL.Clients.Office.Excel.Functions.SPG(A215,"IQ_AVG_DILUT_SHARES_OUT","CY2023")</f>
        <v>644499517</v>
      </c>
      <c r="D215" s="5">
        <f>_xll.SNL.Clients.Office.Excel.Functions.SPG(A215, "IQ_DILUT_EPS_NORM", "CY2023")</f>
        <v>0.71099999999999997</v>
      </c>
      <c r="E215">
        <f t="shared" si="18"/>
        <v>458239.15658699995</v>
      </c>
      <c r="F215">
        <f t="shared" si="19"/>
        <v>0.12103517078367669</v>
      </c>
      <c r="G215" t="s">
        <v>727</v>
      </c>
      <c r="H215" s="4" cm="1">
        <f t="array" ref="H215">_xll.SNL.Clients.Office.Excel.Functions.SPG(G215, "SP_TOTAL_REV", "CY2022")</f>
        <v>3107000</v>
      </c>
      <c r="I215" s="4">
        <f>_xll.SNL.Clients.Office.Excel.Functions.SPG(G215,"IQ_AVG_DILUT_SHARES_OUT","CY2022")</f>
        <v>610500000</v>
      </c>
      <c r="J215" s="5">
        <f>_xll.SNL.Clients.Office.Excel.Functions.SPG(G215, "IQ_DILUT_EPS_NORM", "CY2022")</f>
        <v>0.97899999999999998</v>
      </c>
      <c r="K215">
        <f t="shared" si="20"/>
        <v>597679.5</v>
      </c>
      <c r="L215">
        <f t="shared" si="21"/>
        <v>0.19236546507885419</v>
      </c>
      <c r="M215" t="s">
        <v>734</v>
      </c>
      <c r="N215" s="4" cm="1">
        <f t="array" ref="N215">_xll.SNL.Clients.Office.Excel.Functions.SPG(M215, "SP_TOTAL_REV", "CY2022")</f>
        <v>8975515</v>
      </c>
      <c r="O215" s="4">
        <f>_xll.SNL.Clients.Office.Excel.Functions.SPG(M215,"IQ_AVG_DILUT_SHARES_OUT","CY2022")</f>
        <v>275576000</v>
      </c>
      <c r="P215" s="5">
        <f>_xll.SNL.Clients.Office.Excel.Functions.SPG(M215, "IQ_DILUT_EPS_NORM", "CY2022")</f>
        <v>3.5910000000000002</v>
      </c>
      <c r="Q215">
        <f t="shared" si="22"/>
        <v>989593.41599999997</v>
      </c>
      <c r="R215">
        <f t="shared" si="23"/>
        <v>0.1102547782494932</v>
      </c>
    </row>
    <row r="216" spans="1:18" x14ac:dyDescent="0.3">
      <c r="A216" t="s">
        <v>728</v>
      </c>
      <c r="B216" s="4" cm="1">
        <f t="array" ref="B216">_xll.SNL.Clients.Office.Excel.Functions.SPG(A216, "SP_TOTAL_REV", "CY2023")</f>
        <v>4022667</v>
      </c>
      <c r="C216" s="4">
        <f>_xll.SNL.Clients.Office.Excel.Functions.SPG(A216,"IQ_AVG_DILUT_SHARES_OUT","CY2023")</f>
        <v>62058387</v>
      </c>
      <c r="D216" s="5">
        <f>_xll.SNL.Clients.Office.Excel.Functions.SPG(A216, "IQ_DILUT_EPS_NORM", "CY2023")</f>
        <v>2.8879999999999999</v>
      </c>
      <c r="E216">
        <f t="shared" si="18"/>
        <v>179224.62165599997</v>
      </c>
      <c r="F216">
        <f t="shared" si="19"/>
        <v>4.4553680843082456E-2</v>
      </c>
      <c r="G216" t="s">
        <v>728</v>
      </c>
      <c r="H216" s="4" cm="1">
        <f t="array" ref="H216">_xll.SNL.Clients.Office.Excel.Functions.SPG(G216, "SP_TOTAL_REV", "CY2022")</f>
        <v>4564737</v>
      </c>
      <c r="I216" s="4">
        <f>_xll.SNL.Clients.Office.Excel.Functions.SPG(G216,"IQ_AVG_DILUT_SHARES_OUT","CY2022")</f>
        <v>64681357</v>
      </c>
      <c r="J216" s="5">
        <f>_xll.SNL.Clients.Office.Excel.Functions.SPG(G216, "IQ_DILUT_EPS_NORM", "CY2022")</f>
        <v>4.819</v>
      </c>
      <c r="K216">
        <f t="shared" si="20"/>
        <v>311699.45938300004</v>
      </c>
      <c r="L216">
        <f t="shared" si="21"/>
        <v>6.8284209886133651E-2</v>
      </c>
      <c r="M216" t="s">
        <v>735</v>
      </c>
      <c r="N216" s="4" cm="1">
        <f t="array" ref="N216">_xll.SNL.Clients.Office.Excel.Functions.SPG(M216, "SP_TOTAL_REV", "CY2022")</f>
        <v>5226740</v>
      </c>
      <c r="O216" s="4">
        <f>_xll.SNL.Clients.Office.Excel.Functions.SPG(M216,"IQ_AVG_DILUT_SHARES_OUT","CY2022")</f>
        <v>98984644</v>
      </c>
      <c r="P216" s="5">
        <f>_xll.SNL.Clients.Office.Excel.Functions.SPG(M216, "IQ_DILUT_EPS_NORM", "CY2022")</f>
        <v>6.9749999999999996</v>
      </c>
      <c r="Q216">
        <f t="shared" si="22"/>
        <v>690417.89189999993</v>
      </c>
      <c r="R216">
        <f t="shared" si="23"/>
        <v>0.13209340657847912</v>
      </c>
    </row>
    <row r="217" spans="1:18" x14ac:dyDescent="0.3">
      <c r="A217" t="s">
        <v>729</v>
      </c>
      <c r="B217" s="4" cm="1">
        <f t="array" ref="B217">_xll.SNL.Clients.Office.Excel.Functions.SPG(A217, "SP_TOTAL_REV", "CY2023")</f>
        <v>42272000</v>
      </c>
      <c r="C217" s="4">
        <f>_xll.SNL.Clients.Office.Excel.Functions.SPG(A217,"IQ_AVG_DILUT_SHARES_OUT","CY2023")</f>
        <v>275725000</v>
      </c>
      <c r="D217" s="5">
        <f>_xll.SNL.Clients.Office.Excel.Functions.SPG(A217, "IQ_DILUT_EPS_NORM", "CY2023")</f>
        <v>9.0310000000000006</v>
      </c>
      <c r="E217">
        <f t="shared" si="18"/>
        <v>2490072.4750000001</v>
      </c>
      <c r="F217">
        <f t="shared" si="19"/>
        <v>5.8905953704579864E-2</v>
      </c>
      <c r="G217" t="s">
        <v>729</v>
      </c>
      <c r="H217" s="4" cm="1">
        <f t="array" ref="H217">_xll.SNL.Clients.Office.Excel.Functions.SPG(G217, "SP_TOTAL_REV", "CY2022")</f>
        <v>39407000</v>
      </c>
      <c r="I217" s="4">
        <f>_xll.SNL.Clients.Office.Excel.Functions.SPG(G217,"IQ_AVG_DILUT_SHARES_OUT","CY2022")</f>
        <v>278169000</v>
      </c>
      <c r="J217" s="5">
        <f>_xll.SNL.Clients.Office.Excel.Functions.SPG(G217, "IQ_DILUT_EPS_NORM", "CY2022")</f>
        <v>9.0679999999999996</v>
      </c>
      <c r="K217">
        <f t="shared" si="20"/>
        <v>2522436.4920000001</v>
      </c>
      <c r="L217">
        <f t="shared" si="21"/>
        <v>6.4009858451544138E-2</v>
      </c>
      <c r="M217" t="s">
        <v>736</v>
      </c>
      <c r="N217" s="4" cm="1">
        <f t="array" ref="N217">_xll.SNL.Clients.Office.Excel.Functions.SPG(M217, "SP_TOTAL_REV", "CY2022")</f>
        <v>47365000</v>
      </c>
      <c r="O217" s="4">
        <f>_xll.SNL.Clients.Office.Excel.Functions.SPG(M217,"IQ_AVG_DILUT_SHARES_OUT","CY2022")</f>
        <v>358100000</v>
      </c>
      <c r="P217" s="5">
        <f>_xll.SNL.Clients.Office.Excel.Functions.SPG(M217, "IQ_DILUT_EPS_NORM", "CY2022")</f>
        <v>25.091000000000001</v>
      </c>
      <c r="Q217">
        <f t="shared" si="22"/>
        <v>8985087.0999999996</v>
      </c>
      <c r="R217">
        <f t="shared" si="23"/>
        <v>0.18969887258524226</v>
      </c>
    </row>
    <row r="218" spans="1:18" x14ac:dyDescent="0.3">
      <c r="A218" t="s">
        <v>730</v>
      </c>
      <c r="B218" s="4" cm="1">
        <f t="array" ref="B218">_xll.SNL.Clients.Office.Excel.Functions.SPG(A218, "SP_TOTAL_REV", "CY2023")</f>
        <v>20200000</v>
      </c>
      <c r="C218" s="4">
        <f>_xll.SNL.Clients.Office.Excel.Functions.SPG(A218,"IQ_AVG_DILUT_SHARES_OUT","CY2023")</f>
        <v>592900000</v>
      </c>
      <c r="D218" s="5">
        <f>_xll.SNL.Clients.Office.Excel.Functions.SPG(A218, "IQ_DILUT_EPS_NORM", "CY2023")</f>
        <v>3.3319999999999999</v>
      </c>
      <c r="E218">
        <f t="shared" si="18"/>
        <v>1975542.8</v>
      </c>
      <c r="F218">
        <f t="shared" si="19"/>
        <v>9.7799148514851483E-2</v>
      </c>
      <c r="G218" t="s">
        <v>730</v>
      </c>
      <c r="H218" s="4" cm="1">
        <f t="array" ref="H218">_xll.SNL.Clients.Office.Excel.Functions.SPG(G218, "SP_TOTAL_REV", "CY2022")</f>
        <v>19367200</v>
      </c>
      <c r="I218" s="4">
        <f>_xll.SNL.Clients.Office.Excel.Functions.SPG(G218,"IQ_AVG_DILUT_SHARES_OUT","CY2022")</f>
        <v>607700000</v>
      </c>
      <c r="J218" s="5">
        <f>_xll.SNL.Clients.Office.Excel.Functions.SPG(G218, "IQ_DILUT_EPS_NORM", "CY2022")</f>
        <v>3.0009999999999999</v>
      </c>
      <c r="K218">
        <f t="shared" si="20"/>
        <v>1823707.7</v>
      </c>
      <c r="L218">
        <f t="shared" si="21"/>
        <v>9.4164757941261515E-2</v>
      </c>
      <c r="M218" t="s">
        <v>737</v>
      </c>
      <c r="N218" s="4" cm="1">
        <f t="array" ref="N218">_xll.SNL.Clients.Office.Excel.Functions.SPG(M218, "SP_TOTAL_REV", "CY2022")</f>
        <v>20297000</v>
      </c>
      <c r="O218" s="4">
        <f>_xll.SNL.Clients.Office.Excel.Functions.SPG(M218,"IQ_AVG_DILUT_SHARES_OUT","CY2022")</f>
        <v>908000000</v>
      </c>
      <c r="P218" s="5">
        <f>_xll.SNL.Clients.Office.Excel.Functions.SPG(M218, "IQ_DILUT_EPS_NORM", "CY2022")</f>
        <v>1.66</v>
      </c>
      <c r="Q218">
        <f t="shared" si="22"/>
        <v>1507280</v>
      </c>
      <c r="R218">
        <f t="shared" si="23"/>
        <v>7.4261220870079317E-2</v>
      </c>
    </row>
    <row r="219" spans="1:18" x14ac:dyDescent="0.3">
      <c r="A219" t="s">
        <v>731</v>
      </c>
      <c r="B219" s="4" cm="1">
        <f t="array" ref="B219">_xll.SNL.Clients.Office.Excel.Functions.SPG(A219, "SP_TOTAL_REV", "CY2023")</f>
        <v>171842000</v>
      </c>
      <c r="C219" s="4">
        <f>_xll.SNL.Clients.Office.Excel.Functions.SPG(A219,"IQ_AVG_DILUT_SHARES_OUT","CY2023")</f>
        <v>1369000000</v>
      </c>
      <c r="D219" s="5">
        <f>_xll.SNL.Clients.Office.Excel.Functions.SPG(A219, "IQ_DILUT_EPS_NORM", "CY2023")</f>
        <v>4.9939999999999998</v>
      </c>
      <c r="E219">
        <f t="shared" si="18"/>
        <v>6836786</v>
      </c>
      <c r="F219">
        <f t="shared" si="19"/>
        <v>3.97853027781334E-2</v>
      </c>
      <c r="G219" t="s">
        <v>731</v>
      </c>
      <c r="H219" s="4" cm="1">
        <f t="array" ref="H219">_xll.SNL.Clients.Office.Excel.Functions.SPG(G219, "SP_TOTAL_REV", "CY2022")</f>
        <v>156735000</v>
      </c>
      <c r="I219" s="4">
        <f>_xll.SNL.Clients.Office.Excel.Functions.SPG(G219,"IQ_AVG_DILUT_SHARES_OUT","CY2022")</f>
        <v>1454000000</v>
      </c>
      <c r="J219" s="5">
        <f>_xll.SNL.Clients.Office.Excel.Functions.SPG(G219, "IQ_DILUT_EPS_NORM", "CY2022")</f>
        <v>5.524</v>
      </c>
      <c r="K219">
        <f t="shared" si="20"/>
        <v>8031896</v>
      </c>
      <c r="L219">
        <f t="shared" si="21"/>
        <v>5.1245069703639901E-2</v>
      </c>
      <c r="M219" t="s">
        <v>738</v>
      </c>
      <c r="N219" s="4" cm="1">
        <f t="array" ref="N219">_xll.SNL.Clients.Office.Excel.Functions.SPG(M219, "SP_TOTAL_REV", "CY2022")</f>
        <v>22362000</v>
      </c>
      <c r="O219" s="4">
        <f>_xll.SNL.Clients.Office.Excel.Functions.SPG(M219,"IQ_AVG_DILUT_SHARES_OUT","CY2022")</f>
        <v>329500000</v>
      </c>
      <c r="P219" s="5">
        <f>_xll.SNL.Clients.Office.Excel.Functions.SPG(M219, "IQ_DILUT_EPS_NORM", "CY2022")</f>
        <v>4.2770000000000001</v>
      </c>
      <c r="Q219">
        <f t="shared" si="22"/>
        <v>1409271.5</v>
      </c>
      <c r="R219">
        <f t="shared" si="23"/>
        <v>6.3020816563813614E-2</v>
      </c>
    </row>
    <row r="220" spans="1:18" x14ac:dyDescent="0.3">
      <c r="A220" t="s">
        <v>732</v>
      </c>
      <c r="B220" s="4" cm="1">
        <f t="array" ref="B220">_xll.SNL.Clients.Office.Excel.Functions.SPG(A220, "SP_TOTAL_REV", "CY2023")</f>
        <v>23090610</v>
      </c>
      <c r="C220" s="4">
        <f>_xll.SNL.Clients.Office.Excel.Functions.SPG(A220,"IQ_AVG_DILUT_SHARES_OUT","CY2023")</f>
        <v>141034000</v>
      </c>
      <c r="D220" s="5">
        <f>_xll.SNL.Clients.Office.Excel.Functions.SPG(A220, "IQ_DILUT_EPS_NORM", "CY2023")</f>
        <v>7.7210000000000001</v>
      </c>
      <c r="E220">
        <f t="shared" si="18"/>
        <v>1088923.514</v>
      </c>
      <c r="F220">
        <f t="shared" si="19"/>
        <v>4.715871577234209E-2</v>
      </c>
      <c r="G220" t="s">
        <v>732</v>
      </c>
      <c r="H220" s="4" cm="1">
        <f t="array" ref="H220">_xll.SNL.Clients.Office.Excel.Functions.SPG(G220, "SP_TOTAL_REV", "CY2022")</f>
        <v>22095973</v>
      </c>
      <c r="I220" s="4">
        <f>_xll.SNL.Clients.Office.Excel.Functions.SPG(G220,"IQ_AVG_DILUT_SHARES_OUT","CY2022")</f>
        <v>142322000</v>
      </c>
      <c r="J220" s="5">
        <f>_xll.SNL.Clients.Office.Excel.Functions.SPG(G220, "IQ_DILUT_EPS_NORM", "CY2022")</f>
        <v>7.0259999999999998</v>
      </c>
      <c r="K220">
        <f t="shared" si="20"/>
        <v>999954.37199999997</v>
      </c>
      <c r="L220">
        <f t="shared" si="21"/>
        <v>4.5255050411221992E-2</v>
      </c>
      <c r="M220" t="s">
        <v>739</v>
      </c>
      <c r="N220" s="4" cm="1">
        <f t="array" ref="N220">_xll.SNL.Clients.Office.Excel.Functions.SPG(M220, "SP_TOTAL_REV", "CY2022")</f>
        <v>5856700</v>
      </c>
      <c r="O220" s="4">
        <f>_xll.SNL.Clients.Office.Excel.Functions.SPG(M220,"IQ_AVG_DILUT_SHARES_OUT","CY2022")</f>
        <v>138900000</v>
      </c>
      <c r="P220" s="5">
        <f>_xll.SNL.Clients.Office.Excel.Functions.SPG(M220, "IQ_DILUT_EPS_NORM", "CY2022")</f>
        <v>3.1749999999999998</v>
      </c>
      <c r="Q220">
        <f t="shared" si="22"/>
        <v>441007.5</v>
      </c>
      <c r="R220">
        <f t="shared" si="23"/>
        <v>7.5299656803319279E-2</v>
      </c>
    </row>
    <row r="221" spans="1:18" x14ac:dyDescent="0.3">
      <c r="A221" t="s">
        <v>733</v>
      </c>
      <c r="B221" s="4" cm="1">
        <f t="array" ref="B221">_xll.SNL.Clients.Office.Excel.Functions.SPG(A221, "SP_TOTAL_REV", "CY2023")</f>
        <v>27116000</v>
      </c>
      <c r="C221" s="4">
        <f>_xll.SNL.Clients.Office.Excel.Functions.SPG(A221,"IQ_AVG_DILUT_SHARES_OUT","CY2023")</f>
        <v>1258000000</v>
      </c>
      <c r="D221" s="5">
        <f>_xll.SNL.Clients.Office.Excel.Functions.SPG(A221, "IQ_DILUT_EPS_NORM", "CY2023")</f>
        <v>4.6239999999999997</v>
      </c>
      <c r="E221">
        <f t="shared" si="18"/>
        <v>5816992</v>
      </c>
      <c r="F221">
        <f t="shared" si="19"/>
        <v>0.21452249594335449</v>
      </c>
      <c r="G221" t="s">
        <v>733</v>
      </c>
      <c r="H221" s="4" cm="1">
        <f t="array" ref="H221">_xll.SNL.Clients.Office.Excel.Functions.SPG(G221, "SP_TOTAL_REV", "CY2022")</f>
        <v>27281000</v>
      </c>
      <c r="I221" s="4">
        <f>_xll.SNL.Clients.Office.Excel.Functions.SPG(G221,"IQ_AVG_DILUT_SHARES_OUT","CY2022")</f>
        <v>1262000000</v>
      </c>
      <c r="J221" s="5">
        <f>_xll.SNL.Clients.Office.Excel.Functions.SPG(G221, "IQ_DILUT_EPS_NORM", "CY2022")</f>
        <v>5.0199999999999996</v>
      </c>
      <c r="K221">
        <f t="shared" si="20"/>
        <v>6335239.9999999991</v>
      </c>
      <c r="L221">
        <f t="shared" si="21"/>
        <v>0.23222169275319815</v>
      </c>
      <c r="M221" t="s">
        <v>740</v>
      </c>
      <c r="N221" s="4" cm="1">
        <f t="array" ref="N221">_xll.SNL.Clients.Office.Excel.Functions.SPG(M221, "SP_TOTAL_REV", "CY2022")</f>
        <v>60233000</v>
      </c>
      <c r="O221" s="4">
        <f>_xll.SNL.Clients.Office.Excel.Functions.SPG(M221,"IQ_AVG_DILUT_SHARES_OUT","CY2022")</f>
        <v>294666000</v>
      </c>
      <c r="P221" s="5">
        <f>_xll.SNL.Clients.Office.Excel.Functions.SPG(M221, "IQ_DILUT_EPS_NORM", "CY2022")</f>
        <v>11.563000000000001</v>
      </c>
      <c r="Q221">
        <f t="shared" si="22"/>
        <v>3407222.9580000001</v>
      </c>
      <c r="R221">
        <f t="shared" si="23"/>
        <v>5.6567379310344827E-2</v>
      </c>
    </row>
    <row r="222" spans="1:18" x14ac:dyDescent="0.3">
      <c r="A222" t="s">
        <v>734</v>
      </c>
      <c r="B222" s="4" cm="1">
        <f t="array" ref="B222">_xll.SNL.Clients.Office.Excel.Functions.SPG(A222, "SP_TOTAL_REV", "CY2023")</f>
        <v>9654419</v>
      </c>
      <c r="C222" s="4">
        <f>_xll.SNL.Clients.Office.Excel.Functions.SPG(A222,"IQ_AVG_DILUT_SHARES_OUT","CY2023")</f>
        <v>261698000</v>
      </c>
      <c r="D222" s="5">
        <f>_xll.SNL.Clients.Office.Excel.Functions.SPG(A222, "IQ_DILUT_EPS_NORM", "CY2023")</f>
        <v>3.98</v>
      </c>
      <c r="E222">
        <f t="shared" si="18"/>
        <v>1041558.04</v>
      </c>
      <c r="F222">
        <f t="shared" si="19"/>
        <v>0.1078840725682198</v>
      </c>
      <c r="G222" t="s">
        <v>734</v>
      </c>
      <c r="H222" s="4" cm="1">
        <f t="array" ref="H222">_xll.SNL.Clients.Office.Excel.Functions.SPG(G222, "SP_TOTAL_REV", "CY2022")</f>
        <v>8975515</v>
      </c>
      <c r="I222" s="4">
        <f>_xll.SNL.Clients.Office.Excel.Functions.SPG(G222,"IQ_AVG_DILUT_SHARES_OUT","CY2022")</f>
        <v>275576000</v>
      </c>
      <c r="J222" s="5">
        <f>_xll.SNL.Clients.Office.Excel.Functions.SPG(G222, "IQ_DILUT_EPS_NORM", "CY2022")</f>
        <v>3.5910000000000002</v>
      </c>
      <c r="K222">
        <f t="shared" si="20"/>
        <v>989593.41599999997</v>
      </c>
      <c r="L222">
        <f t="shared" si="21"/>
        <v>0.1102547782494932</v>
      </c>
      <c r="M222" t="s">
        <v>741</v>
      </c>
      <c r="N222" s="4" cm="1">
        <f t="array" ref="N222">_xll.SNL.Clients.Office.Excel.Functions.SPG(M222, "SP_TOTAL_REV", "CY2022")</f>
        <v>2082528</v>
      </c>
      <c r="O222" s="4">
        <f>_xll.SNL.Clients.Office.Excel.Functions.SPG(M222,"IQ_AVG_DILUT_SHARES_OUT","CY2022")</f>
        <v>539147000</v>
      </c>
      <c r="P222" s="5">
        <f>_xll.SNL.Clients.Office.Excel.Functions.SPG(M222, "IQ_DILUT_EPS_NORM", "CY2022")</f>
        <v>0.20599999999999999</v>
      </c>
      <c r="Q222">
        <f t="shared" si="22"/>
        <v>111064.28200000001</v>
      </c>
      <c r="R222">
        <f t="shared" si="23"/>
        <v>5.3331471173496833E-2</v>
      </c>
    </row>
    <row r="223" spans="1:18" x14ac:dyDescent="0.3">
      <c r="A223" t="s">
        <v>735</v>
      </c>
      <c r="B223" s="4" cm="1">
        <f t="array" ref="B223">_xll.SNL.Clients.Office.Excel.Functions.SPG(A223, "SP_TOTAL_REV", "CY2023")</f>
        <v>5447533</v>
      </c>
      <c r="C223" s="4">
        <f>_xll.SNL.Clients.Office.Excel.Functions.SPG(A223,"IQ_AVG_DILUT_SHARES_OUT","CY2023")</f>
        <v>96363841</v>
      </c>
      <c r="D223" s="5">
        <f>_xll.SNL.Clients.Office.Excel.Functions.SPG(A223, "IQ_DILUT_EPS_NORM", "CY2023")</f>
        <v>7.7519999999999998</v>
      </c>
      <c r="E223">
        <f t="shared" si="18"/>
        <v>747012.49543199991</v>
      </c>
      <c r="F223">
        <f t="shared" si="19"/>
        <v>0.13712858562435509</v>
      </c>
      <c r="G223" t="s">
        <v>735</v>
      </c>
      <c r="H223" s="4" cm="1">
        <f t="array" ref="H223">_xll.SNL.Clients.Office.Excel.Functions.SPG(G223, "SP_TOTAL_REV", "CY2022")</f>
        <v>5226740</v>
      </c>
      <c r="I223" s="4">
        <f>_xll.SNL.Clients.Office.Excel.Functions.SPG(G223,"IQ_AVG_DILUT_SHARES_OUT","CY2022")</f>
        <v>98984644</v>
      </c>
      <c r="J223" s="5">
        <f>_xll.SNL.Clients.Office.Excel.Functions.SPG(G223, "IQ_DILUT_EPS_NORM", "CY2022")</f>
        <v>6.9749999999999996</v>
      </c>
      <c r="K223">
        <f t="shared" si="20"/>
        <v>690417.89189999993</v>
      </c>
      <c r="L223">
        <f t="shared" si="21"/>
        <v>0.13209340657847912</v>
      </c>
      <c r="M223" t="s">
        <v>742</v>
      </c>
      <c r="N223" s="4" cm="1">
        <f t="array" ref="N223">_xll.SNL.Clients.Office.Excel.Functions.SPG(M223, "SP_TOTAL_REV", "CY2022")</f>
        <v>12647000</v>
      </c>
      <c r="O223" s="4">
        <f>_xll.SNL.Clients.Office.Excel.Functions.SPG(M223,"IQ_AVG_DILUT_SHARES_OUT","CY2022")</f>
        <v>137755670</v>
      </c>
      <c r="P223" s="5">
        <f>_xll.SNL.Clients.Office.Excel.Functions.SPG(M223, "IQ_DILUT_EPS_NORM", "CY2022")</f>
        <v>3.73</v>
      </c>
      <c r="Q223">
        <f t="shared" si="22"/>
        <v>513828.64910000004</v>
      </c>
      <c r="R223">
        <f t="shared" si="23"/>
        <v>4.0628500759073302E-2</v>
      </c>
    </row>
    <row r="224" spans="1:18" x14ac:dyDescent="0.3">
      <c r="A224" t="s">
        <v>736</v>
      </c>
      <c r="B224" s="4" cm="1">
        <f t="array" ref="B224">_xll.SNL.Clients.Office.Excel.Functions.SPG(A224, "SP_TOTAL_REV", "CY2023")</f>
        <v>46254000</v>
      </c>
      <c r="C224" s="4">
        <f>_xll.SNL.Clients.Office.Excel.Functions.SPG(A224,"IQ_AVG_DILUT_SHARES_OUT","CY2023")</f>
        <v>345800000</v>
      </c>
      <c r="D224" s="5">
        <f>_xll.SNL.Clients.Office.Excel.Functions.SPG(A224, "IQ_DILUT_EPS_NORM", "CY2023")</f>
        <v>22.47</v>
      </c>
      <c r="E224">
        <f t="shared" si="18"/>
        <v>7770126</v>
      </c>
      <c r="F224">
        <f t="shared" si="19"/>
        <v>0.16798819561551434</v>
      </c>
      <c r="G224" t="s">
        <v>736</v>
      </c>
      <c r="H224" s="4" cm="1">
        <f t="array" ref="H224">_xll.SNL.Clients.Office.Excel.Functions.SPG(G224, "SP_TOTAL_REV", "CY2022")</f>
        <v>47365000</v>
      </c>
      <c r="I224" s="4">
        <f>_xll.SNL.Clients.Office.Excel.Functions.SPG(G224,"IQ_AVG_DILUT_SHARES_OUT","CY2022")</f>
        <v>358100000</v>
      </c>
      <c r="J224" s="5">
        <f>_xll.SNL.Clients.Office.Excel.Functions.SPG(G224, "IQ_DILUT_EPS_NORM", "CY2022")</f>
        <v>25.091000000000001</v>
      </c>
      <c r="K224">
        <f t="shared" si="20"/>
        <v>8985087.0999999996</v>
      </c>
      <c r="L224">
        <f t="shared" si="21"/>
        <v>0.18969887258524226</v>
      </c>
      <c r="M224" t="s">
        <v>743</v>
      </c>
      <c r="N224" s="4" cm="1">
        <f t="array" ref="N224">_xll.SNL.Clients.Office.Excel.Functions.SPG(M224, "SP_TOTAL_REV", "CY2022")</f>
        <v>10419294</v>
      </c>
      <c r="O224" s="4">
        <f>_xll.SNL.Clients.Office.Excel.Functions.SPG(M224,"IQ_AVG_DILUT_SHARES_OUT","CY2022")</f>
        <v>206575000</v>
      </c>
      <c r="P224" s="5">
        <f>_xll.SNL.Clients.Office.Excel.Functions.SPG(M224, "IQ_DILUT_EPS_NORM", "CY2022")</f>
        <v>6.383</v>
      </c>
      <c r="Q224">
        <f t="shared" si="22"/>
        <v>1318568.2250000001</v>
      </c>
      <c r="R224">
        <f t="shared" si="23"/>
        <v>0.12655063049377435</v>
      </c>
    </row>
    <row r="225" spans="1:18" x14ac:dyDescent="0.3">
      <c r="A225" t="s">
        <v>737</v>
      </c>
      <c r="B225" s="4" cm="1">
        <f t="array" ref="B225">_xll.SNL.Clients.Office.Excel.Functions.SPG(A225, "SP_TOTAL_REV", "CY2023")</f>
        <v>23018000</v>
      </c>
      <c r="C225" s="4">
        <f>_xll.SNL.Clients.Office.Excel.Functions.SPG(A225,"IQ_AVG_DILUT_SHARES_OUT","CY2023")</f>
        <v>902000000</v>
      </c>
      <c r="D225" s="5">
        <f>_xll.SNL.Clients.Office.Excel.Functions.SPG(A225, "IQ_DILUT_EPS_NORM", "CY2023")</f>
        <v>2.38</v>
      </c>
      <c r="E225">
        <f t="shared" si="18"/>
        <v>2146760</v>
      </c>
      <c r="F225">
        <f t="shared" si="19"/>
        <v>9.3264401772525846E-2</v>
      </c>
      <c r="G225" t="s">
        <v>737</v>
      </c>
      <c r="H225" s="4" cm="1">
        <f t="array" ref="H225">_xll.SNL.Clients.Office.Excel.Functions.SPG(G225, "SP_TOTAL_REV", "CY2022")</f>
        <v>20297000</v>
      </c>
      <c r="I225" s="4">
        <f>_xll.SNL.Clients.Office.Excel.Functions.SPG(G225,"IQ_AVG_DILUT_SHARES_OUT","CY2022")</f>
        <v>908000000</v>
      </c>
      <c r="J225" s="5">
        <f>_xll.SNL.Clients.Office.Excel.Functions.SPG(G225, "IQ_DILUT_EPS_NORM", "CY2022")</f>
        <v>1.66</v>
      </c>
      <c r="K225">
        <f t="shared" si="20"/>
        <v>1507280</v>
      </c>
      <c r="L225">
        <f t="shared" si="21"/>
        <v>7.4261220870079317E-2</v>
      </c>
      <c r="M225" t="s">
        <v>744</v>
      </c>
      <c r="N225" s="4" cm="1">
        <f t="array" ref="N225">_xll.SNL.Clients.Office.Excel.Functions.SPG(M225, "SP_TOTAL_REV", "CY2022")</f>
        <v>11069000</v>
      </c>
      <c r="O225" s="4">
        <f>_xll.SNL.Clients.Office.Excel.Functions.SPG(M225,"IQ_AVG_DILUT_SHARES_OUT","CY2022")</f>
        <v>309600000</v>
      </c>
      <c r="P225" s="5">
        <f>_xll.SNL.Clients.Office.Excel.Functions.SPG(M225, "IQ_DILUT_EPS_NORM", "CY2022")</f>
        <v>5.93</v>
      </c>
      <c r="Q225">
        <f t="shared" si="22"/>
        <v>1835928</v>
      </c>
      <c r="R225">
        <f t="shared" si="23"/>
        <v>0.16586213750112927</v>
      </c>
    </row>
    <row r="226" spans="1:18" x14ac:dyDescent="0.3">
      <c r="A226" t="s">
        <v>738</v>
      </c>
      <c r="B226" s="4" cm="1">
        <f t="array" ref="B226">_xll.SNL.Clients.Office.Excel.Functions.SPG(A226, "SP_TOTAL_REV", "CY2023")</f>
        <v>24527000</v>
      </c>
      <c r="C226" s="4">
        <f>_xll.SNL.Clients.Office.Excel.Functions.SPG(A226,"IQ_AVG_DILUT_SHARES_OUT","CY2023")</f>
        <v>311500000</v>
      </c>
      <c r="D226" s="5">
        <f>_xll.SNL.Clients.Office.Excel.Functions.SPG(A226, "IQ_DILUT_EPS_NORM", "CY2023")</f>
        <v>6.1840000000000002</v>
      </c>
      <c r="E226">
        <f t="shared" si="18"/>
        <v>1926316</v>
      </c>
      <c r="F226">
        <f t="shared" si="19"/>
        <v>7.8538590125168187E-2</v>
      </c>
      <c r="G226" t="s">
        <v>738</v>
      </c>
      <c r="H226" s="4" cm="1">
        <f t="array" ref="H226">_xll.SNL.Clients.Office.Excel.Functions.SPG(G226, "SP_TOTAL_REV", "CY2022")</f>
        <v>22362000</v>
      </c>
      <c r="I226" s="4">
        <f>_xll.SNL.Clients.Office.Excel.Functions.SPG(G226,"IQ_AVG_DILUT_SHARES_OUT","CY2022")</f>
        <v>329500000</v>
      </c>
      <c r="J226" s="5">
        <f>_xll.SNL.Clients.Office.Excel.Functions.SPG(G226, "IQ_DILUT_EPS_NORM", "CY2022")</f>
        <v>4.2770000000000001</v>
      </c>
      <c r="K226">
        <f t="shared" si="20"/>
        <v>1409271.5</v>
      </c>
      <c r="L226">
        <f t="shared" si="21"/>
        <v>6.3020816563813614E-2</v>
      </c>
      <c r="M226" t="s">
        <v>745</v>
      </c>
      <c r="N226" s="4" cm="1">
        <f t="array" ref="N226">_xll.SNL.Clients.Office.Excel.Functions.SPG(M226, "SP_TOTAL_REV", "CY2022")</f>
        <v>29344000</v>
      </c>
      <c r="O226" s="4">
        <f>_xll.SNL.Clients.Office.Excel.Functions.SPG(M226,"IQ_AVG_DILUT_SHARES_OUT","CY2022")</f>
        <v>1319500000</v>
      </c>
      <c r="P226" s="5">
        <f>_xll.SNL.Clients.Office.Excel.Functions.SPG(M226, "IQ_DILUT_EPS_NORM", "CY2022")</f>
        <v>1.194</v>
      </c>
      <c r="Q226">
        <f t="shared" si="22"/>
        <v>1575483</v>
      </c>
      <c r="R226">
        <f t="shared" si="23"/>
        <v>5.3690124045801528E-2</v>
      </c>
    </row>
    <row r="227" spans="1:18" x14ac:dyDescent="0.3">
      <c r="A227" t="s">
        <v>739</v>
      </c>
      <c r="B227" s="4" cm="1">
        <f t="array" ref="B227">_xll.SNL.Clients.Office.Excel.Functions.SPG(A227, "SP_TOTAL_REV", "CY2023")</f>
        <v>5003300</v>
      </c>
      <c r="C227" s="4">
        <f>_xll.SNL.Clients.Office.Excel.Functions.SPG(A227,"IQ_AVG_DILUT_SHARES_OUT","CY2023")</f>
        <v>138800000</v>
      </c>
      <c r="D227" s="5">
        <f>_xll.SNL.Clients.Office.Excel.Functions.SPG(A227, "IQ_DILUT_EPS_NORM", "CY2023")</f>
        <v>0.88800000000000001</v>
      </c>
      <c r="E227">
        <f t="shared" si="18"/>
        <v>123254.39999999999</v>
      </c>
      <c r="F227">
        <f t="shared" si="19"/>
        <v>2.4634621150040972E-2</v>
      </c>
      <c r="G227" t="s">
        <v>739</v>
      </c>
      <c r="H227" s="4" cm="1">
        <f t="array" ref="H227">_xll.SNL.Clients.Office.Excel.Functions.SPG(G227, "SP_TOTAL_REV", "CY2022")</f>
        <v>5856700</v>
      </c>
      <c r="I227" s="4">
        <f>_xll.SNL.Clients.Office.Excel.Functions.SPG(G227,"IQ_AVG_DILUT_SHARES_OUT","CY2022")</f>
        <v>138900000</v>
      </c>
      <c r="J227" s="5">
        <f>_xll.SNL.Clients.Office.Excel.Functions.SPG(G227, "IQ_DILUT_EPS_NORM", "CY2022")</f>
        <v>3.1749999999999998</v>
      </c>
      <c r="K227">
        <f t="shared" si="20"/>
        <v>441007.5</v>
      </c>
      <c r="L227">
        <f t="shared" si="21"/>
        <v>7.5299656803319279E-2</v>
      </c>
      <c r="M227" t="s">
        <v>746</v>
      </c>
      <c r="N227" s="4" cm="1">
        <f t="array" ref="N227">_xll.SNL.Clients.Office.Excel.Functions.SPG(M227, "SP_TOTAL_REV", "CY2022")</f>
        <v>3736000</v>
      </c>
      <c r="O227" s="4">
        <f>_xll.SNL.Clients.Office.Excel.Functions.SPG(M227,"IQ_AVG_DILUT_SHARES_OUT","CY2022")</f>
        <v>277000000</v>
      </c>
      <c r="P227" s="5">
        <f>_xll.SNL.Clients.Office.Excel.Functions.SPG(M227, "IQ_DILUT_EPS_NORM", "CY2022")</f>
        <v>3.9049999999999998</v>
      </c>
      <c r="Q227">
        <f t="shared" si="22"/>
        <v>1081685</v>
      </c>
      <c r="R227">
        <f t="shared" si="23"/>
        <v>0.28953024625267665</v>
      </c>
    </row>
    <row r="228" spans="1:18" x14ac:dyDescent="0.3">
      <c r="A228" t="s">
        <v>740</v>
      </c>
      <c r="B228" s="4" cm="1">
        <f t="array" ref="B228">_xll.SNL.Clients.Office.Excel.Functions.SPG(A228, "SP_TOTAL_REV", "CY2023")</f>
        <v>64968000</v>
      </c>
      <c r="C228" s="4">
        <f>_xll.SNL.Clients.Office.Excel.Functions.SPG(A228,"IQ_AVG_DILUT_SHARES_OUT","CY2023")</f>
        <v>276412000</v>
      </c>
      <c r="D228" s="5">
        <f>_xll.SNL.Clients.Office.Excel.Functions.SPG(A228, "IQ_DILUT_EPS_NORM", "CY2023")</f>
        <v>14.364000000000001</v>
      </c>
      <c r="E228">
        <f t="shared" si="18"/>
        <v>3970381.9679999999</v>
      </c>
      <c r="F228">
        <f t="shared" si="19"/>
        <v>6.1112885851496122E-2</v>
      </c>
      <c r="G228" t="s">
        <v>740</v>
      </c>
      <c r="H228" s="4" cm="1">
        <f t="array" ref="H228">_xll.SNL.Clients.Office.Excel.Functions.SPG(G228, "SP_TOTAL_REV", "CY2022")</f>
        <v>60233000</v>
      </c>
      <c r="I228" s="4">
        <f>_xll.SNL.Clients.Office.Excel.Functions.SPG(G228,"IQ_AVG_DILUT_SHARES_OUT","CY2022")</f>
        <v>294666000</v>
      </c>
      <c r="J228" s="5">
        <f>_xll.SNL.Clients.Office.Excel.Functions.SPG(G228, "IQ_DILUT_EPS_NORM", "CY2022")</f>
        <v>11.563000000000001</v>
      </c>
      <c r="K228">
        <f t="shared" si="20"/>
        <v>3407222.9580000001</v>
      </c>
      <c r="L228">
        <f t="shared" si="21"/>
        <v>5.6567379310344827E-2</v>
      </c>
      <c r="M228" t="s">
        <v>747</v>
      </c>
      <c r="N228" s="4" cm="1">
        <f t="array" ref="N228">_xll.SNL.Clients.Office.Excel.Functions.SPG(M228, "SP_TOTAL_REV", "CY2022")</f>
        <v>4465900</v>
      </c>
      <c r="O228" s="4">
        <f>_xll.SNL.Clients.Office.Excel.Functions.SPG(M228,"IQ_AVG_DILUT_SHARES_OUT","CY2022")</f>
        <v>252147750</v>
      </c>
      <c r="P228" s="5">
        <f>_xll.SNL.Clients.Office.Excel.Functions.SPG(M228, "IQ_DILUT_EPS_NORM", "CY2022")</f>
        <v>3.024</v>
      </c>
      <c r="Q228">
        <f t="shared" si="22"/>
        <v>762494.79599999997</v>
      </c>
      <c r="R228">
        <f t="shared" si="23"/>
        <v>0.17073709577016949</v>
      </c>
    </row>
    <row r="229" spans="1:18" x14ac:dyDescent="0.3">
      <c r="A229" t="s">
        <v>741</v>
      </c>
      <c r="B229" s="4" cm="1">
        <f t="array" ref="B229">_xll.SNL.Clients.Office.Excel.Functions.SPG(A229, "SP_TOTAL_REV", "CY2023")</f>
        <v>2193748</v>
      </c>
      <c r="C229" s="4">
        <f>_xll.SNL.Clients.Office.Excel.Functions.SPG(A229,"IQ_AVG_DILUT_SHARES_OUT","CY2023")</f>
        <v>547275000</v>
      </c>
      <c r="D229" s="5">
        <f>_xll.SNL.Clients.Office.Excel.Functions.SPG(A229, "IQ_DILUT_EPS_NORM", "CY2023")</f>
        <v>0.22</v>
      </c>
      <c r="E229">
        <f t="shared" si="18"/>
        <v>120400.5</v>
      </c>
      <c r="F229">
        <f t="shared" si="19"/>
        <v>5.4883468839629711E-2</v>
      </c>
      <c r="G229" t="s">
        <v>741</v>
      </c>
      <c r="H229" s="4" cm="1">
        <f t="array" ref="H229">_xll.SNL.Clients.Office.Excel.Functions.SPG(G229, "SP_TOTAL_REV", "CY2022")</f>
        <v>2082528</v>
      </c>
      <c r="I229" s="4">
        <f>_xll.SNL.Clients.Office.Excel.Functions.SPG(G229,"IQ_AVG_DILUT_SHARES_OUT","CY2022")</f>
        <v>539147000</v>
      </c>
      <c r="J229" s="5">
        <f>_xll.SNL.Clients.Office.Excel.Functions.SPG(G229, "IQ_DILUT_EPS_NORM", "CY2022")</f>
        <v>0.20599999999999999</v>
      </c>
      <c r="K229">
        <f t="shared" si="20"/>
        <v>111064.28200000001</v>
      </c>
      <c r="L229">
        <f t="shared" si="21"/>
        <v>5.3331471173496833E-2</v>
      </c>
      <c r="M229" t="s">
        <v>748</v>
      </c>
      <c r="N229" s="4" cm="1">
        <f t="array" ref="N229">_xll.SNL.Clients.Office.Excel.Functions.SPG(M229, "SP_TOTAL_REV", "CY2022")</f>
        <v>157403000</v>
      </c>
      <c r="O229" s="4">
        <f>_xll.SNL.Clients.Office.Excel.Functions.SPG(M229,"IQ_AVG_DILUT_SHARES_OUT","CY2022")</f>
        <v>1025000000</v>
      </c>
      <c r="P229" s="5">
        <f>_xll.SNL.Clients.Office.Excel.Functions.SPG(M229, "IQ_DILUT_EPS_NORM", "CY2022")</f>
        <v>13.705</v>
      </c>
      <c r="Q229">
        <f t="shared" si="22"/>
        <v>14047625</v>
      </c>
      <c r="R229">
        <f t="shared" si="23"/>
        <v>8.9246234188674931E-2</v>
      </c>
    </row>
    <row r="230" spans="1:18" x14ac:dyDescent="0.3">
      <c r="A230" t="s">
        <v>742</v>
      </c>
      <c r="B230" s="4" cm="1">
        <f t="array" ref="B230">_xll.SNL.Clients.Office.Excel.Functions.SPG(A230, "SP_TOTAL_REV", "CY2023")</f>
        <v>12339000</v>
      </c>
      <c r="C230" s="4">
        <f>_xll.SNL.Clients.Office.Excel.Functions.SPG(A230,"IQ_AVG_DILUT_SHARES_OUT","CY2023")</f>
        <v>131748171</v>
      </c>
      <c r="D230" s="5">
        <f>_xll.SNL.Clients.Office.Excel.Functions.SPG(A230, "IQ_DILUT_EPS_NORM", "CY2023")</f>
        <v>2.8650000000000002</v>
      </c>
      <c r="E230">
        <f t="shared" si="18"/>
        <v>377458.509915</v>
      </c>
      <c r="F230">
        <f t="shared" si="19"/>
        <v>3.0590688865791395E-2</v>
      </c>
      <c r="G230" t="s">
        <v>742</v>
      </c>
      <c r="H230" s="4" cm="1">
        <f t="array" ref="H230">_xll.SNL.Clients.Office.Excel.Functions.SPG(G230, "SP_TOTAL_REV", "CY2022")</f>
        <v>12647000</v>
      </c>
      <c r="I230" s="4">
        <f>_xll.SNL.Clients.Office.Excel.Functions.SPG(G230,"IQ_AVG_DILUT_SHARES_OUT","CY2022")</f>
        <v>137755670</v>
      </c>
      <c r="J230" s="5">
        <f>_xll.SNL.Clients.Office.Excel.Functions.SPG(G230, "IQ_DILUT_EPS_NORM", "CY2022")</f>
        <v>3.73</v>
      </c>
      <c r="K230">
        <f t="shared" si="20"/>
        <v>513828.64910000004</v>
      </c>
      <c r="L230">
        <f t="shared" si="21"/>
        <v>4.0628500759073302E-2</v>
      </c>
      <c r="M230" t="s">
        <v>749</v>
      </c>
      <c r="N230" s="4" cm="1">
        <f t="array" ref="N230">_xll.SNL.Clients.Office.Excel.Functions.SPG(M230, "SP_TOTAL_REV", "CY2022")</f>
        <v>35466000</v>
      </c>
      <c r="O230" s="4">
        <f>_xll.SNL.Clients.Office.Excel.Functions.SPG(M230,"IQ_AVG_DILUT_SHARES_OUT","CY2022")</f>
        <v>683100000</v>
      </c>
      <c r="P230" s="5" t="str">
        <f>_xll.SNL.Clients.Office.Excel.Functions.SPG(M230, "IQ_DILUT_EPS_NORM", "CY2022")</f>
        <v>NA</v>
      </c>
      <c r="Q230" t="e">
        <f t="shared" si="22"/>
        <v>#VALUE!</v>
      </c>
      <c r="R230" t="e">
        <f t="shared" si="23"/>
        <v>#VALUE!</v>
      </c>
    </row>
    <row r="231" spans="1:18" x14ac:dyDescent="0.3">
      <c r="A231" t="s">
        <v>743</v>
      </c>
      <c r="B231" s="4" cm="1">
        <f t="array" ref="B231">_xll.SNL.Clients.Office.Excel.Functions.SPG(A231, "SP_TOTAL_REV", "CY2023")</f>
        <v>11164992</v>
      </c>
      <c r="C231" s="4">
        <f>_xll.SNL.Clients.Office.Excel.Functions.SPG(A231,"IQ_AVG_DILUT_SHARES_OUT","CY2023")</f>
        <v>205547000</v>
      </c>
      <c r="D231" s="5">
        <f>_xll.SNL.Clients.Office.Excel.Functions.SPG(A231, "IQ_DILUT_EPS_NORM", "CY2023")</f>
        <v>7.2539999999999996</v>
      </c>
      <c r="E231">
        <f t="shared" si="18"/>
        <v>1491037.9380000001</v>
      </c>
      <c r="F231">
        <f t="shared" si="19"/>
        <v>0.13354581337810184</v>
      </c>
      <c r="G231" t="s">
        <v>743</v>
      </c>
      <c r="H231" s="4" cm="1">
        <f t="array" ref="H231">_xll.SNL.Clients.Office.Excel.Functions.SPG(G231, "SP_TOTAL_REV", "CY2022")</f>
        <v>10419294</v>
      </c>
      <c r="I231" s="4">
        <f>_xll.SNL.Clients.Office.Excel.Functions.SPG(G231,"IQ_AVG_DILUT_SHARES_OUT","CY2022")</f>
        <v>206575000</v>
      </c>
      <c r="J231" s="5">
        <f>_xll.SNL.Clients.Office.Excel.Functions.SPG(G231, "IQ_DILUT_EPS_NORM", "CY2022")</f>
        <v>6.383</v>
      </c>
      <c r="K231">
        <f t="shared" si="20"/>
        <v>1318568.2250000001</v>
      </c>
      <c r="L231">
        <f t="shared" si="21"/>
        <v>0.12655063049377435</v>
      </c>
      <c r="M231" t="s">
        <v>750</v>
      </c>
      <c r="N231" s="4" cm="1">
        <f t="array" ref="N231">_xll.SNL.Clients.Office.Excel.Functions.SPG(M231, "SP_TOTAL_REV", "CY2022")</f>
        <v>12385440</v>
      </c>
      <c r="O231" s="4">
        <f>_xll.SNL.Clients.Office.Excel.Functions.SPG(M231,"IQ_AVG_DILUT_SHARES_OUT","CY2022")</f>
        <v>550091750</v>
      </c>
      <c r="P231" s="5">
        <f>_xll.SNL.Clients.Office.Excel.Functions.SPG(M231, "IQ_DILUT_EPS_NORM", "CY2022")</f>
        <v>1.421</v>
      </c>
      <c r="Q231">
        <f t="shared" si="22"/>
        <v>781680.37675000005</v>
      </c>
      <c r="R231">
        <f t="shared" si="23"/>
        <v>6.3112846757967425E-2</v>
      </c>
    </row>
    <row r="232" spans="1:18" x14ac:dyDescent="0.3">
      <c r="A232" t="s">
        <v>744</v>
      </c>
      <c r="B232" s="4" cm="1">
        <f t="array" ref="B232">_xll.SNL.Clients.Office.Excel.Functions.SPG(A232, "SP_TOTAL_REV", "CY2023")</f>
        <v>10295000</v>
      </c>
      <c r="C232" s="4">
        <f>_xll.SNL.Clients.Office.Excel.Functions.SPG(A232,"IQ_AVG_DILUT_SHARES_OUT","CY2023")</f>
        <v>307600000</v>
      </c>
      <c r="D232" s="5">
        <f>_xll.SNL.Clients.Office.Excel.Functions.SPG(A232, "IQ_DILUT_EPS_NORM", "CY2023")</f>
        <v>4.0259999999999998</v>
      </c>
      <c r="E232">
        <f t="shared" si="18"/>
        <v>1238397.6000000001</v>
      </c>
      <c r="F232">
        <f t="shared" si="19"/>
        <v>0.12029117047110248</v>
      </c>
      <c r="G232" t="s">
        <v>744</v>
      </c>
      <c r="H232" s="4" cm="1">
        <f t="array" ref="H232">_xll.SNL.Clients.Office.Excel.Functions.SPG(G232, "SP_TOTAL_REV", "CY2022")</f>
        <v>11069000</v>
      </c>
      <c r="I232" s="4">
        <f>_xll.SNL.Clients.Office.Excel.Functions.SPG(G232,"IQ_AVG_DILUT_SHARES_OUT","CY2022")</f>
        <v>309600000</v>
      </c>
      <c r="J232" s="5">
        <f>_xll.SNL.Clients.Office.Excel.Functions.SPG(G232, "IQ_DILUT_EPS_NORM", "CY2022")</f>
        <v>5.93</v>
      </c>
      <c r="K232">
        <f t="shared" si="20"/>
        <v>1835928</v>
      </c>
      <c r="L232">
        <f t="shared" si="21"/>
        <v>0.16586213750112927</v>
      </c>
      <c r="M232" t="s">
        <v>751</v>
      </c>
      <c r="N232" s="4" cm="1">
        <f t="array" ref="N232">_xll.SNL.Clients.Office.Excel.Functions.SPG(M232, "SP_TOTAL_REV", "CY2022")</f>
        <v>4940000</v>
      </c>
      <c r="O232" s="4">
        <f>_xll.SNL.Clients.Office.Excel.Functions.SPG(M232,"IQ_AVG_DILUT_SHARES_OUT","CY2022")</f>
        <v>717500000</v>
      </c>
      <c r="P232" s="5">
        <f>_xll.SNL.Clients.Office.Excel.Functions.SPG(M232, "IQ_DILUT_EPS_NORM", "CY2022")</f>
        <v>0.54100000000000004</v>
      </c>
      <c r="Q232">
        <f t="shared" si="22"/>
        <v>388167.5</v>
      </c>
      <c r="R232">
        <f t="shared" si="23"/>
        <v>7.8576417004048577E-2</v>
      </c>
    </row>
    <row r="233" spans="1:18" x14ac:dyDescent="0.3">
      <c r="A233" t="s">
        <v>745</v>
      </c>
      <c r="B233" s="4" cm="1">
        <f t="array" ref="B233">_xll.SNL.Clients.Office.Excel.Functions.SPG(A233, "SP_TOTAL_REV", "CY2023")</f>
        <v>28081000</v>
      </c>
      <c r="C233" s="4">
        <f>_xll.SNL.Clients.Office.Excel.Functions.SPG(A233,"IQ_AVG_DILUT_SHARES_OUT","CY2023")</f>
        <v>1316250000</v>
      </c>
      <c r="D233" s="5">
        <f>_xll.SNL.Clients.Office.Excel.Functions.SPG(A233, "IQ_DILUT_EPS_NORM", "CY2023")</f>
        <v>1.163</v>
      </c>
      <c r="E233">
        <f t="shared" si="18"/>
        <v>1530798.75</v>
      </c>
      <c r="F233">
        <f t="shared" si="19"/>
        <v>5.4513683629500376E-2</v>
      </c>
      <c r="G233" t="s">
        <v>745</v>
      </c>
      <c r="H233" s="4" cm="1">
        <f t="array" ref="H233">_xll.SNL.Clients.Office.Excel.Functions.SPG(G233, "SP_TOTAL_REV", "CY2022")</f>
        <v>29344000</v>
      </c>
      <c r="I233" s="4">
        <f>_xll.SNL.Clients.Office.Excel.Functions.SPG(G233,"IQ_AVG_DILUT_SHARES_OUT","CY2022")</f>
        <v>1319500000</v>
      </c>
      <c r="J233" s="5">
        <f>_xll.SNL.Clients.Office.Excel.Functions.SPG(G233, "IQ_DILUT_EPS_NORM", "CY2022")</f>
        <v>1.194</v>
      </c>
      <c r="K233">
        <f t="shared" si="20"/>
        <v>1575483</v>
      </c>
      <c r="L233">
        <f t="shared" si="21"/>
        <v>5.3690124045801528E-2</v>
      </c>
      <c r="M233" t="s">
        <v>752</v>
      </c>
      <c r="N233" s="4" cm="1">
        <f t="array" ref="N233">_xll.SNL.Clients.Office.Excel.Functions.SPG(M233, "SP_TOTAL_REV", "CY2022")</f>
        <v>5663000</v>
      </c>
      <c r="O233" s="4">
        <f>_xll.SNL.Clients.Office.Excel.Functions.SPG(M233,"IQ_AVG_DILUT_SHARES_OUT","CY2022")</f>
        <v>421000000</v>
      </c>
      <c r="P233" s="5">
        <f>_xll.SNL.Clients.Office.Excel.Functions.SPG(M233, "IQ_DILUT_EPS_NORM", "CY2022")</f>
        <v>1.1619999999999999</v>
      </c>
      <c r="Q233">
        <f t="shared" si="22"/>
        <v>489201.99999999994</v>
      </c>
      <c r="R233">
        <f t="shared" si="23"/>
        <v>8.6385661310259571E-2</v>
      </c>
    </row>
    <row r="234" spans="1:18" x14ac:dyDescent="0.3">
      <c r="A234" t="s">
        <v>746</v>
      </c>
      <c r="B234" s="4" cm="1">
        <f t="array" ref="B234">_xll.SNL.Clients.Office.Excel.Functions.SPG(A234, "SP_TOTAL_REV", "CY2023")</f>
        <v>4408000</v>
      </c>
      <c r="C234" s="4">
        <f>_xll.SNL.Clients.Office.Excel.Functions.SPG(A234,"IQ_AVG_DILUT_SHARES_OUT","CY2023")</f>
        <v>264000000</v>
      </c>
      <c r="D234" s="5">
        <f>_xll.SNL.Clients.Office.Excel.Functions.SPG(A234, "IQ_DILUT_EPS_NORM", "CY2023")</f>
        <v>4.2759999999999998</v>
      </c>
      <c r="E234">
        <f t="shared" si="18"/>
        <v>1128864</v>
      </c>
      <c r="F234">
        <f t="shared" si="19"/>
        <v>0.25609437386569872</v>
      </c>
      <c r="G234" t="s">
        <v>746</v>
      </c>
      <c r="H234" s="4" cm="1">
        <f t="array" ref="H234">_xll.SNL.Clients.Office.Excel.Functions.SPG(G234, "SP_TOTAL_REV", "CY2022")</f>
        <v>3736000</v>
      </c>
      <c r="I234" s="4">
        <f>_xll.SNL.Clients.Office.Excel.Functions.SPG(G234,"IQ_AVG_DILUT_SHARES_OUT","CY2022")</f>
        <v>277000000</v>
      </c>
      <c r="J234" s="5">
        <f>_xll.SNL.Clients.Office.Excel.Functions.SPG(G234, "IQ_DILUT_EPS_NORM", "CY2022")</f>
        <v>3.9049999999999998</v>
      </c>
      <c r="K234">
        <f t="shared" si="20"/>
        <v>1081685</v>
      </c>
      <c r="L234">
        <f t="shared" si="21"/>
        <v>0.28953024625267665</v>
      </c>
      <c r="M234" t="s">
        <v>753</v>
      </c>
      <c r="N234" s="4" cm="1">
        <f t="array" ref="N234">_xll.SNL.Clients.Office.Excel.Functions.SPG(M234, "SP_TOTAL_REV", "CY2022")</f>
        <v>59680000</v>
      </c>
      <c r="O234" s="4">
        <f>_xll.SNL.Clients.Office.Excel.Functions.SPG(M234,"IQ_AVG_DILUT_SHARES_OUT","CY2022")</f>
        <v>1025500000</v>
      </c>
      <c r="P234" s="5">
        <f>_xll.SNL.Clients.Office.Excel.Functions.SPG(M234, "IQ_DILUT_EPS_NORM", "CY2022")</f>
        <v>2.5979999999999999</v>
      </c>
      <c r="Q234">
        <f t="shared" si="22"/>
        <v>2664249</v>
      </c>
      <c r="R234">
        <f t="shared" si="23"/>
        <v>4.4642241957104555E-2</v>
      </c>
    </row>
    <row r="235" spans="1:18" x14ac:dyDescent="0.3">
      <c r="A235" t="s">
        <v>747</v>
      </c>
      <c r="B235" s="4" cm="1">
        <f t="array" ref="B235">_xll.SNL.Clients.Office.Excel.Functions.SPG(A235, "SP_TOTAL_REV", "CY2023")</f>
        <v>3969300</v>
      </c>
      <c r="C235" s="4">
        <f>_xll.SNL.Clients.Office.Excel.Functions.SPG(A235,"IQ_AVG_DILUT_SHARES_OUT","CY2023")</f>
        <v>246564250</v>
      </c>
      <c r="D235" s="5">
        <f>_xll.SNL.Clients.Office.Excel.Functions.SPG(A235, "IQ_DILUT_EPS_NORM", "CY2023")</f>
        <v>2.3969999999999998</v>
      </c>
      <c r="E235">
        <f t="shared" si="18"/>
        <v>591014.50725000002</v>
      </c>
      <c r="F235">
        <f t="shared" si="19"/>
        <v>0.14889640673418489</v>
      </c>
      <c r="G235" t="s">
        <v>747</v>
      </c>
      <c r="H235" s="4" cm="1">
        <f t="array" ref="H235">_xll.SNL.Clients.Office.Excel.Functions.SPG(G235, "SP_TOTAL_REV", "CY2022")</f>
        <v>4465900</v>
      </c>
      <c r="I235" s="4">
        <f>_xll.SNL.Clients.Office.Excel.Functions.SPG(G235,"IQ_AVG_DILUT_SHARES_OUT","CY2022")</f>
        <v>252147750</v>
      </c>
      <c r="J235" s="5">
        <f>_xll.SNL.Clients.Office.Excel.Functions.SPG(G235, "IQ_DILUT_EPS_NORM", "CY2022")</f>
        <v>3.024</v>
      </c>
      <c r="K235">
        <f t="shared" si="20"/>
        <v>762494.79599999997</v>
      </c>
      <c r="L235">
        <f t="shared" si="21"/>
        <v>0.17073709577016949</v>
      </c>
      <c r="M235" t="s">
        <v>755</v>
      </c>
      <c r="N235" s="4" cm="1">
        <f t="array" ref="N235">_xll.SNL.Clients.Office.Excel.Functions.SPG(M235, "SP_TOTAL_REV", "CY2022")</f>
        <v>92870000</v>
      </c>
      <c r="O235" s="4">
        <f>_xll.SNL.Clients.Office.Excel.Functions.SPG(M235,"IQ_AVG_DILUT_SHARES_OUT","CY2022")</f>
        <v>127094000</v>
      </c>
      <c r="P235" s="5">
        <f>_xll.SNL.Clients.Office.Excel.Functions.SPG(M235, "IQ_DILUT_EPS_NORM", "CY2022")</f>
        <v>18.718</v>
      </c>
      <c r="Q235">
        <f t="shared" si="22"/>
        <v>2378945.4920000001</v>
      </c>
      <c r="R235">
        <f t="shared" si="23"/>
        <v>2.5615866178529127E-2</v>
      </c>
    </row>
    <row r="236" spans="1:18" x14ac:dyDescent="0.3">
      <c r="A236" t="s">
        <v>748</v>
      </c>
      <c r="B236" s="4" cm="1">
        <f t="array" ref="B236">_xll.SNL.Clients.Office.Excel.Functions.SPG(A236, "SP_TOTAL_REV", "CY2023")</f>
        <v>152669000</v>
      </c>
      <c r="C236" s="4">
        <f>_xll.SNL.Clients.Office.Excel.Functions.SPG(A236,"IQ_AVG_DILUT_SHARES_OUT","CY2023")</f>
        <v>1002000000</v>
      </c>
      <c r="D236" s="5">
        <f>_xll.SNL.Clients.Office.Excel.Functions.SPG(A236, "IQ_DILUT_EPS_NORM", "CY2023")</f>
        <v>12.428000000000001</v>
      </c>
      <c r="E236">
        <f t="shared" si="18"/>
        <v>12452856</v>
      </c>
      <c r="F236">
        <f t="shared" si="19"/>
        <v>8.1567679096607698E-2</v>
      </c>
      <c r="G236" t="s">
        <v>748</v>
      </c>
      <c r="H236" s="4" cm="1">
        <f t="array" ref="H236">_xll.SNL.Clients.Office.Excel.Functions.SPG(G236, "SP_TOTAL_REV", "CY2022")</f>
        <v>157403000</v>
      </c>
      <c r="I236" s="4">
        <f>_xll.SNL.Clients.Office.Excel.Functions.SPG(G236,"IQ_AVG_DILUT_SHARES_OUT","CY2022")</f>
        <v>1025000000</v>
      </c>
      <c r="J236" s="5">
        <f>_xll.SNL.Clients.Office.Excel.Functions.SPG(G236, "IQ_DILUT_EPS_NORM", "CY2022")</f>
        <v>13.705</v>
      </c>
      <c r="K236">
        <f t="shared" si="20"/>
        <v>14047625</v>
      </c>
      <c r="L236">
        <f t="shared" si="21"/>
        <v>8.9246234188674931E-2</v>
      </c>
      <c r="M236" t="s">
        <v>756</v>
      </c>
      <c r="N236" s="4" cm="1">
        <f t="array" ref="N236">_xll.SNL.Clients.Office.Excel.Functions.SPG(M236, "SP_TOTAL_REV", "CY2022")</f>
        <v>7254000</v>
      </c>
      <c r="O236" s="4">
        <f>_xll.SNL.Clients.Office.Excel.Functions.SPG(M236,"IQ_AVG_DILUT_SHARES_OUT","CY2022")</f>
        <v>1465220000</v>
      </c>
      <c r="P236" s="5">
        <f>_xll.SNL.Clients.Office.Excel.Functions.SPG(M236, "IQ_DILUT_EPS_NORM", "CY2022")</f>
        <v>1.206</v>
      </c>
      <c r="Q236">
        <f t="shared" si="22"/>
        <v>1767055.32</v>
      </c>
      <c r="R236">
        <f t="shared" si="23"/>
        <v>0.24359736972704715</v>
      </c>
    </row>
    <row r="237" spans="1:18" x14ac:dyDescent="0.3">
      <c r="A237" t="s">
        <v>749</v>
      </c>
      <c r="B237" s="4" cm="1">
        <f t="array" ref="B237">_xll.SNL.Clients.Office.Excel.Functions.SPG(A237, "SP_TOTAL_REV", "CY2023")</f>
        <v>36662000</v>
      </c>
      <c r="C237" s="4">
        <f>_xll.SNL.Clients.Office.Excel.Functions.SPG(A237,"IQ_AVG_DILUT_SHARES_OUT","CY2023")</f>
        <v>668200000</v>
      </c>
      <c r="D237" s="5" t="str">
        <f>_xll.SNL.Clients.Office.Excel.Functions.SPG(A237, "IQ_DILUT_EPS_NORM", "CY2023")</f>
        <v>NA</v>
      </c>
      <c r="E237" t="e">
        <f t="shared" si="18"/>
        <v>#VALUE!</v>
      </c>
      <c r="F237" t="e">
        <f t="shared" si="19"/>
        <v>#VALUE!</v>
      </c>
      <c r="G237" t="s">
        <v>749</v>
      </c>
      <c r="H237" s="4" cm="1">
        <f t="array" ref="H237">_xll.SNL.Clients.Office.Excel.Functions.SPG(G237, "SP_TOTAL_REV", "CY2022")</f>
        <v>35466000</v>
      </c>
      <c r="I237" s="4">
        <f>_xll.SNL.Clients.Office.Excel.Functions.SPG(G237,"IQ_AVG_DILUT_SHARES_OUT","CY2022")</f>
        <v>683100000</v>
      </c>
      <c r="J237" s="5" t="str">
        <f>_xll.SNL.Clients.Office.Excel.Functions.SPG(G237, "IQ_DILUT_EPS_NORM", "CY2022")</f>
        <v>NA</v>
      </c>
      <c r="K237" t="e">
        <f t="shared" si="20"/>
        <v>#VALUE!</v>
      </c>
      <c r="L237" t="e">
        <f t="shared" si="21"/>
        <v>#VALUE!</v>
      </c>
      <c r="M237" t="s">
        <v>757</v>
      </c>
      <c r="N237" s="4" cm="1">
        <f t="array" ref="N237">_xll.SNL.Clients.Office.Excel.Functions.SPG(M237, "SP_TOTAL_REV", "CY2022")</f>
        <v>10676000</v>
      </c>
      <c r="O237" s="4">
        <f>_xll.SNL.Clients.Office.Excel.Functions.SPG(M237,"IQ_AVG_DILUT_SHARES_OUT","CY2022")</f>
        <v>40100000</v>
      </c>
      <c r="P237" s="5">
        <f>_xll.SNL.Clients.Office.Excel.Functions.SPG(M237, "IQ_DILUT_EPS_NORM", "CY2022")</f>
        <v>11.596</v>
      </c>
      <c r="Q237">
        <f t="shared" si="22"/>
        <v>464999.6</v>
      </c>
      <c r="R237">
        <f t="shared" si="23"/>
        <v>4.3555601348819778E-2</v>
      </c>
    </row>
    <row r="238" spans="1:18" x14ac:dyDescent="0.3">
      <c r="A238" t="s">
        <v>750</v>
      </c>
      <c r="B238" s="4" cm="1">
        <f t="array" ref="B238">_xll.SNL.Clients.Office.Excel.Functions.SPG(A238, "SP_TOTAL_REV", "CY2023")</f>
        <v>12135929</v>
      </c>
      <c r="C238" s="4">
        <f>_xll.SNL.Clients.Office.Excel.Functions.SPG(A238,"IQ_AVG_DILUT_SHARES_OUT","CY2023")</f>
        <v>548454250</v>
      </c>
      <c r="D238" s="5">
        <f>_xll.SNL.Clients.Office.Excel.Functions.SPG(A238, "IQ_DILUT_EPS_NORM", "CY2023")</f>
        <v>1.194</v>
      </c>
      <c r="E238">
        <f t="shared" si="18"/>
        <v>654854.37450000003</v>
      </c>
      <c r="F238">
        <f t="shared" si="19"/>
        <v>5.3959970802400052E-2</v>
      </c>
      <c r="G238" t="s">
        <v>750</v>
      </c>
      <c r="H238" s="4" cm="1">
        <f t="array" ref="H238">_xll.SNL.Clients.Office.Excel.Functions.SPG(G238, "SP_TOTAL_REV", "CY2022")</f>
        <v>12385440</v>
      </c>
      <c r="I238" s="4">
        <f>_xll.SNL.Clients.Office.Excel.Functions.SPG(G238,"IQ_AVG_DILUT_SHARES_OUT","CY2022")</f>
        <v>550091750</v>
      </c>
      <c r="J238" s="5">
        <f>_xll.SNL.Clients.Office.Excel.Functions.SPG(G238, "IQ_DILUT_EPS_NORM", "CY2022")</f>
        <v>1.421</v>
      </c>
      <c r="K238">
        <f t="shared" si="20"/>
        <v>781680.37675000005</v>
      </c>
      <c r="L238">
        <f t="shared" si="21"/>
        <v>6.3112846757967425E-2</v>
      </c>
      <c r="M238" t="s">
        <v>758</v>
      </c>
      <c r="N238" s="4" cm="1">
        <f t="array" ref="N238">_xll.SNL.Clients.Office.Excel.Functions.SPG(M238, "SP_TOTAL_REV", "CY2022")</f>
        <v>60530000</v>
      </c>
      <c r="O238" s="4">
        <f>_xll.SNL.Clients.Office.Excel.Functions.SPG(M238,"IQ_AVG_DILUT_SHARES_OUT","CY2022")</f>
        <v>912269062</v>
      </c>
      <c r="P238" s="5">
        <f>_xll.SNL.Clients.Office.Excel.Functions.SPG(M238, "IQ_DILUT_EPS_NORM", "CY2022")</f>
        <v>5.0529999999999999</v>
      </c>
      <c r="Q238">
        <f t="shared" si="22"/>
        <v>4609695.5702860001</v>
      </c>
      <c r="R238">
        <f t="shared" si="23"/>
        <v>7.6155552127639192E-2</v>
      </c>
    </row>
    <row r="239" spans="1:18" x14ac:dyDescent="0.3">
      <c r="A239" t="s">
        <v>751</v>
      </c>
      <c r="B239" s="4" cm="1">
        <f t="array" ref="B239">_xll.SNL.Clients.Office.Excel.Functions.SPG(A239, "SP_TOTAL_REV", "CY2023")</f>
        <v>5392000</v>
      </c>
      <c r="C239" s="4">
        <f>_xll.SNL.Clients.Office.Excel.Functions.SPG(A239,"IQ_AVG_DILUT_SHARES_OUT","CY2023")</f>
        <v>712800000</v>
      </c>
      <c r="D239" s="5">
        <f>_xll.SNL.Clients.Office.Excel.Functions.SPG(A239, "IQ_DILUT_EPS_NORM", "CY2023")</f>
        <v>0.61299999999999999</v>
      </c>
      <c r="E239">
        <f t="shared" si="18"/>
        <v>436946.4</v>
      </c>
      <c r="F239">
        <f t="shared" si="19"/>
        <v>8.1036053412462908E-2</v>
      </c>
      <c r="G239" t="s">
        <v>751</v>
      </c>
      <c r="H239" s="4" cm="1">
        <f t="array" ref="H239">_xll.SNL.Clients.Office.Excel.Functions.SPG(G239, "SP_TOTAL_REV", "CY2022")</f>
        <v>4940000</v>
      </c>
      <c r="I239" s="4">
        <f>_xll.SNL.Clients.Office.Excel.Functions.SPG(G239,"IQ_AVG_DILUT_SHARES_OUT","CY2022")</f>
        <v>717500000</v>
      </c>
      <c r="J239" s="5">
        <f>_xll.SNL.Clients.Office.Excel.Functions.SPG(G239, "IQ_DILUT_EPS_NORM", "CY2022")</f>
        <v>0.54100000000000004</v>
      </c>
      <c r="K239">
        <f t="shared" si="20"/>
        <v>388167.5</v>
      </c>
      <c r="L239">
        <f t="shared" si="21"/>
        <v>7.8576417004048577E-2</v>
      </c>
      <c r="M239" t="s">
        <v>759</v>
      </c>
      <c r="N239" s="4" cm="1">
        <f t="array" ref="N239">_xll.SNL.Clients.Office.Excel.Functions.SPG(M239, "SP_TOTAL_REV", "CY2022")</f>
        <v>3181900</v>
      </c>
      <c r="O239" s="4">
        <f>_xll.SNL.Clients.Office.Excel.Functions.SPG(M239,"IQ_AVG_DILUT_SHARES_OUT","CY2022")</f>
        <v>76000000</v>
      </c>
      <c r="P239" s="5">
        <f>_xll.SNL.Clients.Office.Excel.Functions.SPG(M239, "IQ_DILUT_EPS_NORM", "CY2022")</f>
        <v>6.17</v>
      </c>
      <c r="Q239">
        <f t="shared" si="22"/>
        <v>468920</v>
      </c>
      <c r="R239">
        <f t="shared" si="23"/>
        <v>0.14737106760111882</v>
      </c>
    </row>
    <row r="240" spans="1:18" x14ac:dyDescent="0.3">
      <c r="A240" t="s">
        <v>752</v>
      </c>
      <c r="B240" s="4" cm="1">
        <f t="array" ref="B240">_xll.SNL.Clients.Office.Excel.Functions.SPG(A240, "SP_TOTAL_REV", "CY2023")</f>
        <v>6640000</v>
      </c>
      <c r="C240" s="4">
        <f>_xll.SNL.Clients.Office.Excel.Functions.SPG(A240,"IQ_AVG_DILUT_SHARES_OUT","CY2023")</f>
        <v>416000000</v>
      </c>
      <c r="D240" s="5">
        <f>_xll.SNL.Clients.Office.Excel.Functions.SPG(A240, "IQ_DILUT_EPS_NORM", "CY2023")</f>
        <v>1.48</v>
      </c>
      <c r="E240">
        <f t="shared" si="18"/>
        <v>615680</v>
      </c>
      <c r="F240">
        <f t="shared" si="19"/>
        <v>9.2722891566265064E-2</v>
      </c>
      <c r="G240" t="s">
        <v>752</v>
      </c>
      <c r="H240" s="4" cm="1">
        <f t="array" ref="H240">_xll.SNL.Clients.Office.Excel.Functions.SPG(G240, "SP_TOTAL_REV", "CY2022")</f>
        <v>5663000</v>
      </c>
      <c r="I240" s="4">
        <f>_xll.SNL.Clients.Office.Excel.Functions.SPG(G240,"IQ_AVG_DILUT_SHARES_OUT","CY2022")</f>
        <v>421000000</v>
      </c>
      <c r="J240" s="5">
        <f>_xll.SNL.Clients.Office.Excel.Functions.SPG(G240, "IQ_DILUT_EPS_NORM", "CY2022")</f>
        <v>1.1619999999999999</v>
      </c>
      <c r="K240">
        <f t="shared" si="20"/>
        <v>489201.99999999994</v>
      </c>
      <c r="L240">
        <f t="shared" si="21"/>
        <v>8.6385661310259571E-2</v>
      </c>
      <c r="M240" t="s">
        <v>760</v>
      </c>
      <c r="N240" s="4" cm="1">
        <f t="array" ref="N240">_xll.SNL.Clients.Office.Excel.Functions.SPG(M240, "SP_TOTAL_REV", "CY2022")</f>
        <v>3367324</v>
      </c>
      <c r="O240" s="4">
        <f>_xll.SNL.Clients.Office.Excel.Functions.SPG(M240,"IQ_AVG_DILUT_SHARES_OUT","CY2022")</f>
        <v>84600000</v>
      </c>
      <c r="P240" s="5">
        <f>_xll.SNL.Clients.Office.Excel.Functions.SPG(M240, "IQ_DILUT_EPS_NORM", "CY2022")</f>
        <v>6.3529999999999998</v>
      </c>
      <c r="Q240">
        <f t="shared" si="22"/>
        <v>537463.80000000005</v>
      </c>
      <c r="R240">
        <f t="shared" si="23"/>
        <v>0.15961154911140124</v>
      </c>
    </row>
    <row r="241" spans="1:18" x14ac:dyDescent="0.3">
      <c r="A241" t="s">
        <v>753</v>
      </c>
      <c r="B241" s="4" cm="1">
        <f t="array" ref="B241">_xll.SNL.Clients.Office.Excel.Functions.SPG(A241, "SP_TOTAL_REV", "CY2023")</f>
        <v>53105000</v>
      </c>
      <c r="C241" s="4">
        <f>_xll.SNL.Clients.Office.Excel.Functions.SPG(A241,"IQ_AVG_DILUT_SHARES_OUT","CY2023")</f>
        <v>1001500000</v>
      </c>
      <c r="D241" s="5">
        <f>_xll.SNL.Clients.Office.Excel.Functions.SPG(A241, "IQ_DILUT_EPS_NORM", "CY2023")</f>
        <v>2.3860000000000001</v>
      </c>
      <c r="E241">
        <f t="shared" si="18"/>
        <v>2389579</v>
      </c>
      <c r="F241">
        <f t="shared" si="19"/>
        <v>4.4997250729686473E-2</v>
      </c>
      <c r="G241" t="s">
        <v>753</v>
      </c>
      <c r="H241" s="4" cm="1">
        <f t="array" ref="H241">_xll.SNL.Clients.Office.Excel.Functions.SPG(G241, "SP_TOTAL_REV", "CY2022")</f>
        <v>59680000</v>
      </c>
      <c r="I241" s="4">
        <f>_xll.SNL.Clients.Office.Excel.Functions.SPG(G241,"IQ_AVG_DILUT_SHARES_OUT","CY2022")</f>
        <v>1025500000</v>
      </c>
      <c r="J241" s="5">
        <f>_xll.SNL.Clients.Office.Excel.Functions.SPG(G241, "IQ_DILUT_EPS_NORM", "CY2022")</f>
        <v>2.5979999999999999</v>
      </c>
      <c r="K241">
        <f t="shared" si="20"/>
        <v>2664249</v>
      </c>
      <c r="L241">
        <f t="shared" si="21"/>
        <v>4.4642241957104555E-2</v>
      </c>
      <c r="M241" t="s">
        <v>761</v>
      </c>
      <c r="N241" s="4" cm="1">
        <f t="array" ref="N241">_xll.SNL.Clients.Office.Excel.Functions.SPG(M241, "SP_TOTAL_REV", "CY2022")</f>
        <v>15932000</v>
      </c>
      <c r="O241" s="4">
        <f>_xll.SNL.Clients.Office.Excel.Functions.SPG(M241,"IQ_AVG_DILUT_SHARES_OUT","CY2022")</f>
        <v>310700000</v>
      </c>
      <c r="P241" s="5">
        <f>_xll.SNL.Clients.Office.Excel.Functions.SPG(M241, "IQ_DILUT_EPS_NORM", "CY2022")</f>
        <v>7.3259999999999996</v>
      </c>
      <c r="Q241">
        <f t="shared" si="22"/>
        <v>2276188.2000000002</v>
      </c>
      <c r="R241">
        <f t="shared" si="23"/>
        <v>0.14286895556113482</v>
      </c>
    </row>
    <row r="242" spans="1:18" x14ac:dyDescent="0.3">
      <c r="A242" t="s">
        <v>754</v>
      </c>
      <c r="B242" s="4" cm="1">
        <f t="array" ref="B242">_xll.SNL.Clients.Office.Excel.Functions.SPG(A242, "SP_TOTAL_REV", "CY2023")</f>
        <v>5372900</v>
      </c>
      <c r="C242" s="4">
        <f>_xll.SNL.Clients.Office.Excel.Functions.SPG(A242,"IQ_AVG_DILUT_SHARES_OUT","CY2023")</f>
        <v>54000000</v>
      </c>
      <c r="D242" s="5">
        <f>_xll.SNL.Clients.Office.Excel.Functions.SPG(A242, "IQ_DILUT_EPS_NORM", "CY2023")</f>
        <v>11.327999999999999</v>
      </c>
      <c r="E242">
        <f t="shared" si="18"/>
        <v>611712</v>
      </c>
      <c r="F242">
        <f t="shared" si="19"/>
        <v>0.11385136518453721</v>
      </c>
      <c r="G242" t="s">
        <v>754</v>
      </c>
      <c r="H242" s="4" cm="1">
        <f t="array" ref="H242">_xll.SNL.Clients.Office.Excel.Functions.SPG(G242, "SP_TOTAL_REV", "CY2022")</f>
        <v>4947900</v>
      </c>
      <c r="I242" s="4">
        <f>_xll.SNL.Clients.Office.Excel.Functions.SPG(G242,"IQ_AVG_DILUT_SHARES_OUT","CY2022")</f>
        <v>54100000</v>
      </c>
      <c r="J242" s="5">
        <f>_xll.SNL.Clients.Office.Excel.Functions.SPG(G242, "IQ_DILUT_EPS_NORM", "CY2022")</f>
        <v>7.6070000000000002</v>
      </c>
      <c r="K242">
        <f t="shared" si="20"/>
        <v>411538.7</v>
      </c>
      <c r="L242">
        <f t="shared" si="21"/>
        <v>8.3174417429616607E-2</v>
      </c>
      <c r="M242" t="s">
        <v>762</v>
      </c>
      <c r="N242" s="4" cm="1">
        <f t="array" ref="N242">_xll.SNL.Clients.Office.Excel.Functions.SPG(M242, "SP_TOTAL_REV", "CY2022")</f>
        <v>4584000</v>
      </c>
      <c r="O242" s="4">
        <f>_xll.SNL.Clients.Office.Excel.Functions.SPG(M242,"IQ_AVG_DILUT_SHARES_OUT","CY2022")</f>
        <v>157000000</v>
      </c>
      <c r="P242" s="5">
        <f>_xll.SNL.Clients.Office.Excel.Functions.SPG(M242, "IQ_DILUT_EPS_NORM", "CY2022")</f>
        <v>0.48199999999999998</v>
      </c>
      <c r="Q242">
        <f t="shared" si="22"/>
        <v>75674</v>
      </c>
      <c r="R242">
        <f t="shared" si="23"/>
        <v>1.650828970331588E-2</v>
      </c>
    </row>
    <row r="243" spans="1:18" x14ac:dyDescent="0.3">
      <c r="A243" t="s">
        <v>755</v>
      </c>
      <c r="B243" s="4" cm="1">
        <f t="array" ref="B243">_xll.SNL.Clients.Office.Excel.Functions.SPG(A243, "SP_TOTAL_REV", "CY2023")</f>
        <v>106374000</v>
      </c>
      <c r="C243" s="4">
        <f>_xll.SNL.Clients.Office.Excel.Functions.SPG(A243,"IQ_AVG_DILUT_SHARES_OUT","CY2023")</f>
        <v>124441000</v>
      </c>
      <c r="D243" s="5">
        <f>_xll.SNL.Clients.Office.Excel.Functions.SPG(A243, "IQ_DILUT_EPS_NORM", "CY2023")</f>
        <v>19.532</v>
      </c>
      <c r="E243">
        <f t="shared" si="18"/>
        <v>2430581.6120000002</v>
      </c>
      <c r="F243">
        <f t="shared" si="19"/>
        <v>2.284939564179217E-2</v>
      </c>
      <c r="G243" t="s">
        <v>755</v>
      </c>
      <c r="H243" s="4" cm="1">
        <f t="array" ref="H243">_xll.SNL.Clients.Office.Excel.Functions.SPG(G243, "SP_TOTAL_REV", "CY2022")</f>
        <v>92870000</v>
      </c>
      <c r="I243" s="4">
        <f>_xll.SNL.Clients.Office.Excel.Functions.SPG(G243,"IQ_AVG_DILUT_SHARES_OUT","CY2022")</f>
        <v>127094000</v>
      </c>
      <c r="J243" s="5">
        <f>_xll.SNL.Clients.Office.Excel.Functions.SPG(G243, "IQ_DILUT_EPS_NORM", "CY2022")</f>
        <v>18.718</v>
      </c>
      <c r="K243">
        <f t="shared" si="20"/>
        <v>2378945.4920000001</v>
      </c>
      <c r="L243">
        <f t="shared" si="21"/>
        <v>2.5615866178529127E-2</v>
      </c>
      <c r="M243" t="s">
        <v>763</v>
      </c>
      <c r="N243" s="4" cm="1">
        <f t="array" ref="N243">_xll.SNL.Clients.Office.Excel.Functions.SPG(M243, "SP_TOTAL_REV", "CY2022")</f>
        <v>3394635</v>
      </c>
      <c r="O243" s="4">
        <f>_xll.SNL.Clients.Office.Excel.Functions.SPG(M243,"IQ_AVG_DILUT_SHARES_OUT","CY2022")</f>
        <v>223958000</v>
      </c>
      <c r="P243" s="5">
        <f>_xll.SNL.Clients.Office.Excel.Functions.SPG(M243, "IQ_DILUT_EPS_NORM", "CY2022")</f>
        <v>1.7549999999999999</v>
      </c>
      <c r="Q243">
        <f t="shared" si="22"/>
        <v>393046.29</v>
      </c>
      <c r="R243">
        <f t="shared" si="23"/>
        <v>0.11578455121095493</v>
      </c>
    </row>
    <row r="244" spans="1:18" x14ac:dyDescent="0.3">
      <c r="A244" t="s">
        <v>756</v>
      </c>
      <c r="B244" s="4" cm="1">
        <f t="array" ref="B244">_xll.SNL.Clients.Office.Excel.Functions.SPG(A244, "SP_TOTAL_REV", "CY2023")</f>
        <v>7303000</v>
      </c>
      <c r="C244" s="4">
        <f>_xll.SNL.Clients.Office.Excel.Functions.SPG(A244,"IQ_AVG_DILUT_SHARES_OUT","CY2023")</f>
        <v>1468016000</v>
      </c>
      <c r="D244" s="5">
        <f>_xll.SNL.Clients.Office.Excel.Functions.SPG(A244, "IQ_DILUT_EPS_NORM", "CY2023")</f>
        <v>1.0009999999999999</v>
      </c>
      <c r="E244">
        <f t="shared" si="18"/>
        <v>1469484.0159999998</v>
      </c>
      <c r="F244">
        <f t="shared" si="19"/>
        <v>0.20121648856634258</v>
      </c>
      <c r="G244" t="s">
        <v>756</v>
      </c>
      <c r="H244" s="4" cm="1">
        <f t="array" ref="H244">_xll.SNL.Clients.Office.Excel.Functions.SPG(G244, "SP_TOTAL_REV", "CY2022")</f>
        <v>7254000</v>
      </c>
      <c r="I244" s="4">
        <f>_xll.SNL.Clients.Office.Excel.Functions.SPG(G244,"IQ_AVG_DILUT_SHARES_OUT","CY2022")</f>
        <v>1465220000</v>
      </c>
      <c r="J244" s="5">
        <f>_xll.SNL.Clients.Office.Excel.Functions.SPG(G244, "IQ_DILUT_EPS_NORM", "CY2022")</f>
        <v>1.206</v>
      </c>
      <c r="K244">
        <f t="shared" si="20"/>
        <v>1767055.32</v>
      </c>
      <c r="L244">
        <f t="shared" si="21"/>
        <v>0.24359736972704715</v>
      </c>
      <c r="M244" t="s">
        <v>764</v>
      </c>
      <c r="N244" s="4" cm="1">
        <f t="array" ref="N244">_xll.SNL.Clients.Office.Excel.Functions.SPG(M244, "SP_TOTAL_REV", "CY2022")</f>
        <v>5916300</v>
      </c>
      <c r="O244" s="4">
        <f>_xll.SNL.Clients.Office.Excel.Functions.SPG(M244,"IQ_AVG_DILUT_SHARES_OUT","CY2022")</f>
        <v>410200000</v>
      </c>
      <c r="P244" s="5">
        <f>_xll.SNL.Clients.Office.Excel.Functions.SPG(M244, "IQ_DILUT_EPS_NORM", "CY2022")</f>
        <v>1.218</v>
      </c>
      <c r="Q244">
        <f t="shared" si="22"/>
        <v>499623.6</v>
      </c>
      <c r="R244">
        <f t="shared" si="23"/>
        <v>8.44486587901222E-2</v>
      </c>
    </row>
    <row r="245" spans="1:18" x14ac:dyDescent="0.3">
      <c r="A245" t="s">
        <v>757</v>
      </c>
      <c r="B245" s="4" cm="1">
        <f t="array" ref="B245">_xll.SNL.Clients.Office.Excel.Functions.SPG(A245, "SP_TOTAL_REV", "CY2023")</f>
        <v>11454000</v>
      </c>
      <c r="C245" s="4">
        <f>_xll.SNL.Clients.Office.Excel.Functions.SPG(A245,"IQ_AVG_DILUT_SHARES_OUT","CY2023")</f>
        <v>39900000</v>
      </c>
      <c r="D245" s="5">
        <f>_xll.SNL.Clients.Office.Excel.Functions.SPG(A245, "IQ_DILUT_EPS_NORM", "CY2023")</f>
        <v>11.122</v>
      </c>
      <c r="E245">
        <f t="shared" si="18"/>
        <v>443767.8</v>
      </c>
      <c r="F245">
        <f t="shared" si="19"/>
        <v>3.8743478260869567E-2</v>
      </c>
      <c r="G245" t="s">
        <v>757</v>
      </c>
      <c r="H245" s="4" cm="1">
        <f t="array" ref="H245">_xll.SNL.Clients.Office.Excel.Functions.SPG(G245, "SP_TOTAL_REV", "CY2022")</f>
        <v>10676000</v>
      </c>
      <c r="I245" s="4">
        <f>_xll.SNL.Clients.Office.Excel.Functions.SPG(G245,"IQ_AVG_DILUT_SHARES_OUT","CY2022")</f>
        <v>40100000</v>
      </c>
      <c r="J245" s="5">
        <f>_xll.SNL.Clients.Office.Excel.Functions.SPG(G245, "IQ_DILUT_EPS_NORM", "CY2022")</f>
        <v>11.596</v>
      </c>
      <c r="K245">
        <f t="shared" si="20"/>
        <v>464999.6</v>
      </c>
      <c r="L245">
        <f t="shared" si="21"/>
        <v>4.3555601348819778E-2</v>
      </c>
      <c r="M245" t="s">
        <v>766</v>
      </c>
      <c r="N245" s="4" cm="1">
        <f t="array" ref="N245">_xll.SNL.Clients.Office.Excel.Functions.SPG(M245, "SP_TOTAL_REV", "CY2022")</f>
        <v>63054000</v>
      </c>
      <c r="O245" s="4">
        <f>_xll.SNL.Clients.Office.Excel.Functions.SPG(M245,"IQ_AVG_DILUT_SHARES_OUT","CY2022")</f>
        <v>4123000000</v>
      </c>
      <c r="P245" s="5" t="str">
        <f>_xll.SNL.Clients.Office.Excel.Functions.SPG(M245, "IQ_DILUT_EPS_NORM", "CY2022")</f>
        <v>NA</v>
      </c>
      <c r="Q245" t="e">
        <f t="shared" si="22"/>
        <v>#VALUE!</v>
      </c>
      <c r="R245" t="e">
        <f t="shared" si="23"/>
        <v>#VALUE!</v>
      </c>
    </row>
    <row r="246" spans="1:18" x14ac:dyDescent="0.3">
      <c r="A246" t="s">
        <v>758</v>
      </c>
      <c r="B246" s="4" cm="1">
        <f t="array" ref="B246">_xll.SNL.Clients.Office.Excel.Functions.SPG(A246, "SP_TOTAL_REV", "CY2023")</f>
        <v>61860000</v>
      </c>
      <c r="C246" s="4">
        <f>_xll.SNL.Clients.Office.Excel.Functions.SPG(A246,"IQ_AVG_DILUT_SHARES_OUT","CY2023")</f>
        <v>922073828</v>
      </c>
      <c r="D246" s="5">
        <f>_xll.SNL.Clients.Office.Excel.Functions.SPG(A246, "IQ_DILUT_EPS_NORM", "CY2023")</f>
        <v>6.1779999999999999</v>
      </c>
      <c r="E246">
        <f t="shared" si="18"/>
        <v>5696572.1093839994</v>
      </c>
      <c r="F246">
        <f t="shared" si="19"/>
        <v>9.2088136265502732E-2</v>
      </c>
      <c r="G246" t="s">
        <v>758</v>
      </c>
      <c r="H246" s="4" cm="1">
        <f t="array" ref="H246">_xll.SNL.Clients.Office.Excel.Functions.SPG(G246, "SP_TOTAL_REV", "CY2022")</f>
        <v>60530000</v>
      </c>
      <c r="I246" s="4">
        <f>_xll.SNL.Clients.Office.Excel.Functions.SPG(G246,"IQ_AVG_DILUT_SHARES_OUT","CY2022")</f>
        <v>912269062</v>
      </c>
      <c r="J246" s="5">
        <f>_xll.SNL.Clients.Office.Excel.Functions.SPG(G246, "IQ_DILUT_EPS_NORM", "CY2022")</f>
        <v>5.0529999999999999</v>
      </c>
      <c r="K246">
        <f t="shared" si="20"/>
        <v>4609695.5702860001</v>
      </c>
      <c r="L246">
        <f t="shared" si="21"/>
        <v>7.6155552127639192E-2</v>
      </c>
      <c r="M246" t="s">
        <v>767</v>
      </c>
      <c r="N246" s="4" cm="1">
        <f t="array" ref="N246">_xll.SNL.Clients.Office.Excel.Functions.SPG(M246, "SP_TOTAL_REV", "CY2022")</f>
        <v>7292000</v>
      </c>
      <c r="O246" s="4">
        <f>_xll.SNL.Clients.Office.Excel.Functions.SPG(M246,"IQ_AVG_DILUT_SHARES_OUT","CY2022")</f>
        <v>561000000</v>
      </c>
      <c r="P246" s="5">
        <f>_xll.SNL.Clients.Office.Excel.Functions.SPG(M246, "IQ_DILUT_EPS_NORM", "CY2022")</f>
        <v>1.99</v>
      </c>
      <c r="Q246">
        <f t="shared" si="22"/>
        <v>1116390</v>
      </c>
      <c r="R246">
        <f t="shared" si="23"/>
        <v>0.15309791552386176</v>
      </c>
    </row>
    <row r="247" spans="1:18" x14ac:dyDescent="0.3">
      <c r="A247" t="s">
        <v>759</v>
      </c>
      <c r="B247" s="4" cm="1">
        <f t="array" ref="B247">_xll.SNL.Clients.Office.Excel.Functions.SPG(A247, "SP_TOTAL_REV", "CY2023")</f>
        <v>3273900</v>
      </c>
      <c r="C247" s="4">
        <f>_xll.SNL.Clients.Office.Excel.Functions.SPG(A247,"IQ_AVG_DILUT_SHARES_OUT","CY2023")</f>
        <v>75900000</v>
      </c>
      <c r="D247" s="5">
        <f>_xll.SNL.Clients.Office.Excel.Functions.SPG(A247, "IQ_DILUT_EPS_NORM", "CY2023")</f>
        <v>5.7329999999999997</v>
      </c>
      <c r="E247">
        <f t="shared" si="18"/>
        <v>435134.7</v>
      </c>
      <c r="F247">
        <f t="shared" si="19"/>
        <v>0.13291019884541372</v>
      </c>
      <c r="G247" t="s">
        <v>759</v>
      </c>
      <c r="H247" s="4" cm="1">
        <f t="array" ref="H247">_xll.SNL.Clients.Office.Excel.Functions.SPG(G247, "SP_TOTAL_REV", "CY2022")</f>
        <v>3181900</v>
      </c>
      <c r="I247" s="4">
        <f>_xll.SNL.Clients.Office.Excel.Functions.SPG(G247,"IQ_AVG_DILUT_SHARES_OUT","CY2022")</f>
        <v>76000000</v>
      </c>
      <c r="J247" s="5">
        <f>_xll.SNL.Clients.Office.Excel.Functions.SPG(G247, "IQ_DILUT_EPS_NORM", "CY2022")</f>
        <v>6.17</v>
      </c>
      <c r="K247">
        <f t="shared" si="20"/>
        <v>468920</v>
      </c>
      <c r="L247">
        <f t="shared" si="21"/>
        <v>0.14737106760111882</v>
      </c>
      <c r="M247" t="s">
        <v>768</v>
      </c>
      <c r="N247" s="4" cm="1">
        <f t="array" ref="N247">_xll.SNL.Clients.Office.Excel.Functions.SPG(M247, "SP_TOTAL_REV", "CY2022")</f>
        <v>12440000</v>
      </c>
      <c r="O247" s="4">
        <f>_xll.SNL.Clients.Office.Excel.Functions.SPG(M247,"IQ_AVG_DILUT_SHARES_OUT","CY2022")</f>
        <v>255000000</v>
      </c>
      <c r="P247" s="5">
        <f>_xll.SNL.Clients.Office.Excel.Functions.SPG(M247, "IQ_DILUT_EPS_NORM", "CY2022")</f>
        <v>1.7809999999999999</v>
      </c>
      <c r="Q247">
        <f t="shared" si="22"/>
        <v>454155</v>
      </c>
      <c r="R247">
        <f t="shared" si="23"/>
        <v>3.6507636655948555E-2</v>
      </c>
    </row>
    <row r="248" spans="1:18" x14ac:dyDescent="0.3">
      <c r="A248" t="s">
        <v>760</v>
      </c>
      <c r="B248" s="4" cm="1">
        <f t="array" ref="B248">_xll.SNL.Clients.Office.Excel.Functions.SPG(A248, "SP_TOTAL_REV", "CY2023")</f>
        <v>3660953</v>
      </c>
      <c r="C248" s="4">
        <f>_xll.SNL.Clients.Office.Excel.Functions.SPG(A248,"IQ_AVG_DILUT_SHARES_OUT","CY2023")</f>
        <v>83978000</v>
      </c>
      <c r="D248" s="5">
        <f>_xll.SNL.Clients.Office.Excel.Functions.SPG(A248, "IQ_DILUT_EPS_NORM", "CY2023")</f>
        <v>7.8979999999999997</v>
      </c>
      <c r="E248">
        <f t="shared" si="18"/>
        <v>663258.24399999995</v>
      </c>
      <c r="F248">
        <f t="shared" si="19"/>
        <v>0.18117092571251256</v>
      </c>
      <c r="G248" t="s">
        <v>760</v>
      </c>
      <c r="H248" s="4" cm="1">
        <f t="array" ref="H248">_xll.SNL.Clients.Office.Excel.Functions.SPG(G248, "SP_TOTAL_REV", "CY2022")</f>
        <v>3367324</v>
      </c>
      <c r="I248" s="4">
        <f>_xll.SNL.Clients.Office.Excel.Functions.SPG(G248,"IQ_AVG_DILUT_SHARES_OUT","CY2022")</f>
        <v>84600000</v>
      </c>
      <c r="J248" s="5">
        <f>_xll.SNL.Clients.Office.Excel.Functions.SPG(G248, "IQ_DILUT_EPS_NORM", "CY2022")</f>
        <v>6.3529999999999998</v>
      </c>
      <c r="K248">
        <f t="shared" si="20"/>
        <v>537463.80000000005</v>
      </c>
      <c r="L248">
        <f t="shared" si="21"/>
        <v>0.15961154911140124</v>
      </c>
      <c r="M248" t="s">
        <v>769</v>
      </c>
      <c r="N248" s="4" cm="1">
        <f t="array" ref="N248">_xll.SNL.Clients.Office.Excel.Functions.SPG(M248, "SP_TOTAL_REV", "CY2022")</f>
        <v>21161000</v>
      </c>
      <c r="O248" s="4">
        <f>_xll.SNL.Clients.Office.Excel.Functions.SPG(M248,"IQ_AVG_DILUT_SHARES_OUT","CY2022")</f>
        <v>367000000</v>
      </c>
      <c r="P248" s="5">
        <f>_xll.SNL.Clients.Office.Excel.Functions.SPG(M248, "IQ_DILUT_EPS_NORM", "CY2022")</f>
        <v>2.8490000000000002</v>
      </c>
      <c r="Q248">
        <f t="shared" si="22"/>
        <v>1045583.0000000001</v>
      </c>
      <c r="R248">
        <f t="shared" si="23"/>
        <v>4.9410850148858758E-2</v>
      </c>
    </row>
    <row r="249" spans="1:18" x14ac:dyDescent="0.3">
      <c r="A249" t="s">
        <v>761</v>
      </c>
      <c r="B249" s="4" cm="1">
        <f t="array" ref="B249">_xll.SNL.Clients.Office.Excel.Functions.SPG(A249, "SP_TOTAL_REV", "CY2023")</f>
        <v>16107000</v>
      </c>
      <c r="C249" s="4">
        <f>_xll.SNL.Clients.Office.Excel.Functions.SPG(A249,"IQ_AVG_DILUT_SHARES_OUT","CY2023")</f>
        <v>303600000</v>
      </c>
      <c r="D249" s="5">
        <f>_xll.SNL.Clients.Office.Excel.Functions.SPG(A249, "IQ_DILUT_EPS_NORM", "CY2023")</f>
        <v>7.8639999999999999</v>
      </c>
      <c r="E249">
        <f t="shared" si="18"/>
        <v>2387510.4</v>
      </c>
      <c r="F249">
        <f t="shared" si="19"/>
        <v>0.14822812441795491</v>
      </c>
      <c r="G249" t="s">
        <v>761</v>
      </c>
      <c r="H249" s="4" cm="1">
        <f t="array" ref="H249">_xll.SNL.Clients.Office.Excel.Functions.SPG(G249, "SP_TOTAL_REV", "CY2022")</f>
        <v>15932000</v>
      </c>
      <c r="I249" s="4">
        <f>_xll.SNL.Clients.Office.Excel.Functions.SPG(G249,"IQ_AVG_DILUT_SHARES_OUT","CY2022")</f>
        <v>310700000</v>
      </c>
      <c r="J249" s="5">
        <f>_xll.SNL.Clients.Office.Excel.Functions.SPG(G249, "IQ_DILUT_EPS_NORM", "CY2022")</f>
        <v>7.3259999999999996</v>
      </c>
      <c r="K249">
        <f t="shared" si="20"/>
        <v>2276188.2000000002</v>
      </c>
      <c r="L249">
        <f t="shared" si="21"/>
        <v>0.14286895556113482</v>
      </c>
      <c r="M249" t="s">
        <v>770</v>
      </c>
      <c r="N249" s="4" cm="1">
        <f t="array" ref="N249">_xll.SNL.Clients.Office.Excel.Functions.SPG(M249, "SP_TOTAL_REV", "CY2022")</f>
        <v>9449400</v>
      </c>
      <c r="O249" s="4">
        <f>_xll.SNL.Clients.Office.Excel.Functions.SPG(M249,"IQ_AVG_DILUT_SHARES_OUT","CY2022")</f>
        <v>395100000</v>
      </c>
      <c r="P249" s="5">
        <f>_xll.SNL.Clients.Office.Excel.Functions.SPG(M249, "IQ_DILUT_EPS_NORM", "CY2022")</f>
        <v>2.153</v>
      </c>
      <c r="Q249">
        <f t="shared" si="22"/>
        <v>850650.3</v>
      </c>
      <c r="R249">
        <f t="shared" si="23"/>
        <v>9.0021620420344159E-2</v>
      </c>
    </row>
    <row r="250" spans="1:18" x14ac:dyDescent="0.3">
      <c r="A250" t="s">
        <v>762</v>
      </c>
      <c r="B250" s="4" cm="1">
        <f t="array" ref="B250">_xll.SNL.Clients.Office.Excel.Functions.SPG(A250, "SP_TOTAL_REV", "CY2023")</f>
        <v>4504000</v>
      </c>
      <c r="C250" s="4">
        <f>_xll.SNL.Clients.Office.Excel.Functions.SPG(A250,"IQ_AVG_DILUT_SHARES_OUT","CY2023")</f>
        <v>158000000</v>
      </c>
      <c r="D250" s="5">
        <f>_xll.SNL.Clients.Office.Excel.Functions.SPG(A250, "IQ_DILUT_EPS_NORM", "CY2023")</f>
        <v>-0.443</v>
      </c>
      <c r="E250">
        <f t="shared" si="18"/>
        <v>-69994</v>
      </c>
      <c r="F250">
        <f t="shared" si="19"/>
        <v>-1.5540408525754884E-2</v>
      </c>
      <c r="G250" t="s">
        <v>762</v>
      </c>
      <c r="H250" s="4" cm="1">
        <f t="array" ref="H250">_xll.SNL.Clients.Office.Excel.Functions.SPG(G250, "SP_TOTAL_REV", "CY2022")</f>
        <v>4584000</v>
      </c>
      <c r="I250" s="4">
        <f>_xll.SNL.Clients.Office.Excel.Functions.SPG(G250,"IQ_AVG_DILUT_SHARES_OUT","CY2022")</f>
        <v>157000000</v>
      </c>
      <c r="J250" s="5">
        <f>_xll.SNL.Clients.Office.Excel.Functions.SPG(G250, "IQ_DILUT_EPS_NORM", "CY2022")</f>
        <v>0.48199999999999998</v>
      </c>
      <c r="K250">
        <f t="shared" si="20"/>
        <v>75674</v>
      </c>
      <c r="L250">
        <f t="shared" si="21"/>
        <v>1.650828970331588E-2</v>
      </c>
      <c r="M250" t="s">
        <v>771</v>
      </c>
      <c r="N250" s="4" cm="1">
        <f t="array" ref="N250">_xll.SNL.Clients.Office.Excel.Functions.SPG(M250, "SP_TOTAL_REV", "CY2022")</f>
        <v>13684000</v>
      </c>
      <c r="O250" s="4">
        <f>_xll.SNL.Clients.Office.Excel.Functions.SPG(M250,"IQ_AVG_DILUT_SHARES_OUT","CY2022")</f>
        <v>284500000</v>
      </c>
      <c r="P250" s="5">
        <f>_xll.SNL.Clients.Office.Excel.Functions.SPG(M250, "IQ_DILUT_EPS_NORM", "CY2022")</f>
        <v>5.6879999999999997</v>
      </c>
      <c r="Q250">
        <f t="shared" si="22"/>
        <v>1618236</v>
      </c>
      <c r="R250">
        <f t="shared" si="23"/>
        <v>0.11825752703887753</v>
      </c>
    </row>
    <row r="251" spans="1:18" x14ac:dyDescent="0.3">
      <c r="A251" t="s">
        <v>763</v>
      </c>
      <c r="B251" s="4" cm="1">
        <f t="array" ref="B251">_xll.SNL.Clients.Office.Excel.Functions.SPG(A251, "SP_TOTAL_REV", "CY2023")</f>
        <v>3695649</v>
      </c>
      <c r="C251" s="4">
        <f>_xll.SNL.Clients.Office.Excel.Functions.SPG(A251,"IQ_AVG_DILUT_SHARES_OUT","CY2023")</f>
        <v>225928000</v>
      </c>
      <c r="D251" s="5">
        <f>_xll.SNL.Clients.Office.Excel.Functions.SPG(A251, "IQ_DILUT_EPS_NORM", "CY2023")</f>
        <v>2.2669999999999999</v>
      </c>
      <c r="E251">
        <f t="shared" si="18"/>
        <v>512178.77600000001</v>
      </c>
      <c r="F251">
        <f t="shared" si="19"/>
        <v>0.13858967017701085</v>
      </c>
      <c r="G251" t="s">
        <v>763</v>
      </c>
      <c r="H251" s="4" cm="1">
        <f t="array" ref="H251">_xll.SNL.Clients.Office.Excel.Functions.SPG(G251, "SP_TOTAL_REV", "CY2022")</f>
        <v>3394635</v>
      </c>
      <c r="I251" s="4">
        <f>_xll.SNL.Clients.Office.Excel.Functions.SPG(G251,"IQ_AVG_DILUT_SHARES_OUT","CY2022")</f>
        <v>223958000</v>
      </c>
      <c r="J251" s="5">
        <f>_xll.SNL.Clients.Office.Excel.Functions.SPG(G251, "IQ_DILUT_EPS_NORM", "CY2022")</f>
        <v>1.7549999999999999</v>
      </c>
      <c r="K251">
        <f t="shared" si="20"/>
        <v>393046.29</v>
      </c>
      <c r="L251">
        <f t="shared" si="21"/>
        <v>0.11578455121095493</v>
      </c>
      <c r="M251" t="s">
        <v>772</v>
      </c>
      <c r="N251" s="4" cm="1">
        <f t="array" ref="N251">_xll.SNL.Clients.Office.Excel.Functions.SPG(M251, "SP_TOTAL_REV", "CY2022")</f>
        <v>6222200</v>
      </c>
      <c r="O251" s="4">
        <f>_xll.SNL.Clients.Office.Excel.Functions.SPG(M251,"IQ_AVG_DILUT_SHARES_OUT","CY2022")</f>
        <v>362000000</v>
      </c>
      <c r="P251" s="5">
        <f>_xll.SNL.Clients.Office.Excel.Functions.SPG(M251, "IQ_DILUT_EPS_NORM", "CY2022")</f>
        <v>2.8460000000000001</v>
      </c>
      <c r="Q251">
        <f t="shared" si="22"/>
        <v>1030252</v>
      </c>
      <c r="R251">
        <f t="shared" si="23"/>
        <v>0.16557680563144869</v>
      </c>
    </row>
    <row r="252" spans="1:18" x14ac:dyDescent="0.3">
      <c r="A252" t="s">
        <v>764</v>
      </c>
      <c r="B252" s="4" cm="1">
        <f t="array" ref="B252">_xll.SNL.Clients.Office.Excel.Functions.SPG(A252, "SP_TOTAL_REV", "CY2023")</f>
        <v>6876100</v>
      </c>
      <c r="C252" s="4">
        <f>_xll.SNL.Clients.Office.Excel.Functions.SPG(A252,"IQ_AVG_DILUT_SHARES_OUT","CY2023")</f>
        <v>409000000</v>
      </c>
      <c r="D252" s="5">
        <f>_xll.SNL.Clients.Office.Excel.Functions.SPG(A252, "IQ_DILUT_EPS_NORM", "CY2023")</f>
        <v>1.6819999999999999</v>
      </c>
      <c r="E252">
        <f t="shared" si="18"/>
        <v>687938</v>
      </c>
      <c r="F252">
        <f t="shared" si="19"/>
        <v>0.1000477014586757</v>
      </c>
      <c r="G252" t="s">
        <v>764</v>
      </c>
      <c r="H252" s="4" cm="1">
        <f t="array" ref="H252">_xll.SNL.Clients.Office.Excel.Functions.SPG(G252, "SP_TOTAL_REV", "CY2022")</f>
        <v>5916300</v>
      </c>
      <c r="I252" s="4">
        <f>_xll.SNL.Clients.Office.Excel.Functions.SPG(G252,"IQ_AVG_DILUT_SHARES_OUT","CY2022")</f>
        <v>410200000</v>
      </c>
      <c r="J252" s="5">
        <f>_xll.SNL.Clients.Office.Excel.Functions.SPG(G252, "IQ_DILUT_EPS_NORM", "CY2022")</f>
        <v>1.218</v>
      </c>
      <c r="K252">
        <f t="shared" si="20"/>
        <v>499623.6</v>
      </c>
      <c r="L252">
        <f t="shared" si="21"/>
        <v>8.44486587901222E-2</v>
      </c>
      <c r="M252" t="s">
        <v>773</v>
      </c>
      <c r="N252" s="4" cm="1">
        <f t="array" ref="N252">_xll.SNL.Clients.Office.Excel.Functions.SPG(M252, "SP_TOTAL_REV", "CY2022")</f>
        <v>6048900</v>
      </c>
      <c r="O252" s="4">
        <f>_xll.SNL.Clients.Office.Excel.Functions.SPG(M252,"IQ_AVG_DILUT_SHARES_OUT","CY2022")</f>
        <v>459500000</v>
      </c>
      <c r="P252" s="5">
        <f>_xll.SNL.Clients.Office.Excel.Functions.SPG(M252, "IQ_DILUT_EPS_NORM", "CY2022")</f>
        <v>1.7929999999999999</v>
      </c>
      <c r="Q252">
        <f t="shared" si="22"/>
        <v>823883.5</v>
      </c>
      <c r="R252">
        <f t="shared" si="23"/>
        <v>0.13620385524640843</v>
      </c>
    </row>
    <row r="253" spans="1:18" x14ac:dyDescent="0.3">
      <c r="A253" t="s">
        <v>765</v>
      </c>
      <c r="B253" s="4" cm="1">
        <f t="array" ref="B253">_xll.SNL.Clients.Office.Excel.Functions.SPG(A253, "SP_TOTAL_REV", "CY2023")</f>
        <v>1697100</v>
      </c>
      <c r="C253" s="4">
        <f>_xll.SNL.Clients.Office.Excel.Functions.SPG(A253,"IQ_AVG_DILUT_SHARES_OUT","CY2023")</f>
        <v>73633000</v>
      </c>
      <c r="D253" s="5">
        <f>_xll.SNL.Clients.Office.Excel.Functions.SPG(A253, "IQ_DILUT_EPS_NORM", "CY2023")</f>
        <v>1.956</v>
      </c>
      <c r="E253">
        <f t="shared" si="18"/>
        <v>144026.14799999999</v>
      </c>
      <c r="F253">
        <f t="shared" si="19"/>
        <v>8.4866035000883855E-2</v>
      </c>
      <c r="G253" t="s">
        <v>765</v>
      </c>
      <c r="H253" s="4" cm="1">
        <f t="array" ref="H253">_xll.SNL.Clients.Office.Excel.Functions.SPG(G253, "SP_TOTAL_REV", "CY2022")</f>
        <v>1305300</v>
      </c>
      <c r="I253" s="4">
        <f>_xll.SNL.Clients.Office.Excel.Functions.SPG(G253,"IQ_AVG_DILUT_SHARES_OUT","CY2022")</f>
        <v>69910000</v>
      </c>
      <c r="J253" s="5">
        <f>_xll.SNL.Clients.Office.Excel.Functions.SPG(G253, "IQ_DILUT_EPS_NORM", "CY2022")</f>
        <v>0.60499999999999998</v>
      </c>
      <c r="K253">
        <f t="shared" si="20"/>
        <v>42295.55</v>
      </c>
      <c r="L253">
        <f t="shared" si="21"/>
        <v>3.2402934191373634E-2</v>
      </c>
      <c r="M253" t="s">
        <v>774</v>
      </c>
      <c r="N253" s="4" cm="1">
        <f t="array" ref="N253">_xll.SNL.Clients.Office.Excel.Functions.SPG(M253, "SP_TOTAL_REV", "CY2022")</f>
        <v>2227650</v>
      </c>
      <c r="O253" s="4">
        <f>_xll.SNL.Clients.Office.Excel.Functions.SPG(M253,"IQ_AVG_DILUT_SHARES_OUT","CY2022")</f>
        <v>611112396</v>
      </c>
      <c r="P253" s="5">
        <f>_xll.SNL.Clients.Office.Excel.Functions.SPG(M253, "IQ_DILUT_EPS_NORM", "CY2022")</f>
        <v>0.33200000000000002</v>
      </c>
      <c r="Q253">
        <f t="shared" si="22"/>
        <v>202889.31547200002</v>
      </c>
      <c r="R253">
        <f t="shared" si="23"/>
        <v>9.1077734595650134E-2</v>
      </c>
    </row>
    <row r="254" spans="1:18" x14ac:dyDescent="0.3">
      <c r="A254" t="s">
        <v>766</v>
      </c>
      <c r="B254" s="4" cm="1">
        <f t="array" ref="B254">_xll.SNL.Clients.Office.Excel.Functions.SPG(A254, "SP_TOTAL_REV", "CY2023")</f>
        <v>54228000</v>
      </c>
      <c r="C254" s="4">
        <f>_xll.SNL.Clients.Office.Excel.Functions.SPG(A254,"IQ_AVG_DILUT_SHARES_OUT","CY2023")</f>
        <v>4212000000</v>
      </c>
      <c r="D254" s="5" t="str">
        <f>_xll.SNL.Clients.Office.Excel.Functions.SPG(A254, "IQ_DILUT_EPS_NORM", "CY2023")</f>
        <v>NA</v>
      </c>
      <c r="E254" t="e">
        <f t="shared" si="18"/>
        <v>#VALUE!</v>
      </c>
      <c r="F254" t="e">
        <f t="shared" si="19"/>
        <v>#VALUE!</v>
      </c>
      <c r="G254" t="s">
        <v>766</v>
      </c>
      <c r="H254" s="4" cm="1">
        <f t="array" ref="H254">_xll.SNL.Clients.Office.Excel.Functions.SPG(G254, "SP_TOTAL_REV", "CY2022")</f>
        <v>63054000</v>
      </c>
      <c r="I254" s="4">
        <f>_xll.SNL.Clients.Office.Excel.Functions.SPG(G254,"IQ_AVG_DILUT_SHARES_OUT","CY2022")</f>
        <v>4123000000</v>
      </c>
      <c r="J254" s="5" t="str">
        <f>_xll.SNL.Clients.Office.Excel.Functions.SPG(G254, "IQ_DILUT_EPS_NORM", "CY2022")</f>
        <v>NA</v>
      </c>
      <c r="K254" t="e">
        <f t="shared" si="20"/>
        <v>#VALUE!</v>
      </c>
      <c r="L254" t="e">
        <f t="shared" si="21"/>
        <v>#VALUE!</v>
      </c>
      <c r="M254" t="s">
        <v>775</v>
      </c>
      <c r="N254" s="4" cm="1">
        <f t="array" ref="N254">_xll.SNL.Clients.Office.Excel.Functions.SPG(M254, "SP_TOTAL_REV", "CY2022")</f>
        <v>14410000</v>
      </c>
      <c r="O254" s="4">
        <f>_xll.SNL.Clients.Office.Excel.Functions.SPG(M254,"IQ_AVG_DILUT_SHARES_OUT","CY2022")</f>
        <v>190600000</v>
      </c>
      <c r="P254" s="5">
        <f>_xll.SNL.Clients.Office.Excel.Functions.SPG(M254, "IQ_DILUT_EPS_NORM", "CY2022")</f>
        <v>4.5609999999999999</v>
      </c>
      <c r="Q254">
        <f t="shared" si="22"/>
        <v>869326.6</v>
      </c>
      <c r="R254">
        <f t="shared" si="23"/>
        <v>6.0328008327550309E-2</v>
      </c>
    </row>
    <row r="255" spans="1:18" x14ac:dyDescent="0.3">
      <c r="A255" t="s">
        <v>767</v>
      </c>
      <c r="B255" s="4" cm="1">
        <f t="array" ref="B255">_xll.SNL.Clients.Office.Excel.Functions.SPG(A255, "SP_TOTAL_REV", "CY2023")</f>
        <v>7988000</v>
      </c>
      <c r="C255" s="4">
        <f>_xll.SNL.Clients.Office.Excel.Functions.SPG(A255,"IQ_AVG_DILUT_SHARES_OUT","CY2023")</f>
        <v>565000000</v>
      </c>
      <c r="D255" s="5">
        <f>_xll.SNL.Clients.Office.Excel.Functions.SPG(A255, "IQ_DILUT_EPS_NORM", "CY2023")</f>
        <v>3.3780000000000001</v>
      </c>
      <c r="E255">
        <f t="shared" si="18"/>
        <v>1908570</v>
      </c>
      <c r="F255">
        <f t="shared" si="19"/>
        <v>0.23892964446670004</v>
      </c>
      <c r="G255" t="s">
        <v>767</v>
      </c>
      <c r="H255" s="4" cm="1">
        <f t="array" ref="H255">_xll.SNL.Clients.Office.Excel.Functions.SPG(G255, "SP_TOTAL_REV", "CY2022")</f>
        <v>7292000</v>
      </c>
      <c r="I255" s="4">
        <f>_xll.SNL.Clients.Office.Excel.Functions.SPG(G255,"IQ_AVG_DILUT_SHARES_OUT","CY2022")</f>
        <v>561000000</v>
      </c>
      <c r="J255" s="5">
        <f>_xll.SNL.Clients.Office.Excel.Functions.SPG(G255, "IQ_DILUT_EPS_NORM", "CY2022")</f>
        <v>1.99</v>
      </c>
      <c r="K255">
        <f t="shared" si="20"/>
        <v>1116390</v>
      </c>
      <c r="L255">
        <f t="shared" si="21"/>
        <v>0.15309791552386176</v>
      </c>
      <c r="M255" t="s">
        <v>776</v>
      </c>
      <c r="N255" s="4" cm="1">
        <f t="array" ref="N255">_xll.SNL.Clients.Office.Excel.Functions.SPG(M255, "SP_TOTAL_REV", "CY2022")</f>
        <v>5111850</v>
      </c>
      <c r="O255" s="4">
        <f>_xll.SNL.Clients.Office.Excel.Functions.SPG(M255,"IQ_AVG_DILUT_SHARES_OUT","CY2022")</f>
        <v>292444177</v>
      </c>
      <c r="P255" s="5">
        <f>_xll.SNL.Clients.Office.Excel.Functions.SPG(M255, "IQ_DILUT_EPS_NORM", "CY2022")</f>
        <v>1.476</v>
      </c>
      <c r="Q255">
        <f t="shared" si="22"/>
        <v>431647.60525199998</v>
      </c>
      <c r="R255">
        <f t="shared" si="23"/>
        <v>8.444058516036268E-2</v>
      </c>
    </row>
    <row r="256" spans="1:18" x14ac:dyDescent="0.3">
      <c r="A256" t="s">
        <v>768</v>
      </c>
      <c r="B256" s="4" cm="1">
        <f t="array" ref="B256">_xll.SNL.Clients.Office.Excel.Functions.SPG(A256, "SP_TOTAL_REV", "CY2023")</f>
        <v>11479000</v>
      </c>
      <c r="C256" s="4">
        <f>_xll.SNL.Clients.Office.Excel.Functions.SPG(A256,"IQ_AVG_DILUT_SHARES_OUT","CY2023")</f>
        <v>255000000</v>
      </c>
      <c r="D256" s="5">
        <f>_xll.SNL.Clients.Office.Excel.Functions.SPG(A256, "IQ_DILUT_EPS_NORM", "CY2023")</f>
        <v>0.41799999999999998</v>
      </c>
      <c r="E256">
        <f t="shared" si="18"/>
        <v>106590</v>
      </c>
      <c r="F256">
        <f t="shared" si="19"/>
        <v>9.2856520602839967E-3</v>
      </c>
      <c r="G256" t="s">
        <v>768</v>
      </c>
      <c r="H256" s="4" cm="1">
        <f t="array" ref="H256">_xll.SNL.Clients.Office.Excel.Functions.SPG(G256, "SP_TOTAL_REV", "CY2022")</f>
        <v>12440000</v>
      </c>
      <c r="I256" s="4">
        <f>_xll.SNL.Clients.Office.Excel.Functions.SPG(G256,"IQ_AVG_DILUT_SHARES_OUT","CY2022")</f>
        <v>255000000</v>
      </c>
      <c r="J256" s="5">
        <f>_xll.SNL.Clients.Office.Excel.Functions.SPG(G256, "IQ_DILUT_EPS_NORM", "CY2022")</f>
        <v>1.7809999999999999</v>
      </c>
      <c r="K256">
        <f t="shared" si="20"/>
        <v>454155</v>
      </c>
      <c r="L256">
        <f t="shared" si="21"/>
        <v>3.6507636655948555E-2</v>
      </c>
      <c r="M256" t="s">
        <v>777</v>
      </c>
      <c r="N256" s="4" cm="1">
        <f t="array" ref="N256">_xll.SNL.Clients.Office.Excel.Functions.SPG(M256, "SP_TOTAL_REV", "CY2022")</f>
        <v>14813999</v>
      </c>
      <c r="O256" s="4">
        <f>_xll.SNL.Clients.Office.Excel.Functions.SPG(M256,"IQ_AVG_DILUT_SHARES_OUT","CY2022")</f>
        <v>105276000</v>
      </c>
      <c r="P256" s="5">
        <f>_xll.SNL.Clients.Office.Excel.Functions.SPG(M256, "IQ_DILUT_EPS_NORM", "CY2022")</f>
        <v>7.6070000000000002</v>
      </c>
      <c r="Q256">
        <f t="shared" si="22"/>
        <v>800834.53200000001</v>
      </c>
      <c r="R256">
        <f t="shared" si="23"/>
        <v>5.4059307820933426E-2</v>
      </c>
    </row>
    <row r="257" spans="1:18" x14ac:dyDescent="0.3">
      <c r="A257" t="s">
        <v>769</v>
      </c>
      <c r="B257" s="4" cm="1">
        <f t="array" ref="B257">_xll.SNL.Clients.Office.Excel.Functions.SPG(A257, "SP_TOTAL_REV", "CY2023")</f>
        <v>18916000</v>
      </c>
      <c r="C257" s="4">
        <f>_xll.SNL.Clients.Office.Excel.Functions.SPG(A257,"IQ_AVG_DILUT_SHARES_OUT","CY2023")</f>
        <v>349100000</v>
      </c>
      <c r="D257" s="5">
        <f>_xll.SNL.Clients.Office.Excel.Functions.SPG(A257, "IQ_DILUT_EPS_NORM", "CY2023")</f>
        <v>1.5840000000000001</v>
      </c>
      <c r="E257">
        <f t="shared" si="18"/>
        <v>552974.4</v>
      </c>
      <c r="F257">
        <f t="shared" si="19"/>
        <v>2.9233157115669275E-2</v>
      </c>
      <c r="G257" t="s">
        <v>769</v>
      </c>
      <c r="H257" s="4" cm="1">
        <f t="array" ref="H257">_xll.SNL.Clients.Office.Excel.Functions.SPG(G257, "SP_TOTAL_REV", "CY2022")</f>
        <v>21161000</v>
      </c>
      <c r="I257" s="4">
        <f>_xll.SNL.Clients.Office.Excel.Functions.SPG(G257,"IQ_AVG_DILUT_SHARES_OUT","CY2022")</f>
        <v>367000000</v>
      </c>
      <c r="J257" s="5">
        <f>_xll.SNL.Clients.Office.Excel.Functions.SPG(G257, "IQ_DILUT_EPS_NORM", "CY2022")</f>
        <v>2.8490000000000002</v>
      </c>
      <c r="K257">
        <f t="shared" si="20"/>
        <v>1045583.0000000001</v>
      </c>
      <c r="L257">
        <f t="shared" si="21"/>
        <v>4.9410850148858758E-2</v>
      </c>
      <c r="M257" t="s">
        <v>778</v>
      </c>
      <c r="N257" s="4" cm="1">
        <f t="array" ref="N257">_xll.SNL.Clients.Office.Excel.Functions.SPG(M257, "SP_TOTAL_REV", "CY2022")</f>
        <v>1995448</v>
      </c>
      <c r="O257" s="4">
        <f>_xll.SNL.Clients.Office.Excel.Functions.SPG(M257,"IQ_AVG_DILUT_SHARES_OUT","CY2022")</f>
        <v>73096500</v>
      </c>
      <c r="P257" s="5">
        <f>_xll.SNL.Clients.Office.Excel.Functions.SPG(M257, "IQ_DILUT_EPS_NORM", "CY2022")</f>
        <v>3.9180000000000001</v>
      </c>
      <c r="Q257">
        <f t="shared" si="22"/>
        <v>286392.087</v>
      </c>
      <c r="R257">
        <f t="shared" si="23"/>
        <v>0.14352270116785804</v>
      </c>
    </row>
    <row r="258" spans="1:18" x14ac:dyDescent="0.3">
      <c r="A258" t="s">
        <v>770</v>
      </c>
      <c r="B258" s="4" cm="1">
        <f t="array" ref="B258">_xll.SNL.Clients.Office.Excel.Functions.SPG(A258, "SP_TOTAL_REV", "CY2023")</f>
        <v>9400600</v>
      </c>
      <c r="C258" s="4">
        <f>_xll.SNL.Clients.Office.Excel.Functions.SPG(A258,"IQ_AVG_DILUT_SHARES_OUT","CY2023")</f>
        <v>385900000</v>
      </c>
      <c r="D258" s="5">
        <f>_xll.SNL.Clients.Office.Excel.Functions.SPG(A258, "IQ_DILUT_EPS_NORM", "CY2023")</f>
        <v>2.2069999999999999</v>
      </c>
      <c r="E258">
        <f t="shared" si="18"/>
        <v>851681.3</v>
      </c>
      <c r="F258">
        <f t="shared" si="19"/>
        <v>9.0598610726974879E-2</v>
      </c>
      <c r="G258" t="s">
        <v>770</v>
      </c>
      <c r="H258" s="4" cm="1">
        <f t="array" ref="H258">_xll.SNL.Clients.Office.Excel.Functions.SPG(G258, "SP_TOTAL_REV", "CY2022")</f>
        <v>9449400</v>
      </c>
      <c r="I258" s="4">
        <f>_xll.SNL.Clients.Office.Excel.Functions.SPG(G258,"IQ_AVG_DILUT_SHARES_OUT","CY2022")</f>
        <v>395100000</v>
      </c>
      <c r="J258" s="5">
        <f>_xll.SNL.Clients.Office.Excel.Functions.SPG(G258, "IQ_DILUT_EPS_NORM", "CY2022")</f>
        <v>2.153</v>
      </c>
      <c r="K258">
        <f t="shared" si="20"/>
        <v>850650.3</v>
      </c>
      <c r="L258">
        <f t="shared" si="21"/>
        <v>9.0021620420344159E-2</v>
      </c>
      <c r="M258" t="s">
        <v>779</v>
      </c>
      <c r="N258" s="4" cm="1">
        <f t="array" ref="N258">_xll.SNL.Clients.Office.Excel.Functions.SPG(M258, "SP_TOTAL_REV", "CY2022")</f>
        <v>15340868</v>
      </c>
      <c r="O258" s="4">
        <f>_xll.SNL.Clients.Office.Excel.Functions.SPG(M258,"IQ_AVG_DILUT_SHARES_OUT","CY2022")</f>
        <v>128745500</v>
      </c>
      <c r="P258" s="5">
        <f>_xll.SNL.Clients.Office.Excel.Functions.SPG(M258, "IQ_DILUT_EPS_NORM", "CY2022")</f>
        <v>4.4390000000000001</v>
      </c>
      <c r="Q258">
        <f t="shared" si="22"/>
        <v>571501.27450000006</v>
      </c>
      <c r="R258">
        <f t="shared" si="23"/>
        <v>3.7253516196084864E-2</v>
      </c>
    </row>
    <row r="259" spans="1:18" x14ac:dyDescent="0.3">
      <c r="A259" t="s">
        <v>771</v>
      </c>
      <c r="B259" s="4" cm="1">
        <f t="array" ref="B259">_xll.SNL.Clients.Office.Excel.Functions.SPG(A259, "SP_TOTAL_REV", "CY2023")</f>
        <v>15094000</v>
      </c>
      <c r="C259" s="4">
        <f>_xll.SNL.Clients.Office.Excel.Functions.SPG(A259,"IQ_AVG_DILUT_SHARES_OUT","CY2023")</f>
        <v>283500000</v>
      </c>
      <c r="D259" s="5">
        <f>_xll.SNL.Clients.Office.Excel.Functions.SPG(A259, "IQ_DILUT_EPS_NORM", "CY2023")</f>
        <v>7.3920000000000003</v>
      </c>
      <c r="E259">
        <f t="shared" si="18"/>
        <v>2095632</v>
      </c>
      <c r="F259">
        <f t="shared" si="19"/>
        <v>0.13883874387173711</v>
      </c>
      <c r="G259" t="s">
        <v>771</v>
      </c>
      <c r="H259" s="4" cm="1">
        <f t="array" ref="H259">_xll.SNL.Clients.Office.Excel.Functions.SPG(G259, "SP_TOTAL_REV", "CY2022")</f>
        <v>13684000</v>
      </c>
      <c r="I259" s="4">
        <f>_xll.SNL.Clients.Office.Excel.Functions.SPG(G259,"IQ_AVG_DILUT_SHARES_OUT","CY2022")</f>
        <v>284500000</v>
      </c>
      <c r="J259" s="5">
        <f>_xll.SNL.Clients.Office.Excel.Functions.SPG(G259, "IQ_DILUT_EPS_NORM", "CY2022")</f>
        <v>5.6879999999999997</v>
      </c>
      <c r="K259">
        <f t="shared" si="20"/>
        <v>1618236</v>
      </c>
      <c r="L259">
        <f t="shared" si="21"/>
        <v>0.11825752703887753</v>
      </c>
      <c r="M259" t="s">
        <v>780</v>
      </c>
      <c r="N259" s="4" cm="1">
        <f t="array" ref="N259">_xll.SNL.Clients.Office.Excel.Functions.SPG(M259, "SP_TOTAL_REV", "CY2022")</f>
        <v>79990000</v>
      </c>
      <c r="O259" s="4">
        <f>_xll.SNL.Clients.Office.Excel.Functions.SPG(M259,"IQ_AVG_DILUT_SHARES_OUT","CY2022")</f>
        <v>2663900000</v>
      </c>
      <c r="P259" s="5">
        <f>_xll.SNL.Clients.Office.Excel.Functions.SPG(M259, "IQ_DILUT_EPS_NORM", "CY2022")</f>
        <v>5.5960000000000001</v>
      </c>
      <c r="Q259">
        <f t="shared" si="22"/>
        <v>14907184.4</v>
      </c>
      <c r="R259">
        <f t="shared" si="23"/>
        <v>0.18636310038754844</v>
      </c>
    </row>
    <row r="260" spans="1:18" x14ac:dyDescent="0.3">
      <c r="A260" t="s">
        <v>772</v>
      </c>
      <c r="B260" s="4" cm="1">
        <f t="array" ref="B260">_xll.SNL.Clients.Office.Excel.Functions.SPG(A260, "SP_TOTAL_REV", "CY2023")</f>
        <v>7124100</v>
      </c>
      <c r="C260" s="4">
        <f>_xll.SNL.Clients.Office.Excel.Functions.SPG(A260,"IQ_AVG_DILUT_SHARES_OUT","CY2023")</f>
        <v>357400000</v>
      </c>
      <c r="D260" s="5">
        <f>_xll.SNL.Clients.Office.Excel.Functions.SPG(A260, "IQ_DILUT_EPS_NORM", "CY2023")</f>
        <v>3.3839999999999999</v>
      </c>
      <c r="E260">
        <f t="shared" si="18"/>
        <v>1209441.6000000001</v>
      </c>
      <c r="F260">
        <f t="shared" si="19"/>
        <v>0.16976763380637555</v>
      </c>
      <c r="G260" t="s">
        <v>772</v>
      </c>
      <c r="H260" s="4" cm="1">
        <f t="array" ref="H260">_xll.SNL.Clients.Office.Excel.Functions.SPG(G260, "SP_TOTAL_REV", "CY2022")</f>
        <v>6222200</v>
      </c>
      <c r="I260" s="4">
        <f>_xll.SNL.Clients.Office.Excel.Functions.SPG(G260,"IQ_AVG_DILUT_SHARES_OUT","CY2022")</f>
        <v>362000000</v>
      </c>
      <c r="J260" s="5">
        <f>_xll.SNL.Clients.Office.Excel.Functions.SPG(G260, "IQ_DILUT_EPS_NORM", "CY2022")</f>
        <v>2.8460000000000001</v>
      </c>
      <c r="K260">
        <f t="shared" si="20"/>
        <v>1030252</v>
      </c>
      <c r="L260">
        <f t="shared" si="21"/>
        <v>0.16557680563144869</v>
      </c>
      <c r="M260" t="s">
        <v>781</v>
      </c>
      <c r="N260" s="4" cm="1">
        <f t="array" ref="N260">_xll.SNL.Clients.Office.Excel.Functions.SPG(M260, "SP_TOTAL_REV", "CY2022")</f>
        <v>25505000</v>
      </c>
      <c r="O260" s="4">
        <f>_xll.SNL.Clients.Office.Excel.Functions.SPG(M260,"IQ_AVG_DILUT_SHARES_OUT","CY2022")</f>
        <v>694800000</v>
      </c>
      <c r="P260" s="5">
        <f>_xll.SNL.Clients.Office.Excel.Functions.SPG(M260, "IQ_DILUT_EPS_NORM", "CY2022")</f>
        <v>2.12</v>
      </c>
      <c r="Q260">
        <f t="shared" si="22"/>
        <v>1472976</v>
      </c>
      <c r="R260">
        <f t="shared" si="23"/>
        <v>5.775244069790237E-2</v>
      </c>
    </row>
    <row r="261" spans="1:18" x14ac:dyDescent="0.3">
      <c r="A261" t="s">
        <v>773</v>
      </c>
      <c r="B261" s="4" cm="1">
        <f t="array" ref="B261">_xll.SNL.Clients.Office.Excel.Functions.SPG(A261, "SP_TOTAL_REV", "CY2023")</f>
        <v>5716400</v>
      </c>
      <c r="C261" s="4">
        <f>_xll.SNL.Clients.Office.Excel.Functions.SPG(A261,"IQ_AVG_DILUT_SHARES_OUT","CY2023")</f>
        <v>456200000</v>
      </c>
      <c r="D261" s="5">
        <f>_xll.SNL.Clients.Office.Excel.Functions.SPG(A261, "IQ_DILUT_EPS_NORM", "CY2023")</f>
        <v>1.7509999999999999</v>
      </c>
      <c r="E261">
        <f t="shared" ref="E261:E324" si="24">C261*D261/1000</f>
        <v>798806.2</v>
      </c>
      <c r="F261">
        <f t="shared" ref="F261:F324" si="25">E261/B261</f>
        <v>0.13973938142887132</v>
      </c>
      <c r="G261" t="s">
        <v>773</v>
      </c>
      <c r="H261" s="4" cm="1">
        <f t="array" ref="H261">_xll.SNL.Clients.Office.Excel.Functions.SPG(G261, "SP_TOTAL_REV", "CY2022")</f>
        <v>6048900</v>
      </c>
      <c r="I261" s="4">
        <f>_xll.SNL.Clients.Office.Excel.Functions.SPG(G261,"IQ_AVG_DILUT_SHARES_OUT","CY2022")</f>
        <v>459500000</v>
      </c>
      <c r="J261" s="5">
        <f>_xll.SNL.Clients.Office.Excel.Functions.SPG(G261, "IQ_DILUT_EPS_NORM", "CY2022")</f>
        <v>1.7929999999999999</v>
      </c>
      <c r="K261">
        <f t="shared" ref="K261:K324" si="26">I261*J261/1000</f>
        <v>823883.5</v>
      </c>
      <c r="L261">
        <f t="shared" ref="L261:L324" si="27">K261/H261</f>
        <v>0.13620385524640843</v>
      </c>
      <c r="M261" t="s">
        <v>782</v>
      </c>
      <c r="N261" s="4" cm="1">
        <f t="array" ref="N261">_xll.SNL.Clients.Office.Excel.Functions.SPG(M261, "SP_TOTAL_REV", "CY2022")</f>
        <v>127781000</v>
      </c>
      <c r="O261" s="4">
        <f>_xll.SNL.Clients.Office.Excel.Functions.SPG(M261,"IQ_AVG_DILUT_SHARES_OUT","CY2022")</f>
        <v>2970000000</v>
      </c>
      <c r="P261" s="5">
        <f>_xll.SNL.Clients.Office.Excel.Functions.SPG(M261, "IQ_DILUT_EPS_NORM", "CY2022")</f>
        <v>9.7149999999999999</v>
      </c>
      <c r="Q261">
        <f t="shared" ref="Q261:Q324" si="28">O261*P261/1000</f>
        <v>28853550</v>
      </c>
      <c r="R261">
        <f t="shared" ref="R261:R324" si="29">Q261/N261</f>
        <v>0.22580469709894271</v>
      </c>
    </row>
    <row r="262" spans="1:18" x14ac:dyDescent="0.3">
      <c r="A262" t="s">
        <v>774</v>
      </c>
      <c r="B262" s="4" cm="1">
        <f t="array" ref="B262">_xll.SNL.Clients.Office.Excel.Functions.SPG(A262, "SP_TOTAL_REV", "CY2023")</f>
        <v>2412733</v>
      </c>
      <c r="C262" s="4">
        <f>_xll.SNL.Clients.Office.Excel.Functions.SPG(A262,"IQ_AVG_DILUT_SHARES_OUT","CY2023")</f>
        <v>613288708</v>
      </c>
      <c r="D262" s="5">
        <f>_xll.SNL.Clients.Office.Excel.Functions.SPG(A262, "IQ_DILUT_EPS_NORM", "CY2023")</f>
        <v>0.35099999999999998</v>
      </c>
      <c r="E262">
        <f t="shared" si="24"/>
        <v>215264.33650799998</v>
      </c>
      <c r="F262">
        <f t="shared" si="25"/>
        <v>8.9220123614175278E-2</v>
      </c>
      <c r="G262" t="s">
        <v>774</v>
      </c>
      <c r="H262" s="4" cm="1">
        <f t="array" ref="H262">_xll.SNL.Clients.Office.Excel.Functions.SPG(G262, "SP_TOTAL_REV", "CY2022")</f>
        <v>2227650</v>
      </c>
      <c r="I262" s="4">
        <f>_xll.SNL.Clients.Office.Excel.Functions.SPG(G262,"IQ_AVG_DILUT_SHARES_OUT","CY2022")</f>
        <v>611112396</v>
      </c>
      <c r="J262" s="5">
        <f>_xll.SNL.Clients.Office.Excel.Functions.SPG(G262, "IQ_DILUT_EPS_NORM", "CY2022")</f>
        <v>0.33200000000000002</v>
      </c>
      <c r="K262">
        <f t="shared" si="26"/>
        <v>202889.31547200002</v>
      </c>
      <c r="L262">
        <f t="shared" si="27"/>
        <v>9.1077734595650134E-2</v>
      </c>
      <c r="M262" t="s">
        <v>783</v>
      </c>
      <c r="N262" s="4" cm="1">
        <f t="array" ref="N262">_xll.SNL.Clients.Office.Excel.Functions.SPG(M262, "SP_TOTAL_REV", "CY2022")</f>
        <v>5301200</v>
      </c>
      <c r="O262" s="4">
        <f>_xll.SNL.Clients.Office.Excel.Functions.SPG(M262,"IQ_AVG_DILUT_SHARES_OUT","CY2022")</f>
        <v>329500000</v>
      </c>
      <c r="P262" s="5">
        <f>_xll.SNL.Clients.Office.Excel.Functions.SPG(M262, "IQ_DILUT_EPS_NORM", "CY2022")</f>
        <v>0.94299999999999995</v>
      </c>
      <c r="Q262">
        <f t="shared" si="28"/>
        <v>310718.5</v>
      </c>
      <c r="R262">
        <f t="shared" si="29"/>
        <v>5.861286123896476E-2</v>
      </c>
    </row>
    <row r="263" spans="1:18" x14ac:dyDescent="0.3">
      <c r="A263" t="s">
        <v>775</v>
      </c>
      <c r="B263" s="4" cm="1">
        <f t="array" ref="B263">_xll.SNL.Clients.Office.Excel.Functions.SPG(A263, "SP_TOTAL_REV", "CY2023")</f>
        <v>14984000</v>
      </c>
      <c r="C263" s="4">
        <f>_xll.SNL.Clients.Office.Excel.Functions.SPG(A263,"IQ_AVG_DILUT_SHARES_OUT","CY2023")</f>
        <v>186300000</v>
      </c>
      <c r="D263" s="5">
        <f>_xll.SNL.Clients.Office.Excel.Functions.SPG(A263, "IQ_DILUT_EPS_NORM", "CY2023")</f>
        <v>4.9349999999999996</v>
      </c>
      <c r="E263">
        <f t="shared" si="24"/>
        <v>919390.49999999988</v>
      </c>
      <c r="F263">
        <f t="shared" si="25"/>
        <v>6.1358148691938057E-2</v>
      </c>
      <c r="G263" t="s">
        <v>775</v>
      </c>
      <c r="H263" s="4" cm="1">
        <f t="array" ref="H263">_xll.SNL.Clients.Office.Excel.Functions.SPG(G263, "SP_TOTAL_REV", "CY2022")</f>
        <v>14410000</v>
      </c>
      <c r="I263" s="4">
        <f>_xll.SNL.Clients.Office.Excel.Functions.SPG(G263,"IQ_AVG_DILUT_SHARES_OUT","CY2022")</f>
        <v>190600000</v>
      </c>
      <c r="J263" s="5">
        <f>_xll.SNL.Clients.Office.Excel.Functions.SPG(G263, "IQ_DILUT_EPS_NORM", "CY2022")</f>
        <v>4.5609999999999999</v>
      </c>
      <c r="K263">
        <f t="shared" si="26"/>
        <v>869326.6</v>
      </c>
      <c r="L263">
        <f t="shared" si="27"/>
        <v>6.0328008327550309E-2</v>
      </c>
      <c r="M263" t="s">
        <v>784</v>
      </c>
      <c r="N263" s="4" cm="1">
        <f t="array" ref="N263">_xll.SNL.Clients.Office.Excel.Functions.SPG(M263, "SP_TOTAL_REV", "CY2022")</f>
        <v>12653000</v>
      </c>
      <c r="O263" s="4">
        <f>_xll.SNL.Clients.Office.Excel.Functions.SPG(M263,"IQ_AVG_DILUT_SHARES_OUT","CY2022")</f>
        <v>344086021</v>
      </c>
      <c r="P263" s="5">
        <f>_xll.SNL.Clients.Office.Excel.Functions.SPG(M263, "IQ_DILUT_EPS_NORM", "CY2022")</f>
        <v>1.66</v>
      </c>
      <c r="Q263">
        <f t="shared" si="28"/>
        <v>571182.79486000002</v>
      </c>
      <c r="R263">
        <f t="shared" si="29"/>
        <v>4.5142084474828106E-2</v>
      </c>
    </row>
    <row r="264" spans="1:18" x14ac:dyDescent="0.3">
      <c r="A264" t="s">
        <v>776</v>
      </c>
      <c r="B264" s="4" cm="1">
        <f t="array" ref="B264">_xll.SNL.Clients.Office.Excel.Functions.SPG(A264, "SP_TOTAL_REV", "CY2023")</f>
        <v>5492760</v>
      </c>
      <c r="C264" s="4">
        <f>_xll.SNL.Clients.Office.Excel.Functions.SPG(A264,"IQ_AVG_DILUT_SHARES_OUT","CY2023")</f>
        <v>293965000</v>
      </c>
      <c r="D264" s="5">
        <f>_xll.SNL.Clients.Office.Excel.Functions.SPG(A264, "IQ_DILUT_EPS_NORM", "CY2023")</f>
        <v>0.95399999999999996</v>
      </c>
      <c r="E264">
        <f t="shared" si="24"/>
        <v>280442.61</v>
      </c>
      <c r="F264">
        <f t="shared" si="25"/>
        <v>5.1056774736198192E-2</v>
      </c>
      <c r="G264" t="s">
        <v>776</v>
      </c>
      <c r="H264" s="4" cm="1">
        <f t="array" ref="H264">_xll.SNL.Clients.Office.Excel.Functions.SPG(G264, "SP_TOTAL_REV", "CY2022")</f>
        <v>5111850</v>
      </c>
      <c r="I264" s="4">
        <f>_xll.SNL.Clients.Office.Excel.Functions.SPG(G264,"IQ_AVG_DILUT_SHARES_OUT","CY2022")</f>
        <v>292444177</v>
      </c>
      <c r="J264" s="5">
        <f>_xll.SNL.Clients.Office.Excel.Functions.SPG(G264, "IQ_DILUT_EPS_NORM", "CY2022")</f>
        <v>1.476</v>
      </c>
      <c r="K264">
        <f t="shared" si="26"/>
        <v>431647.60525199998</v>
      </c>
      <c r="L264">
        <f t="shared" si="27"/>
        <v>8.444058516036268E-2</v>
      </c>
      <c r="M264" t="s">
        <v>786</v>
      </c>
      <c r="N264" s="4" cm="1">
        <f t="array" ref="N264">_xll.SNL.Clients.Office.Excel.Functions.SPG(M264, "SP_TOTAL_REV", "CY2022")</f>
        <v>14057000</v>
      </c>
      <c r="O264" s="4">
        <f>_xll.SNL.Clients.Office.Excel.Functions.SPG(M264,"IQ_AVG_DILUT_SHARES_OUT","CY2022")</f>
        <v>1428500000</v>
      </c>
      <c r="P264" s="5">
        <f>_xll.SNL.Clients.Office.Excel.Functions.SPG(M264, "IQ_DILUT_EPS_NORM", "CY2022")</f>
        <v>0.94799999999999995</v>
      </c>
      <c r="Q264">
        <f t="shared" si="28"/>
        <v>1354218</v>
      </c>
      <c r="R264">
        <f t="shared" si="29"/>
        <v>9.6337625382371769E-2</v>
      </c>
    </row>
    <row r="265" spans="1:18" x14ac:dyDescent="0.3">
      <c r="A265" t="s">
        <v>777</v>
      </c>
      <c r="B265" s="4" cm="1">
        <f t="array" ref="B265">_xll.SNL.Clients.Office.Excel.Functions.SPG(A265, "SP_TOTAL_REV", "CY2023")</f>
        <v>12829665</v>
      </c>
      <c r="C265" s="4">
        <f>_xll.SNL.Clients.Office.Excel.Functions.SPG(A265,"IQ_AVG_DILUT_SHARES_OUT","CY2023")</f>
        <v>104451000</v>
      </c>
      <c r="D265" s="5">
        <f>_xll.SNL.Clients.Office.Excel.Functions.SPG(A265, "IQ_DILUT_EPS_NORM", "CY2023")</f>
        <v>5.5940000000000003</v>
      </c>
      <c r="E265">
        <f t="shared" si="24"/>
        <v>584298.89399999997</v>
      </c>
      <c r="F265">
        <f t="shared" si="25"/>
        <v>4.5542802091870671E-2</v>
      </c>
      <c r="G265" t="s">
        <v>777</v>
      </c>
      <c r="H265" s="4" cm="1">
        <f t="array" ref="H265">_xll.SNL.Clients.Office.Excel.Functions.SPG(G265, "SP_TOTAL_REV", "CY2022")</f>
        <v>14813999</v>
      </c>
      <c r="I265" s="4">
        <f>_xll.SNL.Clients.Office.Excel.Functions.SPG(G265,"IQ_AVG_DILUT_SHARES_OUT","CY2022")</f>
        <v>105276000</v>
      </c>
      <c r="J265" s="5">
        <f>_xll.SNL.Clients.Office.Excel.Functions.SPG(G265, "IQ_DILUT_EPS_NORM", "CY2022")</f>
        <v>7.6070000000000002</v>
      </c>
      <c r="K265">
        <f t="shared" si="26"/>
        <v>800834.53200000001</v>
      </c>
      <c r="L265">
        <f t="shared" si="27"/>
        <v>5.4059307820933426E-2</v>
      </c>
      <c r="M265" t="s">
        <v>787</v>
      </c>
      <c r="N265" s="4" cm="1">
        <f t="array" ref="N265">_xll.SNL.Clients.Office.Excel.Functions.SPG(M265, "SP_TOTAL_REV", "CY2022")</f>
        <v>7245000</v>
      </c>
      <c r="O265" s="4">
        <f>_xll.SNL.Clients.Office.Excel.Functions.SPG(M265,"IQ_AVG_DILUT_SHARES_OUT","CY2022")</f>
        <v>933059000</v>
      </c>
      <c r="P265" s="5">
        <f>_xll.SNL.Clients.Office.Excel.Functions.SPG(M265, "IQ_DILUT_EPS_NORM", "CY2022")</f>
        <v>1.569</v>
      </c>
      <c r="Q265">
        <f t="shared" si="28"/>
        <v>1463969.571</v>
      </c>
      <c r="R265">
        <f t="shared" si="29"/>
        <v>0.20206619337474119</v>
      </c>
    </row>
    <row r="266" spans="1:18" x14ac:dyDescent="0.3">
      <c r="A266" t="s">
        <v>778</v>
      </c>
      <c r="B266" s="4" cm="1">
        <f t="array" ref="B266">_xll.SNL.Clients.Office.Excel.Functions.SPG(A266, "SP_TOTAL_REV", "CY2023")</f>
        <v>2160255</v>
      </c>
      <c r="C266" s="4">
        <f>_xll.SNL.Clients.Office.Excel.Functions.SPG(A266,"IQ_AVG_DILUT_SHARES_OUT","CY2023")</f>
        <v>73025000</v>
      </c>
      <c r="D266" s="5">
        <f>_xll.SNL.Clients.Office.Excel.Functions.SPG(A266, "IQ_DILUT_EPS_NORM", "CY2023")</f>
        <v>4.1379999999999999</v>
      </c>
      <c r="E266">
        <f t="shared" si="24"/>
        <v>302177.45</v>
      </c>
      <c r="F266">
        <f t="shared" si="25"/>
        <v>0.13988045392789278</v>
      </c>
      <c r="G266" t="s">
        <v>778</v>
      </c>
      <c r="H266" s="4" cm="1">
        <f t="array" ref="H266">_xll.SNL.Clients.Office.Excel.Functions.SPG(G266, "SP_TOTAL_REV", "CY2022")</f>
        <v>1995448</v>
      </c>
      <c r="I266" s="4">
        <f>_xll.SNL.Clients.Office.Excel.Functions.SPG(G266,"IQ_AVG_DILUT_SHARES_OUT","CY2022")</f>
        <v>73096500</v>
      </c>
      <c r="J266" s="5">
        <f>_xll.SNL.Clients.Office.Excel.Functions.SPG(G266, "IQ_DILUT_EPS_NORM", "CY2022")</f>
        <v>3.9180000000000001</v>
      </c>
      <c r="K266">
        <f t="shared" si="26"/>
        <v>286392.087</v>
      </c>
      <c r="L266">
        <f t="shared" si="27"/>
        <v>0.14352270116785804</v>
      </c>
      <c r="M266" t="s">
        <v>788</v>
      </c>
      <c r="N266" s="4" cm="1">
        <f t="array" ref="N266">_xll.SNL.Clients.Office.Excel.Functions.SPG(M266, "SP_TOTAL_REV", "CY2022")</f>
        <v>5551000</v>
      </c>
      <c r="O266" s="4">
        <f>_xll.SNL.Clients.Office.Excel.Functions.SPG(M266,"IQ_AVG_DILUT_SHARES_OUT","CY2022")</f>
        <v>181000000</v>
      </c>
      <c r="P266" s="5">
        <f>_xll.SNL.Clients.Office.Excel.Functions.SPG(M266, "IQ_DILUT_EPS_NORM", "CY2022")</f>
        <v>4.7510000000000003</v>
      </c>
      <c r="Q266">
        <f t="shared" si="28"/>
        <v>859931.00000000012</v>
      </c>
      <c r="R266">
        <f t="shared" si="29"/>
        <v>0.15491460998018378</v>
      </c>
    </row>
    <row r="267" spans="1:18" x14ac:dyDescent="0.3">
      <c r="A267" t="s">
        <v>779</v>
      </c>
      <c r="B267" s="4" cm="1">
        <f t="array" ref="B267">_xll.SNL.Clients.Office.Excel.Functions.SPG(A267, "SP_TOTAL_REV", "CY2023")</f>
        <v>16712971</v>
      </c>
      <c r="C267" s="4">
        <f>_xll.SNL.Clients.Office.Excel.Functions.SPG(A267,"IQ_AVG_DILUT_SHARES_OUT","CY2023")</f>
        <v>127043250</v>
      </c>
      <c r="D267" s="5">
        <f>_xll.SNL.Clients.Office.Excel.Functions.SPG(A267, "IQ_DILUT_EPS_NORM", "CY2023")</f>
        <v>4.88</v>
      </c>
      <c r="E267">
        <f t="shared" si="24"/>
        <v>619971.06000000006</v>
      </c>
      <c r="F267">
        <f t="shared" si="25"/>
        <v>3.7095203479979716E-2</v>
      </c>
      <c r="G267" t="s">
        <v>779</v>
      </c>
      <c r="H267" s="4" cm="1">
        <f t="array" ref="H267">_xll.SNL.Clients.Office.Excel.Functions.SPG(G267, "SP_TOTAL_REV", "CY2022")</f>
        <v>15340868</v>
      </c>
      <c r="I267" s="4">
        <f>_xll.SNL.Clients.Office.Excel.Functions.SPG(G267,"IQ_AVG_DILUT_SHARES_OUT","CY2022")</f>
        <v>128745500</v>
      </c>
      <c r="J267" s="5">
        <f>_xll.SNL.Clients.Office.Excel.Functions.SPG(G267, "IQ_DILUT_EPS_NORM", "CY2022")</f>
        <v>4.4390000000000001</v>
      </c>
      <c r="K267">
        <f t="shared" si="26"/>
        <v>571501.27450000006</v>
      </c>
      <c r="L267">
        <f t="shared" si="27"/>
        <v>3.7253516196084864E-2</v>
      </c>
      <c r="M267" t="s">
        <v>789</v>
      </c>
      <c r="N267" s="4" cm="1">
        <f t="array" ref="N267">_xll.SNL.Clients.Office.Excel.Functions.SPG(M267, "SP_TOTAL_REV", "CY2022")</f>
        <v>20175000</v>
      </c>
      <c r="O267" s="4">
        <f>_xll.SNL.Clients.Office.Excel.Functions.SPG(M267,"IQ_AVG_DILUT_SHARES_OUT","CY2022")</f>
        <v>338300000</v>
      </c>
      <c r="P267" s="5">
        <f>_xll.SNL.Clients.Office.Excel.Functions.SPG(M267, "IQ_DILUT_EPS_NORM", "CY2022")</f>
        <v>4.4349999999999996</v>
      </c>
      <c r="Q267">
        <f t="shared" si="28"/>
        <v>1500360.4999999998</v>
      </c>
      <c r="R267">
        <f t="shared" si="29"/>
        <v>7.436731102850061E-2</v>
      </c>
    </row>
    <row r="268" spans="1:18" x14ac:dyDescent="0.3">
      <c r="A268" t="s">
        <v>780</v>
      </c>
      <c r="B268" s="4" cm="1">
        <f t="array" ref="B268">_xll.SNL.Clients.Office.Excel.Functions.SPG(A268, "SP_TOTAL_REV", "CY2023")</f>
        <v>85159000</v>
      </c>
      <c r="C268" s="4">
        <f>_xll.SNL.Clients.Office.Excel.Functions.SPG(A268,"IQ_AVG_DILUT_SHARES_OUT","CY2023")</f>
        <v>2560400000</v>
      </c>
      <c r="D268" s="5">
        <f>_xll.SNL.Clients.Office.Excel.Functions.SPG(A268, "IQ_DILUT_EPS_NORM", "CY2023")</f>
        <v>6.2130000000000001</v>
      </c>
      <c r="E268">
        <f t="shared" si="24"/>
        <v>15907765.199999999</v>
      </c>
      <c r="F268">
        <f t="shared" si="25"/>
        <v>0.18680075153536324</v>
      </c>
      <c r="G268" t="s">
        <v>780</v>
      </c>
      <c r="H268" s="4" cm="1">
        <f t="array" ref="H268">_xll.SNL.Clients.Office.Excel.Functions.SPG(G268, "SP_TOTAL_REV", "CY2022")</f>
        <v>79990000</v>
      </c>
      <c r="I268" s="4">
        <f>_xll.SNL.Clients.Office.Excel.Functions.SPG(G268,"IQ_AVG_DILUT_SHARES_OUT","CY2022")</f>
        <v>2663900000</v>
      </c>
      <c r="J268" s="5">
        <f>_xll.SNL.Clients.Office.Excel.Functions.SPG(G268, "IQ_DILUT_EPS_NORM", "CY2022")</f>
        <v>5.5960000000000001</v>
      </c>
      <c r="K268">
        <f t="shared" si="26"/>
        <v>14907184.4</v>
      </c>
      <c r="L268">
        <f t="shared" si="27"/>
        <v>0.18636310038754844</v>
      </c>
      <c r="M268" t="s">
        <v>790</v>
      </c>
      <c r="N268" s="4" cm="1">
        <f t="array" ref="N268">_xll.SNL.Clients.Office.Excel.Functions.SPG(M268, "SP_TOTAL_REV", "CY2022")</f>
        <v>1849792</v>
      </c>
      <c r="O268" s="4">
        <f>_xll.SNL.Clients.Office.Excel.Functions.SPG(M268,"IQ_AVG_DILUT_SHARES_OUT","CY2022")</f>
        <v>617858000</v>
      </c>
      <c r="P268" s="5">
        <f>_xll.SNL.Clients.Office.Excel.Functions.SPG(M268, "IQ_DILUT_EPS_NORM", "CY2022")</f>
        <v>0.52500000000000002</v>
      </c>
      <c r="Q268">
        <f t="shared" si="28"/>
        <v>324375.45</v>
      </c>
      <c r="R268">
        <f t="shared" si="29"/>
        <v>0.17535779698474208</v>
      </c>
    </row>
    <row r="269" spans="1:18" x14ac:dyDescent="0.3">
      <c r="A269" t="s">
        <v>781</v>
      </c>
      <c r="B269" s="4" cm="1">
        <f t="array" ref="B269">_xll.SNL.Clients.Office.Excel.Functions.SPG(A269, "SP_TOTAL_REV", "CY2023")</f>
        <v>26819000</v>
      </c>
      <c r="C269" s="4">
        <f>_xll.SNL.Clients.Office.Excel.Functions.SPG(A269,"IQ_AVG_DILUT_SHARES_OUT","CY2023")</f>
        <v>685425000</v>
      </c>
      <c r="D269" s="5">
        <f>_xll.SNL.Clients.Office.Excel.Functions.SPG(A269, "IQ_DILUT_EPS_NORM", "CY2023")</f>
        <v>2.2200000000000002</v>
      </c>
      <c r="E269">
        <f t="shared" si="24"/>
        <v>1521643.5000000002</v>
      </c>
      <c r="F269">
        <f t="shared" si="25"/>
        <v>5.6737518177411544E-2</v>
      </c>
      <c r="G269" t="s">
        <v>781</v>
      </c>
      <c r="H269" s="4" cm="1">
        <f t="array" ref="H269">_xll.SNL.Clients.Office.Excel.Functions.SPG(G269, "SP_TOTAL_REV", "CY2022")</f>
        <v>25505000</v>
      </c>
      <c r="I269" s="4">
        <f>_xll.SNL.Clients.Office.Excel.Functions.SPG(G269,"IQ_AVG_DILUT_SHARES_OUT","CY2022")</f>
        <v>694800000</v>
      </c>
      <c r="J269" s="5">
        <f>_xll.SNL.Clients.Office.Excel.Functions.SPG(G269, "IQ_DILUT_EPS_NORM", "CY2022")</f>
        <v>2.12</v>
      </c>
      <c r="K269">
        <f t="shared" si="26"/>
        <v>1472976</v>
      </c>
      <c r="L269">
        <f t="shared" si="27"/>
        <v>5.775244069790237E-2</v>
      </c>
      <c r="M269" t="s">
        <v>791</v>
      </c>
      <c r="N269" s="4" cm="1">
        <f t="array" ref="N269">_xll.SNL.Clients.Office.Excel.Functions.SPG(M269, "SP_TOTAL_REV", "CY2022")</f>
        <v>19200000</v>
      </c>
      <c r="O269" s="4">
        <f>_xll.SNL.Clients.Office.Excel.Functions.SPG(M269,"IQ_AVG_DILUT_SHARES_OUT","CY2022")</f>
        <v>2258000000</v>
      </c>
      <c r="P269" s="5">
        <f>_xll.SNL.Clients.Office.Excel.Functions.SPG(M269, "IQ_DILUT_EPS_NORM", "CY2022")</f>
        <v>0.90900000000000003</v>
      </c>
      <c r="Q269">
        <f t="shared" si="28"/>
        <v>2052522</v>
      </c>
      <c r="R269">
        <f t="shared" si="29"/>
        <v>0.1069021875</v>
      </c>
    </row>
    <row r="270" spans="1:18" x14ac:dyDescent="0.3">
      <c r="A270" t="s">
        <v>782</v>
      </c>
      <c r="B270" s="4" cm="1">
        <f t="array" ref="B270">_xll.SNL.Clients.Office.Excel.Functions.SPG(A270, "SP_TOTAL_REV", "CY2023")</f>
        <v>154990000</v>
      </c>
      <c r="C270" s="4">
        <f>_xll.SNL.Clients.Office.Excel.Functions.SPG(A270,"IQ_AVG_DILUT_SHARES_OUT","CY2023")</f>
        <v>2943100000</v>
      </c>
      <c r="D270" s="5">
        <f>_xll.SNL.Clients.Office.Excel.Functions.SPG(A270, "IQ_DILUT_EPS_NORM", "CY2023")</f>
        <v>13.263999999999999</v>
      </c>
      <c r="E270">
        <f t="shared" si="24"/>
        <v>39037278.399999999</v>
      </c>
      <c r="F270">
        <f t="shared" si="25"/>
        <v>0.25186965868765726</v>
      </c>
      <c r="G270" t="s">
        <v>782</v>
      </c>
      <c r="H270" s="4" cm="1">
        <f t="array" ref="H270">_xll.SNL.Clients.Office.Excel.Functions.SPG(G270, "SP_TOTAL_REV", "CY2022")</f>
        <v>127781000</v>
      </c>
      <c r="I270" s="4">
        <f>_xll.SNL.Clients.Office.Excel.Functions.SPG(G270,"IQ_AVG_DILUT_SHARES_OUT","CY2022")</f>
        <v>2970000000</v>
      </c>
      <c r="J270" s="5">
        <f>_xll.SNL.Clients.Office.Excel.Functions.SPG(G270, "IQ_DILUT_EPS_NORM", "CY2022")</f>
        <v>9.7149999999999999</v>
      </c>
      <c r="K270">
        <f t="shared" si="26"/>
        <v>28853550</v>
      </c>
      <c r="L270">
        <f t="shared" si="27"/>
        <v>0.22580469709894271</v>
      </c>
      <c r="M270" t="s">
        <v>792</v>
      </c>
      <c r="N270" s="4" cm="1">
        <f t="array" ref="N270">_xll.SNL.Clients.Office.Excel.Functions.SPG(M270, "SP_TOTAL_REV", "CY2022")</f>
        <v>10483726</v>
      </c>
      <c r="O270" s="4">
        <f>_xll.SNL.Clients.Office.Excel.Functions.SPG(M270,"IQ_AVG_DILUT_SHARES_OUT","CY2022")</f>
        <v>146246000</v>
      </c>
      <c r="P270" s="5">
        <f>_xll.SNL.Clients.Office.Excel.Functions.SPG(M270, "IQ_DILUT_EPS_NORM", "CY2022")</f>
        <v>17.192</v>
      </c>
      <c r="Q270">
        <f t="shared" si="28"/>
        <v>2514261.2319999998</v>
      </c>
      <c r="R270">
        <f t="shared" si="29"/>
        <v>0.23982515681924535</v>
      </c>
    </row>
    <row r="271" spans="1:18" x14ac:dyDescent="0.3">
      <c r="A271" t="s">
        <v>783</v>
      </c>
      <c r="B271" s="4" cm="1">
        <f t="array" ref="B271">_xll.SNL.Clients.Office.Excel.Functions.SPG(A271, "SP_TOTAL_REV", "CY2023")</f>
        <v>5564500</v>
      </c>
      <c r="C271" s="4">
        <f>_xll.SNL.Clients.Office.Excel.Functions.SPG(A271,"IQ_AVG_DILUT_SHARES_OUT","CY2023")</f>
        <v>325900000</v>
      </c>
      <c r="D271" s="5">
        <f>_xll.SNL.Clients.Office.Excel.Functions.SPG(A271, "IQ_DILUT_EPS_NORM", "CY2023")</f>
        <v>1.014</v>
      </c>
      <c r="E271">
        <f t="shared" si="24"/>
        <v>330462.59999999998</v>
      </c>
      <c r="F271">
        <f t="shared" si="25"/>
        <v>5.9387653877257612E-2</v>
      </c>
      <c r="G271" t="s">
        <v>783</v>
      </c>
      <c r="H271" s="4" cm="1">
        <f t="array" ref="H271">_xll.SNL.Clients.Office.Excel.Functions.SPG(G271, "SP_TOTAL_REV", "CY2022")</f>
        <v>5301200</v>
      </c>
      <c r="I271" s="4">
        <f>_xll.SNL.Clients.Office.Excel.Functions.SPG(G271,"IQ_AVG_DILUT_SHARES_OUT","CY2022")</f>
        <v>329500000</v>
      </c>
      <c r="J271" s="5">
        <f>_xll.SNL.Clients.Office.Excel.Functions.SPG(G271, "IQ_DILUT_EPS_NORM", "CY2022")</f>
        <v>0.94299999999999995</v>
      </c>
      <c r="K271">
        <f t="shared" si="26"/>
        <v>310718.5</v>
      </c>
      <c r="L271">
        <f t="shared" si="27"/>
        <v>5.861286123896476E-2</v>
      </c>
      <c r="M271" t="s">
        <v>793</v>
      </c>
      <c r="N271" s="4" cm="1">
        <f t="array" ref="N271">_xll.SNL.Clients.Office.Excel.Functions.SPG(M271, "SP_TOTAL_REV", "CY2022")</f>
        <v>26485000</v>
      </c>
      <c r="O271" s="4">
        <f>_xll.SNL.Clients.Office.Excel.Functions.SPG(M271,"IQ_AVG_DILUT_SHARES_OUT","CY2022")</f>
        <v>1235000000</v>
      </c>
      <c r="P271" s="5">
        <f>_xll.SNL.Clients.Office.Excel.Functions.SPG(M271, "IQ_DILUT_EPS_NORM", "CY2022")</f>
        <v>2.1139999999999999</v>
      </c>
      <c r="Q271">
        <f t="shared" si="28"/>
        <v>2610790</v>
      </c>
      <c r="R271">
        <f t="shared" si="29"/>
        <v>9.8576175193505755E-2</v>
      </c>
    </row>
    <row r="272" spans="1:18" x14ac:dyDescent="0.3">
      <c r="A272" t="s">
        <v>784</v>
      </c>
      <c r="B272" s="4" cm="1">
        <f t="array" ref="B272">_xll.SNL.Clients.Office.Excel.Functions.SPG(A272, "SP_TOTAL_REV", "CY2023")</f>
        <v>13122000</v>
      </c>
      <c r="C272" s="4">
        <f>_xll.SNL.Clients.Office.Excel.Functions.SPG(A272,"IQ_AVG_DILUT_SHARES_OUT","CY2023")</f>
        <v>344565217</v>
      </c>
      <c r="D272" s="5">
        <f>_xll.SNL.Clients.Office.Excel.Functions.SPG(A272, "IQ_DILUT_EPS_NORM", "CY2023")</f>
        <v>1.9359999999999999</v>
      </c>
      <c r="E272">
        <f t="shared" si="24"/>
        <v>667078.26011199993</v>
      </c>
      <c r="F272">
        <f t="shared" si="25"/>
        <v>5.0836630095412276E-2</v>
      </c>
      <c r="G272" t="s">
        <v>784</v>
      </c>
      <c r="H272" s="4" cm="1">
        <f t="array" ref="H272">_xll.SNL.Clients.Office.Excel.Functions.SPG(G272, "SP_TOTAL_REV", "CY2022")</f>
        <v>12653000</v>
      </c>
      <c r="I272" s="4">
        <f>_xll.SNL.Clients.Office.Excel.Functions.SPG(G272,"IQ_AVG_DILUT_SHARES_OUT","CY2022")</f>
        <v>344086021</v>
      </c>
      <c r="J272" s="5">
        <f>_xll.SNL.Clients.Office.Excel.Functions.SPG(G272, "IQ_DILUT_EPS_NORM", "CY2022")</f>
        <v>1.66</v>
      </c>
      <c r="K272">
        <f t="shared" si="26"/>
        <v>571182.79486000002</v>
      </c>
      <c r="L272">
        <f t="shared" si="27"/>
        <v>4.5142084474828106E-2</v>
      </c>
      <c r="M272" t="s">
        <v>794</v>
      </c>
      <c r="N272" s="4" cm="1">
        <f t="array" ref="N272">_xll.SNL.Clients.Office.Excel.Functions.SPG(M272, "SP_TOTAL_REV", "CY2022")</f>
        <v>148258000</v>
      </c>
      <c r="O272" s="4">
        <f>_xll.SNL.Clients.Office.Excel.Functions.SPG(M272,"IQ_AVG_DILUT_SHARES_OUT","CY2022")</f>
        <v>727000000</v>
      </c>
      <c r="P272" s="5">
        <f>_xll.SNL.Clients.Office.Excel.Functions.SPG(M272, "IQ_DILUT_EPS_NORM", "CY2022")</f>
        <v>3.4409999999999998</v>
      </c>
      <c r="Q272">
        <f t="shared" si="28"/>
        <v>2501607</v>
      </c>
      <c r="R272">
        <f t="shared" si="29"/>
        <v>1.6873335671599508E-2</v>
      </c>
    </row>
    <row r="273" spans="1:18" x14ac:dyDescent="0.3">
      <c r="A273" t="s">
        <v>785</v>
      </c>
      <c r="B273" s="4" cm="1">
        <f t="array" ref="B273">_xll.SNL.Clients.Office.Excel.Functions.SPG(A273, "SP_TOTAL_REV", "CY2023")</f>
        <v>15444000</v>
      </c>
      <c r="C273" s="4">
        <f>_xll.SNL.Clients.Office.Excel.Functions.SPG(A273,"IQ_AVG_DILUT_SHARES_OUT","CY2023")</f>
        <v>1850325000</v>
      </c>
      <c r="D273" s="5">
        <f>_xll.SNL.Clients.Office.Excel.Functions.SPG(A273, "IQ_DILUT_EPS_NORM", "CY2023")</f>
        <v>0.88800000000000001</v>
      </c>
      <c r="E273">
        <f t="shared" si="24"/>
        <v>1643088.6</v>
      </c>
      <c r="F273">
        <f t="shared" si="25"/>
        <v>0.10639009324009324</v>
      </c>
      <c r="G273" t="s">
        <v>785</v>
      </c>
      <c r="H273" s="4" cm="1">
        <f t="array" ref="H273">_xll.SNL.Clients.Office.Excel.Functions.SPG(G273, "SP_TOTAL_REV", "CY2022")</f>
        <v>14950000</v>
      </c>
      <c r="I273" s="4">
        <f>_xll.SNL.Clients.Office.Excel.Functions.SPG(G273,"IQ_AVG_DILUT_SHARES_OUT","CY2022")</f>
        <v>1716160000</v>
      </c>
      <c r="J273" s="5">
        <f>_xll.SNL.Clients.Office.Excel.Functions.SPG(G273, "IQ_DILUT_EPS_NORM", "CY2022")</f>
        <v>1.079</v>
      </c>
      <c r="K273">
        <f t="shared" si="26"/>
        <v>1851736.64</v>
      </c>
      <c r="L273">
        <f t="shared" si="27"/>
        <v>0.12386198260869564</v>
      </c>
      <c r="M273" t="s">
        <v>795</v>
      </c>
      <c r="N273" s="4" cm="1">
        <f t="array" ref="N273">_xll.SNL.Clients.Office.Excel.Functions.SPG(M273, "SP_TOTAL_REV", "CY2022")</f>
        <v>17062000</v>
      </c>
      <c r="O273" s="4">
        <f>_xll.SNL.Clients.Office.Excel.Functions.SPG(M273,"IQ_AVG_DILUT_SHARES_OUT","CY2022")</f>
        <v>193500000</v>
      </c>
      <c r="P273" s="5">
        <f>_xll.SNL.Clients.Office.Excel.Functions.SPG(M273, "IQ_DILUT_EPS_NORM", "CY2022")</f>
        <v>7.2050000000000001</v>
      </c>
      <c r="Q273">
        <f t="shared" si="28"/>
        <v>1394167.5</v>
      </c>
      <c r="R273">
        <f t="shared" si="29"/>
        <v>8.1711845035751962E-2</v>
      </c>
    </row>
    <row r="274" spans="1:18" x14ac:dyDescent="0.3">
      <c r="A274" t="s">
        <v>786</v>
      </c>
      <c r="B274" s="4" cm="1">
        <f t="array" ref="B274">_xll.SNL.Clients.Office.Excel.Functions.SPG(A274, "SP_TOTAL_REV", "CY2023")</f>
        <v>14814000</v>
      </c>
      <c r="C274" s="4">
        <f>_xll.SNL.Clients.Office.Excel.Functions.SPG(A274,"IQ_AVG_DILUT_SHARES_OUT","CY2023")</f>
        <v>1408400000</v>
      </c>
      <c r="D274" s="5">
        <f>_xll.SNL.Clients.Office.Excel.Functions.SPG(A274, "IQ_DILUT_EPS_NORM", "CY2023")</f>
        <v>1.2370000000000001</v>
      </c>
      <c r="E274">
        <f t="shared" si="24"/>
        <v>1742190.8000000003</v>
      </c>
      <c r="F274">
        <f t="shared" si="25"/>
        <v>0.11760434723909817</v>
      </c>
      <c r="G274" t="s">
        <v>786</v>
      </c>
      <c r="H274" s="4" cm="1">
        <f t="array" ref="H274">_xll.SNL.Clients.Office.Excel.Functions.SPG(G274, "SP_TOTAL_REV", "CY2022")</f>
        <v>14057000</v>
      </c>
      <c r="I274" s="4">
        <f>_xll.SNL.Clients.Office.Excel.Functions.SPG(G274,"IQ_AVG_DILUT_SHARES_OUT","CY2022")</f>
        <v>1428500000</v>
      </c>
      <c r="J274" s="5">
        <f>_xll.SNL.Clients.Office.Excel.Functions.SPG(G274, "IQ_DILUT_EPS_NORM", "CY2022")</f>
        <v>0.94799999999999995</v>
      </c>
      <c r="K274">
        <f t="shared" si="26"/>
        <v>1354218</v>
      </c>
      <c r="L274">
        <f t="shared" si="27"/>
        <v>9.6337625382371769E-2</v>
      </c>
      <c r="M274" t="s">
        <v>796</v>
      </c>
      <c r="N274" s="4" cm="1">
        <f t="array" ref="N274">_xll.SNL.Clients.Office.Excel.Functions.SPG(M274, "SP_TOTAL_REV", "CY2022")</f>
        <v>11863900</v>
      </c>
      <c r="O274" s="4">
        <f>_xll.SNL.Clients.Office.Excel.Functions.SPG(M274,"IQ_AVG_DILUT_SHARES_OUT","CY2022")</f>
        <v>91600000</v>
      </c>
      <c r="P274" s="5">
        <f>_xll.SNL.Clients.Office.Excel.Functions.SPG(M274, "IQ_DILUT_EPS_NORM", "CY2022")</f>
        <v>10.714</v>
      </c>
      <c r="Q274">
        <f t="shared" si="28"/>
        <v>981402.4</v>
      </c>
      <c r="R274">
        <f t="shared" si="29"/>
        <v>8.2721735685567149E-2</v>
      </c>
    </row>
    <row r="275" spans="1:18" x14ac:dyDescent="0.3">
      <c r="A275" t="s">
        <v>787</v>
      </c>
      <c r="B275" s="4" cm="1">
        <f t="array" ref="B275">_xll.SNL.Clients.Office.Excel.Functions.SPG(A275, "SP_TOTAL_REV", "CY2023")</f>
        <v>6383000</v>
      </c>
      <c r="C275" s="4">
        <f>_xll.SNL.Clients.Office.Excel.Functions.SPG(A275,"IQ_AVG_DILUT_SHARES_OUT","CY2023")</f>
        <v>932759000</v>
      </c>
      <c r="D275" s="5">
        <f>_xll.SNL.Clients.Office.Excel.Functions.SPG(A275, "IQ_DILUT_EPS_NORM", "CY2023")</f>
        <v>0.83199999999999996</v>
      </c>
      <c r="E275">
        <f t="shared" si="24"/>
        <v>776055.48800000001</v>
      </c>
      <c r="F275">
        <f t="shared" si="25"/>
        <v>0.12158162118126273</v>
      </c>
      <c r="G275" t="s">
        <v>787</v>
      </c>
      <c r="H275" s="4" cm="1">
        <f t="array" ref="H275">_xll.SNL.Clients.Office.Excel.Functions.SPG(G275, "SP_TOTAL_REV", "CY2022")</f>
        <v>7245000</v>
      </c>
      <c r="I275" s="4">
        <f>_xll.SNL.Clients.Office.Excel.Functions.SPG(G275,"IQ_AVG_DILUT_SHARES_OUT","CY2022")</f>
        <v>933059000</v>
      </c>
      <c r="J275" s="5">
        <f>_xll.SNL.Clients.Office.Excel.Functions.SPG(G275, "IQ_DILUT_EPS_NORM", "CY2022")</f>
        <v>1.569</v>
      </c>
      <c r="K275">
        <f t="shared" si="26"/>
        <v>1463969.571</v>
      </c>
      <c r="L275">
        <f t="shared" si="27"/>
        <v>0.20206619337474119</v>
      </c>
      <c r="M275" t="s">
        <v>797</v>
      </c>
      <c r="N275" s="4" cm="1">
        <f t="array" ref="N275">_xll.SNL.Clients.Office.Excel.Functions.SPG(M275, "SP_TOTAL_REV", "CY2022")</f>
        <v>19047660</v>
      </c>
      <c r="O275" s="4">
        <f>_xll.SNL.Clients.Office.Excel.Functions.SPG(M275,"IQ_AVG_DILUT_SHARES_OUT","CY2022")</f>
        <v>1379795000</v>
      </c>
      <c r="P275" s="5">
        <f>_xll.SNL.Clients.Office.Excel.Functions.SPG(M275, "IQ_DILUT_EPS_NORM", "CY2022")</f>
        <v>2.6480000000000001</v>
      </c>
      <c r="Q275">
        <f t="shared" si="28"/>
        <v>3653697.16</v>
      </c>
      <c r="R275">
        <f t="shared" si="29"/>
        <v>0.19181868848981976</v>
      </c>
    </row>
    <row r="276" spans="1:18" x14ac:dyDescent="0.3">
      <c r="A276" t="s">
        <v>788</v>
      </c>
      <c r="B276" s="4" cm="1">
        <f t="array" ref="B276">_xll.SNL.Clients.Office.Excel.Functions.SPG(A276, "SP_TOTAL_REV", "CY2023")</f>
        <v>5342000</v>
      </c>
      <c r="C276" s="4">
        <f>_xll.SNL.Clients.Office.Excel.Functions.SPG(A276,"IQ_AVG_DILUT_SHARES_OUT","CY2023")</f>
        <v>178000000</v>
      </c>
      <c r="D276" s="5">
        <f>_xll.SNL.Clients.Office.Excel.Functions.SPG(A276, "IQ_DILUT_EPS_NORM", "CY2023")</f>
        <v>4.3860000000000001</v>
      </c>
      <c r="E276">
        <f t="shared" si="24"/>
        <v>780708</v>
      </c>
      <c r="F276">
        <f t="shared" si="25"/>
        <v>0.14614526394608759</v>
      </c>
      <c r="G276" t="s">
        <v>788</v>
      </c>
      <c r="H276" s="4" cm="1">
        <f t="array" ref="H276">_xll.SNL.Clients.Office.Excel.Functions.SPG(G276, "SP_TOTAL_REV", "CY2022")</f>
        <v>5551000</v>
      </c>
      <c r="I276" s="4">
        <f>_xll.SNL.Clients.Office.Excel.Functions.SPG(G276,"IQ_AVG_DILUT_SHARES_OUT","CY2022")</f>
        <v>181000000</v>
      </c>
      <c r="J276" s="5">
        <f>_xll.SNL.Clients.Office.Excel.Functions.SPG(G276, "IQ_DILUT_EPS_NORM", "CY2022")</f>
        <v>4.7510000000000003</v>
      </c>
      <c r="K276">
        <f t="shared" si="26"/>
        <v>859931.00000000012</v>
      </c>
      <c r="L276">
        <f t="shared" si="27"/>
        <v>0.15491460998018378</v>
      </c>
      <c r="M276" t="s">
        <v>798</v>
      </c>
      <c r="N276" s="4" cm="1">
        <f t="array" ref="N276">_xll.SNL.Clients.Office.Excel.Functions.SPG(M276, "SP_TOTAL_REV", "CY2022")</f>
        <v>4510200</v>
      </c>
      <c r="O276" s="4">
        <f>_xll.SNL.Clients.Office.Excel.Functions.SPG(M276,"IQ_AVG_DILUT_SHARES_OUT","CY2022")</f>
        <v>144900000</v>
      </c>
      <c r="P276" s="5">
        <f>_xll.SNL.Clients.Office.Excel.Functions.SPG(M276, "IQ_DILUT_EPS_NORM", "CY2022")</f>
        <v>2.6360000000000001</v>
      </c>
      <c r="Q276">
        <f t="shared" si="28"/>
        <v>381956.4</v>
      </c>
      <c r="R276">
        <f t="shared" si="29"/>
        <v>8.4687242250897965E-2</v>
      </c>
    </row>
    <row r="277" spans="1:18" x14ac:dyDescent="0.3">
      <c r="A277" t="s">
        <v>789</v>
      </c>
      <c r="B277" s="4" cm="1">
        <f t="array" ref="B277">_xll.SNL.Clients.Office.Excel.Functions.SPG(A277, "SP_TOTAL_REV", "CY2023")</f>
        <v>20431000</v>
      </c>
      <c r="C277" s="4">
        <f>_xll.SNL.Clients.Office.Excel.Functions.SPG(A277,"IQ_AVG_DILUT_SHARES_OUT","CY2023")</f>
        <v>338800000</v>
      </c>
      <c r="D277" s="5">
        <f>_xll.SNL.Clients.Office.Excel.Functions.SPG(A277, "IQ_DILUT_EPS_NORM", "CY2023")</f>
        <v>5.2320000000000002</v>
      </c>
      <c r="E277">
        <f t="shared" si="24"/>
        <v>1772601.6</v>
      </c>
      <c r="F277">
        <f t="shared" si="25"/>
        <v>8.6760393519651521E-2</v>
      </c>
      <c r="G277" t="s">
        <v>789</v>
      </c>
      <c r="H277" s="4" cm="1">
        <f t="array" ref="H277">_xll.SNL.Clients.Office.Excel.Functions.SPG(G277, "SP_TOTAL_REV", "CY2022")</f>
        <v>20175000</v>
      </c>
      <c r="I277" s="4">
        <f>_xll.SNL.Clients.Office.Excel.Functions.SPG(G277,"IQ_AVG_DILUT_SHARES_OUT","CY2022")</f>
        <v>338300000</v>
      </c>
      <c r="J277" s="5">
        <f>_xll.SNL.Clients.Office.Excel.Functions.SPG(G277, "IQ_DILUT_EPS_NORM", "CY2022")</f>
        <v>4.4349999999999996</v>
      </c>
      <c r="K277">
        <f t="shared" si="26"/>
        <v>1500360.4999999998</v>
      </c>
      <c r="L277">
        <f t="shared" si="27"/>
        <v>7.436731102850061E-2</v>
      </c>
      <c r="M277" t="s">
        <v>799</v>
      </c>
      <c r="N277" s="4" cm="1">
        <f t="array" ref="N277">_xll.SNL.Clients.Office.Excel.Functions.SPG(M277, "SP_TOTAL_REV", "CY2022")</f>
        <v>4110000</v>
      </c>
      <c r="O277" s="4">
        <f>_xll.SNL.Clients.Office.Excel.Functions.SPG(M277,"IQ_AVG_DILUT_SHARES_OUT","CY2022")</f>
        <v>764000000</v>
      </c>
      <c r="P277" s="5">
        <f>_xll.SNL.Clients.Office.Excel.Functions.SPG(M277, "IQ_DILUT_EPS_NORM", "CY2022")</f>
        <v>-0.50600000000000001</v>
      </c>
      <c r="Q277">
        <f t="shared" si="28"/>
        <v>-386584</v>
      </c>
      <c r="R277">
        <f t="shared" si="29"/>
        <v>-9.4059367396593679E-2</v>
      </c>
    </row>
    <row r="278" spans="1:18" x14ac:dyDescent="0.3">
      <c r="A278" t="s">
        <v>790</v>
      </c>
      <c r="B278" s="4" cm="1">
        <f t="array" ref="B278">_xll.SNL.Clients.Office.Excel.Functions.SPG(A278, "SP_TOTAL_REV", "CY2023")</f>
        <v>2087463</v>
      </c>
      <c r="C278" s="4">
        <f>_xll.SNL.Clients.Office.Excel.Functions.SPG(A278,"IQ_AVG_DILUT_SHARES_OUT","CY2023")</f>
        <v>618199000</v>
      </c>
      <c r="D278" s="5">
        <f>_xll.SNL.Clients.Office.Excel.Functions.SPG(A278, "IQ_DILUT_EPS_NORM", "CY2023")</f>
        <v>0.63800000000000001</v>
      </c>
      <c r="E278">
        <f t="shared" si="24"/>
        <v>394410.962</v>
      </c>
      <c r="F278">
        <f t="shared" si="25"/>
        <v>0.18894273191908073</v>
      </c>
      <c r="G278" t="s">
        <v>790</v>
      </c>
      <c r="H278" s="4" cm="1">
        <f t="array" ref="H278">_xll.SNL.Clients.Office.Excel.Functions.SPG(G278, "SP_TOTAL_REV", "CY2022")</f>
        <v>1849792</v>
      </c>
      <c r="I278" s="4">
        <f>_xll.SNL.Clients.Office.Excel.Functions.SPG(G278,"IQ_AVG_DILUT_SHARES_OUT","CY2022")</f>
        <v>617858000</v>
      </c>
      <c r="J278" s="5">
        <f>_xll.SNL.Clients.Office.Excel.Functions.SPG(G278, "IQ_DILUT_EPS_NORM", "CY2022")</f>
        <v>0.52500000000000002</v>
      </c>
      <c r="K278">
        <f t="shared" si="26"/>
        <v>324375.45</v>
      </c>
      <c r="L278">
        <f t="shared" si="27"/>
        <v>0.17535779698474208</v>
      </c>
      <c r="M278" t="s">
        <v>800</v>
      </c>
      <c r="N278" s="4" cm="1">
        <f t="array" ref="N278">_xll.SNL.Clients.Office.Excel.Functions.SPG(M278, "SP_TOTAL_REV", "CY2022")</f>
        <v>14396000</v>
      </c>
      <c r="O278" s="4">
        <f>_xll.SNL.Clients.Office.Excel.Functions.SPG(M278,"IQ_AVG_DILUT_SHARES_OUT","CY2022")</f>
        <v>138000000</v>
      </c>
      <c r="P278" s="5">
        <f>_xll.SNL.Clients.Office.Excel.Functions.SPG(M278, "IQ_DILUT_EPS_NORM", "CY2022")</f>
        <v>4.2130000000000001</v>
      </c>
      <c r="Q278">
        <f t="shared" si="28"/>
        <v>581394</v>
      </c>
      <c r="R278">
        <f t="shared" si="29"/>
        <v>4.0385801611558768E-2</v>
      </c>
    </row>
    <row r="279" spans="1:18" x14ac:dyDescent="0.3">
      <c r="A279" t="s">
        <v>791</v>
      </c>
      <c r="B279" s="4" cm="1">
        <f t="array" ref="B279">_xll.SNL.Clients.Office.Excel.Functions.SPG(A279, "SP_TOTAL_REV", "CY2023")</f>
        <v>15334000</v>
      </c>
      <c r="C279" s="4">
        <f>_xll.SNL.Clients.Office.Excel.Functions.SPG(A279,"IQ_AVG_DILUT_SHARES_OUT","CY2023")</f>
        <v>2234000000</v>
      </c>
      <c r="D279" s="5">
        <f>_xll.SNL.Clients.Office.Excel.Functions.SPG(A279, "IQ_DILUT_EPS_NORM", "CY2023")</f>
        <v>0.86699999999999999</v>
      </c>
      <c r="E279">
        <f t="shared" si="24"/>
        <v>1936878</v>
      </c>
      <c r="F279">
        <f t="shared" si="25"/>
        <v>0.12631263858093125</v>
      </c>
      <c r="G279" t="s">
        <v>791</v>
      </c>
      <c r="H279" s="4" cm="1">
        <f t="array" ref="H279">_xll.SNL.Clients.Office.Excel.Functions.SPG(G279, "SP_TOTAL_REV", "CY2022")</f>
        <v>19200000</v>
      </c>
      <c r="I279" s="4">
        <f>_xll.SNL.Clients.Office.Excel.Functions.SPG(G279,"IQ_AVG_DILUT_SHARES_OUT","CY2022")</f>
        <v>2258000000</v>
      </c>
      <c r="J279" s="5">
        <f>_xll.SNL.Clients.Office.Excel.Functions.SPG(G279, "IQ_DILUT_EPS_NORM", "CY2022")</f>
        <v>0.90900000000000003</v>
      </c>
      <c r="K279">
        <f t="shared" si="26"/>
        <v>2052522</v>
      </c>
      <c r="L279">
        <f t="shared" si="27"/>
        <v>0.1069021875</v>
      </c>
      <c r="M279" t="s">
        <v>801</v>
      </c>
      <c r="N279" s="4" cm="1">
        <f t="array" ref="N279">_xll.SNL.Clients.Office.Excel.Functions.SPG(M279, "SP_TOTAL_REV", "CY2022")</f>
        <v>33671010</v>
      </c>
      <c r="O279" s="4">
        <f>_xll.SNL.Clients.Office.Excel.Functions.SPG(M279,"IQ_AVG_DILUT_SHARES_OUT","CY2022")</f>
        <v>289824000</v>
      </c>
      <c r="P279" s="5">
        <f>_xll.SNL.Clients.Office.Excel.Functions.SPG(M279, "IQ_DILUT_EPS_NORM", "CY2022")</f>
        <v>14.263999999999999</v>
      </c>
      <c r="Q279">
        <f t="shared" si="28"/>
        <v>4134049.5359999998</v>
      </c>
      <c r="R279">
        <f t="shared" si="29"/>
        <v>0.12277771103391315</v>
      </c>
    </row>
    <row r="280" spans="1:18" x14ac:dyDescent="0.3">
      <c r="A280" t="s">
        <v>792</v>
      </c>
      <c r="B280" s="4" cm="1">
        <f t="array" ref="B280">_xll.SNL.Clients.Office.Excel.Functions.SPG(A280, "SP_TOTAL_REV", "CY2023")</f>
        <v>9671427</v>
      </c>
      <c r="C280" s="4">
        <f>_xll.SNL.Clients.Office.Excel.Functions.SPG(A280,"IQ_AVG_DILUT_SHARES_OUT","CY2023")</f>
        <v>137443000</v>
      </c>
      <c r="D280" s="5">
        <f>_xll.SNL.Clients.Office.Excel.Functions.SPG(A280, "IQ_DILUT_EPS_NORM", "CY2023")</f>
        <v>15.047000000000001</v>
      </c>
      <c r="E280">
        <f t="shared" si="24"/>
        <v>2068104.821</v>
      </c>
      <c r="F280">
        <f t="shared" si="25"/>
        <v>0.21383657458201361</v>
      </c>
      <c r="G280" t="s">
        <v>792</v>
      </c>
      <c r="H280" s="4" cm="1">
        <f t="array" ref="H280">_xll.SNL.Clients.Office.Excel.Functions.SPG(G280, "SP_TOTAL_REV", "CY2022")</f>
        <v>10483726</v>
      </c>
      <c r="I280" s="4">
        <f>_xll.SNL.Clients.Office.Excel.Functions.SPG(G280,"IQ_AVG_DILUT_SHARES_OUT","CY2022")</f>
        <v>146246000</v>
      </c>
      <c r="J280" s="5">
        <f>_xll.SNL.Clients.Office.Excel.Functions.SPG(G280, "IQ_DILUT_EPS_NORM", "CY2022")</f>
        <v>17.192</v>
      </c>
      <c r="K280">
        <f t="shared" si="26"/>
        <v>2514261.2319999998</v>
      </c>
      <c r="L280">
        <f t="shared" si="27"/>
        <v>0.23982515681924535</v>
      </c>
      <c r="M280" t="s">
        <v>802</v>
      </c>
      <c r="N280" s="4" cm="1">
        <f t="array" ref="N280">_xll.SNL.Clients.Office.Excel.Functions.SPG(M280, "SP_TOTAL_REV", "CY2022")</f>
        <v>33364000</v>
      </c>
      <c r="O280" s="4">
        <f>_xll.SNL.Clients.Office.Excel.Functions.SPG(M280,"IQ_AVG_DILUT_SHARES_OUT","CY2022")</f>
        <v>504038000</v>
      </c>
      <c r="P280" s="5">
        <f>_xll.SNL.Clients.Office.Excel.Functions.SPG(M280, "IQ_DILUT_EPS_NORM", "CY2022")</f>
        <v>8.1240000000000006</v>
      </c>
      <c r="Q280">
        <f t="shared" si="28"/>
        <v>4094804.7120000003</v>
      </c>
      <c r="R280">
        <f t="shared" si="29"/>
        <v>0.12273122862966072</v>
      </c>
    </row>
    <row r="281" spans="1:18" x14ac:dyDescent="0.3">
      <c r="A281" t="s">
        <v>793</v>
      </c>
      <c r="B281" s="4" cm="1">
        <f t="array" ref="B281">_xll.SNL.Clients.Office.Excel.Functions.SPG(A281, "SP_TOTAL_REV", "CY2023")</f>
        <v>26640000</v>
      </c>
      <c r="C281" s="4">
        <f>_xll.SNL.Clients.Office.Excel.Functions.SPG(A281,"IQ_AVG_DILUT_SHARES_OUT","CY2023")</f>
        <v>1235000000</v>
      </c>
      <c r="D281" s="5">
        <f>_xll.SNL.Clients.Office.Excel.Functions.SPG(A281, "IQ_DILUT_EPS_NORM", "CY2023")</f>
        <v>2.294</v>
      </c>
      <c r="E281">
        <f t="shared" si="24"/>
        <v>2833090</v>
      </c>
      <c r="F281">
        <f t="shared" si="25"/>
        <v>0.10634722222222222</v>
      </c>
      <c r="G281" t="s">
        <v>793</v>
      </c>
      <c r="H281" s="4" cm="1">
        <f t="array" ref="H281">_xll.SNL.Clients.Office.Excel.Functions.SPG(G281, "SP_TOTAL_REV", "CY2022")</f>
        <v>26485000</v>
      </c>
      <c r="I281" s="4">
        <f>_xll.SNL.Clients.Office.Excel.Functions.SPG(G281,"IQ_AVG_DILUT_SHARES_OUT","CY2022")</f>
        <v>1235000000</v>
      </c>
      <c r="J281" s="5">
        <f>_xll.SNL.Clients.Office.Excel.Functions.SPG(G281, "IQ_DILUT_EPS_NORM", "CY2022")</f>
        <v>2.1139999999999999</v>
      </c>
      <c r="K281">
        <f t="shared" si="26"/>
        <v>2610790</v>
      </c>
      <c r="L281">
        <f t="shared" si="27"/>
        <v>9.8576175193505755E-2</v>
      </c>
      <c r="M281" t="s">
        <v>803</v>
      </c>
      <c r="N281" s="4" cm="1">
        <f t="array" ref="N281">_xll.SNL.Clients.Office.Excel.Functions.SPG(M281, "SP_TOTAL_REV", "CY2022")</f>
        <v>16681254</v>
      </c>
      <c r="O281" s="4">
        <f>_xll.SNL.Clients.Office.Excel.Functions.SPG(M281,"IQ_AVG_DILUT_SHARES_OUT","CY2022")</f>
        <v>231556866</v>
      </c>
      <c r="P281" s="5">
        <f>_xll.SNL.Clients.Office.Excel.Functions.SPG(M281, "IQ_DILUT_EPS_NORM", "CY2022")</f>
        <v>0.94299999999999995</v>
      </c>
      <c r="Q281">
        <f t="shared" si="28"/>
        <v>218358.12463799998</v>
      </c>
      <c r="R281">
        <f t="shared" si="29"/>
        <v>1.3090030559932722E-2</v>
      </c>
    </row>
    <row r="282" spans="1:18" x14ac:dyDescent="0.3">
      <c r="A282" t="s">
        <v>794</v>
      </c>
      <c r="B282" s="4" cm="1">
        <f t="array" ref="B282">_xll.SNL.Clients.Office.Excel.Functions.SPG(A282, "SP_TOTAL_REV", "CY2023")</f>
        <v>150039000</v>
      </c>
      <c r="C282" s="4">
        <f>_xll.SNL.Clients.Office.Excel.Functions.SPG(A282,"IQ_AVG_DILUT_SHARES_OUT","CY2023")</f>
        <v>725000000</v>
      </c>
      <c r="D282" s="5">
        <f>_xll.SNL.Clients.Office.Excel.Functions.SPG(A282, "IQ_DILUT_EPS_NORM", "CY2023")</f>
        <v>3.911</v>
      </c>
      <c r="E282">
        <f t="shared" si="24"/>
        <v>2835475</v>
      </c>
      <c r="F282">
        <f t="shared" si="25"/>
        <v>1.8898253120855243E-2</v>
      </c>
      <c r="G282" t="s">
        <v>794</v>
      </c>
      <c r="H282" s="4" cm="1">
        <f t="array" ref="H282">_xll.SNL.Clients.Office.Excel.Functions.SPG(G282, "SP_TOTAL_REV", "CY2022")</f>
        <v>148258000</v>
      </c>
      <c r="I282" s="4">
        <f>_xll.SNL.Clients.Office.Excel.Functions.SPG(G282,"IQ_AVG_DILUT_SHARES_OUT","CY2022")</f>
        <v>727000000</v>
      </c>
      <c r="J282" s="5">
        <f>_xll.SNL.Clients.Office.Excel.Functions.SPG(G282, "IQ_DILUT_EPS_NORM", "CY2022")</f>
        <v>3.4409999999999998</v>
      </c>
      <c r="K282">
        <f t="shared" si="26"/>
        <v>2501607</v>
      </c>
      <c r="L282">
        <f t="shared" si="27"/>
        <v>1.6873335671599508E-2</v>
      </c>
      <c r="M282" t="s">
        <v>804</v>
      </c>
      <c r="N282" s="4" cm="1">
        <f t="array" ref="N282">_xll.SNL.Clients.Office.Excel.Functions.SPG(M282, "SP_TOTAL_REV", "CY2022")</f>
        <v>12794000</v>
      </c>
      <c r="O282" s="4">
        <f>_xll.SNL.Clients.Office.Excel.Functions.SPG(M282,"IQ_AVG_DILUT_SHARES_OUT","CY2022")</f>
        <v>278000000</v>
      </c>
      <c r="P282" s="5">
        <f>_xll.SNL.Clients.Office.Excel.Functions.SPG(M282, "IQ_DILUT_EPS_NORM", "CY2022")</f>
        <v>3.121</v>
      </c>
      <c r="Q282">
        <f t="shared" si="28"/>
        <v>867638</v>
      </c>
      <c r="R282">
        <f t="shared" si="29"/>
        <v>6.7816007503517267E-2</v>
      </c>
    </row>
    <row r="283" spans="1:18" x14ac:dyDescent="0.3">
      <c r="A283" t="s">
        <v>795</v>
      </c>
      <c r="B283" s="4" cm="1">
        <f t="array" ref="B283">_xll.SNL.Clients.Office.Excel.Functions.SPG(A283, "SP_TOTAL_REV", "CY2023")</f>
        <v>19419000</v>
      </c>
      <c r="C283" s="4">
        <f>_xll.SNL.Clients.Office.Excel.Functions.SPG(A283,"IQ_AVG_DILUT_SHARES_OUT","CY2023")</f>
        <v>190600000</v>
      </c>
      <c r="D283" s="5">
        <f>_xll.SNL.Clients.Office.Excel.Functions.SPG(A283, "IQ_DILUT_EPS_NORM", "CY2023")</f>
        <v>6.0449999999999999</v>
      </c>
      <c r="E283">
        <f t="shared" si="24"/>
        <v>1152177</v>
      </c>
      <c r="F283">
        <f t="shared" si="25"/>
        <v>5.9332457902054686E-2</v>
      </c>
      <c r="G283" t="s">
        <v>795</v>
      </c>
      <c r="H283" s="4" cm="1">
        <f t="array" ref="H283">_xll.SNL.Clients.Office.Excel.Functions.SPG(G283, "SP_TOTAL_REV", "CY2022")</f>
        <v>17062000</v>
      </c>
      <c r="I283" s="4">
        <f>_xll.SNL.Clients.Office.Excel.Functions.SPG(G283,"IQ_AVG_DILUT_SHARES_OUT","CY2022")</f>
        <v>193500000</v>
      </c>
      <c r="J283" s="5">
        <f>_xll.SNL.Clients.Office.Excel.Functions.SPG(G283, "IQ_DILUT_EPS_NORM", "CY2022")</f>
        <v>7.2050000000000001</v>
      </c>
      <c r="K283">
        <f t="shared" si="26"/>
        <v>1394167.5</v>
      </c>
      <c r="L283">
        <f t="shared" si="27"/>
        <v>8.1711845035751962E-2</v>
      </c>
      <c r="M283" t="s">
        <v>805</v>
      </c>
      <c r="N283" s="4" cm="1">
        <f t="array" ref="N283">_xll.SNL.Clients.Office.Excel.Functions.SPG(M283, "SP_TOTAL_REV", "CY2022")</f>
        <v>65984000</v>
      </c>
      <c r="O283" s="4">
        <f>_xll.SNL.Clients.Office.Excel.Functions.SPG(M283,"IQ_AVG_DILUT_SHARES_OUT","CY2022")</f>
        <v>264600000</v>
      </c>
      <c r="P283" s="5">
        <f>_xll.SNL.Clients.Office.Excel.Functions.SPG(M283, "IQ_DILUT_EPS_NORM", "CY2022")</f>
        <v>16.283999999999999</v>
      </c>
      <c r="Q283">
        <f t="shared" si="28"/>
        <v>4308746.4000000004</v>
      </c>
      <c r="R283">
        <f t="shared" si="29"/>
        <v>6.5299866634335596E-2</v>
      </c>
    </row>
    <row r="284" spans="1:18" x14ac:dyDescent="0.3">
      <c r="A284" t="s">
        <v>796</v>
      </c>
      <c r="B284" s="4" cm="1">
        <f t="array" ref="B284">_xll.SNL.Clients.Office.Excel.Functions.SPG(A284, "SP_TOTAL_REV", "CY2023")</f>
        <v>12161600</v>
      </c>
      <c r="C284" s="4">
        <f>_xll.SNL.Clients.Office.Excel.Functions.SPG(A284,"IQ_AVG_DILUT_SHARES_OUT","CY2023")</f>
        <v>87600000</v>
      </c>
      <c r="D284" s="5">
        <f>_xll.SNL.Clients.Office.Excel.Functions.SPG(A284, "IQ_DILUT_EPS_NORM", "CY2023")</f>
        <v>7.2140000000000004</v>
      </c>
      <c r="E284">
        <f t="shared" si="24"/>
        <v>631946.4</v>
      </c>
      <c r="F284">
        <f t="shared" si="25"/>
        <v>5.196243915274306E-2</v>
      </c>
      <c r="G284" t="s">
        <v>796</v>
      </c>
      <c r="H284" s="4" cm="1">
        <f t="array" ref="H284">_xll.SNL.Clients.Office.Excel.Functions.SPG(G284, "SP_TOTAL_REV", "CY2022")</f>
        <v>11863900</v>
      </c>
      <c r="I284" s="4">
        <f>_xll.SNL.Clients.Office.Excel.Functions.SPG(G284,"IQ_AVG_DILUT_SHARES_OUT","CY2022")</f>
        <v>91600000</v>
      </c>
      <c r="J284" s="5">
        <f>_xll.SNL.Clients.Office.Excel.Functions.SPG(G284, "IQ_DILUT_EPS_NORM", "CY2022")</f>
        <v>10.714</v>
      </c>
      <c r="K284">
        <f t="shared" si="26"/>
        <v>981402.4</v>
      </c>
      <c r="L284">
        <f t="shared" si="27"/>
        <v>8.2721735685567149E-2</v>
      </c>
      <c r="M284" t="s">
        <v>806</v>
      </c>
      <c r="N284" s="4" cm="1">
        <f t="array" ref="N284">_xll.SNL.Clients.Office.Excel.Functions.SPG(M284, "SP_TOTAL_REV", "CY2022")</f>
        <v>14044000</v>
      </c>
      <c r="O284" s="4">
        <f>_xll.SNL.Clients.Office.Excel.Functions.SPG(M284,"IQ_AVG_DILUT_SHARES_OUT","CY2022")</f>
        <v>243280000</v>
      </c>
      <c r="P284" s="5">
        <f>_xll.SNL.Clients.Office.Excel.Functions.SPG(M284, "IQ_DILUT_EPS_NORM", "CY2022")</f>
        <v>2.6429999999999998</v>
      </c>
      <c r="Q284">
        <f t="shared" si="28"/>
        <v>642989.04</v>
      </c>
      <c r="R284">
        <f t="shared" si="29"/>
        <v>4.5783896325833101E-2</v>
      </c>
    </row>
    <row r="285" spans="1:18" x14ac:dyDescent="0.3">
      <c r="A285" t="s">
        <v>797</v>
      </c>
      <c r="B285" s="4" cm="1">
        <f t="array" ref="B285">_xll.SNL.Clients.Office.Excel.Functions.SPG(A285, "SP_TOTAL_REV", "CY2023")</f>
        <v>14317147</v>
      </c>
      <c r="C285" s="4">
        <f>_xll.SNL.Clients.Office.Excel.Functions.SPG(A285,"IQ_AVG_DILUT_SHARES_OUT","CY2023")</f>
        <v>1337935000</v>
      </c>
      <c r="D285" s="5">
        <f>_xll.SNL.Clients.Office.Excel.Functions.SPG(A285, "IQ_DILUT_EPS_NORM", "CY2023")</f>
        <v>1.8979999999999999</v>
      </c>
      <c r="E285">
        <f t="shared" si="24"/>
        <v>2539400.63</v>
      </c>
      <c r="F285">
        <f t="shared" si="25"/>
        <v>0.17736778353955573</v>
      </c>
      <c r="G285" t="s">
        <v>797</v>
      </c>
      <c r="H285" s="4" cm="1">
        <f t="array" ref="H285">_xll.SNL.Clients.Office.Excel.Functions.SPG(G285, "SP_TOTAL_REV", "CY2022")</f>
        <v>19047660</v>
      </c>
      <c r="I285" s="4">
        <f>_xll.SNL.Clients.Office.Excel.Functions.SPG(G285,"IQ_AVG_DILUT_SHARES_OUT","CY2022")</f>
        <v>1379795000</v>
      </c>
      <c r="J285" s="5">
        <f>_xll.SNL.Clients.Office.Excel.Functions.SPG(G285, "IQ_DILUT_EPS_NORM", "CY2022")</f>
        <v>2.6480000000000001</v>
      </c>
      <c r="K285">
        <f t="shared" si="26"/>
        <v>3653697.16</v>
      </c>
      <c r="L285">
        <f t="shared" si="27"/>
        <v>0.19181868848981976</v>
      </c>
      <c r="M285" t="s">
        <v>807</v>
      </c>
      <c r="N285" s="4" cm="1">
        <f t="array" ref="N285">_xll.SNL.Clients.Office.Excel.Functions.SPG(M285, "SP_TOTAL_REV", "CY2022")</f>
        <v>97059000</v>
      </c>
      <c r="O285" s="4">
        <f>_xll.SNL.Clients.Office.Excel.Functions.SPG(M285,"IQ_AVG_DILUT_SHARES_OUT","CY2022")</f>
        <v>631000000</v>
      </c>
      <c r="P285" s="5">
        <f>_xll.SNL.Clients.Office.Excel.Functions.SPG(M285, "IQ_DILUT_EPS_NORM", "CY2022")</f>
        <v>10.991</v>
      </c>
      <c r="Q285">
        <f t="shared" si="28"/>
        <v>6935321</v>
      </c>
      <c r="R285">
        <f t="shared" si="29"/>
        <v>7.1454692506619691E-2</v>
      </c>
    </row>
    <row r="286" spans="1:18" x14ac:dyDescent="0.3">
      <c r="A286" t="s">
        <v>798</v>
      </c>
      <c r="B286" s="4" cm="1">
        <f t="array" ref="B286">_xll.SNL.Clients.Office.Excel.Functions.SPG(A286, "SP_TOTAL_REV", "CY2023")</f>
        <v>6345900</v>
      </c>
      <c r="C286" s="4">
        <f>_xll.SNL.Clients.Office.Excel.Functions.SPG(A286,"IQ_AVG_DILUT_SHARES_OUT","CY2023")</f>
        <v>145900000</v>
      </c>
      <c r="D286" s="5">
        <f>_xll.SNL.Clients.Office.Excel.Functions.SPG(A286, "IQ_DILUT_EPS_NORM", "CY2023")</f>
        <v>6.1479999999999997</v>
      </c>
      <c r="E286">
        <f t="shared" si="24"/>
        <v>896993.2</v>
      </c>
      <c r="F286">
        <f t="shared" si="25"/>
        <v>0.14135003703178428</v>
      </c>
      <c r="G286" t="s">
        <v>798</v>
      </c>
      <c r="H286" s="4" cm="1">
        <f t="array" ref="H286">_xll.SNL.Clients.Office.Excel.Functions.SPG(G286, "SP_TOTAL_REV", "CY2022")</f>
        <v>4510200</v>
      </c>
      <c r="I286" s="4">
        <f>_xll.SNL.Clients.Office.Excel.Functions.SPG(G286,"IQ_AVG_DILUT_SHARES_OUT","CY2022")</f>
        <v>144900000</v>
      </c>
      <c r="J286" s="5">
        <f>_xll.SNL.Clients.Office.Excel.Functions.SPG(G286, "IQ_DILUT_EPS_NORM", "CY2022")</f>
        <v>2.6360000000000001</v>
      </c>
      <c r="K286">
        <f t="shared" si="26"/>
        <v>381956.4</v>
      </c>
      <c r="L286">
        <f t="shared" si="27"/>
        <v>8.4687242250897965E-2</v>
      </c>
      <c r="M286" t="s">
        <v>809</v>
      </c>
      <c r="N286" s="4" cm="1">
        <f t="array" ref="N286">_xll.SNL.Clients.Office.Excel.Functions.SPG(M286, "SP_TOTAL_REV", "CY2022")</f>
        <v>50451000</v>
      </c>
      <c r="O286" s="4">
        <f>_xll.SNL.Clients.Office.Excel.Functions.SPG(M286,"IQ_AVG_DILUT_SHARES_OUT","CY2022")</f>
        <v>328000000</v>
      </c>
      <c r="P286" s="5">
        <f>_xll.SNL.Clients.Office.Excel.Functions.SPG(M286, "IQ_DILUT_EPS_NORM", "CY2022")</f>
        <v>9.3710000000000004</v>
      </c>
      <c r="Q286">
        <f t="shared" si="28"/>
        <v>3073688</v>
      </c>
      <c r="R286">
        <f t="shared" si="29"/>
        <v>6.0924223503993971E-2</v>
      </c>
    </row>
    <row r="287" spans="1:18" x14ac:dyDescent="0.3">
      <c r="A287" t="s">
        <v>799</v>
      </c>
      <c r="B287" s="4" cm="1">
        <f t="array" ref="B287">_xll.SNL.Clients.Office.Excel.Functions.SPG(A287, "SP_TOTAL_REV", "CY2023")</f>
        <v>10372000</v>
      </c>
      <c r="C287" s="4">
        <f>_xll.SNL.Clients.Office.Excel.Functions.SPG(A287,"IQ_AVG_DILUT_SHARES_OUT","CY2023")</f>
        <v>765000000</v>
      </c>
      <c r="D287" s="5">
        <f>_xll.SNL.Clients.Office.Excel.Functions.SPG(A287, "IQ_DILUT_EPS_NORM", "CY2023")</f>
        <v>1.198</v>
      </c>
      <c r="E287">
        <f t="shared" si="24"/>
        <v>916470</v>
      </c>
      <c r="F287">
        <f t="shared" si="25"/>
        <v>8.836000771307366E-2</v>
      </c>
      <c r="G287" t="s">
        <v>799</v>
      </c>
      <c r="H287" s="4" cm="1">
        <f t="array" ref="H287">_xll.SNL.Clients.Office.Excel.Functions.SPG(G287, "SP_TOTAL_REV", "CY2022")</f>
        <v>4110000</v>
      </c>
      <c r="I287" s="4">
        <f>_xll.SNL.Clients.Office.Excel.Functions.SPG(G287,"IQ_AVG_DILUT_SHARES_OUT","CY2022")</f>
        <v>764000000</v>
      </c>
      <c r="J287" s="5">
        <f>_xll.SNL.Clients.Office.Excel.Functions.SPG(G287, "IQ_DILUT_EPS_NORM", "CY2022")</f>
        <v>-0.50600000000000001</v>
      </c>
      <c r="K287">
        <f t="shared" si="26"/>
        <v>-386584</v>
      </c>
      <c r="L287">
        <f t="shared" si="27"/>
        <v>-9.4059367396593679E-2</v>
      </c>
      <c r="M287" t="s">
        <v>810</v>
      </c>
      <c r="N287" s="4" cm="1">
        <f t="array" ref="N287">_xll.SNL.Clients.Office.Excel.Functions.SPG(M287, "SP_TOTAL_REV", "CY2022")</f>
        <v>8042228</v>
      </c>
      <c r="O287" s="4">
        <f>_xll.SNL.Clients.Office.Excel.Functions.SPG(M287,"IQ_AVG_DILUT_SHARES_OUT","CY2022")</f>
        <v>164030000</v>
      </c>
      <c r="P287" s="5">
        <f>_xll.SNL.Clients.Office.Excel.Functions.SPG(M287, "IQ_DILUT_EPS_NORM", "CY2022")</f>
        <v>11.24</v>
      </c>
      <c r="Q287">
        <f t="shared" si="28"/>
        <v>1843697.2</v>
      </c>
      <c r="R287">
        <f t="shared" si="29"/>
        <v>0.22925204309054653</v>
      </c>
    </row>
    <row r="288" spans="1:18" x14ac:dyDescent="0.3">
      <c r="A288" t="s">
        <v>800</v>
      </c>
      <c r="B288" s="4" cm="1">
        <f t="array" ref="B288">_xll.SNL.Clients.Office.Excel.Functions.SPG(A288, "SP_TOTAL_REV", "CY2023")</f>
        <v>15438000</v>
      </c>
      <c r="C288" s="4">
        <f>_xll.SNL.Clients.Office.Excel.Functions.SPG(A288,"IQ_AVG_DILUT_SHARES_OUT","CY2023")</f>
        <v>138000000</v>
      </c>
      <c r="D288" s="5">
        <f>_xll.SNL.Clients.Office.Excel.Functions.SPG(A288, "IQ_DILUT_EPS_NORM", "CY2023")</f>
        <v>4.9800000000000004</v>
      </c>
      <c r="E288">
        <f t="shared" si="24"/>
        <v>687240</v>
      </c>
      <c r="F288">
        <f t="shared" si="25"/>
        <v>4.4516129032258066E-2</v>
      </c>
      <c r="G288" t="s">
        <v>800</v>
      </c>
      <c r="H288" s="4" cm="1">
        <f t="array" ref="H288">_xll.SNL.Clients.Office.Excel.Functions.SPG(G288, "SP_TOTAL_REV", "CY2022")</f>
        <v>14396000</v>
      </c>
      <c r="I288" s="4">
        <f>_xll.SNL.Clients.Office.Excel.Functions.SPG(G288,"IQ_AVG_DILUT_SHARES_OUT","CY2022")</f>
        <v>138000000</v>
      </c>
      <c r="J288" s="5">
        <f>_xll.SNL.Clients.Office.Excel.Functions.SPG(G288, "IQ_DILUT_EPS_NORM", "CY2022")</f>
        <v>4.2130000000000001</v>
      </c>
      <c r="K288">
        <f t="shared" si="26"/>
        <v>581394</v>
      </c>
      <c r="L288">
        <f t="shared" si="27"/>
        <v>4.0385801611558768E-2</v>
      </c>
      <c r="M288" t="s">
        <v>811</v>
      </c>
      <c r="N288" s="4" cm="1">
        <f t="array" ref="N288">_xll.SNL.Clients.Office.Excel.Functions.SPG(M288, "SP_TOTAL_REV", "CY2022")</f>
        <v>7575000</v>
      </c>
      <c r="O288" s="4">
        <f>_xll.SNL.Clients.Office.Excel.Functions.SPG(M288,"IQ_AVG_DILUT_SHARES_OUT","CY2022")</f>
        <v>687000000</v>
      </c>
      <c r="P288" s="5">
        <f>_xll.SNL.Clients.Office.Excel.Functions.SPG(M288, "IQ_DILUT_EPS_NORM", "CY2022")</f>
        <v>3.4950000000000001</v>
      </c>
      <c r="Q288">
        <f t="shared" si="28"/>
        <v>2401065</v>
      </c>
      <c r="R288">
        <f t="shared" si="29"/>
        <v>0.31697227722772275</v>
      </c>
    </row>
    <row r="289" spans="1:18" x14ac:dyDescent="0.3">
      <c r="A289" t="s">
        <v>801</v>
      </c>
      <c r="B289" s="4" cm="1">
        <f t="array" ref="B289">_xll.SNL.Clients.Office.Excel.Functions.SPG(A289, "SP_TOTAL_REV", "CY2023")</f>
        <v>34233366</v>
      </c>
      <c r="C289" s="4">
        <f>_xll.SNL.Clients.Office.Excel.Functions.SPG(A289,"IQ_AVG_DILUT_SHARES_OUT","CY2023")</f>
        <v>283319000</v>
      </c>
      <c r="D289" s="5">
        <f>_xll.SNL.Clients.Office.Excel.Functions.SPG(A289, "IQ_DILUT_EPS_NORM", "CY2023")</f>
        <v>11.507</v>
      </c>
      <c r="E289">
        <f t="shared" si="24"/>
        <v>3260151.733</v>
      </c>
      <c r="F289">
        <f t="shared" si="25"/>
        <v>9.5233163253651429E-2</v>
      </c>
      <c r="G289" t="s">
        <v>801</v>
      </c>
      <c r="H289" s="4" cm="1">
        <f t="array" ref="H289">_xll.SNL.Clients.Office.Excel.Functions.SPG(G289, "SP_TOTAL_REV", "CY2022")</f>
        <v>33671010</v>
      </c>
      <c r="I289" s="4">
        <f>_xll.SNL.Clients.Office.Excel.Functions.SPG(G289,"IQ_AVG_DILUT_SHARES_OUT","CY2022")</f>
        <v>289824000</v>
      </c>
      <c r="J289" s="5">
        <f>_xll.SNL.Clients.Office.Excel.Functions.SPG(G289, "IQ_DILUT_EPS_NORM", "CY2022")</f>
        <v>14.263999999999999</v>
      </c>
      <c r="K289">
        <f t="shared" si="26"/>
        <v>4134049.5359999998</v>
      </c>
      <c r="L289">
        <f t="shared" si="27"/>
        <v>0.12277771103391315</v>
      </c>
      <c r="M289" t="s">
        <v>812</v>
      </c>
      <c r="N289" s="4" cm="1">
        <f t="array" ref="N289">_xll.SNL.Clients.Office.Excel.Functions.SPG(M289, "SP_TOTAL_REV", "CY2022")</f>
        <v>178236000</v>
      </c>
      <c r="O289" s="4">
        <f>_xll.SNL.Clients.Office.Excel.Functions.SPG(M289,"IQ_AVG_DILUT_SHARES_OUT","CY2022")</f>
        <v>516000000</v>
      </c>
      <c r="P289" s="5">
        <f>_xll.SNL.Clients.Office.Excel.Functions.SPG(M289, "IQ_DILUT_EPS_NORM", "CY2022")</f>
        <v>20.501000000000001</v>
      </c>
      <c r="Q289">
        <f t="shared" si="28"/>
        <v>10578516</v>
      </c>
      <c r="R289">
        <f t="shared" si="29"/>
        <v>5.9351174846832291E-2</v>
      </c>
    </row>
    <row r="290" spans="1:18" x14ac:dyDescent="0.3">
      <c r="A290" t="s">
        <v>802</v>
      </c>
      <c r="B290" s="4" cm="1">
        <f t="array" ref="B290">_xll.SNL.Clients.Office.Excel.Functions.SPG(A290, "SP_TOTAL_REV", "CY2023")</f>
        <v>32854000</v>
      </c>
      <c r="C290" s="4">
        <f>_xll.SNL.Clients.Office.Excel.Functions.SPG(A290,"IQ_AVG_DILUT_SHARES_OUT","CY2023")</f>
        <v>492290000</v>
      </c>
      <c r="D290" s="5">
        <f>_xll.SNL.Clients.Office.Excel.Functions.SPG(A290, "IQ_DILUT_EPS_NORM", "CY2023")</f>
        <v>10.122999999999999</v>
      </c>
      <c r="E290">
        <f t="shared" si="24"/>
        <v>4983451.67</v>
      </c>
      <c r="F290">
        <f t="shared" si="25"/>
        <v>0.15168477719607962</v>
      </c>
      <c r="G290" t="s">
        <v>802</v>
      </c>
      <c r="H290" s="4" cm="1">
        <f t="array" ref="H290">_xll.SNL.Clients.Office.Excel.Functions.SPG(G290, "SP_TOTAL_REV", "CY2022")</f>
        <v>33364000</v>
      </c>
      <c r="I290" s="4">
        <f>_xll.SNL.Clients.Office.Excel.Functions.SPG(G290,"IQ_AVG_DILUT_SHARES_OUT","CY2022")</f>
        <v>504038000</v>
      </c>
      <c r="J290" s="5">
        <f>_xll.SNL.Clients.Office.Excel.Functions.SPG(G290, "IQ_DILUT_EPS_NORM", "CY2022")</f>
        <v>8.1240000000000006</v>
      </c>
      <c r="K290">
        <f t="shared" si="26"/>
        <v>4094804.7120000003</v>
      </c>
      <c r="L290">
        <f t="shared" si="27"/>
        <v>0.12273122862966072</v>
      </c>
      <c r="M290" t="s">
        <v>813</v>
      </c>
      <c r="N290" s="4" cm="1">
        <f t="array" ref="N290">_xll.SNL.Clients.Office.Excel.Functions.SPG(M290, "SP_TOTAL_REV", "CY2022")</f>
        <v>718300</v>
      </c>
      <c r="O290" s="4">
        <f>_xll.SNL.Clients.Office.Excel.Functions.SPG(M290,"IQ_AVG_DILUT_SHARES_OUT","CY2022")</f>
        <v>37643000</v>
      </c>
      <c r="P290" s="5">
        <f>_xll.SNL.Clients.Office.Excel.Functions.SPG(M290, "IQ_DILUT_EPS_NORM", "CY2022")</f>
        <v>5.617</v>
      </c>
      <c r="Q290">
        <f t="shared" si="28"/>
        <v>211440.731</v>
      </c>
      <c r="R290">
        <f t="shared" si="29"/>
        <v>0.29436270499791173</v>
      </c>
    </row>
    <row r="291" spans="1:18" x14ac:dyDescent="0.3">
      <c r="A291" t="s">
        <v>803</v>
      </c>
      <c r="B291" s="4" cm="1">
        <f t="array" ref="B291">_xll.SNL.Clients.Office.Excel.Functions.SPG(A291, "SP_TOTAL_REV", "CY2023")</f>
        <v>22749073</v>
      </c>
      <c r="C291" s="4">
        <f>_xll.SNL.Clients.Office.Excel.Functions.SPG(A291,"IQ_AVG_DILUT_SHARES_OUT","CY2023")</f>
        <v>230977326</v>
      </c>
      <c r="D291" s="5">
        <f>_xll.SNL.Clients.Office.Excel.Functions.SPG(A291, "IQ_DILUT_EPS_NORM", "CY2023")</f>
        <v>1.8029999999999999</v>
      </c>
      <c r="E291">
        <f t="shared" si="24"/>
        <v>416452.118778</v>
      </c>
      <c r="F291">
        <f t="shared" si="25"/>
        <v>1.8306333571394315E-2</v>
      </c>
      <c r="G291" t="s">
        <v>803</v>
      </c>
      <c r="H291" s="4" cm="1">
        <f t="array" ref="H291">_xll.SNL.Clients.Office.Excel.Functions.SPG(G291, "SP_TOTAL_REV", "CY2022")</f>
        <v>16681254</v>
      </c>
      <c r="I291" s="4">
        <f>_xll.SNL.Clients.Office.Excel.Functions.SPG(G291,"IQ_AVG_DILUT_SHARES_OUT","CY2022")</f>
        <v>231556866</v>
      </c>
      <c r="J291" s="5">
        <f>_xll.SNL.Clients.Office.Excel.Functions.SPG(G291, "IQ_DILUT_EPS_NORM", "CY2022")</f>
        <v>0.94299999999999995</v>
      </c>
      <c r="K291">
        <f t="shared" si="26"/>
        <v>218358.12463799998</v>
      </c>
      <c r="L291">
        <f t="shared" si="27"/>
        <v>1.3090030559932722E-2</v>
      </c>
      <c r="M291" t="s">
        <v>814</v>
      </c>
      <c r="N291" s="4" cm="1">
        <f t="array" ref="N291">_xll.SNL.Clients.Office.Excel.Functions.SPG(M291, "SP_TOTAL_REV", "CY2022")</f>
        <v>5356000</v>
      </c>
      <c r="O291" s="4">
        <f>_xll.SNL.Clients.Office.Excel.Functions.SPG(M291,"IQ_AVG_DILUT_SHARES_OUT","CY2022")</f>
        <v>325800000</v>
      </c>
      <c r="P291" s="5">
        <f>_xll.SNL.Clients.Office.Excel.Functions.SPG(M291, "IQ_DILUT_EPS_NORM", "CY2022")</f>
        <v>5.9969999999999999</v>
      </c>
      <c r="Q291">
        <f t="shared" si="28"/>
        <v>1953822.6</v>
      </c>
      <c r="R291">
        <f t="shared" si="29"/>
        <v>0.36479137415982077</v>
      </c>
    </row>
    <row r="292" spans="1:18" x14ac:dyDescent="0.3">
      <c r="A292" t="s">
        <v>804</v>
      </c>
      <c r="B292" s="4" cm="1">
        <f t="array" ref="B292">_xll.SNL.Clients.Office.Excel.Functions.SPG(A292, "SP_TOTAL_REV", "CY2023")</f>
        <v>13866000</v>
      </c>
      <c r="C292" s="4">
        <f>_xll.SNL.Clients.Office.Excel.Functions.SPG(A292,"IQ_AVG_DILUT_SHARES_OUT","CY2023")</f>
        <v>268300000</v>
      </c>
      <c r="D292" s="5">
        <f>_xll.SNL.Clients.Office.Excel.Functions.SPG(A292, "IQ_DILUT_EPS_NORM", "CY2023")</f>
        <v>2.9529999999999998</v>
      </c>
      <c r="E292">
        <f t="shared" si="24"/>
        <v>792289.9</v>
      </c>
      <c r="F292">
        <f t="shared" si="25"/>
        <v>5.7139037934516086E-2</v>
      </c>
      <c r="G292" t="s">
        <v>804</v>
      </c>
      <c r="H292" s="4" cm="1">
        <f t="array" ref="H292">_xll.SNL.Clients.Office.Excel.Functions.SPG(G292, "SP_TOTAL_REV", "CY2022")</f>
        <v>12794000</v>
      </c>
      <c r="I292" s="4">
        <f>_xll.SNL.Clients.Office.Excel.Functions.SPG(G292,"IQ_AVG_DILUT_SHARES_OUT","CY2022")</f>
        <v>278000000</v>
      </c>
      <c r="J292" s="5">
        <f>_xll.SNL.Clients.Office.Excel.Functions.SPG(G292, "IQ_DILUT_EPS_NORM", "CY2022")</f>
        <v>3.121</v>
      </c>
      <c r="K292">
        <f t="shared" si="26"/>
        <v>867638</v>
      </c>
      <c r="L292">
        <f t="shared" si="27"/>
        <v>6.7816007503517267E-2</v>
      </c>
      <c r="M292" t="s">
        <v>815</v>
      </c>
      <c r="N292" s="4" cm="1">
        <f t="array" ref="N292">_xll.SNL.Clients.Office.Excel.Functions.SPG(M292, "SP_TOTAL_REV", "CY2022")</f>
        <v>20756000</v>
      </c>
      <c r="O292" s="4">
        <f>_xll.SNL.Clients.Office.Excel.Functions.SPG(M292,"IQ_AVG_DILUT_SHARES_OUT","CY2022")</f>
        <v>505000000</v>
      </c>
      <c r="P292" s="5">
        <f>_xll.SNL.Clients.Office.Excel.Functions.SPG(M292, "IQ_DILUT_EPS_NORM", "CY2022")</f>
        <v>5.5430000000000001</v>
      </c>
      <c r="Q292">
        <f t="shared" si="28"/>
        <v>2799215</v>
      </c>
      <c r="R292">
        <f t="shared" si="29"/>
        <v>0.13486293120061668</v>
      </c>
    </row>
    <row r="293" spans="1:18" x14ac:dyDescent="0.3">
      <c r="A293" t="s">
        <v>805</v>
      </c>
      <c r="B293" s="4" cm="1">
        <f t="array" ref="B293">_xll.SNL.Clients.Office.Excel.Functions.SPG(A293, "SP_TOTAL_REV", "CY2023")</f>
        <v>67571000</v>
      </c>
      <c r="C293" s="4">
        <f>_xll.SNL.Clients.Office.Excel.Functions.SPG(A293,"IQ_AVG_DILUT_SHARES_OUT","CY2023")</f>
        <v>251200000</v>
      </c>
      <c r="D293" s="5">
        <f>_xll.SNL.Clients.Office.Excel.Functions.SPG(A293, "IQ_DILUT_EPS_NORM", "CY2023")</f>
        <v>20.536000000000001</v>
      </c>
      <c r="E293">
        <f t="shared" si="24"/>
        <v>5158643.2</v>
      </c>
      <c r="F293">
        <f t="shared" si="25"/>
        <v>7.6344041082713004E-2</v>
      </c>
      <c r="G293" t="s">
        <v>805</v>
      </c>
      <c r="H293" s="4" cm="1">
        <f t="array" ref="H293">_xll.SNL.Clients.Office.Excel.Functions.SPG(G293, "SP_TOTAL_REV", "CY2022")</f>
        <v>65984000</v>
      </c>
      <c r="I293" s="4">
        <f>_xll.SNL.Clients.Office.Excel.Functions.SPG(G293,"IQ_AVG_DILUT_SHARES_OUT","CY2022")</f>
        <v>264600000</v>
      </c>
      <c r="J293" s="5">
        <f>_xll.SNL.Clients.Office.Excel.Functions.SPG(G293, "IQ_DILUT_EPS_NORM", "CY2022")</f>
        <v>16.283999999999999</v>
      </c>
      <c r="K293">
        <f t="shared" si="26"/>
        <v>4308746.4000000004</v>
      </c>
      <c r="L293">
        <f t="shared" si="27"/>
        <v>6.5299866634335596E-2</v>
      </c>
      <c r="M293" t="s">
        <v>816</v>
      </c>
      <c r="N293" s="4" cm="1">
        <f t="array" ref="N293">_xll.SNL.Clients.Office.Excel.Functions.SPG(M293, "SP_TOTAL_REV", "CY2022")</f>
        <v>6160700</v>
      </c>
      <c r="O293" s="4">
        <f>_xll.SNL.Clients.Office.Excel.Functions.SPG(M293,"IQ_AVG_DILUT_SHARES_OUT","CY2022")</f>
        <v>62500000</v>
      </c>
      <c r="P293" s="5">
        <f>_xll.SNL.Clients.Office.Excel.Functions.SPG(M293, "IQ_DILUT_EPS_NORM", "CY2022")</f>
        <v>9.4830000000000005</v>
      </c>
      <c r="Q293">
        <f t="shared" si="28"/>
        <v>592687.5</v>
      </c>
      <c r="R293">
        <f t="shared" si="29"/>
        <v>9.6204570909149939E-2</v>
      </c>
    </row>
    <row r="294" spans="1:18" x14ac:dyDescent="0.3">
      <c r="A294" t="s">
        <v>806</v>
      </c>
      <c r="B294" s="4" cm="1">
        <f t="array" ref="B294">_xll.SNL.Clients.Office.Excel.Functions.SPG(A294, "SP_TOTAL_REV", "CY2023")</f>
        <v>15855000</v>
      </c>
      <c r="C294" s="4">
        <f>_xll.SNL.Clients.Office.Excel.Functions.SPG(A294,"IQ_AVG_DILUT_SHARES_OUT","CY2023")</f>
        <v>227810000</v>
      </c>
      <c r="D294" s="5">
        <f>_xll.SNL.Clients.Office.Excel.Functions.SPG(A294, "IQ_DILUT_EPS_NORM", "CY2023")</f>
        <v>5.0220000000000002</v>
      </c>
      <c r="E294">
        <f t="shared" si="24"/>
        <v>1144061.82</v>
      </c>
      <c r="F294">
        <f t="shared" si="25"/>
        <v>7.2157793755912969E-2</v>
      </c>
      <c r="G294" t="s">
        <v>806</v>
      </c>
      <c r="H294" s="4" cm="1">
        <f t="array" ref="H294">_xll.SNL.Clients.Office.Excel.Functions.SPG(G294, "SP_TOTAL_REV", "CY2022")</f>
        <v>14044000</v>
      </c>
      <c r="I294" s="4">
        <f>_xll.SNL.Clients.Office.Excel.Functions.SPG(G294,"IQ_AVG_DILUT_SHARES_OUT","CY2022")</f>
        <v>243280000</v>
      </c>
      <c r="J294" s="5">
        <f>_xll.SNL.Clients.Office.Excel.Functions.SPG(G294, "IQ_DILUT_EPS_NORM", "CY2022")</f>
        <v>2.6429999999999998</v>
      </c>
      <c r="K294">
        <f t="shared" si="26"/>
        <v>642989.04</v>
      </c>
      <c r="L294">
        <f t="shared" si="27"/>
        <v>4.5783896325833101E-2</v>
      </c>
      <c r="M294" t="s">
        <v>817</v>
      </c>
      <c r="N294" s="4" cm="1">
        <f t="array" ref="N294">_xll.SNL.Clients.Office.Excel.Functions.SPG(M294, "SP_TOTAL_REV", "CY2022")</f>
        <v>8680000</v>
      </c>
      <c r="O294" s="4">
        <f>_xll.SNL.Clients.Office.Excel.Functions.SPG(M294,"IQ_AVG_DILUT_SHARES_OUT","CY2022")</f>
        <v>232000000</v>
      </c>
      <c r="P294" s="5">
        <f>_xll.SNL.Clients.Office.Excel.Functions.SPG(M294, "IQ_DILUT_EPS_NORM", "CY2022")</f>
        <v>3.0449999999999999</v>
      </c>
      <c r="Q294">
        <f t="shared" si="28"/>
        <v>706440</v>
      </c>
      <c r="R294">
        <f t="shared" si="29"/>
        <v>8.1387096774193549E-2</v>
      </c>
    </row>
    <row r="295" spans="1:18" x14ac:dyDescent="0.3">
      <c r="A295" t="s">
        <v>807</v>
      </c>
      <c r="B295" s="4" cm="1">
        <f t="array" ref="B295">_xll.SNL.Clients.Office.Excel.Functions.SPG(A295, "SP_TOTAL_REV", "CY2023")</f>
        <v>86377000</v>
      </c>
      <c r="C295" s="4">
        <f>_xll.SNL.Clients.Office.Excel.Functions.SPG(A295,"IQ_AVG_DILUT_SHARES_OUT","CY2023")</f>
        <v>584000000</v>
      </c>
      <c r="D295" s="5">
        <f>_xll.SNL.Clients.Office.Excel.Functions.SPG(A295, "IQ_DILUT_EPS_NORM", "CY2023")</f>
        <v>10.888999999999999</v>
      </c>
      <c r="E295">
        <f t="shared" si="24"/>
        <v>6359176</v>
      </c>
      <c r="F295">
        <f t="shared" si="25"/>
        <v>7.3621172302812093E-2</v>
      </c>
      <c r="G295" t="s">
        <v>807</v>
      </c>
      <c r="H295" s="4" cm="1">
        <f t="array" ref="H295">_xll.SNL.Clients.Office.Excel.Functions.SPG(G295, "SP_TOTAL_REV", "CY2022")</f>
        <v>97059000</v>
      </c>
      <c r="I295" s="4">
        <f>_xll.SNL.Clients.Office.Excel.Functions.SPG(G295,"IQ_AVG_DILUT_SHARES_OUT","CY2022")</f>
        <v>631000000</v>
      </c>
      <c r="J295" s="5">
        <f>_xll.SNL.Clients.Office.Excel.Functions.SPG(G295, "IQ_DILUT_EPS_NORM", "CY2022")</f>
        <v>10.991</v>
      </c>
      <c r="K295">
        <f t="shared" si="26"/>
        <v>6935321</v>
      </c>
      <c r="L295">
        <f t="shared" si="27"/>
        <v>7.1454692506619691E-2</v>
      </c>
      <c r="M295" t="s">
        <v>818</v>
      </c>
      <c r="N295" s="4" cm="1">
        <f t="array" ref="N295">_xll.SNL.Clients.Office.Excel.Functions.SPG(M295, "SP_TOTAL_REV", "CY2022")</f>
        <v>22237000</v>
      </c>
      <c r="O295" s="4">
        <f>_xll.SNL.Clients.Office.Excel.Functions.SPG(M295,"IQ_AVG_DILUT_SHARES_OUT","CY2022")</f>
        <v>971000000</v>
      </c>
      <c r="P295" s="5">
        <f>_xll.SNL.Clients.Office.Excel.Functions.SPG(M295, "IQ_DILUT_EPS_NORM", "CY2022")</f>
        <v>7.8739999999999997</v>
      </c>
      <c r="Q295">
        <f t="shared" si="28"/>
        <v>7645654</v>
      </c>
      <c r="R295">
        <f t="shared" si="29"/>
        <v>0.34382578585240814</v>
      </c>
    </row>
    <row r="296" spans="1:18" x14ac:dyDescent="0.3">
      <c r="A296" t="s">
        <v>808</v>
      </c>
      <c r="B296" s="4" cm="1">
        <f t="array" ref="B296">_xll.SNL.Clients.Office.Excel.Functions.SPG(A296, "SP_TOTAL_REV", "CY2023")</f>
        <v>9619278</v>
      </c>
      <c r="C296" s="4">
        <f>_xll.SNL.Clients.Office.Excel.Functions.SPG(A296,"IQ_AVG_DILUT_SHARES_OUT","CY2023")</f>
        <v>127060000</v>
      </c>
      <c r="D296" s="5">
        <f>_xll.SNL.Clients.Office.Excel.Functions.SPG(A296, "IQ_DILUT_EPS_NORM", "CY2023")</f>
        <v>11.069000000000001</v>
      </c>
      <c r="E296">
        <f t="shared" si="24"/>
        <v>1406427.14</v>
      </c>
      <c r="F296">
        <f t="shared" si="25"/>
        <v>0.14620922069203113</v>
      </c>
      <c r="G296" t="s">
        <v>808</v>
      </c>
      <c r="H296" s="4" cm="1">
        <f t="array" ref="H296">_xll.SNL.Clients.Office.Excel.Functions.SPG(G296, "SP_TOTAL_REV", "CY2022")</f>
        <v>8110518</v>
      </c>
      <c r="I296" s="4">
        <f>_xll.SNL.Clients.Office.Excel.Functions.SPG(G296,"IQ_AVG_DILUT_SHARES_OUT","CY2022")</f>
        <v>128017000</v>
      </c>
      <c r="J296" s="5" t="str">
        <f>_xll.SNL.Clients.Office.Excel.Functions.SPG(G296, "IQ_DILUT_EPS_NORM", "CY2022")</f>
        <v>NA</v>
      </c>
      <c r="K296" t="e">
        <f t="shared" si="26"/>
        <v>#VALUE!</v>
      </c>
      <c r="L296" t="e">
        <f t="shared" si="27"/>
        <v>#VALUE!</v>
      </c>
      <c r="M296" t="s">
        <v>819</v>
      </c>
      <c r="N296" s="4" cm="1">
        <f t="array" ref="N296">_xll.SNL.Clients.Office.Excel.Functions.SPG(M296, "SP_TOTAL_REV", "CY2022")</f>
        <v>3188843</v>
      </c>
      <c r="O296" s="4">
        <f>_xll.SNL.Clients.Office.Excel.Functions.SPG(M296,"IQ_AVG_DILUT_SHARES_OUT","CY2022")</f>
        <v>295215000</v>
      </c>
      <c r="P296" s="5">
        <f>_xll.SNL.Clients.Office.Excel.Functions.SPG(M296, "IQ_DILUT_EPS_NORM", "CY2022")</f>
        <v>1.42</v>
      </c>
      <c r="Q296">
        <f t="shared" si="28"/>
        <v>419205.3</v>
      </c>
      <c r="R296">
        <f t="shared" si="29"/>
        <v>0.13145999975539718</v>
      </c>
    </row>
    <row r="297" spans="1:18" x14ac:dyDescent="0.3">
      <c r="A297" t="s">
        <v>809</v>
      </c>
      <c r="B297" s="4" cm="1">
        <f t="array" ref="B297">_xll.SNL.Clients.Office.Excel.Functions.SPG(A297, "SP_TOTAL_REV", "CY2023")</f>
        <v>41107000</v>
      </c>
      <c r="C297" s="4">
        <f>_xll.SNL.Clients.Office.Excel.Functions.SPG(A297,"IQ_AVG_DILUT_SHARES_OUT","CY2023")</f>
        <v>326000000</v>
      </c>
      <c r="D297" s="5">
        <f>_xll.SNL.Clients.Office.Excel.Functions.SPG(A297, "IQ_DILUT_EPS_NORM", "CY2023")</f>
        <v>6.016</v>
      </c>
      <c r="E297">
        <f t="shared" si="24"/>
        <v>1961216</v>
      </c>
      <c r="F297">
        <f t="shared" si="25"/>
        <v>4.7710025056559711E-2</v>
      </c>
      <c r="G297" t="s">
        <v>809</v>
      </c>
      <c r="H297" s="4" cm="1">
        <f t="array" ref="H297">_xll.SNL.Clients.Office.Excel.Functions.SPG(G297, "SP_TOTAL_REV", "CY2022")</f>
        <v>50451000</v>
      </c>
      <c r="I297" s="4">
        <f>_xll.SNL.Clients.Office.Excel.Functions.SPG(G297,"IQ_AVG_DILUT_SHARES_OUT","CY2022")</f>
        <v>328000000</v>
      </c>
      <c r="J297" s="5">
        <f>_xll.SNL.Clients.Office.Excel.Functions.SPG(G297, "IQ_DILUT_EPS_NORM", "CY2022")</f>
        <v>9.3710000000000004</v>
      </c>
      <c r="K297">
        <f t="shared" si="26"/>
        <v>3073688</v>
      </c>
      <c r="L297">
        <f t="shared" si="27"/>
        <v>6.0924223503993971E-2</v>
      </c>
      <c r="M297" t="s">
        <v>820</v>
      </c>
      <c r="N297" s="4" cm="1">
        <f t="array" ref="N297">_xll.SNL.Clients.Office.Excel.Functions.SPG(M297, "SP_TOTAL_REV", "CY2022")</f>
        <v>6350500</v>
      </c>
      <c r="O297" s="4">
        <f>_xll.SNL.Clients.Office.Excel.Functions.SPG(M297,"IQ_AVG_DILUT_SHARES_OUT","CY2022")</f>
        <v>270200000</v>
      </c>
      <c r="P297" s="5">
        <f>_xll.SNL.Clients.Office.Excel.Functions.SPG(M297, "IQ_DILUT_EPS_NORM", "CY2022")</f>
        <v>1.9339999999999999</v>
      </c>
      <c r="Q297">
        <f t="shared" si="28"/>
        <v>522566.8</v>
      </c>
      <c r="R297">
        <f t="shared" si="29"/>
        <v>8.2287504920872376E-2</v>
      </c>
    </row>
    <row r="298" spans="1:18" x14ac:dyDescent="0.3">
      <c r="A298" t="s">
        <v>810</v>
      </c>
      <c r="B298" s="4" cm="1">
        <f t="array" ref="B298">_xll.SNL.Clients.Office.Excel.Functions.SPG(A298, "SP_TOTAL_REV", "CY2023")</f>
        <v>9418362</v>
      </c>
      <c r="C298" s="4">
        <f>_xll.SNL.Clients.Office.Excel.Functions.SPG(A298,"IQ_AVG_DILUT_SHARES_OUT","CY2023")</f>
        <v>167002000</v>
      </c>
      <c r="D298" s="5">
        <f>_xll.SNL.Clients.Office.Excel.Functions.SPG(A298, "IQ_DILUT_EPS_NORM", "CY2023")</f>
        <v>13.544</v>
      </c>
      <c r="E298">
        <f t="shared" si="24"/>
        <v>2261875.088</v>
      </c>
      <c r="F298">
        <f t="shared" si="25"/>
        <v>0.24015588782847802</v>
      </c>
      <c r="G298" t="s">
        <v>810</v>
      </c>
      <c r="H298" s="4" cm="1">
        <f t="array" ref="H298">_xll.SNL.Clients.Office.Excel.Functions.SPG(G298, "SP_TOTAL_REV", "CY2022")</f>
        <v>8042228</v>
      </c>
      <c r="I298" s="4">
        <f>_xll.SNL.Clients.Office.Excel.Functions.SPG(G298,"IQ_AVG_DILUT_SHARES_OUT","CY2022")</f>
        <v>164030000</v>
      </c>
      <c r="J298" s="5">
        <f>_xll.SNL.Clients.Office.Excel.Functions.SPG(G298, "IQ_DILUT_EPS_NORM", "CY2022")</f>
        <v>11.24</v>
      </c>
      <c r="K298">
        <f t="shared" si="26"/>
        <v>1843697.2</v>
      </c>
      <c r="L298">
        <f t="shared" si="27"/>
        <v>0.22925204309054653</v>
      </c>
      <c r="M298" t="s">
        <v>821</v>
      </c>
      <c r="N298" s="4" cm="1">
        <f t="array" ref="N298">_xll.SNL.Clients.Office.Excel.Functions.SPG(M298, "SP_TOTAL_REV", "CY2022")</f>
        <v>23182600</v>
      </c>
      <c r="O298" s="4">
        <f>_xll.SNL.Clients.Office.Excel.Functions.SPG(M298,"IQ_AVG_DILUT_SHARES_OUT","CY2022")</f>
        <v>741300000</v>
      </c>
      <c r="P298" s="5">
        <f>_xll.SNL.Clients.Office.Excel.Functions.SPG(M298, "IQ_DILUT_EPS_NORM", "CY2022")</f>
        <v>7.5140000000000002</v>
      </c>
      <c r="Q298">
        <f t="shared" si="28"/>
        <v>5570128.2000000002</v>
      </c>
      <c r="R298">
        <f t="shared" si="29"/>
        <v>0.24027193671115407</v>
      </c>
    </row>
    <row r="299" spans="1:18" x14ac:dyDescent="0.3">
      <c r="A299" t="s">
        <v>811</v>
      </c>
      <c r="B299" s="4" cm="1">
        <f t="array" ref="B299">_xll.SNL.Clients.Office.Excel.Functions.SPG(A299, "SP_TOTAL_REV", "CY2023")</f>
        <v>6453000</v>
      </c>
      <c r="C299" s="4">
        <f>_xll.SNL.Clients.Office.Excel.Functions.SPG(A299,"IQ_AVG_DILUT_SHARES_OUT","CY2023")</f>
        <v>608000000</v>
      </c>
      <c r="D299" s="5">
        <f>_xll.SNL.Clients.Office.Excel.Functions.SPG(A299, "IQ_DILUT_EPS_NORM", "CY2023")</f>
        <v>1.9490000000000001</v>
      </c>
      <c r="E299">
        <f t="shared" si="24"/>
        <v>1184992</v>
      </c>
      <c r="F299">
        <f t="shared" si="25"/>
        <v>0.18363427863009452</v>
      </c>
      <c r="G299" t="s">
        <v>811</v>
      </c>
      <c r="H299" s="4" cm="1">
        <f t="array" ref="H299">_xll.SNL.Clients.Office.Excel.Functions.SPG(G299, "SP_TOTAL_REV", "CY2022")</f>
        <v>7575000</v>
      </c>
      <c r="I299" s="4">
        <f>_xll.SNL.Clients.Office.Excel.Functions.SPG(G299,"IQ_AVG_DILUT_SHARES_OUT","CY2022")</f>
        <v>687000000</v>
      </c>
      <c r="J299" s="5">
        <f>_xll.SNL.Clients.Office.Excel.Functions.SPG(G299, "IQ_DILUT_EPS_NORM", "CY2022")</f>
        <v>3.4950000000000001</v>
      </c>
      <c r="K299">
        <f t="shared" si="26"/>
        <v>2401065</v>
      </c>
      <c r="L299">
        <f t="shared" si="27"/>
        <v>0.31697227722772275</v>
      </c>
      <c r="M299" t="s">
        <v>822</v>
      </c>
      <c r="N299" s="4" cm="1">
        <f t="array" ref="N299">_xll.SNL.Clients.Office.Excel.Functions.SPG(M299, "SP_TOTAL_REV", "CY2022")</f>
        <v>273903000</v>
      </c>
      <c r="O299" s="4">
        <f>_xll.SNL.Clients.Office.Excel.Functions.SPG(M299,"IQ_AVG_DILUT_SHARES_OUT","CY2022")</f>
        <v>145025000</v>
      </c>
      <c r="P299" s="5">
        <f>_xll.SNL.Clients.Office.Excel.Functions.SPG(M299, "IQ_DILUT_EPS_NORM", "CY2022")</f>
        <v>19.777000000000001</v>
      </c>
      <c r="Q299">
        <f t="shared" si="28"/>
        <v>2868159.4249999998</v>
      </c>
      <c r="R299">
        <f t="shared" si="29"/>
        <v>1.0471442171133575E-2</v>
      </c>
    </row>
    <row r="300" spans="1:18" x14ac:dyDescent="0.3">
      <c r="A300" t="s">
        <v>812</v>
      </c>
      <c r="B300" s="4" cm="1">
        <f t="array" ref="B300">_xll.SNL.Clients.Office.Excel.Functions.SPG(A300, "SP_TOTAL_REV", "CY2023")</f>
        <v>149348000</v>
      </c>
      <c r="C300" s="4">
        <f>_xll.SNL.Clients.Office.Excel.Functions.SPG(A300,"IQ_AVG_DILUT_SHARES_OUT","CY2023")</f>
        <v>409000000</v>
      </c>
      <c r="D300" s="5">
        <f>_xll.SNL.Clients.Office.Excel.Functions.SPG(A300, "IQ_DILUT_EPS_NORM", "CY2023")</f>
        <v>17.196999999999999</v>
      </c>
      <c r="E300">
        <f t="shared" si="24"/>
        <v>7033573</v>
      </c>
      <c r="F300">
        <f t="shared" si="25"/>
        <v>4.7095193775611326E-2</v>
      </c>
      <c r="G300" t="s">
        <v>812</v>
      </c>
      <c r="H300" s="4" cm="1">
        <f t="array" ref="H300">_xll.SNL.Clients.Office.Excel.Functions.SPG(G300, "SP_TOTAL_REV", "CY2022")</f>
        <v>178236000</v>
      </c>
      <c r="I300" s="4">
        <f>_xll.SNL.Clients.Office.Excel.Functions.SPG(G300,"IQ_AVG_DILUT_SHARES_OUT","CY2022")</f>
        <v>516000000</v>
      </c>
      <c r="J300" s="5">
        <f>_xll.SNL.Clients.Office.Excel.Functions.SPG(G300, "IQ_DILUT_EPS_NORM", "CY2022")</f>
        <v>20.501000000000001</v>
      </c>
      <c r="K300">
        <f t="shared" si="26"/>
        <v>10578516</v>
      </c>
      <c r="L300">
        <f t="shared" si="27"/>
        <v>5.9351174846832291E-2</v>
      </c>
      <c r="M300" t="s">
        <v>823</v>
      </c>
      <c r="N300" s="4" cm="1">
        <f t="array" ref="N300">_xll.SNL.Clients.Office.Excel.Functions.SPG(M300, "SP_TOTAL_REV", "CY2022")</f>
        <v>30771000</v>
      </c>
      <c r="O300" s="4">
        <f>_xll.SNL.Clients.Office.Excel.Functions.SPG(M300,"IQ_AVG_DILUT_SHARES_OUT","CY2022")</f>
        <v>1335575000</v>
      </c>
      <c r="P300" s="5">
        <f>_xll.SNL.Clients.Office.Excel.Functions.SPG(M300, "IQ_DILUT_EPS_NORM", "CY2022")</f>
        <v>2.8740000000000001</v>
      </c>
      <c r="Q300">
        <f t="shared" si="28"/>
        <v>3838442.55</v>
      </c>
      <c r="R300">
        <f t="shared" si="29"/>
        <v>0.12474221019791361</v>
      </c>
    </row>
    <row r="301" spans="1:18" x14ac:dyDescent="0.3">
      <c r="A301" t="s">
        <v>813</v>
      </c>
      <c r="B301" s="4" cm="1">
        <f t="array" ref="B301">_xll.SNL.Clients.Office.Excel.Functions.SPG(A301, "SP_TOTAL_REV", "CY2023")</f>
        <v>752547</v>
      </c>
      <c r="C301" s="4">
        <f>_xll.SNL.Clients.Office.Excel.Functions.SPG(A301,"IQ_AVG_DILUT_SHARES_OUT","CY2023")</f>
        <v>37654000</v>
      </c>
      <c r="D301" s="5">
        <f>_xll.SNL.Clients.Office.Excel.Functions.SPG(A301, "IQ_DILUT_EPS_NORM", "CY2023")</f>
        <v>5.5250000000000004</v>
      </c>
      <c r="E301">
        <f t="shared" si="24"/>
        <v>208038.35</v>
      </c>
      <c r="F301">
        <f t="shared" si="25"/>
        <v>0.27644565721476533</v>
      </c>
      <c r="G301" t="s">
        <v>813</v>
      </c>
      <c r="H301" s="4" cm="1">
        <f t="array" ref="H301">_xll.SNL.Clients.Office.Excel.Functions.SPG(G301, "SP_TOTAL_REV", "CY2022")</f>
        <v>718300</v>
      </c>
      <c r="I301" s="4">
        <f>_xll.SNL.Clients.Office.Excel.Functions.SPG(G301,"IQ_AVG_DILUT_SHARES_OUT","CY2022")</f>
        <v>37643000</v>
      </c>
      <c r="J301" s="5">
        <f>_xll.SNL.Clients.Office.Excel.Functions.SPG(G301, "IQ_DILUT_EPS_NORM", "CY2022")</f>
        <v>5.617</v>
      </c>
      <c r="K301">
        <f t="shared" si="26"/>
        <v>211440.731</v>
      </c>
      <c r="L301">
        <f t="shared" si="27"/>
        <v>0.29436270499791173</v>
      </c>
      <c r="M301" t="s">
        <v>824</v>
      </c>
      <c r="N301" s="4" cm="1">
        <f t="array" ref="N301">_xll.SNL.Clients.Office.Excel.Functions.SPG(M301, "SP_TOTAL_REV", "CY2022")</f>
        <v>59283000</v>
      </c>
      <c r="O301" s="4">
        <f>_xll.SNL.Clients.Office.Excel.Functions.SPG(M301,"IQ_AVG_DILUT_SHARES_OUT","CY2022")</f>
        <v>2542000000</v>
      </c>
      <c r="P301" s="5">
        <f>_xll.SNL.Clients.Office.Excel.Functions.SPG(M301, "IQ_DILUT_EPS_NORM", "CY2022")</f>
        <v>4.9459999999999997</v>
      </c>
      <c r="Q301">
        <f t="shared" si="28"/>
        <v>12572732</v>
      </c>
      <c r="R301">
        <f t="shared" si="29"/>
        <v>0.21207988799487204</v>
      </c>
    </row>
    <row r="302" spans="1:18" x14ac:dyDescent="0.3">
      <c r="A302" t="s">
        <v>814</v>
      </c>
      <c r="B302" s="4" cm="1">
        <f t="array" ref="B302">_xll.SNL.Clients.Office.Excel.Functions.SPG(A302, "SP_TOTAL_REV", "CY2023")</f>
        <v>6300000</v>
      </c>
      <c r="C302" s="4">
        <f>_xll.SNL.Clients.Office.Excel.Functions.SPG(A302,"IQ_AVG_DILUT_SHARES_OUT","CY2023")</f>
        <v>302900000</v>
      </c>
      <c r="D302" s="5">
        <f>_xll.SNL.Clients.Office.Excel.Functions.SPG(A302, "IQ_DILUT_EPS_NORM", "CY2023")</f>
        <v>7.0940000000000003</v>
      </c>
      <c r="E302">
        <f t="shared" si="24"/>
        <v>2148772.6</v>
      </c>
      <c r="F302">
        <f t="shared" si="25"/>
        <v>0.34107501587301586</v>
      </c>
      <c r="G302" t="s">
        <v>814</v>
      </c>
      <c r="H302" s="4" cm="1">
        <f t="array" ref="H302">_xll.SNL.Clients.Office.Excel.Functions.SPG(G302, "SP_TOTAL_REV", "CY2022")</f>
        <v>5356000</v>
      </c>
      <c r="I302" s="4">
        <f>_xll.SNL.Clients.Office.Excel.Functions.SPG(G302,"IQ_AVG_DILUT_SHARES_OUT","CY2022")</f>
        <v>325800000</v>
      </c>
      <c r="J302" s="5">
        <f>_xll.SNL.Clients.Office.Excel.Functions.SPG(G302, "IQ_DILUT_EPS_NORM", "CY2022")</f>
        <v>5.9969999999999999</v>
      </c>
      <c r="K302">
        <f t="shared" si="26"/>
        <v>1953822.6</v>
      </c>
      <c r="L302">
        <f t="shared" si="27"/>
        <v>0.36479137415982077</v>
      </c>
      <c r="M302" t="s">
        <v>825</v>
      </c>
      <c r="N302" s="4" cm="1">
        <f t="array" ref="N302">_xll.SNL.Clients.Office.Excel.Functions.SPG(M302, "SP_TOTAL_REV", "CY2022")</f>
        <v>116609000</v>
      </c>
      <c r="O302" s="4">
        <f>_xll.SNL.Clients.Office.Excel.Functions.SPG(M302,"IQ_AVG_DILUT_SHARES_OUT","CY2022")</f>
        <v>2702000000</v>
      </c>
      <c r="P302" s="5" t="str">
        <f>_xll.SNL.Clients.Office.Excel.Functions.SPG(M302, "IQ_DILUT_EPS_NORM", "CY2022")</f>
        <v>NA</v>
      </c>
      <c r="Q302" t="e">
        <f t="shared" si="28"/>
        <v>#VALUE!</v>
      </c>
      <c r="R302" t="e">
        <f t="shared" si="29"/>
        <v>#VALUE!</v>
      </c>
    </row>
    <row r="303" spans="1:18" x14ac:dyDescent="0.3">
      <c r="A303" t="s">
        <v>815</v>
      </c>
      <c r="B303" s="4" cm="1">
        <f t="array" ref="B303">_xll.SNL.Clients.Office.Excel.Functions.SPG(A303, "SP_TOTAL_REV", "CY2023")</f>
        <v>22819000</v>
      </c>
      <c r="C303" s="4">
        <f>_xll.SNL.Clients.Office.Excel.Functions.SPG(A303,"IQ_AVG_DILUT_SHARES_OUT","CY2023")</f>
        <v>499000000</v>
      </c>
      <c r="D303" s="5">
        <f>_xll.SNL.Clients.Office.Excel.Functions.SPG(A303, "IQ_DILUT_EPS_NORM", "CY2023")</f>
        <v>6.6360000000000001</v>
      </c>
      <c r="E303">
        <f t="shared" si="24"/>
        <v>3311364</v>
      </c>
      <c r="F303">
        <f t="shared" si="25"/>
        <v>0.14511433454577327</v>
      </c>
      <c r="G303" t="s">
        <v>815</v>
      </c>
      <c r="H303" s="4" cm="1">
        <f t="array" ref="H303">_xll.SNL.Clients.Office.Excel.Functions.SPG(G303, "SP_TOTAL_REV", "CY2022")</f>
        <v>20756000</v>
      </c>
      <c r="I303" s="4">
        <f>_xll.SNL.Clients.Office.Excel.Functions.SPG(G303,"IQ_AVG_DILUT_SHARES_OUT","CY2022")</f>
        <v>505000000</v>
      </c>
      <c r="J303" s="5">
        <f>_xll.SNL.Clients.Office.Excel.Functions.SPG(G303, "IQ_DILUT_EPS_NORM", "CY2022")</f>
        <v>5.5430000000000001</v>
      </c>
      <c r="K303">
        <f t="shared" si="26"/>
        <v>2799215</v>
      </c>
      <c r="L303">
        <f t="shared" si="27"/>
        <v>0.13486293120061668</v>
      </c>
      <c r="M303" t="s">
        <v>826</v>
      </c>
      <c r="N303" s="4" cm="1">
        <f t="array" ref="N303">_xll.SNL.Clients.Office.Excel.Functions.SPG(M303, "SP_TOTAL_REV", "CY2022")</f>
        <v>68770000</v>
      </c>
      <c r="O303" s="4">
        <f>_xll.SNL.Clients.Office.Excel.Functions.SPG(M303,"IQ_AVG_DILUT_SHARES_OUT","CY2022")</f>
        <v>808900000</v>
      </c>
      <c r="P303" s="5">
        <f>_xll.SNL.Clients.Office.Excel.Functions.SPG(M303, "IQ_DILUT_EPS_NORM", "CY2022")</f>
        <v>4.8949999999999996</v>
      </c>
      <c r="Q303">
        <f t="shared" si="28"/>
        <v>3959565.4999999995</v>
      </c>
      <c r="R303">
        <f t="shared" si="29"/>
        <v>5.7576930347535256E-2</v>
      </c>
    </row>
    <row r="304" spans="1:18" x14ac:dyDescent="0.3">
      <c r="A304" t="s">
        <v>816</v>
      </c>
      <c r="B304" s="4" cm="1">
        <f t="array" ref="B304">_xll.SNL.Clients.Office.Excel.Functions.SPG(A304, "SP_TOTAL_REV", "CY2023")</f>
        <v>6777200</v>
      </c>
      <c r="C304" s="4">
        <f>_xll.SNL.Clients.Office.Excel.Functions.SPG(A304,"IQ_AVG_DILUT_SHARES_OUT","CY2023")</f>
        <v>62100000</v>
      </c>
      <c r="D304" s="5">
        <f>_xll.SNL.Clients.Office.Excel.Functions.SPG(A304, "IQ_DILUT_EPS_NORM", "CY2023")</f>
        <v>14.943</v>
      </c>
      <c r="E304">
        <f t="shared" si="24"/>
        <v>927960.3</v>
      </c>
      <c r="F304">
        <f t="shared" si="25"/>
        <v>0.13692384760668122</v>
      </c>
      <c r="G304" t="s">
        <v>816</v>
      </c>
      <c r="H304" s="4" cm="1">
        <f t="array" ref="H304">_xll.SNL.Clients.Office.Excel.Functions.SPG(G304, "SP_TOTAL_REV", "CY2022")</f>
        <v>6160700</v>
      </c>
      <c r="I304" s="4">
        <f>_xll.SNL.Clients.Office.Excel.Functions.SPG(G304,"IQ_AVG_DILUT_SHARES_OUT","CY2022")</f>
        <v>62500000</v>
      </c>
      <c r="J304" s="5">
        <f>_xll.SNL.Clients.Office.Excel.Functions.SPG(G304, "IQ_DILUT_EPS_NORM", "CY2022")</f>
        <v>9.4830000000000005</v>
      </c>
      <c r="K304">
        <f t="shared" si="26"/>
        <v>592687.5</v>
      </c>
      <c r="L304">
        <f t="shared" si="27"/>
        <v>9.6204570909149939E-2</v>
      </c>
      <c r="M304" t="s">
        <v>827</v>
      </c>
      <c r="N304" s="4" cm="1">
        <f t="array" ref="N304">_xll.SNL.Clients.Office.Excel.Functions.SPG(M304, "SP_TOTAL_REV", "CY2022")</f>
        <v>3919709</v>
      </c>
      <c r="O304" s="4">
        <f>_xll.SNL.Clients.Office.Excel.Functions.SPG(M304,"IQ_AVG_DILUT_SHARES_OUT","CY2022")</f>
        <v>22718290</v>
      </c>
      <c r="P304" s="5">
        <f>_xll.SNL.Clients.Office.Excel.Functions.SPG(M304, "IQ_DILUT_EPS_NORM", "CY2022")</f>
        <v>29.741</v>
      </c>
      <c r="Q304">
        <f t="shared" si="28"/>
        <v>675664.66289000004</v>
      </c>
      <c r="R304">
        <f t="shared" si="29"/>
        <v>0.17237623070743263</v>
      </c>
    </row>
    <row r="305" spans="1:18" x14ac:dyDescent="0.3">
      <c r="A305" t="s">
        <v>817</v>
      </c>
      <c r="B305" s="4" cm="1">
        <f t="array" ref="B305">_xll.SNL.Clients.Office.Excel.Functions.SPG(A305, "SP_TOTAL_REV", "CY2023")</f>
        <v>7967000</v>
      </c>
      <c r="C305" s="4">
        <f>_xll.SNL.Clients.Office.Excel.Functions.SPG(A305,"IQ_AVG_DILUT_SHARES_OUT","CY2023")</f>
        <v>226000000</v>
      </c>
      <c r="D305" s="5">
        <f>_xll.SNL.Clients.Office.Excel.Functions.SPG(A305, "IQ_DILUT_EPS_NORM", "CY2023")</f>
        <v>3.2679999999999998</v>
      </c>
      <c r="E305">
        <f t="shared" si="24"/>
        <v>738568</v>
      </c>
      <c r="F305">
        <f t="shared" si="25"/>
        <v>9.2703401531316676E-2</v>
      </c>
      <c r="G305" t="s">
        <v>817</v>
      </c>
      <c r="H305" s="4" cm="1">
        <f t="array" ref="H305">_xll.SNL.Clients.Office.Excel.Functions.SPG(G305, "SP_TOTAL_REV", "CY2022")</f>
        <v>8680000</v>
      </c>
      <c r="I305" s="4">
        <f>_xll.SNL.Clients.Office.Excel.Functions.SPG(G305,"IQ_AVG_DILUT_SHARES_OUT","CY2022")</f>
        <v>232000000</v>
      </c>
      <c r="J305" s="5">
        <f>_xll.SNL.Clients.Office.Excel.Functions.SPG(G305, "IQ_DILUT_EPS_NORM", "CY2022")</f>
        <v>3.0449999999999999</v>
      </c>
      <c r="K305">
        <f t="shared" si="26"/>
        <v>706440</v>
      </c>
      <c r="L305">
        <f t="shared" si="27"/>
        <v>8.1387096774193549E-2</v>
      </c>
      <c r="M305" t="s">
        <v>828</v>
      </c>
      <c r="N305" s="4" cm="1">
        <f t="array" ref="N305">_xll.SNL.Clients.Office.Excel.Functions.SPG(M305, "SP_TOTAL_REV", "CY2022")</f>
        <v>13081792</v>
      </c>
      <c r="O305" s="4">
        <f>_xll.SNL.Clients.Office.Excel.Functions.SPG(M305,"IQ_AVG_DILUT_SHARES_OUT","CY2022")</f>
        <v>412993000</v>
      </c>
      <c r="P305" s="5">
        <f>_xll.SNL.Clients.Office.Excel.Functions.SPG(M305, "IQ_DILUT_EPS_NORM", "CY2022")</f>
        <v>-0.64200000000000002</v>
      </c>
      <c r="Q305">
        <f t="shared" si="28"/>
        <v>-265141.50599999999</v>
      </c>
      <c r="R305">
        <f t="shared" si="29"/>
        <v>-2.0267980564130664E-2</v>
      </c>
    </row>
    <row r="306" spans="1:18" x14ac:dyDescent="0.3">
      <c r="A306" t="s">
        <v>818</v>
      </c>
      <c r="B306" s="4" cm="1">
        <f t="array" ref="B306">_xll.SNL.Clients.Office.Excel.Functions.SPG(A306, "SP_TOTAL_REV", "CY2023")</f>
        <v>25098000</v>
      </c>
      <c r="C306" s="4">
        <f>_xll.SNL.Clients.Office.Excel.Functions.SPG(A306,"IQ_AVG_DILUT_SHARES_OUT","CY2023")</f>
        <v>946000000</v>
      </c>
      <c r="D306" s="5">
        <f>_xll.SNL.Clients.Office.Excel.Functions.SPG(A306, "IQ_DILUT_EPS_NORM", "CY2023")</f>
        <v>9.407</v>
      </c>
      <c r="E306">
        <f t="shared" si="24"/>
        <v>8899022</v>
      </c>
      <c r="F306">
        <f t="shared" si="25"/>
        <v>0.35457096182962788</v>
      </c>
      <c r="G306" t="s">
        <v>818</v>
      </c>
      <c r="H306" s="4" cm="1">
        <f t="array" ref="H306">_xll.SNL.Clients.Office.Excel.Functions.SPG(G306, "SP_TOTAL_REV", "CY2022")</f>
        <v>22237000</v>
      </c>
      <c r="I306" s="4">
        <f>_xll.SNL.Clients.Office.Excel.Functions.SPG(G306,"IQ_AVG_DILUT_SHARES_OUT","CY2022")</f>
        <v>971000000</v>
      </c>
      <c r="J306" s="5">
        <f>_xll.SNL.Clients.Office.Excel.Functions.SPG(G306, "IQ_DILUT_EPS_NORM", "CY2022")</f>
        <v>7.8739999999999997</v>
      </c>
      <c r="K306">
        <f t="shared" si="26"/>
        <v>7645654</v>
      </c>
      <c r="L306">
        <f t="shared" si="27"/>
        <v>0.34382578585240814</v>
      </c>
      <c r="M306" t="s">
        <v>829</v>
      </c>
      <c r="N306" s="4" cm="1">
        <f t="array" ref="N306">_xll.SNL.Clients.Office.Excel.Functions.SPG(M306, "SP_TOTAL_REV", "CY2022")</f>
        <v>8050200</v>
      </c>
      <c r="O306" s="4">
        <f>_xll.SNL.Clients.Office.Excel.Functions.SPG(M306,"IQ_AVG_DILUT_SHARES_OUT","CY2022")</f>
        <v>560125000</v>
      </c>
      <c r="P306" s="5">
        <f>_xll.SNL.Clients.Office.Excel.Functions.SPG(M306, "IQ_DILUT_EPS_NORM", "CY2022")</f>
        <v>2.9129999999999998</v>
      </c>
      <c r="Q306">
        <f t="shared" si="28"/>
        <v>1631644.125</v>
      </c>
      <c r="R306">
        <f t="shared" si="29"/>
        <v>0.20268367556085562</v>
      </c>
    </row>
    <row r="307" spans="1:18" x14ac:dyDescent="0.3">
      <c r="A307" t="s">
        <v>819</v>
      </c>
      <c r="B307" s="4" cm="1">
        <f t="array" ref="B307">_xll.SNL.Clients.Office.Excel.Functions.SPG(A307, "SP_TOTAL_REV", "CY2023")</f>
        <v>3364504</v>
      </c>
      <c r="C307" s="4">
        <f>_xll.SNL.Clients.Office.Excel.Functions.SPG(A307,"IQ_AVG_DILUT_SHARES_OUT","CY2023")</f>
        <v>293284000</v>
      </c>
      <c r="D307" s="5">
        <f>_xll.SNL.Clients.Office.Excel.Functions.SPG(A307, "IQ_DILUT_EPS_NORM", "CY2023")</f>
        <v>1.6559999999999999</v>
      </c>
      <c r="E307">
        <f t="shared" si="24"/>
        <v>485678.304</v>
      </c>
      <c r="F307">
        <f t="shared" si="25"/>
        <v>0.14435361170621286</v>
      </c>
      <c r="G307" t="s">
        <v>819</v>
      </c>
      <c r="H307" s="4" cm="1">
        <f t="array" ref="H307">_xll.SNL.Clients.Office.Excel.Functions.SPG(G307, "SP_TOTAL_REV", "CY2022")</f>
        <v>3188843</v>
      </c>
      <c r="I307" s="4">
        <f>_xll.SNL.Clients.Office.Excel.Functions.SPG(G307,"IQ_AVG_DILUT_SHARES_OUT","CY2022")</f>
        <v>295215000</v>
      </c>
      <c r="J307" s="5">
        <f>_xll.SNL.Clients.Office.Excel.Functions.SPG(G307, "IQ_DILUT_EPS_NORM", "CY2022")</f>
        <v>1.42</v>
      </c>
      <c r="K307">
        <f t="shared" si="26"/>
        <v>419205.3</v>
      </c>
      <c r="L307">
        <f t="shared" si="27"/>
        <v>0.13145999975539718</v>
      </c>
      <c r="M307" t="s">
        <v>830</v>
      </c>
      <c r="N307" s="4" cm="1">
        <f t="array" ref="N307">_xll.SNL.Clients.Office.Excel.Functions.SPG(M307, "SP_TOTAL_REV", "CY2022")</f>
        <v>27156000</v>
      </c>
      <c r="O307" s="4">
        <f>_xll.SNL.Clients.Office.Excel.Functions.SPG(M307,"IQ_AVG_DILUT_SHARES_OUT","CY2022")</f>
        <v>1112000000</v>
      </c>
      <c r="P307" s="5">
        <f>_xll.SNL.Clients.Office.Excel.Functions.SPG(M307, "IQ_DILUT_EPS_NORM", "CY2022")</f>
        <v>3.839</v>
      </c>
      <c r="Q307">
        <f t="shared" si="28"/>
        <v>4268968</v>
      </c>
      <c r="R307">
        <f t="shared" si="29"/>
        <v>0.15720164972750036</v>
      </c>
    </row>
    <row r="308" spans="1:18" x14ac:dyDescent="0.3">
      <c r="A308" t="s">
        <v>820</v>
      </c>
      <c r="B308" s="4" cm="1">
        <f t="array" ref="B308">_xll.SNL.Clients.Office.Excel.Functions.SPG(A308, "SP_TOTAL_REV", "CY2023")</f>
        <v>6662200</v>
      </c>
      <c r="C308" s="4">
        <f>_xll.SNL.Clients.Office.Excel.Functions.SPG(A308,"IQ_AVG_DILUT_SHARES_OUT","CY2023")</f>
        <v>269800000</v>
      </c>
      <c r="D308" s="5">
        <f>_xll.SNL.Clients.Office.Excel.Functions.SPG(A308, "IQ_DILUT_EPS_NORM", "CY2023")</f>
        <v>2.125</v>
      </c>
      <c r="E308">
        <f t="shared" si="24"/>
        <v>573325</v>
      </c>
      <c r="F308">
        <f t="shared" si="25"/>
        <v>8.6056407793221462E-2</v>
      </c>
      <c r="G308" t="s">
        <v>820</v>
      </c>
      <c r="H308" s="4" cm="1">
        <f t="array" ref="H308">_xll.SNL.Clients.Office.Excel.Functions.SPG(G308, "SP_TOTAL_REV", "CY2022")</f>
        <v>6350500</v>
      </c>
      <c r="I308" s="4">
        <f>_xll.SNL.Clients.Office.Excel.Functions.SPG(G308,"IQ_AVG_DILUT_SHARES_OUT","CY2022")</f>
        <v>270200000</v>
      </c>
      <c r="J308" s="5">
        <f>_xll.SNL.Clients.Office.Excel.Functions.SPG(G308, "IQ_DILUT_EPS_NORM", "CY2022")</f>
        <v>1.9339999999999999</v>
      </c>
      <c r="K308">
        <f t="shared" si="26"/>
        <v>522566.8</v>
      </c>
      <c r="L308">
        <f t="shared" si="27"/>
        <v>8.2287504920872376E-2</v>
      </c>
      <c r="M308" t="s">
        <v>831</v>
      </c>
      <c r="N308" s="4" cm="1">
        <f t="array" ref="N308">_xll.SNL.Clients.Office.Excel.Functions.SPG(M308, "SP_TOTAL_REV", "CY2022")</f>
        <v>204094000</v>
      </c>
      <c r="O308" s="4">
        <f>_xll.SNL.Clients.Office.Excel.Functions.SPG(M308,"IQ_AVG_DILUT_SHARES_OUT","CY2022")</f>
        <v>7499000000</v>
      </c>
      <c r="P308" s="5" t="str">
        <f>_xll.SNL.Clients.Office.Excel.Functions.SPG(M308, "IQ_DILUT_EPS_NORM", "CY2022")</f>
        <v>NA</v>
      </c>
      <c r="Q308" t="e">
        <f t="shared" si="28"/>
        <v>#VALUE!</v>
      </c>
      <c r="R308" t="e">
        <f t="shared" si="29"/>
        <v>#VALUE!</v>
      </c>
    </row>
    <row r="309" spans="1:18" x14ac:dyDescent="0.3">
      <c r="A309" t="s">
        <v>821</v>
      </c>
      <c r="B309" s="4" cm="1">
        <f t="array" ref="B309">_xll.SNL.Clients.Office.Excel.Functions.SPG(A309, "SP_TOTAL_REV", "CY2023")</f>
        <v>25493700</v>
      </c>
      <c r="C309" s="4">
        <f>_xll.SNL.Clients.Office.Excel.Functions.SPG(A309,"IQ_AVG_DILUT_SHARES_OUT","CY2023")</f>
        <v>732300000</v>
      </c>
      <c r="D309" s="5">
        <f>_xll.SNL.Clients.Office.Excel.Functions.SPG(A309, "IQ_DILUT_EPS_NORM", "CY2023")</f>
        <v>9.1959999999999997</v>
      </c>
      <c r="E309">
        <f t="shared" si="24"/>
        <v>6734230.7999999998</v>
      </c>
      <c r="F309">
        <f t="shared" si="25"/>
        <v>0.26415274361901175</v>
      </c>
      <c r="G309" t="s">
        <v>821</v>
      </c>
      <c r="H309" s="4" cm="1">
        <f t="array" ref="H309">_xll.SNL.Clients.Office.Excel.Functions.SPG(G309, "SP_TOTAL_REV", "CY2022")</f>
        <v>23182600</v>
      </c>
      <c r="I309" s="4">
        <f>_xll.SNL.Clients.Office.Excel.Functions.SPG(G309,"IQ_AVG_DILUT_SHARES_OUT","CY2022")</f>
        <v>741300000</v>
      </c>
      <c r="J309" s="5">
        <f>_xll.SNL.Clients.Office.Excel.Functions.SPG(G309, "IQ_DILUT_EPS_NORM", "CY2022")</f>
        <v>7.5140000000000002</v>
      </c>
      <c r="K309">
        <f t="shared" si="26"/>
        <v>5570128.2000000002</v>
      </c>
      <c r="L309">
        <f t="shared" si="27"/>
        <v>0.24027193671115407</v>
      </c>
      <c r="M309" t="s">
        <v>832</v>
      </c>
      <c r="N309" s="4" cm="1">
        <f t="array" ref="N309">_xll.SNL.Clients.Office.Excel.Functions.SPG(M309, "SP_TOTAL_REV", "CY2022")</f>
        <v>1967959</v>
      </c>
      <c r="O309" s="4">
        <f>_xll.SNL.Clients.Office.Excel.Functions.SPG(M309,"IQ_AVG_DILUT_SHARES_OUT","CY2022")</f>
        <v>115583000</v>
      </c>
      <c r="P309" s="5">
        <f>_xll.SNL.Clients.Office.Excel.Functions.SPG(M309, "IQ_DILUT_EPS_NORM", "CY2022")</f>
        <v>2.3239999999999998</v>
      </c>
      <c r="Q309">
        <f t="shared" si="28"/>
        <v>268614.89199999999</v>
      </c>
      <c r="R309">
        <f t="shared" si="29"/>
        <v>0.13649415053870531</v>
      </c>
    </row>
    <row r="310" spans="1:18" x14ac:dyDescent="0.3">
      <c r="A310" t="s">
        <v>822</v>
      </c>
      <c r="B310" s="4" cm="1">
        <f t="array" ref="B310">_xll.SNL.Clients.Office.Excel.Functions.SPG(A310, "SP_TOTAL_REV", "CY2023")</f>
        <v>301506000</v>
      </c>
      <c r="C310" s="4">
        <f>_xll.SNL.Clients.Office.Excel.Functions.SPG(A310,"IQ_AVG_DILUT_SHARES_OUT","CY2023")</f>
        <v>135599899</v>
      </c>
      <c r="D310" s="5">
        <f>_xll.SNL.Clients.Office.Excel.Functions.SPG(A310, "IQ_DILUT_EPS_NORM", "CY2023")</f>
        <v>16.843</v>
      </c>
      <c r="E310">
        <f t="shared" si="24"/>
        <v>2283909.098857</v>
      </c>
      <c r="F310">
        <f t="shared" si="25"/>
        <v>7.5750038103951497E-3</v>
      </c>
      <c r="G310" t="s">
        <v>822</v>
      </c>
      <c r="H310" s="4" cm="1">
        <f t="array" ref="H310">_xll.SNL.Clients.Office.Excel.Functions.SPG(G310, "SP_TOTAL_REV", "CY2022")</f>
        <v>273903000</v>
      </c>
      <c r="I310" s="4">
        <f>_xll.SNL.Clients.Office.Excel.Functions.SPG(G310,"IQ_AVG_DILUT_SHARES_OUT","CY2022")</f>
        <v>145025000</v>
      </c>
      <c r="J310" s="5">
        <f>_xll.SNL.Clients.Office.Excel.Functions.SPG(G310, "IQ_DILUT_EPS_NORM", "CY2022")</f>
        <v>19.777000000000001</v>
      </c>
      <c r="K310">
        <f t="shared" si="26"/>
        <v>2868159.4249999998</v>
      </c>
      <c r="L310">
        <f t="shared" si="27"/>
        <v>1.0471442171133575E-2</v>
      </c>
      <c r="M310" t="s">
        <v>833</v>
      </c>
      <c r="N310" s="4" cm="1">
        <f t="array" ref="N310">_xll.SNL.Clients.Office.Excel.Functions.SPG(M310, "SP_TOTAL_REV", "CY2022")</f>
        <v>19263000</v>
      </c>
      <c r="O310" s="4">
        <f>_xll.SNL.Clients.Office.Excel.Functions.SPG(M310,"IQ_AVG_DILUT_SHARES_OUT","CY2022")</f>
        <v>416000000</v>
      </c>
      <c r="P310" s="5">
        <f>_xll.SNL.Clients.Office.Excel.Functions.SPG(M310, "IQ_DILUT_EPS_NORM", "CY2022")</f>
        <v>14.416</v>
      </c>
      <c r="Q310">
        <f t="shared" si="28"/>
        <v>5997056</v>
      </c>
      <c r="R310">
        <f t="shared" si="29"/>
        <v>0.3113251310803094</v>
      </c>
    </row>
    <row r="311" spans="1:18" x14ac:dyDescent="0.3">
      <c r="A311" t="s">
        <v>823</v>
      </c>
      <c r="B311" s="4" cm="1">
        <f t="array" ref="B311">_xll.SNL.Clients.Office.Excel.Functions.SPG(A311, "SP_TOTAL_REV", "CY2023")</f>
        <v>32320000</v>
      </c>
      <c r="C311" s="4">
        <f>_xll.SNL.Clients.Office.Excel.Functions.SPG(A311,"IQ_AVG_DILUT_SHARES_OUT","CY2023")</f>
        <v>1332524001</v>
      </c>
      <c r="D311" s="5">
        <f>_xll.SNL.Clients.Office.Excel.Functions.SPG(A311, "IQ_DILUT_EPS_NORM", "CY2023")</f>
        <v>3.1030000000000002</v>
      </c>
      <c r="E311">
        <f t="shared" si="24"/>
        <v>4134821.9751030002</v>
      </c>
      <c r="F311">
        <f t="shared" si="25"/>
        <v>0.12793384823957302</v>
      </c>
      <c r="G311" t="s">
        <v>823</v>
      </c>
      <c r="H311" s="4" cm="1">
        <f t="array" ref="H311">_xll.SNL.Clients.Office.Excel.Functions.SPG(G311, "SP_TOTAL_REV", "CY2022")</f>
        <v>30771000</v>
      </c>
      <c r="I311" s="4">
        <f>_xll.SNL.Clients.Office.Excel.Functions.SPG(G311,"IQ_AVG_DILUT_SHARES_OUT","CY2022")</f>
        <v>1335575000</v>
      </c>
      <c r="J311" s="5">
        <f>_xll.SNL.Clients.Office.Excel.Functions.SPG(G311, "IQ_DILUT_EPS_NORM", "CY2022")</f>
        <v>2.8740000000000001</v>
      </c>
      <c r="K311">
        <f t="shared" si="26"/>
        <v>3838442.55</v>
      </c>
      <c r="L311">
        <f t="shared" si="27"/>
        <v>0.12474221019791361</v>
      </c>
      <c r="M311" t="s">
        <v>834</v>
      </c>
      <c r="N311" s="4" cm="1">
        <f t="array" ref="N311">_xll.SNL.Clients.Office.Excel.Functions.SPG(M311, "SP_TOTAL_REV", "CY2022")</f>
        <v>11737065</v>
      </c>
      <c r="O311" s="4">
        <f>_xll.SNL.Clients.Office.Excel.Functions.SPG(M311,"IQ_AVG_DILUT_SHARES_OUT","CY2022")</f>
        <v>64062000</v>
      </c>
      <c r="P311" s="5">
        <f>_xll.SNL.Clients.Office.Excel.Functions.SPG(M311, "IQ_DILUT_EPS_NORM", "CY2022")</f>
        <v>9.9990000000000006</v>
      </c>
      <c r="Q311">
        <f t="shared" si="28"/>
        <v>640555.93799999997</v>
      </c>
      <c r="R311">
        <f t="shared" si="29"/>
        <v>5.4575478452236564E-2</v>
      </c>
    </row>
    <row r="312" spans="1:18" x14ac:dyDescent="0.3">
      <c r="A312" t="s">
        <v>824</v>
      </c>
      <c r="B312" s="4" cm="1">
        <f t="array" ref="B312">_xll.SNL.Clients.Office.Excel.Functions.SPG(A312, "SP_TOTAL_REV", "CY2023")</f>
        <v>60115000</v>
      </c>
      <c r="C312" s="4">
        <f>_xll.SNL.Clients.Office.Excel.Functions.SPG(A312,"IQ_AVG_DILUT_SHARES_OUT","CY2023")</f>
        <v>2547000000</v>
      </c>
      <c r="D312" s="5">
        <f>_xll.SNL.Clients.Office.Excel.Functions.SPG(A312, "IQ_DILUT_EPS_NORM", "CY2023")</f>
        <v>3.7360000000000002</v>
      </c>
      <c r="E312">
        <f t="shared" si="24"/>
        <v>9515592</v>
      </c>
      <c r="F312">
        <f t="shared" si="25"/>
        <v>0.15828981119520918</v>
      </c>
      <c r="G312" t="s">
        <v>824</v>
      </c>
      <c r="H312" s="4" cm="1">
        <f t="array" ref="H312">_xll.SNL.Clients.Office.Excel.Functions.SPG(G312, "SP_TOTAL_REV", "CY2022")</f>
        <v>59283000</v>
      </c>
      <c r="I312" s="4">
        <f>_xll.SNL.Clients.Office.Excel.Functions.SPG(G312,"IQ_AVG_DILUT_SHARES_OUT","CY2022")</f>
        <v>2542000000</v>
      </c>
      <c r="J312" s="5">
        <f>_xll.SNL.Clients.Office.Excel.Functions.SPG(G312, "IQ_DILUT_EPS_NORM", "CY2022")</f>
        <v>4.9459999999999997</v>
      </c>
      <c r="K312">
        <f t="shared" si="26"/>
        <v>12572732</v>
      </c>
      <c r="L312">
        <f t="shared" si="27"/>
        <v>0.21207988799487204</v>
      </c>
      <c r="M312" t="s">
        <v>835</v>
      </c>
      <c r="N312" s="4" cm="1">
        <f t="array" ref="N312">_xll.SNL.Clients.Office.Excel.Functions.SPG(M312, "SP_TOTAL_REV", "CY2022")</f>
        <v>31974000</v>
      </c>
      <c r="O312" s="4">
        <f>_xll.SNL.Clients.Office.Excel.Functions.SPG(M312,"IQ_AVG_DILUT_SHARES_OUT","CY2022")</f>
        <v>58500000</v>
      </c>
      <c r="P312" s="5">
        <f>_xll.SNL.Clients.Office.Excel.Functions.SPG(M312, "IQ_DILUT_EPS_NORM", "CY2022")</f>
        <v>13.622</v>
      </c>
      <c r="Q312">
        <f t="shared" si="28"/>
        <v>796887</v>
      </c>
      <c r="R312">
        <f t="shared" si="29"/>
        <v>2.4922968662037907E-2</v>
      </c>
    </row>
    <row r="313" spans="1:18" x14ac:dyDescent="0.3">
      <c r="A313" t="s">
        <v>825</v>
      </c>
      <c r="B313" s="4" cm="1">
        <f t="array" ref="B313">_xll.SNL.Clients.Office.Excel.Functions.SPG(A313, "SP_TOTAL_REV", "CY2023")</f>
        <v>134902000</v>
      </c>
      <c r="C313" s="4">
        <f>_xll.SNL.Clients.Office.Excel.Functions.SPG(A313,"IQ_AVG_DILUT_SHARES_OUT","CY2023")</f>
        <v>2629000000</v>
      </c>
      <c r="D313" s="5" t="str">
        <f>_xll.SNL.Clients.Office.Excel.Functions.SPG(A313, "IQ_DILUT_EPS_NORM", "CY2023")</f>
        <v>NA</v>
      </c>
      <c r="E313" t="e">
        <f t="shared" si="24"/>
        <v>#VALUE!</v>
      </c>
      <c r="F313" t="e">
        <f t="shared" si="25"/>
        <v>#VALUE!</v>
      </c>
      <c r="G313" t="s">
        <v>825</v>
      </c>
      <c r="H313" s="4" cm="1">
        <f t="array" ref="H313">_xll.SNL.Clients.Office.Excel.Functions.SPG(G313, "SP_TOTAL_REV", "CY2022")</f>
        <v>116609000</v>
      </c>
      <c r="I313" s="4">
        <f>_xll.SNL.Clients.Office.Excel.Functions.SPG(G313,"IQ_AVG_DILUT_SHARES_OUT","CY2022")</f>
        <v>2702000000</v>
      </c>
      <c r="J313" s="5" t="str">
        <f>_xll.SNL.Clients.Office.Excel.Functions.SPG(G313, "IQ_DILUT_EPS_NORM", "CY2022")</f>
        <v>NA</v>
      </c>
      <c r="K313" t="e">
        <f t="shared" si="26"/>
        <v>#VALUE!</v>
      </c>
      <c r="L313" t="e">
        <f t="shared" si="27"/>
        <v>#VALUE!</v>
      </c>
      <c r="M313" t="s">
        <v>836</v>
      </c>
      <c r="N313" s="4" cm="1">
        <f t="array" ref="N313">_xll.SNL.Clients.Office.Excel.Functions.SPG(M313, "SP_TOTAL_REV", "CY2022")</f>
        <v>10701000</v>
      </c>
      <c r="O313" s="4">
        <f>_xll.SNL.Clients.Office.Excel.Functions.SPG(M313,"IQ_AVG_DILUT_SHARES_OUT","CY2022")</f>
        <v>216900000</v>
      </c>
      <c r="P313" s="5">
        <f>_xll.SNL.Clients.Office.Excel.Functions.SPG(M313, "IQ_DILUT_EPS_NORM", "CY2022")</f>
        <v>2.581</v>
      </c>
      <c r="Q313">
        <f t="shared" si="28"/>
        <v>559818.9</v>
      </c>
      <c r="R313">
        <f t="shared" si="29"/>
        <v>5.2314634146341465E-2</v>
      </c>
    </row>
    <row r="314" spans="1:18" x14ac:dyDescent="0.3">
      <c r="A314" t="s">
        <v>826</v>
      </c>
      <c r="B314" s="4" cm="1">
        <f t="array" ref="B314">_xll.SNL.Clients.Office.Excel.Functions.SPG(A314, "SP_TOTAL_REV", "CY2023")</f>
        <v>66905000</v>
      </c>
      <c r="C314" s="4">
        <f>_xll.SNL.Clients.Office.Excel.Functions.SPG(A314,"IQ_AVG_DILUT_SHARES_OUT","CY2023")</f>
        <v>762300000</v>
      </c>
      <c r="D314" s="5">
        <f>_xll.SNL.Clients.Office.Excel.Functions.SPG(A314, "IQ_DILUT_EPS_NORM", "CY2023")</f>
        <v>1.7410000000000001</v>
      </c>
      <c r="E314">
        <f t="shared" si="24"/>
        <v>1327164.3</v>
      </c>
      <c r="F314">
        <f t="shared" si="25"/>
        <v>1.9836548837904491E-2</v>
      </c>
      <c r="G314" t="s">
        <v>826</v>
      </c>
      <c r="H314" s="4" cm="1">
        <f t="array" ref="H314">_xll.SNL.Clients.Office.Excel.Functions.SPG(G314, "SP_TOTAL_REV", "CY2022")</f>
        <v>68770000</v>
      </c>
      <c r="I314" s="4">
        <f>_xll.SNL.Clients.Office.Excel.Functions.SPG(G314,"IQ_AVG_DILUT_SHARES_OUT","CY2022")</f>
        <v>808900000</v>
      </c>
      <c r="J314" s="5">
        <f>_xll.SNL.Clients.Office.Excel.Functions.SPG(G314, "IQ_DILUT_EPS_NORM", "CY2022")</f>
        <v>4.8949999999999996</v>
      </c>
      <c r="K314">
        <f t="shared" si="26"/>
        <v>3959565.4999999995</v>
      </c>
      <c r="L314">
        <f t="shared" si="27"/>
        <v>5.7576930347535256E-2</v>
      </c>
      <c r="M314" t="s">
        <v>837</v>
      </c>
      <c r="N314" s="4" cm="1">
        <f t="array" ref="N314">_xll.SNL.Clients.Office.Excel.Functions.SPG(M314, "SP_TOTAL_REV", "CY2022")</f>
        <v>31496000</v>
      </c>
      <c r="O314" s="4">
        <f>_xll.SNL.Clients.Office.Excel.Functions.SPG(M314,"IQ_AVG_DILUT_SHARES_OUT","CY2022")</f>
        <v>1385000000</v>
      </c>
      <c r="P314" s="5">
        <f>_xll.SNL.Clients.Office.Excel.Functions.SPG(M314, "IQ_DILUT_EPS_NORM", "CY2022")</f>
        <v>2.1739999999999999</v>
      </c>
      <c r="Q314">
        <f t="shared" si="28"/>
        <v>3010990</v>
      </c>
      <c r="R314">
        <f t="shared" si="29"/>
        <v>9.5599123698247399E-2</v>
      </c>
    </row>
    <row r="315" spans="1:18" x14ac:dyDescent="0.3">
      <c r="A315" t="s">
        <v>827</v>
      </c>
      <c r="B315" s="4" cm="1">
        <f t="array" ref="B315">_xll.SNL.Clients.Office.Excel.Functions.SPG(A315, "SP_TOTAL_REV", "CY2023")</f>
        <v>3788309</v>
      </c>
      <c r="C315" s="4">
        <f>_xll.SNL.Clients.Office.Excel.Functions.SPG(A315,"IQ_AVG_DILUT_SHARES_OUT","CY2023")</f>
        <v>21971528</v>
      </c>
      <c r="D315" s="5">
        <f>_xll.SNL.Clients.Office.Excel.Functions.SPG(A315, "IQ_DILUT_EPS_NORM", "CY2023")</f>
        <v>28.63</v>
      </c>
      <c r="E315">
        <f t="shared" si="24"/>
        <v>629044.84664</v>
      </c>
      <c r="F315">
        <f t="shared" si="25"/>
        <v>0.16604898033396959</v>
      </c>
      <c r="G315" t="s">
        <v>827</v>
      </c>
      <c r="H315" s="4" cm="1">
        <f t="array" ref="H315">_xll.SNL.Clients.Office.Excel.Functions.SPG(G315, "SP_TOTAL_REV", "CY2022")</f>
        <v>3919709</v>
      </c>
      <c r="I315" s="4">
        <f>_xll.SNL.Clients.Office.Excel.Functions.SPG(G315,"IQ_AVG_DILUT_SHARES_OUT","CY2022")</f>
        <v>22718290</v>
      </c>
      <c r="J315" s="5">
        <f>_xll.SNL.Clients.Office.Excel.Functions.SPG(G315, "IQ_DILUT_EPS_NORM", "CY2022")</f>
        <v>29.741</v>
      </c>
      <c r="K315">
        <f t="shared" si="26"/>
        <v>675664.66289000004</v>
      </c>
      <c r="L315">
        <f t="shared" si="27"/>
        <v>0.17237623070743263</v>
      </c>
      <c r="M315" t="s">
        <v>838</v>
      </c>
      <c r="N315" s="4" cm="1">
        <f t="array" ref="N315">_xll.SNL.Clients.Office.Excel.Functions.SPG(M315, "SP_TOTAL_REV", "CY2022")</f>
        <v>1794148</v>
      </c>
      <c r="O315" s="4">
        <f>_xll.SNL.Clients.Office.Excel.Functions.SPG(M315,"IQ_AVG_DILUT_SHARES_OUT","CY2022")</f>
        <v>48358000</v>
      </c>
      <c r="P315" s="5">
        <f>_xll.SNL.Clients.Office.Excel.Functions.SPG(M315, "IQ_DILUT_EPS_NORM", "CY2022")</f>
        <v>6.84</v>
      </c>
      <c r="Q315">
        <f t="shared" si="28"/>
        <v>330768.71999999997</v>
      </c>
      <c r="R315">
        <f t="shared" si="29"/>
        <v>0.18435977411005111</v>
      </c>
    </row>
    <row r="316" spans="1:18" x14ac:dyDescent="0.3">
      <c r="A316" t="s">
        <v>828</v>
      </c>
      <c r="B316" s="4" cm="1">
        <f t="array" ref="B316">_xll.SNL.Clients.Office.Excel.Functions.SPG(A316, "SP_TOTAL_REV", "CY2023")</f>
        <v>16118509</v>
      </c>
      <c r="C316" s="4">
        <f>_xll.SNL.Clients.Office.Excel.Functions.SPG(A316,"IQ_AVG_DILUT_SHARES_OUT","CY2023")</f>
        <v>358627000</v>
      </c>
      <c r="D316" s="5">
        <f>_xll.SNL.Clients.Office.Excel.Functions.SPG(A316, "IQ_DILUT_EPS_NORM", "CY2023")</f>
        <v>1.4350000000000001</v>
      </c>
      <c r="E316">
        <f t="shared" si="24"/>
        <v>514629.745</v>
      </c>
      <c r="F316">
        <f t="shared" si="25"/>
        <v>3.1927875276801347E-2</v>
      </c>
      <c r="G316" t="s">
        <v>828</v>
      </c>
      <c r="H316" s="4" cm="1">
        <f t="array" ref="H316">_xll.SNL.Clients.Office.Excel.Functions.SPG(G316, "SP_TOTAL_REV", "CY2022")</f>
        <v>13081792</v>
      </c>
      <c r="I316" s="4">
        <f>_xll.SNL.Clients.Office.Excel.Functions.SPG(G316,"IQ_AVG_DILUT_SHARES_OUT","CY2022")</f>
        <v>412993000</v>
      </c>
      <c r="J316" s="5">
        <f>_xll.SNL.Clients.Office.Excel.Functions.SPG(G316, "IQ_DILUT_EPS_NORM", "CY2022")</f>
        <v>-0.64200000000000002</v>
      </c>
      <c r="K316">
        <f t="shared" si="26"/>
        <v>-265141.50599999999</v>
      </c>
      <c r="L316">
        <f t="shared" si="27"/>
        <v>-2.0267980564130664E-2</v>
      </c>
      <c r="M316" t="s">
        <v>839</v>
      </c>
      <c r="N316" s="4" cm="1">
        <f t="array" ref="N316">_xll.SNL.Clients.Office.Excel.Functions.SPG(M316, "SP_TOTAL_REV", "CY2022")</f>
        <v>6311050</v>
      </c>
      <c r="O316" s="4">
        <f>_xll.SNL.Clients.Office.Excel.Functions.SPG(M316,"IQ_AVG_DILUT_SHARES_OUT","CY2022")</f>
        <v>1066442000</v>
      </c>
      <c r="P316" s="5">
        <f>_xll.SNL.Clients.Office.Excel.Functions.SPG(M316, "IQ_DILUT_EPS_NORM", "CY2022")</f>
        <v>0.92100000000000004</v>
      </c>
      <c r="Q316">
        <f t="shared" si="28"/>
        <v>982193.08200000005</v>
      </c>
      <c r="R316">
        <f t="shared" si="29"/>
        <v>0.15563069251550851</v>
      </c>
    </row>
    <row r="317" spans="1:18" x14ac:dyDescent="0.3">
      <c r="A317" t="s">
        <v>829</v>
      </c>
      <c r="B317" s="4" cm="1">
        <f t="array" ref="B317">_xll.SNL.Clients.Office.Excel.Functions.SPG(A317, "SP_TOTAL_REV", "CY2023")</f>
        <v>8541300</v>
      </c>
      <c r="C317" s="4">
        <f>_xll.SNL.Clients.Office.Excel.Functions.SPG(A317,"IQ_AVG_DILUT_SHARES_OUT","CY2023")</f>
        <v>550250000</v>
      </c>
      <c r="D317" s="5">
        <f>_xll.SNL.Clients.Office.Excel.Functions.SPG(A317, "IQ_DILUT_EPS_NORM", "CY2023")</f>
        <v>3.3929999999999998</v>
      </c>
      <c r="E317">
        <f t="shared" si="24"/>
        <v>1866998.25</v>
      </c>
      <c r="F317">
        <f t="shared" si="25"/>
        <v>0.21858478802992518</v>
      </c>
      <c r="G317" t="s">
        <v>829</v>
      </c>
      <c r="H317" s="4" cm="1">
        <f t="array" ref="H317">_xll.SNL.Clients.Office.Excel.Functions.SPG(G317, "SP_TOTAL_REV", "CY2022")</f>
        <v>8050200</v>
      </c>
      <c r="I317" s="4">
        <f>_xll.SNL.Clients.Office.Excel.Functions.SPG(G317,"IQ_AVG_DILUT_SHARES_OUT","CY2022")</f>
        <v>560125000</v>
      </c>
      <c r="J317" s="5">
        <f>_xll.SNL.Clients.Office.Excel.Functions.SPG(G317, "IQ_DILUT_EPS_NORM", "CY2022")</f>
        <v>2.9129999999999998</v>
      </c>
      <c r="K317">
        <f t="shared" si="26"/>
        <v>1631644.125</v>
      </c>
      <c r="L317">
        <f t="shared" si="27"/>
        <v>0.20268367556085562</v>
      </c>
      <c r="M317" t="s">
        <v>840</v>
      </c>
      <c r="N317" s="4" cm="1">
        <f t="array" ref="N317">_xll.SNL.Clients.Office.Excel.Functions.SPG(M317, "SP_TOTAL_REV", "CY2022")</f>
        <v>5468000</v>
      </c>
      <c r="O317" s="4">
        <f>_xll.SNL.Clients.Office.Excel.Functions.SPG(M317,"IQ_AVG_DILUT_SHARES_OUT","CY2022")</f>
        <v>184700000</v>
      </c>
      <c r="P317" s="5">
        <f>_xll.SNL.Clients.Office.Excel.Functions.SPG(M317, "IQ_DILUT_EPS_NORM", "CY2022")</f>
        <v>6.1520000000000001</v>
      </c>
      <c r="Q317">
        <f t="shared" si="28"/>
        <v>1136274.3999999999</v>
      </c>
      <c r="R317">
        <f t="shared" si="29"/>
        <v>0.20780438917337232</v>
      </c>
    </row>
    <row r="318" spans="1:18" x14ac:dyDescent="0.3">
      <c r="A318" t="s">
        <v>830</v>
      </c>
      <c r="B318" s="4" cm="1">
        <f t="array" ref="B318">_xll.SNL.Clients.Office.Excel.Functions.SPG(A318, "SP_TOTAL_REV", "CY2023")</f>
        <v>16181000</v>
      </c>
      <c r="C318" s="4">
        <f>_xll.SNL.Clients.Office.Excel.Functions.SPG(A318,"IQ_AVG_DILUT_SHARES_OUT","CY2023")</f>
        <v>1095500000</v>
      </c>
      <c r="D318" s="5">
        <f>_xll.SNL.Clients.Office.Excel.Functions.SPG(A318, "IQ_DILUT_EPS_NORM", "CY2023")</f>
        <v>-3.609</v>
      </c>
      <c r="E318">
        <f t="shared" si="24"/>
        <v>-3953659.5</v>
      </c>
      <c r="F318">
        <f t="shared" si="25"/>
        <v>-0.24433962672269946</v>
      </c>
      <c r="G318" t="s">
        <v>830</v>
      </c>
      <c r="H318" s="4" cm="1">
        <f t="array" ref="H318">_xll.SNL.Clients.Office.Excel.Functions.SPG(G318, "SP_TOTAL_REV", "CY2022")</f>
        <v>27156000</v>
      </c>
      <c r="I318" s="4">
        <f>_xll.SNL.Clients.Office.Excel.Functions.SPG(G318,"IQ_AVG_DILUT_SHARES_OUT","CY2022")</f>
        <v>1112000000</v>
      </c>
      <c r="J318" s="5">
        <f>_xll.SNL.Clients.Office.Excel.Functions.SPG(G318, "IQ_DILUT_EPS_NORM", "CY2022")</f>
        <v>3.839</v>
      </c>
      <c r="K318">
        <f t="shared" si="26"/>
        <v>4268968</v>
      </c>
      <c r="L318">
        <f t="shared" si="27"/>
        <v>0.15720164972750036</v>
      </c>
      <c r="M318" t="s">
        <v>841</v>
      </c>
      <c r="N318" s="4" cm="1">
        <f t="array" ref="N318">_xll.SNL.Clients.Office.Excel.Functions.SPG(M318, "SP_TOTAL_REV", "CY2022")</f>
        <v>53668000</v>
      </c>
      <c r="O318" s="4">
        <f>_xll.SNL.Clients.Office.Excel.Functions.SPG(M318,"IQ_AVG_DILUT_SHARES_OUT","CY2022")</f>
        <v>1713000000</v>
      </c>
      <c r="P318" s="5">
        <f>_xll.SNL.Clients.Office.Excel.Functions.SPG(M318, "IQ_DILUT_EPS_NORM", "CY2022")</f>
        <v>5.0590000000000002</v>
      </c>
      <c r="Q318">
        <f t="shared" si="28"/>
        <v>8666067</v>
      </c>
      <c r="R318">
        <f t="shared" si="29"/>
        <v>0.16147549750316761</v>
      </c>
    </row>
    <row r="319" spans="1:18" x14ac:dyDescent="0.3">
      <c r="A319" t="s">
        <v>831</v>
      </c>
      <c r="B319" s="4" cm="1">
        <f t="array" ref="B319">_xll.SNL.Clients.Office.Excel.Functions.SPG(A319, "SP_TOTAL_REV", "CY2023")</f>
        <v>227583000</v>
      </c>
      <c r="C319" s="4">
        <f>_xll.SNL.Clients.Office.Excel.Functions.SPG(A319,"IQ_AVG_DILUT_SHARES_OUT","CY2023")</f>
        <v>7465000000</v>
      </c>
      <c r="D319" s="5" t="str">
        <f>_xll.SNL.Clients.Office.Excel.Functions.SPG(A319, "IQ_DILUT_EPS_NORM", "CY2023")</f>
        <v>NA</v>
      </c>
      <c r="E319" t="e">
        <f t="shared" si="24"/>
        <v>#VALUE!</v>
      </c>
      <c r="F319" t="e">
        <f t="shared" si="25"/>
        <v>#VALUE!</v>
      </c>
      <c r="G319" t="s">
        <v>831</v>
      </c>
      <c r="H319" s="4" cm="1">
        <f t="array" ref="H319">_xll.SNL.Clients.Office.Excel.Functions.SPG(G319, "SP_TOTAL_REV", "CY2022")</f>
        <v>204094000</v>
      </c>
      <c r="I319" s="4">
        <f>_xll.SNL.Clients.Office.Excel.Functions.SPG(G319,"IQ_AVG_DILUT_SHARES_OUT","CY2022")</f>
        <v>7499000000</v>
      </c>
      <c r="J319" s="5" t="str">
        <f>_xll.SNL.Clients.Office.Excel.Functions.SPG(G319, "IQ_DILUT_EPS_NORM", "CY2022")</f>
        <v>NA</v>
      </c>
      <c r="K319" t="e">
        <f t="shared" si="26"/>
        <v>#VALUE!</v>
      </c>
      <c r="L319" t="e">
        <f t="shared" si="27"/>
        <v>#VALUE!</v>
      </c>
      <c r="M319" t="s">
        <v>842</v>
      </c>
      <c r="N319" s="4" cm="1">
        <f t="array" ref="N319">_xll.SNL.Clients.Office.Excel.Functions.SPG(M319, "SP_TOTAL_REV", "CY2022")</f>
        <v>19125200</v>
      </c>
      <c r="O319" s="4">
        <f>_xll.SNL.Clients.Office.Excel.Functions.SPG(M319,"IQ_AVG_DILUT_SHARES_OUT","CY2022")</f>
        <v>356000000</v>
      </c>
      <c r="P319" s="5">
        <f>_xll.SNL.Clients.Office.Excel.Functions.SPG(M319, "IQ_DILUT_EPS_NORM", "CY2022")</f>
        <v>8.5609999999999999</v>
      </c>
      <c r="Q319">
        <f t="shared" si="28"/>
        <v>3047716</v>
      </c>
      <c r="R319">
        <f t="shared" si="29"/>
        <v>0.15935603287808756</v>
      </c>
    </row>
    <row r="320" spans="1:18" x14ac:dyDescent="0.3">
      <c r="A320" t="s">
        <v>832</v>
      </c>
      <c r="B320" s="4" cm="1">
        <f t="array" ref="B320">_xll.SNL.Clients.Office.Excel.Functions.SPG(A320, "SP_TOTAL_REV", "CY2023")</f>
        <v>2174952</v>
      </c>
      <c r="C320" s="4">
        <f>_xll.SNL.Clients.Office.Excel.Functions.SPG(A320,"IQ_AVG_DILUT_SHARES_OUT","CY2023")</f>
        <v>116645000</v>
      </c>
      <c r="D320" s="5">
        <f>_xll.SNL.Clients.Office.Excel.Functions.SPG(A320, "IQ_DILUT_EPS_NORM", "CY2023")</f>
        <v>2.8959999999999999</v>
      </c>
      <c r="E320">
        <f t="shared" si="24"/>
        <v>337803.92</v>
      </c>
      <c r="F320">
        <f t="shared" si="25"/>
        <v>0.1553155747805009</v>
      </c>
      <c r="G320" t="s">
        <v>832</v>
      </c>
      <c r="H320" s="4" cm="1">
        <f t="array" ref="H320">_xll.SNL.Clients.Office.Excel.Functions.SPG(G320, "SP_TOTAL_REV", "CY2022")</f>
        <v>1967959</v>
      </c>
      <c r="I320" s="4">
        <f>_xll.SNL.Clients.Office.Excel.Functions.SPG(G320,"IQ_AVG_DILUT_SHARES_OUT","CY2022")</f>
        <v>115583000</v>
      </c>
      <c r="J320" s="5">
        <f>_xll.SNL.Clients.Office.Excel.Functions.SPG(G320, "IQ_DILUT_EPS_NORM", "CY2022")</f>
        <v>2.3239999999999998</v>
      </c>
      <c r="K320">
        <f t="shared" si="26"/>
        <v>268614.89199999999</v>
      </c>
      <c r="L320">
        <f t="shared" si="27"/>
        <v>0.13649415053870531</v>
      </c>
      <c r="M320" t="s">
        <v>843</v>
      </c>
      <c r="N320" s="4" cm="1">
        <f t="array" ref="N320">_xll.SNL.Clients.Office.Excel.Functions.SPG(M320, "SP_TOTAL_REV", "CY2022")</f>
        <v>9112000</v>
      </c>
      <c r="O320" s="4">
        <f>_xll.SNL.Clients.Office.Excel.Functions.SPG(M320,"IQ_AVG_DILUT_SHARES_OUT","CY2022")</f>
        <v>171900000</v>
      </c>
      <c r="P320" s="5">
        <f>_xll.SNL.Clients.Office.Excel.Functions.SPG(M320, "IQ_DILUT_EPS_NORM", "CY2022")</f>
        <v>6.4409999999999998</v>
      </c>
      <c r="Q320">
        <f t="shared" si="28"/>
        <v>1107207.8999999999</v>
      </c>
      <c r="R320">
        <f t="shared" si="29"/>
        <v>0.12151096356453028</v>
      </c>
    </row>
    <row r="321" spans="1:18" x14ac:dyDescent="0.3">
      <c r="A321" t="s">
        <v>833</v>
      </c>
      <c r="B321" s="4" cm="1">
        <f t="array" ref="B321">_xll.SNL.Clients.Office.Excel.Functions.SPG(A321, "SP_TOTAL_REV", "CY2023")</f>
        <v>6848000</v>
      </c>
      <c r="C321" s="4">
        <f>_xll.SNL.Clients.Office.Excel.Functions.SPG(A321,"IQ_AVG_DILUT_SHARES_OUT","CY2023")</f>
        <v>382000000</v>
      </c>
      <c r="D321" s="5">
        <f>_xll.SNL.Clients.Office.Excel.Functions.SPG(A321, "IQ_DILUT_EPS_NORM", "CY2023")</f>
        <v>-6.3319999999999999</v>
      </c>
      <c r="E321">
        <f t="shared" si="24"/>
        <v>-2418824</v>
      </c>
      <c r="F321">
        <f t="shared" si="25"/>
        <v>-0.35321612149532711</v>
      </c>
      <c r="G321" t="s">
        <v>833</v>
      </c>
      <c r="H321" s="4" cm="1">
        <f t="array" ref="H321">_xll.SNL.Clients.Office.Excel.Functions.SPG(G321, "SP_TOTAL_REV", "CY2022")</f>
        <v>19263000</v>
      </c>
      <c r="I321" s="4">
        <f>_xll.SNL.Clients.Office.Excel.Functions.SPG(G321,"IQ_AVG_DILUT_SHARES_OUT","CY2022")</f>
        <v>416000000</v>
      </c>
      <c r="J321" s="5">
        <f>_xll.SNL.Clients.Office.Excel.Functions.SPG(G321, "IQ_DILUT_EPS_NORM", "CY2022")</f>
        <v>14.416</v>
      </c>
      <c r="K321">
        <f t="shared" si="26"/>
        <v>5997056</v>
      </c>
      <c r="L321">
        <f t="shared" si="27"/>
        <v>0.3113251310803094</v>
      </c>
      <c r="M321" t="s">
        <v>844</v>
      </c>
      <c r="N321" s="4" cm="1">
        <f t="array" ref="N321">_xll.SNL.Clients.Office.Excel.Functions.SPG(M321, "SP_TOTAL_REV", "CY2022")</f>
        <v>2248598</v>
      </c>
      <c r="O321" s="4">
        <f>_xll.SNL.Clients.Office.Excel.Functions.SPG(M321,"IQ_AVG_DILUT_SHARES_OUT","CY2022")</f>
        <v>81215000</v>
      </c>
      <c r="P321" s="5">
        <f>_xll.SNL.Clients.Office.Excel.Functions.SPG(M321, "IQ_DILUT_EPS_NORM", "CY2022")</f>
        <v>8.07</v>
      </c>
      <c r="Q321">
        <f t="shared" si="28"/>
        <v>655405.05000000005</v>
      </c>
      <c r="R321">
        <f t="shared" si="29"/>
        <v>0.29147275324446614</v>
      </c>
    </row>
    <row r="322" spans="1:18" x14ac:dyDescent="0.3">
      <c r="A322" t="s">
        <v>834</v>
      </c>
      <c r="B322" s="4" cm="1">
        <f t="array" ref="B322">_xll.SNL.Clients.Office.Excel.Functions.SPG(A322, "SP_TOTAL_REV", "CY2023")</f>
        <v>11135115</v>
      </c>
      <c r="C322" s="4">
        <f>_xll.SNL.Clients.Office.Excel.Functions.SPG(A322,"IQ_AVG_DILUT_SHARES_OUT","CY2023")</f>
        <v>63657000</v>
      </c>
      <c r="D322" s="5">
        <f>_xll.SNL.Clients.Office.Excel.Functions.SPG(A322, "IQ_DILUT_EPS_NORM", "CY2023")</f>
        <v>7.3330000000000002</v>
      </c>
      <c r="E322">
        <f t="shared" si="24"/>
        <v>466796.78100000002</v>
      </c>
      <c r="F322">
        <f t="shared" si="25"/>
        <v>4.1921145942363416E-2</v>
      </c>
      <c r="G322" t="s">
        <v>834</v>
      </c>
      <c r="H322" s="4" cm="1">
        <f t="array" ref="H322">_xll.SNL.Clients.Office.Excel.Functions.SPG(G322, "SP_TOTAL_REV", "CY2022")</f>
        <v>11737065</v>
      </c>
      <c r="I322" s="4">
        <f>_xll.SNL.Clients.Office.Excel.Functions.SPG(G322,"IQ_AVG_DILUT_SHARES_OUT","CY2022")</f>
        <v>64062000</v>
      </c>
      <c r="J322" s="5">
        <f>_xll.SNL.Clients.Office.Excel.Functions.SPG(G322, "IQ_DILUT_EPS_NORM", "CY2022")</f>
        <v>9.9990000000000006</v>
      </c>
      <c r="K322">
        <f t="shared" si="26"/>
        <v>640555.93799999997</v>
      </c>
      <c r="L322">
        <f t="shared" si="27"/>
        <v>5.4575478452236564E-2</v>
      </c>
      <c r="M322" t="s">
        <v>845</v>
      </c>
      <c r="N322" s="4" cm="1">
        <f t="array" ref="N322">_xll.SNL.Clients.Office.Excel.Functions.SPG(M322, "SP_TOTAL_REV", "CY2022")</f>
        <v>6226000</v>
      </c>
      <c r="O322" s="4">
        <f>_xll.SNL.Clients.Office.Excel.Functions.SPG(M322,"IQ_AVG_DILUT_SHARES_OUT","CY2022")</f>
        <v>497857565</v>
      </c>
      <c r="P322" s="5">
        <f>_xll.SNL.Clients.Office.Excel.Functions.SPG(M322, "IQ_DILUT_EPS_NORM", "CY2022")</f>
        <v>1.9750000000000001</v>
      </c>
      <c r="Q322">
        <f t="shared" si="28"/>
        <v>983268.69087499997</v>
      </c>
      <c r="R322">
        <f t="shared" si="29"/>
        <v>0.15792943958801797</v>
      </c>
    </row>
    <row r="323" spans="1:18" x14ac:dyDescent="0.3">
      <c r="A323" t="s">
        <v>835</v>
      </c>
      <c r="B323" s="4" cm="1">
        <f t="array" ref="B323">_xll.SNL.Clients.Office.Excel.Functions.SPG(A323, "SP_TOTAL_REV", "CY2023")</f>
        <v>34072000</v>
      </c>
      <c r="C323" s="4">
        <f>_xll.SNL.Clients.Office.Excel.Functions.SPG(A323,"IQ_AVG_DILUT_SHARES_OUT","CY2023")</f>
        <v>58100000</v>
      </c>
      <c r="D323" s="5">
        <f>_xll.SNL.Clients.Office.Excel.Functions.SPG(A323, "IQ_DILUT_EPS_NORM", "CY2023")</f>
        <v>16.233000000000001</v>
      </c>
      <c r="E323">
        <f t="shared" si="24"/>
        <v>943137.3</v>
      </c>
      <c r="F323">
        <f t="shared" si="25"/>
        <v>2.7680714369570324E-2</v>
      </c>
      <c r="G323" t="s">
        <v>835</v>
      </c>
      <c r="H323" s="4" cm="1">
        <f t="array" ref="H323">_xll.SNL.Clients.Office.Excel.Functions.SPG(G323, "SP_TOTAL_REV", "CY2022")</f>
        <v>31974000</v>
      </c>
      <c r="I323" s="4">
        <f>_xll.SNL.Clients.Office.Excel.Functions.SPG(G323,"IQ_AVG_DILUT_SHARES_OUT","CY2022")</f>
        <v>58500000</v>
      </c>
      <c r="J323" s="5">
        <f>_xll.SNL.Clients.Office.Excel.Functions.SPG(G323, "IQ_DILUT_EPS_NORM", "CY2022")</f>
        <v>13.622</v>
      </c>
      <c r="K323">
        <f t="shared" si="26"/>
        <v>796887</v>
      </c>
      <c r="L323">
        <f t="shared" si="27"/>
        <v>2.4922968662037907E-2</v>
      </c>
      <c r="M323" t="s">
        <v>846</v>
      </c>
      <c r="N323" s="4" cm="1">
        <f t="array" ref="N323">_xll.SNL.Clients.Office.Excel.Functions.SPG(M323, "SP_TOTAL_REV", "CY2022")</f>
        <v>6461000</v>
      </c>
      <c r="O323" s="4">
        <f>_xll.SNL.Clients.Office.Excel.Functions.SPG(M323,"IQ_AVG_DILUT_SHARES_OUT","CY2022")</f>
        <v>223000000</v>
      </c>
      <c r="P323" s="5">
        <f>_xll.SNL.Clients.Office.Excel.Functions.SPG(M323, "IQ_DILUT_EPS_NORM", "CY2022")</f>
        <v>3.22</v>
      </c>
      <c r="Q323">
        <f t="shared" si="28"/>
        <v>718060</v>
      </c>
      <c r="R323">
        <f t="shared" si="29"/>
        <v>0.11113759479956663</v>
      </c>
    </row>
    <row r="324" spans="1:18" x14ac:dyDescent="0.3">
      <c r="A324" t="s">
        <v>836</v>
      </c>
      <c r="B324" s="4" cm="1">
        <f t="array" ref="B324">_xll.SNL.Clients.Office.Excel.Functions.SPG(A324, "SP_TOTAL_REV", "CY2023")</f>
        <v>11702100</v>
      </c>
      <c r="C324" s="4">
        <f>_xll.SNL.Clients.Office.Excel.Functions.SPG(A324,"IQ_AVG_DILUT_SHARES_OUT","CY2023")</f>
        <v>217300000</v>
      </c>
      <c r="D324" s="5">
        <f>_xll.SNL.Clients.Office.Excel.Functions.SPG(A324, "IQ_DILUT_EPS_NORM", "CY2023")</f>
        <v>4.0359999999999996</v>
      </c>
      <c r="E324">
        <f t="shared" si="24"/>
        <v>877022.79999999993</v>
      </c>
      <c r="F324">
        <f t="shared" si="25"/>
        <v>7.4945761871800784E-2</v>
      </c>
      <c r="G324" t="s">
        <v>836</v>
      </c>
      <c r="H324" s="4" cm="1">
        <f t="array" ref="H324">_xll.SNL.Clients.Office.Excel.Functions.SPG(G324, "SP_TOTAL_REV", "CY2022")</f>
        <v>10701000</v>
      </c>
      <c r="I324" s="4">
        <f>_xll.SNL.Clients.Office.Excel.Functions.SPG(G324,"IQ_AVG_DILUT_SHARES_OUT","CY2022")</f>
        <v>216900000</v>
      </c>
      <c r="J324" s="5">
        <f>_xll.SNL.Clients.Office.Excel.Functions.SPG(G324, "IQ_DILUT_EPS_NORM", "CY2022")</f>
        <v>2.581</v>
      </c>
      <c r="K324">
        <f t="shared" si="26"/>
        <v>559818.9</v>
      </c>
      <c r="L324">
        <f t="shared" si="27"/>
        <v>5.2314634146341465E-2</v>
      </c>
      <c r="M324" t="s">
        <v>847</v>
      </c>
      <c r="N324" s="4" cm="1">
        <f t="array" ref="N324">_xll.SNL.Clients.Office.Excel.Functions.SPG(M324, "SP_TOTAL_REV", "CY2022")</f>
        <v>31615550</v>
      </c>
      <c r="O324" s="4">
        <f>_xll.SNL.Clients.Office.Excel.Functions.SPG(M324,"IQ_AVG_DILUT_SHARES_OUT","CY2022")</f>
        <v>451290000</v>
      </c>
      <c r="P324" s="5">
        <f>_xll.SNL.Clients.Office.Excel.Functions.SPG(M324, "IQ_DILUT_EPS_NORM", "CY2022")</f>
        <v>7.29</v>
      </c>
      <c r="Q324">
        <f t="shared" si="28"/>
        <v>3289904.1</v>
      </c>
      <c r="R324">
        <f t="shared" si="29"/>
        <v>0.10405968265616129</v>
      </c>
    </row>
    <row r="325" spans="1:18" x14ac:dyDescent="0.3">
      <c r="A325" t="s">
        <v>837</v>
      </c>
      <c r="B325" s="4" cm="1">
        <f t="array" ref="B325">_xll.SNL.Clients.Office.Excel.Functions.SPG(A325, "SP_TOTAL_REV", "CY2023")</f>
        <v>36016000</v>
      </c>
      <c r="C325" s="4">
        <f>_xll.SNL.Clients.Office.Excel.Functions.SPG(A325,"IQ_AVG_DILUT_SHARES_OUT","CY2023")</f>
        <v>1370000000</v>
      </c>
      <c r="D325" s="5">
        <f>_xll.SNL.Clients.Office.Excel.Functions.SPG(A325, "IQ_DILUT_EPS_NORM", "CY2023")</f>
        <v>2.6539999999999999</v>
      </c>
      <c r="E325">
        <f t="shared" ref="E325:E388" si="30">C325*D325/1000</f>
        <v>3635980</v>
      </c>
      <c r="F325">
        <f t="shared" ref="F325:F388" si="31">E325/B325</f>
        <v>0.10095457574411373</v>
      </c>
      <c r="G325" t="s">
        <v>837</v>
      </c>
      <c r="H325" s="4" cm="1">
        <f t="array" ref="H325">_xll.SNL.Clients.Office.Excel.Functions.SPG(G325, "SP_TOTAL_REV", "CY2022")</f>
        <v>31496000</v>
      </c>
      <c r="I325" s="4">
        <f>_xll.SNL.Clients.Office.Excel.Functions.SPG(G325,"IQ_AVG_DILUT_SHARES_OUT","CY2022")</f>
        <v>1385000000</v>
      </c>
      <c r="J325" s="5">
        <f>_xll.SNL.Clients.Office.Excel.Functions.SPG(G325, "IQ_DILUT_EPS_NORM", "CY2022")</f>
        <v>2.1739999999999999</v>
      </c>
      <c r="K325">
        <f t="shared" ref="K325:K388" si="32">I325*J325/1000</f>
        <v>3010990</v>
      </c>
      <c r="L325">
        <f t="shared" ref="L325:L388" si="33">K325/H325</f>
        <v>9.5599123698247399E-2</v>
      </c>
      <c r="M325" t="s">
        <v>848</v>
      </c>
      <c r="N325" s="4" cm="1">
        <f t="array" ref="N325">_xll.SNL.Clients.Office.Excel.Functions.SPG(M325, "SP_TOTAL_REV", "CY2022")</f>
        <v>11915000</v>
      </c>
      <c r="O325" s="4">
        <f>_xll.SNL.Clients.Office.Excel.Functions.SPG(M325,"IQ_AVG_DILUT_SHARES_OUT","CY2022")</f>
        <v>795000000</v>
      </c>
      <c r="P325" s="5">
        <f>_xll.SNL.Clients.Office.Excel.Functions.SPG(M325, "IQ_DILUT_EPS_NORM", "CY2022")</f>
        <v>1.1619999999999999</v>
      </c>
      <c r="Q325">
        <f t="shared" ref="Q325:Q388" si="34">O325*P325/1000</f>
        <v>923789.99999999988</v>
      </c>
      <c r="R325">
        <f t="shared" ref="R325:R388" si="35">Q325/N325</f>
        <v>7.7531682752832551E-2</v>
      </c>
    </row>
    <row r="326" spans="1:18" x14ac:dyDescent="0.3">
      <c r="A326" t="s">
        <v>838</v>
      </c>
      <c r="B326" s="4" cm="1">
        <f t="array" ref="B326">_xll.SNL.Clients.Office.Excel.Functions.SPG(A326, "SP_TOTAL_REV", "CY2023")</f>
        <v>1821072</v>
      </c>
      <c r="C326" s="4">
        <f>_xll.SNL.Clients.Office.Excel.Functions.SPG(A326,"IQ_AVG_DILUT_SHARES_OUT","CY2023")</f>
        <v>48771000</v>
      </c>
      <c r="D326" s="5">
        <f>_xll.SNL.Clients.Office.Excel.Functions.SPG(A326, "IQ_DILUT_EPS_NORM", "CY2023")</f>
        <v>6.3959999999999999</v>
      </c>
      <c r="E326">
        <f t="shared" si="30"/>
        <v>311939.31599999999</v>
      </c>
      <c r="F326">
        <f t="shared" si="31"/>
        <v>0.17129433432615515</v>
      </c>
      <c r="G326" t="s">
        <v>838</v>
      </c>
      <c r="H326" s="4" cm="1">
        <f t="array" ref="H326">_xll.SNL.Clients.Office.Excel.Functions.SPG(G326, "SP_TOTAL_REV", "CY2022")</f>
        <v>1794148</v>
      </c>
      <c r="I326" s="4">
        <f>_xll.SNL.Clients.Office.Excel.Functions.SPG(G326,"IQ_AVG_DILUT_SHARES_OUT","CY2022")</f>
        <v>48358000</v>
      </c>
      <c r="J326" s="5">
        <f>_xll.SNL.Clients.Office.Excel.Functions.SPG(G326, "IQ_DILUT_EPS_NORM", "CY2022")</f>
        <v>6.84</v>
      </c>
      <c r="K326">
        <f t="shared" si="32"/>
        <v>330768.71999999997</v>
      </c>
      <c r="L326">
        <f t="shared" si="33"/>
        <v>0.18435977411005111</v>
      </c>
      <c r="M326" t="s">
        <v>849</v>
      </c>
      <c r="N326" s="4" cm="1">
        <f t="array" ref="N326">_xll.SNL.Clients.Office.Excel.Functions.SPG(M326, "SP_TOTAL_REV", "CY2022")</f>
        <v>10165000</v>
      </c>
      <c r="O326" s="4">
        <f>_xll.SNL.Clients.Office.Excel.Functions.SPG(M326,"IQ_AVG_DILUT_SHARES_OUT","CY2022")</f>
        <v>585700000</v>
      </c>
      <c r="P326" s="5">
        <f>_xll.SNL.Clients.Office.Excel.Functions.SPG(M326, "IQ_DILUT_EPS_NORM", "CY2022")</f>
        <v>0.42</v>
      </c>
      <c r="Q326">
        <f t="shared" si="34"/>
        <v>245994</v>
      </c>
      <c r="R326">
        <f t="shared" si="35"/>
        <v>2.420009837678308E-2</v>
      </c>
    </row>
    <row r="327" spans="1:18" x14ac:dyDescent="0.3">
      <c r="A327" t="s">
        <v>839</v>
      </c>
      <c r="B327" s="4" cm="1">
        <f t="array" ref="B327">_xll.SNL.Clients.Office.Excel.Functions.SPG(A327, "SP_TOTAL_REV", "CY2023")</f>
        <v>7140027</v>
      </c>
      <c r="C327" s="4">
        <f>_xll.SNL.Clients.Office.Excel.Functions.SPG(A327,"IQ_AVG_DILUT_SHARES_OUT","CY2023")</f>
        <v>1057981000</v>
      </c>
      <c r="D327" s="5">
        <f>_xll.SNL.Clients.Office.Excel.Functions.SPG(A327, "IQ_DILUT_EPS_NORM", "CY2023")</f>
        <v>1.23</v>
      </c>
      <c r="E327">
        <f t="shared" si="30"/>
        <v>1301316.6299999999</v>
      </c>
      <c r="F327">
        <f t="shared" si="31"/>
        <v>0.18225654188702647</v>
      </c>
      <c r="G327" t="s">
        <v>839</v>
      </c>
      <c r="H327" s="4" cm="1">
        <f t="array" ref="H327">_xll.SNL.Clients.Office.Excel.Functions.SPG(G327, "SP_TOTAL_REV", "CY2022")</f>
        <v>6311050</v>
      </c>
      <c r="I327" s="4">
        <f>_xll.SNL.Clients.Office.Excel.Functions.SPG(G327,"IQ_AVG_DILUT_SHARES_OUT","CY2022")</f>
        <v>1066442000</v>
      </c>
      <c r="J327" s="5">
        <f>_xll.SNL.Clients.Office.Excel.Functions.SPG(G327, "IQ_DILUT_EPS_NORM", "CY2022")</f>
        <v>0.92100000000000004</v>
      </c>
      <c r="K327">
        <f t="shared" si="32"/>
        <v>982193.08200000005</v>
      </c>
      <c r="L327">
        <f t="shared" si="33"/>
        <v>0.15563069251550851</v>
      </c>
      <c r="M327" t="s">
        <v>850</v>
      </c>
      <c r="N327" s="4" t="str" cm="1">
        <f t="array" ref="N327">_xll.SNL.Clients.Office.Excel.Functions.SPG(M327, "SP_TOTAL_REV", "CY2022")</f>
        <v>#INVALID COMPANY ID</v>
      </c>
      <c r="O327" s="4" t="str">
        <f>_xll.SNL.Clients.Office.Excel.Functions.SPG(M327,"IQ_AVG_DILUT_SHARES_OUT","CY2022")</f>
        <v>#INVALID COMPANY ID</v>
      </c>
      <c r="P327" s="5" t="str">
        <f>_xll.SNL.Clients.Office.Excel.Functions.SPG(M327, "IQ_DILUT_EPS_NORM", "CY2022")</f>
        <v>#INVALID COMPANY ID</v>
      </c>
      <c r="Q327" t="e">
        <f t="shared" si="34"/>
        <v>#VALUE!</v>
      </c>
      <c r="R327" t="e">
        <f t="shared" si="35"/>
        <v>#VALUE!</v>
      </c>
    </row>
    <row r="328" spans="1:18" x14ac:dyDescent="0.3">
      <c r="A328" t="s">
        <v>840</v>
      </c>
      <c r="B328" s="4" cm="1">
        <f t="array" ref="B328">_xll.SNL.Clients.Office.Excel.Functions.SPG(A328, "SP_TOTAL_REV", "CY2023")</f>
        <v>5916000</v>
      </c>
      <c r="C328" s="4">
        <f>_xll.SNL.Clients.Office.Excel.Functions.SPG(A328,"IQ_AVG_DILUT_SHARES_OUT","CY2023")</f>
        <v>184000000</v>
      </c>
      <c r="D328" s="5">
        <f>_xll.SNL.Clients.Office.Excel.Functions.SPG(A328, "IQ_DILUT_EPS_NORM", "CY2023")</f>
        <v>6.8150000000000004</v>
      </c>
      <c r="E328">
        <f t="shared" si="30"/>
        <v>1253960</v>
      </c>
      <c r="F328">
        <f t="shared" si="31"/>
        <v>0.2119607843137255</v>
      </c>
      <c r="G328" t="s">
        <v>840</v>
      </c>
      <c r="H328" s="4" cm="1">
        <f t="array" ref="H328">_xll.SNL.Clients.Office.Excel.Functions.SPG(G328, "SP_TOTAL_REV", "CY2022")</f>
        <v>5468000</v>
      </c>
      <c r="I328" s="4">
        <f>_xll.SNL.Clients.Office.Excel.Functions.SPG(G328,"IQ_AVG_DILUT_SHARES_OUT","CY2022")</f>
        <v>184700000</v>
      </c>
      <c r="J328" s="5">
        <f>_xll.SNL.Clients.Office.Excel.Functions.SPG(G328, "IQ_DILUT_EPS_NORM", "CY2022")</f>
        <v>6.1520000000000001</v>
      </c>
      <c r="K328">
        <f t="shared" si="32"/>
        <v>1136274.3999999999</v>
      </c>
      <c r="L328">
        <f t="shared" si="33"/>
        <v>0.20780438917337232</v>
      </c>
      <c r="M328" t="s">
        <v>851</v>
      </c>
      <c r="N328" s="4" cm="1">
        <f t="array" ref="N328">_xll.SNL.Clients.Office.Excel.Functions.SPG(M328, "SP_TOTAL_REV", "CY2022")</f>
        <v>20956000</v>
      </c>
      <c r="O328" s="4">
        <f>_xll.SNL.Clients.Office.Excel.Functions.SPG(M328,"IQ_AVG_DILUT_SHARES_OUT","CY2022")</f>
        <v>1978600000</v>
      </c>
      <c r="P328" s="5">
        <f>_xll.SNL.Clients.Office.Excel.Functions.SPG(M328, "IQ_DILUT_EPS_NORM", "CY2022")</f>
        <v>1.657</v>
      </c>
      <c r="Q328">
        <f t="shared" si="34"/>
        <v>3278540.2</v>
      </c>
      <c r="R328">
        <f t="shared" si="35"/>
        <v>0.15644875930521093</v>
      </c>
    </row>
    <row r="329" spans="1:18" x14ac:dyDescent="0.3">
      <c r="A329" t="s">
        <v>841</v>
      </c>
      <c r="B329" s="4" cm="1">
        <f t="array" ref="B329">_xll.SNL.Clients.Office.Excel.Functions.SPG(A329, "SP_TOTAL_REV", "CY2023")</f>
        <v>54143000</v>
      </c>
      <c r="C329" s="4">
        <f>_xll.SNL.Clients.Office.Excel.Functions.SPG(A329,"IQ_AVG_DILUT_SHARES_OUT","CY2023")</f>
        <v>1646000000</v>
      </c>
      <c r="D329" s="5">
        <f>_xll.SNL.Clients.Office.Excel.Functions.SPG(A329, "IQ_DILUT_EPS_NORM", "CY2023")</f>
        <v>4.6440000000000001</v>
      </c>
      <c r="E329">
        <f t="shared" si="30"/>
        <v>7644024</v>
      </c>
      <c r="F329">
        <f t="shared" si="31"/>
        <v>0.141182128807048</v>
      </c>
      <c r="G329" t="s">
        <v>841</v>
      </c>
      <c r="H329" s="4" cm="1">
        <f t="array" ref="H329">_xll.SNL.Clients.Office.Excel.Functions.SPG(G329, "SP_TOTAL_REV", "CY2022")</f>
        <v>53668000</v>
      </c>
      <c r="I329" s="4">
        <f>_xll.SNL.Clients.Office.Excel.Functions.SPG(G329,"IQ_AVG_DILUT_SHARES_OUT","CY2022")</f>
        <v>1713000000</v>
      </c>
      <c r="J329" s="5">
        <f>_xll.SNL.Clients.Office.Excel.Functions.SPG(G329, "IQ_DILUT_EPS_NORM", "CY2022")</f>
        <v>5.0590000000000002</v>
      </c>
      <c r="K329">
        <f t="shared" si="32"/>
        <v>8666067</v>
      </c>
      <c r="L329">
        <f t="shared" si="33"/>
        <v>0.16147549750316761</v>
      </c>
      <c r="M329" t="s">
        <v>852</v>
      </c>
      <c r="N329" s="4" cm="1">
        <f t="array" ref="N329">_xll.SNL.Clients.Office.Excel.Functions.SPG(M329, "SP_TOTAL_REV", "CY2022")</f>
        <v>49107000</v>
      </c>
      <c r="O329" s="4">
        <f>_xll.SNL.Clients.Office.Excel.Functions.SPG(M329,"IQ_AVG_DILUT_SHARES_OUT","CY2022")</f>
        <v>1591100000</v>
      </c>
      <c r="P329" s="5">
        <f>_xll.SNL.Clients.Office.Excel.Functions.SPG(M329, "IQ_DILUT_EPS_NORM", "CY2022")</f>
        <v>2.6</v>
      </c>
      <c r="Q329">
        <f t="shared" si="34"/>
        <v>4136860</v>
      </c>
      <c r="R329">
        <f t="shared" si="35"/>
        <v>8.4241757794204494E-2</v>
      </c>
    </row>
    <row r="330" spans="1:18" x14ac:dyDescent="0.3">
      <c r="A330" t="s">
        <v>842</v>
      </c>
      <c r="B330" s="4" cm="1">
        <f t="array" ref="B330">_xll.SNL.Clients.Office.Excel.Functions.SPG(A330, "SP_TOTAL_REV", "CY2023")</f>
        <v>13696100</v>
      </c>
      <c r="C330" s="4">
        <f>_xll.SNL.Clients.Office.Excel.Functions.SPG(A330,"IQ_AVG_DILUT_SHARES_OUT","CY2023")</f>
        <v>333200000</v>
      </c>
      <c r="D330" s="5">
        <f>_xll.SNL.Clients.Office.Excel.Functions.SPG(A330, "IQ_DILUT_EPS_NORM", "CY2023")</f>
        <v>2.4750000000000001</v>
      </c>
      <c r="E330">
        <f t="shared" si="30"/>
        <v>824670</v>
      </c>
      <c r="F330">
        <f t="shared" si="31"/>
        <v>6.0212031162155649E-2</v>
      </c>
      <c r="G330" t="s">
        <v>842</v>
      </c>
      <c r="H330" s="4" cm="1">
        <f t="array" ref="H330">_xll.SNL.Clients.Office.Excel.Functions.SPG(G330, "SP_TOTAL_REV", "CY2022")</f>
        <v>19125200</v>
      </c>
      <c r="I330" s="4">
        <f>_xll.SNL.Clients.Office.Excel.Functions.SPG(G330,"IQ_AVG_DILUT_SHARES_OUT","CY2022")</f>
        <v>356000000</v>
      </c>
      <c r="J330" s="5">
        <f>_xll.SNL.Clients.Office.Excel.Functions.SPG(G330, "IQ_DILUT_EPS_NORM", "CY2022")</f>
        <v>8.5609999999999999</v>
      </c>
      <c r="K330">
        <f t="shared" si="32"/>
        <v>3047716</v>
      </c>
      <c r="L330">
        <f t="shared" si="33"/>
        <v>0.15935603287808756</v>
      </c>
      <c r="M330" t="s">
        <v>4</v>
      </c>
      <c r="N330" s="4" cm="1">
        <f t="array" ref="N330">_xll.SNL.Clients.Office.Excel.Functions.SPG(M330, "SP_TOTAL_REV", "CY2022")</f>
        <v>5850600</v>
      </c>
      <c r="O330" s="4">
        <f>_xll.SNL.Clients.Office.Excel.Functions.SPG(M330,"IQ_AVG_DILUT_SHARES_OUT","CY2022")</f>
        <v>442700000</v>
      </c>
      <c r="P330" s="5">
        <f>_xll.SNL.Clients.Office.Excel.Functions.SPG(M330, "IQ_DILUT_EPS_NORM", "CY2022")</f>
        <v>1.2310000000000001</v>
      </c>
      <c r="Q330">
        <f t="shared" si="34"/>
        <v>544963.69999999995</v>
      </c>
      <c r="R330">
        <f t="shared" si="35"/>
        <v>9.314663453321026E-2</v>
      </c>
    </row>
    <row r="331" spans="1:18" x14ac:dyDescent="0.3">
      <c r="A331" t="s">
        <v>843</v>
      </c>
      <c r="B331" s="4" cm="1">
        <f t="array" ref="B331">_xll.SNL.Clients.Office.Excel.Functions.SPG(A331, "SP_TOTAL_REV", "CY2023")</f>
        <v>9978000</v>
      </c>
      <c r="C331" s="4">
        <f>_xll.SNL.Clients.Office.Excel.Functions.SPG(A331,"IQ_AVG_DILUT_SHARES_OUT","CY2023")</f>
        <v>172100000</v>
      </c>
      <c r="D331" s="5">
        <f>_xll.SNL.Clients.Office.Excel.Functions.SPG(A331, "IQ_DILUT_EPS_NORM", "CY2023")</f>
        <v>8.0399999999999991</v>
      </c>
      <c r="E331">
        <f t="shared" si="30"/>
        <v>1383683.9999999998</v>
      </c>
      <c r="F331">
        <f t="shared" si="31"/>
        <v>0.13867348165965121</v>
      </c>
      <c r="G331" t="s">
        <v>843</v>
      </c>
      <c r="H331" s="4" cm="1">
        <f t="array" ref="H331">_xll.SNL.Clients.Office.Excel.Functions.SPG(G331, "SP_TOTAL_REV", "CY2022")</f>
        <v>9112000</v>
      </c>
      <c r="I331" s="4">
        <f>_xll.SNL.Clients.Office.Excel.Functions.SPG(G331,"IQ_AVG_DILUT_SHARES_OUT","CY2022")</f>
        <v>171900000</v>
      </c>
      <c r="J331" s="5">
        <f>_xll.SNL.Clients.Office.Excel.Functions.SPG(G331, "IQ_DILUT_EPS_NORM", "CY2022")</f>
        <v>6.4409999999999998</v>
      </c>
      <c r="K331">
        <f t="shared" si="32"/>
        <v>1107207.8999999999</v>
      </c>
      <c r="L331">
        <f t="shared" si="33"/>
        <v>0.12151096356453028</v>
      </c>
      <c r="M331" t="s">
        <v>853</v>
      </c>
      <c r="N331" s="4" cm="1">
        <f t="array" ref="N331">_xll.SNL.Clients.Office.Excel.Functions.SPG(M331, "SP_TOTAL_REV", "CY2022")</f>
        <v>2591589</v>
      </c>
      <c r="O331" s="4">
        <f>_xll.SNL.Clients.Office.Excel.Functions.SPG(M331,"IQ_AVG_DILUT_SHARES_OUT","CY2022")</f>
        <v>57984750</v>
      </c>
      <c r="P331" s="5">
        <f>_xll.SNL.Clients.Office.Excel.Functions.SPG(M331, "IQ_DILUT_EPS_NORM", "CY2022")</f>
        <v>6.7729999999999997</v>
      </c>
      <c r="Q331">
        <f t="shared" si="34"/>
        <v>392730.71175000002</v>
      </c>
      <c r="R331">
        <f t="shared" si="35"/>
        <v>0.15154050729108667</v>
      </c>
    </row>
    <row r="332" spans="1:18" x14ac:dyDescent="0.3">
      <c r="A332" t="s">
        <v>844</v>
      </c>
      <c r="B332" s="4" cm="1">
        <f t="array" ref="B332">_xll.SNL.Clients.Office.Excel.Functions.SPG(A332, "SP_TOTAL_REV", "CY2023")</f>
        <v>2528920</v>
      </c>
      <c r="C332" s="4">
        <f>_xll.SNL.Clients.Office.Excel.Functions.SPG(A332,"IQ_AVG_DILUT_SHARES_OUT","CY2023")</f>
        <v>79843000</v>
      </c>
      <c r="D332" s="5">
        <f>_xll.SNL.Clients.Office.Excel.Functions.SPG(A332, "IQ_DILUT_EPS_NORM", "CY2023")</f>
        <v>9.6199999999999992</v>
      </c>
      <c r="E332">
        <f t="shared" si="30"/>
        <v>768089.65999999992</v>
      </c>
      <c r="F332">
        <f t="shared" si="31"/>
        <v>0.30372240323932742</v>
      </c>
      <c r="G332" t="s">
        <v>844</v>
      </c>
      <c r="H332" s="4" cm="1">
        <f t="array" ref="H332">_xll.SNL.Clients.Office.Excel.Functions.SPG(G332, "SP_TOTAL_REV", "CY2022")</f>
        <v>2248598</v>
      </c>
      <c r="I332" s="4">
        <f>_xll.SNL.Clients.Office.Excel.Functions.SPG(G332,"IQ_AVG_DILUT_SHARES_OUT","CY2022")</f>
        <v>81215000</v>
      </c>
      <c r="J332" s="5">
        <f>_xll.SNL.Clients.Office.Excel.Functions.SPG(G332, "IQ_DILUT_EPS_NORM", "CY2022")</f>
        <v>8.07</v>
      </c>
      <c r="K332">
        <f t="shared" si="32"/>
        <v>655405.05000000005</v>
      </c>
      <c r="L332">
        <f t="shared" si="33"/>
        <v>0.29147275324446614</v>
      </c>
      <c r="M332" t="s">
        <v>854</v>
      </c>
      <c r="N332" s="4" cm="1">
        <f t="array" ref="N332">_xll.SNL.Clients.Office.Excel.Functions.SPG(M332, "SP_TOTAL_REV", "CY2022")</f>
        <v>12745000</v>
      </c>
      <c r="O332" s="4">
        <f>_xll.SNL.Clients.Office.Excel.Functions.SPG(M332,"IQ_AVG_DILUT_SHARES_OUT","CY2022")</f>
        <v>235600000</v>
      </c>
      <c r="P332" s="5">
        <f>_xll.SNL.Clients.Office.Excel.Functions.SPG(M332, "IQ_DILUT_EPS_NORM", "CY2022")</f>
        <v>10.956</v>
      </c>
      <c r="Q332">
        <f t="shared" si="34"/>
        <v>2581233.6</v>
      </c>
      <c r="R332">
        <f t="shared" si="35"/>
        <v>0.20252911730090231</v>
      </c>
    </row>
    <row r="333" spans="1:18" x14ac:dyDescent="0.3">
      <c r="A333" t="s">
        <v>845</v>
      </c>
      <c r="B333" s="4" cm="1">
        <f t="array" ref="B333">_xll.SNL.Clients.Office.Excel.Functions.SPG(A333, "SP_TOTAL_REV", "CY2023")</f>
        <v>6064000</v>
      </c>
      <c r="C333" s="4">
        <f>_xll.SNL.Clients.Office.Excel.Functions.SPG(A333,"IQ_AVG_DILUT_SHARES_OUT","CY2023")</f>
        <v>508392982</v>
      </c>
      <c r="D333" s="5">
        <f>_xll.SNL.Clients.Office.Excel.Functions.SPG(A333, "IQ_DILUT_EPS_NORM", "CY2023")</f>
        <v>2.008</v>
      </c>
      <c r="E333">
        <f t="shared" si="30"/>
        <v>1020853.107856</v>
      </c>
      <c r="F333">
        <f t="shared" si="31"/>
        <v>0.16834648876253297</v>
      </c>
      <c r="G333" t="s">
        <v>845</v>
      </c>
      <c r="H333" s="4" cm="1">
        <f t="array" ref="H333">_xll.SNL.Clients.Office.Excel.Functions.SPG(G333, "SP_TOTAL_REV", "CY2022")</f>
        <v>6226000</v>
      </c>
      <c r="I333" s="4">
        <f>_xll.SNL.Clients.Office.Excel.Functions.SPG(G333,"IQ_AVG_DILUT_SHARES_OUT","CY2022")</f>
        <v>497857565</v>
      </c>
      <c r="J333" s="5">
        <f>_xll.SNL.Clients.Office.Excel.Functions.SPG(G333, "IQ_DILUT_EPS_NORM", "CY2022")</f>
        <v>1.9750000000000001</v>
      </c>
      <c r="K333">
        <f t="shared" si="32"/>
        <v>983268.69087499997</v>
      </c>
      <c r="L333">
        <f t="shared" si="33"/>
        <v>0.15792943958801797</v>
      </c>
      <c r="M333" t="s">
        <v>855</v>
      </c>
      <c r="N333" s="4" cm="1">
        <f t="array" ref="N333">_xll.SNL.Clients.Office.Excel.Functions.SPG(M333, "SP_TOTAL_REV", "CY2022")</f>
        <v>6749200</v>
      </c>
      <c r="O333" s="4">
        <f>_xll.SNL.Clients.Office.Excel.Functions.SPG(M333,"IQ_AVG_DILUT_SHARES_OUT","CY2022")</f>
        <v>208867264</v>
      </c>
      <c r="P333" s="5">
        <f>_xll.SNL.Clients.Office.Excel.Functions.SPG(M333, "IQ_DILUT_EPS_NORM", "CY2022")</f>
        <v>5.3760000000000003</v>
      </c>
      <c r="Q333">
        <f t="shared" si="34"/>
        <v>1122870.4112640002</v>
      </c>
      <c r="R333">
        <f t="shared" si="35"/>
        <v>0.16637089007052691</v>
      </c>
    </row>
    <row r="334" spans="1:18" x14ac:dyDescent="0.3">
      <c r="A334" t="s">
        <v>846</v>
      </c>
      <c r="B334" s="4" cm="1">
        <f t="array" ref="B334">_xll.SNL.Clients.Office.Excel.Functions.SPG(A334, "SP_TOTAL_REV", "CY2023")</f>
        <v>6181000</v>
      </c>
      <c r="C334" s="4">
        <f>_xll.SNL.Clients.Office.Excel.Functions.SPG(A334,"IQ_AVG_DILUT_SHARES_OUT","CY2023")</f>
        <v>214000000</v>
      </c>
      <c r="D334" s="5">
        <f>_xll.SNL.Clients.Office.Excel.Functions.SPG(A334, "IQ_DILUT_EPS_NORM", "CY2023")</f>
        <v>3.63</v>
      </c>
      <c r="E334">
        <f t="shared" si="30"/>
        <v>776820</v>
      </c>
      <c r="F334">
        <f t="shared" si="31"/>
        <v>0.12567869276816049</v>
      </c>
      <c r="G334" t="s">
        <v>846</v>
      </c>
      <c r="H334" s="4" cm="1">
        <f t="array" ref="H334">_xll.SNL.Clients.Office.Excel.Functions.SPG(G334, "SP_TOTAL_REV", "CY2022")</f>
        <v>6461000</v>
      </c>
      <c r="I334" s="4">
        <f>_xll.SNL.Clients.Office.Excel.Functions.SPG(G334,"IQ_AVG_DILUT_SHARES_OUT","CY2022")</f>
        <v>223000000</v>
      </c>
      <c r="J334" s="5">
        <f>_xll.SNL.Clients.Office.Excel.Functions.SPG(G334, "IQ_DILUT_EPS_NORM", "CY2022")</f>
        <v>3.22</v>
      </c>
      <c r="K334">
        <f t="shared" si="32"/>
        <v>718060</v>
      </c>
      <c r="L334">
        <f t="shared" si="33"/>
        <v>0.11113759479956663</v>
      </c>
      <c r="M334" t="s">
        <v>856</v>
      </c>
      <c r="N334" s="4" cm="1">
        <f t="array" ref="N334">_xll.SNL.Clients.Office.Excel.Functions.SPG(M334, "SP_TOTAL_REV", "CY2022")</f>
        <v>36602000</v>
      </c>
      <c r="O334" s="4">
        <f>_xll.SNL.Clients.Office.Excel.Functions.SPG(M334,"IQ_AVG_DILUT_SHARES_OUT","CY2022")</f>
        <v>155600000</v>
      </c>
      <c r="P334" s="5">
        <f>_xll.SNL.Clients.Office.Excel.Functions.SPG(M334, "IQ_DILUT_EPS_NORM", "CY2022")</f>
        <v>23.442</v>
      </c>
      <c r="Q334">
        <f t="shared" si="34"/>
        <v>3647575.2</v>
      </c>
      <c r="R334">
        <f t="shared" si="35"/>
        <v>9.9655078957434029E-2</v>
      </c>
    </row>
    <row r="335" spans="1:18" x14ac:dyDescent="0.3">
      <c r="A335" t="s">
        <v>847</v>
      </c>
      <c r="B335" s="4" cm="1">
        <f t="array" ref="B335">_xll.SNL.Clients.Office.Excel.Functions.SPG(A335, "SP_TOTAL_REV", "CY2023")</f>
        <v>33723297</v>
      </c>
      <c r="C335" s="4">
        <f>_xll.SNL.Clients.Office.Excel.Functions.SPG(A335,"IQ_AVG_DILUT_SHARES_OUT","CY2023")</f>
        <v>449498000</v>
      </c>
      <c r="D335" s="5">
        <f>_xll.SNL.Clients.Office.Excel.Functions.SPG(A335, "IQ_DILUT_EPS_NORM", "CY2023")</f>
        <v>8.6280000000000001</v>
      </c>
      <c r="E335">
        <f t="shared" si="30"/>
        <v>3878268.7439999999</v>
      </c>
      <c r="F335">
        <f t="shared" si="31"/>
        <v>0.11500265659078351</v>
      </c>
      <c r="G335" t="s">
        <v>847</v>
      </c>
      <c r="H335" s="4" cm="1">
        <f t="array" ref="H335">_xll.SNL.Clients.Office.Excel.Functions.SPG(G335, "SP_TOTAL_REV", "CY2022")</f>
        <v>31615550</v>
      </c>
      <c r="I335" s="4">
        <f>_xll.SNL.Clients.Office.Excel.Functions.SPG(G335,"IQ_AVG_DILUT_SHARES_OUT","CY2022")</f>
        <v>451290000</v>
      </c>
      <c r="J335" s="5">
        <f>_xll.SNL.Clients.Office.Excel.Functions.SPG(G335, "IQ_DILUT_EPS_NORM", "CY2022")</f>
        <v>7.29</v>
      </c>
      <c r="K335">
        <f t="shared" si="32"/>
        <v>3289904.1</v>
      </c>
      <c r="L335">
        <f t="shared" si="33"/>
        <v>0.10405968265616129</v>
      </c>
      <c r="M335" t="s">
        <v>857</v>
      </c>
      <c r="N335" s="4" cm="1">
        <f t="array" ref="N335">_xll.SNL.Clients.Office.Excel.Functions.SPG(M335, "SP_TOTAL_REV", "CY2022")</f>
        <v>4843760</v>
      </c>
      <c r="O335" s="4">
        <f>_xll.SNL.Clients.Office.Excel.Functions.SPG(M335,"IQ_AVG_DILUT_SHARES_OUT","CY2022")</f>
        <v>419773195</v>
      </c>
      <c r="P335" s="5">
        <f>_xll.SNL.Clients.Office.Excel.Functions.SPG(M335, "IQ_DILUT_EPS_NORM", "CY2022")</f>
        <v>-3.0840000000000001</v>
      </c>
      <c r="Q335">
        <f t="shared" si="34"/>
        <v>-1294580.5333800002</v>
      </c>
      <c r="R335">
        <f t="shared" si="35"/>
        <v>-0.26726768737096807</v>
      </c>
    </row>
    <row r="336" spans="1:18" x14ac:dyDescent="0.3">
      <c r="A336" t="s">
        <v>848</v>
      </c>
      <c r="B336" s="4" cm="1">
        <f t="array" ref="B336">_xll.SNL.Clients.Office.Excel.Functions.SPG(A336, "SP_TOTAL_REV", "CY2023")</f>
        <v>11812000</v>
      </c>
      <c r="C336" s="4">
        <f>_xll.SNL.Clients.Office.Excel.Functions.SPG(A336,"IQ_AVG_DILUT_SHARES_OUT","CY2023")</f>
        <v>841000000</v>
      </c>
      <c r="D336" s="5">
        <f>_xll.SNL.Clients.Office.Excel.Functions.SPG(A336, "IQ_DILUT_EPS_NORM", "CY2023")</f>
        <v>0.44</v>
      </c>
      <c r="E336">
        <f t="shared" si="30"/>
        <v>370040</v>
      </c>
      <c r="F336">
        <f t="shared" si="31"/>
        <v>3.1327463596342704E-2</v>
      </c>
      <c r="G336" t="s">
        <v>848</v>
      </c>
      <c r="H336" s="4" cm="1">
        <f t="array" ref="H336">_xll.SNL.Clients.Office.Excel.Functions.SPG(G336, "SP_TOTAL_REV", "CY2022")</f>
        <v>11915000</v>
      </c>
      <c r="I336" s="4">
        <f>_xll.SNL.Clients.Office.Excel.Functions.SPG(G336,"IQ_AVG_DILUT_SHARES_OUT","CY2022")</f>
        <v>795000000</v>
      </c>
      <c r="J336" s="5">
        <f>_xll.SNL.Clients.Office.Excel.Functions.SPG(G336, "IQ_DILUT_EPS_NORM", "CY2022")</f>
        <v>1.1619999999999999</v>
      </c>
      <c r="K336">
        <f t="shared" si="32"/>
        <v>923789.99999999988</v>
      </c>
      <c r="L336">
        <f t="shared" si="33"/>
        <v>7.7531682752832551E-2</v>
      </c>
      <c r="M336" t="s">
        <v>858</v>
      </c>
      <c r="N336" s="4" cm="1">
        <f t="array" ref="N336">_xll.SNL.Clients.Office.Excel.Functions.SPG(M336, "SP_TOTAL_REV", "CY2022")</f>
        <v>31543000</v>
      </c>
      <c r="O336" s="4">
        <f>_xll.SNL.Clients.Office.Excel.Functions.SPG(M336,"IQ_AVG_DILUT_SHARES_OUT","CY2022")</f>
        <v>236000000</v>
      </c>
      <c r="P336" s="5">
        <f>_xll.SNL.Clients.Office.Excel.Functions.SPG(M336, "IQ_DILUT_EPS_NORM", "CY2022")</f>
        <v>4.7350000000000003</v>
      </c>
      <c r="Q336">
        <f t="shared" si="34"/>
        <v>1117460</v>
      </c>
      <c r="R336">
        <f t="shared" si="35"/>
        <v>3.5426560568113372E-2</v>
      </c>
    </row>
    <row r="337" spans="1:18" x14ac:dyDescent="0.3">
      <c r="A337" t="s">
        <v>849</v>
      </c>
      <c r="B337" s="4" cm="1">
        <f t="array" ref="B337">_xll.SNL.Clients.Office.Excel.Functions.SPG(A337, "SP_TOTAL_REV", "CY2023")</f>
        <v>9965000</v>
      </c>
      <c r="C337" s="4">
        <f>_xll.SNL.Clients.Office.Excel.Functions.SPG(A337,"IQ_AVG_DILUT_SHARES_OUT","CY2023")</f>
        <v>575300000</v>
      </c>
      <c r="D337" s="5">
        <f>_xll.SNL.Clients.Office.Excel.Functions.SPG(A337, "IQ_DILUT_EPS_NORM", "CY2023")</f>
        <v>0.61699999999999999</v>
      </c>
      <c r="E337">
        <f t="shared" si="30"/>
        <v>354960.1</v>
      </c>
      <c r="F337">
        <f t="shared" si="31"/>
        <v>3.5620682388359255E-2</v>
      </c>
      <c r="G337" t="s">
        <v>849</v>
      </c>
      <c r="H337" s="4" cm="1">
        <f t="array" ref="H337">_xll.SNL.Clients.Office.Excel.Functions.SPG(G337, "SP_TOTAL_REV", "CY2022")</f>
        <v>10165000</v>
      </c>
      <c r="I337" s="4">
        <f>_xll.SNL.Clients.Office.Excel.Functions.SPG(G337,"IQ_AVG_DILUT_SHARES_OUT","CY2022")</f>
        <v>585700000</v>
      </c>
      <c r="J337" s="5">
        <f>_xll.SNL.Clients.Office.Excel.Functions.SPG(G337, "IQ_DILUT_EPS_NORM", "CY2022")</f>
        <v>0.42</v>
      </c>
      <c r="K337">
        <f t="shared" si="32"/>
        <v>245994</v>
      </c>
      <c r="L337">
        <f t="shared" si="33"/>
        <v>2.420009837678308E-2</v>
      </c>
      <c r="M337" t="s">
        <v>859</v>
      </c>
      <c r="N337" s="4" cm="1">
        <f t="array" ref="N337">_xll.SNL.Clients.Office.Excel.Functions.SPG(M337, "SP_TOTAL_REV", "CY2022")</f>
        <v>41512467</v>
      </c>
      <c r="O337" s="4">
        <f>_xll.SNL.Clients.Office.Excel.Functions.SPG(M337,"IQ_AVG_DILUT_SHARES_OUT","CY2022")</f>
        <v>263176000</v>
      </c>
      <c r="P337" s="5">
        <f>_xll.SNL.Clients.Office.Excel.Functions.SPG(M337, "IQ_DILUT_EPS_NORM", "CY2022")</f>
        <v>22.548999999999999</v>
      </c>
      <c r="Q337">
        <f t="shared" si="34"/>
        <v>5934355.6239999998</v>
      </c>
      <c r="R337">
        <f t="shared" si="35"/>
        <v>0.14295357642801618</v>
      </c>
    </row>
    <row r="338" spans="1:18" x14ac:dyDescent="0.3">
      <c r="A338" t="s">
        <v>850</v>
      </c>
      <c r="B338" s="4" t="str" cm="1">
        <f t="array" ref="B338">_xll.SNL.Clients.Office.Excel.Functions.SPG(A338, "SP_TOTAL_REV", "CY2023")</f>
        <v>#INVALID COMPANY ID</v>
      </c>
      <c r="C338" s="4" t="str">
        <f>_xll.SNL.Clients.Office.Excel.Functions.SPG(A338,"IQ_AVG_DILUT_SHARES_OUT","CY2023")</f>
        <v>#INVALID COMPANY ID</v>
      </c>
      <c r="D338" s="5" t="str">
        <f>_xll.SNL.Clients.Office.Excel.Functions.SPG(A338, "IQ_DILUT_EPS_NORM", "CY2023")</f>
        <v>#INVALID COMPANY ID</v>
      </c>
      <c r="E338" t="e">
        <f t="shared" si="30"/>
        <v>#VALUE!</v>
      </c>
      <c r="F338" t="e">
        <f t="shared" si="31"/>
        <v>#VALUE!</v>
      </c>
      <c r="G338" t="s">
        <v>850</v>
      </c>
      <c r="H338" s="4" t="str" cm="1">
        <f t="array" ref="H338">_xll.SNL.Clients.Office.Excel.Functions.SPG(G338, "SP_TOTAL_REV", "CY2022")</f>
        <v>#INVALID COMPANY ID</v>
      </c>
      <c r="I338" s="4" t="str">
        <f>_xll.SNL.Clients.Office.Excel.Functions.SPG(G338,"IQ_AVG_DILUT_SHARES_OUT","CY2022")</f>
        <v>#INVALID COMPANY ID</v>
      </c>
      <c r="J338" s="5" t="str">
        <f>_xll.SNL.Clients.Office.Excel.Functions.SPG(G338, "IQ_DILUT_EPS_NORM", "CY2022")</f>
        <v>#INVALID COMPANY ID</v>
      </c>
      <c r="K338" t="e">
        <f t="shared" si="32"/>
        <v>#VALUE!</v>
      </c>
      <c r="L338" t="e">
        <f t="shared" si="33"/>
        <v>#VALUE!</v>
      </c>
      <c r="M338" t="s">
        <v>860</v>
      </c>
      <c r="N338" s="4" cm="1">
        <f t="array" ref="N338">_xll.SNL.Clients.Office.Excel.Functions.SPG(M338, "SP_TOTAL_REV", "CY2022")</f>
        <v>26974000</v>
      </c>
      <c r="O338" s="4">
        <f>_xll.SNL.Clients.Office.Excel.Functions.SPG(M338,"IQ_AVG_DILUT_SHARES_OUT","CY2022")</f>
        <v>25070000000</v>
      </c>
      <c r="P338" s="5">
        <f>_xll.SNL.Clients.Office.Excel.Functions.SPG(M338, "IQ_DILUT_EPS_NORM", "CY2022")</f>
        <v>0.13900000000000001</v>
      </c>
      <c r="Q338">
        <f t="shared" si="34"/>
        <v>3484730.0000000005</v>
      </c>
      <c r="R338">
        <f t="shared" si="35"/>
        <v>0.12918847779343073</v>
      </c>
    </row>
    <row r="339" spans="1:18" x14ac:dyDescent="0.3">
      <c r="A339" t="s">
        <v>851</v>
      </c>
      <c r="B339" s="4" cm="1">
        <f t="array" ref="B339">_xll.SNL.Clients.Office.Excel.Functions.SPG(A339, "SP_TOTAL_REV", "CY2023")</f>
        <v>28114000</v>
      </c>
      <c r="C339" s="4">
        <f>_xll.SNL.Clients.Office.Excel.Functions.SPG(A339,"IQ_AVG_DILUT_SHARES_OUT","CY2023")</f>
        <v>2030800000</v>
      </c>
      <c r="D339" s="5">
        <f>_xll.SNL.Clients.Office.Excel.Functions.SPG(A339, "IQ_DILUT_EPS_NORM", "CY2023")</f>
        <v>2.5369999999999999</v>
      </c>
      <c r="E339">
        <f t="shared" si="30"/>
        <v>5152139.5999999996</v>
      </c>
      <c r="F339">
        <f t="shared" si="31"/>
        <v>0.18325886035427189</v>
      </c>
      <c r="G339" t="s">
        <v>851</v>
      </c>
      <c r="H339" s="4" cm="1">
        <f t="array" ref="H339">_xll.SNL.Clients.Office.Excel.Functions.SPG(G339, "SP_TOTAL_REV", "CY2022")</f>
        <v>20956000</v>
      </c>
      <c r="I339" s="4">
        <f>_xll.SNL.Clients.Office.Excel.Functions.SPG(G339,"IQ_AVG_DILUT_SHARES_OUT","CY2022")</f>
        <v>1978600000</v>
      </c>
      <c r="J339" s="5">
        <f>_xll.SNL.Clients.Office.Excel.Functions.SPG(G339, "IQ_DILUT_EPS_NORM", "CY2022")</f>
        <v>1.657</v>
      </c>
      <c r="K339">
        <f t="shared" si="32"/>
        <v>3278540.2</v>
      </c>
      <c r="L339">
        <f t="shared" si="33"/>
        <v>0.15644875930521093</v>
      </c>
      <c r="M339" t="s">
        <v>861</v>
      </c>
      <c r="N339" s="4" cm="1">
        <f t="array" ref="N339">_xll.SNL.Clients.Office.Excel.Functions.SPG(M339, "SP_TOTAL_REV", "CY2022")</f>
        <v>10575325</v>
      </c>
      <c r="O339" s="4">
        <f>_xll.SNL.Clients.Office.Excel.Functions.SPG(M339,"IQ_AVG_DILUT_SHARES_OUT","CY2022")</f>
        <v>3508524</v>
      </c>
      <c r="P339" s="5">
        <f>_xll.SNL.Clients.Office.Excel.Functions.SPG(M339, "IQ_DILUT_EPS_NORM", "CY2022")</f>
        <v>401.37900000000002</v>
      </c>
      <c r="Q339">
        <f t="shared" si="34"/>
        <v>1408247.8545959999</v>
      </c>
      <c r="R339">
        <f t="shared" si="35"/>
        <v>0.13316355332777005</v>
      </c>
    </row>
    <row r="340" spans="1:18" x14ac:dyDescent="0.3">
      <c r="A340" t="s">
        <v>852</v>
      </c>
      <c r="B340" s="4" cm="1">
        <f t="array" ref="B340">_xll.SNL.Clients.Office.Excel.Functions.SPG(A340, "SP_TOTAL_REV", "CY2023")</f>
        <v>51542000</v>
      </c>
      <c r="C340" s="4">
        <f>_xll.SNL.Clients.Office.Excel.Functions.SPG(A340,"IQ_AVG_DILUT_SHARES_OUT","CY2023")</f>
        <v>1549100000</v>
      </c>
      <c r="D340" s="5">
        <f>_xll.SNL.Clients.Office.Excel.Functions.SPG(A340, "IQ_DILUT_EPS_NORM", "CY2023")</f>
        <v>2.5390000000000001</v>
      </c>
      <c r="E340">
        <f t="shared" si="30"/>
        <v>3933164.9</v>
      </c>
      <c r="F340">
        <f t="shared" si="31"/>
        <v>7.6309900663536531E-2</v>
      </c>
      <c r="G340" t="s">
        <v>852</v>
      </c>
      <c r="H340" s="4" cm="1">
        <f t="array" ref="H340">_xll.SNL.Clients.Office.Excel.Functions.SPG(G340, "SP_TOTAL_REV", "CY2022")</f>
        <v>49107000</v>
      </c>
      <c r="I340" s="4">
        <f>_xll.SNL.Clients.Office.Excel.Functions.SPG(G340,"IQ_AVG_DILUT_SHARES_OUT","CY2022")</f>
        <v>1591100000</v>
      </c>
      <c r="J340" s="5">
        <f>_xll.SNL.Clients.Office.Excel.Functions.SPG(G340, "IQ_DILUT_EPS_NORM", "CY2022")</f>
        <v>2.6</v>
      </c>
      <c r="K340">
        <f t="shared" si="32"/>
        <v>4136860</v>
      </c>
      <c r="L340">
        <f t="shared" si="33"/>
        <v>8.4241757794204494E-2</v>
      </c>
      <c r="M340" t="s">
        <v>862</v>
      </c>
      <c r="N340" s="4" cm="1">
        <f t="array" ref="N340">_xll.SNL.Clients.Office.Excel.Functions.SPG(M340, "SP_TOTAL_REV", "CY2022")</f>
        <v>13205000</v>
      </c>
      <c r="O340" s="4">
        <f>_xll.SNL.Clients.Office.Excel.Functions.SPG(M340,"IQ_AVG_DILUT_SHARES_OUT","CY2022")</f>
        <v>264053000</v>
      </c>
      <c r="P340" s="5">
        <f>_xll.SNL.Clients.Office.Excel.Functions.SPG(M340, "IQ_DILUT_EPS_NORM", "CY2022")</f>
        <v>7.81</v>
      </c>
      <c r="Q340">
        <f t="shared" si="34"/>
        <v>2062253.93</v>
      </c>
      <c r="R340">
        <f t="shared" si="35"/>
        <v>0.15617220219613781</v>
      </c>
    </row>
    <row r="341" spans="1:18" x14ac:dyDescent="0.3">
      <c r="A341" t="s">
        <v>4</v>
      </c>
      <c r="B341" s="4" cm="1">
        <f t="array" ref="B341">_xll.SNL.Clients.Office.Excel.Functions.SPG(A341, "SP_TOTAL_REV", "CY2023")</f>
        <v>5505400</v>
      </c>
      <c r="C341" s="4">
        <f>_xll.SNL.Clients.Office.Excel.Functions.SPG(A341,"IQ_AVG_DILUT_SHARES_OUT","CY2023")</f>
        <v>447900000</v>
      </c>
      <c r="D341" s="5">
        <f>_xll.SNL.Clients.Office.Excel.Functions.SPG(A341, "IQ_DILUT_EPS_NORM", "CY2023")</f>
        <v>1.2290000000000001</v>
      </c>
      <c r="E341">
        <f t="shared" si="30"/>
        <v>550469.1</v>
      </c>
      <c r="F341">
        <f t="shared" si="31"/>
        <v>9.998712173502379E-2</v>
      </c>
      <c r="G341" t="s">
        <v>4</v>
      </c>
      <c r="H341" s="4" cm="1">
        <f t="array" ref="H341">_xll.SNL.Clients.Office.Excel.Functions.SPG(G341, "SP_TOTAL_REV", "CY2022")</f>
        <v>5850600</v>
      </c>
      <c r="I341" s="4">
        <f>_xll.SNL.Clients.Office.Excel.Functions.SPG(G341,"IQ_AVG_DILUT_SHARES_OUT","CY2022")</f>
        <v>442700000</v>
      </c>
      <c r="J341" s="5">
        <f>_xll.SNL.Clients.Office.Excel.Functions.SPG(G341, "IQ_DILUT_EPS_NORM", "CY2022")</f>
        <v>1.2310000000000001</v>
      </c>
      <c r="K341">
        <f t="shared" si="32"/>
        <v>544963.69999999995</v>
      </c>
      <c r="L341">
        <f t="shared" si="33"/>
        <v>9.314663453321026E-2</v>
      </c>
      <c r="M341" t="s">
        <v>863</v>
      </c>
      <c r="N341" s="4" cm="1">
        <f t="array" ref="N341">_xll.SNL.Clients.Office.Excel.Functions.SPG(M341, "SP_TOTAL_REV", "CY2022")</f>
        <v>14409860</v>
      </c>
      <c r="O341" s="4">
        <f>_xll.SNL.Clients.Office.Excel.Functions.SPG(M341,"IQ_AVG_DILUT_SHARES_OUT","CY2022")</f>
        <v>64962000</v>
      </c>
      <c r="P341" s="5">
        <f>_xll.SNL.Clients.Office.Excel.Functions.SPG(M341, "IQ_DILUT_EPS_NORM", "CY2022")</f>
        <v>27.079000000000001</v>
      </c>
      <c r="Q341">
        <f t="shared" si="34"/>
        <v>1759105.9979999999</v>
      </c>
      <c r="R341">
        <f t="shared" si="35"/>
        <v>0.12207655022324991</v>
      </c>
    </row>
    <row r="342" spans="1:18" x14ac:dyDescent="0.3">
      <c r="A342" t="s">
        <v>853</v>
      </c>
      <c r="B342" s="4" cm="1">
        <f t="array" ref="B342">_xll.SNL.Clients.Office.Excel.Functions.SPG(A342, "SP_TOTAL_REV", "CY2023")</f>
        <v>2651348</v>
      </c>
      <c r="C342" s="4">
        <f>_xll.SNL.Clients.Office.Excel.Functions.SPG(A342,"IQ_AVG_DILUT_SHARES_OUT","CY2023")</f>
        <v>57579250</v>
      </c>
      <c r="D342" s="5">
        <f>_xll.SNL.Clients.Office.Excel.Functions.SPG(A342, "IQ_DILUT_EPS_NORM", "CY2023")</f>
        <v>6.7619999999999996</v>
      </c>
      <c r="E342">
        <f t="shared" si="30"/>
        <v>389350.8885</v>
      </c>
      <c r="F342">
        <f t="shared" si="31"/>
        <v>0.14685016395433567</v>
      </c>
      <c r="G342" t="s">
        <v>853</v>
      </c>
      <c r="H342" s="4" cm="1">
        <f t="array" ref="H342">_xll.SNL.Clients.Office.Excel.Functions.SPG(G342, "SP_TOTAL_REV", "CY2022")</f>
        <v>2591589</v>
      </c>
      <c r="I342" s="4">
        <f>_xll.SNL.Clients.Office.Excel.Functions.SPG(G342,"IQ_AVG_DILUT_SHARES_OUT","CY2022")</f>
        <v>57984750</v>
      </c>
      <c r="J342" s="5">
        <f>_xll.SNL.Clients.Office.Excel.Functions.SPG(G342, "IQ_DILUT_EPS_NORM", "CY2022")</f>
        <v>6.7729999999999997</v>
      </c>
      <c r="K342">
        <f t="shared" si="32"/>
        <v>392730.71175000002</v>
      </c>
      <c r="L342">
        <f t="shared" si="33"/>
        <v>0.15154050729108667</v>
      </c>
      <c r="M342" t="s">
        <v>864</v>
      </c>
      <c r="N342" s="4" cm="1">
        <f t="array" ref="N342">_xll.SNL.Clients.Office.Excel.Functions.SPG(M342, "SP_TOTAL_REV", "CY2022")</f>
        <v>36634000</v>
      </c>
      <c r="O342" s="4">
        <f>_xll.SNL.Clients.Office.Excel.Functions.SPG(M342,"IQ_AVG_DILUT_SHARES_OUT","CY2022")</f>
        <v>1002000000</v>
      </c>
      <c r="P342" s="5">
        <f>_xll.SNL.Clients.Office.Excel.Functions.SPG(M342, "IQ_DILUT_EPS_NORM", "CY2022")</f>
        <v>8.6690000000000005</v>
      </c>
      <c r="Q342">
        <f t="shared" si="34"/>
        <v>8686338</v>
      </c>
      <c r="R342">
        <f t="shared" si="35"/>
        <v>0.23711137194955506</v>
      </c>
    </row>
    <row r="343" spans="1:18" x14ac:dyDescent="0.3">
      <c r="A343" t="s">
        <v>854</v>
      </c>
      <c r="B343" s="4" cm="1">
        <f t="array" ref="B343">_xll.SNL.Clients.Office.Excel.Functions.SPG(A343, "SP_TOTAL_REV", "CY2023")</f>
        <v>12156000</v>
      </c>
      <c r="C343" s="4">
        <f>_xll.SNL.Clients.Office.Excel.Functions.SPG(A343,"IQ_AVG_DILUT_SHARES_OUT","CY2023")</f>
        <v>227400000</v>
      </c>
      <c r="D343" s="5">
        <f>_xll.SNL.Clients.Office.Excel.Functions.SPG(A343, "IQ_DILUT_EPS_NORM", "CY2023")</f>
        <v>9.4440000000000008</v>
      </c>
      <c r="E343">
        <f t="shared" si="30"/>
        <v>2147565.6</v>
      </c>
      <c r="F343">
        <f t="shared" si="31"/>
        <v>0.17666712734452122</v>
      </c>
      <c r="G343" t="s">
        <v>854</v>
      </c>
      <c r="H343" s="4" cm="1">
        <f t="array" ref="H343">_xll.SNL.Clients.Office.Excel.Functions.SPG(G343, "SP_TOTAL_REV", "CY2022")</f>
        <v>12745000</v>
      </c>
      <c r="I343" s="4">
        <f>_xll.SNL.Clients.Office.Excel.Functions.SPG(G343,"IQ_AVG_DILUT_SHARES_OUT","CY2022")</f>
        <v>235600000</v>
      </c>
      <c r="J343" s="5">
        <f>_xll.SNL.Clients.Office.Excel.Functions.SPG(G343, "IQ_DILUT_EPS_NORM", "CY2022")</f>
        <v>10.956</v>
      </c>
      <c r="K343">
        <f t="shared" si="32"/>
        <v>2581233.6</v>
      </c>
      <c r="L343">
        <f t="shared" si="33"/>
        <v>0.20252911730090231</v>
      </c>
      <c r="M343" t="s">
        <v>865</v>
      </c>
      <c r="N343" s="4" cm="1">
        <f t="array" ref="N343">_xll.SNL.Clients.Office.Excel.Functions.SPG(M343, "SP_TOTAL_REV", "CY2022")</f>
        <v>6260077</v>
      </c>
      <c r="O343" s="4">
        <f>_xll.SNL.Clients.Office.Excel.Functions.SPG(M343,"IQ_AVG_DILUT_SHARES_OUT","CY2022")</f>
        <v>226155640</v>
      </c>
      <c r="P343" s="5">
        <f>_xll.SNL.Clients.Office.Excel.Functions.SPG(M343, "IQ_DILUT_EPS_NORM", "CY2022")</f>
        <v>5.0890000000000004</v>
      </c>
      <c r="Q343">
        <f t="shared" si="34"/>
        <v>1150906.0519600001</v>
      </c>
      <c r="R343">
        <f t="shared" si="35"/>
        <v>0.18384854562651548</v>
      </c>
    </row>
    <row r="344" spans="1:18" x14ac:dyDescent="0.3">
      <c r="A344" t="s">
        <v>855</v>
      </c>
      <c r="B344" s="4" cm="1">
        <f t="array" ref="B344">_xll.SNL.Clients.Office.Excel.Functions.SPG(A344, "SP_TOTAL_REV", "CY2023")</f>
        <v>6749000</v>
      </c>
      <c r="C344" s="4">
        <f>_xll.SNL.Clients.Office.Excel.Functions.SPG(A344,"IQ_AVG_DILUT_SHARES_OUT","CY2023")</f>
        <v>207563746</v>
      </c>
      <c r="D344" s="5">
        <f>_xll.SNL.Clients.Office.Excel.Functions.SPG(A344, "IQ_DILUT_EPS_NORM", "CY2023")</f>
        <v>4.5209999999999999</v>
      </c>
      <c r="E344">
        <f t="shared" si="30"/>
        <v>938395.69566600001</v>
      </c>
      <c r="F344">
        <f t="shared" si="31"/>
        <v>0.13904218338509408</v>
      </c>
      <c r="G344" t="s">
        <v>855</v>
      </c>
      <c r="H344" s="4" cm="1">
        <f t="array" ref="H344">_xll.SNL.Clients.Office.Excel.Functions.SPG(G344, "SP_TOTAL_REV", "CY2022")</f>
        <v>6749200</v>
      </c>
      <c r="I344" s="4">
        <f>_xll.SNL.Clients.Office.Excel.Functions.SPG(G344,"IQ_AVG_DILUT_SHARES_OUT","CY2022")</f>
        <v>208867264</v>
      </c>
      <c r="J344" s="5">
        <f>_xll.SNL.Clients.Office.Excel.Functions.SPG(G344, "IQ_DILUT_EPS_NORM", "CY2022")</f>
        <v>5.3760000000000003</v>
      </c>
      <c r="K344">
        <f t="shared" si="32"/>
        <v>1122870.4112640002</v>
      </c>
      <c r="L344">
        <f t="shared" si="33"/>
        <v>0.16637089007052691</v>
      </c>
      <c r="M344" t="s">
        <v>866</v>
      </c>
      <c r="N344" s="4" cm="1">
        <f t="array" ref="N344">_xll.SNL.Clients.Office.Excel.Functions.SPG(M344, "SP_TOTAL_REV", "CY2022")</f>
        <v>14289100</v>
      </c>
      <c r="O344" s="4">
        <f>_xll.SNL.Clients.Office.Excel.Functions.SPG(M344,"IQ_AVG_DILUT_SHARES_OUT","CY2022")</f>
        <v>207000000</v>
      </c>
      <c r="P344" s="5">
        <f>_xll.SNL.Clients.Office.Excel.Functions.SPG(M344, "IQ_DILUT_EPS_NORM", "CY2022")</f>
        <v>5.81</v>
      </c>
      <c r="Q344">
        <f t="shared" si="34"/>
        <v>1202670</v>
      </c>
      <c r="R344">
        <f t="shared" si="35"/>
        <v>8.4166952432273553E-2</v>
      </c>
    </row>
    <row r="345" spans="1:18" x14ac:dyDescent="0.3">
      <c r="A345" t="s">
        <v>856</v>
      </c>
      <c r="B345" s="4" cm="1">
        <f t="array" ref="B345">_xll.SNL.Clients.Office.Excel.Functions.SPG(A345, "SP_TOTAL_REV", "CY2023")</f>
        <v>39290000</v>
      </c>
      <c r="C345" s="4">
        <f>_xll.SNL.Clients.Office.Excel.Functions.SPG(A345,"IQ_AVG_DILUT_SHARES_OUT","CY2023")</f>
        <v>152000000</v>
      </c>
      <c r="D345" s="5">
        <f>_xll.SNL.Clients.Office.Excel.Functions.SPG(A345, "IQ_DILUT_EPS_NORM", "CY2023")</f>
        <v>9.2479999999999993</v>
      </c>
      <c r="E345">
        <f t="shared" si="30"/>
        <v>1405696</v>
      </c>
      <c r="F345">
        <f t="shared" si="31"/>
        <v>3.5777449732756428E-2</v>
      </c>
      <c r="G345" t="s">
        <v>856</v>
      </c>
      <c r="H345" s="4" cm="1">
        <f t="array" ref="H345">_xll.SNL.Clients.Office.Excel.Functions.SPG(G345, "SP_TOTAL_REV", "CY2022")</f>
        <v>36602000</v>
      </c>
      <c r="I345" s="4">
        <f>_xll.SNL.Clients.Office.Excel.Functions.SPG(G345,"IQ_AVG_DILUT_SHARES_OUT","CY2022")</f>
        <v>155600000</v>
      </c>
      <c r="J345" s="5">
        <f>_xll.SNL.Clients.Office.Excel.Functions.SPG(G345, "IQ_DILUT_EPS_NORM", "CY2022")</f>
        <v>23.442</v>
      </c>
      <c r="K345">
        <f t="shared" si="32"/>
        <v>3647575.2</v>
      </c>
      <c r="L345">
        <f t="shared" si="33"/>
        <v>9.9655078957434029E-2</v>
      </c>
      <c r="M345" t="s">
        <v>867</v>
      </c>
      <c r="N345" s="4" cm="1">
        <f t="array" ref="N345">_xll.SNL.Clients.Office.Excel.Functions.SPG(M345, "SP_TOTAL_REV", "CY2022")</f>
        <v>8326200</v>
      </c>
      <c r="O345" s="4">
        <f>_xll.SNL.Clients.Office.Excel.Functions.SPG(M345,"IQ_AVG_DILUT_SHARES_OUT","CY2022")</f>
        <v>448200000</v>
      </c>
      <c r="P345" s="5">
        <f>_xll.SNL.Clients.Office.Excel.Functions.SPG(M345, "IQ_DILUT_EPS_NORM", "CY2022")</f>
        <v>3.7709999999999999</v>
      </c>
      <c r="Q345">
        <f t="shared" si="34"/>
        <v>1690162.2</v>
      </c>
      <c r="R345">
        <f t="shared" si="35"/>
        <v>0.2029932262016286</v>
      </c>
    </row>
    <row r="346" spans="1:18" x14ac:dyDescent="0.3">
      <c r="A346" t="s">
        <v>857</v>
      </c>
      <c r="B346" s="4" cm="1">
        <f t="array" ref="B346">_xll.SNL.Clients.Office.Excel.Functions.SPG(A346, "SP_TOTAL_REV", "CY2023")</f>
        <v>8549924</v>
      </c>
      <c r="C346" s="4">
        <f>_xll.SNL.Clients.Office.Excel.Functions.SPG(A346,"IQ_AVG_DILUT_SHARES_OUT","CY2023")</f>
        <v>427400849</v>
      </c>
      <c r="D346" s="5">
        <f>_xll.SNL.Clients.Office.Excel.Functions.SPG(A346, "IQ_DILUT_EPS_NORM", "CY2023")</f>
        <v>0.252</v>
      </c>
      <c r="E346">
        <f t="shared" si="30"/>
        <v>107705.01394799999</v>
      </c>
      <c r="F346">
        <f t="shared" si="31"/>
        <v>1.2597189629755772E-2</v>
      </c>
      <c r="G346" t="s">
        <v>857</v>
      </c>
      <c r="H346" s="4" cm="1">
        <f t="array" ref="H346">_xll.SNL.Clients.Office.Excel.Functions.SPG(G346, "SP_TOTAL_REV", "CY2022")</f>
        <v>4843760</v>
      </c>
      <c r="I346" s="4">
        <f>_xll.SNL.Clients.Office.Excel.Functions.SPG(G346,"IQ_AVG_DILUT_SHARES_OUT","CY2022")</f>
        <v>419773195</v>
      </c>
      <c r="J346" s="5">
        <f>_xll.SNL.Clients.Office.Excel.Functions.SPG(G346, "IQ_DILUT_EPS_NORM", "CY2022")</f>
        <v>-3.0840000000000001</v>
      </c>
      <c r="K346">
        <f t="shared" si="32"/>
        <v>-1294580.5333800002</v>
      </c>
      <c r="L346">
        <f t="shared" si="33"/>
        <v>-0.26726768737096807</v>
      </c>
      <c r="M346" t="s">
        <v>868</v>
      </c>
      <c r="N346" s="4" cm="1">
        <f t="array" ref="N346">_xll.SNL.Clients.Office.Excel.Functions.SPG(M346, "SP_TOTAL_REV", "CY2022")</f>
        <v>22387000</v>
      </c>
      <c r="O346" s="4">
        <f>_xll.SNL.Clients.Office.Excel.Functions.SPG(M346,"IQ_AVG_DILUT_SHARES_OUT","CY2022")</f>
        <v>448400000</v>
      </c>
      <c r="P346" s="5">
        <f>_xll.SNL.Clients.Office.Excel.Functions.SPG(M346, "IQ_DILUT_EPS_NORM", "CY2022")</f>
        <v>3.1360000000000001</v>
      </c>
      <c r="Q346">
        <f t="shared" si="34"/>
        <v>1406182.3999999999</v>
      </c>
      <c r="R346">
        <f t="shared" si="35"/>
        <v>6.2812453656139716E-2</v>
      </c>
    </row>
    <row r="347" spans="1:18" x14ac:dyDescent="0.3">
      <c r="A347" t="s">
        <v>858</v>
      </c>
      <c r="B347" s="4" cm="1">
        <f t="array" ref="B347">_xll.SNL.Clients.Office.Excel.Functions.SPG(A347, "SP_TOTAL_REV", "CY2023")</f>
        <v>28823000</v>
      </c>
      <c r="C347" s="4">
        <f>_xll.SNL.Clients.Office.Excel.Functions.SPG(A347,"IQ_AVG_DILUT_SHARES_OUT","CY2023")</f>
        <v>228000000</v>
      </c>
      <c r="D347" s="5">
        <f>_xll.SNL.Clients.Office.Excel.Functions.SPG(A347, "IQ_DILUT_EPS_NORM", "CY2023")</f>
        <v>-4.55</v>
      </c>
      <c r="E347">
        <f t="shared" si="30"/>
        <v>-1037400</v>
      </c>
      <c r="F347">
        <f t="shared" si="31"/>
        <v>-3.5992089650626238E-2</v>
      </c>
      <c r="G347" t="s">
        <v>858</v>
      </c>
      <c r="H347" s="4" cm="1">
        <f t="array" ref="H347">_xll.SNL.Clients.Office.Excel.Functions.SPG(G347, "SP_TOTAL_REV", "CY2022")</f>
        <v>31543000</v>
      </c>
      <c r="I347" s="4">
        <f>_xll.SNL.Clients.Office.Excel.Functions.SPG(G347,"IQ_AVG_DILUT_SHARES_OUT","CY2022")</f>
        <v>236000000</v>
      </c>
      <c r="J347" s="5">
        <f>_xll.SNL.Clients.Office.Excel.Functions.SPG(G347, "IQ_DILUT_EPS_NORM", "CY2022")</f>
        <v>4.7350000000000003</v>
      </c>
      <c r="K347">
        <f t="shared" si="32"/>
        <v>1117460</v>
      </c>
      <c r="L347">
        <f t="shared" si="33"/>
        <v>3.5426560568113372E-2</v>
      </c>
      <c r="M347" t="s">
        <v>869</v>
      </c>
      <c r="N347" s="4" cm="1">
        <f t="array" ref="N347">_xll.SNL.Clients.Office.Excel.Functions.SPG(M347, "SP_TOTAL_REV", "CY2022")</f>
        <v>46073000</v>
      </c>
      <c r="O347" s="4">
        <f>_xll.SNL.Clients.Office.Excel.Functions.SPG(M347,"IQ_AVG_DILUT_SHARES_OUT","CY2022")</f>
        <v>2748000000</v>
      </c>
      <c r="P347" s="5">
        <f>_xll.SNL.Clients.Office.Excel.Functions.SPG(M347, "IQ_DILUT_EPS_NORM", "CY2022")</f>
        <v>2.5150000000000001</v>
      </c>
      <c r="Q347">
        <f t="shared" si="34"/>
        <v>6911220</v>
      </c>
      <c r="R347">
        <f t="shared" si="35"/>
        <v>0.15000586026523127</v>
      </c>
    </row>
    <row r="348" spans="1:18" x14ac:dyDescent="0.3">
      <c r="A348" t="s">
        <v>859</v>
      </c>
      <c r="B348" s="4" cm="1">
        <f t="array" ref="B348">_xll.SNL.Clients.Office.Excel.Functions.SPG(A348, "SP_TOTAL_REV", "CY2023")</f>
        <v>34713501</v>
      </c>
      <c r="C348" s="4">
        <f>_xll.SNL.Clients.Office.Excel.Functions.SPG(A348,"IQ_AVG_DILUT_SHARES_OUT","CY2023")</f>
        <v>250412000</v>
      </c>
      <c r="D348" s="5">
        <f>_xll.SNL.Clients.Office.Excel.Functions.SPG(A348, "IQ_DILUT_EPS_NORM", "CY2023")</f>
        <v>14.106999999999999</v>
      </c>
      <c r="E348">
        <f t="shared" si="30"/>
        <v>3532562.0839999998</v>
      </c>
      <c r="F348">
        <f t="shared" si="31"/>
        <v>0.10176334804144359</v>
      </c>
      <c r="G348" t="s">
        <v>859</v>
      </c>
      <c r="H348" s="4" cm="1">
        <f t="array" ref="H348">_xll.SNL.Clients.Office.Excel.Functions.SPG(G348, "SP_TOTAL_REV", "CY2022")</f>
        <v>41512467</v>
      </c>
      <c r="I348" s="4">
        <f>_xll.SNL.Clients.Office.Excel.Functions.SPG(G348,"IQ_AVG_DILUT_SHARES_OUT","CY2022")</f>
        <v>263176000</v>
      </c>
      <c r="J348" s="5">
        <f>_xll.SNL.Clients.Office.Excel.Functions.SPG(G348, "IQ_DILUT_EPS_NORM", "CY2022")</f>
        <v>22.548999999999999</v>
      </c>
      <c r="K348">
        <f t="shared" si="32"/>
        <v>5934355.6239999998</v>
      </c>
      <c r="L348">
        <f t="shared" si="33"/>
        <v>0.14295357642801618</v>
      </c>
      <c r="M348" t="s">
        <v>870</v>
      </c>
      <c r="N348" s="4" cm="1">
        <f t="array" ref="N348">_xll.SNL.Clients.Office.Excel.Functions.SPG(M348, "SP_TOTAL_REV", "CY2022")</f>
        <v>13685000</v>
      </c>
      <c r="O348" s="4">
        <f>_xll.SNL.Clients.Office.Excel.Functions.SPG(M348,"IQ_AVG_DILUT_SHARES_OUT","CY2022")</f>
        <v>423000000</v>
      </c>
      <c r="P348" s="5">
        <f>_xll.SNL.Clients.Office.Excel.Functions.SPG(M348, "IQ_DILUT_EPS_NORM", "CY2022")</f>
        <v>2.6349999999999998</v>
      </c>
      <c r="Q348">
        <f t="shared" si="34"/>
        <v>1114605</v>
      </c>
      <c r="R348">
        <f t="shared" si="35"/>
        <v>8.1447204968944101E-2</v>
      </c>
    </row>
    <row r="349" spans="1:18" x14ac:dyDescent="0.3">
      <c r="A349" t="s">
        <v>860</v>
      </c>
      <c r="B349" s="4" cm="1">
        <f t="array" ref="B349">_xll.SNL.Clients.Office.Excel.Functions.SPG(A349, "SP_TOTAL_REV", "CY2023")</f>
        <v>60922000</v>
      </c>
      <c r="C349" s="4">
        <f>_xll.SNL.Clients.Office.Excel.Functions.SPG(A349,"IQ_AVG_DILUT_SHARES_OUT","CY2023")</f>
        <v>24940000000</v>
      </c>
      <c r="D349" s="5">
        <f>_xll.SNL.Clients.Office.Excel.Functions.SPG(A349, "IQ_DILUT_EPS_NORM", "CY2023")</f>
        <v>0.84199999999999997</v>
      </c>
      <c r="E349">
        <f t="shared" si="30"/>
        <v>20999480</v>
      </c>
      <c r="F349">
        <f t="shared" si="31"/>
        <v>0.34469452742851514</v>
      </c>
      <c r="G349" t="s">
        <v>860</v>
      </c>
      <c r="H349" s="4" cm="1">
        <f t="array" ref="H349">_xll.SNL.Clients.Office.Excel.Functions.SPG(G349, "SP_TOTAL_REV", "CY2022")</f>
        <v>26974000</v>
      </c>
      <c r="I349" s="4">
        <f>_xll.SNL.Clients.Office.Excel.Functions.SPG(G349,"IQ_AVG_DILUT_SHARES_OUT","CY2022")</f>
        <v>25070000000</v>
      </c>
      <c r="J349" s="5">
        <f>_xll.SNL.Clients.Office.Excel.Functions.SPG(G349, "IQ_DILUT_EPS_NORM", "CY2022")</f>
        <v>0.13900000000000001</v>
      </c>
      <c r="K349">
        <f t="shared" si="32"/>
        <v>3484730.0000000005</v>
      </c>
      <c r="L349">
        <f t="shared" si="33"/>
        <v>0.12918847779343073</v>
      </c>
      <c r="M349" t="s">
        <v>871</v>
      </c>
      <c r="N349" s="4" cm="1">
        <f t="array" ref="N349">_xll.SNL.Clients.Office.Excel.Functions.SPG(M349, "SP_TOTAL_REV", "CY2022")</f>
        <v>28819700</v>
      </c>
      <c r="O349" s="4">
        <f>_xll.SNL.Clients.Office.Excel.Functions.SPG(M349,"IQ_AVG_DILUT_SHARES_OUT","CY2022")</f>
        <v>523400000</v>
      </c>
      <c r="P349" s="5">
        <f>_xll.SNL.Clients.Office.Excel.Functions.SPG(M349, "IQ_DILUT_EPS_NORM", "CY2022")</f>
        <v>4.5960000000000001</v>
      </c>
      <c r="Q349">
        <f t="shared" si="34"/>
        <v>2405546.4</v>
      </c>
      <c r="R349">
        <f t="shared" si="35"/>
        <v>8.3468821674063221E-2</v>
      </c>
    </row>
    <row r="350" spans="1:18" x14ac:dyDescent="0.3">
      <c r="A350" t="s">
        <v>861</v>
      </c>
      <c r="B350" s="4" cm="1">
        <f t="array" ref="B350">_xll.SNL.Clients.Office.Excel.Functions.SPG(A350, "SP_TOTAL_REV", "CY2023")</f>
        <v>9682899</v>
      </c>
      <c r="C350" s="4">
        <f>_xll.SNL.Clients.Office.Excel.Functions.SPG(A350,"IQ_AVG_DILUT_SHARES_OUT","CY2023")</f>
        <v>3435294</v>
      </c>
      <c r="D350" s="5">
        <f>_xll.SNL.Clients.Office.Excel.Functions.SPG(A350, "IQ_DILUT_EPS_NORM", "CY2023")</f>
        <v>350.83800000000002</v>
      </c>
      <c r="E350">
        <f t="shared" si="30"/>
        <v>1205231.676372</v>
      </c>
      <c r="F350">
        <f t="shared" si="31"/>
        <v>0.12447012783795432</v>
      </c>
      <c r="G350" t="s">
        <v>861</v>
      </c>
      <c r="H350" s="4" cm="1">
        <f t="array" ref="H350">_xll.SNL.Clients.Office.Excel.Functions.SPG(G350, "SP_TOTAL_REV", "CY2022")</f>
        <v>10575325</v>
      </c>
      <c r="I350" s="4">
        <f>_xll.SNL.Clients.Office.Excel.Functions.SPG(G350,"IQ_AVG_DILUT_SHARES_OUT","CY2022")</f>
        <v>3508524</v>
      </c>
      <c r="J350" s="5">
        <f>_xll.SNL.Clients.Office.Excel.Functions.SPG(G350, "IQ_DILUT_EPS_NORM", "CY2022")</f>
        <v>401.37900000000002</v>
      </c>
      <c r="K350">
        <f t="shared" si="32"/>
        <v>1408247.8545959999</v>
      </c>
      <c r="L350">
        <f t="shared" si="33"/>
        <v>0.13316355332777005</v>
      </c>
      <c r="M350" t="s">
        <v>872</v>
      </c>
      <c r="N350" s="4" cm="1">
        <f t="array" ref="N350">_xll.SNL.Clients.Office.Excel.Functions.SPG(M350, "SP_TOTAL_REV", "CY2022")</f>
        <v>8478000</v>
      </c>
      <c r="O350" s="4">
        <f>_xll.SNL.Clients.Office.Excel.Functions.SPG(M350,"IQ_AVG_DILUT_SHARES_OUT","CY2022")</f>
        <v>92700000</v>
      </c>
      <c r="P350" s="5">
        <f>_xll.SNL.Clients.Office.Excel.Functions.SPG(M350, "IQ_DILUT_EPS_NORM", "CY2022")</f>
        <v>9.5950000000000006</v>
      </c>
      <c r="Q350">
        <f t="shared" si="34"/>
        <v>889456.5</v>
      </c>
      <c r="R350">
        <f t="shared" si="35"/>
        <v>0.10491348195329087</v>
      </c>
    </row>
    <row r="351" spans="1:18" x14ac:dyDescent="0.3">
      <c r="A351" t="s">
        <v>862</v>
      </c>
      <c r="B351" s="4" cm="1">
        <f t="array" ref="B351">_xll.SNL.Clients.Office.Excel.Functions.SPG(A351, "SP_TOTAL_REV", "CY2023")</f>
        <v>13276000</v>
      </c>
      <c r="C351" s="4">
        <f>_xll.SNL.Clients.Office.Excel.Functions.SPG(A351,"IQ_AVG_DILUT_SHARES_OUT","CY2023")</f>
        <v>261370000</v>
      </c>
      <c r="D351" s="5">
        <f>_xll.SNL.Clients.Office.Excel.Functions.SPG(A351, "IQ_DILUT_EPS_NORM", "CY2023")</f>
        <v>8.1349999999999998</v>
      </c>
      <c r="E351">
        <f t="shared" si="30"/>
        <v>2126244.9500000002</v>
      </c>
      <c r="F351">
        <f t="shared" si="31"/>
        <v>0.16015704655016572</v>
      </c>
      <c r="G351" t="s">
        <v>862</v>
      </c>
      <c r="H351" s="4" cm="1">
        <f t="array" ref="H351">_xll.SNL.Clients.Office.Excel.Functions.SPG(G351, "SP_TOTAL_REV", "CY2022")</f>
        <v>13205000</v>
      </c>
      <c r="I351" s="4">
        <f>_xll.SNL.Clients.Office.Excel.Functions.SPG(G351,"IQ_AVG_DILUT_SHARES_OUT","CY2022")</f>
        <v>264053000</v>
      </c>
      <c r="J351" s="5">
        <f>_xll.SNL.Clients.Office.Excel.Functions.SPG(G351, "IQ_DILUT_EPS_NORM", "CY2022")</f>
        <v>7.81</v>
      </c>
      <c r="K351">
        <f t="shared" si="32"/>
        <v>2062253.93</v>
      </c>
      <c r="L351">
        <f t="shared" si="33"/>
        <v>0.15617220219613781</v>
      </c>
      <c r="M351" t="s">
        <v>874</v>
      </c>
      <c r="N351" s="4" cm="1">
        <f t="array" ref="N351">_xll.SNL.Clients.Office.Excel.Functions.SPG(M351, "SP_TOTAL_REV", "CY2022")</f>
        <v>30154000</v>
      </c>
      <c r="O351" s="4">
        <f>_xll.SNL.Clients.Office.Excel.Functions.SPG(M351,"IQ_AVG_DILUT_SHARES_OUT","CY2022")</f>
        <v>650000000</v>
      </c>
      <c r="P351" s="5">
        <f>_xll.SNL.Clients.Office.Excel.Functions.SPG(M351, "IQ_DILUT_EPS_NORM", "CY2022")</f>
        <v>1.5109999999999999</v>
      </c>
      <c r="Q351">
        <f t="shared" si="34"/>
        <v>982149.99999999988</v>
      </c>
      <c r="R351">
        <f t="shared" si="35"/>
        <v>3.2571134841148763E-2</v>
      </c>
    </row>
    <row r="352" spans="1:18" x14ac:dyDescent="0.3">
      <c r="A352" t="s">
        <v>863</v>
      </c>
      <c r="B352" s="4" cm="1">
        <f t="array" ref="B352">_xll.SNL.Clients.Office.Excel.Functions.SPG(A352, "SP_TOTAL_REV", "CY2023")</f>
        <v>15812250</v>
      </c>
      <c r="C352" s="4">
        <f>_xll.SNL.Clients.Office.Excel.Functions.SPG(A352,"IQ_AVG_DILUT_SHARES_OUT","CY2023")</f>
        <v>60998000</v>
      </c>
      <c r="D352" s="5">
        <f>_xll.SNL.Clients.Office.Excel.Functions.SPG(A352, "IQ_DILUT_EPS_NORM", "CY2023")</f>
        <v>30.724</v>
      </c>
      <c r="E352">
        <f t="shared" si="30"/>
        <v>1874102.5519999999</v>
      </c>
      <c r="F352">
        <f t="shared" si="31"/>
        <v>0.1185221933627409</v>
      </c>
      <c r="G352" t="s">
        <v>863</v>
      </c>
      <c r="H352" s="4" cm="1">
        <f t="array" ref="H352">_xll.SNL.Clients.Office.Excel.Functions.SPG(G352, "SP_TOTAL_REV", "CY2022")</f>
        <v>14409860</v>
      </c>
      <c r="I352" s="4">
        <f>_xll.SNL.Clients.Office.Excel.Functions.SPG(G352,"IQ_AVG_DILUT_SHARES_OUT","CY2022")</f>
        <v>64962000</v>
      </c>
      <c r="J352" s="5">
        <f>_xll.SNL.Clients.Office.Excel.Functions.SPG(G352, "IQ_DILUT_EPS_NORM", "CY2022")</f>
        <v>27.079000000000001</v>
      </c>
      <c r="K352">
        <f t="shared" si="32"/>
        <v>1759105.9979999999</v>
      </c>
      <c r="L352">
        <f t="shared" si="33"/>
        <v>0.12207655022324991</v>
      </c>
      <c r="M352" t="s">
        <v>875</v>
      </c>
      <c r="N352" s="4" cm="1">
        <f t="array" ref="N352">_xll.SNL.Clients.Office.Excel.Functions.SPG(M352, "SP_TOTAL_REV", "CY2022")</f>
        <v>17181805</v>
      </c>
      <c r="O352" s="4">
        <f>_xll.SNL.Clients.Office.Excel.Functions.SPG(M352,"IQ_AVG_DILUT_SHARES_OUT","CY2022")</f>
        <v>130044185</v>
      </c>
      <c r="P352" s="5">
        <f>_xll.SNL.Clients.Office.Excel.Functions.SPG(M352, "IQ_DILUT_EPS_NORM", "CY2022")</f>
        <v>12.961</v>
      </c>
      <c r="Q352">
        <f t="shared" si="34"/>
        <v>1685502.681785</v>
      </c>
      <c r="R352">
        <f t="shared" si="35"/>
        <v>9.8098114941067016E-2</v>
      </c>
    </row>
    <row r="353" spans="1:18" x14ac:dyDescent="0.3">
      <c r="A353" t="s">
        <v>864</v>
      </c>
      <c r="B353" s="4" cm="1">
        <f t="array" ref="B353">_xll.SNL.Clients.Office.Excel.Functions.SPG(A353, "SP_TOTAL_REV", "CY2023")</f>
        <v>28257000</v>
      </c>
      <c r="C353" s="4">
        <f>_xll.SNL.Clients.Office.Excel.Functions.SPG(A353,"IQ_AVG_DILUT_SHARES_OUT","CY2023")</f>
        <v>960900000</v>
      </c>
      <c r="D353" s="5">
        <f>_xll.SNL.Clients.Office.Excel.Functions.SPG(A353, "IQ_DILUT_EPS_NORM", "CY2023")</f>
        <v>3.7090000000000001</v>
      </c>
      <c r="E353">
        <f t="shared" si="30"/>
        <v>3563978.1</v>
      </c>
      <c r="F353">
        <f t="shared" si="31"/>
        <v>0.12612726404076866</v>
      </c>
      <c r="G353" t="s">
        <v>864</v>
      </c>
      <c r="H353" s="4" cm="1">
        <f t="array" ref="H353">_xll.SNL.Clients.Office.Excel.Functions.SPG(G353, "SP_TOTAL_REV", "CY2022")</f>
        <v>36634000</v>
      </c>
      <c r="I353" s="4">
        <f>_xll.SNL.Clients.Office.Excel.Functions.SPG(G353,"IQ_AVG_DILUT_SHARES_OUT","CY2022")</f>
        <v>1002000000</v>
      </c>
      <c r="J353" s="5">
        <f>_xll.SNL.Clients.Office.Excel.Functions.SPG(G353, "IQ_DILUT_EPS_NORM", "CY2022")</f>
        <v>8.6690000000000005</v>
      </c>
      <c r="K353">
        <f t="shared" si="32"/>
        <v>8686338</v>
      </c>
      <c r="L353">
        <f t="shared" si="33"/>
        <v>0.23711137194955506</v>
      </c>
      <c r="M353" t="s">
        <v>876</v>
      </c>
      <c r="N353" s="4" cm="1">
        <f t="array" ref="N353">_xll.SNL.Clients.Office.Excel.Functions.SPG(M353, "SP_TOTAL_REV", "CY2022")</f>
        <v>4816800</v>
      </c>
      <c r="O353" s="4">
        <f>_xll.SNL.Clients.Office.Excel.Functions.SPG(M353,"IQ_AVG_DILUT_SHARES_OUT","CY2022")</f>
        <v>362800000</v>
      </c>
      <c r="P353" s="5">
        <f>_xll.SNL.Clients.Office.Excel.Functions.SPG(M353, "IQ_DILUT_EPS_NORM", "CY2022")</f>
        <v>3.2909999999999999</v>
      </c>
      <c r="Q353">
        <f t="shared" si="34"/>
        <v>1193974.8</v>
      </c>
      <c r="R353">
        <f t="shared" si="35"/>
        <v>0.24787717987045343</v>
      </c>
    </row>
    <row r="354" spans="1:18" x14ac:dyDescent="0.3">
      <c r="A354" t="s">
        <v>865</v>
      </c>
      <c r="B354" s="4" cm="1">
        <f t="array" ref="B354">_xll.SNL.Clients.Office.Excel.Functions.SPG(A354, "SP_TOTAL_REV", "CY2023")</f>
        <v>5866152</v>
      </c>
      <c r="C354" s="4">
        <f>_xll.SNL.Clients.Office.Excel.Functions.SPG(A354,"IQ_AVG_DILUT_SHARES_OUT","CY2023")</f>
        <v>220180424</v>
      </c>
      <c r="D354" s="5">
        <f>_xll.SNL.Clients.Office.Excel.Functions.SPG(A354, "IQ_DILUT_EPS_NORM", "CY2023")</f>
        <v>4.6769999999999996</v>
      </c>
      <c r="E354">
        <f t="shared" si="30"/>
        <v>1029783.8430479999</v>
      </c>
      <c r="F354">
        <f t="shared" si="31"/>
        <v>0.17554673711966548</v>
      </c>
      <c r="G354" t="s">
        <v>865</v>
      </c>
      <c r="H354" s="4" cm="1">
        <f t="array" ref="H354">_xll.SNL.Clients.Office.Excel.Functions.SPG(G354, "SP_TOTAL_REV", "CY2022")</f>
        <v>6260077</v>
      </c>
      <c r="I354" s="4">
        <f>_xll.SNL.Clients.Office.Excel.Functions.SPG(G354,"IQ_AVG_DILUT_SHARES_OUT","CY2022")</f>
        <v>226155640</v>
      </c>
      <c r="J354" s="5">
        <f>_xll.SNL.Clients.Office.Excel.Functions.SPG(G354, "IQ_DILUT_EPS_NORM", "CY2022")</f>
        <v>5.0890000000000004</v>
      </c>
      <c r="K354">
        <f t="shared" si="32"/>
        <v>1150906.0519600001</v>
      </c>
      <c r="L354">
        <f t="shared" si="33"/>
        <v>0.18384854562651548</v>
      </c>
      <c r="M354" t="s">
        <v>877</v>
      </c>
      <c r="N354" s="4" cm="1">
        <f t="array" ref="N354">_xll.SNL.Clients.Office.Excel.Functions.SPG(M354, "SP_TOTAL_REV", "CY2022")</f>
        <v>1375218</v>
      </c>
      <c r="O354" s="4">
        <f>_xll.SNL.Clients.Office.Excel.Functions.SPG(M354,"IQ_AVG_DILUT_SHARES_OUT","CY2022")</f>
        <v>58175000</v>
      </c>
      <c r="P354" s="5">
        <f>_xll.SNL.Clients.Office.Excel.Functions.SPG(M354, "IQ_DILUT_EPS_NORM", "CY2022")</f>
        <v>4.1840000000000002</v>
      </c>
      <c r="Q354">
        <f t="shared" si="34"/>
        <v>243404.2</v>
      </c>
      <c r="R354">
        <f t="shared" si="35"/>
        <v>0.17699317490027036</v>
      </c>
    </row>
    <row r="355" spans="1:18" x14ac:dyDescent="0.3">
      <c r="A355" t="s">
        <v>866</v>
      </c>
      <c r="B355" s="4" cm="1">
        <f t="array" ref="B355">_xll.SNL.Clients.Office.Excel.Functions.SPG(A355, "SP_TOTAL_REV", "CY2023")</f>
        <v>14692200</v>
      </c>
      <c r="C355" s="4">
        <f>_xll.SNL.Clients.Office.Excel.Functions.SPG(A355,"IQ_AVG_DILUT_SHARES_OUT","CY2023")</f>
        <v>201400000</v>
      </c>
      <c r="D355" s="5">
        <f>_xll.SNL.Clients.Office.Excel.Functions.SPG(A355, "IQ_DILUT_EPS_NORM", "CY2023")</f>
        <v>5.9649999999999999</v>
      </c>
      <c r="E355">
        <f t="shared" si="30"/>
        <v>1201351</v>
      </c>
      <c r="F355">
        <f t="shared" si="31"/>
        <v>8.1767944895931172E-2</v>
      </c>
      <c r="G355" t="s">
        <v>866</v>
      </c>
      <c r="H355" s="4" cm="1">
        <f t="array" ref="H355">_xll.SNL.Clients.Office.Excel.Functions.SPG(G355, "SP_TOTAL_REV", "CY2022")</f>
        <v>14289100</v>
      </c>
      <c r="I355" s="4">
        <f>_xll.SNL.Clients.Office.Excel.Functions.SPG(G355,"IQ_AVG_DILUT_SHARES_OUT","CY2022")</f>
        <v>207000000</v>
      </c>
      <c r="J355" s="5">
        <f>_xll.SNL.Clients.Office.Excel.Functions.SPG(G355, "IQ_DILUT_EPS_NORM", "CY2022")</f>
        <v>5.81</v>
      </c>
      <c r="K355">
        <f t="shared" si="32"/>
        <v>1202670</v>
      </c>
      <c r="L355">
        <f t="shared" si="33"/>
        <v>8.4166952432273553E-2</v>
      </c>
      <c r="M355" t="s">
        <v>878</v>
      </c>
      <c r="N355" s="4" cm="1">
        <f t="array" ref="N355">_xll.SNL.Clients.Office.Excel.Functions.SPG(M355, "SP_TOTAL_REV", "CY2022")</f>
        <v>27518000</v>
      </c>
      <c r="O355" s="4">
        <f>_xll.SNL.Clients.Office.Excel.Functions.SPG(M355,"IQ_AVG_DILUT_SHARES_OUT","CY2022")</f>
        <v>1158000000</v>
      </c>
      <c r="P355" s="5">
        <f>_xll.SNL.Clients.Office.Excel.Functions.SPG(M355, "IQ_DILUT_EPS_NORM", "CY2022")</f>
        <v>2.2639999999999998</v>
      </c>
      <c r="Q355">
        <f t="shared" si="34"/>
        <v>2621711.9999999995</v>
      </c>
      <c r="R355">
        <f t="shared" si="35"/>
        <v>9.5272621556799164E-2</v>
      </c>
    </row>
    <row r="356" spans="1:18" x14ac:dyDescent="0.3">
      <c r="A356" t="s">
        <v>867</v>
      </c>
      <c r="B356" s="4" cm="1">
        <f t="array" ref="B356">_xll.SNL.Clients.Office.Excel.Functions.SPG(A356, "SP_TOTAL_REV", "CY2023")</f>
        <v>8253000</v>
      </c>
      <c r="C356" s="4">
        <f>_xll.SNL.Clients.Office.Excel.Functions.SPG(A356,"IQ_AVG_DILUT_SHARES_OUT","CY2023")</f>
        <v>446800000</v>
      </c>
      <c r="D356" s="5">
        <f>_xll.SNL.Clients.Office.Excel.Functions.SPG(A356, "IQ_DILUT_EPS_NORM", "CY2023")</f>
        <v>3.6669999999999998</v>
      </c>
      <c r="E356">
        <f t="shared" si="30"/>
        <v>1638415.6</v>
      </c>
      <c r="F356">
        <f t="shared" si="31"/>
        <v>0.19852363988852539</v>
      </c>
      <c r="G356" t="s">
        <v>867</v>
      </c>
      <c r="H356" s="4" cm="1">
        <f t="array" ref="H356">_xll.SNL.Clients.Office.Excel.Functions.SPG(G356, "SP_TOTAL_REV", "CY2022")</f>
        <v>8326200</v>
      </c>
      <c r="I356" s="4">
        <f>_xll.SNL.Clients.Office.Excel.Functions.SPG(G356,"IQ_AVG_DILUT_SHARES_OUT","CY2022")</f>
        <v>448200000</v>
      </c>
      <c r="J356" s="5">
        <f>_xll.SNL.Clients.Office.Excel.Functions.SPG(G356, "IQ_DILUT_EPS_NORM", "CY2022")</f>
        <v>3.7709999999999999</v>
      </c>
      <c r="K356">
        <f t="shared" si="32"/>
        <v>1690162.2</v>
      </c>
      <c r="L356">
        <f t="shared" si="33"/>
        <v>0.2029932262016286</v>
      </c>
      <c r="M356" t="s">
        <v>879</v>
      </c>
      <c r="N356" s="4" cm="1">
        <f t="array" ref="N356">_xll.SNL.Clients.Office.Excel.Functions.SPG(M356, "SP_TOTAL_REV", "CY2022")</f>
        <v>4121800</v>
      </c>
      <c r="O356" s="4">
        <f>_xll.SNL.Clients.Office.Excel.Functions.SPG(M356,"IQ_AVG_DILUT_SHARES_OUT","CY2022")</f>
        <v>165600000</v>
      </c>
      <c r="P356" s="5">
        <f>_xll.SNL.Clients.Office.Excel.Functions.SPG(M356, "IQ_DILUT_EPS_NORM", "CY2022")</f>
        <v>2.5409999999999999</v>
      </c>
      <c r="Q356">
        <f t="shared" si="34"/>
        <v>420789.6</v>
      </c>
      <c r="R356">
        <f t="shared" si="35"/>
        <v>0.10208879615701877</v>
      </c>
    </row>
    <row r="357" spans="1:18" x14ac:dyDescent="0.3">
      <c r="A357" t="s">
        <v>868</v>
      </c>
      <c r="B357" s="4" cm="1">
        <f t="array" ref="B357">_xll.SNL.Clients.Office.Excel.Functions.SPG(A357, "SP_TOTAL_REV", "CY2023")</f>
        <v>17677000</v>
      </c>
      <c r="C357" s="4">
        <f>_xll.SNL.Clients.Office.Excel.Functions.SPG(A357,"IQ_AVG_DILUT_SHARES_OUT","CY2023")</f>
        <v>485400000</v>
      </c>
      <c r="D357" s="5">
        <f>_xll.SNL.Clients.Office.Excel.Functions.SPG(A357, "IQ_DILUT_EPS_NORM", "CY2023")</f>
        <v>3.7029999999999998</v>
      </c>
      <c r="E357">
        <f t="shared" si="30"/>
        <v>1797436.2</v>
      </c>
      <c r="F357">
        <f t="shared" si="31"/>
        <v>0.10168219720540815</v>
      </c>
      <c r="G357" t="s">
        <v>868</v>
      </c>
      <c r="H357" s="4" cm="1">
        <f t="array" ref="H357">_xll.SNL.Clients.Office.Excel.Functions.SPG(G357, "SP_TOTAL_REV", "CY2022")</f>
        <v>22387000</v>
      </c>
      <c r="I357" s="4">
        <f>_xll.SNL.Clients.Office.Excel.Functions.SPG(G357,"IQ_AVG_DILUT_SHARES_OUT","CY2022")</f>
        <v>448400000</v>
      </c>
      <c r="J357" s="5">
        <f>_xll.SNL.Clients.Office.Excel.Functions.SPG(G357, "IQ_DILUT_EPS_NORM", "CY2022")</f>
        <v>3.1360000000000001</v>
      </c>
      <c r="K357">
        <f t="shared" si="32"/>
        <v>1406182.3999999999</v>
      </c>
      <c r="L357">
        <f t="shared" si="33"/>
        <v>6.2812453656139716E-2</v>
      </c>
      <c r="M357" t="s">
        <v>880</v>
      </c>
      <c r="N357" s="4" cm="1">
        <f t="array" ref="N357">_xll.SNL.Clients.Office.Excel.Functions.SPG(M357, "SP_TOTAL_REV", "CY2022")</f>
        <v>86392000</v>
      </c>
      <c r="O357" s="4">
        <f>_xll.SNL.Clients.Office.Excel.Functions.SPG(M357,"IQ_AVG_DILUT_SHARES_OUT","CY2022")</f>
        <v>1387000000</v>
      </c>
      <c r="P357" s="5">
        <f>_xll.SNL.Clients.Office.Excel.Functions.SPG(M357, "IQ_DILUT_EPS_NORM", "CY2022")</f>
        <v>5.1470000000000002</v>
      </c>
      <c r="Q357">
        <f t="shared" si="34"/>
        <v>7138889</v>
      </c>
      <c r="R357">
        <f t="shared" si="35"/>
        <v>8.2633681359385133E-2</v>
      </c>
    </row>
    <row r="358" spans="1:18" x14ac:dyDescent="0.3">
      <c r="A358" t="s">
        <v>869</v>
      </c>
      <c r="B358" s="4" cm="1">
        <f t="array" ref="B358">_xll.SNL.Clients.Office.Excel.Functions.SPG(A358, "SP_TOTAL_REV", "CY2023")</f>
        <v>51628000</v>
      </c>
      <c r="C358" s="4">
        <f>_xll.SNL.Clients.Office.Excel.Functions.SPG(A358,"IQ_AVG_DILUT_SHARES_OUT","CY2023")</f>
        <v>2802500000</v>
      </c>
      <c r="D358" s="5">
        <f>_xll.SNL.Clients.Office.Excel.Functions.SPG(A358, "IQ_DILUT_EPS_NORM", "CY2023")</f>
        <v>2.524</v>
      </c>
      <c r="E358">
        <f t="shared" si="30"/>
        <v>7073510</v>
      </c>
      <c r="F358">
        <f t="shared" si="31"/>
        <v>0.13700918106453863</v>
      </c>
      <c r="G358" t="s">
        <v>869</v>
      </c>
      <c r="H358" s="4" cm="1">
        <f t="array" ref="H358">_xll.SNL.Clients.Office.Excel.Functions.SPG(G358, "SP_TOTAL_REV", "CY2022")</f>
        <v>46073000</v>
      </c>
      <c r="I358" s="4">
        <f>_xll.SNL.Clients.Office.Excel.Functions.SPG(G358,"IQ_AVG_DILUT_SHARES_OUT","CY2022")</f>
        <v>2748000000</v>
      </c>
      <c r="J358" s="5">
        <f>_xll.SNL.Clients.Office.Excel.Functions.SPG(G358, "IQ_DILUT_EPS_NORM", "CY2022")</f>
        <v>2.5150000000000001</v>
      </c>
      <c r="K358">
        <f t="shared" si="32"/>
        <v>6911220</v>
      </c>
      <c r="L358">
        <f t="shared" si="33"/>
        <v>0.15000586026523127</v>
      </c>
      <c r="M358" t="s">
        <v>881</v>
      </c>
      <c r="N358" s="4" cm="1">
        <f t="array" ref="N358">_xll.SNL.Clients.Office.Excel.Functions.SPG(M358, "SP_TOTAL_REV", "CY2022")</f>
        <v>100330000</v>
      </c>
      <c r="O358" s="4">
        <f>_xll.SNL.Clients.Office.Excel.Functions.SPG(M358,"IQ_AVG_DILUT_SHARES_OUT","CY2022")</f>
        <v>5733000000</v>
      </c>
      <c r="P358" s="5">
        <f>_xll.SNL.Clients.Office.Excel.Functions.SPG(M358, "IQ_DILUT_EPS_NORM", "CY2022")</f>
        <v>4.3789999999999996</v>
      </c>
      <c r="Q358">
        <f t="shared" si="34"/>
        <v>25104806.999999996</v>
      </c>
      <c r="R358">
        <f t="shared" si="35"/>
        <v>0.25022233629024215</v>
      </c>
    </row>
    <row r="359" spans="1:18" x14ac:dyDescent="0.3">
      <c r="A359" t="s">
        <v>870</v>
      </c>
      <c r="B359" s="4" cm="1">
        <f t="array" ref="B359">_xll.SNL.Clients.Office.Excel.Functions.SPG(A359, "SP_TOTAL_REV", "CY2023")</f>
        <v>14209000</v>
      </c>
      <c r="C359" s="4">
        <f>_xll.SNL.Clients.Office.Excel.Functions.SPG(A359,"IQ_AVG_DILUT_SHARES_OUT","CY2023")</f>
        <v>414600000</v>
      </c>
      <c r="D359" s="5">
        <f>_xll.SNL.Clients.Office.Excel.Functions.SPG(A359, "IQ_DILUT_EPS_NORM", "CY2023")</f>
        <v>2.9649999999999999</v>
      </c>
      <c r="E359">
        <f t="shared" si="30"/>
        <v>1229289</v>
      </c>
      <c r="F359">
        <f t="shared" si="31"/>
        <v>8.6514814554155814E-2</v>
      </c>
      <c r="G359" t="s">
        <v>870</v>
      </c>
      <c r="H359" s="4" cm="1">
        <f t="array" ref="H359">_xll.SNL.Clients.Office.Excel.Functions.SPG(G359, "SP_TOTAL_REV", "CY2022")</f>
        <v>13685000</v>
      </c>
      <c r="I359" s="4">
        <f>_xll.SNL.Clients.Office.Excel.Functions.SPG(G359,"IQ_AVG_DILUT_SHARES_OUT","CY2022")</f>
        <v>423000000</v>
      </c>
      <c r="J359" s="5">
        <f>_xll.SNL.Clients.Office.Excel.Functions.SPG(G359, "IQ_DILUT_EPS_NORM", "CY2022")</f>
        <v>2.6349999999999998</v>
      </c>
      <c r="K359">
        <f t="shared" si="32"/>
        <v>1114605</v>
      </c>
      <c r="L359">
        <f t="shared" si="33"/>
        <v>8.1447204968944101E-2</v>
      </c>
      <c r="M359" t="s">
        <v>882</v>
      </c>
      <c r="N359" s="4" cm="1">
        <f t="array" ref="N359">_xll.SNL.Clients.Office.Excel.Functions.SPG(M359, "SP_TOTAL_REV", "CY2022")</f>
        <v>21680000</v>
      </c>
      <c r="O359" s="4">
        <f>_xll.SNL.Clients.Office.Excel.Functions.SPG(M359,"IQ_AVG_DILUT_SHARES_OUT","CY2022")</f>
        <v>2132000000</v>
      </c>
      <c r="P359" s="5">
        <f>_xll.SNL.Clients.Office.Excel.Functions.SPG(M359, "IQ_DILUT_EPS_NORM", "CY2022")</f>
        <v>0.36699999999999999</v>
      </c>
      <c r="Q359">
        <f t="shared" si="34"/>
        <v>782444</v>
      </c>
      <c r="R359">
        <f t="shared" si="35"/>
        <v>3.6090590405904059E-2</v>
      </c>
    </row>
    <row r="360" spans="1:18" x14ac:dyDescent="0.3">
      <c r="A360" t="s">
        <v>871</v>
      </c>
      <c r="B360" s="4" cm="1">
        <f t="array" ref="B360">_xll.SNL.Clients.Office.Excel.Functions.SPG(A360, "SP_TOTAL_REV", "CY2023")</f>
        <v>35127400</v>
      </c>
      <c r="C360" s="4">
        <f>_xll.SNL.Clients.Office.Excel.Functions.SPG(A360,"IQ_AVG_DILUT_SHARES_OUT","CY2023")</f>
        <v>525000000</v>
      </c>
      <c r="D360" s="5">
        <f>_xll.SNL.Clients.Office.Excel.Functions.SPG(A360, "IQ_DILUT_EPS_NORM", "CY2023")</f>
        <v>7.5220000000000002</v>
      </c>
      <c r="E360">
        <f t="shared" si="30"/>
        <v>3949050</v>
      </c>
      <c r="F360">
        <f t="shared" si="31"/>
        <v>0.11242078833047707</v>
      </c>
      <c r="G360" t="s">
        <v>871</v>
      </c>
      <c r="H360" s="4" cm="1">
        <f t="array" ref="H360">_xll.SNL.Clients.Office.Excel.Functions.SPG(G360, "SP_TOTAL_REV", "CY2022")</f>
        <v>28819700</v>
      </c>
      <c r="I360" s="4">
        <f>_xll.SNL.Clients.Office.Excel.Functions.SPG(G360,"IQ_AVG_DILUT_SHARES_OUT","CY2022")</f>
        <v>523400000</v>
      </c>
      <c r="J360" s="5">
        <f>_xll.SNL.Clients.Office.Excel.Functions.SPG(G360, "IQ_DILUT_EPS_NORM", "CY2022")</f>
        <v>4.5960000000000001</v>
      </c>
      <c r="K360">
        <f t="shared" si="32"/>
        <v>2405546.4</v>
      </c>
      <c r="L360">
        <f t="shared" si="33"/>
        <v>8.3468821674063221E-2</v>
      </c>
      <c r="M360" t="s">
        <v>883</v>
      </c>
      <c r="N360" s="4" cm="1">
        <f t="array" ref="N360">_xll.SNL.Clients.Office.Excel.Functions.SPG(M360, "SP_TOTAL_REV", "CY2022")</f>
        <v>31762000</v>
      </c>
      <c r="O360" s="4">
        <f>_xll.SNL.Clients.Office.Excel.Functions.SPG(M360,"IQ_AVG_DILUT_SHARES_OUT","CY2022")</f>
        <v>1552000000</v>
      </c>
      <c r="P360" s="5">
        <f>_xll.SNL.Clients.Office.Excel.Functions.SPG(M360, "IQ_DILUT_EPS_NORM", "CY2022")</f>
        <v>4.5609999999999999</v>
      </c>
      <c r="Q360">
        <f t="shared" si="34"/>
        <v>7078672</v>
      </c>
      <c r="R360">
        <f t="shared" si="35"/>
        <v>0.22286606636861658</v>
      </c>
    </row>
    <row r="361" spans="1:18" x14ac:dyDescent="0.3">
      <c r="A361" t="s">
        <v>872</v>
      </c>
      <c r="B361" s="4" cm="1">
        <f t="array" ref="B361">_xll.SNL.Clients.Office.Excel.Functions.SPG(A361, "SP_TOTAL_REV", "CY2023")</f>
        <v>7802400</v>
      </c>
      <c r="C361" s="4">
        <f>_xll.SNL.Clients.Office.Excel.Functions.SPG(A361,"IQ_AVG_DILUT_SHARES_OUT","CY2023")</f>
        <v>89500000</v>
      </c>
      <c r="D361" s="5">
        <f>_xll.SNL.Clients.Office.Excel.Functions.SPG(A361, "IQ_DILUT_EPS_NORM", "CY2023")</f>
        <v>7.476</v>
      </c>
      <c r="E361">
        <f t="shared" si="30"/>
        <v>669102</v>
      </c>
      <c r="F361">
        <f t="shared" si="31"/>
        <v>8.5755921254998466E-2</v>
      </c>
      <c r="G361" t="s">
        <v>872</v>
      </c>
      <c r="H361" s="4" cm="1">
        <f t="array" ref="H361">_xll.SNL.Clients.Office.Excel.Functions.SPG(G361, "SP_TOTAL_REV", "CY2022")</f>
        <v>8478000</v>
      </c>
      <c r="I361" s="4">
        <f>_xll.SNL.Clients.Office.Excel.Functions.SPG(G361,"IQ_AVG_DILUT_SHARES_OUT","CY2022")</f>
        <v>92700000</v>
      </c>
      <c r="J361" s="5">
        <f>_xll.SNL.Clients.Office.Excel.Functions.SPG(G361, "IQ_DILUT_EPS_NORM", "CY2022")</f>
        <v>9.5950000000000006</v>
      </c>
      <c r="K361">
        <f t="shared" si="32"/>
        <v>889456.5</v>
      </c>
      <c r="L361">
        <f t="shared" si="33"/>
        <v>0.10491348195329087</v>
      </c>
      <c r="M361" t="s">
        <v>884</v>
      </c>
      <c r="N361" s="4" cm="1">
        <f t="array" ref="N361">_xll.SNL.Clients.Office.Excel.Functions.SPG(M361, "SP_TOTAL_REV", "CY2022")</f>
        <v>169990000</v>
      </c>
      <c r="O361" s="4">
        <f>_xll.SNL.Clients.Office.Excel.Functions.SPG(M361,"IQ_AVG_DILUT_SHARES_OUT","CY2022")</f>
        <v>473731000</v>
      </c>
      <c r="P361" s="5">
        <f>_xll.SNL.Clients.Office.Excel.Functions.SPG(M361, "IQ_DILUT_EPS_NORM", "CY2022")</f>
        <v>15.205</v>
      </c>
      <c r="Q361">
        <f t="shared" si="34"/>
        <v>7203079.8550000004</v>
      </c>
      <c r="R361">
        <f t="shared" si="35"/>
        <v>4.2373550532384258E-2</v>
      </c>
    </row>
    <row r="362" spans="1:18" x14ac:dyDescent="0.3">
      <c r="A362" t="s">
        <v>873</v>
      </c>
      <c r="B362" s="4" cm="1">
        <f t="array" ref="B362">_xll.SNL.Clients.Office.Excel.Functions.SPG(A362, "SP_TOTAL_REV", "CY2023")</f>
        <v>7527400</v>
      </c>
      <c r="C362" s="4">
        <f>_xll.SNL.Clients.Office.Excel.Functions.SPG(A362,"IQ_AVG_DILUT_SHARES_OUT","CY2023")</f>
        <v>703300000</v>
      </c>
      <c r="D362" s="5">
        <f>_xll.SNL.Clients.Office.Excel.Functions.SPG(A362, "IQ_DILUT_EPS_NORM", "CY2023")</f>
        <v>0.92600000000000005</v>
      </c>
      <c r="E362">
        <f t="shared" si="30"/>
        <v>651255.80000000005</v>
      </c>
      <c r="F362">
        <f t="shared" si="31"/>
        <v>8.6518027472965442E-2</v>
      </c>
      <c r="G362" t="s">
        <v>873</v>
      </c>
      <c r="H362" s="4" cm="1">
        <f t="array" ref="H362">_xll.SNL.Clients.Office.Excel.Functions.SPG(G362, "SP_TOTAL_REV", "CY2022")</f>
        <v>6155700</v>
      </c>
      <c r="I362" s="4">
        <f>_xll.SNL.Clients.Office.Excel.Functions.SPG(G362,"IQ_AVG_DILUT_SHARES_OUT","CY2022")</f>
        <v>632500000</v>
      </c>
      <c r="J362" s="5">
        <f>_xll.SNL.Clients.Office.Excel.Functions.SPG(G362, "IQ_DILUT_EPS_NORM", "CY2022")</f>
        <v>8.3000000000000004E-2</v>
      </c>
      <c r="K362">
        <f t="shared" si="32"/>
        <v>52497.5</v>
      </c>
      <c r="L362">
        <f t="shared" si="33"/>
        <v>8.5282746072745594E-3</v>
      </c>
      <c r="M362" t="s">
        <v>885</v>
      </c>
      <c r="N362" s="4" cm="1">
        <f t="array" ref="N362">_xll.SNL.Clients.Office.Excel.Functions.SPG(M362, "SP_TOTAL_REV", "CY2022")</f>
        <v>4324385</v>
      </c>
      <c r="O362" s="4">
        <f>_xll.SNL.Clients.Office.Excel.Functions.SPG(M362,"IQ_AVG_DILUT_SHARES_OUT","CY2022")</f>
        <v>113416000</v>
      </c>
      <c r="P362" s="5">
        <f>_xll.SNL.Clients.Office.Excel.Functions.SPG(M362, "IQ_DILUT_EPS_NORM", "CY2022")</f>
        <v>3.1339999999999999</v>
      </c>
      <c r="Q362">
        <f t="shared" si="34"/>
        <v>355445.74400000001</v>
      </c>
      <c r="R362">
        <f t="shared" si="35"/>
        <v>8.2195674991935266E-2</v>
      </c>
    </row>
    <row r="363" spans="1:18" x14ac:dyDescent="0.3">
      <c r="A363" t="s">
        <v>874</v>
      </c>
      <c r="B363" s="4" cm="1">
        <f t="array" ref="B363">_xll.SNL.Clients.Office.Excel.Functions.SPG(A363, "SP_TOTAL_REV", "CY2023")</f>
        <v>29652000</v>
      </c>
      <c r="C363" s="4">
        <f>_xll.SNL.Clients.Office.Excel.Functions.SPG(A363,"IQ_AVG_DILUT_SHARES_OUT","CY2023")</f>
        <v>652000000</v>
      </c>
      <c r="D363" s="5">
        <f>_xll.SNL.Clients.Office.Excel.Functions.SPG(A363, "IQ_DILUT_EPS_NORM", "CY2023")</f>
        <v>0.57299999999999995</v>
      </c>
      <c r="E363">
        <f t="shared" si="30"/>
        <v>373595.99999999994</v>
      </c>
      <c r="F363">
        <f t="shared" si="31"/>
        <v>1.25993524888709E-2</v>
      </c>
      <c r="G363" t="s">
        <v>874</v>
      </c>
      <c r="H363" s="4" cm="1">
        <f t="array" ref="H363">_xll.SNL.Clients.Office.Excel.Functions.SPG(G363, "SP_TOTAL_REV", "CY2022")</f>
        <v>30154000</v>
      </c>
      <c r="I363" s="4">
        <f>_xll.SNL.Clients.Office.Excel.Functions.SPG(G363,"IQ_AVG_DILUT_SHARES_OUT","CY2022")</f>
        <v>650000000</v>
      </c>
      <c r="J363" s="5">
        <f>_xll.SNL.Clients.Office.Excel.Functions.SPG(G363, "IQ_DILUT_EPS_NORM", "CY2022")</f>
        <v>1.5109999999999999</v>
      </c>
      <c r="K363">
        <f t="shared" si="32"/>
        <v>982149.99999999988</v>
      </c>
      <c r="L363">
        <f t="shared" si="33"/>
        <v>3.2571134841148763E-2</v>
      </c>
      <c r="M363" t="s">
        <v>886</v>
      </c>
      <c r="N363" s="4" cm="1">
        <f t="array" ref="N363">_xll.SNL.Clients.Office.Excel.Functions.SPG(M363, "SP_TOTAL_REV", "CY2022")</f>
        <v>21147000</v>
      </c>
      <c r="O363" s="4">
        <f>_xll.SNL.Clients.Office.Excel.Functions.SPG(M363,"IQ_AVG_DILUT_SHARES_OUT","CY2022")</f>
        <v>412000000</v>
      </c>
      <c r="P363" s="5">
        <f>_xll.SNL.Clients.Office.Excel.Functions.SPG(M363, "IQ_DILUT_EPS_NORM", "CY2022")</f>
        <v>11.162000000000001</v>
      </c>
      <c r="Q363">
        <f t="shared" si="34"/>
        <v>4598744</v>
      </c>
      <c r="R363">
        <f t="shared" si="35"/>
        <v>0.21746555066912565</v>
      </c>
    </row>
    <row r="364" spans="1:18" x14ac:dyDescent="0.3">
      <c r="A364" t="s">
        <v>875</v>
      </c>
      <c r="B364" s="4" cm="1">
        <f t="array" ref="B364">_xll.SNL.Clients.Office.Excel.Functions.SPG(A364, "SP_TOTAL_REV", "CY2023")</f>
        <v>19826043</v>
      </c>
      <c r="C364" s="4">
        <f>_xll.SNL.Clients.Office.Excel.Functions.SPG(A364,"IQ_AVG_DILUT_SHARES_OUT","CY2023")</f>
        <v>130023935</v>
      </c>
      <c r="D364" s="5">
        <f>_xll.SNL.Clients.Office.Excel.Functions.SPG(A364, "IQ_DILUT_EPS_NORM", "CY2023")</f>
        <v>17.509</v>
      </c>
      <c r="E364">
        <f t="shared" si="30"/>
        <v>2276589.0779149998</v>
      </c>
      <c r="F364">
        <f t="shared" si="31"/>
        <v>0.11482821246352587</v>
      </c>
      <c r="G364" t="s">
        <v>875</v>
      </c>
      <c r="H364" s="4" cm="1">
        <f t="array" ref="H364">_xll.SNL.Clients.Office.Excel.Functions.SPG(G364, "SP_TOTAL_REV", "CY2022")</f>
        <v>17181805</v>
      </c>
      <c r="I364" s="4">
        <f>_xll.SNL.Clients.Office.Excel.Functions.SPG(G364,"IQ_AVG_DILUT_SHARES_OUT","CY2022")</f>
        <v>130044185</v>
      </c>
      <c r="J364" s="5">
        <f>_xll.SNL.Clients.Office.Excel.Functions.SPG(G364, "IQ_DILUT_EPS_NORM", "CY2022")</f>
        <v>12.961</v>
      </c>
      <c r="K364">
        <f t="shared" si="32"/>
        <v>1685502.681785</v>
      </c>
      <c r="L364">
        <f t="shared" si="33"/>
        <v>9.8098114941067016E-2</v>
      </c>
      <c r="M364" t="s">
        <v>887</v>
      </c>
      <c r="N364" s="4" cm="1">
        <f t="array" ref="N364">_xll.SNL.Clients.Office.Excel.Functions.SPG(M364, "SP_TOTAL_REV", "CY2022")</f>
        <v>6179727</v>
      </c>
      <c r="O364" s="4">
        <f>_xll.SNL.Clients.Office.Excel.Functions.SPG(M364,"IQ_AVG_DILUT_SHARES_OUT","CY2022")</f>
        <v>39806000</v>
      </c>
      <c r="P364" s="5">
        <f>_xll.SNL.Clients.Office.Excel.Functions.SPG(M364, "IQ_DILUT_EPS_NORM", "CY2022")</f>
        <v>15.478999999999999</v>
      </c>
      <c r="Q364">
        <f t="shared" si="34"/>
        <v>616157.07400000002</v>
      </c>
      <c r="R364">
        <f t="shared" si="35"/>
        <v>9.9706196406410832E-2</v>
      </c>
    </row>
    <row r="365" spans="1:18" x14ac:dyDescent="0.3">
      <c r="A365" t="s">
        <v>876</v>
      </c>
      <c r="B365" s="4" cm="1">
        <f t="array" ref="B365">_xll.SNL.Clients.Office.Excel.Functions.SPG(A365, "SP_TOTAL_REV", "CY2023")</f>
        <v>5154500</v>
      </c>
      <c r="C365" s="4">
        <f>_xll.SNL.Clients.Office.Excel.Functions.SPG(A365,"IQ_AVG_DILUT_SHARES_OUT","CY2023")</f>
        <v>362350000</v>
      </c>
      <c r="D365" s="5">
        <f>_xll.SNL.Clients.Office.Excel.Functions.SPG(A365, "IQ_DILUT_EPS_NORM", "CY2023")</f>
        <v>3.722</v>
      </c>
      <c r="E365">
        <f t="shared" si="30"/>
        <v>1348666.7</v>
      </c>
      <c r="F365">
        <f t="shared" si="31"/>
        <v>0.26164840430691627</v>
      </c>
      <c r="G365" t="s">
        <v>876</v>
      </c>
      <c r="H365" s="4" cm="1">
        <f t="array" ref="H365">_xll.SNL.Clients.Office.Excel.Functions.SPG(G365, "SP_TOTAL_REV", "CY2022")</f>
        <v>4816800</v>
      </c>
      <c r="I365" s="4">
        <f>_xll.SNL.Clients.Office.Excel.Functions.SPG(G365,"IQ_AVG_DILUT_SHARES_OUT","CY2022")</f>
        <v>362800000</v>
      </c>
      <c r="J365" s="5">
        <f>_xll.SNL.Clients.Office.Excel.Functions.SPG(G365, "IQ_DILUT_EPS_NORM", "CY2022")</f>
        <v>3.2909999999999999</v>
      </c>
      <c r="K365">
        <f t="shared" si="32"/>
        <v>1193974.8</v>
      </c>
      <c r="L365">
        <f t="shared" si="33"/>
        <v>0.24787717987045343</v>
      </c>
      <c r="M365" t="s">
        <v>888</v>
      </c>
      <c r="N365" s="4" cm="1">
        <f t="array" ref="N365">_xll.SNL.Clients.Office.Excel.Functions.SPG(M365, "SP_TOTAL_REV", "CY2022")</f>
        <v>17652000</v>
      </c>
      <c r="O365" s="4">
        <f>_xll.SNL.Clients.Office.Excel.Functions.SPG(M365,"IQ_AVG_DILUT_SHARES_OUT","CY2022")</f>
        <v>237300000</v>
      </c>
      <c r="P365" s="5">
        <f>_xll.SNL.Clients.Office.Excel.Functions.SPG(M365, "IQ_DILUT_EPS_NORM", "CY2022")</f>
        <v>4.2409999999999997</v>
      </c>
      <c r="Q365">
        <f t="shared" si="34"/>
        <v>1006389.2999999999</v>
      </c>
      <c r="R365">
        <f t="shared" si="35"/>
        <v>5.7012763426240648E-2</v>
      </c>
    </row>
    <row r="366" spans="1:18" x14ac:dyDescent="0.3">
      <c r="A366" t="s">
        <v>877</v>
      </c>
      <c r="B366" s="4" cm="1">
        <f t="array" ref="B366">_xll.SNL.Clients.Office.Excel.Functions.SPG(A366, "SP_TOTAL_REV", "CY2023")</f>
        <v>1693674</v>
      </c>
      <c r="C366" s="4">
        <f>_xll.SNL.Clients.Office.Excel.Functions.SPG(A366,"IQ_AVG_DILUT_SHARES_OUT","CY2023")</f>
        <v>57974000</v>
      </c>
      <c r="D366" s="5">
        <f>_xll.SNL.Clients.Office.Excel.Functions.SPG(A366, "IQ_DILUT_EPS_NORM", "CY2023")</f>
        <v>5.093</v>
      </c>
      <c r="E366">
        <f t="shared" si="30"/>
        <v>295261.58199999999</v>
      </c>
      <c r="F366">
        <f t="shared" si="31"/>
        <v>0.17433200367957469</v>
      </c>
      <c r="G366" t="s">
        <v>877</v>
      </c>
      <c r="H366" s="4" cm="1">
        <f t="array" ref="H366">_xll.SNL.Clients.Office.Excel.Functions.SPG(G366, "SP_TOTAL_REV", "CY2022")</f>
        <v>1375218</v>
      </c>
      <c r="I366" s="4">
        <f>_xll.SNL.Clients.Office.Excel.Functions.SPG(G366,"IQ_AVG_DILUT_SHARES_OUT","CY2022")</f>
        <v>58175000</v>
      </c>
      <c r="J366" s="5">
        <f>_xll.SNL.Clients.Office.Excel.Functions.SPG(G366, "IQ_DILUT_EPS_NORM", "CY2022")</f>
        <v>4.1840000000000002</v>
      </c>
      <c r="K366">
        <f t="shared" si="32"/>
        <v>243404.2</v>
      </c>
      <c r="L366">
        <f t="shared" si="33"/>
        <v>0.17699317490027036</v>
      </c>
      <c r="M366" t="s">
        <v>889</v>
      </c>
      <c r="N366" s="4" cm="1">
        <f t="array" ref="N366">_xll.SNL.Clients.Office.Excel.Functions.SPG(M366, "SP_TOTAL_REV", "CY2022")</f>
        <v>7902000</v>
      </c>
      <c r="O366" s="4">
        <f>_xll.SNL.Clients.Office.Excel.Functions.SPG(M366,"IQ_AVG_DILUT_SHARES_OUT","CY2022")</f>
        <v>736902000</v>
      </c>
      <c r="P366" s="5">
        <f>_xll.SNL.Clients.Office.Excel.Functions.SPG(M366, "IQ_DILUT_EPS_NORM", "CY2022")</f>
        <v>0.85799999999999998</v>
      </c>
      <c r="Q366">
        <f t="shared" si="34"/>
        <v>632261.91599999997</v>
      </c>
      <c r="R366">
        <f t="shared" si="35"/>
        <v>8.0012897494305235E-2</v>
      </c>
    </row>
    <row r="367" spans="1:18" x14ac:dyDescent="0.3">
      <c r="A367" t="s">
        <v>878</v>
      </c>
      <c r="B367" s="4" cm="1">
        <f t="array" ref="B367">_xll.SNL.Clients.Office.Excel.Functions.SPG(A367, "SP_TOTAL_REV", "CY2023")</f>
        <v>29771000</v>
      </c>
      <c r="C367" s="4">
        <f>_xll.SNL.Clients.Office.Excel.Functions.SPG(A367,"IQ_AVG_DILUT_SHARES_OUT","CY2023")</f>
        <v>1107000000</v>
      </c>
      <c r="D367" s="5">
        <f>_xll.SNL.Clients.Office.Excel.Functions.SPG(A367, "IQ_DILUT_EPS_NORM", "CY2023")</f>
        <v>2.8119999999999998</v>
      </c>
      <c r="E367">
        <f t="shared" si="30"/>
        <v>3112884</v>
      </c>
      <c r="F367">
        <f t="shared" si="31"/>
        <v>0.10456094857411576</v>
      </c>
      <c r="G367" t="s">
        <v>878</v>
      </c>
      <c r="H367" s="4" cm="1">
        <f t="array" ref="H367">_xll.SNL.Clients.Office.Excel.Functions.SPG(G367, "SP_TOTAL_REV", "CY2022")</f>
        <v>27518000</v>
      </c>
      <c r="I367" s="4">
        <f>_xll.SNL.Clients.Office.Excel.Functions.SPG(G367,"IQ_AVG_DILUT_SHARES_OUT","CY2022")</f>
        <v>1158000000</v>
      </c>
      <c r="J367" s="5">
        <f>_xll.SNL.Clients.Office.Excel.Functions.SPG(G367, "IQ_DILUT_EPS_NORM", "CY2022")</f>
        <v>2.2639999999999998</v>
      </c>
      <c r="K367">
        <f t="shared" si="32"/>
        <v>2621711.9999999995</v>
      </c>
      <c r="L367">
        <f t="shared" si="33"/>
        <v>9.5272621556799164E-2</v>
      </c>
      <c r="M367" t="s">
        <v>890</v>
      </c>
      <c r="N367" s="4" cm="1">
        <f t="array" ref="N367">_xll.SNL.Clients.Office.Excel.Functions.SPG(M367, "SP_TOTAL_REV", "CY2022")</f>
        <v>17536100</v>
      </c>
      <c r="O367" s="4">
        <f>_xll.SNL.Clients.Office.Excel.Functions.SPG(M367,"IQ_AVG_DILUT_SHARES_OUT","CY2022")</f>
        <v>255300000</v>
      </c>
      <c r="P367" s="5">
        <f>_xll.SNL.Clients.Office.Excel.Functions.SPG(M367, "IQ_DILUT_EPS_NORM", "CY2022")</f>
        <v>14.497999999999999</v>
      </c>
      <c r="Q367">
        <f t="shared" si="34"/>
        <v>3701339.4</v>
      </c>
      <c r="R367">
        <f t="shared" si="35"/>
        <v>0.21106970192916327</v>
      </c>
    </row>
    <row r="368" spans="1:18" x14ac:dyDescent="0.3">
      <c r="A368" t="s">
        <v>879</v>
      </c>
      <c r="B368" s="4" cm="1">
        <f t="array" ref="B368">_xll.SNL.Clients.Office.Excel.Functions.SPG(A368, "SP_TOTAL_REV", "CY2023")</f>
        <v>4104500</v>
      </c>
      <c r="C368" s="4">
        <f>_xll.SNL.Clients.Office.Excel.Functions.SPG(A368,"IQ_AVG_DILUT_SHARES_OUT","CY2023")</f>
        <v>166300000</v>
      </c>
      <c r="D368" s="5">
        <f>_xll.SNL.Clients.Office.Excel.Functions.SPG(A368, "IQ_DILUT_EPS_NORM", "CY2023")</f>
        <v>2.5270000000000001</v>
      </c>
      <c r="E368">
        <f t="shared" si="30"/>
        <v>420240.1</v>
      </c>
      <c r="F368">
        <f t="shared" si="31"/>
        <v>0.10238521135339261</v>
      </c>
      <c r="G368" t="s">
        <v>879</v>
      </c>
      <c r="H368" s="4" cm="1">
        <f t="array" ref="H368">_xll.SNL.Clients.Office.Excel.Functions.SPG(G368, "SP_TOTAL_REV", "CY2022")</f>
        <v>4121800</v>
      </c>
      <c r="I368" s="4">
        <f>_xll.SNL.Clients.Office.Excel.Functions.SPG(G368,"IQ_AVG_DILUT_SHARES_OUT","CY2022")</f>
        <v>165600000</v>
      </c>
      <c r="J368" s="5">
        <f>_xll.SNL.Clients.Office.Excel.Functions.SPG(G368, "IQ_DILUT_EPS_NORM", "CY2022")</f>
        <v>2.5409999999999999</v>
      </c>
      <c r="K368">
        <f t="shared" si="32"/>
        <v>420789.6</v>
      </c>
      <c r="L368">
        <f t="shared" si="33"/>
        <v>0.10208879615701877</v>
      </c>
      <c r="M368" t="s">
        <v>891</v>
      </c>
      <c r="N368" s="4" cm="1">
        <f t="array" ref="N368">_xll.SNL.Clients.Office.Excel.Functions.SPG(M368, "SP_TOTAL_REV", "CY2022")</f>
        <v>80281000</v>
      </c>
      <c r="O368" s="4">
        <f>_xll.SNL.Clients.Office.Excel.Functions.SPG(M368,"IQ_AVG_DILUT_SHARES_OUT","CY2022")</f>
        <v>2509500000</v>
      </c>
      <c r="P368" s="5">
        <f>_xll.SNL.Clients.Office.Excel.Functions.SPG(M368, "IQ_DILUT_EPS_NORM", "CY2022")</f>
        <v>4.4009999999999998</v>
      </c>
      <c r="Q368">
        <f t="shared" si="34"/>
        <v>11044309.5</v>
      </c>
      <c r="R368">
        <f t="shared" si="35"/>
        <v>0.13757065183542805</v>
      </c>
    </row>
    <row r="369" spans="1:18" x14ac:dyDescent="0.3">
      <c r="A369" t="s">
        <v>880</v>
      </c>
      <c r="B369" s="4" cm="1">
        <f t="array" ref="B369">_xll.SNL.Clients.Office.Excel.Functions.SPG(A369, "SP_TOTAL_REV", "CY2023")</f>
        <v>91471000</v>
      </c>
      <c r="C369" s="4">
        <f>_xll.SNL.Clients.Office.Excel.Functions.SPG(A369,"IQ_AVG_DILUT_SHARES_OUT","CY2023")</f>
        <v>1383000000</v>
      </c>
      <c r="D369" s="5">
        <f>_xll.SNL.Clients.Office.Excel.Functions.SPG(A369, "IQ_DILUT_EPS_NORM", "CY2023")</f>
        <v>5.69</v>
      </c>
      <c r="E369">
        <f t="shared" si="30"/>
        <v>7869270.0000000009</v>
      </c>
      <c r="F369">
        <f t="shared" si="31"/>
        <v>8.6030217227317962E-2</v>
      </c>
      <c r="G369" t="s">
        <v>880</v>
      </c>
      <c r="H369" s="4" cm="1">
        <f t="array" ref="H369">_xll.SNL.Clients.Office.Excel.Functions.SPG(G369, "SP_TOTAL_REV", "CY2022")</f>
        <v>86392000</v>
      </c>
      <c r="I369" s="4">
        <f>_xll.SNL.Clients.Office.Excel.Functions.SPG(G369,"IQ_AVG_DILUT_SHARES_OUT","CY2022")</f>
        <v>1387000000</v>
      </c>
      <c r="J369" s="5">
        <f>_xll.SNL.Clients.Office.Excel.Functions.SPG(G369, "IQ_DILUT_EPS_NORM", "CY2022")</f>
        <v>5.1470000000000002</v>
      </c>
      <c r="K369">
        <f t="shared" si="32"/>
        <v>7138889</v>
      </c>
      <c r="L369">
        <f t="shared" si="33"/>
        <v>8.2633681359385133E-2</v>
      </c>
      <c r="M369" t="s">
        <v>892</v>
      </c>
      <c r="N369" s="4" cm="1">
        <f t="array" ref="N369">_xll.SNL.Clients.Office.Excel.Functions.SPG(M369, "SP_TOTAL_REV", "CY2022")</f>
        <v>49586400</v>
      </c>
      <c r="O369" s="4">
        <f>_xll.SNL.Clients.Office.Excel.Functions.SPG(M369,"IQ_AVG_DILUT_SHARES_OUT","CY2022")</f>
        <v>587100000</v>
      </c>
      <c r="P369" s="5">
        <f>_xll.SNL.Clients.Office.Excel.Functions.SPG(M369, "IQ_DILUT_EPS_NORM", "CY2022")</f>
        <v>1.2210000000000001</v>
      </c>
      <c r="Q369">
        <f t="shared" si="34"/>
        <v>716849.1</v>
      </c>
      <c r="R369">
        <f t="shared" si="35"/>
        <v>1.445656671990707E-2</v>
      </c>
    </row>
    <row r="370" spans="1:18" x14ac:dyDescent="0.3">
      <c r="A370" t="s">
        <v>881</v>
      </c>
      <c r="B370" s="4" cm="1">
        <f t="array" ref="B370">_xll.SNL.Clients.Office.Excel.Functions.SPG(A370, "SP_TOTAL_REV", "CY2023")</f>
        <v>58496000</v>
      </c>
      <c r="C370" s="4">
        <f>_xll.SNL.Clients.Office.Excel.Functions.SPG(A370,"IQ_AVG_DILUT_SHARES_OUT","CY2023")</f>
        <v>5709000000</v>
      </c>
      <c r="D370" s="5">
        <f>_xll.SNL.Clients.Office.Excel.Functions.SPG(A370, "IQ_DILUT_EPS_NORM", "CY2023")</f>
        <v>0.77</v>
      </c>
      <c r="E370">
        <f t="shared" si="30"/>
        <v>4395930</v>
      </c>
      <c r="F370">
        <f t="shared" si="31"/>
        <v>7.5149240973741788E-2</v>
      </c>
      <c r="G370" t="s">
        <v>881</v>
      </c>
      <c r="H370" s="4" cm="1">
        <f t="array" ref="H370">_xll.SNL.Clients.Office.Excel.Functions.SPG(G370, "SP_TOTAL_REV", "CY2022")</f>
        <v>100330000</v>
      </c>
      <c r="I370" s="4">
        <f>_xll.SNL.Clients.Office.Excel.Functions.SPG(G370,"IQ_AVG_DILUT_SHARES_OUT","CY2022")</f>
        <v>5733000000</v>
      </c>
      <c r="J370" s="5">
        <f>_xll.SNL.Clients.Office.Excel.Functions.SPG(G370, "IQ_DILUT_EPS_NORM", "CY2022")</f>
        <v>4.3789999999999996</v>
      </c>
      <c r="K370">
        <f t="shared" si="32"/>
        <v>25104806.999999996</v>
      </c>
      <c r="L370">
        <f t="shared" si="33"/>
        <v>0.25022233629024215</v>
      </c>
      <c r="M370" t="s">
        <v>893</v>
      </c>
      <c r="N370" s="4" cm="1">
        <f t="array" ref="N370">_xll.SNL.Clients.Office.Excel.Functions.SPG(M370, "SP_TOTAL_REV", "CY2022")</f>
        <v>6191477</v>
      </c>
      <c r="O370" s="4">
        <f>_xll.SNL.Clients.Office.Excel.Functions.SPG(M370,"IQ_AVG_DILUT_SHARES_OUT","CY2022")</f>
        <v>811608000</v>
      </c>
      <c r="P370" s="5">
        <f>_xll.SNL.Clients.Office.Excel.Functions.SPG(M370, "IQ_DILUT_EPS_NORM", "CY2022")</f>
        <v>1.7090000000000001</v>
      </c>
      <c r="Q370">
        <f t="shared" si="34"/>
        <v>1387038.0719999999</v>
      </c>
      <c r="R370">
        <f t="shared" si="35"/>
        <v>0.22402377849421065</v>
      </c>
    </row>
    <row r="371" spans="1:18" x14ac:dyDescent="0.3">
      <c r="A371" t="s">
        <v>882</v>
      </c>
      <c r="B371" s="4" cm="1">
        <f t="array" ref="B371">_xll.SNL.Clients.Office.Excel.Functions.SPG(A371, "SP_TOTAL_REV", "CY2023")</f>
        <v>24428000</v>
      </c>
      <c r="C371" s="4">
        <f>_xll.SNL.Clients.Office.Excel.Functions.SPG(A371,"IQ_AVG_DILUT_SHARES_OUT","CY2023")</f>
        <v>2138000000</v>
      </c>
      <c r="D371" s="5">
        <f>_xll.SNL.Clients.Office.Excel.Functions.SPG(A371, "IQ_DILUT_EPS_NORM", "CY2023")</f>
        <v>0.38500000000000001</v>
      </c>
      <c r="E371">
        <f t="shared" si="30"/>
        <v>823130</v>
      </c>
      <c r="F371">
        <f t="shared" si="31"/>
        <v>3.3696168331422957E-2</v>
      </c>
      <c r="G371" t="s">
        <v>882</v>
      </c>
      <c r="H371" s="4" cm="1">
        <f t="array" ref="H371">_xll.SNL.Clients.Office.Excel.Functions.SPG(G371, "SP_TOTAL_REV", "CY2022")</f>
        <v>21680000</v>
      </c>
      <c r="I371" s="4">
        <f>_xll.SNL.Clients.Office.Excel.Functions.SPG(G371,"IQ_AVG_DILUT_SHARES_OUT","CY2022")</f>
        <v>2132000000</v>
      </c>
      <c r="J371" s="5">
        <f>_xll.SNL.Clients.Office.Excel.Functions.SPG(G371, "IQ_DILUT_EPS_NORM", "CY2022")</f>
        <v>0.36699999999999999</v>
      </c>
      <c r="K371">
        <f t="shared" si="32"/>
        <v>782444</v>
      </c>
      <c r="L371">
        <f t="shared" si="33"/>
        <v>3.6090590405904059E-2</v>
      </c>
      <c r="M371" t="s">
        <v>894</v>
      </c>
      <c r="N371" s="4" cm="1">
        <f t="array" ref="N371">_xll.SNL.Clients.Office.Excel.Functions.SPG(M371, "SP_TOTAL_REV", "CY2022")</f>
        <v>56881000</v>
      </c>
      <c r="O371" s="4">
        <f>_xll.SNL.Clients.Office.Excel.Functions.SPG(M371,"IQ_AVG_DILUT_SHARES_OUT","CY2022")</f>
        <v>372300000</v>
      </c>
      <c r="P371" s="5">
        <f>_xll.SNL.Clients.Office.Excel.Functions.SPG(M371, "IQ_DILUT_EPS_NORM", "CY2022")</f>
        <v>-5.5339999999999998</v>
      </c>
      <c r="Q371">
        <f t="shared" si="34"/>
        <v>-2060308.2</v>
      </c>
      <c r="R371">
        <f t="shared" si="35"/>
        <v>-3.6221377964522426E-2</v>
      </c>
    </row>
    <row r="372" spans="1:18" x14ac:dyDescent="0.3">
      <c r="A372" t="s">
        <v>883</v>
      </c>
      <c r="B372" s="4" cm="1">
        <f t="array" ref="B372">_xll.SNL.Clients.Office.Excel.Functions.SPG(A372, "SP_TOTAL_REV", "CY2023")</f>
        <v>35174000</v>
      </c>
      <c r="C372" s="4">
        <f>_xll.SNL.Clients.Office.Excel.Functions.SPG(A372,"IQ_AVG_DILUT_SHARES_OUT","CY2023")</f>
        <v>1553000000</v>
      </c>
      <c r="D372" s="5">
        <f>_xll.SNL.Clients.Office.Excel.Functions.SPG(A372, "IQ_DILUT_EPS_NORM", "CY2023")</f>
        <v>4.4530000000000003</v>
      </c>
      <c r="E372">
        <f t="shared" si="30"/>
        <v>6915509</v>
      </c>
      <c r="F372">
        <f t="shared" si="31"/>
        <v>0.19660854608517656</v>
      </c>
      <c r="G372" t="s">
        <v>883</v>
      </c>
      <c r="H372" s="4" cm="1">
        <f t="array" ref="H372">_xll.SNL.Clients.Office.Excel.Functions.SPG(G372, "SP_TOTAL_REV", "CY2022")</f>
        <v>31762000</v>
      </c>
      <c r="I372" s="4">
        <f>_xll.SNL.Clients.Office.Excel.Functions.SPG(G372,"IQ_AVG_DILUT_SHARES_OUT","CY2022")</f>
        <v>1552000000</v>
      </c>
      <c r="J372" s="5">
        <f>_xll.SNL.Clients.Office.Excel.Functions.SPG(G372, "IQ_DILUT_EPS_NORM", "CY2022")</f>
        <v>4.5609999999999999</v>
      </c>
      <c r="K372">
        <f t="shared" si="32"/>
        <v>7078672</v>
      </c>
      <c r="L372">
        <f t="shared" si="33"/>
        <v>0.22286606636861658</v>
      </c>
      <c r="M372" t="s">
        <v>895</v>
      </c>
      <c r="N372" s="4" cm="1">
        <f t="array" ref="N372">_xll.SNL.Clients.Office.Excel.Functions.SPG(M372, "SP_TOTAL_REV", "CY2022")</f>
        <v>9800000</v>
      </c>
      <c r="O372" s="4">
        <f>_xll.SNL.Clients.Office.Excel.Functions.SPG(M372,"IQ_AVG_DILUT_SHARES_OUT","CY2022")</f>
        <v>501000000</v>
      </c>
      <c r="P372" s="5">
        <f>_xll.SNL.Clients.Office.Excel.Functions.SPG(M372, "IQ_DILUT_EPS_NORM", "CY2022")</f>
        <v>1.734</v>
      </c>
      <c r="Q372">
        <f t="shared" si="34"/>
        <v>868734</v>
      </c>
      <c r="R372">
        <f t="shared" si="35"/>
        <v>8.8646326530612246E-2</v>
      </c>
    </row>
    <row r="373" spans="1:18" x14ac:dyDescent="0.3">
      <c r="A373" t="s">
        <v>884</v>
      </c>
      <c r="B373" s="4" cm="1">
        <f t="array" ref="B373">_xll.SNL.Clients.Office.Excel.Functions.SPG(A373, "SP_TOTAL_REV", "CY2023")</f>
        <v>147399000</v>
      </c>
      <c r="C373" s="4">
        <f>_xll.SNL.Clients.Office.Excel.Functions.SPG(A373,"IQ_AVG_DILUT_SHARES_OUT","CY2023")</f>
        <v>453210000</v>
      </c>
      <c r="D373" s="5">
        <f>_xll.SNL.Clients.Office.Excel.Functions.SPG(A373, "IQ_DILUT_EPS_NORM", "CY2023")</f>
        <v>12.564</v>
      </c>
      <c r="E373">
        <f t="shared" si="30"/>
        <v>5694130.4400000004</v>
      </c>
      <c r="F373">
        <f t="shared" si="31"/>
        <v>3.8630726395701469E-2</v>
      </c>
      <c r="G373" t="s">
        <v>884</v>
      </c>
      <c r="H373" s="4" cm="1">
        <f t="array" ref="H373">_xll.SNL.Clients.Office.Excel.Functions.SPG(G373, "SP_TOTAL_REV", "CY2022")</f>
        <v>169990000</v>
      </c>
      <c r="I373" s="4">
        <f>_xll.SNL.Clients.Office.Excel.Functions.SPG(G373,"IQ_AVG_DILUT_SHARES_OUT","CY2022")</f>
        <v>473731000</v>
      </c>
      <c r="J373" s="5">
        <f>_xll.SNL.Clients.Office.Excel.Functions.SPG(G373, "IQ_DILUT_EPS_NORM", "CY2022")</f>
        <v>15.205</v>
      </c>
      <c r="K373">
        <f t="shared" si="32"/>
        <v>7203079.8550000004</v>
      </c>
      <c r="L373">
        <f t="shared" si="33"/>
        <v>4.2373550532384258E-2</v>
      </c>
      <c r="M373" t="s">
        <v>896</v>
      </c>
      <c r="N373" s="4" cm="1">
        <f t="array" ref="N373">_xll.SNL.Clients.Office.Excel.Functions.SPG(M373, "SP_TOTAL_REV", "CY2022")</f>
        <v>1941536</v>
      </c>
      <c r="O373" s="4">
        <f>_xll.SNL.Clients.Office.Excel.Functions.SPG(M373,"IQ_AVG_DILUT_SHARES_OUT","CY2022")</f>
        <v>118280500</v>
      </c>
      <c r="P373" s="5">
        <f>_xll.SNL.Clients.Office.Excel.Functions.SPG(M373, "IQ_DILUT_EPS_NORM", "CY2022")</f>
        <v>2.5870000000000002</v>
      </c>
      <c r="Q373">
        <f t="shared" si="34"/>
        <v>305991.65350000001</v>
      </c>
      <c r="R373">
        <f t="shared" si="35"/>
        <v>0.15760287396164688</v>
      </c>
    </row>
    <row r="374" spans="1:18" x14ac:dyDescent="0.3">
      <c r="A374" t="s">
        <v>885</v>
      </c>
      <c r="B374" s="4" cm="1">
        <f t="array" ref="B374">_xll.SNL.Clients.Office.Excel.Functions.SPG(A374, "SP_TOTAL_REV", "CY2023")</f>
        <v>4695991</v>
      </c>
      <c r="C374" s="4">
        <f>_xll.SNL.Clients.Office.Excel.Functions.SPG(A374,"IQ_AVG_DILUT_SHARES_OUT","CY2023")</f>
        <v>113804000</v>
      </c>
      <c r="D374" s="5">
        <f>_xll.SNL.Clients.Office.Excel.Functions.SPG(A374, "IQ_DILUT_EPS_NORM", "CY2023")</f>
        <v>3.105</v>
      </c>
      <c r="E374">
        <f t="shared" si="30"/>
        <v>353361.42</v>
      </c>
      <c r="F374">
        <f t="shared" si="31"/>
        <v>7.5247465337987235E-2</v>
      </c>
      <c r="G374" t="s">
        <v>885</v>
      </c>
      <c r="H374" s="4" cm="1">
        <f t="array" ref="H374">_xll.SNL.Clients.Office.Excel.Functions.SPG(G374, "SP_TOTAL_REV", "CY2022")</f>
        <v>4324385</v>
      </c>
      <c r="I374" s="4">
        <f>_xll.SNL.Clients.Office.Excel.Functions.SPG(G374,"IQ_AVG_DILUT_SHARES_OUT","CY2022")</f>
        <v>113416000</v>
      </c>
      <c r="J374" s="5">
        <f>_xll.SNL.Clients.Office.Excel.Functions.SPG(G374, "IQ_DILUT_EPS_NORM", "CY2022")</f>
        <v>3.1339999999999999</v>
      </c>
      <c r="K374">
        <f t="shared" si="32"/>
        <v>355445.74400000001</v>
      </c>
      <c r="L374">
        <f t="shared" si="33"/>
        <v>8.2195674991935266E-2</v>
      </c>
      <c r="M374" t="s">
        <v>897</v>
      </c>
      <c r="N374" s="4" t="str" cm="1">
        <f t="array" ref="N374">_xll.SNL.Clients.Office.Excel.Functions.SPG(M374, "SP_TOTAL_REV", "CY2022")</f>
        <v>NA</v>
      </c>
      <c r="O374" s="4">
        <f>_xll.SNL.Clients.Office.Excel.Functions.SPG(M374,"IQ_AVG_DILUT_SHARES_OUT","CY2022")</f>
        <v>176280000</v>
      </c>
      <c r="P374" s="5">
        <f>_xll.SNL.Clients.Office.Excel.Functions.SPG(M374, "IQ_DILUT_EPS_NORM", "CY2022")</f>
        <v>7.7149999999999999</v>
      </c>
      <c r="Q374">
        <f t="shared" si="34"/>
        <v>1360000.2</v>
      </c>
      <c r="R374" t="e">
        <f t="shared" si="35"/>
        <v>#VALUE!</v>
      </c>
    </row>
    <row r="375" spans="1:18" x14ac:dyDescent="0.3">
      <c r="A375" t="s">
        <v>886</v>
      </c>
      <c r="B375" s="4" cm="1">
        <f t="array" ref="B375">_xll.SNL.Clients.Office.Excel.Functions.SPG(A375, "SP_TOTAL_REV", "CY2023")</f>
        <v>21490000</v>
      </c>
      <c r="C375" s="4">
        <f>_xll.SNL.Clients.Office.Excel.Functions.SPG(A375,"IQ_AVG_DILUT_SHARES_OUT","CY2023")</f>
        <v>401000000</v>
      </c>
      <c r="D375" s="5">
        <f>_xll.SNL.Clients.Office.Excel.Functions.SPG(A375, "IQ_DILUT_EPS_NORM", "CY2023")</f>
        <v>10.327</v>
      </c>
      <c r="E375">
        <f t="shared" si="30"/>
        <v>4141127</v>
      </c>
      <c r="F375">
        <f t="shared" si="31"/>
        <v>0.19270018613308515</v>
      </c>
      <c r="G375" t="s">
        <v>886</v>
      </c>
      <c r="H375" s="4" cm="1">
        <f t="array" ref="H375">_xll.SNL.Clients.Office.Excel.Functions.SPG(G375, "SP_TOTAL_REV", "CY2022")</f>
        <v>21147000</v>
      </c>
      <c r="I375" s="4">
        <f>_xll.SNL.Clients.Office.Excel.Functions.SPG(G375,"IQ_AVG_DILUT_SHARES_OUT","CY2022")</f>
        <v>412000000</v>
      </c>
      <c r="J375" s="5">
        <f>_xll.SNL.Clients.Office.Excel.Functions.SPG(G375, "IQ_DILUT_EPS_NORM", "CY2022")</f>
        <v>11.162000000000001</v>
      </c>
      <c r="K375">
        <f t="shared" si="32"/>
        <v>4598744</v>
      </c>
      <c r="L375">
        <f t="shared" si="33"/>
        <v>0.21746555066912565</v>
      </c>
      <c r="M375" t="s">
        <v>898</v>
      </c>
      <c r="N375" s="4" cm="1">
        <f t="array" ref="N375">_xll.SNL.Clients.Office.Excel.Functions.SPG(M375, "SP_TOTAL_REV", "CY2022")</f>
        <v>16002979</v>
      </c>
      <c r="O375" s="4">
        <f>_xll.SNL.Clients.Office.Excel.Functions.SPG(M375,"IQ_AVG_DILUT_SHARES_OUT","CY2022")</f>
        <v>236166000</v>
      </c>
      <c r="P375" s="5">
        <f>_xll.SNL.Clients.Office.Excel.Functions.SPG(M375, "IQ_DILUT_EPS_NORM", "CY2022")</f>
        <v>9.2789999999999999</v>
      </c>
      <c r="Q375">
        <f t="shared" si="34"/>
        <v>2191384.3139999998</v>
      </c>
      <c r="R375">
        <f t="shared" si="35"/>
        <v>0.13693602384905959</v>
      </c>
    </row>
    <row r="376" spans="1:18" x14ac:dyDescent="0.3">
      <c r="A376" t="s">
        <v>887</v>
      </c>
      <c r="B376" s="4" cm="1">
        <f t="array" ref="B376">_xll.SNL.Clients.Office.Excel.Functions.SPG(A376, "SP_TOTAL_REV", "CY2023")</f>
        <v>5541595</v>
      </c>
      <c r="C376" s="4">
        <f>_xll.SNL.Clients.Office.Excel.Functions.SPG(A376,"IQ_AVG_DILUT_SHARES_OUT","CY2023")</f>
        <v>38997000</v>
      </c>
      <c r="D376" s="5">
        <f>_xll.SNL.Clients.Office.Excel.Functions.SPG(A376, "IQ_DILUT_EPS_NORM", "CY2023")</f>
        <v>11.04</v>
      </c>
      <c r="E376">
        <f t="shared" si="30"/>
        <v>430526.87999999995</v>
      </c>
      <c r="F376">
        <f t="shared" si="31"/>
        <v>7.7690065766264041E-2</v>
      </c>
      <c r="G376" t="s">
        <v>887</v>
      </c>
      <c r="H376" s="4" cm="1">
        <f t="array" ref="H376">_xll.SNL.Clients.Office.Excel.Functions.SPG(G376, "SP_TOTAL_REV", "CY2022")</f>
        <v>6179727</v>
      </c>
      <c r="I376" s="4">
        <f>_xll.SNL.Clients.Office.Excel.Functions.SPG(G376,"IQ_AVG_DILUT_SHARES_OUT","CY2022")</f>
        <v>39806000</v>
      </c>
      <c r="J376" s="5">
        <f>_xll.SNL.Clients.Office.Excel.Functions.SPG(G376, "IQ_DILUT_EPS_NORM", "CY2022")</f>
        <v>15.478999999999999</v>
      </c>
      <c r="K376">
        <f t="shared" si="32"/>
        <v>616157.07400000002</v>
      </c>
      <c r="L376">
        <f t="shared" si="33"/>
        <v>9.9706196406410832E-2</v>
      </c>
      <c r="M376" t="s">
        <v>899</v>
      </c>
      <c r="N376" s="4" cm="1">
        <f t="array" ref="N376">_xll.SNL.Clients.Office.Excel.Functions.SPG(M376, "SP_TOTAL_REV", "CY2022")</f>
        <v>4102854</v>
      </c>
      <c r="O376" s="4">
        <f>_xll.SNL.Clients.Office.Excel.Functions.SPG(M376,"IQ_AVG_DILUT_SHARES_OUT","CY2022")</f>
        <v>105093750</v>
      </c>
      <c r="P376" s="5">
        <f>_xll.SNL.Clients.Office.Excel.Functions.SPG(M376, "IQ_DILUT_EPS_NORM", "CY2022")</f>
        <v>4.0119999999999996</v>
      </c>
      <c r="Q376">
        <f t="shared" si="34"/>
        <v>421636.12499999994</v>
      </c>
      <c r="R376">
        <f t="shared" si="35"/>
        <v>0.10276654372785382</v>
      </c>
    </row>
    <row r="377" spans="1:18" x14ac:dyDescent="0.3">
      <c r="A377" t="s">
        <v>888</v>
      </c>
      <c r="B377" s="4" cm="1">
        <f t="array" ref="B377">_xll.SNL.Clients.Office.Excel.Functions.SPG(A377, "SP_TOTAL_REV", "CY2023")</f>
        <v>18246000</v>
      </c>
      <c r="C377" s="4">
        <f>_xll.SNL.Clients.Office.Excel.Functions.SPG(A377,"IQ_AVG_DILUT_SHARES_OUT","CY2023")</f>
        <v>237200000</v>
      </c>
      <c r="D377" s="5">
        <f>_xll.SNL.Clients.Office.Excel.Functions.SPG(A377, "IQ_DILUT_EPS_NORM", "CY2023")</f>
        <v>5.4290000000000003</v>
      </c>
      <c r="E377">
        <f t="shared" si="30"/>
        <v>1287758.8</v>
      </c>
      <c r="F377">
        <f t="shared" si="31"/>
        <v>7.0577595089334658E-2</v>
      </c>
      <c r="G377" t="s">
        <v>888</v>
      </c>
      <c r="H377" s="4" cm="1">
        <f t="array" ref="H377">_xll.SNL.Clients.Office.Excel.Functions.SPG(G377, "SP_TOTAL_REV", "CY2022")</f>
        <v>17652000</v>
      </c>
      <c r="I377" s="4">
        <f>_xll.SNL.Clients.Office.Excel.Functions.SPG(G377,"IQ_AVG_DILUT_SHARES_OUT","CY2022")</f>
        <v>237300000</v>
      </c>
      <c r="J377" s="5">
        <f>_xll.SNL.Clients.Office.Excel.Functions.SPG(G377, "IQ_DILUT_EPS_NORM", "CY2022")</f>
        <v>4.2409999999999997</v>
      </c>
      <c r="K377">
        <f t="shared" si="32"/>
        <v>1006389.2999999999</v>
      </c>
      <c r="L377">
        <f t="shared" si="33"/>
        <v>5.7012763426240648E-2</v>
      </c>
      <c r="M377" t="s">
        <v>900</v>
      </c>
      <c r="N377" s="4" cm="1">
        <f t="array" ref="N377">_xll.SNL.Clients.Office.Excel.Functions.SPG(M377, "SP_TOTAL_REV", "CY2022")</f>
        <v>17073903</v>
      </c>
      <c r="O377" s="4">
        <f>_xll.SNL.Clients.Office.Excel.Functions.SPG(M377,"IQ_AVG_DILUT_SHARES_OUT","CY2022")</f>
        <v>147992000</v>
      </c>
      <c r="P377" s="5">
        <f>_xll.SNL.Clients.Office.Excel.Functions.SPG(M377, "IQ_DILUT_EPS_NORM", "CY2022")</f>
        <v>3.2069999999999999</v>
      </c>
      <c r="Q377">
        <f t="shared" si="34"/>
        <v>474610.34399999998</v>
      </c>
      <c r="R377">
        <f t="shared" si="35"/>
        <v>2.7797413631786474E-2</v>
      </c>
    </row>
    <row r="378" spans="1:18" x14ac:dyDescent="0.3">
      <c r="A378" t="s">
        <v>889</v>
      </c>
      <c r="B378" s="4" cm="1">
        <f t="array" ref="B378">_xll.SNL.Clients.Office.Excel.Functions.SPG(A378, "SP_TOTAL_REV", "CY2023")</f>
        <v>8312000</v>
      </c>
      <c r="C378" s="4">
        <f>_xll.SNL.Clients.Office.Excel.Functions.SPG(A378,"IQ_AVG_DILUT_SHARES_OUT","CY2023")</f>
        <v>738166000</v>
      </c>
      <c r="D378" s="5">
        <f>_xll.SNL.Clients.Office.Excel.Functions.SPG(A378, "IQ_DILUT_EPS_NORM", "CY2023")</f>
        <v>0.997</v>
      </c>
      <c r="E378">
        <f t="shared" si="30"/>
        <v>735951.50199999998</v>
      </c>
      <c r="F378">
        <f t="shared" si="31"/>
        <v>8.854084480269489E-2</v>
      </c>
      <c r="G378" t="s">
        <v>889</v>
      </c>
      <c r="H378" s="4" cm="1">
        <f t="array" ref="H378">_xll.SNL.Clients.Office.Excel.Functions.SPG(G378, "SP_TOTAL_REV", "CY2022")</f>
        <v>7902000</v>
      </c>
      <c r="I378" s="4">
        <f>_xll.SNL.Clients.Office.Excel.Functions.SPG(G378,"IQ_AVG_DILUT_SHARES_OUT","CY2022")</f>
        <v>736902000</v>
      </c>
      <c r="J378" s="5">
        <f>_xll.SNL.Clients.Office.Excel.Functions.SPG(G378, "IQ_DILUT_EPS_NORM", "CY2022")</f>
        <v>0.85799999999999998</v>
      </c>
      <c r="K378">
        <f t="shared" si="32"/>
        <v>632261.91599999997</v>
      </c>
      <c r="L378">
        <f t="shared" si="33"/>
        <v>8.0012897494305235E-2</v>
      </c>
      <c r="M378" t="s">
        <v>901</v>
      </c>
      <c r="N378" s="4" cm="1">
        <f t="array" ref="N378">_xll.SNL.Clients.Office.Excel.Functions.SPG(M378, "SP_TOTAL_REV", "CY2022")</f>
        <v>42958000</v>
      </c>
      <c r="O378" s="4">
        <f>_xll.SNL.Clients.Office.Excel.Functions.SPG(M378,"IQ_AVG_DILUT_SHARES_OUT","CY2022")</f>
        <v>1134250000</v>
      </c>
      <c r="P378" s="5">
        <f>_xll.SNL.Clients.Office.Excel.Functions.SPG(M378, "IQ_DILUT_EPS_NORM", "CY2022")</f>
        <v>7.1269999999999998</v>
      </c>
      <c r="Q378">
        <f t="shared" si="34"/>
        <v>8083799.75</v>
      </c>
      <c r="R378">
        <f t="shared" si="35"/>
        <v>0.18817914590995857</v>
      </c>
    </row>
    <row r="379" spans="1:18" x14ac:dyDescent="0.3">
      <c r="A379" t="s">
        <v>890</v>
      </c>
      <c r="B379" s="4" cm="1">
        <f t="array" ref="B379">_xll.SNL.Clients.Office.Excel.Functions.SPG(A379, "SP_TOTAL_REV", "CY2023")</f>
        <v>13665800</v>
      </c>
      <c r="C379" s="4">
        <f>_xll.SNL.Clients.Office.Excel.Functions.SPG(A379,"IQ_AVG_DILUT_SHARES_OUT","CY2023")</f>
        <v>244600000</v>
      </c>
      <c r="D379" s="5">
        <f>_xll.SNL.Clients.Office.Excel.Functions.SPG(A379, "IQ_DILUT_EPS_NORM", "CY2023")</f>
        <v>1.696</v>
      </c>
      <c r="E379">
        <f t="shared" si="30"/>
        <v>414841.59999999998</v>
      </c>
      <c r="F379">
        <f t="shared" si="31"/>
        <v>3.0356188441218221E-2</v>
      </c>
      <c r="G379" t="s">
        <v>890</v>
      </c>
      <c r="H379" s="4" cm="1">
        <f t="array" ref="H379">_xll.SNL.Clients.Office.Excel.Functions.SPG(G379, "SP_TOTAL_REV", "CY2022")</f>
        <v>17536100</v>
      </c>
      <c r="I379" s="4">
        <f>_xll.SNL.Clients.Office.Excel.Functions.SPG(G379,"IQ_AVG_DILUT_SHARES_OUT","CY2022")</f>
        <v>255300000</v>
      </c>
      <c r="J379" s="5">
        <f>_xll.SNL.Clients.Office.Excel.Functions.SPG(G379, "IQ_DILUT_EPS_NORM", "CY2022")</f>
        <v>14.497999999999999</v>
      </c>
      <c r="K379">
        <f t="shared" si="32"/>
        <v>3701339.4</v>
      </c>
      <c r="L379">
        <f t="shared" si="33"/>
        <v>0.21106970192916327</v>
      </c>
      <c r="M379" t="s">
        <v>902</v>
      </c>
      <c r="N379" s="4" cm="1">
        <f t="array" ref="N379">_xll.SNL.Clients.Office.Excel.Functions.SPG(M379, "SP_TOTAL_REV", "CY2022")</f>
        <v>9883000</v>
      </c>
      <c r="O379" s="4">
        <f>_xll.SNL.Clients.Office.Excel.Functions.SPG(M379,"IQ_AVG_DILUT_SHARES_OUT","CY2022")</f>
        <v>118000000</v>
      </c>
      <c r="P379" s="5">
        <f>_xll.SNL.Clients.Office.Excel.Functions.SPG(M379, "IQ_DILUT_EPS_NORM", "CY2022")</f>
        <v>6.9889999999999999</v>
      </c>
      <c r="Q379">
        <f t="shared" si="34"/>
        <v>824702</v>
      </c>
      <c r="R379">
        <f t="shared" si="35"/>
        <v>8.3446524334716179E-2</v>
      </c>
    </row>
    <row r="380" spans="1:18" x14ac:dyDescent="0.3">
      <c r="A380" t="s">
        <v>891</v>
      </c>
      <c r="B380" s="4" cm="1">
        <f t="array" ref="B380">_xll.SNL.Clients.Office.Excel.Functions.SPG(A380, "SP_TOTAL_REV", "CY2023")</f>
        <v>83933000</v>
      </c>
      <c r="C380" s="4">
        <f>_xll.SNL.Clients.Office.Excel.Functions.SPG(A380,"IQ_AVG_DILUT_SHARES_OUT","CY2023")</f>
        <v>2473600000</v>
      </c>
      <c r="D380" s="5">
        <f>_xll.SNL.Clients.Office.Excel.Functions.SPG(A380, "IQ_DILUT_EPS_NORM", "CY2023")</f>
        <v>5.141</v>
      </c>
      <c r="E380">
        <f t="shared" si="30"/>
        <v>12716777.6</v>
      </c>
      <c r="F380">
        <f t="shared" si="31"/>
        <v>0.15151105762929956</v>
      </c>
      <c r="G380" t="s">
        <v>891</v>
      </c>
      <c r="H380" s="4" cm="1">
        <f t="array" ref="H380">_xll.SNL.Clients.Office.Excel.Functions.SPG(G380, "SP_TOTAL_REV", "CY2022")</f>
        <v>80281000</v>
      </c>
      <c r="I380" s="4">
        <f>_xll.SNL.Clients.Office.Excel.Functions.SPG(G380,"IQ_AVG_DILUT_SHARES_OUT","CY2022")</f>
        <v>2509500000</v>
      </c>
      <c r="J380" s="5">
        <f>_xll.SNL.Clients.Office.Excel.Functions.SPG(G380, "IQ_DILUT_EPS_NORM", "CY2022")</f>
        <v>4.4009999999999998</v>
      </c>
      <c r="K380">
        <f t="shared" si="32"/>
        <v>11044309.5</v>
      </c>
      <c r="L380">
        <f t="shared" si="33"/>
        <v>0.13757065183542805</v>
      </c>
      <c r="M380" t="s">
        <v>903</v>
      </c>
      <c r="N380" s="4" cm="1">
        <f t="array" ref="N380">_xll.SNL.Clients.Office.Excel.Functions.SPG(M380, "SP_TOTAL_REV", "CY2022")</f>
        <v>6425500</v>
      </c>
      <c r="O380" s="4">
        <f>_xll.SNL.Clients.Office.Excel.Functions.SPG(M380,"IQ_AVG_DILUT_SHARES_OUT","CY2022")</f>
        <v>70100000</v>
      </c>
      <c r="P380" s="5">
        <f>_xll.SNL.Clients.Office.Excel.Functions.SPG(M380, "IQ_DILUT_EPS_NORM", "CY2022")</f>
        <v>6.1719999999999997</v>
      </c>
      <c r="Q380">
        <f t="shared" si="34"/>
        <v>432657.2</v>
      </c>
      <c r="R380">
        <f t="shared" si="35"/>
        <v>6.7334401992062878E-2</v>
      </c>
    </row>
    <row r="381" spans="1:18" x14ac:dyDescent="0.3">
      <c r="A381" t="s">
        <v>892</v>
      </c>
      <c r="B381" s="4" cm="1">
        <f t="array" ref="B381">_xll.SNL.Clients.Office.Excel.Functions.SPG(A381, "SP_TOTAL_REV", "CY2023")</f>
        <v>62082300</v>
      </c>
      <c r="C381" s="4">
        <f>_xll.SNL.Clients.Office.Excel.Functions.SPG(A381,"IQ_AVG_DILUT_SHARES_OUT","CY2023")</f>
        <v>587500000</v>
      </c>
      <c r="D381" s="5">
        <f>_xll.SNL.Clients.Office.Excel.Functions.SPG(A381, "IQ_DILUT_EPS_NORM", "CY2023")</f>
        <v>5.2169999999999996</v>
      </c>
      <c r="E381">
        <f t="shared" si="30"/>
        <v>3064987.5</v>
      </c>
      <c r="F381">
        <f t="shared" si="31"/>
        <v>4.9369747899159662E-2</v>
      </c>
      <c r="G381" t="s">
        <v>892</v>
      </c>
      <c r="H381" s="4" cm="1">
        <f t="array" ref="H381">_xll.SNL.Clients.Office.Excel.Functions.SPG(G381, "SP_TOTAL_REV", "CY2022")</f>
        <v>49586400</v>
      </c>
      <c r="I381" s="4">
        <f>_xll.SNL.Clients.Office.Excel.Functions.SPG(G381,"IQ_AVG_DILUT_SHARES_OUT","CY2022")</f>
        <v>587100000</v>
      </c>
      <c r="J381" s="5">
        <f>_xll.SNL.Clients.Office.Excel.Functions.SPG(G381, "IQ_DILUT_EPS_NORM", "CY2022")</f>
        <v>1.2210000000000001</v>
      </c>
      <c r="K381">
        <f t="shared" si="32"/>
        <v>716849.1</v>
      </c>
      <c r="L381">
        <f t="shared" si="33"/>
        <v>1.445656671990707E-2</v>
      </c>
      <c r="M381" t="s">
        <v>904</v>
      </c>
      <c r="N381" s="4" cm="1">
        <f t="array" ref="N381">_xll.SNL.Clients.Office.Excel.Functions.SPG(M381, "SP_TOTAL_REV", "CY2022")</f>
        <v>11008000</v>
      </c>
      <c r="O381" s="4">
        <f>_xll.SNL.Clients.Office.Excel.Functions.SPG(M381,"IQ_AVG_DILUT_SHARES_OUT","CY2022")</f>
        <v>217300000</v>
      </c>
      <c r="P381" s="5">
        <f>_xll.SNL.Clients.Office.Excel.Functions.SPG(M381, "IQ_DILUT_EPS_NORM", "CY2022")</f>
        <v>6.3739999999999997</v>
      </c>
      <c r="Q381">
        <f t="shared" si="34"/>
        <v>1385070.2</v>
      </c>
      <c r="R381">
        <f t="shared" si="35"/>
        <v>0.12582396438953489</v>
      </c>
    </row>
    <row r="382" spans="1:18" x14ac:dyDescent="0.3">
      <c r="A382" t="s">
        <v>893</v>
      </c>
      <c r="B382" s="4" cm="1">
        <f t="array" ref="B382">_xll.SNL.Clients.Office.Excel.Functions.SPG(A382, "SP_TOTAL_REV", "CY2023")</f>
        <v>8028436</v>
      </c>
      <c r="C382" s="4">
        <f>_xll.SNL.Clients.Office.Excel.Functions.SPG(A382,"IQ_AVG_DILUT_SHARES_OUT","CY2023")</f>
        <v>951791000</v>
      </c>
      <c r="D382" s="5">
        <f>_xll.SNL.Clients.Office.Excel.Functions.SPG(A382, "IQ_DILUT_EPS_NORM", "CY2023")</f>
        <v>1.66</v>
      </c>
      <c r="E382">
        <f t="shared" si="30"/>
        <v>1579973.06</v>
      </c>
      <c r="F382">
        <f t="shared" si="31"/>
        <v>0.19679711714710063</v>
      </c>
      <c r="G382" t="s">
        <v>893</v>
      </c>
      <c r="H382" s="4" cm="1">
        <f t="array" ref="H382">_xll.SNL.Clients.Office.Excel.Functions.SPG(G382, "SP_TOTAL_REV", "CY2022")</f>
        <v>6191477</v>
      </c>
      <c r="I382" s="4">
        <f>_xll.SNL.Clients.Office.Excel.Functions.SPG(G382,"IQ_AVG_DILUT_SHARES_OUT","CY2022")</f>
        <v>811608000</v>
      </c>
      <c r="J382" s="5">
        <f>_xll.SNL.Clients.Office.Excel.Functions.SPG(G382, "IQ_DILUT_EPS_NORM", "CY2022")</f>
        <v>1.7090000000000001</v>
      </c>
      <c r="K382">
        <f t="shared" si="32"/>
        <v>1387038.0719999999</v>
      </c>
      <c r="L382">
        <f t="shared" si="33"/>
        <v>0.22402377849421065</v>
      </c>
      <c r="M382" t="s">
        <v>905</v>
      </c>
      <c r="N382" s="4" cm="1">
        <f t="array" ref="N382">_xll.SNL.Clients.Office.Excel.Functions.SPG(M382, "SP_TOTAL_REV", "CY2022")</f>
        <v>67074000</v>
      </c>
      <c r="O382" s="4">
        <f>_xll.SNL.Clients.Office.Excel.Functions.SPG(M382,"IQ_AVG_DILUT_SHARES_OUT","CY2022")</f>
        <v>1485900000</v>
      </c>
      <c r="P382" s="5">
        <f>_xll.SNL.Clients.Office.Excel.Functions.SPG(M382, "IQ_DILUT_EPS_NORM", "CY2022")</f>
        <v>2.528</v>
      </c>
      <c r="Q382">
        <f t="shared" si="34"/>
        <v>3756355.2</v>
      </c>
      <c r="R382">
        <f t="shared" si="35"/>
        <v>5.6003148761069863E-2</v>
      </c>
    </row>
    <row r="383" spans="1:18" x14ac:dyDescent="0.3">
      <c r="A383" t="s">
        <v>894</v>
      </c>
      <c r="B383" s="4" cm="1">
        <f t="array" ref="B383">_xll.SNL.Clients.Office.Excel.Functions.SPG(A383, "SP_TOTAL_REV", "CY2023")</f>
        <v>53979000</v>
      </c>
      <c r="C383" s="4">
        <f>_xll.SNL.Clients.Office.Excel.Functions.SPG(A383,"IQ_AVG_DILUT_SHARES_OUT","CY2023")</f>
        <v>364600000</v>
      </c>
      <c r="D383" s="5">
        <f>_xll.SNL.Clients.Office.Excel.Functions.SPG(A383, "IQ_DILUT_EPS_NORM", "CY2023")</f>
        <v>5.65</v>
      </c>
      <c r="E383">
        <f t="shared" si="30"/>
        <v>2059990.0000000002</v>
      </c>
      <c r="F383">
        <f t="shared" si="31"/>
        <v>3.8162804053428187E-2</v>
      </c>
      <c r="G383" t="s">
        <v>894</v>
      </c>
      <c r="H383" s="4" cm="1">
        <f t="array" ref="H383">_xll.SNL.Clients.Office.Excel.Functions.SPG(G383, "SP_TOTAL_REV", "CY2022")</f>
        <v>56881000</v>
      </c>
      <c r="I383" s="4">
        <f>_xll.SNL.Clients.Office.Excel.Functions.SPG(G383,"IQ_AVG_DILUT_SHARES_OUT","CY2022")</f>
        <v>372300000</v>
      </c>
      <c r="J383" s="5">
        <f>_xll.SNL.Clients.Office.Excel.Functions.SPG(G383, "IQ_DILUT_EPS_NORM", "CY2022")</f>
        <v>-5.5339999999999998</v>
      </c>
      <c r="K383">
        <f t="shared" si="32"/>
        <v>-2060308.2</v>
      </c>
      <c r="L383">
        <f t="shared" si="33"/>
        <v>-3.6221377964522426E-2</v>
      </c>
      <c r="M383" t="s">
        <v>906</v>
      </c>
      <c r="N383" s="4" cm="1">
        <f t="array" ref="N383">_xll.SNL.Clients.Office.Excel.Functions.SPG(M383, "SP_TOTAL_REV", "CY2022")</f>
        <v>3362933</v>
      </c>
      <c r="O383" s="4">
        <f>_xll.SNL.Clients.Office.Excel.Functions.SPG(M383,"IQ_AVG_DILUT_SHARES_OUT","CY2022")</f>
        <v>612181000</v>
      </c>
      <c r="P383" s="5">
        <f>_xll.SNL.Clients.Office.Excel.Functions.SPG(M383, "IQ_DILUT_EPS_NORM", "CY2022")</f>
        <v>0.86699999999999999</v>
      </c>
      <c r="Q383">
        <f t="shared" si="34"/>
        <v>530760.92700000003</v>
      </c>
      <c r="R383">
        <f t="shared" si="35"/>
        <v>0.15782679196998572</v>
      </c>
    </row>
    <row r="384" spans="1:18" x14ac:dyDescent="0.3">
      <c r="A384" t="s">
        <v>895</v>
      </c>
      <c r="B384" s="4" cm="1">
        <f t="array" ref="B384">_xll.SNL.Clients.Office.Excel.Functions.SPG(A384, "SP_TOTAL_REV", "CY2023")</f>
        <v>11237000</v>
      </c>
      <c r="C384" s="4">
        <f>_xll.SNL.Clients.Office.Excel.Functions.SPG(A384,"IQ_AVG_DILUT_SHARES_OUT","CY2023")</f>
        <v>500000000</v>
      </c>
      <c r="D384" s="5">
        <f>_xll.SNL.Clients.Office.Excel.Functions.SPG(A384, "IQ_DILUT_EPS_NORM", "CY2023")</f>
        <v>3.6240000000000001</v>
      </c>
      <c r="E384">
        <f t="shared" si="30"/>
        <v>1812000</v>
      </c>
      <c r="F384">
        <f t="shared" si="31"/>
        <v>0.16125300347067723</v>
      </c>
      <c r="G384" t="s">
        <v>895</v>
      </c>
      <c r="H384" s="4" cm="1">
        <f t="array" ref="H384">_xll.SNL.Clients.Office.Excel.Functions.SPG(G384, "SP_TOTAL_REV", "CY2022")</f>
        <v>9800000</v>
      </c>
      <c r="I384" s="4">
        <f>_xll.SNL.Clients.Office.Excel.Functions.SPG(G384,"IQ_AVG_DILUT_SHARES_OUT","CY2022")</f>
        <v>501000000</v>
      </c>
      <c r="J384" s="5">
        <f>_xll.SNL.Clients.Office.Excel.Functions.SPG(G384, "IQ_DILUT_EPS_NORM", "CY2022")</f>
        <v>1.734</v>
      </c>
      <c r="K384">
        <f t="shared" si="32"/>
        <v>868734</v>
      </c>
      <c r="L384">
        <f t="shared" si="33"/>
        <v>8.8646326530612246E-2</v>
      </c>
      <c r="M384" t="s">
        <v>907</v>
      </c>
      <c r="N384" s="4" cm="1">
        <f t="array" ref="N384">_xll.SNL.Clients.Office.Excel.Functions.SPG(M384, "SP_TOTAL_REV", "CY2022")</f>
        <v>1272045</v>
      </c>
      <c r="O384" s="4">
        <f>_xll.SNL.Clients.Office.Excel.Functions.SPG(M384,"IQ_AVG_DILUT_SHARES_OUT","CY2022")</f>
        <v>171791000</v>
      </c>
      <c r="P384" s="5">
        <f>_xll.SNL.Clients.Office.Excel.Functions.SPG(M384, "IQ_DILUT_EPS_NORM", "CY2022")</f>
        <v>1.3280000000000001</v>
      </c>
      <c r="Q384">
        <f t="shared" si="34"/>
        <v>228138.448</v>
      </c>
      <c r="R384">
        <f t="shared" si="35"/>
        <v>0.17934778093542289</v>
      </c>
    </row>
    <row r="385" spans="1:18" x14ac:dyDescent="0.3">
      <c r="A385" t="s">
        <v>896</v>
      </c>
      <c r="B385" s="4" cm="1">
        <f t="array" ref="B385">_xll.SNL.Clients.Office.Excel.Functions.SPG(A385, "SP_TOTAL_REV", "CY2023")</f>
        <v>2181357</v>
      </c>
      <c r="C385" s="4">
        <f>_xll.SNL.Clients.Office.Excel.Functions.SPG(A385,"IQ_AVG_DILUT_SHARES_OUT","CY2023")</f>
        <v>119699500</v>
      </c>
      <c r="D385" s="5">
        <f>_xll.SNL.Clients.Office.Excel.Functions.SPG(A385, "IQ_DILUT_EPS_NORM", "CY2023")</f>
        <v>1.8080000000000001</v>
      </c>
      <c r="E385">
        <f t="shared" si="30"/>
        <v>216416.696</v>
      </c>
      <c r="F385">
        <f t="shared" si="31"/>
        <v>9.9211956593991721E-2</v>
      </c>
      <c r="G385" t="s">
        <v>896</v>
      </c>
      <c r="H385" s="4" cm="1">
        <f t="array" ref="H385">_xll.SNL.Clients.Office.Excel.Functions.SPG(G385, "SP_TOTAL_REV", "CY2022")</f>
        <v>1941536</v>
      </c>
      <c r="I385" s="4">
        <f>_xll.SNL.Clients.Office.Excel.Functions.SPG(G385,"IQ_AVG_DILUT_SHARES_OUT","CY2022")</f>
        <v>118280500</v>
      </c>
      <c r="J385" s="5">
        <f>_xll.SNL.Clients.Office.Excel.Functions.SPG(G385, "IQ_DILUT_EPS_NORM", "CY2022")</f>
        <v>2.5870000000000002</v>
      </c>
      <c r="K385">
        <f t="shared" si="32"/>
        <v>305991.65350000001</v>
      </c>
      <c r="L385">
        <f t="shared" si="33"/>
        <v>0.15760287396164688</v>
      </c>
      <c r="M385" t="s">
        <v>908</v>
      </c>
      <c r="N385" s="4" cm="1">
        <f t="array" ref="N385">_xll.SNL.Clients.Office.Excel.Functions.SPG(M385, "SP_TOTAL_REV", "CY2022")</f>
        <v>12172900</v>
      </c>
      <c r="O385" s="4">
        <f>_xll.SNL.Clients.Office.Excel.Functions.SPG(M385,"IQ_AVG_DILUT_SHARES_OUT","CY2022")</f>
        <v>113500000</v>
      </c>
      <c r="P385" s="5">
        <f>_xll.SNL.Clients.Office.Excel.Functions.SPG(M385, "IQ_DILUT_EPS_NORM", "CY2022")</f>
        <v>28.379000000000001</v>
      </c>
      <c r="Q385">
        <f t="shared" si="34"/>
        <v>3221016.5</v>
      </c>
      <c r="R385">
        <f t="shared" si="35"/>
        <v>0.26460551717339337</v>
      </c>
    </row>
    <row r="386" spans="1:18" x14ac:dyDescent="0.3">
      <c r="A386" t="s">
        <v>897</v>
      </c>
      <c r="B386" s="4" t="str" cm="1">
        <f t="array" ref="B386">_xll.SNL.Clients.Office.Excel.Functions.SPG(A386, "SP_TOTAL_REV", "CY2023")</f>
        <v>NA</v>
      </c>
      <c r="C386" s="4">
        <f>_xll.SNL.Clients.Office.Excel.Functions.SPG(A386,"IQ_AVG_DILUT_SHARES_OUT","CY2023")</f>
        <v>176143000</v>
      </c>
      <c r="D386" s="5">
        <f>_xll.SNL.Clients.Office.Excel.Functions.SPG(A386, "IQ_DILUT_EPS_NORM", "CY2023")</f>
        <v>7.6070000000000002</v>
      </c>
      <c r="E386">
        <f t="shared" si="30"/>
        <v>1339919.801</v>
      </c>
      <c r="F386" t="e">
        <f t="shared" si="31"/>
        <v>#VALUE!</v>
      </c>
      <c r="G386" t="s">
        <v>897</v>
      </c>
      <c r="H386" s="4" t="str" cm="1">
        <f t="array" ref="H386">_xll.SNL.Clients.Office.Excel.Functions.SPG(G386, "SP_TOTAL_REV", "CY2022")</f>
        <v>NA</v>
      </c>
      <c r="I386" s="4">
        <f>_xll.SNL.Clients.Office.Excel.Functions.SPG(G386,"IQ_AVG_DILUT_SHARES_OUT","CY2022")</f>
        <v>176280000</v>
      </c>
      <c r="J386" s="5">
        <f>_xll.SNL.Clients.Office.Excel.Functions.SPG(G386, "IQ_DILUT_EPS_NORM", "CY2022")</f>
        <v>7.7149999999999999</v>
      </c>
      <c r="K386">
        <f t="shared" si="32"/>
        <v>1360000.2</v>
      </c>
      <c r="L386" t="e">
        <f t="shared" si="33"/>
        <v>#VALUE!</v>
      </c>
      <c r="M386" t="s">
        <v>909</v>
      </c>
      <c r="N386" s="4" cm="1">
        <f t="array" ref="N386">_xll.SNL.Clients.Office.Excel.Functions.SPG(M386, "SP_TOTAL_REV", "CY2022")</f>
        <v>7164000</v>
      </c>
      <c r="O386" s="4">
        <f>_xll.SNL.Clients.Office.Excel.Functions.SPG(M386,"IQ_AVG_DILUT_SHARES_OUT","CY2022")</f>
        <v>942000000</v>
      </c>
      <c r="P386" s="5">
        <f>_xll.SNL.Clients.Office.Excel.Functions.SPG(M386, "IQ_DILUT_EPS_NORM", "CY2022")</f>
        <v>1.9950000000000001</v>
      </c>
      <c r="Q386">
        <f t="shared" si="34"/>
        <v>1879290</v>
      </c>
      <c r="R386">
        <f t="shared" si="35"/>
        <v>0.26232412060301508</v>
      </c>
    </row>
    <row r="387" spans="1:18" x14ac:dyDescent="0.3">
      <c r="A387" t="s">
        <v>898</v>
      </c>
      <c r="B387" s="4" cm="1">
        <f t="array" ref="B387">_xll.SNL.Clients.Office.Excel.Functions.SPG(A387, "SP_TOTAL_REV", "CY2023")</f>
        <v>16061578</v>
      </c>
      <c r="C387" s="4">
        <f>_xll.SNL.Clients.Office.Excel.Functions.SPG(A387,"IQ_AVG_DILUT_SHARES_OUT","CY2023")</f>
        <v>221163000</v>
      </c>
      <c r="D387" s="5">
        <f>_xll.SNL.Clients.Office.Excel.Functions.SPG(A387, "IQ_DILUT_EPS_NORM", "CY2023")</f>
        <v>9.8670000000000009</v>
      </c>
      <c r="E387">
        <f t="shared" si="30"/>
        <v>2182215.321</v>
      </c>
      <c r="F387">
        <f t="shared" si="31"/>
        <v>0.13586556196408597</v>
      </c>
      <c r="G387" t="s">
        <v>898</v>
      </c>
      <c r="H387" s="4" cm="1">
        <f t="array" ref="H387">_xll.SNL.Clients.Office.Excel.Functions.SPG(G387, "SP_TOTAL_REV", "CY2022")</f>
        <v>16002979</v>
      </c>
      <c r="I387" s="4">
        <f>_xll.SNL.Clients.Office.Excel.Functions.SPG(G387,"IQ_AVG_DILUT_SHARES_OUT","CY2022")</f>
        <v>236166000</v>
      </c>
      <c r="J387" s="5">
        <f>_xll.SNL.Clients.Office.Excel.Functions.SPG(G387, "IQ_DILUT_EPS_NORM", "CY2022")</f>
        <v>9.2789999999999999</v>
      </c>
      <c r="K387">
        <f t="shared" si="32"/>
        <v>2191384.3139999998</v>
      </c>
      <c r="L387">
        <f t="shared" si="33"/>
        <v>0.13693602384905959</v>
      </c>
      <c r="M387" t="s">
        <v>910</v>
      </c>
      <c r="N387" s="4" cm="1">
        <f t="array" ref="N387">_xll.SNL.Clients.Office.Excel.Functions.SPG(M387, "SP_TOTAL_REV", "CY2022")</f>
        <v>13511300</v>
      </c>
      <c r="O387" s="4">
        <f>_xll.SNL.Clients.Office.Excel.Functions.SPG(M387,"IQ_AVG_DILUT_SHARES_OUT","CY2022")</f>
        <v>317080000</v>
      </c>
      <c r="P387" s="5">
        <f>_xll.SNL.Clients.Office.Excel.Functions.SPG(M387, "IQ_DILUT_EPS_NORM", "CY2022")</f>
        <v>3.8029999999999999</v>
      </c>
      <c r="Q387">
        <f t="shared" si="34"/>
        <v>1205855.24</v>
      </c>
      <c r="R387">
        <f t="shared" si="35"/>
        <v>8.9247906567095692E-2</v>
      </c>
    </row>
    <row r="388" spans="1:18" x14ac:dyDescent="0.3">
      <c r="A388" t="s">
        <v>899</v>
      </c>
      <c r="B388" s="4" cm="1">
        <f t="array" ref="B388">_xll.SNL.Clients.Office.Excel.Functions.SPG(A388, "SP_TOTAL_REV", "CY2023")</f>
        <v>3461221</v>
      </c>
      <c r="C388" s="4">
        <f>_xll.SNL.Clients.Office.Excel.Functions.SPG(A388,"IQ_AVG_DILUT_SHARES_OUT","CY2023")</f>
        <v>98298177</v>
      </c>
      <c r="D388" s="5">
        <f>_xll.SNL.Clients.Office.Excel.Functions.SPG(A388, "IQ_DILUT_EPS_NORM", "CY2023")</f>
        <v>1.43</v>
      </c>
      <c r="E388">
        <f t="shared" si="30"/>
        <v>140566.39310999998</v>
      </c>
      <c r="F388">
        <f t="shared" si="31"/>
        <v>4.0611793673388664E-2</v>
      </c>
      <c r="G388" t="s">
        <v>899</v>
      </c>
      <c r="H388" s="4" cm="1">
        <f t="array" ref="H388">_xll.SNL.Clients.Office.Excel.Functions.SPG(G388, "SP_TOTAL_REV", "CY2022")</f>
        <v>4102854</v>
      </c>
      <c r="I388" s="4">
        <f>_xll.SNL.Clients.Office.Excel.Functions.SPG(G388,"IQ_AVG_DILUT_SHARES_OUT","CY2022")</f>
        <v>105093750</v>
      </c>
      <c r="J388" s="5">
        <f>_xll.SNL.Clients.Office.Excel.Functions.SPG(G388, "IQ_DILUT_EPS_NORM", "CY2022")</f>
        <v>4.0119999999999996</v>
      </c>
      <c r="K388">
        <f t="shared" si="32"/>
        <v>421636.12499999994</v>
      </c>
      <c r="L388">
        <f t="shared" si="33"/>
        <v>0.10276654372785382</v>
      </c>
      <c r="M388" t="s">
        <v>911</v>
      </c>
      <c r="N388" s="4" cm="1">
        <f t="array" ref="N388">_xll.SNL.Clients.Office.Excel.Functions.SPG(M388, "SP_TOTAL_REV", "CY2022")</f>
        <v>3763275</v>
      </c>
      <c r="O388" s="4">
        <f>_xll.SNL.Clients.Office.Excel.Functions.SPG(M388,"IQ_AVG_DILUT_SHARES_OUT","CY2022")</f>
        <v>147204500</v>
      </c>
      <c r="P388" s="5">
        <f>_xll.SNL.Clients.Office.Excel.Functions.SPG(M388, "IQ_DILUT_EPS_NORM", "CY2022")</f>
        <v>4.327</v>
      </c>
      <c r="Q388">
        <f t="shared" si="34"/>
        <v>636953.87150000001</v>
      </c>
      <c r="R388">
        <f t="shared" si="35"/>
        <v>0.1692552023171307</v>
      </c>
    </row>
    <row r="389" spans="1:18" x14ac:dyDescent="0.3">
      <c r="A389" t="s">
        <v>900</v>
      </c>
      <c r="B389" s="4" cm="1">
        <f t="array" ref="B389">_xll.SNL.Clients.Office.Excel.Functions.SPG(A389, "SP_TOTAL_REV", "CY2023")</f>
        <v>20882206</v>
      </c>
      <c r="C389" s="4">
        <f>_xll.SNL.Clients.Office.Excel.Functions.SPG(A389,"IQ_AVG_DILUT_SHARES_OUT","CY2023")</f>
        <v>148823000</v>
      </c>
      <c r="D389" s="5">
        <f>_xll.SNL.Clients.Office.Excel.Functions.SPG(A389, "IQ_DILUT_EPS_NORM", "CY2023")</f>
        <v>4.0540000000000003</v>
      </c>
      <c r="E389">
        <f t="shared" ref="E389:E452" si="36">C389*D389/1000</f>
        <v>603328.44200000004</v>
      </c>
      <c r="F389">
        <f t="shared" ref="F389:F452" si="37">E389/B389</f>
        <v>2.889198784841027E-2</v>
      </c>
      <c r="G389" t="s">
        <v>900</v>
      </c>
      <c r="H389" s="4" cm="1">
        <f t="array" ref="H389">_xll.SNL.Clients.Office.Excel.Functions.SPG(G389, "SP_TOTAL_REV", "CY2022")</f>
        <v>17073903</v>
      </c>
      <c r="I389" s="4">
        <f>_xll.SNL.Clients.Office.Excel.Functions.SPG(G389,"IQ_AVG_DILUT_SHARES_OUT","CY2022")</f>
        <v>147992000</v>
      </c>
      <c r="J389" s="5">
        <f>_xll.SNL.Clients.Office.Excel.Functions.SPG(G389, "IQ_DILUT_EPS_NORM", "CY2022")</f>
        <v>3.2069999999999999</v>
      </c>
      <c r="K389">
        <f t="shared" ref="K389:K452" si="38">I389*J389/1000</f>
        <v>474610.34399999998</v>
      </c>
      <c r="L389">
        <f t="shared" ref="L389:L452" si="39">K389/H389</f>
        <v>2.7797413631786474E-2</v>
      </c>
      <c r="M389" t="s">
        <v>912</v>
      </c>
      <c r="N389" s="4" cm="1">
        <f t="array" ref="N389">_xll.SNL.Clients.Office.Excel.Functions.SPG(M389, "SP_TOTAL_REV", "CY2022")</f>
        <v>3311822</v>
      </c>
      <c r="O389" s="4">
        <f>_xll.SNL.Clients.Office.Excel.Functions.SPG(M389,"IQ_AVG_DILUT_SHARES_OUT","CY2022")</f>
        <v>126426000</v>
      </c>
      <c r="P389" s="5">
        <f>_xll.SNL.Clients.Office.Excel.Functions.SPG(M389, "IQ_DILUT_EPS_NORM", "CY2022")</f>
        <v>3.7810000000000001</v>
      </c>
      <c r="Q389">
        <f t="shared" ref="Q389:Q452" si="40">O389*P389/1000</f>
        <v>478016.70600000001</v>
      </c>
      <c r="R389">
        <f t="shared" ref="R389:R452" si="41">Q389/N389</f>
        <v>0.14433647279352574</v>
      </c>
    </row>
    <row r="390" spans="1:18" x14ac:dyDescent="0.3">
      <c r="A390" t="s">
        <v>901</v>
      </c>
      <c r="B390" s="4" cm="1">
        <f t="array" ref="B390">_xll.SNL.Clients.Office.Excel.Functions.SPG(A390, "SP_TOTAL_REV", "CY2023")</f>
        <v>36292000</v>
      </c>
      <c r="C390" s="4">
        <f>_xll.SNL.Clients.Office.Excel.Functions.SPG(A390,"IQ_AVG_DILUT_SHARES_OUT","CY2023")</f>
        <v>1125000000</v>
      </c>
      <c r="D390" s="5">
        <f>_xll.SNL.Clients.Office.Excel.Functions.SPG(A390, "IQ_DILUT_EPS_NORM", "CY2023")</f>
        <v>4.8979999999999997</v>
      </c>
      <c r="E390">
        <f t="shared" si="36"/>
        <v>5510250</v>
      </c>
      <c r="F390">
        <f t="shared" si="37"/>
        <v>0.15183098203460818</v>
      </c>
      <c r="G390" t="s">
        <v>901</v>
      </c>
      <c r="H390" s="4" cm="1">
        <f t="array" ref="H390">_xll.SNL.Clients.Office.Excel.Functions.SPG(G390, "SP_TOTAL_REV", "CY2022")</f>
        <v>42958000</v>
      </c>
      <c r="I390" s="4">
        <f>_xll.SNL.Clients.Office.Excel.Functions.SPG(G390,"IQ_AVG_DILUT_SHARES_OUT","CY2022")</f>
        <v>1134250000</v>
      </c>
      <c r="J390" s="5">
        <f>_xll.SNL.Clients.Office.Excel.Functions.SPG(G390, "IQ_DILUT_EPS_NORM", "CY2022")</f>
        <v>7.1269999999999998</v>
      </c>
      <c r="K390">
        <f t="shared" si="38"/>
        <v>8083799.75</v>
      </c>
      <c r="L390">
        <f t="shared" si="39"/>
        <v>0.18817914590995857</v>
      </c>
      <c r="M390" t="s">
        <v>913</v>
      </c>
      <c r="N390" s="4" cm="1">
        <f t="array" ref="N390">_xll.SNL.Clients.Office.Excel.Functions.SPG(M390, "SP_TOTAL_REV", "CY2022")</f>
        <v>7238142</v>
      </c>
      <c r="O390" s="4">
        <f>_xll.SNL.Clients.Office.Excel.Functions.SPG(M390,"IQ_AVG_DILUT_SHARES_OUT","CY2022")</f>
        <v>109171000</v>
      </c>
      <c r="P390" s="5">
        <f>_xll.SNL.Clients.Office.Excel.Functions.SPG(M390, "IQ_DILUT_EPS_NORM", "CY2022")</f>
        <v>5.6280000000000001</v>
      </c>
      <c r="Q390">
        <f t="shared" si="40"/>
        <v>614414.38800000004</v>
      </c>
      <c r="R390">
        <f t="shared" si="41"/>
        <v>8.4885649936130028E-2</v>
      </c>
    </row>
    <row r="391" spans="1:18" x14ac:dyDescent="0.3">
      <c r="A391" t="s">
        <v>902</v>
      </c>
      <c r="B391" s="4" cm="1">
        <f t="array" ref="B391">_xll.SNL.Clients.Office.Excel.Functions.SPG(A391, "SP_TOTAL_REV", "CY2023")</f>
        <v>9252000</v>
      </c>
      <c r="C391" s="4">
        <f>_xll.SNL.Clients.Office.Excel.Functions.SPG(A391,"IQ_AVG_DILUT_SHARES_OUT","CY2023")</f>
        <v>113000000</v>
      </c>
      <c r="D391" s="5">
        <f>_xll.SNL.Clients.Office.Excel.Functions.SPG(A391, "IQ_DILUT_EPS_NORM", "CY2023")</f>
        <v>6.3140000000000001</v>
      </c>
      <c r="E391">
        <f t="shared" si="36"/>
        <v>713482</v>
      </c>
      <c r="F391">
        <f t="shared" si="37"/>
        <v>7.7116515348032863E-2</v>
      </c>
      <c r="G391" t="s">
        <v>902</v>
      </c>
      <c r="H391" s="4" cm="1">
        <f t="array" ref="H391">_xll.SNL.Clients.Office.Excel.Functions.SPG(G391, "SP_TOTAL_REV", "CY2022")</f>
        <v>9883000</v>
      </c>
      <c r="I391" s="4">
        <f>_xll.SNL.Clients.Office.Excel.Functions.SPG(G391,"IQ_AVG_DILUT_SHARES_OUT","CY2022")</f>
        <v>118000000</v>
      </c>
      <c r="J391" s="5">
        <f>_xll.SNL.Clients.Office.Excel.Functions.SPG(G391, "IQ_DILUT_EPS_NORM", "CY2022")</f>
        <v>6.9889999999999999</v>
      </c>
      <c r="K391">
        <f t="shared" si="38"/>
        <v>824702</v>
      </c>
      <c r="L391">
        <f t="shared" si="39"/>
        <v>8.3446524334716179E-2</v>
      </c>
      <c r="M391" t="s">
        <v>914</v>
      </c>
      <c r="N391" s="4" cm="1">
        <f t="array" ref="N391">_xll.SNL.Clients.Office.Excel.Functions.SPG(M391, "SP_TOTAL_REV", "CY2022")</f>
        <v>7884100</v>
      </c>
      <c r="O391" s="4">
        <f>_xll.SNL.Clients.Office.Excel.Functions.SPG(M391,"IQ_AVG_DILUT_SHARES_OUT","CY2022")</f>
        <v>116250000</v>
      </c>
      <c r="P391" s="5">
        <f>_xll.SNL.Clients.Office.Excel.Functions.SPG(M391, "IQ_DILUT_EPS_NORM", "CY2022")</f>
        <v>6.9260000000000002</v>
      </c>
      <c r="Q391">
        <f t="shared" si="40"/>
        <v>805147.5</v>
      </c>
      <c r="R391">
        <f t="shared" si="41"/>
        <v>0.10212294364607248</v>
      </c>
    </row>
    <row r="392" spans="1:18" x14ac:dyDescent="0.3">
      <c r="A392" t="s">
        <v>903</v>
      </c>
      <c r="B392" s="4" cm="1">
        <f t="array" ref="B392">_xll.SNL.Clients.Office.Excel.Functions.SPG(A392, "SP_TOTAL_REV", "CY2023")</f>
        <v>6604300</v>
      </c>
      <c r="C392" s="4">
        <f>_xll.SNL.Clients.Office.Excel.Functions.SPG(A392,"IQ_AVG_DILUT_SHARES_OUT","CY2023")</f>
        <v>67099950</v>
      </c>
      <c r="D392" s="5">
        <f>_xll.SNL.Clients.Office.Excel.Functions.SPG(A392, "IQ_DILUT_EPS_NORM", "CY2023")</f>
        <v>7.2640000000000002</v>
      </c>
      <c r="E392">
        <f t="shared" si="36"/>
        <v>487414.0368</v>
      </c>
      <c r="F392">
        <f t="shared" si="37"/>
        <v>7.3802528171040077E-2</v>
      </c>
      <c r="G392" t="s">
        <v>903</v>
      </c>
      <c r="H392" s="4" cm="1">
        <f t="array" ref="H392">_xll.SNL.Clients.Office.Excel.Functions.SPG(G392, "SP_TOTAL_REV", "CY2022")</f>
        <v>6425500</v>
      </c>
      <c r="I392" s="4">
        <f>_xll.SNL.Clients.Office.Excel.Functions.SPG(G392,"IQ_AVG_DILUT_SHARES_OUT","CY2022")</f>
        <v>70100000</v>
      </c>
      <c r="J392" s="5">
        <f>_xll.SNL.Clients.Office.Excel.Functions.SPG(G392, "IQ_DILUT_EPS_NORM", "CY2022")</f>
        <v>6.1719999999999997</v>
      </c>
      <c r="K392">
        <f t="shared" si="38"/>
        <v>432657.2</v>
      </c>
      <c r="L392">
        <f t="shared" si="39"/>
        <v>6.7334401992062878E-2</v>
      </c>
      <c r="M392" t="s">
        <v>915</v>
      </c>
      <c r="N392" s="4" cm="1">
        <f t="array" ref="N392">_xll.SNL.Clients.Office.Excel.Functions.SPG(M392, "SP_TOTAL_REV", "CY2022")</f>
        <v>2695823</v>
      </c>
      <c r="O392" s="4">
        <f>_xll.SNL.Clients.Office.Excel.Functions.SPG(M392,"IQ_AVG_DILUT_SHARES_OUT","CY2022")</f>
        <v>492413000</v>
      </c>
      <c r="P392" s="5">
        <f>_xll.SNL.Clients.Office.Excel.Functions.SPG(M392, "IQ_DILUT_EPS_NORM", "CY2022")</f>
        <v>0.623</v>
      </c>
      <c r="Q392">
        <f t="shared" si="40"/>
        <v>306773.299</v>
      </c>
      <c r="R392">
        <f t="shared" si="41"/>
        <v>0.11379578666700299</v>
      </c>
    </row>
    <row r="393" spans="1:18" x14ac:dyDescent="0.3">
      <c r="A393" t="s">
        <v>904</v>
      </c>
      <c r="B393" s="4" cm="1">
        <f t="array" ref="B393">_xll.SNL.Clients.Office.Excel.Functions.SPG(A393, "SP_TOTAL_REV", "CY2023")</f>
        <v>11846000</v>
      </c>
      <c r="C393" s="4">
        <f>_xll.SNL.Clients.Office.Excel.Functions.SPG(A393,"IQ_AVG_DILUT_SHARES_OUT","CY2023")</f>
        <v>215250000</v>
      </c>
      <c r="D393" s="5">
        <f>_xll.SNL.Clients.Office.Excel.Functions.SPG(A393, "IQ_DILUT_EPS_NORM", "CY2023")</f>
        <v>6.7859999999999996</v>
      </c>
      <c r="E393">
        <f t="shared" si="36"/>
        <v>1460686.5</v>
      </c>
      <c r="F393">
        <f t="shared" si="37"/>
        <v>0.12330630592605099</v>
      </c>
      <c r="G393" t="s">
        <v>904</v>
      </c>
      <c r="H393" s="4" cm="1">
        <f t="array" ref="H393">_xll.SNL.Clients.Office.Excel.Functions.SPG(G393, "SP_TOTAL_REV", "CY2022")</f>
        <v>11008000</v>
      </c>
      <c r="I393" s="4">
        <f>_xll.SNL.Clients.Office.Excel.Functions.SPG(G393,"IQ_AVG_DILUT_SHARES_OUT","CY2022")</f>
        <v>217300000</v>
      </c>
      <c r="J393" s="5">
        <f>_xll.SNL.Clients.Office.Excel.Functions.SPG(G393, "IQ_DILUT_EPS_NORM", "CY2022")</f>
        <v>6.3739999999999997</v>
      </c>
      <c r="K393">
        <f t="shared" si="38"/>
        <v>1385070.2</v>
      </c>
      <c r="L393">
        <f t="shared" si="39"/>
        <v>0.12582396438953489</v>
      </c>
      <c r="M393" t="s">
        <v>916</v>
      </c>
      <c r="N393" s="4" cm="1">
        <f t="array" ref="N393">_xll.SNL.Clients.Office.Excel.Functions.SPG(M393, "SP_TOTAL_REV", "CY2022")</f>
        <v>5371800</v>
      </c>
      <c r="O393" s="4">
        <f>_xll.SNL.Clients.Office.Excel.Functions.SPG(M393,"IQ_AVG_DILUT_SHARES_OUT","CY2022")</f>
        <v>106800000</v>
      </c>
      <c r="P393" s="5">
        <f>_xll.SNL.Clients.Office.Excel.Functions.SPG(M393, "IQ_DILUT_EPS_NORM", "CY2022")</f>
        <v>7.766</v>
      </c>
      <c r="Q393">
        <f t="shared" si="40"/>
        <v>829408.8</v>
      </c>
      <c r="R393">
        <f t="shared" si="41"/>
        <v>0.15440053613313973</v>
      </c>
    </row>
    <row r="394" spans="1:18" x14ac:dyDescent="0.3">
      <c r="A394" t="s">
        <v>905</v>
      </c>
      <c r="B394" s="4" cm="1">
        <f t="array" ref="B394">_xll.SNL.Clients.Office.Excel.Functions.SPG(A394, "SP_TOTAL_REV", "CY2023")</f>
        <v>68920000</v>
      </c>
      <c r="C394" s="4">
        <f>_xll.SNL.Clients.Office.Excel.Functions.SPG(A394,"IQ_AVG_DILUT_SHARES_OUT","CY2023")</f>
        <v>1435400000</v>
      </c>
      <c r="D394" s="5">
        <f>_xll.SNL.Clients.Office.Excel.Functions.SPG(A394, "IQ_DILUT_EPS_NORM", "CY2023")</f>
        <v>1.512</v>
      </c>
      <c r="E394">
        <f t="shared" si="36"/>
        <v>2170324.7999999998</v>
      </c>
      <c r="F394">
        <f t="shared" si="37"/>
        <v>3.1490493325594893E-2</v>
      </c>
      <c r="G394" t="s">
        <v>905</v>
      </c>
      <c r="H394" s="4" cm="1">
        <f t="array" ref="H394">_xll.SNL.Clients.Office.Excel.Functions.SPG(G394, "SP_TOTAL_REV", "CY2022")</f>
        <v>67074000</v>
      </c>
      <c r="I394" s="4">
        <f>_xll.SNL.Clients.Office.Excel.Functions.SPG(G394,"IQ_AVG_DILUT_SHARES_OUT","CY2022")</f>
        <v>1485900000</v>
      </c>
      <c r="J394" s="5">
        <f>_xll.SNL.Clients.Office.Excel.Functions.SPG(G394, "IQ_DILUT_EPS_NORM", "CY2022")</f>
        <v>2.528</v>
      </c>
      <c r="K394">
        <f t="shared" si="38"/>
        <v>3756355.2</v>
      </c>
      <c r="L394">
        <f t="shared" si="39"/>
        <v>5.6003148761069863E-2</v>
      </c>
      <c r="M394" t="s">
        <v>917</v>
      </c>
      <c r="N394" s="4" cm="1">
        <f t="array" ref="N394">_xll.SNL.Clients.Office.Excel.Functions.SPG(M394, "SP_TOTAL_REV", "CY2022")</f>
        <v>18695829</v>
      </c>
      <c r="O394" s="4">
        <f>_xll.SNL.Clients.Office.Excel.Functions.SPG(M394,"IQ_AVG_DILUT_SHARES_OUT","CY2022")</f>
        <v>345222000</v>
      </c>
      <c r="P394" s="5">
        <f>_xll.SNL.Clients.Office.Excel.Functions.SPG(M394, "IQ_DILUT_EPS_NORM", "CY2022")</f>
        <v>3.5979999999999999</v>
      </c>
      <c r="Q394">
        <f t="shared" si="40"/>
        <v>1242108.7560000001</v>
      </c>
      <c r="R394">
        <f t="shared" si="41"/>
        <v>6.6437746943449255E-2</v>
      </c>
    </row>
    <row r="395" spans="1:18" x14ac:dyDescent="0.3">
      <c r="A395" t="s">
        <v>906</v>
      </c>
      <c r="B395" s="4" cm="1">
        <f t="array" ref="B395">_xll.SNL.Clients.Office.Excel.Functions.SPG(A395, "SP_TOTAL_REV", "CY2023")</f>
        <v>4091914</v>
      </c>
      <c r="C395" s="4">
        <f>_xll.SNL.Clients.Office.Excel.Functions.SPG(A395,"IQ_AVG_DILUT_SHARES_OUT","CY2023")</f>
        <v>693024000</v>
      </c>
      <c r="D395" s="5">
        <f>_xll.SNL.Clients.Office.Excel.Functions.SPG(A395, "IQ_DILUT_EPS_NORM", "CY2023")</f>
        <v>0.9</v>
      </c>
      <c r="E395">
        <f t="shared" si="36"/>
        <v>623721.6</v>
      </c>
      <c r="F395">
        <f t="shared" si="37"/>
        <v>0.15242783694867487</v>
      </c>
      <c r="G395" t="s">
        <v>906</v>
      </c>
      <c r="H395" s="4" cm="1">
        <f t="array" ref="H395">_xll.SNL.Clients.Office.Excel.Functions.SPG(G395, "SP_TOTAL_REV", "CY2022")</f>
        <v>3362933</v>
      </c>
      <c r="I395" s="4">
        <f>_xll.SNL.Clients.Office.Excel.Functions.SPG(G395,"IQ_AVG_DILUT_SHARES_OUT","CY2022")</f>
        <v>612181000</v>
      </c>
      <c r="J395" s="5">
        <f>_xll.SNL.Clients.Office.Excel.Functions.SPG(G395, "IQ_DILUT_EPS_NORM", "CY2022")</f>
        <v>0.86699999999999999</v>
      </c>
      <c r="K395">
        <f t="shared" si="38"/>
        <v>530760.92700000003</v>
      </c>
      <c r="L395">
        <f t="shared" si="39"/>
        <v>0.15782679196998572</v>
      </c>
      <c r="M395" t="s">
        <v>918</v>
      </c>
      <c r="N395" s="4" cm="1">
        <f t="array" ref="N395">_xll.SNL.Clients.Office.Excel.Functions.SPG(M395, "SP_TOTAL_REV", "CY2022")</f>
        <v>8840000</v>
      </c>
      <c r="O395" s="4">
        <f>_xll.SNL.Clients.Office.Excel.Functions.SPG(M395,"IQ_AVG_DILUT_SHARES_OUT","CY2022")</f>
        <v>255000000</v>
      </c>
      <c r="P395" s="5">
        <f>_xll.SNL.Clients.Office.Excel.Functions.SPG(M395, "IQ_DILUT_EPS_NORM", "CY2022")</f>
        <v>-4.9260000000000002</v>
      </c>
      <c r="Q395">
        <f t="shared" si="40"/>
        <v>-1256130</v>
      </c>
      <c r="R395">
        <f t="shared" si="41"/>
        <v>-0.14209615384615384</v>
      </c>
    </row>
    <row r="396" spans="1:18" x14ac:dyDescent="0.3">
      <c r="A396" t="s">
        <v>907</v>
      </c>
      <c r="B396" s="4" cm="1">
        <f t="array" ref="B396">_xll.SNL.Clients.Office.Excel.Functions.SPG(A396, "SP_TOTAL_REV", "CY2023")</f>
        <v>1371811</v>
      </c>
      <c r="C396" s="4">
        <f>_xll.SNL.Clients.Office.Excel.Functions.SPG(A396,"IQ_AVG_DILUT_SHARES_OUT","CY2023")</f>
        <v>176371000</v>
      </c>
      <c r="D396" s="5">
        <f>_xll.SNL.Clients.Office.Excel.Functions.SPG(A396, "IQ_DILUT_EPS_NORM", "CY2023")</f>
        <v>1.268</v>
      </c>
      <c r="E396">
        <f t="shared" si="36"/>
        <v>223638.42800000001</v>
      </c>
      <c r="F396">
        <f t="shared" si="37"/>
        <v>0.16302422709833936</v>
      </c>
      <c r="G396" t="s">
        <v>907</v>
      </c>
      <c r="H396" s="4" cm="1">
        <f t="array" ref="H396">_xll.SNL.Clients.Office.Excel.Functions.SPG(G396, "SP_TOTAL_REV", "CY2022")</f>
        <v>1272045</v>
      </c>
      <c r="I396" s="4">
        <f>_xll.SNL.Clients.Office.Excel.Functions.SPG(G396,"IQ_AVG_DILUT_SHARES_OUT","CY2022")</f>
        <v>171791000</v>
      </c>
      <c r="J396" s="5">
        <f>_xll.SNL.Clients.Office.Excel.Functions.SPG(G396, "IQ_DILUT_EPS_NORM", "CY2022")</f>
        <v>1.3280000000000001</v>
      </c>
      <c r="K396">
        <f t="shared" si="38"/>
        <v>228138.448</v>
      </c>
      <c r="L396">
        <f t="shared" si="39"/>
        <v>0.17934778093542289</v>
      </c>
      <c r="M396" t="s">
        <v>919</v>
      </c>
      <c r="N396" s="4" cm="1">
        <f t="array" ref="N396">_xll.SNL.Clients.Office.Excel.Functions.SPG(M396, "SP_TOTAL_REV", "CY2022")</f>
        <v>11181000</v>
      </c>
      <c r="O396" s="4">
        <f>_xll.SNL.Clients.Office.Excel.Functions.SPG(M396,"IQ_AVG_DILUT_SHARES_OUT","CY2022")</f>
        <v>318500000</v>
      </c>
      <c r="P396" s="5">
        <f>_xll.SNL.Clients.Office.Excel.Functions.SPG(M396, "IQ_DILUT_EPS_NORM", "CY2022")</f>
        <v>6.33</v>
      </c>
      <c r="Q396">
        <f t="shared" si="40"/>
        <v>2016105</v>
      </c>
      <c r="R396">
        <f t="shared" si="41"/>
        <v>0.18031526697075395</v>
      </c>
    </row>
    <row r="397" spans="1:18" x14ac:dyDescent="0.3">
      <c r="A397" t="s">
        <v>908</v>
      </c>
      <c r="B397" s="4" cm="1">
        <f t="array" ref="B397">_xll.SNL.Clients.Office.Excel.Functions.SPG(A397, "SP_TOTAL_REV", "CY2023")</f>
        <v>13117200</v>
      </c>
      <c r="C397" s="4">
        <f>_xll.SNL.Clients.Office.Excel.Functions.SPG(A397,"IQ_AVG_DILUT_SHARES_OUT","CY2023")</f>
        <v>113700000</v>
      </c>
      <c r="D397" s="5">
        <f>_xll.SNL.Clients.Office.Excel.Functions.SPG(A397, "IQ_DILUT_EPS_NORM", "CY2023")</f>
        <v>25.413</v>
      </c>
      <c r="E397">
        <f t="shared" si="36"/>
        <v>2889458.1</v>
      </c>
      <c r="F397">
        <f t="shared" si="37"/>
        <v>0.22028009788674413</v>
      </c>
      <c r="G397" t="s">
        <v>908</v>
      </c>
      <c r="H397" s="4" cm="1">
        <f t="array" ref="H397">_xll.SNL.Clients.Office.Excel.Functions.SPG(G397, "SP_TOTAL_REV", "CY2022")</f>
        <v>12172900</v>
      </c>
      <c r="I397" s="4">
        <f>_xll.SNL.Clients.Office.Excel.Functions.SPG(G397,"IQ_AVG_DILUT_SHARES_OUT","CY2022")</f>
        <v>113500000</v>
      </c>
      <c r="J397" s="5">
        <f>_xll.SNL.Clients.Office.Excel.Functions.SPG(G397, "IQ_DILUT_EPS_NORM", "CY2022")</f>
        <v>28.379000000000001</v>
      </c>
      <c r="K397">
        <f t="shared" si="38"/>
        <v>3221016.5</v>
      </c>
      <c r="L397">
        <f t="shared" si="39"/>
        <v>0.26460551717339337</v>
      </c>
      <c r="M397" t="s">
        <v>920</v>
      </c>
      <c r="N397" s="4" cm="1">
        <f t="array" ref="N397">_xll.SNL.Clients.Office.Excel.Functions.SPG(M397, "SP_TOTAL_REV", "CY2022")</f>
        <v>31352000</v>
      </c>
      <c r="O397" s="4">
        <f>_xll.SNL.Clients.Office.Excel.Functions.SPG(M397,"IQ_AVG_DILUT_SHARES_OUT","CY2022")</f>
        <v>997000000</v>
      </c>
      <c r="P397" s="5" t="str">
        <f>_xll.SNL.Clients.Office.Excel.Functions.SPG(M397, "IQ_DILUT_EPS_NORM", "CY2022")</f>
        <v>NA</v>
      </c>
      <c r="Q397" t="e">
        <f t="shared" si="40"/>
        <v>#VALUE!</v>
      </c>
      <c r="R397" t="e">
        <f t="shared" si="41"/>
        <v>#VALUE!</v>
      </c>
    </row>
    <row r="398" spans="1:18" x14ac:dyDescent="0.3">
      <c r="A398" t="s">
        <v>909</v>
      </c>
      <c r="B398" s="4" cm="1">
        <f t="array" ref="B398">_xll.SNL.Clients.Office.Excel.Functions.SPG(A398, "SP_TOTAL_REV", "CY2023")</f>
        <v>7574000</v>
      </c>
      <c r="C398" s="4">
        <f>_xll.SNL.Clients.Office.Excel.Functions.SPG(A398,"IQ_AVG_DILUT_SHARES_OUT","CY2023")</f>
        <v>938000000</v>
      </c>
      <c r="D398" s="5">
        <f>_xll.SNL.Clients.Office.Excel.Functions.SPG(A398, "IQ_DILUT_EPS_NORM", "CY2023")</f>
        <v>1.8380000000000001</v>
      </c>
      <c r="E398">
        <f t="shared" si="36"/>
        <v>1724044</v>
      </c>
      <c r="F398">
        <f t="shared" si="37"/>
        <v>0.22762661737523104</v>
      </c>
      <c r="G398" t="s">
        <v>909</v>
      </c>
      <c r="H398" s="4" cm="1">
        <f t="array" ref="H398">_xll.SNL.Clients.Office.Excel.Functions.SPG(G398, "SP_TOTAL_REV", "CY2022")</f>
        <v>7164000</v>
      </c>
      <c r="I398" s="4">
        <f>_xll.SNL.Clients.Office.Excel.Functions.SPG(G398,"IQ_AVG_DILUT_SHARES_OUT","CY2022")</f>
        <v>942000000</v>
      </c>
      <c r="J398" s="5">
        <f>_xll.SNL.Clients.Office.Excel.Functions.SPG(G398, "IQ_DILUT_EPS_NORM", "CY2022")</f>
        <v>1.9950000000000001</v>
      </c>
      <c r="K398">
        <f t="shared" si="38"/>
        <v>1879290</v>
      </c>
      <c r="L398">
        <f t="shared" si="39"/>
        <v>0.26232412060301508</v>
      </c>
      <c r="M398" t="s">
        <v>921</v>
      </c>
      <c r="N398" s="4" cm="1">
        <f t="array" ref="N398">_xll.SNL.Clients.Office.Excel.Functions.SPG(M398, "SP_TOTAL_REV", "CY2022")</f>
        <v>2643587</v>
      </c>
      <c r="O398" s="4">
        <f>_xll.SNL.Clients.Office.Excel.Functions.SPG(M398,"IQ_AVG_DILUT_SHARES_OUT","CY2022")</f>
        <v>109386000</v>
      </c>
      <c r="P398" s="5">
        <f>_xll.SNL.Clients.Office.Excel.Functions.SPG(M398, "IQ_DILUT_EPS_NORM", "CY2022")</f>
        <v>3.2669999999999999</v>
      </c>
      <c r="Q398">
        <f t="shared" si="40"/>
        <v>357364.06199999998</v>
      </c>
      <c r="R398">
        <f t="shared" si="41"/>
        <v>0.13518150225432338</v>
      </c>
    </row>
    <row r="399" spans="1:18" x14ac:dyDescent="0.3">
      <c r="A399" t="s">
        <v>910</v>
      </c>
      <c r="B399" s="4" cm="1">
        <f t="array" ref="B399">_xll.SNL.Clients.Office.Excel.Functions.SPG(A399, "SP_TOTAL_REV", "CY2023")</f>
        <v>14964500</v>
      </c>
      <c r="C399" s="4">
        <f>_xll.SNL.Clients.Office.Excel.Functions.SPG(A399,"IQ_AVG_DILUT_SHARES_OUT","CY2023")</f>
        <v>316665000</v>
      </c>
      <c r="D399" s="5">
        <f>_xll.SNL.Clients.Office.Excel.Functions.SPG(A399, "IQ_DILUT_EPS_NORM", "CY2023")</f>
        <v>4.4489999999999998</v>
      </c>
      <c r="E399">
        <f t="shared" si="36"/>
        <v>1408842.585</v>
      </c>
      <c r="F399">
        <f t="shared" si="37"/>
        <v>9.4145650372548365E-2</v>
      </c>
      <c r="G399" t="s">
        <v>910</v>
      </c>
      <c r="H399" s="4" cm="1">
        <f t="array" ref="H399">_xll.SNL.Clients.Office.Excel.Functions.SPG(G399, "SP_TOTAL_REV", "CY2022")</f>
        <v>13511300</v>
      </c>
      <c r="I399" s="4">
        <f>_xll.SNL.Clients.Office.Excel.Functions.SPG(G399,"IQ_AVG_DILUT_SHARES_OUT","CY2022")</f>
        <v>317080000</v>
      </c>
      <c r="J399" s="5">
        <f>_xll.SNL.Clients.Office.Excel.Functions.SPG(G399, "IQ_DILUT_EPS_NORM", "CY2022")</f>
        <v>3.8029999999999999</v>
      </c>
      <c r="K399">
        <f t="shared" si="38"/>
        <v>1205855.24</v>
      </c>
      <c r="L399">
        <f t="shared" si="39"/>
        <v>8.9247906567095692E-2</v>
      </c>
      <c r="M399" t="s">
        <v>922</v>
      </c>
      <c r="N399" s="4" cm="1">
        <f t="array" ref="N399">_xll.SNL.Clients.Office.Excel.Functions.SPG(M399, "SP_TOTAL_REV", "CY2022")</f>
        <v>28091000</v>
      </c>
      <c r="O399" s="4">
        <f>_xll.SNL.Clients.Office.Excel.Functions.SPG(M399,"IQ_AVG_DILUT_SHARES_OUT","CY2022")</f>
        <v>1437000000</v>
      </c>
      <c r="P399" s="5">
        <f>_xll.SNL.Clients.Office.Excel.Functions.SPG(M399, "IQ_DILUT_EPS_NORM", "CY2022")</f>
        <v>1.611</v>
      </c>
      <c r="Q399">
        <f t="shared" si="40"/>
        <v>2315007</v>
      </c>
      <c r="R399">
        <f t="shared" si="41"/>
        <v>8.2410985724965288E-2</v>
      </c>
    </row>
    <row r="400" spans="1:18" x14ac:dyDescent="0.3">
      <c r="A400" t="s">
        <v>911</v>
      </c>
      <c r="B400" s="4" cm="1">
        <f t="array" ref="B400">_xll.SNL.Clients.Office.Excel.Functions.SPG(A400, "SP_TOTAL_REV", "CY2023")</f>
        <v>4504077</v>
      </c>
      <c r="C400" s="4">
        <f>_xll.SNL.Clients.Office.Excel.Functions.SPG(A400,"IQ_AVG_DILUT_SHARES_OUT","CY2023")</f>
        <v>147557500</v>
      </c>
      <c r="D400" s="5">
        <f>_xll.SNL.Clients.Office.Excel.Functions.SPG(A400, "IQ_DILUT_EPS_NORM", "CY2023")</f>
        <v>4.8730000000000002</v>
      </c>
      <c r="E400">
        <f t="shared" si="36"/>
        <v>719047.69750000001</v>
      </c>
      <c r="F400">
        <f t="shared" si="37"/>
        <v>0.15964373999378786</v>
      </c>
      <c r="G400" t="s">
        <v>911</v>
      </c>
      <c r="H400" s="4" cm="1">
        <f t="array" ref="H400">_xll.SNL.Clients.Office.Excel.Functions.SPG(G400, "SP_TOTAL_REV", "CY2022")</f>
        <v>3763275</v>
      </c>
      <c r="I400" s="4">
        <f>_xll.SNL.Clients.Office.Excel.Functions.SPG(G400,"IQ_AVG_DILUT_SHARES_OUT","CY2022")</f>
        <v>147204500</v>
      </c>
      <c r="J400" s="5">
        <f>_xll.SNL.Clients.Office.Excel.Functions.SPG(G400, "IQ_DILUT_EPS_NORM", "CY2022")</f>
        <v>4.327</v>
      </c>
      <c r="K400">
        <f t="shared" si="38"/>
        <v>636953.87150000001</v>
      </c>
      <c r="L400">
        <f t="shared" si="39"/>
        <v>0.1692552023171307</v>
      </c>
      <c r="M400" t="s">
        <v>923</v>
      </c>
      <c r="N400" s="4" cm="1">
        <f t="array" ref="N400">_xll.SNL.Clients.Office.Excel.Functions.SPG(M400, "SP_TOTAL_REV", "CY2022")</f>
        <v>9352000</v>
      </c>
      <c r="O400" s="4">
        <f>_xll.SNL.Clients.Office.Excel.Functions.SPG(M400,"IQ_AVG_DILUT_SHARES_OUT","CY2022")</f>
        <v>213500000</v>
      </c>
      <c r="P400" s="5">
        <f>_xll.SNL.Clients.Office.Excel.Functions.SPG(M400, "IQ_DILUT_EPS_NORM", "CY2022")</f>
        <v>1.669</v>
      </c>
      <c r="Q400">
        <f t="shared" si="40"/>
        <v>356331.5</v>
      </c>
      <c r="R400">
        <f t="shared" si="41"/>
        <v>3.8102170658682634E-2</v>
      </c>
    </row>
    <row r="401" spans="1:18" x14ac:dyDescent="0.3">
      <c r="A401" t="s">
        <v>912</v>
      </c>
      <c r="B401" s="4" cm="1">
        <f t="array" ref="B401">_xll.SNL.Clients.Office.Excel.Functions.SPG(A401, "SP_TOTAL_REV", "CY2023")</f>
        <v>2750571</v>
      </c>
      <c r="C401" s="4">
        <f>_xll.SNL.Clients.Office.Excel.Functions.SPG(A401,"IQ_AVG_DILUT_SHARES_OUT","CY2023")</f>
        <v>124812000</v>
      </c>
      <c r="D401" s="5">
        <f>_xll.SNL.Clients.Office.Excel.Functions.SPG(A401, "IQ_DILUT_EPS_NORM", "CY2023")</f>
        <v>1.7070000000000001</v>
      </c>
      <c r="E401">
        <f t="shared" si="36"/>
        <v>213054.084</v>
      </c>
      <c r="F401">
        <f t="shared" si="37"/>
        <v>7.7458129239347029E-2</v>
      </c>
      <c r="G401" t="s">
        <v>912</v>
      </c>
      <c r="H401" s="4" cm="1">
        <f t="array" ref="H401">_xll.SNL.Clients.Office.Excel.Functions.SPG(G401, "SP_TOTAL_REV", "CY2022")</f>
        <v>3311822</v>
      </c>
      <c r="I401" s="4">
        <f>_xll.SNL.Clients.Office.Excel.Functions.SPG(G401,"IQ_AVG_DILUT_SHARES_OUT","CY2022")</f>
        <v>126426000</v>
      </c>
      <c r="J401" s="5">
        <f>_xll.SNL.Clients.Office.Excel.Functions.SPG(G401, "IQ_DILUT_EPS_NORM", "CY2022")</f>
        <v>3.7810000000000001</v>
      </c>
      <c r="K401">
        <f t="shared" si="38"/>
        <v>478016.70600000001</v>
      </c>
      <c r="L401">
        <f t="shared" si="39"/>
        <v>0.14433647279352574</v>
      </c>
      <c r="M401" t="s">
        <v>924</v>
      </c>
      <c r="N401" s="4" cm="1">
        <f t="array" ref="N401">_xll.SNL.Clients.Office.Excel.Functions.SPG(M401, "SP_TOTAL_REV", "CY2022")</f>
        <v>14439000</v>
      </c>
      <c r="O401" s="4">
        <f>_xll.SNL.Clients.Office.Excel.Functions.SPG(M401,"IQ_AVG_DILUT_SHARES_OUT","CY2022")</f>
        <v>632757000</v>
      </c>
      <c r="P401" s="5">
        <f>_xll.SNL.Clients.Office.Excel.Functions.SPG(M401, "IQ_DILUT_EPS_NORM", "CY2022")</f>
        <v>2.83</v>
      </c>
      <c r="Q401">
        <f t="shared" si="40"/>
        <v>1790702.31</v>
      </c>
      <c r="R401">
        <f t="shared" si="41"/>
        <v>0.12401844379804695</v>
      </c>
    </row>
    <row r="402" spans="1:18" x14ac:dyDescent="0.3">
      <c r="A402" t="s">
        <v>913</v>
      </c>
      <c r="B402" s="4" cm="1">
        <f t="array" ref="B402">_xll.SNL.Clients.Office.Excel.Functions.SPG(A402, "SP_TOTAL_REV", "CY2023")</f>
        <v>6392517</v>
      </c>
      <c r="C402" s="4">
        <f>_xll.SNL.Clients.Office.Excel.Functions.SPG(A402,"IQ_AVG_DILUT_SHARES_OUT","CY2023")</f>
        <v>106074000</v>
      </c>
      <c r="D402" s="5">
        <f>_xll.SNL.Clients.Office.Excel.Functions.SPG(A402, "IQ_DILUT_EPS_NORM", "CY2023")</f>
        <v>3.3969999999999998</v>
      </c>
      <c r="E402">
        <f t="shared" si="36"/>
        <v>360333.37800000003</v>
      </c>
      <c r="F402">
        <f t="shared" si="37"/>
        <v>5.6367996831295092E-2</v>
      </c>
      <c r="G402" t="s">
        <v>913</v>
      </c>
      <c r="H402" s="4" cm="1">
        <f t="array" ref="H402">_xll.SNL.Clients.Office.Excel.Functions.SPG(G402, "SP_TOTAL_REV", "CY2022")</f>
        <v>7238142</v>
      </c>
      <c r="I402" s="4">
        <f>_xll.SNL.Clients.Office.Excel.Functions.SPG(G402,"IQ_AVG_DILUT_SHARES_OUT","CY2022")</f>
        <v>109171000</v>
      </c>
      <c r="J402" s="5">
        <f>_xll.SNL.Clients.Office.Excel.Functions.SPG(G402, "IQ_DILUT_EPS_NORM", "CY2022")</f>
        <v>5.6280000000000001</v>
      </c>
      <c r="K402">
        <f t="shared" si="38"/>
        <v>614414.38800000004</v>
      </c>
      <c r="L402">
        <f t="shared" si="39"/>
        <v>8.4885649936130028E-2</v>
      </c>
      <c r="M402" t="s">
        <v>925</v>
      </c>
      <c r="N402" s="4" cm="1">
        <f t="array" ref="N402">_xll.SNL.Clients.Office.Excel.Functions.SPG(M402, "SP_TOTAL_REV", "CY2022")</f>
        <v>7245000</v>
      </c>
      <c r="O402" s="4">
        <f>_xll.SNL.Clients.Office.Excel.Functions.SPG(M402,"IQ_AVG_DILUT_SHARES_OUT","CY2022")</f>
        <v>203535000</v>
      </c>
      <c r="P402" s="5">
        <f>_xll.SNL.Clients.Office.Excel.Functions.SPG(M402, "IQ_DILUT_EPS_NORM", "CY2022")</f>
        <v>1.2250000000000001</v>
      </c>
      <c r="Q402">
        <f t="shared" si="40"/>
        <v>249330.37500000003</v>
      </c>
      <c r="R402">
        <f t="shared" si="41"/>
        <v>3.4414130434782614E-2</v>
      </c>
    </row>
    <row r="403" spans="1:18" x14ac:dyDescent="0.3">
      <c r="A403" t="s">
        <v>914</v>
      </c>
      <c r="B403" s="4" cm="1">
        <f t="array" ref="B403">_xll.SNL.Clients.Office.Excel.Functions.SPG(A403, "SP_TOTAL_REV", "CY2023")</f>
        <v>9129100</v>
      </c>
      <c r="C403" s="4">
        <f>_xll.SNL.Clients.Office.Excel.Functions.SPG(A403,"IQ_AVG_DILUT_SHARES_OUT","CY2023")</f>
        <v>115525000</v>
      </c>
      <c r="D403" s="5">
        <f>_xll.SNL.Clients.Office.Excel.Functions.SPG(A403, "IQ_DILUT_EPS_NORM", "CY2023")</f>
        <v>8.5830000000000002</v>
      </c>
      <c r="E403">
        <f t="shared" si="36"/>
        <v>991551.07499999995</v>
      </c>
      <c r="F403">
        <f t="shared" si="37"/>
        <v>0.10861432945197226</v>
      </c>
      <c r="G403" t="s">
        <v>914</v>
      </c>
      <c r="H403" s="4" cm="1">
        <f t="array" ref="H403">_xll.SNL.Clients.Office.Excel.Functions.SPG(G403, "SP_TOTAL_REV", "CY2022")</f>
        <v>7884100</v>
      </c>
      <c r="I403" s="4">
        <f>_xll.SNL.Clients.Office.Excel.Functions.SPG(G403,"IQ_AVG_DILUT_SHARES_OUT","CY2022")</f>
        <v>116250000</v>
      </c>
      <c r="J403" s="5">
        <f>_xll.SNL.Clients.Office.Excel.Functions.SPG(G403, "IQ_DILUT_EPS_NORM", "CY2022")</f>
        <v>6.9260000000000002</v>
      </c>
      <c r="K403">
        <f t="shared" si="38"/>
        <v>805147.5</v>
      </c>
      <c r="L403">
        <f t="shared" si="39"/>
        <v>0.10212294364607248</v>
      </c>
      <c r="M403" t="s">
        <v>926</v>
      </c>
      <c r="N403" s="4" cm="1">
        <f t="array" ref="N403">_xll.SNL.Clients.Office.Excel.Functions.SPG(M403, "SP_TOTAL_REV", "CY2022")</f>
        <v>22148900</v>
      </c>
      <c r="O403" s="4">
        <f>_xll.SNL.Clients.Office.Excel.Functions.SPG(M403,"IQ_AVG_DILUT_SHARES_OUT","CY2022")</f>
        <v>261800000</v>
      </c>
      <c r="P403" s="5">
        <f>_xll.SNL.Clients.Office.Excel.Functions.SPG(M403, "IQ_DILUT_EPS_NORM", "CY2022")</f>
        <v>6.16</v>
      </c>
      <c r="Q403">
        <f t="shared" si="40"/>
        <v>1612688</v>
      </c>
      <c r="R403">
        <f t="shared" si="41"/>
        <v>7.28112005562353E-2</v>
      </c>
    </row>
    <row r="404" spans="1:18" x14ac:dyDescent="0.3">
      <c r="A404" t="s">
        <v>915</v>
      </c>
      <c r="B404" s="4" cm="1">
        <f t="array" ref="B404">_xll.SNL.Clients.Office.Excel.Functions.SPG(A404, "SP_TOTAL_REV", "CY2023")</f>
        <v>3073278</v>
      </c>
      <c r="C404" s="4">
        <f>_xll.SNL.Clients.Office.Excel.Functions.SPG(A404,"IQ_AVG_DILUT_SHARES_OUT","CY2023")</f>
        <v>490130000</v>
      </c>
      <c r="D404" s="5">
        <f>_xll.SNL.Clients.Office.Excel.Functions.SPG(A404, "IQ_DILUT_EPS_NORM", "CY2023")</f>
        <v>0.73799999999999999</v>
      </c>
      <c r="E404">
        <f t="shared" si="36"/>
        <v>361715.94</v>
      </c>
      <c r="F404">
        <f t="shared" si="37"/>
        <v>0.11769711038181381</v>
      </c>
      <c r="G404" t="s">
        <v>915</v>
      </c>
      <c r="H404" s="4" cm="1">
        <f t="array" ref="H404">_xll.SNL.Clients.Office.Excel.Functions.SPG(G404, "SP_TOTAL_REV", "CY2022")</f>
        <v>2695823</v>
      </c>
      <c r="I404" s="4">
        <f>_xll.SNL.Clients.Office.Excel.Functions.SPG(G404,"IQ_AVG_DILUT_SHARES_OUT","CY2022")</f>
        <v>492413000</v>
      </c>
      <c r="J404" s="5">
        <f>_xll.SNL.Clients.Office.Excel.Functions.SPG(G404, "IQ_DILUT_EPS_NORM", "CY2022")</f>
        <v>0.623</v>
      </c>
      <c r="K404">
        <f t="shared" si="38"/>
        <v>306773.299</v>
      </c>
      <c r="L404">
        <f t="shared" si="39"/>
        <v>0.11379578666700299</v>
      </c>
      <c r="M404" t="s">
        <v>927</v>
      </c>
      <c r="N404" s="4" cm="1">
        <f t="array" ref="N404">_xll.SNL.Clients.Office.Excel.Functions.SPG(M404, "SP_TOTAL_REV", "CY2022")</f>
        <v>5923214</v>
      </c>
      <c r="O404" s="4">
        <f>_xll.SNL.Clients.Office.Excel.Functions.SPG(M404,"IQ_AVG_DILUT_SHARES_OUT","CY2022")</f>
        <v>327816695</v>
      </c>
      <c r="P404" s="5">
        <f>_xll.SNL.Clients.Office.Excel.Functions.SPG(M404, "IQ_DILUT_EPS_NORM", "CY2022")</f>
        <v>3.7549999999999999</v>
      </c>
      <c r="Q404">
        <f t="shared" si="40"/>
        <v>1230951.6897249999</v>
      </c>
      <c r="R404">
        <f t="shared" si="41"/>
        <v>0.20781820304398929</v>
      </c>
    </row>
    <row r="405" spans="1:18" x14ac:dyDescent="0.3">
      <c r="A405" t="s">
        <v>916</v>
      </c>
      <c r="B405" s="4" cm="1">
        <f t="array" ref="B405">_xll.SNL.Clients.Office.Excel.Functions.SPG(A405, "SP_TOTAL_REV", "CY2023")</f>
        <v>6177800</v>
      </c>
      <c r="C405" s="4">
        <f>_xll.SNL.Clients.Office.Excel.Functions.SPG(A405,"IQ_AVG_DILUT_SHARES_OUT","CY2023")</f>
        <v>107400000</v>
      </c>
      <c r="D405" s="5">
        <f>_xll.SNL.Clients.Office.Excel.Functions.SPG(A405, "IQ_DILUT_EPS_NORM", "CY2023")</f>
        <v>9.1809999999999992</v>
      </c>
      <c r="E405">
        <f t="shared" si="36"/>
        <v>986039.39999999991</v>
      </c>
      <c r="F405">
        <f t="shared" si="37"/>
        <v>0.1596101201074816</v>
      </c>
      <c r="G405" t="s">
        <v>916</v>
      </c>
      <c r="H405" s="4" cm="1">
        <f t="array" ref="H405">_xll.SNL.Clients.Office.Excel.Functions.SPG(G405, "SP_TOTAL_REV", "CY2022")</f>
        <v>5371800</v>
      </c>
      <c r="I405" s="4">
        <f>_xll.SNL.Clients.Office.Excel.Functions.SPG(G405,"IQ_AVG_DILUT_SHARES_OUT","CY2022")</f>
        <v>106800000</v>
      </c>
      <c r="J405" s="5">
        <f>_xll.SNL.Clients.Office.Excel.Functions.SPG(G405, "IQ_DILUT_EPS_NORM", "CY2022")</f>
        <v>7.766</v>
      </c>
      <c r="K405">
        <f t="shared" si="38"/>
        <v>829408.8</v>
      </c>
      <c r="L405">
        <f t="shared" si="39"/>
        <v>0.15440053613313973</v>
      </c>
      <c r="M405" t="s">
        <v>928</v>
      </c>
      <c r="N405" s="4" cm="1">
        <f t="array" ref="N405">_xll.SNL.Clients.Office.Excel.Functions.SPG(M405, "SP_TOTAL_REV", "CY2022")</f>
        <v>5304400</v>
      </c>
      <c r="O405" s="4">
        <f>_xll.SNL.Clients.Office.Excel.Functions.SPG(M405,"IQ_AVG_DILUT_SHARES_OUT","CY2022")</f>
        <v>161750000</v>
      </c>
      <c r="P405" s="5">
        <f>_xll.SNL.Clients.Office.Excel.Functions.SPG(M405, "IQ_DILUT_EPS_NORM", "CY2022")</f>
        <v>5.4859999999999998</v>
      </c>
      <c r="Q405">
        <f t="shared" si="40"/>
        <v>887360.5</v>
      </c>
      <c r="R405">
        <f t="shared" si="41"/>
        <v>0.16728762913807405</v>
      </c>
    </row>
    <row r="406" spans="1:18" x14ac:dyDescent="0.3">
      <c r="A406" t="s">
        <v>917</v>
      </c>
      <c r="B406" s="4" cm="1">
        <f t="array" ref="B406">_xll.SNL.Clients.Office.Excel.Functions.SPG(A406, "SP_TOTAL_REV", "CY2023")</f>
        <v>20376941</v>
      </c>
      <c r="C406" s="4">
        <f>_xll.SNL.Clients.Office.Excel.Functions.SPG(A406,"IQ_AVG_DILUT_SHARES_OUT","CY2023")</f>
        <v>337433000</v>
      </c>
      <c r="D406" s="5">
        <f>_xll.SNL.Clients.Office.Excel.Functions.SPG(A406, "IQ_DILUT_EPS_NORM", "CY2023")</f>
        <v>4.5780000000000003</v>
      </c>
      <c r="E406">
        <f t="shared" si="36"/>
        <v>1544768.274</v>
      </c>
      <c r="F406">
        <f t="shared" si="37"/>
        <v>7.5809625890363039E-2</v>
      </c>
      <c r="G406" t="s">
        <v>917</v>
      </c>
      <c r="H406" s="4" cm="1">
        <f t="array" ref="H406">_xll.SNL.Clients.Office.Excel.Functions.SPG(G406, "SP_TOTAL_REV", "CY2022")</f>
        <v>18695829</v>
      </c>
      <c r="I406" s="4">
        <f>_xll.SNL.Clients.Office.Excel.Functions.SPG(G406,"IQ_AVG_DILUT_SHARES_OUT","CY2022")</f>
        <v>345222000</v>
      </c>
      <c r="J406" s="5">
        <f>_xll.SNL.Clients.Office.Excel.Functions.SPG(G406, "IQ_DILUT_EPS_NORM", "CY2022")</f>
        <v>3.5979999999999999</v>
      </c>
      <c r="K406">
        <f t="shared" si="38"/>
        <v>1242108.7560000001</v>
      </c>
      <c r="L406">
        <f t="shared" si="39"/>
        <v>6.6437746943449255E-2</v>
      </c>
      <c r="M406" t="s">
        <v>929</v>
      </c>
      <c r="N406" s="4" cm="1">
        <f t="array" ref="N406">_xll.SNL.Clients.Office.Excel.Functions.SPG(M406, "SP_TOTAL_REV", "CY2022")</f>
        <v>8328200</v>
      </c>
      <c r="O406" s="4">
        <f>_xll.SNL.Clients.Office.Excel.Functions.SPG(M406,"IQ_AVG_DILUT_SHARES_OUT","CY2022")</f>
        <v>107000000</v>
      </c>
      <c r="P406" s="5">
        <f>_xll.SNL.Clients.Office.Excel.Functions.SPG(M406, "IQ_DILUT_EPS_NORM", "CY2022")</f>
        <v>5.5090000000000003</v>
      </c>
      <c r="Q406">
        <f t="shared" si="40"/>
        <v>589463</v>
      </c>
      <c r="R406">
        <f t="shared" si="41"/>
        <v>7.0779159962536919E-2</v>
      </c>
    </row>
    <row r="407" spans="1:18" x14ac:dyDescent="0.3">
      <c r="A407" t="s">
        <v>918</v>
      </c>
      <c r="B407" s="4" cm="1">
        <f t="array" ref="B407">_xll.SNL.Clients.Office.Excel.Functions.SPG(A407, "SP_TOTAL_REV", "CY2023")</f>
        <v>13900000</v>
      </c>
      <c r="C407" s="4">
        <f>_xll.SNL.Clients.Office.Excel.Functions.SPG(A407,"IQ_AVG_DILUT_SHARES_OUT","CY2023")</f>
        <v>283000000</v>
      </c>
      <c r="D407" s="5">
        <f>_xll.SNL.Clients.Office.Excel.Functions.SPG(A407, "IQ_DILUT_EPS_NORM", "CY2023")</f>
        <v>3.7869999999999999</v>
      </c>
      <c r="E407">
        <f t="shared" si="36"/>
        <v>1071721</v>
      </c>
      <c r="F407">
        <f t="shared" si="37"/>
        <v>7.7102230215827336E-2</v>
      </c>
      <c r="G407" t="s">
        <v>918</v>
      </c>
      <c r="H407" s="4" cm="1">
        <f t="array" ref="H407">_xll.SNL.Clients.Office.Excel.Functions.SPG(G407, "SP_TOTAL_REV", "CY2022")</f>
        <v>8840000</v>
      </c>
      <c r="I407" s="4">
        <f>_xll.SNL.Clients.Office.Excel.Functions.SPG(G407,"IQ_AVG_DILUT_SHARES_OUT","CY2022")</f>
        <v>255000000</v>
      </c>
      <c r="J407" s="5">
        <f>_xll.SNL.Clients.Office.Excel.Functions.SPG(G407, "IQ_DILUT_EPS_NORM", "CY2022")</f>
        <v>-4.9260000000000002</v>
      </c>
      <c r="K407">
        <f t="shared" si="38"/>
        <v>-1256130</v>
      </c>
      <c r="L407">
        <f t="shared" si="39"/>
        <v>-0.14209615384615384</v>
      </c>
      <c r="M407" t="s">
        <v>930</v>
      </c>
      <c r="N407" s="4" cm="1">
        <f t="array" ref="N407">_xll.SNL.Clients.Office.Excel.Functions.SPG(M407, "SP_TOTAL_REV", "CY2022")</f>
        <v>4842500</v>
      </c>
      <c r="O407" s="4">
        <f>_xll.SNL.Clients.Office.Excel.Functions.SPG(M407,"IQ_AVG_DILUT_SHARES_OUT","CY2022")</f>
        <v>54200000</v>
      </c>
      <c r="P407" s="5">
        <f>_xll.SNL.Clients.Office.Excel.Functions.SPG(M407, "IQ_DILUT_EPS_NORM", "CY2022")</f>
        <v>13.458</v>
      </c>
      <c r="Q407">
        <f t="shared" si="40"/>
        <v>729423.6</v>
      </c>
      <c r="R407">
        <f t="shared" si="41"/>
        <v>0.15062955085183272</v>
      </c>
    </row>
    <row r="408" spans="1:18" x14ac:dyDescent="0.3">
      <c r="A408" t="s">
        <v>919</v>
      </c>
      <c r="B408" s="4" cm="1">
        <f t="array" ref="B408">_xll.SNL.Clients.Office.Excel.Functions.SPG(A408, "SP_TOTAL_REV", "CY2023")</f>
        <v>12497000</v>
      </c>
      <c r="C408" s="4">
        <f>_xll.SNL.Clients.Office.Excel.Functions.SPG(A408,"IQ_AVG_DILUT_SHARES_OUT","CY2023")</f>
        <v>318900000</v>
      </c>
      <c r="D408" s="5">
        <f>_xll.SNL.Clients.Office.Excel.Functions.SPG(A408, "IQ_DILUT_EPS_NORM", "CY2023")</f>
        <v>7.5410000000000004</v>
      </c>
      <c r="E408">
        <f t="shared" si="36"/>
        <v>2404824.9</v>
      </c>
      <c r="F408">
        <f t="shared" si="37"/>
        <v>0.1924321757221733</v>
      </c>
      <c r="G408" t="s">
        <v>919</v>
      </c>
      <c r="H408" s="4" cm="1">
        <f t="array" ref="H408">_xll.SNL.Clients.Office.Excel.Functions.SPG(G408, "SP_TOTAL_REV", "CY2022")</f>
        <v>11181000</v>
      </c>
      <c r="I408" s="4">
        <f>_xll.SNL.Clients.Office.Excel.Functions.SPG(G408,"IQ_AVG_DILUT_SHARES_OUT","CY2022")</f>
        <v>318500000</v>
      </c>
      <c r="J408" s="5">
        <f>_xll.SNL.Clients.Office.Excel.Functions.SPG(G408, "IQ_DILUT_EPS_NORM", "CY2022")</f>
        <v>6.33</v>
      </c>
      <c r="K408">
        <f t="shared" si="38"/>
        <v>2016105</v>
      </c>
      <c r="L408">
        <f t="shared" si="39"/>
        <v>0.18031526697075395</v>
      </c>
      <c r="M408" t="s">
        <v>931</v>
      </c>
      <c r="N408" s="4" cm="1">
        <f t="array" ref="N408">_xll.SNL.Clients.Office.Excel.Functions.SPG(M408, "SP_TOTAL_REV", "CY2022")</f>
        <v>29279000</v>
      </c>
      <c r="O408" s="4">
        <f>_xll.SNL.Clients.Office.Excel.Functions.SPG(M408,"IQ_AVG_DILUT_SHARES_OUT","CY2022")</f>
        <v>1081000000</v>
      </c>
      <c r="P408" s="5">
        <f>_xll.SNL.Clients.Office.Excel.Functions.SPG(M408, "IQ_DILUT_EPS_NORM", "CY2022")</f>
        <v>2.6789999999999998</v>
      </c>
      <c r="Q408">
        <f t="shared" si="40"/>
        <v>2895999</v>
      </c>
      <c r="R408">
        <f t="shared" si="41"/>
        <v>9.8910447761194023E-2</v>
      </c>
    </row>
    <row r="409" spans="1:18" x14ac:dyDescent="0.3">
      <c r="A409" t="s">
        <v>920</v>
      </c>
      <c r="B409" s="4" cm="1">
        <f t="array" ref="B409">_xll.SNL.Clients.Office.Excel.Functions.SPG(A409, "SP_TOTAL_REV", "CY2023")</f>
        <v>34857000</v>
      </c>
      <c r="C409" s="4">
        <f>_xll.SNL.Clients.Office.Excel.Functions.SPG(A409,"IQ_AVG_DILUT_SHARES_OUT","CY2023")</f>
        <v>984000000</v>
      </c>
      <c r="D409" s="5" t="str">
        <f>_xll.SNL.Clients.Office.Excel.Functions.SPG(A409, "IQ_DILUT_EPS_NORM", "CY2023")</f>
        <v>NA</v>
      </c>
      <c r="E409" t="e">
        <f t="shared" si="36"/>
        <v>#VALUE!</v>
      </c>
      <c r="F409" t="e">
        <f t="shared" si="37"/>
        <v>#VALUE!</v>
      </c>
      <c r="G409" t="s">
        <v>920</v>
      </c>
      <c r="H409" s="4" cm="1">
        <f t="array" ref="H409">_xll.SNL.Clients.Office.Excel.Functions.SPG(G409, "SP_TOTAL_REV", "CY2022")</f>
        <v>31352000</v>
      </c>
      <c r="I409" s="4">
        <f>_xll.SNL.Clients.Office.Excel.Functions.SPG(G409,"IQ_AVG_DILUT_SHARES_OUT","CY2022")</f>
        <v>997000000</v>
      </c>
      <c r="J409" s="5" t="str">
        <f>_xll.SNL.Clients.Office.Excel.Functions.SPG(G409, "IQ_DILUT_EPS_NORM", "CY2022")</f>
        <v>NA</v>
      </c>
      <c r="K409" t="e">
        <f t="shared" si="38"/>
        <v>#VALUE!</v>
      </c>
      <c r="L409" t="e">
        <f t="shared" si="39"/>
        <v>#VALUE!</v>
      </c>
      <c r="M409" t="s">
        <v>932</v>
      </c>
      <c r="N409" s="4" cm="1">
        <f t="array" ref="N409">_xll.SNL.Clients.Office.Excel.Functions.SPG(M409, "SP_TOTAL_REV", "CY2022")</f>
        <v>23814000</v>
      </c>
      <c r="O409" s="4">
        <f>_xll.SNL.Clients.Office.Excel.Functions.SPG(M409,"IQ_AVG_DILUT_SHARES_OUT","CY2022")</f>
        <v>642000000</v>
      </c>
      <c r="P409" s="5">
        <f>_xll.SNL.Clients.Office.Excel.Functions.SPG(M409, "IQ_DILUT_EPS_NORM", "CY2022")</f>
        <v>0.9</v>
      </c>
      <c r="Q409">
        <f t="shared" si="40"/>
        <v>577800</v>
      </c>
      <c r="R409">
        <f t="shared" si="41"/>
        <v>2.4263038548752835E-2</v>
      </c>
    </row>
    <row r="410" spans="1:18" x14ac:dyDescent="0.3">
      <c r="A410" t="s">
        <v>921</v>
      </c>
      <c r="B410" s="4" cm="1">
        <f t="array" ref="B410">_xll.SNL.Clients.Office.Excel.Functions.SPG(A410, "SP_TOTAL_REV", "CY2023")</f>
        <v>2729889</v>
      </c>
      <c r="C410" s="4">
        <f>_xll.SNL.Clients.Office.Excel.Functions.SPG(A410,"IQ_AVG_DILUT_SHARES_OUT","CY2023")</f>
        <v>108907000</v>
      </c>
      <c r="D410" s="5">
        <f>_xll.SNL.Clients.Office.Excel.Functions.SPG(A410, "IQ_DILUT_EPS_NORM", "CY2023")</f>
        <v>4.101</v>
      </c>
      <c r="E410">
        <f t="shared" si="36"/>
        <v>446627.60700000002</v>
      </c>
      <c r="F410">
        <f t="shared" si="37"/>
        <v>0.16360650817670611</v>
      </c>
      <c r="G410" t="s">
        <v>921</v>
      </c>
      <c r="H410" s="4" cm="1">
        <f t="array" ref="H410">_xll.SNL.Clients.Office.Excel.Functions.SPG(G410, "SP_TOTAL_REV", "CY2022")</f>
        <v>2643587</v>
      </c>
      <c r="I410" s="4">
        <f>_xll.SNL.Clients.Office.Excel.Functions.SPG(G410,"IQ_AVG_DILUT_SHARES_OUT","CY2022")</f>
        <v>109386000</v>
      </c>
      <c r="J410" s="5">
        <f>_xll.SNL.Clients.Office.Excel.Functions.SPG(G410, "IQ_DILUT_EPS_NORM", "CY2022")</f>
        <v>3.2669999999999999</v>
      </c>
      <c r="K410">
        <f t="shared" si="38"/>
        <v>357364.06199999998</v>
      </c>
      <c r="L410">
        <f t="shared" si="39"/>
        <v>0.13518150225432338</v>
      </c>
      <c r="M410" t="s">
        <v>933</v>
      </c>
      <c r="N410" s="4" cm="1">
        <f t="array" ref="N410">_xll.SNL.Clients.Office.Excel.Functions.SPG(M410, "SP_TOTAL_REV", "CY2022")</f>
        <v>16947400</v>
      </c>
      <c r="O410" s="4">
        <f>_xll.SNL.Clients.Office.Excel.Functions.SPG(M410,"IQ_AVG_DILUT_SHARES_OUT","CY2022")</f>
        <v>156553000</v>
      </c>
      <c r="P410" s="5">
        <f>_xll.SNL.Clients.Office.Excel.Functions.SPG(M410, "IQ_DILUT_EPS_NORM", "CY2022")</f>
        <v>2.5870000000000002</v>
      </c>
      <c r="Q410">
        <f t="shared" si="40"/>
        <v>405002.61099999998</v>
      </c>
      <c r="R410">
        <f t="shared" si="41"/>
        <v>2.3897625063431557E-2</v>
      </c>
    </row>
    <row r="411" spans="1:18" x14ac:dyDescent="0.3">
      <c r="A411" t="s">
        <v>922</v>
      </c>
      <c r="B411" s="4" cm="1">
        <f t="array" ref="B411">_xll.SNL.Clients.Office.Excel.Functions.SPG(A411, "SP_TOTAL_REV", "CY2023")</f>
        <v>33135000</v>
      </c>
      <c r="C411" s="4">
        <f>_xll.SNL.Clients.Office.Excel.Functions.SPG(A411,"IQ_AVG_DILUT_SHARES_OUT","CY2023")</f>
        <v>1443000000</v>
      </c>
      <c r="D411" s="5">
        <f>_xll.SNL.Clients.Office.Excel.Functions.SPG(A411, "IQ_DILUT_EPS_NORM", "CY2023")</f>
        <v>2.2469999999999999</v>
      </c>
      <c r="E411">
        <f t="shared" si="36"/>
        <v>3242421</v>
      </c>
      <c r="F411">
        <f t="shared" si="37"/>
        <v>9.7854866455409681E-2</v>
      </c>
      <c r="G411" t="s">
        <v>922</v>
      </c>
      <c r="H411" s="4" cm="1">
        <f t="array" ref="H411">_xll.SNL.Clients.Office.Excel.Functions.SPG(G411, "SP_TOTAL_REV", "CY2022")</f>
        <v>28091000</v>
      </c>
      <c r="I411" s="4">
        <f>_xll.SNL.Clients.Office.Excel.Functions.SPG(G411,"IQ_AVG_DILUT_SHARES_OUT","CY2022")</f>
        <v>1437000000</v>
      </c>
      <c r="J411" s="5">
        <f>_xll.SNL.Clients.Office.Excel.Functions.SPG(G411, "IQ_DILUT_EPS_NORM", "CY2022")</f>
        <v>1.611</v>
      </c>
      <c r="K411">
        <f t="shared" si="38"/>
        <v>2315007</v>
      </c>
      <c r="L411">
        <f t="shared" si="39"/>
        <v>8.2410985724965288E-2</v>
      </c>
      <c r="M411" t="s">
        <v>934</v>
      </c>
      <c r="N411" s="4" cm="1">
        <f t="array" ref="N411">_xll.SNL.Clients.Office.Excel.Functions.SPG(M411, "SP_TOTAL_REV", "CY2022")</f>
        <v>32913800</v>
      </c>
      <c r="O411" s="4">
        <f>_xll.SNL.Clients.Office.Excel.Functions.SPG(M411,"IQ_AVG_DILUT_SHARES_OUT","CY2022")</f>
        <v>1152575000</v>
      </c>
      <c r="P411" s="5">
        <f>_xll.SNL.Clients.Office.Excel.Functions.SPG(M411, "IQ_DILUT_EPS_NORM", "CY2022")</f>
        <v>2.3730000000000002</v>
      </c>
      <c r="Q411">
        <f t="shared" si="40"/>
        <v>2735060.4750000006</v>
      </c>
      <c r="R411">
        <f t="shared" si="41"/>
        <v>8.3097681671517737E-2</v>
      </c>
    </row>
    <row r="412" spans="1:18" x14ac:dyDescent="0.3">
      <c r="A412" t="s">
        <v>923</v>
      </c>
      <c r="B412" s="4" cm="1">
        <f t="array" ref="B412">_xll.SNL.Clients.Office.Excel.Functions.SPG(A412, "SP_TOTAL_REV", "CY2023")</f>
        <v>6471000</v>
      </c>
      <c r="C412" s="4">
        <f>_xll.SNL.Clients.Office.Excel.Functions.SPG(A412,"IQ_AVG_DILUT_SHARES_OUT","CY2023")</f>
        <v>208000000</v>
      </c>
      <c r="D412" s="5">
        <f>_xll.SNL.Clients.Office.Excel.Functions.SPG(A412, "IQ_DILUT_EPS_NORM", "CY2023")</f>
        <v>-1.07</v>
      </c>
      <c r="E412">
        <f t="shared" si="36"/>
        <v>-222560</v>
      </c>
      <c r="F412">
        <f t="shared" si="37"/>
        <v>-3.4393447689692477E-2</v>
      </c>
      <c r="G412" t="s">
        <v>923</v>
      </c>
      <c r="H412" s="4" cm="1">
        <f t="array" ref="H412">_xll.SNL.Clients.Office.Excel.Functions.SPG(G412, "SP_TOTAL_REV", "CY2022")</f>
        <v>9352000</v>
      </c>
      <c r="I412" s="4">
        <f>_xll.SNL.Clients.Office.Excel.Functions.SPG(G412,"IQ_AVG_DILUT_SHARES_OUT","CY2022")</f>
        <v>213500000</v>
      </c>
      <c r="J412" s="5">
        <f>_xll.SNL.Clients.Office.Excel.Functions.SPG(G412, "IQ_DILUT_EPS_NORM", "CY2022")</f>
        <v>1.669</v>
      </c>
      <c r="K412">
        <f t="shared" si="38"/>
        <v>356331.5</v>
      </c>
      <c r="L412">
        <f t="shared" si="39"/>
        <v>3.8102170658682634E-2</v>
      </c>
      <c r="M412" t="s">
        <v>935</v>
      </c>
      <c r="N412" s="4" cm="1">
        <f t="array" ref="N412">_xll.SNL.Clients.Office.Excel.Functions.SPG(M412, "SP_TOTAL_REV", "CY2022")</f>
        <v>12128000</v>
      </c>
      <c r="O412" s="4">
        <f>_xll.SNL.Clients.Office.Excel.Functions.SPG(M412,"IQ_AVG_DILUT_SHARES_OUT","CY2022")</f>
        <v>370109000</v>
      </c>
      <c r="P412" s="5">
        <f>_xll.SNL.Clients.Office.Excel.Functions.SPG(M412, "IQ_DILUT_EPS_NORM", "CY2022")</f>
        <v>5.86</v>
      </c>
      <c r="Q412">
        <f t="shared" si="40"/>
        <v>2168838.7400000002</v>
      </c>
      <c r="R412">
        <f t="shared" si="41"/>
        <v>0.17882905178100267</v>
      </c>
    </row>
    <row r="413" spans="1:18" x14ac:dyDescent="0.3">
      <c r="A413" t="s">
        <v>924</v>
      </c>
      <c r="B413" s="4" cm="1">
        <f t="array" ref="B413">_xll.SNL.Clients.Office.Excel.Functions.SPG(A413, "SP_TOTAL_REV", "CY2023")</f>
        <v>16720000</v>
      </c>
      <c r="C413" s="4">
        <f>_xll.SNL.Clients.Office.Excel.Functions.SPG(A413,"IQ_AVG_DILUT_SHARES_OUT","CY2023")</f>
        <v>632733000</v>
      </c>
      <c r="D413" s="5">
        <f>_xll.SNL.Clients.Office.Excel.Functions.SPG(A413, "IQ_DILUT_EPS_NORM", "CY2023")</f>
        <v>3.198</v>
      </c>
      <c r="E413">
        <f t="shared" si="36"/>
        <v>2023480.1340000001</v>
      </c>
      <c r="F413">
        <f t="shared" si="37"/>
        <v>0.12102153911483254</v>
      </c>
      <c r="G413" t="s">
        <v>924</v>
      </c>
      <c r="H413" s="4" cm="1">
        <f t="array" ref="H413">_xll.SNL.Clients.Office.Excel.Functions.SPG(G413, "SP_TOTAL_REV", "CY2022")</f>
        <v>14439000</v>
      </c>
      <c r="I413" s="4">
        <f>_xll.SNL.Clients.Office.Excel.Functions.SPG(G413,"IQ_AVG_DILUT_SHARES_OUT","CY2022")</f>
        <v>632757000</v>
      </c>
      <c r="J413" s="5">
        <f>_xll.SNL.Clients.Office.Excel.Functions.SPG(G413, "IQ_DILUT_EPS_NORM", "CY2022")</f>
        <v>2.83</v>
      </c>
      <c r="K413">
        <f t="shared" si="38"/>
        <v>1790702.31</v>
      </c>
      <c r="L413">
        <f t="shared" si="39"/>
        <v>0.12401844379804695</v>
      </c>
      <c r="M413" t="s">
        <v>937</v>
      </c>
      <c r="N413" s="4" cm="1">
        <f t="array" ref="N413">_xll.SNL.Clients.Office.Excel.Functions.SPG(M413, "SP_TOTAL_REV", "CY2022")</f>
        <v>4783688</v>
      </c>
      <c r="O413" s="4">
        <f>_xll.SNL.Clients.Office.Excel.Functions.SPG(M413,"IQ_AVG_DILUT_SHARES_OUT","CY2022")</f>
        <v>99967250</v>
      </c>
      <c r="P413" s="5">
        <f>_xll.SNL.Clients.Office.Excel.Functions.SPG(M413, "IQ_DILUT_EPS_NORM", "CY2022")</f>
        <v>3.6539999999999999</v>
      </c>
      <c r="Q413">
        <f t="shared" si="40"/>
        <v>365280.33149999997</v>
      </c>
      <c r="R413">
        <f t="shared" si="41"/>
        <v>7.6359564315231249E-2</v>
      </c>
    </row>
    <row r="414" spans="1:18" x14ac:dyDescent="0.3">
      <c r="A414" t="s">
        <v>925</v>
      </c>
      <c r="B414" s="4" cm="1">
        <f t="array" ref="B414">_xll.SNL.Clients.Office.Excel.Functions.SPG(A414, "SP_TOTAL_REV", "CY2023")</f>
        <v>8971000</v>
      </c>
      <c r="C414" s="4">
        <f>_xll.SNL.Clients.Office.Excel.Functions.SPG(A414,"IQ_AVG_DILUT_SHARES_OUT","CY2023")</f>
        <v>205591000</v>
      </c>
      <c r="D414" s="5">
        <f>_xll.SNL.Clients.Office.Excel.Functions.SPG(A414, "IQ_DILUT_EPS_NORM", "CY2023")</f>
        <v>3.0640000000000001</v>
      </c>
      <c r="E414">
        <f t="shared" si="36"/>
        <v>629930.82400000002</v>
      </c>
      <c r="F414">
        <f t="shared" si="37"/>
        <v>7.0218573626128641E-2</v>
      </c>
      <c r="G414" t="s">
        <v>925</v>
      </c>
      <c r="H414" s="4" cm="1">
        <f t="array" ref="H414">_xll.SNL.Clients.Office.Excel.Functions.SPG(G414, "SP_TOTAL_REV", "CY2022")</f>
        <v>7245000</v>
      </c>
      <c r="I414" s="4">
        <f>_xll.SNL.Clients.Office.Excel.Functions.SPG(G414,"IQ_AVG_DILUT_SHARES_OUT","CY2022")</f>
        <v>203535000</v>
      </c>
      <c r="J414" s="5">
        <f>_xll.SNL.Clients.Office.Excel.Functions.SPG(G414, "IQ_DILUT_EPS_NORM", "CY2022")</f>
        <v>1.2250000000000001</v>
      </c>
      <c r="K414">
        <f t="shared" si="38"/>
        <v>249330.37500000003</v>
      </c>
      <c r="L414">
        <f t="shared" si="39"/>
        <v>3.4414130434782614E-2</v>
      </c>
      <c r="M414" t="s">
        <v>938</v>
      </c>
      <c r="N414" s="4" cm="1">
        <f t="array" ref="N414">_xll.SNL.Clients.Office.Excel.Functions.SPG(M414, "SP_TOTAL_REV", "CY2022")</f>
        <v>18449000</v>
      </c>
      <c r="O414" s="4">
        <f>_xll.SNL.Clients.Office.Excel.Functions.SPG(M414,"IQ_AVG_DILUT_SHARES_OUT","CY2022")</f>
        <v>382200000</v>
      </c>
      <c r="P414" s="5">
        <f>_xll.SNL.Clients.Office.Excel.Functions.SPG(M414, "IQ_DILUT_EPS_NORM", "CY2022")</f>
        <v>5.532</v>
      </c>
      <c r="Q414">
        <f t="shared" si="40"/>
        <v>2114330.4</v>
      </c>
      <c r="R414">
        <f t="shared" si="41"/>
        <v>0.11460406526098975</v>
      </c>
    </row>
    <row r="415" spans="1:18" x14ac:dyDescent="0.3">
      <c r="A415" t="s">
        <v>926</v>
      </c>
      <c r="B415" s="4" cm="1">
        <f t="array" ref="B415">_xll.SNL.Clients.Office.Excel.Functions.SPG(A415, "SP_TOTAL_REV", "CY2023")</f>
        <v>23051900</v>
      </c>
      <c r="C415" s="4">
        <f>_xll.SNL.Clients.Office.Excel.Functions.SPG(A415,"IQ_AVG_DILUT_SHARES_OUT","CY2023")</f>
        <v>258300000</v>
      </c>
      <c r="D415" s="5">
        <f>_xll.SNL.Clients.Office.Excel.Functions.SPG(A415, "IQ_DILUT_EPS_NORM", "CY2023")</f>
        <v>7.6950000000000003</v>
      </c>
      <c r="E415">
        <f t="shared" si="36"/>
        <v>1987618.5</v>
      </c>
      <c r="F415">
        <f t="shared" si="37"/>
        <v>8.6223630156299483E-2</v>
      </c>
      <c r="G415" t="s">
        <v>926</v>
      </c>
      <c r="H415" s="4" cm="1">
        <f t="array" ref="H415">_xll.SNL.Clients.Office.Excel.Functions.SPG(G415, "SP_TOTAL_REV", "CY2022")</f>
        <v>22148900</v>
      </c>
      <c r="I415" s="4">
        <f>_xll.SNL.Clients.Office.Excel.Functions.SPG(G415,"IQ_AVG_DILUT_SHARES_OUT","CY2022")</f>
        <v>261800000</v>
      </c>
      <c r="J415" s="5">
        <f>_xll.SNL.Clients.Office.Excel.Functions.SPG(G415, "IQ_DILUT_EPS_NORM", "CY2022")</f>
        <v>6.16</v>
      </c>
      <c r="K415">
        <f t="shared" si="38"/>
        <v>1612688</v>
      </c>
      <c r="L415">
        <f t="shared" si="39"/>
        <v>7.28112005562353E-2</v>
      </c>
      <c r="M415" t="s">
        <v>939</v>
      </c>
      <c r="N415" s="4" cm="1">
        <f t="array" ref="N415">_xll.SNL.Clients.Office.Excel.Functions.SPG(M415, "SP_TOTAL_REV", "CY2022")</f>
        <v>8299000</v>
      </c>
      <c r="O415" s="4">
        <f>_xll.SNL.Clients.Office.Excel.Functions.SPG(M415,"IQ_AVG_DILUT_SHARES_OUT","CY2022")</f>
        <v>483400000</v>
      </c>
      <c r="P415" s="5">
        <f>_xll.SNL.Clients.Office.Excel.Functions.SPG(M415, "IQ_DILUT_EPS_NORM", "CY2022")</f>
        <v>5.3460000000000001</v>
      </c>
      <c r="Q415">
        <f t="shared" si="40"/>
        <v>2584256.4</v>
      </c>
      <c r="R415">
        <f t="shared" si="41"/>
        <v>0.31139371008555244</v>
      </c>
    </row>
    <row r="416" spans="1:18" x14ac:dyDescent="0.3">
      <c r="A416" t="s">
        <v>927</v>
      </c>
      <c r="B416" s="4" cm="1">
        <f t="array" ref="B416">_xll.SNL.Clients.Office.Excel.Functions.SPG(A416, "SP_TOTAL_REV", "CY2023")</f>
        <v>6027849</v>
      </c>
      <c r="C416" s="4">
        <f>_xll.SNL.Clients.Office.Excel.Functions.SPG(A416,"IQ_AVG_DILUT_SHARES_OUT","CY2023")</f>
        <v>326807326</v>
      </c>
      <c r="D416" s="5">
        <f>_xll.SNL.Clients.Office.Excel.Functions.SPG(A416, "IQ_DILUT_EPS_NORM", "CY2023")</f>
        <v>3.431</v>
      </c>
      <c r="E416">
        <f t="shared" si="36"/>
        <v>1121275.935506</v>
      </c>
      <c r="F416">
        <f t="shared" si="37"/>
        <v>0.18601592964687735</v>
      </c>
      <c r="G416" t="s">
        <v>927</v>
      </c>
      <c r="H416" s="4" cm="1">
        <f t="array" ref="H416">_xll.SNL.Clients.Office.Excel.Functions.SPG(G416, "SP_TOTAL_REV", "CY2022")</f>
        <v>5923214</v>
      </c>
      <c r="I416" s="4">
        <f>_xll.SNL.Clients.Office.Excel.Functions.SPG(G416,"IQ_AVG_DILUT_SHARES_OUT","CY2022")</f>
        <v>327816695</v>
      </c>
      <c r="J416" s="5">
        <f>_xll.SNL.Clients.Office.Excel.Functions.SPG(G416, "IQ_DILUT_EPS_NORM", "CY2022")</f>
        <v>3.7549999999999999</v>
      </c>
      <c r="K416">
        <f t="shared" si="38"/>
        <v>1230951.6897249999</v>
      </c>
      <c r="L416">
        <f t="shared" si="39"/>
        <v>0.20781820304398929</v>
      </c>
      <c r="M416" t="s">
        <v>940</v>
      </c>
      <c r="N416" s="4" cm="1">
        <f t="array" ref="N416">_xll.SNL.Clients.Office.Excel.Functions.SPG(M416, "SP_TOTAL_REV", "CY2022")</f>
        <v>5044784</v>
      </c>
      <c r="O416" s="4">
        <f>_xll.SNL.Clients.Office.Excel.Functions.SPG(M416,"IQ_AVG_DILUT_SHARES_OUT","CY2022")</f>
        <v>156006250</v>
      </c>
      <c r="P416" s="5">
        <f>_xll.SNL.Clients.Office.Excel.Functions.SPG(M416, "IQ_DILUT_EPS_NORM", "CY2022")</f>
        <v>4.4880000000000004</v>
      </c>
      <c r="Q416">
        <f t="shared" si="40"/>
        <v>700156.05000000016</v>
      </c>
      <c r="R416">
        <f t="shared" si="41"/>
        <v>0.13878811263277083</v>
      </c>
    </row>
    <row r="417" spans="1:18" x14ac:dyDescent="0.3">
      <c r="A417" t="s">
        <v>928</v>
      </c>
      <c r="B417" s="4" cm="1">
        <f t="array" ref="B417">_xll.SNL.Clients.Office.Excel.Functions.SPG(A417, "SP_TOTAL_REV", "CY2023")</f>
        <v>4644600</v>
      </c>
      <c r="C417" s="4">
        <f>_xll.SNL.Clients.Office.Excel.Functions.SPG(A417,"IQ_AVG_DILUT_SHARES_OUT","CY2023")</f>
        <v>160500000</v>
      </c>
      <c r="D417" s="5">
        <f>_xll.SNL.Clients.Office.Excel.Functions.SPG(A417, "IQ_DILUT_EPS_NORM", "CY2023")</f>
        <v>3.9870000000000001</v>
      </c>
      <c r="E417">
        <f t="shared" si="36"/>
        <v>639913.5</v>
      </c>
      <c r="F417">
        <f t="shared" si="37"/>
        <v>0.13777580415966928</v>
      </c>
      <c r="G417" t="s">
        <v>928</v>
      </c>
      <c r="H417" s="4" cm="1">
        <f t="array" ref="H417">_xll.SNL.Clients.Office.Excel.Functions.SPG(G417, "SP_TOTAL_REV", "CY2022")</f>
        <v>5304400</v>
      </c>
      <c r="I417" s="4">
        <f>_xll.SNL.Clients.Office.Excel.Functions.SPG(G417,"IQ_AVG_DILUT_SHARES_OUT","CY2022")</f>
        <v>161750000</v>
      </c>
      <c r="J417" s="5">
        <f>_xll.SNL.Clients.Office.Excel.Functions.SPG(G417, "IQ_DILUT_EPS_NORM", "CY2022")</f>
        <v>5.4859999999999998</v>
      </c>
      <c r="K417">
        <f t="shared" si="38"/>
        <v>887360.5</v>
      </c>
      <c r="L417">
        <f t="shared" si="39"/>
        <v>0.16728762913807405</v>
      </c>
      <c r="M417" t="s">
        <v>941</v>
      </c>
      <c r="N417" s="4" cm="1">
        <f t="array" ref="N417">_xll.SNL.Clients.Office.Excel.Functions.SPG(M417, "SP_TOTAL_REV", "CY2022")</f>
        <v>73580180</v>
      </c>
      <c r="O417" s="4">
        <f>_xll.SNL.Clients.Office.Excel.Functions.SPG(M417,"IQ_AVG_DILUT_SHARES_OUT","CY2022")</f>
        <v>511548609</v>
      </c>
      <c r="P417" s="5">
        <f>_xll.SNL.Clients.Office.Excel.Functions.SPG(M417, "IQ_DILUT_EPS_NORM", "CY2022")</f>
        <v>2.528</v>
      </c>
      <c r="Q417">
        <f t="shared" si="40"/>
        <v>1293194.8835520002</v>
      </c>
      <c r="R417">
        <f t="shared" si="41"/>
        <v>1.75753155748192E-2</v>
      </c>
    </row>
    <row r="418" spans="1:18" x14ac:dyDescent="0.3">
      <c r="A418" t="s">
        <v>929</v>
      </c>
      <c r="B418" s="4" cm="1">
        <f t="array" ref="B418">_xll.SNL.Clients.Office.Excel.Functions.SPG(A418, "SP_TOTAL_REV", "CY2023")</f>
        <v>8207800</v>
      </c>
      <c r="C418" s="4">
        <f>_xll.SNL.Clients.Office.Excel.Functions.SPG(A418,"IQ_AVG_DILUT_SHARES_OUT","CY2023")</f>
        <v>104024923</v>
      </c>
      <c r="D418" s="5">
        <f>_xll.SNL.Clients.Office.Excel.Functions.SPG(A418, "IQ_DILUT_EPS_NORM", "CY2023")</f>
        <v>6.8730000000000002</v>
      </c>
      <c r="E418">
        <f t="shared" si="36"/>
        <v>714963.29577900004</v>
      </c>
      <c r="F418">
        <f t="shared" si="37"/>
        <v>8.7107787199858677E-2</v>
      </c>
      <c r="G418" t="s">
        <v>929</v>
      </c>
      <c r="H418" s="4" cm="1">
        <f t="array" ref="H418">_xll.SNL.Clients.Office.Excel.Functions.SPG(G418, "SP_TOTAL_REV", "CY2022")</f>
        <v>8328200</v>
      </c>
      <c r="I418" s="4">
        <f>_xll.SNL.Clients.Office.Excel.Functions.SPG(G418,"IQ_AVG_DILUT_SHARES_OUT","CY2022")</f>
        <v>107000000</v>
      </c>
      <c r="J418" s="5">
        <f>_xll.SNL.Clients.Office.Excel.Functions.SPG(G418, "IQ_DILUT_EPS_NORM", "CY2022")</f>
        <v>5.5090000000000003</v>
      </c>
      <c r="K418">
        <f t="shared" si="38"/>
        <v>589463</v>
      </c>
      <c r="L418">
        <f t="shared" si="39"/>
        <v>7.0779159962536919E-2</v>
      </c>
      <c r="M418" t="s">
        <v>942</v>
      </c>
      <c r="N418" s="4" cm="1">
        <f t="array" ref="N418">_xll.SNL.Clients.Office.Excel.Functions.SPG(M418, "SP_TOTAL_REV", "CY2022")</f>
        <v>79571000</v>
      </c>
      <c r="O418" s="4">
        <f>_xll.SNL.Clients.Office.Excel.Functions.SPG(M418,"IQ_AVG_DILUT_SHARES_OUT","CY2022")</f>
        <v>1255376769</v>
      </c>
      <c r="P418" s="5">
        <f>_xll.SNL.Clients.Office.Excel.Functions.SPG(M418, "IQ_DILUT_EPS_NORM", "CY2022")</f>
        <v>5.0179999999999998</v>
      </c>
      <c r="Q418">
        <f t="shared" si="40"/>
        <v>6299480.6268419996</v>
      </c>
      <c r="R418">
        <f t="shared" si="41"/>
        <v>7.9168046484799734E-2</v>
      </c>
    </row>
    <row r="419" spans="1:18" x14ac:dyDescent="0.3">
      <c r="A419" t="s">
        <v>930</v>
      </c>
      <c r="B419" s="4" cm="1">
        <f t="array" ref="B419">_xll.SNL.Clients.Office.Excel.Functions.SPG(A419, "SP_TOTAL_REV", "CY2023")</f>
        <v>5108300</v>
      </c>
      <c r="C419" s="4">
        <f>_xll.SNL.Clients.Office.Excel.Functions.SPG(A419,"IQ_AVG_DILUT_SHARES_OUT","CY2023")</f>
        <v>53900000</v>
      </c>
      <c r="D419" s="5">
        <f>_xll.SNL.Clients.Office.Excel.Functions.SPG(A419, "IQ_DILUT_EPS_NORM", "CY2023")</f>
        <v>14.962999999999999</v>
      </c>
      <c r="E419">
        <f t="shared" si="36"/>
        <v>806505.7</v>
      </c>
      <c r="F419">
        <f t="shared" si="37"/>
        <v>0.15788142826380597</v>
      </c>
      <c r="G419" t="s">
        <v>930</v>
      </c>
      <c r="H419" s="4" cm="1">
        <f t="array" ref="H419">_xll.SNL.Clients.Office.Excel.Functions.SPG(G419, "SP_TOTAL_REV", "CY2022")</f>
        <v>4842500</v>
      </c>
      <c r="I419" s="4">
        <f>_xll.SNL.Clients.Office.Excel.Functions.SPG(G419,"IQ_AVG_DILUT_SHARES_OUT","CY2022")</f>
        <v>54200000</v>
      </c>
      <c r="J419" s="5">
        <f>_xll.SNL.Clients.Office.Excel.Functions.SPG(G419, "IQ_DILUT_EPS_NORM", "CY2022")</f>
        <v>13.458</v>
      </c>
      <c r="K419">
        <f t="shared" si="38"/>
        <v>729423.6</v>
      </c>
      <c r="L419">
        <f t="shared" si="39"/>
        <v>0.15062955085183272</v>
      </c>
      <c r="M419" t="s">
        <v>943</v>
      </c>
      <c r="N419" s="4" cm="1">
        <f t="array" ref="N419">_xll.SNL.Clients.Office.Excel.Functions.SPG(M419, "SP_TOTAL_REV", "CY2022")</f>
        <v>6488400</v>
      </c>
      <c r="O419" s="4">
        <f>_xll.SNL.Clients.Office.Excel.Functions.SPG(M419,"IQ_AVG_DILUT_SHARES_OUT","CY2022")</f>
        <v>227100000</v>
      </c>
      <c r="P419" s="5">
        <f>_xll.SNL.Clients.Office.Excel.Functions.SPG(M419, "IQ_DILUT_EPS_NORM", "CY2022")</f>
        <v>6.5209999999999999</v>
      </c>
      <c r="Q419">
        <f t="shared" si="40"/>
        <v>1480919.1</v>
      </c>
      <c r="R419">
        <f t="shared" si="41"/>
        <v>0.22824103014610692</v>
      </c>
    </row>
    <row r="420" spans="1:18" x14ac:dyDescent="0.3">
      <c r="A420" t="s">
        <v>931</v>
      </c>
      <c r="B420" s="4" cm="1">
        <f t="array" ref="B420">_xll.SNL.Clients.Office.Excel.Functions.SPG(A420, "SP_TOTAL_REV", "CY2023")</f>
        <v>25253000</v>
      </c>
      <c r="C420" s="4">
        <f>_xll.SNL.Clients.Office.Excel.Functions.SPG(A420,"IQ_AVG_DILUT_SHARES_OUT","CY2023")</f>
        <v>1098000000</v>
      </c>
      <c r="D420" s="5">
        <f>_xll.SNL.Clients.Office.Excel.Functions.SPG(A420, "IQ_DILUT_EPS_NORM", "CY2023")</f>
        <v>2.589</v>
      </c>
      <c r="E420">
        <f t="shared" si="36"/>
        <v>2842722</v>
      </c>
      <c r="F420">
        <f t="shared" si="37"/>
        <v>0.11256967489011206</v>
      </c>
      <c r="G420" t="s">
        <v>931</v>
      </c>
      <c r="H420" s="4" cm="1">
        <f t="array" ref="H420">_xll.SNL.Clients.Office.Excel.Functions.SPG(G420, "SP_TOTAL_REV", "CY2022")</f>
        <v>29279000</v>
      </c>
      <c r="I420" s="4">
        <f>_xll.SNL.Clients.Office.Excel.Functions.SPG(G420,"IQ_AVG_DILUT_SHARES_OUT","CY2022")</f>
        <v>1081000000</v>
      </c>
      <c r="J420" s="5">
        <f>_xll.SNL.Clients.Office.Excel.Functions.SPG(G420, "IQ_DILUT_EPS_NORM", "CY2022")</f>
        <v>2.6789999999999998</v>
      </c>
      <c r="K420">
        <f t="shared" si="38"/>
        <v>2895999</v>
      </c>
      <c r="L420">
        <f t="shared" si="39"/>
        <v>9.8910447761194023E-2</v>
      </c>
      <c r="M420" t="s">
        <v>944</v>
      </c>
      <c r="N420" s="4" cm="1">
        <f t="array" ref="N420">_xll.SNL.Clients.Office.Excel.Functions.SPG(M420, "SP_TOTAL_REV", "CY2022")</f>
        <v>4833700</v>
      </c>
      <c r="O420" s="4">
        <f>_xll.SNL.Clients.Office.Excel.Functions.SPG(M420,"IQ_AVG_DILUT_SHARES_OUT","CY2022")</f>
        <v>146700000</v>
      </c>
      <c r="P420" s="5">
        <f>_xll.SNL.Clients.Office.Excel.Functions.SPG(M420, "IQ_DILUT_EPS_NORM", "CY2022")</f>
        <v>-1.9410000000000001</v>
      </c>
      <c r="Q420">
        <f t="shared" si="40"/>
        <v>-284744.7</v>
      </c>
      <c r="R420">
        <f t="shared" si="41"/>
        <v>-5.8908227651695393E-2</v>
      </c>
    </row>
    <row r="421" spans="1:18" x14ac:dyDescent="0.3">
      <c r="A421" t="s">
        <v>932</v>
      </c>
      <c r="B421" s="4" cm="1">
        <f t="array" ref="B421">_xll.SNL.Clients.Office.Excel.Functions.SPG(A421, "SP_TOTAL_REV", "CY2023")</f>
        <v>26091000</v>
      </c>
      <c r="C421" s="4">
        <f>_xll.SNL.Clients.Office.Excel.Functions.SPG(A421,"IQ_AVG_DILUT_SHARES_OUT","CY2023")</f>
        <v>640000000</v>
      </c>
      <c r="D421" s="5">
        <f>_xll.SNL.Clients.Office.Excel.Functions.SPG(A421, "IQ_DILUT_EPS_NORM", "CY2023")</f>
        <v>1.2390000000000001</v>
      </c>
      <c r="E421">
        <f t="shared" si="36"/>
        <v>792960.00000000012</v>
      </c>
      <c r="F421">
        <f t="shared" si="37"/>
        <v>3.0392089226169948E-2</v>
      </c>
      <c r="G421" t="s">
        <v>932</v>
      </c>
      <c r="H421" s="4" cm="1">
        <f t="array" ref="H421">_xll.SNL.Clients.Office.Excel.Functions.SPG(G421, "SP_TOTAL_REV", "CY2022")</f>
        <v>23814000</v>
      </c>
      <c r="I421" s="4">
        <f>_xll.SNL.Clients.Office.Excel.Functions.SPG(G421,"IQ_AVG_DILUT_SHARES_OUT","CY2022")</f>
        <v>642000000</v>
      </c>
      <c r="J421" s="5">
        <f>_xll.SNL.Clients.Office.Excel.Functions.SPG(G421, "IQ_DILUT_EPS_NORM", "CY2022")</f>
        <v>0.9</v>
      </c>
      <c r="K421">
        <f t="shared" si="38"/>
        <v>577800</v>
      </c>
      <c r="L421">
        <f t="shared" si="39"/>
        <v>2.4263038548752835E-2</v>
      </c>
      <c r="M421" t="s">
        <v>945</v>
      </c>
      <c r="N421" s="4" cm="1">
        <f t="array" ref="N421">_xll.SNL.Clients.Office.Excel.Functions.SPG(M421, "SP_TOTAL_REV", "CY2022")</f>
        <v>6594300</v>
      </c>
      <c r="O421" s="4">
        <f>_xll.SNL.Clients.Office.Excel.Functions.SPG(M421,"IQ_AVG_DILUT_SHARES_OUT","CY2022")</f>
        <v>252100000</v>
      </c>
      <c r="P421" s="5">
        <f>_xll.SNL.Clients.Office.Excel.Functions.SPG(M421, "IQ_DILUT_EPS_NORM", "CY2022")</f>
        <v>2.605</v>
      </c>
      <c r="Q421">
        <f t="shared" si="40"/>
        <v>656720.5</v>
      </c>
      <c r="R421">
        <f t="shared" si="41"/>
        <v>9.9589114841605625E-2</v>
      </c>
    </row>
    <row r="422" spans="1:18" x14ac:dyDescent="0.3">
      <c r="A422" t="s">
        <v>933</v>
      </c>
      <c r="B422" s="4" cm="1">
        <f t="array" ref="B422">_xll.SNL.Clients.Office.Excel.Functions.SPG(A422, "SP_TOTAL_REV", "CY2023")</f>
        <v>15781100</v>
      </c>
      <c r="C422" s="4">
        <f>_xll.SNL.Clients.Office.Excel.Functions.SPG(A422,"IQ_AVG_DILUT_SHARES_OUT","CY2023")</f>
        <v>149751000</v>
      </c>
      <c r="D422" s="5">
        <f>_xll.SNL.Clients.Office.Excel.Functions.SPG(A422, "IQ_DILUT_EPS_NORM", "CY2023")</f>
        <v>0.89400000000000002</v>
      </c>
      <c r="E422">
        <f t="shared" si="36"/>
        <v>133877.394</v>
      </c>
      <c r="F422">
        <f t="shared" si="37"/>
        <v>8.4834006501447942E-3</v>
      </c>
      <c r="G422" t="s">
        <v>933</v>
      </c>
      <c r="H422" s="4" cm="1">
        <f t="array" ref="H422">_xll.SNL.Clients.Office.Excel.Functions.SPG(G422, "SP_TOTAL_REV", "CY2022")</f>
        <v>16947400</v>
      </c>
      <c r="I422" s="4">
        <f>_xll.SNL.Clients.Office.Excel.Functions.SPG(G422,"IQ_AVG_DILUT_SHARES_OUT","CY2022")</f>
        <v>156553000</v>
      </c>
      <c r="J422" s="5">
        <f>_xll.SNL.Clients.Office.Excel.Functions.SPG(G422, "IQ_DILUT_EPS_NORM", "CY2022")</f>
        <v>2.5870000000000002</v>
      </c>
      <c r="K422">
        <f t="shared" si="38"/>
        <v>405002.61099999998</v>
      </c>
      <c r="L422">
        <f t="shared" si="39"/>
        <v>2.3897625063431557E-2</v>
      </c>
      <c r="M422" t="s">
        <v>946</v>
      </c>
      <c r="N422" s="4" cm="1">
        <f t="array" ref="N422">_xll.SNL.Clients.Office.Excel.Functions.SPG(M422, "SP_TOTAL_REV", "CY2022")</f>
        <v>20929800</v>
      </c>
      <c r="O422" s="4">
        <f>_xll.SNL.Clients.Office.Excel.Functions.SPG(M422,"IQ_AVG_DILUT_SHARES_OUT","CY2022")</f>
        <v>231100000</v>
      </c>
      <c r="P422" s="5">
        <f>_xll.SNL.Clients.Office.Excel.Functions.SPG(M422, "IQ_DILUT_EPS_NORM", "CY2022")</f>
        <v>2</v>
      </c>
      <c r="Q422">
        <f t="shared" si="40"/>
        <v>462200</v>
      </c>
      <c r="R422">
        <f t="shared" si="41"/>
        <v>2.2083345278024635E-2</v>
      </c>
    </row>
    <row r="423" spans="1:18" x14ac:dyDescent="0.3">
      <c r="A423" t="s">
        <v>934</v>
      </c>
      <c r="B423" s="4" cm="1">
        <f t="array" ref="B423">_xll.SNL.Clients.Office.Excel.Functions.SPG(A423, "SP_TOTAL_REV", "CY2023")</f>
        <v>36687000</v>
      </c>
      <c r="C423" s="4">
        <f>_xll.SNL.Clients.Office.Excel.Functions.SPG(A423,"IQ_AVG_DILUT_SHARES_OUT","CY2023")</f>
        <v>1148225000</v>
      </c>
      <c r="D423" s="5">
        <f>_xll.SNL.Clients.Office.Excel.Functions.SPG(A423, "IQ_DILUT_EPS_NORM", "CY2023")</f>
        <v>3.0459999999999998</v>
      </c>
      <c r="E423">
        <f t="shared" si="36"/>
        <v>3497493.35</v>
      </c>
      <c r="F423">
        <f t="shared" si="37"/>
        <v>9.5333315615885733E-2</v>
      </c>
      <c r="G423" t="s">
        <v>934</v>
      </c>
      <c r="H423" s="4" cm="1">
        <f t="array" ref="H423">_xll.SNL.Clients.Office.Excel.Functions.SPG(G423, "SP_TOTAL_REV", "CY2022")</f>
        <v>32913800</v>
      </c>
      <c r="I423" s="4">
        <f>_xll.SNL.Clients.Office.Excel.Functions.SPG(G423,"IQ_AVG_DILUT_SHARES_OUT","CY2022")</f>
        <v>1152575000</v>
      </c>
      <c r="J423" s="5">
        <f>_xll.SNL.Clients.Office.Excel.Functions.SPG(G423, "IQ_DILUT_EPS_NORM", "CY2022")</f>
        <v>2.3730000000000002</v>
      </c>
      <c r="K423">
        <f t="shared" si="38"/>
        <v>2735060.4750000006</v>
      </c>
      <c r="L423">
        <f t="shared" si="39"/>
        <v>8.3097681671517737E-2</v>
      </c>
      <c r="M423" t="s">
        <v>947</v>
      </c>
      <c r="N423" s="4" cm="1">
        <f t="array" ref="N423">_xll.SNL.Clients.Office.Excel.Functions.SPG(M423, "SP_TOTAL_REV", "CY2022")</f>
        <v>109120000</v>
      </c>
      <c r="O423" s="4">
        <f>_xll.SNL.Clients.Office.Excel.Functions.SPG(M423,"IQ_AVG_DILUT_SHARES_OUT","CY2022")</f>
        <v>464700000</v>
      </c>
      <c r="P423" s="5">
        <f>_xll.SNL.Clients.Office.Excel.Functions.SPG(M423, "IQ_DILUT_EPS_NORM", "CY2022")</f>
        <v>4.6859999999999999</v>
      </c>
      <c r="Q423">
        <f t="shared" si="40"/>
        <v>2177584.2000000002</v>
      </c>
      <c r="R423">
        <f t="shared" si="41"/>
        <v>1.9955866935483874E-2</v>
      </c>
    </row>
    <row r="424" spans="1:18" x14ac:dyDescent="0.3">
      <c r="A424" t="s">
        <v>935</v>
      </c>
      <c r="B424" s="4" cm="1">
        <f t="array" ref="B424">_xll.SNL.Clients.Office.Excel.Functions.SPG(A424, "SP_TOTAL_REV", "CY2023")</f>
        <v>11899000</v>
      </c>
      <c r="C424" s="4">
        <f>_xll.SNL.Clients.Office.Excel.Functions.SPG(A424,"IQ_AVG_DILUT_SHARES_OUT","CY2023")</f>
        <v>326568000</v>
      </c>
      <c r="D424" s="5">
        <f>_xll.SNL.Clients.Office.Excel.Functions.SPG(A424, "IQ_DILUT_EPS_NORM", "CY2023")</f>
        <v>4.7919999999999998</v>
      </c>
      <c r="E424">
        <f t="shared" si="36"/>
        <v>1564913.8559999999</v>
      </c>
      <c r="F424">
        <f t="shared" si="37"/>
        <v>0.13151641785023951</v>
      </c>
      <c r="G424" t="s">
        <v>935</v>
      </c>
      <c r="H424" s="4" cm="1">
        <f t="array" ref="H424">_xll.SNL.Clients.Office.Excel.Functions.SPG(G424, "SP_TOTAL_REV", "CY2022")</f>
        <v>12128000</v>
      </c>
      <c r="I424" s="4">
        <f>_xll.SNL.Clients.Office.Excel.Functions.SPG(G424,"IQ_AVG_DILUT_SHARES_OUT","CY2022")</f>
        <v>370109000</v>
      </c>
      <c r="J424" s="5">
        <f>_xll.SNL.Clients.Office.Excel.Functions.SPG(G424, "IQ_DILUT_EPS_NORM", "CY2022")</f>
        <v>5.86</v>
      </c>
      <c r="K424">
        <f t="shared" si="38"/>
        <v>2168838.7400000002</v>
      </c>
      <c r="L424">
        <f t="shared" si="39"/>
        <v>0.17882905178100267</v>
      </c>
      <c r="M424" t="s">
        <v>948</v>
      </c>
      <c r="N424" s="4" cm="1">
        <f t="array" ref="N424">_xll.SNL.Clients.Office.Excel.Functions.SPG(M424, "SP_TOTAL_REV", "CY2022")</f>
        <v>16304000</v>
      </c>
      <c r="O424" s="4">
        <f>_xll.SNL.Clients.Office.Excel.Functions.SPG(M424,"IQ_AVG_DILUT_SHARES_OUT","CY2022")</f>
        <v>322250000</v>
      </c>
      <c r="P424" s="5">
        <f>_xll.SNL.Clients.Office.Excel.Functions.SPG(M424, "IQ_DILUT_EPS_NORM", "CY2022")</f>
        <v>5.4889999999999999</v>
      </c>
      <c r="Q424">
        <f t="shared" si="40"/>
        <v>1768830.25</v>
      </c>
      <c r="R424">
        <f t="shared" si="41"/>
        <v>0.10849056979882238</v>
      </c>
    </row>
    <row r="425" spans="1:18" x14ac:dyDescent="0.3">
      <c r="A425" t="s">
        <v>936</v>
      </c>
      <c r="B425" s="4" cm="1">
        <f t="array" ref="B425">_xll.SNL.Clients.Office.Excel.Functions.SPG(A425, "SP_TOTAL_REV", "CY2023")</f>
        <v>18795316</v>
      </c>
      <c r="C425" s="4">
        <f>_xll.SNL.Clients.Office.Excel.Functions.SPG(A425,"IQ_AVG_DILUT_SHARES_OUT","CY2023")</f>
        <v>167431000</v>
      </c>
      <c r="D425" s="5">
        <f>_xll.SNL.Clients.Office.Excel.Functions.SPG(A425, "IQ_DILUT_EPS_NORM", "CY2023")</f>
        <v>11.917999999999999</v>
      </c>
      <c r="E425">
        <f t="shared" si="36"/>
        <v>1995442.6579999998</v>
      </c>
      <c r="F425">
        <f t="shared" si="37"/>
        <v>0.10616701831456304</v>
      </c>
      <c r="G425" t="s">
        <v>936</v>
      </c>
      <c r="H425" s="4" cm="1">
        <f t="array" ref="H425">_xll.SNL.Clients.Office.Excel.Functions.SPG(G425, "SP_TOTAL_REV", "CY2022")</f>
        <v>22260774</v>
      </c>
      <c r="I425" s="4">
        <f>_xll.SNL.Clients.Office.Excel.Functions.SPG(G425,"IQ_AVG_DILUT_SHARES_OUT","CY2022")</f>
        <v>184622000</v>
      </c>
      <c r="J425" s="5">
        <f>_xll.SNL.Clients.Office.Excel.Functions.SPG(G425, "IQ_DILUT_EPS_NORM", "CY2022")</f>
        <v>16.907</v>
      </c>
      <c r="K425">
        <f t="shared" si="38"/>
        <v>3121404.1540000001</v>
      </c>
      <c r="L425">
        <f t="shared" si="39"/>
        <v>0.1402199291902429</v>
      </c>
      <c r="M425" t="s">
        <v>949</v>
      </c>
      <c r="N425" s="4" cm="1">
        <f t="array" ref="N425">_xll.SNL.Clients.Office.Excel.Functions.SPG(M425, "SP_TOTAL_REV", "CY2022")</f>
        <v>5458600</v>
      </c>
      <c r="O425" s="4">
        <f>_xll.SNL.Clients.Office.Excel.Functions.SPG(M425,"IQ_AVG_DILUT_SHARES_OUT","CY2022")</f>
        <v>47700000</v>
      </c>
      <c r="P425" s="5">
        <f>_xll.SNL.Clients.Office.Excel.Functions.SPG(M425, "IQ_DILUT_EPS_NORM", "CY2022")</f>
        <v>11.753</v>
      </c>
      <c r="Q425">
        <f t="shared" si="40"/>
        <v>560618.1</v>
      </c>
      <c r="R425">
        <f t="shared" si="41"/>
        <v>0.10270364195947679</v>
      </c>
    </row>
    <row r="426" spans="1:18" x14ac:dyDescent="0.3">
      <c r="A426" t="s">
        <v>937</v>
      </c>
      <c r="B426" s="4" cm="1">
        <f t="array" ref="B426">_xll.SNL.Clients.Office.Excel.Functions.SPG(A426, "SP_TOTAL_REV", "CY2023")</f>
        <v>4780499</v>
      </c>
      <c r="C426" s="4">
        <f>_xll.SNL.Clients.Office.Excel.Functions.SPG(A426,"IQ_AVG_DILUT_SHARES_OUT","CY2023")</f>
        <v>99804426</v>
      </c>
      <c r="D426" s="5">
        <f>_xll.SNL.Clients.Office.Excel.Functions.SPG(A426, "IQ_DILUT_EPS_NORM", "CY2023")</f>
        <v>4.7130000000000001</v>
      </c>
      <c r="E426">
        <f t="shared" si="36"/>
        <v>470378.25973800005</v>
      </c>
      <c r="F426">
        <f t="shared" si="37"/>
        <v>9.8395221866587584E-2</v>
      </c>
      <c r="G426" t="s">
        <v>937</v>
      </c>
      <c r="H426" s="4" cm="1">
        <f t="array" ref="H426">_xll.SNL.Clients.Office.Excel.Functions.SPG(G426, "SP_TOTAL_REV", "CY2022")</f>
        <v>4783688</v>
      </c>
      <c r="I426" s="4">
        <f>_xll.SNL.Clients.Office.Excel.Functions.SPG(G426,"IQ_AVG_DILUT_SHARES_OUT","CY2022")</f>
        <v>99967250</v>
      </c>
      <c r="J426" s="5">
        <f>_xll.SNL.Clients.Office.Excel.Functions.SPG(G426, "IQ_DILUT_EPS_NORM", "CY2022")</f>
        <v>3.6539999999999999</v>
      </c>
      <c r="K426">
        <f t="shared" si="38"/>
        <v>365280.33149999997</v>
      </c>
      <c r="L426">
        <f t="shared" si="39"/>
        <v>7.6359564315231249E-2</v>
      </c>
      <c r="M426" t="s">
        <v>950</v>
      </c>
      <c r="N426" s="4" cm="1">
        <f t="array" ref="N426">_xll.SNL.Clients.Office.Excel.Functions.SPG(M426, "SP_TOTAL_REV", "CY2022")</f>
        <v>2791041</v>
      </c>
      <c r="O426" s="4">
        <f>_xll.SNL.Clients.Office.Excel.Functions.SPG(M426,"IQ_AVG_DILUT_SHARES_OUT","CY2022")</f>
        <v>47309000</v>
      </c>
      <c r="P426" s="5">
        <f>_xll.SNL.Clients.Office.Excel.Functions.SPG(M426, "IQ_DILUT_EPS_NORM", "CY2022")</f>
        <v>6.11</v>
      </c>
      <c r="Q426">
        <f t="shared" si="40"/>
        <v>289057.99</v>
      </c>
      <c r="R426">
        <f t="shared" si="41"/>
        <v>0.10356637183043889</v>
      </c>
    </row>
    <row r="427" spans="1:18" x14ac:dyDescent="0.3">
      <c r="A427" t="s">
        <v>938</v>
      </c>
      <c r="B427" s="4" cm="1">
        <f t="array" ref="B427">_xll.SNL.Clients.Office.Excel.Functions.SPG(A427, "SP_TOTAL_REV", "CY2023")</f>
        <v>20498000</v>
      </c>
      <c r="C427" s="4">
        <f>_xll.SNL.Clients.Office.Excel.Functions.SPG(A427,"IQ_AVG_DILUT_SHARES_OUT","CY2023")</f>
        <v>383700000</v>
      </c>
      <c r="D427" s="5">
        <f>_xll.SNL.Clients.Office.Excel.Functions.SPG(A427, "IQ_DILUT_EPS_NORM", "CY2023")</f>
        <v>6.38</v>
      </c>
      <c r="E427">
        <f t="shared" si="36"/>
        <v>2448006</v>
      </c>
      <c r="F427">
        <f t="shared" si="37"/>
        <v>0.11942657820275149</v>
      </c>
      <c r="G427" t="s">
        <v>938</v>
      </c>
      <c r="H427" s="4" cm="1">
        <f t="array" ref="H427">_xll.SNL.Clients.Office.Excel.Functions.SPG(G427, "SP_TOTAL_REV", "CY2022")</f>
        <v>18449000</v>
      </c>
      <c r="I427" s="4">
        <f>_xll.SNL.Clients.Office.Excel.Functions.SPG(G427,"IQ_AVG_DILUT_SHARES_OUT","CY2022")</f>
        <v>382200000</v>
      </c>
      <c r="J427" s="5">
        <f>_xll.SNL.Clients.Office.Excel.Functions.SPG(G427, "IQ_DILUT_EPS_NORM", "CY2022")</f>
        <v>5.532</v>
      </c>
      <c r="K427">
        <f t="shared" si="38"/>
        <v>2114330.4</v>
      </c>
      <c r="L427">
        <f t="shared" si="39"/>
        <v>0.11460406526098975</v>
      </c>
      <c r="M427" t="s">
        <v>951</v>
      </c>
      <c r="N427" s="4" cm="1">
        <f t="array" ref="N427">_xll.SNL.Clients.Office.Excel.Functions.SPG(M427, "SP_TOTAL_REV", "CY2022")</f>
        <v>3155045</v>
      </c>
      <c r="O427" s="4">
        <f>_xll.SNL.Clients.Office.Excel.Functions.SPG(M427,"IQ_AVG_DILUT_SHARES_OUT","CY2022")</f>
        <v>169734000</v>
      </c>
      <c r="P427" s="5">
        <f>_xll.SNL.Clients.Office.Excel.Functions.SPG(M427, "IQ_DILUT_EPS_NORM", "CY2022")</f>
        <v>3.1930000000000001</v>
      </c>
      <c r="Q427">
        <f t="shared" si="40"/>
        <v>541960.66200000001</v>
      </c>
      <c r="R427">
        <f t="shared" si="41"/>
        <v>0.17177588972582009</v>
      </c>
    </row>
    <row r="428" spans="1:18" x14ac:dyDescent="0.3">
      <c r="A428" t="s">
        <v>939</v>
      </c>
      <c r="B428" s="4" cm="1">
        <f t="array" ref="B428">_xll.SNL.Clients.Office.Excel.Functions.SPG(A428, "SP_TOTAL_REV", "CY2023")</f>
        <v>7662000</v>
      </c>
      <c r="C428" s="4">
        <f>_xll.SNL.Clients.Office.Excel.Functions.SPG(A428,"IQ_AVG_DILUT_SHARES_OUT","CY2023")</f>
        <v>423500000</v>
      </c>
      <c r="D428" s="5">
        <f>_xll.SNL.Clients.Office.Excel.Functions.SPG(A428, "IQ_DILUT_EPS_NORM", "CY2023")</f>
        <v>4.774</v>
      </c>
      <c r="E428">
        <f t="shared" si="36"/>
        <v>2021789</v>
      </c>
      <c r="F428">
        <f t="shared" si="37"/>
        <v>0.26387222657269643</v>
      </c>
      <c r="G428" t="s">
        <v>939</v>
      </c>
      <c r="H428" s="4" cm="1">
        <f t="array" ref="H428">_xll.SNL.Clients.Office.Excel.Functions.SPG(G428, "SP_TOTAL_REV", "CY2022")</f>
        <v>8299000</v>
      </c>
      <c r="I428" s="4">
        <f>_xll.SNL.Clients.Office.Excel.Functions.SPG(G428,"IQ_AVG_DILUT_SHARES_OUT","CY2022")</f>
        <v>483400000</v>
      </c>
      <c r="J428" s="5">
        <f>_xll.SNL.Clients.Office.Excel.Functions.SPG(G428, "IQ_DILUT_EPS_NORM", "CY2022")</f>
        <v>5.3460000000000001</v>
      </c>
      <c r="K428">
        <f t="shared" si="38"/>
        <v>2584256.4</v>
      </c>
      <c r="L428">
        <f t="shared" si="39"/>
        <v>0.31139371008555244</v>
      </c>
      <c r="M428" t="s">
        <v>952</v>
      </c>
      <c r="N428" s="4" cm="1">
        <f t="array" ref="N428">_xll.SNL.Clients.Office.Excel.Functions.SPG(M428, "SP_TOTAL_REV", "CY2022")</f>
        <v>81462000</v>
      </c>
      <c r="O428" s="4">
        <f>_xll.SNL.Clients.Office.Excel.Functions.SPG(M428,"IQ_AVG_DILUT_SHARES_OUT","CY2022")</f>
        <v>3475000000</v>
      </c>
      <c r="P428" s="5" t="str">
        <f>_xll.SNL.Clients.Office.Excel.Functions.SPG(M428, "IQ_DILUT_EPS_NORM", "CY2022")</f>
        <v>NA</v>
      </c>
      <c r="Q428" t="e">
        <f t="shared" si="40"/>
        <v>#VALUE!</v>
      </c>
      <c r="R428" t="e">
        <f t="shared" si="41"/>
        <v>#VALUE!</v>
      </c>
    </row>
    <row r="429" spans="1:18" x14ac:dyDescent="0.3">
      <c r="A429" t="s">
        <v>940</v>
      </c>
      <c r="B429" s="4" cm="1">
        <f t="array" ref="B429">_xll.SNL.Clients.Office.Excel.Functions.SPG(A429, "SP_TOTAL_REV", "CY2023")</f>
        <v>6120111</v>
      </c>
      <c r="C429" s="4">
        <f>_xll.SNL.Clients.Office.Excel.Functions.SPG(A429,"IQ_AVG_DILUT_SHARES_OUT","CY2023")</f>
        <v>155218000</v>
      </c>
      <c r="D429" s="5">
        <f>_xll.SNL.Clients.Office.Excel.Functions.SPG(A429, "IQ_DILUT_EPS_NORM", "CY2023")</f>
        <v>5.9690000000000003</v>
      </c>
      <c r="E429">
        <f t="shared" si="36"/>
        <v>926496.24199999997</v>
      </c>
      <c r="F429">
        <f t="shared" si="37"/>
        <v>0.1513855291186712</v>
      </c>
      <c r="G429" t="s">
        <v>940</v>
      </c>
      <c r="H429" s="4" cm="1">
        <f t="array" ref="H429">_xll.SNL.Clients.Office.Excel.Functions.SPG(G429, "SP_TOTAL_REV", "CY2022")</f>
        <v>5044784</v>
      </c>
      <c r="I429" s="4">
        <f>_xll.SNL.Clients.Office.Excel.Functions.SPG(G429,"IQ_AVG_DILUT_SHARES_OUT","CY2022")</f>
        <v>156006250</v>
      </c>
      <c r="J429" s="5">
        <f>_xll.SNL.Clients.Office.Excel.Functions.SPG(G429, "IQ_DILUT_EPS_NORM", "CY2022")</f>
        <v>4.4880000000000004</v>
      </c>
      <c r="K429">
        <f t="shared" si="38"/>
        <v>700156.05000000016</v>
      </c>
      <c r="L429">
        <f t="shared" si="39"/>
        <v>0.13878811263277083</v>
      </c>
      <c r="M429" t="s">
        <v>953</v>
      </c>
      <c r="N429" s="4" cm="1">
        <f t="array" ref="N429">_xll.SNL.Clients.Office.Excel.Functions.SPG(M429, "SP_TOTAL_REV", "CY2022")</f>
        <v>20028000</v>
      </c>
      <c r="O429" s="4">
        <f>_xll.SNL.Clients.Office.Excel.Functions.SPG(M429,"IQ_AVG_DILUT_SHARES_OUT","CY2022")</f>
        <v>926000000</v>
      </c>
      <c r="P429" s="5">
        <f>_xll.SNL.Clients.Office.Excel.Functions.SPG(M429, "IQ_DILUT_EPS_NORM", "CY2022")</f>
        <v>6.9450000000000003</v>
      </c>
      <c r="Q429">
        <f t="shared" si="40"/>
        <v>6431070</v>
      </c>
      <c r="R429">
        <f t="shared" si="41"/>
        <v>0.32110395446375073</v>
      </c>
    </row>
    <row r="430" spans="1:18" x14ac:dyDescent="0.3">
      <c r="A430" t="s">
        <v>941</v>
      </c>
      <c r="B430" s="4" cm="1">
        <f t="array" ref="B430">_xll.SNL.Clients.Office.Excel.Functions.SPG(A430, "SP_TOTAL_REV", "CY2023")</f>
        <v>77512159</v>
      </c>
      <c r="C430" s="4">
        <f>_xll.SNL.Clients.Office.Excel.Functions.SPG(A430,"IQ_AVG_DILUT_SHARES_OUT","CY2023")</f>
        <v>507837214</v>
      </c>
      <c r="D430" s="5">
        <f>_xll.SNL.Clients.Office.Excel.Functions.SPG(A430, "IQ_DILUT_EPS_NORM", "CY2023")</f>
        <v>3.843</v>
      </c>
      <c r="E430">
        <f t="shared" si="36"/>
        <v>1951618.413402</v>
      </c>
      <c r="F430">
        <f t="shared" si="37"/>
        <v>2.5178222856648853E-2</v>
      </c>
      <c r="G430" t="s">
        <v>941</v>
      </c>
      <c r="H430" s="4" cm="1">
        <f t="array" ref="H430">_xll.SNL.Clients.Office.Excel.Functions.SPG(G430, "SP_TOTAL_REV", "CY2022")</f>
        <v>73580180</v>
      </c>
      <c r="I430" s="4">
        <f>_xll.SNL.Clients.Office.Excel.Functions.SPG(G430,"IQ_AVG_DILUT_SHARES_OUT","CY2022")</f>
        <v>511548609</v>
      </c>
      <c r="J430" s="5">
        <f>_xll.SNL.Clients.Office.Excel.Functions.SPG(G430, "IQ_DILUT_EPS_NORM", "CY2022")</f>
        <v>2.528</v>
      </c>
      <c r="K430">
        <f t="shared" si="38"/>
        <v>1293194.8835520002</v>
      </c>
      <c r="L430">
        <f t="shared" si="39"/>
        <v>1.75753155748192E-2</v>
      </c>
      <c r="M430" t="s">
        <v>954</v>
      </c>
      <c r="N430" s="4" cm="1">
        <f t="array" ref="N430">_xll.SNL.Clients.Office.Excel.Functions.SPG(M430, "SP_TOTAL_REV", "CY2022")</f>
        <v>12869000</v>
      </c>
      <c r="O430" s="4">
        <f>_xll.SNL.Clients.Office.Excel.Functions.SPG(M430,"IQ_AVG_DILUT_SHARES_OUT","CY2022")</f>
        <v>214973000</v>
      </c>
      <c r="P430" s="5">
        <f>_xll.SNL.Clients.Office.Excel.Functions.SPG(M430, "IQ_DILUT_EPS_NORM", "CY2022")</f>
        <v>2.9540000000000002</v>
      </c>
      <c r="Q430">
        <f t="shared" si="40"/>
        <v>635030.24199999997</v>
      </c>
      <c r="R430">
        <f t="shared" si="41"/>
        <v>4.9345733312611703E-2</v>
      </c>
    </row>
    <row r="431" spans="1:18" x14ac:dyDescent="0.3">
      <c r="A431" t="s">
        <v>942</v>
      </c>
      <c r="B431" s="4" cm="1">
        <f t="array" ref="B431">_xll.SNL.Clients.Office.Excel.Functions.SPG(A431, "SP_TOTAL_REV", "CY2023")</f>
        <v>78558000</v>
      </c>
      <c r="C431" s="4">
        <f>_xll.SNL.Clients.Office.Excel.Functions.SPG(A431,"IQ_AVG_DILUT_SHARES_OUT","CY2023")</f>
        <v>1200286264</v>
      </c>
      <c r="D431" s="5">
        <f>_xll.SNL.Clients.Office.Excel.Functions.SPG(A431, "IQ_DILUT_EPS_NORM", "CY2023")</f>
        <v>6.4930000000000003</v>
      </c>
      <c r="E431">
        <f t="shared" si="36"/>
        <v>7793458.7121520005</v>
      </c>
      <c r="F431">
        <f t="shared" si="37"/>
        <v>9.9206429799027482E-2</v>
      </c>
      <c r="G431" t="s">
        <v>942</v>
      </c>
      <c r="H431" s="4" cm="1">
        <f t="array" ref="H431">_xll.SNL.Clients.Office.Excel.Functions.SPG(G431, "SP_TOTAL_REV", "CY2022")</f>
        <v>79571000</v>
      </c>
      <c r="I431" s="4">
        <f>_xll.SNL.Clients.Office.Excel.Functions.SPG(G431,"IQ_AVG_DILUT_SHARES_OUT","CY2022")</f>
        <v>1255376769</v>
      </c>
      <c r="J431" s="5">
        <f>_xll.SNL.Clients.Office.Excel.Functions.SPG(G431, "IQ_DILUT_EPS_NORM", "CY2022")</f>
        <v>5.0179999999999998</v>
      </c>
      <c r="K431">
        <f t="shared" si="38"/>
        <v>6299480.6268419996</v>
      </c>
      <c r="L431">
        <f t="shared" si="39"/>
        <v>7.9168046484799734E-2</v>
      </c>
      <c r="M431" t="s">
        <v>955</v>
      </c>
      <c r="N431" s="4" cm="1">
        <f t="array" ref="N431">_xll.SNL.Clients.Office.Excel.Functions.SPG(M431, "SP_TOTAL_REV", "CY2022")</f>
        <v>44915000</v>
      </c>
      <c r="O431" s="4">
        <f>_xll.SNL.Clients.Office.Excel.Functions.SPG(M431,"IQ_AVG_DILUT_SHARES_OUT","CY2022")</f>
        <v>394000000</v>
      </c>
      <c r="P431" s="5">
        <f>_xll.SNL.Clients.Office.Excel.Functions.SPG(M431, "IQ_DILUT_EPS_NORM", "CY2022")</f>
        <v>12.667</v>
      </c>
      <c r="Q431">
        <f t="shared" si="40"/>
        <v>4990798</v>
      </c>
      <c r="R431">
        <f t="shared" si="41"/>
        <v>0.11111650896137149</v>
      </c>
    </row>
    <row r="432" spans="1:18" x14ac:dyDescent="0.3">
      <c r="A432" t="s">
        <v>943</v>
      </c>
      <c r="B432" s="4" cm="1">
        <f t="array" ref="B432">_xll.SNL.Clients.Office.Excel.Functions.SPG(A432, "SP_TOTAL_REV", "CY2023")</f>
        <v>6460500</v>
      </c>
      <c r="C432" s="4">
        <f>_xll.SNL.Clients.Office.Excel.Functions.SPG(A432,"IQ_AVG_DILUT_SHARES_OUT","CY2023")</f>
        <v>224800000</v>
      </c>
      <c r="D432" s="5">
        <f>_xll.SNL.Clients.Office.Excel.Functions.SPG(A432, "IQ_DILUT_EPS_NORM", "CY2023")</f>
        <v>6.4850000000000003</v>
      </c>
      <c r="E432">
        <f t="shared" si="36"/>
        <v>1457828</v>
      </c>
      <c r="F432">
        <f t="shared" si="37"/>
        <v>0.22565250367618606</v>
      </c>
      <c r="G432" t="s">
        <v>943</v>
      </c>
      <c r="H432" s="4" cm="1">
        <f t="array" ref="H432">_xll.SNL.Clients.Office.Excel.Functions.SPG(G432, "SP_TOTAL_REV", "CY2022")</f>
        <v>6488400</v>
      </c>
      <c r="I432" s="4">
        <f>_xll.SNL.Clients.Office.Excel.Functions.SPG(G432,"IQ_AVG_DILUT_SHARES_OUT","CY2022")</f>
        <v>227100000</v>
      </c>
      <c r="J432" s="5">
        <f>_xll.SNL.Clients.Office.Excel.Functions.SPG(G432, "IQ_DILUT_EPS_NORM", "CY2022")</f>
        <v>6.5209999999999999</v>
      </c>
      <c r="K432">
        <f t="shared" si="38"/>
        <v>1480919.1</v>
      </c>
      <c r="L432">
        <f t="shared" si="39"/>
        <v>0.22824103014610692</v>
      </c>
      <c r="M432" t="s">
        <v>956</v>
      </c>
      <c r="N432" s="4" cm="1">
        <f t="array" ref="N432">_xll.SNL.Clients.Office.Excel.Functions.SPG(M432, "SP_TOTAL_REV", "CY2022")</f>
        <v>49936000</v>
      </c>
      <c r="O432" s="4">
        <f>_xll.SNL.Clients.Office.Excel.Functions.SPG(M432,"IQ_AVG_DILUT_SHARES_OUT","CY2022")</f>
        <v>1178000000</v>
      </c>
      <c r="P432" s="5">
        <f>_xll.SNL.Clients.Office.Excel.Functions.SPG(M432, "IQ_DILUT_EPS_NORM", "CY2022")</f>
        <v>2.5750000000000002</v>
      </c>
      <c r="Q432">
        <f t="shared" si="40"/>
        <v>3033350</v>
      </c>
      <c r="R432">
        <f t="shared" si="41"/>
        <v>6.0744753284203784E-2</v>
      </c>
    </row>
    <row r="433" spans="1:18" x14ac:dyDescent="0.3">
      <c r="A433" t="s">
        <v>944</v>
      </c>
      <c r="B433" s="4" cm="1">
        <f t="array" ref="B433">_xll.SNL.Clients.Office.Excel.Functions.SPG(A433, "SP_TOTAL_REV", "CY2023")</f>
        <v>5396400</v>
      </c>
      <c r="C433" s="4">
        <f>_xll.SNL.Clients.Office.Excel.Functions.SPG(A433,"IQ_AVG_DILUT_SHARES_OUT","CY2023")</f>
        <v>169374873</v>
      </c>
      <c r="D433" s="5">
        <f>_xll.SNL.Clients.Office.Excel.Functions.SPG(A433, "IQ_DILUT_EPS_NORM", "CY2023")</f>
        <v>-2.3439999999999999</v>
      </c>
      <c r="E433">
        <f t="shared" si="36"/>
        <v>-397014.70231199998</v>
      </c>
      <c r="F433">
        <f t="shared" si="37"/>
        <v>-7.3570288027573941E-2</v>
      </c>
      <c r="G433" t="s">
        <v>944</v>
      </c>
      <c r="H433" s="4" cm="1">
        <f t="array" ref="H433">_xll.SNL.Clients.Office.Excel.Functions.SPG(G433, "SP_TOTAL_REV", "CY2022")</f>
        <v>4833700</v>
      </c>
      <c r="I433" s="4">
        <f>_xll.SNL.Clients.Office.Excel.Functions.SPG(G433,"IQ_AVG_DILUT_SHARES_OUT","CY2022")</f>
        <v>146700000</v>
      </c>
      <c r="J433" s="5">
        <f>_xll.SNL.Clients.Office.Excel.Functions.SPG(G433, "IQ_DILUT_EPS_NORM", "CY2022")</f>
        <v>-1.9410000000000001</v>
      </c>
      <c r="K433">
        <f t="shared" si="38"/>
        <v>-284744.7</v>
      </c>
      <c r="L433">
        <f t="shared" si="39"/>
        <v>-5.8908227651695393E-2</v>
      </c>
      <c r="M433" t="s">
        <v>957</v>
      </c>
      <c r="N433" s="4" cm="1">
        <f t="array" ref="N433">_xll.SNL.Clients.Office.Excel.Functions.SPG(M433, "SP_TOTAL_REV", "CY2022")</f>
        <v>14204717</v>
      </c>
      <c r="O433" s="4">
        <f>_xll.SNL.Clients.Office.Excel.Functions.SPG(M433,"IQ_AVG_DILUT_SHARES_OUT","CY2022")</f>
        <v>112149000</v>
      </c>
      <c r="P433" s="5">
        <f>_xll.SNL.Clients.Office.Excel.Functions.SPG(M433, "IQ_DILUT_EPS_NORM", "CY2022")</f>
        <v>7.8259999999999996</v>
      </c>
      <c r="Q433">
        <f t="shared" si="40"/>
        <v>877678.07400000002</v>
      </c>
      <c r="R433">
        <f t="shared" si="41"/>
        <v>6.1787790210815187E-2</v>
      </c>
    </row>
    <row r="434" spans="1:18" x14ac:dyDescent="0.3">
      <c r="A434" t="s">
        <v>945</v>
      </c>
      <c r="B434" s="4" cm="1">
        <f t="array" ref="B434">_xll.SNL.Clients.Office.Excel.Functions.SPG(A434, "SP_TOTAL_REV", "CY2023")</f>
        <v>6726700</v>
      </c>
      <c r="C434" s="4">
        <f>_xll.SNL.Clients.Office.Excel.Functions.SPG(A434,"IQ_AVG_DILUT_SHARES_OUT","CY2023")</f>
        <v>234800000</v>
      </c>
      <c r="D434" s="5">
        <f>_xll.SNL.Clients.Office.Excel.Functions.SPG(A434, "IQ_DILUT_EPS_NORM", "CY2023")</f>
        <v>3.2749999999999999</v>
      </c>
      <c r="E434">
        <f t="shared" si="36"/>
        <v>768970</v>
      </c>
      <c r="F434">
        <f t="shared" si="37"/>
        <v>0.11431608366658243</v>
      </c>
      <c r="G434" t="s">
        <v>945</v>
      </c>
      <c r="H434" s="4" cm="1">
        <f t="array" ref="H434">_xll.SNL.Clients.Office.Excel.Functions.SPG(G434, "SP_TOTAL_REV", "CY2022")</f>
        <v>6594300</v>
      </c>
      <c r="I434" s="4">
        <f>_xll.SNL.Clients.Office.Excel.Functions.SPG(G434,"IQ_AVG_DILUT_SHARES_OUT","CY2022")</f>
        <v>252100000</v>
      </c>
      <c r="J434" s="5">
        <f>_xll.SNL.Clients.Office.Excel.Functions.SPG(G434, "IQ_DILUT_EPS_NORM", "CY2022")</f>
        <v>2.605</v>
      </c>
      <c r="K434">
        <f t="shared" si="38"/>
        <v>656720.5</v>
      </c>
      <c r="L434">
        <f t="shared" si="39"/>
        <v>9.9589114841605625E-2</v>
      </c>
      <c r="M434" t="s">
        <v>958</v>
      </c>
      <c r="N434" s="4" cm="1">
        <f t="array" ref="N434">_xll.SNL.Clients.Office.Excel.Functions.SPG(M434, "SP_TOTAL_REV", "CY2022")</f>
        <v>15991700</v>
      </c>
      <c r="O434" s="4">
        <f>_xll.SNL.Clients.Office.Excel.Functions.SPG(M434,"IQ_AVG_DILUT_SHARES_OUT","CY2022")</f>
        <v>234900000</v>
      </c>
      <c r="P434" s="5">
        <f>_xll.SNL.Clients.Office.Excel.Functions.SPG(M434, "IQ_DILUT_EPS_NORM", "CY2022")</f>
        <v>5.617</v>
      </c>
      <c r="Q434">
        <f t="shared" si="40"/>
        <v>1319433.3</v>
      </c>
      <c r="R434">
        <f t="shared" si="41"/>
        <v>8.2507381954388836E-2</v>
      </c>
    </row>
    <row r="435" spans="1:18" x14ac:dyDescent="0.3">
      <c r="A435" t="s">
        <v>946</v>
      </c>
      <c r="B435" s="4" cm="1">
        <f t="array" ref="B435">_xll.SNL.Clients.Office.Excel.Functions.SPG(A435, "SP_TOTAL_REV", "CY2023")</f>
        <v>16060300</v>
      </c>
      <c r="C435" s="4">
        <f>_xll.SNL.Clients.Office.Excel.Functions.SPG(A435,"IQ_AVG_DILUT_SHARES_OUT","CY2023")</f>
        <v>226000000</v>
      </c>
      <c r="D435" s="5">
        <f>_xll.SNL.Clients.Office.Excel.Functions.SPG(A435, "IQ_DILUT_EPS_NORM", "CY2023")</f>
        <v>4.3449999999999998</v>
      </c>
      <c r="E435">
        <f t="shared" si="36"/>
        <v>981970</v>
      </c>
      <c r="F435">
        <f t="shared" si="37"/>
        <v>6.1142693473969972E-2</v>
      </c>
      <c r="G435" t="s">
        <v>946</v>
      </c>
      <c r="H435" s="4" cm="1">
        <f t="array" ref="H435">_xll.SNL.Clients.Office.Excel.Functions.SPG(G435, "SP_TOTAL_REV", "CY2022")</f>
        <v>20929800</v>
      </c>
      <c r="I435" s="4">
        <f>_xll.SNL.Clients.Office.Excel.Functions.SPG(G435,"IQ_AVG_DILUT_SHARES_OUT","CY2022")</f>
        <v>231100000</v>
      </c>
      <c r="J435" s="5">
        <f>_xll.SNL.Clients.Office.Excel.Functions.SPG(G435, "IQ_DILUT_EPS_NORM", "CY2022")</f>
        <v>2</v>
      </c>
      <c r="K435">
        <f t="shared" si="38"/>
        <v>462200</v>
      </c>
      <c r="L435">
        <f t="shared" si="39"/>
        <v>2.2083345278024635E-2</v>
      </c>
      <c r="M435" t="s">
        <v>959</v>
      </c>
      <c r="N435" s="4" cm="1">
        <f t="array" ref="N435">_xll.SNL.Clients.Office.Excel.Functions.SPG(M435, "SP_TOTAL_REV", "CY2022")</f>
        <v>5632000</v>
      </c>
      <c r="O435" s="4">
        <f>_xll.SNL.Clients.Office.Excel.Functions.SPG(M435,"IQ_AVG_DILUT_SHARES_OUT","CY2022")</f>
        <v>57675000</v>
      </c>
      <c r="P435" s="5">
        <f>_xll.SNL.Clients.Office.Excel.Functions.SPG(M435, "IQ_DILUT_EPS_NORM", "CY2022")</f>
        <v>13.442</v>
      </c>
      <c r="Q435">
        <f t="shared" si="40"/>
        <v>775267.35</v>
      </c>
      <c r="R435">
        <f t="shared" si="41"/>
        <v>0.13765400390624999</v>
      </c>
    </row>
    <row r="436" spans="1:18" x14ac:dyDescent="0.3">
      <c r="A436" t="s">
        <v>947</v>
      </c>
      <c r="B436" s="4" cm="1">
        <f t="array" ref="B436">_xll.SNL.Clients.Office.Excel.Functions.SPG(A436, "SP_TOTAL_REV", "CY2023")</f>
        <v>107412000</v>
      </c>
      <c r="C436" s="4">
        <f>_xll.SNL.Clients.Office.Excel.Functions.SPG(A436,"IQ_AVG_DILUT_SHARES_OUT","CY2023")</f>
        <v>462800000</v>
      </c>
      <c r="D436" s="5">
        <f>_xll.SNL.Clients.Office.Excel.Functions.SPG(A436, "IQ_DILUT_EPS_NORM", "CY2023")</f>
        <v>7.2910000000000004</v>
      </c>
      <c r="E436">
        <f t="shared" si="36"/>
        <v>3374274.8</v>
      </c>
      <c r="F436">
        <f t="shared" si="37"/>
        <v>3.1414318698097042E-2</v>
      </c>
      <c r="G436" t="s">
        <v>947</v>
      </c>
      <c r="H436" s="4" cm="1">
        <f t="array" ref="H436">_xll.SNL.Clients.Office.Excel.Functions.SPG(G436, "SP_TOTAL_REV", "CY2022")</f>
        <v>109120000</v>
      </c>
      <c r="I436" s="4">
        <f>_xll.SNL.Clients.Office.Excel.Functions.SPG(G436,"IQ_AVG_DILUT_SHARES_OUT","CY2022")</f>
        <v>464700000</v>
      </c>
      <c r="J436" s="5">
        <f>_xll.SNL.Clients.Office.Excel.Functions.SPG(G436, "IQ_DILUT_EPS_NORM", "CY2022")</f>
        <v>4.6859999999999999</v>
      </c>
      <c r="K436">
        <f t="shared" si="38"/>
        <v>2177584.2000000002</v>
      </c>
      <c r="L436">
        <f t="shared" si="39"/>
        <v>1.9955866935483874E-2</v>
      </c>
      <c r="M436" t="s">
        <v>960</v>
      </c>
      <c r="N436" s="4" cm="1">
        <f t="array" ref="N436">_xll.SNL.Clients.Office.Excel.Functions.SPG(M436, "SP_TOTAL_REV", "CY2022")</f>
        <v>36884000</v>
      </c>
      <c r="O436" s="4">
        <f>_xll.SNL.Clients.Office.Excel.Functions.SPG(M436,"IQ_AVG_DILUT_SHARES_OUT","CY2022")</f>
        <v>239700000</v>
      </c>
      <c r="P436" s="5">
        <f>_xll.SNL.Clients.Office.Excel.Functions.SPG(M436, "IQ_DILUT_EPS_NORM", "CY2022")</f>
        <v>8.7449999999999992</v>
      </c>
      <c r="Q436">
        <f t="shared" si="40"/>
        <v>2096176.4999999998</v>
      </c>
      <c r="R436">
        <f t="shared" si="41"/>
        <v>5.6831593644940892E-2</v>
      </c>
    </row>
    <row r="437" spans="1:18" x14ac:dyDescent="0.3">
      <c r="A437" t="s">
        <v>948</v>
      </c>
      <c r="B437" s="4" cm="1">
        <f t="array" ref="B437">_xll.SNL.Clients.Office.Excel.Functions.SPG(A437, "SP_TOTAL_REV", "CY2023")</f>
        <v>16024000</v>
      </c>
      <c r="C437" s="4">
        <f>_xll.SNL.Clients.Office.Excel.Functions.SPG(A437,"IQ_AVG_DILUT_SHARES_OUT","CY2023")</f>
        <v>315500000</v>
      </c>
      <c r="D437" s="5">
        <f>_xll.SNL.Clients.Office.Excel.Functions.SPG(A437, "IQ_DILUT_EPS_NORM", "CY2023")</f>
        <v>5.4690000000000003</v>
      </c>
      <c r="E437">
        <f t="shared" si="36"/>
        <v>1725469.5</v>
      </c>
      <c r="F437">
        <f t="shared" si="37"/>
        <v>0.10768032326510235</v>
      </c>
      <c r="G437" t="s">
        <v>948</v>
      </c>
      <c r="H437" s="4" cm="1">
        <f t="array" ref="H437">_xll.SNL.Clients.Office.Excel.Functions.SPG(G437, "SP_TOTAL_REV", "CY2022")</f>
        <v>16304000</v>
      </c>
      <c r="I437" s="4">
        <f>_xll.SNL.Clients.Office.Excel.Functions.SPG(G437,"IQ_AVG_DILUT_SHARES_OUT","CY2022")</f>
        <v>322250000</v>
      </c>
      <c r="J437" s="5">
        <f>_xll.SNL.Clients.Office.Excel.Functions.SPG(G437, "IQ_DILUT_EPS_NORM", "CY2022")</f>
        <v>5.4889999999999999</v>
      </c>
      <c r="K437">
        <f t="shared" si="38"/>
        <v>1768830.25</v>
      </c>
      <c r="L437">
        <f t="shared" si="39"/>
        <v>0.10849056979882238</v>
      </c>
      <c r="M437" t="s">
        <v>961</v>
      </c>
      <c r="N437" s="4" cm="1">
        <f t="array" ref="N437">_xll.SNL.Clients.Office.Excel.Functions.SPG(M437, "SP_TOTAL_REV", "CY2022")</f>
        <v>3676300</v>
      </c>
      <c r="O437" s="4">
        <f>_xll.SNL.Clients.Office.Excel.Functions.SPG(M437,"IQ_AVG_DILUT_SHARES_OUT","CY2022")</f>
        <v>250200000</v>
      </c>
      <c r="P437" s="5">
        <f>_xll.SNL.Clients.Office.Excel.Functions.SPG(M437, "IQ_DILUT_EPS_NORM", "CY2022")</f>
        <v>1.33</v>
      </c>
      <c r="Q437">
        <f t="shared" si="40"/>
        <v>332766</v>
      </c>
      <c r="R437">
        <f t="shared" si="41"/>
        <v>9.0516551968011311E-2</v>
      </c>
    </row>
    <row r="438" spans="1:18" x14ac:dyDescent="0.3">
      <c r="A438" t="s">
        <v>949</v>
      </c>
      <c r="B438" s="4" cm="1">
        <f t="array" ref="B438">_xll.SNL.Clients.Office.Excel.Functions.SPG(A438, "SP_TOTAL_REV", "CY2023")</f>
        <v>5635500</v>
      </c>
      <c r="C438" s="4">
        <f>_xll.SNL.Clients.Office.Excel.Functions.SPG(A438,"IQ_AVG_DILUT_SHARES_OUT","CY2023")</f>
        <v>47900000</v>
      </c>
      <c r="D438" s="5">
        <f>_xll.SNL.Clients.Office.Excel.Functions.SPG(A438, "IQ_DILUT_EPS_NORM", "CY2023")</f>
        <v>12.472</v>
      </c>
      <c r="E438">
        <f t="shared" si="36"/>
        <v>597408.80000000005</v>
      </c>
      <c r="F438">
        <f t="shared" si="37"/>
        <v>0.10600812705172567</v>
      </c>
      <c r="G438" t="s">
        <v>949</v>
      </c>
      <c r="H438" s="4" cm="1">
        <f t="array" ref="H438">_xll.SNL.Clients.Office.Excel.Functions.SPG(G438, "SP_TOTAL_REV", "CY2022")</f>
        <v>5458600</v>
      </c>
      <c r="I438" s="4">
        <f>_xll.SNL.Clients.Office.Excel.Functions.SPG(G438,"IQ_AVG_DILUT_SHARES_OUT","CY2022")</f>
        <v>47700000</v>
      </c>
      <c r="J438" s="5">
        <f>_xll.SNL.Clients.Office.Excel.Functions.SPG(G438, "IQ_DILUT_EPS_NORM", "CY2022")</f>
        <v>11.753</v>
      </c>
      <c r="K438">
        <f t="shared" si="38"/>
        <v>560618.1</v>
      </c>
      <c r="L438">
        <f t="shared" si="39"/>
        <v>0.10270364195947679</v>
      </c>
      <c r="M438" t="s">
        <v>962</v>
      </c>
      <c r="N438" s="4" cm="1">
        <f t="array" ref="N438">_xll.SNL.Clients.Office.Excel.Functions.SPG(M438, "SP_TOTAL_REV", "CY2022")</f>
        <v>19899000</v>
      </c>
      <c r="O438" s="4">
        <f>_xll.SNL.Clients.Office.Excel.Functions.SPG(M438,"IQ_AVG_DILUT_SHARES_OUT","CY2022")</f>
        <v>1338462000</v>
      </c>
      <c r="P438" s="5">
        <f>_xll.SNL.Clients.Office.Excel.Functions.SPG(M438, "IQ_DILUT_EPS_NORM", "CY2022")</f>
        <v>3.7970000000000002</v>
      </c>
      <c r="Q438">
        <f t="shared" si="40"/>
        <v>5082140.2139999997</v>
      </c>
      <c r="R438">
        <f t="shared" si="41"/>
        <v>0.25539676436001807</v>
      </c>
    </row>
    <row r="439" spans="1:18" x14ac:dyDescent="0.3">
      <c r="A439" t="s">
        <v>950</v>
      </c>
      <c r="B439" s="4" cm="1">
        <f t="array" ref="B439">_xll.SNL.Clients.Office.Excel.Functions.SPG(A439, "SP_TOTAL_REV", "CY2023")</f>
        <v>2974489</v>
      </c>
      <c r="C439" s="4">
        <f>_xll.SNL.Clients.Office.Excel.Functions.SPG(A439,"IQ_AVG_DILUT_SHARES_OUT","CY2023")</f>
        <v>47304000</v>
      </c>
      <c r="D439" s="5">
        <f>_xll.SNL.Clients.Office.Excel.Functions.SPG(A439, "IQ_DILUT_EPS_NORM", "CY2023")</f>
        <v>5.6719999999999997</v>
      </c>
      <c r="E439">
        <f t="shared" si="36"/>
        <v>268308.288</v>
      </c>
      <c r="F439">
        <f t="shared" si="37"/>
        <v>9.0203153550071968E-2</v>
      </c>
      <c r="G439" t="s">
        <v>950</v>
      </c>
      <c r="H439" s="4" cm="1">
        <f t="array" ref="H439">_xll.SNL.Clients.Office.Excel.Functions.SPG(G439, "SP_TOTAL_REV", "CY2022")</f>
        <v>2791041</v>
      </c>
      <c r="I439" s="4">
        <f>_xll.SNL.Clients.Office.Excel.Functions.SPG(G439,"IQ_AVG_DILUT_SHARES_OUT","CY2022")</f>
        <v>47309000</v>
      </c>
      <c r="J439" s="5">
        <f>_xll.SNL.Clients.Office.Excel.Functions.SPG(G439, "IQ_DILUT_EPS_NORM", "CY2022")</f>
        <v>6.11</v>
      </c>
      <c r="K439">
        <f t="shared" si="38"/>
        <v>289057.99</v>
      </c>
      <c r="L439">
        <f t="shared" si="39"/>
        <v>0.10356637183043889</v>
      </c>
      <c r="M439" t="s">
        <v>963</v>
      </c>
      <c r="N439" s="4" cm="1">
        <f t="array" ref="N439">_xll.SNL.Clients.Office.Excel.Functions.SPG(M439, "SP_TOTAL_REV", "CY2022")</f>
        <v>1850204</v>
      </c>
      <c r="O439" s="4">
        <f>_xll.SNL.Clients.Office.Excel.Functions.SPG(M439,"IQ_AVG_DILUT_SHARES_OUT","CY2022")</f>
        <v>42399000</v>
      </c>
      <c r="P439" s="5">
        <f>_xll.SNL.Clients.Office.Excel.Functions.SPG(M439, "IQ_DILUT_EPS_NORM", "CY2022")</f>
        <v>2.7650000000000001</v>
      </c>
      <c r="Q439">
        <f t="shared" si="40"/>
        <v>117233.235</v>
      </c>
      <c r="R439">
        <f t="shared" si="41"/>
        <v>6.3362329235046519E-2</v>
      </c>
    </row>
    <row r="440" spans="1:18" x14ac:dyDescent="0.3">
      <c r="A440" t="s">
        <v>951</v>
      </c>
      <c r="B440" s="4" cm="1">
        <f t="array" ref="B440">_xll.SNL.Clients.Office.Excel.Functions.SPG(A440, "SP_TOTAL_REV", "CY2023")</f>
        <v>2676298</v>
      </c>
      <c r="C440" s="4">
        <f>_xll.SNL.Clients.Office.Excel.Functions.SPG(A440,"IQ_AVG_DILUT_SHARES_OUT","CY2023")</f>
        <v>164304000</v>
      </c>
      <c r="D440" s="5">
        <f>_xll.SNL.Clients.Office.Excel.Functions.SPG(A440, "IQ_DILUT_EPS_NORM", "CY2023")</f>
        <v>2.0499999999999998</v>
      </c>
      <c r="E440">
        <f t="shared" si="36"/>
        <v>336823.2</v>
      </c>
      <c r="F440">
        <f t="shared" si="37"/>
        <v>0.12585414628714739</v>
      </c>
      <c r="G440" t="s">
        <v>951</v>
      </c>
      <c r="H440" s="4" cm="1">
        <f t="array" ref="H440">_xll.SNL.Clients.Office.Excel.Functions.SPG(G440, "SP_TOTAL_REV", "CY2022")</f>
        <v>3155045</v>
      </c>
      <c r="I440" s="4">
        <f>_xll.SNL.Clients.Office.Excel.Functions.SPG(G440,"IQ_AVG_DILUT_SHARES_OUT","CY2022")</f>
        <v>169734000</v>
      </c>
      <c r="J440" s="5">
        <f>_xll.SNL.Clients.Office.Excel.Functions.SPG(G440, "IQ_DILUT_EPS_NORM", "CY2022")</f>
        <v>3.1930000000000001</v>
      </c>
      <c r="K440">
        <f t="shared" si="38"/>
        <v>541960.66200000001</v>
      </c>
      <c r="L440">
        <f t="shared" si="39"/>
        <v>0.17177588972582009</v>
      </c>
      <c r="M440" t="s">
        <v>964</v>
      </c>
      <c r="N440" s="4" cm="1">
        <f t="array" ref="N440">_xll.SNL.Clients.Office.Excel.Functions.SPG(M440, "SP_TOTAL_REV", "CY2022")</f>
        <v>53609000</v>
      </c>
      <c r="O440" s="4">
        <f>_xll.SNL.Clients.Office.Excel.Functions.SPG(M440,"IQ_AVG_DILUT_SHARES_OUT","CY2022")</f>
        <v>361250000</v>
      </c>
      <c r="P440" s="5">
        <f>_xll.SNL.Clients.Office.Excel.Functions.SPG(M440, "IQ_DILUT_EPS_NORM", "CY2022")</f>
        <v>5.5279999999999996</v>
      </c>
      <c r="Q440">
        <f t="shared" si="40"/>
        <v>1996989.9999999998</v>
      </c>
      <c r="R440">
        <f t="shared" si="41"/>
        <v>3.7251021283739666E-2</v>
      </c>
    </row>
    <row r="441" spans="1:18" x14ac:dyDescent="0.3">
      <c r="A441" t="s">
        <v>952</v>
      </c>
      <c r="B441" s="4" cm="1">
        <f t="array" ref="B441">_xll.SNL.Clients.Office.Excel.Functions.SPG(A441, "SP_TOTAL_REV", "CY2023")</f>
        <v>96773000</v>
      </c>
      <c r="C441" s="4">
        <f>_xll.SNL.Clients.Office.Excel.Functions.SPG(A441,"IQ_AVG_DILUT_SHARES_OUT","CY2023")</f>
        <v>3485000000</v>
      </c>
      <c r="D441" s="5" t="str">
        <f>_xll.SNL.Clients.Office.Excel.Functions.SPG(A441, "IQ_DILUT_EPS_NORM", "CY2023")</f>
        <v>NA</v>
      </c>
      <c r="E441" t="e">
        <f t="shared" si="36"/>
        <v>#VALUE!</v>
      </c>
      <c r="F441" t="e">
        <f t="shared" si="37"/>
        <v>#VALUE!</v>
      </c>
      <c r="G441" t="s">
        <v>952</v>
      </c>
      <c r="H441" s="4" cm="1">
        <f t="array" ref="H441">_xll.SNL.Clients.Office.Excel.Functions.SPG(G441, "SP_TOTAL_REV", "CY2022")</f>
        <v>81462000</v>
      </c>
      <c r="I441" s="4">
        <f>_xll.SNL.Clients.Office.Excel.Functions.SPG(G441,"IQ_AVG_DILUT_SHARES_OUT","CY2022")</f>
        <v>3475000000</v>
      </c>
      <c r="J441" s="5" t="str">
        <f>_xll.SNL.Clients.Office.Excel.Functions.SPG(G441, "IQ_DILUT_EPS_NORM", "CY2022")</f>
        <v>NA</v>
      </c>
      <c r="K441" t="e">
        <f t="shared" si="38"/>
        <v>#VALUE!</v>
      </c>
      <c r="L441" t="e">
        <f t="shared" si="39"/>
        <v>#VALUE!</v>
      </c>
      <c r="M441" t="s">
        <v>965</v>
      </c>
      <c r="N441" s="4" cm="1">
        <f t="array" ref="N441">_xll.SNL.Clients.Office.Excel.Functions.SPG(M441, "SP_TOTAL_REV", "CY2022")</f>
        <v>24583000</v>
      </c>
      <c r="O441" s="4">
        <f>_xll.SNL.Clients.Office.Excel.Functions.SPG(M441,"IQ_AVG_DILUT_SHARES_OUT","CY2022")</f>
        <v>1490000000</v>
      </c>
      <c r="P441" s="5">
        <f>_xll.SNL.Clients.Office.Excel.Functions.SPG(M441, "IQ_DILUT_EPS_NORM", "CY2022")</f>
        <v>3.1920000000000002</v>
      </c>
      <c r="Q441">
        <f t="shared" si="40"/>
        <v>4756080</v>
      </c>
      <c r="R441">
        <f t="shared" si="41"/>
        <v>0.19347028434283856</v>
      </c>
    </row>
    <row r="442" spans="1:18" x14ac:dyDescent="0.3">
      <c r="A442" t="s">
        <v>953</v>
      </c>
      <c r="B442" s="4" cm="1">
        <f t="array" ref="B442">_xll.SNL.Clients.Office.Excel.Functions.SPG(A442, "SP_TOTAL_REV", "CY2023")</f>
        <v>17519000</v>
      </c>
      <c r="C442" s="4">
        <f>_xll.SNL.Clients.Office.Excel.Functions.SPG(A442,"IQ_AVG_DILUT_SHARES_OUT","CY2023")</f>
        <v>916000000</v>
      </c>
      <c r="D442" s="5">
        <f>_xll.SNL.Clients.Office.Excel.Functions.SPG(A442, "IQ_DILUT_EPS_NORM", "CY2023")</f>
        <v>5.0609999999999999</v>
      </c>
      <c r="E442">
        <f t="shared" si="36"/>
        <v>4635876</v>
      </c>
      <c r="F442">
        <f t="shared" si="37"/>
        <v>0.26461989839602718</v>
      </c>
      <c r="G442" t="s">
        <v>953</v>
      </c>
      <c r="H442" s="4" cm="1">
        <f t="array" ref="H442">_xll.SNL.Clients.Office.Excel.Functions.SPG(G442, "SP_TOTAL_REV", "CY2022")</f>
        <v>20028000</v>
      </c>
      <c r="I442" s="4">
        <f>_xll.SNL.Clients.Office.Excel.Functions.SPG(G442,"IQ_AVG_DILUT_SHARES_OUT","CY2022")</f>
        <v>926000000</v>
      </c>
      <c r="J442" s="5">
        <f>_xll.SNL.Clients.Office.Excel.Functions.SPG(G442, "IQ_DILUT_EPS_NORM", "CY2022")</f>
        <v>6.9450000000000003</v>
      </c>
      <c r="K442">
        <f t="shared" si="38"/>
        <v>6431070</v>
      </c>
      <c r="L442">
        <f t="shared" si="39"/>
        <v>0.32110395446375073</v>
      </c>
      <c r="M442" t="s">
        <v>966</v>
      </c>
      <c r="N442" s="4" cm="1">
        <f t="array" ref="N442">_xll.SNL.Clients.Office.Excel.Functions.SPG(M442, "SP_TOTAL_REV", "CY2022")</f>
        <v>1515500</v>
      </c>
      <c r="O442" s="4">
        <f>_xll.SNL.Clients.Office.Excel.Functions.SPG(M442,"IQ_AVG_DILUT_SHARES_OUT","CY2022")</f>
        <v>322700000</v>
      </c>
      <c r="P442" s="5">
        <f>_xll.SNL.Clients.Office.Excel.Functions.SPG(M442, "IQ_DILUT_EPS_NORM", "CY2022")</f>
        <v>0.223</v>
      </c>
      <c r="Q442">
        <f t="shared" si="40"/>
        <v>71962.100000000006</v>
      </c>
      <c r="R442">
        <f t="shared" si="41"/>
        <v>4.7484064665127022E-2</v>
      </c>
    </row>
    <row r="443" spans="1:18" x14ac:dyDescent="0.3">
      <c r="A443" t="s">
        <v>954</v>
      </c>
      <c r="B443" s="4" cm="1">
        <f t="array" ref="B443">_xll.SNL.Clients.Office.Excel.Functions.SPG(A443, "SP_TOTAL_REV", "CY2023")</f>
        <v>13683000</v>
      </c>
      <c r="C443" s="4">
        <f>_xll.SNL.Clients.Office.Excel.Functions.SPG(A443,"IQ_AVG_DILUT_SHARES_OUT","CY2023")</f>
        <v>201774000</v>
      </c>
      <c r="D443" s="5">
        <f>_xll.SNL.Clients.Office.Excel.Functions.SPG(A443, "IQ_DILUT_EPS_NORM", "CY2023")</f>
        <v>3.7570000000000001</v>
      </c>
      <c r="E443">
        <f t="shared" si="36"/>
        <v>758064.91799999995</v>
      </c>
      <c r="F443">
        <f t="shared" si="37"/>
        <v>5.5401952641964479E-2</v>
      </c>
      <c r="G443" t="s">
        <v>954</v>
      </c>
      <c r="H443" s="4" cm="1">
        <f t="array" ref="H443">_xll.SNL.Clients.Office.Excel.Functions.SPG(G443, "SP_TOTAL_REV", "CY2022")</f>
        <v>12869000</v>
      </c>
      <c r="I443" s="4">
        <f>_xll.SNL.Clients.Office.Excel.Functions.SPG(G443,"IQ_AVG_DILUT_SHARES_OUT","CY2022")</f>
        <v>214973000</v>
      </c>
      <c r="J443" s="5">
        <f>_xll.SNL.Clients.Office.Excel.Functions.SPG(G443, "IQ_DILUT_EPS_NORM", "CY2022")</f>
        <v>2.9540000000000002</v>
      </c>
      <c r="K443">
        <f t="shared" si="38"/>
        <v>635030.24199999997</v>
      </c>
      <c r="L443">
        <f t="shared" si="39"/>
        <v>4.9345733312611703E-2</v>
      </c>
      <c r="M443" t="s">
        <v>967</v>
      </c>
      <c r="N443" s="4" cm="1">
        <f t="array" ref="N443">_xll.SNL.Clients.Office.Excel.Functions.SPG(M443, "SP_TOTAL_REV", "CY2022")</f>
        <v>10208580</v>
      </c>
      <c r="O443" s="4">
        <f>_xll.SNL.Clients.Office.Excel.Functions.SPG(M443,"IQ_AVG_DILUT_SHARES_OUT","CY2022")</f>
        <v>51738000</v>
      </c>
      <c r="P443" s="5">
        <f>_xll.SNL.Clients.Office.Excel.Functions.SPG(M443, "IQ_DILUT_EPS_NORM", "CY2022")</f>
        <v>19.853999999999999</v>
      </c>
      <c r="Q443">
        <f t="shared" si="40"/>
        <v>1027206.252</v>
      </c>
      <c r="R443">
        <f t="shared" si="41"/>
        <v>0.10062185455763681</v>
      </c>
    </row>
    <row r="444" spans="1:18" x14ac:dyDescent="0.3">
      <c r="A444" t="s">
        <v>955</v>
      </c>
      <c r="B444" s="4" cm="1">
        <f t="array" ref="B444">_xll.SNL.Clients.Office.Excel.Functions.SPG(A444, "SP_TOTAL_REV", "CY2023")</f>
        <v>42857000</v>
      </c>
      <c r="C444" s="4">
        <f>_xll.SNL.Clients.Office.Excel.Functions.SPG(A444,"IQ_AVG_DILUT_SHARES_OUT","CY2023")</f>
        <v>388000000</v>
      </c>
      <c r="D444" s="5">
        <f>_xll.SNL.Clients.Office.Excel.Functions.SPG(A444, "IQ_DILUT_EPS_NORM", "CY2023")</f>
        <v>11.081</v>
      </c>
      <c r="E444">
        <f t="shared" si="36"/>
        <v>4299428</v>
      </c>
      <c r="F444">
        <f t="shared" si="37"/>
        <v>0.10032032106773689</v>
      </c>
      <c r="G444" t="s">
        <v>955</v>
      </c>
      <c r="H444" s="4" cm="1">
        <f t="array" ref="H444">_xll.SNL.Clients.Office.Excel.Functions.SPG(G444, "SP_TOTAL_REV", "CY2022")</f>
        <v>44915000</v>
      </c>
      <c r="I444" s="4">
        <f>_xll.SNL.Clients.Office.Excel.Functions.SPG(G444,"IQ_AVG_DILUT_SHARES_OUT","CY2022")</f>
        <v>394000000</v>
      </c>
      <c r="J444" s="5">
        <f>_xll.SNL.Clients.Office.Excel.Functions.SPG(G444, "IQ_DILUT_EPS_NORM", "CY2022")</f>
        <v>12.667</v>
      </c>
      <c r="K444">
        <f t="shared" si="38"/>
        <v>4990798</v>
      </c>
      <c r="L444">
        <f t="shared" si="39"/>
        <v>0.11111650896137149</v>
      </c>
      <c r="M444" t="s">
        <v>968</v>
      </c>
      <c r="N444" s="4" cm="1">
        <f t="array" ref="N444">_xll.SNL.Clients.Office.Excel.Functions.SPG(M444, "SP_TOTAL_REV", "CY2022")</f>
        <v>24875000</v>
      </c>
      <c r="O444" s="4">
        <f>_xll.SNL.Clients.Office.Excel.Functions.SPG(M444,"IQ_AVG_DILUT_SHARES_OUT","CY2022")</f>
        <v>624000000</v>
      </c>
      <c r="P444" s="5">
        <f>_xll.SNL.Clients.Office.Excel.Functions.SPG(M444, "IQ_DILUT_EPS_NORM", "CY2022")</f>
        <v>8.9719999999999995</v>
      </c>
      <c r="Q444">
        <f t="shared" si="40"/>
        <v>5598528</v>
      </c>
      <c r="R444">
        <f t="shared" si="41"/>
        <v>0.22506645226130653</v>
      </c>
    </row>
    <row r="445" spans="1:18" x14ac:dyDescent="0.3">
      <c r="A445" t="s">
        <v>956</v>
      </c>
      <c r="B445" s="4" cm="1">
        <f t="array" ref="B445">_xll.SNL.Clients.Office.Excel.Functions.SPG(A445, "SP_TOTAL_REV", "CY2023")</f>
        <v>54217000</v>
      </c>
      <c r="C445" s="4">
        <f>_xll.SNL.Clients.Office.Excel.Functions.SPG(A445,"IQ_AVG_DILUT_SHARES_OUT","CY2023")</f>
        <v>1159000000</v>
      </c>
      <c r="D445" s="5">
        <f>_xll.SNL.Clients.Office.Excel.Functions.SPG(A445, "IQ_DILUT_EPS_NORM", "CY2023")</f>
        <v>3.218</v>
      </c>
      <c r="E445">
        <f t="shared" si="36"/>
        <v>3729662</v>
      </c>
      <c r="F445">
        <f t="shared" si="37"/>
        <v>6.8791375398860141E-2</v>
      </c>
      <c r="G445" t="s">
        <v>956</v>
      </c>
      <c r="H445" s="4" cm="1">
        <f t="array" ref="H445">_xll.SNL.Clients.Office.Excel.Functions.SPG(G445, "SP_TOTAL_REV", "CY2022")</f>
        <v>49936000</v>
      </c>
      <c r="I445" s="4">
        <f>_xll.SNL.Clients.Office.Excel.Functions.SPG(G445,"IQ_AVG_DILUT_SHARES_OUT","CY2022")</f>
        <v>1178000000</v>
      </c>
      <c r="J445" s="5">
        <f>_xll.SNL.Clients.Office.Excel.Functions.SPG(G445, "IQ_DILUT_EPS_NORM", "CY2022")</f>
        <v>2.5750000000000002</v>
      </c>
      <c r="K445">
        <f t="shared" si="38"/>
        <v>3033350</v>
      </c>
      <c r="L445">
        <f t="shared" si="39"/>
        <v>6.0744753284203784E-2</v>
      </c>
      <c r="M445" t="s">
        <v>969</v>
      </c>
      <c r="N445" s="4" cm="1">
        <f t="array" ref="N445">_xll.SNL.Clients.Office.Excel.Functions.SPG(M445, "SP_TOTAL_REV", "CY2022")</f>
        <v>44955000</v>
      </c>
      <c r="O445" s="4">
        <f>_xll.SNL.Clients.Office.Excel.Functions.SPG(M445,"IQ_AVG_DILUT_SHARES_OUT","CY2022")</f>
        <v>330100000</v>
      </c>
      <c r="P445" s="5">
        <f>_xll.SNL.Clients.Office.Excel.Functions.SPG(M445, "IQ_DILUT_EPS_NORM", "CY2022")</f>
        <v>2.1150000000000002</v>
      </c>
      <c r="Q445">
        <f t="shared" si="40"/>
        <v>698161.50000000012</v>
      </c>
      <c r="R445">
        <f t="shared" si="41"/>
        <v>1.5530230230230233E-2</v>
      </c>
    </row>
    <row r="446" spans="1:18" x14ac:dyDescent="0.3">
      <c r="A446" t="s">
        <v>957</v>
      </c>
      <c r="B446" s="4" cm="1">
        <f t="array" ref="B446">_xll.SNL.Clients.Office.Excel.Functions.SPG(A446, "SP_TOTAL_REV", "CY2023")</f>
        <v>14555741</v>
      </c>
      <c r="C446" s="4">
        <f>_xll.SNL.Clients.Office.Excel.Functions.SPG(A446,"IQ_AVG_DILUT_SHARES_OUT","CY2023")</f>
        <v>109746000</v>
      </c>
      <c r="D446" s="5">
        <f>_xll.SNL.Clients.Office.Excel.Functions.SPG(A446, "IQ_DILUT_EPS_NORM", "CY2023")</f>
        <v>8.157</v>
      </c>
      <c r="E446">
        <f t="shared" si="36"/>
        <v>895198.12199999997</v>
      </c>
      <c r="F446">
        <f t="shared" si="37"/>
        <v>6.1501377497717225E-2</v>
      </c>
      <c r="G446" t="s">
        <v>957</v>
      </c>
      <c r="H446" s="4" cm="1">
        <f t="array" ref="H446">_xll.SNL.Clients.Office.Excel.Functions.SPG(G446, "SP_TOTAL_REV", "CY2022")</f>
        <v>14204717</v>
      </c>
      <c r="I446" s="4">
        <f>_xll.SNL.Clients.Office.Excel.Functions.SPG(G446,"IQ_AVG_DILUT_SHARES_OUT","CY2022")</f>
        <v>112149000</v>
      </c>
      <c r="J446" s="5">
        <f>_xll.SNL.Clients.Office.Excel.Functions.SPG(G446, "IQ_DILUT_EPS_NORM", "CY2022")</f>
        <v>7.8259999999999996</v>
      </c>
      <c r="K446">
        <f t="shared" si="38"/>
        <v>877678.07400000002</v>
      </c>
      <c r="L446">
        <f t="shared" si="39"/>
        <v>6.1787790210815187E-2</v>
      </c>
      <c r="M446" t="s">
        <v>970</v>
      </c>
      <c r="N446" s="4" cm="1">
        <f t="array" ref="N446">_xll.SNL.Clients.Office.Excel.Functions.SPG(M446, "SP_TOTAL_REV", "CY2022")</f>
        <v>100338000</v>
      </c>
      <c r="O446" s="4">
        <f>_xll.SNL.Clients.Office.Excel.Functions.SPG(M446,"IQ_AVG_DILUT_SHARES_OUT","CY2022")</f>
        <v>875000000</v>
      </c>
      <c r="P446" s="5">
        <f>_xll.SNL.Clients.Office.Excel.Functions.SPG(M446, "IQ_DILUT_EPS_NORM", "CY2022")</f>
        <v>10.417</v>
      </c>
      <c r="Q446">
        <f t="shared" si="40"/>
        <v>9114875</v>
      </c>
      <c r="R446">
        <f t="shared" si="41"/>
        <v>9.0841705036975029E-2</v>
      </c>
    </row>
    <row r="447" spans="1:18" x14ac:dyDescent="0.3">
      <c r="A447" t="s">
        <v>958</v>
      </c>
      <c r="B447" s="4" cm="1">
        <f t="array" ref="B447">_xll.SNL.Clients.Office.Excel.Functions.SPG(A447, "SP_TOTAL_REV", "CY2023")</f>
        <v>17677600</v>
      </c>
      <c r="C447" s="4">
        <f>_xll.SNL.Clients.Office.Excel.Functions.SPG(A447,"IQ_AVG_DILUT_SHARES_OUT","CY2023")</f>
        <v>230700000</v>
      </c>
      <c r="D447" s="5">
        <f>_xll.SNL.Clients.Office.Excel.Functions.SPG(A447, "IQ_DILUT_EPS_NORM", "CY2023")</f>
        <v>6.8860000000000001</v>
      </c>
      <c r="E447">
        <f t="shared" si="36"/>
        <v>1588600.2</v>
      </c>
      <c r="F447">
        <f t="shared" si="37"/>
        <v>8.986515137801511E-2</v>
      </c>
      <c r="G447" t="s">
        <v>958</v>
      </c>
      <c r="H447" s="4" cm="1">
        <f t="array" ref="H447">_xll.SNL.Clients.Office.Excel.Functions.SPG(G447, "SP_TOTAL_REV", "CY2022")</f>
        <v>15991700</v>
      </c>
      <c r="I447" s="4">
        <f>_xll.SNL.Clients.Office.Excel.Functions.SPG(G447,"IQ_AVG_DILUT_SHARES_OUT","CY2022")</f>
        <v>234900000</v>
      </c>
      <c r="J447" s="5">
        <f>_xll.SNL.Clients.Office.Excel.Functions.SPG(G447, "IQ_DILUT_EPS_NORM", "CY2022")</f>
        <v>5.617</v>
      </c>
      <c r="K447">
        <f t="shared" si="38"/>
        <v>1319433.3</v>
      </c>
      <c r="L447">
        <f t="shared" si="39"/>
        <v>8.2507381954388836E-2</v>
      </c>
      <c r="M447" t="s">
        <v>971</v>
      </c>
      <c r="N447" s="4" cm="1">
        <f t="array" ref="N447">_xll.SNL.Clients.Office.Excel.Functions.SPG(M447, "SP_TOTAL_REV", "CY2022")</f>
        <v>11642000</v>
      </c>
      <c r="O447" s="4">
        <f>_xll.SNL.Clients.Office.Excel.Functions.SPG(M447,"IQ_AVG_DILUT_SHARES_OUT","CY2022")</f>
        <v>70973000</v>
      </c>
      <c r="P447" s="5">
        <f>_xll.SNL.Clients.Office.Excel.Functions.SPG(M447, "IQ_DILUT_EPS_NORM", "CY2022")</f>
        <v>25.062000000000001</v>
      </c>
      <c r="Q447">
        <f t="shared" si="40"/>
        <v>1778725.3259999999</v>
      </c>
      <c r="R447">
        <f t="shared" si="41"/>
        <v>0.15278520237072668</v>
      </c>
    </row>
    <row r="448" spans="1:18" x14ac:dyDescent="0.3">
      <c r="A448" t="s">
        <v>959</v>
      </c>
      <c r="B448" s="4" cm="1">
        <f t="array" ref="B448">_xll.SNL.Clients.Office.Excel.Functions.SPG(A448, "SP_TOTAL_REV", "CY2023")</f>
        <v>6977000</v>
      </c>
      <c r="C448" s="4">
        <f>_xll.SNL.Clients.Office.Excel.Functions.SPG(A448,"IQ_AVG_DILUT_SHARES_OUT","CY2023")</f>
        <v>57350000</v>
      </c>
      <c r="D448" s="5">
        <f>_xll.SNL.Clients.Office.Excel.Functions.SPG(A448, "IQ_DILUT_EPS_NORM", "CY2023")</f>
        <v>21.446999999999999</v>
      </c>
      <c r="E448">
        <f t="shared" si="36"/>
        <v>1229985.45</v>
      </c>
      <c r="F448">
        <f t="shared" si="37"/>
        <v>0.17629145048014905</v>
      </c>
      <c r="G448" t="s">
        <v>959</v>
      </c>
      <c r="H448" s="4" cm="1">
        <f t="array" ref="H448">_xll.SNL.Clients.Office.Excel.Functions.SPG(G448, "SP_TOTAL_REV", "CY2022")</f>
        <v>5632000</v>
      </c>
      <c r="I448" s="4">
        <f>_xll.SNL.Clients.Office.Excel.Functions.SPG(G448,"IQ_AVG_DILUT_SHARES_OUT","CY2022")</f>
        <v>57675000</v>
      </c>
      <c r="J448" s="5">
        <f>_xll.SNL.Clients.Office.Excel.Functions.SPG(G448, "IQ_DILUT_EPS_NORM", "CY2022")</f>
        <v>13.442</v>
      </c>
      <c r="K448">
        <f t="shared" si="38"/>
        <v>775267.35</v>
      </c>
      <c r="L448">
        <f t="shared" si="39"/>
        <v>0.13765400390624999</v>
      </c>
      <c r="M448" t="s">
        <v>972</v>
      </c>
      <c r="N448" s="4" cm="1">
        <f t="array" ref="N448">_xll.SNL.Clients.Office.Excel.Functions.SPG(M448, "SP_TOTAL_REV", "CY2022")</f>
        <v>324162000</v>
      </c>
      <c r="O448" s="4">
        <f>_xll.SNL.Clients.Office.Excel.Functions.SPG(M448,"IQ_AVG_DILUT_SHARES_OUT","CY2022")</f>
        <v>950000000</v>
      </c>
      <c r="P448" s="5">
        <f>_xll.SNL.Clients.Office.Excel.Functions.SPG(M448, "IQ_DILUT_EPS_NORM", "CY2022")</f>
        <v>16.785</v>
      </c>
      <c r="Q448">
        <f t="shared" si="40"/>
        <v>15945750</v>
      </c>
      <c r="R448">
        <f t="shared" si="41"/>
        <v>4.9190682436559496E-2</v>
      </c>
    </row>
    <row r="449" spans="1:18" x14ac:dyDescent="0.3">
      <c r="A449" t="s">
        <v>960</v>
      </c>
      <c r="B449" s="4" cm="1">
        <f t="array" ref="B449">_xll.SNL.Clients.Office.Excel.Functions.SPG(A449, "SP_TOTAL_REV", "CY2023")</f>
        <v>41364000</v>
      </c>
      <c r="C449" s="4">
        <f>_xll.SNL.Clients.Office.Excel.Functions.SPG(A449,"IQ_AVG_DILUT_SHARES_OUT","CY2023")</f>
        <v>232200000</v>
      </c>
      <c r="D449" s="5">
        <f>_xll.SNL.Clients.Office.Excel.Functions.SPG(A449, "IQ_DILUT_EPS_NORM", "CY2023")</f>
        <v>9.0739999999999998</v>
      </c>
      <c r="E449">
        <f t="shared" si="36"/>
        <v>2106982.7999999998</v>
      </c>
      <c r="F449">
        <f t="shared" si="37"/>
        <v>5.093759791122715E-2</v>
      </c>
      <c r="G449" t="s">
        <v>960</v>
      </c>
      <c r="H449" s="4" cm="1">
        <f t="array" ref="H449">_xll.SNL.Clients.Office.Excel.Functions.SPG(G449, "SP_TOTAL_REV", "CY2022")</f>
        <v>36884000</v>
      </c>
      <c r="I449" s="4">
        <f>_xll.SNL.Clients.Office.Excel.Functions.SPG(G449,"IQ_AVG_DILUT_SHARES_OUT","CY2022")</f>
        <v>239700000</v>
      </c>
      <c r="J449" s="5">
        <f>_xll.SNL.Clients.Office.Excel.Functions.SPG(G449, "IQ_DILUT_EPS_NORM", "CY2022")</f>
        <v>8.7449999999999992</v>
      </c>
      <c r="K449">
        <f t="shared" si="38"/>
        <v>2096176.4999999998</v>
      </c>
      <c r="L449">
        <f t="shared" si="39"/>
        <v>5.6831593644940892E-2</v>
      </c>
      <c r="M449" t="s">
        <v>973</v>
      </c>
      <c r="N449" s="4" cm="1">
        <f t="array" ref="N449">_xll.SNL.Clients.Office.Excel.Functions.SPG(M449, "SP_TOTAL_REV", "CY2022")</f>
        <v>13399370</v>
      </c>
      <c r="O449" s="4">
        <f>_xll.SNL.Clients.Office.Excel.Functions.SPG(M449,"IQ_AVG_DILUT_SHARES_OUT","CY2022")</f>
        <v>73832000</v>
      </c>
      <c r="P449" s="5">
        <f>_xll.SNL.Clients.Office.Excel.Functions.SPG(M449, "IQ_DILUT_EPS_NORM", "CY2022")</f>
        <v>8.0719999999999992</v>
      </c>
      <c r="Q449">
        <f t="shared" si="40"/>
        <v>595971.90399999986</v>
      </c>
      <c r="R449">
        <f t="shared" si="41"/>
        <v>4.4477606335223213E-2</v>
      </c>
    </row>
    <row r="450" spans="1:18" x14ac:dyDescent="0.3">
      <c r="A450" t="s">
        <v>961</v>
      </c>
      <c r="B450" s="4" cm="1">
        <f t="array" ref="B450">_xll.SNL.Clients.Office.Excel.Functions.SPG(A450, "SP_TOTAL_REV", "CY2023")</f>
        <v>3798700</v>
      </c>
      <c r="C450" s="4">
        <f>_xll.SNL.Clients.Office.Excel.Functions.SPG(A450,"IQ_AVG_DILUT_SHARES_OUT","CY2023")</f>
        <v>249100000</v>
      </c>
      <c r="D450" s="5">
        <f>_xll.SNL.Clients.Office.Excel.Functions.SPG(A450, "IQ_DILUT_EPS_NORM", "CY2023")</f>
        <v>1.103</v>
      </c>
      <c r="E450">
        <f t="shared" si="36"/>
        <v>274757.3</v>
      </c>
      <c r="F450">
        <f t="shared" si="37"/>
        <v>7.2329296864716869E-2</v>
      </c>
      <c r="G450" t="s">
        <v>961</v>
      </c>
      <c r="H450" s="4" cm="1">
        <f t="array" ref="H450">_xll.SNL.Clients.Office.Excel.Functions.SPG(G450, "SP_TOTAL_REV", "CY2022")</f>
        <v>3676300</v>
      </c>
      <c r="I450" s="4">
        <f>_xll.SNL.Clients.Office.Excel.Functions.SPG(G450,"IQ_AVG_DILUT_SHARES_OUT","CY2022")</f>
        <v>250200000</v>
      </c>
      <c r="J450" s="5">
        <f>_xll.SNL.Clients.Office.Excel.Functions.SPG(G450, "IQ_DILUT_EPS_NORM", "CY2022")</f>
        <v>1.33</v>
      </c>
      <c r="K450">
        <f t="shared" si="38"/>
        <v>332766</v>
      </c>
      <c r="L450">
        <f t="shared" si="39"/>
        <v>9.0516551968011311E-2</v>
      </c>
      <c r="M450" t="s">
        <v>974</v>
      </c>
      <c r="N450" s="4" cm="1">
        <f t="array" ref="N450">_xll.SNL.Clients.Office.Excel.Functions.SPG(M450, "SP_TOTAL_REV", "CY2022")</f>
        <v>171189000</v>
      </c>
      <c r="O450" s="4">
        <f>_xll.SNL.Clients.Office.Excel.Functions.SPG(M450,"IQ_AVG_DILUT_SHARES_OUT","CY2022")</f>
        <v>396000000</v>
      </c>
      <c r="P450" s="5">
        <f>_xll.SNL.Clients.Office.Excel.Functions.SPG(M450, "IQ_DILUT_EPS_NORM", "CY2022")</f>
        <v>23.437999999999999</v>
      </c>
      <c r="Q450">
        <f t="shared" si="40"/>
        <v>9281448</v>
      </c>
      <c r="R450">
        <f t="shared" si="41"/>
        <v>5.4217549024762106E-2</v>
      </c>
    </row>
    <row r="451" spans="1:18" x14ac:dyDescent="0.3">
      <c r="A451" t="s">
        <v>962</v>
      </c>
      <c r="B451" s="4" cm="1">
        <f t="array" ref="B451">_xll.SNL.Clients.Office.Excel.Functions.SPG(A451, "SP_TOTAL_REV", "CY2023")</f>
        <v>20022000</v>
      </c>
      <c r="C451" s="4">
        <f>_xll.SNL.Clients.Office.Excel.Functions.SPG(A451,"IQ_AVG_DILUT_SHARES_OUT","CY2023")</f>
        <v>1331963000</v>
      </c>
      <c r="D451" s="5">
        <f>_xll.SNL.Clients.Office.Excel.Functions.SPG(A451, "IQ_DILUT_EPS_NORM", "CY2023")</f>
        <v>2.9079999999999999</v>
      </c>
      <c r="E451">
        <f t="shared" si="36"/>
        <v>3873348.4040000001</v>
      </c>
      <c r="F451">
        <f t="shared" si="37"/>
        <v>0.19345462011787035</v>
      </c>
      <c r="G451" t="s">
        <v>962</v>
      </c>
      <c r="H451" s="4" cm="1">
        <f t="array" ref="H451">_xll.SNL.Clients.Office.Excel.Functions.SPG(G451, "SP_TOTAL_REV", "CY2022")</f>
        <v>19899000</v>
      </c>
      <c r="I451" s="4">
        <f>_xll.SNL.Clients.Office.Excel.Functions.SPG(G451,"IQ_AVG_DILUT_SHARES_OUT","CY2022")</f>
        <v>1338462000</v>
      </c>
      <c r="J451" s="5">
        <f>_xll.SNL.Clients.Office.Excel.Functions.SPG(G451, "IQ_DILUT_EPS_NORM", "CY2022")</f>
        <v>3.7970000000000002</v>
      </c>
      <c r="K451">
        <f t="shared" si="38"/>
        <v>5082140.2139999997</v>
      </c>
      <c r="L451">
        <f t="shared" si="39"/>
        <v>0.25539676436001807</v>
      </c>
      <c r="M451" t="s">
        <v>975</v>
      </c>
      <c r="N451" s="4" cm="1">
        <f t="array" ref="N451">_xll.SNL.Clients.Office.Excel.Functions.SPG(M451, "SP_TOTAL_REV", "CY2022")</f>
        <v>4070256</v>
      </c>
      <c r="O451" s="4">
        <f>_xll.SNL.Clients.Office.Excel.Functions.SPG(M451,"IQ_AVG_DILUT_SHARES_OUT","CY2022")</f>
        <v>403454000</v>
      </c>
      <c r="P451" s="5">
        <f>_xll.SNL.Clients.Office.Excel.Functions.SPG(M451, "IQ_DILUT_EPS_NORM", "CY2022")</f>
        <v>5.8999999999999997E-2</v>
      </c>
      <c r="Q451">
        <f t="shared" si="40"/>
        <v>23803.786</v>
      </c>
      <c r="R451">
        <f t="shared" si="41"/>
        <v>5.8482282195517921E-3</v>
      </c>
    </row>
    <row r="452" spans="1:18" x14ac:dyDescent="0.3">
      <c r="A452" t="s">
        <v>963</v>
      </c>
      <c r="B452" s="4" cm="1">
        <f t="array" ref="B452">_xll.SNL.Clients.Office.Excel.Functions.SPG(A452, "SP_TOTAL_REV", "CY2023")</f>
        <v>1951751</v>
      </c>
      <c r="C452" s="4">
        <f>_xll.SNL.Clients.Office.Excel.Functions.SPG(A452,"IQ_AVG_DILUT_SHARES_OUT","CY2023")</f>
        <v>42769000</v>
      </c>
      <c r="D452" s="5">
        <f>_xll.SNL.Clients.Office.Excel.Functions.SPG(A452, "IQ_DILUT_EPS_NORM", "CY2023")</f>
        <v>2.903</v>
      </c>
      <c r="E452">
        <f t="shared" si="36"/>
        <v>124158.40700000001</v>
      </c>
      <c r="F452">
        <f t="shared" si="37"/>
        <v>6.3613855968307431E-2</v>
      </c>
      <c r="G452" t="s">
        <v>963</v>
      </c>
      <c r="H452" s="4" cm="1">
        <f t="array" ref="H452">_xll.SNL.Clients.Office.Excel.Functions.SPG(G452, "SP_TOTAL_REV", "CY2022")</f>
        <v>1850204</v>
      </c>
      <c r="I452" s="4">
        <f>_xll.SNL.Clients.Office.Excel.Functions.SPG(G452,"IQ_AVG_DILUT_SHARES_OUT","CY2022")</f>
        <v>42399000</v>
      </c>
      <c r="J452" s="5">
        <f>_xll.SNL.Clients.Office.Excel.Functions.SPG(G452, "IQ_DILUT_EPS_NORM", "CY2022")</f>
        <v>2.7650000000000001</v>
      </c>
      <c r="K452">
        <f t="shared" si="38"/>
        <v>117233.235</v>
      </c>
      <c r="L452">
        <f t="shared" si="39"/>
        <v>6.3362329235046519E-2</v>
      </c>
      <c r="M452" t="s">
        <v>977</v>
      </c>
      <c r="N452" s="4" cm="1">
        <f t="array" ref="N452">_xll.SNL.Clients.Office.Excel.Functions.SPG(M452, "SP_TOTAL_REV", "CY2022")</f>
        <v>1424900</v>
      </c>
      <c r="O452" s="4">
        <f>_xll.SNL.Clients.Office.Excel.Functions.SPG(M452,"IQ_AVG_DILUT_SHARES_OUT","CY2022")</f>
        <v>108000000</v>
      </c>
      <c r="P452" s="5">
        <f>_xll.SNL.Clients.Office.Excel.Functions.SPG(M452, "IQ_DILUT_EPS_NORM", "CY2022")</f>
        <v>5.0940000000000003</v>
      </c>
      <c r="Q452">
        <f t="shared" si="40"/>
        <v>550152</v>
      </c>
      <c r="R452">
        <f t="shared" si="41"/>
        <v>0.3860986735911292</v>
      </c>
    </row>
    <row r="453" spans="1:18" x14ac:dyDescent="0.3">
      <c r="A453" t="s">
        <v>964</v>
      </c>
      <c r="B453" s="4" cm="1">
        <f t="array" ref="B453">_xll.SNL.Clients.Office.Excel.Functions.SPG(A453, "SP_TOTAL_REV", "CY2023")</f>
        <v>52940000</v>
      </c>
      <c r="C453" s="4">
        <f>_xll.SNL.Clients.Office.Excel.Functions.SPG(A453,"IQ_AVG_DILUT_SHARES_OUT","CY2023")</f>
        <v>353500000</v>
      </c>
      <c r="D453" s="5">
        <f>_xll.SNL.Clients.Office.Excel.Functions.SPG(A453, "IQ_DILUT_EPS_NORM", "CY2023")</f>
        <v>0.60599999999999998</v>
      </c>
      <c r="E453">
        <f t="shared" ref="E453:E506" si="42">C453*D453/1000</f>
        <v>214221</v>
      </c>
      <c r="F453">
        <f t="shared" ref="F453:F506" si="43">E453/B453</f>
        <v>4.0464865885908577E-3</v>
      </c>
      <c r="G453" t="s">
        <v>964</v>
      </c>
      <c r="H453" s="4" cm="1">
        <f t="array" ref="H453">_xll.SNL.Clients.Office.Excel.Functions.SPG(G453, "SP_TOTAL_REV", "CY2022")</f>
        <v>53609000</v>
      </c>
      <c r="I453" s="4">
        <f>_xll.SNL.Clients.Office.Excel.Functions.SPG(G453,"IQ_AVG_DILUT_SHARES_OUT","CY2022")</f>
        <v>361250000</v>
      </c>
      <c r="J453" s="5">
        <f>_xll.SNL.Clients.Office.Excel.Functions.SPG(G453, "IQ_DILUT_EPS_NORM", "CY2022")</f>
        <v>5.5279999999999996</v>
      </c>
      <c r="K453">
        <f t="shared" ref="K453:K506" si="44">I453*J453/1000</f>
        <v>1996989.9999999998</v>
      </c>
      <c r="L453">
        <f t="shared" ref="L453:L506" si="45">K453/H453</f>
        <v>3.7251021283739666E-2</v>
      </c>
      <c r="M453" t="s">
        <v>978</v>
      </c>
      <c r="N453" s="4" cm="1">
        <f t="array" ref="N453">_xll.SNL.Clients.Office.Excel.Functions.SPG(M453, "SP_TOTAL_REV", "CY2022")</f>
        <v>2497000</v>
      </c>
      <c r="O453" s="4">
        <f>_xll.SNL.Clients.Office.Excel.Functions.SPG(M453,"IQ_AVG_DILUT_SHARES_OUT","CY2022")</f>
        <v>158928942</v>
      </c>
      <c r="P453" s="5">
        <f>_xll.SNL.Clients.Office.Excel.Functions.SPG(M453, "IQ_DILUT_EPS_NORM", "CY2022")</f>
        <v>5.2590000000000003</v>
      </c>
      <c r="Q453">
        <f t="shared" ref="Q453:Q506" si="46">O453*P453/1000</f>
        <v>835807.30597800005</v>
      </c>
      <c r="R453">
        <f t="shared" ref="R453:R506" si="47">Q453/N453</f>
        <v>0.33472459190148179</v>
      </c>
    </row>
    <row r="454" spans="1:18" x14ac:dyDescent="0.3">
      <c r="A454" t="s">
        <v>965</v>
      </c>
      <c r="B454" s="4" cm="1">
        <f t="array" ref="B454">_xll.SNL.Clients.Office.Excel.Functions.SPG(A454, "SP_TOTAL_REV", "CY2023")</f>
        <v>28153000</v>
      </c>
      <c r="C454" s="4">
        <f>_xll.SNL.Clients.Office.Excel.Functions.SPG(A454,"IQ_AVG_DILUT_SHARES_OUT","CY2023")</f>
        <v>1543000000</v>
      </c>
      <c r="D454" s="5">
        <f>_xll.SNL.Clients.Office.Excel.Functions.SPG(A454, "IQ_DILUT_EPS_NORM", "CY2023")</f>
        <v>3.1709999999999998</v>
      </c>
      <c r="E454">
        <f t="shared" si="42"/>
        <v>4892853</v>
      </c>
      <c r="F454">
        <f t="shared" si="43"/>
        <v>0.17379508400525698</v>
      </c>
      <c r="G454" t="s">
        <v>965</v>
      </c>
      <c r="H454" s="4" cm="1">
        <f t="array" ref="H454">_xll.SNL.Clients.Office.Excel.Functions.SPG(G454, "SP_TOTAL_REV", "CY2022")</f>
        <v>24583000</v>
      </c>
      <c r="I454" s="4">
        <f>_xll.SNL.Clients.Office.Excel.Functions.SPG(G454,"IQ_AVG_DILUT_SHARES_OUT","CY2022")</f>
        <v>1490000000</v>
      </c>
      <c r="J454" s="5">
        <f>_xll.SNL.Clients.Office.Excel.Functions.SPG(G454, "IQ_DILUT_EPS_NORM", "CY2022")</f>
        <v>3.1920000000000002</v>
      </c>
      <c r="K454">
        <f t="shared" si="44"/>
        <v>4756080</v>
      </c>
      <c r="L454">
        <f t="shared" si="45"/>
        <v>0.19347028434283856</v>
      </c>
      <c r="M454" t="s">
        <v>979</v>
      </c>
      <c r="N454" s="4" cm="1">
        <f t="array" ref="N454">_xll.SNL.Clients.Office.Excel.Functions.SPG(M454, "SP_TOTAL_REV", "CY2022")</f>
        <v>136835000</v>
      </c>
      <c r="O454" s="4">
        <f>_xll.SNL.Clients.Office.Excel.Functions.SPG(M454,"IQ_AVG_DILUT_SHARES_OUT","CY2022")</f>
        <v>4204000000</v>
      </c>
      <c r="P454" s="5">
        <f>_xll.SNL.Clients.Office.Excel.Functions.SPG(M454, "IQ_DILUT_EPS_NORM", "CY2022")</f>
        <v>4.0449999999999999</v>
      </c>
      <c r="Q454">
        <f t="shared" si="46"/>
        <v>17005180</v>
      </c>
      <c r="R454">
        <f t="shared" si="47"/>
        <v>0.12427507582124457</v>
      </c>
    </row>
    <row r="455" spans="1:18" x14ac:dyDescent="0.3">
      <c r="A455" t="s">
        <v>966</v>
      </c>
      <c r="B455" s="4" cm="1">
        <f t="array" ref="B455">_xll.SNL.Clients.Office.Excel.Functions.SPG(A455, "SP_TOTAL_REV", "CY2023")</f>
        <v>1650653</v>
      </c>
      <c r="C455" s="4">
        <f>_xll.SNL.Clients.Office.Excel.Functions.SPG(A455,"IQ_AVG_DILUT_SHARES_OUT","CY2023")</f>
        <v>329104000</v>
      </c>
      <c r="D455" s="5">
        <f>_xll.SNL.Clients.Office.Excel.Functions.SPG(A455, "IQ_DILUT_EPS_NORM", "CY2023")</f>
        <v>0.192</v>
      </c>
      <c r="E455">
        <f t="shared" si="42"/>
        <v>63187.968000000001</v>
      </c>
      <c r="F455">
        <f t="shared" si="43"/>
        <v>3.8280588348974617E-2</v>
      </c>
      <c r="G455" t="s">
        <v>966</v>
      </c>
      <c r="H455" s="4" cm="1">
        <f t="array" ref="H455">_xll.SNL.Clients.Office.Excel.Functions.SPG(G455, "SP_TOTAL_REV", "CY2022")</f>
        <v>1515500</v>
      </c>
      <c r="I455" s="4">
        <f>_xll.SNL.Clients.Office.Excel.Functions.SPG(G455,"IQ_AVG_DILUT_SHARES_OUT","CY2022")</f>
        <v>322700000</v>
      </c>
      <c r="J455" s="5">
        <f>_xll.SNL.Clients.Office.Excel.Functions.SPG(G455, "IQ_DILUT_EPS_NORM", "CY2022")</f>
        <v>0.223</v>
      </c>
      <c r="K455">
        <f t="shared" si="44"/>
        <v>71962.100000000006</v>
      </c>
      <c r="L455">
        <f t="shared" si="45"/>
        <v>4.7484064665127022E-2</v>
      </c>
      <c r="M455" t="s">
        <v>980</v>
      </c>
      <c r="N455" s="4" cm="1">
        <f t="array" ref="N455">_xll.SNL.Clients.Office.Excel.Functions.SPG(M455, "SP_TOTAL_REV", "CY2022")</f>
        <v>8930700</v>
      </c>
      <c r="O455" s="4">
        <f>_xll.SNL.Clients.Office.Excel.Functions.SPG(M455,"IQ_AVG_DILUT_SHARES_OUT","CY2022")</f>
        <v>259100000</v>
      </c>
      <c r="P455" s="5">
        <f>_xll.SNL.Clients.Office.Excel.Functions.SPG(M455, "IQ_DILUT_EPS_NORM", "CY2022")</f>
        <v>10.74</v>
      </c>
      <c r="Q455">
        <f t="shared" si="46"/>
        <v>2782734</v>
      </c>
      <c r="R455">
        <f t="shared" si="47"/>
        <v>0.31159192448520273</v>
      </c>
    </row>
    <row r="456" spans="1:18" x14ac:dyDescent="0.3">
      <c r="A456" t="s">
        <v>967</v>
      </c>
      <c r="B456" s="4" cm="1">
        <f t="array" ref="B456">_xll.SNL.Clients.Office.Excel.Functions.SPG(A456, "SP_TOTAL_REV", "CY2023")</f>
        <v>11207303</v>
      </c>
      <c r="C456" s="4">
        <f>_xll.SNL.Clients.Office.Excel.Functions.SPG(A456,"IQ_AVG_DILUT_SHARES_OUT","CY2023")</f>
        <v>49596000</v>
      </c>
      <c r="D456" s="5">
        <f>_xll.SNL.Clients.Office.Excel.Functions.SPG(A456, "IQ_DILUT_EPS_NORM", "CY2023")</f>
        <v>21.367999999999999</v>
      </c>
      <c r="E456">
        <f t="shared" si="42"/>
        <v>1059767.328</v>
      </c>
      <c r="F456">
        <f t="shared" si="43"/>
        <v>9.4560424394700485E-2</v>
      </c>
      <c r="G456" t="s">
        <v>967</v>
      </c>
      <c r="H456" s="4" cm="1">
        <f t="array" ref="H456">_xll.SNL.Clients.Office.Excel.Functions.SPG(G456, "SP_TOTAL_REV", "CY2022")</f>
        <v>10208580</v>
      </c>
      <c r="I456" s="4">
        <f>_xll.SNL.Clients.Office.Excel.Functions.SPG(G456,"IQ_AVG_DILUT_SHARES_OUT","CY2022")</f>
        <v>51738000</v>
      </c>
      <c r="J456" s="5">
        <f>_xll.SNL.Clients.Office.Excel.Functions.SPG(G456, "IQ_DILUT_EPS_NORM", "CY2022")</f>
        <v>19.853999999999999</v>
      </c>
      <c r="K456">
        <f t="shared" si="44"/>
        <v>1027206.252</v>
      </c>
      <c r="L456">
        <f t="shared" si="45"/>
        <v>0.10062185455763681</v>
      </c>
      <c r="M456" t="s">
        <v>981</v>
      </c>
      <c r="N456" s="4" cm="1">
        <f t="array" ref="N456">_xll.SNL.Clients.Office.Excel.Functions.SPG(M456, "SP_TOTAL_REV", "CY2022")</f>
        <v>16262700</v>
      </c>
      <c r="O456" s="4">
        <f>_xll.SNL.Clients.Office.Excel.Functions.SPG(M456,"IQ_AVG_DILUT_SHARES_OUT","CY2022")</f>
        <v>1217400000</v>
      </c>
      <c r="P456" s="5">
        <f>_xll.SNL.Clients.Office.Excel.Functions.SPG(M456, "IQ_DILUT_EPS_NORM", "CY2022")</f>
        <v>1.1779999999999999</v>
      </c>
      <c r="Q456">
        <f t="shared" si="46"/>
        <v>1434097.2</v>
      </c>
      <c r="R456">
        <f t="shared" si="47"/>
        <v>8.8183216809016945E-2</v>
      </c>
    </row>
    <row r="457" spans="1:18" x14ac:dyDescent="0.3">
      <c r="A457" t="s">
        <v>968</v>
      </c>
      <c r="B457" s="4" cm="1">
        <f t="array" ref="B457">_xll.SNL.Clients.Office.Excel.Functions.SPG(A457, "SP_TOTAL_REV", "CY2023")</f>
        <v>24119000</v>
      </c>
      <c r="C457" s="4">
        <f>_xll.SNL.Clients.Office.Excel.Functions.SPG(A457,"IQ_AVG_DILUT_SHARES_OUT","CY2023")</f>
        <v>610200000</v>
      </c>
      <c r="D457" s="5">
        <f>_xll.SNL.Clients.Office.Excel.Functions.SPG(A457, "IQ_DILUT_EPS_NORM", "CY2023")</f>
        <v>8.3230000000000004</v>
      </c>
      <c r="E457">
        <f t="shared" si="42"/>
        <v>5078694.5999999996</v>
      </c>
      <c r="F457">
        <f t="shared" si="43"/>
        <v>0.21056820763713255</v>
      </c>
      <c r="G457" t="s">
        <v>968</v>
      </c>
      <c r="H457" s="4" cm="1">
        <f t="array" ref="H457">_xll.SNL.Clients.Office.Excel.Functions.SPG(G457, "SP_TOTAL_REV", "CY2022")</f>
        <v>24875000</v>
      </c>
      <c r="I457" s="4">
        <f>_xll.SNL.Clients.Office.Excel.Functions.SPG(G457,"IQ_AVG_DILUT_SHARES_OUT","CY2022")</f>
        <v>624000000</v>
      </c>
      <c r="J457" s="5">
        <f>_xll.SNL.Clients.Office.Excel.Functions.SPG(G457, "IQ_DILUT_EPS_NORM", "CY2022")</f>
        <v>8.9719999999999995</v>
      </c>
      <c r="K457">
        <f t="shared" si="44"/>
        <v>5598528</v>
      </c>
      <c r="L457">
        <f t="shared" si="45"/>
        <v>0.22506645226130653</v>
      </c>
      <c r="M457" t="s">
        <v>982</v>
      </c>
      <c r="N457" s="4" cm="1">
        <f t="array" ref="N457">_xll.SNL.Clients.Office.Excel.Functions.SPG(M457, "SP_TOTAL_REV", "CY2022")</f>
        <v>2669996</v>
      </c>
      <c r="O457" s="4">
        <f>_xll.SNL.Clients.Office.Excel.Functions.SPG(M457,"IQ_AVG_DILUT_SHARES_OUT","CY2022")</f>
        <v>879675845</v>
      </c>
      <c r="P457" s="5">
        <f>_xll.SNL.Clients.Office.Excel.Functions.SPG(M457, "IQ_DILUT_EPS_NORM", "CY2022")</f>
        <v>0.78800000000000003</v>
      </c>
      <c r="Q457">
        <f t="shared" si="46"/>
        <v>693184.56585999997</v>
      </c>
      <c r="R457">
        <f t="shared" si="47"/>
        <v>0.25962007653194985</v>
      </c>
    </row>
    <row r="458" spans="1:18" x14ac:dyDescent="0.3">
      <c r="A458" t="s">
        <v>969</v>
      </c>
      <c r="B458" s="4" cm="1">
        <f t="array" ref="B458">_xll.SNL.Clients.Office.Excel.Functions.SPG(A458, "SP_TOTAL_REV", "CY2023")</f>
        <v>53717000</v>
      </c>
      <c r="C458" s="4">
        <f>_xll.SNL.Clients.Office.Excel.Functions.SPG(A458,"IQ_AVG_DILUT_SHARES_OUT","CY2023")</f>
        <v>331900000</v>
      </c>
      <c r="D458" s="5">
        <f>_xll.SNL.Clients.Office.Excel.Functions.SPG(A458, "IQ_DILUT_EPS_NORM", "CY2023")</f>
        <v>8.1349999999999998</v>
      </c>
      <c r="E458">
        <f t="shared" si="42"/>
        <v>2700006.5</v>
      </c>
      <c r="F458">
        <f t="shared" si="43"/>
        <v>5.0263538544594824E-2</v>
      </c>
      <c r="G458" t="s">
        <v>969</v>
      </c>
      <c r="H458" s="4" cm="1">
        <f t="array" ref="H458">_xll.SNL.Clients.Office.Excel.Functions.SPG(G458, "SP_TOTAL_REV", "CY2022")</f>
        <v>44955000</v>
      </c>
      <c r="I458" s="4">
        <f>_xll.SNL.Clients.Office.Excel.Functions.SPG(G458,"IQ_AVG_DILUT_SHARES_OUT","CY2022")</f>
        <v>330100000</v>
      </c>
      <c r="J458" s="5">
        <f>_xll.SNL.Clients.Office.Excel.Functions.SPG(G458, "IQ_DILUT_EPS_NORM", "CY2022")</f>
        <v>2.1150000000000002</v>
      </c>
      <c r="K458">
        <f t="shared" si="44"/>
        <v>698161.50000000012</v>
      </c>
      <c r="L458">
        <f t="shared" si="45"/>
        <v>1.5530230230230233E-2</v>
      </c>
      <c r="M458" t="s">
        <v>983</v>
      </c>
      <c r="N458" s="4" cm="1">
        <f t="array" ref="N458">_xll.SNL.Clients.Office.Excel.Functions.SPG(M458, "SP_TOTAL_REV", "CY2022")</f>
        <v>30187000</v>
      </c>
      <c r="O458" s="4">
        <f>_xll.SNL.Clients.Office.Excel.Functions.SPG(M458,"IQ_AVG_DILUT_SHARES_OUT","CY2022")</f>
        <v>2121750000</v>
      </c>
      <c r="P458" s="5">
        <f>_xll.SNL.Clients.Office.Excel.Functions.SPG(M458, "IQ_DILUT_EPS_NORM", "CY2022")</f>
        <v>5.883</v>
      </c>
      <c r="Q458">
        <f t="shared" si="46"/>
        <v>12482255.25</v>
      </c>
      <c r="R458">
        <f t="shared" si="47"/>
        <v>0.41349770596614438</v>
      </c>
    </row>
    <row r="459" spans="1:18" x14ac:dyDescent="0.3">
      <c r="A459" t="s">
        <v>970</v>
      </c>
      <c r="B459" s="4" cm="1">
        <f t="array" ref="B459">_xll.SNL.Clients.Office.Excel.Functions.SPG(A459, "SP_TOTAL_REV", "CY2023")</f>
        <v>90958000</v>
      </c>
      <c r="C459" s="4">
        <f>_xll.SNL.Clients.Office.Excel.Functions.SPG(A459,"IQ_AVG_DILUT_SHARES_OUT","CY2023")</f>
        <v>860000000</v>
      </c>
      <c r="D459" s="5">
        <f>_xll.SNL.Clients.Office.Excel.Functions.SPG(A459, "IQ_DILUT_EPS_NORM", "CY2023")</f>
        <v>7.04</v>
      </c>
      <c r="E459">
        <f t="shared" si="42"/>
        <v>6054400</v>
      </c>
      <c r="F459">
        <f t="shared" si="43"/>
        <v>6.6562589326942104E-2</v>
      </c>
      <c r="G459" t="s">
        <v>970</v>
      </c>
      <c r="H459" s="4" cm="1">
        <f t="array" ref="H459">_xll.SNL.Clients.Office.Excel.Functions.SPG(G459, "SP_TOTAL_REV", "CY2022")</f>
        <v>100338000</v>
      </c>
      <c r="I459" s="4">
        <f>_xll.SNL.Clients.Office.Excel.Functions.SPG(G459,"IQ_AVG_DILUT_SHARES_OUT","CY2022")</f>
        <v>875000000</v>
      </c>
      <c r="J459" s="5">
        <f>_xll.SNL.Clients.Office.Excel.Functions.SPG(G459, "IQ_DILUT_EPS_NORM", "CY2022")</f>
        <v>10.417</v>
      </c>
      <c r="K459">
        <f t="shared" si="44"/>
        <v>9114875</v>
      </c>
      <c r="L459">
        <f t="shared" si="45"/>
        <v>9.0841705036975029E-2</v>
      </c>
      <c r="M459" t="s">
        <v>984</v>
      </c>
      <c r="N459" s="4" cm="1">
        <f t="array" ref="N459">_xll.SNL.Clients.Office.Excel.Functions.SPG(M459, "SP_TOTAL_REV", "CY2022")</f>
        <v>7315200</v>
      </c>
      <c r="O459" s="4">
        <f>_xll.SNL.Clients.Office.Excel.Functions.SPG(M459,"IQ_AVG_DILUT_SHARES_OUT","CY2022")</f>
        <v>133600000</v>
      </c>
      <c r="P459" s="5">
        <f>_xll.SNL.Clients.Office.Excel.Functions.SPG(M459, "IQ_DILUT_EPS_NORM", "CY2022")</f>
        <v>4.0090000000000003</v>
      </c>
      <c r="Q459">
        <f t="shared" si="46"/>
        <v>535602.4</v>
      </c>
      <c r="R459">
        <f t="shared" si="47"/>
        <v>7.3217738407699046E-2</v>
      </c>
    </row>
    <row r="460" spans="1:18" x14ac:dyDescent="0.3">
      <c r="A460" t="s">
        <v>971</v>
      </c>
      <c r="B460" s="4" cm="1">
        <f t="array" ref="B460">_xll.SNL.Clients.Office.Excel.Functions.SPG(A460, "SP_TOTAL_REV", "CY2023")</f>
        <v>14332000</v>
      </c>
      <c r="C460" s="4">
        <f>_xll.SNL.Clients.Office.Excel.Functions.SPG(A460,"IQ_AVG_DILUT_SHARES_OUT","CY2023")</f>
        <v>68710000</v>
      </c>
      <c r="D460" s="5">
        <f>_xll.SNL.Clients.Office.Excel.Functions.SPG(A460, "IQ_DILUT_EPS_NORM", "CY2023")</f>
        <v>30.445</v>
      </c>
      <c r="E460">
        <f t="shared" si="42"/>
        <v>2091875.95</v>
      </c>
      <c r="F460">
        <f t="shared" si="43"/>
        <v>0.1459584112475579</v>
      </c>
      <c r="G460" t="s">
        <v>971</v>
      </c>
      <c r="H460" s="4" cm="1">
        <f t="array" ref="H460">_xll.SNL.Clients.Office.Excel.Functions.SPG(G460, "SP_TOTAL_REV", "CY2022")</f>
        <v>11642000</v>
      </c>
      <c r="I460" s="4">
        <f>_xll.SNL.Clients.Office.Excel.Functions.SPG(G460,"IQ_AVG_DILUT_SHARES_OUT","CY2022")</f>
        <v>70973000</v>
      </c>
      <c r="J460" s="5">
        <f>_xll.SNL.Clients.Office.Excel.Functions.SPG(G460, "IQ_DILUT_EPS_NORM", "CY2022")</f>
        <v>25.062000000000001</v>
      </c>
      <c r="K460">
        <f t="shared" si="44"/>
        <v>1778725.3259999999</v>
      </c>
      <c r="L460">
        <f t="shared" si="45"/>
        <v>0.15278520237072668</v>
      </c>
      <c r="M460" t="s">
        <v>985</v>
      </c>
      <c r="N460" s="4" cm="1">
        <f t="array" ref="N460">_xll.SNL.Clients.Office.Excel.Functions.SPG(M460, "SP_TOTAL_REV", "CY2022")</f>
        <v>11166499</v>
      </c>
      <c r="O460" s="4">
        <f>_xll.SNL.Clients.Office.Excel.Functions.SPG(M460,"IQ_AVG_DILUT_SHARES_OUT","CY2022")</f>
        <v>419191500</v>
      </c>
      <c r="P460" s="5">
        <f>_xll.SNL.Clients.Office.Excel.Functions.SPG(M460, "IQ_DILUT_EPS_NORM", "CY2022")</f>
        <v>2.5550000000000002</v>
      </c>
      <c r="Q460">
        <f t="shared" si="46"/>
        <v>1071034.2825000002</v>
      </c>
      <c r="R460">
        <f t="shared" si="47"/>
        <v>9.5914957991757324E-2</v>
      </c>
    </row>
    <row r="461" spans="1:18" x14ac:dyDescent="0.3">
      <c r="A461" t="s">
        <v>972</v>
      </c>
      <c r="B461" s="4" cm="1">
        <f t="array" ref="B461">_xll.SNL.Clients.Office.Excel.Functions.SPG(A461, "SP_TOTAL_REV", "CY2023")</f>
        <v>371622000</v>
      </c>
      <c r="C461" s="4">
        <f>_xll.SNL.Clients.Office.Excel.Functions.SPG(A461,"IQ_AVG_DILUT_SHARES_OUT","CY2023")</f>
        <v>938000000</v>
      </c>
      <c r="D461" s="5">
        <f>_xll.SNL.Clients.Office.Excel.Functions.SPG(A461, "IQ_DILUT_EPS_NORM", "CY2023")</f>
        <v>18.584</v>
      </c>
      <c r="E461">
        <f t="shared" si="42"/>
        <v>17431792</v>
      </c>
      <c r="F461">
        <f t="shared" si="43"/>
        <v>4.69073198034562E-2</v>
      </c>
      <c r="G461" t="s">
        <v>972</v>
      </c>
      <c r="H461" s="4" cm="1">
        <f t="array" ref="H461">_xll.SNL.Clients.Office.Excel.Functions.SPG(G461, "SP_TOTAL_REV", "CY2022")</f>
        <v>324162000</v>
      </c>
      <c r="I461" s="4">
        <f>_xll.SNL.Clients.Office.Excel.Functions.SPG(G461,"IQ_AVG_DILUT_SHARES_OUT","CY2022")</f>
        <v>950000000</v>
      </c>
      <c r="J461" s="5">
        <f>_xll.SNL.Clients.Office.Excel.Functions.SPG(G461, "IQ_DILUT_EPS_NORM", "CY2022")</f>
        <v>16.785</v>
      </c>
      <c r="K461">
        <f t="shared" si="44"/>
        <v>15945750</v>
      </c>
      <c r="L461">
        <f t="shared" si="45"/>
        <v>4.9190682436559496E-2</v>
      </c>
      <c r="M461" t="s">
        <v>986</v>
      </c>
      <c r="N461" s="4" cm="1">
        <f t="array" ref="N461">_xll.SNL.Clients.Office.Excel.Functions.SPG(M461, "SP_TOTAL_REV", "CY2022")</f>
        <v>15228000</v>
      </c>
      <c r="O461" s="4">
        <f>_xll.SNL.Clients.Office.Excel.Functions.SPG(M461,"IQ_AVG_DILUT_SHARES_OUT","CY2022")</f>
        <v>51100000</v>
      </c>
      <c r="P461" s="5">
        <f>_xll.SNL.Clients.Office.Excel.Functions.SPG(M461, "IQ_DILUT_EPS_NORM", "CY2022")</f>
        <v>24.699000000000002</v>
      </c>
      <c r="Q461">
        <f t="shared" si="46"/>
        <v>1262118.8999999999</v>
      </c>
      <c r="R461">
        <f t="shared" si="47"/>
        <v>8.2881461780929866E-2</v>
      </c>
    </row>
    <row r="462" spans="1:18" x14ac:dyDescent="0.3">
      <c r="A462" t="s">
        <v>973</v>
      </c>
      <c r="B462" s="4" cm="1">
        <f t="array" ref="B462">_xll.SNL.Clients.Office.Excel.Functions.SPG(A462, "SP_TOTAL_REV", "CY2023")</f>
        <v>14281976</v>
      </c>
      <c r="C462" s="4">
        <f>_xll.SNL.Clients.Office.Excel.Functions.SPG(A462,"IQ_AVG_DILUT_SHARES_OUT","CY2023")</f>
        <v>70125000</v>
      </c>
      <c r="D462" s="5">
        <f>_xll.SNL.Clients.Office.Excel.Functions.SPG(A462, "IQ_DILUT_EPS_NORM", "CY2023")</f>
        <v>8.36</v>
      </c>
      <c r="E462">
        <f t="shared" si="42"/>
        <v>586245</v>
      </c>
      <c r="F462">
        <f t="shared" si="43"/>
        <v>4.104789141222475E-2</v>
      </c>
      <c r="G462" t="s">
        <v>973</v>
      </c>
      <c r="H462" s="4" cm="1">
        <f t="array" ref="H462">_xll.SNL.Clients.Office.Excel.Functions.SPG(G462, "SP_TOTAL_REV", "CY2022")</f>
        <v>13399370</v>
      </c>
      <c r="I462" s="4">
        <f>_xll.SNL.Clients.Office.Excel.Functions.SPG(G462,"IQ_AVG_DILUT_SHARES_OUT","CY2022")</f>
        <v>73832000</v>
      </c>
      <c r="J462" s="5">
        <f>_xll.SNL.Clients.Office.Excel.Functions.SPG(G462, "IQ_DILUT_EPS_NORM", "CY2022")</f>
        <v>8.0719999999999992</v>
      </c>
      <c r="K462">
        <f t="shared" si="44"/>
        <v>595971.90399999986</v>
      </c>
      <c r="L462">
        <f t="shared" si="45"/>
        <v>4.4477606335223213E-2</v>
      </c>
      <c r="M462" t="s">
        <v>987</v>
      </c>
      <c r="N462" s="4" cm="1">
        <f t="array" ref="N462">_xll.SNL.Clients.Office.Excel.Functions.SPG(M462, "SP_TOTAL_REV", "CY2022")</f>
        <v>8362000</v>
      </c>
      <c r="O462" s="4">
        <f>_xll.SNL.Clients.Office.Excel.Functions.SPG(M462,"IQ_AVG_DILUT_SHARES_OUT","CY2022")</f>
        <v>182800000</v>
      </c>
      <c r="P462" s="5">
        <f>_xll.SNL.Clients.Office.Excel.Functions.SPG(M462, "IQ_DILUT_EPS_NORM", "CY2022")</f>
        <v>3.0539999999999998</v>
      </c>
      <c r="Q462">
        <f t="shared" si="46"/>
        <v>558271.19999999995</v>
      </c>
      <c r="R462">
        <f t="shared" si="47"/>
        <v>6.6762879693853139E-2</v>
      </c>
    </row>
    <row r="463" spans="1:18" x14ac:dyDescent="0.3">
      <c r="A463" t="s">
        <v>974</v>
      </c>
      <c r="B463" s="4" cm="1">
        <f t="array" ref="B463">_xll.SNL.Clients.Office.Excel.Functions.SPG(A463, "SP_TOTAL_REV", "CY2023")</f>
        <v>139001000</v>
      </c>
      <c r="C463" s="4">
        <f>_xll.SNL.Clients.Office.Excel.Functions.SPG(A463,"IQ_AVG_DILUT_SHARES_OUT","CY2023")</f>
        <v>353000000</v>
      </c>
      <c r="D463" s="5">
        <f>_xll.SNL.Clients.Office.Excel.Functions.SPG(A463, "IQ_DILUT_EPS_NORM", "CY2023")</f>
        <v>19.927</v>
      </c>
      <c r="E463">
        <f t="shared" si="42"/>
        <v>7034231</v>
      </c>
      <c r="F463">
        <f t="shared" si="43"/>
        <v>5.0605614348098217E-2</v>
      </c>
      <c r="G463" t="s">
        <v>974</v>
      </c>
      <c r="H463" s="4" cm="1">
        <f t="array" ref="H463">_xll.SNL.Clients.Office.Excel.Functions.SPG(G463, "SP_TOTAL_REV", "CY2022")</f>
        <v>171189000</v>
      </c>
      <c r="I463" s="4">
        <f>_xll.SNL.Clients.Office.Excel.Functions.SPG(G463,"IQ_AVG_DILUT_SHARES_OUT","CY2022")</f>
        <v>396000000</v>
      </c>
      <c r="J463" s="5">
        <f>_xll.SNL.Clients.Office.Excel.Functions.SPG(G463, "IQ_DILUT_EPS_NORM", "CY2022")</f>
        <v>23.437999999999999</v>
      </c>
      <c r="K463">
        <f t="shared" si="44"/>
        <v>9281448</v>
      </c>
      <c r="L463">
        <f t="shared" si="45"/>
        <v>5.4217549024762106E-2</v>
      </c>
      <c r="M463" t="s">
        <v>988</v>
      </c>
      <c r="N463" s="4" cm="1">
        <f t="array" ref="N463">_xll.SNL.Clients.Office.Excel.Functions.SPG(M463, "SP_TOTAL_REV", "CY2022")</f>
        <v>132184000</v>
      </c>
      <c r="O463" s="4">
        <f>_xll.SNL.Clients.Office.Excel.Functions.SPG(M463,"IQ_AVG_DILUT_SHARES_OUT","CY2022")</f>
        <v>863850000</v>
      </c>
      <c r="P463" s="5">
        <f>_xll.SNL.Clients.Office.Excel.Functions.SPG(M463, "IQ_DILUT_EPS_NORM", "CY2022")</f>
        <v>1.8160000000000001</v>
      </c>
      <c r="Q463">
        <f t="shared" si="46"/>
        <v>1568751.6</v>
      </c>
      <c r="R463">
        <f t="shared" si="47"/>
        <v>1.1867938630999214E-2</v>
      </c>
    </row>
    <row r="464" spans="1:18" x14ac:dyDescent="0.3">
      <c r="A464" t="s">
        <v>975</v>
      </c>
      <c r="B464" s="4" cm="1">
        <f t="array" ref="B464">_xll.SNL.Clients.Office.Excel.Functions.SPG(A464, "SP_TOTAL_REV", "CY2023")</f>
        <v>4480722</v>
      </c>
      <c r="C464" s="4">
        <f>_xll.SNL.Clients.Office.Excel.Functions.SPG(A464,"IQ_AVG_DILUT_SHARES_OUT","CY2023")</f>
        <v>405670000</v>
      </c>
      <c r="D464" s="5">
        <f>_xll.SNL.Clients.Office.Excel.Functions.SPG(A464, "IQ_DILUT_EPS_NORM", "CY2023")</f>
        <v>0.17199999999999999</v>
      </c>
      <c r="E464">
        <f t="shared" si="42"/>
        <v>69775.240000000005</v>
      </c>
      <c r="F464">
        <f t="shared" si="43"/>
        <v>1.5572320710814018E-2</v>
      </c>
      <c r="G464" t="s">
        <v>975</v>
      </c>
      <c r="H464" s="4" cm="1">
        <f t="array" ref="H464">_xll.SNL.Clients.Office.Excel.Functions.SPG(G464, "SP_TOTAL_REV", "CY2022")</f>
        <v>4070256</v>
      </c>
      <c r="I464" s="4">
        <f>_xll.SNL.Clients.Office.Excel.Functions.SPG(G464,"IQ_AVG_DILUT_SHARES_OUT","CY2022")</f>
        <v>403454000</v>
      </c>
      <c r="J464" s="5">
        <f>_xll.SNL.Clients.Office.Excel.Functions.SPG(G464, "IQ_DILUT_EPS_NORM", "CY2022")</f>
        <v>5.8999999999999997E-2</v>
      </c>
      <c r="K464">
        <f t="shared" si="44"/>
        <v>23803.786</v>
      </c>
      <c r="L464">
        <f t="shared" si="45"/>
        <v>5.8482282195517921E-3</v>
      </c>
      <c r="M464" t="s">
        <v>989</v>
      </c>
      <c r="N464" s="4" cm="1">
        <f t="array" ref="N464">_xll.SNL.Clients.Office.Excel.Functions.SPG(M464, "SP_TOTAL_REV", "CY2022")</f>
        <v>611289000</v>
      </c>
      <c r="O464" s="4">
        <f>_xll.SNL.Clients.Office.Excel.Functions.SPG(M464,"IQ_AVG_DILUT_SHARES_OUT","CY2022")</f>
        <v>8202000000</v>
      </c>
      <c r="P464" s="5">
        <f>_xll.SNL.Clients.Office.Excel.Functions.SPG(M464, "IQ_DILUT_EPS_NORM", "CY2022")</f>
        <v>1.754</v>
      </c>
      <c r="Q464">
        <f t="shared" si="46"/>
        <v>14386308</v>
      </c>
      <c r="R464">
        <f t="shared" si="47"/>
        <v>2.3534380628475238E-2</v>
      </c>
    </row>
    <row r="465" spans="1:18" x14ac:dyDescent="0.3">
      <c r="A465" t="s">
        <v>976</v>
      </c>
      <c r="B465" s="4" cm="1">
        <f t="array" ref="B465">_xll.SNL.Clients.Office.Excel.Functions.SPG(A465, "SP_TOTAL_REV", "CY2023")</f>
        <v>5021000</v>
      </c>
      <c r="C465" s="4">
        <f>_xll.SNL.Clients.Office.Excel.Functions.SPG(A465,"IQ_AVG_DILUT_SHARES_OUT","CY2023")</f>
        <v>246800000</v>
      </c>
      <c r="D465" s="5">
        <f>_xll.SNL.Clients.Office.Excel.Functions.SPG(A465, "IQ_DILUT_EPS_NORM", "CY2023")</f>
        <v>2.8439999999999999</v>
      </c>
      <c r="E465">
        <f t="shared" si="42"/>
        <v>701899.2</v>
      </c>
      <c r="F465">
        <f t="shared" si="43"/>
        <v>0.13979271061541523</v>
      </c>
      <c r="G465" t="s">
        <v>976</v>
      </c>
      <c r="H465" s="4" cm="1">
        <f t="array" ref="H465">_xll.SNL.Clients.Office.Excel.Functions.SPG(G465, "SP_TOTAL_REV", "CY2022")</f>
        <v>4870000</v>
      </c>
      <c r="I465" s="4">
        <f>_xll.SNL.Clients.Office.Excel.Functions.SPG(G465,"IQ_AVG_DILUT_SHARES_OUT","CY2022")</f>
        <v>246300000</v>
      </c>
      <c r="J465" s="5">
        <f>_xll.SNL.Clients.Office.Excel.Functions.SPG(G465, "IQ_DILUT_EPS_NORM", "CY2022")</f>
        <v>2.847</v>
      </c>
      <c r="K465">
        <f t="shared" si="44"/>
        <v>701216.1</v>
      </c>
      <c r="L465">
        <f t="shared" si="45"/>
        <v>0.14398687885010267</v>
      </c>
      <c r="M465" t="s">
        <v>990</v>
      </c>
      <c r="N465" s="4" cm="1">
        <f t="array" ref="N465">_xll.SNL.Clients.Office.Excel.Functions.SPG(M465, "SP_TOTAL_REV", "CY2022")</f>
        <v>84415000</v>
      </c>
      <c r="O465" s="4">
        <f>_xll.SNL.Clients.Office.Excel.Functions.SPG(M465,"IQ_AVG_DILUT_SHARES_OUT","CY2022")</f>
        <v>1826750000</v>
      </c>
      <c r="P465" s="5">
        <f>_xll.SNL.Clients.Office.Excel.Functions.SPG(M465, "IQ_DILUT_EPS_NORM", "CY2022")</f>
        <v>1.8180000000000001</v>
      </c>
      <c r="Q465">
        <f t="shared" si="46"/>
        <v>3321031.5</v>
      </c>
      <c r="R465">
        <f t="shared" si="47"/>
        <v>3.9341722442693836E-2</v>
      </c>
    </row>
    <row r="466" spans="1:18" x14ac:dyDescent="0.3">
      <c r="A466" t="s">
        <v>977</v>
      </c>
      <c r="B466" s="4" cm="1">
        <f t="array" ref="B466">_xll.SNL.Clients.Office.Excel.Functions.SPG(A466, "SP_TOTAL_REV", "CY2023")</f>
        <v>1493100</v>
      </c>
      <c r="C466" s="4">
        <f>_xll.SNL.Clients.Office.Excel.Functions.SPG(A466,"IQ_AVG_DILUT_SHARES_OUT","CY2023")</f>
        <v>103500000</v>
      </c>
      <c r="D466" s="5">
        <f>_xll.SNL.Clients.Office.Excel.Functions.SPG(A466, "IQ_DILUT_EPS_NORM", "CY2023")</f>
        <v>5.8970000000000002</v>
      </c>
      <c r="E466">
        <f t="shared" si="42"/>
        <v>610339.5</v>
      </c>
      <c r="F466">
        <f t="shared" si="43"/>
        <v>0.40877335744424353</v>
      </c>
      <c r="G466" t="s">
        <v>977</v>
      </c>
      <c r="H466" s="4" cm="1">
        <f t="array" ref="H466">_xll.SNL.Clients.Office.Excel.Functions.SPG(G466, "SP_TOTAL_REV", "CY2022")</f>
        <v>1424900</v>
      </c>
      <c r="I466" s="4">
        <f>_xll.SNL.Clients.Office.Excel.Functions.SPG(G466,"IQ_AVG_DILUT_SHARES_OUT","CY2022")</f>
        <v>108000000</v>
      </c>
      <c r="J466" s="5">
        <f>_xll.SNL.Clients.Office.Excel.Functions.SPG(G466, "IQ_DILUT_EPS_NORM", "CY2022")</f>
        <v>5.0940000000000003</v>
      </c>
      <c r="K466">
        <f t="shared" si="44"/>
        <v>550152</v>
      </c>
      <c r="L466">
        <f t="shared" si="45"/>
        <v>0.3860986735911292</v>
      </c>
      <c r="M466" t="s">
        <v>991</v>
      </c>
      <c r="N466" s="4" cm="1">
        <f t="array" ref="N466">_xll.SNL.Clients.Office.Excel.Functions.SPG(M466, "SP_TOTAL_REV", "CY2022")</f>
        <v>33817000</v>
      </c>
      <c r="O466" s="4">
        <f>_xll.SNL.Clients.Office.Excel.Functions.SPG(M466,"IQ_AVG_DILUT_SHARES_OUT","CY2022")</f>
        <v>1940000000</v>
      </c>
      <c r="P466" s="5">
        <f>_xll.SNL.Clients.Office.Excel.Functions.SPG(M466, "IQ_DILUT_EPS_NORM", "CY2022")</f>
        <v>-1.2589999999999999</v>
      </c>
      <c r="Q466">
        <f t="shared" si="46"/>
        <v>-2442460</v>
      </c>
      <c r="R466">
        <f t="shared" si="47"/>
        <v>-7.2225803589910403E-2</v>
      </c>
    </row>
    <row r="467" spans="1:18" x14ac:dyDescent="0.3">
      <c r="A467" t="s">
        <v>978</v>
      </c>
      <c r="B467" s="4" cm="1">
        <f t="array" ref="B467">_xll.SNL.Clients.Office.Excel.Functions.SPG(A467, "SP_TOTAL_REV", "CY2023")</f>
        <v>2681400</v>
      </c>
      <c r="C467" s="4">
        <f>_xll.SNL.Clients.Office.Excel.Functions.SPG(A467,"IQ_AVG_DILUT_SHARES_OUT","CY2023")</f>
        <v>147336159</v>
      </c>
      <c r="D467" s="5">
        <f>_xll.SNL.Clients.Office.Excel.Functions.SPG(A467, "IQ_DILUT_EPS_NORM", "CY2023")</f>
        <v>4.3689999999999998</v>
      </c>
      <c r="E467">
        <f t="shared" si="42"/>
        <v>643711.67867100006</v>
      </c>
      <c r="F467">
        <f t="shared" si="43"/>
        <v>0.2400655175173417</v>
      </c>
      <c r="G467" t="s">
        <v>978</v>
      </c>
      <c r="H467" s="4" cm="1">
        <f t="array" ref="H467">_xll.SNL.Clients.Office.Excel.Functions.SPG(G467, "SP_TOTAL_REV", "CY2022")</f>
        <v>2497000</v>
      </c>
      <c r="I467" s="4">
        <f>_xll.SNL.Clients.Office.Excel.Functions.SPG(G467,"IQ_AVG_DILUT_SHARES_OUT","CY2022")</f>
        <v>158928942</v>
      </c>
      <c r="J467" s="5">
        <f>_xll.SNL.Clients.Office.Excel.Functions.SPG(G467, "IQ_DILUT_EPS_NORM", "CY2022")</f>
        <v>5.2590000000000003</v>
      </c>
      <c r="K467">
        <f t="shared" si="44"/>
        <v>835807.30597800005</v>
      </c>
      <c r="L467">
        <f t="shared" si="45"/>
        <v>0.33472459190148179</v>
      </c>
      <c r="M467" t="s">
        <v>992</v>
      </c>
      <c r="N467" s="4" cm="1">
        <f t="array" ref="N467">_xll.SNL.Clients.Office.Excel.Functions.SPG(M467, "SP_TOTAL_REV", "CY2022")</f>
        <v>19698000</v>
      </c>
      <c r="O467" s="4">
        <f>_xll.SNL.Clients.Office.Excel.Functions.SPG(M467,"IQ_AVG_DILUT_SHARES_OUT","CY2022")</f>
        <v>415000000</v>
      </c>
      <c r="P467" s="5">
        <f>_xll.SNL.Clients.Office.Excel.Functions.SPG(M467, "IQ_DILUT_EPS_NORM", "CY2022")</f>
        <v>4.4850000000000003</v>
      </c>
      <c r="Q467">
        <f t="shared" si="46"/>
        <v>1861275.0000000002</v>
      </c>
      <c r="R467">
        <f t="shared" si="47"/>
        <v>9.4490557416996662E-2</v>
      </c>
    </row>
    <row r="468" spans="1:18" x14ac:dyDescent="0.3">
      <c r="A468" t="s">
        <v>979</v>
      </c>
      <c r="B468" s="4" cm="1">
        <f t="array" ref="B468">_xll.SNL.Clients.Office.Excel.Functions.SPG(A468, "SP_TOTAL_REV", "CY2023")</f>
        <v>133974000</v>
      </c>
      <c r="C468" s="4">
        <f>_xll.SNL.Clients.Office.Excel.Functions.SPG(A468,"IQ_AVG_DILUT_SHARES_OUT","CY2023")</f>
        <v>4215000000</v>
      </c>
      <c r="D468" s="5">
        <f>_xll.SNL.Clients.Office.Excel.Functions.SPG(A468, "IQ_DILUT_EPS_NORM", "CY2023")</f>
        <v>3.5939999999999999</v>
      </c>
      <c r="E468">
        <f t="shared" si="42"/>
        <v>15148710</v>
      </c>
      <c r="F468">
        <f t="shared" si="43"/>
        <v>0.1130720139728604</v>
      </c>
      <c r="G468" t="s">
        <v>979</v>
      </c>
      <c r="H468" s="4" cm="1">
        <f t="array" ref="H468">_xll.SNL.Clients.Office.Excel.Functions.SPG(G468, "SP_TOTAL_REV", "CY2022")</f>
        <v>136835000</v>
      </c>
      <c r="I468" s="4">
        <f>_xll.SNL.Clients.Office.Excel.Functions.SPG(G468,"IQ_AVG_DILUT_SHARES_OUT","CY2022")</f>
        <v>4204000000</v>
      </c>
      <c r="J468" s="5">
        <f>_xll.SNL.Clients.Office.Excel.Functions.SPG(G468, "IQ_DILUT_EPS_NORM", "CY2022")</f>
        <v>4.0449999999999999</v>
      </c>
      <c r="K468">
        <f t="shared" si="44"/>
        <v>17005180</v>
      </c>
      <c r="L468">
        <f t="shared" si="45"/>
        <v>0.12427507582124457</v>
      </c>
      <c r="M468" t="s">
        <v>993</v>
      </c>
      <c r="N468" s="4" cm="1">
        <f t="array" ref="N468">_xll.SNL.Clients.Office.Excel.Functions.SPG(M468, "SP_TOTAL_REV", "CY2022")</f>
        <v>2971956</v>
      </c>
      <c r="O468" s="4">
        <f>_xll.SNL.Clients.Office.Excel.Functions.SPG(M468,"IQ_AVG_DILUT_SHARES_OUT","CY2022")</f>
        <v>60331000</v>
      </c>
      <c r="P468" s="5">
        <f>_xll.SNL.Clients.Office.Excel.Functions.SPG(M468, "IQ_DILUT_EPS_NORM", "CY2022")</f>
        <v>8.7710000000000008</v>
      </c>
      <c r="Q468">
        <f t="shared" si="46"/>
        <v>529163.20100000012</v>
      </c>
      <c r="R468">
        <f t="shared" si="47"/>
        <v>0.17805216530796555</v>
      </c>
    </row>
    <row r="469" spans="1:18" x14ac:dyDescent="0.3">
      <c r="A469" t="s">
        <v>980</v>
      </c>
      <c r="B469" s="4" cm="1">
        <f t="array" ref="B469">_xll.SNL.Clients.Office.Excel.Functions.SPG(A469, "SP_TOTAL_REV", "CY2023")</f>
        <v>9869200</v>
      </c>
      <c r="C469" s="4">
        <f>_xll.SNL.Clients.Office.Excel.Functions.SPG(A469,"IQ_AVG_DILUT_SHARES_OUT","CY2023")</f>
        <v>260500000</v>
      </c>
      <c r="D469" s="5">
        <f>_xll.SNL.Clients.Office.Excel.Functions.SPG(A469, "IQ_DILUT_EPS_NORM", "CY2023")</f>
        <v>11.667</v>
      </c>
      <c r="E469">
        <f t="shared" si="42"/>
        <v>3039253.5</v>
      </c>
      <c r="F469">
        <f t="shared" si="43"/>
        <v>0.30795338021318852</v>
      </c>
      <c r="G469" t="s">
        <v>980</v>
      </c>
      <c r="H469" s="4" cm="1">
        <f t="array" ref="H469">_xll.SNL.Clients.Office.Excel.Functions.SPG(G469, "SP_TOTAL_REV", "CY2022")</f>
        <v>8930700</v>
      </c>
      <c r="I469" s="4">
        <f>_xll.SNL.Clients.Office.Excel.Functions.SPG(G469,"IQ_AVG_DILUT_SHARES_OUT","CY2022")</f>
        <v>259100000</v>
      </c>
      <c r="J469" s="5">
        <f>_xll.SNL.Clients.Office.Excel.Functions.SPG(G469, "IQ_DILUT_EPS_NORM", "CY2022")</f>
        <v>10.74</v>
      </c>
      <c r="K469">
        <f t="shared" si="44"/>
        <v>2782734</v>
      </c>
      <c r="L469">
        <f t="shared" si="45"/>
        <v>0.31159192448520273</v>
      </c>
      <c r="M469" t="s">
        <v>994</v>
      </c>
      <c r="N469" s="4" cm="1">
        <f t="array" ref="N469">_xll.SNL.Clients.Office.Excel.Functions.SPG(M469, "SP_TOTAL_REV", "CY2022")</f>
        <v>9597400</v>
      </c>
      <c r="O469" s="4">
        <f>_xll.SNL.Clients.Office.Excel.Functions.SPG(M469,"IQ_AVG_DILUT_SHARES_OUT","CY2022")</f>
        <v>316100000</v>
      </c>
      <c r="P469" s="5">
        <f>_xll.SNL.Clients.Office.Excel.Functions.SPG(M469, "IQ_DILUT_EPS_NORM", "CY2022")</f>
        <v>3.4220000000000002</v>
      </c>
      <c r="Q469">
        <f t="shared" si="46"/>
        <v>1081694.2</v>
      </c>
      <c r="R469">
        <f t="shared" si="47"/>
        <v>0.11270700398024465</v>
      </c>
    </row>
    <row r="470" spans="1:18" x14ac:dyDescent="0.3">
      <c r="A470" t="s">
        <v>981</v>
      </c>
      <c r="B470" s="4" cm="1">
        <f t="array" ref="B470">_xll.SNL.Clients.Office.Excel.Functions.SPG(A470, "SP_TOTAL_REV", "CY2023")</f>
        <v>15426900</v>
      </c>
      <c r="C470" s="4">
        <f>_xll.SNL.Clients.Office.Excel.Functions.SPG(A470,"IQ_AVG_DILUT_SHARES_OUT","CY2023")</f>
        <v>1206900000</v>
      </c>
      <c r="D470" s="5">
        <f>_xll.SNL.Clients.Office.Excel.Functions.SPG(A470, "IQ_DILUT_EPS_NORM", "CY2023")</f>
        <v>0.94799999999999995</v>
      </c>
      <c r="E470">
        <f t="shared" si="42"/>
        <v>1144141.2</v>
      </c>
      <c r="F470">
        <f t="shared" si="43"/>
        <v>7.4165334577912606E-2</v>
      </c>
      <c r="G470" t="s">
        <v>981</v>
      </c>
      <c r="H470" s="4" cm="1">
        <f t="array" ref="H470">_xll.SNL.Clients.Office.Excel.Functions.SPG(G470, "SP_TOTAL_REV", "CY2022")</f>
        <v>16262700</v>
      </c>
      <c r="I470" s="4">
        <f>_xll.SNL.Clients.Office.Excel.Functions.SPG(G470,"IQ_AVG_DILUT_SHARES_OUT","CY2022")</f>
        <v>1217400000</v>
      </c>
      <c r="J470" s="5">
        <f>_xll.SNL.Clients.Office.Excel.Functions.SPG(G470, "IQ_DILUT_EPS_NORM", "CY2022")</f>
        <v>1.1779999999999999</v>
      </c>
      <c r="K470">
        <f t="shared" si="44"/>
        <v>1434097.2</v>
      </c>
      <c r="L470">
        <f t="shared" si="45"/>
        <v>8.8183216809016945E-2</v>
      </c>
      <c r="M470" t="s">
        <v>995</v>
      </c>
      <c r="N470" s="4" cm="1">
        <f t="array" ref="N470">_xll.SNL.Clients.Office.Excel.Functions.SPG(M470, "SP_TOTAL_REV", "CY2022")</f>
        <v>74368000</v>
      </c>
      <c r="O470" s="4">
        <f>_xll.SNL.Clients.Office.Excel.Functions.SPG(M470,"IQ_AVG_DILUT_SHARES_OUT","CY2022")</f>
        <v>3837000000</v>
      </c>
      <c r="P470" s="5">
        <f>_xll.SNL.Clients.Office.Excel.Functions.SPG(M470, "IQ_DILUT_EPS_NORM", "CY2022")</f>
        <v>3.1629999999999998</v>
      </c>
      <c r="Q470">
        <f t="shared" si="46"/>
        <v>12136431</v>
      </c>
      <c r="R470">
        <f t="shared" si="47"/>
        <v>0.16319426366179002</v>
      </c>
    </row>
    <row r="471" spans="1:18" x14ac:dyDescent="0.3">
      <c r="A471" t="s">
        <v>982</v>
      </c>
      <c r="B471" s="4" cm="1">
        <f t="array" ref="B471">_xll.SNL.Clients.Office.Excel.Functions.SPG(A471, "SP_TOTAL_REV", "CY2023")</f>
        <v>3641694</v>
      </c>
      <c r="C471" s="4">
        <f>_xll.SNL.Clients.Office.Excel.Functions.SPG(A471,"IQ_AVG_DILUT_SHARES_OUT","CY2023")</f>
        <v>1015776697</v>
      </c>
      <c r="D471" s="5">
        <f>_xll.SNL.Clients.Office.Excel.Functions.SPG(A471, "IQ_DILUT_EPS_NORM", "CY2023")</f>
        <v>1.528</v>
      </c>
      <c r="E471">
        <f t="shared" si="42"/>
        <v>1552106.793016</v>
      </c>
      <c r="F471">
        <f t="shared" si="43"/>
        <v>0.42620461604297338</v>
      </c>
      <c r="G471" t="s">
        <v>982</v>
      </c>
      <c r="H471" s="4" cm="1">
        <f t="array" ref="H471">_xll.SNL.Clients.Office.Excel.Functions.SPG(G471, "SP_TOTAL_REV", "CY2022")</f>
        <v>2669996</v>
      </c>
      <c r="I471" s="4">
        <f>_xll.SNL.Clients.Office.Excel.Functions.SPG(G471,"IQ_AVG_DILUT_SHARES_OUT","CY2022")</f>
        <v>879675845</v>
      </c>
      <c r="J471" s="5">
        <f>_xll.SNL.Clients.Office.Excel.Functions.SPG(G471, "IQ_DILUT_EPS_NORM", "CY2022")</f>
        <v>0.78800000000000003</v>
      </c>
      <c r="K471">
        <f t="shared" si="44"/>
        <v>693184.56585999997</v>
      </c>
      <c r="L471">
        <f t="shared" si="45"/>
        <v>0.25962007653194985</v>
      </c>
      <c r="M471" t="s">
        <v>996</v>
      </c>
      <c r="N471" s="4" cm="1">
        <f t="array" ref="N471">_xll.SNL.Clients.Office.Excel.Functions.SPG(M471, "SP_TOTAL_REV", "CY2022")</f>
        <v>5839325</v>
      </c>
      <c r="O471" s="4">
        <f>_xll.SNL.Clients.Office.Excel.Functions.SPG(M471,"IQ_AVG_DILUT_SHARES_OUT","CY2022")</f>
        <v>465158000</v>
      </c>
      <c r="P471" s="5">
        <f>_xll.SNL.Clients.Office.Excel.Functions.SPG(M471, "IQ_DILUT_EPS_NORM", "CY2022")</f>
        <v>0.16</v>
      </c>
      <c r="Q471">
        <f t="shared" si="46"/>
        <v>74425.279999999999</v>
      </c>
      <c r="R471">
        <f t="shared" si="47"/>
        <v>1.274552795057648E-2</v>
      </c>
    </row>
    <row r="472" spans="1:18" x14ac:dyDescent="0.3">
      <c r="A472" t="s">
        <v>983</v>
      </c>
      <c r="B472" s="4" cm="1">
        <f t="array" ref="B472">_xll.SNL.Clients.Office.Excel.Functions.SPG(A472, "SP_TOTAL_REV", "CY2023")</f>
        <v>33351000</v>
      </c>
      <c r="C472" s="4">
        <f>_xll.SNL.Clients.Office.Excel.Functions.SPG(A472,"IQ_AVG_DILUT_SHARES_OUT","CY2023")</f>
        <v>2070750000</v>
      </c>
      <c r="D472" s="5">
        <f>_xll.SNL.Clients.Office.Excel.Functions.SPG(A472, "IQ_DILUT_EPS_NORM", "CY2023")</f>
        <v>6.8419999999999996</v>
      </c>
      <c r="E472">
        <f t="shared" si="42"/>
        <v>14168071.5</v>
      </c>
      <c r="F472">
        <f t="shared" si="43"/>
        <v>0.42481699199424305</v>
      </c>
      <c r="G472" t="s">
        <v>983</v>
      </c>
      <c r="H472" s="4" cm="1">
        <f t="array" ref="H472">_xll.SNL.Clients.Office.Excel.Functions.SPG(G472, "SP_TOTAL_REV", "CY2022")</f>
        <v>30187000</v>
      </c>
      <c r="I472" s="4">
        <f>_xll.SNL.Clients.Office.Excel.Functions.SPG(G472,"IQ_AVG_DILUT_SHARES_OUT","CY2022")</f>
        <v>2121750000</v>
      </c>
      <c r="J472" s="5">
        <f>_xll.SNL.Clients.Office.Excel.Functions.SPG(G472, "IQ_DILUT_EPS_NORM", "CY2022")</f>
        <v>5.883</v>
      </c>
      <c r="K472">
        <f t="shared" si="44"/>
        <v>12482255.25</v>
      </c>
      <c r="L472">
        <f t="shared" si="45"/>
        <v>0.41349770596614438</v>
      </c>
      <c r="M472" t="s">
        <v>997</v>
      </c>
      <c r="N472" s="4" cm="1">
        <f t="array" ref="N472">_xll.SNL.Clients.Office.Excel.Functions.SPG(M472, "SP_TOTAL_REV", "CY2022")</f>
        <v>2886900</v>
      </c>
      <c r="O472" s="4">
        <f>_xll.SNL.Clients.Office.Excel.Functions.SPG(M472,"IQ_AVG_DILUT_SHARES_OUT","CY2022")</f>
        <v>75800000</v>
      </c>
      <c r="P472" s="5">
        <f>_xll.SNL.Clients.Office.Excel.Functions.SPG(M472, "IQ_DILUT_EPS_NORM", "CY2022")</f>
        <v>6.508</v>
      </c>
      <c r="Q472">
        <f t="shared" si="46"/>
        <v>493306.4</v>
      </c>
      <c r="R472">
        <f t="shared" si="47"/>
        <v>0.17087755031348506</v>
      </c>
    </row>
    <row r="473" spans="1:18" x14ac:dyDescent="0.3">
      <c r="A473" t="s">
        <v>984</v>
      </c>
      <c r="B473" s="4" cm="1">
        <f t="array" ref="B473">_xll.SNL.Clients.Office.Excel.Functions.SPG(A473, "SP_TOTAL_REV", "CY2023")</f>
        <v>7781900</v>
      </c>
      <c r="C473" s="4">
        <f>_xll.SNL.Clients.Office.Excel.Functions.SPG(A473,"IQ_AVG_DILUT_SHARES_OUT","CY2023")</f>
        <v>133700000</v>
      </c>
      <c r="D473" s="5">
        <f>_xll.SNL.Clients.Office.Excel.Functions.SPG(A473, "IQ_DILUT_EPS_NORM", "CY2023")</f>
        <v>5.6269999999999998</v>
      </c>
      <c r="E473">
        <f t="shared" si="42"/>
        <v>752329.9</v>
      </c>
      <c r="F473">
        <f t="shared" si="43"/>
        <v>9.6676891247638758E-2</v>
      </c>
      <c r="G473" t="s">
        <v>984</v>
      </c>
      <c r="H473" s="4" cm="1">
        <f t="array" ref="H473">_xll.SNL.Clients.Office.Excel.Functions.SPG(G473, "SP_TOTAL_REV", "CY2022")</f>
        <v>7315200</v>
      </c>
      <c r="I473" s="4">
        <f>_xll.SNL.Clients.Office.Excel.Functions.SPG(G473,"IQ_AVG_DILUT_SHARES_OUT","CY2022")</f>
        <v>133600000</v>
      </c>
      <c r="J473" s="5">
        <f>_xll.SNL.Clients.Office.Excel.Functions.SPG(G473, "IQ_DILUT_EPS_NORM", "CY2022")</f>
        <v>4.0090000000000003</v>
      </c>
      <c r="K473">
        <f t="shared" si="44"/>
        <v>535602.4</v>
      </c>
      <c r="L473">
        <f t="shared" si="45"/>
        <v>7.3217738407699046E-2</v>
      </c>
      <c r="M473" t="s">
        <v>998</v>
      </c>
      <c r="N473" s="4" cm="1">
        <f t="array" ref="N473">_xll.SNL.Clients.Office.Excel.Functions.SPG(M473, "SP_TOTAL_REV", "CY2022")</f>
        <v>15752000</v>
      </c>
      <c r="O473" s="4">
        <f>_xll.SNL.Clients.Office.Excel.Functions.SPG(M473,"IQ_AVG_DILUT_SHARES_OUT","CY2022")</f>
        <v>315000000</v>
      </c>
      <c r="P473" s="5">
        <f>_xll.SNL.Clients.Office.Excel.Functions.SPG(M473, "IQ_DILUT_EPS_NORM", "CY2022")</f>
        <v>1.603</v>
      </c>
      <c r="Q473">
        <f t="shared" si="46"/>
        <v>504945</v>
      </c>
      <c r="R473">
        <f t="shared" si="47"/>
        <v>3.2055929405789739E-2</v>
      </c>
    </row>
    <row r="474" spans="1:18" x14ac:dyDescent="0.3">
      <c r="A474" t="s">
        <v>985</v>
      </c>
      <c r="B474" s="4" cm="1">
        <f t="array" ref="B474">_xll.SNL.Clients.Office.Excel.Functions.SPG(A474, "SP_TOTAL_REV", "CY2023")</f>
        <v>12142938</v>
      </c>
      <c r="C474" s="4">
        <f>_xll.SNL.Clients.Office.Excel.Functions.SPG(A474,"IQ_AVG_DILUT_SHARES_OUT","CY2023")</f>
        <v>409947000</v>
      </c>
      <c r="D474" s="5">
        <f>_xll.SNL.Clients.Office.Excel.Functions.SPG(A474, "IQ_DILUT_EPS_NORM", "CY2023")</f>
        <v>2.669</v>
      </c>
      <c r="E474">
        <f t="shared" si="42"/>
        <v>1094148.5430000001</v>
      </c>
      <c r="F474">
        <f t="shared" si="43"/>
        <v>9.0105750601707765E-2</v>
      </c>
      <c r="G474" t="s">
        <v>985</v>
      </c>
      <c r="H474" s="4" cm="1">
        <f t="array" ref="H474">_xll.SNL.Clients.Office.Excel.Functions.SPG(G474, "SP_TOTAL_REV", "CY2022")</f>
        <v>11166499</v>
      </c>
      <c r="I474" s="4">
        <f>_xll.SNL.Clients.Office.Excel.Functions.SPG(G474,"IQ_AVG_DILUT_SHARES_OUT","CY2022")</f>
        <v>419191500</v>
      </c>
      <c r="J474" s="5">
        <f>_xll.SNL.Clients.Office.Excel.Functions.SPG(G474, "IQ_DILUT_EPS_NORM", "CY2022")</f>
        <v>2.5550000000000002</v>
      </c>
      <c r="K474">
        <f t="shared" si="44"/>
        <v>1071034.2825000002</v>
      </c>
      <c r="L474">
        <f t="shared" si="45"/>
        <v>9.5914957991757324E-2</v>
      </c>
      <c r="M474" t="s">
        <v>999</v>
      </c>
      <c r="N474" s="4" cm="1">
        <f t="array" ref="N474">_xll.SNL.Clients.Office.Excel.Functions.SPG(M474, "SP_TOTAL_REV", "CY2022")</f>
        <v>21227400</v>
      </c>
      <c r="O474" s="4">
        <f>_xll.SNL.Clients.Office.Excel.Functions.SPG(M474,"IQ_AVG_DILUT_SHARES_OUT","CY2022")</f>
        <v>258950000</v>
      </c>
      <c r="P474" s="5">
        <f>_xll.SNL.Clients.Office.Excel.Functions.SPG(M474, "IQ_DILUT_EPS_NORM", "CY2022")</f>
        <v>3.6040000000000001</v>
      </c>
      <c r="Q474">
        <f t="shared" si="46"/>
        <v>933255.8</v>
      </c>
      <c r="R474">
        <f t="shared" si="47"/>
        <v>4.3964677727842322E-2</v>
      </c>
    </row>
    <row r="475" spans="1:18" x14ac:dyDescent="0.3">
      <c r="A475" t="s">
        <v>986</v>
      </c>
      <c r="B475" s="4" cm="1">
        <f t="array" ref="B475">_xll.SNL.Clients.Office.Excel.Functions.SPG(A475, "SP_TOTAL_REV", "CY2023")</f>
        <v>16478000</v>
      </c>
      <c r="C475" s="4">
        <f>_xll.SNL.Clients.Office.Excel.Functions.SPG(A475,"IQ_AVG_DILUT_SHARES_OUT","CY2023")</f>
        <v>50100000</v>
      </c>
      <c r="D475" s="5">
        <f>_xll.SNL.Clients.Office.Excel.Functions.SPG(A475, "IQ_DILUT_EPS_NORM", "CY2023")</f>
        <v>30.035</v>
      </c>
      <c r="E475">
        <f t="shared" si="42"/>
        <v>1504753.5</v>
      </c>
      <c r="F475">
        <f t="shared" si="43"/>
        <v>9.1318940405389001E-2</v>
      </c>
      <c r="G475" t="s">
        <v>986</v>
      </c>
      <c r="H475" s="4" cm="1">
        <f t="array" ref="H475">_xll.SNL.Clients.Office.Excel.Functions.SPG(G475, "SP_TOTAL_REV", "CY2022")</f>
        <v>15228000</v>
      </c>
      <c r="I475" s="4">
        <f>_xll.SNL.Clients.Office.Excel.Functions.SPG(G475,"IQ_AVG_DILUT_SHARES_OUT","CY2022")</f>
        <v>51100000</v>
      </c>
      <c r="J475" s="5">
        <f>_xll.SNL.Clients.Office.Excel.Functions.SPG(G475, "IQ_DILUT_EPS_NORM", "CY2022")</f>
        <v>24.699000000000002</v>
      </c>
      <c r="K475">
        <f t="shared" si="44"/>
        <v>1262118.8999999999</v>
      </c>
      <c r="L475">
        <f t="shared" si="45"/>
        <v>8.2881461780929866E-2</v>
      </c>
      <c r="M475" t="s">
        <v>1000</v>
      </c>
      <c r="N475" s="4" cm="1">
        <f t="array" ref="N475">_xll.SNL.Clients.Office.Excel.Functions.SPG(M475, "SP_TOTAL_REV", "CY2022")</f>
        <v>10187000</v>
      </c>
      <c r="O475" s="4">
        <f>_xll.SNL.Clients.Office.Excel.Functions.SPG(M475,"IQ_AVG_DILUT_SHARES_OUT","CY2022")</f>
        <v>742953000</v>
      </c>
      <c r="P475" s="5">
        <f>_xll.SNL.Clients.Office.Excel.Functions.SPG(M475, "IQ_DILUT_EPS_NORM", "CY2022")</f>
        <v>2.3650000000000002</v>
      </c>
      <c r="Q475">
        <f t="shared" si="46"/>
        <v>1757083.8450000002</v>
      </c>
      <c r="R475">
        <f t="shared" si="47"/>
        <v>0.17248295327378033</v>
      </c>
    </row>
    <row r="476" spans="1:18" x14ac:dyDescent="0.3">
      <c r="A476" t="s">
        <v>987</v>
      </c>
      <c r="B476" s="4" cm="1">
        <f t="array" ref="B476">_xll.SNL.Clients.Office.Excel.Functions.SPG(A476, "SP_TOTAL_REV", "CY2023")</f>
        <v>9677000</v>
      </c>
      <c r="C476" s="4">
        <f>_xll.SNL.Clients.Office.Excel.Functions.SPG(A476,"IQ_AVG_DILUT_SHARES_OUT","CY2023")</f>
        <v>179500000</v>
      </c>
      <c r="D476" s="5">
        <f>_xll.SNL.Clients.Office.Excel.Functions.SPG(A476, "IQ_DILUT_EPS_NORM", "CY2023")</f>
        <v>3.827</v>
      </c>
      <c r="E476">
        <f t="shared" si="42"/>
        <v>686946.5</v>
      </c>
      <c r="F476">
        <f t="shared" si="43"/>
        <v>7.0987547793737726E-2</v>
      </c>
      <c r="G476" t="s">
        <v>987</v>
      </c>
      <c r="H476" s="4" cm="1">
        <f t="array" ref="H476">_xll.SNL.Clients.Office.Excel.Functions.SPG(G476, "SP_TOTAL_REV", "CY2022")</f>
        <v>8362000</v>
      </c>
      <c r="I476" s="4">
        <f>_xll.SNL.Clients.Office.Excel.Functions.SPG(G476,"IQ_AVG_DILUT_SHARES_OUT","CY2022")</f>
        <v>182800000</v>
      </c>
      <c r="J476" s="5">
        <f>_xll.SNL.Clients.Office.Excel.Functions.SPG(G476, "IQ_DILUT_EPS_NORM", "CY2022")</f>
        <v>3.0539999999999998</v>
      </c>
      <c r="K476">
        <f t="shared" si="44"/>
        <v>558271.19999999995</v>
      </c>
      <c r="L476">
        <f t="shared" si="45"/>
        <v>6.6762879693853139E-2</v>
      </c>
      <c r="M476" t="s">
        <v>1001</v>
      </c>
      <c r="N476" s="4" cm="1">
        <f t="array" ref="N476">_xll.SNL.Clients.Office.Excel.Functions.SPG(M476, "SP_TOTAL_REV", "CY2022")</f>
        <v>11352000</v>
      </c>
      <c r="O476" s="4">
        <f>_xll.SNL.Clients.Office.Excel.Functions.SPG(M476,"IQ_AVG_DILUT_SHARES_OUT","CY2022")</f>
        <v>1222672000</v>
      </c>
      <c r="P476" s="5">
        <f>_xll.SNL.Clients.Office.Excel.Functions.SPG(M476, "IQ_DILUT_EPS_NORM", "CY2022")</f>
        <v>1.248</v>
      </c>
      <c r="Q476">
        <f t="shared" si="46"/>
        <v>1525894.656</v>
      </c>
      <c r="R476">
        <f t="shared" si="47"/>
        <v>0.13441637209302326</v>
      </c>
    </row>
    <row r="477" spans="1:18" x14ac:dyDescent="0.3">
      <c r="A477" t="s">
        <v>988</v>
      </c>
      <c r="B477" s="4" cm="1">
        <f t="array" ref="B477">_xll.SNL.Clients.Office.Excel.Functions.SPG(A477, "SP_TOTAL_REV", "CY2023")</f>
        <v>142406000</v>
      </c>
      <c r="C477" s="4">
        <f>_xll.SNL.Clients.Office.Excel.Functions.SPG(A477,"IQ_AVG_DILUT_SHARES_OUT","CY2023")</f>
        <v>863050000</v>
      </c>
      <c r="D477" s="5">
        <f>_xll.SNL.Clients.Office.Excel.Functions.SPG(A477, "IQ_DILUT_EPS_NORM", "CY2023")</f>
        <v>0.95799999999999996</v>
      </c>
      <c r="E477">
        <f t="shared" si="42"/>
        <v>826801.9</v>
      </c>
      <c r="F477">
        <f t="shared" si="43"/>
        <v>5.8059484853166298E-3</v>
      </c>
      <c r="G477" t="s">
        <v>988</v>
      </c>
      <c r="H477" s="4" cm="1">
        <f t="array" ref="H477">_xll.SNL.Clients.Office.Excel.Functions.SPG(G477, "SP_TOTAL_REV", "CY2022")</f>
        <v>132184000</v>
      </c>
      <c r="I477" s="4">
        <f>_xll.SNL.Clients.Office.Excel.Functions.SPG(G477,"IQ_AVG_DILUT_SHARES_OUT","CY2022")</f>
        <v>863850000</v>
      </c>
      <c r="J477" s="5">
        <f>_xll.SNL.Clients.Office.Excel.Functions.SPG(G477, "IQ_DILUT_EPS_NORM", "CY2022")</f>
        <v>1.8160000000000001</v>
      </c>
      <c r="K477">
        <f t="shared" si="44"/>
        <v>1568751.6</v>
      </c>
      <c r="L477">
        <f t="shared" si="45"/>
        <v>1.1867938630999214E-2</v>
      </c>
      <c r="M477" t="s">
        <v>1002</v>
      </c>
      <c r="N477" s="4" cm="1">
        <f t="array" ref="N477">_xll.SNL.Clients.Office.Excel.Functions.SPG(M477, "SP_TOTAL_REV", "CY2022")</f>
        <v>9154000</v>
      </c>
      <c r="O477" s="4">
        <f>_xll.SNL.Clients.Office.Excel.Functions.SPG(M477,"IQ_AVG_DILUT_SHARES_OUT","CY2022")</f>
        <v>112000000</v>
      </c>
      <c r="P477" s="5">
        <f>_xll.SNL.Clients.Office.Excel.Functions.SPG(M477, "IQ_DILUT_EPS_NORM", "CY2022")</f>
        <v>8.8620000000000001</v>
      </c>
      <c r="Q477">
        <f t="shared" si="46"/>
        <v>992544</v>
      </c>
      <c r="R477">
        <f t="shared" si="47"/>
        <v>0.10842735416211492</v>
      </c>
    </row>
    <row r="478" spans="1:18" x14ac:dyDescent="0.3">
      <c r="A478" t="s">
        <v>989</v>
      </c>
      <c r="B478" s="4" cm="1">
        <f t="array" ref="B478">_xll.SNL.Clients.Office.Excel.Functions.SPG(A478, "SP_TOTAL_REV", "CY2023")</f>
        <v>648125000</v>
      </c>
      <c r="C478" s="4">
        <f>_xll.SNL.Clients.Office.Excel.Functions.SPG(A478,"IQ_AVG_DILUT_SHARES_OUT","CY2023")</f>
        <v>8108000000</v>
      </c>
      <c r="D478" s="5">
        <f>_xll.SNL.Clients.Office.Excel.Functions.SPG(A478, "IQ_DILUT_EPS_NORM", "CY2023")</f>
        <v>1.837</v>
      </c>
      <c r="E478">
        <f t="shared" si="42"/>
        <v>14894396</v>
      </c>
      <c r="F478">
        <f t="shared" si="43"/>
        <v>2.2980745998071359E-2</v>
      </c>
      <c r="G478" t="s">
        <v>989</v>
      </c>
      <c r="H478" s="4" cm="1">
        <f t="array" ref="H478">_xll.SNL.Clients.Office.Excel.Functions.SPG(G478, "SP_TOTAL_REV", "CY2022")</f>
        <v>611289000</v>
      </c>
      <c r="I478" s="4">
        <f>_xll.SNL.Clients.Office.Excel.Functions.SPG(G478,"IQ_AVG_DILUT_SHARES_OUT","CY2022")</f>
        <v>8202000000</v>
      </c>
      <c r="J478" s="5">
        <f>_xll.SNL.Clients.Office.Excel.Functions.SPG(G478, "IQ_DILUT_EPS_NORM", "CY2022")</f>
        <v>1.754</v>
      </c>
      <c r="K478">
        <f t="shared" si="44"/>
        <v>14386308</v>
      </c>
      <c r="L478">
        <f t="shared" si="45"/>
        <v>2.3534380628475238E-2</v>
      </c>
      <c r="M478" t="s">
        <v>1003</v>
      </c>
      <c r="N478" s="4" cm="1">
        <f t="array" ref="N478">_xll.SNL.Clients.Office.Excel.Functions.SPG(M478, "SP_TOTAL_REV", "CY2022")</f>
        <v>3756825</v>
      </c>
      <c r="O478" s="4">
        <f>_xll.SNL.Clients.Office.Excel.Functions.SPG(M478,"IQ_AVG_DILUT_SHARES_OUT","CY2022")</f>
        <v>113623000</v>
      </c>
      <c r="P478" s="5">
        <f>_xll.SNL.Clients.Office.Excel.Functions.SPG(M478, "IQ_DILUT_EPS_NORM", "CY2022")</f>
        <v>-1.7450000000000001</v>
      </c>
      <c r="Q478">
        <f t="shared" si="46"/>
        <v>-198272.13500000001</v>
      </c>
      <c r="R478">
        <f t="shared" si="47"/>
        <v>-5.277651607407851E-2</v>
      </c>
    </row>
    <row r="479" spans="1:18" x14ac:dyDescent="0.3">
      <c r="A479" t="s">
        <v>990</v>
      </c>
      <c r="B479" s="4" cm="1">
        <f t="array" ref="B479">_xll.SNL.Clients.Office.Excel.Functions.SPG(A479, "SP_TOTAL_REV", "CY2023")</f>
        <v>88935000</v>
      </c>
      <c r="C479" s="4">
        <f>_xll.SNL.Clients.Office.Excel.Functions.SPG(A479,"IQ_AVG_DILUT_SHARES_OUT","CY2023")</f>
        <v>1832000000</v>
      </c>
      <c r="D479" s="5">
        <f>_xll.SNL.Clients.Office.Excel.Functions.SPG(A479, "IQ_DILUT_EPS_NORM", "CY2023")</f>
        <v>2.5819999999999999</v>
      </c>
      <c r="E479">
        <f t="shared" si="42"/>
        <v>4730224</v>
      </c>
      <c r="F479">
        <f t="shared" si="43"/>
        <v>5.3187429021195255E-2</v>
      </c>
      <c r="G479" t="s">
        <v>990</v>
      </c>
      <c r="H479" s="4" cm="1">
        <f t="array" ref="H479">_xll.SNL.Clients.Office.Excel.Functions.SPG(G479, "SP_TOTAL_REV", "CY2022")</f>
        <v>84415000</v>
      </c>
      <c r="I479" s="4">
        <f>_xll.SNL.Clients.Office.Excel.Functions.SPG(G479,"IQ_AVG_DILUT_SHARES_OUT","CY2022")</f>
        <v>1826750000</v>
      </c>
      <c r="J479" s="5">
        <f>_xll.SNL.Clients.Office.Excel.Functions.SPG(G479, "IQ_DILUT_EPS_NORM", "CY2022")</f>
        <v>1.8180000000000001</v>
      </c>
      <c r="K479">
        <f t="shared" si="44"/>
        <v>3321031.5</v>
      </c>
      <c r="L479">
        <f t="shared" si="45"/>
        <v>3.9341722442693836E-2</v>
      </c>
      <c r="M479" t="s">
        <v>1004</v>
      </c>
      <c r="N479" s="4" cm="1">
        <f t="array" ref="N479">_xll.SNL.Clients.Office.Excel.Functions.SPG(M479, "SP_TOTAL_REV", "CY2022")</f>
        <v>15310000</v>
      </c>
      <c r="O479" s="4">
        <f>_xll.SNL.Clients.Office.Excel.Functions.SPG(M479,"IQ_AVG_DILUT_SHARES_OUT","CY2022")</f>
        <v>547000000</v>
      </c>
      <c r="P479" s="5">
        <f>_xll.SNL.Clients.Office.Excel.Functions.SPG(M479, "IQ_DILUT_EPS_NORM", "CY2022")</f>
        <v>1.91</v>
      </c>
      <c r="Q479">
        <f t="shared" si="46"/>
        <v>1044770</v>
      </c>
      <c r="R479">
        <f t="shared" si="47"/>
        <v>6.8241018941868056E-2</v>
      </c>
    </row>
    <row r="480" spans="1:18" x14ac:dyDescent="0.3">
      <c r="A480" t="s">
        <v>991</v>
      </c>
      <c r="B480" s="4" cm="1">
        <f t="array" ref="B480">_xll.SNL.Clients.Office.Excel.Functions.SPG(A480, "SP_TOTAL_REV", "CY2023")</f>
        <v>41321000</v>
      </c>
      <c r="C480" s="4">
        <f>_xll.SNL.Clients.Office.Excel.Functions.SPG(A480,"IQ_AVG_DILUT_SHARES_OUT","CY2023")</f>
        <v>2436000000</v>
      </c>
      <c r="D480" s="5">
        <f>_xll.SNL.Clients.Office.Excel.Functions.SPG(A480, "IQ_DILUT_EPS_NORM", "CY2023")</f>
        <v>-0.74</v>
      </c>
      <c r="E480">
        <f t="shared" si="42"/>
        <v>-1802640</v>
      </c>
      <c r="F480">
        <f t="shared" si="43"/>
        <v>-4.3625275283754025E-2</v>
      </c>
      <c r="G480" t="s">
        <v>991</v>
      </c>
      <c r="H480" s="4" cm="1">
        <f t="array" ref="H480">_xll.SNL.Clients.Office.Excel.Functions.SPG(G480, "SP_TOTAL_REV", "CY2022")</f>
        <v>33817000</v>
      </c>
      <c r="I480" s="4">
        <f>_xll.SNL.Clients.Office.Excel.Functions.SPG(G480,"IQ_AVG_DILUT_SHARES_OUT","CY2022")</f>
        <v>1940000000</v>
      </c>
      <c r="J480" s="5">
        <f>_xll.SNL.Clients.Office.Excel.Functions.SPG(G480, "IQ_DILUT_EPS_NORM", "CY2022")</f>
        <v>-1.2589999999999999</v>
      </c>
      <c r="K480">
        <f t="shared" si="44"/>
        <v>-2442460</v>
      </c>
      <c r="L480">
        <f t="shared" si="45"/>
        <v>-7.2225803589910403E-2</v>
      </c>
      <c r="M480" t="s">
        <v>1005</v>
      </c>
      <c r="N480" s="4" cm="1">
        <f t="array" ref="N480">_xll.SNL.Clients.Office.Excel.Functions.SPG(M480, "SP_TOTAL_REV", "CY2022")</f>
        <v>5522000</v>
      </c>
      <c r="O480" s="4">
        <f>_xll.SNL.Clients.Office.Excel.Functions.SPG(M480,"IQ_AVG_DILUT_SHARES_OUT","CY2022")</f>
        <v>180979000</v>
      </c>
      <c r="P480" s="5">
        <f>_xll.SNL.Clients.Office.Excel.Functions.SPG(M480, "IQ_DILUT_EPS_NORM", "CY2022")</f>
        <v>2.1</v>
      </c>
      <c r="Q480">
        <f t="shared" si="46"/>
        <v>380055.9</v>
      </c>
      <c r="R480">
        <f t="shared" si="47"/>
        <v>6.8825769648678023E-2</v>
      </c>
    </row>
    <row r="481" spans="1:18" x14ac:dyDescent="0.3">
      <c r="A481" t="s">
        <v>992</v>
      </c>
      <c r="B481" s="4" cm="1">
        <f t="array" ref="B481">_xll.SNL.Clients.Office.Excel.Functions.SPG(A481, "SP_TOTAL_REV", "CY2023")</f>
        <v>20426000</v>
      </c>
      <c r="C481" s="4">
        <f>_xll.SNL.Clients.Office.Excel.Functions.SPG(A481,"IQ_AVG_DILUT_SHARES_OUT","CY2023")</f>
        <v>406900000</v>
      </c>
      <c r="D481" s="5">
        <f>_xll.SNL.Clients.Office.Excel.Functions.SPG(A481, "IQ_DILUT_EPS_NORM", "CY2023")</f>
        <v>5.09</v>
      </c>
      <c r="E481">
        <f t="shared" si="42"/>
        <v>2071121</v>
      </c>
      <c r="F481">
        <f t="shared" si="43"/>
        <v>0.10139630862626065</v>
      </c>
      <c r="G481" t="s">
        <v>992</v>
      </c>
      <c r="H481" s="4" cm="1">
        <f t="array" ref="H481">_xll.SNL.Clients.Office.Excel.Functions.SPG(G481, "SP_TOTAL_REV", "CY2022")</f>
        <v>19698000</v>
      </c>
      <c r="I481" s="4">
        <f>_xll.SNL.Clients.Office.Excel.Functions.SPG(G481,"IQ_AVG_DILUT_SHARES_OUT","CY2022")</f>
        <v>415000000</v>
      </c>
      <c r="J481" s="5">
        <f>_xll.SNL.Clients.Office.Excel.Functions.SPG(G481, "IQ_DILUT_EPS_NORM", "CY2022")</f>
        <v>4.4850000000000003</v>
      </c>
      <c r="K481">
        <f t="shared" si="44"/>
        <v>1861275.0000000002</v>
      </c>
      <c r="L481">
        <f t="shared" si="45"/>
        <v>9.4490557416996662E-2</v>
      </c>
      <c r="M481" t="s">
        <v>1006</v>
      </c>
      <c r="N481" s="4" cm="1">
        <f t="array" ref="N481">_xll.SNL.Clients.Office.Excel.Functions.SPG(M481, "SP_TOTAL_REV", "CY2022")</f>
        <v>6842000</v>
      </c>
      <c r="O481" s="4">
        <f>_xll.SNL.Clients.Office.Excel.Functions.SPG(M481,"IQ_AVG_DILUT_SHARES_OUT","CY2022")</f>
        <v>290000000</v>
      </c>
      <c r="P481" s="5">
        <f>_xll.SNL.Clients.Office.Excel.Functions.SPG(M481, "IQ_DILUT_EPS_NORM", "CY2022")</f>
        <v>3.5950000000000002</v>
      </c>
      <c r="Q481">
        <f t="shared" si="46"/>
        <v>1042550</v>
      </c>
      <c r="R481">
        <f t="shared" si="47"/>
        <v>0.15237503653902368</v>
      </c>
    </row>
    <row r="482" spans="1:18" x14ac:dyDescent="0.3">
      <c r="A482" t="s">
        <v>993</v>
      </c>
      <c r="B482" s="4" cm="1">
        <f t="array" ref="B482">_xll.SNL.Clients.Office.Excel.Functions.SPG(A482, "SP_TOTAL_REV", "CY2023")</f>
        <v>2956416</v>
      </c>
      <c r="C482" s="4">
        <f>_xll.SNL.Clients.Office.Excel.Functions.SPG(A482,"IQ_AVG_DILUT_SHARES_OUT","CY2023")</f>
        <v>59270000</v>
      </c>
      <c r="D482" s="5">
        <f>_xll.SNL.Clients.Office.Excel.Functions.SPG(A482, "IQ_DILUT_EPS_NORM", "CY2023")</f>
        <v>8.1750000000000007</v>
      </c>
      <c r="E482">
        <f t="shared" si="42"/>
        <v>484532.25000000006</v>
      </c>
      <c r="F482">
        <f t="shared" si="43"/>
        <v>0.16389176962917265</v>
      </c>
      <c r="G482" t="s">
        <v>993</v>
      </c>
      <c r="H482" s="4" cm="1">
        <f t="array" ref="H482">_xll.SNL.Clients.Office.Excel.Functions.SPG(G482, "SP_TOTAL_REV", "CY2022")</f>
        <v>2971956</v>
      </c>
      <c r="I482" s="4">
        <f>_xll.SNL.Clients.Office.Excel.Functions.SPG(G482,"IQ_AVG_DILUT_SHARES_OUT","CY2022")</f>
        <v>60331000</v>
      </c>
      <c r="J482" s="5">
        <f>_xll.SNL.Clients.Office.Excel.Functions.SPG(G482, "IQ_DILUT_EPS_NORM", "CY2022")</f>
        <v>8.7710000000000008</v>
      </c>
      <c r="K482">
        <f t="shared" si="44"/>
        <v>529163.20100000012</v>
      </c>
      <c r="L482">
        <f t="shared" si="45"/>
        <v>0.17805216530796555</v>
      </c>
      <c r="M482" t="s">
        <v>1007</v>
      </c>
      <c r="N482" s="4" cm="1">
        <f t="array" ref="N482">_xll.SNL.Clients.Office.Excel.Functions.SPG(M482, "SP_TOTAL_REV", "CY2022")</f>
        <v>5781000</v>
      </c>
      <c r="O482" s="4">
        <f>_xll.SNL.Clients.Office.Excel.Functions.SPG(M482,"IQ_AVG_DILUT_SHARES_OUT","CY2022")</f>
        <v>52558712</v>
      </c>
      <c r="P482" s="5">
        <f>_xll.SNL.Clients.Office.Excel.Functions.SPG(M482, "IQ_DILUT_EPS_NORM", "CY2022")</f>
        <v>11.308999999999999</v>
      </c>
      <c r="Q482">
        <f t="shared" si="46"/>
        <v>594386.47400799999</v>
      </c>
      <c r="R482">
        <f t="shared" si="47"/>
        <v>0.10281724165507697</v>
      </c>
    </row>
    <row r="483" spans="1:18" x14ac:dyDescent="0.3">
      <c r="A483" t="s">
        <v>994</v>
      </c>
      <c r="B483" s="4" cm="1">
        <f t="array" ref="B483">_xll.SNL.Clients.Office.Excel.Functions.SPG(A483, "SP_TOTAL_REV", "CY2023")</f>
        <v>8893000</v>
      </c>
      <c r="C483" s="4">
        <f>_xll.SNL.Clients.Office.Excel.Functions.SPG(A483,"IQ_AVG_DILUT_SHARES_OUT","CY2023")</f>
        <v>315900000</v>
      </c>
      <c r="D483" s="5">
        <f>_xll.SNL.Clients.Office.Excel.Functions.SPG(A483, "IQ_DILUT_EPS_NORM", "CY2023")</f>
        <v>3.395</v>
      </c>
      <c r="E483">
        <f t="shared" si="42"/>
        <v>1072480.5</v>
      </c>
      <c r="F483">
        <f t="shared" si="43"/>
        <v>0.1205982795457101</v>
      </c>
      <c r="G483" t="s">
        <v>994</v>
      </c>
      <c r="H483" s="4" cm="1">
        <f t="array" ref="H483">_xll.SNL.Clients.Office.Excel.Functions.SPG(G483, "SP_TOTAL_REV", "CY2022")</f>
        <v>9597400</v>
      </c>
      <c r="I483" s="4">
        <f>_xll.SNL.Clients.Office.Excel.Functions.SPG(G483,"IQ_AVG_DILUT_SHARES_OUT","CY2022")</f>
        <v>316100000</v>
      </c>
      <c r="J483" s="5">
        <f>_xll.SNL.Clients.Office.Excel.Functions.SPG(G483, "IQ_DILUT_EPS_NORM", "CY2022")</f>
        <v>3.4220000000000002</v>
      </c>
      <c r="K483">
        <f t="shared" si="44"/>
        <v>1081694.2</v>
      </c>
      <c r="L483">
        <f t="shared" si="45"/>
        <v>0.11270700398024465</v>
      </c>
      <c r="M483" t="s">
        <v>1008</v>
      </c>
      <c r="N483" s="4" cm="1">
        <f t="array" ref="N483">_xll.SNL.Clients.Office.Excel.Functions.SPG(M483, "SP_TOTAL_REV", "CY2022")</f>
        <v>6939900</v>
      </c>
      <c r="O483" s="4">
        <f>_xll.SNL.Clients.Office.Excel.Functions.SPG(M483,"IQ_AVG_DILUT_SHARES_OUT","CY2022")</f>
        <v>210300000</v>
      </c>
      <c r="P483" s="5">
        <f>_xll.SNL.Clients.Office.Excel.Functions.SPG(M483, "IQ_DILUT_EPS_NORM", "CY2022")</f>
        <v>2.8639999999999999</v>
      </c>
      <c r="Q483">
        <f t="shared" si="46"/>
        <v>602299.19999999995</v>
      </c>
      <c r="R483">
        <f t="shared" si="47"/>
        <v>8.6787878787878775E-2</v>
      </c>
    </row>
    <row r="484" spans="1:18" x14ac:dyDescent="0.3">
      <c r="A484" t="s">
        <v>995</v>
      </c>
      <c r="B484" s="4" cm="1">
        <f t="array" ref="B484">_xll.SNL.Clients.Office.Excel.Functions.SPG(A484, "SP_TOTAL_REV", "CY2023")</f>
        <v>82597000</v>
      </c>
      <c r="C484" s="4">
        <f>_xll.SNL.Clients.Office.Excel.Functions.SPG(A484,"IQ_AVG_DILUT_SHARES_OUT","CY2023")</f>
        <v>3720400000</v>
      </c>
      <c r="D484" s="5">
        <f>_xll.SNL.Clients.Office.Excel.Functions.SPG(A484, "IQ_DILUT_EPS_NORM", "CY2023")</f>
        <v>4.0140000000000002</v>
      </c>
      <c r="E484">
        <f t="shared" si="42"/>
        <v>14933685.6</v>
      </c>
      <c r="F484">
        <f t="shared" si="43"/>
        <v>0.18080179183263315</v>
      </c>
      <c r="G484" t="s">
        <v>995</v>
      </c>
      <c r="H484" s="4" cm="1">
        <f t="array" ref="H484">_xll.SNL.Clients.Office.Excel.Functions.SPG(G484, "SP_TOTAL_REV", "CY2022")</f>
        <v>74368000</v>
      </c>
      <c r="I484" s="4">
        <f>_xll.SNL.Clients.Office.Excel.Functions.SPG(G484,"IQ_AVG_DILUT_SHARES_OUT","CY2022")</f>
        <v>3837000000</v>
      </c>
      <c r="J484" s="5">
        <f>_xll.SNL.Clients.Office.Excel.Functions.SPG(G484, "IQ_DILUT_EPS_NORM", "CY2022")</f>
        <v>3.1629999999999998</v>
      </c>
      <c r="K484">
        <f t="shared" si="44"/>
        <v>12136431</v>
      </c>
      <c r="L484">
        <f t="shared" si="45"/>
        <v>0.16319426366179002</v>
      </c>
      <c r="M484" t="s">
        <v>1009</v>
      </c>
      <c r="N484" s="4" cm="1">
        <f t="array" ref="N484">_xll.SNL.Clients.Office.Excel.Functions.SPG(M484, "SP_TOTAL_REV", "CY2022")</f>
        <v>8080000</v>
      </c>
      <c r="O484" s="4">
        <f>_xll.SNL.Clients.Office.Excel.Functions.SPG(M484,"IQ_AVG_DILUT_SHARES_OUT","CY2022")</f>
        <v>470385000</v>
      </c>
      <c r="P484" s="5">
        <f>_xll.SNL.Clients.Office.Excel.Functions.SPG(M484, "IQ_DILUT_EPS_NORM", "CY2022")</f>
        <v>3.6219999999999999</v>
      </c>
      <c r="Q484">
        <f t="shared" si="46"/>
        <v>1703734.47</v>
      </c>
      <c r="R484">
        <f t="shared" si="47"/>
        <v>0.21085822648514851</v>
      </c>
    </row>
    <row r="485" spans="1:18" x14ac:dyDescent="0.3">
      <c r="A485" t="s">
        <v>996</v>
      </c>
      <c r="B485" s="4" cm="1">
        <f t="array" ref="B485">_xll.SNL.Clients.Office.Excel.Functions.SPG(A485, "SP_TOTAL_REV", "CY2023")</f>
        <v>6554361</v>
      </c>
      <c r="C485" s="4">
        <f>_xll.SNL.Clients.Office.Excel.Functions.SPG(A485,"IQ_AVG_DILUT_SHARES_OUT","CY2023")</f>
        <v>518701000</v>
      </c>
      <c r="D485" s="5">
        <f>_xll.SNL.Clients.Office.Excel.Functions.SPG(A485, "IQ_DILUT_EPS_NORM", "CY2023")</f>
        <v>0.39200000000000002</v>
      </c>
      <c r="E485">
        <f t="shared" si="42"/>
        <v>203330.79199999999</v>
      </c>
      <c r="F485">
        <f t="shared" si="43"/>
        <v>3.1022214369943919E-2</v>
      </c>
      <c r="G485" t="s">
        <v>996</v>
      </c>
      <c r="H485" s="4" cm="1">
        <f t="array" ref="H485">_xll.SNL.Clients.Office.Excel.Functions.SPG(G485, "SP_TOTAL_REV", "CY2022")</f>
        <v>5839325</v>
      </c>
      <c r="I485" s="4">
        <f>_xll.SNL.Clients.Office.Excel.Functions.SPG(G485,"IQ_AVG_DILUT_SHARES_OUT","CY2022")</f>
        <v>465158000</v>
      </c>
      <c r="J485" s="5">
        <f>_xll.SNL.Clients.Office.Excel.Functions.SPG(G485, "IQ_DILUT_EPS_NORM", "CY2022")</f>
        <v>0.16</v>
      </c>
      <c r="K485">
        <f t="shared" si="44"/>
        <v>74425.279999999999</v>
      </c>
      <c r="L485">
        <f t="shared" si="45"/>
        <v>1.274552795057648E-2</v>
      </c>
      <c r="M485" t="s">
        <v>1010</v>
      </c>
      <c r="N485" s="4" cm="1">
        <f t="array" ref="N485">_xll.SNL.Clients.Office.Excel.Functions.SPG(M485, "SP_TOTAL_REV", "CY2022")</f>
        <v>24384000</v>
      </c>
      <c r="O485" s="4">
        <f>_xll.SNL.Clients.Office.Excel.Functions.SPG(M485,"IQ_AVG_DILUT_SHARES_OUT","CY2022")</f>
        <v>252000000</v>
      </c>
      <c r="P485" s="5">
        <f>_xll.SNL.Clients.Office.Excel.Functions.SPG(M485, "IQ_DILUT_EPS_NORM", "CY2022")</f>
        <v>24.536000000000001</v>
      </c>
      <c r="Q485">
        <f t="shared" si="46"/>
        <v>6183072</v>
      </c>
      <c r="R485">
        <f t="shared" si="47"/>
        <v>0.2535708661417323</v>
      </c>
    </row>
    <row r="486" spans="1:18" x14ac:dyDescent="0.3">
      <c r="A486" t="s">
        <v>997</v>
      </c>
      <c r="B486" s="4" cm="1">
        <f t="array" ref="B486">_xll.SNL.Clients.Office.Excel.Functions.SPG(A486, "SP_TOTAL_REV", "CY2023")</f>
        <v>2949800</v>
      </c>
      <c r="C486" s="4">
        <f>_xll.SNL.Clients.Office.Excel.Functions.SPG(A486,"IQ_AVG_DILUT_SHARES_OUT","CY2023")</f>
        <v>75300000</v>
      </c>
      <c r="D486" s="5">
        <f>_xll.SNL.Clients.Office.Excel.Functions.SPG(A486, "IQ_DILUT_EPS_NORM", "CY2023")</f>
        <v>6.1239999999999997</v>
      </c>
      <c r="E486">
        <f t="shared" si="42"/>
        <v>461137.2</v>
      </c>
      <c r="F486">
        <f t="shared" si="43"/>
        <v>0.15632829344362331</v>
      </c>
      <c r="G486" t="s">
        <v>997</v>
      </c>
      <c r="H486" s="4" cm="1">
        <f t="array" ref="H486">_xll.SNL.Clients.Office.Excel.Functions.SPG(G486, "SP_TOTAL_REV", "CY2022")</f>
        <v>2886900</v>
      </c>
      <c r="I486" s="4">
        <f>_xll.SNL.Clients.Office.Excel.Functions.SPG(G486,"IQ_AVG_DILUT_SHARES_OUT","CY2022")</f>
        <v>75800000</v>
      </c>
      <c r="J486" s="5">
        <f>_xll.SNL.Clients.Office.Excel.Functions.SPG(G486, "IQ_DILUT_EPS_NORM", "CY2022")</f>
        <v>6.508</v>
      </c>
      <c r="K486">
        <f t="shared" si="44"/>
        <v>493306.4</v>
      </c>
      <c r="L486">
        <f t="shared" si="45"/>
        <v>0.17087755031348506</v>
      </c>
      <c r="M486" t="s">
        <v>1011</v>
      </c>
      <c r="N486" s="4" cm="1">
        <f t="array" ref="N486">_xll.SNL.Clients.Office.Excel.Functions.SPG(M486, "SP_TOTAL_REV", "CY2022")</f>
        <v>3922000</v>
      </c>
      <c r="O486" s="4">
        <f>_xll.SNL.Clients.Office.Excel.Functions.SPG(M486,"IQ_AVG_DILUT_SHARES_OUT","CY2022")</f>
        <v>215500000</v>
      </c>
      <c r="P486" s="5">
        <f>_xll.SNL.Clients.Office.Excel.Functions.SPG(M486, "IQ_DILUT_EPS_NORM", "CY2022")</f>
        <v>0.72199999999999998</v>
      </c>
      <c r="Q486">
        <f t="shared" si="46"/>
        <v>155591</v>
      </c>
      <c r="R486">
        <f t="shared" si="47"/>
        <v>3.9671341152473227E-2</v>
      </c>
    </row>
    <row r="487" spans="1:18" x14ac:dyDescent="0.3">
      <c r="A487" t="s">
        <v>998</v>
      </c>
      <c r="B487" s="4" cm="1">
        <f t="array" ref="B487">_xll.SNL.Clients.Office.Excel.Functions.SPG(A487, "SP_TOTAL_REV", "CY2023")</f>
        <v>11257000</v>
      </c>
      <c r="C487" s="4">
        <f>_xll.SNL.Clients.Office.Excel.Functions.SPG(A487,"IQ_AVG_DILUT_SHARES_OUT","CY2023")</f>
        <v>321000000</v>
      </c>
      <c r="D487" s="5">
        <f>_xll.SNL.Clients.Office.Excel.Functions.SPG(A487, "IQ_DILUT_EPS_NORM", "CY2023")</f>
        <v>-3.97</v>
      </c>
      <c r="E487">
        <f t="shared" si="42"/>
        <v>-1274370</v>
      </c>
      <c r="F487">
        <f t="shared" si="43"/>
        <v>-0.11320689348849605</v>
      </c>
      <c r="G487" t="s">
        <v>998</v>
      </c>
      <c r="H487" s="4" cm="1">
        <f t="array" ref="H487">_xll.SNL.Clients.Office.Excel.Functions.SPG(G487, "SP_TOTAL_REV", "CY2022")</f>
        <v>15752000</v>
      </c>
      <c r="I487" s="4">
        <f>_xll.SNL.Clients.Office.Excel.Functions.SPG(G487,"IQ_AVG_DILUT_SHARES_OUT","CY2022")</f>
        <v>315000000</v>
      </c>
      <c r="J487" s="5">
        <f>_xll.SNL.Clients.Office.Excel.Functions.SPG(G487, "IQ_DILUT_EPS_NORM", "CY2022")</f>
        <v>1.603</v>
      </c>
      <c r="K487">
        <f t="shared" si="44"/>
        <v>504945</v>
      </c>
      <c r="L487">
        <f t="shared" si="45"/>
        <v>3.2055929405789739E-2</v>
      </c>
      <c r="M487" t="s">
        <v>1012</v>
      </c>
      <c r="N487" s="4" cm="1">
        <f t="array" ref="N487">_xll.SNL.Clients.Office.Excel.Functions.SPG(M487, "SP_TOTAL_REV", "CY2022")</f>
        <v>11697526</v>
      </c>
      <c r="O487" s="4">
        <f>_xll.SNL.Clients.Office.Excel.Functions.SPG(M487,"IQ_AVG_DILUT_SHARES_OUT","CY2022")</f>
        <v>388518500</v>
      </c>
      <c r="P487" s="5">
        <f>_xll.SNL.Clients.Office.Excel.Functions.SPG(M487, "IQ_DILUT_EPS_NORM", "CY2022")</f>
        <v>1.8080000000000001</v>
      </c>
      <c r="Q487">
        <f t="shared" si="46"/>
        <v>702441.44799999997</v>
      </c>
      <c r="R487">
        <f t="shared" si="47"/>
        <v>6.0050428441022485E-2</v>
      </c>
    </row>
    <row r="488" spans="1:18" x14ac:dyDescent="0.3">
      <c r="A488" t="s">
        <v>999</v>
      </c>
      <c r="B488" s="4" cm="1">
        <f t="array" ref="B488">_xll.SNL.Clients.Office.Excel.Functions.SPG(A488, "SP_TOTAL_REV", "CY2023")</f>
        <v>20006900</v>
      </c>
      <c r="C488" s="4">
        <f>_xll.SNL.Clients.Office.Excel.Functions.SPG(A488,"IQ_AVG_DILUT_SHARES_OUT","CY2023")</f>
        <v>256475000</v>
      </c>
      <c r="D488" s="5">
        <f>_xll.SNL.Clients.Office.Excel.Functions.SPG(A488, "IQ_DILUT_EPS_NORM", "CY2023")</f>
        <v>1.853</v>
      </c>
      <c r="E488">
        <f t="shared" si="42"/>
        <v>475248.17499999999</v>
      </c>
      <c r="F488">
        <f t="shared" si="43"/>
        <v>2.3754213546326518E-2</v>
      </c>
      <c r="G488" t="s">
        <v>999</v>
      </c>
      <c r="H488" s="4" cm="1">
        <f t="array" ref="H488">_xll.SNL.Clients.Office.Excel.Functions.SPG(G488, "SP_TOTAL_REV", "CY2022")</f>
        <v>21227400</v>
      </c>
      <c r="I488" s="4">
        <f>_xll.SNL.Clients.Office.Excel.Functions.SPG(G488,"IQ_AVG_DILUT_SHARES_OUT","CY2022")</f>
        <v>258950000</v>
      </c>
      <c r="J488" s="5">
        <f>_xll.SNL.Clients.Office.Excel.Functions.SPG(G488, "IQ_DILUT_EPS_NORM", "CY2022")</f>
        <v>3.6040000000000001</v>
      </c>
      <c r="K488">
        <f t="shared" si="44"/>
        <v>933255.8</v>
      </c>
      <c r="L488">
        <f t="shared" si="45"/>
        <v>4.3964677727842322E-2</v>
      </c>
      <c r="M488" t="s">
        <v>1013</v>
      </c>
      <c r="N488" s="4" cm="1">
        <f t="array" ref="N488">_xll.SNL.Clients.Office.Excel.Functions.SPG(M488, "SP_TOTAL_REV", "CY2022")</f>
        <v>19724000</v>
      </c>
      <c r="O488" s="4">
        <f>_xll.SNL.Clients.Office.Excel.Functions.SPG(M488,"IQ_AVG_DILUT_SHARES_OUT","CY2022")</f>
        <v>55900000</v>
      </c>
      <c r="P488" s="5">
        <f>_xll.SNL.Clients.Office.Excel.Functions.SPG(M488, "IQ_DILUT_EPS_NORM", "CY2022")</f>
        <v>11.843</v>
      </c>
      <c r="Q488">
        <f t="shared" si="46"/>
        <v>662023.69999999995</v>
      </c>
      <c r="R488">
        <f t="shared" si="47"/>
        <v>3.3564373352261201E-2</v>
      </c>
    </row>
    <row r="489" spans="1:18" x14ac:dyDescent="0.3">
      <c r="A489" t="s">
        <v>1000</v>
      </c>
      <c r="B489" s="4" cm="1">
        <f t="array" ref="B489">_xll.SNL.Clients.Office.Excel.Functions.SPG(A489, "SP_TOTAL_REV", "CY2023")</f>
        <v>7721000</v>
      </c>
      <c r="C489" s="4">
        <f>_xll.SNL.Clients.Office.Excel.Functions.SPG(A489,"IQ_AVG_DILUT_SHARES_OUT","CY2023")</f>
        <v>732222000</v>
      </c>
      <c r="D489" s="5">
        <f>_xll.SNL.Clients.Office.Excel.Functions.SPG(A489, "IQ_DILUT_EPS_NORM", "CY2023")</f>
        <v>0.73599999999999999</v>
      </c>
      <c r="E489">
        <f t="shared" si="42"/>
        <v>538915.39199999999</v>
      </c>
      <c r="F489">
        <f t="shared" si="43"/>
        <v>6.9798651988084451E-2</v>
      </c>
      <c r="G489" t="s">
        <v>1000</v>
      </c>
      <c r="H489" s="4" cm="1">
        <f t="array" ref="H489">_xll.SNL.Clients.Office.Excel.Functions.SPG(G489, "SP_TOTAL_REV", "CY2022")</f>
        <v>10187000</v>
      </c>
      <c r="I489" s="4">
        <f>_xll.SNL.Clients.Office.Excel.Functions.SPG(G489,"IQ_AVG_DILUT_SHARES_OUT","CY2022")</f>
        <v>742953000</v>
      </c>
      <c r="J489" s="5">
        <f>_xll.SNL.Clients.Office.Excel.Functions.SPG(G489, "IQ_DILUT_EPS_NORM", "CY2022")</f>
        <v>2.3650000000000002</v>
      </c>
      <c r="K489">
        <f t="shared" si="44"/>
        <v>1757083.8450000002</v>
      </c>
      <c r="L489">
        <f t="shared" si="45"/>
        <v>0.17248295327378033</v>
      </c>
      <c r="M489" t="s">
        <v>1014</v>
      </c>
      <c r="N489" s="4" cm="1">
        <f t="array" ref="N489">_xll.SNL.Clients.Office.Excel.Functions.SPG(M489, "SP_TOTAL_REV", "CY2022")</f>
        <v>3152000</v>
      </c>
      <c r="O489" s="4">
        <f>_xll.SNL.Clients.Office.Excel.Functions.SPG(M489,"IQ_AVG_DILUT_SHARES_OUT","CY2022")</f>
        <v>150271000</v>
      </c>
      <c r="P489" s="5">
        <f>_xll.SNL.Clients.Office.Excel.Functions.SPG(M489, "IQ_DILUT_EPS_NORM", "CY2022")</f>
        <v>4.7910000000000004</v>
      </c>
      <c r="Q489">
        <f t="shared" si="46"/>
        <v>719948.36100000003</v>
      </c>
      <c r="R489">
        <f t="shared" si="47"/>
        <v>0.22841001300761424</v>
      </c>
    </row>
    <row r="490" spans="1:18" x14ac:dyDescent="0.3">
      <c r="A490" t="s">
        <v>1001</v>
      </c>
      <c r="B490" s="4" cm="1">
        <f t="array" ref="B490">_xll.SNL.Clients.Office.Excel.Functions.SPG(A490, "SP_TOTAL_REV", "CY2023")</f>
        <v>9951000</v>
      </c>
      <c r="C490" s="4">
        <f>_xll.SNL.Clients.Office.Excel.Functions.SPG(A490,"IQ_AVG_DILUT_SHARES_OUT","CY2023")</f>
        <v>1222715000</v>
      </c>
      <c r="D490" s="5">
        <f>_xll.SNL.Clients.Office.Excel.Functions.SPG(A490, "IQ_DILUT_EPS_NORM", "CY2023")</f>
        <v>1.823</v>
      </c>
      <c r="E490">
        <f t="shared" si="42"/>
        <v>2229009.4449999998</v>
      </c>
      <c r="F490">
        <f t="shared" si="43"/>
        <v>0.22399853733293135</v>
      </c>
      <c r="G490" t="s">
        <v>1001</v>
      </c>
      <c r="H490" s="4" cm="1">
        <f t="array" ref="H490">_xll.SNL.Clients.Office.Excel.Functions.SPG(G490, "SP_TOTAL_REV", "CY2022")</f>
        <v>11352000</v>
      </c>
      <c r="I490" s="4">
        <f>_xll.SNL.Clients.Office.Excel.Functions.SPG(G490,"IQ_AVG_DILUT_SHARES_OUT","CY2022")</f>
        <v>1222672000</v>
      </c>
      <c r="J490" s="5">
        <f>_xll.SNL.Clients.Office.Excel.Functions.SPG(G490, "IQ_DILUT_EPS_NORM", "CY2022")</f>
        <v>1.248</v>
      </c>
      <c r="K490">
        <f t="shared" si="44"/>
        <v>1525894.656</v>
      </c>
      <c r="L490">
        <f t="shared" si="45"/>
        <v>0.13441637209302326</v>
      </c>
      <c r="M490" t="s">
        <v>1015</v>
      </c>
      <c r="N490" s="4" cm="1">
        <f t="array" ref="N490">_xll.SNL.Clients.Office.Excel.Functions.SPG(M490, "SP_TOTAL_REV", "CY2022")</f>
        <v>5641900</v>
      </c>
      <c r="O490" s="4">
        <f>_xll.SNL.Clients.Office.Excel.Functions.SPG(M490,"IQ_AVG_DILUT_SHARES_OUT","CY2022")</f>
        <v>147400000</v>
      </c>
      <c r="P490" s="5">
        <f>_xll.SNL.Clients.Office.Excel.Functions.SPG(M490, "IQ_DILUT_EPS_NORM", "CY2022")</f>
        <v>3.3610000000000002</v>
      </c>
      <c r="Q490">
        <f t="shared" si="46"/>
        <v>495411.40000000008</v>
      </c>
      <c r="R490">
        <f t="shared" si="47"/>
        <v>8.7809319555468918E-2</v>
      </c>
    </row>
    <row r="491" spans="1:18" x14ac:dyDescent="0.3">
      <c r="A491" t="s">
        <v>1002</v>
      </c>
      <c r="B491" s="4" cm="1">
        <f t="array" ref="B491">_xll.SNL.Clients.Office.Excel.Functions.SPG(A491, "SP_TOTAL_REV", "CY2023")</f>
        <v>9632000</v>
      </c>
      <c r="C491" s="4">
        <f>_xll.SNL.Clients.Office.Excel.Functions.SPG(A491,"IQ_AVG_DILUT_SHARES_OUT","CY2023")</f>
        <v>106000000</v>
      </c>
      <c r="D491" s="5">
        <f>_xll.SNL.Clients.Office.Excel.Functions.SPG(A491, "IQ_DILUT_EPS_NORM", "CY2023")</f>
        <v>9.8800000000000008</v>
      </c>
      <c r="E491">
        <f t="shared" si="42"/>
        <v>1047280.0000000001</v>
      </c>
      <c r="F491">
        <f t="shared" si="43"/>
        <v>0.10872923588039868</v>
      </c>
      <c r="G491" t="s">
        <v>1002</v>
      </c>
      <c r="H491" s="4" cm="1">
        <f t="array" ref="H491">_xll.SNL.Clients.Office.Excel.Functions.SPG(G491, "SP_TOTAL_REV", "CY2022")</f>
        <v>9154000</v>
      </c>
      <c r="I491" s="4">
        <f>_xll.SNL.Clients.Office.Excel.Functions.SPG(G491,"IQ_AVG_DILUT_SHARES_OUT","CY2022")</f>
        <v>112000000</v>
      </c>
      <c r="J491" s="5">
        <f>_xll.SNL.Clients.Office.Excel.Functions.SPG(G491, "IQ_DILUT_EPS_NORM", "CY2022")</f>
        <v>8.8620000000000001</v>
      </c>
      <c r="K491">
        <f t="shared" si="44"/>
        <v>992544</v>
      </c>
      <c r="L491">
        <f t="shared" si="45"/>
        <v>0.10842735416211492</v>
      </c>
      <c r="M491" t="s">
        <v>1016</v>
      </c>
      <c r="N491" s="4" cm="1">
        <f t="array" ref="N491">_xll.SNL.Clients.Office.Excel.Functions.SPG(M491, "SP_TOTAL_REV", "CY2022")</f>
        <v>9646000</v>
      </c>
      <c r="O491" s="4">
        <f>_xll.SNL.Clients.Office.Excel.Functions.SPG(M491,"IQ_AVG_DILUT_SHARES_OUT","CY2022")</f>
        <v>127899000</v>
      </c>
      <c r="P491" s="5">
        <f>_xll.SNL.Clients.Office.Excel.Functions.SPG(M491, "IQ_DILUT_EPS_NORM", "CY2022")</f>
        <v>3.5920000000000001</v>
      </c>
      <c r="Q491">
        <f t="shared" si="46"/>
        <v>459413.20799999998</v>
      </c>
      <c r="R491">
        <f t="shared" si="47"/>
        <v>4.7627328218950861E-2</v>
      </c>
    </row>
    <row r="492" spans="1:18" x14ac:dyDescent="0.3">
      <c r="A492" t="s">
        <v>1003</v>
      </c>
      <c r="B492" s="4" cm="1">
        <f t="array" ref="B492">_xll.SNL.Clients.Office.Excel.Functions.SPG(A492, "SP_TOTAL_REV", "CY2023")</f>
        <v>6531897</v>
      </c>
      <c r="C492" s="4">
        <f>_xll.SNL.Clients.Office.Excel.Functions.SPG(A492,"IQ_AVG_DILUT_SHARES_OUT","CY2023")</f>
        <v>112855000</v>
      </c>
      <c r="D492" s="5">
        <f>_xll.SNL.Clients.Office.Excel.Functions.SPG(A492, "IQ_DILUT_EPS_NORM", "CY2023")</f>
        <v>2.3279999999999998</v>
      </c>
      <c r="E492">
        <f t="shared" si="42"/>
        <v>262726.43999999994</v>
      </c>
      <c r="F492">
        <f t="shared" si="43"/>
        <v>4.0222073311933719E-2</v>
      </c>
      <c r="G492" t="s">
        <v>1003</v>
      </c>
      <c r="H492" s="4" cm="1">
        <f t="array" ref="H492">_xll.SNL.Clients.Office.Excel.Functions.SPG(G492, "SP_TOTAL_REV", "CY2022")</f>
        <v>3756825</v>
      </c>
      <c r="I492" s="4">
        <f>_xll.SNL.Clients.Office.Excel.Functions.SPG(G492,"IQ_AVG_DILUT_SHARES_OUT","CY2022")</f>
        <v>113623000</v>
      </c>
      <c r="J492" s="5">
        <f>_xll.SNL.Clients.Office.Excel.Functions.SPG(G492, "IQ_DILUT_EPS_NORM", "CY2022")</f>
        <v>-1.7450000000000001</v>
      </c>
      <c r="K492">
        <f t="shared" si="44"/>
        <v>-198272.13500000001</v>
      </c>
      <c r="L492">
        <f t="shared" si="45"/>
        <v>-5.277651607407851E-2</v>
      </c>
      <c r="M492" t="s">
        <v>1017</v>
      </c>
      <c r="N492" s="4" cm="1">
        <f t="array" ref="N492">_xll.SNL.Clients.Office.Excel.Functions.SPG(M492, "SP_TOTAL_REV", "CY2022")</f>
        <v>3110279</v>
      </c>
      <c r="O492" s="4">
        <f>_xll.SNL.Clients.Office.Excel.Functions.SPG(M492,"IQ_AVG_DILUT_SHARES_OUT","CY2022")</f>
        <v>58100649</v>
      </c>
      <c r="P492" s="5">
        <f>_xll.SNL.Clients.Office.Excel.Functions.SPG(M492, "IQ_DILUT_EPS_NORM", "CY2022")</f>
        <v>3.1269999999999998</v>
      </c>
      <c r="Q492">
        <f t="shared" si="46"/>
        <v>181680.72942299998</v>
      </c>
      <c r="R492">
        <f t="shared" si="47"/>
        <v>5.8413000706045978E-2</v>
      </c>
    </row>
    <row r="493" spans="1:18" x14ac:dyDescent="0.3">
      <c r="A493" t="s">
        <v>1004</v>
      </c>
      <c r="B493" s="4" cm="1">
        <f t="array" ref="B493">_xll.SNL.Clients.Office.Excel.Functions.SPG(A493, "SP_TOTAL_REV", "CY2023")</f>
        <v>14206000</v>
      </c>
      <c r="C493" s="4">
        <f>_xll.SNL.Clients.Office.Excel.Functions.SPG(A493,"IQ_AVG_DILUT_SHARES_OUT","CY2023")</f>
        <v>552000000</v>
      </c>
      <c r="D493" s="5">
        <f>_xll.SNL.Clients.Office.Excel.Functions.SPG(A493, "IQ_DILUT_EPS_NORM", "CY2023")</f>
        <v>1.9610000000000001</v>
      </c>
      <c r="E493">
        <f t="shared" si="42"/>
        <v>1082472</v>
      </c>
      <c r="F493">
        <f t="shared" si="43"/>
        <v>7.6198226101647185E-2</v>
      </c>
      <c r="G493" t="s">
        <v>1004</v>
      </c>
      <c r="H493" s="4" cm="1">
        <f t="array" ref="H493">_xll.SNL.Clients.Office.Excel.Functions.SPG(G493, "SP_TOTAL_REV", "CY2022")</f>
        <v>15310000</v>
      </c>
      <c r="I493" s="4">
        <f>_xll.SNL.Clients.Office.Excel.Functions.SPG(G493,"IQ_AVG_DILUT_SHARES_OUT","CY2022")</f>
        <v>547000000</v>
      </c>
      <c r="J493" s="5">
        <f>_xll.SNL.Clients.Office.Excel.Functions.SPG(G493, "IQ_DILUT_EPS_NORM", "CY2022")</f>
        <v>1.91</v>
      </c>
      <c r="K493">
        <f t="shared" si="44"/>
        <v>1044770</v>
      </c>
      <c r="L493">
        <f t="shared" si="45"/>
        <v>6.8241018941868056E-2</v>
      </c>
      <c r="M493" t="s">
        <v>1018</v>
      </c>
      <c r="N493" s="4" cm="1">
        <f t="array" ref="N493">_xll.SNL.Clients.Office.Excel.Functions.SPG(M493, "SP_TOTAL_REV", "CY2022")</f>
        <v>6174000</v>
      </c>
      <c r="O493" s="4">
        <f>_xll.SNL.Clients.Office.Excel.Functions.SPG(M493,"IQ_AVG_DILUT_SHARES_OUT","CY2022")</f>
        <v>255169000</v>
      </c>
      <c r="P493" s="5">
        <f>_xll.SNL.Clients.Office.Excel.Functions.SPG(M493, "IQ_DILUT_EPS_NORM", "CY2022")</f>
        <v>3.101</v>
      </c>
      <c r="Q493">
        <f t="shared" si="46"/>
        <v>791279.06900000002</v>
      </c>
      <c r="R493">
        <f t="shared" si="47"/>
        <v>0.12816311451247167</v>
      </c>
    </row>
    <row r="494" spans="1:18" x14ac:dyDescent="0.3">
      <c r="A494" t="s">
        <v>1005</v>
      </c>
      <c r="B494" s="4" cm="1">
        <f t="array" ref="B494">_xll.SNL.Clients.Office.Excel.Functions.SPG(A494, "SP_TOTAL_REV", "CY2023")</f>
        <v>7364000</v>
      </c>
      <c r="C494" s="4">
        <f>_xll.SNL.Clients.Office.Excel.Functions.SPG(A494,"IQ_AVG_DILUT_SHARES_OUT","CY2023")</f>
        <v>218180000</v>
      </c>
      <c r="D494" s="5">
        <f>_xll.SNL.Clients.Office.Excel.Functions.SPG(A494, "IQ_DILUT_EPS_NORM", "CY2023")</f>
        <v>2.4009999999999998</v>
      </c>
      <c r="E494">
        <f t="shared" si="42"/>
        <v>523850.17999999993</v>
      </c>
      <c r="F494">
        <f t="shared" si="43"/>
        <v>7.1136634980988586E-2</v>
      </c>
      <c r="G494" t="s">
        <v>1005</v>
      </c>
      <c r="H494" s="4" cm="1">
        <f t="array" ref="H494">_xll.SNL.Clients.Office.Excel.Functions.SPG(G494, "SP_TOTAL_REV", "CY2022")</f>
        <v>5522000</v>
      </c>
      <c r="I494" s="4">
        <f>_xll.SNL.Clients.Office.Excel.Functions.SPG(G494,"IQ_AVG_DILUT_SHARES_OUT","CY2022")</f>
        <v>180979000</v>
      </c>
      <c r="J494" s="5">
        <f>_xll.SNL.Clients.Office.Excel.Functions.SPG(G494, "IQ_DILUT_EPS_NORM", "CY2022")</f>
        <v>2.1</v>
      </c>
      <c r="K494">
        <f t="shared" si="44"/>
        <v>380055.9</v>
      </c>
      <c r="L494">
        <f t="shared" si="45"/>
        <v>6.8825769648678023E-2</v>
      </c>
      <c r="M494" s="8">
        <v>4414835</v>
      </c>
      <c r="N494" s="4" cm="1">
        <f t="array" ref="N494">_xll.SNL.Clients.Office.Excel.Functions.SPG(M494, "SP_TOTAL_REV", "CY2022")</f>
        <v>7528000</v>
      </c>
      <c r="O494" s="4">
        <f>_xll.SNL.Clients.Office.Excel.Functions.SPG(M494,"IQ_AVG_DILUT_SHARES_OUT","CY2022")</f>
        <v>789000000</v>
      </c>
      <c r="P494" s="5">
        <f>_xll.SNL.Clients.Office.Excel.Functions.SPG(M494, "IQ_DILUT_EPS_NORM", "CY2022")</f>
        <v>1.38</v>
      </c>
      <c r="Q494">
        <f t="shared" si="46"/>
        <v>1088820</v>
      </c>
      <c r="R494">
        <f t="shared" si="47"/>
        <v>0.14463602550478213</v>
      </c>
    </row>
    <row r="495" spans="1:18" x14ac:dyDescent="0.3">
      <c r="A495" t="s">
        <v>1006</v>
      </c>
      <c r="B495" s="4" cm="1">
        <f t="array" ref="B495">_xll.SNL.Clients.Office.Excel.Functions.SPG(A495, "SP_TOTAL_REV", "CY2023")</f>
        <v>7076000</v>
      </c>
      <c r="C495" s="4">
        <f>_xll.SNL.Clients.Office.Excel.Functions.SPG(A495,"IQ_AVG_DILUT_SHARES_OUT","CY2023")</f>
        <v>285000000</v>
      </c>
      <c r="D495" s="5">
        <f>_xll.SNL.Clients.Office.Excel.Functions.SPG(A495, "IQ_DILUT_EPS_NORM", "CY2023")</f>
        <v>4.1180000000000003</v>
      </c>
      <c r="E495">
        <f t="shared" si="42"/>
        <v>1173630</v>
      </c>
      <c r="F495">
        <f t="shared" si="43"/>
        <v>0.16586065573770492</v>
      </c>
      <c r="G495" t="s">
        <v>1006</v>
      </c>
      <c r="H495" s="4" cm="1">
        <f t="array" ref="H495">_xll.SNL.Clients.Office.Excel.Functions.SPG(G495, "SP_TOTAL_REV", "CY2022")</f>
        <v>6842000</v>
      </c>
      <c r="I495" s="4">
        <f>_xll.SNL.Clients.Office.Excel.Functions.SPG(G495,"IQ_AVG_DILUT_SHARES_OUT","CY2022")</f>
        <v>290000000</v>
      </c>
      <c r="J495" s="5">
        <f>_xll.SNL.Clients.Office.Excel.Functions.SPG(G495, "IQ_DILUT_EPS_NORM", "CY2022")</f>
        <v>3.5950000000000002</v>
      </c>
      <c r="K495">
        <f t="shared" si="44"/>
        <v>1042550</v>
      </c>
      <c r="L495">
        <f t="shared" si="45"/>
        <v>0.15237503653902368</v>
      </c>
      <c r="M495" t="s">
        <v>1019</v>
      </c>
      <c r="N495" s="4" cm="1">
        <f t="array" ref="N495">_xll.SNL.Clients.Office.Excel.Functions.SPG(M495, "SP_TOTAL_REV", "CY2022")</f>
        <v>14847000</v>
      </c>
      <c r="O495" s="4">
        <f>_xll.SNL.Clients.Office.Excel.Functions.SPG(M495,"IQ_AVG_DILUT_SHARES_OUT","CY2022")</f>
        <v>237802500</v>
      </c>
      <c r="P495" s="5">
        <f>_xll.SNL.Clients.Office.Excel.Functions.SPG(M495, "IQ_DILUT_EPS_NORM", "CY2022")</f>
        <v>3.2440000000000002</v>
      </c>
      <c r="Q495">
        <f t="shared" si="46"/>
        <v>771431.31</v>
      </c>
      <c r="R495">
        <f t="shared" si="47"/>
        <v>5.1958733077389373E-2</v>
      </c>
    </row>
    <row r="496" spans="1:18" x14ac:dyDescent="0.3">
      <c r="A496" t="s">
        <v>1007</v>
      </c>
      <c r="B496" s="4" cm="1">
        <f t="array" ref="B496">_xll.SNL.Clients.Office.Excel.Functions.SPG(A496, "SP_TOTAL_REV", "CY2023")</f>
        <v>4584000</v>
      </c>
      <c r="C496" s="4">
        <f>_xll.SNL.Clients.Office.Excel.Functions.SPG(A496,"IQ_AVG_DILUT_SHARES_OUT","CY2023")</f>
        <v>51710962</v>
      </c>
      <c r="D496" s="5">
        <f>_xll.SNL.Clients.Office.Excel.Functions.SPG(A496, "IQ_DILUT_EPS_NORM", "CY2023")</f>
        <v>5.2939999999999996</v>
      </c>
      <c r="E496">
        <f t="shared" si="42"/>
        <v>273757.83282799996</v>
      </c>
      <c r="F496">
        <f t="shared" si="43"/>
        <v>5.9720295119546241E-2</v>
      </c>
      <c r="G496" t="s">
        <v>1007</v>
      </c>
      <c r="H496" s="4" cm="1">
        <f t="array" ref="H496">_xll.SNL.Clients.Office.Excel.Functions.SPG(G496, "SP_TOTAL_REV", "CY2022")</f>
        <v>5781000</v>
      </c>
      <c r="I496" s="4">
        <f>_xll.SNL.Clients.Office.Excel.Functions.SPG(G496,"IQ_AVG_DILUT_SHARES_OUT","CY2022")</f>
        <v>52558712</v>
      </c>
      <c r="J496" s="5">
        <f>_xll.SNL.Clients.Office.Excel.Functions.SPG(G496, "IQ_DILUT_EPS_NORM", "CY2022")</f>
        <v>11.308999999999999</v>
      </c>
      <c r="K496">
        <f t="shared" si="44"/>
        <v>594386.47400799999</v>
      </c>
      <c r="L496">
        <f t="shared" si="45"/>
        <v>0.10281724165507697</v>
      </c>
      <c r="M496" t="s">
        <v>1020</v>
      </c>
      <c r="N496" s="4" cm="1">
        <f t="array" ref="N496">_xll.SNL.Clients.Office.Excel.Functions.SPG(M496, "SP_TOTAL_REV", "CY2022")</f>
        <v>18810000</v>
      </c>
      <c r="O496" s="4">
        <f>_xll.SNL.Clients.Office.Excel.Functions.SPG(M496,"IQ_AVG_DILUT_SHARES_OUT","CY2022")</f>
        <v>172700155</v>
      </c>
      <c r="P496" s="5">
        <f>_xll.SNL.Clients.Office.Excel.Functions.SPG(M496, "IQ_DILUT_EPS_NORM", "CY2022")</f>
        <v>9.1419999999999995</v>
      </c>
      <c r="Q496">
        <f t="shared" si="46"/>
        <v>1578824.8170099999</v>
      </c>
      <c r="R496">
        <f t="shared" si="47"/>
        <v>8.3935396970228601E-2</v>
      </c>
    </row>
    <row r="497" spans="1:18" x14ac:dyDescent="0.3">
      <c r="A497" t="s">
        <v>1008</v>
      </c>
      <c r="B497" s="4" cm="1">
        <f t="array" ref="B497">_xll.SNL.Clients.Office.Excel.Functions.SPG(A497, "SP_TOTAL_REV", "CY2023")</f>
        <v>7394200</v>
      </c>
      <c r="C497" s="4">
        <f>_xll.SNL.Clients.Office.Excel.Functions.SPG(A497,"IQ_AVG_DILUT_SHARES_OUT","CY2023")</f>
        <v>209700000</v>
      </c>
      <c r="D497" s="5">
        <f>_xll.SNL.Clients.Office.Excel.Functions.SPG(A497, "IQ_DILUT_EPS_NORM", "CY2023")</f>
        <v>3.758</v>
      </c>
      <c r="E497">
        <f t="shared" si="42"/>
        <v>788052.6</v>
      </c>
      <c r="F497">
        <f t="shared" si="43"/>
        <v>0.10657712801925834</v>
      </c>
      <c r="G497" t="s">
        <v>1008</v>
      </c>
      <c r="H497" s="4" cm="1">
        <f t="array" ref="H497">_xll.SNL.Clients.Office.Excel.Functions.SPG(G497, "SP_TOTAL_REV", "CY2022")</f>
        <v>6939900</v>
      </c>
      <c r="I497" s="4">
        <f>_xll.SNL.Clients.Office.Excel.Functions.SPG(G497,"IQ_AVG_DILUT_SHARES_OUT","CY2022")</f>
        <v>210300000</v>
      </c>
      <c r="J497" s="5">
        <f>_xll.SNL.Clients.Office.Excel.Functions.SPG(G497, "IQ_DILUT_EPS_NORM", "CY2022")</f>
        <v>2.8639999999999999</v>
      </c>
      <c r="K497">
        <f t="shared" si="44"/>
        <v>602299.19999999995</v>
      </c>
      <c r="L497">
        <f t="shared" si="45"/>
        <v>8.6787878787878775E-2</v>
      </c>
      <c r="M497" t="s">
        <v>1021</v>
      </c>
      <c r="N497" s="4" cm="1">
        <f t="array" ref="N497">_xll.SNL.Clients.Office.Excel.Functions.SPG(M497, "SP_TOTAL_REV", "CY2022")</f>
        <v>9459000</v>
      </c>
      <c r="O497" s="4">
        <f>_xll.SNL.Clients.Office.Excel.Functions.SPG(M497,"IQ_AVG_DILUT_SHARES_OUT","CY2022")</f>
        <v>417400000</v>
      </c>
      <c r="P497" s="5">
        <f>_xll.SNL.Clients.Office.Excel.Functions.SPG(M497, "IQ_DILUT_EPS_NORM", "CY2022")</f>
        <v>0.80100000000000005</v>
      </c>
      <c r="Q497">
        <f t="shared" si="46"/>
        <v>334337.40000000002</v>
      </c>
      <c r="R497">
        <f t="shared" si="47"/>
        <v>3.5345956232159852E-2</v>
      </c>
    </row>
    <row r="498" spans="1:18" x14ac:dyDescent="0.3">
      <c r="A498" t="s">
        <v>1009</v>
      </c>
      <c r="B498" s="4" cm="1">
        <f t="array" ref="B498">_xll.SNL.Clients.Office.Excel.Functions.SPG(A498, "SP_TOTAL_REV", "CY2023")</f>
        <v>8544000</v>
      </c>
      <c r="C498" s="4">
        <f>_xll.SNL.Clients.Office.Excel.Functions.SPG(A498,"IQ_AVG_DILUT_SHARES_OUT","CY2023")</f>
        <v>462269000</v>
      </c>
      <c r="D498" s="5">
        <f>_xll.SNL.Clients.Office.Excel.Functions.SPG(A498, "IQ_DILUT_EPS_NORM", "CY2023")</f>
        <v>3.9660000000000002</v>
      </c>
      <c r="E498">
        <f t="shared" si="42"/>
        <v>1833358.8540000001</v>
      </c>
      <c r="F498">
        <f t="shared" si="43"/>
        <v>0.21457851755617979</v>
      </c>
      <c r="G498" t="s">
        <v>1009</v>
      </c>
      <c r="H498" s="4" cm="1">
        <f t="array" ref="H498">_xll.SNL.Clients.Office.Excel.Functions.SPG(G498, "SP_TOTAL_REV", "CY2022")</f>
        <v>8080000</v>
      </c>
      <c r="I498" s="4">
        <f>_xll.SNL.Clients.Office.Excel.Functions.SPG(G498,"IQ_AVG_DILUT_SHARES_OUT","CY2022")</f>
        <v>470385000</v>
      </c>
      <c r="J498" s="5">
        <f>_xll.SNL.Clients.Office.Excel.Functions.SPG(G498, "IQ_DILUT_EPS_NORM", "CY2022")</f>
        <v>3.6219999999999999</v>
      </c>
      <c r="K498">
        <f t="shared" si="44"/>
        <v>1703734.47</v>
      </c>
      <c r="L498">
        <f t="shared" si="45"/>
        <v>0.21085822648514851</v>
      </c>
      <c r="M498" t="s">
        <v>1022</v>
      </c>
      <c r="N498" s="4" cm="1">
        <f t="array" ref="N498">_xll.SNL.Clients.Office.Excel.Functions.SPG(M498, "SP_TOTAL_REV", "CY2022")</f>
        <v>11154722</v>
      </c>
      <c r="O498" s="4">
        <f>_xll.SNL.Clients.Office.Excel.Functions.SPG(M498,"IQ_AVG_DILUT_SHARES_OUT","CY2022")</f>
        <v>60717000</v>
      </c>
      <c r="P498" s="5">
        <f>_xll.SNL.Clients.Office.Excel.Functions.SPG(M498, "IQ_DILUT_EPS_NORM", "CY2022")</f>
        <v>6.2969999999999997</v>
      </c>
      <c r="Q498">
        <f t="shared" si="46"/>
        <v>382334.94900000002</v>
      </c>
      <c r="R498">
        <f t="shared" si="47"/>
        <v>3.4275614309348099E-2</v>
      </c>
    </row>
    <row r="499" spans="1:18" x14ac:dyDescent="0.3">
      <c r="A499" t="s">
        <v>1010</v>
      </c>
      <c r="B499" s="4" cm="1">
        <f t="array" ref="B499">_xll.SNL.Clients.Office.Excel.Functions.SPG(A499, "SP_TOTAL_REV", "CY2023")</f>
        <v>19374000</v>
      </c>
      <c r="C499" s="4">
        <f>_xll.SNL.Clients.Office.Excel.Functions.SPG(A499,"IQ_AVG_DILUT_SHARES_OUT","CY2023")</f>
        <v>242000000</v>
      </c>
      <c r="D499" s="5">
        <f>_xll.SNL.Clients.Office.Excel.Functions.SPG(A499, "IQ_DILUT_EPS_NORM", "CY2023")</f>
        <v>16.294</v>
      </c>
      <c r="E499">
        <f t="shared" si="42"/>
        <v>3943148</v>
      </c>
      <c r="F499">
        <f t="shared" si="43"/>
        <v>0.20352782079075049</v>
      </c>
      <c r="G499" t="s">
        <v>1010</v>
      </c>
      <c r="H499" s="4" cm="1">
        <f t="array" ref="H499">_xll.SNL.Clients.Office.Excel.Functions.SPG(G499, "SP_TOTAL_REV", "CY2022")</f>
        <v>24384000</v>
      </c>
      <c r="I499" s="4">
        <f>_xll.SNL.Clients.Office.Excel.Functions.SPG(G499,"IQ_AVG_DILUT_SHARES_OUT","CY2022")</f>
        <v>252000000</v>
      </c>
      <c r="J499" s="5">
        <f>_xll.SNL.Clients.Office.Excel.Functions.SPG(G499, "IQ_DILUT_EPS_NORM", "CY2022")</f>
        <v>24.536000000000001</v>
      </c>
      <c r="K499">
        <f t="shared" si="44"/>
        <v>6183072</v>
      </c>
      <c r="L499">
        <f t="shared" si="45"/>
        <v>0.2535708661417323</v>
      </c>
      <c r="M499" t="s">
        <v>1023</v>
      </c>
      <c r="N499" s="4" t="str" cm="1">
        <f t="array" ref="N499">_xll.SNL.Clients.Office.Excel.Functions.SPG(M499, "SP_TOTAL_REV", "CY2022")</f>
        <v>NA</v>
      </c>
      <c r="O499" s="4">
        <f>_xll.SNL.Clients.Office.Excel.Functions.SPG(M499,"IQ_AVG_DILUT_SHARES_OUT","CY2022")</f>
        <v>437052289</v>
      </c>
      <c r="P499" s="5">
        <f>_xll.SNL.Clients.Office.Excel.Functions.SPG(M499, "IQ_DILUT_EPS_NORM", "CY2022")</f>
        <v>-1.2366075879696207E-3</v>
      </c>
      <c r="Q499">
        <f t="shared" si="46"/>
        <v>-540.46217691689162</v>
      </c>
      <c r="R499" t="e">
        <f t="shared" si="47"/>
        <v>#VALUE!</v>
      </c>
    </row>
    <row r="500" spans="1:18" x14ac:dyDescent="0.3">
      <c r="A500" t="s">
        <v>1011</v>
      </c>
      <c r="B500" s="4" cm="1">
        <f t="array" ref="B500">_xll.SNL.Clients.Office.Excel.Functions.SPG(A500, "SP_TOTAL_REV", "CY2023")</f>
        <v>3965000</v>
      </c>
      <c r="C500" s="4">
        <f>_xll.SNL.Clients.Office.Excel.Functions.SPG(A500,"IQ_AVG_DILUT_SHARES_OUT","CY2023")</f>
        <v>212000000</v>
      </c>
      <c r="D500" s="5">
        <f>_xll.SNL.Clients.Office.Excel.Functions.SPG(A500, "IQ_DILUT_EPS_NORM", "CY2023")</f>
        <v>0.60699999999999998</v>
      </c>
      <c r="E500">
        <f t="shared" si="42"/>
        <v>128684</v>
      </c>
      <c r="F500">
        <f t="shared" si="43"/>
        <v>3.2454981084489284E-2</v>
      </c>
      <c r="G500" t="s">
        <v>1011</v>
      </c>
      <c r="H500" s="4" cm="1">
        <f t="array" ref="H500">_xll.SNL.Clients.Office.Excel.Functions.SPG(G500, "SP_TOTAL_REV", "CY2022")</f>
        <v>3922000</v>
      </c>
      <c r="I500" s="4">
        <f>_xll.SNL.Clients.Office.Excel.Functions.SPG(G500,"IQ_AVG_DILUT_SHARES_OUT","CY2022")</f>
        <v>215500000</v>
      </c>
      <c r="J500" s="5">
        <f>_xll.SNL.Clients.Office.Excel.Functions.SPG(G500, "IQ_DILUT_EPS_NORM", "CY2022")</f>
        <v>0.72199999999999998</v>
      </c>
      <c r="K500">
        <f t="shared" si="44"/>
        <v>155591</v>
      </c>
      <c r="L500">
        <f t="shared" si="45"/>
        <v>3.9671341152473227E-2</v>
      </c>
      <c r="M500" s="8">
        <v>4259601</v>
      </c>
      <c r="N500" s="4" cm="1">
        <f t="array" ref="N500">_xll.SNL.Clients.Office.Excel.Functions.SPG(M500, "SP_TOTAL_REV", "CY2022")</f>
        <v>5865000</v>
      </c>
      <c r="O500" s="4">
        <f>_xll.SNL.Clients.Office.Excel.Functions.SPG(M500,"IQ_AVG_DILUT_SHARES_OUT","CY2022")</f>
        <v>183000000</v>
      </c>
      <c r="P500" s="5">
        <f>_xll.SNL.Clients.Office.Excel.Functions.SPG(M500, "IQ_DILUT_EPS_NORM", "CY2022")</f>
        <v>7.3120000000000003</v>
      </c>
      <c r="Q500">
        <f t="shared" si="46"/>
        <v>1338096</v>
      </c>
      <c r="R500">
        <f t="shared" si="47"/>
        <v>0.22814936061381075</v>
      </c>
    </row>
    <row r="501" spans="1:18" x14ac:dyDescent="0.3">
      <c r="A501" t="s">
        <v>1012</v>
      </c>
      <c r="B501" s="4" cm="1">
        <f t="array" ref="B501">_xll.SNL.Clients.Office.Excel.Functions.SPG(A501, "SP_TOTAL_REV", "CY2023")</f>
        <v>10588082</v>
      </c>
      <c r="C501" s="4">
        <f>_xll.SNL.Clients.Office.Excel.Functions.SPG(A501,"IQ_AVG_DILUT_SHARES_OUT","CY2023")</f>
        <v>388235709</v>
      </c>
      <c r="D501" s="5">
        <f>_xll.SNL.Clients.Office.Excel.Functions.SPG(A501, "IQ_DILUT_EPS_NORM", "CY2023")</f>
        <v>0.91100000000000003</v>
      </c>
      <c r="E501">
        <f t="shared" si="42"/>
        <v>353682.73089900002</v>
      </c>
      <c r="F501">
        <f t="shared" si="43"/>
        <v>3.340385264290549E-2</v>
      </c>
      <c r="G501" t="s">
        <v>1012</v>
      </c>
      <c r="H501" s="4" cm="1">
        <f t="array" ref="H501">_xll.SNL.Clients.Office.Excel.Functions.SPG(G501, "SP_TOTAL_REV", "CY2022")</f>
        <v>11697526</v>
      </c>
      <c r="I501" s="4">
        <f>_xll.SNL.Clients.Office.Excel.Functions.SPG(G501,"IQ_AVG_DILUT_SHARES_OUT","CY2022")</f>
        <v>388518500</v>
      </c>
      <c r="J501" s="5">
        <f>_xll.SNL.Clients.Office.Excel.Functions.SPG(G501, "IQ_DILUT_EPS_NORM", "CY2022")</f>
        <v>1.8080000000000001</v>
      </c>
      <c r="K501">
        <f t="shared" si="44"/>
        <v>702441.44799999997</v>
      </c>
      <c r="L501">
        <f t="shared" si="45"/>
        <v>6.0050428441022485E-2</v>
      </c>
      <c r="M501" t="s">
        <v>1024</v>
      </c>
      <c r="N501" s="4" cm="1">
        <f t="array" ref="N501">_xll.SNL.Clients.Office.Excel.Functions.SPG(M501, "SP_TOTAL_REV", "CY2022")</f>
        <v>17478000</v>
      </c>
      <c r="O501" s="4">
        <f>_xll.SNL.Clients.Office.Excel.Functions.SPG(M501,"IQ_AVG_DILUT_SHARES_OUT","CY2022")</f>
        <v>1007517000</v>
      </c>
      <c r="P501" s="5">
        <f>_xll.SNL.Clients.Office.Excel.Functions.SPG(M501, "IQ_DILUT_EPS_NORM", "CY2022")</f>
        <v>1.363</v>
      </c>
      <c r="Q501">
        <f t="shared" si="46"/>
        <v>1373245.6710000001</v>
      </c>
      <c r="R501">
        <f t="shared" si="47"/>
        <v>7.8569954857535193E-2</v>
      </c>
    </row>
    <row r="502" spans="1:18" x14ac:dyDescent="0.3">
      <c r="A502" t="s">
        <v>1013</v>
      </c>
      <c r="B502" s="4" cm="1">
        <f t="array" ref="B502">_xll.SNL.Clients.Office.Excel.Functions.SPG(A502, "SP_TOTAL_REV", "CY2023")</f>
        <v>19455000</v>
      </c>
      <c r="C502" s="4">
        <f>_xll.SNL.Clients.Office.Excel.Functions.SPG(A502,"IQ_AVG_DILUT_SHARES_OUT","CY2023")</f>
        <v>55200000</v>
      </c>
      <c r="D502" s="5">
        <f>_xll.SNL.Clients.Office.Excel.Functions.SPG(A502, "IQ_DILUT_EPS_NORM", "CY2023")</f>
        <v>8.7159999999999993</v>
      </c>
      <c r="E502">
        <f t="shared" si="42"/>
        <v>481123.19999999995</v>
      </c>
      <c r="F502">
        <f t="shared" si="43"/>
        <v>2.4730053970701618E-2</v>
      </c>
      <c r="G502" t="s">
        <v>1013</v>
      </c>
      <c r="H502" s="4" cm="1">
        <f t="array" ref="H502">_xll.SNL.Clients.Office.Excel.Functions.SPG(G502, "SP_TOTAL_REV", "CY2022")</f>
        <v>19724000</v>
      </c>
      <c r="I502" s="4">
        <f>_xll.SNL.Clients.Office.Excel.Functions.SPG(G502,"IQ_AVG_DILUT_SHARES_OUT","CY2022")</f>
        <v>55900000</v>
      </c>
      <c r="J502" s="5">
        <f>_xll.SNL.Clients.Office.Excel.Functions.SPG(G502, "IQ_DILUT_EPS_NORM", "CY2022")</f>
        <v>11.843</v>
      </c>
      <c r="K502">
        <f t="shared" si="44"/>
        <v>662023.69999999995</v>
      </c>
      <c r="L502">
        <f t="shared" si="45"/>
        <v>3.3564373352261201E-2</v>
      </c>
      <c r="M502" s="8">
        <v>4066630</v>
      </c>
      <c r="N502" s="4" cm="1">
        <f t="array" ref="N502">_xll.SNL.Clients.Office.Excel.Functions.SPG(M502, "SP_TOTAL_REV", "CY2022")</f>
        <v>2696371</v>
      </c>
      <c r="O502" s="4">
        <f>_xll.SNL.Clients.Office.Excel.Functions.SPG(M502,"IQ_AVG_DILUT_SHARES_OUT","CY2022")</f>
        <v>62605000</v>
      </c>
      <c r="P502" s="5">
        <f>_xll.SNL.Clients.Office.Excel.Functions.SPG(M502, "IQ_DILUT_EPS_NORM", "CY2022")</f>
        <v>17.524999999999999</v>
      </c>
      <c r="Q502">
        <f t="shared" si="46"/>
        <v>1097152.625</v>
      </c>
      <c r="R502">
        <f t="shared" si="47"/>
        <v>0.4068997274484854</v>
      </c>
    </row>
    <row r="503" spans="1:18" x14ac:dyDescent="0.3">
      <c r="A503" t="s">
        <v>1014</v>
      </c>
      <c r="B503" s="4" cm="1">
        <f t="array" ref="B503">_xll.SNL.Clients.Office.Excel.Functions.SPG(A503, "SP_TOTAL_REV", "CY2023")</f>
        <v>3102000</v>
      </c>
      <c r="C503" s="4">
        <f>_xll.SNL.Clients.Office.Excel.Functions.SPG(A503,"IQ_AVG_DILUT_SHARES_OUT","CY2023")</f>
        <v>147756000</v>
      </c>
      <c r="D503" s="5">
        <f>_xll.SNL.Clients.Office.Excel.Functions.SPG(A503, "IQ_DILUT_EPS_NORM", "CY2023")</f>
        <v>3.7480000000000002</v>
      </c>
      <c r="E503">
        <f t="shared" si="42"/>
        <v>553789.48800000001</v>
      </c>
      <c r="F503">
        <f t="shared" si="43"/>
        <v>0.1785265918762089</v>
      </c>
      <c r="G503" t="s">
        <v>1014</v>
      </c>
      <c r="H503" s="4" cm="1">
        <f t="array" ref="H503">_xll.SNL.Clients.Office.Excel.Functions.SPG(G503, "SP_TOTAL_REV", "CY2022")</f>
        <v>3152000</v>
      </c>
      <c r="I503" s="4">
        <f>_xll.SNL.Clients.Office.Excel.Functions.SPG(G503,"IQ_AVG_DILUT_SHARES_OUT","CY2022")</f>
        <v>150271000</v>
      </c>
      <c r="J503" s="5">
        <f>_xll.SNL.Clients.Office.Excel.Functions.SPG(G503, "IQ_DILUT_EPS_NORM", "CY2022")</f>
        <v>4.7910000000000004</v>
      </c>
      <c r="K503">
        <f t="shared" si="44"/>
        <v>719948.36100000003</v>
      </c>
      <c r="L503">
        <f t="shared" si="45"/>
        <v>0.22841001300761424</v>
      </c>
      <c r="M503" s="8">
        <v>100433</v>
      </c>
      <c r="N503" s="4" cm="1">
        <f t="array" ref="N503">_xll.SNL.Clients.Office.Excel.Functions.SPG(M503, "SP_TOTAL_REV", "CY2022")</f>
        <v>6213000</v>
      </c>
      <c r="O503" s="4">
        <f>_xll.SNL.Clients.Office.Excel.Functions.SPG(M503,"IQ_AVG_DILUT_SHARES_OUT","CY2022")</f>
        <v>59516000</v>
      </c>
      <c r="P503" s="5">
        <f>_xll.SNL.Clients.Office.Excel.Functions.SPG(M503, "IQ_DILUT_EPS_NORM", "CY2022")</f>
        <v>24.393000000000001</v>
      </c>
      <c r="Q503">
        <f t="shared" si="46"/>
        <v>1451773.7879999999</v>
      </c>
      <c r="R503">
        <f t="shared" si="47"/>
        <v>0.23366711540318685</v>
      </c>
    </row>
    <row r="504" spans="1:18" x14ac:dyDescent="0.3">
      <c r="A504" t="s">
        <v>1015</v>
      </c>
      <c r="B504" s="4" cm="1">
        <f t="array" ref="B504">_xll.SNL.Clients.Office.Excel.Functions.SPG(A504, "SP_TOTAL_REV", "CY2023")</f>
        <v>5488900</v>
      </c>
      <c r="C504" s="4">
        <f>_xll.SNL.Clients.Office.Excel.Functions.SPG(A504,"IQ_AVG_DILUT_SHARES_OUT","CY2023")</f>
        <v>144900000</v>
      </c>
      <c r="D504" s="5">
        <f>_xll.SNL.Clients.Office.Excel.Functions.SPG(A504, "IQ_DILUT_EPS_NORM", "CY2023")</f>
        <v>2.3420000000000001</v>
      </c>
      <c r="E504">
        <f t="shared" si="42"/>
        <v>339355.8</v>
      </c>
      <c r="F504">
        <f t="shared" si="43"/>
        <v>6.1825830312084384E-2</v>
      </c>
      <c r="G504" t="s">
        <v>1015</v>
      </c>
      <c r="H504" s="4" cm="1">
        <f t="array" ref="H504">_xll.SNL.Clients.Office.Excel.Functions.SPG(G504, "SP_TOTAL_REV", "CY2022")</f>
        <v>5641900</v>
      </c>
      <c r="I504" s="4">
        <f>_xll.SNL.Clients.Office.Excel.Functions.SPG(G504,"IQ_AVG_DILUT_SHARES_OUT","CY2022")</f>
        <v>147400000</v>
      </c>
      <c r="J504" s="5">
        <f>_xll.SNL.Clients.Office.Excel.Functions.SPG(G504, "IQ_DILUT_EPS_NORM", "CY2022")</f>
        <v>3.3610000000000002</v>
      </c>
      <c r="K504">
        <f t="shared" si="44"/>
        <v>495411.40000000008</v>
      </c>
      <c r="L504">
        <f t="shared" si="45"/>
        <v>8.7809319555468918E-2</v>
      </c>
      <c r="M504" t="s">
        <v>1025</v>
      </c>
      <c r="N504" s="4" cm="1">
        <f t="array" ref="N504">_xll.SNL.Clients.Office.Excel.Functions.SPG(M504, "SP_TOTAL_REV", "CY2022")</f>
        <v>1931247</v>
      </c>
      <c r="O504" s="4">
        <f>_xll.SNL.Clients.Office.Excel.Functions.SPG(M504,"IQ_AVG_DILUT_SHARES_OUT","CY2022")</f>
        <v>191775000</v>
      </c>
      <c r="P504" s="5">
        <f>_xll.SNL.Clients.Office.Excel.Functions.SPG(M504, "IQ_DILUT_EPS_NORM", "CY2022")</f>
        <v>0.59099999999999997</v>
      </c>
      <c r="Q504">
        <f t="shared" si="46"/>
        <v>113339.02499999999</v>
      </c>
      <c r="R504">
        <f t="shared" si="47"/>
        <v>5.8686964950625163E-2</v>
      </c>
    </row>
    <row r="505" spans="1:18" x14ac:dyDescent="0.3">
      <c r="A505" t="s">
        <v>1016</v>
      </c>
      <c r="B505" s="4" cm="1">
        <f t="array" ref="B505">_xll.SNL.Clients.Office.Excel.Functions.SPG(A505, "SP_TOTAL_REV", "CY2023")</f>
        <v>10426000</v>
      </c>
      <c r="C505" s="4">
        <f>_xll.SNL.Clients.Office.Excel.Functions.SPG(A505,"IQ_AVG_DILUT_SHARES_OUT","CY2023")</f>
        <v>128708000</v>
      </c>
      <c r="D505" s="5">
        <f>_xll.SNL.Clients.Office.Excel.Functions.SPG(A505, "IQ_DILUT_EPS_NORM", "CY2023")</f>
        <v>3.7970000000000002</v>
      </c>
      <c r="E505">
        <f t="shared" si="42"/>
        <v>488704.27600000001</v>
      </c>
      <c r="F505">
        <f t="shared" si="43"/>
        <v>4.6873611739881069E-2</v>
      </c>
      <c r="G505" t="s">
        <v>1016</v>
      </c>
      <c r="H505" s="4" cm="1">
        <f t="array" ref="H505">_xll.SNL.Clients.Office.Excel.Functions.SPG(G505, "SP_TOTAL_REV", "CY2022")</f>
        <v>9646000</v>
      </c>
      <c r="I505" s="4">
        <f>_xll.SNL.Clients.Office.Excel.Functions.SPG(G505,"IQ_AVG_DILUT_SHARES_OUT","CY2022")</f>
        <v>127899000</v>
      </c>
      <c r="J505" s="5">
        <f>_xll.SNL.Clients.Office.Excel.Functions.SPG(G505, "IQ_DILUT_EPS_NORM", "CY2022")</f>
        <v>3.5920000000000001</v>
      </c>
      <c r="K505">
        <f t="shared" si="44"/>
        <v>459413.20799999998</v>
      </c>
      <c r="L505">
        <f t="shared" si="45"/>
        <v>4.7627328218950861E-2</v>
      </c>
      <c r="M505" s="8">
        <v>4812233</v>
      </c>
      <c r="N505" s="4" t="str" cm="1">
        <f t="array" ref="N505">_xll.SNL.Clients.Office.Excel.Functions.SPG(M505, "SP_TOTAL_REV", "CY2022")</f>
        <v>NA</v>
      </c>
      <c r="O505" s="4" t="str">
        <f>_xll.SNL.Clients.Office.Excel.Functions.SPG(M505,"IQ_AVG_DILUT_SHARES_OUT","CY2022")</f>
        <v>NA</v>
      </c>
      <c r="P505" s="5" t="str">
        <f>_xll.SNL.Clients.Office.Excel.Functions.SPG(M505, "IQ_DILUT_EPS_NORM", "CY2022")</f>
        <v>NA</v>
      </c>
      <c r="Q505" t="e">
        <f t="shared" si="46"/>
        <v>#VALUE!</v>
      </c>
      <c r="R505" t="e">
        <f t="shared" si="47"/>
        <v>#VALUE!</v>
      </c>
    </row>
    <row r="506" spans="1:18" x14ac:dyDescent="0.3">
      <c r="A506" t="s">
        <v>1017</v>
      </c>
      <c r="B506" s="4" cm="1">
        <f t="array" ref="B506">_xll.SNL.Clients.Office.Excel.Functions.SPG(A506, "SP_TOTAL_REV", "CY2023")</f>
        <v>2976528</v>
      </c>
      <c r="C506" s="4">
        <f>_xll.SNL.Clients.Office.Excel.Functions.SPG(A506,"IQ_AVG_DILUT_SHARES_OUT","CY2023")</f>
        <v>57237518</v>
      </c>
      <c r="D506" s="5">
        <f>_xll.SNL.Clients.Office.Excel.Functions.SPG(A506, "IQ_DILUT_EPS_NORM", "CY2023")</f>
        <v>1.8839999999999999</v>
      </c>
      <c r="E506">
        <f t="shared" si="42"/>
        <v>107835.483912</v>
      </c>
      <c r="F506">
        <f t="shared" si="43"/>
        <v>3.622861397977778E-2</v>
      </c>
      <c r="G506" t="s">
        <v>1017</v>
      </c>
      <c r="H506" s="4" cm="1">
        <f t="array" ref="H506">_xll.SNL.Clients.Office.Excel.Functions.SPG(G506, "SP_TOTAL_REV", "CY2022")</f>
        <v>3110279</v>
      </c>
      <c r="I506" s="4">
        <f>_xll.SNL.Clients.Office.Excel.Functions.SPG(G506,"IQ_AVG_DILUT_SHARES_OUT","CY2022")</f>
        <v>58100649</v>
      </c>
      <c r="J506" s="5">
        <f>_xll.SNL.Clients.Office.Excel.Functions.SPG(G506, "IQ_DILUT_EPS_NORM", "CY2022")</f>
        <v>3.1269999999999998</v>
      </c>
      <c r="K506">
        <f t="shared" si="44"/>
        <v>181680.72942299998</v>
      </c>
      <c r="L506">
        <f t="shared" si="45"/>
        <v>5.8413000706045978E-2</v>
      </c>
      <c r="M506" s="8">
        <v>4397057</v>
      </c>
      <c r="N506" s="4" cm="1">
        <f t="array" ref="N506">_xll.SNL.Clients.Office.Excel.Functions.SPG(M506, "SP_TOTAL_REV", "CY2022")</f>
        <v>4723000</v>
      </c>
      <c r="O506" s="4">
        <f>_xll.SNL.Clients.Office.Excel.Functions.SPG(M506,"IQ_AVG_DILUT_SHARES_OUT","CY2022")</f>
        <v>131300000</v>
      </c>
      <c r="P506" s="5">
        <f>_xll.SNL.Clients.Office.Excel.Functions.SPG(M506, "IQ_DILUT_EPS_NORM", "CY2022")</f>
        <v>3.3029999999999999</v>
      </c>
      <c r="Q506">
        <f t="shared" si="46"/>
        <v>433683.9</v>
      </c>
      <c r="R506">
        <f t="shared" si="47"/>
        <v>9.1823819606182522E-2</v>
      </c>
    </row>
    <row r="507" spans="1:18" x14ac:dyDescent="0.3">
      <c r="B507">
        <f>SUM(B4:B506)</f>
        <v>15717078921</v>
      </c>
      <c r="C507">
        <f>SUM(C4:C506)</f>
        <v>374107383482</v>
      </c>
      <c r="D507">
        <f>E507/C507*1000</f>
        <v>3.2272004089060271</v>
      </c>
      <c r="E507">
        <f>SUMIF(E4:E506, "&lt;&gt;#VALUE!")</f>
        <v>1207319500.9478743</v>
      </c>
      <c r="F507">
        <f>E507/B507</f>
        <v>7.6815768821695177E-2</v>
      </c>
      <c r="H507">
        <f>SUM(H4:H506)</f>
        <v>15340258554</v>
      </c>
      <c r="I507">
        <f>SUM(I4:I506)</f>
        <v>377064505494</v>
      </c>
      <c r="J507">
        <f>K507/I507*1000</f>
        <v>3.2959237222487321</v>
      </c>
      <c r="K507">
        <f>SUMIF(K4:K506, "&lt;&gt;#VALUE!")</f>
        <v>1242775848.475662</v>
      </c>
      <c r="L507">
        <f>K507/H507</f>
        <v>8.101400925550932E-2</v>
      </c>
      <c r="M507" t="s">
        <v>1026</v>
      </c>
      <c r="N507" s="4" cm="1">
        <f t="array" ref="N507">_xll.SNL.Clients.Office.Excel.Functions.SPG(M507, "SP_TOTAL_REV", "CY2022")</f>
        <v>3275500</v>
      </c>
      <c r="O507" s="4">
        <f>_xll.SNL.Clients.Office.Excel.Functions.SPG(M507,"IQ_AVG_DILUT_SHARES_OUT","CY2022")</f>
        <v>129100000</v>
      </c>
      <c r="P507" s="5">
        <f>_xll.SNL.Clients.Office.Excel.Functions.SPG(M507, "IQ_DILUT_EPS_NORM", "CY2022")</f>
        <v>1.454</v>
      </c>
      <c r="Q507">
        <f t="shared" ref="Q507" si="48">O507*P507/1000</f>
        <v>187711.4</v>
      </c>
      <c r="R507">
        <f t="shared" ref="R507" si="49">Q507/N507</f>
        <v>5.7307708746756218E-2</v>
      </c>
    </row>
    <row r="508" spans="1:18" x14ac:dyDescent="0.3">
      <c r="N508">
        <f>SUM(N5:N507)</f>
        <v>15246387278</v>
      </c>
      <c r="O508">
        <f>SUM(O5:O507)</f>
        <v>375365250176</v>
      </c>
      <c r="P508">
        <f>Q508/O508*1000</f>
        <v>3.2988430229852264</v>
      </c>
      <c r="Q508">
        <f>SUMIF(Q5:Q507, "&lt;&gt;#VALUE!")</f>
        <v>1238271036.6142015</v>
      </c>
      <c r="R508">
        <f>Q508/N508</f>
        <v>8.1217341133724377E-2</v>
      </c>
    </row>
    <row r="509" spans="1:18" x14ac:dyDescent="0.3">
      <c r="E509" t="s">
        <v>3</v>
      </c>
      <c r="F509" s="7">
        <f>D507/J507-1</f>
        <v>-2.0851002369623006E-2</v>
      </c>
      <c r="G509" s="7">
        <f>D507/P508-1</f>
        <v>-2.1717497189171375E-2</v>
      </c>
    </row>
    <row r="510" spans="1:18" x14ac:dyDescent="0.3">
      <c r="E510" t="s">
        <v>1027</v>
      </c>
      <c r="F510" s="7">
        <f>B507/H507-1</f>
        <v>2.4564147056161723E-2</v>
      </c>
      <c r="G510" s="7">
        <f>B507/N508-1</f>
        <v>3.0872339421627482E-2</v>
      </c>
    </row>
    <row r="511" spans="1:18" x14ac:dyDescent="0.3">
      <c r="E511" t="s">
        <v>1028</v>
      </c>
      <c r="F511" s="7">
        <f>F507/L507-1</f>
        <v>-5.1821166146380326E-2</v>
      </c>
      <c r="G511" s="7">
        <f>F507/R508-1</f>
        <v>-5.4194981645385387E-2</v>
      </c>
    </row>
    <row r="512" spans="1:18" x14ac:dyDescent="0.3">
      <c r="E512" t="s">
        <v>2</v>
      </c>
      <c r="F512" s="7">
        <f>C507/I507-1</f>
        <v>-7.8424831001417949E-3</v>
      </c>
      <c r="G512" s="7">
        <f>C507/O508-1</f>
        <v>-3.3510472623936582E-3</v>
      </c>
    </row>
  </sheetData>
  <autoFilter ref="A2:R507" xr:uid="{2FDBA3EB-8725-4938-9DC7-83087053DF4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51631-632C-44E1-A4BE-CF799F3919B3}">
  <dimension ref="A1:AC514"/>
  <sheetViews>
    <sheetView zoomScaleNormal="100" workbookViewId="0">
      <pane xSplit="1" ySplit="5" topLeftCell="B476" activePane="bottomRight" state="frozen"/>
      <selection pane="topRight" activeCell="B1" sqref="B1"/>
      <selection pane="bottomLeft" activeCell="A4" sqref="A4"/>
      <selection pane="bottomRight" activeCell="C482" sqref="C482"/>
    </sheetView>
  </sheetViews>
  <sheetFormatPr defaultRowHeight="14.4" x14ac:dyDescent="0.3"/>
  <cols>
    <col min="1" max="1" width="18.5546875" bestFit="1" customWidth="1"/>
    <col min="2" max="2" width="10.88671875" bestFit="1" customWidth="1"/>
    <col min="3" max="3" width="13.44140625" bestFit="1" customWidth="1"/>
    <col min="4" max="4" width="9" bestFit="1" customWidth="1"/>
    <col min="5" max="5" width="9.33203125" customWidth="1"/>
    <col min="6" max="6" width="12.6640625" bestFit="1" customWidth="1"/>
    <col min="7" max="7" width="11.44140625" bestFit="1" customWidth="1"/>
    <col min="8" max="10" width="8.109375" customWidth="1"/>
    <col min="11" max="11" width="15.88671875" bestFit="1" customWidth="1"/>
    <col min="12" max="12" width="10.88671875" bestFit="1" customWidth="1"/>
    <col min="13" max="13" width="13.44140625" bestFit="1" customWidth="1"/>
    <col min="14" max="14" width="9" bestFit="1" customWidth="1"/>
    <col min="15" max="15" width="9.33203125" customWidth="1"/>
    <col min="16" max="16" width="8.109375" bestFit="1" customWidth="1"/>
    <col min="17" max="17" width="11.44140625" bestFit="1" customWidth="1"/>
    <col min="22" max="22" width="10.88671875" bestFit="1" customWidth="1"/>
    <col min="23" max="23" width="13.44140625" bestFit="1" customWidth="1"/>
  </cols>
  <sheetData>
    <row r="1" spans="1:29" x14ac:dyDescent="0.3">
      <c r="A1" t="s">
        <v>512</v>
      </c>
      <c r="B1">
        <v>16569580075</v>
      </c>
      <c r="C1">
        <v>393106243733</v>
      </c>
      <c r="D1" s="6">
        <v>3.2713287141135643</v>
      </c>
      <c r="E1">
        <v>1285979742.8210883</v>
      </c>
      <c r="F1" s="6">
        <v>7.7610883136462847E-2</v>
      </c>
      <c r="G1">
        <v>42016804.901330508</v>
      </c>
      <c r="H1">
        <v>0.99999999999999889</v>
      </c>
      <c r="K1" s="7">
        <f>D1/N1-1</f>
        <v>-3.777996818387086E-4</v>
      </c>
      <c r="L1">
        <v>16571128075</v>
      </c>
      <c r="M1">
        <v>393119943733</v>
      </c>
      <c r="N1" s="6">
        <v>3.2725650881626684</v>
      </c>
      <c r="O1">
        <v>1286510603.3210883</v>
      </c>
      <c r="P1" s="6">
        <v>7.7635668344268008E-2</v>
      </c>
      <c r="Q1">
        <v>33694765.55612608</v>
      </c>
      <c r="R1">
        <v>1.0000000000000011</v>
      </c>
      <c r="U1" s="7">
        <f>N1/X1-1</f>
        <v>8.1566178524329791E-2</v>
      </c>
      <c r="X1" s="6">
        <v>3.0257649999999998</v>
      </c>
      <c r="Z1">
        <v>8.3227666558708668E-2</v>
      </c>
    </row>
    <row r="2" spans="1:29" x14ac:dyDescent="0.3">
      <c r="A2" t="s">
        <v>513</v>
      </c>
      <c r="D2" s="6">
        <f>AVERAGE(D6:D508)</f>
        <v>110.23384178498998</v>
      </c>
      <c r="F2" s="6">
        <f>AVERAGEIF(F6:F495,  "&lt;&gt;#VALUE!")</f>
        <v>0.11119511169520696</v>
      </c>
      <c r="K2" s="7">
        <f t="shared" ref="K2:K3" si="0">D2/N2-1</f>
        <v>-1.4610069929865688E-5</v>
      </c>
      <c r="N2" s="6">
        <f>AVERAGE(N6:N508)</f>
        <v>110.2354523326573</v>
      </c>
      <c r="P2" s="6">
        <f>AVERAGEIF(P6:P495,  "&lt;&gt;#VALUE!")</f>
        <v>0.11121812370986435</v>
      </c>
      <c r="U2" s="7">
        <f t="shared" ref="U2:U3" si="1">N2/X2-1</f>
        <v>0.11485614164060864</v>
      </c>
      <c r="X2" s="6">
        <f>AVERAGE(X6:X508)</f>
        <v>98.878633946830263</v>
      </c>
    </row>
    <row r="3" spans="1:29" x14ac:dyDescent="0.3">
      <c r="A3" t="s">
        <v>514</v>
      </c>
      <c r="D3" s="6">
        <v>5.4630900000000002</v>
      </c>
      <c r="K3" s="7">
        <f t="shared" si="0"/>
        <v>-7.1158808484534486E-2</v>
      </c>
      <c r="N3" s="6">
        <v>5.8816189999999997</v>
      </c>
      <c r="U3" s="7">
        <f t="shared" si="1"/>
        <v>0.25830810991676034</v>
      </c>
      <c r="X3" s="6">
        <v>4.6742280000000003</v>
      </c>
    </row>
    <row r="4" spans="1:29" x14ac:dyDescent="0.3">
      <c r="B4" t="s">
        <v>0</v>
      </c>
      <c r="L4" t="s">
        <v>509</v>
      </c>
      <c r="V4" t="s">
        <v>515</v>
      </c>
    </row>
    <row r="5" spans="1:29" x14ac:dyDescent="0.3">
      <c r="A5" t="str" cm="1">
        <f t="array" ref="A5">_xll.ciqfunctions.udf.CIQRANGE("^SPX", "IQ_CONSTITUENTS", 1, 600, , , , , "Constituents")</f>
        <v>Constituents</v>
      </c>
      <c r="B5" s="1" t="s">
        <v>1</v>
      </c>
      <c r="C5" s="2" t="s">
        <v>2</v>
      </c>
      <c r="D5" s="2" t="s">
        <v>3</v>
      </c>
      <c r="E5" s="2" t="s">
        <v>4</v>
      </c>
      <c r="F5" s="3" t="s">
        <v>5</v>
      </c>
      <c r="G5" s="3" t="s">
        <v>510</v>
      </c>
      <c r="H5" s="3" t="s">
        <v>511</v>
      </c>
      <c r="I5" s="3"/>
      <c r="J5" s="3"/>
      <c r="K5" t="str" cm="1">
        <f t="array" ref="K5">_xll.ciqfunctions.udf.CIQRANGE("^SPX", "IQ_CONSTITUENTS", 1, 600, , , , , "Constituents")</f>
        <v>Constituents</v>
      </c>
      <c r="L5" s="1" t="s">
        <v>1</v>
      </c>
      <c r="M5" s="2" t="s">
        <v>2</v>
      </c>
      <c r="N5" s="2" t="s">
        <v>3</v>
      </c>
      <c r="O5" s="2" t="s">
        <v>4</v>
      </c>
      <c r="P5" s="3" t="s">
        <v>5</v>
      </c>
      <c r="Q5" s="3" t="s">
        <v>510</v>
      </c>
      <c r="R5" s="3" t="s">
        <v>511</v>
      </c>
      <c r="U5" t="str" cm="1">
        <f t="array" ref="U5">_xll.ciqfunctions.udf.CIQRANGE("^SPX", "IQ_CONSTITUENTS", 1, 600, , , , , "Constituents")</f>
        <v>Constituents</v>
      </c>
      <c r="V5" s="1" t="s">
        <v>1</v>
      </c>
      <c r="W5" s="2" t="s">
        <v>2</v>
      </c>
      <c r="X5" s="2" t="s">
        <v>3</v>
      </c>
      <c r="Y5" s="2" t="s">
        <v>4</v>
      </c>
      <c r="Z5" s="3" t="s">
        <v>5</v>
      </c>
      <c r="AA5" s="3" t="s">
        <v>510</v>
      </c>
      <c r="AB5" s="3" t="s">
        <v>511</v>
      </c>
    </row>
    <row r="6" spans="1:29" x14ac:dyDescent="0.3">
      <c r="A6" t="s">
        <v>6</v>
      </c>
      <c r="B6" s="4" cm="1">
        <f t="array" ref="B6">_xll.SNL.Clients.Office.Excel.Functions.SPG(A6, "SP_TOTAL_REV", "CY2023")</f>
        <v>32681000</v>
      </c>
      <c r="C6" s="4">
        <f>_xll.SNL.Clients.Office.Excel.Functions.SPG(A6,"IQ_AVG_DILUT_SHARES_OUT","CY2023")</f>
        <v>553900000</v>
      </c>
      <c r="D6" s="5">
        <f>_xll.SNL.Clients.Office.Excel.Functions.SPG(A6, "IQ_DILUT_EPS_NORM", "CY2023")</f>
        <v>5.8529999999999998</v>
      </c>
      <c r="E6">
        <f t="shared" ref="E6:E69" si="2">C6*D6/1000</f>
        <v>3241976.7</v>
      </c>
      <c r="F6">
        <f t="shared" ref="F6:F69" si="3">E6/B6</f>
        <v>9.9200657874606052E-2</v>
      </c>
      <c r="G6" s="5">
        <f>_xll.SNL.Clients.Office.Excel.Functions.SPG(A6, "SP_MARKETCAP", "12/30/2023")</f>
        <v>60379.298594159998</v>
      </c>
      <c r="H6">
        <f>G6/$G$509</f>
        <v>1.4370273688337502E-3</v>
      </c>
      <c r="I6">
        <f>D6*H6</f>
        <v>8.4109211897839403E-3</v>
      </c>
      <c r="K6" t="s">
        <v>6</v>
      </c>
      <c r="L6" s="4" cm="1">
        <f t="array" ref="L6">_xll.SNL.Clients.Office.Excel.Functions.SPG(K6, "SP_TOTAL_REV", "CY2022")</f>
        <v>34229000</v>
      </c>
      <c r="M6" s="4">
        <f>_xll.SNL.Clients.Office.Excel.Functions.SPG(K6,"IQ_AVG_DILUT_SHARES_OUT","CY2022")</f>
        <v>567600000</v>
      </c>
      <c r="N6" s="5">
        <f>_xll.SNL.Clients.Office.Excel.Functions.SPG(K6, "IQ_DILUT_EPS_NORM", "CY2022")</f>
        <v>6.6470000000000002</v>
      </c>
      <c r="O6">
        <f t="shared" ref="O6:O69" si="4">M6*N6/1000</f>
        <v>3772837.2</v>
      </c>
      <c r="P6">
        <f t="shared" ref="P6:P69" si="5">O6/L6</f>
        <v>0.11022341289549797</v>
      </c>
      <c r="Q6" s="5">
        <f>_xll.SNL.Clients.Office.Excel.Functions.SPG(K6, "SP_MARKETCAP", "12/31/2022")</f>
        <v>69104.236135760002</v>
      </c>
      <c r="R6">
        <f>Q6/$Q$509</f>
        <v>2.0508893590801699E-3</v>
      </c>
      <c r="S6">
        <f>N6*R6</f>
        <v>1.363226156980589E-2</v>
      </c>
      <c r="U6" t="s">
        <v>6</v>
      </c>
      <c r="V6" s="4" cm="1">
        <f t="array" ref="V6">_xll.SNL.Clients.Office.Excel.Functions.SPG(U6, "SP_TOTAL_REV", "CY2021")</f>
        <v>35355000</v>
      </c>
      <c r="W6" s="4">
        <f>_xll.SNL.Clients.Office.Excel.Functions.SPG(U6,"IQ_AVG_DILUT_SHARES_OUT","CY2021")</f>
        <v>585300000</v>
      </c>
      <c r="X6" s="5">
        <f>_xll.SNL.Clients.Office.Excel.Functions.SPG(U6, "IQ_DILUT_EPS_NORM", "CY2021")</f>
        <v>7.7839999999999998</v>
      </c>
      <c r="Y6">
        <f>W6*X6/1000</f>
        <v>4555975.2</v>
      </c>
      <c r="Z6">
        <f>Y6/V6</f>
        <v>0.12886367416207042</v>
      </c>
      <c r="AA6" s="5">
        <f>_xll.SNL.Clients.Office.Excel.Functions.SPG(U6, "SP_MARKETCAP", "12/31/2021")</f>
        <v>102359.78539689</v>
      </c>
      <c r="AB6">
        <f t="shared" ref="AB6:AB69" si="6">AA6/$AA$509</f>
        <v>2.4123648583651638E-3</v>
      </c>
      <c r="AC6">
        <f>X6*AB6</f>
        <v>1.8777848057514434E-2</v>
      </c>
    </row>
    <row r="7" spans="1:29" x14ac:dyDescent="0.3">
      <c r="A7" t="s">
        <v>7</v>
      </c>
      <c r="B7" s="4" cm="1">
        <f t="array" ref="B7">_xll.SNL.Clients.Office.Excel.Functions.SPG(A7, "SP_TOTAL_REV", "CY2023")</f>
        <v>3852800</v>
      </c>
      <c r="C7" s="4">
        <f>_xll.SNL.Clients.Office.Excel.Functions.SPG(A7,"IQ_AVG_DILUT_SHARES_OUT","CY2023")</f>
        <v>151015574</v>
      </c>
      <c r="D7" s="5">
        <f>_xll.SNL.Clients.Office.Excel.Functions.SPG(A7, "IQ_DILUT_EPS_NORM", "CY2023")</f>
        <v>3.11</v>
      </c>
      <c r="E7">
        <f t="shared" si="2"/>
        <v>469658.43513999996</v>
      </c>
      <c r="F7">
        <f t="shared" si="3"/>
        <v>0.12190054898774916</v>
      </c>
      <c r="G7" s="5">
        <f>_xll.SNL.Clients.Office.Excel.Functions.SPG(A7, "SP_MARKETCAP", "12/30/2023")</f>
        <v>12260.51208432</v>
      </c>
      <c r="H7">
        <f t="shared" ref="H7:H70" si="7">G7/$G$509</f>
        <v>2.9180020025586852E-4</v>
      </c>
      <c r="I7">
        <f t="shared" ref="I7:I70" si="8">D7*H7</f>
        <v>9.0749862279575102E-4</v>
      </c>
      <c r="K7" t="s">
        <v>7</v>
      </c>
      <c r="L7" s="4" cm="1">
        <f t="array" ref="L7">_xll.SNL.Clients.Office.Excel.Functions.SPG(K7, "SP_TOTAL_REV", "CY2023")</f>
        <v>3852800</v>
      </c>
      <c r="M7" s="4">
        <f>_xll.SNL.Clients.Office.Excel.Functions.SPG(K7,"IQ_AVG_DILUT_SHARES_OUT","CY2023")</f>
        <v>151015574</v>
      </c>
      <c r="N7" s="5">
        <f>_xll.SNL.Clients.Office.Excel.Functions.SPG(K7, "IQ_DILUT_EPS_NORM", "CY2023")</f>
        <v>3.11</v>
      </c>
      <c r="O7">
        <f t="shared" si="4"/>
        <v>469658.43513999996</v>
      </c>
      <c r="P7">
        <f t="shared" si="5"/>
        <v>0.12190054898774916</v>
      </c>
      <c r="Q7" s="5">
        <f>_xll.SNL.Clients.Office.Excel.Functions.SPG(K7, "SP_MARKETCAP", "12/31/2022")</f>
        <v>8744.8711654800009</v>
      </c>
      <c r="R7">
        <f t="shared" ref="R7:R70" si="9">Q7/$Q$509</f>
        <v>2.5953203772596323E-4</v>
      </c>
      <c r="S7">
        <f t="shared" ref="S7:S70" si="10">N7*R7</f>
        <v>8.0714463732774557E-4</v>
      </c>
      <c r="U7" t="s">
        <v>7</v>
      </c>
      <c r="V7" s="4" cm="1">
        <f t="array" ref="V7">_xll.SNL.Clients.Office.Excel.Functions.SPG(U7, "SP_TOTAL_REV", "CY2021")</f>
        <v>3538900</v>
      </c>
      <c r="W7" s="4">
        <f>_xll.SNL.Clients.Office.Excel.Functions.SPG(U7,"IQ_AVG_DILUT_SHARES_OUT","CY2021")</f>
        <v>161319902</v>
      </c>
      <c r="X7" s="5">
        <f>_xll.SNL.Clients.Office.Excel.Functions.SPG(U7, "IQ_DILUT_EPS_NORM", "CY2021")</f>
        <v>2.4239999999999999</v>
      </c>
      <c r="Y7">
        <f t="shared" ref="Y7:Y70" si="11">W7*X7/1000</f>
        <v>391039.44244800002</v>
      </c>
      <c r="Z7">
        <f t="shared" ref="Z7:Z70" si="12">Y7/V7</f>
        <v>0.11049745470287378</v>
      </c>
      <c r="AA7" s="5">
        <f>_xll.SNL.Clients.Office.Excel.Functions.SPG(U7, "SP_MARKETCAP", "12/31/2021")</f>
        <v>13664.0664567</v>
      </c>
      <c r="AB7">
        <f t="shared" si="6"/>
        <v>3.2202796845166881E-4</v>
      </c>
      <c r="AC7">
        <f t="shared" ref="AC7:AC70" si="13">X7*AB7</f>
        <v>7.8059579552684517E-4</v>
      </c>
    </row>
    <row r="8" spans="1:29" x14ac:dyDescent="0.3">
      <c r="A8" t="s">
        <v>8</v>
      </c>
      <c r="B8" s="4" cm="1">
        <f t="array" ref="B8">_xll.SNL.Clients.Office.Excel.Functions.SPG(A8, "SP_TOTAL_REV", "CY2023")</f>
        <v>40109000</v>
      </c>
      <c r="C8" s="4">
        <f>_xll.SNL.Clients.Office.Excel.Functions.SPG(A8,"IQ_AVG_DILUT_SHARES_OUT","CY2023")</f>
        <v>1749000000</v>
      </c>
      <c r="D8" s="5">
        <f>_xll.SNL.Clients.Office.Excel.Functions.SPG(A8, "IQ_DILUT_EPS_NORM", "CY2023")</f>
        <v>2.4670000000000001</v>
      </c>
      <c r="E8">
        <f t="shared" si="2"/>
        <v>4314783</v>
      </c>
      <c r="F8">
        <f t="shared" si="3"/>
        <v>0.1075764292303473</v>
      </c>
      <c r="G8" s="5">
        <f>_xll.SNL.Clients.Office.Excel.Functions.SPG(A8, "SP_MARKETCAP", "12/30/2023")</f>
        <v>191087.96305752001</v>
      </c>
      <c r="H8">
        <f t="shared" si="7"/>
        <v>4.5478937179125921E-3</v>
      </c>
      <c r="I8">
        <f t="shared" si="8"/>
        <v>1.1219653802090366E-2</v>
      </c>
      <c r="K8" t="s">
        <v>8</v>
      </c>
      <c r="L8" s="4" cm="1">
        <f t="array" ref="L8">_xll.SNL.Clients.Office.Excel.Functions.SPG(K8, "SP_TOTAL_REV", "CY2023")</f>
        <v>40109000</v>
      </c>
      <c r="M8" s="4">
        <f>_xll.SNL.Clients.Office.Excel.Functions.SPG(K8,"IQ_AVG_DILUT_SHARES_OUT","CY2023")</f>
        <v>1749000000</v>
      </c>
      <c r="N8" s="5">
        <f>_xll.SNL.Clients.Office.Excel.Functions.SPG(K8, "IQ_DILUT_EPS_NORM", "CY2023")</f>
        <v>2.4670000000000001</v>
      </c>
      <c r="O8">
        <f t="shared" si="4"/>
        <v>4314783</v>
      </c>
      <c r="P8">
        <f t="shared" si="5"/>
        <v>0.1075764292303473</v>
      </c>
      <c r="Q8" s="5">
        <f>_xll.SNL.Clients.Office.Excel.Functions.SPG(K8, "SP_MARKETCAP", "12/31/2022")</f>
        <v>191426.96497683</v>
      </c>
      <c r="R8">
        <f t="shared" si="9"/>
        <v>5.6812078023800484E-3</v>
      </c>
      <c r="S8">
        <f t="shared" si="10"/>
        <v>1.4015539648471581E-2</v>
      </c>
      <c r="U8" t="s">
        <v>8</v>
      </c>
      <c r="V8" s="4" cm="1">
        <f t="array" ref="V8">_xll.SNL.Clients.Office.Excel.Functions.SPG(U8, "SP_TOTAL_REV", "CY2021")</f>
        <v>43075000</v>
      </c>
      <c r="W8" s="4">
        <f>_xll.SNL.Clients.Office.Excel.Functions.SPG(U8,"IQ_AVG_DILUT_SHARES_OUT","CY2021")</f>
        <v>1789000000</v>
      </c>
      <c r="X8" s="5">
        <f>_xll.SNL.Clients.Office.Excel.Functions.SPG(U8, "IQ_DILUT_EPS_NORM", "CY2021")</f>
        <v>3.0459999999999998</v>
      </c>
      <c r="Y8">
        <f t="shared" si="11"/>
        <v>5449294</v>
      </c>
      <c r="Z8">
        <f t="shared" si="12"/>
        <v>0.12650711549622751</v>
      </c>
      <c r="AA8" s="5">
        <f>_xll.SNL.Clients.Office.Excel.Functions.SPG(U8, "SP_MARKETCAP", "12/31/2021")</f>
        <v>241364.62967538001</v>
      </c>
      <c r="AB8">
        <f t="shared" si="6"/>
        <v>5.6883623624605518E-3</v>
      </c>
      <c r="AC8">
        <f t="shared" si="13"/>
        <v>1.7326751756054838E-2</v>
      </c>
    </row>
    <row r="9" spans="1:29" x14ac:dyDescent="0.3">
      <c r="A9" t="s">
        <v>9</v>
      </c>
      <c r="B9" s="4" cm="1">
        <f t="array" ref="B9">_xll.SNL.Clients.Office.Excel.Functions.SPG(A9, "SP_TOTAL_REV", "CY2023")</f>
        <v>54318000</v>
      </c>
      <c r="C9" s="4">
        <f>_xll.SNL.Clients.Office.Excel.Functions.SPG(A9,"IQ_AVG_DILUT_SHARES_OUT","CY2023")</f>
        <v>1773000000</v>
      </c>
      <c r="D9" s="5">
        <f>_xll.SNL.Clients.Office.Excel.Functions.SPG(A9, "IQ_DILUT_EPS_NORM", "CY2023")</f>
        <v>5.6420000000000003</v>
      </c>
      <c r="E9">
        <f t="shared" si="2"/>
        <v>10003266</v>
      </c>
      <c r="F9">
        <f t="shared" si="3"/>
        <v>0.18416116204573069</v>
      </c>
      <c r="G9" s="5">
        <f>_xll.SNL.Clients.Office.Excel.Functions.SPG(A9, "SP_MARKETCAP", "12/30/2023")</f>
        <v>273605.33413237002</v>
      </c>
      <c r="H9">
        <f t="shared" si="7"/>
        <v>6.5118072346264004E-3</v>
      </c>
      <c r="I9">
        <f t="shared" si="8"/>
        <v>3.6739616417762154E-2</v>
      </c>
      <c r="K9" t="s">
        <v>9</v>
      </c>
      <c r="L9" s="4" cm="1">
        <f t="array" ref="L9">_xll.SNL.Clients.Office.Excel.Functions.SPG(K9, "SP_TOTAL_REV", "CY2023")</f>
        <v>54318000</v>
      </c>
      <c r="M9" s="4">
        <f>_xll.SNL.Clients.Office.Excel.Functions.SPG(K9,"IQ_AVG_DILUT_SHARES_OUT","CY2023")</f>
        <v>1773000000</v>
      </c>
      <c r="N9" s="5">
        <f>_xll.SNL.Clients.Office.Excel.Functions.SPG(K9, "IQ_DILUT_EPS_NORM", "CY2023")</f>
        <v>5.6420000000000003</v>
      </c>
      <c r="O9">
        <f t="shared" si="4"/>
        <v>10003266</v>
      </c>
      <c r="P9">
        <f t="shared" si="5"/>
        <v>0.18416116204573069</v>
      </c>
      <c r="Q9" s="5">
        <f>_xll.SNL.Clients.Office.Excel.Functions.SPG(K9, "SP_MARKETCAP", "12/31/2022")</f>
        <v>285707.16194865003</v>
      </c>
      <c r="R9">
        <f t="shared" si="9"/>
        <v>8.479274368974065E-3</v>
      </c>
      <c r="S9">
        <f t="shared" si="10"/>
        <v>4.7840065989751678E-2</v>
      </c>
      <c r="U9" t="s">
        <v>9</v>
      </c>
      <c r="V9" s="4" cm="1">
        <f t="array" ref="V9">_xll.SNL.Clients.Office.Excel.Functions.SPG(U9, "SP_TOTAL_REV", "CY2021")</f>
        <v>56197000</v>
      </c>
      <c r="W9" s="4">
        <f>_xll.SNL.Clients.Office.Excel.Functions.SPG(U9,"IQ_AVG_DILUT_SHARES_OUT","CY2021")</f>
        <v>1777000000</v>
      </c>
      <c r="X9" s="5">
        <f>_xll.SNL.Clients.Office.Excel.Functions.SPG(U9, "IQ_DILUT_EPS_NORM", "CY2021")</f>
        <v>6.109</v>
      </c>
      <c r="Y9">
        <f t="shared" si="11"/>
        <v>10855693</v>
      </c>
      <c r="Z9">
        <f t="shared" si="12"/>
        <v>0.19317210883143229</v>
      </c>
      <c r="AA9" s="5">
        <f>_xll.SNL.Clients.Office.Excel.Functions.SPG(U9, "SP_MARKETCAP", "12/31/2021")</f>
        <v>239371.01496100001</v>
      </c>
      <c r="AB9">
        <f t="shared" si="6"/>
        <v>5.6413778356813847E-3</v>
      </c>
      <c r="AC9">
        <f t="shared" si="13"/>
        <v>3.4463177198177576E-2</v>
      </c>
    </row>
    <row r="10" spans="1:29" x14ac:dyDescent="0.3">
      <c r="A10" t="s">
        <v>10</v>
      </c>
      <c r="B10" s="4" cm="1">
        <f t="array" ref="B10">_xll.SNL.Clients.Office.Excel.Functions.SPG(A10, "SP_TOTAL_REV", "CY2023")</f>
        <v>64588246</v>
      </c>
      <c r="C10" s="4">
        <f>_xll.SNL.Clients.Office.Excel.Functions.SPG(A10,"IQ_AVG_DILUT_SHARES_OUT","CY2023")</f>
        <v>638249501</v>
      </c>
      <c r="D10" s="5">
        <f>_xll.SNL.Clients.Office.Excel.Functions.SPG(A10, "IQ_DILUT_EPS_NORM", "CY2023")</f>
        <v>9.68</v>
      </c>
      <c r="E10">
        <f t="shared" si="2"/>
        <v>6178255.1696799994</v>
      </c>
      <c r="F10">
        <f t="shared" si="3"/>
        <v>9.5656029576650828E-2</v>
      </c>
      <c r="G10" s="5">
        <f>_xll.SNL.Clients.Office.Excel.Functions.SPG(A10, "SP_MARKETCAP", "12/30/2023")</f>
        <v>220017.71148714001</v>
      </c>
      <c r="H10">
        <f t="shared" si="7"/>
        <v>5.2364217603840914E-3</v>
      </c>
      <c r="I10">
        <f t="shared" si="8"/>
        <v>5.0688562640518006E-2</v>
      </c>
      <c r="K10" t="s">
        <v>10</v>
      </c>
      <c r="L10" s="4" cm="1">
        <f t="array" ref="L10">_xll.SNL.Clients.Office.Excel.Functions.SPG(K10, "SP_TOTAL_REV", "CY2023")</f>
        <v>64588246</v>
      </c>
      <c r="M10" s="4">
        <f>_xll.SNL.Clients.Office.Excel.Functions.SPG(K10,"IQ_AVG_DILUT_SHARES_OUT","CY2023")</f>
        <v>638249501</v>
      </c>
      <c r="N10" s="5">
        <f>_xll.SNL.Clients.Office.Excel.Functions.SPG(K10, "IQ_DILUT_EPS_NORM", "CY2023")</f>
        <v>9.68</v>
      </c>
      <c r="O10">
        <f t="shared" si="4"/>
        <v>6178255.1696799994</v>
      </c>
      <c r="P10">
        <f t="shared" si="5"/>
        <v>9.5656029576650828E-2</v>
      </c>
      <c r="Q10" s="5">
        <f>_xll.SNL.Clients.Office.Excel.Functions.SPG(K10, "SP_MARKETCAP", "12/31/2022")</f>
        <v>168039.85949127999</v>
      </c>
      <c r="R10">
        <f t="shared" si="9"/>
        <v>4.9871206022007323E-3</v>
      </c>
      <c r="S10">
        <f t="shared" si="10"/>
        <v>4.8275327429303086E-2</v>
      </c>
      <c r="U10" t="s">
        <v>10</v>
      </c>
      <c r="V10" s="4" cm="1">
        <f t="array" ref="V10">_xll.SNL.Clients.Office.Excel.Functions.SPG(U10, "SP_TOTAL_REV", "CY2021")</f>
        <v>53736357</v>
      </c>
      <c r="W10" s="4">
        <f>_xll.SNL.Clients.Office.Excel.Functions.SPG(U10,"IQ_AVG_DILUT_SHARES_OUT","CY2021")</f>
        <v>645419774</v>
      </c>
      <c r="X10" s="5">
        <f>_xll.SNL.Clients.Office.Excel.Functions.SPG(U10, "IQ_DILUT_EPS_NORM", "CY2021")</f>
        <v>7.6349999999999998</v>
      </c>
      <c r="Y10">
        <f t="shared" si="11"/>
        <v>4927779.9744899999</v>
      </c>
      <c r="Z10">
        <f t="shared" si="12"/>
        <v>9.1702903761972543E-2</v>
      </c>
      <c r="AA10" s="5">
        <f>_xll.SNL.Clients.Office.Excel.Functions.SPG(U10, "SP_MARKETCAP", "12/31/2021")</f>
        <v>261995.90510880001</v>
      </c>
      <c r="AB10">
        <f t="shared" si="6"/>
        <v>6.1745900704012827E-3</v>
      </c>
      <c r="AC10">
        <f t="shared" si="13"/>
        <v>4.7142995187513789E-2</v>
      </c>
    </row>
    <row r="11" spans="1:29" x14ac:dyDescent="0.3">
      <c r="A11" t="s">
        <v>11</v>
      </c>
      <c r="B11" s="4" cm="1">
        <f t="array" ref="B11">_xll.SNL.Clients.Office.Excel.Functions.SPG(A11, "SP_TOTAL_REV", "CY2023")</f>
        <v>19409000</v>
      </c>
      <c r="C11" s="4">
        <f>_xll.SNL.Clients.Office.Excel.Functions.SPG(A11,"IQ_AVG_DILUT_SHARES_OUT","CY2023")</f>
        <v>459100000</v>
      </c>
      <c r="D11" s="5">
        <f>_xll.SNL.Clients.Office.Excel.Functions.SPG(A11, "IQ_DILUT_EPS_NORM", "CY2023")</f>
        <v>9.2439999999999998</v>
      </c>
      <c r="E11">
        <f t="shared" si="2"/>
        <v>4243920.4000000004</v>
      </c>
      <c r="F11">
        <f t="shared" si="3"/>
        <v>0.21865734453088775</v>
      </c>
      <c r="G11" s="5">
        <f>_xll.SNL.Clients.Office.Excel.Functions.SPG(A11, "SP_MARKETCAP", "12/30/2023")</f>
        <v>271631.98</v>
      </c>
      <c r="H11">
        <f t="shared" si="7"/>
        <v>6.464841404240103E-3</v>
      </c>
      <c r="I11">
        <f t="shared" si="8"/>
        <v>5.9760993940795509E-2</v>
      </c>
      <c r="K11" t="s">
        <v>11</v>
      </c>
      <c r="L11" s="4" cm="1">
        <f t="array" ref="L11">_xll.SNL.Clients.Office.Excel.Functions.SPG(K11, "SP_TOTAL_REV", "CY2023")</f>
        <v>19409000</v>
      </c>
      <c r="M11" s="4">
        <f>_xll.SNL.Clients.Office.Excel.Functions.SPG(K11,"IQ_AVG_DILUT_SHARES_OUT","CY2023")</f>
        <v>459100000</v>
      </c>
      <c r="N11" s="5">
        <f>_xll.SNL.Clients.Office.Excel.Functions.SPG(K11, "IQ_DILUT_EPS_NORM", "CY2023")</f>
        <v>9.2439999999999998</v>
      </c>
      <c r="O11">
        <f t="shared" si="4"/>
        <v>4243920.4000000004</v>
      </c>
      <c r="P11">
        <f t="shared" si="5"/>
        <v>0.21865734453088775</v>
      </c>
      <c r="Q11" s="5">
        <f>_xll.SNL.Clients.Office.Excel.Functions.SPG(K11, "SP_MARKETCAP", "12/31/2022")</f>
        <v>156452.79699999999</v>
      </c>
      <c r="R11">
        <f t="shared" si="9"/>
        <v>4.6432374411210335E-3</v>
      </c>
      <c r="S11">
        <f t="shared" si="10"/>
        <v>4.2922086905722835E-2</v>
      </c>
      <c r="U11" t="s">
        <v>11</v>
      </c>
      <c r="V11" s="4" cm="1">
        <f t="array" ref="V11">_xll.SNL.Clients.Office.Excel.Functions.SPG(U11, "SP_TOTAL_REV", "CY2021")</f>
        <v>15785000</v>
      </c>
      <c r="W11" s="4">
        <f>_xll.SNL.Clients.Office.Excel.Functions.SPG(U11,"IQ_AVG_DILUT_SHARES_OUT","CY2021")</f>
        <v>481000000</v>
      </c>
      <c r="X11" s="5">
        <f>_xll.SNL.Clients.Office.Excel.Functions.SPG(U11, "IQ_DILUT_EPS_NORM", "CY2021")</f>
        <v>7.3920000000000003</v>
      </c>
      <c r="Y11">
        <f t="shared" si="11"/>
        <v>3555552</v>
      </c>
      <c r="Z11">
        <f t="shared" si="12"/>
        <v>0.22524878048780489</v>
      </c>
      <c r="AA11" s="5">
        <f>_xll.SNL.Clients.Office.Excel.Functions.SPG(U11, "SP_MARKETCAP", "12/31/2021")</f>
        <v>269807.14799999999</v>
      </c>
      <c r="AB11">
        <f t="shared" si="6"/>
        <v>6.3586815842494359E-3</v>
      </c>
      <c r="AC11">
        <f t="shared" si="13"/>
        <v>4.7003374270771829E-2</v>
      </c>
    </row>
    <row r="12" spans="1:29" x14ac:dyDescent="0.3">
      <c r="A12" t="s">
        <v>12</v>
      </c>
      <c r="B12" s="4" cm="1">
        <f t="array" ref="B12">_xll.SNL.Clients.Office.Excel.Functions.SPG(A12, "SP_TOTAL_REV", "CY2023")</f>
        <v>22680000</v>
      </c>
      <c r="C12" s="4">
        <f>_xll.SNL.Clients.Office.Excel.Functions.SPG(A12,"IQ_AVG_DILUT_SHARES_OUT","CY2023")</f>
        <v>1625000000</v>
      </c>
      <c r="D12" s="5">
        <f>_xll.SNL.Clients.Office.Excel.Functions.SPG(A12, "IQ_DILUT_EPS_NORM", "CY2023")</f>
        <v>0.19600000000000001</v>
      </c>
      <c r="E12">
        <f t="shared" si="2"/>
        <v>318500</v>
      </c>
      <c r="F12">
        <f t="shared" si="3"/>
        <v>1.404320987654321E-2</v>
      </c>
      <c r="G12" s="5">
        <f>_xll.SNL.Clients.Office.Excel.Functions.SPG(A12, "SP_MARKETCAP", "12/30/2023")</f>
        <v>238140.69152230999</v>
      </c>
      <c r="H12">
        <f t="shared" si="7"/>
        <v>5.6677487039184411E-3</v>
      </c>
      <c r="I12">
        <f t="shared" si="8"/>
        <v>1.1108787459680146E-3</v>
      </c>
      <c r="K12" t="s">
        <v>12</v>
      </c>
      <c r="L12" s="4" cm="1">
        <f t="array" ref="L12">_xll.SNL.Clients.Office.Excel.Functions.SPG(K12, "SP_TOTAL_REV", "CY2023")</f>
        <v>22680000</v>
      </c>
      <c r="M12" s="4">
        <f>_xll.SNL.Clients.Office.Excel.Functions.SPG(K12,"IQ_AVG_DILUT_SHARES_OUT","CY2023")</f>
        <v>1625000000</v>
      </c>
      <c r="N12" s="5">
        <f>_xll.SNL.Clients.Office.Excel.Functions.SPG(K12, "IQ_DILUT_EPS_NORM", "CY2023")</f>
        <v>0.19600000000000001</v>
      </c>
      <c r="O12">
        <f t="shared" si="4"/>
        <v>318500</v>
      </c>
      <c r="P12">
        <f t="shared" si="5"/>
        <v>1.404320987654321E-2</v>
      </c>
      <c r="Q12" s="5">
        <f>_xll.SNL.Clients.Office.Excel.Functions.SPG(K12, "SP_MARKETCAP", "12/31/2022")</f>
        <v>104432.30861274</v>
      </c>
      <c r="R12">
        <f t="shared" si="9"/>
        <v>3.0993629689687234E-3</v>
      </c>
      <c r="S12">
        <f t="shared" si="10"/>
        <v>6.0747514191786982E-4</v>
      </c>
      <c r="U12" t="s">
        <v>12</v>
      </c>
      <c r="V12" s="4" cm="1">
        <f t="array" ref="V12">_xll.SNL.Clients.Office.Excel.Functions.SPG(U12, "SP_TOTAL_REV", "CY2021")</f>
        <v>16434000</v>
      </c>
      <c r="W12" s="4">
        <f>_xll.SNL.Clients.Office.Excel.Functions.SPG(U12,"IQ_AVG_DILUT_SHARES_OUT","CY2021")</f>
        <v>1229000000</v>
      </c>
      <c r="X12" s="5">
        <f>_xll.SNL.Clients.Office.Excel.Functions.SPG(U12, "IQ_DILUT_EPS_NORM", "CY2021")</f>
        <v>1.8440000000000001</v>
      </c>
      <c r="Y12">
        <f t="shared" si="11"/>
        <v>2266276</v>
      </c>
      <c r="Z12">
        <f t="shared" si="12"/>
        <v>0.13790166727516126</v>
      </c>
      <c r="AA12" s="5">
        <f>_xll.SNL.Clients.Office.Excel.Functions.SPG(U12, "SP_MARKETCAP", "12/31/2021")</f>
        <v>173775.1444745</v>
      </c>
      <c r="AB12">
        <f t="shared" si="6"/>
        <v>4.0954467632202552E-3</v>
      </c>
      <c r="AC12">
        <f t="shared" si="13"/>
        <v>7.5520038313781511E-3</v>
      </c>
    </row>
    <row r="13" spans="1:29" x14ac:dyDescent="0.3">
      <c r="A13" t="s">
        <v>13</v>
      </c>
      <c r="B13" s="4" cm="1">
        <f t="array" ref="B13">_xll.SNL.Clients.Office.Excel.Functions.SPG(A13, "SP_TOTAL_REV", "CY2023")</f>
        <v>18701000</v>
      </c>
      <c r="C13" s="4">
        <f>_xll.SNL.Clients.Office.Excel.Functions.SPG(A13,"IQ_AVG_DILUT_SHARES_OUT","CY2023")</f>
        <v>598745000</v>
      </c>
      <c r="D13" s="5">
        <f>_xll.SNL.Clients.Office.Excel.Functions.SPG(A13, "IQ_DILUT_EPS_NORM", "CY2023")</f>
        <v>5.4930000000000003</v>
      </c>
      <c r="E13">
        <f t="shared" si="2"/>
        <v>3288906.2850000001</v>
      </c>
      <c r="F13">
        <f t="shared" si="3"/>
        <v>0.17586793674135073</v>
      </c>
      <c r="G13" s="5">
        <f>_xll.SNL.Clients.Office.Excel.Functions.SPG(A13, "SP_MARKETCAP", "12/30/2023")</f>
        <v>48211.340842500002</v>
      </c>
      <c r="H13">
        <f t="shared" si="7"/>
        <v>1.1474299617906772E-3</v>
      </c>
      <c r="I13">
        <f t="shared" si="8"/>
        <v>6.3028327801161899E-3</v>
      </c>
      <c r="K13" t="s">
        <v>13</v>
      </c>
      <c r="L13" s="4" cm="1">
        <f t="array" ref="L13">_xll.SNL.Clients.Office.Excel.Functions.SPG(K13, "SP_TOTAL_REV", "CY2023")</f>
        <v>18701000</v>
      </c>
      <c r="M13" s="4">
        <f>_xll.SNL.Clients.Office.Excel.Functions.SPG(K13,"IQ_AVG_DILUT_SHARES_OUT","CY2023")</f>
        <v>598745000</v>
      </c>
      <c r="N13" s="5">
        <f>_xll.SNL.Clients.Office.Excel.Functions.SPG(K13, "IQ_DILUT_EPS_NORM", "CY2023")</f>
        <v>5.4930000000000003</v>
      </c>
      <c r="O13">
        <f t="shared" si="4"/>
        <v>3288906.2850000001</v>
      </c>
      <c r="P13">
        <f t="shared" si="5"/>
        <v>0.17586793674135073</v>
      </c>
      <c r="Q13" s="5">
        <f>_xll.SNL.Clients.Office.Excel.Functions.SPG(K13, "SP_MARKETCAP", "12/31/2022")</f>
        <v>44731.469006400002</v>
      </c>
      <c r="R13">
        <f t="shared" si="9"/>
        <v>1.3275494952439972E-3</v>
      </c>
      <c r="S13">
        <f t="shared" si="10"/>
        <v>7.2922293773752768E-3</v>
      </c>
      <c r="U13" t="s">
        <v>13</v>
      </c>
      <c r="V13" s="4" cm="1">
        <f t="array" ref="V13">_xll.SNL.Clients.Office.Excel.Functions.SPG(U13, "SP_TOTAL_REV", "CY2021")</f>
        <v>21554000</v>
      </c>
      <c r="W13" s="4">
        <f>_xll.SNL.Clients.Office.Excel.Functions.SPG(U13,"IQ_AVG_DILUT_SHARES_OUT","CY2021")</f>
        <v>676729000</v>
      </c>
      <c r="X13" s="5">
        <f>_xll.SNL.Clients.Office.Excel.Functions.SPG(U13, "IQ_DILUT_EPS_NORM", "CY2021")</f>
        <v>4.8099999999999996</v>
      </c>
      <c r="Y13">
        <f t="shared" si="11"/>
        <v>3255066.4899999993</v>
      </c>
      <c r="Z13">
        <f t="shared" si="12"/>
        <v>0.15101913751507837</v>
      </c>
      <c r="AA13" s="5">
        <f>_xll.SNL.Clients.Office.Excel.Functions.SPG(U13, "SP_MARKETCAP", "12/31/2021")</f>
        <v>38626.632707409997</v>
      </c>
      <c r="AB13">
        <f t="shared" si="6"/>
        <v>9.1033339879555337E-4</v>
      </c>
      <c r="AC13">
        <f t="shared" si="13"/>
        <v>4.3787036482066111E-3</v>
      </c>
    </row>
    <row r="14" spans="1:29" x14ac:dyDescent="0.3">
      <c r="A14" t="s">
        <v>14</v>
      </c>
      <c r="B14" s="4" cm="1">
        <f t="array" ref="B14">_xll.SNL.Clients.Office.Excel.Functions.SPG(A14, "SP_TOTAL_REV", "CY2023")</f>
        <v>6735000</v>
      </c>
      <c r="C14" s="4">
        <f>_xll.SNL.Clients.Office.Excel.Functions.SPG(A14,"IQ_AVG_DILUT_SHARES_OUT","CY2023")</f>
        <v>295250000</v>
      </c>
      <c r="D14" s="5">
        <f>_xll.SNL.Clients.Office.Excel.Functions.SPG(A14, "IQ_DILUT_EPS_NORM", "CY2023")</f>
        <v>2.9849999999999999</v>
      </c>
      <c r="E14">
        <f t="shared" si="2"/>
        <v>881321.25</v>
      </c>
      <c r="F14">
        <f t="shared" si="3"/>
        <v>0.13085690423162583</v>
      </c>
      <c r="G14" s="5">
        <f>_xll.SNL.Clients.Office.Excel.Functions.SPG(A14, "SP_MARKETCAP", "12/30/2023")</f>
        <v>40736.360301059998</v>
      </c>
      <c r="H14">
        <f t="shared" si="7"/>
        <v>9.6952541719253946E-4</v>
      </c>
      <c r="I14">
        <f t="shared" si="8"/>
        <v>2.89403337031973E-3</v>
      </c>
      <c r="K14" t="s">
        <v>14</v>
      </c>
      <c r="L14" s="4" cm="1">
        <f t="array" ref="L14">_xll.SNL.Clients.Office.Excel.Functions.SPG(K14, "SP_TOTAL_REV", "CY2023")</f>
        <v>6735000</v>
      </c>
      <c r="M14" s="4">
        <f>_xll.SNL.Clients.Office.Excel.Functions.SPG(K14,"IQ_AVG_DILUT_SHARES_OUT","CY2023")</f>
        <v>295250000</v>
      </c>
      <c r="N14" s="5">
        <f>_xll.SNL.Clients.Office.Excel.Functions.SPG(K14, "IQ_DILUT_EPS_NORM", "CY2023")</f>
        <v>2.9849999999999999</v>
      </c>
      <c r="O14">
        <f t="shared" si="4"/>
        <v>881321.25</v>
      </c>
      <c r="P14">
        <f t="shared" si="5"/>
        <v>0.13085690423162583</v>
      </c>
      <c r="Q14" s="5">
        <f>_xll.SNL.Clients.Office.Excel.Functions.SPG(K14, "SP_MARKETCAP", "12/31/2022")</f>
        <v>44307.180785999997</v>
      </c>
      <c r="R14">
        <f t="shared" si="9"/>
        <v>1.3149573844696023E-3</v>
      </c>
      <c r="S14">
        <f t="shared" si="10"/>
        <v>3.9251477926417625E-3</v>
      </c>
      <c r="U14" t="s">
        <v>14</v>
      </c>
      <c r="V14" s="4" cm="1">
        <f t="array" ref="V14">_xll.SNL.Clients.Office.Excel.Functions.SPG(U14, "SP_TOTAL_REV", "CY2021")</f>
        <v>6445000</v>
      </c>
      <c r="W14" s="4">
        <f>_xll.SNL.Clients.Office.Excel.Functions.SPG(U14,"IQ_AVG_DILUT_SHARES_OUT","CY2021")</f>
        <v>305500000</v>
      </c>
      <c r="X14" s="5">
        <f>_xll.SNL.Clients.Office.Excel.Functions.SPG(U14, "IQ_DILUT_EPS_NORM", "CY2021")</f>
        <v>2.8250000000000002</v>
      </c>
      <c r="Y14">
        <f t="shared" si="11"/>
        <v>863037.5</v>
      </c>
      <c r="Z14">
        <f t="shared" si="12"/>
        <v>0.13390806826997673</v>
      </c>
      <c r="AA14" s="5">
        <f>_xll.SNL.Clients.Office.Excel.Functions.SPG(U14, "SP_MARKETCAP", "12/31/2021")</f>
        <v>48214.427241049998</v>
      </c>
      <c r="AB14">
        <f t="shared" si="6"/>
        <v>1.1362938041685944E-3</v>
      </c>
      <c r="AC14">
        <f t="shared" si="13"/>
        <v>3.2100299967762792E-3</v>
      </c>
    </row>
    <row r="15" spans="1:29" x14ac:dyDescent="0.3">
      <c r="A15" t="s">
        <v>15</v>
      </c>
      <c r="B15" s="4" cm="1">
        <f t="array" ref="B15">_xll.SNL.Clients.Office.Excel.Functions.SPG(A15, "SP_TOTAL_REV", "CY2023")</f>
        <v>12422700</v>
      </c>
      <c r="C15" s="4">
        <f>_xll.SNL.Clients.Office.Excel.Functions.SPG(A15,"IQ_AVG_DILUT_SHARES_OUT","CY2023")</f>
        <v>222750000</v>
      </c>
      <c r="D15" s="5">
        <f>_xll.SNL.Clients.Office.Excel.Functions.SPG(A15, "IQ_DILUT_EPS_NORM", "CY2023")</f>
        <v>8.7070000000000007</v>
      </c>
      <c r="E15">
        <f t="shared" si="2"/>
        <v>1939484.2500000002</v>
      </c>
      <c r="F15">
        <f t="shared" si="3"/>
        <v>0.15612421212779831</v>
      </c>
      <c r="G15" s="5">
        <f>_xll.SNL.Clients.Office.Excel.Functions.SPG(A15, "SP_MARKETCAP", "12/30/2023")</f>
        <v>60846.0556966</v>
      </c>
      <c r="H15">
        <f t="shared" si="7"/>
        <v>1.4481361883533711E-3</v>
      </c>
      <c r="I15">
        <f t="shared" si="8"/>
        <v>1.2608921791992803E-2</v>
      </c>
      <c r="K15" t="s">
        <v>15</v>
      </c>
      <c r="L15" s="4" cm="1">
        <f t="array" ref="L15">_xll.SNL.Clients.Office.Excel.Functions.SPG(K15, "SP_TOTAL_REV", "CY2023")</f>
        <v>12422700</v>
      </c>
      <c r="M15" s="4">
        <f>_xll.SNL.Clients.Office.Excel.Functions.SPG(K15,"IQ_AVG_DILUT_SHARES_OUT","CY2023")</f>
        <v>222750000</v>
      </c>
      <c r="N15" s="5">
        <f>_xll.SNL.Clients.Office.Excel.Functions.SPG(K15, "IQ_DILUT_EPS_NORM", "CY2023")</f>
        <v>8.7070000000000007</v>
      </c>
      <c r="O15">
        <f t="shared" si="4"/>
        <v>1939484.2500000002</v>
      </c>
      <c r="P15">
        <f t="shared" si="5"/>
        <v>0.15612421212779831</v>
      </c>
      <c r="Q15" s="5">
        <f>_xll.SNL.Clients.Office.Excel.Functions.SPG(K15, "SP_MARKETCAP", "12/31/2022")</f>
        <v>68429.930559820001</v>
      </c>
      <c r="R15">
        <f t="shared" si="9"/>
        <v>2.0308771831587559E-3</v>
      </c>
      <c r="S15">
        <f t="shared" si="10"/>
        <v>1.768284763376329E-2</v>
      </c>
      <c r="U15" t="s">
        <v>15</v>
      </c>
      <c r="V15" s="4" cm="1">
        <f t="array" ref="V15">_xll.SNL.Clients.Office.Excel.Functions.SPG(U15, "SP_TOTAL_REV", "CY2021")</f>
        <v>10942000</v>
      </c>
      <c r="W15" s="4">
        <f>_xll.SNL.Clients.Office.Excel.Functions.SPG(U15,"IQ_AVG_DILUT_SHARES_OUT","CY2021")</f>
        <v>222500000</v>
      </c>
      <c r="X15" s="5">
        <f>_xll.SNL.Clients.Office.Excel.Functions.SPG(U15, "IQ_DILUT_EPS_NORM", "CY2021")</f>
        <v>7.2130000000000001</v>
      </c>
      <c r="Y15">
        <f t="shared" si="11"/>
        <v>1604892.5</v>
      </c>
      <c r="Z15">
        <f t="shared" si="12"/>
        <v>0.14667268323889598</v>
      </c>
      <c r="AA15" s="5">
        <f>_xll.SNL.Clients.Office.Excel.Functions.SPG(U15, "SP_MARKETCAP", "12/31/2021")</f>
        <v>67449.680939519996</v>
      </c>
      <c r="AB15">
        <f t="shared" si="6"/>
        <v>1.5896207614693218E-3</v>
      </c>
      <c r="AC15">
        <f t="shared" si="13"/>
        <v>1.1465934552478218E-2</v>
      </c>
    </row>
    <row r="16" spans="1:29" x14ac:dyDescent="0.3">
      <c r="A16" t="s">
        <v>16</v>
      </c>
      <c r="B16" s="4" cm="1">
        <f t="array" ref="B16">_xll.SNL.Clients.Office.Excel.Functions.SPG(A16, "SP_TOTAL_REV", "CY2023")</f>
        <v>9917000</v>
      </c>
      <c r="C16" s="4">
        <f>_xll.SNL.Clients.Office.Excel.Functions.SPG(A16,"IQ_AVG_DILUT_SHARES_OUT","CY2023")</f>
        <v>662000000</v>
      </c>
      <c r="D16" s="5">
        <f>_xll.SNL.Clients.Office.Excel.Functions.SPG(A16, "IQ_DILUT_EPS_NORM", "CY2023")</f>
        <v>1.99</v>
      </c>
      <c r="E16">
        <f t="shared" si="2"/>
        <v>1317380</v>
      </c>
      <c r="F16">
        <f t="shared" si="3"/>
        <v>0.13284057678733488</v>
      </c>
      <c r="G16" s="5">
        <f>_xll.SNL.Clients.Office.Excel.Functions.SPG(A16, "SP_MARKETCAP", "12/30/2023")</f>
        <v>87255.682112940005</v>
      </c>
      <c r="H16">
        <f t="shared" si="7"/>
        <v>2.0766853243088211E-3</v>
      </c>
      <c r="I16">
        <f t="shared" si="8"/>
        <v>4.1326037953745539E-3</v>
      </c>
      <c r="K16" t="s">
        <v>16</v>
      </c>
      <c r="L16" s="4" cm="1">
        <f t="array" ref="L16">_xll.SNL.Clients.Office.Excel.Functions.SPG(K16, "SP_TOTAL_REV", "CY2023")</f>
        <v>9917000</v>
      </c>
      <c r="M16" s="4">
        <f>_xll.SNL.Clients.Office.Excel.Functions.SPG(K16,"IQ_AVG_DILUT_SHARES_OUT","CY2023")</f>
        <v>662000000</v>
      </c>
      <c r="N16" s="5">
        <f>_xll.SNL.Clients.Office.Excel.Functions.SPG(K16, "IQ_DILUT_EPS_NORM", "CY2023")</f>
        <v>1.99</v>
      </c>
      <c r="O16">
        <f t="shared" si="4"/>
        <v>1317380</v>
      </c>
      <c r="P16">
        <f t="shared" si="5"/>
        <v>0.13284057678733488</v>
      </c>
      <c r="Q16" s="5">
        <f>_xll.SNL.Clients.Office.Excel.Functions.SPG(K16, "SP_MARKETCAP", "12/31/2022")</f>
        <v>54136.6491465</v>
      </c>
      <c r="R16">
        <f t="shared" si="9"/>
        <v>1.6066783149543938E-3</v>
      </c>
      <c r="S16">
        <f t="shared" si="10"/>
        <v>3.1972898467592437E-3</v>
      </c>
      <c r="U16" t="s">
        <v>16</v>
      </c>
      <c r="V16" s="4" cm="1">
        <f t="array" ref="V16">_xll.SNL.Clients.Office.Excel.Functions.SPG(U16, "SP_TOTAL_REV", "CY2021")</f>
        <v>5992000</v>
      </c>
      <c r="W16" s="4">
        <f>_xll.SNL.Clients.Office.Excel.Functions.SPG(U16,"IQ_AVG_DILUT_SHARES_OUT","CY2021")</f>
        <v>616000000</v>
      </c>
      <c r="X16" s="5">
        <f>_xll.SNL.Clients.Office.Excel.Functions.SPG(U16, "IQ_DILUT_EPS_NORM", "CY2021")</f>
        <v>-0.17199999999999999</v>
      </c>
      <c r="Y16">
        <f t="shared" si="11"/>
        <v>-105951.99999999999</v>
      </c>
      <c r="Z16">
        <f t="shared" si="12"/>
        <v>-1.7682242990654202E-2</v>
      </c>
      <c r="AA16" s="5">
        <f>_xll.SNL.Clients.Office.Excel.Functions.SPG(U16, "SP_MARKETCAP", "12/31/2021")</f>
        <v>104254.19445623001</v>
      </c>
      <c r="AB16">
        <f t="shared" si="6"/>
        <v>2.4570113552721345E-3</v>
      </c>
      <c r="AC16">
        <f t="shared" si="13"/>
        <v>-4.2260595310680707E-4</v>
      </c>
    </row>
    <row r="17" spans="1:29" x14ac:dyDescent="0.3">
      <c r="A17" t="s">
        <v>17</v>
      </c>
      <c r="B17" s="4" cm="1">
        <f t="array" ref="B17">_xll.SNL.Clients.Office.Excel.Functions.SPG(A17, "SP_TOTAL_REV", "CY2023")</f>
        <v>3811920</v>
      </c>
      <c r="C17" s="4">
        <f>_xll.SNL.Clients.Office.Excel.Functions.SPG(A17,"IQ_AVG_DILUT_SHARES_OUT","CY2023")</f>
        <v>155397000</v>
      </c>
      <c r="D17" s="5">
        <f>_xll.SNL.Clients.Office.Excel.Functions.SPG(A17, "IQ_DILUT_EPS_NORM", "CY2023")</f>
        <v>2.911</v>
      </c>
      <c r="E17">
        <f t="shared" si="2"/>
        <v>452360.66700000002</v>
      </c>
      <c r="F17">
        <f t="shared" si="3"/>
        <v>0.11867003163759995</v>
      </c>
      <c r="G17" s="5">
        <f>_xll.SNL.Clients.Office.Excel.Functions.SPG(A17, "SP_MARKETCAP", "12/30/2023")</f>
        <v>17850.916072799999</v>
      </c>
      <c r="H17">
        <f t="shared" si="7"/>
        <v>4.2485182094925857E-4</v>
      </c>
      <c r="I17">
        <f t="shared" si="8"/>
        <v>1.2367436507832916E-3</v>
      </c>
      <c r="K17" t="s">
        <v>17</v>
      </c>
      <c r="L17" s="4" cm="1">
        <f t="array" ref="L17">_xll.SNL.Clients.Office.Excel.Functions.SPG(K17, "SP_TOTAL_REV", "CY2023")</f>
        <v>3811920</v>
      </c>
      <c r="M17" s="4">
        <f>_xll.SNL.Clients.Office.Excel.Functions.SPG(K17,"IQ_AVG_DILUT_SHARES_OUT","CY2023")</f>
        <v>155397000</v>
      </c>
      <c r="N17" s="5">
        <f>_xll.SNL.Clients.Office.Excel.Functions.SPG(K17, "IQ_DILUT_EPS_NORM", "CY2023")</f>
        <v>2.911</v>
      </c>
      <c r="O17">
        <f t="shared" si="4"/>
        <v>452360.66700000002</v>
      </c>
      <c r="P17">
        <f t="shared" si="5"/>
        <v>0.11867003163759995</v>
      </c>
      <c r="Q17" s="5">
        <f>_xll.SNL.Clients.Office.Excel.Functions.SPG(K17, "SP_MARKETCAP", "12/31/2022")</f>
        <v>13255.525215600001</v>
      </c>
      <c r="R17">
        <f t="shared" si="9"/>
        <v>3.9340013194393632E-4</v>
      </c>
      <c r="S17">
        <f t="shared" si="10"/>
        <v>1.1451877840887986E-3</v>
      </c>
      <c r="U17" t="s">
        <v>17</v>
      </c>
      <c r="V17" s="4" cm="1">
        <f t="array" ref="V17">_xll.SNL.Clients.Office.Excel.Functions.SPG(U17, "SP_TOTAL_REV", "CY2021")</f>
        <v>3461223</v>
      </c>
      <c r="W17" s="4">
        <f>_xll.SNL.Clients.Office.Excel.Functions.SPG(U17,"IQ_AVG_DILUT_SHARES_OUT","CY2021")</f>
        <v>165804000</v>
      </c>
      <c r="X17" s="5">
        <f>_xll.SNL.Clients.Office.Excel.Functions.SPG(U17, "IQ_DILUT_EPS_NORM", "CY2021")</f>
        <v>2.7690000000000001</v>
      </c>
      <c r="Y17">
        <f t="shared" si="11"/>
        <v>459111.27600000001</v>
      </c>
      <c r="Z17">
        <f t="shared" si="12"/>
        <v>0.13264423471125669</v>
      </c>
      <c r="AA17" s="5">
        <f>_xll.SNL.Clients.Office.Excel.Functions.SPG(U17, "SP_MARKETCAP", "12/31/2021")</f>
        <v>19016.649368639999</v>
      </c>
      <c r="AB17">
        <f t="shared" si="6"/>
        <v>4.481749984418494E-4</v>
      </c>
      <c r="AC17">
        <f t="shared" si="13"/>
        <v>1.2409965706854811E-3</v>
      </c>
    </row>
    <row r="18" spans="1:29" x14ac:dyDescent="0.3">
      <c r="A18" t="s">
        <v>18</v>
      </c>
      <c r="B18" s="4" cm="1">
        <f t="array" ref="B18">_xll.SNL.Clients.Office.Excel.Functions.SPG(A18, "SP_TOTAL_REV", "CY2023")</f>
        <v>9617203</v>
      </c>
      <c r="C18" s="4">
        <f>_xll.SNL.Clients.Office.Excel.Functions.SPG(A18,"IQ_AVG_DILUT_SHARES_OUT","CY2023")</f>
        <v>117766000</v>
      </c>
      <c r="D18" s="5">
        <f>_xll.SNL.Clients.Office.Excel.Functions.SPG(A18, "IQ_DILUT_EPS_NORM", "CY2023")</f>
        <v>11.619</v>
      </c>
      <c r="E18">
        <f t="shared" si="2"/>
        <v>1368323.1540000001</v>
      </c>
      <c r="F18">
        <f t="shared" si="3"/>
        <v>0.14227870140621968</v>
      </c>
      <c r="G18" s="5">
        <f>_xll.SNL.Clients.Office.Excel.Functions.SPG(A18, "SP_MARKETCAP", "12/30/2023")</f>
        <v>16955.200738560001</v>
      </c>
      <c r="H18">
        <f t="shared" si="7"/>
        <v>4.0353379507024572E-4</v>
      </c>
      <c r="I18">
        <f t="shared" si="8"/>
        <v>4.6886591649211848E-3</v>
      </c>
      <c r="K18" t="s">
        <v>18</v>
      </c>
      <c r="L18" s="4" cm="1">
        <f t="array" ref="L18">_xll.SNL.Clients.Office.Excel.Functions.SPG(K18, "SP_TOTAL_REV", "CY2023")</f>
        <v>9617203</v>
      </c>
      <c r="M18" s="4">
        <f>_xll.SNL.Clients.Office.Excel.Functions.SPG(K18,"IQ_AVG_DILUT_SHARES_OUT","CY2023")</f>
        <v>117766000</v>
      </c>
      <c r="N18" s="5">
        <f>_xll.SNL.Clients.Office.Excel.Functions.SPG(K18, "IQ_DILUT_EPS_NORM", "CY2023")</f>
        <v>11.619</v>
      </c>
      <c r="O18">
        <f t="shared" si="4"/>
        <v>1368323.1540000001</v>
      </c>
      <c r="P18">
        <f t="shared" si="5"/>
        <v>0.14227870140621968</v>
      </c>
      <c r="Q18" s="5">
        <f>_xll.SNL.Clients.Office.Excel.Functions.SPG(K18, "SP_MARKETCAP", "12/31/2022")</f>
        <v>25405.75490684</v>
      </c>
      <c r="R18">
        <f t="shared" si="9"/>
        <v>7.5399708196577592E-4</v>
      </c>
      <c r="S18">
        <f t="shared" si="10"/>
        <v>8.7606920953603503E-3</v>
      </c>
      <c r="U18" t="s">
        <v>18</v>
      </c>
      <c r="V18" s="4" cm="1">
        <f t="array" ref="V18">_xll.SNL.Clients.Office.Excel.Functions.SPG(U18, "SP_TOTAL_REV", "CY2021")</f>
        <v>3327957</v>
      </c>
      <c r="W18" s="4">
        <f>_xll.SNL.Clients.Office.Excel.Functions.SPG(U18,"IQ_AVG_DILUT_SHARES_OUT","CY2021")</f>
        <v>116536000</v>
      </c>
      <c r="X18" s="5">
        <f>_xll.SNL.Clients.Office.Excel.Functions.SPG(U18, "IQ_DILUT_EPS_NORM", "CY2021")</f>
        <v>3.0950000000000002</v>
      </c>
      <c r="Y18">
        <f t="shared" si="11"/>
        <v>360678.92</v>
      </c>
      <c r="Z18">
        <f t="shared" si="12"/>
        <v>0.10837847964982721</v>
      </c>
      <c r="AA18" s="5">
        <f>_xll.SNL.Clients.Office.Excel.Functions.SPG(U18, "SP_MARKETCAP", "12/31/2021")</f>
        <v>27345.553858859999</v>
      </c>
      <c r="AB18">
        <f t="shared" si="6"/>
        <v>6.4446650514030925E-4</v>
      </c>
      <c r="AC18">
        <f t="shared" si="13"/>
        <v>1.9946238334092575E-3</v>
      </c>
    </row>
    <row r="19" spans="1:29" x14ac:dyDescent="0.3">
      <c r="A19" t="s">
        <v>19</v>
      </c>
      <c r="B19" s="4" cm="1">
        <f t="array" ref="B19">_xll.SNL.Clients.Office.Excel.Functions.SPG(A19, "SP_TOTAL_REV", "CY2023")</f>
        <v>2886679</v>
      </c>
      <c r="C19" s="4">
        <f>_xll.SNL.Clients.Office.Excel.Functions.SPG(A19,"IQ_AVG_DILUT_SHARES_OUT","CY2023")</f>
        <v>170909000</v>
      </c>
      <c r="D19" s="5">
        <f>_xll.SNL.Clients.Office.Excel.Functions.SPG(A19, "IQ_DILUT_EPS_NORM", "CY2023")</f>
        <v>1.3779999999999999</v>
      </c>
      <c r="E19">
        <f t="shared" si="2"/>
        <v>235512.60199999998</v>
      </c>
      <c r="F19">
        <f t="shared" si="3"/>
        <v>8.1586003154489981E-2</v>
      </c>
      <c r="G19" s="5">
        <f>_xll.SNL.Clients.Office.Excel.Functions.SPG(A19, "SP_MARKETCAP", "12/30/2023")</f>
        <v>22029.514557120001</v>
      </c>
      <c r="H19">
        <f t="shared" si="7"/>
        <v>5.2430246918709449E-4</v>
      </c>
      <c r="I19">
        <f t="shared" si="8"/>
        <v>7.2248880253981615E-4</v>
      </c>
      <c r="K19" t="s">
        <v>19</v>
      </c>
      <c r="L19" s="4" cm="1">
        <f t="array" ref="L19">_xll.SNL.Clients.Office.Excel.Functions.SPG(K19, "SP_TOTAL_REV", "CY2023")</f>
        <v>2886679</v>
      </c>
      <c r="M19" s="4">
        <f>_xll.SNL.Clients.Office.Excel.Functions.SPG(K19,"IQ_AVG_DILUT_SHARES_OUT","CY2023")</f>
        <v>170909000</v>
      </c>
      <c r="N19" s="5">
        <f>_xll.SNL.Clients.Office.Excel.Functions.SPG(K19, "IQ_DILUT_EPS_NORM", "CY2023")</f>
        <v>1.3779999999999999</v>
      </c>
      <c r="O19">
        <f t="shared" si="4"/>
        <v>235512.60199999998</v>
      </c>
      <c r="P19">
        <f t="shared" si="5"/>
        <v>8.1586003154489981E-2</v>
      </c>
      <c r="Q19" s="5">
        <f>_xll.SNL.Clients.Office.Excel.Functions.SPG(K19, "SP_MARKETCAP", "12/31/2022")</f>
        <v>23902.593494919998</v>
      </c>
      <c r="R19">
        <f t="shared" si="9"/>
        <v>7.0938595655473384E-4</v>
      </c>
      <c r="S19">
        <f t="shared" si="10"/>
        <v>9.7753384813242306E-4</v>
      </c>
      <c r="U19" t="s">
        <v>19</v>
      </c>
      <c r="V19" s="4" cm="1">
        <f t="array" ref="V19">_xll.SNL.Clients.Office.Excel.Functions.SPG(U19, "SP_TOTAL_REV", "CY2021")</f>
        <v>2126405</v>
      </c>
      <c r="W19" s="4">
        <f>_xll.SNL.Clients.Office.Excel.Functions.SPG(U19,"IQ_AVG_DILUT_SHARES_OUT","CY2021")</f>
        <v>147460000</v>
      </c>
      <c r="X19" s="5">
        <f>_xll.SNL.Clients.Office.Excel.Functions.SPG(U19, "IQ_DILUT_EPS_NORM", "CY2021")</f>
        <v>2.1819999999999999</v>
      </c>
      <c r="Y19">
        <f t="shared" si="11"/>
        <v>321757.71999999997</v>
      </c>
      <c r="Z19">
        <f t="shared" si="12"/>
        <v>0.1513153514970102</v>
      </c>
      <c r="AA19" s="5">
        <f>_xll.SNL.Clients.Office.Excel.Functions.SPG(U19, "SP_MARKETCAP", "12/31/2021")</f>
        <v>34550.850807119998</v>
      </c>
      <c r="AB19">
        <f t="shared" si="6"/>
        <v>8.1427738433150669E-4</v>
      </c>
      <c r="AC19">
        <f t="shared" si="13"/>
        <v>1.7767532526113475E-3</v>
      </c>
    </row>
    <row r="20" spans="1:29" x14ac:dyDescent="0.3">
      <c r="A20" t="s">
        <v>20</v>
      </c>
      <c r="B20" s="4" cm="1">
        <f t="array" ref="B20">_xll.SNL.Clients.Office.Excel.Functions.SPG(A20, "SP_TOTAL_REV", "CY2023")</f>
        <v>3862260</v>
      </c>
      <c r="C20" s="4">
        <f>_xll.SNL.Clients.Office.Excel.Functions.SPG(A20,"IQ_AVG_DILUT_SHARES_OUT","CY2023")</f>
        <v>76568000</v>
      </c>
      <c r="D20" s="5">
        <f>_xll.SNL.Clients.Office.Excel.Functions.SPG(A20, "IQ_DILUT_EPS_NORM", "CY2023")</f>
        <v>5.343</v>
      </c>
      <c r="E20">
        <f t="shared" si="2"/>
        <v>409102.82400000002</v>
      </c>
      <c r="F20">
        <f t="shared" si="3"/>
        <v>0.10592317037175127</v>
      </c>
      <c r="G20" s="5">
        <f>_xll.SNL.Clients.Office.Excel.Functions.SPG(A20, "SP_MARKETCAP", "12/30/2023")</f>
        <v>20985.417236000001</v>
      </c>
      <c r="H20">
        <f t="shared" si="7"/>
        <v>4.9945295186725337E-4</v>
      </c>
      <c r="I20">
        <f t="shared" si="8"/>
        <v>2.6685771218267346E-3</v>
      </c>
      <c r="K20" t="s">
        <v>20</v>
      </c>
      <c r="L20" s="4" cm="1">
        <f t="array" ref="L20">_xll.SNL.Clients.Office.Excel.Functions.SPG(K20, "SP_TOTAL_REV", "CY2023")</f>
        <v>3862260</v>
      </c>
      <c r="M20" s="4">
        <f>_xll.SNL.Clients.Office.Excel.Functions.SPG(K20,"IQ_AVG_DILUT_SHARES_OUT","CY2023")</f>
        <v>76568000</v>
      </c>
      <c r="N20" s="5">
        <f>_xll.SNL.Clients.Office.Excel.Functions.SPG(K20, "IQ_DILUT_EPS_NORM", "CY2023")</f>
        <v>5.343</v>
      </c>
      <c r="O20">
        <f t="shared" si="4"/>
        <v>409102.82400000002</v>
      </c>
      <c r="P20">
        <f t="shared" si="5"/>
        <v>0.10592317037175127</v>
      </c>
      <c r="Q20" s="5">
        <f>_xll.SNL.Clients.Office.Excel.Functions.SPG(K20, "SP_MARKETCAP", "12/31/2022")</f>
        <v>16473.894825899999</v>
      </c>
      <c r="R20">
        <f t="shared" si="9"/>
        <v>4.8891554975977159E-4</v>
      </c>
      <c r="S20">
        <f t="shared" si="10"/>
        <v>2.6122757823664597E-3</v>
      </c>
      <c r="U20" t="s">
        <v>20</v>
      </c>
      <c r="V20" s="4" cm="1">
        <f t="array" ref="V20">_xll.SNL.Clients.Office.Excel.Functions.SPG(U20, "SP_TOTAL_REV", "CY2021")</f>
        <v>3952584</v>
      </c>
      <c r="W20" s="4">
        <f>_xll.SNL.Clients.Office.Excel.Functions.SPG(U20,"IQ_AVG_DILUT_SHARES_OUT","CY2021")</f>
        <v>79670000</v>
      </c>
      <c r="X20" s="5">
        <f>_xll.SNL.Clients.Office.Excel.Functions.SPG(U20, "IQ_DILUT_EPS_NORM", "CY2021")</f>
        <v>7.6020000000000003</v>
      </c>
      <c r="Y20">
        <f t="shared" si="11"/>
        <v>605651.34</v>
      </c>
      <c r="Z20">
        <f t="shared" si="12"/>
        <v>0.15322921410398868</v>
      </c>
      <c r="AA20" s="5">
        <f>_xll.SNL.Clients.Office.Excel.Functions.SPG(U20, "SP_MARKETCAP", "12/31/2021")</f>
        <v>51820.659885419998</v>
      </c>
      <c r="AB20">
        <f t="shared" si="6"/>
        <v>1.2212837137178946E-3</v>
      </c>
      <c r="AC20">
        <f t="shared" si="13"/>
        <v>9.2841987916834345E-3</v>
      </c>
    </row>
    <row r="21" spans="1:29" x14ac:dyDescent="0.3">
      <c r="A21" t="s">
        <v>21</v>
      </c>
      <c r="B21" s="4" cm="1">
        <f t="array" ref="B21">_xll.SNL.Clients.Office.Excel.Functions.SPG(A21, "SP_TOTAL_REV", "CY2023")</f>
        <v>3650800</v>
      </c>
      <c r="C21" s="4">
        <f>_xll.SNL.Clients.Office.Excel.Functions.SPG(A21,"IQ_AVG_DILUT_SHARES_OUT","CY2023")</f>
        <v>88300000</v>
      </c>
      <c r="D21" s="5">
        <f>_xll.SNL.Clients.Office.Excel.Functions.SPG(A21, "IQ_DILUT_EPS_NORM", "CY2023")</f>
        <v>4.5679999999999996</v>
      </c>
      <c r="E21">
        <f t="shared" si="2"/>
        <v>403354.39999999997</v>
      </c>
      <c r="F21">
        <f t="shared" si="3"/>
        <v>0.11048383915854058</v>
      </c>
      <c r="G21" s="5">
        <f>_xll.SNL.Clients.Office.Excel.Functions.SPG(A21, "SP_MARKETCAP", "12/30/2023")</f>
        <v>11121.80673654</v>
      </c>
      <c r="H21">
        <f t="shared" si="7"/>
        <v>2.6469901180391317E-4</v>
      </c>
      <c r="I21">
        <f t="shared" si="8"/>
        <v>1.2091450859202752E-3</v>
      </c>
      <c r="K21" t="s">
        <v>21</v>
      </c>
      <c r="L21" s="4" cm="1">
        <f t="array" ref="L21">_xll.SNL.Clients.Office.Excel.Functions.SPG(K21, "SP_TOTAL_REV", "CY2023")</f>
        <v>3650800</v>
      </c>
      <c r="M21" s="4">
        <f>_xll.SNL.Clients.Office.Excel.Functions.SPG(K21,"IQ_AVG_DILUT_SHARES_OUT","CY2023")</f>
        <v>88300000</v>
      </c>
      <c r="N21" s="5">
        <f>_xll.SNL.Clients.Office.Excel.Functions.SPG(K21, "IQ_DILUT_EPS_NORM", "CY2023")</f>
        <v>4.5679999999999996</v>
      </c>
      <c r="O21">
        <f t="shared" si="4"/>
        <v>403354.39999999997</v>
      </c>
      <c r="P21">
        <f t="shared" si="5"/>
        <v>0.11048383915854058</v>
      </c>
      <c r="Q21" s="5">
        <f>_xll.SNL.Clients.Office.Excel.Functions.SPG(K21, "SP_MARKETCAP", "12/31/2022")</f>
        <v>9246.5459637200001</v>
      </c>
      <c r="R21">
        <f t="shared" si="9"/>
        <v>2.7442084285518576E-4</v>
      </c>
      <c r="S21">
        <f t="shared" si="10"/>
        <v>1.2535544101624884E-3</v>
      </c>
      <c r="U21" t="s">
        <v>21</v>
      </c>
      <c r="V21" s="4" cm="1">
        <f t="array" ref="V21">_xll.SNL.Clients.Office.Excel.Functions.SPG(U21, "SP_TOTAL_REV", "CY2021")</f>
        <v>2867400</v>
      </c>
      <c r="W21" s="4">
        <f>_xll.SNL.Clients.Office.Excel.Functions.SPG(U21,"IQ_AVG_DILUT_SHARES_OUT","CY2021")</f>
        <v>90500000</v>
      </c>
      <c r="X21" s="5">
        <f>_xll.SNL.Clients.Office.Excel.Functions.SPG(U21, "IQ_DILUT_EPS_NORM", "CY2021")</f>
        <v>3.6459999999999999</v>
      </c>
      <c r="Y21">
        <f t="shared" si="11"/>
        <v>329963</v>
      </c>
      <c r="Z21">
        <f t="shared" si="12"/>
        <v>0.11507393457487619</v>
      </c>
      <c r="AA21" s="5">
        <f>_xll.SNL.Clients.Office.Excel.Functions.SPG(U21, "SP_MARKETCAP", "12/31/2021")</f>
        <v>11879.319963280001</v>
      </c>
      <c r="AB21">
        <f t="shared" si="6"/>
        <v>2.7996594472699154E-4</v>
      </c>
      <c r="AC21">
        <f t="shared" si="13"/>
        <v>1.0207558344746111E-3</v>
      </c>
    </row>
    <row r="22" spans="1:29" x14ac:dyDescent="0.3">
      <c r="A22" t="s">
        <v>22</v>
      </c>
      <c r="B22" s="4" cm="1">
        <f t="array" ref="B22">_xll.SNL.Clients.Office.Excel.Functions.SPG(A22, "SP_TOTAL_REV", "CY2023")</f>
        <v>4027000</v>
      </c>
      <c r="C22" s="4">
        <f>_xll.SNL.Clients.Office.Excel.Functions.SPG(A22,"IQ_AVG_DILUT_SHARES_OUT","CY2023")</f>
        <v>253300000</v>
      </c>
      <c r="D22" s="5">
        <f>_xll.SNL.Clients.Office.Excel.Functions.SPG(A22, "IQ_DILUT_EPS_NORM", "CY2023")</f>
        <v>1.744</v>
      </c>
      <c r="E22">
        <f t="shared" si="2"/>
        <v>441755.2</v>
      </c>
      <c r="F22">
        <f t="shared" si="3"/>
        <v>0.1096983362304445</v>
      </c>
      <c r="G22" s="5">
        <f>_xll.SNL.Clients.Office.Excel.Functions.SPG(A22, "SP_MARKETCAP", "12/30/2023")</f>
        <v>13090.687163099999</v>
      </c>
      <c r="H22">
        <f t="shared" si="7"/>
        <v>3.1155836798731616E-4</v>
      </c>
      <c r="I22">
        <f t="shared" si="8"/>
        <v>5.4335779376987942E-4</v>
      </c>
      <c r="K22" t="s">
        <v>22</v>
      </c>
      <c r="L22" s="4" cm="1">
        <f t="array" ref="L22">_xll.SNL.Clients.Office.Excel.Functions.SPG(K22, "SP_TOTAL_REV", "CY2023")</f>
        <v>4027000</v>
      </c>
      <c r="M22" s="4">
        <f>_xll.SNL.Clients.Office.Excel.Functions.SPG(K22,"IQ_AVG_DILUT_SHARES_OUT","CY2023")</f>
        <v>253300000</v>
      </c>
      <c r="N22" s="5">
        <f>_xll.SNL.Clients.Office.Excel.Functions.SPG(K22, "IQ_DILUT_EPS_NORM", "CY2023")</f>
        <v>1.744</v>
      </c>
      <c r="O22">
        <f t="shared" si="4"/>
        <v>441755.2</v>
      </c>
      <c r="P22">
        <f t="shared" si="5"/>
        <v>0.1096983362304445</v>
      </c>
      <c r="Q22" s="5">
        <f>_xll.SNL.Clients.Office.Excel.Functions.SPG(K22, "SP_MARKETCAP", "12/31/2022")</f>
        <v>13858.915234300001</v>
      </c>
      <c r="R22">
        <f t="shared" si="9"/>
        <v>4.1130766175579748E-4</v>
      </c>
      <c r="S22">
        <f t="shared" si="10"/>
        <v>7.1732056210211076E-4</v>
      </c>
      <c r="U22" t="s">
        <v>22</v>
      </c>
      <c r="V22" s="4" cm="1">
        <f t="array" ref="V22">_xll.SNL.Clients.Office.Excel.Functions.SPG(U22, "SP_TOTAL_REV", "CY2021")</f>
        <v>3669000</v>
      </c>
      <c r="W22" s="4">
        <f>_xll.SNL.Clients.Office.Excel.Functions.SPG(U22,"IQ_AVG_DILUT_SHARES_OUT","CY2021")</f>
        <v>250700000</v>
      </c>
      <c r="X22" s="5">
        <f>_xll.SNL.Clients.Office.Excel.Functions.SPG(U22, "IQ_DILUT_EPS_NORM", "CY2021")</f>
        <v>1.458</v>
      </c>
      <c r="Y22">
        <f t="shared" si="11"/>
        <v>365520.6</v>
      </c>
      <c r="Z22">
        <f t="shared" si="12"/>
        <v>9.9624039247751428E-2</v>
      </c>
      <c r="AA22" s="5">
        <f>_xll.SNL.Clients.Office.Excel.Functions.SPG(U22, "SP_MARKETCAP", "12/31/2021")</f>
        <v>15389.677576890001</v>
      </c>
      <c r="AB22">
        <f t="shared" si="6"/>
        <v>3.6269631891185821E-4</v>
      </c>
      <c r="AC22">
        <f t="shared" si="13"/>
        <v>5.2881123297348926E-4</v>
      </c>
    </row>
    <row r="23" spans="1:29" x14ac:dyDescent="0.3">
      <c r="A23" t="s">
        <v>23</v>
      </c>
      <c r="B23" s="4" cm="1">
        <f t="array" ref="B23">_xll.SNL.Clients.Office.Excel.Functions.SPG(A23, "SP_TOTAL_REV", "CY2023")</f>
        <v>307394000</v>
      </c>
      <c r="C23" s="4">
        <f>_xll.SNL.Clients.Office.Excel.Functions.SPG(A23,"IQ_AVG_DILUT_SHARES_OUT","CY2023")</f>
        <v>12722000000</v>
      </c>
      <c r="D23" s="5" t="str">
        <f>_xll.SNL.Clients.Office.Excel.Functions.SPG(A23, "IQ_DILUT_EPS_NORM", "CY2023")</f>
        <v>NA</v>
      </c>
      <c r="E23" t="e">
        <f t="shared" si="2"/>
        <v>#VALUE!</v>
      </c>
      <c r="F23" t="e">
        <f t="shared" si="3"/>
        <v>#VALUE!</v>
      </c>
      <c r="G23" s="5" t="str">
        <f>_xll.SNL.Clients.Office.Excel.Functions.SPG(A23, "SP_MARKETCAP", "12/30/2023")</f>
        <v>NA</v>
      </c>
      <c r="H23" t="e">
        <f t="shared" si="7"/>
        <v>#VALUE!</v>
      </c>
      <c r="I23" t="e">
        <f t="shared" si="8"/>
        <v>#VALUE!</v>
      </c>
      <c r="K23" t="s">
        <v>23</v>
      </c>
      <c r="L23" s="4" cm="1">
        <f t="array" ref="L23">_xll.SNL.Clients.Office.Excel.Functions.SPG(K23, "SP_TOTAL_REV", "CY2023")</f>
        <v>307394000</v>
      </c>
      <c r="M23" s="4">
        <f>_xll.SNL.Clients.Office.Excel.Functions.SPG(K23,"IQ_AVG_DILUT_SHARES_OUT","CY2023")</f>
        <v>12722000000</v>
      </c>
      <c r="N23" s="5" t="str">
        <f>_xll.SNL.Clients.Office.Excel.Functions.SPG(K23, "IQ_DILUT_EPS_NORM", "CY2023")</f>
        <v>NA</v>
      </c>
      <c r="O23" t="e">
        <f t="shared" si="4"/>
        <v>#VALUE!</v>
      </c>
      <c r="P23" t="e">
        <f t="shared" si="5"/>
        <v>#VALUE!</v>
      </c>
      <c r="Q23" s="5" t="str">
        <f>_xll.SNL.Clients.Office.Excel.Functions.SPG(K23, "SP_MARKETCAP", "12/31/2022")</f>
        <v>NA</v>
      </c>
      <c r="R23" t="e">
        <f t="shared" si="9"/>
        <v>#VALUE!</v>
      </c>
      <c r="S23" t="e">
        <f t="shared" si="10"/>
        <v>#VALUE!</v>
      </c>
      <c r="U23" t="s">
        <v>23</v>
      </c>
      <c r="V23" s="4" cm="1">
        <f t="array" ref="V23">_xll.SNL.Clients.Office.Excel.Functions.SPG(U23, "SP_TOTAL_REV", "CY2021")</f>
        <v>257637000</v>
      </c>
      <c r="W23" s="4">
        <f>_xll.SNL.Clients.Office.Excel.Functions.SPG(U23,"IQ_AVG_DILUT_SHARES_OUT","CY2021")</f>
        <v>13553000000</v>
      </c>
      <c r="X23" s="5" t="str">
        <f>_xll.SNL.Clients.Office.Excel.Functions.SPG(U23, "IQ_DILUT_EPS_NORM", "CY2021")</f>
        <v>NA</v>
      </c>
      <c r="Y23" t="e">
        <f t="shared" si="11"/>
        <v>#VALUE!</v>
      </c>
      <c r="Z23" t="e">
        <f t="shared" si="12"/>
        <v>#VALUE!</v>
      </c>
      <c r="AA23" s="5" t="str">
        <f>_xll.SNL.Clients.Office.Excel.Functions.SPG(U23, "SP_MARKETCAP", "12/31/2021")</f>
        <v>NA</v>
      </c>
      <c r="AB23" t="e">
        <f t="shared" si="6"/>
        <v>#VALUE!</v>
      </c>
      <c r="AC23" t="e">
        <f t="shared" si="13"/>
        <v>#VALUE!</v>
      </c>
    </row>
    <row r="24" spans="1:29" x14ac:dyDescent="0.3">
      <c r="A24" t="s">
        <v>24</v>
      </c>
      <c r="B24" s="4" cm="1">
        <f t="array" ref="B24">_xll.SNL.Clients.Office.Excel.Functions.SPG(A24, "SP_TOTAL_REV", "CY2023")</f>
        <v>307394000</v>
      </c>
      <c r="C24" s="4">
        <f>_xll.SNL.Clients.Office.Excel.Functions.SPG(A24,"IQ_AVG_DILUT_SHARES_OUT","CY2023")</f>
        <v>12722000000</v>
      </c>
      <c r="D24" s="5" t="str">
        <f>_xll.SNL.Clients.Office.Excel.Functions.SPG(A24, "IQ_DILUT_EPS_NORM", "CY2023")</f>
        <v>NA</v>
      </c>
      <c r="E24" t="e">
        <f t="shared" si="2"/>
        <v>#VALUE!</v>
      </c>
      <c r="F24" t="e">
        <f t="shared" si="3"/>
        <v>#VALUE!</v>
      </c>
      <c r="G24" s="5">
        <f>_xll.SNL.Clients.Office.Excel.Functions.SPG(A24, "SP_MARKETCAP", "12/30/2023")</f>
        <v>1755459.04</v>
      </c>
      <c r="H24">
        <f t="shared" si="7"/>
        <v>4.1779926963090228E-2</v>
      </c>
      <c r="I24" t="e">
        <f t="shared" si="8"/>
        <v>#VALUE!</v>
      </c>
      <c r="K24" t="s">
        <v>24</v>
      </c>
      <c r="L24" s="4" cm="1">
        <f t="array" ref="L24">_xll.SNL.Clients.Office.Excel.Functions.SPG(K24, "SP_TOTAL_REV", "CY2023")</f>
        <v>307394000</v>
      </c>
      <c r="M24" s="4">
        <f>_xll.SNL.Clients.Office.Excel.Functions.SPG(K24,"IQ_AVG_DILUT_SHARES_OUT","CY2023")</f>
        <v>12722000000</v>
      </c>
      <c r="N24" s="5" t="str">
        <f>_xll.SNL.Clients.Office.Excel.Functions.SPG(K24, "IQ_DILUT_EPS_NORM", "CY2023")</f>
        <v>NA</v>
      </c>
      <c r="O24" t="e">
        <f t="shared" si="4"/>
        <v>#VALUE!</v>
      </c>
      <c r="P24" t="e">
        <f t="shared" si="5"/>
        <v>#VALUE!</v>
      </c>
      <c r="Q24" s="5">
        <f>_xll.SNL.Clients.Office.Excel.Functions.SPG(K24, "SP_MARKETCAP", "12/31/2022")</f>
        <v>1145003.8899999999</v>
      </c>
      <c r="R24">
        <f t="shared" si="9"/>
        <v>3.3981654749689318E-2</v>
      </c>
      <c r="S24" t="e">
        <f t="shared" si="10"/>
        <v>#VALUE!</v>
      </c>
      <c r="U24" t="s">
        <v>24</v>
      </c>
      <c r="V24" s="4" cm="1">
        <f t="array" ref="V24">_xll.SNL.Clients.Office.Excel.Functions.SPG(U24, "SP_TOTAL_REV", "CY2021")</f>
        <v>257637000</v>
      </c>
      <c r="W24" s="4">
        <f>_xll.SNL.Clients.Office.Excel.Functions.SPG(U24,"IQ_AVG_DILUT_SHARES_OUT","CY2021")</f>
        <v>13553000000</v>
      </c>
      <c r="X24" s="5" t="str">
        <f>_xll.SNL.Clients.Office.Excel.Functions.SPG(U24, "IQ_DILUT_EPS_NORM", "CY2021")</f>
        <v>NA</v>
      </c>
      <c r="Y24" t="e">
        <f t="shared" si="11"/>
        <v>#VALUE!</v>
      </c>
      <c r="Z24" t="e">
        <f t="shared" si="12"/>
        <v>#VALUE!</v>
      </c>
      <c r="AA24" s="5">
        <f>_xll.SNL.Clients.Office.Excel.Functions.SPG(U24, "SP_MARKETCAP", "12/31/2021")</f>
        <v>1921854.64584366</v>
      </c>
      <c r="AB24">
        <f t="shared" si="6"/>
        <v>4.5293320932069239E-2</v>
      </c>
      <c r="AC24" t="e">
        <f t="shared" si="13"/>
        <v>#VALUE!</v>
      </c>
    </row>
    <row r="25" spans="1:29" x14ac:dyDescent="0.3">
      <c r="A25" t="s">
        <v>25</v>
      </c>
      <c r="B25" s="4" cm="1">
        <f t="array" ref="B25">_xll.SNL.Clients.Office.Excel.Functions.SPG(A25, "SP_TOTAL_REV", "CY2023")</f>
        <v>20502000</v>
      </c>
      <c r="C25" s="4">
        <f>_xll.SNL.Clients.Office.Excel.Functions.SPG(A25,"IQ_AVG_DILUT_SHARES_OUT","CY2023")</f>
        <v>1777000000</v>
      </c>
      <c r="D25" s="5">
        <f>_xll.SNL.Clients.Office.Excel.Functions.SPG(A25, "IQ_DILUT_EPS_NORM", "CY2023")</f>
        <v>4.0309999999999997</v>
      </c>
      <c r="E25">
        <f t="shared" si="2"/>
        <v>7163086.9999999991</v>
      </c>
      <c r="F25">
        <f t="shared" si="3"/>
        <v>0.34938479172763626</v>
      </c>
      <c r="G25" s="5">
        <f>_xll.SNL.Clients.Office.Excel.Functions.SPG(A25, "SP_MARKETCAP", "12/30/2023")</f>
        <v>71347.206829160001</v>
      </c>
      <c r="H25">
        <f t="shared" si="7"/>
        <v>1.6980635961422357E-3</v>
      </c>
      <c r="I25">
        <f t="shared" si="8"/>
        <v>6.8448943560493513E-3</v>
      </c>
      <c r="K25" t="s">
        <v>25</v>
      </c>
      <c r="L25" s="4" cm="1">
        <f t="array" ref="L25">_xll.SNL.Clients.Office.Excel.Functions.SPG(K25, "SP_TOTAL_REV", "CY2023")</f>
        <v>20502000</v>
      </c>
      <c r="M25" s="4">
        <f>_xll.SNL.Clients.Office.Excel.Functions.SPG(K25,"IQ_AVG_DILUT_SHARES_OUT","CY2023")</f>
        <v>1777000000</v>
      </c>
      <c r="N25" s="5">
        <f>_xll.SNL.Clients.Office.Excel.Functions.SPG(K25, "IQ_DILUT_EPS_NORM", "CY2023")</f>
        <v>4.0309999999999997</v>
      </c>
      <c r="O25">
        <f t="shared" si="4"/>
        <v>7163086.9999999991</v>
      </c>
      <c r="P25">
        <f t="shared" si="5"/>
        <v>0.34938479172763626</v>
      </c>
      <c r="Q25" s="5">
        <f>_xll.SNL.Clients.Office.Excel.Functions.SPG(K25, "SP_MARKETCAP", "12/31/2022")</f>
        <v>81920.210368779997</v>
      </c>
      <c r="R25">
        <f t="shared" si="9"/>
        <v>2.4312444089371619E-3</v>
      </c>
      <c r="S25">
        <f t="shared" si="10"/>
        <v>9.8003462124256983E-3</v>
      </c>
      <c r="U25" t="s">
        <v>25</v>
      </c>
      <c r="V25" s="4" cm="1">
        <f t="array" ref="V25">_xll.SNL.Clients.Office.Excel.Functions.SPG(U25, "SP_TOTAL_REV", "CY2021")</f>
        <v>21111000</v>
      </c>
      <c r="W25" s="4">
        <f>_xll.SNL.Clients.Office.Excel.Functions.SPG(U25,"IQ_AVG_DILUT_SHARES_OUT","CY2021")</f>
        <v>1845000000</v>
      </c>
      <c r="X25" s="5">
        <f>_xll.SNL.Clients.Office.Excel.Functions.SPG(U25, "IQ_DILUT_EPS_NORM", "CY2021")</f>
        <v>1.6220000000000001</v>
      </c>
      <c r="Y25">
        <f t="shared" si="11"/>
        <v>2992590</v>
      </c>
      <c r="Z25">
        <f t="shared" si="12"/>
        <v>0.14175500923689072</v>
      </c>
      <c r="AA25" s="5">
        <f>_xll.SNL.Clients.Office.Excel.Functions.SPG(U25, "SP_MARKETCAP", "12/31/2021")</f>
        <v>87054.900274579995</v>
      </c>
      <c r="AB25">
        <f t="shared" si="6"/>
        <v>2.0516668861369197E-3</v>
      </c>
      <c r="AC25">
        <f t="shared" si="13"/>
        <v>3.3278036893140839E-3</v>
      </c>
    </row>
    <row r="26" spans="1:29" x14ac:dyDescent="0.3">
      <c r="A26" t="s">
        <v>26</v>
      </c>
      <c r="B26" s="4" cm="1">
        <f t="array" ref="B26">_xll.SNL.Clients.Office.Excel.Functions.SPG(A26, "SP_TOTAL_REV", "CY2023")</f>
        <v>574785000</v>
      </c>
      <c r="C26" s="4">
        <f>_xll.SNL.Clients.Office.Excel.Functions.SPG(A26,"IQ_AVG_DILUT_SHARES_OUT","CY2023")</f>
        <v>10492000000</v>
      </c>
      <c r="D26" s="5">
        <f>_xll.SNL.Clients.Office.Excel.Functions.SPG(A26, "IQ_DILUT_EPS_NORM", "CY2023")</f>
        <v>2.1739999999999999</v>
      </c>
      <c r="E26">
        <f t="shared" si="2"/>
        <v>22809608</v>
      </c>
      <c r="F26">
        <f t="shared" si="3"/>
        <v>3.9683721739433006E-2</v>
      </c>
      <c r="G26" s="5">
        <f>_xll.SNL.Clients.Office.Excel.Functions.SPG(A26, "SP_MARKETCAP", "12/30/2023")</f>
        <v>1570152.6072368401</v>
      </c>
      <c r="H26">
        <f t="shared" si="7"/>
        <v>3.7369633672148149E-2</v>
      </c>
      <c r="I26">
        <f t="shared" si="8"/>
        <v>8.1241583603250067E-2</v>
      </c>
      <c r="K26" t="s">
        <v>26</v>
      </c>
      <c r="L26" s="4" cm="1">
        <f t="array" ref="L26">_xll.SNL.Clients.Office.Excel.Functions.SPG(K26, "SP_TOTAL_REV", "CY2023")</f>
        <v>574785000</v>
      </c>
      <c r="M26" s="4">
        <f>_xll.SNL.Clients.Office.Excel.Functions.SPG(K26,"IQ_AVG_DILUT_SHARES_OUT","CY2023")</f>
        <v>10492000000</v>
      </c>
      <c r="N26" s="5">
        <f>_xll.SNL.Clients.Office.Excel.Functions.SPG(K26, "IQ_DILUT_EPS_NORM", "CY2023")</f>
        <v>2.1739999999999999</v>
      </c>
      <c r="O26">
        <f t="shared" si="4"/>
        <v>22809608</v>
      </c>
      <c r="P26">
        <f t="shared" si="5"/>
        <v>3.9683721739433006E-2</v>
      </c>
      <c r="Q26" s="5">
        <f>_xll.SNL.Clients.Office.Excel.Functions.SPG(K26, "SP_MARKETCAP", "12/31/2022")</f>
        <v>856938.95078399999</v>
      </c>
      <c r="R26">
        <f t="shared" si="9"/>
        <v>2.5432405794798565E-2</v>
      </c>
      <c r="S26">
        <f t="shared" si="10"/>
        <v>5.5290050197892078E-2</v>
      </c>
      <c r="U26" t="s">
        <v>26</v>
      </c>
      <c r="V26" s="4" cm="1">
        <f t="array" ref="V26">_xll.SNL.Clients.Office.Excel.Functions.SPG(U26, "SP_TOTAL_REV", "CY2021")</f>
        <v>469822000</v>
      </c>
      <c r="W26" s="4">
        <f>_xll.SNL.Clients.Office.Excel.Functions.SPG(U26,"IQ_AVG_DILUT_SHARES_OUT","CY2021")</f>
        <v>10296000000</v>
      </c>
      <c r="X26" s="5">
        <f>_xll.SNL.Clients.Office.Excel.Functions.SPG(U26, "IQ_DILUT_EPS_NORM", "CY2021")</f>
        <v>1.423</v>
      </c>
      <c r="Y26">
        <f t="shared" si="11"/>
        <v>14651208</v>
      </c>
      <c r="Z26">
        <f t="shared" si="12"/>
        <v>3.1184593314063622E-2</v>
      </c>
      <c r="AA26" s="5">
        <f>_xll.SNL.Clients.Office.Excel.Functions.SPG(U26, "SP_MARKETCAP", "12/31/2021")</f>
        <v>1691002.5952707999</v>
      </c>
      <c r="AB26">
        <f t="shared" si="6"/>
        <v>3.9852713840874361E-2</v>
      </c>
      <c r="AC26">
        <f t="shared" si="13"/>
        <v>5.6710411795564221E-2</v>
      </c>
    </row>
    <row r="27" spans="1:29" x14ac:dyDescent="0.3">
      <c r="A27" t="s">
        <v>27</v>
      </c>
      <c r="B27" s="4" cm="1">
        <f t="array" ref="B27">_xll.SNL.Clients.Office.Excel.Functions.SPG(A27, "SP_TOTAL_REV", "CY2023")</f>
        <v>14034000</v>
      </c>
      <c r="C27" s="4">
        <f>_xll.SNL.Clients.Office.Excel.Functions.SPG(A27,"IQ_AVG_DILUT_SHARES_OUT","CY2023")</f>
        <v>1453000000</v>
      </c>
      <c r="D27" s="5">
        <f>_xll.SNL.Clients.Office.Excel.Functions.SPG(A27, "IQ_DILUT_EPS_NORM", "CY2023")</f>
        <v>0.39400000000000002</v>
      </c>
      <c r="E27">
        <f t="shared" si="2"/>
        <v>572482</v>
      </c>
      <c r="F27">
        <f t="shared" si="3"/>
        <v>4.079250391905373E-2</v>
      </c>
      <c r="G27" s="5">
        <f>_xll.SNL.Clients.Office.Excel.Functions.SPG(A27, "SP_MARKETCAP", "12/30/2023")</f>
        <v>13923.46856368</v>
      </c>
      <c r="H27">
        <f t="shared" si="7"/>
        <v>3.3137856618029276E-4</v>
      </c>
      <c r="I27">
        <f t="shared" si="8"/>
        <v>1.3056315507503535E-4</v>
      </c>
      <c r="K27" t="s">
        <v>27</v>
      </c>
      <c r="L27" s="4" cm="1">
        <f t="array" ref="L27">_xll.SNL.Clients.Office.Excel.Functions.SPG(K27, "SP_TOTAL_REV", "CY2023")</f>
        <v>14034000</v>
      </c>
      <c r="M27" s="4">
        <f>_xll.SNL.Clients.Office.Excel.Functions.SPG(K27,"IQ_AVG_DILUT_SHARES_OUT","CY2023")</f>
        <v>1453000000</v>
      </c>
      <c r="N27" s="5">
        <f>_xll.SNL.Clients.Office.Excel.Functions.SPG(K27, "IQ_DILUT_EPS_NORM", "CY2023")</f>
        <v>0.39400000000000002</v>
      </c>
      <c r="O27">
        <f t="shared" si="4"/>
        <v>572482</v>
      </c>
      <c r="P27">
        <f t="shared" si="5"/>
        <v>4.079250391905373E-2</v>
      </c>
      <c r="Q27" s="5">
        <f>_xll.SNL.Clients.Office.Excel.Functions.SPG(K27, "SP_MARKETCAP", "12/31/2022")</f>
        <v>17427.34985196</v>
      </c>
      <c r="R27">
        <f t="shared" si="9"/>
        <v>5.1721237896524002E-4</v>
      </c>
      <c r="S27">
        <f t="shared" si="10"/>
        <v>2.0378167731230457E-4</v>
      </c>
      <c r="U27" t="s">
        <v>27</v>
      </c>
      <c r="V27" s="4" cm="1">
        <f t="array" ref="V27">_xll.SNL.Clients.Office.Excel.Functions.SPG(U27, "SP_TOTAL_REV", "CY2021")</f>
        <v>13588000</v>
      </c>
      <c r="W27" s="4">
        <f>_xll.SNL.Clients.Office.Excel.Functions.SPG(U27,"IQ_AVG_DILUT_SHARES_OUT","CY2021")</f>
        <v>1536000000</v>
      </c>
      <c r="X27" s="5">
        <f>_xll.SNL.Clients.Office.Excel.Functions.SPG(U27, "IQ_DILUT_EPS_NORM", "CY2021")</f>
        <v>0.52100000000000002</v>
      </c>
      <c r="Y27">
        <f t="shared" si="11"/>
        <v>800256</v>
      </c>
      <c r="Z27">
        <f t="shared" si="12"/>
        <v>5.8894318516337946E-2</v>
      </c>
      <c r="AA27" s="5">
        <f>_xll.SNL.Clients.Office.Excel.Functions.SPG(U27, "SP_MARKETCAP", "12/31/2021")</f>
        <v>18208.499006909999</v>
      </c>
      <c r="AB27">
        <f t="shared" si="6"/>
        <v>4.2912890992814897E-4</v>
      </c>
      <c r="AC27">
        <f t="shared" si="13"/>
        <v>2.2357616207256562E-4</v>
      </c>
    </row>
    <row r="28" spans="1:29" x14ac:dyDescent="0.3">
      <c r="A28" t="s">
        <v>28</v>
      </c>
      <c r="B28" s="4" cm="1">
        <f t="array" ref="B28">_xll.SNL.Clients.Office.Excel.Functions.SPG(A28, "SP_TOTAL_REV", "CY2023")</f>
        <v>7265000</v>
      </c>
      <c r="C28" s="4">
        <f>_xll.SNL.Clients.Office.Excel.Functions.SPG(A28,"IQ_AVG_DILUT_SHARES_OUT","CY2023")</f>
        <v>263400000</v>
      </c>
      <c r="D28" s="5">
        <f>_xll.SNL.Clients.Office.Excel.Functions.SPG(A28, "IQ_DILUT_EPS_NORM", "CY2023")</f>
        <v>3.161</v>
      </c>
      <c r="E28">
        <f t="shared" si="2"/>
        <v>832607.4</v>
      </c>
      <c r="F28">
        <f t="shared" si="3"/>
        <v>0.11460528561596697</v>
      </c>
      <c r="G28" s="5">
        <f>_xll.SNL.Clients.Office.Excel.Functions.SPG(A28, "SP_MARKETCAP", "12/30/2023")</f>
        <v>19021.444772319999</v>
      </c>
      <c r="H28">
        <f t="shared" si="7"/>
        <v>4.5271040520545778E-4</v>
      </c>
      <c r="I28">
        <f t="shared" si="8"/>
        <v>1.4310175908544521E-3</v>
      </c>
      <c r="K28" t="s">
        <v>28</v>
      </c>
      <c r="L28" s="4" cm="1">
        <f t="array" ref="L28">_xll.SNL.Clients.Office.Excel.Functions.SPG(K28, "SP_TOTAL_REV", "CY2023")</f>
        <v>7265000</v>
      </c>
      <c r="M28" s="4">
        <f>_xll.SNL.Clients.Office.Excel.Functions.SPG(K28,"IQ_AVG_DILUT_SHARES_OUT","CY2023")</f>
        <v>263400000</v>
      </c>
      <c r="N28" s="5">
        <f>_xll.SNL.Clients.Office.Excel.Functions.SPG(K28, "IQ_DILUT_EPS_NORM", "CY2023")</f>
        <v>3.161</v>
      </c>
      <c r="O28">
        <f t="shared" si="4"/>
        <v>832607.4</v>
      </c>
      <c r="P28">
        <f t="shared" si="5"/>
        <v>0.11460528561596697</v>
      </c>
      <c r="Q28" s="5">
        <f>_xll.SNL.Clients.Office.Excel.Functions.SPG(K28, "SP_MARKETCAP", "12/31/2022")</f>
        <v>22987.791267479999</v>
      </c>
      <c r="R28">
        <f t="shared" si="9"/>
        <v>6.8223627284744724E-4</v>
      </c>
      <c r="S28">
        <f t="shared" si="10"/>
        <v>2.1565488584707809E-3</v>
      </c>
      <c r="U28" t="s">
        <v>28</v>
      </c>
      <c r="V28" s="4" cm="1">
        <f t="array" ref="V28">_xll.SNL.Clients.Office.Excel.Functions.SPG(U28, "SP_TOTAL_REV", "CY2021")</f>
        <v>6157000</v>
      </c>
      <c r="W28" s="4">
        <f>_xll.SNL.Clients.Office.Excel.Functions.SPG(U28,"IQ_AVG_DILUT_SHARES_OUT","CY2021")</f>
        <v>257600000</v>
      </c>
      <c r="X28" s="5">
        <f>_xll.SNL.Clients.Office.Excel.Functions.SPG(U28, "IQ_DILUT_EPS_NORM", "CY2021")</f>
        <v>2.7759999999999998</v>
      </c>
      <c r="Y28">
        <f t="shared" si="11"/>
        <v>715097.59999999998</v>
      </c>
      <c r="Z28">
        <f t="shared" si="12"/>
        <v>0.1161438362839045</v>
      </c>
      <c r="AA28" s="5">
        <f>_xll.SNL.Clients.Office.Excel.Functions.SPG(U28, "SP_MARKETCAP", "12/31/2021")</f>
        <v>22929.527060910001</v>
      </c>
      <c r="AB28">
        <f t="shared" si="6"/>
        <v>5.4039176700299105E-4</v>
      </c>
      <c r="AC28">
        <f t="shared" si="13"/>
        <v>1.5001275452003031E-3</v>
      </c>
    </row>
    <row r="29" spans="1:29" x14ac:dyDescent="0.3">
      <c r="A29" t="s">
        <v>29</v>
      </c>
      <c r="B29" s="4" cm="1">
        <f t="array" ref="B29">_xll.SNL.Clients.Office.Excel.Functions.SPG(A29, "SP_TOTAL_REV", "CY2023")</f>
        <v>18982300</v>
      </c>
      <c r="C29" s="4">
        <f>_xll.SNL.Clients.Office.Excel.Functions.SPG(A29,"IQ_AVG_DILUT_SHARES_OUT","CY2023")</f>
        <v>520206258</v>
      </c>
      <c r="D29" s="5">
        <f>_xll.SNL.Clients.Office.Excel.Functions.SPG(A29, "IQ_DILUT_EPS_NORM", "CY2023")</f>
        <v>2.9289999999999998</v>
      </c>
      <c r="E29">
        <f t="shared" si="2"/>
        <v>1523684.129682</v>
      </c>
      <c r="F29">
        <f t="shared" si="3"/>
        <v>8.0268678172929514E-2</v>
      </c>
      <c r="G29" s="5">
        <f>_xll.SNL.Clients.Office.Excel.Functions.SPG(A29, "SP_MARKETCAP", "12/30/2023")</f>
        <v>42711.618912259997</v>
      </c>
      <c r="H29">
        <f t="shared" si="7"/>
        <v>1.0165365741769549E-3</v>
      </c>
      <c r="I29">
        <f t="shared" si="8"/>
        <v>2.9774356257643007E-3</v>
      </c>
      <c r="K29" t="s">
        <v>29</v>
      </c>
      <c r="L29" s="4" cm="1">
        <f t="array" ref="L29">_xll.SNL.Clients.Office.Excel.Functions.SPG(K29, "SP_TOTAL_REV", "CY2023")</f>
        <v>18982300</v>
      </c>
      <c r="M29" s="4">
        <f>_xll.SNL.Clients.Office.Excel.Functions.SPG(K29,"IQ_AVG_DILUT_SHARES_OUT","CY2023")</f>
        <v>520206258</v>
      </c>
      <c r="N29" s="5">
        <f>_xll.SNL.Clients.Office.Excel.Functions.SPG(K29, "IQ_DILUT_EPS_NORM", "CY2023")</f>
        <v>2.9289999999999998</v>
      </c>
      <c r="O29">
        <f t="shared" si="4"/>
        <v>1523684.129682</v>
      </c>
      <c r="P29">
        <f t="shared" si="5"/>
        <v>8.0268678172929514E-2</v>
      </c>
      <c r="Q29" s="5">
        <f>_xll.SNL.Clients.Office.Excel.Functions.SPG(K29, "SP_MARKETCAP", "12/31/2022")</f>
        <v>48791.356226099997</v>
      </c>
      <c r="R29">
        <f t="shared" si="9"/>
        <v>1.4480396411967078E-3</v>
      </c>
      <c r="S29">
        <f t="shared" si="10"/>
        <v>4.2413081090651571E-3</v>
      </c>
      <c r="U29" t="s">
        <v>29</v>
      </c>
      <c r="V29" s="4" cm="1">
        <f t="array" ref="V29">_xll.SNL.Clients.Office.Excel.Functions.SPG(U29, "SP_TOTAL_REV", "CY2021")</f>
        <v>16792000</v>
      </c>
      <c r="W29" s="4">
        <f>_xll.SNL.Clients.Office.Excel.Functions.SPG(U29,"IQ_AVG_DILUT_SHARES_OUT","CY2021")</f>
        <v>501784032</v>
      </c>
      <c r="X29" s="5">
        <f>_xll.SNL.Clients.Office.Excel.Functions.SPG(U29, "IQ_DILUT_EPS_NORM", "CY2021")</f>
        <v>3.2570000000000001</v>
      </c>
      <c r="Y29">
        <f t="shared" si="11"/>
        <v>1634310.592224</v>
      </c>
      <c r="Z29">
        <f t="shared" si="12"/>
        <v>9.732673846021915E-2</v>
      </c>
      <c r="AA29" s="5">
        <f>_xll.SNL.Clients.Office.Excel.Functions.SPG(U29, "SP_MARKETCAP", "12/31/2021")</f>
        <v>44809.889702690001</v>
      </c>
      <c r="AB29">
        <f t="shared" si="6"/>
        <v>1.0560573452440308E-3</v>
      </c>
      <c r="AC29">
        <f t="shared" si="13"/>
        <v>3.4395787734598088E-3</v>
      </c>
    </row>
    <row r="30" spans="1:29" x14ac:dyDescent="0.3">
      <c r="A30" t="s">
        <v>30</v>
      </c>
      <c r="B30" s="4" cm="1">
        <f t="array" ref="B30">_xll.SNL.Clients.Office.Excel.Functions.SPG(A30, "SP_TOTAL_REV", "CY2023")</f>
        <v>55592000</v>
      </c>
      <c r="C30" s="4">
        <f>_xll.SNL.Clients.Office.Excel.Functions.SPG(A30,"IQ_AVG_DILUT_SHARES_OUT","CY2023")</f>
        <v>736000000</v>
      </c>
      <c r="D30" s="5">
        <f>_xll.SNL.Clients.Office.Excel.Functions.SPG(A30, "IQ_DILUT_EPS_NORM", "CY2023")</f>
        <v>9.2089999999999996</v>
      </c>
      <c r="E30">
        <f t="shared" si="2"/>
        <v>6777824</v>
      </c>
      <c r="F30">
        <f t="shared" si="3"/>
        <v>0.12192085192113973</v>
      </c>
      <c r="G30" s="5">
        <f>_xll.SNL.Clients.Office.Excel.Functions.SPG(A30, "SP_MARKETCAP", "12/30/2023")</f>
        <v>136523.19639518001</v>
      </c>
      <c r="H30">
        <f t="shared" si="7"/>
        <v>3.2492522150549541E-3</v>
      </c>
      <c r="I30">
        <f t="shared" si="8"/>
        <v>2.9922363648441072E-2</v>
      </c>
      <c r="K30" t="s">
        <v>30</v>
      </c>
      <c r="L30" s="4" cm="1">
        <f t="array" ref="L30">_xll.SNL.Clients.Office.Excel.Functions.SPG(K30, "SP_TOTAL_REV", "CY2023")</f>
        <v>55592000</v>
      </c>
      <c r="M30" s="4">
        <f>_xll.SNL.Clients.Office.Excel.Functions.SPG(K30,"IQ_AVG_DILUT_SHARES_OUT","CY2023")</f>
        <v>736000000</v>
      </c>
      <c r="N30" s="5">
        <f>_xll.SNL.Clients.Office.Excel.Functions.SPG(K30, "IQ_DILUT_EPS_NORM", "CY2023")</f>
        <v>9.2089999999999996</v>
      </c>
      <c r="O30">
        <f t="shared" si="4"/>
        <v>6777824</v>
      </c>
      <c r="P30">
        <f t="shared" si="5"/>
        <v>0.12192085192113973</v>
      </c>
      <c r="Q30" s="5">
        <f>_xll.SNL.Clients.Office.Excel.Functions.SPG(K30, "SP_MARKETCAP", "12/31/2022")</f>
        <v>110403.630834</v>
      </c>
      <c r="R30">
        <f t="shared" si="9"/>
        <v>3.2765810656880325E-3</v>
      </c>
      <c r="S30">
        <f t="shared" si="10"/>
        <v>3.017403503392109E-2</v>
      </c>
      <c r="U30" t="s">
        <v>30</v>
      </c>
      <c r="V30" s="4" cm="1">
        <f t="array" ref="V30">_xll.SNL.Clients.Office.Excel.Functions.SPG(U30, "SP_TOTAL_REV", "CY2021")</f>
        <v>43799000</v>
      </c>
      <c r="W30" s="4">
        <f>_xll.SNL.Clients.Office.Excel.Functions.SPG(U30,"IQ_AVG_DILUT_SHARES_OUT","CY2021")</f>
        <v>790000000</v>
      </c>
      <c r="X30" s="5">
        <f>_xll.SNL.Clients.Office.Excel.Functions.SPG(U30, "IQ_DILUT_EPS_NORM", "CY2021")</f>
        <v>7.8419999999999996</v>
      </c>
      <c r="Y30">
        <f t="shared" si="11"/>
        <v>6195180</v>
      </c>
      <c r="Z30">
        <f t="shared" si="12"/>
        <v>0.14144569510719424</v>
      </c>
      <c r="AA30" s="5">
        <f>_xll.SNL.Clients.Office.Excel.Functions.SPG(U30, "SP_MARKETCAP", "12/31/2021")</f>
        <v>126717.32249960001</v>
      </c>
      <c r="AB30">
        <f t="shared" si="6"/>
        <v>2.9864112606223588E-3</v>
      </c>
      <c r="AC30">
        <f t="shared" si="13"/>
        <v>2.3419437105800536E-2</v>
      </c>
    </row>
    <row r="31" spans="1:29" x14ac:dyDescent="0.3">
      <c r="A31" t="s">
        <v>31</v>
      </c>
      <c r="B31" s="4" cm="1">
        <f t="array" ref="B31">_xll.SNL.Clients.Office.Excel.Functions.SPG(A31, "SP_TOTAL_REV", "CY2023")</f>
        <v>27938000</v>
      </c>
      <c r="C31" s="4">
        <f>_xll.SNL.Clients.Office.Excel.Functions.SPG(A31,"IQ_AVG_DILUT_SHARES_OUT","CY2023")</f>
        <v>725233068</v>
      </c>
      <c r="D31" s="5">
        <f>_xll.SNL.Clients.Office.Excel.Functions.SPG(A31, "IQ_DILUT_EPS_NORM", "CY2023")</f>
        <v>2.8919999999999999</v>
      </c>
      <c r="E31">
        <f t="shared" si="2"/>
        <v>2097374.032656</v>
      </c>
      <c r="F31">
        <f t="shared" si="3"/>
        <v>7.5072447299591949E-2</v>
      </c>
      <c r="G31" s="5">
        <f>_xll.SNL.Clients.Office.Excel.Functions.SPG(A31, "SP_MARKETCAP", "12/30/2023")</f>
        <v>47563.233238250003</v>
      </c>
      <c r="H31">
        <f t="shared" si="7"/>
        <v>1.1320050001408807E-3</v>
      </c>
      <c r="I31">
        <f t="shared" si="8"/>
        <v>3.2737584604074269E-3</v>
      </c>
      <c r="K31" t="s">
        <v>31</v>
      </c>
      <c r="L31" s="4" cm="1">
        <f t="array" ref="L31">_xll.SNL.Clients.Office.Excel.Functions.SPG(K31, "SP_TOTAL_REV", "CY2023")</f>
        <v>27938000</v>
      </c>
      <c r="M31" s="4">
        <f>_xll.SNL.Clients.Office.Excel.Functions.SPG(K31,"IQ_AVG_DILUT_SHARES_OUT","CY2023")</f>
        <v>725233068</v>
      </c>
      <c r="N31" s="5">
        <f>_xll.SNL.Clients.Office.Excel.Functions.SPG(K31, "IQ_DILUT_EPS_NORM", "CY2023")</f>
        <v>2.8919999999999999</v>
      </c>
      <c r="O31">
        <f t="shared" si="4"/>
        <v>2097374.032656</v>
      </c>
      <c r="P31">
        <f t="shared" si="5"/>
        <v>7.5072447299591949E-2</v>
      </c>
      <c r="Q31" s="5">
        <f>_xll.SNL.Clients.Office.Excel.Functions.SPG(K31, "SP_MARKETCAP", "12/31/2022")</f>
        <v>46986.055832400001</v>
      </c>
      <c r="R31">
        <f t="shared" si="9"/>
        <v>1.3944615745770464E-3</v>
      </c>
      <c r="S31">
        <f t="shared" si="10"/>
        <v>4.0327828736768179E-3</v>
      </c>
      <c r="U31" t="s">
        <v>31</v>
      </c>
      <c r="V31" s="4" cm="1">
        <f t="array" ref="V31">_xll.SNL.Clients.Office.Excel.Functions.SPG(U31, "SP_TOTAL_REV", "CY2021")</f>
        <v>52057000</v>
      </c>
      <c r="W31" s="4">
        <f>_xll.SNL.Clients.Office.Excel.Functions.SPG(U31,"IQ_AVG_DILUT_SHARES_OUT","CY2021")</f>
        <v>864884879</v>
      </c>
      <c r="X31" s="5">
        <f>_xll.SNL.Clients.Office.Excel.Functions.SPG(U31, "IQ_DILUT_EPS_NORM", "CY2021")</f>
        <v>7.4180000000000001</v>
      </c>
      <c r="Y31">
        <f t="shared" si="11"/>
        <v>6415716.0324219996</v>
      </c>
      <c r="Z31">
        <f t="shared" si="12"/>
        <v>0.12324406001924812</v>
      </c>
      <c r="AA31" s="5">
        <f>_xll.SNL.Clients.Office.Excel.Functions.SPG(U31, "SP_MARKETCAP", "12/31/2021")</f>
        <v>47210.721990880003</v>
      </c>
      <c r="AB31">
        <f t="shared" si="6"/>
        <v>1.1126389746446916E-3</v>
      </c>
      <c r="AC31">
        <f t="shared" si="13"/>
        <v>8.2535559139143219E-3</v>
      </c>
    </row>
    <row r="32" spans="1:29" x14ac:dyDescent="0.3">
      <c r="A32" t="s">
        <v>32</v>
      </c>
      <c r="B32" s="4" cm="1">
        <f t="array" ref="B32">_xll.SNL.Clients.Office.Excel.Functions.SPG(A32, "SP_TOTAL_REV", "CY2023")</f>
        <v>10130800</v>
      </c>
      <c r="C32" s="4">
        <f>_xll.SNL.Clients.Office.Excel.Functions.SPG(A32,"IQ_AVG_DILUT_SHARES_OUT","CY2023")</f>
        <v>467162000</v>
      </c>
      <c r="D32" s="5">
        <f>_xll.SNL.Clients.Office.Excel.Functions.SPG(A32, "IQ_DILUT_EPS_NORM", "CY2023")</f>
        <v>3.335</v>
      </c>
      <c r="E32">
        <f t="shared" si="2"/>
        <v>1557985.27</v>
      </c>
      <c r="F32">
        <f t="shared" si="3"/>
        <v>0.15378699312986141</v>
      </c>
      <c r="G32" s="5">
        <f>_xll.SNL.Clients.Office.Excel.Functions.SPG(A32, "SP_MARKETCAP", "12/30/2023")</f>
        <v>100635.72567384</v>
      </c>
      <c r="H32">
        <f t="shared" si="7"/>
        <v>2.3951303748623032E-3</v>
      </c>
      <c r="I32">
        <f t="shared" si="8"/>
        <v>7.9877598001657814E-3</v>
      </c>
      <c r="K32" t="s">
        <v>32</v>
      </c>
      <c r="L32" s="4" cm="1">
        <f t="array" ref="L32">_xll.SNL.Clients.Office.Excel.Functions.SPG(K32, "SP_TOTAL_REV", "CY2023")</f>
        <v>10130800</v>
      </c>
      <c r="M32" s="4">
        <f>_xll.SNL.Clients.Office.Excel.Functions.SPG(K32,"IQ_AVG_DILUT_SHARES_OUT","CY2023")</f>
        <v>467162000</v>
      </c>
      <c r="N32" s="5">
        <f>_xll.SNL.Clients.Office.Excel.Functions.SPG(K32, "IQ_DILUT_EPS_NORM", "CY2023")</f>
        <v>3.335</v>
      </c>
      <c r="O32">
        <f t="shared" si="4"/>
        <v>1557985.27</v>
      </c>
      <c r="P32">
        <f t="shared" si="5"/>
        <v>0.15378699312986141</v>
      </c>
      <c r="Q32" s="5">
        <f>_xll.SNL.Clients.Office.Excel.Functions.SPG(K32, "SP_MARKETCAP", "12/31/2022")</f>
        <v>98643.20305158</v>
      </c>
      <c r="R32">
        <f t="shared" si="9"/>
        <v>2.9275527347791732E-3</v>
      </c>
      <c r="S32">
        <f t="shared" si="10"/>
        <v>9.7633883704885422E-3</v>
      </c>
      <c r="U32" t="s">
        <v>32</v>
      </c>
      <c r="V32" s="4" cm="1">
        <f t="array" ref="V32">_xll.SNL.Clients.Office.Excel.Functions.SPG(U32, "SP_TOTAL_REV", "CY2021")</f>
        <v>9397300</v>
      </c>
      <c r="W32" s="4">
        <f>_xll.SNL.Clients.Office.Excel.Functions.SPG(U32,"IQ_AVG_DILUT_SHARES_OUT","CY2021")</f>
        <v>453294000</v>
      </c>
      <c r="X32" s="5">
        <f>_xll.SNL.Clients.Office.Excel.Functions.SPG(U32, "IQ_DILUT_EPS_NORM", "CY2021")</f>
        <v>4.5380000000000003</v>
      </c>
      <c r="Y32">
        <f t="shared" si="11"/>
        <v>2057048.172</v>
      </c>
      <c r="Z32">
        <f t="shared" si="12"/>
        <v>0.21889778681110533</v>
      </c>
      <c r="AA32" s="5">
        <f>_xll.SNL.Clients.Office.Excel.Functions.SPG(U32, "SP_MARKETCAP", "12/31/2021")</f>
        <v>133208.50637250001</v>
      </c>
      <c r="AB32">
        <f t="shared" si="6"/>
        <v>3.1393922756123181E-3</v>
      </c>
      <c r="AC32">
        <f t="shared" si="13"/>
        <v>1.4246562146728699E-2</v>
      </c>
    </row>
    <row r="33" spans="1:29" x14ac:dyDescent="0.3">
      <c r="A33" t="s">
        <v>33</v>
      </c>
      <c r="B33" s="4" cm="1">
        <f t="array" ref="B33">_xll.SNL.Clients.Office.Excel.Functions.SPG(A33, "SP_TOTAL_REV", "CY2023")</f>
        <v>4234000</v>
      </c>
      <c r="C33" s="4">
        <f>_xll.SNL.Clients.Office.Excel.Functions.SPG(A33,"IQ_AVG_DILUT_SHARES_OUT","CY2023")</f>
        <v>193000000</v>
      </c>
      <c r="D33" s="5">
        <f>_xll.SNL.Clients.Office.Excel.Functions.SPG(A33, "IQ_DILUT_EPS_NORM", "CY2023")</f>
        <v>3.8730000000000002</v>
      </c>
      <c r="E33">
        <f t="shared" si="2"/>
        <v>747489</v>
      </c>
      <c r="F33">
        <f t="shared" si="3"/>
        <v>0.17654440245630609</v>
      </c>
      <c r="G33" s="5">
        <f>_xll.SNL.Clients.Office.Excel.Functions.SPG(A33, "SP_MARKETCAP", "12/30/2023")</f>
        <v>25699.112554030002</v>
      </c>
      <c r="H33">
        <f t="shared" si="7"/>
        <v>6.1163890529944149E-4</v>
      </c>
      <c r="I33">
        <f t="shared" si="8"/>
        <v>2.3688774802247368E-3</v>
      </c>
      <c r="K33" t="s">
        <v>33</v>
      </c>
      <c r="L33" s="4" cm="1">
        <f t="array" ref="L33">_xll.SNL.Clients.Office.Excel.Functions.SPG(K33, "SP_TOTAL_REV", "CY2023")</f>
        <v>4234000</v>
      </c>
      <c r="M33" s="4">
        <f>_xll.SNL.Clients.Office.Excel.Functions.SPG(K33,"IQ_AVG_DILUT_SHARES_OUT","CY2023")</f>
        <v>193000000</v>
      </c>
      <c r="N33" s="5">
        <f>_xll.SNL.Clients.Office.Excel.Functions.SPG(K33, "IQ_DILUT_EPS_NORM", "CY2023")</f>
        <v>3.8730000000000002</v>
      </c>
      <c r="O33">
        <f t="shared" si="4"/>
        <v>747489</v>
      </c>
      <c r="P33">
        <f t="shared" si="5"/>
        <v>0.17654440245630609</v>
      </c>
      <c r="Q33" s="5">
        <f>_xll.SNL.Clients.Office.Excel.Functions.SPG(K33, "SP_MARKETCAP", "12/31/2022")</f>
        <v>27714.204555079999</v>
      </c>
      <c r="R33">
        <f t="shared" si="9"/>
        <v>8.2250771292401083E-4</v>
      </c>
      <c r="S33">
        <f t="shared" si="10"/>
        <v>3.185572372154694E-3</v>
      </c>
      <c r="U33" t="s">
        <v>33</v>
      </c>
      <c r="V33" s="4" cm="1">
        <f t="array" ref="V33">_xll.SNL.Clients.Office.Excel.Functions.SPG(U33, "SP_TOTAL_REV", "CY2021")</f>
        <v>3930000</v>
      </c>
      <c r="W33" s="4">
        <f>_xll.SNL.Clients.Office.Excel.Functions.SPG(U33,"IQ_AVG_DILUT_SHARES_OUT","CY2021")</f>
        <v>182000000</v>
      </c>
      <c r="X33" s="5">
        <f>_xll.SNL.Clients.Office.Excel.Functions.SPG(U33, "IQ_DILUT_EPS_NORM", "CY2021")</f>
        <v>3.0670000000000002</v>
      </c>
      <c r="Y33">
        <f t="shared" si="11"/>
        <v>558194</v>
      </c>
      <c r="Z33">
        <f t="shared" si="12"/>
        <v>0.14203409669211195</v>
      </c>
      <c r="AA33" s="5">
        <f>_xll.SNL.Clients.Office.Excel.Functions.SPG(U33, "SP_MARKETCAP", "12/31/2021")</f>
        <v>34285.219087279998</v>
      </c>
      <c r="AB33">
        <f t="shared" si="6"/>
        <v>8.0801710717554672E-4</v>
      </c>
      <c r="AC33">
        <f t="shared" si="13"/>
        <v>2.478188467707402E-3</v>
      </c>
    </row>
    <row r="34" spans="1:29" x14ac:dyDescent="0.3">
      <c r="A34" t="s">
        <v>34</v>
      </c>
      <c r="B34" s="4" cm="1">
        <f t="array" ref="B34">_xll.SNL.Clients.Office.Excel.Functions.SPG(A34, "SP_TOTAL_REV", "CY2023")</f>
        <v>16096000</v>
      </c>
      <c r="C34" s="4">
        <f>_xll.SNL.Clients.Office.Excel.Functions.SPG(A34,"IQ_AVG_DILUT_SHARES_OUT","CY2023")</f>
        <v>107800000</v>
      </c>
      <c r="D34" s="5">
        <f>_xll.SNL.Clients.Office.Excel.Functions.SPG(A34, "IQ_DILUT_EPS_NORM", "CY2023")</f>
        <v>19.109000000000002</v>
      </c>
      <c r="E34">
        <f t="shared" si="2"/>
        <v>2059950.2000000002</v>
      </c>
      <c r="F34">
        <f t="shared" si="3"/>
        <v>0.12797901341948312</v>
      </c>
      <c r="G34" s="5">
        <f>_xll.SNL.Clients.Office.Excel.Functions.SPG(A34, "SP_MARKETCAP", "12/30/2023")</f>
        <v>38437.349607360004</v>
      </c>
      <c r="H34">
        <f t="shared" si="7"/>
        <v>9.1480896031061231E-4</v>
      </c>
      <c r="I34">
        <f t="shared" si="8"/>
        <v>1.7481084422575493E-2</v>
      </c>
      <c r="K34" t="s">
        <v>34</v>
      </c>
      <c r="L34" s="4" cm="1">
        <f t="array" ref="L34">_xll.SNL.Clients.Office.Excel.Functions.SPG(K34, "SP_TOTAL_REV", "CY2023")</f>
        <v>16096000</v>
      </c>
      <c r="M34" s="4">
        <f>_xll.SNL.Clients.Office.Excel.Functions.SPG(K34,"IQ_AVG_DILUT_SHARES_OUT","CY2023")</f>
        <v>107800000</v>
      </c>
      <c r="N34" s="5">
        <f>_xll.SNL.Clients.Office.Excel.Functions.SPG(K34, "IQ_DILUT_EPS_NORM", "CY2023")</f>
        <v>19.109000000000002</v>
      </c>
      <c r="O34">
        <f t="shared" si="4"/>
        <v>2059950.2000000002</v>
      </c>
      <c r="P34">
        <f t="shared" si="5"/>
        <v>0.12797901341948312</v>
      </c>
      <c r="Q34" s="5">
        <f>_xll.SNL.Clients.Office.Excel.Functions.SPG(K34, "SP_MARKETCAP", "12/31/2022")</f>
        <v>33135.123252630001</v>
      </c>
      <c r="R34">
        <f t="shared" si="9"/>
        <v>9.8339082364102301E-4</v>
      </c>
      <c r="S34">
        <f t="shared" si="10"/>
        <v>1.8791615248956312E-2</v>
      </c>
      <c r="U34" t="s">
        <v>34</v>
      </c>
      <c r="V34" s="4" cm="1">
        <f t="array" ref="V34">_xll.SNL.Clients.Office.Excel.Functions.SPG(U34, "SP_TOTAL_REV", "CY2021")</f>
        <v>13389000</v>
      </c>
      <c r="W34" s="4">
        <f>_xll.SNL.Clients.Office.Excel.Functions.SPG(U34,"IQ_AVG_DILUT_SHARES_OUT","CY2021")</f>
        <v>120000000</v>
      </c>
      <c r="X34" s="5">
        <f>_xll.SNL.Clients.Office.Excel.Functions.SPG(U34, "IQ_DILUT_EPS_NORM", "CY2021")</f>
        <v>21.963999999999999</v>
      </c>
      <c r="Y34">
        <f t="shared" si="11"/>
        <v>2635680</v>
      </c>
      <c r="Z34">
        <f t="shared" si="12"/>
        <v>0.19685413399058929</v>
      </c>
      <c r="AA34" s="5">
        <f>_xll.SNL.Clients.Office.Excel.Functions.SPG(U34, "SP_MARKETCAP", "12/31/2021")</f>
        <v>33752.682196219997</v>
      </c>
      <c r="AB34">
        <f t="shared" si="6"/>
        <v>7.9546654079056466E-4</v>
      </c>
      <c r="AC34">
        <f t="shared" si="13"/>
        <v>1.7471627101923962E-2</v>
      </c>
    </row>
    <row r="35" spans="1:29" x14ac:dyDescent="0.3">
      <c r="A35" t="s">
        <v>35</v>
      </c>
      <c r="B35" s="4" cm="1">
        <f t="array" ref="B35">_xll.SNL.Clients.Office.Excel.Functions.SPG(A35, "SP_TOTAL_REV", "CY2023")</f>
        <v>6596950</v>
      </c>
      <c r="C35" s="4">
        <f>_xll.SNL.Clients.Office.Excel.Functions.SPG(A35,"IQ_AVG_DILUT_SHARES_OUT","CY2023")</f>
        <v>231509000</v>
      </c>
      <c r="D35" s="5">
        <f>_xll.SNL.Clients.Office.Excel.Functions.SPG(A35, "IQ_DILUT_EPS_NORM", "CY2023")</f>
        <v>4.3369999999999997</v>
      </c>
      <c r="E35">
        <f t="shared" si="2"/>
        <v>1004054.5330000001</v>
      </c>
      <c r="F35">
        <f t="shared" si="3"/>
        <v>0.15219980945740078</v>
      </c>
      <c r="G35" s="5">
        <f>_xll.SNL.Clients.Office.Excel.Functions.SPG(A35, "SP_MARKETCAP", "12/30/2023")</f>
        <v>38056.390552730001</v>
      </c>
      <c r="H35">
        <f t="shared" si="7"/>
        <v>9.0574213441738647E-4</v>
      </c>
      <c r="I35">
        <f t="shared" si="8"/>
        <v>3.9282036369682046E-3</v>
      </c>
      <c r="K35" t="s">
        <v>35</v>
      </c>
      <c r="L35" s="4" cm="1">
        <f t="array" ref="L35">_xll.SNL.Clients.Office.Excel.Functions.SPG(K35, "SP_TOTAL_REV", "CY2023")</f>
        <v>6596950</v>
      </c>
      <c r="M35" s="4">
        <f>_xll.SNL.Clients.Office.Excel.Functions.SPG(K35,"IQ_AVG_DILUT_SHARES_OUT","CY2023")</f>
        <v>231509000</v>
      </c>
      <c r="N35" s="5">
        <f>_xll.SNL.Clients.Office.Excel.Functions.SPG(K35, "IQ_DILUT_EPS_NORM", "CY2023")</f>
        <v>4.3369999999999997</v>
      </c>
      <c r="O35">
        <f t="shared" si="4"/>
        <v>1004054.5330000001</v>
      </c>
      <c r="P35">
        <f t="shared" si="5"/>
        <v>0.15219980945740078</v>
      </c>
      <c r="Q35" s="5">
        <f>_xll.SNL.Clients.Office.Excel.Functions.SPG(K35, "SP_MARKETCAP", "12/31/2022")</f>
        <v>32087.312348840002</v>
      </c>
      <c r="R35">
        <f t="shared" si="9"/>
        <v>9.5229368180026327E-4</v>
      </c>
      <c r="S35">
        <f t="shared" si="10"/>
        <v>4.1300976979677419E-3</v>
      </c>
      <c r="U35" t="s">
        <v>35</v>
      </c>
      <c r="V35" s="4" cm="1">
        <f t="array" ref="V35">_xll.SNL.Clients.Office.Excel.Functions.SPG(U35, "SP_TOTAL_REV", "CY2021")</f>
        <v>5546514</v>
      </c>
      <c r="W35" s="4">
        <f>_xll.SNL.Clients.Office.Excel.Functions.SPG(U35,"IQ_AVG_DILUT_SHARES_OUT","CY2021")</f>
        <v>232813000</v>
      </c>
      <c r="X35" s="5">
        <f>_xll.SNL.Clients.Office.Excel.Functions.SPG(U35, "IQ_DILUT_EPS_NORM", "CY2021")</f>
        <v>3.2669999999999999</v>
      </c>
      <c r="Y35">
        <f t="shared" si="11"/>
        <v>760600.071</v>
      </c>
      <c r="Z35">
        <f t="shared" si="12"/>
        <v>0.13713119105081137</v>
      </c>
      <c r="AA35" s="5">
        <f>_xll.SNL.Clients.Office.Excel.Functions.SPG(U35, "SP_MARKETCAP", "12/31/2021")</f>
        <v>34014.052408639996</v>
      </c>
      <c r="AB35">
        <f t="shared" si="6"/>
        <v>8.0162638484475703E-4</v>
      </c>
      <c r="AC35">
        <f t="shared" si="13"/>
        <v>2.6189133992878212E-3</v>
      </c>
    </row>
    <row r="36" spans="1:29" x14ac:dyDescent="0.3">
      <c r="A36" t="s">
        <v>36</v>
      </c>
      <c r="B36" s="4" cm="1">
        <f t="array" ref="B36">_xll.SNL.Clients.Office.Excel.Functions.SPG(A36, "SP_TOTAL_REV", "CY2023")</f>
        <v>28190000</v>
      </c>
      <c r="C36" s="4">
        <f>_xll.SNL.Clients.Office.Excel.Functions.SPG(A36,"IQ_AVG_DILUT_SHARES_OUT","CY2023")</f>
        <v>538000000</v>
      </c>
      <c r="D36" s="5">
        <f>_xll.SNL.Clients.Office.Excel.Functions.SPG(A36, "IQ_DILUT_EPS_NORM", "CY2023")</f>
        <v>7.5030000000000001</v>
      </c>
      <c r="E36">
        <f t="shared" si="2"/>
        <v>4036614</v>
      </c>
      <c r="F36">
        <f t="shared" si="3"/>
        <v>0.14319311812699539</v>
      </c>
      <c r="G36" s="5">
        <f>_xll.SNL.Clients.Office.Excel.Functions.SPG(A36, "SP_MARKETCAP", "12/30/2023")</f>
        <v>154141.97533654</v>
      </c>
      <c r="H36">
        <f t="shared" si="7"/>
        <v>3.6685791720364467E-3</v>
      </c>
      <c r="I36">
        <f t="shared" si="8"/>
        <v>2.7525349527789459E-2</v>
      </c>
      <c r="K36" t="s">
        <v>36</v>
      </c>
      <c r="L36" s="4" cm="1">
        <f t="array" ref="L36">_xll.SNL.Clients.Office.Excel.Functions.SPG(K36, "SP_TOTAL_REV", "CY2023")</f>
        <v>28190000</v>
      </c>
      <c r="M36" s="4">
        <f>_xll.SNL.Clients.Office.Excel.Functions.SPG(K36,"IQ_AVG_DILUT_SHARES_OUT","CY2023")</f>
        <v>538000000</v>
      </c>
      <c r="N36" s="5">
        <f>_xll.SNL.Clients.Office.Excel.Functions.SPG(K36, "IQ_DILUT_EPS_NORM", "CY2023")</f>
        <v>7.5030000000000001</v>
      </c>
      <c r="O36">
        <f t="shared" si="4"/>
        <v>4036614</v>
      </c>
      <c r="P36">
        <f t="shared" si="5"/>
        <v>0.14319311812699539</v>
      </c>
      <c r="Q36" s="5">
        <f>_xll.SNL.Clients.Office.Excel.Functions.SPG(K36, "SP_MARKETCAP", "12/31/2022")</f>
        <v>140139.24266384001</v>
      </c>
      <c r="R36">
        <f t="shared" si="9"/>
        <v>4.1590805085260831E-3</v>
      </c>
      <c r="S36">
        <f t="shared" si="10"/>
        <v>3.1205581055471204E-2</v>
      </c>
      <c r="U36" t="s">
        <v>36</v>
      </c>
      <c r="V36" s="4" cm="1">
        <f t="array" ref="V36">_xll.SNL.Clients.Office.Excel.Functions.SPG(U36, "SP_TOTAL_REV", "CY2021")</f>
        <v>25979000</v>
      </c>
      <c r="W36" s="4">
        <f>_xll.SNL.Clients.Office.Excel.Functions.SPG(U36,"IQ_AVG_DILUT_SHARES_OUT","CY2021")</f>
        <v>573000000</v>
      </c>
      <c r="X36" s="5">
        <f>_xll.SNL.Clients.Office.Excel.Functions.SPG(U36, "IQ_DILUT_EPS_NORM", "CY2021")</f>
        <v>9.468</v>
      </c>
      <c r="Y36">
        <f t="shared" si="11"/>
        <v>5425164</v>
      </c>
      <c r="Z36">
        <f t="shared" si="12"/>
        <v>0.2088288232803418</v>
      </c>
      <c r="AA36" s="5">
        <f>_xll.SNL.Clients.Office.Excel.Functions.SPG(U36, "SP_MARKETCAP", "12/31/2021")</f>
        <v>126717.92997293999</v>
      </c>
      <c r="AB36">
        <f t="shared" si="6"/>
        <v>2.9864255772539547E-3</v>
      </c>
      <c r="AC36">
        <f t="shared" si="13"/>
        <v>2.8275477365440442E-2</v>
      </c>
    </row>
    <row r="37" spans="1:29" x14ac:dyDescent="0.3">
      <c r="A37" t="s">
        <v>37</v>
      </c>
      <c r="B37" s="4" cm="1">
        <f t="array" ref="B37">_xll.SNL.Clients.Office.Excel.Functions.SPG(A37, "SP_TOTAL_REV", "CY2023")</f>
        <v>12554700</v>
      </c>
      <c r="C37" s="4">
        <f>_xll.SNL.Clients.Office.Excel.Functions.SPG(A37,"IQ_AVG_DILUT_SHARES_OUT","CY2023")</f>
        <v>1241200000</v>
      </c>
      <c r="D37" s="5">
        <f>_xll.SNL.Clients.Office.Excel.Functions.SPG(A37, "IQ_DILUT_EPS_NORM", "CY2023")</f>
        <v>1.2370000000000001</v>
      </c>
      <c r="E37">
        <f t="shared" si="2"/>
        <v>1535364.4000000001</v>
      </c>
      <c r="F37">
        <f t="shared" si="3"/>
        <v>0.12229399348451178</v>
      </c>
      <c r="G37" s="5">
        <f>_xll.SNL.Clients.Office.Excel.Functions.SPG(A37, "SP_MARKETCAP", "12/30/2023")</f>
        <v>59310.493199030003</v>
      </c>
      <c r="H37">
        <f t="shared" si="7"/>
        <v>1.41158979932698E-3</v>
      </c>
      <c r="I37">
        <f t="shared" si="8"/>
        <v>1.7461365817674744E-3</v>
      </c>
      <c r="K37" t="s">
        <v>37</v>
      </c>
      <c r="L37" s="4" cm="1">
        <f t="array" ref="L37">_xll.SNL.Clients.Office.Excel.Functions.SPG(K37, "SP_TOTAL_REV", "CY2023")</f>
        <v>12554700</v>
      </c>
      <c r="M37" s="4">
        <f>_xll.SNL.Clients.Office.Excel.Functions.SPG(K37,"IQ_AVG_DILUT_SHARES_OUT","CY2023")</f>
        <v>1241200000</v>
      </c>
      <c r="N37" s="5">
        <f>_xll.SNL.Clients.Office.Excel.Functions.SPG(K37, "IQ_DILUT_EPS_NORM", "CY2023")</f>
        <v>1.2370000000000001</v>
      </c>
      <c r="O37">
        <f t="shared" si="4"/>
        <v>1535364.4000000001</v>
      </c>
      <c r="P37">
        <f t="shared" si="5"/>
        <v>0.12229399348451178</v>
      </c>
      <c r="Q37" s="5">
        <f>_xll.SNL.Clients.Office.Excel.Functions.SPG(K37, "SP_MARKETCAP", "12/31/2022")</f>
        <v>45310.498275600003</v>
      </c>
      <c r="R37">
        <f t="shared" si="9"/>
        <v>1.344734041853633E-3</v>
      </c>
      <c r="S37">
        <f t="shared" si="10"/>
        <v>1.6634360097729441E-3</v>
      </c>
      <c r="U37" t="s">
        <v>37</v>
      </c>
      <c r="V37" s="4" cm="1">
        <f t="array" ref="V37">_xll.SNL.Clients.Office.Excel.Functions.SPG(U37, "SP_TOTAL_REV", "CY2021")</f>
        <v>10876300</v>
      </c>
      <c r="W37" s="4">
        <f>_xll.SNL.Clients.Office.Excel.Functions.SPG(U37,"IQ_AVG_DILUT_SHARES_OUT","CY2021")</f>
        <v>1251000000</v>
      </c>
      <c r="X37" s="5">
        <f>_xll.SNL.Clients.Office.Excel.Functions.SPG(U37, "IQ_DILUT_EPS_NORM", "CY2021")</f>
        <v>1.02</v>
      </c>
      <c r="Y37">
        <f t="shared" si="11"/>
        <v>1276020</v>
      </c>
      <c r="Z37">
        <f t="shared" si="12"/>
        <v>0.1173211478168127</v>
      </c>
      <c r="AA37" s="5">
        <f>_xll.SNL.Clients.Office.Excel.Functions.SPG(U37, "SP_MARKETCAP", "12/31/2021")</f>
        <v>52303.509813719997</v>
      </c>
      <c r="AB37">
        <f t="shared" si="6"/>
        <v>1.2326632823090032E-3</v>
      </c>
      <c r="AC37">
        <f t="shared" si="13"/>
        <v>1.2573165479551833E-3</v>
      </c>
    </row>
    <row r="38" spans="1:29" x14ac:dyDescent="0.3">
      <c r="A38" t="s">
        <v>38</v>
      </c>
      <c r="B38" s="4" cm="1">
        <f t="array" ref="B38">_xll.SNL.Clients.Office.Excel.Functions.SPG(A38, "SP_TOTAL_REV", "CY2023")</f>
        <v>11568613</v>
      </c>
      <c r="C38" s="4">
        <f>_xll.SNL.Clients.Office.Excel.Functions.SPG(A38,"IQ_AVG_DILUT_SHARES_OUT","CY2023")</f>
        <v>502848250</v>
      </c>
      <c r="D38" s="5">
        <f>_xll.SNL.Clients.Office.Excel.Functions.SPG(A38, "IQ_DILUT_EPS_NORM", "CY2023")</f>
        <v>4.008</v>
      </c>
      <c r="E38">
        <f t="shared" si="2"/>
        <v>2015415.7860000001</v>
      </c>
      <c r="F38">
        <f t="shared" si="3"/>
        <v>0.17421412454544033</v>
      </c>
      <c r="G38" s="5">
        <f>_xll.SNL.Clients.Office.Excel.Functions.SPG(A38, "SP_MARKETCAP", "12/30/2023")</f>
        <v>98537.71878368</v>
      </c>
      <c r="H38">
        <f t="shared" si="7"/>
        <v>2.3451978087120017E-3</v>
      </c>
      <c r="I38">
        <f t="shared" si="8"/>
        <v>9.3995528173177034E-3</v>
      </c>
      <c r="K38" t="s">
        <v>38</v>
      </c>
      <c r="L38" s="4" cm="1">
        <f t="array" ref="L38">_xll.SNL.Clients.Office.Excel.Functions.SPG(K38, "SP_TOTAL_REV", "CY2023")</f>
        <v>11568613</v>
      </c>
      <c r="M38" s="4">
        <f>_xll.SNL.Clients.Office.Excel.Functions.SPG(K38,"IQ_AVG_DILUT_SHARES_OUT","CY2023")</f>
        <v>502848250</v>
      </c>
      <c r="N38" s="5">
        <f>_xll.SNL.Clients.Office.Excel.Functions.SPG(K38, "IQ_DILUT_EPS_NORM", "CY2023")</f>
        <v>4.008</v>
      </c>
      <c r="O38">
        <f t="shared" si="4"/>
        <v>2015415.7860000001</v>
      </c>
      <c r="P38">
        <f t="shared" si="5"/>
        <v>0.17421412454544033</v>
      </c>
      <c r="Q38" s="5">
        <f>_xll.SNL.Clients.Office.Excel.Functions.SPG(K38, "SP_MARKETCAP", "12/31/2022")</f>
        <v>83539.813202229998</v>
      </c>
      <c r="R38">
        <f t="shared" si="9"/>
        <v>2.4793113061753161E-3</v>
      </c>
      <c r="S38">
        <f t="shared" si="10"/>
        <v>9.9370797151506676E-3</v>
      </c>
      <c r="U38" t="s">
        <v>38</v>
      </c>
      <c r="V38" s="4" cm="1">
        <f t="array" ref="V38">_xll.SNL.Clients.Office.Excel.Functions.SPG(U38, "SP_TOTAL_REV", "CY2021")</f>
        <v>8444121</v>
      </c>
      <c r="W38" s="4">
        <f>_xll.SNL.Clients.Office.Excel.Functions.SPG(U38,"IQ_AVG_DILUT_SHARES_OUT","CY2021")</f>
        <v>440547000</v>
      </c>
      <c r="X38" s="5">
        <f>_xll.SNL.Clients.Office.Excel.Functions.SPG(U38, "IQ_DILUT_EPS_NORM", "CY2021")</f>
        <v>3.089</v>
      </c>
      <c r="Y38">
        <f t="shared" si="11"/>
        <v>1360849.683</v>
      </c>
      <c r="Z38">
        <f t="shared" si="12"/>
        <v>0.16115942476428274</v>
      </c>
      <c r="AA38" s="5">
        <f>_xll.SNL.Clients.Office.Excel.Functions.SPG(U38, "SP_MARKETCAP", "12/31/2021")</f>
        <v>92337.372217440003</v>
      </c>
      <c r="AB38">
        <f t="shared" si="6"/>
        <v>2.1761615754413641E-3</v>
      </c>
      <c r="AC38">
        <f t="shared" si="13"/>
        <v>6.7221631065383734E-3</v>
      </c>
    </row>
    <row r="39" spans="1:29" x14ac:dyDescent="0.3">
      <c r="A39" t="s">
        <v>39</v>
      </c>
      <c r="B39" s="4" cm="1">
        <f t="array" ref="B39">_xll.SNL.Clients.Office.Excel.Functions.SPG(A39, "SP_TOTAL_REV", "CY2023")</f>
        <v>2269949</v>
      </c>
      <c r="C39" s="4">
        <f>_xll.SNL.Clients.Office.Excel.Functions.SPG(A39,"IQ_AVG_DILUT_SHARES_OUT","CY2023")</f>
        <v>87386000</v>
      </c>
      <c r="D39" s="5">
        <f>_xll.SNL.Clients.Office.Excel.Functions.SPG(A39, "IQ_DILUT_EPS_NORM", "CY2023")</f>
        <v>4.2510000000000003</v>
      </c>
      <c r="E39">
        <f t="shared" si="2"/>
        <v>371477.886</v>
      </c>
      <c r="F39">
        <f t="shared" si="3"/>
        <v>0.16365032254028614</v>
      </c>
      <c r="G39" s="5">
        <f>_xll.SNL.Clients.Office.Excel.Functions.SPG(A39, "SP_MARKETCAP", "12/30/2023")</f>
        <v>31524.402752639999</v>
      </c>
      <c r="H39">
        <f t="shared" si="7"/>
        <v>7.5028081803625536E-4</v>
      </c>
      <c r="I39">
        <f t="shared" si="8"/>
        <v>3.1894437574721216E-3</v>
      </c>
      <c r="K39" t="s">
        <v>39</v>
      </c>
      <c r="L39" s="4" cm="1">
        <f t="array" ref="L39">_xll.SNL.Clients.Office.Excel.Functions.SPG(K39, "SP_TOTAL_REV", "CY2023")</f>
        <v>2269949</v>
      </c>
      <c r="M39" s="4">
        <f>_xll.SNL.Clients.Office.Excel.Functions.SPG(K39,"IQ_AVG_DILUT_SHARES_OUT","CY2023")</f>
        <v>87386000</v>
      </c>
      <c r="N39" s="5">
        <f>_xll.SNL.Clients.Office.Excel.Functions.SPG(K39, "IQ_DILUT_EPS_NORM", "CY2023")</f>
        <v>4.2510000000000003</v>
      </c>
      <c r="O39">
        <f t="shared" si="4"/>
        <v>371477.886</v>
      </c>
      <c r="P39">
        <f t="shared" si="5"/>
        <v>0.16365032254028614</v>
      </c>
      <c r="Q39" s="5">
        <f>_xll.SNL.Clients.Office.Excel.Functions.SPG(K39, "SP_MARKETCAP", "12/31/2022")</f>
        <v>21045.444853649999</v>
      </c>
      <c r="R39">
        <f t="shared" si="9"/>
        <v>6.245909269970779E-4</v>
      </c>
      <c r="S39">
        <f t="shared" si="10"/>
        <v>2.6551360306645783E-3</v>
      </c>
      <c r="U39" t="s">
        <v>39</v>
      </c>
      <c r="V39" s="4" cm="1">
        <f t="array" ref="V39">_xll.SNL.Clients.Office.Excel.Functions.SPG(U39, "SP_TOTAL_REV", "CY2021")</f>
        <v>1906715</v>
      </c>
      <c r="W39" s="4">
        <f>_xll.SNL.Clients.Office.Excel.Functions.SPG(U39,"IQ_AVG_DILUT_SHARES_OUT","CY2021")</f>
        <v>88102000</v>
      </c>
      <c r="X39" s="5">
        <f>_xll.SNL.Clients.Office.Excel.Functions.SPG(U39, "IQ_DILUT_EPS_NORM", "CY2021")</f>
        <v>3.6560000000000001</v>
      </c>
      <c r="Y39">
        <f t="shared" si="11"/>
        <v>322100.91200000001</v>
      </c>
      <c r="Z39">
        <f t="shared" si="12"/>
        <v>0.16892976244483313</v>
      </c>
      <c r="AA39" s="5">
        <f>_xll.SNL.Clients.Office.Excel.Functions.SPG(U39, "SP_MARKETCAP", "12/31/2021")</f>
        <v>34998.903303999999</v>
      </c>
      <c r="AB39">
        <f t="shared" si="6"/>
        <v>8.2483686424820568E-4</v>
      </c>
      <c r="AC39">
        <f t="shared" si="13"/>
        <v>3.0156035756914402E-3</v>
      </c>
    </row>
    <row r="40" spans="1:29" x14ac:dyDescent="0.3">
      <c r="A40" t="s">
        <v>40</v>
      </c>
      <c r="B40" s="4" cm="1">
        <f t="array" ref="B40">_xll.SNL.Clients.Office.Excel.Functions.SPG(A40, "SP_TOTAL_REV", "CY2023")</f>
        <v>13407000</v>
      </c>
      <c r="C40" s="4">
        <f>_xll.SNL.Clients.Office.Excel.Functions.SPG(A40,"IQ_AVG_DILUT_SHARES_OUT","CY2023")</f>
        <v>205000000</v>
      </c>
      <c r="D40" s="5">
        <f>_xll.SNL.Clients.Office.Excel.Functions.SPG(A40, "IQ_DILUT_EPS_NORM", "CY2023")</f>
        <v>10.401</v>
      </c>
      <c r="E40">
        <f t="shared" si="2"/>
        <v>2132205</v>
      </c>
      <c r="F40">
        <f t="shared" si="3"/>
        <v>0.15903669724770642</v>
      </c>
      <c r="G40" s="5">
        <f>_xll.SNL.Clients.Office.Excel.Functions.SPG(A40, "SP_MARKETCAP", "12/30/2023")</f>
        <v>58266.960721900003</v>
      </c>
      <c r="H40">
        <f t="shared" si="7"/>
        <v>1.3867537252946836E-3</v>
      </c>
      <c r="I40">
        <f t="shared" si="8"/>
        <v>1.4423625496790004E-2</v>
      </c>
      <c r="K40" t="s">
        <v>40</v>
      </c>
      <c r="L40" s="4" cm="1">
        <f t="array" ref="L40">_xll.SNL.Clients.Office.Excel.Functions.SPG(K40, "SP_TOTAL_REV", "CY2023")</f>
        <v>13407000</v>
      </c>
      <c r="M40" s="4">
        <f>_xll.SNL.Clients.Office.Excel.Functions.SPG(K40,"IQ_AVG_DILUT_SHARES_OUT","CY2023")</f>
        <v>205000000</v>
      </c>
      <c r="N40" s="5">
        <f>_xll.SNL.Clients.Office.Excel.Functions.SPG(K40, "IQ_DILUT_EPS_NORM", "CY2023")</f>
        <v>10.401</v>
      </c>
      <c r="O40">
        <f t="shared" si="4"/>
        <v>2132205</v>
      </c>
      <c r="P40">
        <f t="shared" si="5"/>
        <v>0.15903669724770642</v>
      </c>
      <c r="Q40" s="5">
        <f>_xll.SNL.Clients.Office.Excel.Functions.SPG(K40, "SP_MARKETCAP", "12/31/2022")</f>
        <v>62084.840211039998</v>
      </c>
      <c r="R40">
        <f t="shared" si="9"/>
        <v>1.8425663210988655E-3</v>
      </c>
      <c r="S40">
        <f t="shared" si="10"/>
        <v>1.9164532305749299E-2</v>
      </c>
      <c r="U40" t="s">
        <v>40</v>
      </c>
      <c r="V40" s="4" cm="1">
        <f t="array" ref="V40">_xll.SNL.Clients.Office.Excel.Functions.SPG(U40, "SP_TOTAL_REV", "CY2021")</f>
        <v>12204000</v>
      </c>
      <c r="W40" s="4">
        <f>_xll.SNL.Clients.Office.Excel.Functions.SPG(U40,"IQ_AVG_DILUT_SHARES_OUT","CY2021")</f>
        <v>226100000</v>
      </c>
      <c r="X40" s="5">
        <f>_xll.SNL.Clients.Office.Excel.Functions.SPG(U40, "IQ_DILUT_EPS_NORM", "CY2021")</f>
        <v>4.7110000000000003</v>
      </c>
      <c r="Y40">
        <f t="shared" si="11"/>
        <v>1065157.1000000001</v>
      </c>
      <c r="Z40">
        <f t="shared" si="12"/>
        <v>8.727934283841364E-2</v>
      </c>
      <c r="AA40" s="5">
        <f>_xll.SNL.Clients.Office.Excel.Functions.SPG(U40, "SP_MARKETCAP", "12/31/2021")</f>
        <v>66223.107947359997</v>
      </c>
      <c r="AB40">
        <f t="shared" si="6"/>
        <v>1.5607134950948018E-3</v>
      </c>
      <c r="AC40">
        <f t="shared" si="13"/>
        <v>7.3525212753916113E-3</v>
      </c>
    </row>
    <row r="41" spans="1:29" x14ac:dyDescent="0.3">
      <c r="A41" t="s">
        <v>41</v>
      </c>
      <c r="B41" s="4" cm="1">
        <f t="array" ref="B41">_xll.SNL.Clients.Office.Excel.Functions.SPG(A41, "SP_TOTAL_REV", "CY2023")</f>
        <v>8093000</v>
      </c>
      <c r="C41" s="4">
        <f>_xll.SNL.Clients.Office.Excel.Functions.SPG(A41,"IQ_AVG_DILUT_SHARES_OUT","CY2023")</f>
        <v>309000000</v>
      </c>
      <c r="D41" s="5">
        <f>_xll.SNL.Clients.Office.Excel.Functions.SPG(A41, "IQ_DILUT_EPS_NORM", "CY2023")</f>
        <v>5.1390000000000002</v>
      </c>
      <c r="E41">
        <f t="shared" si="2"/>
        <v>1587951</v>
      </c>
      <c r="F41">
        <f t="shared" si="3"/>
        <v>0.19621290003706907</v>
      </c>
      <c r="G41" s="5">
        <f>_xll.SNL.Clients.Office.Excel.Functions.SPG(A41, "SP_MARKETCAP", "12/30/2023")</f>
        <v>11005.09282548</v>
      </c>
      <c r="H41">
        <f t="shared" si="7"/>
        <v>2.6192122060027251E-4</v>
      </c>
      <c r="I41">
        <f t="shared" si="8"/>
        <v>1.3460131526648006E-3</v>
      </c>
      <c r="K41" t="s">
        <v>41</v>
      </c>
      <c r="L41" s="4" cm="1">
        <f t="array" ref="L41">_xll.SNL.Clients.Office.Excel.Functions.SPG(K41, "SP_TOTAL_REV", "CY2023")</f>
        <v>8093000</v>
      </c>
      <c r="M41" s="4">
        <f>_xll.SNL.Clients.Office.Excel.Functions.SPG(K41,"IQ_AVG_DILUT_SHARES_OUT","CY2023")</f>
        <v>309000000</v>
      </c>
      <c r="N41" s="5">
        <f>_xll.SNL.Clients.Office.Excel.Functions.SPG(K41, "IQ_DILUT_EPS_NORM", "CY2023")</f>
        <v>5.1390000000000002</v>
      </c>
      <c r="O41">
        <f t="shared" si="4"/>
        <v>1587951</v>
      </c>
      <c r="P41">
        <f t="shared" si="5"/>
        <v>0.19621290003706907</v>
      </c>
      <c r="Q41" s="5">
        <f>_xll.SNL.Clients.Office.Excel.Functions.SPG(K41, "SP_MARKETCAP", "12/31/2022")</f>
        <v>15008.17087068</v>
      </c>
      <c r="R41">
        <f t="shared" si="9"/>
        <v>4.4541550068602118E-4</v>
      </c>
      <c r="S41">
        <f t="shared" si="10"/>
        <v>2.2889902580254628E-3</v>
      </c>
      <c r="U41" t="s">
        <v>41</v>
      </c>
      <c r="V41" s="4" cm="1">
        <f t="array" ref="V41">_xll.SNL.Clients.Office.Excel.Functions.SPG(U41, "SP_TOTAL_REV", "CY2021")</f>
        <v>8025000</v>
      </c>
      <c r="W41" s="4">
        <f>_xll.SNL.Clients.Office.Excel.Functions.SPG(U41,"IQ_AVG_DILUT_SHARES_OUT","CY2021")</f>
        <v>375000000</v>
      </c>
      <c r="X41" s="5">
        <f>_xll.SNL.Clients.Office.Excel.Functions.SPG(U41, "IQ_DILUT_EPS_NORM", "CY2021")</f>
        <v>3.3530000000000002</v>
      </c>
      <c r="Y41">
        <f t="shared" si="11"/>
        <v>1257375</v>
      </c>
      <c r="Z41">
        <f t="shared" si="12"/>
        <v>0.1566822429906542</v>
      </c>
      <c r="AA41" s="5">
        <f>_xll.SNL.Clients.Office.Excel.Functions.SPG(U41, "SP_MARKETCAP", "12/31/2021")</f>
        <v>9768.4448245099993</v>
      </c>
      <c r="AB41">
        <f t="shared" si="6"/>
        <v>2.3021788219031338E-4</v>
      </c>
      <c r="AC41">
        <f t="shared" si="13"/>
        <v>7.7192055898412076E-4</v>
      </c>
    </row>
    <row r="42" spans="1:29" x14ac:dyDescent="0.3">
      <c r="A42" t="s">
        <v>42</v>
      </c>
      <c r="B42" s="4" cm="1">
        <f t="array" ref="B42">_xll.SNL.Clients.Office.Excel.Functions.SPG(A42, "SP_TOTAL_REV", "CY2023")</f>
        <v>31944000</v>
      </c>
      <c r="C42" s="4">
        <f>_xll.SNL.Clients.Office.Excel.Functions.SPG(A42,"IQ_AVG_DILUT_SHARES_OUT","CY2023")</f>
        <v>588846447</v>
      </c>
      <c r="D42" s="5">
        <f>_xll.SNL.Clients.Office.Excel.Functions.SPG(A42, "IQ_DILUT_EPS_NORM", "CY2023")</f>
        <v>3.4159999999999999</v>
      </c>
      <c r="E42">
        <f t="shared" si="2"/>
        <v>2011499.4629519999</v>
      </c>
      <c r="F42">
        <f t="shared" si="3"/>
        <v>6.296955493839218E-2</v>
      </c>
      <c r="G42" s="5">
        <f>_xll.SNL.Clients.Office.Excel.Functions.SPG(A42, "SP_MARKETCAP", "12/30/2023")</f>
        <v>52890.476915959996</v>
      </c>
      <c r="H42">
        <f t="shared" si="7"/>
        <v>1.2587934051664447E-3</v>
      </c>
      <c r="I42">
        <f t="shared" si="8"/>
        <v>4.3000382720485746E-3</v>
      </c>
      <c r="K42" t="s">
        <v>42</v>
      </c>
      <c r="L42" s="4" cm="1">
        <f t="array" ref="L42">_xll.SNL.Clients.Office.Excel.Functions.SPG(K42, "SP_TOTAL_REV", "CY2023")</f>
        <v>31944000</v>
      </c>
      <c r="M42" s="4">
        <f>_xll.SNL.Clients.Office.Excel.Functions.SPG(K42,"IQ_AVG_DILUT_SHARES_OUT","CY2023")</f>
        <v>588846447</v>
      </c>
      <c r="N42" s="5">
        <f>_xll.SNL.Clients.Office.Excel.Functions.SPG(K42, "IQ_DILUT_EPS_NORM", "CY2023")</f>
        <v>3.4159999999999999</v>
      </c>
      <c r="O42">
        <f t="shared" si="4"/>
        <v>2011499.4629519999</v>
      </c>
      <c r="P42">
        <f t="shared" si="5"/>
        <v>6.296955493839218E-2</v>
      </c>
      <c r="Q42" s="5">
        <f>_xll.SNL.Clients.Office.Excel.Functions.SPG(K42, "SP_MARKETCAP", "12/31/2022")</f>
        <v>36505.972438750003</v>
      </c>
      <c r="R42">
        <f t="shared" si="9"/>
        <v>1.0834315608441089E-3</v>
      </c>
      <c r="S42">
        <f t="shared" si="10"/>
        <v>3.701002211843476E-3</v>
      </c>
      <c r="U42" t="s">
        <v>42</v>
      </c>
      <c r="V42" s="4" cm="1">
        <f t="array" ref="V42">_xll.SNL.Clients.Office.Excel.Functions.SPG(U42, "SP_TOTAL_REV", "CY2021")</f>
        <v>5813000</v>
      </c>
      <c r="W42" s="4">
        <f>_xll.SNL.Clients.Office.Excel.Functions.SPG(U42,"IQ_AVG_DILUT_SHARES_OUT","CY2021")</f>
        <v>236567691</v>
      </c>
      <c r="X42" s="5">
        <f>_xll.SNL.Clients.Office.Excel.Functions.SPG(U42, "IQ_DILUT_EPS_NORM", "CY2021")</f>
        <v>-1.8120000000000001</v>
      </c>
      <c r="Y42">
        <f t="shared" si="11"/>
        <v>-428660.65609200002</v>
      </c>
      <c r="Z42">
        <f t="shared" si="12"/>
        <v>-7.3741726490968523E-2</v>
      </c>
      <c r="AA42" s="5">
        <f>_xll.SNL.Clients.Office.Excel.Functions.SPG(U42, "SP_MARKETCAP", "12/31/2021")</f>
        <v>17859.751881259999</v>
      </c>
      <c r="AB42">
        <f t="shared" si="6"/>
        <v>4.2090980994555482E-4</v>
      </c>
      <c r="AC42">
        <f t="shared" si="13"/>
        <v>-7.6268857562134538E-4</v>
      </c>
    </row>
    <row r="43" spans="1:29" x14ac:dyDescent="0.3">
      <c r="A43" t="s">
        <v>43</v>
      </c>
      <c r="B43" s="4" cm="1">
        <f t="array" ref="B43">_xll.SNL.Clients.Office.Excel.Functions.SPG(A43, "SP_TOTAL_REV", "CY2023")</f>
        <v>385706000</v>
      </c>
      <c r="C43" s="4">
        <f>_xll.SNL.Clients.Office.Excel.Functions.SPG(A43,"IQ_AVG_DILUT_SHARES_OUT","CY2023")</f>
        <v>15717777750</v>
      </c>
      <c r="D43" s="5">
        <f>_xll.SNL.Clients.Office.Excel.Functions.SPG(A43, "IQ_DILUT_EPS_NORM", "CY2023")</f>
        <v>4.7089999999999996</v>
      </c>
      <c r="E43">
        <f t="shared" si="2"/>
        <v>74015015.42475</v>
      </c>
      <c r="F43">
        <f t="shared" si="3"/>
        <v>0.19189490291763675</v>
      </c>
      <c r="G43" s="5">
        <f>_xll.SNL.Clients.Office.Excel.Functions.SPG(A43, "SP_MARKETCAP", "12/30/2023")</f>
        <v>2994371.3425599998</v>
      </c>
      <c r="H43">
        <f t="shared" si="7"/>
        <v>7.1266041042192141E-2</v>
      </c>
      <c r="I43">
        <f t="shared" si="8"/>
        <v>0.33559178726768274</v>
      </c>
      <c r="K43" t="s">
        <v>43</v>
      </c>
      <c r="L43" s="4" cm="1">
        <f t="array" ref="L43">_xll.SNL.Clients.Office.Excel.Functions.SPG(K43, "SP_TOTAL_REV", "CY2023")</f>
        <v>385706000</v>
      </c>
      <c r="M43" s="4">
        <f>_xll.SNL.Clients.Office.Excel.Functions.SPG(K43,"IQ_AVG_DILUT_SHARES_OUT","CY2023")</f>
        <v>15717777750</v>
      </c>
      <c r="N43" s="5">
        <f>_xll.SNL.Clients.Office.Excel.Functions.SPG(K43, "IQ_DILUT_EPS_NORM", "CY2023")</f>
        <v>4.7089999999999996</v>
      </c>
      <c r="O43">
        <f t="shared" si="4"/>
        <v>74015015.42475</v>
      </c>
      <c r="P43">
        <f t="shared" si="5"/>
        <v>0.19189490291763675</v>
      </c>
      <c r="Q43" s="5">
        <f>_xll.SNL.Clients.Office.Excel.Functions.SPG(K43, "SP_MARKETCAP", "12/31/2022")</f>
        <v>2066941.77174</v>
      </c>
      <c r="R43">
        <f t="shared" si="9"/>
        <v>6.1343111834301134E-2</v>
      </c>
      <c r="S43">
        <f t="shared" si="10"/>
        <v>0.28886471362772403</v>
      </c>
      <c r="U43" t="s">
        <v>43</v>
      </c>
      <c r="V43" s="4" cm="1">
        <f t="array" ref="V43">_xll.SNL.Clients.Office.Excel.Functions.SPG(U43, "SP_TOTAL_REV", "CY2021")</f>
        <v>378323000</v>
      </c>
      <c r="W43" s="4">
        <f>_xll.SNL.Clients.Office.Excel.Functions.SPG(U43,"IQ_AVG_DILUT_SHARES_OUT","CY2021")</f>
        <v>16716319750</v>
      </c>
      <c r="X43" s="5">
        <f>_xll.SNL.Clients.Office.Excel.Functions.SPG(U43, "IQ_DILUT_EPS_NORM", "CY2021")</f>
        <v>4.37</v>
      </c>
      <c r="Y43">
        <f t="shared" si="11"/>
        <v>73050317.307500005</v>
      </c>
      <c r="Z43">
        <f t="shared" si="12"/>
        <v>0.19308981295744643</v>
      </c>
      <c r="AA43" s="5">
        <f>_xll.SNL.Clients.Office.Excel.Functions.SPG(U43, "SP_MARKETCAP", "12/31/2021")</f>
        <v>2913283.9152899999</v>
      </c>
      <c r="AB43">
        <f t="shared" si="6"/>
        <v>6.8658836206387741E-2</v>
      </c>
      <c r="AC43">
        <f t="shared" si="13"/>
        <v>0.30003911422191443</v>
      </c>
    </row>
    <row r="44" spans="1:29" x14ac:dyDescent="0.3">
      <c r="A44" t="s">
        <v>44</v>
      </c>
      <c r="B44" s="4" cm="1">
        <f t="array" ref="B44">_xll.SNL.Clients.Office.Excel.Functions.SPG(A44, "SP_TOTAL_REV", "CY2023")</f>
        <v>26485000</v>
      </c>
      <c r="C44" s="4">
        <f>_xll.SNL.Clients.Office.Excel.Functions.SPG(A44,"IQ_AVG_DILUT_SHARES_OUT","CY2023")</f>
        <v>842000000</v>
      </c>
      <c r="D44" s="5">
        <f>_xll.SNL.Clients.Office.Excel.Functions.SPG(A44, "IQ_DILUT_EPS_NORM", "CY2023")</f>
        <v>5.8479999999999999</v>
      </c>
      <c r="E44">
        <f t="shared" si="2"/>
        <v>4924016</v>
      </c>
      <c r="F44">
        <f t="shared" si="3"/>
        <v>0.18591716065697564</v>
      </c>
      <c r="G44" s="5">
        <f>_xll.SNL.Clients.Office.Excel.Functions.SPG(A44, "SP_MARKETCAP", "12/30/2023")</f>
        <v>134691.04570734999</v>
      </c>
      <c r="H44">
        <f t="shared" si="7"/>
        <v>3.2056470267943873E-3</v>
      </c>
      <c r="I44">
        <f t="shared" si="8"/>
        <v>1.8746623812693576E-2</v>
      </c>
      <c r="K44" t="s">
        <v>44</v>
      </c>
      <c r="L44" s="4" cm="1">
        <f t="array" ref="L44">_xll.SNL.Clients.Office.Excel.Functions.SPG(K44, "SP_TOTAL_REV", "CY2023")</f>
        <v>26485000</v>
      </c>
      <c r="M44" s="4">
        <f>_xll.SNL.Clients.Office.Excel.Functions.SPG(K44,"IQ_AVG_DILUT_SHARES_OUT","CY2023")</f>
        <v>842000000</v>
      </c>
      <c r="N44" s="5">
        <f>_xll.SNL.Clients.Office.Excel.Functions.SPG(K44, "IQ_DILUT_EPS_NORM", "CY2023")</f>
        <v>5.8479999999999999</v>
      </c>
      <c r="O44">
        <f t="shared" si="4"/>
        <v>4924016</v>
      </c>
      <c r="P44">
        <f t="shared" si="5"/>
        <v>0.18591716065697564</v>
      </c>
      <c r="Q44" s="5">
        <f>_xll.SNL.Clients.Office.Excel.Functions.SPG(K44, "SP_MARKETCAP", "12/31/2022")</f>
        <v>82202.32612836</v>
      </c>
      <c r="R44">
        <f t="shared" si="9"/>
        <v>2.439617096947413E-3</v>
      </c>
      <c r="S44">
        <f t="shared" si="10"/>
        <v>1.4266880782948471E-2</v>
      </c>
      <c r="U44" t="s">
        <v>44</v>
      </c>
      <c r="V44" s="4" cm="1">
        <f t="array" ref="V44">_xll.SNL.Clients.Office.Excel.Functions.SPG(U44, "SP_TOTAL_REV", "CY2021")</f>
        <v>24172000</v>
      </c>
      <c r="W44" s="4">
        <f>_xll.SNL.Clients.Office.Excel.Functions.SPG(U44,"IQ_AVG_DILUT_SHARES_OUT","CY2021")</f>
        <v>912000000</v>
      </c>
      <c r="X44" s="5">
        <f>_xll.SNL.Clients.Office.Excel.Functions.SPG(U44, "IQ_DILUT_EPS_NORM", "CY2021")</f>
        <v>5.1660000000000004</v>
      </c>
      <c r="Y44">
        <f t="shared" si="11"/>
        <v>4711392</v>
      </c>
      <c r="Z44">
        <f t="shared" si="12"/>
        <v>0.19491113685255668</v>
      </c>
      <c r="AA44" s="5">
        <f>_xll.SNL.Clients.Office.Excel.Functions.SPG(U44, "SP_MARKETCAP", "12/31/2021")</f>
        <v>139816.44470528001</v>
      </c>
      <c r="AB44">
        <f t="shared" si="6"/>
        <v>3.2951249020381533E-3</v>
      </c>
      <c r="AC44">
        <f t="shared" si="13"/>
        <v>1.70226152439291E-2</v>
      </c>
    </row>
    <row r="45" spans="1:29" x14ac:dyDescent="0.3">
      <c r="A45" t="s">
        <v>45</v>
      </c>
      <c r="B45" s="4" cm="1">
        <f t="array" ref="B45">_xll.SNL.Clients.Office.Excel.Functions.SPG(A45, "SP_TOTAL_REV", "CY2023")</f>
        <v>20051000</v>
      </c>
      <c r="C45" s="4">
        <f>_xll.SNL.Clients.Office.Excel.Functions.SPG(A45,"IQ_AVG_DILUT_SHARES_OUT","CY2023")</f>
        <v>282880000</v>
      </c>
      <c r="D45" s="5">
        <f>_xll.SNL.Clients.Office.Excel.Functions.SPG(A45, "IQ_DILUT_EPS_NORM", "CY2023")</f>
        <v>2.9409999999999998</v>
      </c>
      <c r="E45">
        <f t="shared" si="2"/>
        <v>831950.08</v>
      </c>
      <c r="F45">
        <f t="shared" si="3"/>
        <v>4.1491700164580321E-2</v>
      </c>
      <c r="G45" s="5">
        <f>_xll.SNL.Clients.Office.Excel.Functions.SPG(A45, "SP_MARKETCAP", "12/30/2023")</f>
        <v>25378.39200828</v>
      </c>
      <c r="H45">
        <f t="shared" si="7"/>
        <v>6.0400575597970713E-4</v>
      </c>
      <c r="I45">
        <f t="shared" si="8"/>
        <v>1.7763809283363186E-3</v>
      </c>
      <c r="K45" t="s">
        <v>45</v>
      </c>
      <c r="L45" s="4" cm="1">
        <f t="array" ref="L45">_xll.SNL.Clients.Office.Excel.Functions.SPG(K45, "SP_TOTAL_REV", "CY2023")</f>
        <v>20051000</v>
      </c>
      <c r="M45" s="4">
        <f>_xll.SNL.Clients.Office.Excel.Functions.SPG(K45,"IQ_AVG_DILUT_SHARES_OUT","CY2023")</f>
        <v>282880000</v>
      </c>
      <c r="N45" s="5">
        <f>_xll.SNL.Clients.Office.Excel.Functions.SPG(K45, "IQ_DILUT_EPS_NORM", "CY2023")</f>
        <v>2.9409999999999998</v>
      </c>
      <c r="O45">
        <f t="shared" si="4"/>
        <v>831950.08</v>
      </c>
      <c r="P45">
        <f t="shared" si="5"/>
        <v>4.1491700164580321E-2</v>
      </c>
      <c r="Q45" s="5">
        <f>_xll.SNL.Clients.Office.Excel.Functions.SPG(K45, "SP_MARKETCAP", "12/31/2022")</f>
        <v>25233.53429227</v>
      </c>
      <c r="R45">
        <f t="shared" si="9"/>
        <v>7.4888588407709714E-4</v>
      </c>
      <c r="S45">
        <f t="shared" si="10"/>
        <v>2.2024733850707426E-3</v>
      </c>
      <c r="U45" t="s">
        <v>45</v>
      </c>
      <c r="V45" s="4" cm="1">
        <f t="array" ref="V45">_xll.SNL.Clients.Office.Excel.Functions.SPG(U45, "SP_TOTAL_REV", "CY2021")</f>
        <v>15618000</v>
      </c>
      <c r="W45" s="4">
        <f>_xll.SNL.Clients.Office.Excel.Functions.SPG(U45,"IQ_AVG_DILUT_SHARES_OUT","CY2021")</f>
        <v>271220000</v>
      </c>
      <c r="X45" s="5">
        <f>_xll.SNL.Clients.Office.Excel.Functions.SPG(U45, "IQ_DILUT_EPS_NORM", "CY2021")</f>
        <v>1.9319999999999999</v>
      </c>
      <c r="Y45">
        <f t="shared" si="11"/>
        <v>523997.04</v>
      </c>
      <c r="Z45">
        <f t="shared" si="12"/>
        <v>3.3550841336918935E-2</v>
      </c>
      <c r="AA45" s="5">
        <f>_xll.SNL.Clients.Office.Excel.Functions.SPG(U45, "SP_MARKETCAP", "12/31/2021")</f>
        <v>44621.307393000003</v>
      </c>
      <c r="AB45">
        <f t="shared" si="6"/>
        <v>1.0516129305254817E-3</v>
      </c>
      <c r="AC45">
        <f t="shared" si="13"/>
        <v>2.0317161817752305E-3</v>
      </c>
    </row>
    <row r="46" spans="1:29" x14ac:dyDescent="0.3">
      <c r="A46" t="s">
        <v>46</v>
      </c>
      <c r="B46" s="4" cm="1">
        <f t="array" ref="B46">_xll.SNL.Clients.Office.Excel.Functions.SPG(A46, "SP_TOTAL_REV", "CY2023")</f>
        <v>13574000</v>
      </c>
      <c r="C46" s="4">
        <f>_xll.SNL.Clients.Office.Excel.Functions.SPG(A46,"IQ_AVG_DILUT_SHARES_OUT","CY2023")</f>
        <v>378800000</v>
      </c>
      <c r="D46" s="5">
        <f>_xll.SNL.Clients.Office.Excel.Functions.SPG(A46, "IQ_DILUT_EPS_NORM", "CY2023")</f>
        <v>5.9009999999999998</v>
      </c>
      <c r="E46">
        <f t="shared" si="2"/>
        <v>2235298.7999999998</v>
      </c>
      <c r="F46">
        <f t="shared" si="3"/>
        <v>0.16467502578458817</v>
      </c>
      <c r="G46" s="5">
        <f>_xll.SNL.Clients.Office.Excel.Functions.SPG(A46, "SP_MARKETCAP", "12/30/2023")</f>
        <v>27554.641985850001</v>
      </c>
      <c r="H46">
        <f t="shared" si="7"/>
        <v>6.5580050769108937E-4</v>
      </c>
      <c r="I46">
        <f t="shared" si="8"/>
        <v>3.8698787958851184E-3</v>
      </c>
      <c r="K46" t="s">
        <v>46</v>
      </c>
      <c r="L46" s="4" cm="1">
        <f t="array" ref="L46">_xll.SNL.Clients.Office.Excel.Functions.SPG(K46, "SP_TOTAL_REV", "CY2023")</f>
        <v>13574000</v>
      </c>
      <c r="M46" s="4">
        <f>_xll.SNL.Clients.Office.Excel.Functions.SPG(K46,"IQ_AVG_DILUT_SHARES_OUT","CY2023")</f>
        <v>378800000</v>
      </c>
      <c r="N46" s="5">
        <f>_xll.SNL.Clients.Office.Excel.Functions.SPG(K46, "IQ_DILUT_EPS_NORM", "CY2023")</f>
        <v>5.9009999999999998</v>
      </c>
      <c r="O46">
        <f t="shared" si="4"/>
        <v>2235298.7999999998</v>
      </c>
      <c r="P46">
        <f t="shared" si="5"/>
        <v>0.16467502578458817</v>
      </c>
      <c r="Q46" s="5">
        <f>_xll.SNL.Clients.Office.Excel.Functions.SPG(K46, "SP_MARKETCAP", "12/31/2022")</f>
        <v>23090.621488199999</v>
      </c>
      <c r="R46">
        <f t="shared" si="9"/>
        <v>6.8528808873109576E-4</v>
      </c>
      <c r="S46">
        <f t="shared" si="10"/>
        <v>4.0438850116021963E-3</v>
      </c>
      <c r="U46" t="s">
        <v>46</v>
      </c>
      <c r="V46" s="4" cm="1">
        <f t="array" ref="V46">_xll.SNL.Clients.Office.Excel.Functions.SPG(U46, "SP_TOTAL_REV", "CY2021")</f>
        <v>9291509</v>
      </c>
      <c r="W46" s="4">
        <f>_xll.SNL.Clients.Office.Excel.Functions.SPG(U46,"IQ_AVG_DILUT_SHARES_OUT","CY2021")</f>
        <v>400300000</v>
      </c>
      <c r="X46" s="5">
        <f>_xll.SNL.Clients.Office.Excel.Functions.SPG(U46, "IQ_DILUT_EPS_NORM", "CY2021")</f>
        <v>3.4910000000000001</v>
      </c>
      <c r="Y46">
        <f t="shared" si="11"/>
        <v>1397447.3</v>
      </c>
      <c r="Z46">
        <f t="shared" si="12"/>
        <v>0.15040046778192864</v>
      </c>
      <c r="AA46" s="5">
        <f>_xll.SNL.Clients.Office.Excel.Functions.SPG(U46, "SP_MARKETCAP", "12/31/2021")</f>
        <v>17090.9315661</v>
      </c>
      <c r="AB46">
        <f t="shared" si="6"/>
        <v>4.0279063254108986E-4</v>
      </c>
      <c r="AC46">
        <f t="shared" si="13"/>
        <v>1.4061420982009448E-3</v>
      </c>
    </row>
    <row r="47" spans="1:29" x14ac:dyDescent="0.3">
      <c r="A47" t="s">
        <v>47</v>
      </c>
      <c r="B47" s="4" cm="1">
        <f t="array" ref="B47">_xll.SNL.Clients.Office.Excel.Functions.SPG(A47, "SP_TOTAL_REV", "CY2023")</f>
        <v>93935000</v>
      </c>
      <c r="C47" s="4">
        <f>_xll.SNL.Clients.Office.Excel.Functions.SPG(A47,"IQ_AVG_DILUT_SHARES_OUT","CY2023")</f>
        <v>542000000</v>
      </c>
      <c r="D47" s="5">
        <f>_xll.SNL.Clients.Office.Excel.Functions.SPG(A47, "IQ_DILUT_EPS_NORM", "CY2023")</f>
        <v>5.3120000000000003</v>
      </c>
      <c r="E47">
        <f t="shared" si="2"/>
        <v>2879104</v>
      </c>
      <c r="F47">
        <f t="shared" si="3"/>
        <v>3.0649960078777877E-2</v>
      </c>
      <c r="G47" s="5">
        <f>_xll.SNL.Clients.Office.Excel.Functions.SPG(A47, "SP_MARKETCAP", "12/30/2023")</f>
        <v>38520.794236100002</v>
      </c>
      <c r="H47">
        <f t="shared" si="7"/>
        <v>9.1679494256071336E-4</v>
      </c>
      <c r="I47">
        <f t="shared" si="8"/>
        <v>4.8700147348825096E-3</v>
      </c>
      <c r="K47" t="s">
        <v>47</v>
      </c>
      <c r="L47" s="4" cm="1">
        <f t="array" ref="L47">_xll.SNL.Clients.Office.Excel.Functions.SPG(K47, "SP_TOTAL_REV", "CY2023")</f>
        <v>93935000</v>
      </c>
      <c r="M47" s="4">
        <f>_xll.SNL.Clients.Office.Excel.Functions.SPG(K47,"IQ_AVG_DILUT_SHARES_OUT","CY2023")</f>
        <v>542000000</v>
      </c>
      <c r="N47" s="5">
        <f>_xll.SNL.Clients.Office.Excel.Functions.SPG(K47, "IQ_DILUT_EPS_NORM", "CY2023")</f>
        <v>5.3120000000000003</v>
      </c>
      <c r="O47">
        <f t="shared" si="4"/>
        <v>2879104</v>
      </c>
      <c r="P47">
        <f t="shared" si="5"/>
        <v>3.0649960078777877E-2</v>
      </c>
      <c r="Q47" s="5">
        <f>_xll.SNL.Clients.Office.Excel.Functions.SPG(K47, "SP_MARKETCAP", "12/31/2022")</f>
        <v>51005.682976949996</v>
      </c>
      <c r="R47">
        <f t="shared" si="9"/>
        <v>1.5137568739568392E-3</v>
      </c>
      <c r="S47">
        <f t="shared" si="10"/>
        <v>8.0410765144587303E-3</v>
      </c>
      <c r="U47" t="s">
        <v>47</v>
      </c>
      <c r="V47" s="4" cm="1">
        <f t="array" ref="V47">_xll.SNL.Clients.Office.Excel.Functions.SPG(U47, "SP_TOTAL_REV", "CY2021")</f>
        <v>85249000</v>
      </c>
      <c r="W47" s="4">
        <f>_xll.SNL.Clients.Office.Excel.Functions.SPG(U47,"IQ_AVG_DILUT_SHARES_OUT","CY2021")</f>
        <v>566000000</v>
      </c>
      <c r="X47" s="5">
        <f>_xll.SNL.Clients.Office.Excel.Functions.SPG(U47, "IQ_DILUT_EPS_NORM", "CY2021")</f>
        <v>3.669</v>
      </c>
      <c r="Y47">
        <f t="shared" si="11"/>
        <v>2076654</v>
      </c>
      <c r="Z47">
        <f t="shared" si="12"/>
        <v>2.43598634588089E-2</v>
      </c>
      <c r="AA47" s="5">
        <f>_xll.SNL.Clients.Office.Excel.Functions.SPG(U47, "SP_MARKETCAP", "12/31/2021")</f>
        <v>37812.634763399998</v>
      </c>
      <c r="AB47">
        <f t="shared" si="6"/>
        <v>8.9114949735127696E-4</v>
      </c>
      <c r="AC47">
        <f t="shared" si="13"/>
        <v>3.269627505781835E-3</v>
      </c>
    </row>
    <row r="48" spans="1:29" x14ac:dyDescent="0.3">
      <c r="A48" t="s">
        <v>48</v>
      </c>
      <c r="B48" s="4" cm="1">
        <f t="array" ref="B48">_xll.SNL.Clients.Office.Excel.Functions.SPG(A48, "SP_TOTAL_REV", "CY2023")</f>
        <v>5860168</v>
      </c>
      <c r="C48" s="4">
        <f>_xll.SNL.Clients.Office.Excel.Functions.SPG(A48,"IQ_AVG_DILUT_SHARES_OUT","CY2023")</f>
        <v>317135000</v>
      </c>
      <c r="D48" s="5">
        <f>_xll.SNL.Clients.Office.Excel.Functions.SPG(A48, "IQ_DILUT_EPS_NORM", "CY2023")</f>
        <v>4.7359999999999998</v>
      </c>
      <c r="E48">
        <f t="shared" si="2"/>
        <v>1501951.36</v>
      </c>
      <c r="F48">
        <f t="shared" si="3"/>
        <v>0.2562983450303814</v>
      </c>
      <c r="G48" s="5">
        <f>_xll.SNL.Clients.Office.Excel.Functions.SPG(A48, "SP_MARKETCAP", "12/30/2023")</f>
        <v>73267.194442420005</v>
      </c>
      <c r="H48">
        <f t="shared" si="7"/>
        <v>1.7437593033186565E-3</v>
      </c>
      <c r="I48">
        <f t="shared" si="8"/>
        <v>8.2584440605171575E-3</v>
      </c>
      <c r="K48" t="s">
        <v>48</v>
      </c>
      <c r="L48" s="4" cm="1">
        <f t="array" ref="L48">_xll.SNL.Clients.Office.Excel.Functions.SPG(K48, "SP_TOTAL_REV", "CY2023")</f>
        <v>5860168</v>
      </c>
      <c r="M48" s="4">
        <f>_xll.SNL.Clients.Office.Excel.Functions.SPG(K48,"IQ_AVG_DILUT_SHARES_OUT","CY2023")</f>
        <v>317135000</v>
      </c>
      <c r="N48" s="5">
        <f>_xll.SNL.Clients.Office.Excel.Functions.SPG(K48, "IQ_DILUT_EPS_NORM", "CY2023")</f>
        <v>4.7359999999999998</v>
      </c>
      <c r="O48">
        <f t="shared" si="4"/>
        <v>1501951.36</v>
      </c>
      <c r="P48">
        <f t="shared" si="5"/>
        <v>0.2562983450303814</v>
      </c>
      <c r="Q48" s="5">
        <f>_xll.SNL.Clients.Office.Excel.Functions.SPG(K48, "SP_MARKETCAP", "12/31/2022")</f>
        <v>37081.236951600004</v>
      </c>
      <c r="R48">
        <f t="shared" si="9"/>
        <v>1.1005043762608469E-3</v>
      </c>
      <c r="S48">
        <f t="shared" si="10"/>
        <v>5.2119887259713706E-3</v>
      </c>
      <c r="U48" t="s">
        <v>48</v>
      </c>
      <c r="V48" s="4" cm="1">
        <f t="array" ref="V48">_xll.SNL.Clients.Office.Excel.Functions.SPG(U48, "SP_TOTAL_REV", "CY2021")</f>
        <v>2948037</v>
      </c>
      <c r="W48" s="4">
        <f>_xll.SNL.Clients.Office.Excel.Functions.SPG(U48,"IQ_AVG_DILUT_SHARES_OUT","CY2021")</f>
        <v>319238000</v>
      </c>
      <c r="X48" s="5">
        <f>_xll.SNL.Clients.Office.Excel.Functions.SPG(U48, "IQ_DILUT_EPS_NORM", "CY2021")</f>
        <v>1.8220000000000001</v>
      </c>
      <c r="Y48">
        <f t="shared" si="11"/>
        <v>581651.63600000006</v>
      </c>
      <c r="Z48">
        <f t="shared" si="12"/>
        <v>0.1973013350917916</v>
      </c>
      <c r="AA48" s="5">
        <f>_xll.SNL.Clients.Office.Excel.Functions.SPG(U48, "SP_MARKETCAP", "12/31/2021")</f>
        <v>44172.014625000003</v>
      </c>
      <c r="AB48">
        <f t="shared" si="6"/>
        <v>1.0410242205116979E-3</v>
      </c>
      <c r="AC48">
        <f t="shared" si="13"/>
        <v>1.8967461297723135E-3</v>
      </c>
    </row>
    <row r="49" spans="1:29" x14ac:dyDescent="0.3">
      <c r="A49" t="s">
        <v>49</v>
      </c>
      <c r="B49" s="4" cm="1">
        <f t="array" ref="B49">_xll.SNL.Clients.Office.Excel.Functions.SPG(A49, "SP_TOTAL_REV", "CY2023")</f>
        <v>10071900</v>
      </c>
      <c r="C49" s="4">
        <f>_xll.SNL.Clients.Office.Excel.Functions.SPG(A49,"IQ_AVG_DILUT_SHARES_OUT","CY2023")</f>
        <v>219300000</v>
      </c>
      <c r="D49" s="5">
        <f>_xll.SNL.Clients.Office.Excel.Functions.SPG(A49, "IQ_DILUT_EPS_NORM", "CY2023")</f>
        <v>5.6619999999999999</v>
      </c>
      <c r="E49">
        <f t="shared" si="2"/>
        <v>1241676.6000000001</v>
      </c>
      <c r="F49">
        <f t="shared" si="3"/>
        <v>0.12328126768534239</v>
      </c>
      <c r="G49" s="5">
        <f>_xll.SNL.Clients.Office.Excel.Functions.SPG(A49, "SP_MARKETCAP", "12/30/2023")</f>
        <v>48554.06568</v>
      </c>
      <c r="H49">
        <f t="shared" si="7"/>
        <v>1.1555868132767631E-3</v>
      </c>
      <c r="I49">
        <f t="shared" si="8"/>
        <v>6.5429325367730327E-3</v>
      </c>
      <c r="K49" t="s">
        <v>49</v>
      </c>
      <c r="L49" s="4" cm="1">
        <f t="array" ref="L49">_xll.SNL.Clients.Office.Excel.Functions.SPG(K49, "SP_TOTAL_REV", "CY2023")</f>
        <v>10071900</v>
      </c>
      <c r="M49" s="4">
        <f>_xll.SNL.Clients.Office.Excel.Functions.SPG(K49,"IQ_AVG_DILUT_SHARES_OUT","CY2023")</f>
        <v>219300000</v>
      </c>
      <c r="N49" s="5">
        <f>_xll.SNL.Clients.Office.Excel.Functions.SPG(K49, "IQ_DILUT_EPS_NORM", "CY2023")</f>
        <v>5.6619999999999999</v>
      </c>
      <c r="O49">
        <f t="shared" si="4"/>
        <v>1241676.6000000001</v>
      </c>
      <c r="P49">
        <f t="shared" si="5"/>
        <v>0.12328126768534239</v>
      </c>
      <c r="Q49" s="5">
        <f>_xll.SNL.Clients.Office.Excel.Functions.SPG(K49, "SP_MARKETCAP", "12/31/2022")</f>
        <v>39751.7736</v>
      </c>
      <c r="R49">
        <f t="shared" si="9"/>
        <v>1.1797610977225717E-3</v>
      </c>
      <c r="S49">
        <f t="shared" si="10"/>
        <v>6.6798073353052006E-3</v>
      </c>
      <c r="U49" t="s">
        <v>49</v>
      </c>
      <c r="V49" s="4" cm="1">
        <f t="array" ref="V49">_xll.SNL.Clients.Office.Excel.Functions.SPG(U49, "SP_TOTAL_REV", "CY2021")</f>
        <v>7036200</v>
      </c>
      <c r="W49" s="4">
        <f>_xll.SNL.Clients.Office.Excel.Functions.SPG(U49,"IQ_AVG_DILUT_SHARES_OUT","CY2021")</f>
        <v>207300000</v>
      </c>
      <c r="X49" s="5">
        <f>_xll.SNL.Clients.Office.Excel.Functions.SPG(U49, "IQ_DILUT_EPS_NORM", "CY2021")</f>
        <v>3.17</v>
      </c>
      <c r="Y49">
        <f t="shared" si="11"/>
        <v>657141</v>
      </c>
      <c r="Z49">
        <f t="shared" si="12"/>
        <v>9.3394303743497914E-2</v>
      </c>
      <c r="AA49" s="5">
        <f>_xll.SNL.Clients.Office.Excel.Functions.SPG(U49, "SP_MARKETCAP", "12/31/2021")</f>
        <v>35168.858260000001</v>
      </c>
      <c r="AB49">
        <f t="shared" si="6"/>
        <v>8.2884227869656245E-4</v>
      </c>
      <c r="AC49">
        <f t="shared" si="13"/>
        <v>2.6274300234681029E-3</v>
      </c>
    </row>
    <row r="50" spans="1:29" x14ac:dyDescent="0.3">
      <c r="A50" t="s">
        <v>50</v>
      </c>
      <c r="B50" s="4" cm="1">
        <f t="array" ref="B50">_xll.SNL.Clients.Office.Excel.Functions.SPG(A50, "SP_TOTAL_REV", "CY2023")</f>
        <v>11131600</v>
      </c>
      <c r="C50" s="4">
        <f>_xll.SNL.Clients.Office.Excel.Functions.SPG(A50,"IQ_AVG_DILUT_SHARES_OUT","CY2023")</f>
        <v>53783069</v>
      </c>
      <c r="D50" s="5">
        <f>_xll.SNL.Clients.Office.Excel.Functions.SPG(A50, "IQ_DILUT_EPS_NORM", "CY2023")</f>
        <v>9.7729999999999997</v>
      </c>
      <c r="E50">
        <f t="shared" si="2"/>
        <v>525621.93333699997</v>
      </c>
      <c r="F50">
        <f t="shared" si="3"/>
        <v>4.7218902344406913E-2</v>
      </c>
      <c r="G50" s="5">
        <f>_xll.SNL.Clients.Office.Excel.Functions.SPG(A50, "SP_MARKETCAP", "12/30/2023")</f>
        <v>8860.9935638000006</v>
      </c>
      <c r="H50">
        <f t="shared" si="7"/>
        <v>2.1089165596024193E-4</v>
      </c>
      <c r="I50">
        <f t="shared" si="8"/>
        <v>2.0610441536994444E-3</v>
      </c>
      <c r="K50" t="s">
        <v>50</v>
      </c>
      <c r="L50" s="4" cm="1">
        <f t="array" ref="L50">_xll.SNL.Clients.Office.Excel.Functions.SPG(K50, "SP_TOTAL_REV", "CY2023")</f>
        <v>11131600</v>
      </c>
      <c r="M50" s="4">
        <f>_xll.SNL.Clients.Office.Excel.Functions.SPG(K50,"IQ_AVG_DILUT_SHARES_OUT","CY2023")</f>
        <v>53783069</v>
      </c>
      <c r="N50" s="5">
        <f>_xll.SNL.Clients.Office.Excel.Functions.SPG(K50, "IQ_DILUT_EPS_NORM", "CY2023")</f>
        <v>9.7729999999999997</v>
      </c>
      <c r="O50">
        <f t="shared" si="4"/>
        <v>525621.93333699997</v>
      </c>
      <c r="P50">
        <f t="shared" si="5"/>
        <v>4.7218902344406913E-2</v>
      </c>
      <c r="Q50" s="5">
        <f>_xll.SNL.Clients.Office.Excel.Functions.SPG(K50, "SP_MARKETCAP", "12/31/2022")</f>
        <v>6607.0985107400002</v>
      </c>
      <c r="R50">
        <f t="shared" si="9"/>
        <v>1.9608679276116099E-4</v>
      </c>
      <c r="S50">
        <f t="shared" si="10"/>
        <v>1.9163562256548263E-3</v>
      </c>
      <c r="U50" t="s">
        <v>50</v>
      </c>
      <c r="V50" s="4" cm="1">
        <f t="array" ref="V50">_xll.SNL.Clients.Office.Excel.Functions.SPG(U50, "SP_TOTAL_REV", "CY2021")</f>
        <v>10187600</v>
      </c>
      <c r="W50" s="4">
        <f>_xll.SNL.Clients.Office.Excel.Functions.SPG(U50,"IQ_AVG_DILUT_SHARES_OUT","CY2021")</f>
        <v>60123694</v>
      </c>
      <c r="X50" s="5">
        <f>_xll.SNL.Clients.Office.Excel.Functions.SPG(U50, "IQ_DILUT_EPS_NORM", "CY2021")</f>
        <v>8.3729999999999993</v>
      </c>
      <c r="Y50">
        <f t="shared" si="11"/>
        <v>503415.689862</v>
      </c>
      <c r="Z50">
        <f t="shared" si="12"/>
        <v>4.9414551990851624E-2</v>
      </c>
      <c r="AA50" s="5">
        <f>_xll.SNL.Clients.Office.Excel.Functions.SPG(U50, "SP_MARKETCAP", "12/31/2021")</f>
        <v>8880.3898647400001</v>
      </c>
      <c r="AB50">
        <f t="shared" si="6"/>
        <v>2.0928864158142164E-4</v>
      </c>
      <c r="AC50">
        <f t="shared" si="13"/>
        <v>1.7523737959612433E-3</v>
      </c>
    </row>
    <row r="51" spans="1:29" x14ac:dyDescent="0.3">
      <c r="A51" t="s">
        <v>51</v>
      </c>
      <c r="B51" s="4" cm="1">
        <f t="array" ref="B51">_xll.SNL.Clients.Office.Excel.Functions.SPG(A51, "SP_TOTAL_REV", "CY2023")</f>
        <v>122428000</v>
      </c>
      <c r="C51" s="4">
        <f>_xll.SNL.Clients.Office.Excel.Functions.SPG(A51,"IQ_AVG_DILUT_SHARES_OUT","CY2023")</f>
        <v>7258000000</v>
      </c>
      <c r="D51" s="5">
        <f>_xll.SNL.Clients.Office.Excel.Functions.SPG(A51, "IQ_DILUT_EPS_NORM", "CY2023")</f>
        <v>1.6819999999999999</v>
      </c>
      <c r="E51">
        <f t="shared" si="2"/>
        <v>12207956</v>
      </c>
      <c r="F51">
        <f t="shared" si="3"/>
        <v>9.9715391903812858E-2</v>
      </c>
      <c r="G51" s="5">
        <f>_xll.SNL.Clients.Office.Excel.Functions.SPG(A51, "SP_MARKETCAP", "12/30/2023")</f>
        <v>119977.33758004</v>
      </c>
      <c r="H51">
        <f t="shared" si="7"/>
        <v>2.8554607581844182E-3</v>
      </c>
      <c r="I51">
        <f t="shared" si="8"/>
        <v>4.802884995266191E-3</v>
      </c>
      <c r="K51" t="s">
        <v>51</v>
      </c>
      <c r="L51" s="4" cm="1">
        <f t="array" ref="L51">_xll.SNL.Clients.Office.Excel.Functions.SPG(K51, "SP_TOTAL_REV", "CY2023")</f>
        <v>122428000</v>
      </c>
      <c r="M51" s="4">
        <f>_xll.SNL.Clients.Office.Excel.Functions.SPG(K51,"IQ_AVG_DILUT_SHARES_OUT","CY2023")</f>
        <v>7258000000</v>
      </c>
      <c r="N51" s="5">
        <f>_xll.SNL.Clients.Office.Excel.Functions.SPG(K51, "IQ_DILUT_EPS_NORM", "CY2023")</f>
        <v>1.6819999999999999</v>
      </c>
      <c r="O51">
        <f t="shared" si="4"/>
        <v>12207956</v>
      </c>
      <c r="P51">
        <f t="shared" si="5"/>
        <v>9.9715391903812858E-2</v>
      </c>
      <c r="Q51" s="5">
        <f>_xll.SNL.Clients.Office.Excel.Functions.SPG(K51, "SP_MARKETCAP", "12/31/2022")</f>
        <v>131193.12710007001</v>
      </c>
      <c r="R51">
        <f t="shared" si="9"/>
        <v>3.8935758992458E-3</v>
      </c>
      <c r="S51">
        <f t="shared" si="10"/>
        <v>6.5489946625314358E-3</v>
      </c>
      <c r="U51" t="s">
        <v>51</v>
      </c>
      <c r="V51" s="4" cm="1">
        <f t="array" ref="V51">_xll.SNL.Clients.Office.Excel.Functions.SPG(U51, "SP_TOTAL_REV", "CY2021")</f>
        <v>134038000</v>
      </c>
      <c r="W51" s="4">
        <f>_xll.SNL.Clients.Office.Excel.Functions.SPG(U51,"IQ_AVG_DILUT_SHARES_OUT","CY2021")</f>
        <v>7503000000</v>
      </c>
      <c r="X51" s="5">
        <f>_xll.SNL.Clients.Office.Excel.Functions.SPG(U51, "IQ_DILUT_EPS_NORM", "CY2021")</f>
        <v>2.2029999999999998</v>
      </c>
      <c r="Y51">
        <f t="shared" si="11"/>
        <v>16529108.999999998</v>
      </c>
      <c r="Z51">
        <f t="shared" si="12"/>
        <v>0.12331658932541517</v>
      </c>
      <c r="AA51" s="5">
        <f>_xll.SNL.Clients.Office.Excel.Functions.SPG(U51, "SP_MARKETCAP", "12/31/2021")</f>
        <v>175668.6</v>
      </c>
      <c r="AB51">
        <f t="shared" si="6"/>
        <v>4.1400707877127128E-3</v>
      </c>
      <c r="AC51">
        <f t="shared" si="13"/>
        <v>9.1205759453311056E-3</v>
      </c>
    </row>
    <row r="52" spans="1:29" x14ac:dyDescent="0.3">
      <c r="A52" t="s">
        <v>52</v>
      </c>
      <c r="B52" s="4" cm="1">
        <f t="array" ref="B52">_xll.SNL.Clients.Office.Excel.Functions.SPG(A52, "SP_TOTAL_REV", "CY2023")</f>
        <v>3949815</v>
      </c>
      <c r="C52" s="4">
        <f>_xll.SNL.Clients.Office.Excel.Functions.SPG(A52,"IQ_AVG_DILUT_SHARES_OUT","CY2023")</f>
        <v>147130750</v>
      </c>
      <c r="D52" s="5">
        <f>_xll.SNL.Clients.Office.Excel.Functions.SPG(A52, "IQ_DILUT_EPS_NORM", "CY2023")</f>
        <v>4.49</v>
      </c>
      <c r="E52">
        <f t="shared" si="2"/>
        <v>660617.0675</v>
      </c>
      <c r="F52">
        <f t="shared" si="3"/>
        <v>0.16725266056764684</v>
      </c>
      <c r="G52" s="5">
        <f>_xll.SNL.Clients.Office.Excel.Functions.SPG(A52, "SP_MARKETCAP", "12/30/2023")</f>
        <v>17481.607054200002</v>
      </c>
      <c r="H52">
        <f t="shared" si="7"/>
        <v>4.1606226592556605E-4</v>
      </c>
      <c r="I52">
        <f t="shared" si="8"/>
        <v>1.8681195740057916E-3</v>
      </c>
      <c r="K52" t="s">
        <v>52</v>
      </c>
      <c r="L52" s="4" cm="1">
        <f t="array" ref="L52">_xll.SNL.Clients.Office.Excel.Functions.SPG(K52, "SP_TOTAL_REV", "CY2023")</f>
        <v>3949815</v>
      </c>
      <c r="M52" s="4">
        <f>_xll.SNL.Clients.Office.Excel.Functions.SPG(K52,"IQ_AVG_DILUT_SHARES_OUT","CY2023")</f>
        <v>147130750</v>
      </c>
      <c r="N52" s="5">
        <f>_xll.SNL.Clients.Office.Excel.Functions.SPG(K52, "IQ_DILUT_EPS_NORM", "CY2023")</f>
        <v>4.49</v>
      </c>
      <c r="O52">
        <f t="shared" si="4"/>
        <v>660617.0675</v>
      </c>
      <c r="P52">
        <f t="shared" si="5"/>
        <v>0.16725266056764684</v>
      </c>
      <c r="Q52" s="5">
        <f>_xll.SNL.Clients.Office.Excel.Functions.SPG(K52, "SP_MARKETCAP", "12/31/2022")</f>
        <v>15803.66020618</v>
      </c>
      <c r="R52">
        <f t="shared" si="9"/>
        <v>4.6902419249231784E-4</v>
      </c>
      <c r="S52">
        <f t="shared" si="10"/>
        <v>2.1059186242905073E-3</v>
      </c>
      <c r="U52" t="s">
        <v>52</v>
      </c>
      <c r="V52" s="4" cm="1">
        <f t="array" ref="V52">_xll.SNL.Clients.Office.Excel.Functions.SPG(U52, "SP_TOTAL_REV", "CY2021")</f>
        <v>3505796</v>
      </c>
      <c r="W52" s="4">
        <f>_xll.SNL.Clients.Office.Excel.Functions.SPG(U52,"IQ_AVG_DILUT_SHARES_OUT","CY2021")</f>
        <v>131497750</v>
      </c>
      <c r="X52" s="5">
        <f>_xll.SNL.Clients.Office.Excel.Functions.SPG(U52, "IQ_DILUT_EPS_NORM", "CY2021")</f>
        <v>3.8119999999999998</v>
      </c>
      <c r="Y52">
        <f t="shared" si="11"/>
        <v>501269.42300000001</v>
      </c>
      <c r="Z52">
        <f t="shared" si="12"/>
        <v>0.14298305520344026</v>
      </c>
      <c r="AA52" s="5">
        <f>_xll.SNL.Clients.Office.Excel.Functions.SPG(U52, "SP_MARKETCAP", "12/31/2021")</f>
        <v>13903.52768049</v>
      </c>
      <c r="AB52">
        <f t="shared" si="6"/>
        <v>3.2767147228447057E-4</v>
      </c>
      <c r="AC52">
        <f t="shared" si="13"/>
        <v>1.2490836523484017E-3</v>
      </c>
    </row>
    <row r="53" spans="1:29" x14ac:dyDescent="0.3">
      <c r="A53" t="s">
        <v>53</v>
      </c>
      <c r="B53" s="4" cm="1">
        <f t="array" ref="B53">_xll.SNL.Clients.Office.Excel.Functions.SPG(A53, "SP_TOTAL_REV", "CY2023")</f>
        <v>5497000</v>
      </c>
      <c r="C53" s="4">
        <f>_xll.SNL.Clients.Office.Excel.Functions.SPG(A53,"IQ_AVG_DILUT_SHARES_OUT","CY2023")</f>
        <v>216000000</v>
      </c>
      <c r="D53" s="5">
        <f>_xll.SNL.Clients.Office.Excel.Functions.SPG(A53, "IQ_DILUT_EPS_NORM", "CY2023")</f>
        <v>3.516</v>
      </c>
      <c r="E53">
        <f t="shared" si="2"/>
        <v>759456</v>
      </c>
      <c r="F53">
        <f t="shared" si="3"/>
        <v>0.13815826814626159</v>
      </c>
      <c r="G53" s="5">
        <f>_xll.SNL.Clients.Office.Excel.Functions.SPG(A53, "SP_MARKETCAP", "12/30/2023")</f>
        <v>52084.103330999998</v>
      </c>
      <c r="H53">
        <f t="shared" si="7"/>
        <v>1.2396017130124688E-3</v>
      </c>
      <c r="I53">
        <f t="shared" si="8"/>
        <v>4.3584396229518407E-3</v>
      </c>
      <c r="K53" t="s">
        <v>53</v>
      </c>
      <c r="L53" s="4" cm="1">
        <f t="array" ref="L53">_xll.SNL.Clients.Office.Excel.Functions.SPG(K53, "SP_TOTAL_REV", "CY2023")</f>
        <v>5497000</v>
      </c>
      <c r="M53" s="4">
        <f>_xll.SNL.Clients.Office.Excel.Functions.SPG(K53,"IQ_AVG_DILUT_SHARES_OUT","CY2023")</f>
        <v>216000000</v>
      </c>
      <c r="N53" s="5">
        <f>_xll.SNL.Clients.Office.Excel.Functions.SPG(K53, "IQ_DILUT_EPS_NORM", "CY2023")</f>
        <v>3.516</v>
      </c>
      <c r="O53">
        <f t="shared" si="4"/>
        <v>759456</v>
      </c>
      <c r="P53">
        <f t="shared" si="5"/>
        <v>0.13815826814626159</v>
      </c>
      <c r="Q53" s="5">
        <f>_xll.SNL.Clients.Office.Excel.Functions.SPG(K53, "SP_MARKETCAP", "12/31/2022")</f>
        <v>40320.471603780003</v>
      </c>
      <c r="R53">
        <f t="shared" si="9"/>
        <v>1.1966390309680994E-3</v>
      </c>
      <c r="S53">
        <f t="shared" si="10"/>
        <v>4.2073828328838374E-3</v>
      </c>
      <c r="U53" t="s">
        <v>53</v>
      </c>
      <c r="V53" s="4" cm="1">
        <f t="array" ref="V53">_xll.SNL.Clients.Office.Excel.Functions.SPG(U53, "SP_TOTAL_REV", "CY2021")</f>
        <v>4386000</v>
      </c>
      <c r="W53" s="4">
        <f>_xll.SNL.Clients.Office.Excel.Functions.SPG(U53,"IQ_AVG_DILUT_SHARES_OUT","CY2021")</f>
        <v>222000000</v>
      </c>
      <c r="X53" s="5">
        <f>_xll.SNL.Clients.Office.Excel.Functions.SPG(U53, "IQ_DILUT_EPS_NORM", "CY2021")</f>
        <v>1.948</v>
      </c>
      <c r="Y53">
        <f t="shared" si="11"/>
        <v>432456</v>
      </c>
      <c r="Z53">
        <f t="shared" si="12"/>
        <v>9.8599179206566342E-2</v>
      </c>
      <c r="AA53" s="5">
        <f>_xll.SNL.Clients.Office.Excel.Functions.SPG(U53, "SP_MARKETCAP", "12/31/2021")</f>
        <v>61854.325126229996</v>
      </c>
      <c r="AB53">
        <f t="shared" si="6"/>
        <v>1.4577521796655137E-3</v>
      </c>
      <c r="AC53">
        <f t="shared" si="13"/>
        <v>2.8397012459884206E-3</v>
      </c>
    </row>
    <row r="54" spans="1:29" x14ac:dyDescent="0.3">
      <c r="A54" t="s">
        <v>54</v>
      </c>
      <c r="B54" s="4" cm="1">
        <f t="array" ref="B54">_xll.SNL.Clients.Office.Excel.Functions.SPG(A54, "SP_TOTAL_REV", "CY2023")</f>
        <v>18585900</v>
      </c>
      <c r="C54" s="4">
        <f>_xll.SNL.Clients.Office.Excel.Functions.SPG(A54,"IQ_AVG_DILUT_SHARES_OUT","CY2023")</f>
        <v>414400000</v>
      </c>
      <c r="D54" s="5">
        <f>_xll.SNL.Clients.Office.Excel.Functions.SPG(A54, "IQ_DILUT_EPS_NORM", "CY2023")</f>
        <v>6.9359999999999999</v>
      </c>
      <c r="E54">
        <f t="shared" si="2"/>
        <v>2874278.4</v>
      </c>
      <c r="F54">
        <f t="shared" si="3"/>
        <v>0.154648330185786</v>
      </c>
      <c r="G54" s="5">
        <f>_xll.SNL.Clients.Office.Excel.Functions.SPG(A54, "SP_MARKETCAP", "12/30/2023")</f>
        <v>95821.675062540002</v>
      </c>
      <c r="H54">
        <f t="shared" si="7"/>
        <v>2.2805559653467536E-3</v>
      </c>
      <c r="I54">
        <f t="shared" si="8"/>
        <v>1.5817936175645083E-2</v>
      </c>
      <c r="K54" t="s">
        <v>54</v>
      </c>
      <c r="L54" s="4" cm="1">
        <f t="array" ref="L54">_xll.SNL.Clients.Office.Excel.Functions.SPG(K54, "SP_TOTAL_REV", "CY2023")</f>
        <v>18585900</v>
      </c>
      <c r="M54" s="4">
        <f>_xll.SNL.Clients.Office.Excel.Functions.SPG(K54,"IQ_AVG_DILUT_SHARES_OUT","CY2023")</f>
        <v>414400000</v>
      </c>
      <c r="N54" s="5">
        <f>_xll.SNL.Clients.Office.Excel.Functions.SPG(K54, "IQ_DILUT_EPS_NORM", "CY2023")</f>
        <v>6.9359999999999999</v>
      </c>
      <c r="O54">
        <f t="shared" si="4"/>
        <v>2874278.4</v>
      </c>
      <c r="P54">
        <f t="shared" si="5"/>
        <v>0.154648330185786</v>
      </c>
      <c r="Q54" s="5">
        <f>_xll.SNL.Clients.Office.Excel.Functions.SPG(K54, "SP_MARKETCAP", "12/31/2022")</f>
        <v>99085.760903339993</v>
      </c>
      <c r="R54">
        <f t="shared" si="9"/>
        <v>2.9406870553318068E-3</v>
      </c>
      <c r="S54">
        <f t="shared" si="10"/>
        <v>2.0396605415781411E-2</v>
      </c>
      <c r="U54" t="s">
        <v>54</v>
      </c>
      <c r="V54" s="4" cm="1">
        <f t="array" ref="V54">_xll.SNL.Clients.Office.Excel.Functions.SPG(U54, "SP_TOTAL_REV", "CY2021")</f>
        <v>15696600</v>
      </c>
      <c r="W54" s="4">
        <f>_xll.SNL.Clients.Office.Excel.Functions.SPG(U54,"IQ_AVG_DILUT_SHARES_OUT","CY2021")</f>
        <v>424800000</v>
      </c>
      <c r="X54" s="5">
        <f>_xll.SNL.Clients.Office.Excel.Functions.SPG(U54, "IQ_DILUT_EPS_NORM", "CY2021")</f>
        <v>5.2210000000000001</v>
      </c>
      <c r="Y54">
        <f t="shared" si="11"/>
        <v>2217880.7999999998</v>
      </c>
      <c r="Z54">
        <f t="shared" si="12"/>
        <v>0.14129689232062995</v>
      </c>
      <c r="AA54" s="5">
        <f>_xll.SNL.Clients.Office.Excel.Functions.SPG(U54, "SP_MARKETCAP", "12/31/2021")</f>
        <v>103904.87707636</v>
      </c>
      <c r="AB54">
        <f t="shared" si="6"/>
        <v>2.4487788158197785E-3</v>
      </c>
      <c r="AC54">
        <f t="shared" si="13"/>
        <v>1.2785074197395064E-2</v>
      </c>
    </row>
    <row r="55" spans="1:29" x14ac:dyDescent="0.3">
      <c r="A55" t="s">
        <v>55</v>
      </c>
      <c r="B55" s="4" cm="1">
        <f t="array" ref="B55">_xll.SNL.Clients.Office.Excel.Functions.SPG(A55, "SP_TOTAL_REV", "CY2023")</f>
        <v>17830563</v>
      </c>
      <c r="C55" s="4">
        <f>_xll.SNL.Clients.Office.Excel.Functions.SPG(A55,"IQ_AVG_DILUT_SHARES_OUT","CY2023")</f>
        <v>18750250</v>
      </c>
      <c r="D55" s="5">
        <f>_xll.SNL.Clients.Office.Excel.Functions.SPG(A55, "IQ_DILUT_EPS_NORM", "CY2023")</f>
        <v>108.649</v>
      </c>
      <c r="E55">
        <f t="shared" si="2"/>
        <v>2037195.9122500001</v>
      </c>
      <c r="F55">
        <f t="shared" si="3"/>
        <v>0.11425303352732048</v>
      </c>
      <c r="G55" s="5">
        <f>_xll.SNL.Clients.Office.Excel.Functions.SPG(A55, "SP_MARKETCAP", "12/30/2023")</f>
        <v>44710.119901439997</v>
      </c>
      <c r="H55">
        <f t="shared" si="7"/>
        <v>1.064100899781273E-3</v>
      </c>
      <c r="I55">
        <f t="shared" si="8"/>
        <v>0.11561349866033553</v>
      </c>
      <c r="K55" t="s">
        <v>55</v>
      </c>
      <c r="L55" s="4" cm="1">
        <f t="array" ref="L55">_xll.SNL.Clients.Office.Excel.Functions.SPG(K55, "SP_TOTAL_REV", "CY2023")</f>
        <v>17830563</v>
      </c>
      <c r="M55" s="4">
        <f>_xll.SNL.Clients.Office.Excel.Functions.SPG(K55,"IQ_AVG_DILUT_SHARES_OUT","CY2023")</f>
        <v>18750250</v>
      </c>
      <c r="N55" s="5">
        <f>_xll.SNL.Clients.Office.Excel.Functions.SPG(K55, "IQ_DILUT_EPS_NORM", "CY2023")</f>
        <v>108.649</v>
      </c>
      <c r="O55">
        <f t="shared" si="4"/>
        <v>2037195.9122500001</v>
      </c>
      <c r="P55">
        <f t="shared" si="5"/>
        <v>0.11425303352732048</v>
      </c>
      <c r="Q55" s="5">
        <f>_xll.SNL.Clients.Office.Excel.Functions.SPG(K55, "SP_MARKETCAP", "12/31/2022")</f>
        <v>46279.522506779998</v>
      </c>
      <c r="R55">
        <f t="shared" si="9"/>
        <v>1.3734929370465933E-3</v>
      </c>
      <c r="S55">
        <f t="shared" si="10"/>
        <v>0.14922863411717532</v>
      </c>
      <c r="U55" t="s">
        <v>55</v>
      </c>
      <c r="V55" s="4" cm="1">
        <f t="array" ref="V55">_xll.SNL.Clients.Office.Excel.Functions.SPG(U55, "SP_TOTAL_REV", "CY2021")</f>
        <v>15144228</v>
      </c>
      <c r="W55" s="4">
        <f>_xll.SNL.Clients.Office.Excel.Functions.SPG(U55,"IQ_AVG_DILUT_SHARES_OUT","CY2021")</f>
        <v>22256750</v>
      </c>
      <c r="X55" s="5">
        <f>_xll.SNL.Clients.Office.Excel.Functions.SPG(U55, "IQ_DILUT_EPS_NORM", "CY2021")</f>
        <v>82.4</v>
      </c>
      <c r="Y55">
        <f t="shared" si="11"/>
        <v>1833956.2000000002</v>
      </c>
      <c r="Z55">
        <f t="shared" si="12"/>
        <v>0.12109935217562759</v>
      </c>
      <c r="AA55" s="5">
        <f>_xll.SNL.Clients.Office.Excel.Functions.SPG(U55, "SP_MARKETCAP", "12/31/2021")</f>
        <v>43257.741430440001</v>
      </c>
      <c r="AB55">
        <f t="shared" si="6"/>
        <v>1.0194770814966054E-3</v>
      </c>
      <c r="AC55">
        <f t="shared" si="13"/>
        <v>8.4004911515320288E-2</v>
      </c>
    </row>
    <row r="56" spans="1:29" x14ac:dyDescent="0.3">
      <c r="A56" t="s">
        <v>56</v>
      </c>
      <c r="B56" s="4" cm="1">
        <f t="array" ref="B56">_xll.SNL.Clients.Office.Excel.Functions.SPG(A56, "SP_TOTAL_REV", "CY2023")</f>
        <v>2815021</v>
      </c>
      <c r="C56" s="4">
        <f>_xll.SNL.Clients.Office.Excel.Functions.SPG(A56,"IQ_AVG_DILUT_SHARES_OUT","CY2023")</f>
        <v>141643788</v>
      </c>
      <c r="D56" s="5">
        <f>_xll.SNL.Clients.Office.Excel.Functions.SPG(A56, "IQ_DILUT_EPS_NORM", "CY2023")</f>
        <v>3.0649999999999999</v>
      </c>
      <c r="E56">
        <f t="shared" si="2"/>
        <v>434138.21021999995</v>
      </c>
      <c r="F56">
        <f t="shared" si="3"/>
        <v>0.15422201476294492</v>
      </c>
      <c r="G56" s="5">
        <f>_xll.SNL.Clients.Office.Excel.Functions.SPG(A56, "SP_MARKETCAP", "12/30/2023")</f>
        <v>26555.343399860001</v>
      </c>
      <c r="H56">
        <f t="shared" si="7"/>
        <v>6.3201720031356068E-4</v>
      </c>
      <c r="I56">
        <f t="shared" si="8"/>
        <v>1.9371327189610635E-3</v>
      </c>
      <c r="K56" t="s">
        <v>56</v>
      </c>
      <c r="L56" s="4" cm="1">
        <f t="array" ref="L56">_xll.SNL.Clients.Office.Excel.Functions.SPG(K56, "SP_TOTAL_REV", "CY2023")</f>
        <v>2815021</v>
      </c>
      <c r="M56" s="4">
        <f>_xll.SNL.Clients.Office.Excel.Functions.SPG(K56,"IQ_AVG_DILUT_SHARES_OUT","CY2023")</f>
        <v>141643788</v>
      </c>
      <c r="N56" s="5">
        <f>_xll.SNL.Clients.Office.Excel.Functions.SPG(K56, "IQ_DILUT_EPS_NORM", "CY2023")</f>
        <v>3.0649999999999999</v>
      </c>
      <c r="O56">
        <f t="shared" si="4"/>
        <v>434138.21021999995</v>
      </c>
      <c r="P56">
        <f t="shared" si="5"/>
        <v>0.15422201476294492</v>
      </c>
      <c r="Q56" s="5">
        <f>_xll.SNL.Clients.Office.Excel.Functions.SPG(K56, "SP_MARKETCAP", "12/31/2022")</f>
        <v>22566.079047840001</v>
      </c>
      <c r="R56">
        <f t="shared" si="9"/>
        <v>6.6972061313948629E-4</v>
      </c>
      <c r="S56">
        <f t="shared" si="10"/>
        <v>2.0526936792725253E-3</v>
      </c>
      <c r="U56" t="s">
        <v>56</v>
      </c>
      <c r="V56" s="4" cm="1">
        <f t="array" ref="V56">_xll.SNL.Clients.Office.Excel.Functions.SPG(U56, "SP_TOTAL_REV", "CY2021")</f>
        <v>2310130</v>
      </c>
      <c r="W56" s="4">
        <f>_xll.SNL.Clients.Office.Excel.Functions.SPG(U56,"IQ_AVG_DILUT_SHARES_OUT","CY2021")</f>
        <v>139717399</v>
      </c>
      <c r="X56" s="5">
        <f>_xll.SNL.Clients.Office.Excel.Functions.SPG(U56, "IQ_DILUT_EPS_NORM", "CY2021")</f>
        <v>1.9319999999999999</v>
      </c>
      <c r="Y56">
        <f t="shared" si="11"/>
        <v>269934.014868</v>
      </c>
      <c r="Z56">
        <f t="shared" si="12"/>
        <v>0.11684797603078614</v>
      </c>
      <c r="AA56" s="5">
        <f>_xll.SNL.Clients.Office.Excel.Functions.SPG(U56, "SP_MARKETCAP", "12/31/2021")</f>
        <v>35238.708646439998</v>
      </c>
      <c r="AB56">
        <f t="shared" si="6"/>
        <v>8.3048847809936229E-4</v>
      </c>
      <c r="AC56">
        <f t="shared" si="13"/>
        <v>1.604503739687968E-3</v>
      </c>
    </row>
    <row r="57" spans="1:29" x14ac:dyDescent="0.3">
      <c r="A57" t="s">
        <v>57</v>
      </c>
      <c r="B57" s="4" cm="1">
        <f t="array" ref="B57">_xll.SNL.Clients.Office.Excel.Functions.SPG(A57, "SP_TOTAL_REV", "CY2023")</f>
        <v>8364300</v>
      </c>
      <c r="C57" s="4">
        <f>_xll.SNL.Clients.Office.Excel.Functions.SPG(A57,"IQ_AVG_DILUT_SHARES_OUT","CY2023")</f>
        <v>81100000</v>
      </c>
      <c r="D57" s="5">
        <f>_xll.SNL.Clients.Office.Excel.Functions.SPG(A57, "IQ_DILUT_EPS_NORM", "CY2023")</f>
        <v>6.476</v>
      </c>
      <c r="E57">
        <f t="shared" si="2"/>
        <v>525203.6</v>
      </c>
      <c r="F57">
        <f t="shared" si="3"/>
        <v>6.2791100271391509E-2</v>
      </c>
      <c r="G57" s="5">
        <f>_xll.SNL.Clients.Office.Excel.Functions.SPG(A57, "SP_MARKETCAP", "12/30/2023")</f>
        <v>16280.203160479999</v>
      </c>
      <c r="H57">
        <f t="shared" si="7"/>
        <v>3.8746885201555319E-4</v>
      </c>
      <c r="I57">
        <f t="shared" si="8"/>
        <v>2.5092482856527223E-3</v>
      </c>
      <c r="K57" t="s">
        <v>57</v>
      </c>
      <c r="L57" s="4" cm="1">
        <f t="array" ref="L57">_xll.SNL.Clients.Office.Excel.Functions.SPG(K57, "SP_TOTAL_REV", "CY2023")</f>
        <v>8364300</v>
      </c>
      <c r="M57" s="4">
        <f>_xll.SNL.Clients.Office.Excel.Functions.SPG(K57,"IQ_AVG_DILUT_SHARES_OUT","CY2023")</f>
        <v>81100000</v>
      </c>
      <c r="N57" s="5">
        <f>_xll.SNL.Clients.Office.Excel.Functions.SPG(K57, "IQ_DILUT_EPS_NORM", "CY2023")</f>
        <v>6.476</v>
      </c>
      <c r="O57">
        <f t="shared" si="4"/>
        <v>525203.6</v>
      </c>
      <c r="P57">
        <f t="shared" si="5"/>
        <v>6.2791100271391509E-2</v>
      </c>
      <c r="Q57" s="5">
        <f>_xll.SNL.Clients.Office.Excel.Functions.SPG(K57, "SP_MARKETCAP", "12/31/2022")</f>
        <v>14655.391534</v>
      </c>
      <c r="R57">
        <f t="shared" si="9"/>
        <v>4.3494564488327439E-4</v>
      </c>
      <c r="S57">
        <f t="shared" si="10"/>
        <v>2.816707996264085E-3</v>
      </c>
      <c r="U57" t="s">
        <v>57</v>
      </c>
      <c r="V57" s="4" cm="1">
        <f t="array" ref="V57">_xll.SNL.Clients.Office.Excel.Functions.SPG(U57, "SP_TOTAL_REV", "CY2021")</f>
        <v>8408300</v>
      </c>
      <c r="W57" s="4">
        <f>_xll.SNL.Clients.Office.Excel.Functions.SPG(U57,"IQ_AVG_DILUT_SHARES_OUT","CY2021")</f>
        <v>83800000</v>
      </c>
      <c r="X57" s="5">
        <f>_xll.SNL.Clients.Office.Excel.Functions.SPG(U57, "IQ_DILUT_EPS_NORM", "CY2021")</f>
        <v>7.2720000000000002</v>
      </c>
      <c r="Y57">
        <f t="shared" si="11"/>
        <v>609393.6</v>
      </c>
      <c r="Z57">
        <f t="shared" si="12"/>
        <v>7.2475244698690572E-2</v>
      </c>
      <c r="AA57" s="5">
        <f>_xll.SNL.Clients.Office.Excel.Functions.SPG(U57, "SP_MARKETCAP", "12/31/2021")</f>
        <v>17931.039410310001</v>
      </c>
      <c r="AB57">
        <f t="shared" si="6"/>
        <v>4.2258987921546493E-4</v>
      </c>
      <c r="AC57">
        <f t="shared" si="13"/>
        <v>3.0730736016548613E-3</v>
      </c>
    </row>
    <row r="58" spans="1:29" x14ac:dyDescent="0.3">
      <c r="A58" t="s">
        <v>58</v>
      </c>
      <c r="B58" s="4" cm="1">
        <f t="array" ref="B58">_xll.SNL.Clients.Office.Excel.Functions.SPG(A58, "SP_TOTAL_REV", "CY2023")</f>
        <v>1563391</v>
      </c>
      <c r="C58" s="4">
        <f>_xll.SNL.Clients.Office.Excel.Functions.SPG(A58,"IQ_AVG_DILUT_SHARES_OUT","CY2023")</f>
        <v>75456000</v>
      </c>
      <c r="D58" s="5">
        <f>_xll.SNL.Clients.Office.Excel.Functions.SPG(A58, "IQ_DILUT_EPS_NORM", "CY2023")</f>
        <v>1.649</v>
      </c>
      <c r="E58">
        <f t="shared" si="2"/>
        <v>124426.944</v>
      </c>
      <c r="F58">
        <f t="shared" si="3"/>
        <v>7.9587859978725736E-2</v>
      </c>
      <c r="G58" s="5">
        <f>_xll.SNL.Clients.Office.Excel.Functions.SPG(A58, "SP_MARKETCAP", "12/30/2023")</f>
        <v>19357.65656223</v>
      </c>
      <c r="H58">
        <f t="shared" si="7"/>
        <v>4.607122461521823E-4</v>
      </c>
      <c r="I58">
        <f t="shared" si="8"/>
        <v>7.5971449390494861E-4</v>
      </c>
      <c r="K58" t="s">
        <v>58</v>
      </c>
      <c r="L58" s="4" cm="1">
        <f t="array" ref="L58">_xll.SNL.Clients.Office.Excel.Functions.SPG(K58, "SP_TOTAL_REV", "CY2023")</f>
        <v>1563391</v>
      </c>
      <c r="M58" s="4">
        <f>_xll.SNL.Clients.Office.Excel.Functions.SPG(K58,"IQ_AVG_DILUT_SHARES_OUT","CY2023")</f>
        <v>75456000</v>
      </c>
      <c r="N58" s="5">
        <f>_xll.SNL.Clients.Office.Excel.Functions.SPG(K58, "IQ_DILUT_EPS_NORM", "CY2023")</f>
        <v>1.649</v>
      </c>
      <c r="O58">
        <f t="shared" si="4"/>
        <v>124426.944</v>
      </c>
      <c r="P58">
        <f t="shared" si="5"/>
        <v>7.9587859978725736E-2</v>
      </c>
      <c r="Q58" s="5">
        <f>_xll.SNL.Clients.Office.Excel.Functions.SPG(K58, "SP_MARKETCAP", "12/31/2022")</f>
        <v>11808.46718922</v>
      </c>
      <c r="R58">
        <f t="shared" si="9"/>
        <v>3.5045405404440007E-4</v>
      </c>
      <c r="S58">
        <f t="shared" si="10"/>
        <v>5.7789873511921569E-4</v>
      </c>
      <c r="U58" t="s">
        <v>58</v>
      </c>
      <c r="V58" s="4" cm="1">
        <f t="array" ref="V58">_xll.SNL.Clients.Office.Excel.Functions.SPG(U58, "SP_TOTAL_REV", "CY2021")</f>
        <v>863381</v>
      </c>
      <c r="W58" s="4">
        <f>_xll.SNL.Clients.Office.Excel.Functions.SPG(U58,"IQ_AVG_DILUT_SHARES_OUT","CY2021")</f>
        <v>66191000</v>
      </c>
      <c r="X58" s="5">
        <f>_xll.SNL.Clients.Office.Excel.Functions.SPG(U58, "IQ_DILUT_EPS_NORM", "CY2021")</f>
        <v>-1.335</v>
      </c>
      <c r="Y58">
        <f t="shared" si="11"/>
        <v>-88364.985000000001</v>
      </c>
      <c r="Z58">
        <f t="shared" si="12"/>
        <v>-0.10234761362596582</v>
      </c>
      <c r="AA58" s="5">
        <f>_xll.SNL.Clients.Office.Excel.Functions.SPG(U58, "SP_MARKETCAP", "12/31/2021")</f>
        <v>10749.408647</v>
      </c>
      <c r="AB58">
        <f t="shared" si="6"/>
        <v>2.5333675298050499E-4</v>
      </c>
      <c r="AC58">
        <f t="shared" si="13"/>
        <v>-3.3820456522897413E-4</v>
      </c>
    </row>
    <row r="59" spans="1:29" x14ac:dyDescent="0.3">
      <c r="A59" t="s">
        <v>59</v>
      </c>
      <c r="B59" s="4" cm="1">
        <f t="array" ref="B59">_xll.SNL.Clients.Office.Excel.Functions.SPG(A59, "SP_TOTAL_REV", "CY2023")</f>
        <v>25506000</v>
      </c>
      <c r="C59" s="4">
        <f>_xll.SNL.Clients.Office.Excel.Functions.SPG(A59,"IQ_AVG_DILUT_SHARES_OUT","CY2023")</f>
        <v>1015000000</v>
      </c>
      <c r="D59" s="5">
        <f>_xll.SNL.Clients.Office.Excel.Functions.SPG(A59, "IQ_DILUT_EPS_NORM", "CY2023")</f>
        <v>1.48</v>
      </c>
      <c r="E59">
        <f t="shared" si="2"/>
        <v>1502200</v>
      </c>
      <c r="F59">
        <f t="shared" si="3"/>
        <v>5.8895946051909356E-2</v>
      </c>
      <c r="G59" s="5">
        <f>_xll.SNL.Clients.Office.Excel.Functions.SPG(A59, "SP_MARKETCAP", "12/30/2023")</f>
        <v>34393.074462739998</v>
      </c>
      <c r="H59">
        <f t="shared" si="7"/>
        <v>8.1855520769621645E-4</v>
      </c>
      <c r="I59">
        <f t="shared" si="8"/>
        <v>1.2114617073904004E-3</v>
      </c>
      <c r="K59" t="s">
        <v>59</v>
      </c>
      <c r="L59" s="4" cm="1">
        <f t="array" ref="L59">_xll.SNL.Clients.Office.Excel.Functions.SPG(K59, "SP_TOTAL_REV", "CY2023")</f>
        <v>25506000</v>
      </c>
      <c r="M59" s="4">
        <f>_xll.SNL.Clients.Office.Excel.Functions.SPG(K59,"IQ_AVG_DILUT_SHARES_OUT","CY2023")</f>
        <v>1015000000</v>
      </c>
      <c r="N59" s="5">
        <f>_xll.SNL.Clients.Office.Excel.Functions.SPG(K59, "IQ_DILUT_EPS_NORM", "CY2023")</f>
        <v>1.48</v>
      </c>
      <c r="O59">
        <f t="shared" si="4"/>
        <v>1502200</v>
      </c>
      <c r="P59">
        <f t="shared" si="5"/>
        <v>5.8895946051909356E-2</v>
      </c>
      <c r="Q59" s="5">
        <f>_xll.SNL.Clients.Office.Excel.Functions.SPG(K59, "SP_MARKETCAP", "12/31/2022")</f>
        <v>29573.336721970001</v>
      </c>
      <c r="R59">
        <f t="shared" si="9"/>
        <v>8.7768340968893434E-4</v>
      </c>
      <c r="S59">
        <f t="shared" si="10"/>
        <v>1.2989714463396227E-3</v>
      </c>
      <c r="U59" t="s">
        <v>59</v>
      </c>
      <c r="V59" s="4" cm="1">
        <f t="array" ref="V59">_xll.SNL.Clients.Office.Excel.Functions.SPG(U59, "SP_TOTAL_REV", "CY2021")</f>
        <v>20502000</v>
      </c>
      <c r="W59" s="4">
        <f>_xll.SNL.Clients.Office.Excel.Functions.SPG(U59,"IQ_AVG_DILUT_SHARES_OUT","CY2021")</f>
        <v>824000000</v>
      </c>
      <c r="X59" s="5">
        <f>_xll.SNL.Clients.Office.Excel.Functions.SPG(U59, "IQ_DILUT_EPS_NORM", "CY2021")</f>
        <v>1.2090000000000001</v>
      </c>
      <c r="Y59">
        <f t="shared" si="11"/>
        <v>996216.00000000012</v>
      </c>
      <c r="Z59">
        <f t="shared" si="12"/>
        <v>4.8591161837869483E-2</v>
      </c>
      <c r="AA59" s="5">
        <f>_xll.SNL.Clients.Office.Excel.Functions.SPG(U59, "SP_MARKETCAP", "12/31/2021")</f>
        <v>20931.431283000002</v>
      </c>
      <c r="AB59">
        <f t="shared" si="6"/>
        <v>4.9330163273211228E-4</v>
      </c>
      <c r="AC59">
        <f t="shared" si="13"/>
        <v>5.9640167397312382E-4</v>
      </c>
    </row>
    <row r="60" spans="1:29" x14ac:dyDescent="0.3">
      <c r="A60" t="s">
        <v>60</v>
      </c>
      <c r="B60" s="4" cm="1">
        <f t="array" ref="B60">_xll.SNL.Clients.Office.Excel.Functions.SPG(A60, "SP_TOTAL_REV", "CY2023")</f>
        <v>14029000</v>
      </c>
      <c r="C60" s="4">
        <f>_xll.SNL.Clients.Office.Excel.Functions.SPG(A60,"IQ_AVG_DILUT_SHARES_OUT","CY2023")</f>
        <v>317022000</v>
      </c>
      <c r="D60" s="5">
        <f>_xll.SNL.Clients.Office.Excel.Functions.SPG(A60, "IQ_DILUT_EPS_NORM", "CY2023")</f>
        <v>1.9059999999999999</v>
      </c>
      <c r="E60">
        <f t="shared" si="2"/>
        <v>604243.93200000003</v>
      </c>
      <c r="F60">
        <f t="shared" si="3"/>
        <v>4.3071062228241502E-2</v>
      </c>
      <c r="G60" s="5">
        <f>_xll.SNL.Clients.Office.Excel.Functions.SPG(A60, "SP_MARKETCAP", "12/30/2023")</f>
        <v>18136.125829280001</v>
      </c>
      <c r="H60">
        <f t="shared" si="7"/>
        <v>4.3163981344773077E-4</v>
      </c>
      <c r="I60">
        <f t="shared" si="8"/>
        <v>8.2270548443137486E-4</v>
      </c>
      <c r="K60" t="s">
        <v>60</v>
      </c>
      <c r="L60" s="4" cm="1">
        <f t="array" ref="L60">_xll.SNL.Clients.Office.Excel.Functions.SPG(K60, "SP_TOTAL_REV", "CY2023")</f>
        <v>14029000</v>
      </c>
      <c r="M60" s="4">
        <f>_xll.SNL.Clients.Office.Excel.Functions.SPG(K60,"IQ_AVG_DILUT_SHARES_OUT","CY2023")</f>
        <v>317022000</v>
      </c>
      <c r="N60" s="5">
        <f>_xll.SNL.Clients.Office.Excel.Functions.SPG(K60, "IQ_DILUT_EPS_NORM", "CY2023")</f>
        <v>1.9059999999999999</v>
      </c>
      <c r="O60">
        <f t="shared" si="4"/>
        <v>604243.93200000003</v>
      </c>
      <c r="P60">
        <f t="shared" si="5"/>
        <v>4.3071062228241502E-2</v>
      </c>
      <c r="Q60" s="5">
        <f>_xll.SNL.Clients.Office.Excel.Functions.SPG(K60, "SP_MARKETCAP", "12/31/2022")</f>
        <v>16053.876471</v>
      </c>
      <c r="R60">
        <f t="shared" si="9"/>
        <v>4.7645016090878327E-4</v>
      </c>
      <c r="S60">
        <f t="shared" si="10"/>
        <v>9.0811400669214089E-4</v>
      </c>
      <c r="U60" t="s">
        <v>60</v>
      </c>
      <c r="V60" s="4" cm="1">
        <f t="array" ref="V60">_xll.SNL.Clients.Office.Excel.Functions.SPG(U60, "SP_TOTAL_REV", "CY2021")</f>
        <v>13811000</v>
      </c>
      <c r="W60" s="4">
        <f>_xll.SNL.Clients.Office.Excel.Functions.SPG(U60,"IQ_AVG_DILUT_SHARES_OUT","CY2021")</f>
        <v>331615000</v>
      </c>
      <c r="X60" s="5">
        <f>_xll.SNL.Clients.Office.Excel.Functions.SPG(U60, "IQ_DILUT_EPS_NORM", "CY2021")</f>
        <v>2.2280000000000002</v>
      </c>
      <c r="Y60">
        <f t="shared" si="11"/>
        <v>738838.22000000009</v>
      </c>
      <c r="Z60">
        <f t="shared" si="12"/>
        <v>5.3496359423647825E-2</v>
      </c>
      <c r="AA60" s="5">
        <f>_xll.SNL.Clients.Office.Excel.Functions.SPG(U60, "SP_MARKETCAP", "12/31/2021")</f>
        <v>31181.292901140001</v>
      </c>
      <c r="AB60">
        <f t="shared" si="6"/>
        <v>7.3486530810357403E-4</v>
      </c>
      <c r="AC60">
        <f t="shared" si="13"/>
        <v>1.6372799064547632E-3</v>
      </c>
    </row>
    <row r="61" spans="1:29" x14ac:dyDescent="0.3">
      <c r="A61" t="s">
        <v>61</v>
      </c>
      <c r="B61" s="4" cm="1">
        <f t="array" ref="B61">_xll.SNL.Clients.Office.Excel.Functions.SPG(A61, "SP_TOTAL_REV", "CY2023")</f>
        <v>100181000</v>
      </c>
      <c r="C61" s="4">
        <f>_xll.SNL.Clients.Office.Excel.Functions.SPG(A61,"IQ_AVG_DILUT_SHARES_OUT","CY2023")</f>
        <v>8080500000</v>
      </c>
      <c r="D61" s="5">
        <f>_xll.SNL.Clients.Office.Excel.Functions.SPG(A61, "IQ_DILUT_EPS_NORM", "CY2023")</f>
        <v>2.4780000000000002</v>
      </c>
      <c r="E61">
        <f t="shared" si="2"/>
        <v>20023479</v>
      </c>
      <c r="F61">
        <f t="shared" si="3"/>
        <v>0.19987301983410027</v>
      </c>
      <c r="G61" s="5">
        <f>_xll.SNL.Clients.Office.Excel.Functions.SPG(A61, "SP_MARKETCAP", "12/30/2023")</f>
        <v>266455.35691138002</v>
      </c>
      <c r="H61">
        <f t="shared" si="7"/>
        <v>6.3416377693902761E-3</v>
      </c>
      <c r="I61">
        <f t="shared" si="8"/>
        <v>1.5714578392549104E-2</v>
      </c>
      <c r="K61" t="s">
        <v>61</v>
      </c>
      <c r="L61" s="4" cm="1">
        <f t="array" ref="L61">_xll.SNL.Clients.Office.Excel.Functions.SPG(K61, "SP_TOTAL_REV", "CY2023")</f>
        <v>100181000</v>
      </c>
      <c r="M61" s="4">
        <f>_xll.SNL.Clients.Office.Excel.Functions.SPG(K61,"IQ_AVG_DILUT_SHARES_OUT","CY2023")</f>
        <v>8080500000</v>
      </c>
      <c r="N61" s="5">
        <f>_xll.SNL.Clients.Office.Excel.Functions.SPG(K61, "IQ_DILUT_EPS_NORM", "CY2023")</f>
        <v>2.4780000000000002</v>
      </c>
      <c r="O61">
        <f t="shared" si="4"/>
        <v>20023479</v>
      </c>
      <c r="P61">
        <f t="shared" si="5"/>
        <v>0.19987301983410027</v>
      </c>
      <c r="Q61" s="5">
        <f>_xll.SNL.Clients.Office.Excel.Functions.SPG(K61, "SP_MARKETCAP", "12/31/2022")</f>
        <v>265702.95575567998</v>
      </c>
      <c r="R61">
        <f t="shared" si="9"/>
        <v>7.8855855314705469E-3</v>
      </c>
      <c r="S61">
        <f t="shared" si="10"/>
        <v>1.9540480946984018E-2</v>
      </c>
      <c r="U61" t="s">
        <v>61</v>
      </c>
      <c r="V61" s="4" cm="1">
        <f t="array" ref="V61">_xll.SNL.Clients.Office.Excel.Functions.SPG(U61, "SP_TOTAL_REV", "CY2021")</f>
        <v>89113000</v>
      </c>
      <c r="W61" s="4">
        <f>_xll.SNL.Clients.Office.Excel.Functions.SPG(U61,"IQ_AVG_DILUT_SHARES_OUT","CY2021")</f>
        <v>8558400000</v>
      </c>
      <c r="X61" s="5">
        <f>_xll.SNL.Clients.Office.Excel.Functions.SPG(U61, "IQ_DILUT_EPS_NORM", "CY2021")</f>
        <v>2.4809999999999999</v>
      </c>
      <c r="Y61">
        <f t="shared" si="11"/>
        <v>21233390.399999999</v>
      </c>
      <c r="Z61">
        <f t="shared" si="12"/>
        <v>0.23827489142998215</v>
      </c>
      <c r="AA61" s="5">
        <f>_xll.SNL.Clients.Office.Excel.Functions.SPG(U61, "SP_MARKETCAP", "12/31/2021")</f>
        <v>364109.89858367998</v>
      </c>
      <c r="AB61">
        <f t="shared" si="6"/>
        <v>8.5811622261652443E-3</v>
      </c>
      <c r="AC61">
        <f t="shared" si="13"/>
        <v>2.128986348311597E-2</v>
      </c>
    </row>
    <row r="62" spans="1:29" x14ac:dyDescent="0.3">
      <c r="A62" t="s">
        <v>62</v>
      </c>
      <c r="B62" s="4" cm="1">
        <f t="array" ref="B62">_xll.SNL.Clients.Office.Excel.Functions.SPG(A62, "SP_TOTAL_REV", "CY2023")</f>
        <v>14813000</v>
      </c>
      <c r="C62" s="4">
        <f>_xll.SNL.Clients.Office.Excel.Functions.SPG(A62,"IQ_AVG_DILUT_SHARES_OUT","CY2023")</f>
        <v>506000000</v>
      </c>
      <c r="D62" s="5">
        <f>_xll.SNL.Clients.Office.Excel.Functions.SPG(A62, "IQ_DILUT_EPS_NORM", "CY2023")</f>
        <v>1.2509999999999999</v>
      </c>
      <c r="E62">
        <f t="shared" si="2"/>
        <v>633006</v>
      </c>
      <c r="F62">
        <f t="shared" si="3"/>
        <v>4.2733139809626682E-2</v>
      </c>
      <c r="G62" s="5">
        <f>_xll.SNL.Clients.Office.Excel.Functions.SPG(A62, "SP_MARKETCAP", "12/30/2023")</f>
        <v>19613.126857939998</v>
      </c>
      <c r="H62">
        <f t="shared" si="7"/>
        <v>4.6679243945364649E-4</v>
      </c>
      <c r="I62">
        <f t="shared" si="8"/>
        <v>5.8395734175651173E-4</v>
      </c>
      <c r="K62" t="s">
        <v>62</v>
      </c>
      <c r="L62" s="4" cm="1">
        <f t="array" ref="L62">_xll.SNL.Clients.Office.Excel.Functions.SPG(K62, "SP_TOTAL_REV", "CY2023")</f>
        <v>14813000</v>
      </c>
      <c r="M62" s="4">
        <f>_xll.SNL.Clients.Office.Excel.Functions.SPG(K62,"IQ_AVG_DILUT_SHARES_OUT","CY2023")</f>
        <v>506000000</v>
      </c>
      <c r="N62" s="5">
        <f>_xll.SNL.Clients.Office.Excel.Functions.SPG(K62, "IQ_DILUT_EPS_NORM", "CY2023")</f>
        <v>1.2509999999999999</v>
      </c>
      <c r="O62">
        <f t="shared" si="4"/>
        <v>633006</v>
      </c>
      <c r="P62">
        <f t="shared" si="5"/>
        <v>4.2733139809626682E-2</v>
      </c>
      <c r="Q62" s="5">
        <f>_xll.SNL.Clients.Office.Excel.Functions.SPG(K62, "SP_MARKETCAP", "12/31/2022")</f>
        <v>25695.03508623</v>
      </c>
      <c r="R62">
        <f t="shared" si="9"/>
        <v>7.6258239706191865E-4</v>
      </c>
      <c r="S62">
        <f t="shared" si="10"/>
        <v>9.5399057872446011E-4</v>
      </c>
      <c r="U62" t="s">
        <v>62</v>
      </c>
      <c r="V62" s="4" cm="1">
        <f t="array" ref="V62">_xll.SNL.Clients.Office.Excel.Functions.SPG(U62, "SP_TOTAL_REV", "CY2021")</f>
        <v>12146000</v>
      </c>
      <c r="W62" s="4">
        <f>_xll.SNL.Clients.Office.Excel.Functions.SPG(U62,"IQ_AVG_DILUT_SHARES_OUT","CY2021")</f>
        <v>508000000</v>
      </c>
      <c r="X62" s="5">
        <f>_xll.SNL.Clients.Office.Excel.Functions.SPG(U62, "IQ_DILUT_EPS_NORM", "CY2021")</f>
        <v>1.905</v>
      </c>
      <c r="Y62">
        <f t="shared" si="11"/>
        <v>967740</v>
      </c>
      <c r="Z62">
        <f t="shared" si="12"/>
        <v>7.9675613370657011E-2</v>
      </c>
      <c r="AA62" s="5">
        <f>_xll.SNL.Clients.Office.Excel.Functions.SPG(U62, "SP_MARKETCAP", "12/31/2021")</f>
        <v>42979.524975439999</v>
      </c>
      <c r="AB62">
        <f t="shared" si="6"/>
        <v>1.0129202135190243E-3</v>
      </c>
      <c r="AC62">
        <f t="shared" si="13"/>
        <v>1.9296130067537414E-3</v>
      </c>
    </row>
    <row r="63" spans="1:29" x14ac:dyDescent="0.3">
      <c r="A63" t="s">
        <v>63</v>
      </c>
      <c r="B63" s="4" cm="1">
        <f t="array" ref="B63">_xll.SNL.Clients.Office.Excel.Functions.SPG(A63, "SP_TOTAL_REV", "CY2023")</f>
        <v>19492000</v>
      </c>
      <c r="C63" s="4">
        <f>_xll.SNL.Clients.Office.Excel.Functions.SPG(A63,"IQ_AVG_DILUT_SHARES_OUT","CY2023")</f>
        <v>289906500</v>
      </c>
      <c r="D63" s="5">
        <f>_xll.SNL.Clients.Office.Excel.Functions.SPG(A63, "IQ_DILUT_EPS_NORM", "CY2023")</f>
        <v>4.8460000000000001</v>
      </c>
      <c r="E63">
        <f t="shared" si="2"/>
        <v>1404886.899</v>
      </c>
      <c r="F63">
        <f t="shared" si="3"/>
        <v>7.2075051251795613E-2</v>
      </c>
      <c r="G63" s="5">
        <f>_xll.SNL.Clients.Office.Excel.Functions.SPG(A63, "SP_MARKETCAP", "12/30/2023")</f>
        <v>70599.084135369994</v>
      </c>
      <c r="H63">
        <f t="shared" si="7"/>
        <v>1.6802582752582025E-3</v>
      </c>
      <c r="I63">
        <f t="shared" si="8"/>
        <v>8.1425316019012491E-3</v>
      </c>
      <c r="K63" t="s">
        <v>63</v>
      </c>
      <c r="L63" s="4" cm="1">
        <f t="array" ref="L63">_xll.SNL.Clients.Office.Excel.Functions.SPG(K63, "SP_TOTAL_REV", "CY2023")</f>
        <v>19492000</v>
      </c>
      <c r="M63" s="4">
        <f>_xll.SNL.Clients.Office.Excel.Functions.SPG(K63,"IQ_AVG_DILUT_SHARES_OUT","CY2023")</f>
        <v>289906500</v>
      </c>
      <c r="N63" s="5">
        <f>_xll.SNL.Clients.Office.Excel.Functions.SPG(K63, "IQ_DILUT_EPS_NORM", "CY2023")</f>
        <v>4.8460000000000001</v>
      </c>
      <c r="O63">
        <f t="shared" si="4"/>
        <v>1404886.899</v>
      </c>
      <c r="P63">
        <f t="shared" si="5"/>
        <v>7.2075051251795613E-2</v>
      </c>
      <c r="Q63" s="5">
        <f>_xll.SNL.Clients.Office.Excel.Functions.SPG(K63, "SP_MARKETCAP", "12/31/2022")</f>
        <v>72289.345788199993</v>
      </c>
      <c r="R63">
        <f t="shared" si="9"/>
        <v>2.1454176812058866E-3</v>
      </c>
      <c r="S63">
        <f t="shared" si="10"/>
        <v>1.0396694083123726E-2</v>
      </c>
      <c r="U63" t="s">
        <v>63</v>
      </c>
      <c r="V63" s="4" cm="1">
        <f t="array" ref="V63">_xll.SNL.Clients.Office.Excel.Functions.SPG(U63, "SP_TOTAL_REV", "CY2021")</f>
        <v>18534000</v>
      </c>
      <c r="W63" s="4">
        <f>_xll.SNL.Clients.Office.Excel.Functions.SPG(U63,"IQ_AVG_DILUT_SHARES_OUT","CY2021")</f>
        <v>290491750</v>
      </c>
      <c r="X63" s="5">
        <f>_xll.SNL.Clients.Office.Excel.Functions.SPG(U63, "IQ_DILUT_EPS_NORM", "CY2021")</f>
        <v>3.823</v>
      </c>
      <c r="Y63">
        <f t="shared" si="11"/>
        <v>1110549.96025</v>
      </c>
      <c r="Z63">
        <f t="shared" si="12"/>
        <v>5.9919605063666774E-2</v>
      </c>
      <c r="AA63" s="5">
        <f>_xll.SNL.Clients.Office.Excel.Functions.SPG(U63, "SP_MARKETCAP", "12/31/2021")</f>
        <v>71682.706687600003</v>
      </c>
      <c r="AB63">
        <f t="shared" si="6"/>
        <v>1.689382621262488E-3</v>
      </c>
      <c r="AC63">
        <f t="shared" si="13"/>
        <v>6.4585097610864919E-3</v>
      </c>
    </row>
    <row r="64" spans="1:29" x14ac:dyDescent="0.3">
      <c r="A64" t="s">
        <v>64</v>
      </c>
      <c r="B64" s="4" cm="1">
        <f t="array" ref="B64">_xll.SNL.Clients.Office.Excel.Functions.SPG(A64, "SP_TOTAL_REV", "CY2023")</f>
        <v>364482000</v>
      </c>
      <c r="C64" s="4">
        <f>_xll.SNL.Clients.Office.Excel.Functions.SPG(A64,"IQ_AVG_DILUT_SHARES_OUT","CY2023")</f>
        <v>1448880</v>
      </c>
      <c r="D64" s="5">
        <f>_xll.SNL.Clients.Office.Excel.Functions.SPG(A64, "IQ_DILUT_EPS_NORM", "CY2023")</f>
        <v>51197.993999999999</v>
      </c>
      <c r="E64">
        <f t="shared" si="2"/>
        <v>74179749.546719998</v>
      </c>
      <c r="F64">
        <f t="shared" si="3"/>
        <v>0.20352102311422784</v>
      </c>
      <c r="G64" s="5" t="str">
        <f>_xll.SNL.Clients.Office.Excel.Functions.SPG(A64, "SP_MARKETCAP", "12/30/2023")</f>
        <v>NA</v>
      </c>
      <c r="H64" t="e">
        <f t="shared" si="7"/>
        <v>#VALUE!</v>
      </c>
      <c r="I64" t="e">
        <f t="shared" si="8"/>
        <v>#VALUE!</v>
      </c>
      <c r="K64" t="s">
        <v>64</v>
      </c>
      <c r="L64" s="4" cm="1">
        <f t="array" ref="L64">_xll.SNL.Clients.Office.Excel.Functions.SPG(K64, "SP_TOTAL_REV", "CY2023")</f>
        <v>364482000</v>
      </c>
      <c r="M64" s="4">
        <f>_xll.SNL.Clients.Office.Excel.Functions.SPG(K64,"IQ_AVG_DILUT_SHARES_OUT","CY2023")</f>
        <v>1448880</v>
      </c>
      <c r="N64" s="5">
        <f>_xll.SNL.Clients.Office.Excel.Functions.SPG(K64, "IQ_DILUT_EPS_NORM", "CY2023")</f>
        <v>51197.993999999999</v>
      </c>
      <c r="O64">
        <f t="shared" si="4"/>
        <v>74179749.546719998</v>
      </c>
      <c r="P64">
        <f t="shared" si="5"/>
        <v>0.20352102311422784</v>
      </c>
      <c r="Q64" s="5" t="str">
        <f>_xll.SNL.Clients.Office.Excel.Functions.SPG(K64, "SP_MARKETCAP", "12/31/2022")</f>
        <v>NA</v>
      </c>
      <c r="R64" t="e">
        <f t="shared" si="9"/>
        <v>#VALUE!</v>
      </c>
      <c r="S64" t="e">
        <f t="shared" si="10"/>
        <v>#VALUE!</v>
      </c>
      <c r="U64" t="s">
        <v>64</v>
      </c>
      <c r="V64" s="4" cm="1">
        <f t="array" ref="V64">_xll.SNL.Clients.Office.Excel.Functions.SPG(U64, "SP_TOTAL_REV", "CY2021")</f>
        <v>276185000</v>
      </c>
      <c r="W64" s="4">
        <f>_xll.SNL.Clients.Office.Excel.Functions.SPG(U64,"IQ_AVG_DILUT_SHARES_OUT","CY2021")</f>
        <v>1510180</v>
      </c>
      <c r="X64" s="5">
        <f>_xll.SNL.Clients.Office.Excel.Functions.SPG(U64, "IQ_DILUT_EPS_NORM", "CY2021")</f>
        <v>45624.445</v>
      </c>
      <c r="Y64">
        <f t="shared" si="11"/>
        <v>68901124.350100011</v>
      </c>
      <c r="Z64">
        <f t="shared" si="12"/>
        <v>0.24947453464199726</v>
      </c>
      <c r="AA64" s="5" t="str">
        <f>_xll.SNL.Clients.Office.Excel.Functions.SPG(U64, "SP_MARKETCAP", "12/31/2021")</f>
        <v>NA</v>
      </c>
      <c r="AB64" t="e">
        <f t="shared" si="6"/>
        <v>#VALUE!</v>
      </c>
      <c r="AC64" t="e">
        <f t="shared" si="13"/>
        <v>#VALUE!</v>
      </c>
    </row>
    <row r="65" spans="1:29" x14ac:dyDescent="0.3">
      <c r="A65" t="s">
        <v>65</v>
      </c>
      <c r="B65" s="4" cm="1">
        <f t="array" ref="B65">_xll.SNL.Clients.Office.Excel.Functions.SPG(A65, "SP_TOTAL_REV", "CY2023")</f>
        <v>43452000</v>
      </c>
      <c r="C65" s="4">
        <f>_xll.SNL.Clients.Office.Excel.Functions.SPG(A65,"IQ_AVG_DILUT_SHARES_OUT","CY2023")</f>
        <v>218500000</v>
      </c>
      <c r="D65" s="5">
        <f>_xll.SNL.Clients.Office.Excel.Functions.SPG(A65, "IQ_DILUT_EPS_NORM", "CY2023")</f>
        <v>5.0170000000000003</v>
      </c>
      <c r="E65">
        <f t="shared" si="2"/>
        <v>1096214.5</v>
      </c>
      <c r="F65">
        <f t="shared" si="3"/>
        <v>2.5228171315474546E-2</v>
      </c>
      <c r="G65" s="5">
        <f>_xll.SNL.Clients.Office.Excel.Functions.SPG(A65, "SP_MARKETCAP", "12/30/2023")</f>
        <v>16861.196531599999</v>
      </c>
      <c r="H65">
        <f t="shared" si="7"/>
        <v>4.0129649484761442E-4</v>
      </c>
      <c r="I65">
        <f t="shared" si="8"/>
        <v>2.0133045146504816E-3</v>
      </c>
      <c r="K65" t="s">
        <v>65</v>
      </c>
      <c r="L65" s="4" cm="1">
        <f t="array" ref="L65">_xll.SNL.Clients.Office.Excel.Functions.SPG(K65, "SP_TOTAL_REV", "CY2023")</f>
        <v>43452000</v>
      </c>
      <c r="M65" s="4">
        <f>_xll.SNL.Clients.Office.Excel.Functions.SPG(K65,"IQ_AVG_DILUT_SHARES_OUT","CY2023")</f>
        <v>218500000</v>
      </c>
      <c r="N65" s="5">
        <f>_xll.SNL.Clients.Office.Excel.Functions.SPG(K65, "IQ_DILUT_EPS_NORM", "CY2023")</f>
        <v>5.0170000000000003</v>
      </c>
      <c r="O65">
        <f t="shared" si="4"/>
        <v>1096214.5</v>
      </c>
      <c r="P65">
        <f t="shared" si="5"/>
        <v>2.5228171315474546E-2</v>
      </c>
      <c r="Q65" s="5">
        <f>_xll.SNL.Clients.Office.Excel.Functions.SPG(K65, "SP_MARKETCAP", "12/31/2022")</f>
        <v>17747.621855339999</v>
      </c>
      <c r="R65">
        <f t="shared" si="9"/>
        <v>5.2671747562028329E-4</v>
      </c>
      <c r="S65">
        <f t="shared" si="10"/>
        <v>2.6425415751869614E-3</v>
      </c>
      <c r="U65" t="s">
        <v>65</v>
      </c>
      <c r="V65" s="4" cm="1">
        <f t="array" ref="V65">_xll.SNL.Clients.Office.Excel.Functions.SPG(U65, "SP_TOTAL_REV", "CY2021")</f>
        <v>51761000</v>
      </c>
      <c r="W65" s="4">
        <f>_xll.SNL.Clients.Office.Excel.Functions.SPG(U65,"IQ_AVG_DILUT_SHARES_OUT","CY2021")</f>
        <v>249300000</v>
      </c>
      <c r="X65" s="5">
        <f>_xll.SNL.Clients.Office.Excel.Functions.SPG(U65, "IQ_DILUT_EPS_NORM", "CY2021")</f>
        <v>7.5190000000000001</v>
      </c>
      <c r="Y65">
        <f t="shared" si="11"/>
        <v>1874486.7</v>
      </c>
      <c r="Z65">
        <f t="shared" si="12"/>
        <v>3.6214267498695926E-2</v>
      </c>
      <c r="AA65" s="5">
        <f>_xll.SNL.Clients.Office.Excel.Functions.SPG(U65, "SP_MARKETCAP", "12/31/2021")</f>
        <v>24440.9872368</v>
      </c>
      <c r="AB65">
        <f t="shared" si="6"/>
        <v>5.7601311379458216E-4</v>
      </c>
      <c r="AC65">
        <f t="shared" si="13"/>
        <v>4.3310426026214634E-3</v>
      </c>
    </row>
    <row r="66" spans="1:29" x14ac:dyDescent="0.3">
      <c r="A66" t="s">
        <v>66</v>
      </c>
      <c r="B66" s="4" cm="1">
        <f t="array" ref="B66">_xll.SNL.Clients.Office.Excel.Functions.SPG(A66, "SP_TOTAL_REV", "CY2023")</f>
        <v>1144999</v>
      </c>
      <c r="C66" s="4">
        <f>_xll.SNL.Clients.Office.Excel.Functions.SPG(A66,"IQ_AVG_DILUT_SHARES_OUT","CY2023")</f>
        <v>161472000</v>
      </c>
      <c r="D66" s="5">
        <f>_xll.SNL.Clients.Office.Excel.Functions.SPG(A66, "IQ_DILUT_EPS_NORM", "CY2023")</f>
        <v>0.90600000000000003</v>
      </c>
      <c r="E66">
        <f t="shared" si="2"/>
        <v>146293.63200000001</v>
      </c>
      <c r="F66">
        <f t="shared" si="3"/>
        <v>0.12776747577945485</v>
      </c>
      <c r="G66" s="5">
        <f>_xll.SNL.Clients.Office.Excel.Functions.SPG(A66, "SP_MARKETCAP", "12/30/2023")</f>
        <v>12202.883243640001</v>
      </c>
      <c r="H66">
        <f t="shared" si="7"/>
        <v>2.9042863378822944E-4</v>
      </c>
      <c r="I66">
        <f t="shared" si="8"/>
        <v>2.6312834221213586E-4</v>
      </c>
      <c r="K66" t="s">
        <v>66</v>
      </c>
      <c r="L66" s="4" cm="1">
        <f t="array" ref="L66">_xll.SNL.Clients.Office.Excel.Functions.SPG(K66, "SP_TOTAL_REV", "CY2023")</f>
        <v>1144999</v>
      </c>
      <c r="M66" s="4">
        <f>_xll.SNL.Clients.Office.Excel.Functions.SPG(K66,"IQ_AVG_DILUT_SHARES_OUT","CY2023")</f>
        <v>161472000</v>
      </c>
      <c r="N66" s="5">
        <f>_xll.SNL.Clients.Office.Excel.Functions.SPG(K66, "IQ_DILUT_EPS_NORM", "CY2023")</f>
        <v>0.90600000000000003</v>
      </c>
      <c r="O66">
        <f t="shared" si="4"/>
        <v>146293.63200000001</v>
      </c>
      <c r="P66">
        <f t="shared" si="5"/>
        <v>0.12776747577945485</v>
      </c>
      <c r="Q66" s="5">
        <f>_xll.SNL.Clients.Office.Excel.Functions.SPG(K66, "SP_MARKETCAP", "12/31/2022")</f>
        <v>13009.63514368</v>
      </c>
      <c r="R66">
        <f t="shared" si="9"/>
        <v>3.8610255714673476E-4</v>
      </c>
      <c r="S66">
        <f t="shared" si="10"/>
        <v>3.4980891677494172E-4</v>
      </c>
      <c r="U66" t="s">
        <v>66</v>
      </c>
      <c r="V66" s="4" cm="1">
        <f t="array" ref="V66">_xll.SNL.Clients.Office.Excel.Functions.SPG(U66, "SP_TOTAL_REV", "CY2021")</f>
        <v>1029575</v>
      </c>
      <c r="W66" s="4">
        <f>_xll.SNL.Clients.Office.Excel.Functions.SPG(U66,"IQ_AVG_DILUT_SHARES_OUT","CY2021")</f>
        <v>163980000</v>
      </c>
      <c r="X66" s="5">
        <f>_xll.SNL.Clients.Office.Excel.Functions.SPG(U66, "IQ_DILUT_EPS_NORM", "CY2021")</f>
        <v>1.0329999999999999</v>
      </c>
      <c r="Y66">
        <f t="shared" si="11"/>
        <v>169391.34</v>
      </c>
      <c r="Z66">
        <f t="shared" si="12"/>
        <v>0.16452549838525604</v>
      </c>
      <c r="AA66" s="5">
        <f>_xll.SNL.Clients.Office.Excel.Functions.SPG(U66, "SP_MARKETCAP", "12/31/2021")</f>
        <v>20329.024811259998</v>
      </c>
      <c r="AB66">
        <f t="shared" si="6"/>
        <v>4.7910441458396357E-4</v>
      </c>
      <c r="AC66">
        <f t="shared" si="13"/>
        <v>4.9491486026523432E-4</v>
      </c>
    </row>
    <row r="67" spans="1:29" x14ac:dyDescent="0.3">
      <c r="A67" t="s">
        <v>67</v>
      </c>
      <c r="B67" s="4" cm="1">
        <f t="array" ref="B67">_xll.SNL.Clients.Office.Excel.Functions.SPG(A67, "SP_TOTAL_REV", "CY2023")</f>
        <v>9835600</v>
      </c>
      <c r="C67" s="4">
        <f>_xll.SNL.Clients.Office.Excel.Functions.SPG(A67,"IQ_AVG_DILUT_SHARES_OUT","CY2023")</f>
        <v>145600000</v>
      </c>
      <c r="D67" s="5">
        <f>_xll.SNL.Clients.Office.Excel.Functions.SPG(A67, "IQ_DILUT_EPS_NORM", "CY2023")</f>
        <v>7.98</v>
      </c>
      <c r="E67">
        <f t="shared" si="2"/>
        <v>1161888</v>
      </c>
      <c r="F67">
        <f t="shared" si="3"/>
        <v>0.11813087152791898</v>
      </c>
      <c r="G67" s="5">
        <f>_xll.SNL.Clients.Office.Excel.Functions.SPG(A67, "SP_MARKETCAP", "12/30/2023")</f>
        <v>37495.284442240001</v>
      </c>
      <c r="H67">
        <f t="shared" si="7"/>
        <v>8.9238780840883675E-4</v>
      </c>
      <c r="I67">
        <f t="shared" si="8"/>
        <v>7.1212547111025176E-3</v>
      </c>
      <c r="K67" t="s">
        <v>67</v>
      </c>
      <c r="L67" s="4" cm="1">
        <f t="array" ref="L67">_xll.SNL.Clients.Office.Excel.Functions.SPG(K67, "SP_TOTAL_REV", "CY2023")</f>
        <v>9835600</v>
      </c>
      <c r="M67" s="4">
        <f>_xll.SNL.Clients.Office.Excel.Functions.SPG(K67,"IQ_AVG_DILUT_SHARES_OUT","CY2023")</f>
        <v>145600000</v>
      </c>
      <c r="N67" s="5">
        <f>_xll.SNL.Clients.Office.Excel.Functions.SPG(K67, "IQ_DILUT_EPS_NORM", "CY2023")</f>
        <v>7.98</v>
      </c>
      <c r="O67">
        <f t="shared" si="4"/>
        <v>1161888</v>
      </c>
      <c r="P67">
        <f t="shared" si="5"/>
        <v>0.11813087152791898</v>
      </c>
      <c r="Q67" s="5">
        <f>_xll.SNL.Clients.Office.Excel.Functions.SPG(K67, "SP_MARKETCAP", "12/31/2022")</f>
        <v>39876.868795679999</v>
      </c>
      <c r="R67">
        <f t="shared" si="9"/>
        <v>1.1834736979919405E-3</v>
      </c>
      <c r="S67">
        <f t="shared" si="10"/>
        <v>9.4441201099756851E-3</v>
      </c>
      <c r="U67" t="s">
        <v>67</v>
      </c>
      <c r="V67" s="4" cm="1">
        <f t="array" ref="V67">_xll.SNL.Clients.Office.Excel.Functions.SPG(U67, "SP_TOTAL_REV", "CY2021")</f>
        <v>10981700</v>
      </c>
      <c r="W67" s="4">
        <f>_xll.SNL.Clients.Office.Excel.Functions.SPG(U67,"IQ_AVG_DILUT_SHARES_OUT","CY2021")</f>
        <v>149600000</v>
      </c>
      <c r="X67" s="5">
        <f>_xll.SNL.Clients.Office.Excel.Functions.SPG(U67, "IQ_DILUT_EPS_NORM", "CY2021")</f>
        <v>12.243</v>
      </c>
      <c r="Y67">
        <f t="shared" si="11"/>
        <v>1831552.8</v>
      </c>
      <c r="Z67">
        <f t="shared" si="12"/>
        <v>0.16678226504093174</v>
      </c>
      <c r="AA67" s="5">
        <f>_xll.SNL.Clients.Office.Excel.Functions.SPG(U67, "SP_MARKETCAP", "12/31/2021")</f>
        <v>35242.499463040003</v>
      </c>
      <c r="AB67">
        <f t="shared" si="6"/>
        <v>8.3057781819239685E-4</v>
      </c>
      <c r="AC67">
        <f t="shared" si="13"/>
        <v>1.0168764228129516E-2</v>
      </c>
    </row>
    <row r="68" spans="1:29" x14ac:dyDescent="0.3">
      <c r="A68" t="s">
        <v>68</v>
      </c>
      <c r="B68" s="4" cm="1">
        <f t="array" ref="B68">_xll.SNL.Clients.Office.Excel.Functions.SPG(A68, "SP_TOTAL_REV", "CY2023")</f>
        <v>17859000</v>
      </c>
      <c r="C68" s="4">
        <f>_xll.SNL.Clients.Office.Excel.Functions.SPG(A68,"IQ_AVG_DILUT_SHARES_OUT","CY2023")</f>
        <v>150706451</v>
      </c>
      <c r="D68" s="5">
        <f>_xll.SNL.Clients.Office.Excel.Functions.SPG(A68, "IQ_DILUT_EPS_NORM", "CY2023")</f>
        <v>25.885000000000002</v>
      </c>
      <c r="E68">
        <f t="shared" si="2"/>
        <v>3901036.484135</v>
      </c>
      <c r="F68">
        <f t="shared" si="3"/>
        <v>0.21843532583767289</v>
      </c>
      <c r="G68" s="5">
        <f>_xll.SNL.Clients.Office.Excel.Functions.SPG(A68, "SP_MARKETCAP", "12/30/2023")</f>
        <v>120765.37395779999</v>
      </c>
      <c r="H68">
        <f t="shared" si="7"/>
        <v>2.8742160247881158E-3</v>
      </c>
      <c r="I68">
        <f t="shared" si="8"/>
        <v>7.4399081801640385E-2</v>
      </c>
      <c r="K68" t="s">
        <v>68</v>
      </c>
      <c r="L68" s="4" cm="1">
        <f t="array" ref="L68">_xll.SNL.Clients.Office.Excel.Functions.SPG(K68, "SP_TOTAL_REV", "CY2023")</f>
        <v>17859000</v>
      </c>
      <c r="M68" s="4">
        <f>_xll.SNL.Clients.Office.Excel.Functions.SPG(K68,"IQ_AVG_DILUT_SHARES_OUT","CY2023")</f>
        <v>150706451</v>
      </c>
      <c r="N68" s="5">
        <f>_xll.SNL.Clients.Office.Excel.Functions.SPG(K68, "IQ_DILUT_EPS_NORM", "CY2023")</f>
        <v>25.885000000000002</v>
      </c>
      <c r="O68">
        <f t="shared" si="4"/>
        <v>3901036.484135</v>
      </c>
      <c r="P68">
        <f t="shared" si="5"/>
        <v>0.21843532583767289</v>
      </c>
      <c r="Q68" s="5">
        <f>_xll.SNL.Clients.Office.Excel.Functions.SPG(K68, "SP_MARKETCAP", "12/31/2022")</f>
        <v>106433.09172950999</v>
      </c>
      <c r="R68">
        <f t="shared" si="9"/>
        <v>3.158742610991673E-3</v>
      </c>
      <c r="S68">
        <f t="shared" si="10"/>
        <v>8.1764052485519462E-2</v>
      </c>
      <c r="U68" t="s">
        <v>68</v>
      </c>
      <c r="V68" s="4" cm="1">
        <f t="array" ref="V68">_xll.SNL.Clients.Office.Excel.Functions.SPG(U68, "SP_TOTAL_REV", "CY2021")</f>
        <v>19374000</v>
      </c>
      <c r="W68" s="4">
        <f>_xll.SNL.Clients.Office.Excel.Functions.SPG(U68,"IQ_AVG_DILUT_SHARES_OUT","CY2021")</f>
        <v>154404357</v>
      </c>
      <c r="X68" s="5">
        <f>_xll.SNL.Clients.Office.Excel.Functions.SPG(U68, "IQ_DILUT_EPS_NORM", "CY2021")</f>
        <v>27.847000000000001</v>
      </c>
      <c r="Y68">
        <f t="shared" si="11"/>
        <v>4299698.1293790005</v>
      </c>
      <c r="Z68">
        <f t="shared" si="12"/>
        <v>0.22193135797352123</v>
      </c>
      <c r="AA68" s="5">
        <f>_xll.SNL.Clients.Office.Excel.Functions.SPG(U68, "SP_MARKETCAP", "12/31/2021")</f>
        <v>139089.29057412001</v>
      </c>
      <c r="AB68">
        <f t="shared" si="6"/>
        <v>3.2779876926758646E-3</v>
      </c>
      <c r="AC68">
        <f t="shared" si="13"/>
        <v>9.1282123277944799E-2</v>
      </c>
    </row>
    <row r="69" spans="1:29" x14ac:dyDescent="0.3">
      <c r="A69" t="s">
        <v>69</v>
      </c>
      <c r="B69" s="4" cm="1">
        <f t="array" ref="B69">_xll.SNL.Clients.Office.Excel.Functions.SPG(A69, "SP_TOTAL_REV", "CY2023")</f>
        <v>7683902</v>
      </c>
      <c r="C69" s="4">
        <f>_xll.SNL.Clients.Office.Excel.Functions.SPG(A69,"IQ_AVG_DILUT_SHARES_OUT","CY2023")</f>
        <v>758039099</v>
      </c>
      <c r="D69" s="5">
        <f>_xll.SNL.Clients.Office.Excel.Functions.SPG(A69, "IQ_DILUT_EPS_NORM", "CY2023")</f>
        <v>1.0960000000000001</v>
      </c>
      <c r="E69">
        <f t="shared" si="2"/>
        <v>830810.85250400007</v>
      </c>
      <c r="F69">
        <f t="shared" si="3"/>
        <v>0.10812356176640463</v>
      </c>
      <c r="G69" s="5">
        <f>_xll.SNL.Clients.Office.Excel.Functions.SPG(A69, "SP_MARKETCAP", "12/30/2023")</f>
        <v>99208.703052120007</v>
      </c>
      <c r="H69">
        <f t="shared" si="7"/>
        <v>2.3611672349931217E-3</v>
      </c>
      <c r="I69">
        <f t="shared" si="8"/>
        <v>2.5878392895524616E-3</v>
      </c>
      <c r="K69" t="s">
        <v>69</v>
      </c>
      <c r="L69" s="4" cm="1">
        <f t="array" ref="L69">_xll.SNL.Clients.Office.Excel.Functions.SPG(K69, "SP_TOTAL_REV", "CY2023")</f>
        <v>7683902</v>
      </c>
      <c r="M69" s="4">
        <f>_xll.SNL.Clients.Office.Excel.Functions.SPG(K69,"IQ_AVG_DILUT_SHARES_OUT","CY2023")</f>
        <v>758039099</v>
      </c>
      <c r="N69" s="5">
        <f>_xll.SNL.Clients.Office.Excel.Functions.SPG(K69, "IQ_DILUT_EPS_NORM", "CY2023")</f>
        <v>1.0960000000000001</v>
      </c>
      <c r="O69">
        <f t="shared" si="4"/>
        <v>830810.85250400007</v>
      </c>
      <c r="P69">
        <f t="shared" si="5"/>
        <v>0.10812356176640463</v>
      </c>
      <c r="Q69" s="5">
        <f>_xll.SNL.Clients.Office.Excel.Functions.SPG(K69, "SP_MARKETCAP", "12/31/2022")</f>
        <v>55019.1437496</v>
      </c>
      <c r="R69">
        <f t="shared" si="9"/>
        <v>1.6328691665164863E-3</v>
      </c>
      <c r="S69">
        <f t="shared" si="10"/>
        <v>1.7896246065020691E-3</v>
      </c>
      <c r="U69" t="s">
        <v>69</v>
      </c>
      <c r="V69" s="4" cm="1">
        <f t="array" ref="V69">_xll.SNL.Clients.Office.Excel.Functions.SPG(U69, "SP_TOTAL_REV", "CY2021")</f>
        <v>22175794</v>
      </c>
      <c r="W69" s="4">
        <f>_xll.SNL.Clients.Office.Excel.Functions.SPG(U69,"IQ_AVG_DILUT_SHARES_OUT","CY2021")</f>
        <v>732037197</v>
      </c>
      <c r="X69" s="5">
        <f>_xll.SNL.Clients.Office.Excel.Functions.SPG(U69, "IQ_DILUT_EPS_NORM", "CY2021")</f>
        <v>2.673</v>
      </c>
      <c r="Y69">
        <f t="shared" si="11"/>
        <v>1956735.4275810001</v>
      </c>
      <c r="Z69">
        <f t="shared" si="12"/>
        <v>8.8237446090137742E-2</v>
      </c>
      <c r="AA69" s="5">
        <f>_xll.SNL.Clients.Office.Excel.Functions.SPG(U69, "SP_MARKETCAP", "12/31/2021")</f>
        <v>92856.803888159993</v>
      </c>
      <c r="AB69">
        <f t="shared" si="6"/>
        <v>2.1884032844671128E-3</v>
      </c>
      <c r="AC69">
        <f t="shared" si="13"/>
        <v>5.8496019793805925E-3</v>
      </c>
    </row>
    <row r="70" spans="1:29" x14ac:dyDescent="0.3">
      <c r="A70" t="s">
        <v>70</v>
      </c>
      <c r="B70" s="4" cm="1">
        <f t="array" ref="B70">_xll.SNL.Clients.Office.Excel.Functions.SPG(A70, "SP_TOTAL_REV", "CY2023")</f>
        <v>21365000</v>
      </c>
      <c r="C70" s="4">
        <f>_xll.SNL.Clients.Office.Excel.Functions.SPG(A70,"IQ_AVG_DILUT_SHARES_OUT","CY2023")</f>
        <v>36530000</v>
      </c>
      <c r="D70" s="5">
        <f>_xll.SNL.Clients.Office.Excel.Functions.SPG(A70, "IQ_DILUT_EPS_NORM", "CY2023")</f>
        <v>97.557000000000002</v>
      </c>
      <c r="E70">
        <f t="shared" ref="E70:E133" si="14">C70*D70/1000</f>
        <v>3563757.21</v>
      </c>
      <c r="F70">
        <f t="shared" ref="F70:F133" si="15">E70/B70</f>
        <v>0.16680352024338871</v>
      </c>
      <c r="G70" s="5">
        <f>_xll.SNL.Clients.Office.Excel.Functions.SPG(A70, "SP_MARKETCAP", "12/30/2023")</f>
        <v>123762.05530306</v>
      </c>
      <c r="H70">
        <f t="shared" si="7"/>
        <v>2.9455370438969514E-3</v>
      </c>
      <c r="I70">
        <f t="shared" si="8"/>
        <v>0.28735775739145492</v>
      </c>
      <c r="K70" t="s">
        <v>70</v>
      </c>
      <c r="L70" s="4" cm="1">
        <f t="array" ref="L70">_xll.SNL.Clients.Office.Excel.Functions.SPG(K70, "SP_TOTAL_REV", "CY2023")</f>
        <v>21365000</v>
      </c>
      <c r="M70" s="4">
        <f>_xll.SNL.Clients.Office.Excel.Functions.SPG(K70,"IQ_AVG_DILUT_SHARES_OUT","CY2023")</f>
        <v>36530000</v>
      </c>
      <c r="N70" s="5">
        <f>_xll.SNL.Clients.Office.Excel.Functions.SPG(K70, "IQ_DILUT_EPS_NORM", "CY2023")</f>
        <v>97.557000000000002</v>
      </c>
      <c r="O70">
        <f t="shared" ref="O70:O133" si="16">M70*N70/1000</f>
        <v>3563757.21</v>
      </c>
      <c r="P70">
        <f t="shared" ref="P70:P133" si="17">O70/L70</f>
        <v>0.16680352024338871</v>
      </c>
      <c r="Q70" s="5">
        <f>_xll.SNL.Clients.Office.Excel.Functions.SPG(K70, "SP_MARKETCAP", "12/31/2022")</f>
        <v>78171.477848640003</v>
      </c>
      <c r="R70">
        <f t="shared" si="9"/>
        <v>2.3199887744708631E-3</v>
      </c>
      <c r="S70">
        <f t="shared" si="10"/>
        <v>0.22633114487105399</v>
      </c>
      <c r="U70" t="s">
        <v>70</v>
      </c>
      <c r="V70" s="4" cm="1">
        <f t="array" ref="V70">_xll.SNL.Clients.Office.Excel.Functions.SPG(U70, "SP_TOTAL_REV", "CY2021")</f>
        <v>10958000</v>
      </c>
      <c r="W70" s="4">
        <f>_xll.SNL.Clients.Office.Excel.Functions.SPG(U70,"IQ_AVG_DILUT_SHARES_OUT","CY2021")</f>
        <v>41362000</v>
      </c>
      <c r="X70" s="5">
        <f>_xll.SNL.Clients.Office.Excel.Functions.SPG(U70, "IQ_DILUT_EPS_NORM", "CY2021")</f>
        <v>36.445999999999998</v>
      </c>
      <c r="Y70">
        <f t="shared" si="11"/>
        <v>1507479.452</v>
      </c>
      <c r="Z70">
        <f t="shared" si="12"/>
        <v>0.13756884942507758</v>
      </c>
      <c r="AA70" s="5">
        <f>_xll.SNL.Clients.Office.Excel.Functions.SPG(U70, "SP_MARKETCAP", "12/31/2021")</f>
        <v>98520.745116549995</v>
      </c>
      <c r="AB70">
        <f t="shared" ref="AB70:AB133" si="18">AA70/$AA$509</f>
        <v>2.3218882534540523E-3</v>
      </c>
      <c r="AC70">
        <f t="shared" si="13"/>
        <v>8.4623539285386379E-2</v>
      </c>
    </row>
    <row r="71" spans="1:29" x14ac:dyDescent="0.3">
      <c r="A71" t="s">
        <v>71</v>
      </c>
      <c r="B71" s="4" cm="1">
        <f t="array" ref="B71">_xll.SNL.Clients.Office.Excel.Functions.SPG(A71, "SP_TOTAL_REV", "CY2023")</f>
        <v>14198000</v>
      </c>
      <c r="C71" s="4">
        <f>_xll.SNL.Clients.Office.Excel.Functions.SPG(A71,"IQ_AVG_DILUT_SHARES_OUT","CY2023")</f>
        <v>234400000</v>
      </c>
      <c r="D71" s="5">
        <f>_xll.SNL.Clients.Office.Excel.Functions.SPG(A71, "IQ_DILUT_EPS_NORM", "CY2023")</f>
        <v>3.008</v>
      </c>
      <c r="E71">
        <f t="shared" si="14"/>
        <v>705075.19999999995</v>
      </c>
      <c r="F71">
        <f t="shared" si="15"/>
        <v>4.9660177489787294E-2</v>
      </c>
      <c r="G71" s="5">
        <f>_xll.SNL.Clients.Office.Excel.Functions.SPG(A71, "SP_MARKETCAP", "12/30/2023")</f>
        <v>8426.7371296500005</v>
      </c>
      <c r="H71">
        <f t="shared" ref="H71:H134" si="19">G71/$G$509</f>
        <v>2.0055635237945375E-4</v>
      </c>
      <c r="I71">
        <f t="shared" ref="I71:I134" si="20">D71*H71</f>
        <v>6.0327350795739683E-4</v>
      </c>
      <c r="K71" t="s">
        <v>71</v>
      </c>
      <c r="L71" s="4" cm="1">
        <f t="array" ref="L71">_xll.SNL.Clients.Office.Excel.Functions.SPG(K71, "SP_TOTAL_REV", "CY2023")</f>
        <v>14198000</v>
      </c>
      <c r="M71" s="4">
        <f>_xll.SNL.Clients.Office.Excel.Functions.SPG(K71,"IQ_AVG_DILUT_SHARES_OUT","CY2023")</f>
        <v>234400000</v>
      </c>
      <c r="N71" s="5">
        <f>_xll.SNL.Clients.Office.Excel.Functions.SPG(K71, "IQ_DILUT_EPS_NORM", "CY2023")</f>
        <v>3.008</v>
      </c>
      <c r="O71">
        <f t="shared" si="16"/>
        <v>705075.19999999995</v>
      </c>
      <c r="P71">
        <f t="shared" si="17"/>
        <v>4.9660177489787294E-2</v>
      </c>
      <c r="Q71" s="5">
        <f>_xll.SNL.Clients.Office.Excel.Functions.SPG(K71, "SP_MARKETCAP", "12/31/2022")</f>
        <v>9424.6956824999997</v>
      </c>
      <c r="R71">
        <f t="shared" ref="R71:R134" si="21">Q71/$Q$509</f>
        <v>2.7970800588599095E-4</v>
      </c>
      <c r="S71">
        <f t="shared" ref="S71:S134" si="22">N71*R71</f>
        <v>8.4136168170506078E-4</v>
      </c>
      <c r="U71" t="s">
        <v>71</v>
      </c>
      <c r="V71" s="4" cm="1">
        <f t="array" ref="V71">_xll.SNL.Clients.Office.Excel.Functions.SPG(U71, "SP_TOTAL_REV", "CY2021")</f>
        <v>11803000</v>
      </c>
      <c r="W71" s="4">
        <f>_xll.SNL.Clients.Office.Excel.Functions.SPG(U71,"IQ_AVG_DILUT_SHARES_OUT","CY2021")</f>
        <v>239500000</v>
      </c>
      <c r="X71" s="5">
        <f>_xll.SNL.Clients.Office.Excel.Functions.SPG(U71, "IQ_DILUT_EPS_NORM", "CY2021")</f>
        <v>2.3849999999999998</v>
      </c>
      <c r="Y71">
        <f t="shared" ref="Y71:Y134" si="23">W71*X71/1000</f>
        <v>571207.5</v>
      </c>
      <c r="Z71">
        <f t="shared" ref="Z71:Z134" si="24">Y71/V71</f>
        <v>4.8395111412352788E-2</v>
      </c>
      <c r="AA71" s="5">
        <f>_xll.SNL.Clients.Office.Excel.Functions.SPG(U71, "SP_MARKETCAP", "12/31/2021")</f>
        <v>10806.49136425</v>
      </c>
      <c r="AB71">
        <f t="shared" si="18"/>
        <v>2.5468205026283084E-4</v>
      </c>
      <c r="AC71">
        <f t="shared" ref="AC71:AC134" si="25">X71*AB71</f>
        <v>6.0741668987685155E-4</v>
      </c>
    </row>
    <row r="72" spans="1:29" x14ac:dyDescent="0.3">
      <c r="A72" t="s">
        <v>72</v>
      </c>
      <c r="B72" s="4" cm="1">
        <f t="array" ref="B72">_xll.SNL.Clients.Office.Excel.Functions.SPG(A72, "SP_TOTAL_REV", "CY2023")</f>
        <v>14240000</v>
      </c>
      <c r="C72" s="4">
        <f>_xll.SNL.Clients.Office.Excel.Functions.SPG(A72,"IQ_AVG_DILUT_SHARES_OUT","CY2023")</f>
        <v>1463500000</v>
      </c>
      <c r="D72" s="5">
        <f>_xll.SNL.Clients.Office.Excel.Functions.SPG(A72, "IQ_DILUT_EPS_NORM", "CY2023")</f>
        <v>0.90500000000000003</v>
      </c>
      <c r="E72">
        <f t="shared" si="14"/>
        <v>1324467.5</v>
      </c>
      <c r="F72">
        <f t="shared" si="15"/>
        <v>9.3010358146067409E-2</v>
      </c>
      <c r="G72" s="5">
        <f>_xll.SNL.Clients.Office.Excel.Functions.SPG(A72, "SP_MARKETCAP", "12/30/2023")</f>
        <v>84690.654338370005</v>
      </c>
      <c r="H72">
        <f t="shared" si="19"/>
        <v>2.0156376606277403E-3</v>
      </c>
      <c r="I72">
        <f t="shared" si="20"/>
        <v>1.8241520828681051E-3</v>
      </c>
      <c r="K72" t="s">
        <v>72</v>
      </c>
      <c r="L72" s="4" cm="1">
        <f t="array" ref="L72">_xll.SNL.Clients.Office.Excel.Functions.SPG(K72, "SP_TOTAL_REV", "CY2023")</f>
        <v>14240000</v>
      </c>
      <c r="M72" s="4">
        <f>_xll.SNL.Clients.Office.Excel.Functions.SPG(K72,"IQ_AVG_DILUT_SHARES_OUT","CY2023")</f>
        <v>1463500000</v>
      </c>
      <c r="N72" s="5">
        <f>_xll.SNL.Clients.Office.Excel.Functions.SPG(K72, "IQ_DILUT_EPS_NORM", "CY2023")</f>
        <v>0.90500000000000003</v>
      </c>
      <c r="O72">
        <f t="shared" si="16"/>
        <v>1324467.5</v>
      </c>
      <c r="P72">
        <f t="shared" si="17"/>
        <v>9.3010358146067409E-2</v>
      </c>
      <c r="Q72" s="5">
        <f>_xll.SNL.Clients.Office.Excel.Functions.SPG(K72, "SP_MARKETCAP", "12/31/2022")</f>
        <v>66273.043018140001</v>
      </c>
      <c r="R72">
        <f t="shared" si="21"/>
        <v>1.9668646427513379E-3</v>
      </c>
      <c r="S72">
        <f t="shared" si="22"/>
        <v>1.7800125016899607E-3</v>
      </c>
      <c r="U72" t="s">
        <v>72</v>
      </c>
      <c r="V72" s="4" cm="1">
        <f t="array" ref="V72">_xll.SNL.Clients.Office.Excel.Functions.SPG(U72, "SP_TOTAL_REV", "CY2021")</f>
        <v>11888000</v>
      </c>
      <c r="W72" s="4">
        <f>_xll.SNL.Clients.Office.Excel.Functions.SPG(U72,"IQ_AVG_DILUT_SHARES_OUT","CY2021")</f>
        <v>1433800000</v>
      </c>
      <c r="X72" s="5">
        <f>_xll.SNL.Clients.Office.Excel.Functions.SPG(U72, "IQ_DILUT_EPS_NORM", "CY2021")</f>
        <v>0.63300000000000001</v>
      </c>
      <c r="Y72">
        <f t="shared" si="23"/>
        <v>907595.4</v>
      </c>
      <c r="Z72">
        <f t="shared" si="24"/>
        <v>7.6345508075370119E-2</v>
      </c>
      <c r="AA72" s="5">
        <f>_xll.SNL.Clients.Office.Excel.Functions.SPG(U72, "SP_MARKETCAP", "12/31/2021")</f>
        <v>60533.680422960002</v>
      </c>
      <c r="AB72">
        <f t="shared" si="18"/>
        <v>1.4266278776732646E-3</v>
      </c>
      <c r="AC72">
        <f t="shared" si="25"/>
        <v>9.0305544656717651E-4</v>
      </c>
    </row>
    <row r="73" spans="1:29" x14ac:dyDescent="0.3">
      <c r="A73" t="s">
        <v>73</v>
      </c>
      <c r="B73" s="4" cm="1">
        <f t="array" ref="B73">_xll.SNL.Clients.Office.Excel.Functions.SPG(A73, "SP_TOTAL_REV", "CY2023")</f>
        <v>45006000</v>
      </c>
      <c r="C73" s="4">
        <f>_xll.SNL.Clients.Office.Excel.Functions.SPG(A73,"IQ_AVG_DILUT_SHARES_OUT","CY2023")</f>
        <v>2078000000</v>
      </c>
      <c r="D73" s="5">
        <f>_xll.SNL.Clients.Office.Excel.Functions.SPG(A73, "IQ_DILUT_EPS_NORM", "CY2023")</f>
        <v>3.0430000000000001</v>
      </c>
      <c r="E73">
        <f t="shared" si="14"/>
        <v>6323354</v>
      </c>
      <c r="F73">
        <f t="shared" si="15"/>
        <v>0.14050024441185618</v>
      </c>
      <c r="G73" s="5">
        <f>_xll.SNL.Clients.Office.Excel.Functions.SPG(A73, "SP_MARKETCAP", "12/30/2023")</f>
        <v>104403.41974202001</v>
      </c>
      <c r="H73">
        <f t="shared" si="19"/>
        <v>2.4848014975720812E-3</v>
      </c>
      <c r="I73">
        <f t="shared" si="20"/>
        <v>7.5612509571118432E-3</v>
      </c>
      <c r="K73" t="s">
        <v>73</v>
      </c>
      <c r="L73" s="4" cm="1">
        <f t="array" ref="L73">_xll.SNL.Clients.Office.Excel.Functions.SPG(K73, "SP_TOTAL_REV", "CY2023")</f>
        <v>45006000</v>
      </c>
      <c r="M73" s="4">
        <f>_xll.SNL.Clients.Office.Excel.Functions.SPG(K73,"IQ_AVG_DILUT_SHARES_OUT","CY2023")</f>
        <v>2078000000</v>
      </c>
      <c r="N73" s="5">
        <f>_xll.SNL.Clients.Office.Excel.Functions.SPG(K73, "IQ_DILUT_EPS_NORM", "CY2023")</f>
        <v>3.0430000000000001</v>
      </c>
      <c r="O73">
        <f t="shared" si="16"/>
        <v>6323354</v>
      </c>
      <c r="P73">
        <f t="shared" si="17"/>
        <v>0.14050024441185618</v>
      </c>
      <c r="Q73" s="5">
        <f>_xll.SNL.Clients.Office.Excel.Functions.SPG(K73, "SP_MARKETCAP", "12/31/2022")</f>
        <v>159703.45307325001</v>
      </c>
      <c r="R73">
        <f t="shared" si="21"/>
        <v>4.7397110630500935E-3</v>
      </c>
      <c r="S73">
        <f t="shared" si="22"/>
        <v>1.4422940764861435E-2</v>
      </c>
      <c r="U73" t="s">
        <v>73</v>
      </c>
      <c r="V73" s="4" cm="1">
        <f t="array" ref="V73">_xll.SNL.Clients.Office.Excel.Functions.SPG(U73, "SP_TOTAL_REV", "CY2021")</f>
        <v>46385000</v>
      </c>
      <c r="W73" s="4">
        <f>_xll.SNL.Clients.Office.Excel.Functions.SPG(U73,"IQ_AVG_DILUT_SHARES_OUT","CY2021")</f>
        <v>2245000000</v>
      </c>
      <c r="X73" s="5">
        <f>_xll.SNL.Clients.Office.Excel.Functions.SPG(U73, "IQ_DILUT_EPS_NORM", "CY2021")</f>
        <v>2.5739999999999998</v>
      </c>
      <c r="Y73">
        <f t="shared" si="23"/>
        <v>5778630</v>
      </c>
      <c r="Z73">
        <f t="shared" si="24"/>
        <v>0.12457971326937588</v>
      </c>
      <c r="AA73" s="5">
        <f>_xll.SNL.Clients.Office.Excel.Functions.SPG(U73, "SP_MARKETCAP", "12/31/2021")</f>
        <v>138394.86169724999</v>
      </c>
      <c r="AB73">
        <f t="shared" si="18"/>
        <v>3.2616217359410032E-3</v>
      </c>
      <c r="AC73">
        <f t="shared" si="25"/>
        <v>8.3954143483121416E-3</v>
      </c>
    </row>
    <row r="74" spans="1:29" x14ac:dyDescent="0.3">
      <c r="A74" t="s">
        <v>74</v>
      </c>
      <c r="B74" s="4" cm="1">
        <f t="array" ref="B74">_xll.SNL.Clients.Office.Excel.Functions.SPG(A74, "SP_TOTAL_REV", "CY2023")</f>
        <v>38865000</v>
      </c>
      <c r="C74" s="4">
        <f>_xll.SNL.Clients.Office.Excel.Functions.SPG(A74,"IQ_AVG_DILUT_SHARES_OUT","CY2023")</f>
        <v>4365000000</v>
      </c>
      <c r="D74" s="5">
        <f>_xll.SNL.Clients.Office.Excel.Functions.SPG(A74, "IQ_DILUT_EPS_NORM", "CY2023")</f>
        <v>1.97</v>
      </c>
      <c r="E74">
        <f t="shared" si="14"/>
        <v>8599050</v>
      </c>
      <c r="F74">
        <f t="shared" si="15"/>
        <v>0.22125434195291394</v>
      </c>
      <c r="G74" s="5">
        <f>_xll.SNL.Clients.Office.Excel.Functions.SPG(A74, "SP_MARKETCAP", "12/30/2023")</f>
        <v>522561.91014624998</v>
      </c>
      <c r="H74">
        <f t="shared" si="19"/>
        <v>1.2436974000602851E-2</v>
      </c>
      <c r="I74">
        <f t="shared" si="20"/>
        <v>2.4500838781187615E-2</v>
      </c>
      <c r="K74" t="s">
        <v>74</v>
      </c>
      <c r="L74" s="4" cm="1">
        <f t="array" ref="L74">_xll.SNL.Clients.Office.Excel.Functions.SPG(K74, "SP_TOTAL_REV", "CY2023")</f>
        <v>38865000</v>
      </c>
      <c r="M74" s="4">
        <f>_xll.SNL.Clients.Office.Excel.Functions.SPG(K74,"IQ_AVG_DILUT_SHARES_OUT","CY2023")</f>
        <v>4365000000</v>
      </c>
      <c r="N74" s="5">
        <f>_xll.SNL.Clients.Office.Excel.Functions.SPG(K74, "IQ_DILUT_EPS_NORM", "CY2023")</f>
        <v>1.97</v>
      </c>
      <c r="O74">
        <f t="shared" si="16"/>
        <v>8599050</v>
      </c>
      <c r="P74">
        <f t="shared" si="17"/>
        <v>0.22125434195291394</v>
      </c>
      <c r="Q74" s="5">
        <f>_xll.SNL.Clients.Office.Excel.Functions.SPG(K74, "SP_MARKETCAP", "12/31/2022")</f>
        <v>233652.67745819999</v>
      </c>
      <c r="R74">
        <f t="shared" si="21"/>
        <v>6.9343909536631089E-3</v>
      </c>
      <c r="S74">
        <f t="shared" si="22"/>
        <v>1.3660750178716324E-2</v>
      </c>
      <c r="U74" t="s">
        <v>74</v>
      </c>
      <c r="V74" s="4" cm="1">
        <f t="array" ref="V74">_xll.SNL.Clients.Office.Excel.Functions.SPG(U74, "SP_TOTAL_REV", "CY2021")</f>
        <v>28501000</v>
      </c>
      <c r="W74" s="4">
        <f>_xll.SNL.Clients.Office.Excel.Functions.SPG(U74,"IQ_AVG_DILUT_SHARES_OUT","CY2021")</f>
        <v>4292500000</v>
      </c>
      <c r="X74" s="5">
        <f>_xll.SNL.Clients.Office.Excel.Functions.SPG(U74, "IQ_DILUT_EPS_NORM", "CY2021")</f>
        <v>1.1919999999999999</v>
      </c>
      <c r="Y74">
        <f t="shared" si="23"/>
        <v>5116660</v>
      </c>
      <c r="Z74">
        <f t="shared" si="24"/>
        <v>0.17952563067962526</v>
      </c>
      <c r="AA74" s="5">
        <f>_xll.SNL.Clients.Office.Excel.Functions.SPG(U74, "SP_MARKETCAP", "12/31/2021")</f>
        <v>274730.46704687999</v>
      </c>
      <c r="AB74">
        <f t="shared" si="18"/>
        <v>6.4747119355164093E-3</v>
      </c>
      <c r="AC74">
        <f t="shared" si="25"/>
        <v>7.71785662713556E-3</v>
      </c>
    </row>
    <row r="75" spans="1:29" x14ac:dyDescent="0.3">
      <c r="A75" t="s">
        <v>75</v>
      </c>
      <c r="B75" s="4" cm="1">
        <f t="array" ref="B75">_xll.SNL.Clients.Office.Excel.Functions.SPG(A75, "SP_TOTAL_REV", "CY2023")</f>
        <v>6320700</v>
      </c>
      <c r="C75" s="4">
        <f>_xll.SNL.Clients.Office.Excel.Functions.SPG(A75,"IQ_AVG_DILUT_SHARES_OUT","CY2023")</f>
        <v>119100000</v>
      </c>
      <c r="D75" s="5">
        <f>_xll.SNL.Clients.Office.Excel.Functions.SPG(A75, "IQ_DILUT_EPS_NORM", "CY2023")</f>
        <v>4.556</v>
      </c>
      <c r="E75">
        <f t="shared" si="14"/>
        <v>542619.6</v>
      </c>
      <c r="F75">
        <f t="shared" si="15"/>
        <v>8.5848023161991555E-2</v>
      </c>
      <c r="G75" s="5">
        <f>_xll.SNL.Clients.Office.Excel.Functions.SPG(A75, "SP_MARKETCAP", "12/30/2023")</f>
        <v>24205.878068499998</v>
      </c>
      <c r="H75">
        <f t="shared" si="19"/>
        <v>5.7609992300327174E-4</v>
      </c>
      <c r="I75">
        <f t="shared" si="20"/>
        <v>2.6247112492029062E-3</v>
      </c>
      <c r="K75" t="s">
        <v>75</v>
      </c>
      <c r="L75" s="4" cm="1">
        <f t="array" ref="L75">_xll.SNL.Clients.Office.Excel.Functions.SPG(K75, "SP_TOTAL_REV", "CY2023")</f>
        <v>6320700</v>
      </c>
      <c r="M75" s="4">
        <f>_xll.SNL.Clients.Office.Excel.Functions.SPG(K75,"IQ_AVG_DILUT_SHARES_OUT","CY2023")</f>
        <v>119100000</v>
      </c>
      <c r="N75" s="5">
        <f>_xll.SNL.Clients.Office.Excel.Functions.SPG(K75, "IQ_DILUT_EPS_NORM", "CY2023")</f>
        <v>4.556</v>
      </c>
      <c r="O75">
        <f t="shared" si="16"/>
        <v>542619.6</v>
      </c>
      <c r="P75">
        <f t="shared" si="17"/>
        <v>8.5848023161991555E-2</v>
      </c>
      <c r="Q75" s="5">
        <f>_xll.SNL.Clients.Office.Excel.Functions.SPG(K75, "SP_MARKETCAP", "12/31/2022")</f>
        <v>15781.10847399</v>
      </c>
      <c r="R75">
        <f t="shared" si="21"/>
        <v>4.6835489766809847E-4</v>
      </c>
      <c r="S75">
        <f t="shared" si="22"/>
        <v>2.1338249137758565E-3</v>
      </c>
      <c r="U75" t="s">
        <v>75</v>
      </c>
      <c r="V75" s="4" cm="1">
        <f t="array" ref="V75">_xll.SNL.Clients.Office.Excel.Functions.SPG(U75, "SP_TOTAL_REV", "CY2021")</f>
        <v>5373900</v>
      </c>
      <c r="W75" s="4">
        <f>_xll.SNL.Clients.Office.Excel.Functions.SPG(U75,"IQ_AVG_DILUT_SHARES_OUT","CY2021")</f>
        <v>118250000</v>
      </c>
      <c r="X75" s="5">
        <f>_xll.SNL.Clients.Office.Excel.Functions.SPG(U75, "IQ_DILUT_EPS_NORM", "CY2021")</f>
        <v>3.2189999999999999</v>
      </c>
      <c r="Y75">
        <f t="shared" si="23"/>
        <v>380646.75</v>
      </c>
      <c r="Z75">
        <f t="shared" si="24"/>
        <v>7.0832495952660085E-2</v>
      </c>
      <c r="AA75" s="5">
        <f>_xll.SNL.Clients.Office.Excel.Functions.SPG(U75, "SP_MARKETCAP", "12/31/2021")</f>
        <v>21861.262391759999</v>
      </c>
      <c r="AB75">
        <f t="shared" si="18"/>
        <v>5.1521543298374398E-4</v>
      </c>
      <c r="AC75">
        <f t="shared" si="25"/>
        <v>1.6584784787746717E-3</v>
      </c>
    </row>
    <row r="76" spans="1:29" x14ac:dyDescent="0.3">
      <c r="A76" t="s">
        <v>76</v>
      </c>
      <c r="B76" s="4" cm="1">
        <f t="array" ref="B76">_xll.SNL.Clients.Office.Excel.Functions.SPG(A76, "SP_TOTAL_REV", "CY2023")</f>
        <v>4257100</v>
      </c>
      <c r="C76" s="4">
        <f>_xll.SNL.Clients.Office.Excel.Functions.SPG(A76,"IQ_AVG_DILUT_SHARES_OUT","CY2023")</f>
        <v>280800000</v>
      </c>
      <c r="D76" s="5">
        <f>_xll.SNL.Clients.Office.Excel.Functions.SPG(A76, "IQ_DILUT_EPS_NORM", "CY2023")</f>
        <v>2.31</v>
      </c>
      <c r="E76">
        <f t="shared" si="14"/>
        <v>648648</v>
      </c>
      <c r="F76">
        <f t="shared" si="15"/>
        <v>0.15236851377698432</v>
      </c>
      <c r="G76" s="5">
        <f>_xll.SNL.Clients.Office.Excel.Functions.SPG(A76, "SP_MARKETCAP", "12/30/2023")</f>
        <v>20237.75176241</v>
      </c>
      <c r="H76">
        <f t="shared" si="19"/>
        <v>4.8165851282445205E-4</v>
      </c>
      <c r="I76">
        <f t="shared" si="20"/>
        <v>1.1126311646244842E-3</v>
      </c>
      <c r="K76" t="s">
        <v>76</v>
      </c>
      <c r="L76" s="4" cm="1">
        <f t="array" ref="L76">_xll.SNL.Clients.Office.Excel.Functions.SPG(K76, "SP_TOTAL_REV", "CY2023")</f>
        <v>4257100</v>
      </c>
      <c r="M76" s="4">
        <f>_xll.SNL.Clients.Office.Excel.Functions.SPG(K76,"IQ_AVG_DILUT_SHARES_OUT","CY2023")</f>
        <v>280800000</v>
      </c>
      <c r="N76" s="5">
        <f>_xll.SNL.Clients.Office.Excel.Functions.SPG(K76, "IQ_DILUT_EPS_NORM", "CY2023")</f>
        <v>2.31</v>
      </c>
      <c r="O76">
        <f t="shared" si="16"/>
        <v>648648</v>
      </c>
      <c r="P76">
        <f t="shared" si="17"/>
        <v>0.15236851377698432</v>
      </c>
      <c r="Q76" s="5">
        <f>_xll.SNL.Clients.Office.Excel.Functions.SPG(K76, "SP_MARKETCAP", "12/31/2022")</f>
        <v>16135.178247989999</v>
      </c>
      <c r="R76">
        <f t="shared" si="21"/>
        <v>4.7886305132805547E-4</v>
      </c>
      <c r="S76">
        <f t="shared" si="22"/>
        <v>1.1061736485678082E-3</v>
      </c>
      <c r="U76" t="s">
        <v>76</v>
      </c>
      <c r="V76" s="4" cm="1">
        <f t="array" ref="V76">_xll.SNL.Clients.Office.Excel.Functions.SPG(U76, "SP_TOTAL_REV", "CY2021")</f>
        <v>3051398</v>
      </c>
      <c r="W76" s="4">
        <f>_xll.SNL.Clients.Office.Excel.Functions.SPG(U76,"IQ_AVG_DILUT_SHARES_OUT","CY2021")</f>
        <v>277400000</v>
      </c>
      <c r="X76" s="5">
        <f>_xll.SNL.Clients.Office.Excel.Functions.SPG(U76, "IQ_DILUT_EPS_NORM", "CY2021")</f>
        <v>1.788</v>
      </c>
      <c r="Y76">
        <f t="shared" si="23"/>
        <v>495991.2</v>
      </c>
      <c r="Z76">
        <f t="shared" si="24"/>
        <v>0.16254556108380486</v>
      </c>
      <c r="AA76" s="5">
        <f>_xll.SNL.Clients.Office.Excel.Functions.SPG(U76, "SP_MARKETCAP", "12/31/2021")</f>
        <v>19848.958244919999</v>
      </c>
      <c r="AB76">
        <f t="shared" si="18"/>
        <v>4.6779044289259824E-4</v>
      </c>
      <c r="AC76">
        <f t="shared" si="25"/>
        <v>8.3640931189196569E-4</v>
      </c>
    </row>
    <row r="77" spans="1:29" x14ac:dyDescent="0.3">
      <c r="A77" t="s">
        <v>77</v>
      </c>
      <c r="B77" s="4" cm="1">
        <f t="array" ref="B77">_xll.SNL.Clients.Office.Excel.Functions.SPG(A77, "SP_TOTAL_REV", "CY2023")</f>
        <v>4260000</v>
      </c>
      <c r="C77" s="4">
        <f>_xll.SNL.Clients.Office.Excel.Functions.SPG(A77,"IQ_AVG_DILUT_SHARES_OUT","CY2023")</f>
        <v>479111641</v>
      </c>
      <c r="D77" s="5">
        <f>_xll.SNL.Clients.Office.Excel.Functions.SPG(A77, "IQ_DILUT_EPS_NORM", "CY2023")</f>
        <v>1.4710000000000001</v>
      </c>
      <c r="E77">
        <f t="shared" si="14"/>
        <v>704773.22391100007</v>
      </c>
      <c r="F77">
        <f t="shared" si="15"/>
        <v>0.16543972392276998</v>
      </c>
      <c r="G77" s="5">
        <f>_xll.SNL.Clients.Office.Excel.Functions.SPG(A77, "SP_MARKETCAP", "12/30/2023")</f>
        <v>27579.091669410001</v>
      </c>
      <c r="H77">
        <f t="shared" si="19"/>
        <v>6.5638241018504192E-4</v>
      </c>
      <c r="I77">
        <f t="shared" si="20"/>
        <v>9.6553852538219668E-4</v>
      </c>
      <c r="K77" t="s">
        <v>77</v>
      </c>
      <c r="L77" s="4" cm="1">
        <f t="array" ref="L77">_xll.SNL.Clients.Office.Excel.Functions.SPG(K77, "SP_TOTAL_REV", "CY2023")</f>
        <v>4260000</v>
      </c>
      <c r="M77" s="4">
        <f>_xll.SNL.Clients.Office.Excel.Functions.SPG(K77,"IQ_AVG_DILUT_SHARES_OUT","CY2023")</f>
        <v>479111641</v>
      </c>
      <c r="N77" s="5">
        <f>_xll.SNL.Clients.Office.Excel.Functions.SPG(K77, "IQ_DILUT_EPS_NORM", "CY2023")</f>
        <v>1.4710000000000001</v>
      </c>
      <c r="O77">
        <f t="shared" si="16"/>
        <v>704773.22391100007</v>
      </c>
      <c r="P77">
        <f t="shared" si="17"/>
        <v>0.16543972392276998</v>
      </c>
      <c r="Q77" s="5">
        <f>_xll.SNL.Clients.Office.Excel.Functions.SPG(K77, "SP_MARKETCAP", "12/31/2022")</f>
        <v>31484.117578000001</v>
      </c>
      <c r="R77">
        <f t="shared" si="21"/>
        <v>9.3439194659349219E-4</v>
      </c>
      <c r="S77">
        <f t="shared" si="22"/>
        <v>1.3744905534390272E-3</v>
      </c>
      <c r="U77" t="s">
        <v>77</v>
      </c>
      <c r="V77" s="4" cm="1">
        <f t="array" ref="V77">_xll.SNL.Clients.Office.Excel.Functions.SPG(U77, "SP_TOTAL_REV", "CY2021")</f>
        <v>3749000</v>
      </c>
      <c r="W77" s="4">
        <f>_xll.SNL.Clients.Office.Excel.Functions.SPG(U77,"IQ_AVG_DILUT_SHARES_OUT","CY2021")</f>
        <v>480627500</v>
      </c>
      <c r="X77" s="5">
        <f>_xll.SNL.Clients.Office.Excel.Functions.SPG(U77, "IQ_DILUT_EPS_NORM", "CY2021")</f>
        <v>1.359</v>
      </c>
      <c r="Y77">
        <f t="shared" si="23"/>
        <v>653172.77249999996</v>
      </c>
      <c r="Z77">
        <f t="shared" si="24"/>
        <v>0.17422586623099492</v>
      </c>
      <c r="AA77" s="5">
        <f>_xll.SNL.Clients.Office.Excel.Functions.SPG(U77, "SP_MARKETCAP", "12/31/2021")</f>
        <v>34033.643811460002</v>
      </c>
      <c r="AB77">
        <f t="shared" si="18"/>
        <v>8.020881053486229E-4</v>
      </c>
      <c r="AC77">
        <f t="shared" si="25"/>
        <v>1.0900377351687786E-3</v>
      </c>
    </row>
    <row r="78" spans="1:29" x14ac:dyDescent="0.3">
      <c r="A78" t="s">
        <v>78</v>
      </c>
      <c r="B78" s="4" cm="1">
        <f t="array" ref="B78">_xll.SNL.Clients.Office.Excel.Functions.SPG(A78, "SP_TOTAL_REV", "CY2023")</f>
        <v>17097330</v>
      </c>
      <c r="C78" s="4">
        <f>_xll.SNL.Clients.Office.Excel.Functions.SPG(A78,"IQ_AVG_DILUT_SHARES_OUT","CY2023")</f>
        <v>128998000</v>
      </c>
      <c r="D78" s="5">
        <f>_xll.SNL.Clients.Office.Excel.Functions.SPG(A78, "IQ_DILUT_EPS_NORM", "CY2023")</f>
        <v>9.6140000000000008</v>
      </c>
      <c r="E78">
        <f t="shared" si="14"/>
        <v>1240186.7720000001</v>
      </c>
      <c r="F78">
        <f t="shared" si="15"/>
        <v>7.2536868154267367E-2</v>
      </c>
      <c r="G78" s="5">
        <f>_xll.SNL.Clients.Office.Excel.Functions.SPG(A78, "SP_MARKETCAP", "12/30/2023")</f>
        <v>20591.5106185</v>
      </c>
      <c r="H78">
        <f t="shared" si="19"/>
        <v>4.900779739643637E-4</v>
      </c>
      <c r="I78">
        <f t="shared" si="20"/>
        <v>4.7116096416933931E-3</v>
      </c>
      <c r="K78" t="s">
        <v>78</v>
      </c>
      <c r="L78" s="4" cm="1">
        <f t="array" ref="L78">_xll.SNL.Clients.Office.Excel.Functions.SPG(K78, "SP_TOTAL_REV", "CY2023")</f>
        <v>17097330</v>
      </c>
      <c r="M78" s="4">
        <f>_xll.SNL.Clients.Office.Excel.Functions.SPG(K78,"IQ_AVG_DILUT_SHARES_OUT","CY2023")</f>
        <v>128998000</v>
      </c>
      <c r="N78" s="5">
        <f>_xll.SNL.Clients.Office.Excel.Functions.SPG(K78, "IQ_DILUT_EPS_NORM", "CY2023")</f>
        <v>9.6140000000000008</v>
      </c>
      <c r="O78">
        <f t="shared" si="16"/>
        <v>1240186.7720000001</v>
      </c>
      <c r="P78">
        <f t="shared" si="17"/>
        <v>7.2536868154267367E-2</v>
      </c>
      <c r="Q78" s="5">
        <f>_xll.SNL.Clients.Office.Excel.Functions.SPG(K78, "SP_MARKETCAP", "12/31/2022")</f>
        <v>9548.7596755199993</v>
      </c>
      <c r="R78">
        <f t="shared" si="21"/>
        <v>2.8339000191630447E-4</v>
      </c>
      <c r="S78">
        <f t="shared" si="22"/>
        <v>2.7245114784233515E-3</v>
      </c>
      <c r="U78" t="s">
        <v>78</v>
      </c>
      <c r="V78" s="4" cm="1">
        <f t="array" ref="V78">_xll.SNL.Clients.Office.Excel.Functions.SPG(U78, "SP_TOTAL_REV", "CY2021")</f>
        <v>19893856</v>
      </c>
      <c r="W78" s="4">
        <f>_xll.SNL.Clients.Office.Excel.Functions.SPG(U78,"IQ_AVG_DILUT_SHARES_OUT","CY2021")</f>
        <v>203470000</v>
      </c>
      <c r="X78" s="5">
        <f>_xll.SNL.Clients.Office.Excel.Functions.SPG(U78, "IQ_DILUT_EPS_NORM", "CY2021")</f>
        <v>6.992</v>
      </c>
      <c r="Y78">
        <f t="shared" si="23"/>
        <v>1422662.24</v>
      </c>
      <c r="Z78">
        <f t="shared" si="24"/>
        <v>7.1512643903725859E-2</v>
      </c>
      <c r="AA78" s="5">
        <f>_xll.SNL.Clients.Office.Excel.Functions.SPG(U78, "SP_MARKETCAP", "12/31/2021")</f>
        <v>16413.558252480001</v>
      </c>
      <c r="AB78">
        <f t="shared" si="18"/>
        <v>3.8682663289576726E-4</v>
      </c>
      <c r="AC78">
        <f t="shared" si="25"/>
        <v>2.7046918172072046E-3</v>
      </c>
    </row>
    <row r="79" spans="1:29" x14ac:dyDescent="0.3">
      <c r="A79" t="s">
        <v>79</v>
      </c>
      <c r="B79" s="4" cm="1">
        <f t="array" ref="B79">_xll.SNL.Clients.Office.Excel.Functions.SPG(A79, "SP_TOTAL_REV", "CY2023")</f>
        <v>59540000</v>
      </c>
      <c r="C79" s="4">
        <f>_xll.SNL.Clients.Office.Excel.Functions.SPG(A79,"IQ_AVG_DILUT_SHARES_OUT","CY2023")</f>
        <v>150787917</v>
      </c>
      <c r="D79" s="5">
        <f>_xll.SNL.Clients.Office.Excel.Functions.SPG(A79, "IQ_DILUT_EPS_NORM", "CY2023")</f>
        <v>12.698</v>
      </c>
      <c r="E79">
        <f t="shared" si="14"/>
        <v>1914704.970066</v>
      </c>
      <c r="F79">
        <f t="shared" si="15"/>
        <v>3.2158296440476991E-2</v>
      </c>
      <c r="G79" s="5">
        <f>_xll.SNL.Clients.Office.Excel.Functions.SPG(A79, "SP_MARKETCAP", "12/30/2023")</f>
        <v>14666.8213791</v>
      </c>
      <c r="H79">
        <f t="shared" si="19"/>
        <v>3.4907036395419869E-4</v>
      </c>
      <c r="I79">
        <f t="shared" si="20"/>
        <v>4.4324954814904151E-3</v>
      </c>
      <c r="K79" t="s">
        <v>79</v>
      </c>
      <c r="L79" s="4" cm="1">
        <f t="array" ref="L79">_xll.SNL.Clients.Office.Excel.Functions.SPG(K79, "SP_TOTAL_REV", "CY2023")</f>
        <v>59540000</v>
      </c>
      <c r="M79" s="4">
        <f>_xll.SNL.Clients.Office.Excel.Functions.SPG(K79,"IQ_AVG_DILUT_SHARES_OUT","CY2023")</f>
        <v>150787917</v>
      </c>
      <c r="N79" s="5">
        <f>_xll.SNL.Clients.Office.Excel.Functions.SPG(K79, "IQ_DILUT_EPS_NORM", "CY2023")</f>
        <v>12.698</v>
      </c>
      <c r="O79">
        <f t="shared" si="16"/>
        <v>1914704.970066</v>
      </c>
      <c r="P79">
        <f t="shared" si="17"/>
        <v>3.2158296440476991E-2</v>
      </c>
      <c r="Q79" s="5">
        <f>_xll.SNL.Clients.Office.Excel.Functions.SPG(K79, "SP_MARKETCAP", "12/31/2022")</f>
        <v>14945.56226251</v>
      </c>
      <c r="R79">
        <f t="shared" si="21"/>
        <v>4.4355738987454483E-4</v>
      </c>
      <c r="S79">
        <f t="shared" si="22"/>
        <v>5.6322917366269706E-3</v>
      </c>
      <c r="U79" t="s">
        <v>79</v>
      </c>
      <c r="V79" s="4" cm="1">
        <f t="array" ref="V79">_xll.SNL.Clients.Office.Excel.Functions.SPG(U79, "SP_TOTAL_REV", "CY2021")</f>
        <v>59152000</v>
      </c>
      <c r="W79" s="4">
        <f>_xll.SNL.Clients.Office.Excel.Functions.SPG(U79,"IQ_AVG_DILUT_SHARES_OUT","CY2021")</f>
        <v>152366712</v>
      </c>
      <c r="X79" s="5">
        <f>_xll.SNL.Clients.Office.Excel.Functions.SPG(U79, "IQ_DILUT_EPS_NORM", "CY2021")</f>
        <v>9.3019999999999996</v>
      </c>
      <c r="Y79">
        <f t="shared" si="23"/>
        <v>1417315.155024</v>
      </c>
      <c r="Z79">
        <f t="shared" si="24"/>
        <v>2.3960561857992967E-2</v>
      </c>
      <c r="AA79" s="5">
        <f>_xll.SNL.Clients.Office.Excel.Functions.SPG(U79, "SP_MARKETCAP", "12/31/2021")</f>
        <v>13118.96577864</v>
      </c>
      <c r="AB79">
        <f t="shared" si="18"/>
        <v>3.091813049409526E-4</v>
      </c>
      <c r="AC79">
        <f t="shared" si="25"/>
        <v>2.876004498560741E-3</v>
      </c>
    </row>
    <row r="80" spans="1:29" x14ac:dyDescent="0.3">
      <c r="A80" t="s">
        <v>80</v>
      </c>
      <c r="B80" s="4" cm="1">
        <f t="array" ref="B80">_xll.SNL.Clients.Office.Excel.Functions.SPG(A80, "SP_TOTAL_REV", "CY2023")</f>
        <v>3373491</v>
      </c>
      <c r="C80" s="4">
        <f>_xll.SNL.Clients.Office.Excel.Functions.SPG(A80,"IQ_AVG_DILUT_SHARES_OUT","CY2023")</f>
        <v>157201000</v>
      </c>
      <c r="D80" s="5">
        <f>_xll.SNL.Clients.Office.Excel.Functions.SPG(A80, "IQ_DILUT_EPS_NORM", "CY2023")</f>
        <v>1.389</v>
      </c>
      <c r="E80">
        <f t="shared" si="14"/>
        <v>218352.18900000001</v>
      </c>
      <c r="F80">
        <f t="shared" si="15"/>
        <v>6.4725884551048163E-2</v>
      </c>
      <c r="G80" s="5">
        <f>_xll.SNL.Clients.Office.Excel.Functions.SPG(A80, "SP_MARKETCAP", "12/30/2023")</f>
        <v>11012.492430599999</v>
      </c>
      <c r="H80">
        <f t="shared" si="19"/>
        <v>2.6209733120976261E-4</v>
      </c>
      <c r="I80">
        <f t="shared" si="20"/>
        <v>3.6405319305036029E-4</v>
      </c>
      <c r="K80" t="s">
        <v>80</v>
      </c>
      <c r="L80" s="4" cm="1">
        <f t="array" ref="L80">_xll.SNL.Clients.Office.Excel.Functions.SPG(K80, "SP_TOTAL_REV", "CY2023")</f>
        <v>3373491</v>
      </c>
      <c r="M80" s="4">
        <f>_xll.SNL.Clients.Office.Excel.Functions.SPG(K80,"IQ_AVG_DILUT_SHARES_OUT","CY2023")</f>
        <v>157201000</v>
      </c>
      <c r="N80" s="5">
        <f>_xll.SNL.Clients.Office.Excel.Functions.SPG(K80, "IQ_DILUT_EPS_NORM", "CY2023")</f>
        <v>1.389</v>
      </c>
      <c r="O80">
        <f t="shared" si="16"/>
        <v>218352.18900000001</v>
      </c>
      <c r="P80">
        <f t="shared" si="17"/>
        <v>6.4725884551048163E-2</v>
      </c>
      <c r="Q80" s="5">
        <f>_xll.SNL.Clients.Office.Excel.Functions.SPG(K80, "SP_MARKETCAP", "12/31/2022")</f>
        <v>10593.483436959999</v>
      </c>
      <c r="R80">
        <f t="shared" si="21"/>
        <v>3.1439552292815962E-4</v>
      </c>
      <c r="S80">
        <f t="shared" si="22"/>
        <v>4.366953813472137E-4</v>
      </c>
      <c r="U80" t="s">
        <v>80</v>
      </c>
      <c r="V80" s="4" cm="1">
        <f t="array" ref="V80">_xll.SNL.Clients.Office.Excel.Functions.SPG(U80, "SP_TOTAL_REV", "CY2021")</f>
        <v>2875041</v>
      </c>
      <c r="W80" s="4">
        <f>_xll.SNL.Clients.Office.Excel.Functions.SPG(U80,"IQ_AVG_DILUT_SHARES_OUT","CY2021")</f>
        <v>156376000</v>
      </c>
      <c r="X80" s="5">
        <f>_xll.SNL.Clients.Office.Excel.Functions.SPG(U80, "IQ_DILUT_EPS_NORM", "CY2021")</f>
        <v>1.371</v>
      </c>
      <c r="Y80">
        <f t="shared" si="23"/>
        <v>214391.49600000001</v>
      </c>
      <c r="Z80">
        <f t="shared" si="24"/>
        <v>7.456989169893577E-2</v>
      </c>
      <c r="AA80" s="5">
        <f>_xll.SNL.Clients.Office.Excel.Functions.SPG(U80, "SP_MARKETCAP", "12/31/2021")</f>
        <v>17991.915809919999</v>
      </c>
      <c r="AB80">
        <f t="shared" si="18"/>
        <v>4.2402458412964131E-4</v>
      </c>
      <c r="AC80">
        <f t="shared" si="25"/>
        <v>5.8133770484173827E-4</v>
      </c>
    </row>
    <row r="81" spans="1:29" x14ac:dyDescent="0.3">
      <c r="A81" t="s">
        <v>81</v>
      </c>
      <c r="B81" s="4" cm="1">
        <f t="array" ref="B81">_xll.SNL.Clients.Office.Excel.Functions.SPG(A81, "SP_TOTAL_REV", "CY2023")</f>
        <v>17596443</v>
      </c>
      <c r="C81" s="4">
        <f>_xll.SNL.Clients.Office.Excel.Functions.SPG(A81,"IQ_AVG_DILUT_SHARES_OUT","CY2023")</f>
        <v>119677000</v>
      </c>
      <c r="D81" s="5">
        <f>_xll.SNL.Clients.Office.Excel.Functions.SPG(A81, "IQ_DILUT_EPS_NORM", "CY2023")</f>
        <v>2.2280000000000002</v>
      </c>
      <c r="E81">
        <f t="shared" si="14"/>
        <v>266640.35600000003</v>
      </c>
      <c r="F81">
        <f t="shared" si="15"/>
        <v>1.5153082699725168E-2</v>
      </c>
      <c r="G81" s="5">
        <f>_xll.SNL.Clients.Office.Excel.Functions.SPG(A81, "SP_MARKETCAP", "12/30/2023")</f>
        <v>10077.48308643</v>
      </c>
      <c r="H81">
        <f t="shared" si="19"/>
        <v>2.3984410785387648E-4</v>
      </c>
      <c r="I81">
        <f t="shared" si="20"/>
        <v>5.3437267229843684E-4</v>
      </c>
      <c r="K81" t="s">
        <v>81</v>
      </c>
      <c r="L81" s="4" cm="1">
        <f t="array" ref="L81">_xll.SNL.Clients.Office.Excel.Functions.SPG(K81, "SP_TOTAL_REV", "CY2023")</f>
        <v>17596443</v>
      </c>
      <c r="M81" s="4">
        <f>_xll.SNL.Clients.Office.Excel.Functions.SPG(K81,"IQ_AVG_DILUT_SHARES_OUT","CY2023")</f>
        <v>119677000</v>
      </c>
      <c r="N81" s="5">
        <f>_xll.SNL.Clients.Office.Excel.Functions.SPG(K81, "IQ_DILUT_EPS_NORM", "CY2023")</f>
        <v>2.2280000000000002</v>
      </c>
      <c r="O81">
        <f t="shared" si="16"/>
        <v>266640.35600000003</v>
      </c>
      <c r="P81">
        <f t="shared" si="17"/>
        <v>1.5153082699725168E-2</v>
      </c>
      <c r="Q81" s="5">
        <f>_xll.SNL.Clients.Office.Excel.Functions.SPG(K81, "SP_MARKETCAP", "12/31/2022")</f>
        <v>10777.478890079999</v>
      </c>
      <c r="R81">
        <f t="shared" si="21"/>
        <v>3.198561768333935E-4</v>
      </c>
      <c r="S81">
        <f t="shared" si="22"/>
        <v>7.1263956198480076E-4</v>
      </c>
      <c r="U81" t="s">
        <v>81</v>
      </c>
      <c r="V81" s="4" cm="1">
        <f t="array" ref="V81">_xll.SNL.Clients.Office.Excel.Functions.SPG(U81, "SP_TOTAL_REV", "CY2021")</f>
        <v>23102138</v>
      </c>
      <c r="W81" s="4">
        <f>_xll.SNL.Clients.Office.Excel.Functions.SPG(U81,"IQ_AVG_DILUT_SHARES_OUT","CY2021")</f>
        <v>133834000</v>
      </c>
      <c r="X81" s="5">
        <f>_xll.SNL.Clients.Office.Excel.Functions.SPG(U81, "IQ_DILUT_EPS_NORM", "CY2021")</f>
        <v>4.774</v>
      </c>
      <c r="Y81">
        <f t="shared" si="23"/>
        <v>638923.51599999995</v>
      </c>
      <c r="Z81">
        <f t="shared" si="24"/>
        <v>2.7656466946912012E-2</v>
      </c>
      <c r="AA81" s="5">
        <f>_xll.SNL.Clients.Office.Excel.Functions.SPG(U81, "SP_MARKETCAP", "12/31/2021")</f>
        <v>13934.986332300001</v>
      </c>
      <c r="AB81">
        <f t="shared" si="18"/>
        <v>3.2841287425032788E-4</v>
      </c>
      <c r="AC81">
        <f t="shared" si="25"/>
        <v>1.5678430616710654E-3</v>
      </c>
    </row>
    <row r="82" spans="1:29" x14ac:dyDescent="0.3">
      <c r="A82" t="s">
        <v>82</v>
      </c>
      <c r="B82" s="4" cm="1">
        <f t="array" ref="B82">_xll.SNL.Clients.Office.Excel.Functions.SPG(A82, "SP_TOTAL_REV", "CY2023")</f>
        <v>4089986</v>
      </c>
      <c r="C82" s="4">
        <f>_xll.SNL.Clients.Office.Excel.Functions.SPG(A82,"IQ_AVG_DILUT_SHARES_OUT","CY2023")</f>
        <v>272748000</v>
      </c>
      <c r="D82" s="5">
        <f>_xll.SNL.Clients.Office.Excel.Functions.SPG(A82, "IQ_DILUT_EPS_NORM", "CY2023")</f>
        <v>2.911</v>
      </c>
      <c r="E82">
        <f t="shared" si="14"/>
        <v>793969.42799999996</v>
      </c>
      <c r="F82">
        <f t="shared" si="15"/>
        <v>0.19412521901052962</v>
      </c>
      <c r="G82" s="5">
        <f>_xll.SNL.Clients.Office.Excel.Functions.SPG(A82, "SP_MARKETCAP", "12/30/2023")</f>
        <v>74101.526939999996</v>
      </c>
      <c r="H82">
        <f t="shared" si="19"/>
        <v>1.7636164176218334E-3</v>
      </c>
      <c r="I82">
        <f t="shared" si="20"/>
        <v>5.1338873916971567E-3</v>
      </c>
      <c r="K82" t="s">
        <v>82</v>
      </c>
      <c r="L82" s="4" cm="1">
        <f t="array" ref="L82">_xll.SNL.Clients.Office.Excel.Functions.SPG(K82, "SP_TOTAL_REV", "CY2023")</f>
        <v>4089986</v>
      </c>
      <c r="M82" s="4">
        <f>_xll.SNL.Clients.Office.Excel.Functions.SPG(K82,"IQ_AVG_DILUT_SHARES_OUT","CY2023")</f>
        <v>272748000</v>
      </c>
      <c r="N82" s="5">
        <f>_xll.SNL.Clients.Office.Excel.Functions.SPG(K82, "IQ_DILUT_EPS_NORM", "CY2023")</f>
        <v>2.911</v>
      </c>
      <c r="O82">
        <f t="shared" si="16"/>
        <v>793969.42799999996</v>
      </c>
      <c r="P82">
        <f t="shared" si="17"/>
        <v>0.19412521901052962</v>
      </c>
      <c r="Q82" s="5">
        <f>_xll.SNL.Clients.Office.Excel.Functions.SPG(K82, "SP_MARKETCAP", "12/31/2022")</f>
        <v>44066.122239999997</v>
      </c>
      <c r="R82">
        <f t="shared" si="21"/>
        <v>1.3078032006662319E-3</v>
      </c>
      <c r="S82">
        <f t="shared" si="22"/>
        <v>3.807015117139401E-3</v>
      </c>
      <c r="U82" t="s">
        <v>82</v>
      </c>
      <c r="V82" s="4" cm="1">
        <f t="array" ref="V82">_xll.SNL.Clients.Office.Excel.Functions.SPG(U82, "SP_TOTAL_REV", "CY2021")</f>
        <v>2988244</v>
      </c>
      <c r="W82" s="4">
        <f>_xll.SNL.Clients.Office.Excel.Functions.SPG(U82,"IQ_AVG_DILUT_SHARES_OUT","CY2021")</f>
        <v>278858000</v>
      </c>
      <c r="X82" s="5">
        <f>_xll.SNL.Clients.Office.Excel.Functions.SPG(U82, "IQ_DILUT_EPS_NORM", "CY2021")</f>
        <v>1.724</v>
      </c>
      <c r="Y82">
        <f t="shared" si="23"/>
        <v>480751.19199999998</v>
      </c>
      <c r="Z82">
        <f t="shared" si="24"/>
        <v>0.16088083570150227</v>
      </c>
      <c r="AA82" s="5">
        <f>_xll.SNL.Clients.Office.Excel.Functions.SPG(U82, "SP_MARKETCAP", "12/31/2021")</f>
        <v>51645.225350000001</v>
      </c>
      <c r="AB82">
        <f t="shared" si="18"/>
        <v>1.2171491592485799E-3</v>
      </c>
      <c r="AC82">
        <f t="shared" si="25"/>
        <v>2.0983651505445517E-3</v>
      </c>
    </row>
    <row r="83" spans="1:29" x14ac:dyDescent="0.3">
      <c r="A83" t="s">
        <v>83</v>
      </c>
      <c r="B83" s="4" cm="1">
        <f t="array" ref="B83">_xll.SNL.Clients.Office.Excel.Functions.SPG(A83, "SP_TOTAL_REV", "CY2023")</f>
        <v>11528000</v>
      </c>
      <c r="C83" s="4">
        <f>_xll.SNL.Clients.Office.Excel.Functions.SPG(A83,"IQ_AVG_DILUT_SHARES_OUT","CY2023")</f>
        <v>216000000</v>
      </c>
      <c r="D83" s="5">
        <f>_xll.SNL.Clients.Office.Excel.Functions.SPG(A83, "IQ_DILUT_EPS_NORM", "CY2023")</f>
        <v>0.44800000000000001</v>
      </c>
      <c r="E83">
        <f t="shared" si="14"/>
        <v>96768</v>
      </c>
      <c r="F83">
        <f t="shared" si="15"/>
        <v>8.3941707147814019E-3</v>
      </c>
      <c r="G83" s="5">
        <f>_xll.SNL.Clients.Office.Excel.Functions.SPG(A83, "SP_MARKETCAP", "12/30/2023")</f>
        <v>10112.516959680001</v>
      </c>
      <c r="H83">
        <f t="shared" si="19"/>
        <v>2.4067791407337058E-4</v>
      </c>
      <c r="I83">
        <f t="shared" si="20"/>
        <v>1.0782370550487002E-4</v>
      </c>
      <c r="K83" t="s">
        <v>83</v>
      </c>
      <c r="L83" s="4" cm="1">
        <f t="array" ref="L83">_xll.SNL.Clients.Office.Excel.Functions.SPG(K83, "SP_TOTAL_REV", "CY2023")</f>
        <v>11528000</v>
      </c>
      <c r="M83" s="4">
        <f>_xll.SNL.Clients.Office.Excel.Functions.SPG(K83,"IQ_AVG_DILUT_SHARES_OUT","CY2023")</f>
        <v>216000000</v>
      </c>
      <c r="N83" s="5">
        <f>_xll.SNL.Clients.Office.Excel.Functions.SPG(K83, "IQ_DILUT_EPS_NORM", "CY2023")</f>
        <v>0.44800000000000001</v>
      </c>
      <c r="O83">
        <f t="shared" si="16"/>
        <v>96768</v>
      </c>
      <c r="P83">
        <f t="shared" si="17"/>
        <v>8.3941707147814019E-3</v>
      </c>
      <c r="Q83" s="5">
        <f>_xll.SNL.Clients.Office.Excel.Functions.SPG(K83, "SP_MARKETCAP", "12/31/2022")</f>
        <v>8925.9499680000008</v>
      </c>
      <c r="R83">
        <f t="shared" si="21"/>
        <v>2.6490613069059222E-4</v>
      </c>
      <c r="S83">
        <f t="shared" si="22"/>
        <v>1.1867794654938532E-4</v>
      </c>
      <c r="U83" t="s">
        <v>83</v>
      </c>
      <c r="V83" s="4" cm="1">
        <f t="array" ref="V83">_xll.SNL.Clients.Office.Excel.Functions.SPG(U83, "SP_TOTAL_REV", "CY2021")</f>
        <v>9570000</v>
      </c>
      <c r="W83" s="4">
        <f>_xll.SNL.Clients.Office.Excel.Functions.SPG(U83,"IQ_AVG_DILUT_SHARES_OUT","CY2021")</f>
        <v>211000000</v>
      </c>
      <c r="X83" s="5">
        <f>_xll.SNL.Clients.Office.Excel.Functions.SPG(U83, "IQ_DILUT_EPS_NORM", "CY2021")</f>
        <v>-2.1819999999999999</v>
      </c>
      <c r="Y83">
        <f t="shared" si="23"/>
        <v>-460402</v>
      </c>
      <c r="Z83">
        <f t="shared" si="24"/>
        <v>-4.8108881922675026E-2</v>
      </c>
      <c r="AA83" s="5">
        <f>_xll.SNL.Clients.Office.Excel.Functions.SPG(U83, "SP_MARKETCAP", "12/31/2021")</f>
        <v>19994.287083560001</v>
      </c>
      <c r="AB83">
        <f t="shared" si="18"/>
        <v>4.7121548117186779E-4</v>
      </c>
      <c r="AC83">
        <f t="shared" si="25"/>
        <v>-1.0281921799170156E-3</v>
      </c>
    </row>
    <row r="84" spans="1:29" x14ac:dyDescent="0.3">
      <c r="A84" t="s">
        <v>84</v>
      </c>
      <c r="B84" s="4" cm="1">
        <f t="array" ref="B84">_xll.SNL.Clients.Office.Excel.Functions.SPG(A84, "SP_TOTAL_REV", "CY2023")</f>
        <v>1561755</v>
      </c>
      <c r="C84" s="4">
        <f>_xll.SNL.Clients.Office.Excel.Functions.SPG(A84,"IQ_AVG_DILUT_SHARES_OUT","CY2023")</f>
        <v>109399000</v>
      </c>
      <c r="D84" s="5">
        <f>_xll.SNL.Clients.Office.Excel.Functions.SPG(A84, "IQ_DILUT_EPS_NORM", "CY2023")</f>
        <v>1.0269999999999999</v>
      </c>
      <c r="E84">
        <f t="shared" si="14"/>
        <v>112352.77299999999</v>
      </c>
      <c r="F84">
        <f t="shared" si="15"/>
        <v>7.19400757481167E-2</v>
      </c>
      <c r="G84" s="5">
        <f>_xll.SNL.Clients.Office.Excel.Functions.SPG(A84, "SP_MARKETCAP", "12/30/2023")</f>
        <v>10601.31304374</v>
      </c>
      <c r="H84">
        <f t="shared" si="19"/>
        <v>2.5231126137828481E-4</v>
      </c>
      <c r="I84">
        <f t="shared" si="20"/>
        <v>2.5912366543549847E-4</v>
      </c>
      <c r="K84" t="s">
        <v>84</v>
      </c>
      <c r="L84" s="4" cm="1">
        <f t="array" ref="L84">_xll.SNL.Clients.Office.Excel.Functions.SPG(K84, "SP_TOTAL_REV", "CY2023")</f>
        <v>1561755</v>
      </c>
      <c r="M84" s="4">
        <f>_xll.SNL.Clients.Office.Excel.Functions.SPG(K84,"IQ_AVG_DILUT_SHARES_OUT","CY2023")</f>
        <v>109399000</v>
      </c>
      <c r="N84" s="5">
        <f>_xll.SNL.Clients.Office.Excel.Functions.SPG(K84, "IQ_DILUT_EPS_NORM", "CY2023")</f>
        <v>1.0269999999999999</v>
      </c>
      <c r="O84">
        <f t="shared" si="16"/>
        <v>112352.77299999999</v>
      </c>
      <c r="P84">
        <f t="shared" si="17"/>
        <v>7.19400757481167E-2</v>
      </c>
      <c r="Q84" s="5">
        <f>_xll.SNL.Clients.Office.Excel.Functions.SPG(K84, "SP_MARKETCAP", "12/31/2022")</f>
        <v>11918.356555799999</v>
      </c>
      <c r="R84">
        <f t="shared" si="21"/>
        <v>3.5371537267256961E-4</v>
      </c>
      <c r="S84">
        <f t="shared" si="22"/>
        <v>3.6326568773472896E-4</v>
      </c>
      <c r="U84" t="s">
        <v>84</v>
      </c>
      <c r="V84" s="4" cm="1">
        <f t="array" ref="V84">_xll.SNL.Clients.Office.Excel.Functions.SPG(U84, "SP_TOTAL_REV", "CY2021")</f>
        <v>1179486</v>
      </c>
      <c r="W84" s="4">
        <f>_xll.SNL.Clients.Office.Excel.Functions.SPG(U84,"IQ_AVG_DILUT_SHARES_OUT","CY2021")</f>
        <v>102829000</v>
      </c>
      <c r="X84" s="5">
        <f>_xll.SNL.Clients.Office.Excel.Functions.SPG(U84, "IQ_DILUT_EPS_NORM", "CY2021")</f>
        <v>0.76800000000000002</v>
      </c>
      <c r="Y84">
        <f t="shared" si="23"/>
        <v>78972.672000000006</v>
      </c>
      <c r="Z84">
        <f t="shared" si="24"/>
        <v>6.6955158433419301E-2</v>
      </c>
      <c r="AA84" s="5">
        <f>_xll.SNL.Clients.Office.Excel.Functions.SPG(U84, "SP_MARKETCAP", "12/31/2021")</f>
        <v>18260.610526439999</v>
      </c>
      <c r="AB84">
        <f t="shared" si="18"/>
        <v>4.3035704847829096E-4</v>
      </c>
      <c r="AC84">
        <f t="shared" si="25"/>
        <v>3.3051421323132747E-4</v>
      </c>
    </row>
    <row r="85" spans="1:29" x14ac:dyDescent="0.3">
      <c r="A85" t="s">
        <v>85</v>
      </c>
      <c r="B85" s="4" cm="1">
        <f t="array" ref="B85">_xll.SNL.Clients.Office.Excel.Functions.SPG(A85, "SP_TOTAL_REV", "CY2023")</f>
        <v>26361000</v>
      </c>
      <c r="C85" s="4">
        <f>_xll.SNL.Clients.Office.Excel.Functions.SPG(A85,"IQ_AVG_DILUT_SHARES_OUT","CY2023")</f>
        <v>383400000</v>
      </c>
      <c r="D85" s="5">
        <f>_xll.SNL.Clients.Office.Excel.Functions.SPG(A85, "IQ_DILUT_EPS_NORM", "CY2023")</f>
        <v>9.8539999999999992</v>
      </c>
      <c r="E85">
        <f t="shared" si="14"/>
        <v>3778023.5999999996</v>
      </c>
      <c r="F85">
        <f t="shared" si="15"/>
        <v>0.14331867531580744</v>
      </c>
      <c r="G85" s="5">
        <f>_xll.SNL.Clients.Office.Excel.Functions.SPG(A85, "SP_MARKETCAP", "12/30/2023")</f>
        <v>49936.628613519999</v>
      </c>
      <c r="H85">
        <f t="shared" si="19"/>
        <v>1.1884918125209159E-3</v>
      </c>
      <c r="I85">
        <f t="shared" si="20"/>
        <v>1.1711398320581105E-2</v>
      </c>
      <c r="K85" t="s">
        <v>85</v>
      </c>
      <c r="L85" s="4" cm="1">
        <f t="array" ref="L85">_xll.SNL.Clients.Office.Excel.Functions.SPG(K85, "SP_TOTAL_REV", "CY2023")</f>
        <v>26361000</v>
      </c>
      <c r="M85" s="4">
        <f>_xll.SNL.Clients.Office.Excel.Functions.SPG(K85,"IQ_AVG_DILUT_SHARES_OUT","CY2023")</f>
        <v>383400000</v>
      </c>
      <c r="N85" s="5">
        <f>_xll.SNL.Clients.Office.Excel.Functions.SPG(K85, "IQ_DILUT_EPS_NORM", "CY2023")</f>
        <v>9.8539999999999992</v>
      </c>
      <c r="O85">
        <f t="shared" si="16"/>
        <v>3778023.5999999996</v>
      </c>
      <c r="P85">
        <f t="shared" si="17"/>
        <v>0.14331867531580744</v>
      </c>
      <c r="Q85" s="5">
        <f>_xll.SNL.Clients.Office.Excel.Functions.SPG(K85, "SP_MARKETCAP", "12/31/2022")</f>
        <v>35482.699253120001</v>
      </c>
      <c r="R85">
        <f t="shared" si="21"/>
        <v>1.0530626543169064E-3</v>
      </c>
      <c r="S85">
        <f t="shared" si="22"/>
        <v>1.0376879395638795E-2</v>
      </c>
      <c r="U85" t="s">
        <v>85</v>
      </c>
      <c r="V85" s="4" cm="1">
        <f t="array" ref="V85">_xll.SNL.Clients.Office.Excel.Functions.SPG(U85, "SP_TOTAL_REV", "CY2021")</f>
        <v>32379000</v>
      </c>
      <c r="W85" s="4">
        <f>_xll.SNL.Clients.Office.Excel.Functions.SPG(U85,"IQ_AVG_DILUT_SHARES_OUT","CY2021")</f>
        <v>444200000</v>
      </c>
      <c r="X85" s="5">
        <f>_xll.SNL.Clients.Office.Excel.Functions.SPG(U85, "IQ_DILUT_EPS_NORM", "CY2021")</f>
        <v>22.244</v>
      </c>
      <c r="Y85">
        <f t="shared" si="23"/>
        <v>9880784.8000000007</v>
      </c>
      <c r="Z85">
        <f t="shared" si="24"/>
        <v>0.30516028289941011</v>
      </c>
      <c r="AA85" s="5">
        <f>_xll.SNL.Clients.Office.Excel.Functions.SPG(U85, "SP_MARKETCAP", "12/31/2021")</f>
        <v>61753.504395219999</v>
      </c>
      <c r="AB85">
        <f t="shared" si="18"/>
        <v>1.4553760864806739E-3</v>
      </c>
      <c r="AC85">
        <f t="shared" si="25"/>
        <v>3.2373385667676113E-2</v>
      </c>
    </row>
    <row r="86" spans="1:29" x14ac:dyDescent="0.3">
      <c r="A86" t="s">
        <v>86</v>
      </c>
      <c r="B86" s="4" cm="1">
        <f t="array" ref="B86">_xll.SNL.Clients.Office.Excel.Functions.SPG(A86, "SP_TOTAL_REV", "CY2023")</f>
        <v>216002000</v>
      </c>
      <c r="C86" s="4">
        <f>_xll.SNL.Clients.Office.Excel.Functions.SPG(A86,"IQ_AVG_DILUT_SHARES_OUT","CY2023")</f>
        <v>252750000</v>
      </c>
      <c r="D86" s="5">
        <f>_xll.SNL.Clients.Office.Excel.Functions.SPG(A86, "IQ_DILUT_EPS_NORM", "CY2023")</f>
        <v>4.9059999999999997</v>
      </c>
      <c r="E86">
        <f t="shared" si="14"/>
        <v>1239991.5</v>
      </c>
      <c r="F86">
        <f t="shared" si="15"/>
        <v>5.7406482347385672E-3</v>
      </c>
      <c r="G86" s="5">
        <f>_xll.SNL.Clients.Office.Excel.Functions.SPG(A86, "SP_MARKETCAP", "12/30/2023")</f>
        <v>24843.9878064</v>
      </c>
      <c r="H86">
        <f t="shared" si="19"/>
        <v>5.9128693542362355E-4</v>
      </c>
      <c r="I86">
        <f t="shared" si="20"/>
        <v>2.9008537051882968E-3</v>
      </c>
      <c r="K86" t="s">
        <v>86</v>
      </c>
      <c r="L86" s="4" cm="1">
        <f t="array" ref="L86">_xll.SNL.Clients.Office.Excel.Functions.SPG(K86, "SP_TOTAL_REV", "CY2023")</f>
        <v>216002000</v>
      </c>
      <c r="M86" s="4">
        <f>_xll.SNL.Clients.Office.Excel.Functions.SPG(K86,"IQ_AVG_DILUT_SHARES_OUT","CY2023")</f>
        <v>252750000</v>
      </c>
      <c r="N86" s="5">
        <f>_xll.SNL.Clients.Office.Excel.Functions.SPG(K86, "IQ_DILUT_EPS_NORM", "CY2023")</f>
        <v>4.9059999999999997</v>
      </c>
      <c r="O86">
        <f t="shared" si="16"/>
        <v>1239991.5</v>
      </c>
      <c r="P86">
        <f t="shared" si="17"/>
        <v>5.7406482347385672E-3</v>
      </c>
      <c r="Q86" s="5">
        <f>_xll.SNL.Clients.Office.Excel.Functions.SPG(K86, "SP_MARKETCAP", "12/31/2022")</f>
        <v>20150.24465411</v>
      </c>
      <c r="R86">
        <f t="shared" si="21"/>
        <v>5.9802299619937443E-4</v>
      </c>
      <c r="S86">
        <f t="shared" si="22"/>
        <v>2.9339008193541307E-3</v>
      </c>
      <c r="U86" t="s">
        <v>86</v>
      </c>
      <c r="V86" s="4" cm="1">
        <f t="array" ref="V86">_xll.SNL.Clients.Office.Excel.Functions.SPG(U86, "SP_TOTAL_REV", "CY2021")</f>
        <v>171286000</v>
      </c>
      <c r="W86" s="4">
        <f>_xll.SNL.Clients.Office.Excel.Functions.SPG(U86,"IQ_AVG_DILUT_SHARES_OUT","CY2021")</f>
        <v>289000000</v>
      </c>
      <c r="X86" s="5">
        <f>_xll.SNL.Clients.Office.Excel.Functions.SPG(U86, "IQ_DILUT_EPS_NORM", "CY2021")</f>
        <v>3.3159999999999998</v>
      </c>
      <c r="Y86">
        <f t="shared" si="23"/>
        <v>958324</v>
      </c>
      <c r="Z86">
        <f t="shared" si="24"/>
        <v>5.5948764055439443E-3</v>
      </c>
      <c r="AA86" s="5">
        <f>_xll.SNL.Clients.Office.Excel.Functions.SPG(U86, "SP_MARKETCAP", "12/31/2021")</f>
        <v>14509.26422298</v>
      </c>
      <c r="AB86">
        <f t="shared" si="18"/>
        <v>3.419471718950609E-4</v>
      </c>
      <c r="AC86">
        <f t="shared" si="25"/>
        <v>1.1338968220040218E-3</v>
      </c>
    </row>
    <row r="87" spans="1:29" x14ac:dyDescent="0.3">
      <c r="A87" t="s">
        <v>87</v>
      </c>
      <c r="B87" s="4" cm="1">
        <f t="array" ref="B87">_xll.SNL.Clients.Office.Excel.Functions.SPG(A87, "SP_TOTAL_REV", "CY2023")</f>
        <v>28248430</v>
      </c>
      <c r="C87" s="4">
        <f>_xll.SNL.Clients.Office.Excel.Functions.SPG(A87,"IQ_AVG_DILUT_SHARES_OUT","CY2023")</f>
        <v>158774250</v>
      </c>
      <c r="D87" s="5">
        <f>_xll.SNL.Clients.Office.Excel.Functions.SPG(A87, "IQ_DILUT_EPS_NORM", "CY2023")</f>
        <v>2.593</v>
      </c>
      <c r="E87">
        <f t="shared" si="14"/>
        <v>411701.63024999999</v>
      </c>
      <c r="F87">
        <f t="shared" si="15"/>
        <v>1.4574319006401418E-2</v>
      </c>
      <c r="G87" s="5">
        <f>_xll.SNL.Clients.Office.Excel.Functions.SPG(A87, "SP_MARKETCAP", "12/30/2023")</f>
        <v>12126.56277318</v>
      </c>
      <c r="H87">
        <f t="shared" si="19"/>
        <v>2.886122065125423E-4</v>
      </c>
      <c r="I87">
        <f t="shared" si="20"/>
        <v>7.483714514870222E-4</v>
      </c>
      <c r="K87" t="s">
        <v>87</v>
      </c>
      <c r="L87" s="4" cm="1">
        <f t="array" ref="L87">_xll.SNL.Clients.Office.Excel.Functions.SPG(K87, "SP_TOTAL_REV", "CY2023")</f>
        <v>28248430</v>
      </c>
      <c r="M87" s="4">
        <f>_xll.SNL.Clients.Office.Excel.Functions.SPG(K87,"IQ_AVG_DILUT_SHARES_OUT","CY2023")</f>
        <v>158774250</v>
      </c>
      <c r="N87" s="5">
        <f>_xll.SNL.Clients.Office.Excel.Functions.SPG(K87, "IQ_DILUT_EPS_NORM", "CY2023")</f>
        <v>2.593</v>
      </c>
      <c r="O87">
        <f t="shared" si="16"/>
        <v>411701.63024999999</v>
      </c>
      <c r="P87">
        <f t="shared" si="17"/>
        <v>1.4574319006401418E-2</v>
      </c>
      <c r="Q87" s="5">
        <f>_xll.SNL.Clients.Office.Excel.Functions.SPG(K87, "SP_MARKETCAP", "12/31/2022")</f>
        <v>9621.8011442200004</v>
      </c>
      <c r="R87">
        <f t="shared" si="21"/>
        <v>2.8555774125190938E-4</v>
      </c>
      <c r="S87">
        <f t="shared" si="22"/>
        <v>7.4045122306620108E-4</v>
      </c>
      <c r="U87" t="s">
        <v>87</v>
      </c>
      <c r="V87" s="4" cm="1">
        <f t="array" ref="V87">_xll.SNL.Clients.Office.Excel.Functions.SPG(U87, "SP_TOTAL_REV", "CY2021")</f>
        <v>30633274</v>
      </c>
      <c r="W87" s="4">
        <f>_xll.SNL.Clients.Office.Excel.Functions.SPG(U87,"IQ_AVG_DILUT_SHARES_OUT","CY2021")</f>
        <v>165605500</v>
      </c>
      <c r="X87" s="5">
        <f>_xll.SNL.Clients.Office.Excel.Functions.SPG(U87, "IQ_DILUT_EPS_NORM", "CY2021")</f>
        <v>5.774</v>
      </c>
      <c r="Y87">
        <f t="shared" si="23"/>
        <v>956206.15700000001</v>
      </c>
      <c r="Z87">
        <f t="shared" si="24"/>
        <v>3.1214624887956802E-2</v>
      </c>
      <c r="AA87" s="5">
        <f>_xll.SNL.Clients.Office.Excel.Functions.SPG(U87, "SP_MARKETCAP", "12/31/2021")</f>
        <v>21080.580532290001</v>
      </c>
      <c r="AB87">
        <f t="shared" si="18"/>
        <v>4.9681670856236771E-4</v>
      </c>
      <c r="AC87">
        <f t="shared" si="25"/>
        <v>2.8686196752391114E-3</v>
      </c>
    </row>
    <row r="88" spans="1:29" x14ac:dyDescent="0.3">
      <c r="A88" t="s">
        <v>88</v>
      </c>
      <c r="B88" s="4" cm="1">
        <f t="array" ref="B88">_xll.SNL.Clients.Office.Excel.Functions.SPG(A88, "SP_TOTAL_REV", "CY2023")</f>
        <v>21593000</v>
      </c>
      <c r="C88" s="4">
        <f>_xll.SNL.Clients.Office.Excel.Functions.SPG(A88,"IQ_AVG_DILUT_SHARES_OUT","CY2023")</f>
        <v>1262000000</v>
      </c>
      <c r="D88" s="5">
        <f>_xll.SNL.Clients.Office.Excel.Functions.SPG(A88, "IQ_DILUT_EPS_NORM", "CY2023")</f>
        <v>3.5000000000000003E-2</v>
      </c>
      <c r="E88">
        <f t="shared" si="14"/>
        <v>44170.000000000007</v>
      </c>
      <c r="F88">
        <f t="shared" si="15"/>
        <v>2.0455703237160193E-3</v>
      </c>
      <c r="G88" s="5">
        <f>_xll.SNL.Clients.Office.Excel.Functions.SPG(A88, "SP_MARKETCAP", "12/30/2023")</f>
        <v>23200.625966697924</v>
      </c>
      <c r="H88">
        <f t="shared" si="19"/>
        <v>5.5217492194327346E-4</v>
      </c>
      <c r="I88">
        <f t="shared" si="20"/>
        <v>1.9326122268014572E-5</v>
      </c>
      <c r="K88" t="s">
        <v>88</v>
      </c>
      <c r="L88" s="4" cm="1">
        <f t="array" ref="L88">_xll.SNL.Clients.Office.Excel.Functions.SPG(K88, "SP_TOTAL_REV", "CY2023")</f>
        <v>21593000</v>
      </c>
      <c r="M88" s="4">
        <f>_xll.SNL.Clients.Office.Excel.Functions.SPG(K88,"IQ_AVG_DILUT_SHARES_OUT","CY2023")</f>
        <v>1262000000</v>
      </c>
      <c r="N88" s="5">
        <f>_xll.SNL.Clients.Office.Excel.Functions.SPG(K88, "IQ_DILUT_EPS_NORM", "CY2023")</f>
        <v>3.5000000000000003E-2</v>
      </c>
      <c r="O88">
        <f t="shared" si="16"/>
        <v>44170.000000000007</v>
      </c>
      <c r="P88">
        <f t="shared" si="17"/>
        <v>2.0455703237160193E-3</v>
      </c>
      <c r="Q88" s="5">
        <f>_xll.SNL.Clients.Office.Excel.Functions.SPG(K88, "SP_MARKETCAP", "12/31/2022")</f>
        <v>9995.1425752093674</v>
      </c>
      <c r="R88">
        <f t="shared" si="21"/>
        <v>2.9663784300740269E-4</v>
      </c>
      <c r="S88">
        <f t="shared" si="22"/>
        <v>1.0382324505259095E-5</v>
      </c>
      <c r="U88" t="s">
        <v>88</v>
      </c>
      <c r="V88" s="4" cm="1">
        <f t="array" ref="V88">_xll.SNL.Clients.Office.Excel.Functions.SPG(U88, "SP_TOTAL_REV", "CY2021")</f>
        <v>1908000</v>
      </c>
      <c r="W88" s="4">
        <f>_xll.SNL.Clients.Office.Excel.Functions.SPG(U88,"IQ_AVG_DILUT_SHARES_OUT","CY2021")</f>
        <v>1123000000</v>
      </c>
      <c r="X88" s="5">
        <f>_xll.SNL.Clients.Office.Excel.Functions.SPG(U88, "IQ_DILUT_EPS_NORM", "CY2021")</f>
        <v>-4.4619999999999997</v>
      </c>
      <c r="Y88">
        <f t="shared" si="23"/>
        <v>-5010826</v>
      </c>
      <c r="Z88">
        <f t="shared" si="24"/>
        <v>-2.626219077568134</v>
      </c>
      <c r="AA88" s="5">
        <f>_xll.SNL.Clients.Office.Excel.Functions.SPG(U88, "SP_MARKETCAP", "12/31/2021")</f>
        <v>22555.155599275789</v>
      </c>
      <c r="AB88">
        <f t="shared" si="18"/>
        <v>5.31568765327876E-4</v>
      </c>
      <c r="AC88">
        <f t="shared" si="25"/>
        <v>-2.3718598308929825E-3</v>
      </c>
    </row>
    <row r="89" spans="1:29" x14ac:dyDescent="0.3">
      <c r="A89" t="s">
        <v>89</v>
      </c>
      <c r="B89" s="4" cm="1">
        <f t="array" ref="B89">_xll.SNL.Clients.Office.Excel.Functions.SPG(A89, "SP_TOTAL_REV", "CY2023")</f>
        <v>22098000</v>
      </c>
      <c r="C89" s="4">
        <f>_xll.SNL.Clients.Office.Excel.Functions.SPG(A89,"IQ_AVG_DILUT_SHARES_OUT","CY2023")</f>
        <v>853000000</v>
      </c>
      <c r="D89" s="5">
        <f>_xll.SNL.Clients.Office.Excel.Functions.SPG(A89, "IQ_DILUT_EPS_NORM", "CY2023")</f>
        <v>1.556</v>
      </c>
      <c r="E89">
        <f t="shared" si="14"/>
        <v>1327268</v>
      </c>
      <c r="F89">
        <f t="shared" si="15"/>
        <v>6.0062811114127979E-2</v>
      </c>
      <c r="G89" s="5">
        <f>_xll.SNL.Clients.Office.Excel.Functions.SPG(A89, "SP_MARKETCAP", "12/30/2023")</f>
        <v>48203.225963550001</v>
      </c>
      <c r="H89">
        <f t="shared" si="19"/>
        <v>1.1472368276632952E-3</v>
      </c>
      <c r="I89">
        <f t="shared" si="20"/>
        <v>1.7851005038440873E-3</v>
      </c>
      <c r="K89" t="s">
        <v>89</v>
      </c>
      <c r="L89" s="4" cm="1">
        <f t="array" ref="L89">_xll.SNL.Clients.Office.Excel.Functions.SPG(K89, "SP_TOTAL_REV", "CY2023")</f>
        <v>22098000</v>
      </c>
      <c r="M89" s="4">
        <f>_xll.SNL.Clients.Office.Excel.Functions.SPG(K89,"IQ_AVG_DILUT_SHARES_OUT","CY2023")</f>
        <v>853000000</v>
      </c>
      <c r="N89" s="5">
        <f>_xll.SNL.Clients.Office.Excel.Functions.SPG(K89, "IQ_DILUT_EPS_NORM", "CY2023")</f>
        <v>1.556</v>
      </c>
      <c r="O89">
        <f t="shared" si="16"/>
        <v>1327268</v>
      </c>
      <c r="P89">
        <f t="shared" si="17"/>
        <v>6.0062811114127979E-2</v>
      </c>
      <c r="Q89" s="5">
        <f>_xll.SNL.Clients.Office.Excel.Functions.SPG(K89, "SP_MARKETCAP", "12/31/2022")</f>
        <v>34495.787493750002</v>
      </c>
      <c r="R89">
        <f t="shared" si="21"/>
        <v>1.0237728894801077E-3</v>
      </c>
      <c r="S89">
        <f t="shared" si="22"/>
        <v>1.5929906160310476E-3</v>
      </c>
      <c r="U89" t="s">
        <v>89</v>
      </c>
      <c r="V89" s="4" cm="1">
        <f t="array" ref="V89">_xll.SNL.Clients.Office.Excel.Functions.SPG(U89, "SP_TOTAL_REV", "CY2021")</f>
        <v>20613000</v>
      </c>
      <c r="W89" s="4">
        <f>_xll.SNL.Clients.Office.Excel.Functions.SPG(U89,"IQ_AVG_DILUT_SHARES_OUT","CY2021")</f>
        <v>890300000</v>
      </c>
      <c r="X89" s="5">
        <f>_xll.SNL.Clients.Office.Excel.Functions.SPG(U89, "IQ_DILUT_EPS_NORM", "CY2021")</f>
        <v>1.7210000000000001</v>
      </c>
      <c r="Y89">
        <f t="shared" si="23"/>
        <v>1532206.3</v>
      </c>
      <c r="Z89">
        <f t="shared" si="24"/>
        <v>7.4332038034250231E-2</v>
      </c>
      <c r="AA89" s="5">
        <f>_xll.SNL.Clients.Office.Excel.Functions.SPG(U89, "SP_MARKETCAP", "12/31/2021")</f>
        <v>47003.566711680003</v>
      </c>
      <c r="AB89">
        <f t="shared" si="18"/>
        <v>1.107756841355439E-3</v>
      </c>
      <c r="AC89">
        <f t="shared" si="25"/>
        <v>1.9064495239727107E-3</v>
      </c>
    </row>
    <row r="90" spans="1:29" x14ac:dyDescent="0.3">
      <c r="A90" t="s">
        <v>90</v>
      </c>
      <c r="B90" s="4" cm="1">
        <f t="array" ref="B90">_xll.SNL.Clients.Office.Excel.Functions.SPG(A90, "SP_TOTAL_REV", "CY2023")</f>
        <v>67060000</v>
      </c>
      <c r="C90" s="4">
        <f>_xll.SNL.Clients.Office.Excel.Functions.SPG(A90,"IQ_AVG_DILUT_SHARES_OUT","CY2023")</f>
        <v>513600000</v>
      </c>
      <c r="D90" s="5">
        <f>_xll.SNL.Clients.Office.Excel.Functions.SPG(A90, "IQ_DILUT_EPS_NORM", "CY2023")</f>
        <v>16.765999999999998</v>
      </c>
      <c r="E90">
        <f t="shared" si="14"/>
        <v>8611017.5999999996</v>
      </c>
      <c r="F90">
        <f t="shared" si="15"/>
        <v>0.12840765881300328</v>
      </c>
      <c r="G90" s="5">
        <f>_xll.SNL.Clients.Office.Excel.Functions.SPG(A90, "SP_MARKETCAP", "12/30/2023")</f>
        <v>150521.08596281</v>
      </c>
      <c r="H90">
        <f t="shared" si="19"/>
        <v>3.5824020012060363E-3</v>
      </c>
      <c r="I90">
        <f t="shared" si="20"/>
        <v>6.0062551952220398E-2</v>
      </c>
      <c r="K90" t="s">
        <v>90</v>
      </c>
      <c r="L90" s="4" cm="1">
        <f t="array" ref="L90">_xll.SNL.Clients.Office.Excel.Functions.SPG(K90, "SP_TOTAL_REV", "CY2023")</f>
        <v>67060000</v>
      </c>
      <c r="M90" s="4">
        <f>_xll.SNL.Clients.Office.Excel.Functions.SPG(K90,"IQ_AVG_DILUT_SHARES_OUT","CY2023")</f>
        <v>513600000</v>
      </c>
      <c r="N90" s="5">
        <f>_xll.SNL.Clients.Office.Excel.Functions.SPG(K90, "IQ_DILUT_EPS_NORM", "CY2023")</f>
        <v>16.765999999999998</v>
      </c>
      <c r="O90">
        <f t="shared" si="16"/>
        <v>8611017.5999999996</v>
      </c>
      <c r="P90">
        <f t="shared" si="17"/>
        <v>0.12840765881300328</v>
      </c>
      <c r="Q90" s="5">
        <f>_xll.SNL.Clients.Office.Excel.Functions.SPG(K90, "SP_MARKETCAP", "12/31/2022")</f>
        <v>124669.2650838</v>
      </c>
      <c r="R90">
        <f t="shared" si="21"/>
        <v>3.6999594158367353E-3</v>
      </c>
      <c r="S90">
        <f t="shared" si="22"/>
        <v>6.2033519565918696E-2</v>
      </c>
      <c r="U90" t="s">
        <v>90</v>
      </c>
      <c r="V90" s="4" cm="1">
        <f t="array" ref="V90">_xll.SNL.Clients.Office.Excel.Functions.SPG(U90, "SP_TOTAL_REV", "CY2021")</f>
        <v>50971000</v>
      </c>
      <c r="W90" s="4">
        <f>_xll.SNL.Clients.Office.Excel.Functions.SPG(U90,"IQ_AVG_DILUT_SHARES_OUT","CY2021")</f>
        <v>548500000</v>
      </c>
      <c r="X90" s="5">
        <f>_xll.SNL.Clients.Office.Excel.Functions.SPG(U90, "IQ_DILUT_EPS_NORM", "CY2021")</f>
        <v>9.2579999999999991</v>
      </c>
      <c r="Y90">
        <f t="shared" si="23"/>
        <v>5078012.9999999991</v>
      </c>
      <c r="Z90">
        <f t="shared" si="24"/>
        <v>9.9625532165348904E-2</v>
      </c>
      <c r="AA90" s="5">
        <f>_xll.SNL.Clients.Office.Excel.Functions.SPG(U90, "SP_MARKETCAP", "12/31/2021")</f>
        <v>111834.266384</v>
      </c>
      <c r="AB90">
        <f t="shared" si="18"/>
        <v>2.635654746048413E-3</v>
      </c>
      <c r="AC90">
        <f t="shared" si="25"/>
        <v>2.4400891638916206E-2</v>
      </c>
    </row>
    <row r="91" spans="1:29" x14ac:dyDescent="0.3">
      <c r="A91" t="s">
        <v>91</v>
      </c>
      <c r="B91" s="4" cm="1">
        <f t="array" ref="B91">_xll.SNL.Clients.Office.Excel.Functions.SPG(A91, "SP_TOTAL_REV", "CY2023")</f>
        <v>3773500</v>
      </c>
      <c r="C91" s="4">
        <f>_xll.SNL.Clients.Office.Excel.Functions.SPG(A91,"IQ_AVG_DILUT_SHARES_OUT","CY2023")</f>
        <v>106200000</v>
      </c>
      <c r="D91" s="5">
        <f>_xll.SNL.Clients.Office.Excel.Functions.SPG(A91, "IQ_DILUT_EPS_NORM", "CY2023")</f>
        <v>6.1349999999999998</v>
      </c>
      <c r="E91">
        <f t="shared" si="14"/>
        <v>651537</v>
      </c>
      <c r="F91">
        <f t="shared" si="15"/>
        <v>0.17266118987677223</v>
      </c>
      <c r="G91" s="5">
        <f>_xll.SNL.Clients.Office.Excel.Functions.SPG(A91, "SP_MARKETCAP", "12/30/2023")</f>
        <v>18848.077395839999</v>
      </c>
      <c r="H91">
        <f t="shared" si="19"/>
        <v>4.4858426146637234E-4</v>
      </c>
      <c r="I91">
        <f t="shared" si="20"/>
        <v>2.7520644440961941E-3</v>
      </c>
      <c r="K91" t="s">
        <v>91</v>
      </c>
      <c r="L91" s="4" cm="1">
        <f t="array" ref="L91">_xll.SNL.Clients.Office.Excel.Functions.SPG(K91, "SP_TOTAL_REV", "CY2023")</f>
        <v>3773500</v>
      </c>
      <c r="M91" s="4">
        <f>_xll.SNL.Clients.Office.Excel.Functions.SPG(K91,"IQ_AVG_DILUT_SHARES_OUT","CY2023")</f>
        <v>106200000</v>
      </c>
      <c r="N91" s="5">
        <f>_xll.SNL.Clients.Office.Excel.Functions.SPG(K91, "IQ_DILUT_EPS_NORM", "CY2023")</f>
        <v>6.1349999999999998</v>
      </c>
      <c r="O91">
        <f t="shared" si="16"/>
        <v>651537</v>
      </c>
      <c r="P91">
        <f t="shared" si="17"/>
        <v>0.17266118987677223</v>
      </c>
      <c r="Q91" s="5">
        <f>_xll.SNL.Clients.Office.Excel.Functions.SPG(K91, "SP_MARKETCAP", "12/31/2022")</f>
        <v>13310.13049725</v>
      </c>
      <c r="R91">
        <f t="shared" si="21"/>
        <v>3.9502071842817946E-4</v>
      </c>
      <c r="S91">
        <f t="shared" si="22"/>
        <v>2.4234521075568809E-3</v>
      </c>
      <c r="U91" t="s">
        <v>91</v>
      </c>
      <c r="V91" s="4" cm="1">
        <f t="array" ref="V91">_xll.SNL.Clients.Office.Excel.Functions.SPG(U91, "SP_TOTAL_REV", "CY2021")</f>
        <v>3494800</v>
      </c>
      <c r="W91" s="4">
        <f>_xll.SNL.Clients.Office.Excel.Functions.SPG(U91,"IQ_AVG_DILUT_SHARES_OUT","CY2021")</f>
        <v>107200000</v>
      </c>
      <c r="X91" s="5">
        <f>_xll.SNL.Clients.Office.Excel.Functions.SPG(U91, "IQ_DILUT_EPS_NORM", "CY2021")</f>
        <v>4.516</v>
      </c>
      <c r="Y91">
        <f t="shared" si="23"/>
        <v>484115.20000000001</v>
      </c>
      <c r="Z91">
        <f t="shared" si="24"/>
        <v>0.13852443630536798</v>
      </c>
      <c r="AA91" s="5">
        <f>_xll.SNL.Clients.Office.Excel.Functions.SPG(U91, "SP_MARKETCAP", "12/31/2021")</f>
        <v>13906.2442008</v>
      </c>
      <c r="AB91">
        <f t="shared" si="18"/>
        <v>3.277354938932251E-4</v>
      </c>
      <c r="AC91">
        <f t="shared" si="25"/>
        <v>1.4800534904218046E-3</v>
      </c>
    </row>
    <row r="92" spans="1:29" x14ac:dyDescent="0.3">
      <c r="A92" t="s">
        <v>92</v>
      </c>
      <c r="B92" s="4" cm="1">
        <f t="array" ref="B92">_xll.SNL.Clients.Office.Excel.Functions.SPG(A92, "SP_TOTAL_REV", "CY2023")</f>
        <v>32252000</v>
      </c>
      <c r="C92" s="4">
        <f>_xll.SNL.Clients.Office.Excel.Functions.SPG(A92,"IQ_AVG_DILUT_SHARES_OUT","CY2023")</f>
        <v>312550942</v>
      </c>
      <c r="D92" s="5">
        <f>_xll.SNL.Clients.Office.Excel.Functions.SPG(A92, "IQ_DILUT_EPS_NORM", "CY2023")</f>
        <v>2.6070000000000002</v>
      </c>
      <c r="E92">
        <f t="shared" si="14"/>
        <v>814820.30579400004</v>
      </c>
      <c r="F92">
        <f t="shared" si="15"/>
        <v>2.5264179145293317E-2</v>
      </c>
      <c r="G92" s="5">
        <f>_xll.SNL.Clients.Office.Excel.Functions.SPG(A92, "SP_MARKETCAP", "12/30/2023")</f>
        <v>27683.078320979999</v>
      </c>
      <c r="H92">
        <f t="shared" si="19"/>
        <v>6.5885729259968992E-4</v>
      </c>
      <c r="I92">
        <f t="shared" si="20"/>
        <v>1.7176409618073919E-3</v>
      </c>
      <c r="K92" t="s">
        <v>92</v>
      </c>
      <c r="L92" s="4" cm="1">
        <f t="array" ref="L92">_xll.SNL.Clients.Office.Excel.Functions.SPG(K92, "SP_TOTAL_REV", "CY2023")</f>
        <v>32252000</v>
      </c>
      <c r="M92" s="4">
        <f>_xll.SNL.Clients.Office.Excel.Functions.SPG(K92,"IQ_AVG_DILUT_SHARES_OUT","CY2023")</f>
        <v>312550942</v>
      </c>
      <c r="N92" s="5">
        <f>_xll.SNL.Clients.Office.Excel.Functions.SPG(K92, "IQ_DILUT_EPS_NORM", "CY2023")</f>
        <v>2.6070000000000002</v>
      </c>
      <c r="O92">
        <f t="shared" si="16"/>
        <v>814820.30579400004</v>
      </c>
      <c r="P92">
        <f t="shared" si="17"/>
        <v>2.5264179145293317E-2</v>
      </c>
      <c r="Q92" s="5">
        <f>_xll.SNL.Clients.Office.Excel.Functions.SPG(K92, "SP_MARKETCAP", "12/31/2022")</f>
        <v>23788.316529119998</v>
      </c>
      <c r="R92">
        <f t="shared" si="21"/>
        <v>7.0599442187823801E-4</v>
      </c>
      <c r="S92">
        <f t="shared" si="22"/>
        <v>1.8405274578365666E-3</v>
      </c>
      <c r="U92" t="s">
        <v>92</v>
      </c>
      <c r="V92" s="4" cm="1">
        <f t="array" ref="V92">_xll.SNL.Clients.Office.Excel.Functions.SPG(U92, "SP_TOTAL_REV", "CY2021")</f>
        <v>28338904</v>
      </c>
      <c r="W92" s="4">
        <f>_xll.SNL.Clients.Office.Excel.Functions.SPG(U92,"IQ_AVG_DILUT_SHARES_OUT","CY2021")</f>
        <v>339717401</v>
      </c>
      <c r="X92" s="5">
        <f>_xll.SNL.Clients.Office.Excel.Functions.SPG(U92, "IQ_DILUT_EPS_NORM", "CY2021")</f>
        <v>3.867</v>
      </c>
      <c r="Y92">
        <f t="shared" si="23"/>
        <v>1313687.189667</v>
      </c>
      <c r="Z92">
        <f t="shared" si="24"/>
        <v>4.6356316026441954E-2</v>
      </c>
      <c r="AA92" s="5">
        <f>_xll.SNL.Clients.Office.Excel.Functions.SPG(U92, "SP_MARKETCAP", "12/31/2021")</f>
        <v>35589.376083540003</v>
      </c>
      <c r="AB92">
        <f t="shared" si="18"/>
        <v>8.3875283503361128E-4</v>
      </c>
      <c r="AC92">
        <f t="shared" si="25"/>
        <v>3.2434572130749747E-3</v>
      </c>
    </row>
    <row r="93" spans="1:29" x14ac:dyDescent="0.3">
      <c r="A93" t="s">
        <v>93</v>
      </c>
      <c r="B93" s="4" cm="1">
        <f t="array" ref="B93">_xll.SNL.Clients.Office.Excel.Functions.SPG(A93, "SP_TOTAL_REV", "CY2023")</f>
        <v>21376000</v>
      </c>
      <c r="C93" s="4">
        <f>_xll.SNL.Clients.Office.Excel.Functions.SPG(A93,"IQ_AVG_DILUT_SHARES_OUT","CY2023")</f>
        <v>136300000</v>
      </c>
      <c r="D93" s="5">
        <f>_xll.SNL.Clients.Office.Excel.Functions.SPG(A93, "IQ_DILUT_EPS_NORM", "CY2023")</f>
        <v>7.0060000000000002</v>
      </c>
      <c r="E93">
        <f t="shared" si="14"/>
        <v>954917.8</v>
      </c>
      <c r="F93">
        <f t="shared" si="15"/>
        <v>4.4672427020958083E-2</v>
      </c>
      <c r="G93" s="5">
        <f>_xll.SNL.Clients.Office.Excel.Functions.SPG(A93, "SP_MARKETCAP", "12/30/2023")</f>
        <v>30451.87108108</v>
      </c>
      <c r="H93">
        <f t="shared" si="19"/>
        <v>7.247545631466068E-4</v>
      </c>
      <c r="I93">
        <f t="shared" si="20"/>
        <v>5.0776304694051273E-3</v>
      </c>
      <c r="K93" t="s">
        <v>93</v>
      </c>
      <c r="L93" s="4" cm="1">
        <f t="array" ref="L93">_xll.SNL.Clients.Office.Excel.Functions.SPG(K93, "SP_TOTAL_REV", "CY2023")</f>
        <v>21376000</v>
      </c>
      <c r="M93" s="4">
        <f>_xll.SNL.Clients.Office.Excel.Functions.SPG(K93,"IQ_AVG_DILUT_SHARES_OUT","CY2023")</f>
        <v>136300000</v>
      </c>
      <c r="N93" s="5">
        <f>_xll.SNL.Clients.Office.Excel.Functions.SPG(K93, "IQ_DILUT_EPS_NORM", "CY2023")</f>
        <v>7.0060000000000002</v>
      </c>
      <c r="O93">
        <f t="shared" si="16"/>
        <v>954917.8</v>
      </c>
      <c r="P93">
        <f t="shared" si="17"/>
        <v>4.4672427020958083E-2</v>
      </c>
      <c r="Q93" s="5">
        <f>_xll.SNL.Clients.Office.Excel.Functions.SPG(K93, "SP_MARKETCAP", "12/31/2022")</f>
        <v>24178.121565559999</v>
      </c>
      <c r="R93">
        <f t="shared" si="21"/>
        <v>7.175631338133513E-4</v>
      </c>
      <c r="S93">
        <f t="shared" si="22"/>
        <v>5.0272473154963394E-3</v>
      </c>
      <c r="U93" t="s">
        <v>93</v>
      </c>
      <c r="V93" s="4" cm="1">
        <f t="array" ref="V93">_xll.SNL.Clients.Office.Excel.Functions.SPG(U93, "SP_TOTAL_REV", "CY2021")</f>
        <v>20820800</v>
      </c>
      <c r="W93" s="4">
        <f>_xll.SNL.Clients.Office.Excel.Functions.SPG(U93,"IQ_AVG_DILUT_SHARES_OUT","CY2021")</f>
        <v>140500000</v>
      </c>
      <c r="X93" s="5">
        <f>_xll.SNL.Clients.Office.Excel.Functions.SPG(U93, "IQ_DILUT_EPS_NORM", "CY2021")</f>
        <v>5.9290000000000003</v>
      </c>
      <c r="Y93">
        <f t="shared" si="23"/>
        <v>833024.5</v>
      </c>
      <c r="Z93">
        <f t="shared" si="24"/>
        <v>4.0009245562130175E-2</v>
      </c>
      <c r="AA93" s="5">
        <f>_xll.SNL.Clients.Office.Excel.Functions.SPG(U93, "SP_MARKETCAP", "12/31/2021")</f>
        <v>27793.361673840001</v>
      </c>
      <c r="AB93">
        <f t="shared" si="18"/>
        <v>6.5502021851485755E-4</v>
      </c>
      <c r="AC93">
        <f t="shared" si="25"/>
        <v>3.8836148755745908E-3</v>
      </c>
    </row>
    <row r="94" spans="1:29" x14ac:dyDescent="0.3">
      <c r="A94" t="s">
        <v>94</v>
      </c>
      <c r="B94" s="4" cm="1">
        <f t="array" ref="B94">_xll.SNL.Clients.Office.Excel.Functions.SPG(A94, "SP_TOTAL_REV", "CY2023")</f>
        <v>10940000</v>
      </c>
      <c r="C94" s="4">
        <f>_xll.SNL.Clients.Office.Excel.Functions.SPG(A94,"IQ_AVG_DILUT_SHARES_OUT","CY2023")</f>
        <v>109379664</v>
      </c>
      <c r="D94" s="5">
        <f>_xll.SNL.Clients.Office.Excel.Functions.SPG(A94, "IQ_DILUT_EPS_NORM", "CY2023")</f>
        <v>4.266</v>
      </c>
      <c r="E94">
        <f t="shared" si="14"/>
        <v>466613.64662399999</v>
      </c>
      <c r="F94">
        <f t="shared" si="15"/>
        <v>4.2652070075319924E-2</v>
      </c>
      <c r="G94" s="5">
        <f>_xll.SNL.Clients.Office.Excel.Functions.SPG(A94, "SP_MARKETCAP", "12/30/2023")</f>
        <v>16912.827296790001</v>
      </c>
      <c r="H94">
        <f t="shared" si="19"/>
        <v>4.0252530711240342E-4</v>
      </c>
      <c r="I94">
        <f t="shared" si="20"/>
        <v>1.7171729601415131E-3</v>
      </c>
      <c r="K94" t="s">
        <v>94</v>
      </c>
      <c r="L94" s="4" cm="1">
        <f t="array" ref="L94">_xll.SNL.Clients.Office.Excel.Functions.SPG(K94, "SP_TOTAL_REV", "CY2023")</f>
        <v>10940000</v>
      </c>
      <c r="M94" s="4">
        <f>_xll.SNL.Clients.Office.Excel.Functions.SPG(K94,"IQ_AVG_DILUT_SHARES_OUT","CY2023")</f>
        <v>109379664</v>
      </c>
      <c r="N94" s="5">
        <f>_xll.SNL.Clients.Office.Excel.Functions.SPG(K94, "IQ_DILUT_EPS_NORM", "CY2023")</f>
        <v>4.266</v>
      </c>
      <c r="O94">
        <f t="shared" si="16"/>
        <v>466613.64662399999</v>
      </c>
      <c r="P94">
        <f t="shared" si="17"/>
        <v>4.2652070075319924E-2</v>
      </c>
      <c r="Q94" s="5">
        <f>_xll.SNL.Clients.Office.Excel.Functions.SPG(K94, "SP_MARKETCAP", "12/31/2022")</f>
        <v>11085.685979039999</v>
      </c>
      <c r="R94">
        <f t="shared" si="21"/>
        <v>3.2900320854212028E-4</v>
      </c>
      <c r="S94">
        <f t="shared" si="22"/>
        <v>1.4035276876406852E-3</v>
      </c>
      <c r="U94" t="s">
        <v>94</v>
      </c>
      <c r="V94" s="4" cm="1">
        <f t="array" ref="V94">_xll.SNL.Clients.Office.Excel.Functions.SPG(U94, "SP_TOTAL_REV", "CY2021")</f>
        <v>8537000</v>
      </c>
      <c r="W94" s="4">
        <f>_xll.SNL.Clients.Office.Excel.Functions.SPG(U94,"IQ_AVG_DILUT_SHARES_OUT","CY2021")</f>
        <v>112084412</v>
      </c>
      <c r="X94" s="5">
        <f>_xll.SNL.Clients.Office.Excel.Functions.SPG(U94, "IQ_DILUT_EPS_NORM", "CY2021")</f>
        <v>12.497999999999999</v>
      </c>
      <c r="Y94">
        <f t="shared" si="23"/>
        <v>1400830.9811759999</v>
      </c>
      <c r="Z94">
        <f t="shared" si="24"/>
        <v>0.16408937345390651</v>
      </c>
      <c r="AA94" s="5">
        <f>_xll.SNL.Clients.Office.Excel.Functions.SPG(U94, "SP_MARKETCAP", "12/31/2021")</f>
        <v>18296.834714879999</v>
      </c>
      <c r="AB94">
        <f t="shared" si="18"/>
        <v>4.3121076225735588E-4</v>
      </c>
      <c r="AC94">
        <f t="shared" si="25"/>
        <v>5.3892721066924332E-3</v>
      </c>
    </row>
    <row r="95" spans="1:29" x14ac:dyDescent="0.3">
      <c r="A95" t="s">
        <v>95</v>
      </c>
      <c r="B95" s="4" cm="1">
        <f t="array" ref="B95">_xll.SNL.Clients.Office.Excel.Functions.SPG(A95, "SP_TOTAL_REV", "CY2023")</f>
        <v>271579412</v>
      </c>
      <c r="C95" s="4">
        <f>_xll.SNL.Clients.Office.Excel.Functions.SPG(A95,"IQ_AVG_DILUT_SHARES_OUT","CY2023")</f>
        <v>203468500</v>
      </c>
      <c r="D95" s="5">
        <f>_xll.SNL.Clients.Office.Excel.Functions.SPG(A95, "IQ_DILUT_EPS_NORM", "CY2023")</f>
        <v>7.5510000000000002</v>
      </c>
      <c r="E95">
        <f t="shared" si="14"/>
        <v>1536390.6435</v>
      </c>
      <c r="F95">
        <f t="shared" si="15"/>
        <v>5.657242690767738E-3</v>
      </c>
      <c r="G95" s="5">
        <f>_xll.SNL.Clients.Office.Excel.Functions.SPG(A95, "SP_MARKETCAP", "12/30/2023")</f>
        <v>40873.153978440001</v>
      </c>
      <c r="H95">
        <f t="shared" si="19"/>
        <v>9.7278110685531229E-4</v>
      </c>
      <c r="I95">
        <f t="shared" si="20"/>
        <v>7.3454701378644635E-3</v>
      </c>
      <c r="K95" t="s">
        <v>95</v>
      </c>
      <c r="L95" s="4" cm="1">
        <f t="array" ref="L95">_xll.SNL.Clients.Office.Excel.Functions.SPG(K95, "SP_TOTAL_REV", "CY2023")</f>
        <v>271579412</v>
      </c>
      <c r="M95" s="4">
        <f>_xll.SNL.Clients.Office.Excel.Functions.SPG(K95,"IQ_AVG_DILUT_SHARES_OUT","CY2023")</f>
        <v>203468500</v>
      </c>
      <c r="N95" s="5">
        <f>_xll.SNL.Clients.Office.Excel.Functions.SPG(K95, "IQ_DILUT_EPS_NORM", "CY2023")</f>
        <v>7.5510000000000002</v>
      </c>
      <c r="O95">
        <f t="shared" si="16"/>
        <v>1536390.6435</v>
      </c>
      <c r="P95">
        <f t="shared" si="17"/>
        <v>5.657242690767738E-3</v>
      </c>
      <c r="Q95" s="5">
        <f>_xll.SNL.Clients.Office.Excel.Functions.SPG(K95, "SP_MARKETCAP", "12/31/2022")</f>
        <v>33486.417629559997</v>
      </c>
      <c r="R95">
        <f t="shared" si="21"/>
        <v>9.9381660851092634E-4</v>
      </c>
      <c r="S95">
        <f t="shared" si="22"/>
        <v>7.504309210866005E-3</v>
      </c>
      <c r="U95" t="s">
        <v>95</v>
      </c>
      <c r="V95" s="4" cm="1">
        <f t="array" ref="V95">_xll.SNL.Clients.Office.Excel.Functions.SPG(U95, "SP_TOTAL_REV", "CY2021")</f>
        <v>221101097</v>
      </c>
      <c r="W95" s="4">
        <f>_xll.SNL.Clients.Office.Excel.Functions.SPG(U95,"IQ_AVG_DILUT_SHARES_OUT","CY2021")</f>
        <v>209556750</v>
      </c>
      <c r="X95" s="5">
        <f>_xll.SNL.Clients.Office.Excel.Functions.SPG(U95, "IQ_DILUT_EPS_NORM", "CY2021")</f>
        <v>7.6289999999999996</v>
      </c>
      <c r="Y95">
        <f t="shared" si="23"/>
        <v>1598708.44575</v>
      </c>
      <c r="Z95">
        <f t="shared" si="24"/>
        <v>7.2306671809502596E-3</v>
      </c>
      <c r="AA95" s="5">
        <f>_xll.SNL.Clients.Office.Excel.Functions.SPG(U95, "SP_MARKETCAP", "12/31/2021")</f>
        <v>27658.842343290002</v>
      </c>
      <c r="AB95">
        <f t="shared" si="18"/>
        <v>6.5184993338255313E-4</v>
      </c>
      <c r="AC95">
        <f t="shared" si="25"/>
        <v>4.972963141775498E-3</v>
      </c>
    </row>
    <row r="96" spans="1:29" x14ac:dyDescent="0.3">
      <c r="A96" t="s">
        <v>96</v>
      </c>
      <c r="B96" s="4" cm="1">
        <f t="array" ref="B96">_xll.SNL.Clients.Office.Excel.Functions.SPG(A96, "SP_TOTAL_REV", "CY2023")</f>
        <v>155392000</v>
      </c>
      <c r="C96" s="4">
        <f>_xll.SNL.Clients.Office.Excel.Functions.SPG(A96,"IQ_AVG_DILUT_SHARES_OUT","CY2023")</f>
        <v>545704000</v>
      </c>
      <c r="D96" s="5">
        <f>_xll.SNL.Clients.Office.Excel.Functions.SPG(A96, "IQ_DILUT_EPS_NORM", "CY2023")</f>
        <v>4.657</v>
      </c>
      <c r="E96">
        <f t="shared" si="14"/>
        <v>2541343.5279999999</v>
      </c>
      <c r="F96">
        <f t="shared" si="15"/>
        <v>1.6354403881795716E-2</v>
      </c>
      <c r="G96" s="5">
        <f>_xll.SNL.Clients.Office.Excel.Functions.SPG(A96, "SP_MARKETCAP", "12/30/2023")</f>
        <v>39643.056210000002</v>
      </c>
      <c r="H96">
        <f t="shared" si="19"/>
        <v>9.4350477869736024E-4</v>
      </c>
      <c r="I96">
        <f t="shared" si="20"/>
        <v>4.393901754393607E-3</v>
      </c>
      <c r="K96" t="s">
        <v>96</v>
      </c>
      <c r="L96" s="4" cm="1">
        <f t="array" ref="L96">_xll.SNL.Clients.Office.Excel.Functions.SPG(K96, "SP_TOTAL_REV", "CY2023")</f>
        <v>155392000</v>
      </c>
      <c r="M96" s="4">
        <f>_xll.SNL.Clients.Office.Excel.Functions.SPG(K96,"IQ_AVG_DILUT_SHARES_OUT","CY2023")</f>
        <v>545704000</v>
      </c>
      <c r="N96" s="5">
        <f>_xll.SNL.Clients.Office.Excel.Functions.SPG(K96, "IQ_DILUT_EPS_NORM", "CY2023")</f>
        <v>4.657</v>
      </c>
      <c r="O96">
        <f t="shared" si="16"/>
        <v>2541343.5279999999</v>
      </c>
      <c r="P96">
        <f t="shared" si="17"/>
        <v>1.6354403881795716E-2</v>
      </c>
      <c r="Q96" s="5">
        <f>_xll.SNL.Clients.Office.Excel.Functions.SPG(K96, "SP_MARKETCAP", "12/31/2022")</f>
        <v>46438.957422929998</v>
      </c>
      <c r="R96">
        <f t="shared" si="21"/>
        <v>1.3782246784170571E-3</v>
      </c>
      <c r="S96">
        <f t="shared" si="22"/>
        <v>6.4183923273882348E-3</v>
      </c>
      <c r="U96" t="s">
        <v>96</v>
      </c>
      <c r="V96" s="4" cm="1">
        <f t="array" ref="V96">_xll.SNL.Clients.Office.Excel.Functions.SPG(U96, "SP_TOTAL_REV", "CY2021")</f>
        <v>126801000</v>
      </c>
      <c r="W96" s="4">
        <f>_xll.SNL.Clients.Office.Excel.Functions.SPG(U96,"IQ_AVG_DILUT_SHARES_OUT","CY2021")</f>
        <v>590516000</v>
      </c>
      <c r="X96" s="5">
        <f>_xll.SNL.Clients.Office.Excel.Functions.SPG(U96, "IQ_DILUT_EPS_NORM", "CY2021")</f>
        <v>3.6309999999999998</v>
      </c>
      <c r="Y96">
        <f t="shared" si="23"/>
        <v>2144163.5959999999</v>
      </c>
      <c r="Z96">
        <f t="shared" si="24"/>
        <v>1.6909674182380263E-2</v>
      </c>
      <c r="AA96" s="5">
        <f>_xll.SNL.Clients.Office.Excel.Functions.SPG(U96, "SP_MARKETCAP", "12/31/2021")</f>
        <v>48080.6415968</v>
      </c>
      <c r="AB96">
        <f t="shared" si="18"/>
        <v>1.1331408101925809E-3</v>
      </c>
      <c r="AC96">
        <f t="shared" si="25"/>
        <v>4.114434281809261E-3</v>
      </c>
    </row>
    <row r="97" spans="1:29" x14ac:dyDescent="0.3">
      <c r="A97" t="s">
        <v>97</v>
      </c>
      <c r="B97" s="4" cm="1">
        <f t="array" ref="B97">_xll.SNL.Clients.Office.Excel.Functions.SPG(A97, "SP_TOTAL_REV", "CY2023")</f>
        <v>8696000</v>
      </c>
      <c r="C97" s="4">
        <f>_xll.SNL.Clients.Office.Excel.Functions.SPG(A97,"IQ_AVG_DILUT_SHARES_OUT","CY2023")</f>
        <v>633179000</v>
      </c>
      <c r="D97" s="5">
        <f>_xll.SNL.Clients.Office.Excel.Functions.SPG(A97, "IQ_DILUT_EPS_NORM", "CY2023")</f>
        <v>1.0820000000000001</v>
      </c>
      <c r="E97">
        <f t="shared" si="14"/>
        <v>685099.67799999996</v>
      </c>
      <c r="F97">
        <f t="shared" si="15"/>
        <v>7.8783311637534492E-2</v>
      </c>
      <c r="G97" s="5">
        <f>_xll.SNL.Clients.Office.Excel.Functions.SPG(A97, "SP_MARKETCAP", "12/30/2023")</f>
        <v>18034.057109199999</v>
      </c>
      <c r="H97">
        <f t="shared" si="19"/>
        <v>4.2921057780452343E-4</v>
      </c>
      <c r="I97">
        <f t="shared" si="20"/>
        <v>4.6440584518449437E-4</v>
      </c>
      <c r="K97" t="s">
        <v>97</v>
      </c>
      <c r="L97" s="4" cm="1">
        <f t="array" ref="L97">_xll.SNL.Clients.Office.Excel.Functions.SPG(K97, "SP_TOTAL_REV", "CY2023")</f>
        <v>8696000</v>
      </c>
      <c r="M97" s="4">
        <f>_xll.SNL.Clients.Office.Excel.Functions.SPG(K97,"IQ_AVG_DILUT_SHARES_OUT","CY2023")</f>
        <v>633179000</v>
      </c>
      <c r="N97" s="5">
        <f>_xll.SNL.Clients.Office.Excel.Functions.SPG(K97, "IQ_DILUT_EPS_NORM", "CY2023")</f>
        <v>1.0820000000000001</v>
      </c>
      <c r="O97">
        <f t="shared" si="16"/>
        <v>685099.67799999996</v>
      </c>
      <c r="P97">
        <f t="shared" si="17"/>
        <v>7.8783311637534492E-2</v>
      </c>
      <c r="Q97" s="5">
        <f>_xll.SNL.Clients.Office.Excel.Functions.SPG(K97, "SP_MARKETCAP", "12/31/2022")</f>
        <v>18879.773573689999</v>
      </c>
      <c r="R97">
        <f t="shared" si="21"/>
        <v>5.6031770104592548E-4</v>
      </c>
      <c r="S97">
        <f t="shared" si="22"/>
        <v>6.0626375253169137E-4</v>
      </c>
      <c r="U97" t="s">
        <v>97</v>
      </c>
      <c r="V97" s="4" cm="1">
        <f t="array" ref="V97">_xll.SNL.Clients.Office.Excel.Functions.SPG(U97, "SP_TOTAL_REV", "CY2021")</f>
        <v>8352000</v>
      </c>
      <c r="W97" s="4">
        <f>_xll.SNL.Clients.Office.Excel.Functions.SPG(U97,"IQ_AVG_DILUT_SHARES_OUT","CY2021")</f>
        <v>609938000</v>
      </c>
      <c r="X97" s="5">
        <f>_xll.SNL.Clients.Office.Excel.Functions.SPG(U97, "IQ_DILUT_EPS_NORM", "CY2021")</f>
        <v>0.95299999999999996</v>
      </c>
      <c r="Y97">
        <f t="shared" si="23"/>
        <v>581270.91399999999</v>
      </c>
      <c r="Z97">
        <f t="shared" si="24"/>
        <v>6.9596613266283525E-2</v>
      </c>
      <c r="AA97" s="5">
        <f>_xll.SNL.Clients.Office.Excel.Functions.SPG(U97, "SP_MARKETCAP", "12/31/2021")</f>
        <v>17551.642635939999</v>
      </c>
      <c r="AB97">
        <f t="shared" si="18"/>
        <v>4.1364844345220575E-4</v>
      </c>
      <c r="AC97">
        <f t="shared" si="25"/>
        <v>3.9420696660995205E-4</v>
      </c>
    </row>
    <row r="98" spans="1:29" x14ac:dyDescent="0.3">
      <c r="A98" t="s">
        <v>98</v>
      </c>
      <c r="B98" s="4" cm="1">
        <f t="array" ref="B98">_xll.SNL.Clients.Office.Excel.Functions.SPG(A98, "SP_TOTAL_REV", "CY2023")</f>
        <v>6631000</v>
      </c>
      <c r="C98" s="4">
        <f>_xll.SNL.Clients.Office.Excel.Functions.SPG(A98,"IQ_AVG_DILUT_SHARES_OUT","CY2023")</f>
        <v>193800000</v>
      </c>
      <c r="D98" s="5">
        <f>_xll.SNL.Clients.Office.Excel.Functions.SPG(A98, "IQ_DILUT_EPS_NORM", "CY2023")</f>
        <v>5.68</v>
      </c>
      <c r="E98">
        <f t="shared" si="14"/>
        <v>1100784</v>
      </c>
      <c r="F98">
        <f t="shared" si="15"/>
        <v>0.1660057306590258</v>
      </c>
      <c r="G98" s="5">
        <f>_xll.SNL.Clients.Office.Excel.Functions.SPG(A98, "SP_MARKETCAP", "12/30/2023")</f>
        <v>15188.991829500001</v>
      </c>
      <c r="H98">
        <f t="shared" si="19"/>
        <v>3.6149802121243695E-4</v>
      </c>
      <c r="I98">
        <f t="shared" si="20"/>
        <v>2.0533087604866418E-3</v>
      </c>
      <c r="K98" t="s">
        <v>98</v>
      </c>
      <c r="L98" s="4" cm="1">
        <f t="array" ref="L98">_xll.SNL.Clients.Office.Excel.Functions.SPG(K98, "SP_TOTAL_REV", "CY2023")</f>
        <v>6631000</v>
      </c>
      <c r="M98" s="4">
        <f>_xll.SNL.Clients.Office.Excel.Functions.SPG(K98,"IQ_AVG_DILUT_SHARES_OUT","CY2023")</f>
        <v>193800000</v>
      </c>
      <c r="N98" s="5">
        <f>_xll.SNL.Clients.Office.Excel.Functions.SPG(K98, "IQ_DILUT_EPS_NORM", "CY2023")</f>
        <v>5.68</v>
      </c>
      <c r="O98">
        <f t="shared" si="16"/>
        <v>1100784</v>
      </c>
      <c r="P98">
        <f t="shared" si="17"/>
        <v>0.1660057306590258</v>
      </c>
      <c r="Q98" s="5">
        <f>_xll.SNL.Clients.Office.Excel.Functions.SPG(K98, "SP_MARKETCAP", "12/31/2022")</f>
        <v>16715.342247600001</v>
      </c>
      <c r="R98">
        <f t="shared" si="21"/>
        <v>4.960812746940442E-4</v>
      </c>
      <c r="S98">
        <f t="shared" si="22"/>
        <v>2.8177416402621709E-3</v>
      </c>
      <c r="U98" t="s">
        <v>98</v>
      </c>
      <c r="V98" s="4" cm="1">
        <f t="array" ref="V98">_xll.SNL.Clients.Office.Excel.Functions.SPG(U98, "SP_TOTAL_REV", "CY2021")</f>
        <v>6538000</v>
      </c>
      <c r="W98" s="4">
        <f>_xll.SNL.Clients.Office.Excel.Functions.SPG(U98,"IQ_AVG_DILUT_SHARES_OUT","CY2021")</f>
        <v>216200000</v>
      </c>
      <c r="X98" s="5">
        <f>_xll.SNL.Clients.Office.Excel.Functions.SPG(U98, "IQ_DILUT_EPS_NORM", "CY2021")</f>
        <v>4.3600000000000003</v>
      </c>
      <c r="Y98">
        <f t="shared" si="23"/>
        <v>942632.00000000012</v>
      </c>
      <c r="Z98">
        <f t="shared" si="24"/>
        <v>0.14417742428877334</v>
      </c>
      <c r="AA98" s="5">
        <f>_xll.SNL.Clients.Office.Excel.Functions.SPG(U98, "SP_MARKETCAP", "12/31/2021")</f>
        <v>15180.571643200001</v>
      </c>
      <c r="AB98">
        <f t="shared" si="18"/>
        <v>3.5776821356117315E-4</v>
      </c>
      <c r="AC98">
        <f t="shared" si="25"/>
        <v>1.5598694111267151E-3</v>
      </c>
    </row>
    <row r="99" spans="1:29" x14ac:dyDescent="0.3">
      <c r="A99" t="s">
        <v>99</v>
      </c>
      <c r="B99" s="4" cm="1">
        <f t="array" ref="B99">_xll.SNL.Clients.Office.Excel.Functions.SPG(A99, "SP_TOTAL_REV", "CY2023")</f>
        <v>4129409</v>
      </c>
      <c r="C99" s="4">
        <f>_xll.SNL.Clients.Office.Excel.Functions.SPG(A99,"IQ_AVG_DILUT_SHARES_OUT","CY2023")</f>
        <v>51451000</v>
      </c>
      <c r="D99" s="5">
        <f>_xll.SNL.Clients.Office.Excel.Functions.SPG(A99, "IQ_DILUT_EPS_NORM", "CY2023")</f>
        <v>6.2759999999999998</v>
      </c>
      <c r="E99">
        <f t="shared" si="14"/>
        <v>322906.47600000002</v>
      </c>
      <c r="F99">
        <f t="shared" si="15"/>
        <v>7.8196777311232674E-2</v>
      </c>
      <c r="G99" s="5">
        <f>_xll.SNL.Clients.Office.Excel.Functions.SPG(A99, "SP_MARKETCAP", "12/30/2023")</f>
        <v>12126.5644656</v>
      </c>
      <c r="H99">
        <f t="shared" si="19"/>
        <v>2.8861224679214005E-4</v>
      </c>
      <c r="I99">
        <f t="shared" si="20"/>
        <v>1.8113304608674708E-3</v>
      </c>
      <c r="K99" t="s">
        <v>99</v>
      </c>
      <c r="L99" s="4" cm="1">
        <f t="array" ref="L99">_xll.SNL.Clients.Office.Excel.Functions.SPG(K99, "SP_TOTAL_REV", "CY2023")</f>
        <v>4129409</v>
      </c>
      <c r="M99" s="4">
        <f>_xll.SNL.Clients.Office.Excel.Functions.SPG(K99,"IQ_AVG_DILUT_SHARES_OUT","CY2023")</f>
        <v>51451000</v>
      </c>
      <c r="N99" s="5">
        <f>_xll.SNL.Clients.Office.Excel.Functions.SPG(K99, "IQ_DILUT_EPS_NORM", "CY2023")</f>
        <v>6.2759999999999998</v>
      </c>
      <c r="O99">
        <f t="shared" si="16"/>
        <v>322906.47600000002</v>
      </c>
      <c r="P99">
        <f t="shared" si="17"/>
        <v>7.8196777311232674E-2</v>
      </c>
      <c r="Q99" s="5">
        <f>_xll.SNL.Clients.Office.Excel.Functions.SPG(K99, "SP_MARKETCAP", "12/31/2022")</f>
        <v>11086.459142399999</v>
      </c>
      <c r="R99">
        <f t="shared" si="21"/>
        <v>3.2902615463915457E-4</v>
      </c>
      <c r="S99">
        <f t="shared" si="22"/>
        <v>2.0649681465153341E-3</v>
      </c>
      <c r="U99" t="s">
        <v>99</v>
      </c>
      <c r="V99" s="4" cm="1">
        <f t="array" ref="V99">_xll.SNL.Clients.Office.Excel.Functions.SPG(U99, "SP_TOTAL_REV", "CY2021")</f>
        <v>3540160</v>
      </c>
      <c r="W99" s="4">
        <f>_xll.SNL.Clients.Office.Excel.Functions.SPG(U99,"IQ_AVG_DILUT_SHARES_OUT","CY2021")</f>
        <v>51425000</v>
      </c>
      <c r="X99" s="5">
        <f>_xll.SNL.Clients.Office.Excel.Functions.SPG(U99, "IQ_DILUT_EPS_NORM", "CY2021")</f>
        <v>6.0049999999999999</v>
      </c>
      <c r="Y99">
        <f t="shared" si="23"/>
        <v>308807.125</v>
      </c>
      <c r="Z99">
        <f t="shared" si="24"/>
        <v>8.7229708544246581E-2</v>
      </c>
      <c r="AA99" s="5">
        <f>_xll.SNL.Clients.Office.Excel.Functions.SPG(U99, "SP_MARKETCAP", "12/31/2021")</f>
        <v>19013.976255220001</v>
      </c>
      <c r="AB99">
        <f t="shared" si="18"/>
        <v>4.4811199982523617E-4</v>
      </c>
      <c r="AC99">
        <f t="shared" si="25"/>
        <v>2.6909125589505431E-3</v>
      </c>
    </row>
    <row r="100" spans="1:29" x14ac:dyDescent="0.3">
      <c r="A100" t="s">
        <v>100</v>
      </c>
      <c r="B100" s="4" cm="1">
        <f t="array" ref="B100">_xll.SNL.Clients.Office.Excel.Functions.SPG(A100, "SP_TOTAL_REV", "CY2023")</f>
        <v>54607000</v>
      </c>
      <c r="C100" s="4">
        <f>_xll.SNL.Clients.Office.Excel.Functions.SPG(A100,"IQ_AVG_DILUT_SHARES_OUT","CY2023")</f>
        <v>151966313</v>
      </c>
      <c r="D100" s="5">
        <f>_xll.SNL.Clients.Office.Excel.Functions.SPG(A100, "IQ_DILUT_EPS_NORM", "CY2023")</f>
        <v>23.350999999999999</v>
      </c>
      <c r="E100">
        <f t="shared" si="14"/>
        <v>3548565.3748630001</v>
      </c>
      <c r="F100">
        <f t="shared" si="15"/>
        <v>6.4983708587964914E-2</v>
      </c>
      <c r="G100" s="5">
        <f>_xll.SNL.Clients.Office.Excel.Functions.SPG(A100, "SP_MARKETCAP", "12/30/2023")</f>
        <v>57493.656762480001</v>
      </c>
      <c r="H100">
        <f t="shared" si="19"/>
        <v>1.3683490902626774E-3</v>
      </c>
      <c r="I100">
        <f t="shared" si="20"/>
        <v>3.1952319606723775E-2</v>
      </c>
      <c r="K100" t="s">
        <v>100</v>
      </c>
      <c r="L100" s="4" cm="1">
        <f t="array" ref="L100">_xll.SNL.Clients.Office.Excel.Functions.SPG(K100, "SP_TOTAL_REV", "CY2023")</f>
        <v>54607000</v>
      </c>
      <c r="M100" s="4">
        <f>_xll.SNL.Clients.Office.Excel.Functions.SPG(K100,"IQ_AVG_DILUT_SHARES_OUT","CY2023")</f>
        <v>151966313</v>
      </c>
      <c r="N100" s="5">
        <f>_xll.SNL.Clients.Office.Excel.Functions.SPG(K100, "IQ_DILUT_EPS_NORM", "CY2023")</f>
        <v>23.350999999999999</v>
      </c>
      <c r="O100">
        <f t="shared" si="16"/>
        <v>3548565.3748630001</v>
      </c>
      <c r="P100">
        <f t="shared" si="17"/>
        <v>6.4983708587964914E-2</v>
      </c>
      <c r="Q100" s="5">
        <f>_xll.SNL.Clients.Office.Excel.Functions.SPG(K100, "SP_MARKETCAP", "12/31/2022")</f>
        <v>52618.920826200003</v>
      </c>
      <c r="R100">
        <f t="shared" si="21"/>
        <v>1.5616348699192329E-3</v>
      </c>
      <c r="S100">
        <f t="shared" si="22"/>
        <v>3.6465735847484006E-2</v>
      </c>
      <c r="U100" t="s">
        <v>100</v>
      </c>
      <c r="V100" s="4" cm="1">
        <f t="array" ref="V100">_xll.SNL.Clients.Office.Excel.Functions.SPG(U100, "SP_TOTAL_REV", "CY2021")</f>
        <v>51682000</v>
      </c>
      <c r="W100" s="4">
        <f>_xll.SNL.Clients.Office.Excel.Functions.SPG(U100,"IQ_AVG_DILUT_SHARES_OUT","CY2021")</f>
        <v>193042948</v>
      </c>
      <c r="X100" s="5">
        <f>_xll.SNL.Clients.Office.Excel.Functions.SPG(U100, "IQ_DILUT_EPS_NORM", "CY2021")</f>
        <v>18.763000000000002</v>
      </c>
      <c r="Y100">
        <f t="shared" si="23"/>
        <v>3622064.8333240002</v>
      </c>
      <c r="Z100">
        <f t="shared" si="24"/>
        <v>7.0083681616887897E-2</v>
      </c>
      <c r="AA100" s="5">
        <f>_xll.SNL.Clients.Office.Excel.Functions.SPG(U100, "SP_MARKETCAP", "12/31/2021")</f>
        <v>116892.40151578</v>
      </c>
      <c r="AB100">
        <f t="shared" si="18"/>
        <v>2.7548623762076205E-3</v>
      </c>
      <c r="AC100">
        <f t="shared" si="25"/>
        <v>5.1689482764783586E-2</v>
      </c>
    </row>
    <row r="101" spans="1:29" x14ac:dyDescent="0.3">
      <c r="A101" t="s">
        <v>101</v>
      </c>
      <c r="B101" s="4" cm="1">
        <f t="array" ref="B101">_xll.SNL.Clients.Office.Excel.Functions.SPG(A101, "SP_TOTAL_REV", "CY2023")</f>
        <v>194799000</v>
      </c>
      <c r="C101" s="4">
        <f>_xll.SNL.Clients.Office.Excel.Functions.SPG(A101,"IQ_AVG_DILUT_SHARES_OUT","CY2023")</f>
        <v>1880000000</v>
      </c>
      <c r="D101" s="5">
        <f>_xll.SNL.Clients.Office.Excel.Functions.SPG(A101, "IQ_DILUT_EPS_NORM", "CY2023")</f>
        <v>10.492000000000001</v>
      </c>
      <c r="E101">
        <f t="shared" si="14"/>
        <v>19724960</v>
      </c>
      <c r="F101">
        <f t="shared" si="15"/>
        <v>0.10125801467153323</v>
      </c>
      <c r="G101" s="5">
        <f>_xll.SNL.Clients.Office.Excel.Functions.SPG(A101, "SP_MARKETCAP", "12/30/2023")</f>
        <v>280726.34277468</v>
      </c>
      <c r="H101">
        <f t="shared" si="19"/>
        <v>6.681287247660055E-3</v>
      </c>
      <c r="I101">
        <f t="shared" si="20"/>
        <v>7.0100065802449305E-2</v>
      </c>
      <c r="K101" t="s">
        <v>101</v>
      </c>
      <c r="L101" s="4" cm="1">
        <f t="array" ref="L101">_xll.SNL.Clients.Office.Excel.Functions.SPG(K101, "SP_TOTAL_REV", "CY2023")</f>
        <v>194799000</v>
      </c>
      <c r="M101" s="4">
        <f>_xll.SNL.Clients.Office.Excel.Functions.SPG(K101,"IQ_AVG_DILUT_SHARES_OUT","CY2023")</f>
        <v>1880000000</v>
      </c>
      <c r="N101" s="5">
        <f>_xll.SNL.Clients.Office.Excel.Functions.SPG(K101, "IQ_DILUT_EPS_NORM", "CY2023")</f>
        <v>10.492000000000001</v>
      </c>
      <c r="O101">
        <f t="shared" si="16"/>
        <v>19724960</v>
      </c>
      <c r="P101">
        <f t="shared" si="17"/>
        <v>0.10125801467153323</v>
      </c>
      <c r="Q101" s="5">
        <f>_xll.SNL.Clients.Office.Excel.Functions.SPG(K101, "SP_MARKETCAP", "12/31/2022")</f>
        <v>347068.78262154001</v>
      </c>
      <c r="R101">
        <f t="shared" si="21"/>
        <v>1.0300376835785375E-2</v>
      </c>
      <c r="S101">
        <f t="shared" si="22"/>
        <v>0.10807155376106016</v>
      </c>
      <c r="U101" t="s">
        <v>101</v>
      </c>
      <c r="V101" s="4" cm="1">
        <f t="array" ref="V101">_xll.SNL.Clients.Office.Excel.Functions.SPG(U101, "SP_TOTAL_REV", "CY2021")</f>
        <v>155067000</v>
      </c>
      <c r="W101" s="4">
        <f>_xll.SNL.Clients.Office.Excel.Functions.SPG(U101,"IQ_AVG_DILUT_SHARES_OUT","CY2021")</f>
        <v>1920000000</v>
      </c>
      <c r="X101" s="5">
        <f>_xll.SNL.Clients.Office.Excel.Functions.SPG(U101, "IQ_DILUT_EPS_NORM", "CY2021")</f>
        <v>6.8129999999999997</v>
      </c>
      <c r="Y101">
        <f t="shared" si="23"/>
        <v>13080960</v>
      </c>
      <c r="Z101">
        <f t="shared" si="24"/>
        <v>8.4356826404070495E-2</v>
      </c>
      <c r="AA101" s="5">
        <f>_xll.SNL.Clients.Office.Excel.Functions.SPG(U101, "SP_MARKETCAP", "12/31/2021")</f>
        <v>226213.94259465</v>
      </c>
      <c r="AB101">
        <f t="shared" si="18"/>
        <v>5.331298453505242E-3</v>
      </c>
      <c r="AC101">
        <f t="shared" si="25"/>
        <v>3.632213636373121E-2</v>
      </c>
    </row>
    <row r="102" spans="1:29" x14ac:dyDescent="0.3">
      <c r="A102" t="s">
        <v>102</v>
      </c>
      <c r="B102" s="4" cm="1">
        <f t="array" ref="B102">_xll.SNL.Clients.Office.Excel.Functions.SPG(A102, "SP_TOTAL_REV", "CY2023")</f>
        <v>9871649</v>
      </c>
      <c r="C102" s="4">
        <f>_xll.SNL.Clients.Office.Excel.Functions.SPG(A102,"IQ_AVG_DILUT_SHARES_OUT","CY2023")</f>
        <v>1385500000</v>
      </c>
      <c r="D102" s="5">
        <f>_xll.SNL.Clients.Office.Excel.Functions.SPG(A102, "IQ_DILUT_EPS_NORM", "CY2023")</f>
        <v>0.748</v>
      </c>
      <c r="E102">
        <f t="shared" si="14"/>
        <v>1036354</v>
      </c>
      <c r="F102">
        <f t="shared" si="15"/>
        <v>0.10498286557797994</v>
      </c>
      <c r="G102" s="5">
        <f>_xll.SNL.Clients.Office.Excel.Functions.SPG(A102, "SP_MARKETCAP", "12/30/2023")</f>
        <v>62764.839633600001</v>
      </c>
      <c r="H102">
        <f t="shared" si="19"/>
        <v>1.4938032480335619E-3</v>
      </c>
      <c r="I102">
        <f t="shared" si="20"/>
        <v>1.1173648295291043E-3</v>
      </c>
      <c r="K102" t="s">
        <v>102</v>
      </c>
      <c r="L102" s="4" cm="1">
        <f t="array" ref="L102">_xll.SNL.Clients.Office.Excel.Functions.SPG(K102, "SP_TOTAL_REV", "CY2023")</f>
        <v>9871649</v>
      </c>
      <c r="M102" s="4">
        <f>_xll.SNL.Clients.Office.Excel.Functions.SPG(K102,"IQ_AVG_DILUT_SHARES_OUT","CY2023")</f>
        <v>1385500000</v>
      </c>
      <c r="N102" s="5">
        <f>_xll.SNL.Clients.Office.Excel.Functions.SPG(K102, "IQ_DILUT_EPS_NORM", "CY2023")</f>
        <v>0.748</v>
      </c>
      <c r="O102">
        <f t="shared" si="16"/>
        <v>1036354</v>
      </c>
      <c r="P102">
        <f t="shared" si="17"/>
        <v>0.10498286557797994</v>
      </c>
      <c r="Q102" s="5">
        <f>_xll.SNL.Clients.Office.Excel.Functions.SPG(K102, "SP_MARKETCAP", "12/31/2022")</f>
        <v>38462.765688879997</v>
      </c>
      <c r="R102">
        <f t="shared" si="21"/>
        <v>1.1415056627953608E-3</v>
      </c>
      <c r="S102">
        <f t="shared" si="22"/>
        <v>8.5384623577092992E-4</v>
      </c>
      <c r="U102" t="s">
        <v>102</v>
      </c>
      <c r="V102" s="4" cm="1">
        <f t="array" ref="V102">_xll.SNL.Clients.Office.Excel.Functions.SPG(U102, "SP_TOTAL_REV", "CY2021")</f>
        <v>7547061</v>
      </c>
      <c r="W102" s="4">
        <f>_xll.SNL.Clients.Office.Excel.Functions.SPG(U102,"IQ_AVG_DILUT_SHARES_OUT","CY2021")</f>
        <v>1425550000</v>
      </c>
      <c r="X102" s="5">
        <f>_xll.SNL.Clients.Office.Excel.Functions.SPG(U102, "IQ_DILUT_EPS_NORM", "CY2021")</f>
        <v>0.36499999999999999</v>
      </c>
      <c r="Y102">
        <f t="shared" si="23"/>
        <v>520325.75</v>
      </c>
      <c r="Z102">
        <f t="shared" si="24"/>
        <v>6.8944155877367366E-2</v>
      </c>
      <c r="AA102" s="5">
        <f>_xll.SNL.Clients.Office.Excel.Functions.SPG(U102, "SP_MARKETCAP", "12/31/2021")</f>
        <v>49187.723539500003</v>
      </c>
      <c r="AB102">
        <f t="shared" si="18"/>
        <v>1.1592319705398286E-3</v>
      </c>
      <c r="AC102">
        <f t="shared" si="25"/>
        <v>4.2311966924703741E-4</v>
      </c>
    </row>
    <row r="103" spans="1:29" x14ac:dyDescent="0.3">
      <c r="A103" t="s">
        <v>103</v>
      </c>
      <c r="B103" s="4" cm="1">
        <f t="array" ref="B103">_xll.SNL.Clients.Office.Excel.Functions.SPG(A103, "SP_TOTAL_REV", "CY2023")</f>
        <v>51000000</v>
      </c>
      <c r="C103" s="4">
        <f>_xll.SNL.Clients.Office.Excel.Functions.SPG(A103,"IQ_AVG_DILUT_SHARES_OUT","CY2023")</f>
        <v>414202568</v>
      </c>
      <c r="D103" s="5">
        <f>_xll.SNL.Clients.Office.Excel.Functions.SPG(A103, "IQ_DILUT_EPS_NORM", "CY2023")</f>
        <v>14.305999999999999</v>
      </c>
      <c r="E103">
        <f t="shared" si="14"/>
        <v>5925581.9378079996</v>
      </c>
      <c r="F103">
        <f t="shared" si="15"/>
        <v>0.11618788113349018</v>
      </c>
      <c r="G103" s="5">
        <f>_xll.SNL.Clients.Office.Excel.Functions.SPG(A103, "SP_MARKETCAP", "12/30/2023")</f>
        <v>92205.716948000001</v>
      </c>
      <c r="H103">
        <f t="shared" si="19"/>
        <v>2.1944961584901522E-3</v>
      </c>
      <c r="I103">
        <f t="shared" si="20"/>
        <v>3.1394462043360112E-2</v>
      </c>
      <c r="K103" t="s">
        <v>103</v>
      </c>
      <c r="L103" s="4" cm="1">
        <f t="array" ref="L103">_xll.SNL.Clients.Office.Excel.Functions.SPG(K103, "SP_TOTAL_REV", "CY2023")</f>
        <v>51000000</v>
      </c>
      <c r="M103" s="4">
        <f>_xll.SNL.Clients.Office.Excel.Functions.SPG(K103,"IQ_AVG_DILUT_SHARES_OUT","CY2023")</f>
        <v>414202568</v>
      </c>
      <c r="N103" s="5">
        <f>_xll.SNL.Clients.Office.Excel.Functions.SPG(K103, "IQ_DILUT_EPS_NORM", "CY2023")</f>
        <v>14.305999999999999</v>
      </c>
      <c r="O103">
        <f t="shared" si="16"/>
        <v>5925581.9378079996</v>
      </c>
      <c r="P103">
        <f t="shared" si="17"/>
        <v>0.11618788113349018</v>
      </c>
      <c r="Q103" s="5">
        <f>_xll.SNL.Clients.Office.Excel.Functions.SPG(K103, "SP_MARKETCAP", "12/31/2022")</f>
        <v>91560.090444400004</v>
      </c>
      <c r="R103">
        <f t="shared" si="21"/>
        <v>2.7173387003357075E-3</v>
      </c>
      <c r="S103">
        <f t="shared" si="22"/>
        <v>3.887424744700263E-2</v>
      </c>
      <c r="U103" t="s">
        <v>103</v>
      </c>
      <c r="V103" s="4" cm="1">
        <f t="array" ref="V103">_xll.SNL.Clients.Office.Excel.Functions.SPG(U103, "SP_TOTAL_REV", "CY2021")</f>
        <v>43388000</v>
      </c>
      <c r="W103" s="4">
        <f>_xll.SNL.Clients.Office.Excel.Functions.SPG(U103,"IQ_AVG_DILUT_SHARES_OUT","CY2021")</f>
        <v>443197278</v>
      </c>
      <c r="X103" s="5">
        <f>_xll.SNL.Clients.Office.Excel.Functions.SPG(U103, "IQ_DILUT_EPS_NORM", "CY2021")</f>
        <v>13.811999999999999</v>
      </c>
      <c r="Y103">
        <f t="shared" si="23"/>
        <v>6121440.8037360003</v>
      </c>
      <c r="Z103">
        <f t="shared" si="24"/>
        <v>0.14108603309062415</v>
      </c>
      <c r="AA103" s="5">
        <f>_xll.SNL.Clients.Office.Excel.Functions.SPG(U103, "SP_MARKETCAP", "12/31/2021")</f>
        <v>83266.596836800003</v>
      </c>
      <c r="AB103">
        <f t="shared" si="18"/>
        <v>1.9623860220681867E-3</v>
      </c>
      <c r="AC103">
        <f t="shared" si="25"/>
        <v>2.7104475736805793E-2</v>
      </c>
    </row>
    <row r="104" spans="1:29" x14ac:dyDescent="0.3">
      <c r="A104" t="s">
        <v>104</v>
      </c>
      <c r="B104" s="4" cm="1">
        <f t="array" ref="B104">_xll.SNL.Clients.Office.Excel.Functions.SPG(A104, "SP_TOTAL_REV", "CY2023")</f>
        <v>5867900</v>
      </c>
      <c r="C104" s="4">
        <f>_xll.SNL.Clients.Office.Excel.Functions.SPG(A104,"IQ_AVG_DILUT_SHARES_OUT","CY2023")</f>
        <v>247600000</v>
      </c>
      <c r="D104" s="5">
        <f>_xll.SNL.Clients.Office.Excel.Functions.SPG(A104, "IQ_DILUT_EPS_NORM", "CY2023")</f>
        <v>2.4420000000000002</v>
      </c>
      <c r="E104">
        <f t="shared" si="14"/>
        <v>604639.19999999995</v>
      </c>
      <c r="F104">
        <f t="shared" si="15"/>
        <v>0.10304183779546344</v>
      </c>
      <c r="G104" s="5">
        <f>_xll.SNL.Clients.Office.Excel.Functions.SPG(A104, "SP_MARKETCAP", "12/30/2023")</f>
        <v>23297.85657792</v>
      </c>
      <c r="H104">
        <f t="shared" si="19"/>
        <v>5.5448901059067073E-4</v>
      </c>
      <c r="I104">
        <f t="shared" si="20"/>
        <v>1.3540621638624181E-3</v>
      </c>
      <c r="K104" t="s">
        <v>104</v>
      </c>
      <c r="L104" s="4" cm="1">
        <f t="array" ref="L104">_xll.SNL.Clients.Office.Excel.Functions.SPG(K104, "SP_TOTAL_REV", "CY2023")</f>
        <v>5867900</v>
      </c>
      <c r="M104" s="4">
        <f>_xll.SNL.Clients.Office.Excel.Functions.SPG(K104,"IQ_AVG_DILUT_SHARES_OUT","CY2023")</f>
        <v>247600000</v>
      </c>
      <c r="N104" s="5">
        <f>_xll.SNL.Clients.Office.Excel.Functions.SPG(K104, "IQ_DILUT_EPS_NORM", "CY2023")</f>
        <v>2.4420000000000002</v>
      </c>
      <c r="O104">
        <f t="shared" si="16"/>
        <v>604639.19999999995</v>
      </c>
      <c r="P104">
        <f t="shared" si="17"/>
        <v>0.10304183779546344</v>
      </c>
      <c r="Q104" s="5">
        <f>_xll.SNL.Clients.Office.Excel.Functions.SPG(K104, "SP_MARKETCAP", "12/31/2022")</f>
        <v>19658.227451670002</v>
      </c>
      <c r="R104">
        <f t="shared" si="21"/>
        <v>5.8342081113236654E-4</v>
      </c>
      <c r="S104">
        <f t="shared" si="22"/>
        <v>1.4247136207852392E-3</v>
      </c>
      <c r="U104" t="s">
        <v>104</v>
      </c>
      <c r="V104" s="4" cm="1">
        <f t="array" ref="V104">_xll.SNL.Clients.Office.Excel.Functions.SPG(U104, "SP_TOTAL_REV", "CY2021")</f>
        <v>5190100</v>
      </c>
      <c r="W104" s="4">
        <f>_xll.SNL.Clients.Office.Excel.Functions.SPG(U104,"IQ_AVG_DILUT_SHARES_OUT","CY2021")</f>
        <v>249600000</v>
      </c>
      <c r="X104" s="5">
        <f>_xll.SNL.Clients.Office.Excel.Functions.SPG(U104, "IQ_DILUT_EPS_NORM", "CY2021")</f>
        <v>2.3660000000000001</v>
      </c>
      <c r="Y104">
        <f t="shared" si="23"/>
        <v>590553.59999999998</v>
      </c>
      <c r="Z104">
        <f t="shared" si="24"/>
        <v>0.11378462842719793</v>
      </c>
      <c r="AA104" s="5">
        <f>_xll.SNL.Clients.Office.Excel.Functions.SPG(U104, "SP_MARKETCAP", "12/31/2021")</f>
        <v>25025.207514999998</v>
      </c>
      <c r="AB104">
        <f t="shared" si="18"/>
        <v>5.8978172871702818E-4</v>
      </c>
      <c r="AC104">
        <f t="shared" si="25"/>
        <v>1.3954235701444887E-3</v>
      </c>
    </row>
    <row r="105" spans="1:29" x14ac:dyDescent="0.3">
      <c r="A105" t="s">
        <v>105</v>
      </c>
      <c r="B105" s="4" cm="1">
        <f t="array" ref="B105">_xll.SNL.Clients.Office.Excel.Functions.SPG(A105, "SP_TOTAL_REV", "CY2023")</f>
        <v>10013000</v>
      </c>
      <c r="C105" s="4">
        <f>_xll.SNL.Clients.Office.Excel.Functions.SPG(A105,"IQ_AVG_DILUT_SHARES_OUT","CY2023")</f>
        <v>158100000</v>
      </c>
      <c r="D105" s="5">
        <f>_xll.SNL.Clients.Office.Excel.Functions.SPG(A105, "IQ_DILUT_EPS_NORM", "CY2023")</f>
        <v>8.9969999999999999</v>
      </c>
      <c r="E105">
        <f t="shared" si="14"/>
        <v>1422425.7</v>
      </c>
      <c r="F105">
        <f t="shared" si="15"/>
        <v>0.14205789473684211</v>
      </c>
      <c r="G105" s="5">
        <f>_xll.SNL.Clients.Office.Excel.Functions.SPG(A105, "SP_MARKETCAP", "12/30/2023")</f>
        <v>16233.672711200001</v>
      </c>
      <c r="H105">
        <f t="shared" si="19"/>
        <v>3.8636142727468416E-4</v>
      </c>
      <c r="I105">
        <f t="shared" si="20"/>
        <v>3.4760937611903334E-3</v>
      </c>
      <c r="K105" t="s">
        <v>105</v>
      </c>
      <c r="L105" s="4" cm="1">
        <f t="array" ref="L105">_xll.SNL.Clients.Office.Excel.Functions.SPG(K105, "SP_TOTAL_REV", "CY2023")</f>
        <v>10013000</v>
      </c>
      <c r="M105" s="4">
        <f>_xll.SNL.Clients.Office.Excel.Functions.SPG(K105,"IQ_AVG_DILUT_SHARES_OUT","CY2023")</f>
        <v>158100000</v>
      </c>
      <c r="N105" s="5">
        <f>_xll.SNL.Clients.Office.Excel.Functions.SPG(K105, "IQ_DILUT_EPS_NORM", "CY2023")</f>
        <v>8.9969999999999999</v>
      </c>
      <c r="O105">
        <f t="shared" si="16"/>
        <v>1422425.7</v>
      </c>
      <c r="P105">
        <f t="shared" si="17"/>
        <v>0.14205789473684211</v>
      </c>
      <c r="Q105" s="5">
        <f>_xll.SNL.Clients.Office.Excel.Functions.SPG(K105, "SP_MARKETCAP", "12/31/2022")</f>
        <v>16094.101296119999</v>
      </c>
      <c r="R105">
        <f t="shared" si="21"/>
        <v>4.7764396132425125E-4</v>
      </c>
      <c r="S105">
        <f t="shared" si="22"/>
        <v>4.2973627200342882E-3</v>
      </c>
      <c r="U105" t="s">
        <v>105</v>
      </c>
      <c r="V105" s="4" cm="1">
        <f t="array" ref="V105">_xll.SNL.Clients.Office.Excel.Functions.SPG(U105, "SP_TOTAL_REV", "CY2021")</f>
        <v>9630000</v>
      </c>
      <c r="W105" s="4">
        <f>_xll.SNL.Clients.Office.Excel.Functions.SPG(U105,"IQ_AVG_DILUT_SHARES_OUT","CY2021")</f>
        <v>162700000</v>
      </c>
      <c r="X105" s="5">
        <f>_xll.SNL.Clients.Office.Excel.Functions.SPG(U105, "IQ_DILUT_EPS_NORM", "CY2021")</f>
        <v>14.206</v>
      </c>
      <c r="Y105">
        <f t="shared" si="23"/>
        <v>2311316.2000000002</v>
      </c>
      <c r="Z105">
        <f t="shared" si="24"/>
        <v>0.24001206645898238</v>
      </c>
      <c r="AA105" s="5">
        <f>_xll.SNL.Clients.Office.Excel.Functions.SPG(U105, "SP_MARKETCAP", "12/31/2021")</f>
        <v>18358.793902140002</v>
      </c>
      <c r="AB105">
        <f t="shared" si="18"/>
        <v>4.3267098577599015E-4</v>
      </c>
      <c r="AC105">
        <f t="shared" si="25"/>
        <v>6.1465240239337157E-3</v>
      </c>
    </row>
    <row r="106" spans="1:29" x14ac:dyDescent="0.3">
      <c r="A106" t="s">
        <v>106</v>
      </c>
      <c r="B106" s="4" cm="1">
        <f t="array" ref="B106">_xll.SNL.Clients.Office.Excel.Functions.SPG(A106, "SP_TOTAL_REV", "CY2023")</f>
        <v>9193964</v>
      </c>
      <c r="C106" s="4">
        <f>_xll.SNL.Clients.Office.Excel.Functions.SPG(A106,"IQ_AVG_DILUT_SHARES_OUT","CY2023")</f>
        <v>413658000</v>
      </c>
      <c r="D106" s="5">
        <f>_xll.SNL.Clients.Office.Excel.Functions.SPG(A106, "IQ_DILUT_EPS_NORM", "CY2023")</f>
        <v>2.742</v>
      </c>
      <c r="E106">
        <f t="shared" si="14"/>
        <v>1134250.236</v>
      </c>
      <c r="F106">
        <f t="shared" si="15"/>
        <v>0.123369009928688</v>
      </c>
      <c r="G106" s="5">
        <f>_xll.SNL.Clients.Office.Excel.Functions.SPG(A106, "SP_MARKETCAP", "12/30/2023")</f>
        <v>61078.146423979997</v>
      </c>
      <c r="H106">
        <f t="shared" si="19"/>
        <v>1.4536599479044608E-3</v>
      </c>
      <c r="I106">
        <f t="shared" si="20"/>
        <v>3.9859355771540315E-3</v>
      </c>
      <c r="K106" t="s">
        <v>106</v>
      </c>
      <c r="L106" s="4" cm="1">
        <f t="array" ref="L106">_xll.SNL.Clients.Office.Excel.Functions.SPG(K106, "SP_TOTAL_REV", "CY2023")</f>
        <v>9193964</v>
      </c>
      <c r="M106" s="4">
        <f>_xll.SNL.Clients.Office.Excel.Functions.SPG(K106,"IQ_AVG_DILUT_SHARES_OUT","CY2023")</f>
        <v>413658000</v>
      </c>
      <c r="N106" s="5">
        <f>_xll.SNL.Clients.Office.Excel.Functions.SPG(K106, "IQ_DILUT_EPS_NORM", "CY2023")</f>
        <v>2.742</v>
      </c>
      <c r="O106">
        <f t="shared" si="16"/>
        <v>1134250.236</v>
      </c>
      <c r="P106">
        <f t="shared" si="17"/>
        <v>0.123369009928688</v>
      </c>
      <c r="Q106" s="5">
        <f>_xll.SNL.Clients.Office.Excel.Functions.SPG(K106, "SP_MARKETCAP", "12/31/2022")</f>
        <v>45885.058071840002</v>
      </c>
      <c r="R106">
        <f t="shared" si="21"/>
        <v>1.3617859425496905E-3</v>
      </c>
      <c r="S106">
        <f t="shared" si="22"/>
        <v>3.7340170544712514E-3</v>
      </c>
      <c r="U106" t="s">
        <v>106</v>
      </c>
      <c r="V106" s="4" cm="1">
        <f t="array" ref="V106">_xll.SNL.Clients.Office.Excel.Functions.SPG(U106, "SP_TOTAL_REV", "CY2021")</f>
        <v>7431949</v>
      </c>
      <c r="W106" s="4">
        <f>_xll.SNL.Clients.Office.Excel.Functions.SPG(U106,"IQ_AVG_DILUT_SHARES_OUT","CY2021")</f>
        <v>427768000</v>
      </c>
      <c r="X106" s="5">
        <f>_xll.SNL.Clients.Office.Excel.Functions.SPG(U106, "IQ_DILUT_EPS_NORM", "CY2021")</f>
        <v>2.0030000000000001</v>
      </c>
      <c r="Y106">
        <f t="shared" si="23"/>
        <v>856819.304</v>
      </c>
      <c r="Z106">
        <f t="shared" si="24"/>
        <v>0.11528864151247539</v>
      </c>
      <c r="AA106" s="5">
        <f>_xll.SNL.Clients.Office.Excel.Functions.SPG(U106, "SP_MARKETCAP", "12/31/2021")</f>
        <v>45940.969431630001</v>
      </c>
      <c r="AB106">
        <f t="shared" si="18"/>
        <v>1.0827140735629138E-3</v>
      </c>
      <c r="AC106">
        <f t="shared" si="25"/>
        <v>2.1686762893465164E-3</v>
      </c>
    </row>
    <row r="107" spans="1:29" x14ac:dyDescent="0.3">
      <c r="A107" t="s">
        <v>107</v>
      </c>
      <c r="B107" s="4" cm="1">
        <f t="array" ref="B107">_xll.SNL.Clients.Office.Excel.Functions.SPG(A107, "SP_TOTAL_REV", "CY2023")</f>
        <v>57233000</v>
      </c>
      <c r="C107" s="4">
        <f>_xll.SNL.Clients.Office.Excel.Functions.SPG(A107,"IQ_AVG_DILUT_SHARES_OUT","CY2023")</f>
        <v>4087000000</v>
      </c>
      <c r="D107" s="5">
        <f>_xll.SNL.Clients.Office.Excel.Functions.SPG(A107, "IQ_DILUT_EPS_NORM", "CY2023")</f>
        <v>2.5680000000000001</v>
      </c>
      <c r="E107">
        <f t="shared" si="14"/>
        <v>10495416</v>
      </c>
      <c r="F107">
        <f t="shared" si="15"/>
        <v>0.18338049726556357</v>
      </c>
      <c r="G107" s="5">
        <f>_xll.SNL.Clients.Office.Excel.Functions.SPG(A107, "SP_MARKETCAP", "12/30/2023")</f>
        <v>205286.79115152001</v>
      </c>
      <c r="H107">
        <f t="shared" si="19"/>
        <v>4.8858258411985864E-3</v>
      </c>
      <c r="I107">
        <f t="shared" si="20"/>
        <v>1.2546800760197971E-2</v>
      </c>
      <c r="K107" t="s">
        <v>107</v>
      </c>
      <c r="L107" s="4" cm="1">
        <f t="array" ref="L107">_xll.SNL.Clients.Office.Excel.Functions.SPG(K107, "SP_TOTAL_REV", "CY2023")</f>
        <v>57233000</v>
      </c>
      <c r="M107" s="4">
        <f>_xll.SNL.Clients.Office.Excel.Functions.SPG(K107,"IQ_AVG_DILUT_SHARES_OUT","CY2023")</f>
        <v>4087000000</v>
      </c>
      <c r="N107" s="5">
        <f>_xll.SNL.Clients.Office.Excel.Functions.SPG(K107, "IQ_DILUT_EPS_NORM", "CY2023")</f>
        <v>2.5680000000000001</v>
      </c>
      <c r="O107">
        <f t="shared" si="16"/>
        <v>10495416</v>
      </c>
      <c r="P107">
        <f t="shared" si="17"/>
        <v>0.18338049726556357</v>
      </c>
      <c r="Q107" s="5">
        <f>_xll.SNL.Clients.Office.Excel.Functions.SPG(K107, "SP_MARKETCAP", "12/31/2022")</f>
        <v>195710.02992132001</v>
      </c>
      <c r="R107">
        <f t="shared" si="21"/>
        <v>5.8083214615433868E-3</v>
      </c>
      <c r="S107">
        <f t="shared" si="22"/>
        <v>1.4915769513243417E-2</v>
      </c>
      <c r="U107" t="s">
        <v>107</v>
      </c>
      <c r="V107" s="4" cm="1">
        <f t="array" ref="V107">_xll.SNL.Clients.Office.Excel.Functions.SPG(U107, "SP_TOTAL_REV", "CY2021")</f>
        <v>51549000</v>
      </c>
      <c r="W107" s="4">
        <f>_xll.SNL.Clients.Office.Excel.Functions.SPG(U107,"IQ_AVG_DILUT_SHARES_OUT","CY2021")</f>
        <v>4227500000</v>
      </c>
      <c r="X107" s="5">
        <f>_xll.SNL.Clients.Office.Excel.Functions.SPG(U107, "IQ_DILUT_EPS_NORM", "CY2021")</f>
        <v>2.085</v>
      </c>
      <c r="Y107">
        <f t="shared" si="23"/>
        <v>8814337.5</v>
      </c>
      <c r="Z107">
        <f t="shared" si="24"/>
        <v>0.17098949543153116</v>
      </c>
      <c r="AA107" s="5">
        <f>_xll.SNL.Clients.Office.Excel.Functions.SPG(U107, "SP_MARKETCAP", "12/31/2021")</f>
        <v>267269.72739035002</v>
      </c>
      <c r="AB107">
        <f t="shared" si="18"/>
        <v>6.2988809087607487E-3</v>
      </c>
      <c r="AC107">
        <f t="shared" si="25"/>
        <v>1.3133166694766161E-2</v>
      </c>
    </row>
    <row r="108" spans="1:29" x14ac:dyDescent="0.3">
      <c r="A108" t="s">
        <v>108</v>
      </c>
      <c r="B108" s="4" cm="1">
        <f t="array" ref="B108">_xll.SNL.Clients.Office.Excel.Functions.SPG(A108, "SP_TOTAL_REV", "CY2023")</f>
        <v>77116000</v>
      </c>
      <c r="C108" s="4">
        <f>_xll.SNL.Clients.Office.Excel.Functions.SPG(A108,"IQ_AVG_DILUT_SHARES_OUT","CY2023")</f>
        <v>1955800000</v>
      </c>
      <c r="D108" s="5">
        <f>_xll.SNL.Clients.Office.Excel.Functions.SPG(A108, "IQ_DILUT_EPS_NORM", "CY2023")</f>
        <v>4.2969999999999997</v>
      </c>
      <c r="E108">
        <f t="shared" si="14"/>
        <v>8404072.5999999996</v>
      </c>
      <c r="F108">
        <f t="shared" si="15"/>
        <v>0.10897962290575237</v>
      </c>
      <c r="G108" s="5">
        <f>_xll.SNL.Clients.Office.Excel.Functions.SPG(A108, "SP_MARKETCAP", "12/30/2023")</f>
        <v>98450.086633519997</v>
      </c>
      <c r="H108">
        <f t="shared" si="19"/>
        <v>2.3431121634477844E-3</v>
      </c>
      <c r="I108">
        <f t="shared" si="20"/>
        <v>1.0068352966335129E-2</v>
      </c>
      <c r="K108" t="s">
        <v>108</v>
      </c>
      <c r="L108" s="4" cm="1">
        <f t="array" ref="L108">_xll.SNL.Clients.Office.Excel.Functions.SPG(K108, "SP_TOTAL_REV", "CY2023")</f>
        <v>77116000</v>
      </c>
      <c r="M108" s="4">
        <f>_xll.SNL.Clients.Office.Excel.Functions.SPG(K108,"IQ_AVG_DILUT_SHARES_OUT","CY2023")</f>
        <v>1955800000</v>
      </c>
      <c r="N108" s="5">
        <f>_xll.SNL.Clients.Office.Excel.Functions.SPG(K108, "IQ_DILUT_EPS_NORM", "CY2023")</f>
        <v>4.2969999999999997</v>
      </c>
      <c r="O108">
        <f t="shared" si="16"/>
        <v>8404072.5999999996</v>
      </c>
      <c r="P108">
        <f t="shared" si="17"/>
        <v>0.10897962290575237</v>
      </c>
      <c r="Q108" s="5">
        <f>_xll.SNL.Clients.Office.Excel.Functions.SPG(K108, "SP_MARKETCAP", "12/31/2022")</f>
        <v>87603.855038719994</v>
      </c>
      <c r="R108">
        <f t="shared" si="21"/>
        <v>2.5999247536771376E-3</v>
      </c>
      <c r="S108">
        <f t="shared" si="22"/>
        <v>1.1171876666550659E-2</v>
      </c>
      <c r="U108" t="s">
        <v>108</v>
      </c>
      <c r="V108" s="4" cm="1">
        <f t="array" ref="V108">_xll.SNL.Clients.Office.Excel.Functions.SPG(U108, "SP_TOTAL_REV", "CY2021")</f>
        <v>72564000</v>
      </c>
      <c r="W108" s="4">
        <f>_xll.SNL.Clients.Office.Excel.Functions.SPG(U108,"IQ_AVG_DILUT_SHARES_OUT","CY2021")</f>
        <v>2049400000</v>
      </c>
      <c r="X108" s="5">
        <f>_xll.SNL.Clients.Office.Excel.Functions.SPG(U108, "IQ_DILUT_EPS_NORM", "CY2021")</f>
        <v>8.3420000000000005</v>
      </c>
      <c r="Y108">
        <f t="shared" si="23"/>
        <v>17096094.800000001</v>
      </c>
      <c r="Z108">
        <f t="shared" si="24"/>
        <v>0.23560022600738659</v>
      </c>
      <c r="AA108" s="5">
        <f>_xll.SNL.Clients.Office.Excel.Functions.SPG(U108, "SP_MARKETCAP", "12/31/2021")</f>
        <v>119829.89856320999</v>
      </c>
      <c r="AB108">
        <f t="shared" si="18"/>
        <v>2.8240918555514378E-3</v>
      </c>
      <c r="AC108">
        <f t="shared" si="25"/>
        <v>2.3558574259010097E-2</v>
      </c>
    </row>
    <row r="109" spans="1:29" x14ac:dyDescent="0.3">
      <c r="A109" t="s">
        <v>109</v>
      </c>
      <c r="B109" s="4" cm="1">
        <f t="array" ref="B109">_xll.SNL.Clients.Office.Excel.Functions.SPG(A109, "SP_TOTAL_REV", "CY2023")</f>
        <v>8224000</v>
      </c>
      <c r="C109" s="4">
        <f>_xll.SNL.Clients.Office.Excel.Functions.SPG(A109,"IQ_AVG_DILUT_SHARES_OUT","CY2023")</f>
        <v>476693148</v>
      </c>
      <c r="D109" s="5">
        <f>_xll.SNL.Clients.Office.Excel.Functions.SPG(A109, "IQ_DILUT_EPS_NORM", "CY2023")</f>
        <v>2.6619999999999999</v>
      </c>
      <c r="E109">
        <f t="shared" si="14"/>
        <v>1268957.159976</v>
      </c>
      <c r="F109">
        <f t="shared" si="15"/>
        <v>0.15429926556128404</v>
      </c>
      <c r="G109" s="5">
        <f>_xll.SNL.Clients.Office.Excel.Functions.SPG(A109, "SP_MARKETCAP", "12/30/2023")</f>
        <v>15450.629126379999</v>
      </c>
      <c r="H109">
        <f t="shared" si="19"/>
        <v>3.677249891481096E-4</v>
      </c>
      <c r="I109">
        <f t="shared" si="20"/>
        <v>9.7888392111226768E-4</v>
      </c>
      <c r="K109" t="s">
        <v>109</v>
      </c>
      <c r="L109" s="4" cm="1">
        <f t="array" ref="L109">_xll.SNL.Clients.Office.Excel.Functions.SPG(K109, "SP_TOTAL_REV", "CY2023")</f>
        <v>8224000</v>
      </c>
      <c r="M109" s="4">
        <f>_xll.SNL.Clients.Office.Excel.Functions.SPG(K109,"IQ_AVG_DILUT_SHARES_OUT","CY2023")</f>
        <v>476693148</v>
      </c>
      <c r="N109" s="5">
        <f>_xll.SNL.Clients.Office.Excel.Functions.SPG(K109, "IQ_DILUT_EPS_NORM", "CY2023")</f>
        <v>2.6619999999999999</v>
      </c>
      <c r="O109">
        <f t="shared" si="16"/>
        <v>1268957.159976</v>
      </c>
      <c r="P109">
        <f t="shared" si="17"/>
        <v>0.15429926556128404</v>
      </c>
      <c r="Q109" s="5">
        <f>_xll.SNL.Clients.Office.Excel.Functions.SPG(K109, "SP_MARKETCAP", "12/31/2022")</f>
        <v>19389.369331419999</v>
      </c>
      <c r="R109">
        <f t="shared" si="21"/>
        <v>5.7544158599716973E-4</v>
      </c>
      <c r="S109">
        <f t="shared" si="22"/>
        <v>1.5318255019244659E-3</v>
      </c>
      <c r="U109" t="s">
        <v>109</v>
      </c>
      <c r="V109" s="4" cm="1">
        <f t="array" ref="V109">_xll.SNL.Clients.Office.Excel.Functions.SPG(U109, "SP_TOTAL_REV", "CY2021")</f>
        <v>6647000</v>
      </c>
      <c r="W109" s="4">
        <f>_xll.SNL.Clients.Office.Excel.Functions.SPG(U109,"IQ_AVG_DILUT_SHARES_OUT","CY2021")</f>
        <v>427435818</v>
      </c>
      <c r="X109" s="5">
        <f>_xll.SNL.Clients.Office.Excel.Functions.SPG(U109, "IQ_DILUT_EPS_NORM", "CY2021")</f>
        <v>4.3529999999999998</v>
      </c>
      <c r="Y109">
        <f t="shared" si="23"/>
        <v>1860628.1157539999</v>
      </c>
      <c r="Z109">
        <f t="shared" si="24"/>
        <v>0.27991998130795848</v>
      </c>
      <c r="AA109" s="5">
        <f>_xll.SNL.Clients.Office.Excel.Functions.SPG(U109, "SP_MARKETCAP", "12/31/2021")</f>
        <v>20137.929966</v>
      </c>
      <c r="AB109">
        <f t="shared" si="18"/>
        <v>4.7460078566824725E-4</v>
      </c>
      <c r="AC109">
        <f t="shared" si="25"/>
        <v>2.0659372200138803E-3</v>
      </c>
    </row>
    <row r="110" spans="1:29" x14ac:dyDescent="0.3">
      <c r="A110" t="s">
        <v>110</v>
      </c>
      <c r="B110" s="4" cm="1">
        <f t="array" ref="B110">_xll.SNL.Clients.Office.Excel.Functions.SPG(A110, "SP_TOTAL_REV", "CY2023")</f>
        <v>5569100</v>
      </c>
      <c r="C110" s="4">
        <f>_xll.SNL.Clients.Office.Excel.Functions.SPG(A110,"IQ_AVG_DILUT_SHARES_OUT","CY2023")</f>
        <v>359500000</v>
      </c>
      <c r="D110" s="5">
        <f>_xll.SNL.Clients.Office.Excel.Functions.SPG(A110, "IQ_DILUT_EPS_NORM", "CY2023")</f>
        <v>7.2210000000000001</v>
      </c>
      <c r="E110">
        <f t="shared" si="14"/>
        <v>2595949.5</v>
      </c>
      <c r="F110">
        <f t="shared" si="15"/>
        <v>0.46613447415201736</v>
      </c>
      <c r="G110" s="5">
        <f>_xll.SNL.Clients.Office.Excel.Functions.SPG(A110, "SP_MARKETCAP", "12/30/2023")</f>
        <v>75814.520745600006</v>
      </c>
      <c r="H110">
        <f t="shared" si="19"/>
        <v>1.8043856719623928E-3</v>
      </c>
      <c r="I110">
        <f t="shared" si="20"/>
        <v>1.3029468937240439E-2</v>
      </c>
      <c r="K110" t="s">
        <v>110</v>
      </c>
      <c r="L110" s="4" cm="1">
        <f t="array" ref="L110">_xll.SNL.Clients.Office.Excel.Functions.SPG(K110, "SP_TOTAL_REV", "CY2023")</f>
        <v>5569100</v>
      </c>
      <c r="M110" s="4">
        <f>_xll.SNL.Clients.Office.Excel.Functions.SPG(K110,"IQ_AVG_DILUT_SHARES_OUT","CY2023")</f>
        <v>359500000</v>
      </c>
      <c r="N110" s="5">
        <f>_xll.SNL.Clients.Office.Excel.Functions.SPG(K110, "IQ_DILUT_EPS_NORM", "CY2023")</f>
        <v>7.2210000000000001</v>
      </c>
      <c r="O110">
        <f t="shared" si="16"/>
        <v>2595949.5</v>
      </c>
      <c r="P110">
        <f t="shared" si="17"/>
        <v>0.46613447415201736</v>
      </c>
      <c r="Q110" s="5">
        <f>_xll.SNL.Clients.Office.Excel.Functions.SPG(K110, "SP_MARKETCAP", "12/31/2022")</f>
        <v>60491.880154719998</v>
      </c>
      <c r="R110">
        <f t="shared" si="21"/>
        <v>1.7952901335359464E-3</v>
      </c>
      <c r="S110">
        <f t="shared" si="22"/>
        <v>1.2963790054263069E-2</v>
      </c>
      <c r="U110" t="s">
        <v>110</v>
      </c>
      <c r="V110" s="4" cm="1">
        <f t="array" ref="V110">_xll.SNL.Clients.Office.Excel.Functions.SPG(U110, "SP_TOTAL_REV", "CY2021")</f>
        <v>4689700</v>
      </c>
      <c r="W110" s="4">
        <f>_xll.SNL.Clients.Office.Excel.Functions.SPG(U110,"IQ_AVG_DILUT_SHARES_OUT","CY2021")</f>
        <v>358929000</v>
      </c>
      <c r="X110" s="5">
        <f>_xll.SNL.Clients.Office.Excel.Functions.SPG(U110, "IQ_DILUT_EPS_NORM", "CY2021")</f>
        <v>5.1749999999999998</v>
      </c>
      <c r="Y110">
        <f t="shared" si="23"/>
        <v>1857457.575</v>
      </c>
      <c r="Z110">
        <f t="shared" si="24"/>
        <v>0.39607172633643944</v>
      </c>
      <c r="AA110" s="5">
        <f>_xll.SNL.Clients.Office.Excel.Functions.SPG(U110, "SP_MARKETCAP", "12/31/2021")</f>
        <v>82108.365677220005</v>
      </c>
      <c r="AB110">
        <f t="shared" si="18"/>
        <v>1.9350894022442924E-3</v>
      </c>
      <c r="AC110">
        <f t="shared" si="25"/>
        <v>1.0014087656614212E-2</v>
      </c>
    </row>
    <row r="111" spans="1:29" x14ac:dyDescent="0.3">
      <c r="A111" t="s">
        <v>111</v>
      </c>
      <c r="B111" s="4" cm="1">
        <f t="array" ref="B111">_xll.SNL.Clients.Office.Excel.Functions.SPG(A111, "SP_TOTAL_REV", "CY2023")</f>
        <v>7462000</v>
      </c>
      <c r="C111" s="4">
        <f>_xll.SNL.Clients.Office.Excel.Functions.SPG(A111,"IQ_AVG_DILUT_SHARES_OUT","CY2023")</f>
        <v>291700000</v>
      </c>
      <c r="D111" s="5">
        <f>_xll.SNL.Clients.Office.Excel.Functions.SPG(A111, "IQ_DILUT_EPS_NORM", "CY2023")</f>
        <v>2.0339999999999998</v>
      </c>
      <c r="E111">
        <f t="shared" si="14"/>
        <v>593317.80000000005</v>
      </c>
      <c r="F111">
        <f t="shared" si="15"/>
        <v>7.9511900294827131E-2</v>
      </c>
      <c r="G111" s="5">
        <f>_xll.SNL.Clients.Office.Excel.Functions.SPG(A111, "SP_MARKETCAP", "12/30/2023")</f>
        <v>16942.710335690001</v>
      </c>
      <c r="H111">
        <f t="shared" si="19"/>
        <v>4.0323652346905349E-4</v>
      </c>
      <c r="I111">
        <f t="shared" si="20"/>
        <v>8.2018308873605468E-4</v>
      </c>
      <c r="K111" t="s">
        <v>111</v>
      </c>
      <c r="L111" s="4" cm="1">
        <f t="array" ref="L111">_xll.SNL.Clients.Office.Excel.Functions.SPG(K111, "SP_TOTAL_REV", "CY2023")</f>
        <v>7462000</v>
      </c>
      <c r="M111" s="4">
        <f>_xll.SNL.Clients.Office.Excel.Functions.SPG(K111,"IQ_AVG_DILUT_SHARES_OUT","CY2023")</f>
        <v>291700000</v>
      </c>
      <c r="N111" s="5">
        <f>_xll.SNL.Clients.Office.Excel.Functions.SPG(K111, "IQ_DILUT_EPS_NORM", "CY2023")</f>
        <v>2.0339999999999998</v>
      </c>
      <c r="O111">
        <f t="shared" si="16"/>
        <v>593317.80000000005</v>
      </c>
      <c r="P111">
        <f t="shared" si="17"/>
        <v>7.9511900294827131E-2</v>
      </c>
      <c r="Q111" s="5">
        <f>_xll.SNL.Clients.Office.Excel.Functions.SPG(K111, "SP_MARKETCAP", "12/31/2022")</f>
        <v>18381.633954659999</v>
      </c>
      <c r="R111">
        <f t="shared" si="21"/>
        <v>5.4553381367326403E-4</v>
      </c>
      <c r="S111">
        <f t="shared" si="22"/>
        <v>1.109615777011419E-3</v>
      </c>
      <c r="U111" t="s">
        <v>111</v>
      </c>
      <c r="V111" s="4" cm="1">
        <f t="array" ref="V111">_xll.SNL.Clients.Office.Excel.Functions.SPG(U111, "SP_TOTAL_REV", "CY2021")</f>
        <v>7329000</v>
      </c>
      <c r="W111" s="4">
        <f>_xll.SNL.Clients.Office.Excel.Functions.SPG(U111,"IQ_AVG_DILUT_SHARES_OUT","CY2021")</f>
        <v>289500000</v>
      </c>
      <c r="X111" s="5">
        <f>_xll.SNL.Clients.Office.Excel.Functions.SPG(U111, "IQ_DILUT_EPS_NORM", "CY2021")</f>
        <v>1.8560000000000001</v>
      </c>
      <c r="Y111">
        <f t="shared" si="23"/>
        <v>537312</v>
      </c>
      <c r="Z111">
        <f t="shared" si="24"/>
        <v>7.3313139582480563E-2</v>
      </c>
      <c r="AA111" s="5">
        <f>_xll.SNL.Clients.Office.Excel.Functions.SPG(U111, "SP_MARKETCAP", "12/31/2021")</f>
        <v>18844.81515445</v>
      </c>
      <c r="AB111">
        <f t="shared" si="18"/>
        <v>4.4412529456479006E-4</v>
      </c>
      <c r="AC111">
        <f t="shared" si="25"/>
        <v>8.2429654671225042E-4</v>
      </c>
    </row>
    <row r="112" spans="1:29" x14ac:dyDescent="0.3">
      <c r="A112" t="s">
        <v>112</v>
      </c>
      <c r="B112" s="4" cm="1">
        <f t="array" ref="B112">_xll.SNL.Clients.Office.Excel.Functions.SPG(A112, "SP_TOTAL_REV", "CY2023")</f>
        <v>19353000</v>
      </c>
      <c r="C112" s="4">
        <f>_xll.SNL.Clients.Office.Excel.Functions.SPG(A112,"IQ_AVG_DILUT_SHARES_OUT","CY2023")</f>
        <v>505000000</v>
      </c>
      <c r="D112" s="5">
        <f>_xll.SNL.Clients.Office.Excel.Functions.SPG(A112, "IQ_DILUT_EPS_NORM", "CY2023")</f>
        <v>3.762</v>
      </c>
      <c r="E112">
        <f t="shared" si="14"/>
        <v>1899810</v>
      </c>
      <c r="F112">
        <f t="shared" si="15"/>
        <v>9.8166175786699741E-2</v>
      </c>
      <c r="G112" s="5">
        <f>_xll.SNL.Clients.Office.Excel.Functions.SPG(A112, "SP_MARKETCAP", "12/30/2023")</f>
        <v>37871.689599379999</v>
      </c>
      <c r="H112">
        <f t="shared" si="19"/>
        <v>9.0134625153710226E-4</v>
      </c>
      <c r="I112">
        <f t="shared" si="20"/>
        <v>3.3908645982825788E-3</v>
      </c>
      <c r="K112" t="s">
        <v>112</v>
      </c>
      <c r="L112" s="4" cm="1">
        <f t="array" ref="L112">_xll.SNL.Clients.Office.Excel.Functions.SPG(K112, "SP_TOTAL_REV", "CY2023")</f>
        <v>19353000</v>
      </c>
      <c r="M112" s="4">
        <f>_xll.SNL.Clients.Office.Excel.Functions.SPG(K112,"IQ_AVG_DILUT_SHARES_OUT","CY2023")</f>
        <v>505000000</v>
      </c>
      <c r="N112" s="5">
        <f>_xll.SNL.Clients.Office.Excel.Functions.SPG(K112, "IQ_DILUT_EPS_NORM", "CY2023")</f>
        <v>3.762</v>
      </c>
      <c r="O112">
        <f t="shared" si="16"/>
        <v>1899810</v>
      </c>
      <c r="P112">
        <f t="shared" si="17"/>
        <v>9.8166175786699741E-2</v>
      </c>
      <c r="Q112" s="5">
        <f>_xll.SNL.Clients.Office.Excel.Functions.SPG(K112, "SP_MARKETCAP", "12/31/2022")</f>
        <v>29391.166696079999</v>
      </c>
      <c r="R112">
        <f t="shared" si="21"/>
        <v>8.7227693117859848E-4</v>
      </c>
      <c r="S112">
        <f t="shared" si="22"/>
        <v>3.2815058150938874E-3</v>
      </c>
      <c r="U112" t="s">
        <v>112</v>
      </c>
      <c r="V112" s="4" cm="1">
        <f t="array" ref="V112">_xll.SNL.Clients.Office.Excel.Functions.SPG(U112, "SP_TOTAL_REV", "CY2021")</f>
        <v>18507000</v>
      </c>
      <c r="W112" s="4">
        <f>_xll.SNL.Clients.Office.Excel.Functions.SPG(U112,"IQ_AVG_DILUT_SHARES_OUT","CY2021")</f>
        <v>528000000</v>
      </c>
      <c r="X112" s="5">
        <f>_xll.SNL.Clients.Office.Excel.Functions.SPG(U112, "IQ_DILUT_EPS_NORM", "CY2021")</f>
        <v>3.35</v>
      </c>
      <c r="Y112">
        <f t="shared" si="23"/>
        <v>1768800</v>
      </c>
      <c r="Z112">
        <f t="shared" si="24"/>
        <v>9.5574647430701903E-2</v>
      </c>
      <c r="AA112" s="5">
        <f>_xll.SNL.Clients.Office.Excel.Functions.SPG(U112, "SP_MARKETCAP", "12/31/2021")</f>
        <v>46600.333840480002</v>
      </c>
      <c r="AB112">
        <f t="shared" si="18"/>
        <v>1.0982536482366878E-3</v>
      </c>
      <c r="AC112">
        <f t="shared" si="25"/>
        <v>3.6791497215929044E-3</v>
      </c>
    </row>
    <row r="113" spans="1:29" x14ac:dyDescent="0.3">
      <c r="A113" t="s">
        <v>113</v>
      </c>
      <c r="B113" s="4" cm="1">
        <f t="array" ref="B113">_xll.SNL.Clients.Office.Excel.Functions.SPG(A113, "SP_TOTAL_REV", "CY2023")</f>
        <v>19457000</v>
      </c>
      <c r="C113" s="4">
        <f>_xll.SNL.Clients.Office.Excel.Functions.SPG(A113,"IQ_AVG_DILUT_SHARES_OUT","CY2023")</f>
        <v>829200000</v>
      </c>
      <c r="D113" s="5">
        <f>_xll.SNL.Clients.Office.Excel.Functions.SPG(A113, "IQ_DILUT_EPS_NORM", "CY2023")</f>
        <v>2.6219999999999999</v>
      </c>
      <c r="E113">
        <f t="shared" si="14"/>
        <v>2174162.4</v>
      </c>
      <c r="F113">
        <f t="shared" si="15"/>
        <v>0.11174191293621832</v>
      </c>
      <c r="G113" s="5">
        <f>_xll.SNL.Clients.Office.Excel.Functions.SPG(A113, "SP_MARKETCAP", "12/30/2023")</f>
        <v>65631.00276489</v>
      </c>
      <c r="H113">
        <f t="shared" si="19"/>
        <v>1.562017933515257E-3</v>
      </c>
      <c r="I113">
        <f t="shared" si="20"/>
        <v>4.0956110216770038E-3</v>
      </c>
      <c r="K113" t="s">
        <v>113</v>
      </c>
      <c r="L113" s="4" cm="1">
        <f t="array" ref="L113">_xll.SNL.Clients.Office.Excel.Functions.SPG(K113, "SP_TOTAL_REV", "CY2023")</f>
        <v>19457000</v>
      </c>
      <c r="M113" s="4">
        <f>_xll.SNL.Clients.Office.Excel.Functions.SPG(K113,"IQ_AVG_DILUT_SHARES_OUT","CY2023")</f>
        <v>829200000</v>
      </c>
      <c r="N113" s="5">
        <f>_xll.SNL.Clients.Office.Excel.Functions.SPG(K113, "IQ_DILUT_EPS_NORM", "CY2023")</f>
        <v>2.6219999999999999</v>
      </c>
      <c r="O113">
        <f t="shared" si="16"/>
        <v>2174162.4</v>
      </c>
      <c r="P113">
        <f t="shared" si="17"/>
        <v>0.11174191293621832</v>
      </c>
      <c r="Q113" s="5">
        <f>_xll.SNL.Clients.Office.Excel.Functions.SPG(K113, "SP_MARKETCAP", "12/31/2022")</f>
        <v>65806.527605900003</v>
      </c>
      <c r="R113">
        <f t="shared" si="21"/>
        <v>1.9530193049209583E-3</v>
      </c>
      <c r="S113">
        <f t="shared" si="22"/>
        <v>5.1208166175027523E-3</v>
      </c>
      <c r="U113" t="s">
        <v>113</v>
      </c>
      <c r="V113" s="4" cm="1">
        <f t="array" ref="V113">_xll.SNL.Clients.Office.Excel.Functions.SPG(U113, "SP_TOTAL_REV", "CY2021")</f>
        <v>17421000</v>
      </c>
      <c r="W113" s="4">
        <f>_xll.SNL.Clients.Office.Excel.Functions.SPG(U113,"IQ_AVG_DILUT_SHARES_OUT","CY2021")</f>
        <v>848300000</v>
      </c>
      <c r="X113" s="5">
        <f>_xll.SNL.Clients.Office.Excel.Functions.SPG(U113, "IQ_DILUT_EPS_NORM", "CY2021")</f>
        <v>2.5419999999999998</v>
      </c>
      <c r="Y113">
        <f t="shared" si="23"/>
        <v>2156378.6</v>
      </c>
      <c r="Z113">
        <f t="shared" si="24"/>
        <v>0.12378041444233971</v>
      </c>
      <c r="AA113" s="5">
        <f>_xll.SNL.Clients.Office.Excel.Functions.SPG(U113, "SP_MARKETCAP", "12/31/2021")</f>
        <v>71928.707289939994</v>
      </c>
      <c r="AB113">
        <f t="shared" si="18"/>
        <v>1.695180241938622E-3</v>
      </c>
      <c r="AC113">
        <f t="shared" si="25"/>
        <v>4.3091481750079765E-3</v>
      </c>
    </row>
    <row r="114" spans="1:29" x14ac:dyDescent="0.3">
      <c r="A114" t="s">
        <v>114</v>
      </c>
      <c r="B114" s="4" cm="1">
        <f t="array" ref="B114">_xll.SNL.Clients.Office.Excel.Functions.SPG(A114, "SP_TOTAL_REV", "CY2023")</f>
        <v>121572000</v>
      </c>
      <c r="C114" s="4">
        <f>_xll.SNL.Clients.Office.Excel.Functions.SPG(A114,"IQ_AVG_DILUT_SHARES_OUT","CY2023")</f>
        <v>4148000000</v>
      </c>
      <c r="D114" s="5">
        <f>_xll.SNL.Clients.Office.Excel.Functions.SPG(A114, "IQ_DILUT_EPS_NORM", "CY2023")</f>
        <v>3.173</v>
      </c>
      <c r="E114">
        <f t="shared" si="14"/>
        <v>13161604</v>
      </c>
      <c r="F114">
        <f t="shared" si="15"/>
        <v>0.10826180370480044</v>
      </c>
      <c r="G114" s="5">
        <f>_xll.SNL.Clients.Office.Excel.Functions.SPG(A114, "SP_MARKETCAP", "12/30/2023")</f>
        <v>176499.74699365001</v>
      </c>
      <c r="H114">
        <f t="shared" si="19"/>
        <v>4.200694160541963E-3</v>
      </c>
      <c r="I114">
        <f t="shared" si="20"/>
        <v>1.3328802571399649E-2</v>
      </c>
      <c r="K114" t="s">
        <v>114</v>
      </c>
      <c r="L114" s="4" cm="1">
        <f t="array" ref="L114">_xll.SNL.Clients.Office.Excel.Functions.SPG(K114, "SP_TOTAL_REV", "CY2023")</f>
        <v>121572000</v>
      </c>
      <c r="M114" s="4">
        <f>_xll.SNL.Clients.Office.Excel.Functions.SPG(K114,"IQ_AVG_DILUT_SHARES_OUT","CY2023")</f>
        <v>4148000000</v>
      </c>
      <c r="N114" s="5">
        <f>_xll.SNL.Clients.Office.Excel.Functions.SPG(K114, "IQ_DILUT_EPS_NORM", "CY2023")</f>
        <v>3.173</v>
      </c>
      <c r="O114">
        <f t="shared" si="16"/>
        <v>13161604</v>
      </c>
      <c r="P114">
        <f t="shared" si="17"/>
        <v>0.10826180370480044</v>
      </c>
      <c r="Q114" s="5">
        <f>_xll.SNL.Clients.Office.Excel.Functions.SPG(K114, "SP_MARKETCAP", "12/31/2022")</f>
        <v>151189.60202918001</v>
      </c>
      <c r="R114">
        <f t="shared" si="21"/>
        <v>4.48703528675219E-3</v>
      </c>
      <c r="S114">
        <f t="shared" si="22"/>
        <v>1.4237362964864698E-2</v>
      </c>
      <c r="U114" t="s">
        <v>114</v>
      </c>
      <c r="V114" s="4" cm="1">
        <f t="array" ref="V114">_xll.SNL.Clients.Office.Excel.Functions.SPG(U114, "SP_TOTAL_REV", "CY2021")</f>
        <v>116385000</v>
      </c>
      <c r="W114" s="4">
        <f>_xll.SNL.Clients.Office.Excel.Functions.SPG(U114,"IQ_AVG_DILUT_SHARES_OUT","CY2021")</f>
        <v>4654000000</v>
      </c>
      <c r="X114" s="5">
        <f>_xll.SNL.Clients.Office.Excel.Functions.SPG(U114, "IQ_DILUT_EPS_NORM", "CY2021")</f>
        <v>2.5880000000000001</v>
      </c>
      <c r="Y114">
        <f t="shared" si="23"/>
        <v>12044552</v>
      </c>
      <c r="Z114">
        <f t="shared" si="24"/>
        <v>0.10348886884048632</v>
      </c>
      <c r="AA114" s="5">
        <f>_xll.SNL.Clients.Office.Excel.Functions.SPG(U114, "SP_MARKETCAP", "12/31/2021")</f>
        <v>229953.89685485</v>
      </c>
      <c r="AB114">
        <f t="shared" si="18"/>
        <v>5.4194398480403826E-3</v>
      </c>
      <c r="AC114">
        <f t="shared" si="25"/>
        <v>1.402551032672851E-2</v>
      </c>
    </row>
    <row r="115" spans="1:29" x14ac:dyDescent="0.3">
      <c r="A115" t="s">
        <v>115</v>
      </c>
      <c r="B115" s="4" cm="1">
        <f t="array" ref="B115">_xll.SNL.Clients.Office.Excel.Functions.SPG(A115, "SP_TOTAL_REV", "CY2023")</f>
        <v>12171900</v>
      </c>
      <c r="C115" s="4">
        <f>_xll.SNL.Clients.Office.Excel.Functions.SPG(A115,"IQ_AVG_DILUT_SHARES_OUT","CY2023")</f>
        <v>479800000</v>
      </c>
      <c r="D115" s="5">
        <f>_xll.SNL.Clients.Office.Excel.Functions.SPG(A115, "IQ_DILUT_EPS_NORM", "CY2023")</f>
        <v>2.1760000000000002</v>
      </c>
      <c r="E115">
        <f t="shared" si="14"/>
        <v>1044044.8000000002</v>
      </c>
      <c r="F115">
        <f t="shared" si="15"/>
        <v>8.577500636712429E-2</v>
      </c>
      <c r="G115" s="5">
        <f>_xll.SNL.Clients.Office.Excel.Functions.SPG(A115, "SP_MARKETCAP", "12/30/2023")</f>
        <v>13698.55946946</v>
      </c>
      <c r="H115">
        <f t="shared" si="19"/>
        <v>3.260257295058202E-4</v>
      </c>
      <c r="I115">
        <f t="shared" si="20"/>
        <v>7.0943198740466482E-4</v>
      </c>
      <c r="K115" t="s">
        <v>115</v>
      </c>
      <c r="L115" s="4" cm="1">
        <f t="array" ref="L115">_xll.SNL.Clients.Office.Excel.Functions.SPG(K115, "SP_TOTAL_REV", "CY2023")</f>
        <v>12171900</v>
      </c>
      <c r="M115" s="4">
        <f>_xll.SNL.Clients.Office.Excel.Functions.SPG(K115,"IQ_AVG_DILUT_SHARES_OUT","CY2023")</f>
        <v>479800000</v>
      </c>
      <c r="N115" s="5">
        <f>_xll.SNL.Clients.Office.Excel.Functions.SPG(K115, "IQ_DILUT_EPS_NORM", "CY2023")</f>
        <v>2.1760000000000002</v>
      </c>
      <c r="O115">
        <f t="shared" si="16"/>
        <v>1044044.8000000002</v>
      </c>
      <c r="P115">
        <f t="shared" si="17"/>
        <v>8.577500636712429E-2</v>
      </c>
      <c r="Q115" s="5">
        <f>_xll.SNL.Clients.Office.Excel.Functions.SPG(K115, "SP_MARKETCAP", "12/31/2022")</f>
        <v>18547.1687709</v>
      </c>
      <c r="R115">
        <f t="shared" si="21"/>
        <v>5.5044658910018498E-4</v>
      </c>
      <c r="S115">
        <f t="shared" si="22"/>
        <v>1.1977717778820026E-3</v>
      </c>
      <c r="U115" t="s">
        <v>115</v>
      </c>
      <c r="V115" s="4" cm="1">
        <f t="array" ref="V115">_xll.SNL.Clients.Office.Excel.Functions.SPG(U115, "SP_TOTAL_REV", "CY2021")</f>
        <v>11222800</v>
      </c>
      <c r="W115" s="4">
        <f>_xll.SNL.Clients.Office.Excel.Functions.SPG(U115,"IQ_AVG_DILUT_SHARES_OUT","CY2021")</f>
        <v>483700000</v>
      </c>
      <c r="X115" s="5">
        <f>_xll.SNL.Clients.Office.Excel.Functions.SPG(U115, "IQ_DILUT_EPS_NORM", "CY2021")</f>
        <v>1.833</v>
      </c>
      <c r="Y115">
        <f t="shared" si="23"/>
        <v>886622.1</v>
      </c>
      <c r="Z115">
        <f t="shared" si="24"/>
        <v>7.900186228035784E-2</v>
      </c>
      <c r="AA115" s="5">
        <f>_xll.SNL.Clients.Office.Excel.Functions.SPG(U115, "SP_MARKETCAP", "12/31/2021")</f>
        <v>16381.40602115</v>
      </c>
      <c r="AB115">
        <f t="shared" si="18"/>
        <v>3.8606888499039818E-4</v>
      </c>
      <c r="AC115">
        <f t="shared" si="25"/>
        <v>7.0766426618739981E-4</v>
      </c>
    </row>
    <row r="116" spans="1:29" x14ac:dyDescent="0.3">
      <c r="A116" t="s">
        <v>116</v>
      </c>
      <c r="B116" s="4" cm="1">
        <f t="array" ref="B116">_xll.SNL.Clients.Office.Excel.Functions.SPG(A116, "SP_TOTAL_REV", "CY2023")</f>
        <v>57861000</v>
      </c>
      <c r="C116" s="4">
        <f>_xll.SNL.Clients.Office.Excel.Functions.SPG(A116,"IQ_AVG_DILUT_SHARES_OUT","CY2023")</f>
        <v>1205675000</v>
      </c>
      <c r="D116" s="5">
        <f>_xll.SNL.Clients.Office.Excel.Functions.SPG(A116, "IQ_DILUT_EPS_NORM", "CY2023")</f>
        <v>8.3360000000000003</v>
      </c>
      <c r="E116">
        <f t="shared" si="14"/>
        <v>10050506.800000001</v>
      </c>
      <c r="F116">
        <f t="shared" si="15"/>
        <v>0.17370088315099982</v>
      </c>
      <c r="G116" s="5">
        <f>_xll.SNL.Clients.Office.Excel.Functions.SPG(A116, "SP_MARKETCAP", "12/30/2023")</f>
        <v>137822.43982793999</v>
      </c>
      <c r="H116">
        <f t="shared" si="19"/>
        <v>3.2801742100950588E-3</v>
      </c>
      <c r="I116">
        <f t="shared" si="20"/>
        <v>2.734353221535241E-2</v>
      </c>
      <c r="K116" t="s">
        <v>116</v>
      </c>
      <c r="L116" s="4" cm="1">
        <f t="array" ref="L116">_xll.SNL.Clients.Office.Excel.Functions.SPG(K116, "SP_TOTAL_REV", "CY2023")</f>
        <v>57861000</v>
      </c>
      <c r="M116" s="4">
        <f>_xll.SNL.Clients.Office.Excel.Functions.SPG(K116,"IQ_AVG_DILUT_SHARES_OUT","CY2023")</f>
        <v>1205675000</v>
      </c>
      <c r="N116" s="5">
        <f>_xll.SNL.Clients.Office.Excel.Functions.SPG(K116, "IQ_DILUT_EPS_NORM", "CY2023")</f>
        <v>8.3360000000000003</v>
      </c>
      <c r="O116">
        <f t="shared" si="16"/>
        <v>10050506.800000001</v>
      </c>
      <c r="P116">
        <f t="shared" si="17"/>
        <v>0.17370088315099982</v>
      </c>
      <c r="Q116" s="5">
        <f>_xll.SNL.Clients.Office.Excel.Functions.SPG(K116, "SP_MARKETCAP", "12/31/2022")</f>
        <v>147036.38578800001</v>
      </c>
      <c r="R116">
        <f t="shared" si="21"/>
        <v>4.3637753034096172E-3</v>
      </c>
      <c r="S116">
        <f t="shared" si="22"/>
        <v>3.6376430929222568E-2</v>
      </c>
      <c r="U116" t="s">
        <v>116</v>
      </c>
      <c r="V116" s="4" cm="1">
        <f t="array" ref="V116">_xll.SNL.Clients.Office.Excel.Functions.SPG(U116, "SP_TOTAL_REV", "CY2021")</f>
        <v>46660000</v>
      </c>
      <c r="W116" s="4">
        <f>_xll.SNL.Clients.Office.Excel.Functions.SPG(U116,"IQ_AVG_DILUT_SHARES_OUT","CY2021")</f>
        <v>1328151000</v>
      </c>
      <c r="X116" s="5">
        <f>_xll.SNL.Clients.Office.Excel.Functions.SPG(U116, "IQ_DILUT_EPS_NORM", "CY2021")</f>
        <v>5.81</v>
      </c>
      <c r="Y116">
        <f t="shared" si="23"/>
        <v>7716557.3099999987</v>
      </c>
      <c r="Z116">
        <f t="shared" si="24"/>
        <v>0.16537842498928415</v>
      </c>
      <c r="AA116" s="5">
        <f>_xll.SNL.Clients.Office.Excel.Functions.SPG(U116, "SP_MARKETCAP", "12/31/2021")</f>
        <v>95201.58486006</v>
      </c>
      <c r="AB116">
        <f t="shared" si="18"/>
        <v>2.2436639241337798E-3</v>
      </c>
      <c r="AC116">
        <f t="shared" si="25"/>
        <v>1.3035687399217261E-2</v>
      </c>
    </row>
    <row r="117" spans="1:29" x14ac:dyDescent="0.3">
      <c r="A117" t="s">
        <v>117</v>
      </c>
      <c r="B117" s="4" cm="1">
        <f t="array" ref="B117">_xll.SNL.Clients.Office.Excel.Functions.SPG(A117, "SP_TOTAL_REV", "CY2023")</f>
        <v>14663000</v>
      </c>
      <c r="C117" s="4">
        <f>_xll.SNL.Clients.Office.Excel.Functions.SPG(A117,"IQ_AVG_DILUT_SHARES_OUT","CY2023")</f>
        <v>349300000</v>
      </c>
      <c r="D117" s="5">
        <f>_xll.SNL.Clients.Office.Excel.Functions.SPG(A117, "IQ_DILUT_EPS_NORM", "CY2023")</f>
        <v>3.8340000000000001</v>
      </c>
      <c r="E117">
        <f t="shared" si="14"/>
        <v>1339216.2</v>
      </c>
      <c r="F117">
        <f t="shared" si="15"/>
        <v>9.1333028711723385E-2</v>
      </c>
      <c r="G117" s="5">
        <f>_xll.SNL.Clients.Office.Excel.Functions.SPG(A117, "SP_MARKETCAP", "12/30/2023")</f>
        <v>31404.643295630001</v>
      </c>
      <c r="H117">
        <f t="shared" si="19"/>
        <v>7.4743054283586273E-4</v>
      </c>
      <c r="I117">
        <f t="shared" si="20"/>
        <v>2.8656487012326979E-3</v>
      </c>
      <c r="K117" t="s">
        <v>117</v>
      </c>
      <c r="L117" s="4" cm="1">
        <f t="array" ref="L117">_xll.SNL.Clients.Office.Excel.Functions.SPG(K117, "SP_TOTAL_REV", "CY2023")</f>
        <v>14663000</v>
      </c>
      <c r="M117" s="4">
        <f>_xll.SNL.Clients.Office.Excel.Functions.SPG(K117,"IQ_AVG_DILUT_SHARES_OUT","CY2023")</f>
        <v>349300000</v>
      </c>
      <c r="N117" s="5">
        <f>_xll.SNL.Clients.Office.Excel.Functions.SPG(K117, "IQ_DILUT_EPS_NORM", "CY2023")</f>
        <v>3.8340000000000001</v>
      </c>
      <c r="O117">
        <f t="shared" si="16"/>
        <v>1339216.2</v>
      </c>
      <c r="P117">
        <f t="shared" si="17"/>
        <v>9.1333028711723385E-2</v>
      </c>
      <c r="Q117" s="5">
        <f>_xll.SNL.Clients.Office.Excel.Functions.SPG(K117, "SP_MARKETCAP", "12/31/2022")</f>
        <v>33821.97804288</v>
      </c>
      <c r="R117">
        <f t="shared" si="21"/>
        <v>1.0037754376578765E-3</v>
      </c>
      <c r="S117">
        <f t="shared" si="22"/>
        <v>3.8484750279802983E-3</v>
      </c>
      <c r="U117" t="s">
        <v>117</v>
      </c>
      <c r="V117" s="4" cm="1">
        <f t="array" ref="V117">_xll.SNL.Clients.Office.Excel.Functions.SPG(U117, "SP_TOTAL_REV", "CY2021")</f>
        <v>13676000</v>
      </c>
      <c r="W117" s="4">
        <f>_xll.SNL.Clients.Office.Excel.Functions.SPG(U117,"IQ_AVG_DILUT_SHARES_OUT","CY2021")</f>
        <v>349400000</v>
      </c>
      <c r="X117" s="5">
        <f>_xll.SNL.Clients.Office.Excel.Functions.SPG(U117, "IQ_DILUT_EPS_NORM", "CY2021")</f>
        <v>3.6629999999999998</v>
      </c>
      <c r="Y117">
        <f t="shared" si="23"/>
        <v>1279852.2</v>
      </c>
      <c r="Z117">
        <f t="shared" si="24"/>
        <v>9.3583811055864288E-2</v>
      </c>
      <c r="AA117" s="5">
        <f>_xll.SNL.Clients.Office.Excel.Functions.SPG(U117, "SP_MARKETCAP", "12/31/2021")</f>
        <v>30181.84215552</v>
      </c>
      <c r="AB117">
        <f t="shared" si="18"/>
        <v>7.1131074664125776E-4</v>
      </c>
      <c r="AC117">
        <f t="shared" si="25"/>
        <v>2.6055312649469272E-3</v>
      </c>
    </row>
    <row r="118" spans="1:29" x14ac:dyDescent="0.3">
      <c r="A118" t="s">
        <v>118</v>
      </c>
      <c r="B118" s="4" cm="1">
        <f t="array" ref="B118">_xll.SNL.Clients.Office.Excel.Functions.SPG(A118, "SP_TOTAL_REV", "CY2023")</f>
        <v>9820400</v>
      </c>
      <c r="C118" s="4">
        <f>_xll.SNL.Clients.Office.Excel.Functions.SPG(A118,"IQ_AVG_DILUT_SHARES_OUT","CY2023")</f>
        <v>166582112</v>
      </c>
      <c r="D118" s="5">
        <f>_xll.SNL.Clients.Office.Excel.Functions.SPG(A118, "IQ_DILUT_EPS_NORM", "CY2023")</f>
        <v>7.8440000000000003</v>
      </c>
      <c r="E118">
        <f t="shared" si="14"/>
        <v>1306670.0865280002</v>
      </c>
      <c r="F118">
        <f t="shared" si="15"/>
        <v>0.13305670711254125</v>
      </c>
      <c r="G118" s="5">
        <f>_xll.SNL.Clients.Office.Excel.Functions.SPG(A118, "SP_MARKETCAP", "12/30/2023")</f>
        <v>44400.45313175</v>
      </c>
      <c r="H118">
        <f t="shared" si="19"/>
        <v>1.0567308303431708E-3</v>
      </c>
      <c r="I118">
        <f t="shared" si="20"/>
        <v>8.2889966332118318E-3</v>
      </c>
      <c r="K118" t="s">
        <v>118</v>
      </c>
      <c r="L118" s="4" cm="1">
        <f t="array" ref="L118">_xll.SNL.Clients.Office.Excel.Functions.SPG(K118, "SP_TOTAL_REV", "CY2023")</f>
        <v>9820400</v>
      </c>
      <c r="M118" s="4">
        <f>_xll.SNL.Clients.Office.Excel.Functions.SPG(K118,"IQ_AVG_DILUT_SHARES_OUT","CY2023")</f>
        <v>166582112</v>
      </c>
      <c r="N118" s="5">
        <f>_xll.SNL.Clients.Office.Excel.Functions.SPG(K118, "IQ_DILUT_EPS_NORM", "CY2023")</f>
        <v>7.8440000000000003</v>
      </c>
      <c r="O118">
        <f t="shared" si="16"/>
        <v>1306670.0865280002</v>
      </c>
      <c r="P118">
        <f t="shared" si="17"/>
        <v>0.13305670711254125</v>
      </c>
      <c r="Q118" s="5">
        <f>_xll.SNL.Clients.Office.Excel.Functions.SPG(K118, "SP_MARKETCAP", "12/31/2022")</f>
        <v>42749.920181250003</v>
      </c>
      <c r="R118">
        <f t="shared" si="21"/>
        <v>1.2687406923796683E-3</v>
      </c>
      <c r="S118">
        <f t="shared" si="22"/>
        <v>9.9520019910261191E-3</v>
      </c>
      <c r="U118" t="s">
        <v>118</v>
      </c>
      <c r="V118" s="4" cm="1">
        <f t="array" ref="V118">_xll.SNL.Clients.Office.Excel.Functions.SPG(U118, "SP_TOTAL_REV", "CY2021")</f>
        <v>8671200</v>
      </c>
      <c r="W118" s="4">
        <f>_xll.SNL.Clients.Office.Excel.Functions.SPG(U118,"IQ_AVG_DILUT_SHARES_OUT","CY2021")</f>
        <v>191685250</v>
      </c>
      <c r="X118" s="5">
        <f>_xll.SNL.Clients.Office.Excel.Functions.SPG(U118, "IQ_DILUT_EPS_NORM", "CY2021")</f>
        <v>3.1269999999999998</v>
      </c>
      <c r="Y118">
        <f t="shared" si="23"/>
        <v>599399.77674999996</v>
      </c>
      <c r="Z118">
        <f t="shared" si="24"/>
        <v>6.912535482401512E-2</v>
      </c>
      <c r="AA118" s="5">
        <f>_xll.SNL.Clients.Office.Excel.Functions.SPG(U118, "SP_MARKETCAP", "12/31/2021")</f>
        <v>47030.765367829998</v>
      </c>
      <c r="AB118">
        <f t="shared" si="18"/>
        <v>1.1083978458479415E-3</v>
      </c>
      <c r="AC118">
        <f t="shared" si="25"/>
        <v>3.4659600639665128E-3</v>
      </c>
    </row>
    <row r="119" spans="1:29" x14ac:dyDescent="0.3">
      <c r="A119" t="s">
        <v>119</v>
      </c>
      <c r="B119" s="4" cm="1">
        <f t="array" ref="B119">_xll.SNL.Clients.Office.Excel.Functions.SPG(A119, "SP_TOTAL_REV", "CY2023")</f>
        <v>24918000</v>
      </c>
      <c r="C119" s="4">
        <f>_xll.SNL.Clients.Office.Excel.Functions.SPG(A119,"IQ_AVG_DILUT_SHARES_OUT","CY2023")</f>
        <v>324000000</v>
      </c>
      <c r="D119" s="5">
        <f>_xll.SNL.Clients.Office.Excel.Functions.SPG(A119, "IQ_DILUT_EPS_NORM", "CY2023")</f>
        <v>4.3920000000000003</v>
      </c>
      <c r="E119">
        <f t="shared" si="14"/>
        <v>1423008</v>
      </c>
      <c r="F119">
        <f t="shared" si="15"/>
        <v>5.7107633036359261E-2</v>
      </c>
      <c r="G119" s="5">
        <f>_xll.SNL.Clients.Office.Excel.Functions.SPG(A119, "SP_MARKETCAP", "12/30/2023")</f>
        <v>37332.525042759997</v>
      </c>
      <c r="H119">
        <f t="shared" si="19"/>
        <v>8.8851413453329528E-4</v>
      </c>
      <c r="I119">
        <f t="shared" si="20"/>
        <v>3.9023540788702331E-3</v>
      </c>
      <c r="K119" t="s">
        <v>119</v>
      </c>
      <c r="L119" s="4" cm="1">
        <f t="array" ref="L119">_xll.SNL.Clients.Office.Excel.Functions.SPG(K119, "SP_TOTAL_REV", "CY2023")</f>
        <v>24918000</v>
      </c>
      <c r="M119" s="4">
        <f>_xll.SNL.Clients.Office.Excel.Functions.SPG(K119,"IQ_AVG_DILUT_SHARES_OUT","CY2023")</f>
        <v>324000000</v>
      </c>
      <c r="N119" s="5">
        <f>_xll.SNL.Clients.Office.Excel.Functions.SPG(K119, "IQ_DILUT_EPS_NORM", "CY2023")</f>
        <v>4.3920000000000003</v>
      </c>
      <c r="O119">
        <f t="shared" si="16"/>
        <v>1423008</v>
      </c>
      <c r="P119">
        <f t="shared" si="17"/>
        <v>5.7107633036359261E-2</v>
      </c>
      <c r="Q119" s="5">
        <f>_xll.SNL.Clients.Office.Excel.Functions.SPG(K119, "SP_MARKETCAP", "12/31/2022")</f>
        <v>28192.212727949998</v>
      </c>
      <c r="R119">
        <f t="shared" si="21"/>
        <v>8.3669413520594575E-4</v>
      </c>
      <c r="S119">
        <f t="shared" si="22"/>
        <v>3.6747606418245141E-3</v>
      </c>
      <c r="U119" t="s">
        <v>119</v>
      </c>
      <c r="V119" s="4" cm="1">
        <f t="array" ref="V119">_xll.SNL.Clients.Office.Excel.Functions.SPG(U119, "SP_TOTAL_REV", "CY2021")</f>
        <v>19649000</v>
      </c>
      <c r="W119" s="4" t="str">
        <f>_xll.SNL.Clients.Office.Excel.Functions.SPG(U119,"IQ_AVG_DILUT_SHARES_OUT","CY2021")</f>
        <v>NA</v>
      </c>
      <c r="X119" s="5" t="str">
        <f>_xll.SNL.Clients.Office.Excel.Functions.SPG(U119, "IQ_DILUT_EPS_NORM", "CY2021")</f>
        <v>NA</v>
      </c>
      <c r="Y119" t="e">
        <f t="shared" si="23"/>
        <v>#VALUE!</v>
      </c>
      <c r="Z119" t="e">
        <f t="shared" si="24"/>
        <v>#VALUE!</v>
      </c>
      <c r="AA119" s="5" t="str">
        <f>_xll.SNL.Clients.Office.Excel.Functions.SPG(U119, "SP_MARKETCAP", "12/31/2021")</f>
        <v>NA</v>
      </c>
      <c r="AB119" t="e">
        <f t="shared" si="18"/>
        <v>#VALUE!</v>
      </c>
      <c r="AC119" t="e">
        <f t="shared" si="25"/>
        <v>#VALUE!</v>
      </c>
    </row>
    <row r="120" spans="1:29" x14ac:dyDescent="0.3">
      <c r="A120" t="s">
        <v>120</v>
      </c>
      <c r="B120" s="4" cm="1">
        <f t="array" ref="B120">_xll.SNL.Clients.Office.Excel.Functions.SPG(A120, "SP_TOTAL_REV", "CY2023")</f>
        <v>4059987</v>
      </c>
      <c r="C120" s="4">
        <f>_xll.SNL.Clients.Office.Excel.Functions.SPG(A120,"IQ_AVG_DILUT_SHARES_OUT","CY2023")</f>
        <v>970976500</v>
      </c>
      <c r="D120" s="5">
        <f>_xll.SNL.Clients.Office.Excel.Functions.SPG(A120, "IQ_DILUT_EPS_NORM", "CY2023")</f>
        <v>1.093</v>
      </c>
      <c r="E120">
        <f t="shared" si="14"/>
        <v>1061277.3145000001</v>
      </c>
      <c r="F120">
        <f t="shared" si="15"/>
        <v>0.2613991903176045</v>
      </c>
      <c r="G120" s="5">
        <f>_xll.SNL.Clients.Office.Excel.Functions.SPG(A120, "SP_MARKETCAP", "12/30/2023")</f>
        <v>47051.340658000001</v>
      </c>
      <c r="H120">
        <f t="shared" si="19"/>
        <v>1.1198219562028162E-3</v>
      </c>
      <c r="I120">
        <f t="shared" si="20"/>
        <v>1.2239653981296781E-3</v>
      </c>
      <c r="K120" t="s">
        <v>120</v>
      </c>
      <c r="L120" s="4" cm="1">
        <f t="array" ref="L120">_xll.SNL.Clients.Office.Excel.Functions.SPG(K120, "SP_TOTAL_REV", "CY2023")</f>
        <v>4059987</v>
      </c>
      <c r="M120" s="4">
        <f>_xll.SNL.Clients.Office.Excel.Functions.SPG(K120,"IQ_AVG_DILUT_SHARES_OUT","CY2023")</f>
        <v>970976500</v>
      </c>
      <c r="N120" s="5">
        <f>_xll.SNL.Clients.Office.Excel.Functions.SPG(K120, "IQ_DILUT_EPS_NORM", "CY2023")</f>
        <v>1.093</v>
      </c>
      <c r="O120">
        <f t="shared" si="16"/>
        <v>1061277.3145000001</v>
      </c>
      <c r="P120">
        <f t="shared" si="17"/>
        <v>0.2613991903176045</v>
      </c>
      <c r="Q120" s="5">
        <f>_xll.SNL.Clients.Office.Excel.Functions.SPG(K120, "SP_MARKETCAP", "12/31/2022")</f>
        <v>29001.907669790002</v>
      </c>
      <c r="R120">
        <f t="shared" si="21"/>
        <v>8.6072442384206279E-4</v>
      </c>
      <c r="S120">
        <f t="shared" si="22"/>
        <v>9.407717952593746E-4</v>
      </c>
      <c r="U120" t="s">
        <v>120</v>
      </c>
      <c r="V120" s="4" cm="1">
        <f t="array" ref="V120">_xll.SNL.Clients.Office.Excel.Functions.SPG(U120, "SP_TOTAL_REV", "CY2021")</f>
        <v>3160132</v>
      </c>
      <c r="W120" s="4">
        <f>_xll.SNL.Clients.Office.Excel.Functions.SPG(U120,"IQ_AVG_DILUT_SHARES_OUT","CY2021")</f>
        <v>963400000</v>
      </c>
      <c r="X120" s="5">
        <f>_xll.SNL.Clients.Office.Excel.Functions.SPG(U120, "IQ_DILUT_EPS_NORM", "CY2021")</f>
        <v>0.83599999999999997</v>
      </c>
      <c r="Y120">
        <f t="shared" si="23"/>
        <v>805402.4</v>
      </c>
      <c r="Z120">
        <f t="shared" si="24"/>
        <v>0.25486353101705878</v>
      </c>
      <c r="AA120" s="5">
        <f>_xll.SNL.Clients.Office.Excel.Functions.SPG(U120, "SP_MARKETCAP", "12/31/2021")</f>
        <v>35962.514456819998</v>
      </c>
      <c r="AB120">
        <f t="shared" si="18"/>
        <v>8.4754677589151729E-4</v>
      </c>
      <c r="AC120">
        <f t="shared" si="25"/>
        <v>7.0854910464530842E-4</v>
      </c>
    </row>
    <row r="121" spans="1:29" x14ac:dyDescent="0.3">
      <c r="A121" t="s">
        <v>121</v>
      </c>
      <c r="B121" s="4" cm="1">
        <f t="array" ref="B121">_xll.SNL.Clients.Office.Excel.Functions.SPG(A121, "SP_TOTAL_REV", "CY2023")</f>
        <v>12588000</v>
      </c>
      <c r="C121" s="4">
        <f>_xll.SNL.Clients.Office.Excel.Functions.SPG(A121,"IQ_AVG_DILUT_SHARES_OUT","CY2023")</f>
        <v>859000000</v>
      </c>
      <c r="D121" s="5">
        <f>_xll.SNL.Clients.Office.Excel.Functions.SPG(A121, "IQ_DILUT_EPS_NORM", "CY2023")</f>
        <v>0.85899999999999999</v>
      </c>
      <c r="E121">
        <f t="shared" si="14"/>
        <v>737881</v>
      </c>
      <c r="F121">
        <f t="shared" si="15"/>
        <v>5.8617810613282494E-2</v>
      </c>
      <c r="G121" s="5">
        <f>_xll.SNL.Clients.Office.Excel.Functions.SPG(A121, "SP_MARKETCAP", "12/30/2023")</f>
        <v>25979.395797599998</v>
      </c>
      <c r="H121">
        <f t="shared" si="19"/>
        <v>6.1830964678557295E-4</v>
      </c>
      <c r="I121">
        <f t="shared" si="20"/>
        <v>5.3112798658880712E-4</v>
      </c>
      <c r="K121" t="s">
        <v>121</v>
      </c>
      <c r="L121" s="4" cm="1">
        <f t="array" ref="L121">_xll.SNL.Clients.Office.Excel.Functions.SPG(K121, "SP_TOTAL_REV", "CY2023")</f>
        <v>12588000</v>
      </c>
      <c r="M121" s="4">
        <f>_xll.SNL.Clients.Office.Excel.Functions.SPG(K121,"IQ_AVG_DILUT_SHARES_OUT","CY2023")</f>
        <v>859000000</v>
      </c>
      <c r="N121" s="5">
        <f>_xll.SNL.Clients.Office.Excel.Functions.SPG(K121, "IQ_DILUT_EPS_NORM", "CY2023")</f>
        <v>0.85899999999999999</v>
      </c>
      <c r="O121">
        <f t="shared" si="16"/>
        <v>737881</v>
      </c>
      <c r="P121">
        <f t="shared" si="17"/>
        <v>5.8617810613282494E-2</v>
      </c>
      <c r="Q121" s="5">
        <f>_xll.SNL.Clients.Office.Excel.Functions.SPG(K121, "SP_MARKETCAP", "12/31/2022")</f>
        <v>27015.215349440001</v>
      </c>
      <c r="R121">
        <f t="shared" si="21"/>
        <v>8.0176297129713476E-4</v>
      </c>
      <c r="S121">
        <f t="shared" si="22"/>
        <v>6.887143923442388E-4</v>
      </c>
      <c r="U121" t="s">
        <v>121</v>
      </c>
      <c r="V121" s="4" cm="1">
        <f t="array" ref="V121">_xll.SNL.Clients.Office.Excel.Functions.SPG(U121, "SP_TOTAL_REV", "CY2021")</f>
        <v>14082000</v>
      </c>
      <c r="W121" s="4">
        <f>_xll.SNL.Clients.Office.Excel.Functions.SPG(U121,"IQ_AVG_DILUT_SHARES_OUT","CY2021")</f>
        <v>844000000</v>
      </c>
      <c r="X121" s="5">
        <f>_xll.SNL.Clients.Office.Excel.Functions.SPG(U121, "IQ_DILUT_EPS_NORM", "CY2021")</f>
        <v>1.867</v>
      </c>
      <c r="Y121">
        <f t="shared" si="23"/>
        <v>1575748</v>
      </c>
      <c r="Z121">
        <f t="shared" si="24"/>
        <v>0.11189802584860105</v>
      </c>
      <c r="AA121" s="5">
        <f>_xll.SNL.Clients.Office.Excel.Functions.SPG(U121, "SP_MARKETCAP", "12/31/2021")</f>
        <v>31772.39692857</v>
      </c>
      <c r="AB121">
        <f t="shared" si="18"/>
        <v>7.4879615582742608E-4</v>
      </c>
      <c r="AC121">
        <f t="shared" si="25"/>
        <v>1.3980024229298044E-3</v>
      </c>
    </row>
    <row r="122" spans="1:29" x14ac:dyDescent="0.3">
      <c r="A122" t="s">
        <v>122</v>
      </c>
      <c r="B122" s="4" cm="1">
        <f t="array" ref="B122">_xll.SNL.Clients.Office.Excel.Functions.SPG(A122, "SP_TOTAL_REV", "CY2023")</f>
        <v>3757719</v>
      </c>
      <c r="C122" s="4">
        <f>_xll.SNL.Clients.Office.Excel.Functions.SPG(A122,"IQ_AVG_DILUT_SHARES_OUT","CY2023")</f>
        <v>74387000</v>
      </c>
      <c r="D122" s="5">
        <f>_xll.SNL.Clients.Office.Excel.Functions.SPG(A122, "IQ_DILUT_EPS_NORM", "CY2023")</f>
        <v>11.016999999999999</v>
      </c>
      <c r="E122">
        <f t="shared" si="14"/>
        <v>819521.57900000003</v>
      </c>
      <c r="F122">
        <f t="shared" si="15"/>
        <v>0.21809017092550029</v>
      </c>
      <c r="G122" s="5">
        <f>_xll.SNL.Clients.Office.Excel.Functions.SPG(A122, "SP_MARKETCAP", "12/30/2023")</f>
        <v>20405.608331470001</v>
      </c>
      <c r="H122">
        <f t="shared" si="19"/>
        <v>4.8565349934125607E-4</v>
      </c>
      <c r="I122">
        <f t="shared" si="20"/>
        <v>5.350444602242618E-3</v>
      </c>
      <c r="K122" t="s">
        <v>122</v>
      </c>
      <c r="L122" s="4" cm="1">
        <f t="array" ref="L122">_xll.SNL.Clients.Office.Excel.Functions.SPG(K122, "SP_TOTAL_REV", "CY2023")</f>
        <v>3757719</v>
      </c>
      <c r="M122" s="4">
        <f>_xll.SNL.Clients.Office.Excel.Functions.SPG(K122,"IQ_AVG_DILUT_SHARES_OUT","CY2023")</f>
        <v>74387000</v>
      </c>
      <c r="N122" s="5">
        <f>_xll.SNL.Clients.Office.Excel.Functions.SPG(K122, "IQ_DILUT_EPS_NORM", "CY2023")</f>
        <v>11.016999999999999</v>
      </c>
      <c r="O122">
        <f t="shared" si="16"/>
        <v>819521.57900000003</v>
      </c>
      <c r="P122">
        <f t="shared" si="17"/>
        <v>0.21809017092550029</v>
      </c>
      <c r="Q122" s="5">
        <f>_xll.SNL.Clients.Office.Excel.Functions.SPG(K122, "SP_MARKETCAP", "12/31/2022")</f>
        <v>13546.83385216</v>
      </c>
      <c r="R122">
        <f t="shared" si="21"/>
        <v>4.0204564799819586E-4</v>
      </c>
      <c r="S122">
        <f t="shared" si="22"/>
        <v>4.4293369039961235E-3</v>
      </c>
      <c r="U122" t="s">
        <v>122</v>
      </c>
      <c r="V122" s="4" cm="1">
        <f t="array" ref="V122">_xll.SNL.Clients.Office.Excel.Functions.SPG(U122, "SP_TOTAL_REV", "CY2021")</f>
        <v>2833736</v>
      </c>
      <c r="W122" s="4">
        <f>_xll.SNL.Clients.Office.Excel.Functions.SPG(U122,"IQ_AVG_DILUT_SHARES_OUT","CY2021")</f>
        <v>84061000</v>
      </c>
      <c r="X122" s="5">
        <f>_xll.SNL.Clients.Office.Excel.Functions.SPG(U122, "IQ_DILUT_EPS_NORM", "CY2021")</f>
        <v>8.3640000000000008</v>
      </c>
      <c r="Y122">
        <f t="shared" si="23"/>
        <v>703086.20400000014</v>
      </c>
      <c r="Z122">
        <f t="shared" si="24"/>
        <v>0.24811281079112527</v>
      </c>
      <c r="AA122" s="5">
        <f>_xll.SNL.Clients.Office.Excel.Functions.SPG(U122, "SP_MARKETCAP", "12/31/2021")</f>
        <v>18175.493952479999</v>
      </c>
      <c r="AB122">
        <f t="shared" si="18"/>
        <v>4.2835106310923821E-4</v>
      </c>
      <c r="AC122">
        <f t="shared" si="25"/>
        <v>3.5827282918456686E-3</v>
      </c>
    </row>
    <row r="123" spans="1:29" x14ac:dyDescent="0.3">
      <c r="A123" t="s">
        <v>123</v>
      </c>
      <c r="B123" s="4" cm="1">
        <f t="array" ref="B123">_xll.SNL.Clients.Office.Excel.Functions.SPG(A123, "SP_TOTAL_REV", "CY2023")</f>
        <v>17226000</v>
      </c>
      <c r="C123" s="4">
        <f>_xll.SNL.Clients.Office.Excel.Functions.SPG(A123,"IQ_AVG_DILUT_SHARES_OUT","CY2023")</f>
        <v>711900000</v>
      </c>
      <c r="D123" s="5">
        <f>_xll.SNL.Clients.Office.Excel.Functions.SPG(A123, "IQ_DILUT_EPS_NORM", "CY2023")</f>
        <v>1.4119999999999999</v>
      </c>
      <c r="E123">
        <f t="shared" si="14"/>
        <v>1005202.8</v>
      </c>
      <c r="F123">
        <f t="shared" si="15"/>
        <v>5.8353814002089867E-2</v>
      </c>
      <c r="G123" s="5">
        <f>_xll.SNL.Clients.Office.Excel.Functions.SPG(A123, "SP_MARKETCAP", "12/30/2023")</f>
        <v>33770.613680000002</v>
      </c>
      <c r="H123">
        <f t="shared" si="19"/>
        <v>8.0374064042481772E-4</v>
      </c>
      <c r="I123">
        <f t="shared" si="20"/>
        <v>1.1348817842798426E-3</v>
      </c>
      <c r="K123" t="s">
        <v>123</v>
      </c>
      <c r="L123" s="4" cm="1">
        <f t="array" ref="L123">_xll.SNL.Clients.Office.Excel.Functions.SPG(K123, "SP_TOTAL_REV", "CY2023")</f>
        <v>17226000</v>
      </c>
      <c r="M123" s="4">
        <f>_xll.SNL.Clients.Office.Excel.Functions.SPG(K123,"IQ_AVG_DILUT_SHARES_OUT","CY2023")</f>
        <v>711900000</v>
      </c>
      <c r="N123" s="5">
        <f>_xll.SNL.Clients.Office.Excel.Functions.SPG(K123, "IQ_DILUT_EPS_NORM", "CY2023")</f>
        <v>1.4119999999999999</v>
      </c>
      <c r="O123">
        <f t="shared" si="16"/>
        <v>1005202.8</v>
      </c>
      <c r="P123">
        <f t="shared" si="17"/>
        <v>5.8353814002089867E-2</v>
      </c>
      <c r="Q123" s="5">
        <f>_xll.SNL.Clients.Office.Excel.Functions.SPG(K123, "SP_MARKETCAP", "12/31/2022")</f>
        <v>41997.839760000003</v>
      </c>
      <c r="R123">
        <f t="shared" si="21"/>
        <v>1.246420299023696E-3</v>
      </c>
      <c r="S123">
        <f t="shared" si="22"/>
        <v>1.7599454622214588E-3</v>
      </c>
      <c r="U123" t="s">
        <v>123</v>
      </c>
      <c r="V123" s="4" cm="1">
        <f t="array" ref="V123">_xll.SNL.Clients.Office.Excel.Functions.SPG(U123, "SP_TOTAL_REV", "CY2021")</f>
        <v>15655000</v>
      </c>
      <c r="W123" s="4">
        <f>_xll.SNL.Clients.Office.Excel.Functions.SPG(U123,"IQ_AVG_DILUT_SHARES_OUT","CY2021")</f>
        <v>741600000</v>
      </c>
      <c r="X123" s="5">
        <f>_xll.SNL.Clients.Office.Excel.Functions.SPG(U123, "IQ_DILUT_EPS_NORM", "CY2021")</f>
        <v>2.1509999999999998</v>
      </c>
      <c r="Y123">
        <f t="shared" si="23"/>
        <v>1595181.5999999999</v>
      </c>
      <c r="Z123">
        <f t="shared" si="24"/>
        <v>0.10189598211434046</v>
      </c>
      <c r="AA123" s="5">
        <f>_xll.SNL.Clients.Office.Excel.Functions.SPG(U123, "SP_MARKETCAP", "12/31/2021")</f>
        <v>34462.817519999997</v>
      </c>
      <c r="AB123">
        <f t="shared" si="18"/>
        <v>8.1220265930750208E-4</v>
      </c>
      <c r="AC123">
        <f t="shared" si="25"/>
        <v>1.7470479201704369E-3</v>
      </c>
    </row>
    <row r="124" spans="1:29" x14ac:dyDescent="0.3">
      <c r="A124" t="s">
        <v>124</v>
      </c>
      <c r="B124" s="4" cm="1">
        <f t="array" ref="B124">_xll.SNL.Clients.Office.Excel.Functions.SPG(A124, "SP_TOTAL_REV", "CY2023")</f>
        <v>2455000</v>
      </c>
      <c r="C124" s="4">
        <f>_xll.SNL.Clients.Office.Excel.Functions.SPG(A124,"IQ_AVG_DILUT_SHARES_OUT","CY2023")</f>
        <v>406900000</v>
      </c>
      <c r="D124" s="5">
        <f>_xll.SNL.Clients.Office.Excel.Functions.SPG(A124, "IQ_DILUT_EPS_NORM", "CY2023")</f>
        <v>0.77</v>
      </c>
      <c r="E124">
        <f t="shared" si="14"/>
        <v>313313</v>
      </c>
      <c r="F124">
        <f t="shared" si="15"/>
        <v>0.12762240325865581</v>
      </c>
      <c r="G124" s="5">
        <f>_xll.SNL.Clients.Office.Excel.Functions.SPG(A124, "SP_MARKETCAP", "12/30/2023")</f>
        <v>35686.874729520001</v>
      </c>
      <c r="H124">
        <f t="shared" si="19"/>
        <v>8.4934765538038177E-4</v>
      </c>
      <c r="I124">
        <f t="shared" si="20"/>
        <v>6.5399769464289401E-4</v>
      </c>
      <c r="K124" t="s">
        <v>124</v>
      </c>
      <c r="L124" s="4" cm="1">
        <f t="array" ref="L124">_xll.SNL.Clients.Office.Excel.Functions.SPG(K124, "SP_TOTAL_REV", "CY2023")</f>
        <v>2455000</v>
      </c>
      <c r="M124" s="4">
        <f>_xll.SNL.Clients.Office.Excel.Functions.SPG(K124,"IQ_AVG_DILUT_SHARES_OUT","CY2023")</f>
        <v>406900000</v>
      </c>
      <c r="N124" s="5">
        <f>_xll.SNL.Clients.Office.Excel.Functions.SPG(K124, "IQ_DILUT_EPS_NORM", "CY2023")</f>
        <v>0.77</v>
      </c>
      <c r="O124">
        <f t="shared" si="16"/>
        <v>313313</v>
      </c>
      <c r="P124">
        <f t="shared" si="17"/>
        <v>0.12762240325865581</v>
      </c>
      <c r="Q124" s="5">
        <f>_xll.SNL.Clients.Office.Excel.Functions.SPG(K124, "SP_MARKETCAP", "12/31/2022")</f>
        <v>31429.007836799999</v>
      </c>
      <c r="R124">
        <f t="shared" si="21"/>
        <v>9.3275638865769931E-4</v>
      </c>
      <c r="S124">
        <f t="shared" si="22"/>
        <v>7.1822241926642846E-4</v>
      </c>
      <c r="U124" t="s">
        <v>124</v>
      </c>
      <c r="V124" s="4" cm="1">
        <f t="array" ref="V124">_xll.SNL.Clients.Office.Excel.Functions.SPG(U124, "SP_TOTAL_REV", "CY2021")</f>
        <v>1944100</v>
      </c>
      <c r="W124" s="4">
        <f>_xll.SNL.Clients.Office.Excel.Functions.SPG(U124,"IQ_AVG_DILUT_SHARES_OUT","CY2021")</f>
        <v>394200000</v>
      </c>
      <c r="X124" s="5">
        <f>_xll.SNL.Clients.Office.Excel.Functions.SPG(U124, "IQ_DILUT_EPS_NORM", "CY2021")</f>
        <v>0.64100000000000001</v>
      </c>
      <c r="Y124">
        <f t="shared" si="23"/>
        <v>252682.2</v>
      </c>
      <c r="Z124">
        <f t="shared" si="24"/>
        <v>0.12997386965691066</v>
      </c>
      <c r="AA124" s="5">
        <f>_xll.SNL.Clients.Office.Excel.Functions.SPG(U124, "SP_MARKETCAP", "12/31/2021")</f>
        <v>31211.773824069998</v>
      </c>
      <c r="AB124">
        <f t="shared" si="18"/>
        <v>7.3558366743816772E-4</v>
      </c>
      <c r="AC124">
        <f t="shared" si="25"/>
        <v>4.7150913082786552E-4</v>
      </c>
    </row>
    <row r="125" spans="1:29" x14ac:dyDescent="0.3">
      <c r="A125" t="s">
        <v>125</v>
      </c>
      <c r="B125" s="4" cm="1">
        <f t="array" ref="B125">_xll.SNL.Clients.Office.Excel.Functions.SPG(A125, "SP_TOTAL_REV", "CY2023")</f>
        <v>245652000</v>
      </c>
      <c r="C125" s="4">
        <f>_xll.SNL.Clients.Office.Excel.Functions.SPG(A125,"IQ_AVG_DILUT_SHARES_OUT","CY2023")</f>
        <v>444420000</v>
      </c>
      <c r="D125" s="5">
        <f>_xll.SNL.Clients.Office.Excel.Functions.SPG(A125, "IQ_DILUT_EPS_NORM", "CY2023")</f>
        <v>12.958</v>
      </c>
      <c r="E125">
        <f t="shared" si="14"/>
        <v>5758794.3600000003</v>
      </c>
      <c r="F125">
        <f t="shared" si="15"/>
        <v>2.3442896292315961E-2</v>
      </c>
      <c r="G125" s="5">
        <f>_xll.SNL.Clients.Office.Excel.Functions.SPG(A125, "SP_MARKETCAP", "12/30/2023")</f>
        <v>292896.25283328001</v>
      </c>
      <c r="H125">
        <f t="shared" si="19"/>
        <v>6.9709311196103144E-3</v>
      </c>
      <c r="I125">
        <f t="shared" si="20"/>
        <v>9.0329325447910461E-2</v>
      </c>
      <c r="K125" t="s">
        <v>125</v>
      </c>
      <c r="L125" s="4" cm="1">
        <f t="array" ref="L125">_xll.SNL.Clients.Office.Excel.Functions.SPG(K125, "SP_TOTAL_REV", "CY2023")</f>
        <v>245652000</v>
      </c>
      <c r="M125" s="4">
        <f>_xll.SNL.Clients.Office.Excel.Functions.SPG(K125,"IQ_AVG_DILUT_SHARES_OUT","CY2023")</f>
        <v>444420000</v>
      </c>
      <c r="N125" s="5">
        <f>_xll.SNL.Clients.Office.Excel.Functions.SPG(K125, "IQ_DILUT_EPS_NORM", "CY2023")</f>
        <v>12.958</v>
      </c>
      <c r="O125">
        <f t="shared" si="16"/>
        <v>5758794.3600000003</v>
      </c>
      <c r="P125">
        <f t="shared" si="17"/>
        <v>2.3442896292315961E-2</v>
      </c>
      <c r="Q125" s="5">
        <f>_xll.SNL.Clients.Office.Excel.Functions.SPG(K125, "SP_MARKETCAP", "12/31/2022")</f>
        <v>202562.30493400001</v>
      </c>
      <c r="R125">
        <f t="shared" si="21"/>
        <v>6.0116846516289815E-3</v>
      </c>
      <c r="S125">
        <f t="shared" si="22"/>
        <v>7.7899409715808346E-2</v>
      </c>
      <c r="U125" t="s">
        <v>125</v>
      </c>
      <c r="V125" s="4" cm="1">
        <f t="array" ref="V125">_xll.SNL.Clients.Office.Excel.Functions.SPG(U125, "SP_TOTAL_REV", "CY2021")</f>
        <v>203084000</v>
      </c>
      <c r="W125" s="4">
        <f>_xll.SNL.Clients.Office.Excel.Functions.SPG(U125,"IQ_AVG_DILUT_SHARES_OUT","CY2021")</f>
        <v>444400500</v>
      </c>
      <c r="X125" s="5">
        <f>_xll.SNL.Clients.Office.Excel.Functions.SPG(U125, "IQ_DILUT_EPS_NORM", "CY2021")</f>
        <v>10.497999999999999</v>
      </c>
      <c r="Y125">
        <f t="shared" si="23"/>
        <v>4665316.449</v>
      </c>
      <c r="Z125">
        <f t="shared" si="24"/>
        <v>2.2972348629138682E-2</v>
      </c>
      <c r="AA125" s="5">
        <f>_xll.SNL.Clients.Office.Excel.Functions.SPG(U125, "SP_MARKETCAP", "12/31/2021")</f>
        <v>251736.6223022</v>
      </c>
      <c r="AB125">
        <f t="shared" si="18"/>
        <v>5.9328043611140916E-3</v>
      </c>
      <c r="AC125">
        <f t="shared" si="25"/>
        <v>6.2282580182975729E-2</v>
      </c>
    </row>
    <row r="126" spans="1:29" x14ac:dyDescent="0.3">
      <c r="A126" t="s">
        <v>126</v>
      </c>
      <c r="B126" s="4" cm="1">
        <f t="array" ref="B126">_xll.SNL.Clients.Office.Excel.Functions.SPG(A126, "SP_TOTAL_REV", "CY2023")</f>
        <v>5684000</v>
      </c>
      <c r="C126" s="4">
        <f>_xll.SNL.Clients.Office.Excel.Functions.SPG(A126,"IQ_AVG_DILUT_SHARES_OUT","CY2023")</f>
        <v>760000000</v>
      </c>
      <c r="D126" s="5">
        <f>_xll.SNL.Clients.Office.Excel.Functions.SPG(A126, "IQ_DILUT_EPS_NORM", "CY2023")</f>
        <v>1.75</v>
      </c>
      <c r="E126">
        <f t="shared" si="14"/>
        <v>1330000</v>
      </c>
      <c r="F126">
        <f t="shared" si="15"/>
        <v>0.23399014778325122</v>
      </c>
      <c r="G126" s="5">
        <f>_xll.SNL.Clients.Office.Excel.Functions.SPG(A126, "SP_MARKETCAP", "12/30/2023")</f>
        <v>19195.931928800001</v>
      </c>
      <c r="H126">
        <f t="shared" si="19"/>
        <v>4.5686319970969855E-4</v>
      </c>
      <c r="I126">
        <f t="shared" si="20"/>
        <v>7.9951059949197247E-4</v>
      </c>
      <c r="K126" t="s">
        <v>126</v>
      </c>
      <c r="L126" s="4" cm="1">
        <f t="array" ref="L126">_xll.SNL.Clients.Office.Excel.Functions.SPG(K126, "SP_TOTAL_REV", "CY2023")</f>
        <v>5684000</v>
      </c>
      <c r="M126" s="4">
        <f>_xll.SNL.Clients.Office.Excel.Functions.SPG(K126,"IQ_AVG_DILUT_SHARES_OUT","CY2023")</f>
        <v>760000000</v>
      </c>
      <c r="N126" s="5">
        <f>_xll.SNL.Clients.Office.Excel.Functions.SPG(K126, "IQ_DILUT_EPS_NORM", "CY2023")</f>
        <v>1.75</v>
      </c>
      <c r="O126">
        <f t="shared" si="16"/>
        <v>1330000</v>
      </c>
      <c r="P126">
        <f t="shared" si="17"/>
        <v>0.23399014778325122</v>
      </c>
      <c r="Q126" s="5">
        <f>_xll.SNL.Clients.Office.Excel.Functions.SPG(K126, "SP_MARKETCAP", "12/31/2022")</f>
        <v>19372.642814070001</v>
      </c>
      <c r="R126">
        <f t="shared" si="21"/>
        <v>5.7494517306554875E-4</v>
      </c>
      <c r="S126">
        <f t="shared" si="22"/>
        <v>1.0061540528647104E-3</v>
      </c>
      <c r="U126" t="s">
        <v>126</v>
      </c>
      <c r="V126" s="4" cm="1">
        <f t="array" ref="V126">_xll.SNL.Clients.Office.Excel.Functions.SPG(U126, "SP_TOTAL_REV", "CY2021")</f>
        <v>3670000</v>
      </c>
      <c r="W126" s="4">
        <f>_xll.SNL.Clients.Office.Excel.Functions.SPG(U126,"IQ_AVG_DILUT_SHARES_OUT","CY2021")</f>
        <v>504000000</v>
      </c>
      <c r="X126" s="5">
        <f>_xll.SNL.Clients.Office.Excel.Functions.SPG(U126, "IQ_DILUT_EPS_NORM", "CY2021")</f>
        <v>1.865</v>
      </c>
      <c r="Y126">
        <f t="shared" si="23"/>
        <v>939960</v>
      </c>
      <c r="Z126">
        <f t="shared" si="24"/>
        <v>0.25611989100817439</v>
      </c>
      <c r="AA126" s="5">
        <f>_xll.SNL.Clients.Office.Excel.Functions.SPG(U126, "SP_MARKETCAP", "12/31/2021")</f>
        <v>15457.975141000001</v>
      </c>
      <c r="AB126">
        <f t="shared" si="18"/>
        <v>3.6430592216505058E-4</v>
      </c>
      <c r="AC126">
        <f t="shared" si="25"/>
        <v>6.7943054483781936E-4</v>
      </c>
    </row>
    <row r="127" spans="1:29" x14ac:dyDescent="0.3">
      <c r="A127" t="s">
        <v>127</v>
      </c>
      <c r="B127" s="4" cm="1">
        <f t="array" ref="B127">_xll.SNL.Clients.Office.Excel.Functions.SPG(A127, "SP_TOTAL_REV", "CY2023")</f>
        <v>3055555</v>
      </c>
      <c r="C127" s="4">
        <f>_xll.SNL.Clients.Office.Excel.Functions.SPG(A127,"IQ_AVG_DILUT_SHARES_OUT","CY2023")</f>
        <v>243635000</v>
      </c>
      <c r="D127" s="5">
        <f>_xll.SNL.Clients.Office.Excel.Functions.SPG(A127, "IQ_DILUT_EPS_NORM", "CY2023")</f>
        <v>0.314</v>
      </c>
      <c r="E127">
        <f t="shared" si="14"/>
        <v>76501.39</v>
      </c>
      <c r="F127">
        <f t="shared" si="15"/>
        <v>2.5036823097604199E-2</v>
      </c>
      <c r="G127" s="5">
        <f>_xll.SNL.Clients.Office.Excel.Functions.SPG(A127, "SP_MARKETCAP", "12/30/2023")</f>
        <v>61313.772379000002</v>
      </c>
      <c r="H127">
        <f t="shared" si="19"/>
        <v>1.4592678458770299E-3</v>
      </c>
      <c r="I127">
        <f t="shared" si="20"/>
        <v>4.5821010360538736E-4</v>
      </c>
      <c r="K127" t="s">
        <v>127</v>
      </c>
      <c r="L127" s="4" cm="1">
        <f t="array" ref="L127">_xll.SNL.Clients.Office.Excel.Functions.SPG(K127, "SP_TOTAL_REV", "CY2023")</f>
        <v>3055555</v>
      </c>
      <c r="M127" s="4">
        <f>_xll.SNL.Clients.Office.Excel.Functions.SPG(K127,"IQ_AVG_DILUT_SHARES_OUT","CY2023")</f>
        <v>243635000</v>
      </c>
      <c r="N127" s="5">
        <f>_xll.SNL.Clients.Office.Excel.Functions.SPG(K127, "IQ_DILUT_EPS_NORM", "CY2023")</f>
        <v>0.314</v>
      </c>
      <c r="O127">
        <f t="shared" si="16"/>
        <v>76501.39</v>
      </c>
      <c r="P127">
        <f t="shared" si="17"/>
        <v>2.5036823097604199E-2</v>
      </c>
      <c r="Q127" s="5">
        <f>_xll.SNL.Clients.Office.Excel.Functions.SPG(K127, "SP_MARKETCAP", "12/31/2022")</f>
        <v>24679.323202</v>
      </c>
      <c r="R127">
        <f t="shared" si="21"/>
        <v>7.3243789635191647E-4</v>
      </c>
      <c r="S127">
        <f t="shared" si="22"/>
        <v>2.2998549945450178E-4</v>
      </c>
      <c r="U127" t="s">
        <v>127</v>
      </c>
      <c r="V127" s="4" cm="1">
        <f t="array" ref="V127">_xll.SNL.Clients.Office.Excel.Functions.SPG(U127, "SP_TOTAL_REV", "CY2021")</f>
        <v>1451594</v>
      </c>
      <c r="W127" s="4">
        <f>_xll.SNL.Clients.Office.Excel.Functions.SPG(U127,"IQ_AVG_DILUT_SHARES_OUT","CY2021")</f>
        <v>227142000</v>
      </c>
      <c r="X127" s="5">
        <f>_xll.SNL.Clients.Office.Excel.Functions.SPG(U127, "IQ_DILUT_EPS_NORM", "CY2021")</f>
        <v>-0.46400000000000002</v>
      </c>
      <c r="Y127">
        <f t="shared" si="23"/>
        <v>-105393.88800000001</v>
      </c>
      <c r="Z127">
        <f t="shared" si="24"/>
        <v>-7.260562388656884E-2</v>
      </c>
      <c r="AA127" s="5">
        <f>_xll.SNL.Clients.Office.Excel.Functions.SPG(U127, "SP_MARKETCAP", "12/31/2021")</f>
        <v>46957.224542000004</v>
      </c>
      <c r="AB127">
        <f t="shared" si="18"/>
        <v>1.1066646719926081E-3</v>
      </c>
      <c r="AC127">
        <f t="shared" si="25"/>
        <v>-5.1349240780457022E-4</v>
      </c>
    </row>
    <row r="128" spans="1:29" x14ac:dyDescent="0.3">
      <c r="A128" t="s">
        <v>128</v>
      </c>
      <c r="B128" s="4" cm="1">
        <f t="array" ref="B128">_xll.SNL.Clients.Office.Excel.Functions.SPG(A128, "SP_TOTAL_REV", "CY2023")</f>
        <v>6996000</v>
      </c>
      <c r="C128" s="4">
        <f>_xll.SNL.Clients.Office.Excel.Functions.SPG(A128,"IQ_AVG_DILUT_SHARES_OUT","CY2023")</f>
        <v>434000000</v>
      </c>
      <c r="D128" s="5">
        <f>_xll.SNL.Clients.Office.Excel.Functions.SPG(A128, "IQ_DILUT_EPS_NORM", "CY2023")</f>
        <v>2.3719999999999999</v>
      </c>
      <c r="E128">
        <f t="shared" si="14"/>
        <v>1029448</v>
      </c>
      <c r="F128">
        <f t="shared" si="15"/>
        <v>0.14714808461978274</v>
      </c>
      <c r="G128" s="5">
        <f>_xll.SNL.Clients.Office.Excel.Functions.SPG(A128, "SP_MARKETCAP", "12/30/2023")</f>
        <v>49956.620128969997</v>
      </c>
      <c r="H128">
        <f t="shared" si="19"/>
        <v>1.1889676106092509E-3</v>
      </c>
      <c r="I128">
        <f t="shared" si="20"/>
        <v>2.8202311723651429E-3</v>
      </c>
      <c r="K128" t="s">
        <v>128</v>
      </c>
      <c r="L128" s="4" cm="1">
        <f t="array" ref="L128">_xll.SNL.Clients.Office.Excel.Functions.SPG(K128, "SP_TOTAL_REV", "CY2023")</f>
        <v>6996000</v>
      </c>
      <c r="M128" s="4">
        <f>_xll.SNL.Clients.Office.Excel.Functions.SPG(K128,"IQ_AVG_DILUT_SHARES_OUT","CY2023")</f>
        <v>434000000</v>
      </c>
      <c r="N128" s="5">
        <f>_xll.SNL.Clients.Office.Excel.Functions.SPG(K128, "IQ_DILUT_EPS_NORM", "CY2023")</f>
        <v>2.3719999999999999</v>
      </c>
      <c r="O128">
        <f t="shared" si="16"/>
        <v>1029448</v>
      </c>
      <c r="P128">
        <f t="shared" si="17"/>
        <v>0.14714808461978274</v>
      </c>
      <c r="Q128" s="5">
        <f>_xll.SNL.Clients.Office.Excel.Functions.SPG(K128, "SP_MARKETCAP", "12/31/2022")</f>
        <v>58738.630855640004</v>
      </c>
      <c r="R128">
        <f t="shared" si="21"/>
        <v>1.7432568497263419E-3</v>
      </c>
      <c r="S128">
        <f t="shared" si="22"/>
        <v>4.1350052475508832E-3</v>
      </c>
      <c r="U128" t="s">
        <v>128</v>
      </c>
      <c r="V128" s="4" cm="1">
        <f t="array" ref="V128">_xll.SNL.Clients.Office.Excel.Functions.SPG(U128, "SP_TOTAL_REV", "CY2021")</f>
        <v>6341000</v>
      </c>
      <c r="W128" s="4">
        <f>_xll.SNL.Clients.Office.Excel.Functions.SPG(U128,"IQ_AVG_DILUT_SHARES_OUT","CY2021")</f>
        <v>434000000</v>
      </c>
      <c r="X128" s="5">
        <f>_xll.SNL.Clients.Office.Excel.Functions.SPG(U128, "IQ_DILUT_EPS_NORM", "CY2021")</f>
        <v>1.9379999999999999</v>
      </c>
      <c r="Y128">
        <f t="shared" si="23"/>
        <v>841092</v>
      </c>
      <c r="Z128">
        <f t="shared" si="24"/>
        <v>0.13264343163538875</v>
      </c>
      <c r="AA128" s="5">
        <f>_xll.SNL.Clients.Office.Excel.Functions.SPG(U128, "SP_MARKETCAP", "12/31/2021")</f>
        <v>90218.105987520001</v>
      </c>
      <c r="AB128">
        <f t="shared" si="18"/>
        <v>2.1262157558135089E-3</v>
      </c>
      <c r="AC128">
        <f t="shared" si="25"/>
        <v>4.1206061347665805E-3</v>
      </c>
    </row>
    <row r="129" spans="1:29" x14ac:dyDescent="0.3">
      <c r="A129" t="s">
        <v>129</v>
      </c>
      <c r="B129" s="4" cm="1">
        <f t="array" ref="B129">_xll.SNL.Clients.Office.Excel.Functions.SPG(A129, "SP_TOTAL_REV", "CY2023")</f>
        <v>14657000</v>
      </c>
      <c r="C129" s="4">
        <f>_xll.SNL.Clients.Office.Excel.Functions.SPG(A129,"IQ_AVG_DILUT_SHARES_OUT","CY2023")</f>
        <v>2013000000</v>
      </c>
      <c r="D129" s="5">
        <f>_xll.SNL.Clients.Office.Excel.Functions.SPG(A129, "IQ_DILUT_EPS_NORM", "CY2023")</f>
        <v>1.5089999999999999</v>
      </c>
      <c r="E129">
        <f t="shared" si="14"/>
        <v>3037617</v>
      </c>
      <c r="F129">
        <f t="shared" si="15"/>
        <v>0.20724684451115508</v>
      </c>
      <c r="G129" s="5">
        <f>_xll.SNL.Clients.Office.Excel.Functions.SPG(A129, "SP_MARKETCAP", "12/30/2023")</f>
        <v>68512.462983449994</v>
      </c>
      <c r="H129">
        <f t="shared" si="19"/>
        <v>1.6305966896897595E-3</v>
      </c>
      <c r="I129">
        <f t="shared" si="20"/>
        <v>2.4605704047418468E-3</v>
      </c>
      <c r="K129" t="s">
        <v>129</v>
      </c>
      <c r="L129" s="4" cm="1">
        <f t="array" ref="L129">_xll.SNL.Clients.Office.Excel.Functions.SPG(K129, "SP_TOTAL_REV", "CY2023")</f>
        <v>14657000</v>
      </c>
      <c r="M129" s="4">
        <f>_xll.SNL.Clients.Office.Excel.Functions.SPG(K129,"IQ_AVG_DILUT_SHARES_OUT","CY2023")</f>
        <v>2013000000</v>
      </c>
      <c r="N129" s="5">
        <f>_xll.SNL.Clients.Office.Excel.Functions.SPG(K129, "IQ_DILUT_EPS_NORM", "CY2023")</f>
        <v>1.5089999999999999</v>
      </c>
      <c r="O129">
        <f t="shared" si="16"/>
        <v>3037617</v>
      </c>
      <c r="P129">
        <f t="shared" si="17"/>
        <v>0.20724684451115508</v>
      </c>
      <c r="Q129" s="5">
        <f>_xll.SNL.Clients.Office.Excel.Functions.SPG(K129, "SP_MARKETCAP", "12/31/2022")</f>
        <v>65132.622424419998</v>
      </c>
      <c r="R129">
        <f t="shared" si="21"/>
        <v>1.9330190119865123E-3</v>
      </c>
      <c r="S129">
        <f t="shared" si="22"/>
        <v>2.9169256890876467E-3</v>
      </c>
      <c r="U129" t="s">
        <v>129</v>
      </c>
      <c r="V129" s="4" cm="1">
        <f t="array" ref="V129">_xll.SNL.Clients.Office.Excel.Functions.SPG(U129, "SP_TOTAL_REV", "CY2021")</f>
        <v>12522000</v>
      </c>
      <c r="W129" s="4">
        <f>_xll.SNL.Clients.Office.Excel.Functions.SPG(U129,"IQ_AVG_DILUT_SHARES_OUT","CY2021")</f>
        <v>2255000000</v>
      </c>
      <c r="X129" s="5">
        <f>_xll.SNL.Clients.Office.Excel.Functions.SPG(U129, "IQ_DILUT_EPS_NORM", "CY2021")</f>
        <v>1.254</v>
      </c>
      <c r="Y129">
        <f t="shared" si="23"/>
        <v>2827770</v>
      </c>
      <c r="Z129">
        <f t="shared" si="24"/>
        <v>0.22582414949688548</v>
      </c>
      <c r="AA129" s="5">
        <f>_xll.SNL.Clients.Office.Excel.Functions.SPG(U129, "SP_MARKETCAP", "12/31/2021")</f>
        <v>83396.176253600002</v>
      </c>
      <c r="AB129">
        <f t="shared" si="18"/>
        <v>1.9654398857534587E-3</v>
      </c>
      <c r="AC129">
        <f t="shared" si="25"/>
        <v>2.4646616167348372E-3</v>
      </c>
    </row>
    <row r="130" spans="1:29" x14ac:dyDescent="0.3">
      <c r="A130" t="s">
        <v>130</v>
      </c>
      <c r="B130" s="4" cm="1">
        <f t="array" ref="B130">_xll.SNL.Clients.Office.Excel.Functions.SPG(A130, "SP_TOTAL_REV", "CY2023")</f>
        <v>34065000</v>
      </c>
      <c r="C130" s="4">
        <f>_xll.SNL.Clients.Office.Excel.Functions.SPG(A130,"IQ_AVG_DILUT_SHARES_OUT","CY2023")</f>
        <v>142700000</v>
      </c>
      <c r="D130" s="5">
        <f>_xll.SNL.Clients.Office.Excel.Functions.SPG(A130, "IQ_DILUT_EPS_NORM", "CY2023")</f>
        <v>15.276999999999999</v>
      </c>
      <c r="E130">
        <f t="shared" si="14"/>
        <v>2180027.9</v>
      </c>
      <c r="F130">
        <f t="shared" si="15"/>
        <v>6.3996122119477472E-2</v>
      </c>
      <c r="G130" s="5">
        <f>_xll.SNL.Clients.Office.Excel.Functions.SPG(A130, "SP_MARKETCAP", "12/30/2023")</f>
        <v>33957.816828909999</v>
      </c>
      <c r="H130">
        <f t="shared" si="19"/>
        <v>8.0819607556201136E-4</v>
      </c>
      <c r="I130">
        <f t="shared" si="20"/>
        <v>1.2346811446360847E-2</v>
      </c>
      <c r="K130" t="s">
        <v>130</v>
      </c>
      <c r="L130" s="4" cm="1">
        <f t="array" ref="L130">_xll.SNL.Clients.Office.Excel.Functions.SPG(K130, "SP_TOTAL_REV", "CY2023")</f>
        <v>34065000</v>
      </c>
      <c r="M130" s="4">
        <f>_xll.SNL.Clients.Office.Excel.Functions.SPG(K130,"IQ_AVG_DILUT_SHARES_OUT","CY2023")</f>
        <v>142700000</v>
      </c>
      <c r="N130" s="5">
        <f>_xll.SNL.Clients.Office.Excel.Functions.SPG(K130, "IQ_DILUT_EPS_NORM", "CY2023")</f>
        <v>15.276999999999999</v>
      </c>
      <c r="O130">
        <f t="shared" si="16"/>
        <v>2180027.9</v>
      </c>
      <c r="P130">
        <f t="shared" si="17"/>
        <v>6.3996122119477472E-2</v>
      </c>
      <c r="Q130" s="5">
        <f>_xll.SNL.Clients.Office.Excel.Functions.SPG(K130, "SP_MARKETCAP", "12/31/2022")</f>
        <v>34168.332317979999</v>
      </c>
      <c r="R130">
        <f t="shared" si="21"/>
        <v>1.014054609196348E-3</v>
      </c>
      <c r="S130">
        <f t="shared" si="22"/>
        <v>1.5491712264692608E-2</v>
      </c>
      <c r="U130" t="s">
        <v>130</v>
      </c>
      <c r="V130" s="4" cm="1">
        <f t="array" ref="V130">_xll.SNL.Clients.Office.Excel.Functions.SPG(U130, "SP_TOTAL_REV", "CY2021")</f>
        <v>24021000</v>
      </c>
      <c r="W130" s="4">
        <f>_xll.SNL.Clients.Office.Excel.Functions.SPG(U130,"IQ_AVG_DILUT_SHARES_OUT","CY2021")</f>
        <v>145900000</v>
      </c>
      <c r="X130" s="5">
        <f>_xll.SNL.Clients.Office.Excel.Functions.SPG(U130, "IQ_DILUT_EPS_NORM", "CY2021")</f>
        <v>11.558</v>
      </c>
      <c r="Y130">
        <f t="shared" si="23"/>
        <v>1686312.2</v>
      </c>
      <c r="Z130">
        <f t="shared" si="24"/>
        <v>7.0201581949127845E-2</v>
      </c>
      <c r="AA130" s="5">
        <f>_xll.SNL.Clients.Office.Excel.Functions.SPG(U130, "SP_MARKETCAP", "12/31/2021")</f>
        <v>31200.96732272</v>
      </c>
      <c r="AB130">
        <f t="shared" si="18"/>
        <v>7.3532898515256569E-4</v>
      </c>
      <c r="AC130">
        <f t="shared" si="25"/>
        <v>8.4989324103933537E-3</v>
      </c>
    </row>
    <row r="131" spans="1:29" x14ac:dyDescent="0.3">
      <c r="A131" t="s">
        <v>131</v>
      </c>
      <c r="B131" s="4" cm="1">
        <f t="array" ref="B131">_xll.SNL.Clients.Office.Excel.Functions.SPG(A131, "SP_TOTAL_REV", "CY2023")</f>
        <v>356623000</v>
      </c>
      <c r="C131" s="4">
        <f>_xll.SNL.Clients.Office.Excel.Functions.SPG(A131,"IQ_AVG_DILUT_SHARES_OUT","CY2023")</f>
        <v>1290000000</v>
      </c>
      <c r="D131" s="5">
        <f>_xll.SNL.Clients.Office.Excel.Functions.SPG(A131, "IQ_DILUT_EPS_NORM", "CY2023")</f>
        <v>6.0679999999999996</v>
      </c>
      <c r="E131">
        <f t="shared" si="14"/>
        <v>7827719.9999999991</v>
      </c>
      <c r="F131">
        <f t="shared" si="15"/>
        <v>2.1949565787960954E-2</v>
      </c>
      <c r="G131" s="5">
        <f>_xll.SNL.Clients.Office.Excel.Functions.SPG(A131, "SP_MARKETCAP", "12/30/2023")</f>
        <v>101613.35411472</v>
      </c>
      <c r="H131">
        <f t="shared" si="19"/>
        <v>2.4183979327638571E-3</v>
      </c>
      <c r="I131">
        <f t="shared" si="20"/>
        <v>1.4674838656011085E-2</v>
      </c>
      <c r="K131" t="s">
        <v>131</v>
      </c>
      <c r="L131" s="4" cm="1">
        <f t="array" ref="L131">_xll.SNL.Clients.Office.Excel.Functions.SPG(K131, "SP_TOTAL_REV", "CY2023")</f>
        <v>356623000</v>
      </c>
      <c r="M131" s="4">
        <f>_xll.SNL.Clients.Office.Excel.Functions.SPG(K131,"IQ_AVG_DILUT_SHARES_OUT","CY2023")</f>
        <v>1290000000</v>
      </c>
      <c r="N131" s="5">
        <f>_xll.SNL.Clients.Office.Excel.Functions.SPG(K131, "IQ_DILUT_EPS_NORM", "CY2023")</f>
        <v>6.0679999999999996</v>
      </c>
      <c r="O131">
        <f t="shared" si="16"/>
        <v>7827719.9999999991</v>
      </c>
      <c r="P131">
        <f t="shared" si="17"/>
        <v>2.1949565787960954E-2</v>
      </c>
      <c r="Q131" s="5">
        <f>_xll.SNL.Clients.Office.Excel.Functions.SPG(K131, "SP_MARKETCAP", "12/31/2022")</f>
        <v>122448.57652928001</v>
      </c>
      <c r="R131">
        <f t="shared" si="21"/>
        <v>3.6340533761932497E-3</v>
      </c>
      <c r="S131">
        <f t="shared" si="22"/>
        <v>2.2051435886740637E-2</v>
      </c>
      <c r="U131" t="s">
        <v>131</v>
      </c>
      <c r="V131" s="4" cm="1">
        <f t="array" ref="V131">_xll.SNL.Clients.Office.Excel.Functions.SPG(U131, "SP_TOTAL_REV", "CY2021")</f>
        <v>290912000</v>
      </c>
      <c r="W131" s="4">
        <f>_xll.SNL.Clients.Office.Excel.Functions.SPG(U131,"IQ_AVG_DILUT_SHARES_OUT","CY2021")</f>
        <v>1329000000</v>
      </c>
      <c r="X131" s="5">
        <f>_xll.SNL.Clients.Office.Excel.Functions.SPG(U131, "IQ_DILUT_EPS_NORM", "CY2021")</f>
        <v>6.0519999999999996</v>
      </c>
      <c r="Y131">
        <f t="shared" si="23"/>
        <v>8043107.9999999991</v>
      </c>
      <c r="Z131">
        <f t="shared" si="24"/>
        <v>2.7647907270927287E-2</v>
      </c>
      <c r="AA131" s="5">
        <f>_xll.SNL.Clients.Office.Excel.Functions.SPG(U131, "SP_MARKETCAP", "12/31/2021")</f>
        <v>136274.35999999999</v>
      </c>
      <c r="AB131">
        <f t="shared" si="18"/>
        <v>3.2116467994294127E-3</v>
      </c>
      <c r="AC131">
        <f t="shared" si="25"/>
        <v>1.9436886430146804E-2</v>
      </c>
    </row>
    <row r="132" spans="1:29" x14ac:dyDescent="0.3">
      <c r="A132" t="s">
        <v>132</v>
      </c>
      <c r="B132" s="4" cm="1">
        <f t="array" ref="B132">_xll.SNL.Clients.Office.Excel.Functions.SPG(A132, "SP_TOTAL_REV", "CY2023")</f>
        <v>35928600</v>
      </c>
      <c r="C132" s="4">
        <f>_xll.SNL.Clients.Office.Excel.Functions.SPG(A132,"IQ_AVG_DILUT_SHARES_OUT","CY2023")</f>
        <v>340500000</v>
      </c>
      <c r="D132" s="5">
        <f>_xll.SNL.Clients.Office.Excel.Functions.SPG(A132, "IQ_DILUT_EPS_NORM", "CY2023")</f>
        <v>11.53</v>
      </c>
      <c r="E132">
        <f t="shared" si="14"/>
        <v>3925965</v>
      </c>
      <c r="F132">
        <f t="shared" si="15"/>
        <v>0.10927130475442962</v>
      </c>
      <c r="G132" s="5">
        <f>_xll.SNL.Clients.Office.Excel.Functions.SPG(A132, "SP_MARKETCAP", "12/30/2023")</f>
        <v>50609.293038180003</v>
      </c>
      <c r="H132">
        <f t="shared" si="19"/>
        <v>1.2045012265218054E-3</v>
      </c>
      <c r="I132">
        <f t="shared" si="20"/>
        <v>1.3887899141796415E-2</v>
      </c>
      <c r="K132" t="s">
        <v>132</v>
      </c>
      <c r="L132" s="4" cm="1">
        <f t="array" ref="L132">_xll.SNL.Clients.Office.Excel.Functions.SPG(K132, "SP_TOTAL_REV", "CY2023")</f>
        <v>35928600</v>
      </c>
      <c r="M132" s="4">
        <f>_xll.SNL.Clients.Office.Excel.Functions.SPG(K132,"IQ_AVG_DILUT_SHARES_OUT","CY2023")</f>
        <v>340500000</v>
      </c>
      <c r="N132" s="5">
        <f>_xll.SNL.Clients.Office.Excel.Functions.SPG(K132, "IQ_DILUT_EPS_NORM", "CY2023")</f>
        <v>11.53</v>
      </c>
      <c r="O132">
        <f t="shared" si="16"/>
        <v>3925965</v>
      </c>
      <c r="P132">
        <f t="shared" si="17"/>
        <v>0.10927130475442962</v>
      </c>
      <c r="Q132" s="5">
        <f>_xll.SNL.Clients.Office.Excel.Functions.SPG(K132, "SP_MARKETCAP", "12/31/2022")</f>
        <v>30713.00363902</v>
      </c>
      <c r="R132">
        <f t="shared" si="21"/>
        <v>9.1150667268661374E-4</v>
      </c>
      <c r="S132">
        <f t="shared" si="22"/>
        <v>1.0509671936076655E-2</v>
      </c>
      <c r="U132" t="s">
        <v>132</v>
      </c>
      <c r="V132" s="4" cm="1">
        <f t="array" ref="V132">_xll.SNL.Clients.Office.Excel.Functions.SPG(U132, "SP_TOTAL_REV", "CY2021")</f>
        <v>28894200</v>
      </c>
      <c r="W132" s="4">
        <f>_xll.SNL.Clients.Office.Excel.Functions.SPG(U132,"IQ_AVG_DILUT_SHARES_OUT","CY2021")</f>
        <v>363325000</v>
      </c>
      <c r="X132" s="5">
        <f>_xll.SNL.Clients.Office.Excel.Functions.SPG(U132, "IQ_DILUT_EPS_NORM", "CY2021")</f>
        <v>10.045</v>
      </c>
      <c r="Y132">
        <f t="shared" si="23"/>
        <v>3649599.625</v>
      </c>
      <c r="Z132">
        <f t="shared" si="24"/>
        <v>0.12630907327422111</v>
      </c>
      <c r="AA132" s="5">
        <f>_xll.SNL.Clients.Office.Excel.Functions.SPG(U132, "SP_MARKETCAP", "12/31/2021")</f>
        <v>38627.8719624</v>
      </c>
      <c r="AB132">
        <f t="shared" si="18"/>
        <v>9.1036260494498837E-4</v>
      </c>
      <c r="AC132">
        <f t="shared" si="25"/>
        <v>9.1445923666724077E-3</v>
      </c>
    </row>
    <row r="133" spans="1:29" x14ac:dyDescent="0.3">
      <c r="A133" t="s">
        <v>133</v>
      </c>
      <c r="B133" s="4" cm="1">
        <f t="array" ref="B133">_xll.SNL.Clients.Office.Excel.Functions.SPG(A133, "SP_TOTAL_REV", "CY2023")</f>
        <v>23890000</v>
      </c>
      <c r="C133" s="4">
        <f>_xll.SNL.Clients.Office.Excel.Functions.SPG(A133,"IQ_AVG_DILUT_SHARES_OUT","CY2023")</f>
        <v>743100000</v>
      </c>
      <c r="D133" s="5">
        <f>_xll.SNL.Clients.Office.Excel.Functions.SPG(A133, "IQ_DILUT_EPS_NORM", "CY2023")</f>
        <v>4.54</v>
      </c>
      <c r="E133">
        <f t="shared" si="14"/>
        <v>3373674</v>
      </c>
      <c r="F133">
        <f t="shared" si="15"/>
        <v>0.14121699455839262</v>
      </c>
      <c r="G133" s="5">
        <f>_xll.SNL.Clients.Office.Excel.Functions.SPG(A133, "SP_MARKETCAP", "12/30/2023")</f>
        <v>170943.39693337999</v>
      </c>
      <c r="H133">
        <f t="shared" si="19"/>
        <v>4.0684530233751036E-3</v>
      </c>
      <c r="I133">
        <f t="shared" si="20"/>
        <v>1.8470776726122972E-2</v>
      </c>
      <c r="K133" t="s">
        <v>133</v>
      </c>
      <c r="L133" s="4" cm="1">
        <f t="array" ref="L133">_xll.SNL.Clients.Office.Excel.Functions.SPG(K133, "SP_TOTAL_REV", "CY2023")</f>
        <v>23890000</v>
      </c>
      <c r="M133" s="4">
        <f>_xll.SNL.Clients.Office.Excel.Functions.SPG(K133,"IQ_AVG_DILUT_SHARES_OUT","CY2023")</f>
        <v>743100000</v>
      </c>
      <c r="N133" s="5">
        <f>_xll.SNL.Clients.Office.Excel.Functions.SPG(K133, "IQ_DILUT_EPS_NORM", "CY2023")</f>
        <v>4.54</v>
      </c>
      <c r="O133">
        <f t="shared" si="16"/>
        <v>3373674</v>
      </c>
      <c r="P133">
        <f t="shared" si="17"/>
        <v>0.14121699455839262</v>
      </c>
      <c r="Q133" s="5">
        <f>_xll.SNL.Clients.Office.Excel.Functions.SPG(K133, "SP_MARKETCAP", "12/31/2022")</f>
        <v>193215.86036483999</v>
      </c>
      <c r="R133">
        <f t="shared" si="21"/>
        <v>5.7342989979555208E-3</v>
      </c>
      <c r="S133">
        <f t="shared" si="22"/>
        <v>2.6033717450718065E-2</v>
      </c>
      <c r="U133" t="s">
        <v>133</v>
      </c>
      <c r="V133" s="4" cm="1">
        <f t="array" ref="V133">_xll.SNL.Clients.Office.Excel.Functions.SPG(U133, "SP_TOTAL_REV", "CY2021")</f>
        <v>24802000</v>
      </c>
      <c r="W133" s="4">
        <f>_xll.SNL.Clients.Office.Excel.Functions.SPG(U133,"IQ_AVG_DILUT_SHARES_OUT","CY2021")</f>
        <v>736800000</v>
      </c>
      <c r="X133" s="5">
        <f>_xll.SNL.Clients.Office.Excel.Functions.SPG(U133, "IQ_DILUT_EPS_NORM", "CY2021")</f>
        <v>5.8209999999999997</v>
      </c>
      <c r="Y133">
        <f t="shared" si="23"/>
        <v>4288912.8</v>
      </c>
      <c r="Z133">
        <f t="shared" si="24"/>
        <v>0.17292608660591888</v>
      </c>
      <c r="AA133" s="5">
        <f>_xll.SNL.Clients.Office.Excel.Functions.SPG(U133, "SP_MARKETCAP", "12/31/2021")</f>
        <v>235102.93534068001</v>
      </c>
      <c r="AB133">
        <f t="shared" si="18"/>
        <v>5.5407898435432404E-3</v>
      </c>
      <c r="AC133">
        <f t="shared" si="25"/>
        <v>3.2252937679265202E-2</v>
      </c>
    </row>
    <row r="134" spans="1:29" x14ac:dyDescent="0.3">
      <c r="A134" t="s">
        <v>134</v>
      </c>
      <c r="B134" s="4" cm="1">
        <f t="array" ref="B134">_xll.SNL.Clients.Office.Excel.Functions.SPG(A134, "SP_TOTAL_REV", "CY2023")</f>
        <v>11013100</v>
      </c>
      <c r="C134" s="4">
        <f>_xll.SNL.Clients.Office.Excel.Functions.SPG(A134,"IQ_AVG_DILUT_SHARES_OUT","CY2023")</f>
        <v>121850000</v>
      </c>
      <c r="D134" s="5">
        <f>_xll.SNL.Clients.Office.Excel.Functions.SPG(A134, "IQ_DILUT_EPS_NORM", "CY2023")</f>
        <v>5.9550000000000001</v>
      </c>
      <c r="E134">
        <f t="shared" ref="E134:E197" si="26">C134*D134/1000</f>
        <v>725616.75</v>
      </c>
      <c r="F134">
        <f t="shared" ref="F134:F197" si="27">E134/B134</f>
        <v>6.5886694028021178E-2</v>
      </c>
      <c r="G134" s="5">
        <f>_xll.SNL.Clients.Office.Excel.Functions.SPG(A134, "SP_MARKETCAP", "12/30/2023")</f>
        <v>19767.704717100001</v>
      </c>
      <c r="H134">
        <f t="shared" si="19"/>
        <v>4.7047139266113107E-4</v>
      </c>
      <c r="I134">
        <f t="shared" si="20"/>
        <v>2.8016571432970356E-3</v>
      </c>
      <c r="K134" t="s">
        <v>134</v>
      </c>
      <c r="L134" s="4" cm="1">
        <f t="array" ref="L134">_xll.SNL.Clients.Office.Excel.Functions.SPG(K134, "SP_TOTAL_REV", "CY2023")</f>
        <v>11013100</v>
      </c>
      <c r="M134" s="4">
        <f>_xll.SNL.Clients.Office.Excel.Functions.SPG(K134,"IQ_AVG_DILUT_SHARES_OUT","CY2023")</f>
        <v>121850000</v>
      </c>
      <c r="N134" s="5">
        <f>_xll.SNL.Clients.Office.Excel.Functions.SPG(K134, "IQ_DILUT_EPS_NORM", "CY2023")</f>
        <v>5.9550000000000001</v>
      </c>
      <c r="O134">
        <f t="shared" ref="O134:O197" si="28">M134*N134/1000</f>
        <v>725616.75</v>
      </c>
      <c r="P134">
        <f t="shared" ref="P134:P197" si="29">O134/L134</f>
        <v>6.5886694028021178E-2</v>
      </c>
      <c r="Q134" s="5">
        <f>_xll.SNL.Clients.Office.Excel.Functions.SPG(K134, "SP_MARKETCAP", "12/31/2022")</f>
        <v>16929.801871470001</v>
      </c>
      <c r="R134">
        <f t="shared" si="21"/>
        <v>5.0244605035965225E-4</v>
      </c>
      <c r="S134">
        <f t="shared" si="22"/>
        <v>2.9920662298917292E-3</v>
      </c>
      <c r="U134" t="s">
        <v>134</v>
      </c>
      <c r="V134" s="4" cm="1">
        <f t="array" ref="V134">_xll.SNL.Clients.Office.Excel.Functions.SPG(U134, "SP_TOTAL_REV", "CY2021")</f>
        <v>8590400</v>
      </c>
      <c r="W134" s="4">
        <f>_xll.SNL.Clients.Office.Excel.Functions.SPG(U134,"IQ_AVG_DILUT_SHARES_OUT","CY2021")</f>
        <v>131750000</v>
      </c>
      <c r="X134" s="5">
        <f>_xll.SNL.Clients.Office.Excel.Functions.SPG(U134, "IQ_DILUT_EPS_NORM", "CY2021")</f>
        <v>4.4390000000000001</v>
      </c>
      <c r="Y134">
        <f t="shared" si="23"/>
        <v>584838.25</v>
      </c>
      <c r="Z134">
        <f t="shared" si="24"/>
        <v>6.808044444961818E-2</v>
      </c>
      <c r="AA134" s="5">
        <f>_xll.SNL.Clients.Office.Excel.Functions.SPG(U134, "SP_MARKETCAP", "12/31/2021")</f>
        <v>19550.81285192</v>
      </c>
      <c r="AB134">
        <f t="shared" ref="AB134:AB197" si="30">AA134/$AA$509</f>
        <v>4.6076389954876549E-4</v>
      </c>
      <c r="AC134">
        <f t="shared" si="25"/>
        <v>2.04533095009697E-3</v>
      </c>
    </row>
    <row r="135" spans="1:29" x14ac:dyDescent="0.3">
      <c r="A135" t="s">
        <v>135</v>
      </c>
      <c r="B135" s="4" cm="1">
        <f t="array" ref="B135">_xll.SNL.Clients.Office.Excel.Functions.SPG(A135, "SP_TOTAL_REV", "CY2023")</f>
        <v>12140147</v>
      </c>
      <c r="C135" s="4">
        <f>_xll.SNL.Clients.Office.Excel.Functions.SPG(A135,"IQ_AVG_DILUT_SHARES_OUT","CY2023")</f>
        <v>93182000</v>
      </c>
      <c r="D135" s="5">
        <f>_xll.SNL.Clients.Office.Excel.Functions.SPG(A135, "IQ_DILUT_EPS_NORM", "CY2023")</f>
        <v>5.2750000000000004</v>
      </c>
      <c r="E135">
        <f t="shared" si="26"/>
        <v>491535.05000000005</v>
      </c>
      <c r="F135">
        <f t="shared" si="27"/>
        <v>4.048839359193921E-2</v>
      </c>
      <c r="G135" s="5">
        <f>_xll.SNL.Clients.Office.Excel.Functions.SPG(A135, "SP_MARKETCAP", "12/30/2023")</f>
        <v>9569.6164800000006</v>
      </c>
      <c r="H135">
        <f t="shared" ref="H135:H198" si="31">G135/$G$509</f>
        <v>2.277568820968814E-4</v>
      </c>
      <c r="I135">
        <f t="shared" ref="I135:I198" si="32">D135*H135</f>
        <v>1.2014175530610494E-3</v>
      </c>
      <c r="K135" t="s">
        <v>135</v>
      </c>
      <c r="L135" s="4" cm="1">
        <f t="array" ref="L135">_xll.SNL.Clients.Office.Excel.Functions.SPG(K135, "SP_TOTAL_REV", "CY2023")</f>
        <v>12140147</v>
      </c>
      <c r="M135" s="4">
        <f>_xll.SNL.Clients.Office.Excel.Functions.SPG(K135,"IQ_AVG_DILUT_SHARES_OUT","CY2023")</f>
        <v>93182000</v>
      </c>
      <c r="N135" s="5">
        <f>_xll.SNL.Clients.Office.Excel.Functions.SPG(K135, "IQ_DILUT_EPS_NORM", "CY2023")</f>
        <v>5.2750000000000004</v>
      </c>
      <c r="O135">
        <f t="shared" si="28"/>
        <v>491535.05000000005</v>
      </c>
      <c r="P135">
        <f t="shared" si="29"/>
        <v>4.048839359193921E-2</v>
      </c>
      <c r="Q135" s="5">
        <f>_xll.SNL.Clients.Office.Excel.Functions.SPG(K135, "SP_MARKETCAP", "12/31/2022")</f>
        <v>6728.0656799999997</v>
      </c>
      <c r="R135">
        <f t="shared" ref="R135:R198" si="33">Q135/$Q$509</f>
        <v>1.9967688063574502E-4</v>
      </c>
      <c r="S135">
        <f t="shared" ref="S135:S198" si="34">N135*R135</f>
        <v>1.0532955453535552E-3</v>
      </c>
      <c r="U135" t="s">
        <v>135</v>
      </c>
      <c r="V135" s="4" cm="1">
        <f t="array" ref="V135">_xll.SNL.Clients.Office.Excel.Functions.SPG(U135, "SP_TOTAL_REV", "CY2021")</f>
        <v>11618797</v>
      </c>
      <c r="W135" s="4">
        <f>_xll.SNL.Clients.Office.Excel.Functions.SPG(U135,"IQ_AVG_DILUT_SHARES_OUT","CY2021")</f>
        <v>109948000</v>
      </c>
      <c r="X135" s="5">
        <f>_xll.SNL.Clients.Office.Excel.Functions.SPG(U135, "IQ_DILUT_EPS_NORM", "CY2021")</f>
        <v>6.51</v>
      </c>
      <c r="Y135">
        <f t="shared" ref="Y135:Y198" si="35">W135*X135/1000</f>
        <v>715761.48</v>
      </c>
      <c r="Z135">
        <f t="shared" ref="Z135:Z198" si="36">Y135/V135</f>
        <v>6.1603751231732506E-2</v>
      </c>
      <c r="AA135" s="5">
        <f>_xll.SNL.Clients.Office.Excel.Functions.SPG(U135, "SP_MARKETCAP", "12/31/2021")</f>
        <v>11592.144</v>
      </c>
      <c r="AB135">
        <f t="shared" si="30"/>
        <v>2.7319792348410129E-4</v>
      </c>
      <c r="AC135">
        <f t="shared" ref="AC135:AC198" si="37">X135*AB135</f>
        <v>1.7785184818814993E-3</v>
      </c>
    </row>
    <row r="136" spans="1:29" x14ac:dyDescent="0.3">
      <c r="A136" t="s">
        <v>136</v>
      </c>
      <c r="B136" s="4" cm="1">
        <f t="array" ref="B136">_xll.SNL.Clients.Office.Excel.Functions.SPG(A136, "SP_TOTAL_REV", "CY2023")</f>
        <v>1513700</v>
      </c>
      <c r="C136" s="4">
        <f>_xll.SNL.Clients.Office.Excel.Functions.SPG(A136,"IQ_AVG_DILUT_SHARES_OUT","CY2023")</f>
        <v>158500000</v>
      </c>
      <c r="D136" s="5">
        <f>_xll.SNL.Clients.Office.Excel.Functions.SPG(A136, "IQ_DILUT_EPS_NORM", "CY2023")</f>
        <v>0.39600000000000002</v>
      </c>
      <c r="E136">
        <f t="shared" si="26"/>
        <v>62766</v>
      </c>
      <c r="F136">
        <f t="shared" si="27"/>
        <v>4.146528374182467E-2</v>
      </c>
      <c r="G136" s="5">
        <f>_xll.SNL.Clients.Office.Excel.Functions.SPG(A136, "SP_MARKETCAP", "12/30/2023")</f>
        <v>10353.505189359999</v>
      </c>
      <c r="H136">
        <f t="shared" si="31"/>
        <v>2.4641343418837982E-4</v>
      </c>
      <c r="I136">
        <f t="shared" si="32"/>
        <v>9.757971993859841E-5</v>
      </c>
      <c r="K136" t="s">
        <v>136</v>
      </c>
      <c r="L136" s="4" cm="1">
        <f t="array" ref="L136">_xll.SNL.Clients.Office.Excel.Functions.SPG(K136, "SP_TOTAL_REV", "CY2023")</f>
        <v>1513700</v>
      </c>
      <c r="M136" s="4">
        <f>_xll.SNL.Clients.Office.Excel.Functions.SPG(K136,"IQ_AVG_DILUT_SHARES_OUT","CY2023")</f>
        <v>158500000</v>
      </c>
      <c r="N136" s="5">
        <f>_xll.SNL.Clients.Office.Excel.Functions.SPG(K136, "IQ_DILUT_EPS_NORM", "CY2023")</f>
        <v>0.39600000000000002</v>
      </c>
      <c r="O136">
        <f t="shared" si="28"/>
        <v>62766</v>
      </c>
      <c r="P136">
        <f t="shared" si="29"/>
        <v>4.146528374182467E-2</v>
      </c>
      <c r="Q136" s="5">
        <f>_xll.SNL.Clients.Office.Excel.Functions.SPG(K136, "SP_MARKETCAP", "12/31/2022")</f>
        <v>9853.1107180500003</v>
      </c>
      <c r="R136">
        <f t="shared" si="33"/>
        <v>2.9242259310685711E-4</v>
      </c>
      <c r="S136">
        <f t="shared" si="34"/>
        <v>1.1579934687031542E-4</v>
      </c>
      <c r="U136" t="s">
        <v>136</v>
      </c>
      <c r="V136" s="4" cm="1">
        <f t="array" ref="V136">_xll.SNL.Clients.Office.Excel.Functions.SPG(U136, "SP_TOTAL_REV", "CY2021")</f>
        <v>1024200</v>
      </c>
      <c r="W136" s="4">
        <f>_xll.SNL.Clients.Office.Excel.Functions.SPG(U136,"IQ_AVG_DILUT_SHARES_OUT","CY2021")</f>
        <v>150400000</v>
      </c>
      <c r="X136" s="5">
        <f>_xll.SNL.Clients.Office.Excel.Functions.SPG(U136, "IQ_DILUT_EPS_NORM", "CY2021")</f>
        <v>-0.45500000000000002</v>
      </c>
      <c r="Y136">
        <f t="shared" si="35"/>
        <v>-68432</v>
      </c>
      <c r="Z136">
        <f t="shared" si="36"/>
        <v>-6.6815075180628777E-2</v>
      </c>
      <c r="AA136" s="5">
        <f>_xll.SNL.Clients.Office.Excel.Functions.SPG(U136, "SP_MARKETCAP", "12/31/2021")</f>
        <v>15808.06561326</v>
      </c>
      <c r="AB136">
        <f t="shared" si="30"/>
        <v>3.7255668147696044E-4</v>
      </c>
      <c r="AC136">
        <f t="shared" si="37"/>
        <v>-1.6951329007201701E-4</v>
      </c>
    </row>
    <row r="137" spans="1:29" x14ac:dyDescent="0.3">
      <c r="A137" t="s">
        <v>137</v>
      </c>
      <c r="B137" s="4" cm="1">
        <f t="array" ref="B137">_xll.SNL.Clients.Office.Excel.Functions.SPG(A137, "SP_TOTAL_REV", "CY2023")</f>
        <v>4119576</v>
      </c>
      <c r="C137" s="4">
        <f>_xll.SNL.Clients.Office.Excel.Functions.SPG(A137,"IQ_AVG_DILUT_SHARES_OUT","CY2023")</f>
        <v>157299000</v>
      </c>
      <c r="D137" s="5">
        <f>_xll.SNL.Clients.Office.Excel.Functions.SPG(A137, "IQ_DILUT_EPS_NORM", "CY2023")</f>
        <v>3.7050000000000001</v>
      </c>
      <c r="E137">
        <f t="shared" si="26"/>
        <v>582792.79500000004</v>
      </c>
      <c r="F137">
        <f t="shared" si="27"/>
        <v>0.14146912085127208</v>
      </c>
      <c r="G137" s="5">
        <f>_xll.SNL.Clients.Office.Excel.Functions.SPG(A137, "SP_MARKETCAP", "12/30/2023")</f>
        <v>17199.288107820001</v>
      </c>
      <c r="H137">
        <f t="shared" si="31"/>
        <v>4.093430747104563E-4</v>
      </c>
      <c r="I137">
        <f t="shared" si="32"/>
        <v>1.5166160918022407E-3</v>
      </c>
      <c r="K137" t="s">
        <v>137</v>
      </c>
      <c r="L137" s="4" cm="1">
        <f t="array" ref="L137">_xll.SNL.Clients.Office.Excel.Functions.SPG(K137, "SP_TOTAL_REV", "CY2023")</f>
        <v>4119576</v>
      </c>
      <c r="M137" s="4">
        <f>_xll.SNL.Clients.Office.Excel.Functions.SPG(K137,"IQ_AVG_DILUT_SHARES_OUT","CY2023")</f>
        <v>157299000</v>
      </c>
      <c r="N137" s="5">
        <f>_xll.SNL.Clients.Office.Excel.Functions.SPG(K137, "IQ_DILUT_EPS_NORM", "CY2023")</f>
        <v>3.7050000000000001</v>
      </c>
      <c r="O137">
        <f t="shared" si="28"/>
        <v>582792.79500000004</v>
      </c>
      <c r="P137">
        <f t="shared" si="29"/>
        <v>0.14146912085127208</v>
      </c>
      <c r="Q137" s="5">
        <f>_xll.SNL.Clients.Office.Excel.Functions.SPG(K137, "SP_MARKETCAP", "12/31/2022")</f>
        <v>10564.486185492817</v>
      </c>
      <c r="R137">
        <f t="shared" si="33"/>
        <v>3.1353493669203098E-4</v>
      </c>
      <c r="S137">
        <f t="shared" si="34"/>
        <v>1.1616469404439748E-3</v>
      </c>
      <c r="U137" t="s">
        <v>137</v>
      </c>
      <c r="V137" s="4" cm="1">
        <f t="array" ref="V137">_xll.SNL.Clients.Office.Excel.Functions.SPG(U137, "SP_TOTAL_REV", "CY2021")</f>
        <v>2975520</v>
      </c>
      <c r="W137" s="4">
        <f>_xll.SNL.Clients.Office.Excel.Functions.SPG(U137,"IQ_AVG_DILUT_SHARES_OUT","CY2021")</f>
        <v>168316500</v>
      </c>
      <c r="X137" s="5">
        <f>_xll.SNL.Clients.Office.Excel.Functions.SPG(U137, "IQ_DILUT_EPS_NORM", "CY2021")</f>
        <v>2.0499999999999998</v>
      </c>
      <c r="Y137">
        <f t="shared" si="35"/>
        <v>345048.82499999995</v>
      </c>
      <c r="Z137">
        <f t="shared" si="36"/>
        <v>0.11596252923858685</v>
      </c>
      <c r="AA137" s="5">
        <f>_xll.SNL.Clients.Office.Excel.Functions.SPG(U137, "SP_MARKETCAP", "12/31/2021")</f>
        <v>10054.52072740752</v>
      </c>
      <c r="AB137">
        <f t="shared" si="30"/>
        <v>2.3695997775351912E-4</v>
      </c>
      <c r="AC137">
        <f t="shared" si="37"/>
        <v>4.8576795439471415E-4</v>
      </c>
    </row>
    <row r="138" spans="1:29" x14ac:dyDescent="0.3">
      <c r="A138" t="s">
        <v>138</v>
      </c>
      <c r="B138" s="4" cm="1">
        <f t="array" ref="B138">_xll.SNL.Clients.Office.Excel.Functions.SPG(A138, "SP_TOTAL_REV", "CY2023")</f>
        <v>60755000</v>
      </c>
      <c r="C138" s="4">
        <f>_xll.SNL.Clients.Office.Excel.Functions.SPG(A138,"IQ_AVG_DILUT_SHARES_OUT","CY2023")</f>
        <v>289100000</v>
      </c>
      <c r="D138" s="5">
        <f>_xll.SNL.Clients.Office.Excel.Functions.SPG(A138, "IQ_DILUT_EPS_NORM", "CY2023")</f>
        <v>27.603000000000002</v>
      </c>
      <c r="E138">
        <f t="shared" si="26"/>
        <v>7980027.2999999998</v>
      </c>
      <c r="F138">
        <f t="shared" si="27"/>
        <v>0.13134766356678462</v>
      </c>
      <c r="G138" s="5">
        <f>_xll.SNL.Clients.Office.Excel.Functions.SPG(A138, "SP_MARKETCAP", "12/30/2023")</f>
        <v>112065.74359254001</v>
      </c>
      <c r="H138">
        <f t="shared" si="31"/>
        <v>2.667164813119603E-3</v>
      </c>
      <c r="I138">
        <f t="shared" si="32"/>
        <v>7.3621750336540406E-2</v>
      </c>
      <c r="K138" t="s">
        <v>138</v>
      </c>
      <c r="L138" s="4" cm="1">
        <f t="array" ref="L138">_xll.SNL.Clients.Office.Excel.Functions.SPG(K138, "SP_TOTAL_REV", "CY2023")</f>
        <v>60755000</v>
      </c>
      <c r="M138" s="4">
        <f>_xll.SNL.Clients.Office.Excel.Functions.SPG(K138,"IQ_AVG_DILUT_SHARES_OUT","CY2023")</f>
        <v>289100000</v>
      </c>
      <c r="N138" s="5">
        <f>_xll.SNL.Clients.Office.Excel.Functions.SPG(K138, "IQ_DILUT_EPS_NORM", "CY2023")</f>
        <v>27.603000000000002</v>
      </c>
      <c r="O138">
        <f t="shared" si="28"/>
        <v>7980027.2999999998</v>
      </c>
      <c r="P138">
        <f t="shared" si="29"/>
        <v>0.13134766356678462</v>
      </c>
      <c r="Q138" s="5">
        <f>_xll.SNL.Clients.Office.Excel.Functions.SPG(K138, "SP_MARKETCAP", "12/31/2022")</f>
        <v>127872.20631132</v>
      </c>
      <c r="R138">
        <f t="shared" si="33"/>
        <v>3.7950169470186866E-3</v>
      </c>
      <c r="S138">
        <f t="shared" si="34"/>
        <v>0.10475385278855681</v>
      </c>
      <c r="U138" t="s">
        <v>138</v>
      </c>
      <c r="V138" s="4" cm="1">
        <f t="array" ref="V138">_xll.SNL.Clients.Office.Excel.Functions.SPG(U138, "SP_TOTAL_REV", "CY2021")</f>
        <v>44440000</v>
      </c>
      <c r="W138" s="4">
        <f>_xll.SNL.Clients.Office.Excel.Functions.SPG(U138,"IQ_AVG_DILUT_SHARES_OUT","CY2021")</f>
        <v>312325000</v>
      </c>
      <c r="X138" s="5">
        <f>_xll.SNL.Clients.Office.Excel.Functions.SPG(U138, "IQ_DILUT_EPS_NORM", "CY2021")</f>
        <v>14.372</v>
      </c>
      <c r="Y138">
        <f t="shared" si="35"/>
        <v>4488734.9000000004</v>
      </c>
      <c r="Z138">
        <f t="shared" si="36"/>
        <v>0.10100663591359137</v>
      </c>
      <c r="AA138" s="5">
        <f>_xll.SNL.Clients.Office.Excel.Functions.SPG(U138, "SP_MARKETCAP", "12/31/2021")</f>
        <v>105406.88292498</v>
      </c>
      <c r="AB138">
        <f t="shared" si="30"/>
        <v>2.4841773476965358E-3</v>
      </c>
      <c r="AC138">
        <f t="shared" si="37"/>
        <v>3.5702596841094614E-2</v>
      </c>
    </row>
    <row r="139" spans="1:29" x14ac:dyDescent="0.3">
      <c r="A139" t="s">
        <v>139</v>
      </c>
      <c r="B139" s="4" cm="1">
        <f t="array" ref="B139">_xll.SNL.Clients.Office.Excel.Functions.SPG(A139, "SP_TOTAL_REV", "CY2023")</f>
        <v>88425000</v>
      </c>
      <c r="C139" s="4">
        <f>_xll.SNL.Clients.Office.Excel.Functions.SPG(A139,"IQ_AVG_DILUT_SHARES_OUT","CY2023")</f>
        <v>736000000</v>
      </c>
      <c r="D139" s="5">
        <f>_xll.SNL.Clients.Office.Excel.Functions.SPG(A139, "IQ_DILUT_EPS_NORM", "CY2023")</f>
        <v>3.7749999999999999</v>
      </c>
      <c r="E139">
        <f t="shared" si="26"/>
        <v>2778400</v>
      </c>
      <c r="F139">
        <f t="shared" si="27"/>
        <v>3.1420978230138535E-2</v>
      </c>
      <c r="G139" s="5">
        <f>_xll.SNL.Clients.Office.Excel.Functions.SPG(A139, "SP_MARKETCAP", "12/30/2023")</f>
        <v>54437.484991999998</v>
      </c>
      <c r="H139">
        <f t="shared" si="31"/>
        <v>1.2956121989722302E-3</v>
      </c>
      <c r="I139">
        <f t="shared" si="32"/>
        <v>4.8909360511201691E-3</v>
      </c>
      <c r="K139" t="s">
        <v>139</v>
      </c>
      <c r="L139" s="4" cm="1">
        <f t="array" ref="L139">_xll.SNL.Clients.Office.Excel.Functions.SPG(K139, "SP_TOTAL_REV", "CY2023")</f>
        <v>88425000</v>
      </c>
      <c r="M139" s="4">
        <f>_xll.SNL.Clients.Office.Excel.Functions.SPG(K139,"IQ_AVG_DILUT_SHARES_OUT","CY2023")</f>
        <v>736000000</v>
      </c>
      <c r="N139" s="5">
        <f>_xll.SNL.Clients.Office.Excel.Functions.SPG(K139, "IQ_DILUT_EPS_NORM", "CY2023")</f>
        <v>3.7749999999999999</v>
      </c>
      <c r="O139">
        <f t="shared" si="28"/>
        <v>2778400</v>
      </c>
      <c r="P139">
        <f t="shared" si="29"/>
        <v>3.1420978230138535E-2</v>
      </c>
      <c r="Q139" s="5">
        <f>_xll.SNL.Clients.Office.Excel.Functions.SPG(K139, "SP_MARKETCAP", "12/31/2022")</f>
        <v>28802.680065</v>
      </c>
      <c r="R139">
        <f t="shared" si="33"/>
        <v>8.5481170708912545E-4</v>
      </c>
      <c r="S139">
        <f t="shared" si="34"/>
        <v>3.2269141942614485E-3</v>
      </c>
      <c r="U139" t="s">
        <v>139</v>
      </c>
      <c r="V139" s="4" cm="1">
        <f t="array" ref="V139">_xll.SNL.Clients.Office.Excel.Functions.SPG(U139, "SP_TOTAL_REV", "CY2021")</f>
        <v>101197000</v>
      </c>
      <c r="W139" s="4">
        <f>_xll.SNL.Clients.Office.Excel.Functions.SPG(U139,"IQ_AVG_DILUT_SHARES_OUT","CY2021")</f>
        <v>791000000</v>
      </c>
      <c r="X139" s="5">
        <f>_xll.SNL.Clients.Office.Excel.Functions.SPG(U139, "IQ_DILUT_EPS_NORM", "CY2021")</f>
        <v>2.4510000000000001</v>
      </c>
      <c r="Y139">
        <f t="shared" si="35"/>
        <v>1938741</v>
      </c>
      <c r="Z139">
        <f t="shared" si="36"/>
        <v>1.9158087690346551E-2</v>
      </c>
      <c r="AA139" s="5">
        <f>_xll.SNL.Clients.Office.Excel.Functions.SPG(U139, "SP_MARKETCAP", "12/31/2021")</f>
        <v>42907.416125000003</v>
      </c>
      <c r="AB139">
        <f t="shared" si="30"/>
        <v>1.0112207877523128E-3</v>
      </c>
      <c r="AC139">
        <f t="shared" si="37"/>
        <v>2.4785021507809186E-3</v>
      </c>
    </row>
    <row r="140" spans="1:29" x14ac:dyDescent="0.3">
      <c r="A140" t="s">
        <v>140</v>
      </c>
      <c r="B140" s="4" cm="1">
        <f t="array" ref="B140">_xll.SNL.Clients.Office.Excel.Functions.SPG(A140, "SP_TOTAL_REV", "CY2023")</f>
        <v>58048000</v>
      </c>
      <c r="C140" s="4">
        <f>_xll.SNL.Clients.Office.Excel.Functions.SPG(A140,"IQ_AVG_DILUT_SHARES_OUT","CY2023")</f>
        <v>643000000</v>
      </c>
      <c r="D140" s="5">
        <f>_xll.SNL.Clients.Office.Excel.Functions.SPG(A140, "IQ_DILUT_EPS_NORM", "CY2023")</f>
        <v>5.0739999999999998</v>
      </c>
      <c r="E140">
        <f t="shared" si="26"/>
        <v>3262582</v>
      </c>
      <c r="F140">
        <f t="shared" si="27"/>
        <v>5.620489939360529E-2</v>
      </c>
      <c r="G140" s="5">
        <f>_xll.SNL.Clients.Office.Excel.Functions.SPG(A140, "SP_MARKETCAP", "12/30/2023")</f>
        <v>25761.513834000001</v>
      </c>
      <c r="H140">
        <f t="shared" si="31"/>
        <v>6.1312405582710633E-4</v>
      </c>
      <c r="I140">
        <f t="shared" si="32"/>
        <v>3.1109914592667375E-3</v>
      </c>
      <c r="K140" t="s">
        <v>140</v>
      </c>
      <c r="L140" s="4" cm="1">
        <f t="array" ref="L140">_xll.SNL.Clients.Office.Excel.Functions.SPG(K140, "SP_TOTAL_REV", "CY2023")</f>
        <v>58048000</v>
      </c>
      <c r="M140" s="4">
        <f>_xll.SNL.Clients.Office.Excel.Functions.SPG(K140,"IQ_AVG_DILUT_SHARES_OUT","CY2023")</f>
        <v>643000000</v>
      </c>
      <c r="N140" s="5">
        <f>_xll.SNL.Clients.Office.Excel.Functions.SPG(K140, "IQ_DILUT_EPS_NORM", "CY2023")</f>
        <v>5.0739999999999998</v>
      </c>
      <c r="O140">
        <f t="shared" si="28"/>
        <v>3262582</v>
      </c>
      <c r="P140">
        <f t="shared" si="29"/>
        <v>5.620489939360529E-2</v>
      </c>
      <c r="Q140" s="5">
        <f>_xll.SNL.Clients.Office.Excel.Functions.SPG(K140, "SP_MARKETCAP", "12/31/2022")</f>
        <v>21030.85405948</v>
      </c>
      <c r="R140">
        <f t="shared" si="33"/>
        <v>6.2415789848569987E-4</v>
      </c>
      <c r="S140">
        <f t="shared" si="34"/>
        <v>3.1669771769164412E-3</v>
      </c>
      <c r="U140" t="s">
        <v>140</v>
      </c>
      <c r="V140" s="4" cm="1">
        <f t="array" ref="V140">_xll.SNL.Clients.Office.Excel.Functions.SPG(U140, "SP_TOTAL_REV", "CY2021")</f>
        <v>29899000</v>
      </c>
      <c r="W140" s="4">
        <f>_xll.SNL.Clients.Office.Excel.Functions.SPG(U140,"IQ_AVG_DILUT_SHARES_OUT","CY2021")</f>
        <v>641000000</v>
      </c>
      <c r="X140" s="5">
        <f>_xll.SNL.Clients.Office.Excel.Functions.SPG(U140, "IQ_DILUT_EPS_NORM", "CY2021")</f>
        <v>-3.7549999999999999</v>
      </c>
      <c r="Y140">
        <f t="shared" si="35"/>
        <v>-2406955</v>
      </c>
      <c r="Z140">
        <f t="shared" si="36"/>
        <v>-8.0502859627412285E-2</v>
      </c>
      <c r="AA140" s="5">
        <f>_xll.SNL.Clients.Office.Excel.Functions.SPG(U140, "SP_MARKETCAP", "12/31/2021")</f>
        <v>24925.108245039999</v>
      </c>
      <c r="AB140">
        <f t="shared" si="30"/>
        <v>5.8742263856982624E-4</v>
      </c>
      <c r="AC140">
        <f t="shared" si="37"/>
        <v>-2.2057720078296973E-3</v>
      </c>
    </row>
    <row r="141" spans="1:29" x14ac:dyDescent="0.3">
      <c r="A141" t="s">
        <v>141</v>
      </c>
      <c r="B141" s="4" cm="1">
        <f t="array" ref="B141">_xll.SNL.Clients.Office.Excel.Functions.SPG(A141, "SP_TOTAL_REV", "CY2023")</f>
        <v>14427000</v>
      </c>
      <c r="C141" s="4">
        <f>_xll.SNL.Clients.Office.Excel.Functions.SPG(A141,"IQ_AVG_DILUT_SHARES_OUT","CY2023")</f>
        <v>642000000</v>
      </c>
      <c r="D141" s="5">
        <f>_xll.SNL.Clients.Office.Excel.Functions.SPG(A141, "IQ_DILUT_EPS_NORM", "CY2023")</f>
        <v>4.4169999999999998</v>
      </c>
      <c r="E141">
        <f t="shared" si="26"/>
        <v>2835714</v>
      </c>
      <c r="F141">
        <f t="shared" si="27"/>
        <v>0.19655604075691413</v>
      </c>
      <c r="G141" s="5">
        <f>_xll.SNL.Clients.Office.Excel.Functions.SPG(A141, "SP_MARKETCAP", "12/30/2023")</f>
        <v>29023.574100000002</v>
      </c>
      <c r="H141">
        <f t="shared" si="31"/>
        <v>6.9076109352334252E-4</v>
      </c>
      <c r="I141">
        <f t="shared" si="32"/>
        <v>3.0510917500926036E-3</v>
      </c>
      <c r="K141" t="s">
        <v>141</v>
      </c>
      <c r="L141" s="4" cm="1">
        <f t="array" ref="L141">_xll.SNL.Clients.Office.Excel.Functions.SPG(K141, "SP_TOTAL_REV", "CY2023")</f>
        <v>14427000</v>
      </c>
      <c r="M141" s="4">
        <f>_xll.SNL.Clients.Office.Excel.Functions.SPG(K141,"IQ_AVG_DILUT_SHARES_OUT","CY2023")</f>
        <v>642000000</v>
      </c>
      <c r="N141" s="5">
        <f>_xll.SNL.Clients.Office.Excel.Functions.SPG(K141, "IQ_DILUT_EPS_NORM", "CY2023")</f>
        <v>4.4169999999999998</v>
      </c>
      <c r="O141">
        <f t="shared" si="28"/>
        <v>2835714</v>
      </c>
      <c r="P141">
        <f t="shared" si="29"/>
        <v>0.19655604075691413</v>
      </c>
      <c r="Q141" s="5">
        <f>_xll.SNL.Clients.Office.Excel.Functions.SPG(K141, "SP_MARKETCAP", "12/31/2022")</f>
        <v>40209.087</v>
      </c>
      <c r="R141">
        <f t="shared" si="33"/>
        <v>1.193333336390867E-3</v>
      </c>
      <c r="S141">
        <f t="shared" si="34"/>
        <v>5.2709533468384591E-3</v>
      </c>
      <c r="U141" t="s">
        <v>141</v>
      </c>
      <c r="V141" s="4" cm="1">
        <f t="array" ref="V141">_xll.SNL.Clients.Office.Excel.Functions.SPG(U141, "SP_TOTAL_REV", "CY2021")</f>
        <v>13750000</v>
      </c>
      <c r="W141" s="4">
        <f>_xll.SNL.Clients.Office.Excel.Functions.SPG(U141,"IQ_AVG_DILUT_SHARES_OUT","CY2021")</f>
        <v>665000000</v>
      </c>
      <c r="X141" s="5">
        <f>_xll.SNL.Clients.Office.Excel.Functions.SPG(U141, "IQ_DILUT_EPS_NORM", "CY2021")</f>
        <v>2.75</v>
      </c>
      <c r="Y141">
        <f t="shared" si="35"/>
        <v>1828750</v>
      </c>
      <c r="Z141">
        <f t="shared" si="36"/>
        <v>0.13300000000000001</v>
      </c>
      <c r="AA141" s="5">
        <f>_xll.SNL.Clients.Office.Excel.Functions.SPG(U141, "SP_MARKETCAP", "12/31/2021")</f>
        <v>29811.317997400001</v>
      </c>
      <c r="AB141">
        <f t="shared" si="30"/>
        <v>7.0257841631486781E-4</v>
      </c>
      <c r="AC141">
        <f t="shared" si="37"/>
        <v>1.9320906448658864E-3</v>
      </c>
    </row>
    <row r="142" spans="1:29" x14ac:dyDescent="0.3">
      <c r="A142" t="s">
        <v>142</v>
      </c>
      <c r="B142" s="4" cm="1">
        <f t="array" ref="B142">_xll.SNL.Clients.Office.Excel.Functions.SPG(A142, "SP_TOTAL_REV", "CY2023")</f>
        <v>3622300</v>
      </c>
      <c r="C142" s="4">
        <f>_xll.SNL.Clients.Office.Excel.Functions.SPG(A142,"IQ_AVG_DILUT_SHARES_OUT","CY2023")</f>
        <v>425500000</v>
      </c>
      <c r="D142" s="5">
        <f>_xll.SNL.Clients.Office.Excel.Functions.SPG(A142, "IQ_DILUT_EPS_NORM", "CY2023")</f>
        <v>1.0409999999999999</v>
      </c>
      <c r="E142">
        <f t="shared" si="26"/>
        <v>442945.49999999994</v>
      </c>
      <c r="F142">
        <f t="shared" si="27"/>
        <v>0.12228294177732378</v>
      </c>
      <c r="G142" s="5">
        <f>_xll.SNL.Clients.Office.Excel.Functions.SPG(A142, "SP_MARKETCAP", "12/30/2023")</f>
        <v>47945.141594150002</v>
      </c>
      <c r="H142">
        <f t="shared" si="31"/>
        <v>1.141094419405312E-3</v>
      </c>
      <c r="I142">
        <f t="shared" si="32"/>
        <v>1.1878792906009296E-3</v>
      </c>
      <c r="K142" t="s">
        <v>142</v>
      </c>
      <c r="L142" s="4" cm="1">
        <f t="array" ref="L142">_xll.SNL.Clients.Office.Excel.Functions.SPG(K142, "SP_TOTAL_REV", "CY2023")</f>
        <v>3622300</v>
      </c>
      <c r="M142" s="4">
        <f>_xll.SNL.Clients.Office.Excel.Functions.SPG(K142,"IQ_AVG_DILUT_SHARES_OUT","CY2023")</f>
        <v>425500000</v>
      </c>
      <c r="N142" s="5">
        <f>_xll.SNL.Clients.Office.Excel.Functions.SPG(K142, "IQ_DILUT_EPS_NORM", "CY2023")</f>
        <v>1.0409999999999999</v>
      </c>
      <c r="O142">
        <f t="shared" si="28"/>
        <v>442945.49999999994</v>
      </c>
      <c r="P142">
        <f t="shared" si="29"/>
        <v>0.12228294177732378</v>
      </c>
      <c r="Q142" s="5">
        <f>_xll.SNL.Clients.Office.Excel.Functions.SPG(K142, "SP_MARKETCAP", "12/31/2022")</f>
        <v>43739.870074999999</v>
      </c>
      <c r="R142">
        <f t="shared" si="33"/>
        <v>1.2981206235770234E-3</v>
      </c>
      <c r="S142">
        <f t="shared" si="34"/>
        <v>1.3513435691436813E-3</v>
      </c>
      <c r="U142" t="s">
        <v>142</v>
      </c>
      <c r="V142" s="4" cm="1">
        <f t="array" ref="V142">_xll.SNL.Clients.Office.Excel.Functions.SPG(U142, "SP_TOTAL_REV", "CY2021")</f>
        <v>2448500</v>
      </c>
      <c r="W142" s="4">
        <f>_xll.SNL.Clients.Office.Excel.Functions.SPG(U142,"IQ_AVG_DILUT_SHARES_OUT","CY2021")</f>
        <v>428800000</v>
      </c>
      <c r="X142" s="5">
        <f>_xll.SNL.Clients.Office.Excel.Functions.SPG(U142, "IQ_DILUT_EPS_NORM", "CY2021")</f>
        <v>0.35799999999999998</v>
      </c>
      <c r="Y142">
        <f t="shared" si="35"/>
        <v>153510.39999999999</v>
      </c>
      <c r="Z142">
        <f t="shared" si="36"/>
        <v>6.2695691239534404E-2</v>
      </c>
      <c r="AA142" s="5">
        <f>_xll.SNL.Clients.Office.Excel.Functions.SPG(U142, "SP_MARKETCAP", "12/31/2021")</f>
        <v>52042.286156299997</v>
      </c>
      <c r="AB142">
        <f t="shared" si="30"/>
        <v>1.2265068921906552E-3</v>
      </c>
      <c r="AC142">
        <f t="shared" si="37"/>
        <v>4.3908946740425455E-4</v>
      </c>
    </row>
    <row r="143" spans="1:29" x14ac:dyDescent="0.3">
      <c r="A143" t="s">
        <v>143</v>
      </c>
      <c r="B143" s="4" cm="1">
        <f t="array" ref="B143">_xll.SNL.Clients.Office.Excel.Functions.SPG(A143, "SP_TOTAL_REV", "CY2023")</f>
        <v>7959000</v>
      </c>
      <c r="C143" s="4">
        <f>_xll.SNL.Clients.Office.Excel.Functions.SPG(A143,"IQ_AVG_DILUT_SHARES_OUT","CY2023")</f>
        <v>179999000</v>
      </c>
      <c r="D143" s="5">
        <f>_xll.SNL.Clients.Office.Excel.Functions.SPG(A143, "IQ_DILUT_EPS_NORM", "CY2023")</f>
        <v>13.423999999999999</v>
      </c>
      <c r="E143">
        <f t="shared" si="26"/>
        <v>2416306.5759999999</v>
      </c>
      <c r="F143">
        <f t="shared" si="27"/>
        <v>0.30359424249277545</v>
      </c>
      <c r="G143" s="5">
        <f>_xll.SNL.Clients.Office.Excel.Functions.SPG(A143, "SP_MARKETCAP", "12/30/2023")</f>
        <v>27756.97999788</v>
      </c>
      <c r="H143">
        <f t="shared" si="31"/>
        <v>6.6061615258615361E-4</v>
      </c>
      <c r="I143">
        <f t="shared" si="32"/>
        <v>8.8681112323165251E-3</v>
      </c>
      <c r="K143" t="s">
        <v>143</v>
      </c>
      <c r="L143" s="4" cm="1">
        <f t="array" ref="L143">_xll.SNL.Clients.Office.Excel.Functions.SPG(K143, "SP_TOTAL_REV", "CY2023")</f>
        <v>7959000</v>
      </c>
      <c r="M143" s="4">
        <f>_xll.SNL.Clients.Office.Excel.Functions.SPG(K143,"IQ_AVG_DILUT_SHARES_OUT","CY2023")</f>
        <v>179999000</v>
      </c>
      <c r="N143" s="5">
        <f>_xll.SNL.Clients.Office.Excel.Functions.SPG(K143, "IQ_DILUT_EPS_NORM", "CY2023")</f>
        <v>13.423999999999999</v>
      </c>
      <c r="O143">
        <f t="shared" si="28"/>
        <v>2416306.5759999999</v>
      </c>
      <c r="P143">
        <f t="shared" si="29"/>
        <v>0.30359424249277545</v>
      </c>
      <c r="Q143" s="5">
        <f>_xll.SNL.Clients.Office.Excel.Functions.SPG(K143, "SP_MARKETCAP", "12/31/2022")</f>
        <v>24073.085362059999</v>
      </c>
      <c r="R143">
        <f t="shared" si="33"/>
        <v>7.1444584833098052E-4</v>
      </c>
      <c r="S143">
        <f t="shared" si="34"/>
        <v>9.5907210679950818E-3</v>
      </c>
      <c r="U143" t="s">
        <v>143</v>
      </c>
      <c r="V143" s="4" cm="1">
        <f t="array" ref="V143">_xll.SNL.Clients.Office.Excel.Functions.SPG(U143, "SP_TOTAL_REV", "CY2021")</f>
        <v>6747000</v>
      </c>
      <c r="W143" s="4">
        <f>_xll.SNL.Clients.Office.Excel.Functions.SPG(U143,"IQ_AVG_DILUT_SHARES_OUT","CY2021")</f>
        <v>176643000</v>
      </c>
      <c r="X143" s="5">
        <f>_xll.SNL.Clients.Office.Excel.Functions.SPG(U143, "IQ_DILUT_EPS_NORM", "CY2021")</f>
        <v>10.295</v>
      </c>
      <c r="Y143">
        <f t="shared" si="35"/>
        <v>1818539.6850000001</v>
      </c>
      <c r="Z143">
        <f t="shared" si="36"/>
        <v>0.26953307914628727</v>
      </c>
      <c r="AA143" s="5">
        <f>_xll.SNL.Clients.Office.Excel.Functions.SPG(U143, "SP_MARKETCAP", "12/31/2021")</f>
        <v>19539.675109650001</v>
      </c>
      <c r="AB143">
        <f t="shared" si="30"/>
        <v>4.6050141074078789E-4</v>
      </c>
      <c r="AC143">
        <f t="shared" si="37"/>
        <v>4.740862023576411E-3</v>
      </c>
    </row>
    <row r="144" spans="1:29" x14ac:dyDescent="0.3">
      <c r="A144" t="s">
        <v>144</v>
      </c>
      <c r="B144" s="4" cm="1">
        <f t="array" ref="B144">_xll.SNL.Clients.Office.Excel.Functions.SPG(A144, "SP_TOTAL_REV", "CY2023")</f>
        <v>5515702</v>
      </c>
      <c r="C144" s="4">
        <f>_xll.SNL.Clients.Office.Excel.Functions.SPG(A144,"IQ_AVG_DILUT_SHARES_OUT","CY2023")</f>
        <v>309065000</v>
      </c>
      <c r="D144" s="5">
        <f>_xll.SNL.Clients.Office.Excel.Functions.SPG(A144, "IQ_DILUT_EPS_NORM", "CY2023")</f>
        <v>0.65900000000000003</v>
      </c>
      <c r="E144">
        <f t="shared" si="26"/>
        <v>203673.83499999999</v>
      </c>
      <c r="F144">
        <f t="shared" si="27"/>
        <v>3.6926185461070953E-2</v>
      </c>
      <c r="G144" s="5">
        <f>_xll.SNL.Clients.Office.Excel.Functions.SPG(A144, "SP_MARKETCAP", "12/30/2023")</f>
        <v>40757.834272200002</v>
      </c>
      <c r="H144">
        <f t="shared" si="31"/>
        <v>9.7003649772782604E-4</v>
      </c>
      <c r="I144">
        <f t="shared" si="32"/>
        <v>6.3925405200263735E-4</v>
      </c>
      <c r="K144" t="s">
        <v>144</v>
      </c>
      <c r="L144" s="4" cm="1">
        <f t="array" ref="L144">_xll.SNL.Clients.Office.Excel.Functions.SPG(K144, "SP_TOTAL_REV", "CY2023")</f>
        <v>5515702</v>
      </c>
      <c r="M144" s="4">
        <f>_xll.SNL.Clients.Office.Excel.Functions.SPG(K144,"IQ_AVG_DILUT_SHARES_OUT","CY2023")</f>
        <v>309065000</v>
      </c>
      <c r="N144" s="5">
        <f>_xll.SNL.Clients.Office.Excel.Functions.SPG(K144, "IQ_DILUT_EPS_NORM", "CY2023")</f>
        <v>0.65900000000000003</v>
      </c>
      <c r="O144">
        <f t="shared" si="28"/>
        <v>203673.83499999999</v>
      </c>
      <c r="P144">
        <f t="shared" si="29"/>
        <v>3.6926185461070953E-2</v>
      </c>
      <c r="Q144" s="5">
        <f>_xll.SNL.Clients.Office.Excel.Functions.SPG(K144, "SP_MARKETCAP", "12/31/2022")</f>
        <v>28829.858514250001</v>
      </c>
      <c r="R144">
        <f t="shared" si="33"/>
        <v>8.5561831454881315E-4</v>
      </c>
      <c r="S144">
        <f t="shared" si="34"/>
        <v>5.6385246928766786E-4</v>
      </c>
      <c r="U144" t="s">
        <v>144</v>
      </c>
      <c r="V144" s="4" cm="1">
        <f t="array" ref="V144">_xll.SNL.Clients.Office.Excel.Functions.SPG(U144, "SP_TOTAL_REV", "CY2021")</f>
        <v>4421373</v>
      </c>
      <c r="W144" s="4">
        <f>_xll.SNL.Clients.Office.Excel.Functions.SPG(U144,"IQ_AVG_DILUT_SHARES_OUT","CY2021")</f>
        <v>283222000</v>
      </c>
      <c r="X144" s="5">
        <f>_xll.SNL.Clients.Office.Excel.Functions.SPG(U144, "IQ_DILUT_EPS_NORM", "CY2021")</f>
        <v>1.0209999999999999</v>
      </c>
      <c r="Y144">
        <f t="shared" si="35"/>
        <v>289169.66200000001</v>
      </c>
      <c r="Z144">
        <f t="shared" si="36"/>
        <v>6.5402684188825513E-2</v>
      </c>
      <c r="AA144" s="5">
        <f>_xll.SNL.Clients.Office.Excel.Functions.SPG(U144, "SP_MARKETCAP", "12/31/2021")</f>
        <v>50193.48734272</v>
      </c>
      <c r="AB144">
        <f t="shared" si="30"/>
        <v>1.1829353150251262E-3</v>
      </c>
      <c r="AC144">
        <f t="shared" si="37"/>
        <v>1.2077769566406537E-3</v>
      </c>
    </row>
    <row r="145" spans="1:29" x14ac:dyDescent="0.3">
      <c r="A145" t="s">
        <v>145</v>
      </c>
      <c r="B145" s="4" cm="1">
        <f t="array" ref="B145">_xll.SNL.Clients.Office.Excel.Functions.SPG(A145, "SP_TOTAL_REV", "CY2023")</f>
        <v>9776000</v>
      </c>
      <c r="C145" s="4">
        <f>_xll.SNL.Clients.Office.Excel.Functions.SPG(A145,"IQ_AVG_DILUT_SHARES_OUT","CY2023")</f>
        <v>254000000</v>
      </c>
      <c r="D145" s="5">
        <f>_xll.SNL.Clients.Office.Excel.Functions.SPG(A145, "IQ_DILUT_EPS_NORM", "CY2023")</f>
        <v>9.2720000000000002</v>
      </c>
      <c r="E145">
        <f t="shared" si="26"/>
        <v>2355088</v>
      </c>
      <c r="F145">
        <f t="shared" si="27"/>
        <v>0.2409050736497545</v>
      </c>
      <c r="G145" s="5">
        <f>_xll.SNL.Clients.Office.Excel.Functions.SPG(A145, "SP_MARKETCAP", "12/30/2023")</f>
        <v>28106.514142</v>
      </c>
      <c r="H145">
        <f t="shared" si="31"/>
        <v>6.6893506557682062E-4</v>
      </c>
      <c r="I145">
        <f t="shared" si="32"/>
        <v>6.2023659280282806E-3</v>
      </c>
      <c r="K145" t="s">
        <v>145</v>
      </c>
      <c r="L145" s="4" cm="1">
        <f t="array" ref="L145">_xll.SNL.Clients.Office.Excel.Functions.SPG(K145, "SP_TOTAL_REV", "CY2023")</f>
        <v>9776000</v>
      </c>
      <c r="M145" s="4">
        <f>_xll.SNL.Clients.Office.Excel.Functions.SPG(K145,"IQ_AVG_DILUT_SHARES_OUT","CY2023")</f>
        <v>254000000</v>
      </c>
      <c r="N145" s="5">
        <f>_xll.SNL.Clients.Office.Excel.Functions.SPG(K145, "IQ_DILUT_EPS_NORM", "CY2023")</f>
        <v>9.2720000000000002</v>
      </c>
      <c r="O145">
        <f t="shared" si="28"/>
        <v>2355088</v>
      </c>
      <c r="P145">
        <f t="shared" si="29"/>
        <v>0.2409050736497545</v>
      </c>
      <c r="Q145" s="5">
        <f>_xll.SNL.Clients.Office.Excel.Functions.SPG(K145, "SP_MARKETCAP", "12/31/2022")</f>
        <v>26729.676589949999</v>
      </c>
      <c r="R145">
        <f t="shared" si="33"/>
        <v>7.9328869481005331E-4</v>
      </c>
      <c r="S145">
        <f t="shared" si="34"/>
        <v>7.3553727782788144E-3</v>
      </c>
      <c r="U145" t="s">
        <v>145</v>
      </c>
      <c r="V145" s="4" cm="1">
        <f t="array" ref="V145">_xll.SNL.Clients.Office.Excel.Functions.SPG(U145, "SP_TOTAL_REV", "CY2021")</f>
        <v>11789000</v>
      </c>
      <c r="W145" s="4">
        <f>_xll.SNL.Clients.Office.Excel.Functions.SPG(U145,"IQ_AVG_DILUT_SHARES_OUT","CY2021")</f>
        <v>300000000</v>
      </c>
      <c r="X145" s="5">
        <f>_xll.SNL.Clients.Office.Excel.Functions.SPG(U145, "IQ_DILUT_EPS_NORM", "CY2021")</f>
        <v>14.94</v>
      </c>
      <c r="Y145">
        <f t="shared" si="35"/>
        <v>4482000</v>
      </c>
      <c r="Z145">
        <f t="shared" si="36"/>
        <v>0.38018491814403255</v>
      </c>
      <c r="AA145" s="5">
        <f>_xll.SNL.Clients.Office.Excel.Functions.SPG(U145, "SP_MARKETCAP", "12/31/2021")</f>
        <v>33867.834132240001</v>
      </c>
      <c r="AB145">
        <f t="shared" si="30"/>
        <v>7.9818038473572603E-4</v>
      </c>
      <c r="AC145">
        <f t="shared" si="37"/>
        <v>1.1924814947951747E-2</v>
      </c>
    </row>
    <row r="146" spans="1:29" x14ac:dyDescent="0.3">
      <c r="A146" t="s">
        <v>146</v>
      </c>
      <c r="B146" s="4" cm="1">
        <f t="array" ref="B146">_xll.SNL.Clients.Office.Excel.Functions.SPG(A146, "SP_TOTAL_REV", "CY2023")</f>
        <v>38691609</v>
      </c>
      <c r="C146" s="4">
        <f>_xll.SNL.Clients.Office.Excel.Functions.SPG(A146,"IQ_AVG_DILUT_SHARES_OUT","CY2023")</f>
        <v>219938000</v>
      </c>
      <c r="D146" s="5">
        <f>_xll.SNL.Clients.Office.Excel.Functions.SPG(A146, "IQ_DILUT_EPS_NORM", "CY2023")</f>
        <v>6.0419999999999998</v>
      </c>
      <c r="E146">
        <f t="shared" si="26"/>
        <v>1328865.3959999999</v>
      </c>
      <c r="F146">
        <f t="shared" si="27"/>
        <v>3.434505388493924E-2</v>
      </c>
      <c r="G146" s="5">
        <f>_xll.SNL.Clients.Office.Excel.Functions.SPG(A146, "SP_MARKETCAP", "12/30/2023")</f>
        <v>29840.651681300002</v>
      </c>
      <c r="H146">
        <f t="shared" si="31"/>
        <v>7.1020754080125363E-4</v>
      </c>
      <c r="I146">
        <f t="shared" si="32"/>
        <v>4.2910739615211746E-3</v>
      </c>
      <c r="K146" t="s">
        <v>146</v>
      </c>
      <c r="L146" s="4" cm="1">
        <f t="array" ref="L146">_xll.SNL.Clients.Office.Excel.Functions.SPG(K146, "SP_TOTAL_REV", "CY2023")</f>
        <v>38691609</v>
      </c>
      <c r="M146" s="4">
        <f>_xll.SNL.Clients.Office.Excel.Functions.SPG(K146,"IQ_AVG_DILUT_SHARES_OUT","CY2023")</f>
        <v>219938000</v>
      </c>
      <c r="N146" s="5">
        <f>_xll.SNL.Clients.Office.Excel.Functions.SPG(K146, "IQ_DILUT_EPS_NORM", "CY2023")</f>
        <v>6.0419999999999998</v>
      </c>
      <c r="O146">
        <f t="shared" si="28"/>
        <v>1328865.3959999999</v>
      </c>
      <c r="P146">
        <f t="shared" si="29"/>
        <v>3.434505388493924E-2</v>
      </c>
      <c r="Q146" s="5">
        <f>_xll.SNL.Clients.Office.Excel.Functions.SPG(K146, "SP_MARKETCAP", "12/31/2022")</f>
        <v>55055.294253749998</v>
      </c>
      <c r="R146">
        <f t="shared" si="33"/>
        <v>1.6339420484182694E-3</v>
      </c>
      <c r="S146">
        <f t="shared" si="34"/>
        <v>9.8722778565431841E-3</v>
      </c>
      <c r="U146" t="s">
        <v>146</v>
      </c>
      <c r="V146" s="4" cm="1">
        <f t="array" ref="V146">_xll.SNL.Clients.Office.Excel.Functions.SPG(U146, "SP_TOTAL_REV", "CY2021")</f>
        <v>34220449</v>
      </c>
      <c r="W146" s="4">
        <f>_xll.SNL.Clients.Office.Excel.Functions.SPG(U146,"IQ_AVG_DILUT_SHARES_OUT","CY2021")</f>
        <v>235812000</v>
      </c>
      <c r="X146" s="5">
        <f>_xll.SNL.Clients.Office.Excel.Functions.SPG(U146, "IQ_DILUT_EPS_NORM", "CY2021")</f>
        <v>8.1259999999999994</v>
      </c>
      <c r="Y146">
        <f t="shared" si="35"/>
        <v>1916208.3119999997</v>
      </c>
      <c r="Z146">
        <f t="shared" si="36"/>
        <v>5.5996001455153314E-2</v>
      </c>
      <c r="AA146" s="5">
        <f>_xll.SNL.Clients.Office.Excel.Functions.SPG(U146, "SP_MARKETCAP", "12/31/2021")</f>
        <v>54643.344838320001</v>
      </c>
      <c r="AB146">
        <f t="shared" si="30"/>
        <v>1.2878073583329115E-3</v>
      </c>
      <c r="AC146">
        <f t="shared" si="37"/>
        <v>1.0464722593813237E-2</v>
      </c>
    </row>
    <row r="147" spans="1:29" x14ac:dyDescent="0.3">
      <c r="A147" t="s">
        <v>147</v>
      </c>
      <c r="B147" s="4" cm="1">
        <f t="array" ref="B147">_xll.SNL.Clients.Office.Excel.Functions.SPG(A147, "SP_TOTAL_REV", "CY2023")</f>
        <v>30603800</v>
      </c>
      <c r="C147" s="4">
        <f>_xll.SNL.Clients.Office.Excel.Functions.SPG(A147,"IQ_AVG_DILUT_SHARES_OUT","CY2023")</f>
        <v>219500000</v>
      </c>
      <c r="D147" s="5">
        <f>_xll.SNL.Clients.Office.Excel.Functions.SPG(A147, "IQ_DILUT_EPS_NORM", "CY2023")</f>
        <v>4.8090000000000002</v>
      </c>
      <c r="E147">
        <f t="shared" si="26"/>
        <v>1055575.5</v>
      </c>
      <c r="F147">
        <f t="shared" si="27"/>
        <v>3.4491648095988078E-2</v>
      </c>
      <c r="G147" s="5">
        <f>_xll.SNL.Clients.Office.Excel.Functions.SPG(A147, "SP_MARKETCAP", "12/30/2023")</f>
        <v>30948.70865085</v>
      </c>
      <c r="H147">
        <f t="shared" si="31"/>
        <v>7.365792978197153E-4</v>
      </c>
      <c r="I147">
        <f t="shared" si="32"/>
        <v>3.542209843215011E-3</v>
      </c>
      <c r="K147" t="s">
        <v>147</v>
      </c>
      <c r="L147" s="4" cm="1">
        <f t="array" ref="L147">_xll.SNL.Clients.Office.Excel.Functions.SPG(K147, "SP_TOTAL_REV", "CY2023")</f>
        <v>30603800</v>
      </c>
      <c r="M147" s="4">
        <f>_xll.SNL.Clients.Office.Excel.Functions.SPG(K147,"IQ_AVG_DILUT_SHARES_OUT","CY2023")</f>
        <v>219500000</v>
      </c>
      <c r="N147" s="5">
        <f>_xll.SNL.Clients.Office.Excel.Functions.SPG(K147, "IQ_DILUT_EPS_NORM", "CY2023")</f>
        <v>4.8090000000000002</v>
      </c>
      <c r="O147">
        <f t="shared" si="28"/>
        <v>1055575.5</v>
      </c>
      <c r="P147">
        <f t="shared" si="29"/>
        <v>3.4491648095988078E-2</v>
      </c>
      <c r="Q147" s="5">
        <f>_xll.SNL.Clients.Office.Excel.Functions.SPG(K147, "SP_MARKETCAP", "12/31/2022")</f>
        <v>31284.332709760001</v>
      </c>
      <c r="R147">
        <f t="shared" si="33"/>
        <v>9.2846269126428639E-4</v>
      </c>
      <c r="S147">
        <f t="shared" si="34"/>
        <v>4.4649770822899537E-3</v>
      </c>
      <c r="U147" t="s">
        <v>147</v>
      </c>
      <c r="V147" s="4" cm="1">
        <f t="array" ref="V147">_xll.SNL.Clients.Office.Excel.Functions.SPG(U147, "SP_TOTAL_REV", "CY2021")</f>
        <v>26321200</v>
      </c>
      <c r="W147" s="4">
        <f>_xll.SNL.Clients.Office.Excel.Functions.SPG(U147,"IQ_AVG_DILUT_SHARES_OUT","CY2021")</f>
        <v>229000000</v>
      </c>
      <c r="X147" s="5">
        <f>_xll.SNL.Clients.Office.Excel.Functions.SPG(U147, "IQ_DILUT_EPS_NORM", "CY2021")</f>
        <v>4.5940000000000003</v>
      </c>
      <c r="Y147">
        <f t="shared" si="35"/>
        <v>1052026.0000000002</v>
      </c>
      <c r="Z147">
        <f t="shared" si="36"/>
        <v>3.9968770420801492E-2</v>
      </c>
      <c r="AA147" s="5">
        <f>_xll.SNL.Clients.Office.Excel.Functions.SPG(U147, "SP_MARKETCAP", "12/31/2021")</f>
        <v>31610.825410680001</v>
      </c>
      <c r="AB147">
        <f t="shared" si="30"/>
        <v>7.4498831810718017E-4</v>
      </c>
      <c r="AC147">
        <f t="shared" si="37"/>
        <v>3.4224763333843859E-3</v>
      </c>
    </row>
    <row r="148" spans="1:29" x14ac:dyDescent="0.3">
      <c r="A148" t="s">
        <v>148</v>
      </c>
      <c r="B148" s="4" cm="1">
        <f t="array" ref="B148">_xll.SNL.Clients.Office.Excel.Functions.SPG(A148, "SP_TOTAL_REV", "CY2023")</f>
        <v>14393000</v>
      </c>
      <c r="C148" s="4">
        <f>_xll.SNL.Clients.Office.Excel.Functions.SPG(A148,"IQ_AVG_DILUT_SHARES_OUT","CY2023")</f>
        <v>836500000</v>
      </c>
      <c r="D148" s="5">
        <f>_xll.SNL.Clients.Office.Excel.Functions.SPG(A148, "IQ_DILUT_EPS_NORM", "CY2023")</f>
        <v>1.782</v>
      </c>
      <c r="E148">
        <f t="shared" si="26"/>
        <v>1490643</v>
      </c>
      <c r="F148">
        <f t="shared" si="27"/>
        <v>0.10356722017647467</v>
      </c>
      <c r="G148" s="5">
        <f>_xll.SNL.Clients.Office.Excel.Functions.SPG(A148, "SP_MARKETCAP", "12/30/2023")</f>
        <v>39329.448236999997</v>
      </c>
      <c r="H148">
        <f t="shared" si="31"/>
        <v>9.3604090861641373E-4</v>
      </c>
      <c r="I148">
        <f t="shared" si="32"/>
        <v>1.6680248991544494E-3</v>
      </c>
      <c r="K148" t="s">
        <v>148</v>
      </c>
      <c r="L148" s="4" cm="1">
        <f t="array" ref="L148">_xll.SNL.Clients.Office.Excel.Functions.SPG(K148, "SP_TOTAL_REV", "CY2023")</f>
        <v>14393000</v>
      </c>
      <c r="M148" s="4">
        <f>_xll.SNL.Clients.Office.Excel.Functions.SPG(K148,"IQ_AVG_DILUT_SHARES_OUT","CY2023")</f>
        <v>836500000</v>
      </c>
      <c r="N148" s="5">
        <f>_xll.SNL.Clients.Office.Excel.Functions.SPG(K148, "IQ_DILUT_EPS_NORM", "CY2023")</f>
        <v>1.782</v>
      </c>
      <c r="O148">
        <f t="shared" si="28"/>
        <v>1490643</v>
      </c>
      <c r="P148">
        <f t="shared" si="29"/>
        <v>0.10356722017647467</v>
      </c>
      <c r="Q148" s="5">
        <f>_xll.SNL.Clients.Office.Excel.Functions.SPG(K148, "SP_MARKETCAP", "12/31/2022")</f>
        <v>51096.435570599999</v>
      </c>
      <c r="R148">
        <f t="shared" si="33"/>
        <v>1.5164502476055989E-3</v>
      </c>
      <c r="S148">
        <f t="shared" si="34"/>
        <v>2.7023143412331775E-3</v>
      </c>
      <c r="U148" t="s">
        <v>148</v>
      </c>
      <c r="V148" s="4" cm="1">
        <f t="array" ref="V148">_xll.SNL.Clients.Office.Excel.Functions.SPG(U148, "SP_TOTAL_REV", "CY2021")</f>
        <v>11419000</v>
      </c>
      <c r="W148" s="4">
        <f>_xll.SNL.Clients.Office.Excel.Functions.SPG(U148,"IQ_AVG_DILUT_SHARES_OUT","CY2021")</f>
        <v>808500000</v>
      </c>
      <c r="X148" s="5">
        <f>_xll.SNL.Clients.Office.Excel.Functions.SPG(U148, "IQ_DILUT_EPS_NORM", "CY2021")</f>
        <v>1.458</v>
      </c>
      <c r="Y148">
        <f t="shared" si="35"/>
        <v>1178793</v>
      </c>
      <c r="Z148">
        <f t="shared" si="36"/>
        <v>0.10323084333128996</v>
      </c>
      <c r="AA148" s="5">
        <f>_xll.SNL.Clients.Office.Excel.Functions.SPG(U148, "SP_MARKETCAP", "12/31/2021")</f>
        <v>63626.404532480003</v>
      </c>
      <c r="AB148">
        <f t="shared" si="30"/>
        <v>1.4995156717370788E-3</v>
      </c>
      <c r="AC148">
        <f t="shared" si="37"/>
        <v>2.186293849392661E-3</v>
      </c>
    </row>
    <row r="149" spans="1:29" x14ac:dyDescent="0.3">
      <c r="A149" t="s">
        <v>149</v>
      </c>
      <c r="B149" s="4" cm="1">
        <f t="array" ref="B149">_xll.SNL.Clients.Office.Excel.Functions.SPG(A149, "SP_TOTAL_REV", "CY2023")</f>
        <v>4479358</v>
      </c>
      <c r="C149" s="4">
        <f>_xll.SNL.Clients.Office.Excel.Functions.SPG(A149,"IQ_AVG_DILUT_SHARES_OUT","CY2023")</f>
        <v>35401313</v>
      </c>
      <c r="D149" s="5">
        <f>_xll.SNL.Clients.Office.Excel.Functions.SPG(A149, "IQ_DILUT_EPS_NORM", "CY2023")</f>
        <v>11.209</v>
      </c>
      <c r="E149">
        <f t="shared" si="26"/>
        <v>396813.31741700001</v>
      </c>
      <c r="F149">
        <f t="shared" si="27"/>
        <v>8.8587096056399153E-2</v>
      </c>
      <c r="G149" s="5">
        <f>_xll.SNL.Clients.Office.Excel.Functions.SPG(A149, "SP_MARKETCAP", "12/30/2023")</f>
        <v>14378.987622090001</v>
      </c>
      <c r="H149">
        <f t="shared" si="31"/>
        <v>3.4221992024040536E-4</v>
      </c>
      <c r="I149">
        <f t="shared" si="32"/>
        <v>3.8359430859747036E-3</v>
      </c>
      <c r="K149" t="s">
        <v>149</v>
      </c>
      <c r="L149" s="4" cm="1">
        <f t="array" ref="L149">_xll.SNL.Clients.Office.Excel.Functions.SPG(K149, "SP_TOTAL_REV", "CY2023")</f>
        <v>4479358</v>
      </c>
      <c r="M149" s="4">
        <f>_xll.SNL.Clients.Office.Excel.Functions.SPG(K149,"IQ_AVG_DILUT_SHARES_OUT","CY2023")</f>
        <v>35401313</v>
      </c>
      <c r="N149" s="5">
        <f>_xll.SNL.Clients.Office.Excel.Functions.SPG(K149, "IQ_DILUT_EPS_NORM", "CY2023")</f>
        <v>11.209</v>
      </c>
      <c r="O149">
        <f t="shared" si="28"/>
        <v>396813.31741700001</v>
      </c>
      <c r="P149">
        <f t="shared" si="29"/>
        <v>8.8587096056399153E-2</v>
      </c>
      <c r="Q149" s="5">
        <f>_xll.SNL.Clients.Office.Excel.Functions.SPG(K149, "SP_MARKETCAP", "12/31/2022")</f>
        <v>12604.379552799999</v>
      </c>
      <c r="R149">
        <f t="shared" si="33"/>
        <v>3.7407530056277196E-4</v>
      </c>
      <c r="S149">
        <f t="shared" si="34"/>
        <v>4.193010044008111E-3</v>
      </c>
      <c r="U149" t="s">
        <v>149</v>
      </c>
      <c r="V149" s="4" cm="1">
        <f t="array" ref="V149">_xll.SNL.Clients.Office.Excel.Functions.SPG(U149, "SP_TOTAL_REV", "CY2021")</f>
        <v>4357373</v>
      </c>
      <c r="W149" s="4">
        <f>_xll.SNL.Clients.Office.Excel.Functions.SPG(U149,"IQ_AVG_DILUT_SHARES_OUT","CY2021")</f>
        <v>37691351</v>
      </c>
      <c r="X149" s="5">
        <f>_xll.SNL.Clients.Office.Excel.Functions.SPG(U149, "IQ_DILUT_EPS_NORM", "CY2021")</f>
        <v>10.375</v>
      </c>
      <c r="Y149">
        <f t="shared" si="35"/>
        <v>391047.76662499999</v>
      </c>
      <c r="Z149">
        <f t="shared" si="36"/>
        <v>8.9743927505173418E-2</v>
      </c>
      <c r="AA149" s="5">
        <f>_xll.SNL.Clients.Office.Excel.Functions.SPG(U149, "SP_MARKETCAP", "12/31/2021")</f>
        <v>20534.149864409999</v>
      </c>
      <c r="AB149">
        <f t="shared" si="30"/>
        <v>4.839387005085644E-4</v>
      </c>
      <c r="AC149">
        <f t="shared" si="37"/>
        <v>5.0208640177763558E-3</v>
      </c>
    </row>
    <row r="150" spans="1:29" x14ac:dyDescent="0.3">
      <c r="A150" t="s">
        <v>150</v>
      </c>
      <c r="B150" s="4" cm="1">
        <f t="array" ref="B150">_xll.SNL.Clients.Office.Excel.Functions.SPG(A150, "SP_TOTAL_REV", "CY2023")</f>
        <v>8438134</v>
      </c>
      <c r="C150" s="4">
        <f>_xll.SNL.Clients.Office.Excel.Functions.SPG(A150,"IQ_AVG_DILUT_SHARES_OUT","CY2023")</f>
        <v>140599000</v>
      </c>
      <c r="D150" s="5">
        <f>_xll.SNL.Clients.Office.Excel.Functions.SPG(A150, "IQ_DILUT_EPS_NORM", "CY2023")</f>
        <v>5.87</v>
      </c>
      <c r="E150">
        <f t="shared" si="26"/>
        <v>825316.13</v>
      </c>
      <c r="F150">
        <f t="shared" si="27"/>
        <v>9.7807895679305396E-2</v>
      </c>
      <c r="G150" s="5">
        <f>_xll.SNL.Clients.Office.Excel.Functions.SPG(A150, "SP_MARKETCAP", "12/30/2023")</f>
        <v>21516.503048639999</v>
      </c>
      <c r="H150">
        <f t="shared" si="31"/>
        <v>5.1209279475600148E-4</v>
      </c>
      <c r="I150">
        <f t="shared" si="32"/>
        <v>3.0059847052177286E-3</v>
      </c>
      <c r="K150" t="s">
        <v>150</v>
      </c>
      <c r="L150" s="4" cm="1">
        <f t="array" ref="L150">_xll.SNL.Clients.Office.Excel.Functions.SPG(K150, "SP_TOTAL_REV", "CY2023")</f>
        <v>8438134</v>
      </c>
      <c r="M150" s="4">
        <f>_xll.SNL.Clients.Office.Excel.Functions.SPG(K150,"IQ_AVG_DILUT_SHARES_OUT","CY2023")</f>
        <v>140599000</v>
      </c>
      <c r="N150" s="5">
        <f>_xll.SNL.Clients.Office.Excel.Functions.SPG(K150, "IQ_DILUT_EPS_NORM", "CY2023")</f>
        <v>5.87</v>
      </c>
      <c r="O150">
        <f t="shared" si="28"/>
        <v>825316.13</v>
      </c>
      <c r="P150">
        <f t="shared" si="29"/>
        <v>9.7807895679305396E-2</v>
      </c>
      <c r="Q150" s="5">
        <f>_xll.SNL.Clients.Office.Excel.Functions.SPG(K150, "SP_MARKETCAP", "12/31/2022")</f>
        <v>19005.328369499999</v>
      </c>
      <c r="R150">
        <f t="shared" si="33"/>
        <v>5.6404394141999368E-4</v>
      </c>
      <c r="S150">
        <f t="shared" si="34"/>
        <v>3.3109379361353631E-3</v>
      </c>
      <c r="U150" t="s">
        <v>150</v>
      </c>
      <c r="V150" s="4" cm="1">
        <f t="array" ref="V150">_xll.SNL.Clients.Office.Excel.Functions.SPG(U150, "SP_TOTAL_REV", "CY2021")</f>
        <v>7907081</v>
      </c>
      <c r="W150" s="4">
        <f>_xll.SNL.Clients.Office.Excel.Functions.SPG(U150,"IQ_AVG_DILUT_SHARES_OUT","CY2021")</f>
        <v>145273000</v>
      </c>
      <c r="X150" s="5">
        <f>_xll.SNL.Clients.Office.Excel.Functions.SPG(U150, "IQ_DILUT_EPS_NORM", "CY2021")</f>
        <v>5.2539999999999996</v>
      </c>
      <c r="Y150">
        <f t="shared" si="35"/>
        <v>763264.34199999983</v>
      </c>
      <c r="Z150">
        <f t="shared" si="36"/>
        <v>9.6529217545640394E-2</v>
      </c>
      <c r="AA150" s="5">
        <f>_xll.SNL.Clients.Office.Excel.Functions.SPG(U150, "SP_MARKETCAP", "12/31/2021")</f>
        <v>26147.612984799998</v>
      </c>
      <c r="AB150">
        <f t="shared" si="30"/>
        <v>6.1623402638142548E-4</v>
      </c>
      <c r="AC150">
        <f t="shared" si="37"/>
        <v>3.237693574608009E-3</v>
      </c>
    </row>
    <row r="151" spans="1:29" x14ac:dyDescent="0.3">
      <c r="A151" t="s">
        <v>151</v>
      </c>
      <c r="B151" s="4" cm="1">
        <f t="array" ref="B151">_xll.SNL.Clients.Office.Excel.Functions.SPG(A151, "SP_TOTAL_REV", "CY2023")</f>
        <v>44622000</v>
      </c>
      <c r="C151" s="4">
        <f>_xll.SNL.Clients.Office.Excel.Functions.SPG(A151,"IQ_AVG_DILUT_SHARES_OUT","CY2023")</f>
        <v>709000000</v>
      </c>
      <c r="D151" s="5">
        <f>_xll.SNL.Clients.Office.Excel.Functions.SPG(A151, "IQ_DILUT_EPS_NORM", "CY2023")</f>
        <v>1.472</v>
      </c>
      <c r="E151">
        <f t="shared" si="26"/>
        <v>1043648</v>
      </c>
      <c r="F151">
        <f t="shared" si="27"/>
        <v>2.3388642373716999E-2</v>
      </c>
      <c r="G151" s="5">
        <f>_xll.SNL.Clients.Office.Excel.Functions.SPG(A151, "SP_MARKETCAP", "12/30/2023")</f>
        <v>38464.611809039998</v>
      </c>
      <c r="H151">
        <f t="shared" si="31"/>
        <v>9.1545780073872234E-4</v>
      </c>
      <c r="I151">
        <f t="shared" si="32"/>
        <v>1.3475538826873993E-3</v>
      </c>
      <c r="K151" t="s">
        <v>151</v>
      </c>
      <c r="L151" s="4" cm="1">
        <f t="array" ref="L151">_xll.SNL.Clients.Office.Excel.Functions.SPG(K151, "SP_TOTAL_REV", "CY2023")</f>
        <v>44622000</v>
      </c>
      <c r="M151" s="4">
        <f>_xll.SNL.Clients.Office.Excel.Functions.SPG(K151,"IQ_AVG_DILUT_SHARES_OUT","CY2023")</f>
        <v>709000000</v>
      </c>
      <c r="N151" s="5">
        <f>_xll.SNL.Clients.Office.Excel.Functions.SPG(K151, "IQ_DILUT_EPS_NORM", "CY2023")</f>
        <v>1.472</v>
      </c>
      <c r="O151">
        <f t="shared" si="28"/>
        <v>1043648</v>
      </c>
      <c r="P151">
        <f t="shared" si="29"/>
        <v>2.3388642373716999E-2</v>
      </c>
      <c r="Q151" s="5">
        <f>_xll.SNL.Clients.Office.Excel.Functions.SPG(K151, "SP_MARKETCAP", "12/31/2022")</f>
        <v>35462.429564910002</v>
      </c>
      <c r="R151">
        <f t="shared" si="33"/>
        <v>1.0524610864509351E-3</v>
      </c>
      <c r="S151">
        <f t="shared" si="34"/>
        <v>1.5492227192557765E-3</v>
      </c>
      <c r="U151" t="s">
        <v>151</v>
      </c>
      <c r="V151" s="4" cm="1">
        <f t="array" ref="V151">_xll.SNL.Clients.Office.Excel.Functions.SPG(U151, "SP_TOTAL_REV", "CY2021")</f>
        <v>54968000</v>
      </c>
      <c r="W151" s="4">
        <f>_xll.SNL.Clients.Office.Excel.Functions.SPG(U151,"IQ_AVG_DILUT_SHARES_OUT","CY2021")</f>
        <v>749000000</v>
      </c>
      <c r="X151" s="5">
        <f>_xll.SNL.Clients.Office.Excel.Functions.SPG(U151, "IQ_DILUT_EPS_NORM", "CY2021")</f>
        <v>6.9279999999999999</v>
      </c>
      <c r="Y151">
        <f t="shared" si="35"/>
        <v>5189072</v>
      </c>
      <c r="Z151">
        <f t="shared" si="36"/>
        <v>9.4401688254984725E-2</v>
      </c>
      <c r="AA151" s="5">
        <f>_xll.SNL.Clients.Office.Excel.Functions.SPG(U151, "SP_MARKETCAP", "12/31/2021")</f>
        <v>41950.929448640003</v>
      </c>
      <c r="AB151">
        <f t="shared" si="30"/>
        <v>9.8867878225084873E-4</v>
      </c>
      <c r="AC151">
        <f t="shared" si="37"/>
        <v>6.8495666034338798E-3</v>
      </c>
    </row>
    <row r="152" spans="1:29" x14ac:dyDescent="0.3">
      <c r="A152" t="s">
        <v>152</v>
      </c>
      <c r="B152" s="4" cm="1">
        <f t="array" ref="B152">_xll.SNL.Clients.Office.Excel.Functions.SPG(A152, "SP_TOTAL_REV", "CY2023")</f>
        <v>12745000</v>
      </c>
      <c r="C152" s="4">
        <f>_xll.SNL.Clients.Office.Excel.Functions.SPG(A152,"IQ_AVG_DILUT_SHARES_OUT","CY2023")</f>
        <v>206000000</v>
      </c>
      <c r="D152" s="5">
        <f>_xll.SNL.Clients.Office.Excel.Functions.SPG(A152, "IQ_DILUT_EPS_NORM", "CY2023")</f>
        <v>4.8</v>
      </c>
      <c r="E152">
        <f t="shared" si="26"/>
        <v>988800</v>
      </c>
      <c r="F152">
        <f t="shared" si="27"/>
        <v>7.7583366025892511E-2</v>
      </c>
      <c r="G152" s="5">
        <f>_xll.SNL.Clients.Office.Excel.Functions.SPG(A152, "SP_MARKETCAP", "12/30/2023")</f>
        <v>22742.087239019998</v>
      </c>
      <c r="H152">
        <f t="shared" si="31"/>
        <v>5.4126169975146881E-4</v>
      </c>
      <c r="I152">
        <f t="shared" si="32"/>
        <v>2.59805615880705E-3</v>
      </c>
      <c r="K152" t="s">
        <v>152</v>
      </c>
      <c r="L152" s="4" cm="1">
        <f t="array" ref="L152">_xll.SNL.Clients.Office.Excel.Functions.SPG(K152, "SP_TOTAL_REV", "CY2023")</f>
        <v>12745000</v>
      </c>
      <c r="M152" s="4">
        <f>_xll.SNL.Clients.Office.Excel.Functions.SPG(K152,"IQ_AVG_DILUT_SHARES_OUT","CY2023")</f>
        <v>206000000</v>
      </c>
      <c r="N152" s="5">
        <f>_xll.SNL.Clients.Office.Excel.Functions.SPG(K152, "IQ_DILUT_EPS_NORM", "CY2023")</f>
        <v>4.8</v>
      </c>
      <c r="O152">
        <f t="shared" si="28"/>
        <v>988800</v>
      </c>
      <c r="P152">
        <f t="shared" si="29"/>
        <v>7.7583366025892511E-2</v>
      </c>
      <c r="Q152" s="5">
        <f>_xll.SNL.Clients.Office.Excel.Functions.SPG(K152, "SP_MARKETCAP", "12/31/2022")</f>
        <v>22770.496202229999</v>
      </c>
      <c r="R152">
        <f t="shared" si="33"/>
        <v>6.7578734638472858E-4</v>
      </c>
      <c r="S152">
        <f t="shared" si="34"/>
        <v>3.2437792626466969E-3</v>
      </c>
      <c r="U152" t="s">
        <v>152</v>
      </c>
      <c r="V152" s="4" cm="1">
        <f t="array" ref="V152">_xll.SNL.Clients.Office.Excel.Functions.SPG(U152, "SP_TOTAL_REV", "CY2021")</f>
        <v>14964000</v>
      </c>
      <c r="W152" s="4">
        <f>_xll.SNL.Clients.Office.Excel.Functions.SPG(U152,"IQ_AVG_DILUT_SHARES_OUT","CY2021")</f>
        <v>194000000</v>
      </c>
      <c r="X152" s="5">
        <f>_xll.SNL.Clients.Office.Excel.Functions.SPG(U152, "IQ_DILUT_EPS_NORM", "CY2021")</f>
        <v>3.5369999999999999</v>
      </c>
      <c r="Y152">
        <f t="shared" si="35"/>
        <v>686178</v>
      </c>
      <c r="Z152">
        <f t="shared" si="36"/>
        <v>4.5855252606255011E-2</v>
      </c>
      <c r="AA152" s="5">
        <f>_xll.SNL.Clients.Office.Excel.Functions.SPG(U152, "SP_MARKETCAP", "12/31/2021")</f>
        <v>23158.15881212</v>
      </c>
      <c r="AB152">
        <f t="shared" si="30"/>
        <v>5.4578004717558944E-4</v>
      </c>
      <c r="AC152">
        <f t="shared" si="37"/>
        <v>1.9304240268600598E-3</v>
      </c>
    </row>
    <row r="153" spans="1:29" x14ac:dyDescent="0.3">
      <c r="A153" t="s">
        <v>153</v>
      </c>
      <c r="B153" s="4" cm="1">
        <f t="array" ref="B153">_xll.SNL.Clients.Office.Excel.Functions.SPG(A153, "SP_TOTAL_REV", "CY2023")</f>
        <v>28602000</v>
      </c>
      <c r="C153" s="4">
        <f>_xll.SNL.Clients.Office.Excel.Functions.SPG(A153,"IQ_AVG_DILUT_SHARES_OUT","CY2023")</f>
        <v>771000000</v>
      </c>
      <c r="D153" s="5">
        <f>_xll.SNL.Clients.Office.Excel.Functions.SPG(A153, "IQ_DILUT_EPS_NORM", "CY2023")</f>
        <v>3.931</v>
      </c>
      <c r="E153">
        <f t="shared" si="26"/>
        <v>3030801</v>
      </c>
      <c r="F153">
        <f t="shared" si="27"/>
        <v>0.10596465282148101</v>
      </c>
      <c r="G153" s="5">
        <f>_xll.SNL.Clients.Office.Excel.Functions.SPG(A153, "SP_MARKETCAP", "12/30/2023")</f>
        <v>74789.866085119997</v>
      </c>
      <c r="H153">
        <f t="shared" si="31"/>
        <v>1.7799988899858421E-3</v>
      </c>
      <c r="I153">
        <f t="shared" si="32"/>
        <v>6.9971756365343448E-3</v>
      </c>
      <c r="K153" t="s">
        <v>153</v>
      </c>
      <c r="L153" s="4" cm="1">
        <f t="array" ref="L153">_xll.SNL.Clients.Office.Excel.Functions.SPG(K153, "SP_TOTAL_REV", "CY2023")</f>
        <v>28602000</v>
      </c>
      <c r="M153" s="4">
        <f>_xll.SNL.Clients.Office.Excel.Functions.SPG(K153,"IQ_AVG_DILUT_SHARES_OUT","CY2023")</f>
        <v>771000000</v>
      </c>
      <c r="N153" s="5">
        <f>_xll.SNL.Clients.Office.Excel.Functions.SPG(K153, "IQ_DILUT_EPS_NORM", "CY2023")</f>
        <v>3.931</v>
      </c>
      <c r="O153">
        <f t="shared" si="28"/>
        <v>3030801</v>
      </c>
      <c r="P153">
        <f t="shared" si="29"/>
        <v>0.10596465282148101</v>
      </c>
      <c r="Q153" s="5">
        <f>_xll.SNL.Clients.Office.Excel.Functions.SPG(K153, "SP_MARKETCAP", "12/31/2022")</f>
        <v>79308.764888279999</v>
      </c>
      <c r="R153">
        <f t="shared" si="33"/>
        <v>2.3537414069901663E-3</v>
      </c>
      <c r="S153">
        <f t="shared" si="34"/>
        <v>9.2525574708783431E-3</v>
      </c>
      <c r="U153" t="s">
        <v>153</v>
      </c>
      <c r="V153" s="4" cm="1">
        <f t="array" ref="V153">_xll.SNL.Clients.Office.Excel.Functions.SPG(U153, "SP_TOTAL_REV", "CY2021")</f>
        <v>24201000</v>
      </c>
      <c r="W153" s="4">
        <f>_xll.SNL.Clients.Office.Excel.Functions.SPG(U153,"IQ_AVG_DILUT_SHARES_OUT","CY2021")</f>
        <v>769000000</v>
      </c>
      <c r="X153" s="5">
        <f>_xll.SNL.Clients.Office.Excel.Functions.SPG(U153, "IQ_DILUT_EPS_NORM", "CY2021")</f>
        <v>4.0529999999999999</v>
      </c>
      <c r="Y153">
        <f t="shared" si="35"/>
        <v>3116757</v>
      </c>
      <c r="Z153">
        <f t="shared" si="36"/>
        <v>0.1287862898227346</v>
      </c>
      <c r="AA153" s="5">
        <f>_xll.SNL.Clients.Office.Excel.Functions.SPG(U153, "SP_MARKETCAP", "12/31/2021")</f>
        <v>80704.119722799995</v>
      </c>
      <c r="AB153">
        <f t="shared" si="30"/>
        <v>1.9019948272624343E-3</v>
      </c>
      <c r="AC153">
        <f t="shared" si="37"/>
        <v>7.7087850348946463E-3</v>
      </c>
    </row>
    <row r="154" spans="1:29" x14ac:dyDescent="0.3">
      <c r="A154" t="s">
        <v>154</v>
      </c>
      <c r="B154" s="4" cm="1">
        <f t="array" ref="B154">_xll.SNL.Clients.Office.Excel.Functions.SPG(A154, "SP_TOTAL_REV", "CY2023")</f>
        <v>12068000</v>
      </c>
      <c r="C154" s="4">
        <f>_xll.SNL.Clients.Office.Excel.Functions.SPG(A154,"IQ_AVG_DILUT_SHARES_OUT","CY2023")</f>
        <v>451200000</v>
      </c>
      <c r="D154" s="5">
        <f>_xll.SNL.Clients.Office.Excel.Functions.SPG(A154, "IQ_DILUT_EPS_NORM", "CY2023")</f>
        <v>1.929</v>
      </c>
      <c r="E154">
        <f t="shared" si="26"/>
        <v>870364.8</v>
      </c>
      <c r="F154">
        <f t="shared" si="27"/>
        <v>7.2121710308253234E-2</v>
      </c>
      <c r="G154" s="5">
        <f>_xll.SNL.Clients.Office.Excel.Functions.SPG(A154, "SP_MARKETCAP", "12/30/2023")</f>
        <v>33083.168909560001</v>
      </c>
      <c r="H154">
        <f t="shared" si="31"/>
        <v>7.8737945417911548E-4</v>
      </c>
      <c r="I154">
        <f t="shared" si="32"/>
        <v>1.5188549671115137E-3</v>
      </c>
      <c r="K154" t="s">
        <v>154</v>
      </c>
      <c r="L154" s="4" cm="1">
        <f t="array" ref="L154">_xll.SNL.Clients.Office.Excel.Functions.SPG(K154, "SP_TOTAL_REV", "CY2023")</f>
        <v>12068000</v>
      </c>
      <c r="M154" s="4">
        <f>_xll.SNL.Clients.Office.Excel.Functions.SPG(K154,"IQ_AVG_DILUT_SHARES_OUT","CY2023")</f>
        <v>451200000</v>
      </c>
      <c r="N154" s="5">
        <f>_xll.SNL.Clients.Office.Excel.Functions.SPG(K154, "IQ_DILUT_EPS_NORM", "CY2023")</f>
        <v>1.929</v>
      </c>
      <c r="O154">
        <f t="shared" si="28"/>
        <v>870364.8</v>
      </c>
      <c r="P154">
        <f t="shared" si="29"/>
        <v>7.2121710308253234E-2</v>
      </c>
      <c r="Q154" s="5">
        <f>_xll.SNL.Clients.Office.Excel.Functions.SPG(K154, "SP_MARKETCAP", "12/31/2022")</f>
        <v>34094.62550124</v>
      </c>
      <c r="R154">
        <f t="shared" si="33"/>
        <v>1.0118671235283671E-3</v>
      </c>
      <c r="S154">
        <f t="shared" si="34"/>
        <v>1.95189168128622E-3</v>
      </c>
      <c r="U154" t="s">
        <v>154</v>
      </c>
      <c r="V154" s="4" cm="1">
        <f t="array" ref="V154">_xll.SNL.Clients.Office.Excel.Functions.SPG(U154, "SP_TOTAL_REV", "CY2021")</f>
        <v>12566000</v>
      </c>
      <c r="W154" s="4">
        <f>_xll.SNL.Clients.Office.Excel.Functions.SPG(U154,"IQ_AVG_DILUT_SHARES_OUT","CY2021")</f>
        <v>544200000</v>
      </c>
      <c r="X154" s="5">
        <f>_xll.SNL.Clients.Office.Excel.Functions.SPG(U154, "IQ_DILUT_EPS_NORM", "CY2021")</f>
        <v>1.5409999999999999</v>
      </c>
      <c r="Y154">
        <f t="shared" si="35"/>
        <v>838612.2</v>
      </c>
      <c r="Z154">
        <f t="shared" si="36"/>
        <v>6.6736606716536681E-2</v>
      </c>
      <c r="AA154" s="5">
        <f>_xll.SNL.Clients.Office.Excel.Functions.SPG(U154, "SP_MARKETCAP", "12/31/2021")</f>
        <v>41852.42835676</v>
      </c>
      <c r="AB154">
        <f t="shared" si="30"/>
        <v>9.863573571751653E-4</v>
      </c>
      <c r="AC154">
        <f t="shared" si="37"/>
        <v>1.5199766874069297E-3</v>
      </c>
    </row>
    <row r="155" spans="1:29" x14ac:dyDescent="0.3">
      <c r="A155" t="s">
        <v>155</v>
      </c>
      <c r="B155" s="4" cm="1">
        <f t="array" ref="B155">_xll.SNL.Clients.Office.Excel.Functions.SPG(A155, "SP_TOTAL_REV", "CY2023")</f>
        <v>9210000</v>
      </c>
      <c r="C155" s="4">
        <f>_xll.SNL.Clients.Office.Excel.Functions.SPG(A155,"IQ_AVG_DILUT_SHARES_OUT","CY2023")</f>
        <v>119400000</v>
      </c>
      <c r="D155" s="5">
        <f>_xll.SNL.Clients.Office.Excel.Functions.SPG(A155, "IQ_DILUT_EPS_NORM", "CY2023")</f>
        <v>4.2549999999999999</v>
      </c>
      <c r="E155">
        <f t="shared" si="26"/>
        <v>508047</v>
      </c>
      <c r="F155">
        <f t="shared" si="27"/>
        <v>5.5162540716612377E-2</v>
      </c>
      <c r="G155" s="5">
        <f>_xll.SNL.Clients.Office.Excel.Functions.SPG(A155, "SP_MARKETCAP", "12/30/2023")</f>
        <v>10644.8569713</v>
      </c>
      <c r="H155">
        <f t="shared" si="31"/>
        <v>2.5334760689913664E-4</v>
      </c>
      <c r="I155">
        <f t="shared" si="32"/>
        <v>1.0779940673558263E-3</v>
      </c>
      <c r="K155" t="s">
        <v>155</v>
      </c>
      <c r="L155" s="4" cm="1">
        <f t="array" ref="L155">_xll.SNL.Clients.Office.Excel.Functions.SPG(K155, "SP_TOTAL_REV", "CY2023")</f>
        <v>9210000</v>
      </c>
      <c r="M155" s="4">
        <f>_xll.SNL.Clients.Office.Excel.Functions.SPG(K155,"IQ_AVG_DILUT_SHARES_OUT","CY2023")</f>
        <v>119400000</v>
      </c>
      <c r="N155" s="5">
        <f>_xll.SNL.Clients.Office.Excel.Functions.SPG(K155, "IQ_DILUT_EPS_NORM", "CY2023")</f>
        <v>4.2549999999999999</v>
      </c>
      <c r="O155">
        <f t="shared" si="28"/>
        <v>508047</v>
      </c>
      <c r="P155">
        <f t="shared" si="29"/>
        <v>5.5162540716612377E-2</v>
      </c>
      <c r="Q155" s="5">
        <f>_xll.SNL.Clients.Office.Excel.Functions.SPG(K155, "SP_MARKETCAP", "12/31/2022")</f>
        <v>9767.8782550399992</v>
      </c>
      <c r="R155">
        <f t="shared" si="33"/>
        <v>2.898930470007111E-4</v>
      </c>
      <c r="S155">
        <f t="shared" si="34"/>
        <v>1.2334949149880258E-3</v>
      </c>
      <c r="U155" t="s">
        <v>155</v>
      </c>
      <c r="V155" s="4" cm="1">
        <f t="array" ref="V155">_xll.SNL.Clients.Office.Excel.Functions.SPG(U155, "SP_TOTAL_REV", "CY2021")</f>
        <v>10476000</v>
      </c>
      <c r="W155" s="4">
        <f>_xll.SNL.Clients.Office.Excel.Functions.SPG(U155,"IQ_AVG_DILUT_SHARES_OUT","CY2021")</f>
        <v>137100000</v>
      </c>
      <c r="X155" s="5">
        <f>_xll.SNL.Clients.Office.Excel.Functions.SPG(U155, "IQ_DILUT_EPS_NORM", "CY2021")</f>
        <v>7.6130000000000004</v>
      </c>
      <c r="Y155">
        <f t="shared" si="35"/>
        <v>1043742.3</v>
      </c>
      <c r="Z155">
        <f t="shared" si="36"/>
        <v>9.9631758304696449E-2</v>
      </c>
      <c r="AA155" s="5">
        <f>_xll.SNL.Clients.Office.Excel.Functions.SPG(U155, "SP_MARKETCAP", "12/31/2021")</f>
        <v>16255.174133889999</v>
      </c>
      <c r="AB155">
        <f t="shared" si="30"/>
        <v>3.8309391422770649E-4</v>
      </c>
      <c r="AC155">
        <f t="shared" si="37"/>
        <v>2.9164939690155297E-3</v>
      </c>
    </row>
    <row r="156" spans="1:29" x14ac:dyDescent="0.3">
      <c r="A156" t="s">
        <v>156</v>
      </c>
      <c r="B156" s="4" cm="1">
        <f t="array" ref="B156">_xll.SNL.Clients.Office.Excel.Functions.SPG(A156, "SP_TOTAL_REV", "CY2023")</f>
        <v>23196000</v>
      </c>
      <c r="C156" s="4">
        <f>_xll.SNL.Clients.Office.Excel.Functions.SPG(A156,"IQ_AVG_DILUT_SHARES_OUT","CY2023")</f>
        <v>401100000</v>
      </c>
      <c r="D156" s="5">
        <f>_xll.SNL.Clients.Office.Excel.Functions.SPG(A156, "IQ_DILUT_EPS_NORM", "CY2023")</f>
        <v>5.9509999999999996</v>
      </c>
      <c r="E156">
        <f t="shared" si="26"/>
        <v>2386946.1</v>
      </c>
      <c r="F156">
        <f t="shared" si="27"/>
        <v>0.10290334971546819</v>
      </c>
      <c r="G156" s="5">
        <f>_xll.SNL.Clients.Office.Excel.Functions.SPG(A156, "SP_MARKETCAP", "12/30/2023")</f>
        <v>96159.426000000007</v>
      </c>
      <c r="H156">
        <f t="shared" si="31"/>
        <v>2.288594438006756E-3</v>
      </c>
      <c r="I156">
        <f t="shared" si="32"/>
        <v>1.3619425500578205E-2</v>
      </c>
      <c r="K156" t="s">
        <v>156</v>
      </c>
      <c r="L156" s="4" cm="1">
        <f t="array" ref="L156">_xll.SNL.Clients.Office.Excel.Functions.SPG(K156, "SP_TOTAL_REV", "CY2023")</f>
        <v>23196000</v>
      </c>
      <c r="M156" s="4">
        <f>_xll.SNL.Clients.Office.Excel.Functions.SPG(K156,"IQ_AVG_DILUT_SHARES_OUT","CY2023")</f>
        <v>401100000</v>
      </c>
      <c r="N156" s="5">
        <f>_xll.SNL.Clients.Office.Excel.Functions.SPG(K156, "IQ_DILUT_EPS_NORM", "CY2023")</f>
        <v>5.9509999999999996</v>
      </c>
      <c r="O156">
        <f t="shared" si="28"/>
        <v>2386946.1</v>
      </c>
      <c r="P156">
        <f t="shared" si="29"/>
        <v>0.10290334971546819</v>
      </c>
      <c r="Q156" s="5">
        <f>_xll.SNL.Clients.Office.Excel.Functions.SPG(K156, "SP_MARKETCAP", "12/31/2022")</f>
        <v>62419.014999999999</v>
      </c>
      <c r="R156">
        <f t="shared" si="33"/>
        <v>1.8524840274085697E-3</v>
      </c>
      <c r="S156">
        <f t="shared" si="34"/>
        <v>1.1024132447108398E-2</v>
      </c>
      <c r="U156" t="s">
        <v>156</v>
      </c>
      <c r="V156" s="4" cm="1">
        <f t="array" ref="V156">_xll.SNL.Clients.Office.Excel.Functions.SPG(U156, "SP_TOTAL_REV", "CY2021")</f>
        <v>19628000</v>
      </c>
      <c r="W156" s="4">
        <f>_xll.SNL.Clients.Office.Excel.Functions.SPG(U156,"IQ_AVG_DILUT_SHARES_OUT","CY2021")</f>
        <v>401600000</v>
      </c>
      <c r="X156" s="5">
        <f>_xll.SNL.Clients.Office.Excel.Functions.SPG(U156, "IQ_DILUT_EPS_NORM", "CY2021")</f>
        <v>3.5419999999999998</v>
      </c>
      <c r="Y156">
        <f t="shared" si="35"/>
        <v>1422467.2</v>
      </c>
      <c r="Z156">
        <f t="shared" si="36"/>
        <v>7.2471326676176881E-2</v>
      </c>
      <c r="AA156" s="5">
        <f>_xll.SNL.Clients.Office.Excel.Functions.SPG(U156, "SP_MARKETCAP", "12/31/2021")</f>
        <v>68886.051999999996</v>
      </c>
      <c r="AB156">
        <f t="shared" si="30"/>
        <v>1.6234724450815848E-3</v>
      </c>
      <c r="AC156">
        <f t="shared" si="37"/>
        <v>5.750339400478973E-3</v>
      </c>
    </row>
    <row r="157" spans="1:29" x14ac:dyDescent="0.3">
      <c r="A157" t="s">
        <v>157</v>
      </c>
      <c r="B157" s="4" cm="1">
        <f t="array" ref="B157">_xll.SNL.Clients.Office.Excel.Functions.SPG(A157, "SP_TOTAL_REV", "CY2023")</f>
        <v>10112000</v>
      </c>
      <c r="C157" s="4">
        <f>_xll.SNL.Clients.Office.Excel.Functions.SPG(A157,"IQ_AVG_DILUT_SHARES_OUT","CY2023")</f>
        <v>533000000</v>
      </c>
      <c r="D157" s="5">
        <f>_xll.SNL.Clients.Office.Excel.Functions.SPG(A157, "IQ_DILUT_EPS_NORM", "CY2023")</f>
        <v>2.3639999999999999</v>
      </c>
      <c r="E157">
        <f t="shared" si="26"/>
        <v>1260012</v>
      </c>
      <c r="F157">
        <f t="shared" si="27"/>
        <v>0.1246056170886076</v>
      </c>
      <c r="G157" s="5">
        <f>_xll.SNL.Clients.Office.Excel.Functions.SPG(A157, "SP_MARKETCAP", "12/30/2023")</f>
        <v>22638.78</v>
      </c>
      <c r="H157">
        <f t="shared" si="31"/>
        <v>5.3880298735621177E-4</v>
      </c>
      <c r="I157">
        <f t="shared" si="32"/>
        <v>1.2737302621100845E-3</v>
      </c>
      <c r="K157" t="s">
        <v>157</v>
      </c>
      <c r="L157" s="4" cm="1">
        <f t="array" ref="L157">_xll.SNL.Clients.Office.Excel.Functions.SPG(K157, "SP_TOTAL_REV", "CY2023")</f>
        <v>10112000</v>
      </c>
      <c r="M157" s="4">
        <f>_xll.SNL.Clients.Office.Excel.Functions.SPG(K157,"IQ_AVG_DILUT_SHARES_OUT","CY2023")</f>
        <v>533000000</v>
      </c>
      <c r="N157" s="5">
        <f>_xll.SNL.Clients.Office.Excel.Functions.SPG(K157, "IQ_DILUT_EPS_NORM", "CY2023")</f>
        <v>2.3639999999999999</v>
      </c>
      <c r="O157">
        <f t="shared" si="28"/>
        <v>1260012</v>
      </c>
      <c r="P157">
        <f t="shared" si="29"/>
        <v>0.1246056170886076</v>
      </c>
      <c r="Q157" s="5">
        <f>_xll.SNL.Clients.Office.Excel.Functions.SPG(K157, "SP_MARKETCAP", "12/31/2022")</f>
        <v>22504.07233789</v>
      </c>
      <c r="R157">
        <f t="shared" si="33"/>
        <v>6.6788036558392114E-4</v>
      </c>
      <c r="S157">
        <f t="shared" si="34"/>
        <v>1.5788691842403895E-3</v>
      </c>
      <c r="U157" t="s">
        <v>157</v>
      </c>
      <c r="V157" s="4" cm="1">
        <f t="array" ref="V157">_xll.SNL.Clients.Office.Excel.Functions.SPG(U157, "SP_TOTAL_REV", "CY2021")</f>
        <v>10420000</v>
      </c>
      <c r="W157" s="4">
        <f>_xll.SNL.Clients.Office.Excel.Functions.SPG(U157,"IQ_AVG_DILUT_SHARES_OUT","CY2021")</f>
        <v>663000000</v>
      </c>
      <c r="X157" s="5">
        <f>_xll.SNL.Clients.Office.Excel.Functions.SPG(U157, "IQ_DILUT_EPS_NORM", "CY2021")</f>
        <v>2.6379999999999999</v>
      </c>
      <c r="Y157">
        <f t="shared" si="35"/>
        <v>1748994</v>
      </c>
      <c r="Z157">
        <f t="shared" si="36"/>
        <v>0.16784971209213051</v>
      </c>
      <c r="AA157" s="5">
        <f>_xll.SNL.Clients.Office.Excel.Functions.SPG(U157, "SP_MARKETCAP", "12/31/2021")</f>
        <v>41629.251436500002</v>
      </c>
      <c r="AB157">
        <f t="shared" si="30"/>
        <v>9.8109763376380945E-4</v>
      </c>
      <c r="AC157">
        <f t="shared" si="37"/>
        <v>2.5881355578689291E-3</v>
      </c>
    </row>
    <row r="158" spans="1:29" x14ac:dyDescent="0.3">
      <c r="A158" t="s">
        <v>158</v>
      </c>
      <c r="B158" s="4" cm="1">
        <f t="array" ref="B158">_xll.SNL.Clients.Office.Excel.Functions.SPG(A158, "SP_TOTAL_REV", "CY2023")</f>
        <v>15320200</v>
      </c>
      <c r="C158" s="4">
        <f>_xll.SNL.Clients.Office.Excel.Functions.SPG(A158,"IQ_AVG_DILUT_SHARES_OUT","CY2023")</f>
        <v>286500000</v>
      </c>
      <c r="D158" s="5">
        <f>_xll.SNL.Clients.Office.Excel.Functions.SPG(A158, "IQ_DILUT_EPS_NORM", "CY2023")</f>
        <v>4.0490000000000004</v>
      </c>
      <c r="E158">
        <f t="shared" si="26"/>
        <v>1160038.5</v>
      </c>
      <c r="F158">
        <f t="shared" si="27"/>
        <v>7.5719540214879699E-2</v>
      </c>
      <c r="G158" s="5">
        <f>_xll.SNL.Clients.Office.Excel.Functions.SPG(A158, "SP_MARKETCAP", "12/30/2023")</f>
        <v>56557.483296999999</v>
      </c>
      <c r="H158">
        <f t="shared" si="31"/>
        <v>1.3460681608184122E-3</v>
      </c>
      <c r="I158">
        <f t="shared" si="32"/>
        <v>5.4502299831537511E-3</v>
      </c>
      <c r="K158" t="s">
        <v>158</v>
      </c>
      <c r="L158" s="4" cm="1">
        <f t="array" ref="L158">_xll.SNL.Clients.Office.Excel.Functions.SPG(K158, "SP_TOTAL_REV", "CY2023")</f>
        <v>15320200</v>
      </c>
      <c r="M158" s="4">
        <f>_xll.SNL.Clients.Office.Excel.Functions.SPG(K158,"IQ_AVG_DILUT_SHARES_OUT","CY2023")</f>
        <v>286500000</v>
      </c>
      <c r="N158" s="5">
        <f>_xll.SNL.Clients.Office.Excel.Functions.SPG(K158, "IQ_DILUT_EPS_NORM", "CY2023")</f>
        <v>4.0490000000000004</v>
      </c>
      <c r="O158">
        <f t="shared" si="28"/>
        <v>1160038.5</v>
      </c>
      <c r="P158">
        <f t="shared" si="29"/>
        <v>7.5719540214879699E-2</v>
      </c>
      <c r="Q158" s="5">
        <f>_xll.SNL.Clients.Office.Excel.Functions.SPG(K158, "SP_MARKETCAP", "12/31/2022")</f>
        <v>41459.572413599999</v>
      </c>
      <c r="R158">
        <f t="shared" si="33"/>
        <v>1.230445492922036E-3</v>
      </c>
      <c r="S158">
        <f t="shared" si="34"/>
        <v>4.9820738008413247E-3</v>
      </c>
      <c r="U158" t="s">
        <v>158</v>
      </c>
      <c r="V158" s="4" cm="1">
        <f t="array" ref="V158">_xll.SNL.Clients.Office.Excel.Functions.SPG(U158, "SP_TOTAL_REV", "CY2021")</f>
        <v>12733100</v>
      </c>
      <c r="W158" s="4">
        <f>_xll.SNL.Clients.Office.Excel.Functions.SPG(U158,"IQ_AVG_DILUT_SHARES_OUT","CY2021")</f>
        <v>289100000</v>
      </c>
      <c r="X158" s="5">
        <f>_xll.SNL.Clients.Office.Excel.Functions.SPG(U158, "IQ_DILUT_EPS_NORM", "CY2021")</f>
        <v>3.585</v>
      </c>
      <c r="Y158">
        <f t="shared" si="35"/>
        <v>1036423.5</v>
      </c>
      <c r="Z158">
        <f t="shared" si="36"/>
        <v>8.1396007256677477E-2</v>
      </c>
      <c r="AA158" s="5">
        <f>_xll.SNL.Clients.Office.Excel.Functions.SPG(U158, "SP_MARKETCAP", "12/31/2021")</f>
        <v>67225.824549130004</v>
      </c>
      <c r="AB158">
        <f t="shared" si="30"/>
        <v>1.5843450246415881E-3</v>
      </c>
      <c r="AC158">
        <f t="shared" si="37"/>
        <v>5.6798769133400932E-3</v>
      </c>
    </row>
    <row r="159" spans="1:29" x14ac:dyDescent="0.3">
      <c r="A159" t="s">
        <v>159</v>
      </c>
      <c r="B159" s="4" cm="1">
        <f t="array" ref="B159">_xll.SNL.Clients.Office.Excel.Functions.SPG(A159, "SP_TOTAL_REV", "CY2023")</f>
        <v>16338000</v>
      </c>
      <c r="C159" s="4">
        <f>_xll.SNL.Clients.Office.Excel.Functions.SPG(A159,"IQ_AVG_DILUT_SHARES_OUT","CY2023")</f>
        <v>385000000</v>
      </c>
      <c r="D159" s="5">
        <f>_xll.SNL.Clients.Office.Excel.Functions.SPG(A159, "IQ_DILUT_EPS_NORM", "CY2023")</f>
        <v>3.5470000000000002</v>
      </c>
      <c r="E159">
        <f t="shared" si="26"/>
        <v>1365595</v>
      </c>
      <c r="F159">
        <f t="shared" si="27"/>
        <v>8.3583976006855187E-2</v>
      </c>
      <c r="G159" s="5">
        <f>_xll.SNL.Clients.Office.Excel.Functions.SPG(A159, "SP_MARKETCAP", "12/30/2023")</f>
        <v>27421.327292369999</v>
      </c>
      <c r="H159">
        <f t="shared" si="31"/>
        <v>6.5262761784872587E-4</v>
      </c>
      <c r="I159">
        <f t="shared" si="32"/>
        <v>2.314870160509431E-3</v>
      </c>
      <c r="K159" t="s">
        <v>159</v>
      </c>
      <c r="L159" s="4" cm="1">
        <f t="array" ref="L159">_xll.SNL.Clients.Office.Excel.Functions.SPG(K159, "SP_TOTAL_REV", "CY2023")</f>
        <v>16338000</v>
      </c>
      <c r="M159" s="4">
        <f>_xll.SNL.Clients.Office.Excel.Functions.SPG(K159,"IQ_AVG_DILUT_SHARES_OUT","CY2023")</f>
        <v>385000000</v>
      </c>
      <c r="N159" s="5">
        <f>_xll.SNL.Clients.Office.Excel.Functions.SPG(K159, "IQ_DILUT_EPS_NORM", "CY2023")</f>
        <v>3.5470000000000002</v>
      </c>
      <c r="O159">
        <f t="shared" si="28"/>
        <v>1365595</v>
      </c>
      <c r="P159">
        <f t="shared" si="29"/>
        <v>8.3583976006855187E-2</v>
      </c>
      <c r="Q159" s="5">
        <f>_xll.SNL.Clients.Office.Excel.Functions.SPG(K159, "SP_MARKETCAP", "12/31/2022")</f>
        <v>24294.866759879998</v>
      </c>
      <c r="R159">
        <f t="shared" si="33"/>
        <v>7.2102792107015933E-4</v>
      </c>
      <c r="S159">
        <f t="shared" si="34"/>
        <v>2.5574860360358552E-3</v>
      </c>
      <c r="U159" t="s">
        <v>159</v>
      </c>
      <c r="V159" s="4" cm="1">
        <f t="array" ref="V159">_xll.SNL.Clients.Office.Excel.Functions.SPG(U159, "SP_TOTAL_REV", "CY2021")</f>
        <v>14905000</v>
      </c>
      <c r="W159" s="4">
        <f>_xll.SNL.Clients.Office.Excel.Functions.SPG(U159,"IQ_AVG_DILUT_SHARES_OUT","CY2021")</f>
        <v>380000000</v>
      </c>
      <c r="X159" s="5">
        <f>_xll.SNL.Clients.Office.Excel.Functions.SPG(U159, "IQ_DILUT_EPS_NORM", "CY2021")</f>
        <v>3.6070000000000002</v>
      </c>
      <c r="Y159">
        <f t="shared" si="35"/>
        <v>1370660</v>
      </c>
      <c r="Z159">
        <f t="shared" si="36"/>
        <v>9.1959745051995972E-2</v>
      </c>
      <c r="AA159" s="5">
        <f>_xll.SNL.Clients.Office.Excel.Functions.SPG(U159, "SP_MARKETCAP", "12/31/2021")</f>
        <v>25928.738472000001</v>
      </c>
      <c r="AB159">
        <f t="shared" si="30"/>
        <v>6.1107569998377612E-4</v>
      </c>
      <c r="AC159">
        <f t="shared" si="37"/>
        <v>2.2041500498414805E-3</v>
      </c>
    </row>
    <row r="160" spans="1:29" x14ac:dyDescent="0.3">
      <c r="A160" t="s">
        <v>160</v>
      </c>
      <c r="B160" s="4" cm="1">
        <f t="array" ref="B160">_xll.SNL.Clients.Office.Excel.Functions.SPG(A160, "SP_TOTAL_REV", "CY2023")</f>
        <v>6004800</v>
      </c>
      <c r="C160" s="4">
        <f>_xll.SNL.Clients.Office.Excel.Functions.SPG(A160,"IQ_AVG_DILUT_SHARES_OUT","CY2023")</f>
        <v>609400000</v>
      </c>
      <c r="D160" s="5">
        <f>_xll.SNL.Clients.Office.Excel.Functions.SPG(A160, "IQ_DILUT_EPS_NORM", "CY2023")</f>
        <v>1.8520000000000001</v>
      </c>
      <c r="E160">
        <f t="shared" si="26"/>
        <v>1128608.8</v>
      </c>
      <c r="F160">
        <f t="shared" si="27"/>
        <v>0.18795110578204105</v>
      </c>
      <c r="G160" s="5">
        <f>_xll.SNL.Clients.Office.Excel.Functions.SPG(A160, "SP_MARKETCAP", "12/30/2023")</f>
        <v>46245.625</v>
      </c>
      <c r="H160">
        <f t="shared" si="31"/>
        <v>1.1006459227111669E-3</v>
      </c>
      <c r="I160">
        <f t="shared" si="32"/>
        <v>2.0383962488610811E-3</v>
      </c>
      <c r="K160" t="s">
        <v>160</v>
      </c>
      <c r="L160" s="4" cm="1">
        <f t="array" ref="L160">_xll.SNL.Clients.Office.Excel.Functions.SPG(K160, "SP_TOTAL_REV", "CY2023")</f>
        <v>6004800</v>
      </c>
      <c r="M160" s="4">
        <f>_xll.SNL.Clients.Office.Excel.Functions.SPG(K160,"IQ_AVG_DILUT_SHARES_OUT","CY2023")</f>
        <v>609400000</v>
      </c>
      <c r="N160" s="5">
        <f>_xll.SNL.Clients.Office.Excel.Functions.SPG(K160, "IQ_DILUT_EPS_NORM", "CY2023")</f>
        <v>1.8520000000000001</v>
      </c>
      <c r="O160">
        <f t="shared" si="28"/>
        <v>1128608.8</v>
      </c>
      <c r="P160">
        <f t="shared" si="29"/>
        <v>0.18795110578204105</v>
      </c>
      <c r="Q160" s="5">
        <f>_xll.SNL.Clients.Office.Excel.Functions.SPG(K160, "SP_MARKETCAP", "12/31/2022")</f>
        <v>46128.415830389997</v>
      </c>
      <c r="R160">
        <f t="shared" si="33"/>
        <v>1.3690083628435676E-3</v>
      </c>
      <c r="S160">
        <f t="shared" si="34"/>
        <v>2.5354034879862871E-3</v>
      </c>
      <c r="U160" t="s">
        <v>160</v>
      </c>
      <c r="V160" s="4" cm="1">
        <f t="array" ref="V160">_xll.SNL.Clients.Office.Excel.Functions.SPG(U160, "SP_TOTAL_REV", "CY2021")</f>
        <v>5232500</v>
      </c>
      <c r="W160" s="4">
        <f>_xll.SNL.Clients.Office.Excel.Functions.SPG(U160,"IQ_AVG_DILUT_SHARES_OUT","CY2021")</f>
        <v>631200000</v>
      </c>
      <c r="X160" s="5">
        <f>_xll.SNL.Clients.Office.Excel.Functions.SPG(U160, "IQ_DILUT_EPS_NORM", "CY2021")</f>
        <v>1.5860000000000001</v>
      </c>
      <c r="Y160">
        <f t="shared" si="35"/>
        <v>1001083.2</v>
      </c>
      <c r="Z160">
        <f t="shared" si="36"/>
        <v>0.19132024844720497</v>
      </c>
      <c r="AA160" s="5">
        <f>_xll.SNL.Clients.Office.Excel.Functions.SPG(U160, "SP_MARKETCAP", "12/31/2021")</f>
        <v>80882.533956800005</v>
      </c>
      <c r="AB160">
        <f t="shared" si="30"/>
        <v>1.906199605795966E-3</v>
      </c>
      <c r="AC160">
        <f t="shared" si="37"/>
        <v>3.0232325747924023E-3</v>
      </c>
    </row>
    <row r="161" spans="1:29" x14ac:dyDescent="0.3">
      <c r="A161" t="s">
        <v>161</v>
      </c>
      <c r="B161" s="4" cm="1">
        <f t="array" ref="B161">_xll.SNL.Clients.Office.Excel.Functions.SPG(A161, "SP_TOTAL_REV", "CY2023")</f>
        <v>7657000</v>
      </c>
      <c r="C161" s="4">
        <f>_xll.SNL.Clients.Office.Excel.Functions.SPG(A161,"IQ_AVG_DILUT_SHARES_OUT","CY2023")</f>
        <v>272750000</v>
      </c>
      <c r="D161" s="5">
        <f>_xll.SNL.Clients.Office.Excel.Functions.SPG(A161, "IQ_DILUT_EPS_NORM", "CY2023")</f>
        <v>3.7210000000000001</v>
      </c>
      <c r="E161">
        <f t="shared" si="26"/>
        <v>1014902.75</v>
      </c>
      <c r="F161">
        <f t="shared" si="27"/>
        <v>0.13254574245788167</v>
      </c>
      <c r="G161" s="5">
        <f>_xll.SNL.Clients.Office.Excel.Functions.SPG(A161, "SP_MARKETCAP", "12/30/2023")</f>
        <v>36819.617429370002</v>
      </c>
      <c r="H161">
        <f t="shared" si="31"/>
        <v>8.7630693280545157E-4</v>
      </c>
      <c r="I161">
        <f t="shared" si="32"/>
        <v>3.2607380969690855E-3</v>
      </c>
      <c r="K161" t="s">
        <v>161</v>
      </c>
      <c r="L161" s="4" cm="1">
        <f t="array" ref="L161">_xll.SNL.Clients.Office.Excel.Functions.SPG(K161, "SP_TOTAL_REV", "CY2023")</f>
        <v>7657000</v>
      </c>
      <c r="M161" s="4">
        <f>_xll.SNL.Clients.Office.Excel.Functions.SPG(K161,"IQ_AVG_DILUT_SHARES_OUT","CY2023")</f>
        <v>272750000</v>
      </c>
      <c r="N161" s="5">
        <f>_xll.SNL.Clients.Office.Excel.Functions.SPG(K161, "IQ_DILUT_EPS_NORM", "CY2023")</f>
        <v>3.7210000000000001</v>
      </c>
      <c r="O161">
        <f t="shared" si="28"/>
        <v>1014902.75</v>
      </c>
      <c r="P161">
        <f t="shared" si="29"/>
        <v>0.13254574245788167</v>
      </c>
      <c r="Q161" s="5">
        <f>_xll.SNL.Clients.Office.Excel.Functions.SPG(K161, "SP_MARKETCAP", "12/31/2022")</f>
        <v>33731.482990119999</v>
      </c>
      <c r="R161">
        <f t="shared" si="33"/>
        <v>1.0010897073592265E-3</v>
      </c>
      <c r="S161">
        <f t="shared" si="34"/>
        <v>3.7250548010836818E-3</v>
      </c>
      <c r="U161" t="s">
        <v>161</v>
      </c>
      <c r="V161" s="4" cm="1">
        <f t="array" ref="V161">_xll.SNL.Clients.Office.Excel.Functions.SPG(U161, "SP_TOTAL_REV", "CY2021")</f>
        <v>6512000</v>
      </c>
      <c r="W161" s="4">
        <f>_xll.SNL.Clients.Office.Excel.Functions.SPG(U161,"IQ_AVG_DILUT_SHARES_OUT","CY2021")</f>
        <v>288250000</v>
      </c>
      <c r="X161" s="5">
        <f>_xll.SNL.Clients.Office.Excel.Functions.SPG(U161, "IQ_DILUT_EPS_NORM", "CY2021")</f>
        <v>1.986</v>
      </c>
      <c r="Y161">
        <f t="shared" si="35"/>
        <v>572464.5</v>
      </c>
      <c r="Z161">
        <f t="shared" si="36"/>
        <v>8.7909167690417692E-2</v>
      </c>
      <c r="AA161" s="5">
        <f>_xll.SNL.Clients.Office.Excel.Functions.SPG(U161, "SP_MARKETCAP", "12/31/2021")</f>
        <v>37302.394061699997</v>
      </c>
      <c r="AB161">
        <f t="shared" si="30"/>
        <v>8.7912439654322014E-4</v>
      </c>
      <c r="AC161">
        <f t="shared" si="37"/>
        <v>1.7459410515348352E-3</v>
      </c>
    </row>
    <row r="162" spans="1:29" x14ac:dyDescent="0.3">
      <c r="A162" t="s">
        <v>162</v>
      </c>
      <c r="B162" s="4" cm="1">
        <f t="array" ref="B162">_xll.SNL.Clients.Office.Excel.Functions.SPG(A162, "SP_TOTAL_REV", "CY2023")</f>
        <v>171340000</v>
      </c>
      <c r="C162" s="4">
        <f>_xll.SNL.Clients.Office.Excel.Functions.SPG(A162,"IQ_AVG_DILUT_SHARES_OUT","CY2023")</f>
        <v>237400000</v>
      </c>
      <c r="D162" s="5">
        <f>_xll.SNL.Clients.Office.Excel.Functions.SPG(A162, "IQ_DILUT_EPS_NORM", "CY2023")</f>
        <v>23.306000000000001</v>
      </c>
      <c r="E162">
        <f t="shared" si="26"/>
        <v>5532844.4000000004</v>
      </c>
      <c r="F162">
        <f t="shared" si="27"/>
        <v>3.229160966499358E-2</v>
      </c>
      <c r="G162" s="5">
        <f>_xll.SNL.Clients.Office.Excel.Functions.SPG(A162, "SP_MARKETCAP", "12/30/2023")</f>
        <v>110797.32970060001</v>
      </c>
      <c r="H162">
        <f t="shared" si="31"/>
        <v>2.6369765611828208E-3</v>
      </c>
      <c r="I162">
        <f t="shared" si="32"/>
        <v>6.1457375734926822E-2</v>
      </c>
      <c r="K162" t="s">
        <v>162</v>
      </c>
      <c r="L162" s="4" cm="1">
        <f t="array" ref="L162">_xll.SNL.Clients.Office.Excel.Functions.SPG(K162, "SP_TOTAL_REV", "CY2023")</f>
        <v>171340000</v>
      </c>
      <c r="M162" s="4">
        <f>_xll.SNL.Clients.Office.Excel.Functions.SPG(K162,"IQ_AVG_DILUT_SHARES_OUT","CY2023")</f>
        <v>237400000</v>
      </c>
      <c r="N162" s="5">
        <f>_xll.SNL.Clients.Office.Excel.Functions.SPG(K162, "IQ_DILUT_EPS_NORM", "CY2023")</f>
        <v>23.306000000000001</v>
      </c>
      <c r="O162">
        <f t="shared" si="28"/>
        <v>5532844.4000000004</v>
      </c>
      <c r="P162">
        <f t="shared" si="29"/>
        <v>3.229160966499358E-2</v>
      </c>
      <c r="Q162" s="5">
        <f>_xll.SNL.Clients.Office.Excel.Functions.SPG(K162, "SP_MARKETCAP", "12/31/2022")</f>
        <v>122511.38473854</v>
      </c>
      <c r="R162">
        <f t="shared" si="33"/>
        <v>3.6359174108058479E-3</v>
      </c>
      <c r="S162">
        <f t="shared" si="34"/>
        <v>8.4738691176241096E-2</v>
      </c>
      <c r="U162" t="s">
        <v>162</v>
      </c>
      <c r="V162" s="4" cm="1">
        <f t="array" ref="V162">_xll.SNL.Clients.Office.Excel.Functions.SPG(U162, "SP_TOTAL_REV", "CY2021")</f>
        <v>138639000</v>
      </c>
      <c r="W162" s="4">
        <f>_xll.SNL.Clients.Office.Excel.Functions.SPG(U162,"IQ_AVG_DILUT_SHARES_OUT","CY2021")</f>
        <v>246800000</v>
      </c>
      <c r="X162" s="5">
        <f>_xll.SNL.Clients.Office.Excel.Functions.SPG(U162, "IQ_DILUT_EPS_NORM", "CY2021")</f>
        <v>20.866</v>
      </c>
      <c r="Y162">
        <f t="shared" si="35"/>
        <v>5149728.8</v>
      </c>
      <c r="Z162">
        <f t="shared" si="36"/>
        <v>3.7144878425262734E-2</v>
      </c>
      <c r="AA162" s="5">
        <f>_xll.SNL.Clients.Office.Excel.Functions.SPG(U162, "SP_MARKETCAP", "12/31/2021")</f>
        <v>112507.96091304001</v>
      </c>
      <c r="AB162">
        <f t="shared" si="30"/>
        <v>2.651532045916007E-3</v>
      </c>
      <c r="AC162">
        <f t="shared" si="37"/>
        <v>5.53268676700834E-2</v>
      </c>
    </row>
    <row r="163" spans="1:29" x14ac:dyDescent="0.3">
      <c r="A163" t="s">
        <v>163</v>
      </c>
      <c r="B163" s="4" cm="1">
        <f t="array" ref="B163">_xll.SNL.Clients.Office.Excel.Functions.SPG(A163, "SP_TOTAL_REV", "CY2023")</f>
        <v>34124100</v>
      </c>
      <c r="C163" s="4">
        <f>_xll.SNL.Clients.Office.Excel.Functions.SPG(A163,"IQ_AVG_DILUT_SHARES_OUT","CY2023")</f>
        <v>903284000</v>
      </c>
      <c r="D163" s="5">
        <f>_xll.SNL.Clients.Office.Excel.Functions.SPG(A163, "IQ_DILUT_EPS_NORM", "CY2023")</f>
        <v>7.2249999999999996</v>
      </c>
      <c r="E163">
        <f t="shared" si="26"/>
        <v>6526226.9000000004</v>
      </c>
      <c r="F163">
        <f t="shared" si="27"/>
        <v>0.19124978827280428</v>
      </c>
      <c r="G163" s="5">
        <f>_xll.SNL.Clients.Office.Excel.Functions.SPG(A163, "SP_MARKETCAP", "12/30/2023")</f>
        <v>524224.17459204001</v>
      </c>
      <c r="H163">
        <f t="shared" si="31"/>
        <v>1.2476535896127596E-2</v>
      </c>
      <c r="I163">
        <f t="shared" si="32"/>
        <v>9.0142971849521872E-2</v>
      </c>
      <c r="K163" t="s">
        <v>163</v>
      </c>
      <c r="L163" s="4" cm="1">
        <f t="array" ref="L163">_xll.SNL.Clients.Office.Excel.Functions.SPG(K163, "SP_TOTAL_REV", "CY2023")</f>
        <v>34124100</v>
      </c>
      <c r="M163" s="4">
        <f>_xll.SNL.Clients.Office.Excel.Functions.SPG(K163,"IQ_AVG_DILUT_SHARES_OUT","CY2023")</f>
        <v>903284000</v>
      </c>
      <c r="N163" s="5">
        <f>_xll.SNL.Clients.Office.Excel.Functions.SPG(K163, "IQ_DILUT_EPS_NORM", "CY2023")</f>
        <v>7.2249999999999996</v>
      </c>
      <c r="O163">
        <f t="shared" si="28"/>
        <v>6526226.9000000004</v>
      </c>
      <c r="P163">
        <f t="shared" si="29"/>
        <v>0.19124978827280428</v>
      </c>
      <c r="Q163" s="5">
        <f>_xll.SNL.Clients.Office.Excel.Functions.SPG(K163, "SP_MARKETCAP", "12/31/2022")</f>
        <v>347613.08293600002</v>
      </c>
      <c r="R163">
        <f t="shared" si="33"/>
        <v>1.0316530689521302E-2</v>
      </c>
      <c r="S163">
        <f t="shared" si="34"/>
        <v>7.4536934231791405E-2</v>
      </c>
      <c r="U163" t="s">
        <v>163</v>
      </c>
      <c r="V163" s="4" cm="1">
        <f t="array" ref="V163">_xll.SNL.Clients.Office.Excel.Functions.SPG(U163, "SP_TOTAL_REV", "CY2021")</f>
        <v>28318400</v>
      </c>
      <c r="W163" s="4">
        <f>_xll.SNL.Clients.Office.Excel.Functions.SPG(U163,"IQ_AVG_DILUT_SHARES_OUT","CY2021")</f>
        <v>911681000</v>
      </c>
      <c r="X163" s="5">
        <f>_xll.SNL.Clients.Office.Excel.Functions.SPG(U163, "IQ_DILUT_EPS_NORM", "CY2021")</f>
        <v>5.4909999999999997</v>
      </c>
      <c r="Y163">
        <f t="shared" si="35"/>
        <v>5006040.3710000003</v>
      </c>
      <c r="Z163">
        <f t="shared" si="36"/>
        <v>0.17677694965111024</v>
      </c>
      <c r="AA163" s="5">
        <f>_xll.SNL.Clients.Office.Excel.Functions.SPG(U163, "SP_MARKETCAP", "12/31/2021")</f>
        <v>250418.95079445999</v>
      </c>
      <c r="AB163">
        <f t="shared" si="30"/>
        <v>5.901750129925388E-3</v>
      </c>
      <c r="AC163">
        <f t="shared" si="37"/>
        <v>3.2406509963420302E-2</v>
      </c>
    </row>
    <row r="164" spans="1:29" x14ac:dyDescent="0.3">
      <c r="A164" t="s">
        <v>164</v>
      </c>
      <c r="B164" s="4" cm="1">
        <f t="array" ref="B164">_xll.SNL.Clients.Office.Excel.Functions.SPG(A164, "SP_TOTAL_REV", "CY2023")</f>
        <v>15909000</v>
      </c>
      <c r="C164" s="4">
        <f>_xll.SNL.Clients.Office.Excel.Functions.SPG(A164,"IQ_AVG_DILUT_SHARES_OUT","CY2023")</f>
        <v>573950000</v>
      </c>
      <c r="D164" s="5">
        <f>_xll.SNL.Clients.Office.Excel.Functions.SPG(A164, "IQ_DILUT_EPS_NORM", "CY2023")</f>
        <v>3.0270000000000001</v>
      </c>
      <c r="E164">
        <f t="shared" si="26"/>
        <v>1737346.65</v>
      </c>
      <c r="F164">
        <f t="shared" si="27"/>
        <v>0.10920527060154629</v>
      </c>
      <c r="G164" s="5">
        <f>_xll.SNL.Clients.Office.Excel.Functions.SPG(A164, "SP_MARKETCAP", "12/30/2023")</f>
        <v>55626.398606440001</v>
      </c>
      <c r="H164">
        <f t="shared" si="31"/>
        <v>1.3239083442224929E-3</v>
      </c>
      <c r="I164">
        <f t="shared" si="32"/>
        <v>4.007470557961486E-3</v>
      </c>
      <c r="K164" t="s">
        <v>164</v>
      </c>
      <c r="L164" s="4" cm="1">
        <f t="array" ref="L164">_xll.SNL.Clients.Office.Excel.Functions.SPG(K164, "SP_TOTAL_REV", "CY2023")</f>
        <v>15909000</v>
      </c>
      <c r="M164" s="4">
        <f>_xll.SNL.Clients.Office.Excel.Functions.SPG(K164,"IQ_AVG_DILUT_SHARES_OUT","CY2023")</f>
        <v>573950000</v>
      </c>
      <c r="N164" s="5">
        <f>_xll.SNL.Clients.Office.Excel.Functions.SPG(K164, "IQ_DILUT_EPS_NORM", "CY2023")</f>
        <v>3.0270000000000001</v>
      </c>
      <c r="O164">
        <f t="shared" si="28"/>
        <v>1737346.65</v>
      </c>
      <c r="P164">
        <f t="shared" si="29"/>
        <v>0.10920527060154629</v>
      </c>
      <c r="Q164" s="5">
        <f>_xll.SNL.Clients.Office.Excel.Functions.SPG(K164, "SP_MARKETCAP", "12/31/2022")</f>
        <v>56809.883999999998</v>
      </c>
      <c r="R164">
        <f t="shared" si="33"/>
        <v>1.6860151142874277E-3</v>
      </c>
      <c r="S164">
        <f t="shared" si="34"/>
        <v>5.103567750948044E-3</v>
      </c>
      <c r="U164" t="s">
        <v>164</v>
      </c>
      <c r="V164" s="4" cm="1">
        <f t="array" ref="V164">_xll.SNL.Clients.Office.Excel.Functions.SPG(U164, "SP_TOTAL_REV", "CY2021")</f>
        <v>17231000</v>
      </c>
      <c r="W164" s="4">
        <f>_xll.SNL.Clients.Office.Excel.Functions.SPG(U164,"IQ_AVG_DILUT_SHARES_OUT","CY2021")</f>
        <v>600850000</v>
      </c>
      <c r="X164" s="5">
        <f>_xll.SNL.Clients.Office.Excel.Functions.SPG(U164, "IQ_DILUT_EPS_NORM", "CY2021")</f>
        <v>2.9729999999999999</v>
      </c>
      <c r="Y164">
        <f t="shared" si="35"/>
        <v>1786327.05</v>
      </c>
      <c r="Z164">
        <f t="shared" si="36"/>
        <v>0.10366937786547502</v>
      </c>
      <c r="AA164" s="5">
        <f>_xll.SNL.Clients.Office.Excel.Functions.SPG(U164, "SP_MARKETCAP", "12/31/2021")</f>
        <v>55307.853000000003</v>
      </c>
      <c r="AB164">
        <f t="shared" si="30"/>
        <v>1.3034681584324628E-3</v>
      </c>
      <c r="AC164">
        <f t="shared" si="37"/>
        <v>3.8752108350197118E-3</v>
      </c>
    </row>
    <row r="165" spans="1:29" x14ac:dyDescent="0.3">
      <c r="A165" t="s">
        <v>165</v>
      </c>
      <c r="B165" s="4" cm="1">
        <f t="array" ref="B165">_xll.SNL.Clients.Office.Excel.Functions.SPG(A165, "SP_TOTAL_REV", "CY2023")</f>
        <v>2290786</v>
      </c>
      <c r="C165" s="4">
        <f>_xll.SNL.Clients.Office.Excel.Functions.SPG(A165,"IQ_AVG_DILUT_SHARES_OUT","CY2023")</f>
        <v>143290000</v>
      </c>
      <c r="D165" s="5">
        <f>_xll.SNL.Clients.Office.Excel.Functions.SPG(A165, "IQ_DILUT_EPS_NORM", "CY2023")</f>
        <v>2.2719999999999998</v>
      </c>
      <c r="E165">
        <f t="shared" si="26"/>
        <v>325554.88</v>
      </c>
      <c r="F165">
        <f t="shared" si="27"/>
        <v>0.14211492474635343</v>
      </c>
      <c r="G165" s="5">
        <f>_xll.SNL.Clients.Office.Excel.Functions.SPG(A165, "SP_MARKETCAP", "12/30/2023")</f>
        <v>17988.252424260001</v>
      </c>
      <c r="H165">
        <f t="shared" si="31"/>
        <v>4.2812042625569522E-4</v>
      </c>
      <c r="I165">
        <f t="shared" si="32"/>
        <v>9.7268960845293951E-4</v>
      </c>
      <c r="K165" t="s">
        <v>165</v>
      </c>
      <c r="L165" s="4" cm="1">
        <f t="array" ref="L165">_xll.SNL.Clients.Office.Excel.Functions.SPG(K165, "SP_TOTAL_REV", "CY2023")</f>
        <v>2290786</v>
      </c>
      <c r="M165" s="4">
        <f>_xll.SNL.Clients.Office.Excel.Functions.SPG(K165,"IQ_AVG_DILUT_SHARES_OUT","CY2023")</f>
        <v>143290000</v>
      </c>
      <c r="N165" s="5">
        <f>_xll.SNL.Clients.Office.Excel.Functions.SPG(K165, "IQ_DILUT_EPS_NORM", "CY2023")</f>
        <v>2.2719999999999998</v>
      </c>
      <c r="O165">
        <f t="shared" si="28"/>
        <v>325554.88</v>
      </c>
      <c r="P165">
        <f t="shared" si="29"/>
        <v>0.14211492474635343</v>
      </c>
      <c r="Q165" s="5">
        <f>_xll.SNL.Clients.Office.Excel.Functions.SPG(K165, "SP_MARKETCAP", "12/31/2022")</f>
        <v>36014.309637120001</v>
      </c>
      <c r="R165">
        <f t="shared" si="33"/>
        <v>1.0688398937553137E-3</v>
      </c>
      <c r="S165">
        <f t="shared" si="34"/>
        <v>2.4284042386120727E-3</v>
      </c>
      <c r="U165" t="s">
        <v>165</v>
      </c>
      <c r="V165" s="4" cm="1">
        <f t="array" ref="V165">_xll.SNL.Clients.Office.Excel.Functions.SPG(U165, "SP_TOTAL_REV", "CY2021")</f>
        <v>1382049</v>
      </c>
      <c r="W165" s="4">
        <f>_xll.SNL.Clients.Office.Excel.Functions.SPG(U165,"IQ_AVG_DILUT_SHARES_OUT","CY2021")</f>
        <v>142878000</v>
      </c>
      <c r="X165" s="5">
        <f>_xll.SNL.Clients.Office.Excel.Functions.SPG(U165, "IQ_DILUT_EPS_NORM", "CY2021")</f>
        <v>0.79800000000000004</v>
      </c>
      <c r="Y165">
        <f t="shared" si="35"/>
        <v>114016.644</v>
      </c>
      <c r="Z165">
        <f t="shared" si="36"/>
        <v>8.2498264533312493E-2</v>
      </c>
      <c r="AA165" s="5">
        <f>_xll.SNL.Clients.Office.Excel.Functions.SPG(U165, "SP_MARKETCAP", "12/31/2021")</f>
        <v>24680.883237120001</v>
      </c>
      <c r="AB165">
        <f t="shared" si="30"/>
        <v>5.8166686422587131E-4</v>
      </c>
      <c r="AC165">
        <f t="shared" si="37"/>
        <v>4.6417015765224534E-4</v>
      </c>
    </row>
    <row r="166" spans="1:29" x14ac:dyDescent="0.3">
      <c r="A166" t="s">
        <v>166</v>
      </c>
      <c r="B166" s="4" cm="1">
        <f t="array" ref="B166">_xll.SNL.Clients.Office.Excel.Functions.SPG(A166, "SP_TOTAL_REV", "CY2023")</f>
        <v>12147412</v>
      </c>
      <c r="C166" s="4">
        <f>_xll.SNL.Clients.Office.Excel.Functions.SPG(A166,"IQ_AVG_DILUT_SHARES_OUT","CY2023")</f>
        <v>212376495</v>
      </c>
      <c r="D166" s="5">
        <f>_xll.SNL.Clients.Office.Excel.Functions.SPG(A166, "IQ_DILUT_EPS_NORM", "CY2023")</f>
        <v>5.5</v>
      </c>
      <c r="E166">
        <f t="shared" si="26"/>
        <v>1168070.7224999999</v>
      </c>
      <c r="F166">
        <f t="shared" si="27"/>
        <v>9.6157990072288646E-2</v>
      </c>
      <c r="G166" s="5">
        <f>_xll.SNL.Clients.Office.Excel.Functions.SPG(A166, "SP_MARKETCAP", "12/30/2023")</f>
        <v>21398.960358060001</v>
      </c>
      <c r="H166">
        <f t="shared" si="31"/>
        <v>5.0929527859892984E-4</v>
      </c>
      <c r="I166">
        <f t="shared" si="32"/>
        <v>2.8011240322941139E-3</v>
      </c>
      <c r="K166" t="s">
        <v>166</v>
      </c>
      <c r="L166" s="4" cm="1">
        <f t="array" ref="L166">_xll.SNL.Clients.Office.Excel.Functions.SPG(K166, "SP_TOTAL_REV", "CY2023")</f>
        <v>12147412</v>
      </c>
      <c r="M166" s="4">
        <f>_xll.SNL.Clients.Office.Excel.Functions.SPG(K166,"IQ_AVG_DILUT_SHARES_OUT","CY2023")</f>
        <v>212376495</v>
      </c>
      <c r="N166" s="5">
        <f>_xll.SNL.Clients.Office.Excel.Functions.SPG(K166, "IQ_DILUT_EPS_NORM", "CY2023")</f>
        <v>5.5</v>
      </c>
      <c r="O166">
        <f t="shared" si="28"/>
        <v>1168070.7224999999</v>
      </c>
      <c r="P166">
        <f t="shared" si="29"/>
        <v>9.6157990072288646E-2</v>
      </c>
      <c r="Q166" s="5">
        <f>_xll.SNL.Clients.Office.Excel.Functions.SPG(K166, "SP_MARKETCAP", "12/31/2022")</f>
        <v>22891.911749999999</v>
      </c>
      <c r="R166">
        <f t="shared" si="33"/>
        <v>6.7939074132652619E-4</v>
      </c>
      <c r="S166">
        <f t="shared" si="34"/>
        <v>3.736649077295894E-3</v>
      </c>
      <c r="U166" t="s">
        <v>166</v>
      </c>
      <c r="V166" s="4" cm="1">
        <f t="array" ref="V166">_xll.SNL.Clients.Office.Excel.Functions.SPG(U166, "SP_TOTAL_REV", "CY2021")</f>
        <v>11742896</v>
      </c>
      <c r="W166" s="4">
        <f>_xll.SNL.Clients.Office.Excel.Functions.SPG(U166,"IQ_AVG_DILUT_SHARES_OUT","CY2021")</f>
        <v>201873024</v>
      </c>
      <c r="X166" s="5">
        <f>_xll.SNL.Clients.Office.Excel.Functions.SPG(U166, "IQ_DILUT_EPS_NORM", "CY2021")</f>
        <v>5.5179999999999998</v>
      </c>
      <c r="Y166">
        <f t="shared" si="35"/>
        <v>1113935.3464319999</v>
      </c>
      <c r="Z166">
        <f t="shared" si="36"/>
        <v>9.4860360377201663E-2</v>
      </c>
      <c r="AA166" s="5">
        <f>_xll.SNL.Clients.Office.Excel.Functions.SPG(U166, "SP_MARKETCAP", "12/31/2021")</f>
        <v>22640.543219700001</v>
      </c>
      <c r="AB166">
        <f t="shared" si="30"/>
        <v>5.3358113858610536E-4</v>
      </c>
      <c r="AC166">
        <f t="shared" si="37"/>
        <v>2.9443007227181292E-3</v>
      </c>
    </row>
    <row r="167" spans="1:29" x14ac:dyDescent="0.3">
      <c r="A167" t="s">
        <v>167</v>
      </c>
      <c r="B167" s="4" cm="1">
        <f t="array" ref="B167">_xll.SNL.Clients.Office.Excel.Functions.SPG(A167, "SP_TOTAL_REV", "CY2023")</f>
        <v>23273000</v>
      </c>
      <c r="C167" s="4">
        <f>_xll.SNL.Clients.Office.Excel.Functions.SPG(A167,"IQ_AVG_DILUT_SHARES_OUT","CY2023")</f>
        <v>584000000</v>
      </c>
      <c r="D167" s="5">
        <f>_xll.SNL.Clients.Office.Excel.Functions.SPG(A167, "IQ_DILUT_EPS_NORM", "CY2023")</f>
        <v>10.303000000000001</v>
      </c>
      <c r="E167">
        <f t="shared" si="26"/>
        <v>6016952.0000000009</v>
      </c>
      <c r="F167">
        <f t="shared" si="27"/>
        <v>0.25853787650925969</v>
      </c>
      <c r="G167" s="5">
        <f>_xll.SNL.Clients.Office.Excel.Functions.SPG(A167, "SP_MARKETCAP", "12/30/2023")</f>
        <v>70531.944361899994</v>
      </c>
      <c r="H167">
        <f t="shared" si="31"/>
        <v>1.6786603485803491E-3</v>
      </c>
      <c r="I167">
        <f t="shared" si="32"/>
        <v>1.7295237571423337E-2</v>
      </c>
      <c r="K167" t="s">
        <v>167</v>
      </c>
      <c r="L167" s="4" cm="1">
        <f t="array" ref="L167">_xll.SNL.Clients.Office.Excel.Functions.SPG(K167, "SP_TOTAL_REV", "CY2023")</f>
        <v>23273000</v>
      </c>
      <c r="M167" s="4">
        <f>_xll.SNL.Clients.Office.Excel.Functions.SPG(K167,"IQ_AVG_DILUT_SHARES_OUT","CY2023")</f>
        <v>584000000</v>
      </c>
      <c r="N167" s="5">
        <f>_xll.SNL.Clients.Office.Excel.Functions.SPG(K167, "IQ_DILUT_EPS_NORM", "CY2023")</f>
        <v>10.303000000000001</v>
      </c>
      <c r="O167">
        <f t="shared" si="28"/>
        <v>6016952.0000000009</v>
      </c>
      <c r="P167">
        <f t="shared" si="29"/>
        <v>0.25853787650925969</v>
      </c>
      <c r="Q167" s="5">
        <f>_xll.SNL.Clients.Office.Excel.Functions.SPG(K167, "SP_MARKETCAP", "12/31/2022")</f>
        <v>76078.687521920001</v>
      </c>
      <c r="R167">
        <f t="shared" si="33"/>
        <v>2.2578785240453484E-3</v>
      </c>
      <c r="S167">
        <f t="shared" si="34"/>
        <v>2.3262922433239228E-2</v>
      </c>
      <c r="U167" t="s">
        <v>167</v>
      </c>
      <c r="V167" s="4" cm="1">
        <f t="array" ref="V167">_xll.SNL.Clients.Office.Excel.Functions.SPG(U167, "SP_TOTAL_REV", "CY2021")</f>
        <v>19777000</v>
      </c>
      <c r="W167" s="4">
        <f>_xll.SNL.Clients.Office.Excel.Functions.SPG(U167,"IQ_AVG_DILUT_SHARES_OUT","CY2021")</f>
        <v>584000000</v>
      </c>
      <c r="X167" s="5">
        <f>_xll.SNL.Clients.Office.Excel.Functions.SPG(U167, "IQ_DILUT_EPS_NORM", "CY2021")</f>
        <v>6.3659999999999997</v>
      </c>
      <c r="Y167">
        <f t="shared" si="35"/>
        <v>3717744</v>
      </c>
      <c r="Z167">
        <f t="shared" si="36"/>
        <v>0.1879832128229762</v>
      </c>
      <c r="AA167" s="5">
        <f>_xll.SNL.Clients.Office.Excel.Functions.SPG(U167, "SP_MARKETCAP", "12/31/2021")</f>
        <v>51976.965454470002</v>
      </c>
      <c r="AB167">
        <f t="shared" si="30"/>
        <v>1.2249674461571624E-3</v>
      </c>
      <c r="AC167">
        <f t="shared" si="37"/>
        <v>7.7981427622364954E-3</v>
      </c>
    </row>
    <row r="168" spans="1:29" x14ac:dyDescent="0.3">
      <c r="A168" t="s">
        <v>168</v>
      </c>
      <c r="B168" s="4" cm="1">
        <f t="array" ref="B168">_xll.SNL.Clients.Office.Excel.Functions.SPG(A168, "SP_TOTAL_REV", "CY2023")</f>
        <v>4690540</v>
      </c>
      <c r="C168" s="4">
        <f>_xll.SNL.Clients.Office.Excel.Functions.SPG(A168,"IQ_AVG_DILUT_SHARES_OUT","CY2023")</f>
        <v>59085000</v>
      </c>
      <c r="D168" s="5">
        <f>_xll.SNL.Clients.Office.Excel.Functions.SPG(A168, "IQ_DILUT_EPS_NORM", "CY2023")</f>
        <v>6.5890000000000004</v>
      </c>
      <c r="E168">
        <f t="shared" si="26"/>
        <v>389311.065</v>
      </c>
      <c r="F168">
        <f t="shared" si="27"/>
        <v>8.2999199452515063E-2</v>
      </c>
      <c r="G168" s="5">
        <f>_xll.SNL.Clients.Office.Excel.Functions.SPG(A168, "SP_MARKETCAP", "12/30/2023")</f>
        <v>17156.65953384</v>
      </c>
      <c r="H168">
        <f t="shared" si="31"/>
        <v>4.0832851460575282E-4</v>
      </c>
      <c r="I168">
        <f t="shared" si="32"/>
        <v>2.6904765827373057E-3</v>
      </c>
      <c r="K168" t="s">
        <v>168</v>
      </c>
      <c r="L168" s="4" cm="1">
        <f t="array" ref="L168">_xll.SNL.Clients.Office.Excel.Functions.SPG(K168, "SP_TOTAL_REV", "CY2023")</f>
        <v>4690540</v>
      </c>
      <c r="M168" s="4">
        <f>_xll.SNL.Clients.Office.Excel.Functions.SPG(K168,"IQ_AVG_DILUT_SHARES_OUT","CY2023")</f>
        <v>59085000</v>
      </c>
      <c r="N168" s="5">
        <f>_xll.SNL.Clients.Office.Excel.Functions.SPG(K168, "IQ_DILUT_EPS_NORM", "CY2023")</f>
        <v>6.5890000000000004</v>
      </c>
      <c r="O168">
        <f t="shared" si="28"/>
        <v>389311.065</v>
      </c>
      <c r="P168">
        <f t="shared" si="29"/>
        <v>8.2999199452515063E-2</v>
      </c>
      <c r="Q168" s="5">
        <f>_xll.SNL.Clients.Office.Excel.Functions.SPG(K168, "SP_MARKETCAP", "12/31/2022")</f>
        <v>18849.470557119999</v>
      </c>
      <c r="R168">
        <f t="shared" si="33"/>
        <v>5.5941836205157861E-4</v>
      </c>
      <c r="S168">
        <f t="shared" si="34"/>
        <v>3.6860075875578516E-3</v>
      </c>
      <c r="U168" t="s">
        <v>168</v>
      </c>
      <c r="V168" s="4" cm="1">
        <f t="array" ref="V168">_xll.SNL.Clients.Office.Excel.Functions.SPG(U168, "SP_TOTAL_REV", "CY2021")</f>
        <v>3758144</v>
      </c>
      <c r="W168" s="4">
        <f>_xll.SNL.Clients.Office.Excel.Functions.SPG(U168,"IQ_AVG_DILUT_SHARES_OUT","CY2021")</f>
        <v>59064000</v>
      </c>
      <c r="X168" s="5">
        <f>_xll.SNL.Clients.Office.Excel.Functions.SPG(U168, "IQ_DILUT_EPS_NORM", "CY2021")</f>
        <v>5.7750000000000004</v>
      </c>
      <c r="Y168">
        <f t="shared" si="35"/>
        <v>341094.6</v>
      </c>
      <c r="Z168">
        <f t="shared" si="36"/>
        <v>9.0761450332930288E-2</v>
      </c>
      <c r="AA168" s="5">
        <f>_xll.SNL.Clients.Office.Excel.Functions.SPG(U168, "SP_MARKETCAP", "12/31/2021")</f>
        <v>37914.189213550002</v>
      </c>
      <c r="AB168">
        <f t="shared" si="30"/>
        <v>8.9354288246636451E-4</v>
      </c>
      <c r="AC168">
        <f t="shared" si="37"/>
        <v>5.1602101462432555E-3</v>
      </c>
    </row>
    <row r="169" spans="1:29" x14ac:dyDescent="0.3">
      <c r="A169" t="s">
        <v>169</v>
      </c>
      <c r="B169" s="4" cm="1">
        <f t="array" ref="B169">_xll.SNL.Clients.Office.Excel.Functions.SPG(A169, "SP_TOTAL_REV", "CY2023")</f>
        <v>4974255</v>
      </c>
      <c r="C169" s="4">
        <f>_xll.SNL.Clients.Office.Excel.Functions.SPG(A169,"IQ_AVG_DILUT_SHARES_OUT","CY2023")</f>
        <v>413224000</v>
      </c>
      <c r="D169" s="5">
        <f>_xll.SNL.Clients.Office.Excel.Functions.SPG(A169, "IQ_DILUT_EPS_NORM", "CY2023")</f>
        <v>3.4929999999999999</v>
      </c>
      <c r="E169">
        <f t="shared" si="26"/>
        <v>1443391.432</v>
      </c>
      <c r="F169">
        <f t="shared" si="27"/>
        <v>0.29017238400524298</v>
      </c>
      <c r="G169" s="5">
        <f>_xll.SNL.Clients.Office.Excel.Functions.SPG(A169, "SP_MARKETCAP", "12/30/2023")</f>
        <v>15902.09512</v>
      </c>
      <c r="H169">
        <f t="shared" si="31"/>
        <v>3.7846988026203875E-4</v>
      </c>
      <c r="I169">
        <f t="shared" si="32"/>
        <v>1.3219952917553014E-3</v>
      </c>
      <c r="K169" t="s">
        <v>169</v>
      </c>
      <c r="L169" s="4" cm="1">
        <f t="array" ref="L169">_xll.SNL.Clients.Office.Excel.Functions.SPG(K169, "SP_TOTAL_REV", "CY2023")</f>
        <v>4974255</v>
      </c>
      <c r="M169" s="4">
        <f>_xll.SNL.Clients.Office.Excel.Functions.SPG(K169,"IQ_AVG_DILUT_SHARES_OUT","CY2023")</f>
        <v>413224000</v>
      </c>
      <c r="N169" s="5">
        <f>_xll.SNL.Clients.Office.Excel.Functions.SPG(K169, "IQ_DILUT_EPS_NORM", "CY2023")</f>
        <v>3.4929999999999999</v>
      </c>
      <c r="O169">
        <f t="shared" si="28"/>
        <v>1443391.432</v>
      </c>
      <c r="P169">
        <f t="shared" si="29"/>
        <v>0.29017238400524298</v>
      </c>
      <c r="Q169" s="5">
        <f>_xll.SNL.Clients.Office.Excel.Functions.SPG(K169, "SP_MARKETCAP", "12/31/2022")</f>
        <v>12417.16634915</v>
      </c>
      <c r="R169">
        <f t="shared" si="33"/>
        <v>3.685191496129114E-4</v>
      </c>
      <c r="S169">
        <f t="shared" si="34"/>
        <v>1.2872373895978994E-3</v>
      </c>
      <c r="U169" t="s">
        <v>169</v>
      </c>
      <c r="V169" s="4" cm="1">
        <f t="array" ref="V169">_xll.SNL.Clients.Office.Excel.Functions.SPG(U169, "SP_TOTAL_REV", "CY2021")</f>
        <v>6839705</v>
      </c>
      <c r="W169" s="4">
        <f>_xll.SNL.Clients.Office.Excel.Functions.SPG(U169,"IQ_AVG_DILUT_SHARES_OUT","CY2021")</f>
        <v>323196000</v>
      </c>
      <c r="X169" s="5">
        <f>_xll.SNL.Clients.Office.Excel.Functions.SPG(U169, "IQ_DILUT_EPS_NORM", "CY2021")</f>
        <v>-2.3370000000000002</v>
      </c>
      <c r="Y169">
        <f t="shared" si="35"/>
        <v>-755309.05200000014</v>
      </c>
      <c r="Z169">
        <f t="shared" si="36"/>
        <v>-0.11043006270007261</v>
      </c>
      <c r="AA169" s="5">
        <f>_xll.SNL.Clients.Office.Excel.Functions.SPG(U169, "SP_MARKETCAP", "12/31/2021")</f>
        <v>8243.0602309799997</v>
      </c>
      <c r="AB169">
        <f t="shared" si="30"/>
        <v>1.9426837160219131E-4</v>
      </c>
      <c r="AC169">
        <f t="shared" si="37"/>
        <v>-4.5400518443432112E-4</v>
      </c>
    </row>
    <row r="170" spans="1:29" x14ac:dyDescent="0.3">
      <c r="A170" t="s">
        <v>170</v>
      </c>
      <c r="B170" s="4" cm="1">
        <f t="array" ref="B170">_xll.SNL.Clients.Office.Excel.Functions.SPG(A170, "SP_TOTAL_REV", "CY2023")</f>
        <v>5265200</v>
      </c>
      <c r="C170" s="4">
        <f>_xll.SNL.Clients.Office.Excel.Functions.SPG(A170,"IQ_AVG_DILUT_SHARES_OUT","CY2023")</f>
        <v>123900000</v>
      </c>
      <c r="D170" s="5">
        <f>_xll.SNL.Clients.Office.Excel.Functions.SPG(A170, "IQ_DILUT_EPS_NORM", "CY2023")</f>
        <v>3.7429999999999999</v>
      </c>
      <c r="E170">
        <f t="shared" si="26"/>
        <v>463757.7</v>
      </c>
      <c r="F170">
        <f t="shared" si="27"/>
        <v>8.8079788042239607E-2</v>
      </c>
      <c r="G170" s="5">
        <f>_xll.SNL.Clients.Office.Excel.Functions.SPG(A170, "SP_MARKETCAP", "12/30/2023")</f>
        <v>30470.276537040001</v>
      </c>
      <c r="H170">
        <f t="shared" si="31"/>
        <v>7.251926130174436E-4</v>
      </c>
      <c r="I170">
        <f t="shared" si="32"/>
        <v>2.7143959505242913E-3</v>
      </c>
      <c r="K170" t="s">
        <v>170</v>
      </c>
      <c r="L170" s="4" cm="1">
        <f t="array" ref="L170">_xll.SNL.Clients.Office.Excel.Functions.SPG(K170, "SP_TOTAL_REV", "CY2023")</f>
        <v>5265200</v>
      </c>
      <c r="M170" s="4">
        <f>_xll.SNL.Clients.Office.Excel.Functions.SPG(K170,"IQ_AVG_DILUT_SHARES_OUT","CY2023")</f>
        <v>123900000</v>
      </c>
      <c r="N170" s="5">
        <f>_xll.SNL.Clients.Office.Excel.Functions.SPG(K170, "IQ_DILUT_EPS_NORM", "CY2023")</f>
        <v>3.7429999999999999</v>
      </c>
      <c r="O170">
        <f t="shared" si="28"/>
        <v>463757.7</v>
      </c>
      <c r="P170">
        <f t="shared" si="29"/>
        <v>8.8079788042239607E-2</v>
      </c>
      <c r="Q170" s="5">
        <f>_xll.SNL.Clients.Office.Excel.Functions.SPG(K170, "SP_MARKETCAP", "12/31/2022")</f>
        <v>23798.104860439998</v>
      </c>
      <c r="R170">
        <f t="shared" si="33"/>
        <v>7.0628492193539657E-4</v>
      </c>
      <c r="S170">
        <f t="shared" si="34"/>
        <v>2.6436244628041893E-3</v>
      </c>
      <c r="U170" t="s">
        <v>170</v>
      </c>
      <c r="V170" s="4" cm="1">
        <f t="array" ref="V170">_xll.SNL.Clients.Office.Excel.Functions.SPG(U170, "SP_TOTAL_REV", "CY2021")</f>
        <v>4923900</v>
      </c>
      <c r="W170" s="4">
        <f>_xll.SNL.Clients.Office.Excel.Functions.SPG(U170,"IQ_AVG_DILUT_SHARES_OUT","CY2021")</f>
        <v>123600000</v>
      </c>
      <c r="X170" s="5">
        <f>_xll.SNL.Clients.Office.Excel.Functions.SPG(U170, "IQ_DILUT_EPS_NORM", "CY2021")</f>
        <v>5.1280000000000001</v>
      </c>
      <c r="Y170">
        <f t="shared" si="35"/>
        <v>633820.80000000005</v>
      </c>
      <c r="Z170">
        <f t="shared" si="36"/>
        <v>0.12872332906842138</v>
      </c>
      <c r="AA170" s="5">
        <f>_xll.SNL.Clients.Office.Excel.Functions.SPG(U170, "SP_MARKETCAP", "12/31/2021")</f>
        <v>35720.824748010004</v>
      </c>
      <c r="AB170">
        <f t="shared" si="30"/>
        <v>8.4185075222459533E-4</v>
      </c>
      <c r="AC170">
        <f t="shared" si="37"/>
        <v>4.3170106574077251E-3</v>
      </c>
    </row>
    <row r="171" spans="1:29" x14ac:dyDescent="0.3">
      <c r="A171" t="s">
        <v>171</v>
      </c>
      <c r="B171" s="4" cm="1">
        <f t="array" ref="B171">_xll.SNL.Clients.Office.Excel.Functions.SPG(A171, "SP_TOTAL_REV", "CY2023")</f>
        <v>8272667</v>
      </c>
      <c r="C171" s="4">
        <f>_xll.SNL.Clients.Office.Excel.Functions.SPG(A171,"IQ_AVG_DILUT_SHARES_OUT","CY2023")</f>
        <v>94009000</v>
      </c>
      <c r="D171" s="5">
        <f>_xll.SNL.Clients.Office.Excel.Functions.SPG(A171, "IQ_DILUT_EPS_NORM", "CY2023")</f>
        <v>4.5780000000000003</v>
      </c>
      <c r="E171">
        <f t="shared" si="26"/>
        <v>430373.20199999999</v>
      </c>
      <c r="F171">
        <f t="shared" si="27"/>
        <v>5.2023513336146611E-2</v>
      </c>
      <c r="G171" s="5">
        <f>_xll.SNL.Clients.Office.Excel.Functions.SPG(A171, "SP_MARKETCAP", "12/30/2023")</f>
        <v>75612.770855359995</v>
      </c>
      <c r="H171">
        <f t="shared" si="31"/>
        <v>1.7995840243665371E-3</v>
      </c>
      <c r="I171">
        <f t="shared" si="32"/>
        <v>8.2384956635500068E-3</v>
      </c>
      <c r="K171" t="s">
        <v>171</v>
      </c>
      <c r="L171" s="4" cm="1">
        <f t="array" ref="L171">_xll.SNL.Clients.Office.Excel.Functions.SPG(K171, "SP_TOTAL_REV", "CY2023")</f>
        <v>8272667</v>
      </c>
      <c r="M171" s="4">
        <f>_xll.SNL.Clients.Office.Excel.Functions.SPG(K171,"IQ_AVG_DILUT_SHARES_OUT","CY2023")</f>
        <v>94009000</v>
      </c>
      <c r="N171" s="5">
        <f>_xll.SNL.Clients.Office.Excel.Functions.SPG(K171, "IQ_DILUT_EPS_NORM", "CY2023")</f>
        <v>4.5780000000000003</v>
      </c>
      <c r="O171">
        <f t="shared" si="28"/>
        <v>430373.20199999999</v>
      </c>
      <c r="P171">
        <f t="shared" si="29"/>
        <v>5.2023513336146611E-2</v>
      </c>
      <c r="Q171" s="5">
        <f>_xll.SNL.Clients.Office.Excel.Functions.SPG(K171, "SP_MARKETCAP", "12/31/2022")</f>
        <v>60615.241468450004</v>
      </c>
      <c r="R171">
        <f t="shared" si="33"/>
        <v>1.7989512753095705E-3</v>
      </c>
      <c r="S171">
        <f t="shared" si="34"/>
        <v>8.235598938367214E-3</v>
      </c>
      <c r="U171" t="s">
        <v>171</v>
      </c>
      <c r="V171" s="4" cm="1">
        <f t="array" ref="V171">_xll.SNL.Clients.Office.Excel.Functions.SPG(U171, "SP_TOTAL_REV", "CY2021")</f>
        <v>6619381</v>
      </c>
      <c r="W171" s="4">
        <f>_xll.SNL.Clients.Office.Excel.Functions.SPG(U171,"IQ_AVG_DILUT_SHARES_OUT","CY2021")</f>
        <v>90409000</v>
      </c>
      <c r="X171" s="5">
        <f>_xll.SNL.Clients.Office.Excel.Functions.SPG(U171, "IQ_DILUT_EPS_NORM", "CY2021")</f>
        <v>2.2240000000000002</v>
      </c>
      <c r="Y171">
        <f t="shared" si="35"/>
        <v>201069.61600000004</v>
      </c>
      <c r="Z171">
        <f t="shared" si="36"/>
        <v>3.0375894060184788E-2</v>
      </c>
      <c r="AA171" s="5">
        <f>_xll.SNL.Clients.Office.Excel.Functions.SPG(U171, "SP_MARKETCAP", "12/31/2021")</f>
        <v>76160.448608000006</v>
      </c>
      <c r="AB171">
        <f t="shared" si="30"/>
        <v>1.7949118309195621E-3</v>
      </c>
      <c r="AC171">
        <f t="shared" si="37"/>
        <v>3.9918839119651066E-3</v>
      </c>
    </row>
    <row r="172" spans="1:29" x14ac:dyDescent="0.3">
      <c r="A172" t="s">
        <v>172</v>
      </c>
      <c r="B172" s="4" cm="1">
        <f t="array" ref="B172">_xll.SNL.Clients.Office.Excel.Functions.SPG(A172, "SP_TOTAL_REV", "CY2023")</f>
        <v>2874906</v>
      </c>
      <c r="C172" s="4">
        <f>_xll.SNL.Clients.Office.Excel.Functions.SPG(A172,"IQ_AVG_DILUT_SHARES_OUT","CY2023")</f>
        <v>390897000</v>
      </c>
      <c r="D172" s="5">
        <f>_xll.SNL.Clients.Office.Excel.Functions.SPG(A172, "IQ_DILUT_EPS_NORM", "CY2023")</f>
        <v>0.83</v>
      </c>
      <c r="E172">
        <f t="shared" si="26"/>
        <v>324444.51</v>
      </c>
      <c r="F172">
        <f t="shared" si="27"/>
        <v>0.11285395418145845</v>
      </c>
      <c r="G172" s="5">
        <f>_xll.SNL.Clients.Office.Excel.Functions.SPG(A172, "SP_MARKETCAP", "12/30/2023")</f>
        <v>23223.97696344</v>
      </c>
      <c r="H172">
        <f t="shared" si="31"/>
        <v>5.527306756898259E-4</v>
      </c>
      <c r="I172">
        <f t="shared" si="32"/>
        <v>4.5876646082255545E-4</v>
      </c>
      <c r="K172" t="s">
        <v>172</v>
      </c>
      <c r="L172" s="4" cm="1">
        <f t="array" ref="L172">_xll.SNL.Clients.Office.Excel.Functions.SPG(K172, "SP_TOTAL_REV", "CY2023")</f>
        <v>2874906</v>
      </c>
      <c r="M172" s="4">
        <f>_xll.SNL.Clients.Office.Excel.Functions.SPG(K172,"IQ_AVG_DILUT_SHARES_OUT","CY2023")</f>
        <v>390897000</v>
      </c>
      <c r="N172" s="5">
        <f>_xll.SNL.Clients.Office.Excel.Functions.SPG(K172, "IQ_DILUT_EPS_NORM", "CY2023")</f>
        <v>0.83</v>
      </c>
      <c r="O172">
        <f t="shared" si="28"/>
        <v>324444.51</v>
      </c>
      <c r="P172">
        <f t="shared" si="29"/>
        <v>0.11285395418145845</v>
      </c>
      <c r="Q172" s="5">
        <f>_xll.SNL.Clients.Office.Excel.Functions.SPG(K172, "SP_MARKETCAP", "12/31/2022")</f>
        <v>22297.216280000001</v>
      </c>
      <c r="R172">
        <f t="shared" si="33"/>
        <v>6.6174125007218277E-4</v>
      </c>
      <c r="S172">
        <f t="shared" si="34"/>
        <v>5.492452375599117E-4</v>
      </c>
      <c r="U172" t="s">
        <v>172</v>
      </c>
      <c r="V172" s="4" cm="1">
        <f t="array" ref="V172">_xll.SNL.Clients.Office.Excel.Functions.SPG(U172, "SP_TOTAL_REV", "CY2021")</f>
        <v>2460439</v>
      </c>
      <c r="W172" s="4">
        <f>_xll.SNL.Clients.Office.Excel.Functions.SPG(U172,"IQ_AVG_DILUT_SHARES_OUT","CY2021")</f>
        <v>388089000</v>
      </c>
      <c r="X172" s="5">
        <f>_xll.SNL.Clients.Office.Excel.Functions.SPG(U172, "IQ_DILUT_EPS_NORM", "CY2021")</f>
        <v>0.34899999999999998</v>
      </c>
      <c r="Y172">
        <f t="shared" si="35"/>
        <v>135443.06099999999</v>
      </c>
      <c r="Z172">
        <f t="shared" si="36"/>
        <v>5.5048331212438101E-2</v>
      </c>
      <c r="AA172" s="5">
        <f>_xll.SNL.Clients.Office.Excel.Functions.SPG(U172, "SP_MARKETCAP", "12/31/2021")</f>
        <v>33938.968091000002</v>
      </c>
      <c r="AB172">
        <f t="shared" si="30"/>
        <v>7.9985683473690237E-4</v>
      </c>
      <c r="AC172">
        <f t="shared" si="37"/>
        <v>2.7915003532317893E-4</v>
      </c>
    </row>
    <row r="173" spans="1:29" x14ac:dyDescent="0.3">
      <c r="A173" t="s">
        <v>173</v>
      </c>
      <c r="B173" s="4" cm="1">
        <f t="array" ref="B173">_xll.SNL.Clients.Office.Excel.Functions.SPG(A173, "SP_TOTAL_REV", "CY2023")</f>
        <v>3310620</v>
      </c>
      <c r="C173" s="4">
        <f>_xll.SNL.Clients.Office.Excel.Functions.SPG(A173,"IQ_AVG_DILUT_SHARES_OUT","CY2023")</f>
        <v>46188981</v>
      </c>
      <c r="D173" s="5">
        <f>_xll.SNL.Clients.Office.Excel.Functions.SPG(A173, "IQ_DILUT_EPS_NORM", "CY2023")</f>
        <v>7.8150000000000004</v>
      </c>
      <c r="E173">
        <f t="shared" si="26"/>
        <v>360966.88651500002</v>
      </c>
      <c r="F173">
        <f t="shared" si="27"/>
        <v>0.1090330169318738</v>
      </c>
      <c r="G173" s="5">
        <f>_xll.SNL.Clients.Office.Excel.Functions.SPG(A173, "SP_MARKETCAP", "12/30/2023")</f>
        <v>17512.92259056</v>
      </c>
      <c r="H173">
        <f t="shared" si="31"/>
        <v>4.1680757572324197E-4</v>
      </c>
      <c r="I173">
        <f t="shared" si="32"/>
        <v>3.2573512042771363E-3</v>
      </c>
      <c r="K173" t="s">
        <v>173</v>
      </c>
      <c r="L173" s="4" cm="1">
        <f t="array" ref="L173">_xll.SNL.Clients.Office.Excel.Functions.SPG(K173, "SP_TOTAL_REV", "CY2023")</f>
        <v>3310620</v>
      </c>
      <c r="M173" s="4">
        <f>_xll.SNL.Clients.Office.Excel.Functions.SPG(K173,"IQ_AVG_DILUT_SHARES_OUT","CY2023")</f>
        <v>46188981</v>
      </c>
      <c r="N173" s="5">
        <f>_xll.SNL.Clients.Office.Excel.Functions.SPG(K173, "IQ_DILUT_EPS_NORM", "CY2023")</f>
        <v>7.8150000000000004</v>
      </c>
      <c r="O173">
        <f t="shared" si="28"/>
        <v>360966.88651500002</v>
      </c>
      <c r="P173">
        <f t="shared" si="29"/>
        <v>0.1090330169318738</v>
      </c>
      <c r="Q173" s="5">
        <f>_xll.SNL.Clients.Office.Excel.Functions.SPG(K173, "SP_MARKETCAP", "12/31/2022")</f>
        <v>13005.535968960001</v>
      </c>
      <c r="R173">
        <f t="shared" si="33"/>
        <v>3.8598090101848033E-4</v>
      </c>
      <c r="S173">
        <f t="shared" si="34"/>
        <v>3.0164407414594238E-3</v>
      </c>
      <c r="U173" t="s">
        <v>173</v>
      </c>
      <c r="V173" s="4" cm="1">
        <f t="array" ref="V173">_xll.SNL.Clients.Office.Excel.Functions.SPG(U173, "SP_TOTAL_REV", "CY2021")</f>
        <v>2696416</v>
      </c>
      <c r="W173" s="4">
        <f>_xll.SNL.Clients.Office.Excel.Functions.SPG(U173,"IQ_AVG_DILUT_SHARES_OUT","CY2021")</f>
        <v>46188806</v>
      </c>
      <c r="X173" s="5">
        <f>_xll.SNL.Clients.Office.Excel.Functions.SPG(U173, "IQ_DILUT_EPS_NORM", "CY2021")</f>
        <v>5.024</v>
      </c>
      <c r="Y173">
        <f t="shared" si="35"/>
        <v>232052.56134400002</v>
      </c>
      <c r="Z173">
        <f t="shared" si="36"/>
        <v>8.6059629279755065E-2</v>
      </c>
      <c r="AA173" s="5">
        <f>_xll.SNL.Clients.Office.Excel.Functions.SPG(U173, "SP_MARKETCAP", "12/31/2021")</f>
        <v>10074.165968879999</v>
      </c>
      <c r="AB173">
        <f t="shared" si="30"/>
        <v>2.374229671001512E-4</v>
      </c>
      <c r="AC173">
        <f t="shared" si="37"/>
        <v>1.1928129867111597E-3</v>
      </c>
    </row>
    <row r="174" spans="1:29" x14ac:dyDescent="0.3">
      <c r="A174" t="s">
        <v>174</v>
      </c>
      <c r="B174" s="4" cm="1">
        <f t="array" ref="B174">_xll.SNL.Clients.Office.Excel.Functions.SPG(A174, "SP_TOTAL_REV", "CY2023")</f>
        <v>1744220</v>
      </c>
      <c r="C174" s="4">
        <f>_xll.SNL.Clients.Office.Excel.Functions.SPG(A174,"IQ_AVG_DILUT_SHARES_OUT","CY2023")</f>
        <v>64253385</v>
      </c>
      <c r="D174" s="5">
        <f>_xll.SNL.Clients.Office.Excel.Functions.SPG(A174, "IQ_DILUT_EPS_NORM", "CY2023")</f>
        <v>3.14</v>
      </c>
      <c r="E174">
        <f t="shared" si="26"/>
        <v>201755.62890000001</v>
      </c>
      <c r="F174">
        <f t="shared" si="27"/>
        <v>0.11567097550767678</v>
      </c>
      <c r="G174" s="5">
        <f>_xll.SNL.Clients.Office.Excel.Functions.SPG(A174, "SP_MARKETCAP", "12/30/2023")</f>
        <v>15913.93071576</v>
      </c>
      <c r="H174">
        <f t="shared" si="31"/>
        <v>3.7875156745333739E-4</v>
      </c>
      <c r="I174">
        <f t="shared" si="32"/>
        <v>1.1892799218034794E-3</v>
      </c>
      <c r="K174" t="s">
        <v>174</v>
      </c>
      <c r="L174" s="4" cm="1">
        <f t="array" ref="L174">_xll.SNL.Clients.Office.Excel.Functions.SPG(K174, "SP_TOTAL_REV", "CY2023")</f>
        <v>1744220</v>
      </c>
      <c r="M174" s="4">
        <f>_xll.SNL.Clients.Office.Excel.Functions.SPG(K174,"IQ_AVG_DILUT_SHARES_OUT","CY2023")</f>
        <v>64253385</v>
      </c>
      <c r="N174" s="5">
        <f>_xll.SNL.Clients.Office.Excel.Functions.SPG(K174, "IQ_DILUT_EPS_NORM", "CY2023")</f>
        <v>3.14</v>
      </c>
      <c r="O174">
        <f t="shared" si="28"/>
        <v>201755.62890000001</v>
      </c>
      <c r="P174">
        <f t="shared" si="29"/>
        <v>0.11567097550767678</v>
      </c>
      <c r="Q174" s="5">
        <f>_xll.SNL.Clients.Office.Excel.Functions.SPG(K174, "SP_MARKETCAP", "12/31/2022")</f>
        <v>13722.62783904</v>
      </c>
      <c r="R174">
        <f t="shared" si="33"/>
        <v>4.0726289714590626E-4</v>
      </c>
      <c r="S174">
        <f t="shared" si="34"/>
        <v>1.2788054970381457E-3</v>
      </c>
      <c r="U174" t="s">
        <v>174</v>
      </c>
      <c r="V174" s="4" cm="1">
        <f t="array" ref="V174">_xll.SNL.Clients.Office.Excel.Functions.SPG(U174, "SP_TOTAL_REV", "CY2021")</f>
        <v>1586116</v>
      </c>
      <c r="W174" s="4">
        <f>_xll.SNL.Clients.Office.Excel.Functions.SPG(U174,"IQ_AVG_DILUT_SHARES_OUT","CY2021")</f>
        <v>65088874</v>
      </c>
      <c r="X174" s="5">
        <f>_xll.SNL.Clients.Office.Excel.Functions.SPG(U174, "IQ_DILUT_EPS_NORM", "CY2021")</f>
        <v>3.0750000000000002</v>
      </c>
      <c r="Y174">
        <f t="shared" si="35"/>
        <v>200148.28755000001</v>
      </c>
      <c r="Z174">
        <f t="shared" si="36"/>
        <v>0.12618767325340643</v>
      </c>
      <c r="AA174" s="5">
        <f>_xll.SNL.Clients.Office.Excel.Functions.SPG(U174, "SP_MARKETCAP", "12/31/2021")</f>
        <v>22925.886713129999</v>
      </c>
      <c r="AB174">
        <f t="shared" si="30"/>
        <v>5.403059730847774E-4</v>
      </c>
      <c r="AC174">
        <f t="shared" si="37"/>
        <v>1.6614408672356905E-3</v>
      </c>
    </row>
    <row r="175" spans="1:29" x14ac:dyDescent="0.3">
      <c r="A175" t="s">
        <v>175</v>
      </c>
      <c r="B175" s="4" cm="1">
        <f t="array" ref="B175">_xll.SNL.Clients.Office.Excel.Functions.SPG(A175, "SP_TOTAL_REV", "CY2023")</f>
        <v>14586000</v>
      </c>
      <c r="C175" s="4">
        <f>_xll.SNL.Clients.Office.Excel.Functions.SPG(A175,"IQ_AVG_DILUT_SHARES_OUT","CY2023")</f>
        <v>41300000</v>
      </c>
      <c r="D175" s="5">
        <f>_xll.SNL.Clients.Office.Excel.Functions.SPG(A175, "IQ_DILUT_EPS_NORM", "CY2023")</f>
        <v>32.597000000000001</v>
      </c>
      <c r="E175">
        <f t="shared" si="26"/>
        <v>1346256.1</v>
      </c>
      <c r="F175">
        <f t="shared" si="27"/>
        <v>9.2297826683120809E-2</v>
      </c>
      <c r="G175" s="5">
        <f>_xll.SNL.Clients.Office.Excel.Functions.SPG(A175, "SP_MARKETCAP", "12/30/2023")</f>
        <v>15341.98611792</v>
      </c>
      <c r="H175">
        <f t="shared" si="31"/>
        <v>3.6513928543467568E-4</v>
      </c>
      <c r="I175">
        <f t="shared" si="32"/>
        <v>1.1902445287314123E-2</v>
      </c>
      <c r="K175" t="s">
        <v>175</v>
      </c>
      <c r="L175" s="4" cm="1">
        <f t="array" ref="L175">_xll.SNL.Clients.Office.Excel.Functions.SPG(K175, "SP_TOTAL_REV", "CY2023")</f>
        <v>14586000</v>
      </c>
      <c r="M175" s="4">
        <f>_xll.SNL.Clients.Office.Excel.Functions.SPG(K175,"IQ_AVG_DILUT_SHARES_OUT","CY2023")</f>
        <v>41300000</v>
      </c>
      <c r="N175" s="5">
        <f>_xll.SNL.Clients.Office.Excel.Functions.SPG(K175, "IQ_DILUT_EPS_NORM", "CY2023")</f>
        <v>32.597000000000001</v>
      </c>
      <c r="O175">
        <f t="shared" si="28"/>
        <v>1346256.1</v>
      </c>
      <c r="P175">
        <f t="shared" si="29"/>
        <v>9.2297826683120809E-2</v>
      </c>
      <c r="Q175" s="5">
        <f>_xll.SNL.Clients.Office.Excel.Functions.SPG(K175, "SP_MARKETCAP", "12/31/2022")</f>
        <v>12974.200813179999</v>
      </c>
      <c r="R175">
        <f t="shared" si="33"/>
        <v>3.850509299899594E-4</v>
      </c>
      <c r="S175">
        <f t="shared" si="34"/>
        <v>1.2551505164882707E-2</v>
      </c>
      <c r="U175" t="s">
        <v>175</v>
      </c>
      <c r="V175" s="4" cm="1">
        <f t="array" ref="V175">_xll.SNL.Clients.Office.Excel.Functions.SPG(U175, "SP_TOTAL_REV", "CY2021")</f>
        <v>11866263</v>
      </c>
      <c r="W175" s="4">
        <f>_xll.SNL.Clients.Office.Excel.Functions.SPG(U175,"IQ_AVG_DILUT_SHARES_OUT","CY2021")</f>
        <v>39300000</v>
      </c>
      <c r="X175" s="5">
        <f>_xll.SNL.Clients.Office.Excel.Functions.SPG(U175, "IQ_DILUT_EPS_NORM", "CY2021")</f>
        <v>24.587</v>
      </c>
      <c r="Y175">
        <f t="shared" si="35"/>
        <v>966269.1</v>
      </c>
      <c r="Z175">
        <f t="shared" si="36"/>
        <v>8.1429941338734865E-2</v>
      </c>
      <c r="AA175" s="5">
        <f>_xll.SNL.Clients.Office.Excel.Functions.SPG(U175, "SP_MARKETCAP", "12/31/2021")</f>
        <v>10783.963601920001</v>
      </c>
      <c r="AB175">
        <f t="shared" si="30"/>
        <v>2.541511270885415E-4</v>
      </c>
      <c r="AC175">
        <f t="shared" si="37"/>
        <v>6.2488137617259694E-3</v>
      </c>
    </row>
    <row r="176" spans="1:29" x14ac:dyDescent="0.3">
      <c r="A176" t="s">
        <v>176</v>
      </c>
      <c r="B176" s="4" cm="1">
        <f t="array" ref="B176">_xll.SNL.Clients.Office.Excel.Functions.SPG(A176, "SP_TOTAL_REV", "CY2023")</f>
        <v>5508200</v>
      </c>
      <c r="C176" s="4">
        <f>_xll.SNL.Clients.Office.Excel.Functions.SPG(A176,"IQ_AVG_DILUT_SHARES_OUT","CY2023")</f>
        <v>230500000</v>
      </c>
      <c r="D176" s="5">
        <f>_xll.SNL.Clients.Office.Excel.Functions.SPG(A176, "IQ_DILUT_EPS_NORM", "CY2023")</f>
        <v>2.0049999999999999</v>
      </c>
      <c r="E176">
        <f t="shared" si="26"/>
        <v>462152.5</v>
      </c>
      <c r="F176">
        <f t="shared" si="27"/>
        <v>8.3902636069859482E-2</v>
      </c>
      <c r="G176" s="5">
        <f>_xll.SNL.Clients.Office.Excel.Functions.SPG(A176, "SP_MARKETCAP", "12/30/2023")</f>
        <v>11991.4235154</v>
      </c>
      <c r="H176">
        <f t="shared" si="31"/>
        <v>2.8539589203795644E-4</v>
      </c>
      <c r="I176">
        <f t="shared" si="32"/>
        <v>5.7221876353610261E-4</v>
      </c>
      <c r="K176" t="s">
        <v>176</v>
      </c>
      <c r="L176" s="4" cm="1">
        <f t="array" ref="L176">_xll.SNL.Clients.Office.Excel.Functions.SPG(K176, "SP_TOTAL_REV", "CY2023")</f>
        <v>5508200</v>
      </c>
      <c r="M176" s="4">
        <f>_xll.SNL.Clients.Office.Excel.Functions.SPG(K176,"IQ_AVG_DILUT_SHARES_OUT","CY2023")</f>
        <v>230500000</v>
      </c>
      <c r="N176" s="5">
        <f>_xll.SNL.Clients.Office.Excel.Functions.SPG(K176, "IQ_DILUT_EPS_NORM", "CY2023")</f>
        <v>2.0049999999999999</v>
      </c>
      <c r="O176">
        <f t="shared" si="28"/>
        <v>462152.5</v>
      </c>
      <c r="P176">
        <f t="shared" si="29"/>
        <v>8.3902636069859482E-2</v>
      </c>
      <c r="Q176" s="5">
        <f>_xll.SNL.Clients.Office.Excel.Functions.SPG(K176, "SP_MARKETCAP", "12/31/2022")</f>
        <v>14444.72470805</v>
      </c>
      <c r="R176">
        <f t="shared" si="33"/>
        <v>4.2869343263389438E-4</v>
      </c>
      <c r="S176">
        <f t="shared" si="34"/>
        <v>8.5953033243095815E-4</v>
      </c>
      <c r="U176" t="s">
        <v>176</v>
      </c>
      <c r="V176" s="4" cm="1">
        <f t="array" ref="V176">_xll.SNL.Clients.Office.Excel.Functions.SPG(U176, "SP_TOTAL_REV", "CY2021")</f>
        <v>5586700</v>
      </c>
      <c r="W176" s="4">
        <f>_xll.SNL.Clients.Office.Excel.Functions.SPG(U176,"IQ_AVG_DILUT_SHARES_OUT","CY2021")</f>
        <v>229600000</v>
      </c>
      <c r="X176" s="5">
        <f>_xll.SNL.Clients.Office.Excel.Functions.SPG(U176, "IQ_DILUT_EPS_NORM", "CY2021")</f>
        <v>2.694</v>
      </c>
      <c r="Y176">
        <f t="shared" si="35"/>
        <v>618542.4</v>
      </c>
      <c r="Z176">
        <f t="shared" si="36"/>
        <v>0.11071695276281168</v>
      </c>
      <c r="AA176" s="5">
        <f>_xll.SNL.Clients.Office.Excel.Functions.SPG(U176, "SP_MARKETCAP", "12/31/2021")</f>
        <v>15732.458247</v>
      </c>
      <c r="AB176">
        <f t="shared" si="30"/>
        <v>3.7077480441760597E-4</v>
      </c>
      <c r="AC176">
        <f t="shared" si="37"/>
        <v>9.9886732310103038E-4</v>
      </c>
    </row>
    <row r="177" spans="1:29" x14ac:dyDescent="0.3">
      <c r="A177" t="s">
        <v>177</v>
      </c>
      <c r="B177" s="4" cm="1">
        <f t="array" ref="B177">_xll.SNL.Clients.Office.Excel.Functions.SPG(A177, "SP_TOTAL_REV", "CY2023")</f>
        <v>11910705</v>
      </c>
      <c r="C177" s="4">
        <f>_xll.SNL.Clients.Office.Excel.Functions.SPG(A177,"IQ_AVG_DILUT_SHARES_OUT","CY2023")</f>
        <v>349580638</v>
      </c>
      <c r="D177" s="5">
        <f>_xll.SNL.Clients.Office.Excel.Functions.SPG(A177, "IQ_DILUT_EPS_NORM", "CY2023")</f>
        <v>3.37</v>
      </c>
      <c r="E177">
        <f t="shared" si="26"/>
        <v>1178086.75006</v>
      </c>
      <c r="F177">
        <f t="shared" si="27"/>
        <v>9.8909909200169094E-2</v>
      </c>
      <c r="G177" s="5">
        <f>_xll.SNL.Clients.Office.Excel.Functions.SPG(A177, "SP_MARKETCAP", "12/30/2023")</f>
        <v>21560.413619480001</v>
      </c>
      <c r="H177">
        <f t="shared" si="31"/>
        <v>5.1313786638729555E-4</v>
      </c>
      <c r="I177">
        <f t="shared" si="32"/>
        <v>1.729274609725186E-3</v>
      </c>
      <c r="K177" t="s">
        <v>177</v>
      </c>
      <c r="L177" s="4" cm="1">
        <f t="array" ref="L177">_xll.SNL.Clients.Office.Excel.Functions.SPG(K177, "SP_TOTAL_REV", "CY2023")</f>
        <v>11910705</v>
      </c>
      <c r="M177" s="4">
        <f>_xll.SNL.Clients.Office.Excel.Functions.SPG(K177,"IQ_AVG_DILUT_SHARES_OUT","CY2023")</f>
        <v>349580638</v>
      </c>
      <c r="N177" s="5">
        <f>_xll.SNL.Clients.Office.Excel.Functions.SPG(K177, "IQ_DILUT_EPS_NORM", "CY2023")</f>
        <v>3.37</v>
      </c>
      <c r="O177">
        <f t="shared" si="28"/>
        <v>1178086.75006</v>
      </c>
      <c r="P177">
        <f t="shared" si="29"/>
        <v>9.8909909200169094E-2</v>
      </c>
      <c r="Q177" s="5">
        <f>_xll.SNL.Clients.Office.Excel.Functions.SPG(K177, "SP_MARKETCAP", "12/31/2022")</f>
        <v>29202.093757440001</v>
      </c>
      <c r="R177">
        <f t="shared" si="33"/>
        <v>8.6666558664126798E-4</v>
      </c>
      <c r="S177">
        <f t="shared" si="34"/>
        <v>2.9206630269810732E-3</v>
      </c>
      <c r="U177" t="s">
        <v>177</v>
      </c>
      <c r="V177" s="4" cm="1">
        <f t="array" ref="V177">_xll.SNL.Clients.Office.Excel.Functions.SPG(U177, "SP_TOTAL_REV", "CY2021")</f>
        <v>9863085</v>
      </c>
      <c r="W177" s="4">
        <f>_xll.SNL.Clients.Office.Excel.Functions.SPG(U177,"IQ_AVG_DILUT_SHARES_OUT","CY2021")</f>
        <v>344631056</v>
      </c>
      <c r="X177" s="5">
        <f>_xll.SNL.Clients.Office.Excel.Functions.SPG(U177, "IQ_DILUT_EPS_NORM", "CY2021")</f>
        <v>2.83</v>
      </c>
      <c r="Y177">
        <f t="shared" si="35"/>
        <v>975305.88847999997</v>
      </c>
      <c r="Z177">
        <f t="shared" si="36"/>
        <v>9.8884465507495869E-2</v>
      </c>
      <c r="AA177" s="5">
        <f>_xll.SNL.Clients.Office.Excel.Functions.SPG(U177, "SP_MARKETCAP", "12/31/2021")</f>
        <v>31279.452775760001</v>
      </c>
      <c r="AB177">
        <f t="shared" si="30"/>
        <v>7.3717869153942881E-4</v>
      </c>
      <c r="AC177">
        <f t="shared" si="37"/>
        <v>2.0862156970565837E-3</v>
      </c>
    </row>
    <row r="178" spans="1:29" x14ac:dyDescent="0.3">
      <c r="A178" t="s">
        <v>178</v>
      </c>
      <c r="B178" s="4" cm="1">
        <f t="array" ref="B178">_xll.SNL.Clients.Office.Excel.Functions.SPG(A178, "SP_TOTAL_REV", "CY2023")</f>
        <v>21727000</v>
      </c>
      <c r="C178" s="4">
        <f>_xll.SNL.Clients.Office.Excel.Functions.SPG(A178,"IQ_AVG_DILUT_SHARES_OUT","CY2023")</f>
        <v>997000000</v>
      </c>
      <c r="D178" s="5">
        <f>_xll.SNL.Clients.Office.Excel.Functions.SPG(A178, "IQ_DILUT_EPS_NORM", "CY2023")</f>
        <v>1.706</v>
      </c>
      <c r="E178">
        <f t="shared" si="26"/>
        <v>1700882</v>
      </c>
      <c r="F178">
        <f t="shared" si="27"/>
        <v>7.828425461407465E-2</v>
      </c>
      <c r="G178" s="5">
        <f>_xll.SNL.Clients.Office.Excel.Functions.SPG(A178, "SP_MARKETCAP", "12/30/2023")</f>
        <v>35736.203234400004</v>
      </c>
      <c r="H178">
        <f t="shared" si="31"/>
        <v>8.5052167384741756E-4</v>
      </c>
      <c r="I178">
        <f t="shared" si="32"/>
        <v>1.4509899755836943E-3</v>
      </c>
      <c r="K178" t="s">
        <v>178</v>
      </c>
      <c r="L178" s="4" cm="1">
        <f t="array" ref="L178">_xll.SNL.Clients.Office.Excel.Functions.SPG(K178, "SP_TOTAL_REV", "CY2023")</f>
        <v>21727000</v>
      </c>
      <c r="M178" s="4">
        <f>_xll.SNL.Clients.Office.Excel.Functions.SPG(K178,"IQ_AVG_DILUT_SHARES_OUT","CY2023")</f>
        <v>997000000</v>
      </c>
      <c r="N178" s="5">
        <f>_xll.SNL.Clients.Office.Excel.Functions.SPG(K178, "IQ_DILUT_EPS_NORM", "CY2023")</f>
        <v>1.706</v>
      </c>
      <c r="O178">
        <f t="shared" si="28"/>
        <v>1700882</v>
      </c>
      <c r="P178">
        <f t="shared" si="29"/>
        <v>7.828425461407465E-2</v>
      </c>
      <c r="Q178" s="5">
        <f>_xll.SNL.Clients.Office.Excel.Functions.SPG(K178, "SP_MARKETCAP", "12/31/2022")</f>
        <v>42959.4679569</v>
      </c>
      <c r="R178">
        <f t="shared" si="33"/>
        <v>1.2749596932301402E-3</v>
      </c>
      <c r="S178">
        <f t="shared" si="34"/>
        <v>2.175081236650619E-3</v>
      </c>
      <c r="U178" t="s">
        <v>178</v>
      </c>
      <c r="V178" s="4" cm="1">
        <f t="array" ref="V178">_xll.SNL.Clients.Office.Excel.Functions.SPG(U178, "SP_TOTAL_REV", "CY2021")</f>
        <v>17938000</v>
      </c>
      <c r="W178" s="4">
        <f>_xll.SNL.Clients.Office.Excel.Functions.SPG(U178,"IQ_AVG_DILUT_SHARES_OUT","CY2021")</f>
        <v>980000000</v>
      </c>
      <c r="X178" s="5">
        <f>_xll.SNL.Clients.Office.Excel.Functions.SPG(U178, "IQ_DILUT_EPS_NORM", "CY2021")</f>
        <v>0.92900000000000005</v>
      </c>
      <c r="Y178">
        <f t="shared" si="35"/>
        <v>910420</v>
      </c>
      <c r="Z178">
        <f t="shared" si="36"/>
        <v>5.0753707213736204E-2</v>
      </c>
      <c r="AA178" s="5">
        <f>_xll.SNL.Clients.Office.Excel.Functions.SPG(U178, "SP_MARKETCAP", "12/31/2021")</f>
        <v>56507.635377120001</v>
      </c>
      <c r="AB178">
        <f t="shared" si="30"/>
        <v>1.3317440368257956E-3</v>
      </c>
      <c r="AC178">
        <f t="shared" si="37"/>
        <v>1.2371902102111642E-3</v>
      </c>
    </row>
    <row r="179" spans="1:29" x14ac:dyDescent="0.3">
      <c r="A179" t="s">
        <v>179</v>
      </c>
      <c r="B179" s="4" cm="1">
        <f t="array" ref="B179">_xll.SNL.Clients.Office.Excel.Functions.SPG(A179, "SP_TOTAL_REV", "CY2023")</f>
        <v>12839000</v>
      </c>
      <c r="C179" s="4">
        <f>_xll.SNL.Clients.Office.Excel.Functions.SPG(A179,"IQ_AVG_DILUT_SHARES_OUT","CY2023")</f>
        <v>150228000</v>
      </c>
      <c r="D179" s="5">
        <f>_xll.SNL.Clients.Office.Excel.Functions.SPG(A179, "IQ_DILUT_EPS_NORM", "CY2023")</f>
        <v>6.5960000000000001</v>
      </c>
      <c r="E179">
        <f t="shared" si="26"/>
        <v>990903.88800000004</v>
      </c>
      <c r="F179">
        <f t="shared" si="27"/>
        <v>7.7179210841965884E-2</v>
      </c>
      <c r="G179" s="5">
        <f>_xll.SNL.Clients.Office.Excel.Functions.SPG(A179, "SP_MARKETCAP", "12/30/2023")</f>
        <v>21075.77313528</v>
      </c>
      <c r="H179">
        <f t="shared" si="31"/>
        <v>5.0160342236333668E-4</v>
      </c>
      <c r="I179">
        <f t="shared" si="32"/>
        <v>3.3085761739085687E-3</v>
      </c>
      <c r="K179" t="s">
        <v>179</v>
      </c>
      <c r="L179" s="4" cm="1">
        <f t="array" ref="L179">_xll.SNL.Clients.Office.Excel.Functions.SPG(K179, "SP_TOTAL_REV", "CY2023")</f>
        <v>12839000</v>
      </c>
      <c r="M179" s="4">
        <f>_xll.SNL.Clients.Office.Excel.Functions.SPG(K179,"IQ_AVG_DILUT_SHARES_OUT","CY2023")</f>
        <v>150228000</v>
      </c>
      <c r="N179" s="5">
        <f>_xll.SNL.Clients.Office.Excel.Functions.SPG(K179, "IQ_DILUT_EPS_NORM", "CY2023")</f>
        <v>6.5960000000000001</v>
      </c>
      <c r="O179">
        <f t="shared" si="28"/>
        <v>990903.88800000004</v>
      </c>
      <c r="P179">
        <f t="shared" si="29"/>
        <v>7.7179210841965884E-2</v>
      </c>
      <c r="Q179" s="5">
        <f>_xll.SNL.Clients.Office.Excel.Functions.SPG(K179, "SP_MARKETCAP", "12/31/2022")</f>
        <v>13673.560737600001</v>
      </c>
      <c r="R179">
        <f t="shared" si="33"/>
        <v>4.0580667388302977E-4</v>
      </c>
      <c r="S179">
        <f t="shared" si="34"/>
        <v>2.6767008209324645E-3</v>
      </c>
      <c r="U179" t="s">
        <v>179</v>
      </c>
      <c r="V179" s="4" cm="1">
        <f t="array" ref="V179">_xll.SNL.Clients.Office.Excel.Functions.SPG(U179, "SP_TOTAL_REV", "CY2021")</f>
        <v>8598000</v>
      </c>
      <c r="W179" s="4">
        <f>_xll.SNL.Clients.Office.Excel.Functions.SPG(U179,"IQ_AVG_DILUT_SHARES_OUT","CY2021")</f>
        <v>149734000</v>
      </c>
      <c r="X179" s="5">
        <f>_xll.SNL.Clients.Office.Excel.Functions.SPG(U179, "IQ_DILUT_EPS_NORM", "CY2021")</f>
        <v>-0.47499999999999998</v>
      </c>
      <c r="Y179">
        <f t="shared" si="35"/>
        <v>-71123.649999999994</v>
      </c>
      <c r="Z179">
        <f t="shared" si="36"/>
        <v>-8.272115608280995E-3</v>
      </c>
      <c r="AA179" s="5">
        <f>_xll.SNL.Clients.Office.Excel.Functions.SPG(U179, "SP_MARKETCAP", "12/31/2021")</f>
        <v>27384.07473936</v>
      </c>
      <c r="AB179">
        <f t="shared" si="30"/>
        <v>6.4537434622332019E-4</v>
      </c>
      <c r="AC179">
        <f t="shared" si="37"/>
        <v>-3.065528144560771E-4</v>
      </c>
    </row>
    <row r="180" spans="1:29" x14ac:dyDescent="0.3">
      <c r="A180" t="s">
        <v>180</v>
      </c>
      <c r="B180" s="4" cm="1">
        <f t="array" ref="B180">_xll.SNL.Clients.Office.Excel.Functions.SPG(A180, "SP_TOTAL_REV", "CY2023")</f>
        <v>9300110</v>
      </c>
      <c r="C180" s="4">
        <f>_xll.SNL.Clients.Office.Excel.Functions.SPG(A180,"IQ_AVG_DILUT_SHARES_OUT","CY2023")</f>
        <v>150186000</v>
      </c>
      <c r="D180" s="5">
        <f>_xll.SNL.Clients.Office.Excel.Functions.SPG(A180, "IQ_DILUT_EPS_NORM", "CY2023")</f>
        <v>4.2309999999999999</v>
      </c>
      <c r="E180">
        <f t="shared" si="26"/>
        <v>635436.96600000001</v>
      </c>
      <c r="F180">
        <f t="shared" si="27"/>
        <v>6.832574732987029E-2</v>
      </c>
      <c r="G180" s="5">
        <f>_xll.SNL.Clients.Office.Excel.Functions.SPG(A180, "SP_MARKETCAP", "12/30/2023")</f>
        <v>18493.527991200001</v>
      </c>
      <c r="H180">
        <f t="shared" si="31"/>
        <v>4.4014598527015514E-4</v>
      </c>
      <c r="I180">
        <f t="shared" si="32"/>
        <v>1.8622576636780264E-3</v>
      </c>
      <c r="K180" t="s">
        <v>180</v>
      </c>
      <c r="L180" s="4" cm="1">
        <f t="array" ref="L180">_xll.SNL.Clients.Office.Excel.Functions.SPG(K180, "SP_TOTAL_REV", "CY2023")</f>
        <v>9300110</v>
      </c>
      <c r="M180" s="4">
        <f>_xll.SNL.Clients.Office.Excel.Functions.SPG(K180,"IQ_AVG_DILUT_SHARES_OUT","CY2023")</f>
        <v>150186000</v>
      </c>
      <c r="N180" s="5">
        <f>_xll.SNL.Clients.Office.Excel.Functions.SPG(K180, "IQ_DILUT_EPS_NORM", "CY2023")</f>
        <v>4.2309999999999999</v>
      </c>
      <c r="O180">
        <f t="shared" si="28"/>
        <v>635436.96600000001</v>
      </c>
      <c r="P180">
        <f t="shared" si="29"/>
        <v>6.832574732987029E-2</v>
      </c>
      <c r="Q180" s="5">
        <f>_xll.SNL.Clients.Office.Excel.Functions.SPG(K180, "SP_MARKETCAP", "12/31/2022")</f>
        <v>16537.45302528</v>
      </c>
      <c r="R180">
        <f t="shared" si="33"/>
        <v>4.9080184272934661E-4</v>
      </c>
      <c r="S180">
        <f t="shared" si="34"/>
        <v>2.0765825965878655E-3</v>
      </c>
      <c r="U180" t="s">
        <v>180</v>
      </c>
      <c r="V180" s="4" cm="1">
        <f t="array" ref="V180">_xll.SNL.Clients.Office.Excel.Functions.SPG(U180, "SP_TOTAL_REV", "CY2021")</f>
        <v>16523517</v>
      </c>
      <c r="W180" s="4">
        <f>_xll.SNL.Clients.Office.Excel.Functions.SPG(U180,"IQ_AVG_DILUT_SHARES_OUT","CY2021")</f>
        <v>171250000</v>
      </c>
      <c r="X180" s="5">
        <f>_xll.SNL.Clients.Office.Excel.Functions.SPG(U180, "IQ_DILUT_EPS_NORM", "CY2021")</f>
        <v>7.0049999999999999</v>
      </c>
      <c r="Y180">
        <f t="shared" si="35"/>
        <v>1199606.25</v>
      </c>
      <c r="Z180">
        <f t="shared" si="36"/>
        <v>7.2599934384429174E-2</v>
      </c>
      <c r="AA180" s="5">
        <f>_xll.SNL.Clients.Office.Excel.Functions.SPG(U180, "SP_MARKETCAP", "12/31/2021")</f>
        <v>22749.239256379999</v>
      </c>
      <c r="AB180">
        <f t="shared" si="30"/>
        <v>5.3614283308471805E-4</v>
      </c>
      <c r="AC180">
        <f t="shared" si="37"/>
        <v>3.7556805457584497E-3</v>
      </c>
    </row>
    <row r="181" spans="1:29" x14ac:dyDescent="0.3">
      <c r="A181" t="s">
        <v>181</v>
      </c>
      <c r="B181" s="4" cm="1">
        <f t="array" ref="B181">_xll.SNL.Clients.Office.Excel.Functions.SPG(A181, "SP_TOTAL_REV", "CY2023")</f>
        <v>2699936</v>
      </c>
      <c r="C181" s="4">
        <f>_xll.SNL.Clients.Office.Excel.Functions.SPG(A181,"IQ_AVG_DILUT_SHARES_OUT","CY2023")</f>
        <v>169220882</v>
      </c>
      <c r="D181" s="5">
        <f>_xll.SNL.Clients.Office.Excel.Functions.SPG(A181, "IQ_DILUT_EPS_NORM", "CY2023")</f>
        <v>3.1880000000000002</v>
      </c>
      <c r="E181">
        <f t="shared" si="26"/>
        <v>539476.17181600002</v>
      </c>
      <c r="F181">
        <f t="shared" si="27"/>
        <v>0.19981072581572304</v>
      </c>
      <c r="G181" s="5">
        <f>_xll.SNL.Clients.Office.Excel.Functions.SPG(A181, "SP_MARKETCAP", "12/30/2023")</f>
        <v>33874.173201259997</v>
      </c>
      <c r="H181">
        <f t="shared" si="31"/>
        <v>8.0620535713764698E-4</v>
      </c>
      <c r="I181">
        <f t="shared" si="32"/>
        <v>2.5701826785548185E-3</v>
      </c>
      <c r="K181" t="s">
        <v>181</v>
      </c>
      <c r="L181" s="4" cm="1">
        <f t="array" ref="L181">_xll.SNL.Clients.Office.Excel.Functions.SPG(K181, "SP_TOTAL_REV", "CY2023")</f>
        <v>2699936</v>
      </c>
      <c r="M181" s="4">
        <f>_xll.SNL.Clients.Office.Excel.Functions.SPG(K181,"IQ_AVG_DILUT_SHARES_OUT","CY2023")</f>
        <v>169220882</v>
      </c>
      <c r="N181" s="5">
        <f>_xll.SNL.Clients.Office.Excel.Functions.SPG(K181, "IQ_DILUT_EPS_NORM", "CY2023")</f>
        <v>3.1880000000000002</v>
      </c>
      <c r="O181">
        <f t="shared" si="28"/>
        <v>539476.17181600002</v>
      </c>
      <c r="P181">
        <f t="shared" si="29"/>
        <v>0.19981072581572304</v>
      </c>
      <c r="Q181" s="5">
        <f>_xll.SNL.Clients.Office.Excel.Functions.SPG(K181, "SP_MARKETCAP", "12/31/2022")</f>
        <v>19710.570491040002</v>
      </c>
      <c r="R181">
        <f t="shared" si="33"/>
        <v>5.8497425833717971E-4</v>
      </c>
      <c r="S181">
        <f t="shared" si="34"/>
        <v>1.8648979355789289E-3</v>
      </c>
      <c r="U181" t="s">
        <v>181</v>
      </c>
      <c r="V181" s="4" cm="1">
        <f t="array" ref="V181">_xll.SNL.Clients.Office.Excel.Functions.SPG(U181, "SP_TOTAL_REV", "CY2021")</f>
        <v>1659423</v>
      </c>
      <c r="W181" s="4">
        <f>_xll.SNL.Clients.Office.Excel.Functions.SPG(U181,"IQ_AVG_DILUT_SHARES_OUT","CY2021")</f>
        <v>140016028</v>
      </c>
      <c r="X181" s="5">
        <f>_xll.SNL.Clients.Office.Excel.Functions.SPG(U181, "IQ_DILUT_EPS_NORM", "CY2021")</f>
        <v>2.9950000000000001</v>
      </c>
      <c r="Y181">
        <f t="shared" si="35"/>
        <v>419348.00386</v>
      </c>
      <c r="Z181">
        <f t="shared" si="36"/>
        <v>0.25270711799221779</v>
      </c>
      <c r="AA181" s="5">
        <f>_xll.SNL.Clients.Office.Excel.Functions.SPG(U181, "SP_MARKETCAP", "12/31/2021")</f>
        <v>30357.288720920002</v>
      </c>
      <c r="AB181">
        <f t="shared" si="30"/>
        <v>7.1544558462719875E-4</v>
      </c>
      <c r="AC181">
        <f t="shared" si="37"/>
        <v>2.1427595259584605E-3</v>
      </c>
    </row>
    <row r="182" spans="1:29" x14ac:dyDescent="0.3">
      <c r="A182" t="s">
        <v>182</v>
      </c>
      <c r="B182" s="4" cm="1">
        <f t="array" ref="B182">_xll.SNL.Clients.Office.Excel.Functions.SPG(A182, "SP_TOTAL_REV", "CY2023")</f>
        <v>338293000</v>
      </c>
      <c r="C182" s="4">
        <f>_xll.SNL.Clients.Office.Excel.Functions.SPG(A182,"IQ_AVG_DILUT_SHARES_OUT","CY2023")</f>
        <v>4052000000</v>
      </c>
      <c r="D182" s="5">
        <f>_xll.SNL.Clients.Office.Excel.Functions.SPG(A182, "IQ_DILUT_EPS_NORM", "CY2023")</f>
        <v>8.24</v>
      </c>
      <c r="E182">
        <f t="shared" si="26"/>
        <v>33388480</v>
      </c>
      <c r="F182">
        <f t="shared" si="27"/>
        <v>9.8696928402302153E-2</v>
      </c>
      <c r="G182" s="5">
        <f>_xll.SNL.Clients.Office.Excel.Functions.SPG(A182, "SP_MARKETCAP", "12/30/2023")</f>
        <v>399597.51191052003</v>
      </c>
      <c r="H182">
        <f t="shared" si="31"/>
        <v>9.5104211957312904E-3</v>
      </c>
      <c r="I182">
        <f t="shared" si="32"/>
        <v>7.8365870652825839E-2</v>
      </c>
      <c r="K182" t="s">
        <v>182</v>
      </c>
      <c r="L182" s="4" cm="1">
        <f t="array" ref="L182">_xll.SNL.Clients.Office.Excel.Functions.SPG(K182, "SP_TOTAL_REV", "CY2023")</f>
        <v>338293000</v>
      </c>
      <c r="M182" s="4">
        <f>_xll.SNL.Clients.Office.Excel.Functions.SPG(K182,"IQ_AVG_DILUT_SHARES_OUT","CY2023")</f>
        <v>4052000000</v>
      </c>
      <c r="N182" s="5">
        <f>_xll.SNL.Clients.Office.Excel.Functions.SPG(K182, "IQ_DILUT_EPS_NORM", "CY2023")</f>
        <v>8.24</v>
      </c>
      <c r="O182">
        <f t="shared" si="28"/>
        <v>33388480</v>
      </c>
      <c r="P182">
        <f t="shared" si="29"/>
        <v>9.8696928402302153E-2</v>
      </c>
      <c r="Q182" s="5">
        <f>_xll.SNL.Clients.Office.Excel.Functions.SPG(K182, "SP_MARKETCAP", "12/31/2022")</f>
        <v>454247.76433630002</v>
      </c>
      <c r="R182">
        <f t="shared" si="33"/>
        <v>1.3481256119133696E-2</v>
      </c>
      <c r="S182">
        <f t="shared" si="34"/>
        <v>0.11108555042166166</v>
      </c>
      <c r="U182" t="s">
        <v>182</v>
      </c>
      <c r="V182" s="4" cm="1">
        <f t="array" ref="V182">_xll.SNL.Clients.Office.Excel.Functions.SPG(U182, "SP_TOTAL_REV", "CY2021")</f>
        <v>277140000</v>
      </c>
      <c r="W182" s="4">
        <f>_xll.SNL.Clients.Office.Excel.Functions.SPG(U182,"IQ_AVG_DILUT_SHARES_OUT","CY2021")</f>
        <v>4275000000</v>
      </c>
      <c r="X182" s="5">
        <f>_xll.SNL.Clients.Office.Excel.Functions.SPG(U182, "IQ_DILUT_EPS_NORM", "CY2021")</f>
        <v>4.3419999999999996</v>
      </c>
      <c r="Y182">
        <f t="shared" si="35"/>
        <v>18562050</v>
      </c>
      <c r="Z182">
        <f t="shared" si="36"/>
        <v>6.6977159558345961E-2</v>
      </c>
      <c r="AA182" s="5">
        <f>_xll.SNL.Clients.Office.Excel.Functions.SPG(U182, "SP_MARKETCAP", "12/31/2021")</f>
        <v>259051.95487841</v>
      </c>
      <c r="AB182">
        <f t="shared" si="30"/>
        <v>6.105208505629219E-3</v>
      </c>
      <c r="AC182">
        <f t="shared" si="37"/>
        <v>2.6508815331442066E-2</v>
      </c>
    </row>
    <row r="183" spans="1:29" x14ac:dyDescent="0.3">
      <c r="A183" t="s">
        <v>183</v>
      </c>
      <c r="B183" s="4" cm="1">
        <f t="array" ref="B183">_xll.SNL.Clients.Office.Excel.Functions.SPG(A183, "SP_TOTAL_REV", "CY2023")</f>
        <v>2805388</v>
      </c>
      <c r="C183" s="4">
        <f>_xll.SNL.Clients.Office.Excel.Functions.SPG(A183,"IQ_AVG_DILUT_SHARES_OUT","CY2023")</f>
        <v>60086500</v>
      </c>
      <c r="D183" s="5">
        <f>_xll.SNL.Clients.Office.Excel.Functions.SPG(A183, "IQ_DILUT_EPS_NORM", "CY2023")</f>
        <v>6.5490000000000004</v>
      </c>
      <c r="E183">
        <f t="shared" si="26"/>
        <v>393506.48849999998</v>
      </c>
      <c r="F183">
        <f t="shared" si="27"/>
        <v>0.1402681156759778</v>
      </c>
      <c r="G183" s="5">
        <f>_xll.SNL.Clients.Office.Excel.Functions.SPG(A183, "SP_MARKETCAP", "12/30/2023")</f>
        <v>10686.39662478</v>
      </c>
      <c r="H183">
        <f t="shared" si="31"/>
        <v>2.5433625069481671E-4</v>
      </c>
      <c r="I183">
        <f t="shared" si="32"/>
        <v>1.6656481058003546E-3</v>
      </c>
      <c r="K183" t="s">
        <v>183</v>
      </c>
      <c r="L183" s="4" cm="1">
        <f t="array" ref="L183">_xll.SNL.Clients.Office.Excel.Functions.SPG(K183, "SP_TOTAL_REV", "CY2023")</f>
        <v>2805388</v>
      </c>
      <c r="M183" s="4">
        <f>_xll.SNL.Clients.Office.Excel.Functions.SPG(K183,"IQ_AVG_DILUT_SHARES_OUT","CY2023")</f>
        <v>60086500</v>
      </c>
      <c r="N183" s="5">
        <f>_xll.SNL.Clients.Office.Excel.Functions.SPG(K183, "IQ_DILUT_EPS_NORM", "CY2023")</f>
        <v>6.5490000000000004</v>
      </c>
      <c r="O183">
        <f t="shared" si="28"/>
        <v>393506.48849999998</v>
      </c>
      <c r="P183">
        <f t="shared" si="29"/>
        <v>0.1402681156759778</v>
      </c>
      <c r="Q183" s="5">
        <f>_xll.SNL.Clients.Office.Excel.Functions.SPG(K183, "SP_MARKETCAP", "12/31/2022")</f>
        <v>8663.4992211000008</v>
      </c>
      <c r="R183">
        <f t="shared" si="33"/>
        <v>2.5711706486483866E-4</v>
      </c>
      <c r="S183">
        <f t="shared" si="34"/>
        <v>1.6838596577998285E-3</v>
      </c>
      <c r="U183" t="s">
        <v>183</v>
      </c>
      <c r="V183" s="4" cm="1">
        <f t="array" ref="V183">_xll.SNL.Clients.Office.Excel.Functions.SPG(U183, "SP_TOTAL_REV", "CY2021")</f>
        <v>2665899</v>
      </c>
      <c r="W183" s="4">
        <f>_xll.SNL.Clients.Office.Excel.Functions.SPG(U183,"IQ_AVG_DILUT_SHARES_OUT","CY2021")</f>
        <v>61957000</v>
      </c>
      <c r="X183" s="5">
        <f>_xll.SNL.Clients.Office.Excel.Functions.SPG(U183, "IQ_DILUT_EPS_NORM", "CY2021")</f>
        <v>4.4279999999999999</v>
      </c>
      <c r="Y183">
        <f t="shared" si="35"/>
        <v>274345.59600000002</v>
      </c>
      <c r="Z183">
        <f t="shared" si="36"/>
        <v>0.10290922349271298</v>
      </c>
      <c r="AA183" s="5">
        <f>_xll.SNL.Clients.Office.Excel.Functions.SPG(U183, "SP_MARKETCAP", "12/31/2021")</f>
        <v>14983.44353748</v>
      </c>
      <c r="AB183">
        <f t="shared" si="30"/>
        <v>3.5312239574325618E-4</v>
      </c>
      <c r="AC183">
        <f t="shared" si="37"/>
        <v>1.5636259683511383E-3</v>
      </c>
    </row>
    <row r="184" spans="1:29" x14ac:dyDescent="0.3">
      <c r="A184" t="s">
        <v>184</v>
      </c>
      <c r="B184" s="4" cm="1">
        <f t="array" ref="B184">_xll.SNL.Clients.Office.Excel.Functions.SPG(A184, "SP_TOTAL_REV", "CY2023")</f>
        <v>2122909</v>
      </c>
      <c r="C184" s="4">
        <f>_xll.SNL.Clients.Office.Excel.Functions.SPG(A184,"IQ_AVG_DILUT_SHARES_OUT","CY2023")</f>
        <v>38830250</v>
      </c>
      <c r="D184" s="5">
        <f>_xll.SNL.Clients.Office.Excel.Functions.SPG(A184, "IQ_DILUT_EPS_NORM", "CY2023")</f>
        <v>10.103999999999999</v>
      </c>
      <c r="E184">
        <f t="shared" si="26"/>
        <v>392340.84599999996</v>
      </c>
      <c r="F184">
        <f t="shared" si="27"/>
        <v>0.18481284218965577</v>
      </c>
      <c r="G184" s="5">
        <f>_xll.SNL.Clients.Office.Excel.Functions.SPG(A184, "SP_MARKETCAP", "12/30/2023")</f>
        <v>18122.392934799998</v>
      </c>
      <c r="H184">
        <f t="shared" si="31"/>
        <v>4.3131297054493863E-4</v>
      </c>
      <c r="I184">
        <f t="shared" si="32"/>
        <v>4.3579862543860594E-3</v>
      </c>
      <c r="K184" t="s">
        <v>184</v>
      </c>
      <c r="L184" s="4" cm="1">
        <f t="array" ref="L184">_xll.SNL.Clients.Office.Excel.Functions.SPG(K184, "SP_TOTAL_REV", "CY2023")</f>
        <v>2122909</v>
      </c>
      <c r="M184" s="4">
        <f>_xll.SNL.Clients.Office.Excel.Functions.SPG(K184,"IQ_AVG_DILUT_SHARES_OUT","CY2023")</f>
        <v>38830250</v>
      </c>
      <c r="N184" s="5">
        <f>_xll.SNL.Clients.Office.Excel.Functions.SPG(K184, "IQ_DILUT_EPS_NORM", "CY2023")</f>
        <v>10.103999999999999</v>
      </c>
      <c r="O184">
        <f t="shared" si="28"/>
        <v>392340.84599999996</v>
      </c>
      <c r="P184">
        <f t="shared" si="29"/>
        <v>0.18481284218965577</v>
      </c>
      <c r="Q184" s="5">
        <f>_xll.SNL.Clients.Office.Excel.Functions.SPG(K184, "SP_MARKETCAP", "12/31/2022")</f>
        <v>15285.386043779999</v>
      </c>
      <c r="R184">
        <f t="shared" si="33"/>
        <v>4.5364274810931124E-4</v>
      </c>
      <c r="S184">
        <f t="shared" si="34"/>
        <v>4.58360632689648E-3</v>
      </c>
      <c r="U184" t="s">
        <v>184</v>
      </c>
      <c r="V184" s="4" cm="1">
        <f t="array" ref="V184">_xll.SNL.Clients.Office.Excel.Functions.SPG(U184, "SP_TOTAL_REV", "CY2021")</f>
        <v>1627964</v>
      </c>
      <c r="W184" s="4">
        <f>_xll.SNL.Clients.Office.Excel.Functions.SPG(U184,"IQ_AVG_DILUT_SHARES_OUT","CY2021")</f>
        <v>38556000</v>
      </c>
      <c r="X184" s="5">
        <f>_xll.SNL.Clients.Office.Excel.Functions.SPG(U184, "IQ_DILUT_EPS_NORM", "CY2021")</f>
        <v>7.6349999999999998</v>
      </c>
      <c r="Y184">
        <f t="shared" si="35"/>
        <v>294375.06</v>
      </c>
      <c r="Z184">
        <f t="shared" si="36"/>
        <v>0.18082405999149859</v>
      </c>
      <c r="AA184" s="5">
        <f>_xll.SNL.Clients.Office.Excel.Functions.SPG(U184, "SP_MARKETCAP", "12/31/2021")</f>
        <v>18294.440423069998</v>
      </c>
      <c r="AB184">
        <f t="shared" si="30"/>
        <v>4.311543347707143E-4</v>
      </c>
      <c r="AC184">
        <f t="shared" si="37"/>
        <v>3.2918633459744035E-3</v>
      </c>
    </row>
    <row r="185" spans="1:29" x14ac:dyDescent="0.3">
      <c r="A185" t="s">
        <v>185</v>
      </c>
      <c r="B185" s="4" cm="1">
        <f t="array" ref="B185">_xll.SNL.Clients.Office.Excel.Functions.SPG(A185, "SP_TOTAL_REV", "CY2023")</f>
        <v>1550746</v>
      </c>
      <c r="C185" s="4">
        <f>_xll.SNL.Clients.Office.Excel.Functions.SPG(A185,"IQ_AVG_DILUT_SHARES_OUT","CY2023")</f>
        <v>25311000</v>
      </c>
      <c r="D185" s="5">
        <f>_xll.SNL.Clients.Office.Excel.Functions.SPG(A185, "IQ_DILUT_EPS_NORM", "CY2023")</f>
        <v>13.832000000000001</v>
      </c>
      <c r="E185">
        <f t="shared" si="26"/>
        <v>350101.75199999998</v>
      </c>
      <c r="F185">
        <f t="shared" si="27"/>
        <v>0.22576344030550458</v>
      </c>
      <c r="G185" s="5">
        <f>_xll.SNL.Clients.Office.Excel.Functions.SPG(A185, "SP_MARKETCAP", "12/30/2023")</f>
        <v>28766.827483569999</v>
      </c>
      <c r="H185">
        <f t="shared" si="31"/>
        <v>6.8465052378742551E-4</v>
      </c>
      <c r="I185">
        <f t="shared" si="32"/>
        <v>9.4700860450276699E-3</v>
      </c>
      <c r="K185" t="s">
        <v>185</v>
      </c>
      <c r="L185" s="4" cm="1">
        <f t="array" ref="L185">_xll.SNL.Clients.Office.Excel.Functions.SPG(K185, "SP_TOTAL_REV", "CY2023")</f>
        <v>1550746</v>
      </c>
      <c r="M185" s="4">
        <f>_xll.SNL.Clients.Office.Excel.Functions.SPG(K185,"IQ_AVG_DILUT_SHARES_OUT","CY2023")</f>
        <v>25311000</v>
      </c>
      <c r="N185" s="5">
        <f>_xll.SNL.Clients.Office.Excel.Functions.SPG(K185, "IQ_DILUT_EPS_NORM", "CY2023")</f>
        <v>13.832000000000001</v>
      </c>
      <c r="O185">
        <f t="shared" si="28"/>
        <v>350101.75199999998</v>
      </c>
      <c r="P185">
        <f t="shared" si="29"/>
        <v>0.22576344030550458</v>
      </c>
      <c r="Q185" s="5">
        <f>_xll.SNL.Clients.Office.Excel.Functions.SPG(K185, "SP_MARKETCAP", "12/31/2022")</f>
        <v>14949.905422440001</v>
      </c>
      <c r="R185">
        <f t="shared" si="33"/>
        <v>4.4368628704472295E-4</v>
      </c>
      <c r="S185">
        <f t="shared" si="34"/>
        <v>6.1370687224026081E-3</v>
      </c>
      <c r="U185" t="s">
        <v>185</v>
      </c>
      <c r="V185" s="4" cm="1">
        <f t="array" ref="V185">_xll.SNL.Clients.Office.Excel.Functions.SPG(U185, "SP_TOTAL_REV", "CY2021")</f>
        <v>1326483</v>
      </c>
      <c r="W185" s="4">
        <f>_xll.SNL.Clients.Office.Excel.Functions.SPG(U185,"IQ_AVG_DILUT_SHARES_OUT","CY2021")</f>
        <v>28693750</v>
      </c>
      <c r="X185" s="5">
        <f>_xll.SNL.Clients.Office.Excel.Functions.SPG(U185, "IQ_DILUT_EPS_NORM", "CY2021")</f>
        <v>8.7769999999999992</v>
      </c>
      <c r="Y185">
        <f t="shared" si="35"/>
        <v>251845.04374999998</v>
      </c>
      <c r="Z185">
        <f t="shared" si="36"/>
        <v>0.18985923208212996</v>
      </c>
      <c r="AA185" s="5">
        <f>_xll.SNL.Clients.Office.Excel.Functions.SPG(U185, "SP_MARKETCAP", "12/31/2021")</f>
        <v>11864.49694551</v>
      </c>
      <c r="AB185">
        <f t="shared" si="30"/>
        <v>2.7961660316648882E-4</v>
      </c>
      <c r="AC185">
        <f t="shared" si="37"/>
        <v>2.4541949259922723E-3</v>
      </c>
    </row>
    <row r="186" spans="1:29" x14ac:dyDescent="0.3">
      <c r="A186" t="s">
        <v>186</v>
      </c>
      <c r="B186" s="4" cm="1">
        <f t="array" ref="B186">_xll.SNL.Clients.Office.Excel.Functions.SPG(A186, "SP_TOTAL_REV", "CY2023")</f>
        <v>7346700</v>
      </c>
      <c r="C186" s="4">
        <f>_xll.SNL.Clients.Office.Excel.Functions.SPG(A186,"IQ_AVG_DILUT_SHARES_OUT","CY2023")</f>
        <v>573008608</v>
      </c>
      <c r="D186" s="5">
        <f>_xll.SNL.Clients.Office.Excel.Functions.SPG(A186, "IQ_DILUT_EPS_NORM", "CY2023")</f>
        <v>1.66</v>
      </c>
      <c r="E186">
        <f t="shared" si="26"/>
        <v>951194.28928000003</v>
      </c>
      <c r="F186">
        <f t="shared" si="27"/>
        <v>0.12947231944682647</v>
      </c>
      <c r="G186" s="5">
        <f>_xll.SNL.Clients.Office.Excel.Functions.SPG(A186, "SP_MARKETCAP", "12/30/2023")</f>
        <v>37022.531999999999</v>
      </c>
      <c r="H186">
        <f t="shared" si="31"/>
        <v>8.8113629979579054E-4</v>
      </c>
      <c r="I186">
        <f t="shared" si="32"/>
        <v>1.4626862576610123E-3</v>
      </c>
      <c r="K186" t="s">
        <v>186</v>
      </c>
      <c r="L186" s="4" cm="1">
        <f t="array" ref="L186">_xll.SNL.Clients.Office.Excel.Functions.SPG(K186, "SP_TOTAL_REV", "CY2023")</f>
        <v>7346700</v>
      </c>
      <c r="M186" s="4">
        <f>_xll.SNL.Clients.Office.Excel.Functions.SPG(K186,"IQ_AVG_DILUT_SHARES_OUT","CY2023")</f>
        <v>573008608</v>
      </c>
      <c r="N186" s="5">
        <f>_xll.SNL.Clients.Office.Excel.Functions.SPG(K186, "IQ_DILUT_EPS_NORM", "CY2023")</f>
        <v>1.66</v>
      </c>
      <c r="O186">
        <f t="shared" si="28"/>
        <v>951194.28928000003</v>
      </c>
      <c r="P186">
        <f t="shared" si="29"/>
        <v>0.12947231944682647</v>
      </c>
      <c r="Q186" s="5">
        <f>_xll.SNL.Clients.Office.Excel.Functions.SPG(K186, "SP_MARKETCAP", "12/31/2022")</f>
        <v>27102.997521599998</v>
      </c>
      <c r="R186">
        <f t="shared" si="33"/>
        <v>8.043681881820476E-4</v>
      </c>
      <c r="S186">
        <f t="shared" si="34"/>
        <v>1.3352511923821989E-3</v>
      </c>
      <c r="U186" t="s">
        <v>186</v>
      </c>
      <c r="V186" s="4" cm="1">
        <f t="array" ref="V186">_xll.SNL.Clients.Office.Excel.Functions.SPG(U186, "SP_TOTAL_REV", "CY2021")</f>
        <v>6010900</v>
      </c>
      <c r="W186" s="4">
        <f>_xll.SNL.Clients.Office.Excel.Functions.SPG(U186,"IQ_AVG_DILUT_SHARES_OUT","CY2021")</f>
        <v>577117056</v>
      </c>
      <c r="X186" s="5">
        <f>_xll.SNL.Clients.Office.Excel.Functions.SPG(U186, "IQ_DILUT_EPS_NORM", "CY2021")</f>
        <v>1.3080000000000001</v>
      </c>
      <c r="Y186">
        <f t="shared" si="35"/>
        <v>754869.10924800008</v>
      </c>
      <c r="Z186">
        <f t="shared" si="36"/>
        <v>0.12558337507661083</v>
      </c>
      <c r="AA186" s="5">
        <f>_xll.SNL.Clients.Office.Excel.Functions.SPG(U186, "SP_MARKETCAP", "12/31/2021")</f>
        <v>36844.964457239999</v>
      </c>
      <c r="AB186">
        <f t="shared" si="30"/>
        <v>8.6834392158719603E-4</v>
      </c>
      <c r="AC186">
        <f t="shared" si="37"/>
        <v>1.1357938494360525E-3</v>
      </c>
    </row>
    <row r="187" spans="1:29" x14ac:dyDescent="0.3">
      <c r="A187" t="s">
        <v>187</v>
      </c>
      <c r="B187" s="4" cm="1">
        <f t="array" ref="B187">_xll.SNL.Clients.Office.Excel.Functions.SPG(A187, "SP_TOTAL_REV", "CY2023")</f>
        <v>1140710</v>
      </c>
      <c r="C187" s="4">
        <f>_xll.SNL.Clients.Office.Excel.Functions.SPG(A187,"IQ_AVG_DILUT_SHARES_OUT","CY2023")</f>
        <v>81313000</v>
      </c>
      <c r="D187" s="5">
        <f>_xll.SNL.Clients.Office.Excel.Functions.SPG(A187, "IQ_DILUT_EPS_NORM", "CY2023")</f>
        <v>1.698</v>
      </c>
      <c r="E187">
        <f t="shared" si="26"/>
        <v>138069.47399999999</v>
      </c>
      <c r="F187">
        <f t="shared" si="27"/>
        <v>0.12103819024993205</v>
      </c>
      <c r="G187" s="5">
        <f>_xll.SNL.Clients.Office.Excel.Functions.SPG(A187, "SP_MARKETCAP", "12/30/2023")</f>
        <v>8411.2669471499994</v>
      </c>
      <c r="H187">
        <f t="shared" si="31"/>
        <v>2.0018816201999328E-4</v>
      </c>
      <c r="I187">
        <f t="shared" si="32"/>
        <v>3.3991949910994857E-4</v>
      </c>
      <c r="K187" t="s">
        <v>187</v>
      </c>
      <c r="L187" s="4" cm="1">
        <f t="array" ref="L187">_xll.SNL.Clients.Office.Excel.Functions.SPG(K187, "SP_TOTAL_REV", "CY2023")</f>
        <v>1140710</v>
      </c>
      <c r="M187" s="4">
        <f>_xll.SNL.Clients.Office.Excel.Functions.SPG(K187,"IQ_AVG_DILUT_SHARES_OUT","CY2023")</f>
        <v>81313000</v>
      </c>
      <c r="N187" s="5">
        <f>_xll.SNL.Clients.Office.Excel.Functions.SPG(K187, "IQ_DILUT_EPS_NORM", "CY2023")</f>
        <v>1.698</v>
      </c>
      <c r="O187">
        <f t="shared" si="28"/>
        <v>138069.47399999999</v>
      </c>
      <c r="P187">
        <f t="shared" si="29"/>
        <v>0.12103819024993205</v>
      </c>
      <c r="Q187" s="5">
        <f>_xll.SNL.Clients.Office.Excel.Functions.SPG(K187, "SP_MARKETCAP", "12/31/2022")</f>
        <v>8205.4057581599991</v>
      </c>
      <c r="R187">
        <f t="shared" si="33"/>
        <v>2.4352167533239197E-4</v>
      </c>
      <c r="S187">
        <f t="shared" si="34"/>
        <v>4.1349980471440157E-4</v>
      </c>
      <c r="U187" t="s">
        <v>187</v>
      </c>
      <c r="V187" s="4" cm="1">
        <f t="array" ref="V187">_xll.SNL.Clients.Office.Excel.Functions.SPG(U187, "SP_TOTAL_REV", "CY2021")</f>
        <v>953278</v>
      </c>
      <c r="W187" s="4">
        <f>_xll.SNL.Clients.Office.Excel.Functions.SPG(U187,"IQ_AVG_DILUT_SHARES_OUT","CY2021")</f>
        <v>77368000</v>
      </c>
      <c r="X187" s="5">
        <f>_xll.SNL.Clients.Office.Excel.Functions.SPG(U187, "IQ_DILUT_EPS_NORM", "CY2021")</f>
        <v>1.349</v>
      </c>
      <c r="Y187">
        <f t="shared" si="35"/>
        <v>104369.432</v>
      </c>
      <c r="Z187">
        <f t="shared" si="36"/>
        <v>0.10948477988582554</v>
      </c>
      <c r="AA187" s="5">
        <f>_xll.SNL.Clients.Office.Excel.Functions.SPG(U187, "SP_MARKETCAP", "12/31/2021")</f>
        <v>10604.263413119999</v>
      </c>
      <c r="AB187">
        <f t="shared" si="30"/>
        <v>2.4991604180752173E-4</v>
      </c>
      <c r="AC187">
        <f t="shared" si="37"/>
        <v>3.3713674039834683E-4</v>
      </c>
    </row>
    <row r="188" spans="1:29" x14ac:dyDescent="0.3">
      <c r="A188" t="s">
        <v>188</v>
      </c>
      <c r="B188" s="4" cm="1">
        <f t="array" ref="B188">_xll.SNL.Clients.Office.Excel.Functions.SPG(A188, "SP_TOTAL_REV", "CY2023")</f>
        <v>87945000</v>
      </c>
      <c r="C188" s="4">
        <f>_xll.SNL.Clients.Office.Excel.Functions.SPG(A188,"IQ_AVG_DILUT_SHARES_OUT","CY2023")</f>
        <v>253500000</v>
      </c>
      <c r="D188" s="5">
        <f>_xll.SNL.Clients.Office.Excel.Functions.SPG(A188, "IQ_DILUT_EPS_NORM", "CY2023")</f>
        <v>15.808999999999999</v>
      </c>
      <c r="E188">
        <f t="shared" si="26"/>
        <v>4007581.5</v>
      </c>
      <c r="F188">
        <f t="shared" si="27"/>
        <v>4.5569179600886918E-2</v>
      </c>
      <c r="G188" s="5">
        <f>_xll.SNL.Clients.Office.Excel.Functions.SPG(A188, "SP_MARKETCAP", "12/30/2023")</f>
        <v>63215.317867559999</v>
      </c>
      <c r="H188">
        <f t="shared" si="31"/>
        <v>1.5045246304665641E-3</v>
      </c>
      <c r="I188">
        <f t="shared" si="32"/>
        <v>2.378502988304591E-2</v>
      </c>
      <c r="K188" t="s">
        <v>188</v>
      </c>
      <c r="L188" s="4" cm="1">
        <f t="array" ref="L188">_xll.SNL.Clients.Office.Excel.Functions.SPG(K188, "SP_TOTAL_REV", "CY2023")</f>
        <v>87945000</v>
      </c>
      <c r="M188" s="4">
        <f>_xll.SNL.Clients.Office.Excel.Functions.SPG(K188,"IQ_AVG_DILUT_SHARES_OUT","CY2023")</f>
        <v>253500000</v>
      </c>
      <c r="N188" s="5">
        <f>_xll.SNL.Clients.Office.Excel.Functions.SPG(K188, "IQ_DILUT_EPS_NORM", "CY2023")</f>
        <v>15.808999999999999</v>
      </c>
      <c r="O188">
        <f t="shared" si="28"/>
        <v>4007581.5</v>
      </c>
      <c r="P188">
        <f t="shared" si="29"/>
        <v>4.5569179600886918E-2</v>
      </c>
      <c r="Q188" s="5">
        <f>_xll.SNL.Clients.Office.Excel.Functions.SPG(K188, "SP_MARKETCAP", "12/31/2022")</f>
        <v>43715.184648000002</v>
      </c>
      <c r="R188">
        <f t="shared" si="33"/>
        <v>1.2973880045309323E-3</v>
      </c>
      <c r="S188">
        <f t="shared" si="34"/>
        <v>2.0510406963629508E-2</v>
      </c>
      <c r="U188" t="s">
        <v>188</v>
      </c>
      <c r="V188" s="4" cm="1">
        <f t="array" ref="V188">_xll.SNL.Clients.Office.Excel.Functions.SPG(U188, "SP_TOTAL_REV", "CY2021")</f>
        <v>89552000</v>
      </c>
      <c r="W188" s="4">
        <f>_xll.SNL.Clients.Office.Excel.Functions.SPG(U188,"IQ_AVG_DILUT_SHARES_OUT","CY2021")</f>
        <v>270000000</v>
      </c>
      <c r="X188" s="5">
        <f>_xll.SNL.Clients.Office.Excel.Functions.SPG(U188, "IQ_DILUT_EPS_NORM", "CY2021")</f>
        <v>16.478999999999999</v>
      </c>
      <c r="Y188">
        <f t="shared" si="35"/>
        <v>4449330</v>
      </c>
      <c r="Z188">
        <f t="shared" si="36"/>
        <v>4.9684317491513308E-2</v>
      </c>
      <c r="AA188" s="5">
        <f>_xll.SNL.Clients.Office.Excel.Functions.SPG(U188, "SP_MARKETCAP", "12/31/2021")</f>
        <v>68531.67061488</v>
      </c>
      <c r="AB188">
        <f t="shared" si="30"/>
        <v>1.6151205596550233E-3</v>
      </c>
      <c r="AC188">
        <f t="shared" si="37"/>
        <v>2.661557170255513E-2</v>
      </c>
    </row>
    <row r="189" spans="1:29" x14ac:dyDescent="0.3">
      <c r="A189" t="s">
        <v>189</v>
      </c>
      <c r="B189" s="4" cm="1">
        <f t="array" ref="B189">_xll.SNL.Clients.Office.Excel.Functions.SPG(A189, "SP_TOTAL_REV", "CY2023")</f>
        <v>9821000</v>
      </c>
      <c r="C189" s="4">
        <f>_xll.SNL.Clients.Office.Excel.Functions.SPG(A189,"IQ_AVG_DILUT_SHARES_OUT","CY2023")</f>
        <v>591000000</v>
      </c>
      <c r="D189" s="5">
        <f>_xll.SNL.Clients.Office.Excel.Functions.SPG(A189, "IQ_DILUT_EPS_NORM", "CY2023")</f>
        <v>0.86599999999999999</v>
      </c>
      <c r="E189">
        <f t="shared" si="26"/>
        <v>511806</v>
      </c>
      <c r="F189">
        <f t="shared" si="27"/>
        <v>5.2113430404235821E-2</v>
      </c>
      <c r="G189" s="5">
        <f>_xll.SNL.Clients.Office.Excel.Functions.SPG(A189, "SP_MARKETCAP", "12/30/2023")</f>
        <v>35590.489912069999</v>
      </c>
      <c r="H189">
        <f t="shared" si="31"/>
        <v>8.4705369662563246E-4</v>
      </c>
      <c r="I189">
        <f t="shared" si="32"/>
        <v>7.3354850127779769E-4</v>
      </c>
      <c r="K189" t="s">
        <v>189</v>
      </c>
      <c r="L189" s="4" cm="1">
        <f t="array" ref="L189">_xll.SNL.Clients.Office.Excel.Functions.SPG(K189, "SP_TOTAL_REV", "CY2023")</f>
        <v>9821000</v>
      </c>
      <c r="M189" s="4">
        <f>_xll.SNL.Clients.Office.Excel.Functions.SPG(K189,"IQ_AVG_DILUT_SHARES_OUT","CY2023")</f>
        <v>591000000</v>
      </c>
      <c r="N189" s="5">
        <f>_xll.SNL.Clients.Office.Excel.Functions.SPG(K189, "IQ_DILUT_EPS_NORM", "CY2023")</f>
        <v>0.86599999999999999</v>
      </c>
      <c r="O189">
        <f t="shared" si="28"/>
        <v>511806</v>
      </c>
      <c r="P189">
        <f t="shared" si="29"/>
        <v>5.2113430404235821E-2</v>
      </c>
      <c r="Q189" s="5">
        <f>_xll.SNL.Clients.Office.Excel.Functions.SPG(K189, "SP_MARKETCAP", "12/31/2022")</f>
        <v>40260.7960896</v>
      </c>
      <c r="R189">
        <f t="shared" si="33"/>
        <v>1.1948679691074491E-3</v>
      </c>
      <c r="S189">
        <f t="shared" si="34"/>
        <v>1.0347556612470509E-3</v>
      </c>
      <c r="U189" t="s">
        <v>189</v>
      </c>
      <c r="V189" s="4" cm="1">
        <f t="array" ref="V189">_xll.SNL.Clients.Office.Excel.Functions.SPG(U189, "SP_TOTAL_REV", "CY2021")</f>
        <v>9339000</v>
      </c>
      <c r="W189" s="4">
        <f>_xll.SNL.Clients.Office.Excel.Functions.SPG(U189,"IQ_AVG_DILUT_SHARES_OUT","CY2021")</f>
        <v>621000000</v>
      </c>
      <c r="X189" s="5">
        <f>_xll.SNL.Clients.Office.Excel.Functions.SPG(U189, "IQ_DILUT_EPS_NORM", "CY2021")</f>
        <v>1.143</v>
      </c>
      <c r="Y189">
        <f t="shared" si="35"/>
        <v>709803</v>
      </c>
      <c r="Z189">
        <f t="shared" si="36"/>
        <v>7.6004176035978158E-2</v>
      </c>
      <c r="AA189" s="5">
        <f>_xll.SNL.Clients.Office.Excel.Functions.SPG(U189, "SP_MARKETCAP", "12/31/2021")</f>
        <v>66465.491123150001</v>
      </c>
      <c r="AB189">
        <f t="shared" si="30"/>
        <v>1.5664258620489487E-3</v>
      </c>
      <c r="AC189">
        <f t="shared" si="37"/>
        <v>1.7904247603219483E-3</v>
      </c>
    </row>
    <row r="190" spans="1:29" x14ac:dyDescent="0.3">
      <c r="A190" t="s">
        <v>190</v>
      </c>
      <c r="B190" s="4" cm="1">
        <f t="array" ref="B190">_xll.SNL.Clients.Office.Excel.Functions.SPG(A190, "SP_TOTAL_REV", "CY2023")</f>
        <v>8708000</v>
      </c>
      <c r="C190" s="4">
        <f>_xll.SNL.Clients.Office.Excel.Functions.SPG(A190,"IQ_AVG_DILUT_SHARES_OUT","CY2023")</f>
        <v>687678291</v>
      </c>
      <c r="D190" s="5">
        <f>_xll.SNL.Clients.Office.Excel.Functions.SPG(A190, "IQ_DILUT_EPS_NORM", "CY2023")</f>
        <v>2.7189999999999999</v>
      </c>
      <c r="E190">
        <f t="shared" si="26"/>
        <v>1869797.2732289999</v>
      </c>
      <c r="F190">
        <f t="shared" si="27"/>
        <v>0.21472178149161689</v>
      </c>
      <c r="G190" s="5">
        <f>_xll.SNL.Clients.Office.Excel.Functions.SPG(A190, "SP_MARKETCAP", "12/30/2023")</f>
        <v>23488.263085840001</v>
      </c>
      <c r="H190">
        <f t="shared" si="31"/>
        <v>5.5902068567560735E-4</v>
      </c>
      <c r="I190">
        <f t="shared" si="32"/>
        <v>1.5199772443519764E-3</v>
      </c>
      <c r="K190" t="s">
        <v>190</v>
      </c>
      <c r="L190" s="4" cm="1">
        <f t="array" ref="L190">_xll.SNL.Clients.Office.Excel.Functions.SPG(K190, "SP_TOTAL_REV", "CY2023")</f>
        <v>8708000</v>
      </c>
      <c r="M190" s="4">
        <f>_xll.SNL.Clients.Office.Excel.Functions.SPG(K190,"IQ_AVG_DILUT_SHARES_OUT","CY2023")</f>
        <v>687678291</v>
      </c>
      <c r="N190" s="5">
        <f>_xll.SNL.Clients.Office.Excel.Functions.SPG(K190, "IQ_DILUT_EPS_NORM", "CY2023")</f>
        <v>2.7189999999999999</v>
      </c>
      <c r="O190">
        <f t="shared" si="28"/>
        <v>1869797.2732289999</v>
      </c>
      <c r="P190">
        <f t="shared" si="29"/>
        <v>0.21472178149161689</v>
      </c>
      <c r="Q190" s="5">
        <f>_xll.SNL.Clients.Office.Excel.Functions.SPG(K190, "SP_MARKETCAP", "12/31/2022")</f>
        <v>22520.658206460001</v>
      </c>
      <c r="R190">
        <f t="shared" si="33"/>
        <v>6.6837260431288259E-4</v>
      </c>
      <c r="S190">
        <f t="shared" si="34"/>
        <v>1.8173051111267276E-3</v>
      </c>
      <c r="U190" t="s">
        <v>190</v>
      </c>
      <c r="V190" s="4" cm="1">
        <f t="array" ref="V190">_xll.SNL.Clients.Office.Excel.Functions.SPG(U190, "SP_TOTAL_REV", "CY2021")</f>
        <v>7828000</v>
      </c>
      <c r="W190" s="4">
        <f>_xll.SNL.Clients.Office.Excel.Functions.SPG(U190,"IQ_AVG_DILUT_SHARES_OUT","CY2021")</f>
        <v>711197805</v>
      </c>
      <c r="X190" s="5">
        <f>_xll.SNL.Clients.Office.Excel.Functions.SPG(U190, "IQ_DILUT_EPS_NORM", "CY2021")</f>
        <v>3.121</v>
      </c>
      <c r="Y190">
        <f t="shared" si="35"/>
        <v>2219648.349405</v>
      </c>
      <c r="Z190">
        <f t="shared" si="36"/>
        <v>0.28355242072112929</v>
      </c>
      <c r="AA190" s="5">
        <f>_xll.SNL.Clients.Office.Excel.Functions.SPG(U190, "SP_MARKETCAP", "12/31/2021")</f>
        <v>29777.629805299999</v>
      </c>
      <c r="AB190">
        <f t="shared" si="30"/>
        <v>7.0178446964480807E-4</v>
      </c>
      <c r="AC190">
        <f t="shared" si="37"/>
        <v>2.1902693297614459E-3</v>
      </c>
    </row>
    <row r="191" spans="1:29" x14ac:dyDescent="0.3">
      <c r="A191" t="s">
        <v>191</v>
      </c>
      <c r="B191" s="4" cm="1">
        <f t="array" ref="B191">_xll.SNL.Clients.Office.Excel.Functions.SPG(A191, "SP_TOTAL_REV", "CY2023")</f>
        <v>3318602</v>
      </c>
      <c r="C191" s="4">
        <f>_xll.SNL.Clients.Office.Excel.Functions.SPG(A191,"IQ_AVG_DILUT_SHARES_OUT","CY2023")</f>
        <v>107372000</v>
      </c>
      <c r="D191" s="5">
        <f>_xll.SNL.Clients.Office.Excel.Functions.SPG(A191, "IQ_DILUT_EPS_NORM", "CY2023")</f>
        <v>5.3550000000000004</v>
      </c>
      <c r="E191">
        <f t="shared" si="26"/>
        <v>574977.06000000006</v>
      </c>
      <c r="F191">
        <f t="shared" si="27"/>
        <v>0.1732588180203592</v>
      </c>
      <c r="G191" s="5">
        <f>_xll.SNL.Clients.Office.Excel.Functions.SPG(A191, "SP_MARKETCAP", "12/30/2023")</f>
        <v>18407.12084336</v>
      </c>
      <c r="H191">
        <f t="shared" si="31"/>
        <v>4.3808949506241772E-4</v>
      </c>
      <c r="I191">
        <f t="shared" si="32"/>
        <v>2.345969246059247E-3</v>
      </c>
      <c r="K191" t="s">
        <v>191</v>
      </c>
      <c r="L191" s="4" cm="1">
        <f t="array" ref="L191">_xll.SNL.Clients.Office.Excel.Functions.SPG(K191, "SP_TOTAL_REV", "CY2023")</f>
        <v>3318602</v>
      </c>
      <c r="M191" s="4">
        <f>_xll.SNL.Clients.Office.Excel.Functions.SPG(K191,"IQ_AVG_DILUT_SHARES_OUT","CY2023")</f>
        <v>107372000</v>
      </c>
      <c r="N191" s="5">
        <f>_xll.SNL.Clients.Office.Excel.Functions.SPG(K191, "IQ_DILUT_EPS_NORM", "CY2023")</f>
        <v>5.3550000000000004</v>
      </c>
      <c r="O191">
        <f t="shared" si="28"/>
        <v>574977.06000000006</v>
      </c>
      <c r="P191">
        <f t="shared" si="29"/>
        <v>0.1732588180203592</v>
      </c>
      <c r="Q191" s="5">
        <f>_xll.SNL.Clients.Office.Excel.Functions.SPG(K191, "SP_MARKETCAP", "12/31/2022")</f>
        <v>15968.454321900001</v>
      </c>
      <c r="R191">
        <f t="shared" si="33"/>
        <v>4.7391498526087118E-4</v>
      </c>
      <c r="S191">
        <f t="shared" si="34"/>
        <v>2.5378147460719653E-3</v>
      </c>
      <c r="U191" t="s">
        <v>191</v>
      </c>
      <c r="V191" s="4" cm="1">
        <f t="array" ref="V191">_xll.SNL.Clients.Office.Excel.Functions.SPG(U191, "SP_TOTAL_REV", "CY2021")</f>
        <v>2923377</v>
      </c>
      <c r="W191" s="4">
        <f>_xll.SNL.Clients.Office.Excel.Functions.SPG(U191,"IQ_AVG_DILUT_SHARES_OUT","CY2021")</f>
        <v>106924000</v>
      </c>
      <c r="X191" s="5">
        <f>_xll.SNL.Clients.Office.Excel.Functions.SPG(U191, "IQ_DILUT_EPS_NORM", "CY2021")</f>
        <v>2.415</v>
      </c>
      <c r="Y191">
        <f t="shared" si="35"/>
        <v>258221.46</v>
      </c>
      <c r="Z191">
        <f t="shared" si="36"/>
        <v>8.8329852769588046E-2</v>
      </c>
      <c r="AA191" s="5">
        <f>_xll.SNL.Clients.Office.Excel.Functions.SPG(U191, "SP_MARKETCAP", "12/31/2021")</f>
        <v>9267.4351719999995</v>
      </c>
      <c r="AB191">
        <f t="shared" si="30"/>
        <v>2.1841033418959642E-4</v>
      </c>
      <c r="AC191">
        <f t="shared" si="37"/>
        <v>5.2746095706787536E-4</v>
      </c>
    </row>
    <row r="192" spans="1:29" x14ac:dyDescent="0.3">
      <c r="A192" t="s">
        <v>192</v>
      </c>
      <c r="B192" s="4" cm="1">
        <f t="array" ref="B192">_xll.SNL.Clients.Office.Excel.Functions.SPG(A192, "SP_TOTAL_REV", "CY2023")</f>
        <v>12685000</v>
      </c>
      <c r="C192" s="4">
        <f>_xll.SNL.Clients.Office.Excel.Functions.SPG(A192,"IQ_AVG_DILUT_SHARES_OUT","CY2023")</f>
        <v>574000000</v>
      </c>
      <c r="D192" s="5">
        <f>_xll.SNL.Clients.Office.Excel.Functions.SPG(A192, "IQ_DILUT_EPS_NORM", "CY2023")</f>
        <v>1.504</v>
      </c>
      <c r="E192">
        <f t="shared" si="26"/>
        <v>863296</v>
      </c>
      <c r="F192">
        <f t="shared" si="27"/>
        <v>6.805644461962948E-2</v>
      </c>
      <c r="G192" s="5">
        <f>_xll.SNL.Clients.Office.Excel.Functions.SPG(A192, "SP_MARKETCAP", "12/30/2023")</f>
        <v>21036.05141118</v>
      </c>
      <c r="H192">
        <f t="shared" si="31"/>
        <v>5.0065804528877616E-4</v>
      </c>
      <c r="I192">
        <f t="shared" si="32"/>
        <v>7.529897001143193E-4</v>
      </c>
      <c r="K192" t="s">
        <v>192</v>
      </c>
      <c r="L192" s="4" cm="1">
        <f t="array" ref="L192">_xll.SNL.Clients.Office.Excel.Functions.SPG(K192, "SP_TOTAL_REV", "CY2023")</f>
        <v>12685000</v>
      </c>
      <c r="M192" s="4">
        <f>_xll.SNL.Clients.Office.Excel.Functions.SPG(K192,"IQ_AVG_DILUT_SHARES_OUT","CY2023")</f>
        <v>574000000</v>
      </c>
      <c r="N192" s="5">
        <f>_xll.SNL.Clients.Office.Excel.Functions.SPG(K192, "IQ_DILUT_EPS_NORM", "CY2023")</f>
        <v>1.504</v>
      </c>
      <c r="O192">
        <f t="shared" si="28"/>
        <v>863296</v>
      </c>
      <c r="P192">
        <f t="shared" si="29"/>
        <v>6.805644461962948E-2</v>
      </c>
      <c r="Q192" s="5">
        <f>_xll.SNL.Clients.Office.Excel.Functions.SPG(K192, "SP_MARKETCAP", "12/31/2022")</f>
        <v>23979.3289983</v>
      </c>
      <c r="R192">
        <f t="shared" si="33"/>
        <v>7.1166332819135145E-4</v>
      </c>
      <c r="S192">
        <f t="shared" si="34"/>
        <v>1.0703416455997926E-3</v>
      </c>
      <c r="U192" t="s">
        <v>192</v>
      </c>
      <c r="V192" s="4" cm="1">
        <f t="array" ref="V192">_xll.SNL.Clients.Office.Excel.Functions.SPG(U192, "SP_TOTAL_REV", "CY2021")</f>
        <v>10943000</v>
      </c>
      <c r="W192" s="4">
        <f>_xll.SNL.Clients.Office.Excel.Functions.SPG(U192,"IQ_AVG_DILUT_SHARES_OUT","CY2021")</f>
        <v>546000000</v>
      </c>
      <c r="X192" s="5">
        <f>_xll.SNL.Clients.Office.Excel.Functions.SPG(U192, "IQ_DILUT_EPS_NORM", "CY2021")</f>
        <v>1.925</v>
      </c>
      <c r="Y192">
        <f t="shared" si="35"/>
        <v>1051050</v>
      </c>
      <c r="Z192">
        <f t="shared" si="36"/>
        <v>9.6047701727131493E-2</v>
      </c>
      <c r="AA192" s="5">
        <f>_xll.SNL.Clients.Office.Excel.Functions.SPG(U192, "SP_MARKETCAP", "12/31/2021")</f>
        <v>23714.12869365</v>
      </c>
      <c r="AB192">
        <f t="shared" si="30"/>
        <v>5.5888287070449811E-4</v>
      </c>
      <c r="AC192">
        <f t="shared" si="37"/>
        <v>1.0758495261061589E-3</v>
      </c>
    </row>
    <row r="193" spans="1:29" x14ac:dyDescent="0.3">
      <c r="A193" t="s">
        <v>193</v>
      </c>
      <c r="B193" s="4" cm="1">
        <f t="array" ref="B193">_xll.SNL.Clients.Office.Excel.Functions.SPG(A193, "SP_TOTAL_REV", "CY2023")</f>
        <v>19093000</v>
      </c>
      <c r="C193" s="4">
        <f>_xll.SNL.Clients.Office.Excel.Functions.SPG(A193,"IQ_AVG_DILUT_SHARES_OUT","CY2023")</f>
        <v>615900000</v>
      </c>
      <c r="D193" s="5">
        <f>_xll.SNL.Clients.Office.Excel.Functions.SPG(A193, "IQ_DILUT_EPS_NORM", "CY2023")</f>
        <v>3.6720000000000002</v>
      </c>
      <c r="E193">
        <f t="shared" si="26"/>
        <v>2261584.7999999998</v>
      </c>
      <c r="F193">
        <f t="shared" si="27"/>
        <v>0.11845099251034409</v>
      </c>
      <c r="G193" s="5">
        <f>_xll.SNL.Clients.Office.Excel.Functions.SPG(A193, "SP_MARKETCAP", "12/30/2023")</f>
        <v>79728.670513439996</v>
      </c>
      <c r="H193">
        <f t="shared" si="31"/>
        <v>1.8975424404751753E-3</v>
      </c>
      <c r="I193">
        <f t="shared" si="32"/>
        <v>6.9677758414248437E-3</v>
      </c>
      <c r="K193" t="s">
        <v>193</v>
      </c>
      <c r="L193" s="4" cm="1">
        <f t="array" ref="L193">_xll.SNL.Clients.Office.Excel.Functions.SPG(K193, "SP_TOTAL_REV", "CY2023")</f>
        <v>19093000</v>
      </c>
      <c r="M193" s="4">
        <f>_xll.SNL.Clients.Office.Excel.Functions.SPG(K193,"IQ_AVG_DILUT_SHARES_OUT","CY2023")</f>
        <v>615900000</v>
      </c>
      <c r="N193" s="5">
        <f>_xll.SNL.Clients.Office.Excel.Functions.SPG(K193, "IQ_DILUT_EPS_NORM", "CY2023")</f>
        <v>3.6720000000000002</v>
      </c>
      <c r="O193">
        <f t="shared" si="28"/>
        <v>2261584.7999999998</v>
      </c>
      <c r="P193">
        <f t="shared" si="29"/>
        <v>0.11845099251034409</v>
      </c>
      <c r="Q193" s="5">
        <f>_xll.SNL.Clients.Office.Excel.Functions.SPG(K193, "SP_MARKETCAP", "12/31/2022")</f>
        <v>64182.287641319999</v>
      </c>
      <c r="R193">
        <f t="shared" si="33"/>
        <v>1.9048147859764808E-3</v>
      </c>
      <c r="S193">
        <f t="shared" si="34"/>
        <v>6.9944798941056381E-3</v>
      </c>
      <c r="U193" t="s">
        <v>193</v>
      </c>
      <c r="V193" s="4" cm="1">
        <f t="array" ref="V193">_xll.SNL.Clients.Office.Excel.Functions.SPG(U193, "SP_TOTAL_REV", "CY2021")</f>
        <v>16226000</v>
      </c>
      <c r="W193" s="4">
        <f>_xll.SNL.Clients.Office.Excel.Functions.SPG(U193,"IQ_AVG_DILUT_SHARES_OUT","CY2021")</f>
        <v>671600000</v>
      </c>
      <c r="X193" s="5">
        <f>_xll.SNL.Clients.Office.Excel.Functions.SPG(U193, "IQ_DILUT_EPS_NORM", "CY2021")</f>
        <v>1.544</v>
      </c>
      <c r="Y193">
        <f t="shared" si="35"/>
        <v>1036950.4</v>
      </c>
      <c r="Z193">
        <f t="shared" si="36"/>
        <v>6.3906717613706393E-2</v>
      </c>
      <c r="AA193" s="5">
        <f>_xll.SNL.Clients.Office.Excel.Functions.SPG(U193, "SP_MARKETCAP", "12/31/2021")</f>
        <v>68525.471807120004</v>
      </c>
      <c r="AB193">
        <f t="shared" si="30"/>
        <v>1.6149744692158336E-3</v>
      </c>
      <c r="AC193">
        <f t="shared" si="37"/>
        <v>2.4935205804692473E-3</v>
      </c>
    </row>
    <row r="194" spans="1:29" x14ac:dyDescent="0.3">
      <c r="A194" t="s">
        <v>194</v>
      </c>
      <c r="B194" s="4" cm="1">
        <f t="array" ref="B194">_xll.SNL.Clients.Office.Excel.Functions.SPG(A194, "SP_TOTAL_REV", "CY2023")</f>
        <v>4486800</v>
      </c>
      <c r="C194" s="4">
        <f>_xll.SNL.Clients.Office.Excel.Functions.SPG(A194,"IQ_AVG_DILUT_SHARES_OUT","CY2023")</f>
        <v>125533000</v>
      </c>
      <c r="D194" s="5">
        <f>_xll.SNL.Clients.Office.Excel.Functions.SPG(A194, "IQ_DILUT_EPS_NORM", "CY2023")</f>
        <v>1.83</v>
      </c>
      <c r="E194">
        <f t="shared" si="26"/>
        <v>229725.39</v>
      </c>
      <c r="F194">
        <f t="shared" si="27"/>
        <v>5.1200274137469914E-2</v>
      </c>
      <c r="G194" s="5">
        <f>_xll.SNL.Clients.Office.Excel.Functions.SPG(A194, "SP_MARKETCAP", "12/30/2023")</f>
        <v>7866.0478253499996</v>
      </c>
      <c r="H194">
        <f t="shared" si="31"/>
        <v>1.8721194635865594E-4</v>
      </c>
      <c r="I194">
        <f t="shared" si="32"/>
        <v>3.425978618363404E-4</v>
      </c>
      <c r="K194" t="s">
        <v>194</v>
      </c>
      <c r="L194" s="4" cm="1">
        <f t="array" ref="L194">_xll.SNL.Clients.Office.Excel.Functions.SPG(K194, "SP_TOTAL_REV", "CY2023")</f>
        <v>4486800</v>
      </c>
      <c r="M194" s="4">
        <f>_xll.SNL.Clients.Office.Excel.Functions.SPG(K194,"IQ_AVG_DILUT_SHARES_OUT","CY2023")</f>
        <v>125533000</v>
      </c>
      <c r="N194" s="5">
        <f>_xll.SNL.Clients.Office.Excel.Functions.SPG(K194, "IQ_DILUT_EPS_NORM", "CY2023")</f>
        <v>1.83</v>
      </c>
      <c r="O194">
        <f t="shared" si="28"/>
        <v>229725.39</v>
      </c>
      <c r="P194">
        <f t="shared" si="29"/>
        <v>5.1200274137469914E-2</v>
      </c>
      <c r="Q194" s="5">
        <f>_xll.SNL.Clients.Office.Excel.Functions.SPG(K194, "SP_MARKETCAP", "12/31/2022")</f>
        <v>15608.227190400001</v>
      </c>
      <c r="R194">
        <f t="shared" si="33"/>
        <v>4.6322409231193634E-4</v>
      </c>
      <c r="S194">
        <f t="shared" si="34"/>
        <v>8.4770008893084354E-4</v>
      </c>
      <c r="U194" t="s">
        <v>194</v>
      </c>
      <c r="V194" s="4" cm="1">
        <f t="array" ref="V194">_xll.SNL.Clients.Office.Excel.Functions.SPG(U194, "SP_TOTAL_REV", "CY2021")</f>
        <v>5045200</v>
      </c>
      <c r="W194" s="4">
        <f>_xll.SNL.Clients.Office.Excel.Functions.SPG(U194,"IQ_AVG_DILUT_SHARES_OUT","CY2021")</f>
        <v>129146000</v>
      </c>
      <c r="X194" s="5">
        <f>_xll.SNL.Clients.Office.Excel.Functions.SPG(U194, "IQ_DILUT_EPS_NORM", "CY2021")</f>
        <v>4.5919999999999996</v>
      </c>
      <c r="Y194">
        <f t="shared" si="35"/>
        <v>593038.43200000003</v>
      </c>
      <c r="Z194">
        <f t="shared" si="36"/>
        <v>0.11754507888686276</v>
      </c>
      <c r="AA194" s="5">
        <f>_xll.SNL.Clients.Office.Excel.Functions.SPG(U194, "SP_MARKETCAP", "12/31/2021")</f>
        <v>13928.72178555</v>
      </c>
      <c r="AB194">
        <f t="shared" si="30"/>
        <v>3.2826523450709582E-4</v>
      </c>
      <c r="AC194">
        <f t="shared" si="37"/>
        <v>1.5073939568565839E-3</v>
      </c>
    </row>
    <row r="195" spans="1:29" x14ac:dyDescent="0.3">
      <c r="A195" t="s">
        <v>195</v>
      </c>
      <c r="B195" s="4" cm="1">
        <f t="array" ref="B195">_xll.SNL.Clients.Office.Excel.Functions.SPG(A195, "SP_TOTAL_REV", "CY2023")</f>
        <v>176191000</v>
      </c>
      <c r="C195" s="4">
        <f>_xll.SNL.Clients.Office.Excel.Functions.SPG(A195,"IQ_AVG_DILUT_SHARES_OUT","CY2023")</f>
        <v>4041000000</v>
      </c>
      <c r="D195" s="5">
        <f>_xll.SNL.Clients.Office.Excel.Functions.SPG(A195, "IQ_DILUT_EPS_NORM", "CY2023")</f>
        <v>1.0189999999999999</v>
      </c>
      <c r="E195">
        <f t="shared" si="26"/>
        <v>4117778.9999999995</v>
      </c>
      <c r="F195">
        <f t="shared" si="27"/>
        <v>2.3371108626433809E-2</v>
      </c>
      <c r="G195" s="5">
        <f>_xll.SNL.Clients.Office.Excel.Functions.SPG(A195, "SP_MARKETCAP", "12/30/2023")</f>
        <v>48796.014587029997</v>
      </c>
      <c r="H195">
        <f t="shared" si="31"/>
        <v>1.1613451975136934E-3</v>
      </c>
      <c r="I195">
        <f t="shared" si="32"/>
        <v>1.1834107562664535E-3</v>
      </c>
      <c r="K195" t="s">
        <v>195</v>
      </c>
      <c r="L195" s="4" cm="1">
        <f t="array" ref="L195">_xll.SNL.Clients.Office.Excel.Functions.SPG(K195, "SP_TOTAL_REV", "CY2023")</f>
        <v>176191000</v>
      </c>
      <c r="M195" s="4">
        <f>_xll.SNL.Clients.Office.Excel.Functions.SPG(K195,"IQ_AVG_DILUT_SHARES_OUT","CY2023")</f>
        <v>4041000000</v>
      </c>
      <c r="N195" s="5">
        <f>_xll.SNL.Clients.Office.Excel.Functions.SPG(K195, "IQ_DILUT_EPS_NORM", "CY2023")</f>
        <v>1.0189999999999999</v>
      </c>
      <c r="O195">
        <f t="shared" si="28"/>
        <v>4117778.9999999995</v>
      </c>
      <c r="P195">
        <f t="shared" si="29"/>
        <v>2.3371108626433809E-2</v>
      </c>
      <c r="Q195" s="5">
        <f>_xll.SNL.Clients.Office.Excel.Functions.SPG(K195, "SP_MARKETCAP", "12/31/2022")</f>
        <v>46758.346371369997</v>
      </c>
      <c r="R195">
        <f t="shared" si="33"/>
        <v>1.3877035675907475E-3</v>
      </c>
      <c r="S195">
        <f t="shared" si="34"/>
        <v>1.4140699353749715E-3</v>
      </c>
      <c r="U195" t="s">
        <v>195</v>
      </c>
      <c r="V195" s="4" cm="1">
        <f t="array" ref="V195">_xll.SNL.Clients.Office.Excel.Functions.SPG(U195, "SP_TOTAL_REV", "CY2021")</f>
        <v>136341000</v>
      </c>
      <c r="W195" s="4">
        <f>_xll.SNL.Clients.Office.Excel.Functions.SPG(U195,"IQ_AVG_DILUT_SHARES_OUT","CY2021")</f>
        <v>4034000000</v>
      </c>
      <c r="X195" s="5">
        <f>_xll.SNL.Clients.Office.Excel.Functions.SPG(U195, "IQ_DILUT_EPS_NORM", "CY2021")</f>
        <v>0.96</v>
      </c>
      <c r="Y195">
        <f t="shared" si="35"/>
        <v>3872640</v>
      </c>
      <c r="Z195">
        <f t="shared" si="36"/>
        <v>2.8404075076462691E-2</v>
      </c>
      <c r="AA195" s="5">
        <f>_xll.SNL.Clients.Office.Excel.Functions.SPG(U195, "SP_MARKETCAP", "12/31/2021")</f>
        <v>83001.936017309999</v>
      </c>
      <c r="AB195">
        <f t="shared" si="30"/>
        <v>1.9561486266120682E-3</v>
      </c>
      <c r="AC195">
        <f t="shared" si="37"/>
        <v>1.8779026815475854E-3</v>
      </c>
    </row>
    <row r="196" spans="1:29" x14ac:dyDescent="0.3">
      <c r="A196" t="s">
        <v>196</v>
      </c>
      <c r="B196" s="4" cm="1">
        <f t="array" ref="B196">_xll.SNL.Clients.Office.Excel.Functions.SPG(A196, "SP_TOTAL_REV", "CY2023")</f>
        <v>5304800</v>
      </c>
      <c r="C196" s="4">
        <f>_xll.SNL.Clients.Office.Excel.Functions.SPG(A196,"IQ_AVG_DILUT_SHARES_OUT","CY2023")</f>
        <v>788200000</v>
      </c>
      <c r="D196" s="5">
        <f>_xll.SNL.Clients.Office.Excel.Functions.SPG(A196, "IQ_DILUT_EPS_NORM", "CY2023")</f>
        <v>1.024</v>
      </c>
      <c r="E196">
        <f t="shared" si="26"/>
        <v>807116.80000000005</v>
      </c>
      <c r="F196">
        <f t="shared" si="27"/>
        <v>0.15214839390740462</v>
      </c>
      <c r="G196" s="5">
        <f>_xll.SNL.Clients.Office.Excel.Functions.SPG(A196, "SP_MARKETCAP", "12/30/2023")</f>
        <v>44945.749063590003</v>
      </c>
      <c r="H196">
        <f t="shared" si="31"/>
        <v>1.0697088740835394E-3</v>
      </c>
      <c r="I196">
        <f t="shared" si="32"/>
        <v>1.0953818870615443E-3</v>
      </c>
      <c r="K196" t="s">
        <v>196</v>
      </c>
      <c r="L196" s="4" cm="1">
        <f t="array" ref="L196">_xll.SNL.Clients.Office.Excel.Functions.SPG(K196, "SP_TOTAL_REV", "CY2023")</f>
        <v>5304800</v>
      </c>
      <c r="M196" s="4">
        <f>_xll.SNL.Clients.Office.Excel.Functions.SPG(K196,"IQ_AVG_DILUT_SHARES_OUT","CY2023")</f>
        <v>788200000</v>
      </c>
      <c r="N196" s="5">
        <f>_xll.SNL.Clients.Office.Excel.Functions.SPG(K196, "IQ_DILUT_EPS_NORM", "CY2023")</f>
        <v>1.024</v>
      </c>
      <c r="O196">
        <f t="shared" si="28"/>
        <v>807116.80000000005</v>
      </c>
      <c r="P196">
        <f t="shared" si="29"/>
        <v>0.15214839390740462</v>
      </c>
      <c r="Q196" s="5">
        <f>_xll.SNL.Clients.Office.Excel.Functions.SPG(K196, "SP_MARKETCAP", "12/31/2022")</f>
        <v>38194.628577789998</v>
      </c>
      <c r="R196">
        <f t="shared" si="33"/>
        <v>1.1335478359144064E-3</v>
      </c>
      <c r="S196">
        <f t="shared" si="34"/>
        <v>1.1607529839763521E-3</v>
      </c>
      <c r="U196" t="s">
        <v>196</v>
      </c>
      <c r="V196" s="4" cm="1">
        <f t="array" ref="V196">_xll.SNL.Clients.Office.Excel.Functions.SPG(U196, "SP_TOTAL_REV", "CY2021")</f>
        <v>3342200</v>
      </c>
      <c r="W196" s="4">
        <f>_xll.SNL.Clients.Office.Excel.Functions.SPG(U196,"IQ_AVG_DILUT_SHARES_OUT","CY2021")</f>
        <v>835300000</v>
      </c>
      <c r="X196" s="5">
        <f>_xll.SNL.Clients.Office.Excel.Functions.SPG(U196, "IQ_DILUT_EPS_NORM", "CY2021")</f>
        <v>0.46100000000000002</v>
      </c>
      <c r="Y196">
        <f t="shared" si="35"/>
        <v>385073.3</v>
      </c>
      <c r="Z196">
        <f t="shared" si="36"/>
        <v>0.11521551672551014</v>
      </c>
      <c r="AA196" s="5">
        <f>_xll.SNL.Clients.Office.Excel.Functions.SPG(U196, "SP_MARKETCAP", "12/31/2021")</f>
        <v>58761.824525999997</v>
      </c>
      <c r="AB196">
        <f t="shared" si="30"/>
        <v>1.3848696531582366E-3</v>
      </c>
      <c r="AC196">
        <f t="shared" si="37"/>
        <v>6.3842491010594716E-4</v>
      </c>
    </row>
    <row r="197" spans="1:29" x14ac:dyDescent="0.3">
      <c r="A197" t="s">
        <v>197</v>
      </c>
      <c r="B197" s="4" cm="1">
        <f t="array" ref="B197">_xll.SNL.Clients.Office.Excel.Functions.SPG(A197, "SP_TOTAL_REV", "CY2023")</f>
        <v>6065300</v>
      </c>
      <c r="C197" s="4">
        <f>_xll.SNL.Clients.Office.Excel.Functions.SPG(A197,"IQ_AVG_DILUT_SHARES_OUT","CY2023")</f>
        <v>355600000</v>
      </c>
      <c r="D197" s="5">
        <f>_xll.SNL.Clients.Office.Excel.Functions.SPG(A197, "IQ_DILUT_EPS_NORM", "CY2023")</f>
        <v>1.7410000000000001</v>
      </c>
      <c r="E197">
        <f t="shared" si="26"/>
        <v>619099.6</v>
      </c>
      <c r="F197">
        <f t="shared" si="27"/>
        <v>0.10207237894250902</v>
      </c>
      <c r="G197" s="5">
        <f>_xll.SNL.Clients.Office.Excel.Functions.SPG(A197, "SP_MARKETCAP", "12/30/2023")</f>
        <v>25876.05368547</v>
      </c>
      <c r="H197">
        <f t="shared" si="31"/>
        <v>6.1585010441026194E-4</v>
      </c>
      <c r="I197">
        <f t="shared" si="32"/>
        <v>1.0721950317782662E-3</v>
      </c>
      <c r="K197" t="s">
        <v>197</v>
      </c>
      <c r="L197" s="4" cm="1">
        <f t="array" ref="L197">_xll.SNL.Clients.Office.Excel.Functions.SPG(K197, "SP_TOTAL_REV", "CY2023")</f>
        <v>6065300</v>
      </c>
      <c r="M197" s="4">
        <f>_xll.SNL.Clients.Office.Excel.Functions.SPG(K197,"IQ_AVG_DILUT_SHARES_OUT","CY2023")</f>
        <v>355600000</v>
      </c>
      <c r="N197" s="5">
        <f>_xll.SNL.Clients.Office.Excel.Functions.SPG(K197, "IQ_DILUT_EPS_NORM", "CY2023")</f>
        <v>1.7410000000000001</v>
      </c>
      <c r="O197">
        <f t="shared" si="28"/>
        <v>619099.6</v>
      </c>
      <c r="P197">
        <f t="shared" si="29"/>
        <v>0.10207237894250902</v>
      </c>
      <c r="Q197" s="5">
        <f>_xll.SNL.Clients.Office.Excel.Functions.SPG(K197, "SP_MARKETCAP", "12/31/2022")</f>
        <v>22732.180255250001</v>
      </c>
      <c r="R197">
        <f t="shared" si="33"/>
        <v>6.7465019803697793E-4</v>
      </c>
      <c r="S197">
        <f t="shared" si="34"/>
        <v>1.1745659947823787E-3</v>
      </c>
      <c r="U197" t="s">
        <v>197</v>
      </c>
      <c r="V197" s="4" cm="1">
        <f t="array" ref="V197">_xll.SNL.Clients.Office.Excel.Functions.SPG(U197, "SP_TOTAL_REV", "CY2021")</f>
        <v>5254700</v>
      </c>
      <c r="W197" s="4">
        <f>_xll.SNL.Clients.Office.Excel.Functions.SPG(U197,"IQ_AVG_DILUT_SHARES_OUT","CY2021")</f>
        <v>352300000</v>
      </c>
      <c r="X197" s="5">
        <f>_xll.SNL.Clients.Office.Excel.Functions.SPG(U197, "IQ_DILUT_EPS_NORM", "CY2021")</f>
        <v>1.234</v>
      </c>
      <c r="Y197">
        <f t="shared" si="35"/>
        <v>434738.2</v>
      </c>
      <c r="Z197">
        <f t="shared" si="36"/>
        <v>8.2733210268902124E-2</v>
      </c>
      <c r="AA197" s="5">
        <f>_xll.SNL.Clients.Office.Excel.Functions.SPG(U197, "SP_MARKETCAP", "12/31/2021")</f>
        <v>27355.889071080001</v>
      </c>
      <c r="AB197">
        <f t="shared" si="30"/>
        <v>6.4471008031650372E-4</v>
      </c>
      <c r="AC197">
        <f t="shared" si="37"/>
        <v>7.9557223911056558E-4</v>
      </c>
    </row>
    <row r="198" spans="1:29" x14ac:dyDescent="0.3">
      <c r="A198" t="s">
        <v>198</v>
      </c>
      <c r="B198" s="4" cm="1">
        <f t="array" ref="B198">_xll.SNL.Clients.Office.Excel.Functions.SPG(A198, "SP_TOTAL_REV", "CY2023")</f>
        <v>14557000</v>
      </c>
      <c r="C198" s="4">
        <f>_xll.SNL.Clients.Office.Excel.Functions.SPG(A198,"IQ_AVG_DILUT_SHARES_OUT","CY2023")</f>
        <v>501500000</v>
      </c>
      <c r="D198" s="5">
        <f>_xll.SNL.Clients.Office.Excel.Functions.SPG(A198, "IQ_DILUT_EPS_NORM", "CY2023")</f>
        <v>2.6219999999999999</v>
      </c>
      <c r="E198">
        <f t="shared" ref="E198:E261" si="38">C198*D198/1000</f>
        <v>1314933</v>
      </c>
      <c r="F198">
        <f t="shared" ref="F198:F261" si="39">E198/B198</f>
        <v>9.03299443566669E-2</v>
      </c>
      <c r="G198" s="5" t="str">
        <f>_xll.SNL.Clients.Office.Excel.Functions.SPG(A198, "SP_MARKETCAP", "12/30/2023")</f>
        <v>NA</v>
      </c>
      <c r="H198" t="e">
        <f t="shared" si="31"/>
        <v>#VALUE!</v>
      </c>
      <c r="I198" t="e">
        <f t="shared" si="32"/>
        <v>#VALUE!</v>
      </c>
      <c r="K198" t="s">
        <v>198</v>
      </c>
      <c r="L198" s="4" cm="1">
        <f t="array" ref="L198">_xll.SNL.Clients.Office.Excel.Functions.SPG(K198, "SP_TOTAL_REV", "CY2023")</f>
        <v>14557000</v>
      </c>
      <c r="M198" s="4">
        <f>_xll.SNL.Clients.Office.Excel.Functions.SPG(K198,"IQ_AVG_DILUT_SHARES_OUT","CY2023")</f>
        <v>501500000</v>
      </c>
      <c r="N198" s="5">
        <f>_xll.SNL.Clients.Office.Excel.Functions.SPG(K198, "IQ_DILUT_EPS_NORM", "CY2023")</f>
        <v>2.6219999999999999</v>
      </c>
      <c r="O198">
        <f t="shared" ref="O198:O261" si="40">M198*N198/1000</f>
        <v>1314933</v>
      </c>
      <c r="P198">
        <f t="shared" ref="P198:P261" si="41">O198/L198</f>
        <v>9.03299443566669E-2</v>
      </c>
      <c r="Q198" s="5" t="str">
        <f>_xll.SNL.Clients.Office.Excel.Functions.SPG(K198, "SP_MARKETCAP", "12/31/2022")</f>
        <v>NA</v>
      </c>
      <c r="R198" t="e">
        <f t="shared" si="33"/>
        <v>#VALUE!</v>
      </c>
      <c r="S198" t="e">
        <f t="shared" si="34"/>
        <v>#VALUE!</v>
      </c>
      <c r="U198" t="s">
        <v>198</v>
      </c>
      <c r="V198" s="4" cm="1">
        <f t="array" ref="V198">_xll.SNL.Clients.Office.Excel.Functions.SPG(U198, "SP_TOTAL_REV", "CY2021")</f>
        <v>13591000</v>
      </c>
      <c r="W198" s="4">
        <f>_xll.SNL.Clients.Office.Excel.Functions.SPG(U198,"IQ_AVG_DILUT_SHARES_OUT","CY2021")</f>
        <v>582000000</v>
      </c>
      <c r="X198" s="5">
        <f>_xll.SNL.Clients.Office.Excel.Functions.SPG(U198, "IQ_DILUT_EPS_NORM", "CY2021")</f>
        <v>2.3380000000000001</v>
      </c>
      <c r="Y198">
        <f t="shared" si="35"/>
        <v>1360716</v>
      </c>
      <c r="Z198">
        <f t="shared" si="36"/>
        <v>0.10011890221470091</v>
      </c>
      <c r="AA198" s="5" t="str">
        <f>_xll.SNL.Clients.Office.Excel.Functions.SPG(U198, "SP_MARKETCAP", "12/31/2021")</f>
        <v>NA</v>
      </c>
      <c r="AB198" t="e">
        <f t="shared" ref="AB198:AB261" si="42">AA198/$AA$509</f>
        <v>#VALUE!</v>
      </c>
      <c r="AC198" t="e">
        <f t="shared" si="37"/>
        <v>#VALUE!</v>
      </c>
    </row>
    <row r="199" spans="1:29" x14ac:dyDescent="0.3">
      <c r="A199" t="s">
        <v>199</v>
      </c>
      <c r="B199" s="4" cm="1">
        <f t="array" ref="B199">_xll.SNL.Clients.Office.Excel.Functions.SPG(A199, "SP_TOTAL_REV", "CY2023")</f>
        <v>14557000</v>
      </c>
      <c r="C199" s="4">
        <f>_xll.SNL.Clients.Office.Excel.Functions.SPG(A199,"IQ_AVG_DILUT_SHARES_OUT","CY2023")</f>
        <v>501500000</v>
      </c>
      <c r="D199" s="5">
        <f>_xll.SNL.Clients.Office.Excel.Functions.SPG(A199, "IQ_DILUT_EPS_NORM", "CY2023")</f>
        <v>2.6219999999999999</v>
      </c>
      <c r="E199">
        <f t="shared" si="38"/>
        <v>1314933</v>
      </c>
      <c r="F199">
        <f t="shared" si="39"/>
        <v>9.03299443566669E-2</v>
      </c>
      <c r="G199" s="5">
        <f>_xll.SNL.Clients.Office.Excel.Functions.SPG(A199, "SP_MARKETCAP", "12/30/2023")</f>
        <v>13849.02681272</v>
      </c>
      <c r="H199">
        <f t="shared" ref="H199:H262" si="43">G199/$G$509</f>
        <v>3.296068524306439E-4</v>
      </c>
      <c r="I199">
        <f t="shared" ref="I199:I262" si="44">D199*H199</f>
        <v>8.6422916707314828E-4</v>
      </c>
      <c r="K199" t="s">
        <v>199</v>
      </c>
      <c r="L199" s="4" cm="1">
        <f t="array" ref="L199">_xll.SNL.Clients.Office.Excel.Functions.SPG(K199, "SP_TOTAL_REV", "CY2023")</f>
        <v>14557000</v>
      </c>
      <c r="M199" s="4">
        <f>_xll.SNL.Clients.Office.Excel.Functions.SPG(K199,"IQ_AVG_DILUT_SHARES_OUT","CY2023")</f>
        <v>501500000</v>
      </c>
      <c r="N199" s="5">
        <f>_xll.SNL.Clients.Office.Excel.Functions.SPG(K199, "IQ_DILUT_EPS_NORM", "CY2023")</f>
        <v>2.6219999999999999</v>
      </c>
      <c r="O199">
        <f t="shared" si="40"/>
        <v>1314933</v>
      </c>
      <c r="P199">
        <f t="shared" si="41"/>
        <v>9.03299443566669E-2</v>
      </c>
      <c r="Q199" s="5">
        <f>_xll.SNL.Clients.Office.Excel.Functions.SPG(K199, "SP_MARKETCAP", "12/31/2022")</f>
        <v>16020.383676380001</v>
      </c>
      <c r="R199">
        <f t="shared" ref="R199:R262" si="45">Q199/$Q$509</f>
        <v>4.7545615504267306E-4</v>
      </c>
      <c r="S199">
        <f t="shared" ref="S199:S262" si="46">N199*R199</f>
        <v>1.2466460385218887E-3</v>
      </c>
      <c r="U199" t="s">
        <v>199</v>
      </c>
      <c r="V199" s="4" cm="1">
        <f t="array" ref="V199">_xll.SNL.Clients.Office.Excel.Functions.SPG(U199, "SP_TOTAL_REV", "CY2021")</f>
        <v>13591000</v>
      </c>
      <c r="W199" s="4">
        <f>_xll.SNL.Clients.Office.Excel.Functions.SPG(U199,"IQ_AVG_DILUT_SHARES_OUT","CY2021")</f>
        <v>582000000</v>
      </c>
      <c r="X199" s="5">
        <f>_xll.SNL.Clients.Office.Excel.Functions.SPG(U199, "IQ_DILUT_EPS_NORM", "CY2021")</f>
        <v>2.3380000000000001</v>
      </c>
      <c r="Y199">
        <f t="shared" ref="Y199:Y262" si="47">W199*X199/1000</f>
        <v>1360716</v>
      </c>
      <c r="Z199">
        <f t="shared" ref="Z199:Z262" si="48">Y199/V199</f>
        <v>0.10011890221470091</v>
      </c>
      <c r="AA199" s="5">
        <f>_xll.SNL.Clients.Office.Excel.Functions.SPG(U199, "SP_MARKETCAP", "12/31/2021")</f>
        <v>20362.2284702</v>
      </c>
      <c r="AB199">
        <f t="shared" si="42"/>
        <v>4.7988694201585904E-4</v>
      </c>
      <c r="AC199">
        <f t="shared" ref="AC199:AC262" si="49">X199*AB199</f>
        <v>1.1219756704330785E-3</v>
      </c>
    </row>
    <row r="200" spans="1:29" x14ac:dyDescent="0.3">
      <c r="A200" t="s">
        <v>200</v>
      </c>
      <c r="B200" s="4" cm="1">
        <f t="array" ref="B200">_xll.SNL.Clients.Office.Excel.Functions.SPG(A200, "SP_TOTAL_REV", "CY2023")</f>
        <v>7873400</v>
      </c>
      <c r="C200" s="4">
        <f>_xll.SNL.Clients.Office.Excel.Functions.SPG(A200,"IQ_AVG_DILUT_SHARES_OUT","CY2023")</f>
        <v>490225000</v>
      </c>
      <c r="D200" s="5">
        <f>_xll.SNL.Clients.Office.Excel.Functions.SPG(A200, "IQ_DILUT_EPS_NORM", "CY2023")</f>
        <v>1.859</v>
      </c>
      <c r="E200">
        <f t="shared" si="38"/>
        <v>911328.27500000002</v>
      </c>
      <c r="F200">
        <f t="shared" si="39"/>
        <v>0.11574774239845556</v>
      </c>
      <c r="G200" s="5">
        <f>_xll.SNL.Clients.Office.Excel.Functions.SPG(A200, "SP_MARKETCAP", "12/30/2023")</f>
        <v>14761.7478405</v>
      </c>
      <c r="H200">
        <f t="shared" si="43"/>
        <v>3.5132961383345341E-4</v>
      </c>
      <c r="I200">
        <f t="shared" si="44"/>
        <v>6.5312175211638989E-4</v>
      </c>
      <c r="K200" t="s">
        <v>200</v>
      </c>
      <c r="L200" s="4" cm="1">
        <f t="array" ref="L200">_xll.SNL.Clients.Office.Excel.Functions.SPG(K200, "SP_TOTAL_REV", "CY2023")</f>
        <v>7873400</v>
      </c>
      <c r="M200" s="4">
        <f>_xll.SNL.Clients.Office.Excel.Functions.SPG(K200,"IQ_AVG_DILUT_SHARES_OUT","CY2023")</f>
        <v>490225000</v>
      </c>
      <c r="N200" s="5">
        <f>_xll.SNL.Clients.Office.Excel.Functions.SPG(K200, "IQ_DILUT_EPS_NORM", "CY2023")</f>
        <v>1.859</v>
      </c>
      <c r="O200">
        <f t="shared" si="40"/>
        <v>911328.27500000002</v>
      </c>
      <c r="P200">
        <f t="shared" si="41"/>
        <v>0.11574774239845556</v>
      </c>
      <c r="Q200" s="5">
        <f>_xll.SNL.Clients.Office.Excel.Functions.SPG(K200, "SP_MARKETCAP", "12/31/2022")</f>
        <v>13196.807411760001</v>
      </c>
      <c r="R200">
        <f t="shared" si="45"/>
        <v>3.9165749320255102E-4</v>
      </c>
      <c r="S200">
        <f t="shared" si="46"/>
        <v>7.2809127986354233E-4</v>
      </c>
      <c r="U200" t="s">
        <v>200</v>
      </c>
      <c r="V200" s="4" cm="1">
        <f t="array" ref="V200">_xll.SNL.Clients.Office.Excel.Functions.SPG(U200, "SP_TOTAL_REV", "CY2021")</f>
        <v>8654400</v>
      </c>
      <c r="W200" s="4">
        <f>_xll.SNL.Clients.Office.Excel.Functions.SPG(U200,"IQ_AVG_DILUT_SHARES_OUT","CY2021")</f>
        <v>490325000</v>
      </c>
      <c r="X200" s="5">
        <f>_xll.SNL.Clients.Office.Excel.Functions.SPG(U200, "IQ_DILUT_EPS_NORM", "CY2021")</f>
        <v>2.9489999999999998</v>
      </c>
      <c r="Y200">
        <f t="shared" si="47"/>
        <v>1445968.425</v>
      </c>
      <c r="Z200">
        <f t="shared" si="48"/>
        <v>0.16707899161120354</v>
      </c>
      <c r="AA200" s="5">
        <f>_xll.SNL.Clients.Office.Excel.Functions.SPG(U200, "SP_MARKETCAP", "12/31/2021")</f>
        <v>16805.117865510001</v>
      </c>
      <c r="AB200">
        <f t="shared" si="42"/>
        <v>3.9605471643234462E-4</v>
      </c>
      <c r="AC200">
        <f t="shared" si="49"/>
        <v>1.1679653587589843E-3</v>
      </c>
    </row>
    <row r="201" spans="1:29" x14ac:dyDescent="0.3">
      <c r="A201" t="s">
        <v>201</v>
      </c>
      <c r="B201" s="4" cm="1">
        <f t="array" ref="B201">_xll.SNL.Clients.Office.Excel.Functions.SPG(A201, "SP_TOTAL_REV", "CY2023")</f>
        <v>22855000</v>
      </c>
      <c r="C201" s="4">
        <f>_xll.SNL.Clients.Office.Excel.Functions.SPG(A201,"IQ_AVG_DILUT_SHARES_OUT","CY2023")</f>
        <v>1443000000</v>
      </c>
      <c r="D201" s="5">
        <f>_xll.SNL.Clients.Office.Excel.Functions.SPG(A201, "IQ_DILUT_EPS_NORM", "CY2023")</f>
        <v>1.2849999999999999</v>
      </c>
      <c r="E201">
        <f t="shared" si="38"/>
        <v>1854255</v>
      </c>
      <c r="F201">
        <f t="shared" si="39"/>
        <v>8.1131262305841167E-2</v>
      </c>
      <c r="G201" s="5">
        <f>_xll.SNL.Clients.Office.Excel.Functions.SPG(A201, "SP_MARKETCAP", "12/30/2023")</f>
        <v>61044.411277079998</v>
      </c>
      <c r="H201">
        <f t="shared" si="43"/>
        <v>1.4528570513734366E-3</v>
      </c>
      <c r="I201">
        <f t="shared" si="44"/>
        <v>1.8669213110148659E-3</v>
      </c>
      <c r="K201" t="s">
        <v>201</v>
      </c>
      <c r="L201" s="4" cm="1">
        <f t="array" ref="L201">_xll.SNL.Clients.Office.Excel.Functions.SPG(K201, "SP_TOTAL_REV", "CY2023")</f>
        <v>22855000</v>
      </c>
      <c r="M201" s="4">
        <f>_xll.SNL.Clients.Office.Excel.Functions.SPG(K201,"IQ_AVG_DILUT_SHARES_OUT","CY2023")</f>
        <v>1443000000</v>
      </c>
      <c r="N201" s="5">
        <f>_xll.SNL.Clients.Office.Excel.Functions.SPG(K201, "IQ_DILUT_EPS_NORM", "CY2023")</f>
        <v>1.2849999999999999</v>
      </c>
      <c r="O201">
        <f t="shared" si="40"/>
        <v>1854255</v>
      </c>
      <c r="P201">
        <f t="shared" si="41"/>
        <v>8.1131262305841167E-2</v>
      </c>
      <c r="Q201" s="5">
        <f>_xll.SNL.Clients.Office.Excel.Functions.SPG(K201, "SP_MARKETCAP", "12/31/2022")</f>
        <v>54314.433257999997</v>
      </c>
      <c r="R201">
        <f t="shared" si="45"/>
        <v>1.6119546274191254E-3</v>
      </c>
      <c r="S201">
        <f t="shared" si="46"/>
        <v>2.0713616962335759E-3</v>
      </c>
      <c r="U201" t="s">
        <v>201</v>
      </c>
      <c r="V201" s="4" cm="1">
        <f t="array" ref="V201">_xll.SNL.Clients.Office.Excel.Functions.SPG(U201, "SP_TOTAL_REV", "CY2021")</f>
        <v>22845000</v>
      </c>
      <c r="W201" s="4">
        <f>_xll.SNL.Clients.Office.Excel.Functions.SPG(U201,"IQ_AVG_DILUT_SHARES_OUT","CY2021")</f>
        <v>1482000000</v>
      </c>
      <c r="X201" s="5">
        <f>_xll.SNL.Clients.Office.Excel.Functions.SPG(U201, "IQ_DILUT_EPS_NORM", "CY2021")</f>
        <v>2.5409999999999999</v>
      </c>
      <c r="Y201">
        <f t="shared" si="47"/>
        <v>3765762</v>
      </c>
      <c r="Z201">
        <f t="shared" si="48"/>
        <v>0.16483965856861457</v>
      </c>
      <c r="AA201" s="5">
        <f>_xll.SNL.Clients.Office.Excel.Functions.SPG(U201, "SP_MARKETCAP", "12/31/2021")</f>
        <v>61279.399822680003</v>
      </c>
      <c r="AB201">
        <f t="shared" si="42"/>
        <v>1.4442026241140709E-3</v>
      </c>
      <c r="AC201">
        <f t="shared" si="49"/>
        <v>3.6697188678738541E-3</v>
      </c>
    </row>
    <row r="202" spans="1:29" x14ac:dyDescent="0.3">
      <c r="A202" t="s">
        <v>202</v>
      </c>
      <c r="B202" s="4" cm="1">
        <f t="array" ref="B202">_xll.SNL.Clients.Office.Excel.Functions.SPG(A202, "SP_TOTAL_REV", "CY2023")</f>
        <v>5228252</v>
      </c>
      <c r="C202" s="4">
        <f>_xll.SNL.Clients.Office.Excel.Functions.SPG(A202,"IQ_AVG_DILUT_SHARES_OUT","CY2023")</f>
        <v>192058000</v>
      </c>
      <c r="D202" s="5">
        <f>_xll.SNL.Clients.Office.Excel.Functions.SPG(A202, "IQ_DILUT_EPS_NORM", "CY2023")</f>
        <v>3.9060000000000001</v>
      </c>
      <c r="E202">
        <f t="shared" si="38"/>
        <v>750178.54799999995</v>
      </c>
      <c r="F202">
        <f t="shared" si="39"/>
        <v>0.14348553742245018</v>
      </c>
      <c r="G202" s="5">
        <f>_xll.SNL.Clients.Office.Excel.Functions.SPG(A202, "SP_MARKETCAP", "12/30/2023")</f>
        <v>24593.69663758</v>
      </c>
      <c r="H202">
        <f t="shared" si="43"/>
        <v>5.8533000534748451E-4</v>
      </c>
      <c r="I202">
        <f t="shared" si="44"/>
        <v>2.2862990008872745E-3</v>
      </c>
      <c r="K202" t="s">
        <v>202</v>
      </c>
      <c r="L202" s="4" cm="1">
        <f t="array" ref="L202">_xll.SNL.Clients.Office.Excel.Functions.SPG(K202, "SP_TOTAL_REV", "CY2023")</f>
        <v>5228252</v>
      </c>
      <c r="M202" s="4">
        <f>_xll.SNL.Clients.Office.Excel.Functions.SPG(K202,"IQ_AVG_DILUT_SHARES_OUT","CY2023")</f>
        <v>192058000</v>
      </c>
      <c r="N202" s="5">
        <f>_xll.SNL.Clients.Office.Excel.Functions.SPG(K202, "IQ_DILUT_EPS_NORM", "CY2023")</f>
        <v>3.9060000000000001</v>
      </c>
      <c r="O202">
        <f t="shared" si="40"/>
        <v>750178.54799999995</v>
      </c>
      <c r="P202">
        <f t="shared" si="41"/>
        <v>0.14348553742245018</v>
      </c>
      <c r="Q202" s="5">
        <f>_xll.SNL.Clients.Office.Excel.Functions.SPG(K202, "SP_MARKETCAP", "12/31/2022")</f>
        <v>17688.664376569999</v>
      </c>
      <c r="R202">
        <f t="shared" si="45"/>
        <v>5.2496772375832735E-4</v>
      </c>
      <c r="S202">
        <f t="shared" si="46"/>
        <v>2.0505239290000265E-3</v>
      </c>
      <c r="U202" t="s">
        <v>202</v>
      </c>
      <c r="V202" s="4" cm="1">
        <f t="array" ref="V202">_xll.SNL.Clients.Office.Excel.Functions.SPG(U202, "SP_TOTAL_REV", "CY2021")</f>
        <v>4982795</v>
      </c>
      <c r="W202" s="4">
        <f>_xll.SNL.Clients.Office.Excel.Functions.SPG(U202,"IQ_AVG_DILUT_SHARES_OUT","CY2021")</f>
        <v>193043000</v>
      </c>
      <c r="X202" s="5">
        <f>_xll.SNL.Clients.Office.Excel.Functions.SPG(U202, "IQ_DILUT_EPS_NORM", "CY2021")</f>
        <v>3.9049999999999998</v>
      </c>
      <c r="Y202">
        <f t="shared" si="47"/>
        <v>753832.91500000004</v>
      </c>
      <c r="Z202">
        <f t="shared" si="48"/>
        <v>0.1512871621248717</v>
      </c>
      <c r="AA202" s="5">
        <f>_xll.SNL.Clients.Office.Excel.Functions.SPG(U202, "SP_MARKETCAP", "12/31/2021")</f>
        <v>26188.493412330001</v>
      </c>
      <c r="AB202">
        <f t="shared" si="42"/>
        <v>6.171974761032664E-4</v>
      </c>
      <c r="AC202">
        <f t="shared" si="49"/>
        <v>2.4101561441832553E-3</v>
      </c>
    </row>
    <row r="203" spans="1:29" x14ac:dyDescent="0.3">
      <c r="A203" t="s">
        <v>203</v>
      </c>
      <c r="B203" s="4" cm="1">
        <f t="array" ref="B203">_xll.SNL.Clients.Office.Excel.Functions.SPG(A203, "SP_TOTAL_REV", "CY2023")</f>
        <v>5906956</v>
      </c>
      <c r="C203" s="4">
        <f>_xll.SNL.Clients.Office.Excel.Functions.SPG(A203,"IQ_AVG_DILUT_SHARES_OUT","CY2023")</f>
        <v>79680000</v>
      </c>
      <c r="D203" s="5">
        <f>_xll.SNL.Clients.Office.Excel.Functions.SPG(A203, "IQ_DILUT_EPS_NORM", "CY2023")</f>
        <v>8.1470000000000002</v>
      </c>
      <c r="E203">
        <f t="shared" si="38"/>
        <v>649152.96</v>
      </c>
      <c r="F203">
        <f t="shared" si="39"/>
        <v>0.10989635947855375</v>
      </c>
      <c r="G203" s="5">
        <f>_xll.SNL.Clients.Office.Excel.Functions.SPG(A203, "SP_MARKETCAP", "12/30/2023")</f>
        <v>35163.398359320003</v>
      </c>
      <c r="H203">
        <f t="shared" si="43"/>
        <v>8.3688891722955624E-4</v>
      </c>
      <c r="I203">
        <f t="shared" si="44"/>
        <v>6.8181340086691947E-3</v>
      </c>
      <c r="K203" t="s">
        <v>203</v>
      </c>
      <c r="L203" s="4" cm="1">
        <f t="array" ref="L203">_xll.SNL.Clients.Office.Excel.Functions.SPG(K203, "SP_TOTAL_REV", "CY2023")</f>
        <v>5906956</v>
      </c>
      <c r="M203" s="4">
        <f>_xll.SNL.Clients.Office.Excel.Functions.SPG(K203,"IQ_AVG_DILUT_SHARES_OUT","CY2023")</f>
        <v>79680000</v>
      </c>
      <c r="N203" s="5">
        <f>_xll.SNL.Clients.Office.Excel.Functions.SPG(K203, "IQ_DILUT_EPS_NORM", "CY2023")</f>
        <v>8.1470000000000002</v>
      </c>
      <c r="O203">
        <f t="shared" si="40"/>
        <v>649152.96</v>
      </c>
      <c r="P203">
        <f t="shared" si="41"/>
        <v>0.10989635947855375</v>
      </c>
      <c r="Q203" s="5">
        <f>_xll.SNL.Clients.Office.Excel.Functions.SPG(K203, "SP_MARKETCAP", "12/31/2022")</f>
        <v>26563.255093200001</v>
      </c>
      <c r="R203">
        <f t="shared" si="45"/>
        <v>7.8834960430138707E-4</v>
      </c>
      <c r="S203">
        <f t="shared" si="46"/>
        <v>6.4226842262434004E-3</v>
      </c>
      <c r="U203" t="s">
        <v>203</v>
      </c>
      <c r="V203" s="4" cm="1">
        <f t="array" ref="V203">_xll.SNL.Clients.Office.Excel.Functions.SPG(U203, "SP_TOTAL_REV", "CY2021")</f>
        <v>4733962</v>
      </c>
      <c r="W203" s="4">
        <f>_xll.SNL.Clients.Office.Excel.Functions.SPG(U203,"IQ_AVG_DILUT_SHARES_OUT","CY2021")</f>
        <v>86177000</v>
      </c>
      <c r="X203" s="5">
        <f>_xll.SNL.Clients.Office.Excel.Functions.SPG(U203, "IQ_DILUT_EPS_NORM", "CY2021")</f>
        <v>6.3330000000000002</v>
      </c>
      <c r="Y203">
        <f t="shared" si="47"/>
        <v>545758.94099999999</v>
      </c>
      <c r="Z203">
        <f t="shared" si="48"/>
        <v>0.1152858728059076</v>
      </c>
      <c r="AA203" s="5">
        <f>_xll.SNL.Clients.Office.Excel.Functions.SPG(U203, "SP_MARKETCAP", "12/31/2021")</f>
        <v>27494.1458232</v>
      </c>
      <c r="AB203">
        <f t="shared" si="42"/>
        <v>6.4796844715415177E-4</v>
      </c>
      <c r="AC203">
        <f t="shared" si="49"/>
        <v>4.1035841758272429E-3</v>
      </c>
    </row>
    <row r="204" spans="1:29" x14ac:dyDescent="0.3">
      <c r="A204" t="s">
        <v>204</v>
      </c>
      <c r="B204" s="4" cm="1">
        <f t="array" ref="B204">_xll.SNL.Clients.Office.Excel.Functions.SPG(A204, "SP_TOTAL_REV", "CY2023")</f>
        <v>19552000</v>
      </c>
      <c r="C204" s="4">
        <f>_xll.SNL.Clients.Office.Excel.Functions.SPG(A204,"IQ_AVG_DILUT_SHARES_OUT","CY2023")</f>
        <v>458000000</v>
      </c>
      <c r="D204" s="5">
        <f>_xll.SNL.Clients.Office.Excel.Functions.SPG(A204, "IQ_DILUT_EPS_NORM", "CY2023")</f>
        <v>2.722</v>
      </c>
      <c r="E204">
        <f t="shared" si="38"/>
        <v>1246676</v>
      </c>
      <c r="F204">
        <f t="shared" si="39"/>
        <v>6.3762070376432084E-2</v>
      </c>
      <c r="G204" s="5">
        <f>_xll.SNL.Clients.Office.Excel.Functions.SPG(A204, "SP_MARKETCAP", "12/30/2023")</f>
        <v>35199.386749680001</v>
      </c>
      <c r="H204">
        <f t="shared" si="43"/>
        <v>8.3774544095725312E-4</v>
      </c>
      <c r="I204">
        <f t="shared" si="44"/>
        <v>2.2803430902856429E-3</v>
      </c>
      <c r="K204" t="s">
        <v>204</v>
      </c>
      <c r="L204" s="4" cm="1">
        <f t="array" ref="L204">_xll.SNL.Clients.Office.Excel.Functions.SPG(K204, "SP_TOTAL_REV", "CY2023")</f>
        <v>19552000</v>
      </c>
      <c r="M204" s="4">
        <f>_xll.SNL.Clients.Office.Excel.Functions.SPG(K204,"IQ_AVG_DILUT_SHARES_OUT","CY2023")</f>
        <v>458000000</v>
      </c>
      <c r="N204" s="5">
        <f>_xll.SNL.Clients.Office.Excel.Functions.SPG(K204, "IQ_DILUT_EPS_NORM", "CY2023")</f>
        <v>2.722</v>
      </c>
      <c r="O204">
        <f t="shared" si="40"/>
        <v>1246676</v>
      </c>
      <c r="P204">
        <f t="shared" si="41"/>
        <v>6.3762070376432084E-2</v>
      </c>
      <c r="Q204" s="5">
        <f>_xll.SNL.Clients.Office.Excel.Functions.SPG(K204, "SP_MARKETCAP", "12/31/2022")</f>
        <v>26545.97003352</v>
      </c>
      <c r="R204">
        <f t="shared" si="45"/>
        <v>7.878366148386407E-4</v>
      </c>
      <c r="S204">
        <f t="shared" si="46"/>
        <v>2.1444912655907799E-3</v>
      </c>
      <c r="U204" t="s">
        <v>204</v>
      </c>
      <c r="V204" s="4" cm="1">
        <f t="array" ref="V204">_xll.SNL.Clients.Office.Excel.Functions.SPG(U204, "SP_TOTAL_REV", "CY2021")</f>
        <v>17585000</v>
      </c>
      <c r="W204" s="4">
        <f>_xll.SNL.Clients.Office.Excel.Functions.SPG(U204,"IQ_AVG_DILUT_SHARES_OUT","CY2021")</f>
        <v>454000000</v>
      </c>
      <c r="X204" s="5">
        <f>_xll.SNL.Clients.Office.Excel.Functions.SPG(U204, "IQ_DILUT_EPS_NORM", "CY2021")</f>
        <v>3.8570000000000002</v>
      </c>
      <c r="Y204">
        <f t="shared" si="47"/>
        <v>1751078</v>
      </c>
      <c r="Z204">
        <f t="shared" si="48"/>
        <v>9.9577935740688087E-2</v>
      </c>
      <c r="AA204" s="5" t="str">
        <f>_xll.SNL.Clients.Office.Excel.Functions.SPG(U204, "SP_MARKETCAP", "12/31/2021")</f>
        <v>NA</v>
      </c>
      <c r="AB204" t="e">
        <f t="shared" si="42"/>
        <v>#VALUE!</v>
      </c>
      <c r="AC204" t="e">
        <f t="shared" si="49"/>
        <v>#VALUE!</v>
      </c>
    </row>
    <row r="205" spans="1:29" x14ac:dyDescent="0.3">
      <c r="A205" t="s">
        <v>205</v>
      </c>
      <c r="B205" s="4" cm="1">
        <f t="array" ref="B205">_xll.SNL.Clients.Office.Excel.Functions.SPG(A205, "SP_TOTAL_REV", "CY2023")</f>
        <v>33239000</v>
      </c>
      <c r="C205" s="4" t="str">
        <f>_xll.SNL.Clients.Office.Excel.Functions.SPG(A205,"IQ_AVG_DILUT_SHARES_OUT","CY2023")</f>
        <v>NA</v>
      </c>
      <c r="D205" s="5" t="str">
        <f>_xll.SNL.Clients.Office.Excel.Functions.SPG(A205, "IQ_DILUT_EPS_NORM", "CY2023")</f>
        <v>NA</v>
      </c>
      <c r="E205" t="e">
        <f t="shared" si="38"/>
        <v>#VALUE!</v>
      </c>
      <c r="F205" t="e">
        <f t="shared" si="39"/>
        <v>#VALUE!</v>
      </c>
      <c r="G205" s="5" t="str">
        <f>_xll.SNL.Clients.Office.Excel.Functions.SPG(A205, "SP_MARKETCAP", "12/30/2023")</f>
        <v>NA</v>
      </c>
      <c r="H205" t="e">
        <f t="shared" si="43"/>
        <v>#VALUE!</v>
      </c>
      <c r="I205" t="e">
        <f t="shared" si="44"/>
        <v>#VALUE!</v>
      </c>
      <c r="K205" t="s">
        <v>205</v>
      </c>
      <c r="L205" s="4" cm="1">
        <f t="array" ref="L205">_xll.SNL.Clients.Office.Excel.Functions.SPG(K205, "SP_TOTAL_REV", "CY2023")</f>
        <v>33239000</v>
      </c>
      <c r="M205" s="4" t="str">
        <f>_xll.SNL.Clients.Office.Excel.Functions.SPG(K205,"IQ_AVG_DILUT_SHARES_OUT","CY2023")</f>
        <v>NA</v>
      </c>
      <c r="N205" s="5" t="str">
        <f>_xll.SNL.Clients.Office.Excel.Functions.SPG(K205, "IQ_DILUT_EPS_NORM", "CY2023")</f>
        <v>NA</v>
      </c>
      <c r="O205" t="e">
        <f t="shared" si="40"/>
        <v>#VALUE!</v>
      </c>
      <c r="P205" t="e">
        <f t="shared" si="41"/>
        <v>#VALUE!</v>
      </c>
      <c r="Q205" s="5" t="str">
        <f>_xll.SNL.Clients.Office.Excel.Functions.SPG(K205, "SP_MARKETCAP", "12/31/2022")</f>
        <v>NA</v>
      </c>
      <c r="R205" t="e">
        <f t="shared" si="45"/>
        <v>#VALUE!</v>
      </c>
      <c r="S205" t="e">
        <f t="shared" si="46"/>
        <v>#VALUE!</v>
      </c>
      <c r="U205" t="s">
        <v>205</v>
      </c>
      <c r="V205" s="4" cm="1">
        <f t="array" ref="V205">_xll.SNL.Clients.Office.Excel.Functions.SPG(U205, "SP_TOTAL_REV", "CY2021")</f>
        <v>33006000</v>
      </c>
      <c r="W205" s="4" t="str">
        <f>_xll.SNL.Clients.Office.Excel.Functions.SPG(U205,"IQ_AVG_DILUT_SHARES_OUT","CY2021")</f>
        <v>NA</v>
      </c>
      <c r="X205" s="5" t="str">
        <f>_xll.SNL.Clients.Office.Excel.Functions.SPG(U205, "IQ_DILUT_EPS_NORM", "CY2021")</f>
        <v>NA</v>
      </c>
      <c r="Y205" t="e">
        <f t="shared" si="47"/>
        <v>#VALUE!</v>
      </c>
      <c r="Z205" t="e">
        <f t="shared" si="48"/>
        <v>#VALUE!</v>
      </c>
      <c r="AA205" s="5" t="str">
        <f>_xll.SNL.Clients.Office.Excel.Functions.SPG(U205, "SP_MARKETCAP", "12/31/2021")</f>
        <v>NA</v>
      </c>
      <c r="AB205" t="e">
        <f t="shared" si="42"/>
        <v>#VALUE!</v>
      </c>
      <c r="AC205" t="e">
        <f t="shared" si="49"/>
        <v>#VALUE!</v>
      </c>
    </row>
    <row r="206" spans="1:29" x14ac:dyDescent="0.3">
      <c r="A206" t="s">
        <v>206</v>
      </c>
      <c r="B206" s="4" cm="1">
        <f t="array" ref="B206">_xll.SNL.Clients.Office.Excel.Functions.SPG(A206, "SP_TOTAL_REV", "CY2023")</f>
        <v>3786000</v>
      </c>
      <c r="C206" s="4">
        <f>_xll.SNL.Clients.Office.Excel.Functions.SPG(A206,"IQ_AVG_DILUT_SHARES_OUT","CY2023")</f>
        <v>644499517</v>
      </c>
      <c r="D206" s="5">
        <f>_xll.SNL.Clients.Office.Excel.Functions.SPG(A206, "IQ_DILUT_EPS_NORM", "CY2023")</f>
        <v>0.71099999999999997</v>
      </c>
      <c r="E206">
        <f t="shared" si="38"/>
        <v>458239.15658699995</v>
      </c>
      <c r="F206">
        <f t="shared" si="39"/>
        <v>0.12103517078367669</v>
      </c>
      <c r="G206" s="5">
        <f>_xll.SNL.Clients.Office.Excel.Functions.SPG(A206, "SP_MARKETCAP", "12/30/2023")</f>
        <v>14621.1224614</v>
      </c>
      <c r="H206">
        <f t="shared" si="43"/>
        <v>3.4798272966579159E-4</v>
      </c>
      <c r="I206">
        <f t="shared" si="44"/>
        <v>2.4741572079237779E-4</v>
      </c>
      <c r="K206" t="s">
        <v>206</v>
      </c>
      <c r="L206" s="4" cm="1">
        <f t="array" ref="L206">_xll.SNL.Clients.Office.Excel.Functions.SPG(K206, "SP_TOTAL_REV", "CY2023")</f>
        <v>3786000</v>
      </c>
      <c r="M206" s="4">
        <f>_xll.SNL.Clients.Office.Excel.Functions.SPG(K206,"IQ_AVG_DILUT_SHARES_OUT","CY2023")</f>
        <v>644499517</v>
      </c>
      <c r="N206" s="5">
        <f>_xll.SNL.Clients.Office.Excel.Functions.SPG(K206, "IQ_DILUT_EPS_NORM", "CY2023")</f>
        <v>0.71099999999999997</v>
      </c>
      <c r="O206">
        <f t="shared" si="40"/>
        <v>458239.15658699995</v>
      </c>
      <c r="P206">
        <f t="shared" si="41"/>
        <v>0.12103517078367669</v>
      </c>
      <c r="Q206" s="5">
        <f>_xll.SNL.Clients.Office.Excel.Functions.SPG(K206, "SP_MARKETCAP", "12/31/2022")</f>
        <v>14263.165271440001</v>
      </c>
      <c r="R206">
        <f t="shared" si="45"/>
        <v>4.2330507531448903E-4</v>
      </c>
      <c r="S206">
        <f t="shared" si="46"/>
        <v>3.0096990854860169E-4</v>
      </c>
      <c r="U206" t="s">
        <v>206</v>
      </c>
      <c r="V206" s="4" cm="1">
        <f t="array" ref="V206">_xll.SNL.Clients.Office.Excel.Functions.SPG(U206, "SP_TOTAL_REV", "CY2021")</f>
        <v>2752000</v>
      </c>
      <c r="W206" s="4">
        <f>_xll.SNL.Clients.Office.Excel.Functions.SPG(U206,"IQ_AVG_DILUT_SHARES_OUT","CY2021")</f>
        <v>590250000</v>
      </c>
      <c r="X206" s="5">
        <f>_xll.SNL.Clients.Office.Excel.Functions.SPG(U206, "IQ_DILUT_EPS_NORM", "CY2021")</f>
        <v>1.1359999999999999</v>
      </c>
      <c r="Y206">
        <f t="shared" si="47"/>
        <v>670523.99999999988</v>
      </c>
      <c r="Z206">
        <f t="shared" si="48"/>
        <v>0.24364970930232555</v>
      </c>
      <c r="AA206" s="5">
        <f>_xll.SNL.Clients.Office.Excel.Functions.SPG(U206, "SP_MARKETCAP", "12/31/2021")</f>
        <v>15116.73555618</v>
      </c>
      <c r="AB206">
        <f t="shared" si="42"/>
        <v>3.5626375619614948E-4</v>
      </c>
      <c r="AC206">
        <f t="shared" si="49"/>
        <v>4.047156270388258E-4</v>
      </c>
    </row>
    <row r="207" spans="1:29" x14ac:dyDescent="0.3">
      <c r="A207" t="s">
        <v>207</v>
      </c>
      <c r="B207" s="4" cm="1">
        <f t="array" ref="B207">_xll.SNL.Clients.Office.Excel.Functions.SPG(A207, "SP_TOTAL_REV", "CY2023")</f>
        <v>4022667</v>
      </c>
      <c r="C207" s="4">
        <f>_xll.SNL.Clients.Office.Excel.Functions.SPG(A207,"IQ_AVG_DILUT_SHARES_OUT","CY2023")</f>
        <v>62058387</v>
      </c>
      <c r="D207" s="5">
        <f>_xll.SNL.Clients.Office.Excel.Functions.SPG(A207, "IQ_DILUT_EPS_NORM", "CY2023")</f>
        <v>2.8879999999999999</v>
      </c>
      <c r="E207">
        <f t="shared" si="38"/>
        <v>179224.62165599997</v>
      </c>
      <c r="F207">
        <f t="shared" si="39"/>
        <v>4.4553680843082456E-2</v>
      </c>
      <c r="G207" s="5">
        <f>_xll.SNL.Clients.Office.Excel.Functions.SPG(A207, "SP_MARKETCAP", "12/30/2023")</f>
        <v>7939.4170114799999</v>
      </c>
      <c r="H207">
        <f t="shared" si="43"/>
        <v>1.8895813306424425E-4</v>
      </c>
      <c r="I207">
        <f t="shared" si="44"/>
        <v>5.457110882895374E-4</v>
      </c>
      <c r="K207" t="s">
        <v>207</v>
      </c>
      <c r="L207" s="4" cm="1">
        <f t="array" ref="L207">_xll.SNL.Clients.Office.Excel.Functions.SPG(K207, "SP_TOTAL_REV", "CY2023")</f>
        <v>4022667</v>
      </c>
      <c r="M207" s="4">
        <f>_xll.SNL.Clients.Office.Excel.Functions.SPG(K207,"IQ_AVG_DILUT_SHARES_OUT","CY2023")</f>
        <v>62058387</v>
      </c>
      <c r="N207" s="5">
        <f>_xll.SNL.Clients.Office.Excel.Functions.SPG(K207, "IQ_DILUT_EPS_NORM", "CY2023")</f>
        <v>2.8879999999999999</v>
      </c>
      <c r="O207">
        <f t="shared" si="40"/>
        <v>179224.62165599997</v>
      </c>
      <c r="P207">
        <f t="shared" si="41"/>
        <v>4.4553680843082456E-2</v>
      </c>
      <c r="Q207" s="5">
        <f>_xll.SNL.Clients.Office.Excel.Functions.SPG(K207, "SP_MARKETCAP", "12/31/2022")</f>
        <v>6377.4554253200004</v>
      </c>
      <c r="R207">
        <f t="shared" si="45"/>
        <v>1.8927139928298176E-4</v>
      </c>
      <c r="S207">
        <f t="shared" si="46"/>
        <v>5.4661580112925134E-4</v>
      </c>
      <c r="U207" t="s">
        <v>207</v>
      </c>
      <c r="V207" s="4" cm="1">
        <f t="array" ref="V207">_xll.SNL.Clients.Office.Excel.Functions.SPG(U207, "SP_TOTAL_REV", "CY2021")</f>
        <v>3737184</v>
      </c>
      <c r="W207" s="4">
        <f>_xll.SNL.Clients.Office.Excel.Functions.SPG(U207,"IQ_AVG_DILUT_SHARES_OUT","CY2021")</f>
        <v>64253408</v>
      </c>
      <c r="X207" s="5">
        <f>_xll.SNL.Clients.Office.Excel.Functions.SPG(U207, "IQ_DILUT_EPS_NORM", "CY2021")</f>
        <v>6.8490000000000002</v>
      </c>
      <c r="Y207">
        <f t="shared" si="47"/>
        <v>440071.59139200003</v>
      </c>
      <c r="Z207">
        <f t="shared" si="48"/>
        <v>0.11775486339232963</v>
      </c>
      <c r="AA207" s="5">
        <f>_xll.SNL.Clients.Office.Excel.Functions.SPG(U207, "SP_MARKETCAP", "12/31/2021")</f>
        <v>22202.623298160001</v>
      </c>
      <c r="AB207">
        <f t="shared" si="42"/>
        <v>5.232604581997119E-4</v>
      </c>
      <c r="AC207">
        <f t="shared" si="49"/>
        <v>3.5838108782098267E-3</v>
      </c>
    </row>
    <row r="208" spans="1:29" x14ac:dyDescent="0.3">
      <c r="A208" t="s">
        <v>208</v>
      </c>
      <c r="B208" s="4" cm="1">
        <f t="array" ref="B208">_xll.SNL.Clients.Office.Excel.Functions.SPG(A208, "SP_TOTAL_REV", "CY2023")</f>
        <v>42272000</v>
      </c>
      <c r="C208" s="4">
        <f>_xll.SNL.Clients.Office.Excel.Functions.SPG(A208,"IQ_AVG_DILUT_SHARES_OUT","CY2023")</f>
        <v>275725000</v>
      </c>
      <c r="D208" s="5">
        <f>_xll.SNL.Clients.Office.Excel.Functions.SPG(A208, "IQ_DILUT_EPS_NORM", "CY2023")</f>
        <v>9.0310000000000006</v>
      </c>
      <c r="E208">
        <f t="shared" si="38"/>
        <v>2490072.4750000001</v>
      </c>
      <c r="F208">
        <f t="shared" si="39"/>
        <v>5.8905953704579864E-2</v>
      </c>
      <c r="G208" s="5">
        <f>_xll.SNL.Clients.Office.Excel.Functions.SPG(A208, "SP_MARKETCAP", "12/30/2023")</f>
        <v>70736.177569899999</v>
      </c>
      <c r="H208">
        <f t="shared" si="43"/>
        <v>1.6835210991414547E-3</v>
      </c>
      <c r="I208">
        <f t="shared" si="44"/>
        <v>1.5203879046346479E-2</v>
      </c>
      <c r="K208" t="s">
        <v>208</v>
      </c>
      <c r="L208" s="4" cm="1">
        <f t="array" ref="L208">_xll.SNL.Clients.Office.Excel.Functions.SPG(K208, "SP_TOTAL_REV", "CY2023")</f>
        <v>42272000</v>
      </c>
      <c r="M208" s="4">
        <f>_xll.SNL.Clients.Office.Excel.Functions.SPG(K208,"IQ_AVG_DILUT_SHARES_OUT","CY2023")</f>
        <v>275725000</v>
      </c>
      <c r="N208" s="5">
        <f>_xll.SNL.Clients.Office.Excel.Functions.SPG(K208, "IQ_DILUT_EPS_NORM", "CY2023")</f>
        <v>9.0310000000000006</v>
      </c>
      <c r="O208">
        <f t="shared" si="40"/>
        <v>2490072.4750000001</v>
      </c>
      <c r="P208">
        <f t="shared" si="41"/>
        <v>5.8905953704579864E-2</v>
      </c>
      <c r="Q208" s="5">
        <f>_xll.SNL.Clients.Office.Excel.Functions.SPG(K208, "SP_MARKETCAP", "12/31/2022")</f>
        <v>67986.31296209</v>
      </c>
      <c r="R208">
        <f t="shared" si="45"/>
        <v>2.0177114112529962E-3</v>
      </c>
      <c r="S208">
        <f t="shared" si="46"/>
        <v>1.8221951755025809E-2</v>
      </c>
      <c r="U208" t="s">
        <v>208</v>
      </c>
      <c r="V208" s="4" cm="1">
        <f t="array" ref="V208">_xll.SNL.Clients.Office.Excel.Functions.SPG(U208, "SP_TOTAL_REV", "CY2021")</f>
        <v>38469000</v>
      </c>
      <c r="W208" s="4">
        <f>_xll.SNL.Clients.Office.Excel.Functions.SPG(U208,"IQ_AVG_DILUT_SHARES_OUT","CY2021")</f>
        <v>282017000</v>
      </c>
      <c r="X208" s="5">
        <f>_xll.SNL.Clients.Office.Excel.Functions.SPG(U208, "IQ_DILUT_EPS_NORM", "CY2021")</f>
        <v>8.5830000000000002</v>
      </c>
      <c r="Y208">
        <f t="shared" si="47"/>
        <v>2420551.9109999998</v>
      </c>
      <c r="Z208">
        <f t="shared" si="48"/>
        <v>6.2922142790298674E-2</v>
      </c>
      <c r="AA208" s="5">
        <f>_xll.SNL.Clients.Office.Excel.Functions.SPG(U208, "SP_MARKETCAP", "12/31/2021")</f>
        <v>58107.759325649997</v>
      </c>
      <c r="AB208">
        <f t="shared" si="42"/>
        <v>1.3694549676126781E-3</v>
      </c>
      <c r="AC208">
        <f t="shared" si="49"/>
        <v>1.1754031987019617E-2</v>
      </c>
    </row>
    <row r="209" spans="1:29" x14ac:dyDescent="0.3">
      <c r="A209" t="s">
        <v>209</v>
      </c>
      <c r="B209" s="4" cm="1">
        <f t="array" ref="B209">_xll.SNL.Clients.Office.Excel.Functions.SPG(A209, "SP_TOTAL_REV", "CY2023")</f>
        <v>67954000</v>
      </c>
      <c r="C209" s="4">
        <f>_xll.SNL.Clients.Office.Excel.Functions.SPG(A209,"IQ_AVG_DILUT_SHARES_OUT","CY2023")</f>
        <v>1099000000</v>
      </c>
      <c r="D209" s="5">
        <f>_xll.SNL.Clients.Office.Excel.Functions.SPG(A209, "IQ_DILUT_EPS_NORM", "CY2023")</f>
        <v>3.4420000000000002</v>
      </c>
      <c r="E209">
        <f t="shared" si="38"/>
        <v>3782758</v>
      </c>
      <c r="F209">
        <f t="shared" si="39"/>
        <v>5.5666450834387968E-2</v>
      </c>
      <c r="G209" s="5">
        <f>_xll.SNL.Clients.Office.Excel.Functions.SPG(A209, "SP_MARKETCAP", "12/30/2023")</f>
        <v>138910.71066809</v>
      </c>
      <c r="H209">
        <f t="shared" si="43"/>
        <v>3.3060750572133876E-3</v>
      </c>
      <c r="I209">
        <f t="shared" si="44"/>
        <v>1.1379510346928481E-2</v>
      </c>
      <c r="K209" t="s">
        <v>209</v>
      </c>
      <c r="L209" s="4" cm="1">
        <f t="array" ref="L209">_xll.SNL.Clients.Office.Excel.Functions.SPG(K209, "SP_TOTAL_REV", "CY2023")</f>
        <v>67954000</v>
      </c>
      <c r="M209" s="4">
        <f>_xll.SNL.Clients.Office.Excel.Functions.SPG(K209,"IQ_AVG_DILUT_SHARES_OUT","CY2023")</f>
        <v>1099000000</v>
      </c>
      <c r="N209" s="5">
        <f>_xll.SNL.Clients.Office.Excel.Functions.SPG(K209, "IQ_DILUT_EPS_NORM", "CY2023")</f>
        <v>3.4420000000000002</v>
      </c>
      <c r="O209">
        <f t="shared" si="40"/>
        <v>3782758</v>
      </c>
      <c r="P209">
        <f t="shared" si="41"/>
        <v>5.5666450834387968E-2</v>
      </c>
      <c r="Q209" s="5">
        <f>_xll.SNL.Clients.Office.Excel.Functions.SPG(K209, "SP_MARKETCAP", "12/31/2022")</f>
        <v>91554.663450599997</v>
      </c>
      <c r="R209">
        <f t="shared" si="45"/>
        <v>2.7171776369268831E-3</v>
      </c>
      <c r="S209">
        <f t="shared" si="46"/>
        <v>9.3525254263023324E-3</v>
      </c>
      <c r="U209" t="s">
        <v>209</v>
      </c>
      <c r="V209" s="4" cm="1">
        <f t="array" ref="V209">_xll.SNL.Clients.Office.Excel.Functions.SPG(U209, "SP_TOTAL_REV", "CY2021")</f>
        <v>56469000</v>
      </c>
      <c r="W209" s="4">
        <f>_xll.SNL.Clients.Office.Excel.Functions.SPG(U209,"IQ_AVG_DILUT_SHARES_OUT","CY2021")</f>
        <v>1098000000</v>
      </c>
      <c r="X209" s="5">
        <f>_xll.SNL.Clients.Office.Excel.Functions.SPG(U209, "IQ_DILUT_EPS_NORM", "CY2021")</f>
        <v>4.0000000000000001E-3</v>
      </c>
      <c r="Y209">
        <f t="shared" si="47"/>
        <v>4392</v>
      </c>
      <c r="Z209">
        <f t="shared" si="48"/>
        <v>7.7777187483397972E-5</v>
      </c>
      <c r="AA209" s="5">
        <f>_xll.SNL.Clients.Office.Excel.Functions.SPG(U209, "SP_MARKETCAP", "12/31/2021")</f>
        <v>103696.21454088</v>
      </c>
      <c r="AB209">
        <f t="shared" si="42"/>
        <v>2.4438611602590758E-3</v>
      </c>
      <c r="AC209">
        <f t="shared" si="49"/>
        <v>9.7754446410363031E-6</v>
      </c>
    </row>
    <row r="210" spans="1:29" x14ac:dyDescent="0.3">
      <c r="A210" t="s">
        <v>210</v>
      </c>
      <c r="B210" s="4" cm="1">
        <f t="array" ref="B210">_xll.SNL.Clients.Office.Excel.Functions.SPG(A210, "SP_TOTAL_REV", "CY2023")</f>
        <v>20200000</v>
      </c>
      <c r="C210" s="4">
        <f>_xll.SNL.Clients.Office.Excel.Functions.SPG(A210,"IQ_AVG_DILUT_SHARES_OUT","CY2023")</f>
        <v>592900000</v>
      </c>
      <c r="D210" s="5">
        <f>_xll.SNL.Clients.Office.Excel.Functions.SPG(A210, "IQ_DILUT_EPS_NORM", "CY2023")</f>
        <v>3.3319999999999999</v>
      </c>
      <c r="E210">
        <f t="shared" si="38"/>
        <v>1975542.8</v>
      </c>
      <c r="F210">
        <f t="shared" si="39"/>
        <v>9.7799148514851483E-2</v>
      </c>
      <c r="G210" s="5">
        <f>_xll.SNL.Clients.Office.Excel.Functions.SPG(A210, "SP_MARKETCAP", "12/30/2023")</f>
        <v>36992.361113999999</v>
      </c>
      <c r="H210">
        <f t="shared" si="43"/>
        <v>8.8041823267786352E-4</v>
      </c>
      <c r="I210">
        <f t="shared" si="44"/>
        <v>2.9335535512826413E-3</v>
      </c>
      <c r="K210" t="s">
        <v>210</v>
      </c>
      <c r="L210" s="4" cm="1">
        <f t="array" ref="L210">_xll.SNL.Clients.Office.Excel.Functions.SPG(K210, "SP_TOTAL_REV", "CY2023")</f>
        <v>20200000</v>
      </c>
      <c r="M210" s="4">
        <f>_xll.SNL.Clients.Office.Excel.Functions.SPG(K210,"IQ_AVG_DILUT_SHARES_OUT","CY2023")</f>
        <v>592900000</v>
      </c>
      <c r="N210" s="5">
        <f>_xll.SNL.Clients.Office.Excel.Functions.SPG(K210, "IQ_DILUT_EPS_NORM", "CY2023")</f>
        <v>3.3319999999999999</v>
      </c>
      <c r="O210">
        <f t="shared" si="40"/>
        <v>1975542.8</v>
      </c>
      <c r="P210">
        <f t="shared" si="41"/>
        <v>9.7799148514851483E-2</v>
      </c>
      <c r="Q210" s="5">
        <f>_xll.SNL.Clients.Office.Excel.Functions.SPG(K210, "SP_MARKETCAP", "12/31/2022")</f>
        <v>49438.858620450002</v>
      </c>
      <c r="R210">
        <f t="shared" si="45"/>
        <v>1.4672563469272002E-3</v>
      </c>
      <c r="S210">
        <f t="shared" si="46"/>
        <v>4.8888981479614305E-3</v>
      </c>
      <c r="U210" t="s">
        <v>210</v>
      </c>
      <c r="V210" s="4" cm="1">
        <f t="array" ref="V210">_xll.SNL.Clients.Office.Excel.Functions.SPG(U210, "SP_TOTAL_REV", "CY2021")</f>
        <v>18607500</v>
      </c>
      <c r="W210" s="4">
        <f>_xll.SNL.Clients.Office.Excel.Functions.SPG(U210,"IQ_AVG_DILUT_SHARES_OUT","CY2021")</f>
        <v>616150000</v>
      </c>
      <c r="X210" s="5">
        <f>_xll.SNL.Clients.Office.Excel.Functions.SPG(U210, "IQ_DILUT_EPS_NORM", "CY2021")</f>
        <v>3.0920000000000001</v>
      </c>
      <c r="Y210">
        <f t="shared" si="47"/>
        <v>1905135.8</v>
      </c>
      <c r="Z210">
        <f t="shared" si="48"/>
        <v>0.10238537148999059</v>
      </c>
      <c r="AA210" s="5">
        <f>_xll.SNL.Clients.Office.Excel.Functions.SPG(U210, "SP_MARKETCAP", "12/31/2021")</f>
        <v>40644.067446000001</v>
      </c>
      <c r="AB210">
        <f t="shared" si="42"/>
        <v>9.578793041386443E-4</v>
      </c>
      <c r="AC210">
        <f t="shared" si="49"/>
        <v>2.9617628083966883E-3</v>
      </c>
    </row>
    <row r="211" spans="1:29" x14ac:dyDescent="0.3">
      <c r="A211" t="s">
        <v>211</v>
      </c>
      <c r="B211" s="4" cm="1">
        <f t="array" ref="B211">_xll.SNL.Clients.Office.Excel.Functions.SPG(A211, "SP_TOTAL_REV", "CY2023")</f>
        <v>171842000</v>
      </c>
      <c r="C211" s="4">
        <f>_xll.SNL.Clients.Office.Excel.Functions.SPG(A211,"IQ_AVG_DILUT_SHARES_OUT","CY2023")</f>
        <v>1369000000</v>
      </c>
      <c r="D211" s="5">
        <f>_xll.SNL.Clients.Office.Excel.Functions.SPG(A211, "IQ_DILUT_EPS_NORM", "CY2023")</f>
        <v>4.9939999999999998</v>
      </c>
      <c r="E211">
        <f t="shared" si="38"/>
        <v>6836786</v>
      </c>
      <c r="F211">
        <f t="shared" si="39"/>
        <v>3.97853027781334E-2</v>
      </c>
      <c r="G211" s="5">
        <f>_xll.SNL.Clients.Office.Excel.Functions.SPG(A211, "SP_MARKETCAP", "12/30/2023")</f>
        <v>49191.764919519999</v>
      </c>
      <c r="H211">
        <f t="shared" si="43"/>
        <v>1.1707640558352472E-3</v>
      </c>
      <c r="I211">
        <f t="shared" si="44"/>
        <v>5.8467956948412237E-3</v>
      </c>
      <c r="K211" t="s">
        <v>211</v>
      </c>
      <c r="L211" s="4" cm="1">
        <f t="array" ref="L211">_xll.SNL.Clients.Office.Excel.Functions.SPG(K211, "SP_TOTAL_REV", "CY2023")</f>
        <v>171842000</v>
      </c>
      <c r="M211" s="4">
        <f>_xll.SNL.Clients.Office.Excel.Functions.SPG(K211,"IQ_AVG_DILUT_SHARES_OUT","CY2023")</f>
        <v>1369000000</v>
      </c>
      <c r="N211" s="5">
        <f>_xll.SNL.Clients.Office.Excel.Functions.SPG(K211, "IQ_DILUT_EPS_NORM", "CY2023")</f>
        <v>4.9939999999999998</v>
      </c>
      <c r="O211">
        <f t="shared" si="40"/>
        <v>6836786</v>
      </c>
      <c r="P211">
        <f t="shared" si="41"/>
        <v>3.97853027781334E-2</v>
      </c>
      <c r="Q211" s="5">
        <f>_xll.SNL.Clients.Office.Excel.Functions.SPG(K211, "SP_MARKETCAP", "12/31/2022")</f>
        <v>47792.239914680002</v>
      </c>
      <c r="R211">
        <f t="shared" si="45"/>
        <v>1.4183876672200452E-3</v>
      </c>
      <c r="S211">
        <f t="shared" si="46"/>
        <v>7.0834280100969052E-3</v>
      </c>
      <c r="U211" t="s">
        <v>211</v>
      </c>
      <c r="V211" s="4" cm="1">
        <f t="array" ref="V211">_xll.SNL.Clients.Office.Excel.Functions.SPG(U211, "SP_TOTAL_REV", "CY2021")</f>
        <v>127004000</v>
      </c>
      <c r="W211" s="4">
        <f>_xll.SNL.Clients.Office.Excel.Functions.SPG(U211,"IQ_AVG_DILUT_SHARES_OUT","CY2021")</f>
        <v>1468000000</v>
      </c>
      <c r="X211" s="5">
        <f>_xll.SNL.Clients.Office.Excel.Functions.SPG(U211, "IQ_DILUT_EPS_NORM", "CY2021")</f>
        <v>5.2210000000000001</v>
      </c>
      <c r="Y211">
        <f t="shared" si="47"/>
        <v>7664428</v>
      </c>
      <c r="Z211">
        <f t="shared" si="48"/>
        <v>6.0347926049573244E-2</v>
      </c>
      <c r="AA211" s="5">
        <f>_xll.SNL.Clients.Office.Excel.Functions.SPG(U211, "SP_MARKETCAP", "12/31/2021")</f>
        <v>85122.569037220004</v>
      </c>
      <c r="AB211">
        <f t="shared" si="42"/>
        <v>2.0061266580712386E-3</v>
      </c>
      <c r="AC211">
        <f t="shared" si="49"/>
        <v>1.0473987281789937E-2</v>
      </c>
    </row>
    <row r="212" spans="1:29" x14ac:dyDescent="0.3">
      <c r="A212" t="s">
        <v>212</v>
      </c>
      <c r="B212" s="4" cm="1">
        <f t="array" ref="B212">_xll.SNL.Clients.Office.Excel.Functions.SPG(A212, "SP_TOTAL_REV", "CY2023")</f>
        <v>23090610</v>
      </c>
      <c r="C212" s="4">
        <f>_xll.SNL.Clients.Office.Excel.Functions.SPG(A212,"IQ_AVG_DILUT_SHARES_OUT","CY2023")</f>
        <v>141034000</v>
      </c>
      <c r="D212" s="5">
        <f>_xll.SNL.Clients.Office.Excel.Functions.SPG(A212, "IQ_DILUT_EPS_NORM", "CY2023")</f>
        <v>7.7210000000000001</v>
      </c>
      <c r="E212">
        <f t="shared" si="38"/>
        <v>1088923.514</v>
      </c>
      <c r="F212">
        <f t="shared" si="39"/>
        <v>4.715871577234209E-2</v>
      </c>
      <c r="G212" s="5">
        <f>_xll.SNL.Clients.Office.Excel.Functions.SPG(A212, "SP_MARKETCAP", "12/30/2023")</f>
        <v>19417.233393499999</v>
      </c>
      <c r="H212">
        <f t="shared" si="43"/>
        <v>4.6213017479787311E-4</v>
      </c>
      <c r="I212">
        <f t="shared" si="44"/>
        <v>3.5681070796143785E-3</v>
      </c>
      <c r="K212" t="s">
        <v>212</v>
      </c>
      <c r="L212" s="4" cm="1">
        <f t="array" ref="L212">_xll.SNL.Clients.Office.Excel.Functions.SPG(K212, "SP_TOTAL_REV", "CY2023")</f>
        <v>23090610</v>
      </c>
      <c r="M212" s="4">
        <f>_xll.SNL.Clients.Office.Excel.Functions.SPG(K212,"IQ_AVG_DILUT_SHARES_OUT","CY2023")</f>
        <v>141034000</v>
      </c>
      <c r="N212" s="5">
        <f>_xll.SNL.Clients.Office.Excel.Functions.SPG(K212, "IQ_DILUT_EPS_NORM", "CY2023")</f>
        <v>7.7210000000000001</v>
      </c>
      <c r="O212">
        <f t="shared" si="40"/>
        <v>1088923.514</v>
      </c>
      <c r="P212">
        <f t="shared" si="41"/>
        <v>4.715871577234209E-2</v>
      </c>
      <c r="Q212" s="5">
        <f>_xll.SNL.Clients.Office.Excel.Functions.SPG(K212, "SP_MARKETCAP", "12/31/2022")</f>
        <v>24492.905664990001</v>
      </c>
      <c r="R212">
        <f t="shared" si="45"/>
        <v>7.2690535935594064E-4</v>
      </c>
      <c r="S212">
        <f t="shared" si="46"/>
        <v>5.6124362795872181E-3</v>
      </c>
      <c r="U212" t="s">
        <v>212</v>
      </c>
      <c r="V212" s="4" cm="1">
        <f t="array" ref="V212">_xll.SNL.Clients.Office.Excel.Functions.SPG(U212, "SP_TOTAL_REV", "CY2021")</f>
        <v>18870510</v>
      </c>
      <c r="W212" s="4">
        <f>_xll.SNL.Clients.Office.Excel.Functions.SPG(U212,"IQ_AVG_DILUT_SHARES_OUT","CY2021")</f>
        <v>144221000</v>
      </c>
      <c r="X212" s="5">
        <f>_xll.SNL.Clients.Office.Excel.Functions.SPG(U212, "IQ_DILUT_EPS_NORM", "CY2021")</f>
        <v>5.4770000000000003</v>
      </c>
      <c r="Y212">
        <f t="shared" si="47"/>
        <v>789898.41700000002</v>
      </c>
      <c r="Z212">
        <f t="shared" si="48"/>
        <v>4.1858880178649117E-2</v>
      </c>
      <c r="AA212" s="5">
        <f>_xll.SNL.Clients.Office.Excel.Functions.SPG(U212, "SP_MARKETCAP", "12/31/2021")</f>
        <v>19967.529069600001</v>
      </c>
      <c r="AB212">
        <f t="shared" si="42"/>
        <v>4.7058486151682979E-4</v>
      </c>
      <c r="AC212">
        <f t="shared" si="49"/>
        <v>2.5773932865276769E-3</v>
      </c>
    </row>
    <row r="213" spans="1:29" x14ac:dyDescent="0.3">
      <c r="A213" t="s">
        <v>213</v>
      </c>
      <c r="B213" s="4" cm="1">
        <f t="array" ref="B213">_xll.SNL.Clients.Office.Excel.Functions.SPG(A213, "SP_TOTAL_REV", "CY2023")</f>
        <v>27116000</v>
      </c>
      <c r="C213" s="4">
        <f>_xll.SNL.Clients.Office.Excel.Functions.SPG(A213,"IQ_AVG_DILUT_SHARES_OUT","CY2023")</f>
        <v>1258000000</v>
      </c>
      <c r="D213" s="5">
        <f>_xll.SNL.Clients.Office.Excel.Functions.SPG(A213, "IQ_DILUT_EPS_NORM", "CY2023")</f>
        <v>4.6239999999999997</v>
      </c>
      <c r="E213">
        <f t="shared" si="38"/>
        <v>5816992</v>
      </c>
      <c r="F213">
        <f t="shared" si="39"/>
        <v>0.21452249594335449</v>
      </c>
      <c r="G213" s="5">
        <f>_xll.SNL.Clients.Office.Excel.Functions.SPG(A213, "SP_MARKETCAP", "12/30/2023")</f>
        <v>100941.85391395001</v>
      </c>
      <c r="H213">
        <f t="shared" si="43"/>
        <v>2.4024162272927511E-3</v>
      </c>
      <c r="I213">
        <f t="shared" si="44"/>
        <v>1.1108772635001681E-2</v>
      </c>
      <c r="K213" t="s">
        <v>213</v>
      </c>
      <c r="L213" s="4" cm="1">
        <f t="array" ref="L213">_xll.SNL.Clients.Office.Excel.Functions.SPG(K213, "SP_TOTAL_REV", "CY2023")</f>
        <v>27116000</v>
      </c>
      <c r="M213" s="4">
        <f>_xll.SNL.Clients.Office.Excel.Functions.SPG(K213,"IQ_AVG_DILUT_SHARES_OUT","CY2023")</f>
        <v>1258000000</v>
      </c>
      <c r="N213" s="5">
        <f>_xll.SNL.Clients.Office.Excel.Functions.SPG(K213, "IQ_DILUT_EPS_NORM", "CY2023")</f>
        <v>4.6239999999999997</v>
      </c>
      <c r="O213">
        <f t="shared" si="40"/>
        <v>5816992</v>
      </c>
      <c r="P213">
        <f t="shared" si="41"/>
        <v>0.21452249594335449</v>
      </c>
      <c r="Q213" s="5">
        <f>_xll.SNL.Clients.Office.Excel.Functions.SPG(K213, "SP_MARKETCAP", "12/31/2022")</f>
        <v>107676.83409325</v>
      </c>
      <c r="R213">
        <f t="shared" si="45"/>
        <v>3.1956546459387118E-3</v>
      </c>
      <c r="S213">
        <f t="shared" si="46"/>
        <v>1.4776707082820603E-2</v>
      </c>
      <c r="U213" t="s">
        <v>213</v>
      </c>
      <c r="V213" s="4" cm="1">
        <f t="array" ref="V213">_xll.SNL.Clients.Office.Excel.Functions.SPG(U213, "SP_TOTAL_REV", "CY2021")</f>
        <v>27305000</v>
      </c>
      <c r="W213" s="4">
        <f>_xll.SNL.Clients.Office.Excel.Functions.SPG(U213,"IQ_AVG_DILUT_SHARES_OUT","CY2021")</f>
        <v>1262000000</v>
      </c>
      <c r="X213" s="5">
        <f>_xll.SNL.Clients.Office.Excel.Functions.SPG(U213, "IQ_DILUT_EPS_NORM", "CY2021")</f>
        <v>5.4180000000000001</v>
      </c>
      <c r="Y213">
        <f t="shared" si="47"/>
        <v>6837516</v>
      </c>
      <c r="Z213">
        <f t="shared" si="48"/>
        <v>0.25041259842519686</v>
      </c>
      <c r="AA213" s="5">
        <f>_xll.SNL.Clients.Office.Excel.Functions.SPG(U213, "SP_MARKETCAP", "12/31/2021")</f>
        <v>91080.787532419999</v>
      </c>
      <c r="AB213">
        <f t="shared" si="42"/>
        <v>2.146547008314749E-3</v>
      </c>
      <c r="AC213">
        <f t="shared" si="49"/>
        <v>1.1629991691049311E-2</v>
      </c>
    </row>
    <row r="214" spans="1:29" x14ac:dyDescent="0.3">
      <c r="A214" t="s">
        <v>214</v>
      </c>
      <c r="B214" s="4" cm="1">
        <f t="array" ref="B214">_xll.SNL.Clients.Office.Excel.Functions.SPG(A214, "SP_TOTAL_REV", "CY2023")</f>
        <v>9654419</v>
      </c>
      <c r="C214" s="4">
        <f>_xll.SNL.Clients.Office.Excel.Functions.SPG(A214,"IQ_AVG_DILUT_SHARES_OUT","CY2023")</f>
        <v>261698000</v>
      </c>
      <c r="D214" s="5">
        <f>_xll.SNL.Clients.Office.Excel.Functions.SPG(A214, "IQ_DILUT_EPS_NORM", "CY2023")</f>
        <v>3.98</v>
      </c>
      <c r="E214">
        <f t="shared" si="38"/>
        <v>1041558.04</v>
      </c>
      <c r="F214">
        <f t="shared" si="39"/>
        <v>0.1078840725682198</v>
      </c>
      <c r="G214" s="5">
        <f>_xll.SNL.Clients.Office.Excel.Functions.SPG(A214, "SP_MARKETCAP", "12/30/2023")</f>
        <v>33069.345342000001</v>
      </c>
      <c r="H214">
        <f t="shared" si="43"/>
        <v>7.8705045325692588E-4</v>
      </c>
      <c r="I214">
        <f t="shared" si="44"/>
        <v>3.132460803962565E-3</v>
      </c>
      <c r="K214" t="s">
        <v>214</v>
      </c>
      <c r="L214" s="4" cm="1">
        <f t="array" ref="L214">_xll.SNL.Clients.Office.Excel.Functions.SPG(K214, "SP_TOTAL_REV", "CY2023")</f>
        <v>9654419</v>
      </c>
      <c r="M214" s="4">
        <f>_xll.SNL.Clients.Office.Excel.Functions.SPG(K214,"IQ_AVG_DILUT_SHARES_OUT","CY2023")</f>
        <v>261698000</v>
      </c>
      <c r="N214" s="5">
        <f>_xll.SNL.Clients.Office.Excel.Functions.SPG(K214, "IQ_DILUT_EPS_NORM", "CY2023")</f>
        <v>3.98</v>
      </c>
      <c r="O214">
        <f t="shared" si="40"/>
        <v>1041558.04</v>
      </c>
      <c r="P214">
        <f t="shared" si="41"/>
        <v>0.1078840725682198</v>
      </c>
      <c r="Q214" s="5">
        <f>_xll.SNL.Clients.Office.Excel.Functions.SPG(K214, "SP_MARKETCAP", "12/31/2022")</f>
        <v>26856.241820719999</v>
      </c>
      <c r="R214">
        <f t="shared" si="45"/>
        <v>7.9704492307521751E-4</v>
      </c>
      <c r="S214">
        <f t="shared" si="46"/>
        <v>3.1722387938393657E-3</v>
      </c>
      <c r="U214" t="s">
        <v>214</v>
      </c>
      <c r="V214" s="4" cm="1">
        <f t="array" ref="V214">_xll.SNL.Clients.Office.Excel.Functions.SPG(U214, "SP_TOTAL_REV", "CY2021")</f>
        <v>8523762</v>
      </c>
      <c r="W214" s="4">
        <f>_xll.SNL.Clients.Office.Excel.Functions.SPG(U214,"IQ_AVG_DILUT_SHARES_OUT","CY2021")</f>
        <v>293669000</v>
      </c>
      <c r="X214" s="5">
        <f>_xll.SNL.Clients.Office.Excel.Functions.SPG(U214, "IQ_DILUT_EPS_NORM", "CY2021")</f>
        <v>2.3860000000000001</v>
      </c>
      <c r="Y214">
        <f t="shared" si="47"/>
        <v>700694.23400000005</v>
      </c>
      <c r="Z214">
        <f t="shared" si="48"/>
        <v>8.2204809801118342E-2</v>
      </c>
      <c r="AA214" s="5">
        <f>_xll.SNL.Clients.Office.Excel.Functions.SPG(U214, "SP_MARKETCAP", "12/31/2021")</f>
        <v>39222.612315179998</v>
      </c>
      <c r="AB214">
        <f t="shared" si="42"/>
        <v>9.2437915178841075E-4</v>
      </c>
      <c r="AC214">
        <f t="shared" si="49"/>
        <v>2.2055686561671482E-3</v>
      </c>
    </row>
    <row r="215" spans="1:29" x14ac:dyDescent="0.3">
      <c r="A215" t="s">
        <v>215</v>
      </c>
      <c r="B215" s="4" cm="1">
        <f t="array" ref="B215">_xll.SNL.Clients.Office.Excel.Functions.SPG(A215, "SP_TOTAL_REV", "CY2023")</f>
        <v>5447533</v>
      </c>
      <c r="C215" s="4">
        <f>_xll.SNL.Clients.Office.Excel.Functions.SPG(A215,"IQ_AVG_DILUT_SHARES_OUT","CY2023")</f>
        <v>96363841</v>
      </c>
      <c r="D215" s="5">
        <f>_xll.SNL.Clients.Office.Excel.Functions.SPG(A215, "IQ_DILUT_EPS_NORM", "CY2023")</f>
        <v>7.7519999999999998</v>
      </c>
      <c r="E215">
        <f t="shared" si="38"/>
        <v>747012.49543199991</v>
      </c>
      <c r="F215">
        <f t="shared" si="39"/>
        <v>0.13712858562435509</v>
      </c>
      <c r="G215" s="5">
        <f>_xll.SNL.Clients.Office.Excel.Functions.SPG(A215, "SP_MARKETCAP", "12/30/2023")</f>
        <v>11456.1330328</v>
      </c>
      <c r="H215">
        <f t="shared" si="43"/>
        <v>2.7265597799982236E-4</v>
      </c>
      <c r="I215">
        <f t="shared" si="44"/>
        <v>2.1136291414546229E-3</v>
      </c>
      <c r="K215" t="s">
        <v>215</v>
      </c>
      <c r="L215" s="4" cm="1">
        <f t="array" ref="L215">_xll.SNL.Clients.Office.Excel.Functions.SPG(K215, "SP_TOTAL_REV", "CY2023")</f>
        <v>5447533</v>
      </c>
      <c r="M215" s="4">
        <f>_xll.SNL.Clients.Office.Excel.Functions.SPG(K215,"IQ_AVG_DILUT_SHARES_OUT","CY2023")</f>
        <v>96363841</v>
      </c>
      <c r="N215" s="5">
        <f>_xll.SNL.Clients.Office.Excel.Functions.SPG(K215, "IQ_DILUT_EPS_NORM", "CY2023")</f>
        <v>7.7519999999999998</v>
      </c>
      <c r="O215">
        <f t="shared" si="40"/>
        <v>747012.49543199991</v>
      </c>
      <c r="P215">
        <f t="shared" si="41"/>
        <v>0.13712858562435509</v>
      </c>
      <c r="Q215" s="5">
        <f>_xll.SNL.Clients.Office.Excel.Functions.SPG(K215, "SP_MARKETCAP", "12/31/2022")</f>
        <v>11725.92610595</v>
      </c>
      <c r="R215">
        <f t="shared" si="45"/>
        <v>3.4800438324516245E-4</v>
      </c>
      <c r="S215">
        <f t="shared" si="46"/>
        <v>2.6977299789164993E-3</v>
      </c>
      <c r="U215" t="s">
        <v>215</v>
      </c>
      <c r="V215" s="4" cm="1">
        <f t="array" ref="V215">_xll.SNL.Clients.Office.Excel.Functions.SPG(U215, "SP_TOTAL_REV", "CY2021")</f>
        <v>5122183</v>
      </c>
      <c r="W215" s="4">
        <f>_xll.SNL.Clients.Office.Excel.Functions.SPG(U215,"IQ_AVG_DILUT_SHARES_OUT","CY2021")</f>
        <v>103170132</v>
      </c>
      <c r="X215" s="5">
        <f>_xll.SNL.Clients.Office.Excel.Functions.SPG(U215, "IQ_DILUT_EPS_NORM", "CY2021")</f>
        <v>7.7709999999999999</v>
      </c>
      <c r="Y215">
        <f t="shared" si="47"/>
        <v>801735.09577199991</v>
      </c>
      <c r="Z215">
        <f t="shared" si="48"/>
        <v>0.15652214998409855</v>
      </c>
      <c r="AA215" s="5">
        <f>_xll.SNL.Clients.Office.Excel.Functions.SPG(U215, "SP_MARKETCAP", "12/31/2021")</f>
        <v>9463.7729670000008</v>
      </c>
      <c r="AB215">
        <f t="shared" si="42"/>
        <v>2.2303752635486349E-4</v>
      </c>
      <c r="AC215">
        <f t="shared" si="49"/>
        <v>1.7332246173036442E-3</v>
      </c>
    </row>
    <row r="216" spans="1:29" x14ac:dyDescent="0.3">
      <c r="A216" t="s">
        <v>216</v>
      </c>
      <c r="B216" s="4" cm="1">
        <f t="array" ref="B216">_xll.SNL.Clients.Office.Excel.Functions.SPG(A216, "SP_TOTAL_REV", "CY2023")</f>
        <v>4254100</v>
      </c>
      <c r="C216" s="4">
        <f>_xll.SNL.Clients.Office.Excel.Functions.SPG(A216,"IQ_AVG_DILUT_SHARES_OUT","CY2023")</f>
        <v>151452000</v>
      </c>
      <c r="D216" s="5">
        <f>_xll.SNL.Clients.Office.Excel.Functions.SPG(A216, "IQ_DILUT_EPS_NORM", "CY2023")</f>
        <v>2.0920000000000001</v>
      </c>
      <c r="E216">
        <f t="shared" si="38"/>
        <v>316837.58399999997</v>
      </c>
      <c r="F216">
        <f t="shared" si="39"/>
        <v>7.4478170235772537E-2</v>
      </c>
      <c r="G216" s="5">
        <f>_xll.SNL.Clients.Office.Excel.Functions.SPG(A216, "SP_MARKETCAP", "12/30/2023")</f>
        <v>14949.957689360001</v>
      </c>
      <c r="H216">
        <f t="shared" si="43"/>
        <v>3.5580900843049573E-4</v>
      </c>
      <c r="I216">
        <f t="shared" si="44"/>
        <v>7.4435244563659706E-4</v>
      </c>
      <c r="K216" t="s">
        <v>216</v>
      </c>
      <c r="L216" s="4" cm="1">
        <f t="array" ref="L216">_xll.SNL.Clients.Office.Excel.Functions.SPG(K216, "SP_TOTAL_REV", "CY2023")</f>
        <v>4254100</v>
      </c>
      <c r="M216" s="4">
        <f>_xll.SNL.Clients.Office.Excel.Functions.SPG(K216,"IQ_AVG_DILUT_SHARES_OUT","CY2023")</f>
        <v>151452000</v>
      </c>
      <c r="N216" s="5">
        <f>_xll.SNL.Clients.Office.Excel.Functions.SPG(K216, "IQ_DILUT_EPS_NORM", "CY2023")</f>
        <v>2.0920000000000001</v>
      </c>
      <c r="O216">
        <f t="shared" si="40"/>
        <v>316837.58399999997</v>
      </c>
      <c r="P216">
        <f t="shared" si="41"/>
        <v>7.4478170235772537E-2</v>
      </c>
      <c r="Q216" s="5">
        <f>_xll.SNL.Clients.Office.Excel.Functions.SPG(K216, "SP_MARKETCAP", "12/31/2022")</f>
        <v>11602.022557439999</v>
      </c>
      <c r="R216">
        <f t="shared" si="45"/>
        <v>3.4432714891914786E-4</v>
      </c>
      <c r="S216">
        <f t="shared" si="46"/>
        <v>7.2033239553885738E-4</v>
      </c>
      <c r="U216" t="s">
        <v>216</v>
      </c>
      <c r="V216" s="4" cm="1">
        <f t="array" ref="V216">_xll.SNL.Clients.Office.Excel.Functions.SPG(U216, "SP_TOTAL_REV", "CY2021")</f>
        <v>3815700</v>
      </c>
      <c r="W216" s="4">
        <f>_xll.SNL.Clients.Office.Excel.Functions.SPG(U216,"IQ_AVG_DILUT_SHARES_OUT","CY2021")</f>
        <v>171105000</v>
      </c>
      <c r="X216" s="5">
        <f>_xll.SNL.Clients.Office.Excel.Functions.SPG(U216, "IQ_DILUT_EPS_NORM", "CY2021")</f>
        <v>1.208</v>
      </c>
      <c r="Y216">
        <f t="shared" si="47"/>
        <v>206694.84</v>
      </c>
      <c r="Z216">
        <f t="shared" si="48"/>
        <v>5.4169573079644623E-2</v>
      </c>
      <c r="AA216" s="5">
        <f>_xll.SNL.Clients.Office.Excel.Functions.SPG(U216, "SP_MARKETCAP", "12/31/2021")</f>
        <v>14104.32101326</v>
      </c>
      <c r="AB216">
        <f t="shared" si="42"/>
        <v>3.3240367036294646E-4</v>
      </c>
      <c r="AC216">
        <f t="shared" si="49"/>
        <v>4.0154363379843932E-4</v>
      </c>
    </row>
    <row r="217" spans="1:29" x14ac:dyDescent="0.3">
      <c r="A217" t="s">
        <v>217</v>
      </c>
      <c r="B217" s="4" cm="1">
        <f t="array" ref="B217">_xll.SNL.Clients.Office.Excel.Functions.SPG(A217, "SP_TOTAL_REV", "CY2023")</f>
        <v>23018000</v>
      </c>
      <c r="C217" s="4">
        <f>_xll.SNL.Clients.Office.Excel.Functions.SPG(A217,"IQ_AVG_DILUT_SHARES_OUT","CY2023")</f>
        <v>902000000</v>
      </c>
      <c r="D217" s="5">
        <f>_xll.SNL.Clients.Office.Excel.Functions.SPG(A217, "IQ_DILUT_EPS_NORM", "CY2023")</f>
        <v>2.38</v>
      </c>
      <c r="E217">
        <f t="shared" si="38"/>
        <v>2146760</v>
      </c>
      <c r="F217">
        <f t="shared" si="39"/>
        <v>9.3264401772525846E-2</v>
      </c>
      <c r="G217" s="5">
        <f>_xll.SNL.Clients.Office.Excel.Functions.SPG(A217, "SP_MARKETCAP", "12/30/2023")</f>
        <v>32356.120473300001</v>
      </c>
      <c r="H217">
        <f t="shared" si="43"/>
        <v>7.7007570064603864E-4</v>
      </c>
      <c r="I217">
        <f t="shared" si="44"/>
        <v>1.8327801675375719E-3</v>
      </c>
      <c r="K217" t="s">
        <v>217</v>
      </c>
      <c r="L217" s="4" cm="1">
        <f t="array" ref="L217">_xll.SNL.Clients.Office.Excel.Functions.SPG(K217, "SP_TOTAL_REV", "CY2023")</f>
        <v>23018000</v>
      </c>
      <c r="M217" s="4">
        <f>_xll.SNL.Clients.Office.Excel.Functions.SPG(K217,"IQ_AVG_DILUT_SHARES_OUT","CY2023")</f>
        <v>902000000</v>
      </c>
      <c r="N217" s="5">
        <f>_xll.SNL.Clients.Office.Excel.Functions.SPG(K217, "IQ_DILUT_EPS_NORM", "CY2023")</f>
        <v>2.38</v>
      </c>
      <c r="O217">
        <f t="shared" si="40"/>
        <v>2146760</v>
      </c>
      <c r="P217">
        <f t="shared" si="41"/>
        <v>9.3264401772525846E-2</v>
      </c>
      <c r="Q217" s="5">
        <f>_xll.SNL.Clients.Office.Excel.Functions.SPG(K217, "SP_MARKETCAP", "12/31/2022")</f>
        <v>35731.640674950002</v>
      </c>
      <c r="R217">
        <f t="shared" si="45"/>
        <v>1.0604507876878103E-3</v>
      </c>
      <c r="S217">
        <f t="shared" si="46"/>
        <v>2.5238728746969884E-3</v>
      </c>
      <c r="U217" t="s">
        <v>217</v>
      </c>
      <c r="V217" s="4" cm="1">
        <f t="array" ref="V217">_xll.SNL.Clients.Office.Excel.Functions.SPG(U217, "SP_TOTAL_REV", "CY2021")</f>
        <v>15295000</v>
      </c>
      <c r="W217" s="4">
        <f>_xll.SNL.Clients.Office.Excel.Functions.SPG(U217,"IQ_AVG_DILUT_SHARES_OUT","CY2021")</f>
        <v>892000000</v>
      </c>
      <c r="X217" s="5">
        <f>_xll.SNL.Clients.Office.Excel.Functions.SPG(U217, "IQ_DILUT_EPS_NORM", "CY2021")</f>
        <v>0.82399999999999995</v>
      </c>
      <c r="Y217">
        <f t="shared" si="47"/>
        <v>735008</v>
      </c>
      <c r="Z217">
        <f t="shared" si="48"/>
        <v>4.805544295521412E-2</v>
      </c>
      <c r="AA217" s="5">
        <f>_xll.SNL.Clients.Office.Excel.Functions.SPG(U217, "SP_MARKETCAP", "12/31/2021")</f>
        <v>20471.30603032</v>
      </c>
      <c r="AB217">
        <f t="shared" si="42"/>
        <v>4.8245762807044021E-4</v>
      </c>
      <c r="AC217">
        <f t="shared" si="49"/>
        <v>3.975450855300427E-4</v>
      </c>
    </row>
    <row r="218" spans="1:29" x14ac:dyDescent="0.3">
      <c r="A218" t="s">
        <v>218</v>
      </c>
      <c r="B218" s="4" cm="1">
        <f t="array" ref="B218">_xll.SNL.Clients.Office.Excel.Functions.SPG(A218, "SP_TOTAL_REV", "CY2023")</f>
        <v>5003300</v>
      </c>
      <c r="C218" s="4">
        <f>_xll.SNL.Clients.Office.Excel.Functions.SPG(A218,"IQ_AVG_DILUT_SHARES_OUT","CY2023")</f>
        <v>138800000</v>
      </c>
      <c r="D218" s="5">
        <f>_xll.SNL.Clients.Office.Excel.Functions.SPG(A218, "IQ_DILUT_EPS_NORM", "CY2023")</f>
        <v>0.88800000000000001</v>
      </c>
      <c r="E218">
        <f t="shared" si="38"/>
        <v>123254.39999999999</v>
      </c>
      <c r="F218">
        <f t="shared" si="39"/>
        <v>2.4634621150040972E-2</v>
      </c>
      <c r="G218" s="5">
        <f>_xll.SNL.Clients.Office.Excel.Functions.SPG(A218, "SP_MARKETCAP", "12/30/2023")</f>
        <v>7085.2972947600001</v>
      </c>
      <c r="H218">
        <f t="shared" si="43"/>
        <v>1.6863008292512113E-4</v>
      </c>
      <c r="I218">
        <f t="shared" si="44"/>
        <v>1.4974351363750756E-4</v>
      </c>
      <c r="K218" t="s">
        <v>218</v>
      </c>
      <c r="L218" s="4" cm="1">
        <f t="array" ref="L218">_xll.SNL.Clients.Office.Excel.Functions.SPG(K218, "SP_TOTAL_REV", "CY2023")</f>
        <v>5003300</v>
      </c>
      <c r="M218" s="4">
        <f>_xll.SNL.Clients.Office.Excel.Functions.SPG(K218,"IQ_AVG_DILUT_SHARES_OUT","CY2023")</f>
        <v>138800000</v>
      </c>
      <c r="N218" s="5">
        <f>_xll.SNL.Clients.Office.Excel.Functions.SPG(K218, "IQ_DILUT_EPS_NORM", "CY2023")</f>
        <v>0.88800000000000001</v>
      </c>
      <c r="O218">
        <f t="shared" si="40"/>
        <v>123254.39999999999</v>
      </c>
      <c r="P218">
        <f t="shared" si="41"/>
        <v>2.4634621150040972E-2</v>
      </c>
      <c r="Q218" s="5">
        <f>_xll.SNL.Clients.Office.Excel.Functions.SPG(K218, "SP_MARKETCAP", "12/31/2022")</f>
        <v>8426.3181792199994</v>
      </c>
      <c r="R218">
        <f t="shared" si="45"/>
        <v>2.5007795840526338E-4</v>
      </c>
      <c r="S218">
        <f t="shared" si="46"/>
        <v>2.2206922706387389E-4</v>
      </c>
      <c r="U218" t="s">
        <v>218</v>
      </c>
      <c r="V218" s="4" cm="1">
        <f t="array" ref="V218">_xll.SNL.Clients.Office.Excel.Functions.SPG(U218, "SP_TOTAL_REV", "CY2021")</f>
        <v>6420400</v>
      </c>
      <c r="W218" s="4">
        <f>_xll.SNL.Clients.Office.Excel.Functions.SPG(U218,"IQ_AVG_DILUT_SHARES_OUT","CY2021")</f>
        <v>138400000</v>
      </c>
      <c r="X218" s="5">
        <f>_xll.SNL.Clients.Office.Excel.Functions.SPG(U218, "IQ_DILUT_EPS_NORM", "CY2021")</f>
        <v>3.3239999999999998</v>
      </c>
      <c r="Y218">
        <f t="shared" si="47"/>
        <v>460041.6</v>
      </c>
      <c r="Z218">
        <f t="shared" si="48"/>
        <v>7.165310572549996E-2</v>
      </c>
      <c r="AA218" s="5">
        <f>_xll.SNL.Clients.Office.Excel.Functions.SPG(U218, "SP_MARKETCAP", "12/31/2021")</f>
        <v>14040.236092679999</v>
      </c>
      <c r="AB218">
        <f t="shared" si="42"/>
        <v>3.3089334861149998E-4</v>
      </c>
      <c r="AC218">
        <f t="shared" si="49"/>
        <v>1.099889490784626E-3</v>
      </c>
    </row>
    <row r="219" spans="1:29" x14ac:dyDescent="0.3">
      <c r="A219" t="s">
        <v>219</v>
      </c>
      <c r="B219" s="4" cm="1">
        <f t="array" ref="B219">_xll.SNL.Clients.Office.Excel.Functions.SPG(A219, "SP_TOTAL_REV", "CY2023")</f>
        <v>64968000</v>
      </c>
      <c r="C219" s="4">
        <f>_xll.SNL.Clients.Office.Excel.Functions.SPG(A219,"IQ_AVG_DILUT_SHARES_OUT","CY2023")</f>
        <v>276412000</v>
      </c>
      <c r="D219" s="5">
        <f>_xll.SNL.Clients.Office.Excel.Functions.SPG(A219, "IQ_DILUT_EPS_NORM", "CY2023")</f>
        <v>14.364000000000001</v>
      </c>
      <c r="E219">
        <f t="shared" si="38"/>
        <v>3970381.9679999999</v>
      </c>
      <c r="F219">
        <f t="shared" si="39"/>
        <v>6.1112885851496122E-2</v>
      </c>
      <c r="G219" s="5">
        <f>_xll.SNL.Clients.Office.Excel.Functions.SPG(A219, "SP_MARKETCAP", "12/30/2023")</f>
        <v>72450.425344000003</v>
      </c>
      <c r="H219">
        <f t="shared" si="43"/>
        <v>1.7243201979336078E-3</v>
      </c>
      <c r="I219">
        <f t="shared" si="44"/>
        <v>2.4768135323118345E-2</v>
      </c>
      <c r="K219" t="s">
        <v>219</v>
      </c>
      <c r="L219" s="4" cm="1">
        <f t="array" ref="L219">_xll.SNL.Clients.Office.Excel.Functions.SPG(K219, "SP_TOTAL_REV", "CY2023")</f>
        <v>64968000</v>
      </c>
      <c r="M219" s="4">
        <f>_xll.SNL.Clients.Office.Excel.Functions.SPG(K219,"IQ_AVG_DILUT_SHARES_OUT","CY2023")</f>
        <v>276412000</v>
      </c>
      <c r="N219" s="5">
        <f>_xll.SNL.Clients.Office.Excel.Functions.SPG(K219, "IQ_DILUT_EPS_NORM", "CY2023")</f>
        <v>14.364000000000001</v>
      </c>
      <c r="O219">
        <f t="shared" si="40"/>
        <v>3970381.9679999999</v>
      </c>
      <c r="P219">
        <f t="shared" si="41"/>
        <v>6.1112885851496122E-2</v>
      </c>
      <c r="Q219" s="5">
        <f>_xll.SNL.Clients.Office.Excel.Functions.SPG(K219, "SP_MARKETCAP", "12/31/2022")</f>
        <v>67840.699332000004</v>
      </c>
      <c r="R219">
        <f t="shared" si="45"/>
        <v>2.0133898607781176E-3</v>
      </c>
      <c r="S219">
        <f t="shared" si="46"/>
        <v>2.8920331960216882E-2</v>
      </c>
      <c r="U219" t="s">
        <v>219</v>
      </c>
      <c r="V219" s="4" cm="1">
        <f t="array" ref="V219">_xll.SNL.Clients.Office.Excel.Functions.SPG(U219, "SP_TOTAL_REV", "CY2021")</f>
        <v>58752000</v>
      </c>
      <c r="W219" s="4">
        <f>_xll.SNL.Clients.Office.Excel.Functions.SPG(U219,"IQ_AVG_DILUT_SHARES_OUT","CY2021")</f>
        <v>328752000</v>
      </c>
      <c r="X219" s="5">
        <f>_xll.SNL.Clients.Office.Excel.Functions.SPG(U219, "IQ_DILUT_EPS_NORM", "CY2021")</f>
        <v>13.31</v>
      </c>
      <c r="Y219">
        <f t="shared" si="47"/>
        <v>4375689.12</v>
      </c>
      <c r="Z219">
        <f t="shared" si="48"/>
        <v>7.4477279411764713E-2</v>
      </c>
      <c r="AA219" s="5">
        <f>_xll.SNL.Clients.Office.Excel.Functions.SPG(U219, "SP_MARKETCAP", "12/31/2021")</f>
        <v>79907.977776</v>
      </c>
      <c r="AB219">
        <f t="shared" si="42"/>
        <v>1.883231747139866E-3</v>
      </c>
      <c r="AC219">
        <f t="shared" si="49"/>
        <v>2.5065814554431617E-2</v>
      </c>
    </row>
    <row r="220" spans="1:29" x14ac:dyDescent="0.3">
      <c r="A220" t="s">
        <v>220</v>
      </c>
      <c r="B220" s="4" cm="1">
        <f t="array" ref="B220">_xll.SNL.Clients.Office.Excel.Functions.SPG(A220, "SP_TOTAL_REV", "CY2023")</f>
        <v>2193748</v>
      </c>
      <c r="C220" s="4">
        <f>_xll.SNL.Clients.Office.Excel.Functions.SPG(A220,"IQ_AVG_DILUT_SHARES_OUT","CY2023")</f>
        <v>547275000</v>
      </c>
      <c r="D220" s="5">
        <f>_xll.SNL.Clients.Office.Excel.Functions.SPG(A220, "IQ_DILUT_EPS_NORM", "CY2023")</f>
        <v>0.22</v>
      </c>
      <c r="E220">
        <f t="shared" si="38"/>
        <v>120400.5</v>
      </c>
      <c r="F220">
        <f t="shared" si="39"/>
        <v>5.4883468839629711E-2</v>
      </c>
      <c r="G220" s="5">
        <f>_xll.SNL.Clients.Office.Excel.Functions.SPG(A220, "SP_MARKETCAP", "12/30/2023")</f>
        <v>10832.0722092</v>
      </c>
      <c r="H220">
        <f t="shared" si="43"/>
        <v>2.5780332975430483E-4</v>
      </c>
      <c r="I220">
        <f t="shared" si="44"/>
        <v>5.6716732545947063E-5</v>
      </c>
      <c r="K220" t="s">
        <v>220</v>
      </c>
      <c r="L220" s="4" cm="1">
        <f t="array" ref="L220">_xll.SNL.Clients.Office.Excel.Functions.SPG(K220, "SP_TOTAL_REV", "CY2023")</f>
        <v>2193748</v>
      </c>
      <c r="M220" s="4">
        <f>_xll.SNL.Clients.Office.Excel.Functions.SPG(K220,"IQ_AVG_DILUT_SHARES_OUT","CY2023")</f>
        <v>547275000</v>
      </c>
      <c r="N220" s="5">
        <f>_xll.SNL.Clients.Office.Excel.Functions.SPG(K220, "IQ_DILUT_EPS_NORM", "CY2023")</f>
        <v>0.22</v>
      </c>
      <c r="O220">
        <f t="shared" si="40"/>
        <v>120400.5</v>
      </c>
      <c r="P220">
        <f t="shared" si="41"/>
        <v>5.4883468839629711E-2</v>
      </c>
      <c r="Q220" s="5">
        <f>_xll.SNL.Clients.Office.Excel.Functions.SPG(K220, "SP_MARKETCAP", "12/31/2022")</f>
        <v>13476.131410079999</v>
      </c>
      <c r="R220">
        <f t="shared" si="45"/>
        <v>3.9994732676304051E-4</v>
      </c>
      <c r="S220">
        <f t="shared" si="46"/>
        <v>8.7988411887868917E-5</v>
      </c>
      <c r="U220" t="s">
        <v>220</v>
      </c>
      <c r="V220" s="4" cm="1">
        <f t="array" ref="V220">_xll.SNL.Clients.Office.Excel.Functions.SPG(U220, "SP_TOTAL_REV", "CY2021")</f>
        <v>1905974</v>
      </c>
      <c r="W220" s="4">
        <f>_xll.SNL.Clients.Office.Excel.Functions.SPG(U220,"IQ_AVG_DILUT_SHARES_OUT","CY2021")</f>
        <v>539241000</v>
      </c>
      <c r="X220" s="5">
        <f>_xll.SNL.Clients.Office.Excel.Functions.SPG(U220, "IQ_DILUT_EPS_NORM", "CY2021")</f>
        <v>0.193</v>
      </c>
      <c r="Y220">
        <f t="shared" si="47"/>
        <v>104073.51300000001</v>
      </c>
      <c r="Z220">
        <f t="shared" si="48"/>
        <v>5.4603847166855374E-2</v>
      </c>
      <c r="AA220" s="5">
        <f>_xll.SNL.Clients.Office.Excel.Functions.SPG(U220, "SP_MARKETCAP", "12/31/2021")</f>
        <v>19455.116528070001</v>
      </c>
      <c r="AB220">
        <f t="shared" si="42"/>
        <v>4.5850857586050885E-4</v>
      </c>
      <c r="AC220">
        <f t="shared" si="49"/>
        <v>8.8492155141078213E-5</v>
      </c>
    </row>
    <row r="221" spans="1:29" x14ac:dyDescent="0.3">
      <c r="A221" t="s">
        <v>221</v>
      </c>
      <c r="B221" s="4" cm="1">
        <f t="array" ref="B221">_xll.SNL.Clients.Office.Excel.Functions.SPG(A221, "SP_TOTAL_REV", "CY2023")</f>
        <v>12339000</v>
      </c>
      <c r="C221" s="4">
        <f>_xll.SNL.Clients.Office.Excel.Functions.SPG(A221,"IQ_AVG_DILUT_SHARES_OUT","CY2023")</f>
        <v>131748171</v>
      </c>
      <c r="D221" s="5">
        <f>_xll.SNL.Clients.Office.Excel.Functions.SPG(A221, "IQ_DILUT_EPS_NORM", "CY2023")</f>
        <v>2.8650000000000002</v>
      </c>
      <c r="E221">
        <f t="shared" si="38"/>
        <v>377458.509915</v>
      </c>
      <c r="F221">
        <f t="shared" si="39"/>
        <v>3.0590688865791395E-2</v>
      </c>
      <c r="G221" s="5">
        <f>_xll.SNL.Clients.Office.Excel.Functions.SPG(A221, "SP_MARKETCAP", "12/30/2023")</f>
        <v>9837.6317971099998</v>
      </c>
      <c r="H221">
        <f t="shared" si="43"/>
        <v>2.3413564692060821E-4</v>
      </c>
      <c r="I221">
        <f t="shared" si="44"/>
        <v>6.7079862842754254E-4</v>
      </c>
      <c r="K221" t="s">
        <v>221</v>
      </c>
      <c r="L221" s="4" cm="1">
        <f t="array" ref="L221">_xll.SNL.Clients.Office.Excel.Functions.SPG(K221, "SP_TOTAL_REV", "CY2023")</f>
        <v>12339000</v>
      </c>
      <c r="M221" s="4">
        <f>_xll.SNL.Clients.Office.Excel.Functions.SPG(K221,"IQ_AVG_DILUT_SHARES_OUT","CY2023")</f>
        <v>131748171</v>
      </c>
      <c r="N221" s="5">
        <f>_xll.SNL.Clients.Office.Excel.Functions.SPG(K221, "IQ_DILUT_EPS_NORM", "CY2023")</f>
        <v>2.8650000000000002</v>
      </c>
      <c r="O221">
        <f t="shared" si="40"/>
        <v>377458.509915</v>
      </c>
      <c r="P221">
        <f t="shared" si="41"/>
        <v>3.0590688865791395E-2</v>
      </c>
      <c r="Q221" s="5">
        <f>_xll.SNL.Clients.Office.Excel.Functions.SPG(K221, "SP_MARKETCAP", "12/31/2022")</f>
        <v>10826.184815250001</v>
      </c>
      <c r="R221">
        <f t="shared" si="45"/>
        <v>3.2130168103459858E-4</v>
      </c>
      <c r="S221">
        <f t="shared" si="46"/>
        <v>9.2052931616412505E-4</v>
      </c>
      <c r="U221" t="s">
        <v>221</v>
      </c>
      <c r="V221" s="4" cm="1">
        <f t="array" ref="V221">_xll.SNL.Clients.Office.Excel.Functions.SPG(U221, "SP_TOTAL_REV", "CY2021")</f>
        <v>12401000</v>
      </c>
      <c r="W221" s="4">
        <f>_xll.SNL.Clients.Office.Excel.Functions.SPG(U221,"IQ_AVG_DILUT_SHARES_OUT","CY2021")</f>
        <v>141772781</v>
      </c>
      <c r="X221" s="5">
        <f>_xll.SNL.Clients.Office.Excel.Functions.SPG(U221, "IQ_DILUT_EPS_NORM", "CY2021")</f>
        <v>3.5819999999999999</v>
      </c>
      <c r="Y221">
        <f t="shared" si="47"/>
        <v>507830.10154200002</v>
      </c>
      <c r="Z221">
        <f t="shared" si="48"/>
        <v>4.0950737968067093E-2</v>
      </c>
      <c r="AA221" s="5">
        <f>_xll.SNL.Clients.Office.Excel.Functions.SPG(U221, "SP_MARKETCAP", "12/31/2021")</f>
        <v>10751.42716236</v>
      </c>
      <c r="AB221">
        <f t="shared" si="42"/>
        <v>2.5338432435339966E-4</v>
      </c>
      <c r="AC221">
        <f t="shared" si="49"/>
        <v>9.0762264983387754E-4</v>
      </c>
    </row>
    <row r="222" spans="1:29" x14ac:dyDescent="0.3">
      <c r="A222" t="s">
        <v>222</v>
      </c>
      <c r="B222" s="4" cm="1">
        <f t="array" ref="B222">_xll.SNL.Clients.Office.Excel.Functions.SPG(A222, "SP_TOTAL_REV", "CY2023")</f>
        <v>10295000</v>
      </c>
      <c r="C222" s="4">
        <f>_xll.SNL.Clients.Office.Excel.Functions.SPG(A222,"IQ_AVG_DILUT_SHARES_OUT","CY2023")</f>
        <v>307600000</v>
      </c>
      <c r="D222" s="5">
        <f>_xll.SNL.Clients.Office.Excel.Functions.SPG(A222, "IQ_DILUT_EPS_NORM", "CY2023")</f>
        <v>4.0259999999999998</v>
      </c>
      <c r="E222">
        <f t="shared" si="38"/>
        <v>1238397.6000000001</v>
      </c>
      <c r="F222">
        <f t="shared" si="39"/>
        <v>0.12029117047110248</v>
      </c>
      <c r="G222" s="5">
        <f>_xll.SNL.Clients.Office.Excel.Functions.SPG(A222, "SP_MARKETCAP", "12/30/2023")</f>
        <v>44090.876850400004</v>
      </c>
      <c r="H222">
        <f t="shared" si="43"/>
        <v>1.049362914527654E-3</v>
      </c>
      <c r="I222">
        <f t="shared" si="44"/>
        <v>4.2247350938883349E-3</v>
      </c>
      <c r="K222" t="s">
        <v>222</v>
      </c>
      <c r="L222" s="4" cm="1">
        <f t="array" ref="L222">_xll.SNL.Clients.Office.Excel.Functions.SPG(K222, "SP_TOTAL_REV", "CY2023")</f>
        <v>10295000</v>
      </c>
      <c r="M222" s="4">
        <f>_xll.SNL.Clients.Office.Excel.Functions.SPG(K222,"IQ_AVG_DILUT_SHARES_OUT","CY2023")</f>
        <v>307600000</v>
      </c>
      <c r="N222" s="5">
        <f>_xll.SNL.Clients.Office.Excel.Functions.SPG(K222, "IQ_DILUT_EPS_NORM", "CY2023")</f>
        <v>4.0259999999999998</v>
      </c>
      <c r="O222">
        <f t="shared" si="40"/>
        <v>1238397.6000000001</v>
      </c>
      <c r="P222">
        <f t="shared" si="41"/>
        <v>0.12029117047110248</v>
      </c>
      <c r="Q222" s="5">
        <f>_xll.SNL.Clients.Office.Excel.Functions.SPG(K222, "SP_MARKETCAP", "12/31/2022")</f>
        <v>43495.125528119999</v>
      </c>
      <c r="R222">
        <f t="shared" si="45"/>
        <v>1.2908570459013657E-3</v>
      </c>
      <c r="S222">
        <f t="shared" si="46"/>
        <v>5.1969904667988976E-3</v>
      </c>
      <c r="U222" t="s">
        <v>222</v>
      </c>
      <c r="V222" s="4" cm="1">
        <f t="array" ref="V222">_xll.SNL.Clients.Office.Excel.Functions.SPG(U222, "SP_TOTAL_REV", "CY2021")</f>
        <v>7301000</v>
      </c>
      <c r="W222" s="4">
        <f>_xll.SNL.Clients.Office.Excel.Functions.SPG(U222,"IQ_AVG_DILUT_SHARES_OUT","CY2021")</f>
        <v>309300000</v>
      </c>
      <c r="X222" s="5">
        <f>_xll.SNL.Clients.Office.Excel.Functions.SPG(U222, "IQ_DILUT_EPS_NORM", "CY2021")</f>
        <v>2.1789999999999998</v>
      </c>
      <c r="Y222">
        <f t="shared" si="47"/>
        <v>673964.7</v>
      </c>
      <c r="Z222">
        <f t="shared" si="48"/>
        <v>9.2311286125188324E-2</v>
      </c>
      <c r="AA222" s="5">
        <f>_xll.SNL.Clients.Office.Excel.Functions.SPG(U222, "SP_MARKETCAP", "12/31/2021")</f>
        <v>22787.166452820002</v>
      </c>
      <c r="AB222">
        <f t="shared" si="42"/>
        <v>5.370366825150722E-4</v>
      </c>
      <c r="AC222">
        <f t="shared" si="49"/>
        <v>1.1702029312003423E-3</v>
      </c>
    </row>
    <row r="223" spans="1:29" x14ac:dyDescent="0.3">
      <c r="A223" t="s">
        <v>223</v>
      </c>
      <c r="B223" s="4" cm="1">
        <f t="array" ref="B223">_xll.SNL.Clients.Office.Excel.Functions.SPG(A223, "SP_TOTAL_REV", "CY2023")</f>
        <v>28081000</v>
      </c>
      <c r="C223" s="4">
        <f>_xll.SNL.Clients.Office.Excel.Functions.SPG(A223,"IQ_AVG_DILUT_SHARES_OUT","CY2023")</f>
        <v>1316250000</v>
      </c>
      <c r="D223" s="5">
        <f>_xll.SNL.Clients.Office.Excel.Functions.SPG(A223, "IQ_DILUT_EPS_NORM", "CY2023")</f>
        <v>1.163</v>
      </c>
      <c r="E223">
        <f t="shared" si="38"/>
        <v>1530798.75</v>
      </c>
      <c r="F223">
        <f t="shared" si="39"/>
        <v>5.4513683629500376E-2</v>
      </c>
      <c r="G223" s="5">
        <f>_xll.SNL.Clients.Office.Excel.Functions.SPG(A223, "SP_MARKETCAP", "12/30/2023")</f>
        <v>22067.688415140001</v>
      </c>
      <c r="H223">
        <f t="shared" si="43"/>
        <v>5.2521100704735417E-4</v>
      </c>
      <c r="I223">
        <f t="shared" si="44"/>
        <v>6.1082040119607287E-4</v>
      </c>
      <c r="K223" t="s">
        <v>223</v>
      </c>
      <c r="L223" s="4" cm="1">
        <f t="array" ref="L223">_xll.SNL.Clients.Office.Excel.Functions.SPG(K223, "SP_TOTAL_REV", "CY2023")</f>
        <v>28081000</v>
      </c>
      <c r="M223" s="4">
        <f>_xll.SNL.Clients.Office.Excel.Functions.SPG(K223,"IQ_AVG_DILUT_SHARES_OUT","CY2023")</f>
        <v>1316250000</v>
      </c>
      <c r="N223" s="5">
        <f>_xll.SNL.Clients.Office.Excel.Functions.SPG(K223, "IQ_DILUT_EPS_NORM", "CY2023")</f>
        <v>1.163</v>
      </c>
      <c r="O223">
        <f t="shared" si="40"/>
        <v>1530798.75</v>
      </c>
      <c r="P223">
        <f t="shared" si="41"/>
        <v>5.4513683629500376E-2</v>
      </c>
      <c r="Q223" s="5">
        <f>_xll.SNL.Clients.Office.Excel.Functions.SPG(K223, "SP_MARKETCAP", "12/31/2022")</f>
        <v>20457.796941960001</v>
      </c>
      <c r="R223">
        <f t="shared" si="45"/>
        <v>6.07150594589626E-4</v>
      </c>
      <c r="S223">
        <f t="shared" si="46"/>
        <v>7.0611614150773501E-4</v>
      </c>
      <c r="U223" t="s">
        <v>223</v>
      </c>
      <c r="V223" s="4" cm="1">
        <f t="array" ref="V223">_xll.SNL.Clients.Office.Excel.Functions.SPG(U223, "SP_TOTAL_REV", "CY2021")</f>
        <v>27912000</v>
      </c>
      <c r="W223" s="4">
        <f>_xll.SNL.Clients.Office.Excel.Functions.SPG(U223,"IQ_AVG_DILUT_SHARES_OUT","CY2021")</f>
        <v>1332500000</v>
      </c>
      <c r="X223" s="5">
        <f>_xll.SNL.Clients.Office.Excel.Functions.SPG(U223, "IQ_DILUT_EPS_NORM", "CY2021")</f>
        <v>1.0609999999999999</v>
      </c>
      <c r="Y223">
        <f t="shared" si="47"/>
        <v>1413782.5</v>
      </c>
      <c r="Z223">
        <f t="shared" si="48"/>
        <v>5.065142232731442E-2</v>
      </c>
      <c r="AA223" s="5">
        <f>_xll.SNL.Clients.Office.Excel.Functions.SPG(U223, "SP_MARKETCAP", "12/31/2021")</f>
        <v>20397.547333390001</v>
      </c>
      <c r="AB223">
        <f t="shared" si="42"/>
        <v>4.8071931953664617E-4</v>
      </c>
      <c r="AC223">
        <f t="shared" si="49"/>
        <v>5.1004319802838152E-4</v>
      </c>
    </row>
    <row r="224" spans="1:29" x14ac:dyDescent="0.3">
      <c r="A224" t="s">
        <v>224</v>
      </c>
      <c r="B224" s="4" cm="1">
        <f t="array" ref="B224">_xll.SNL.Clients.Office.Excel.Functions.SPG(A224, "SP_TOTAL_REV", "CY2023")</f>
        <v>4408000</v>
      </c>
      <c r="C224" s="4">
        <f>_xll.SNL.Clients.Office.Excel.Functions.SPG(A224,"IQ_AVG_DILUT_SHARES_OUT","CY2023")</f>
        <v>264000000</v>
      </c>
      <c r="D224" s="5">
        <f>_xll.SNL.Clients.Office.Excel.Functions.SPG(A224, "IQ_DILUT_EPS_NORM", "CY2023")</f>
        <v>4.2759999999999998</v>
      </c>
      <c r="E224">
        <f t="shared" si="38"/>
        <v>1128864</v>
      </c>
      <c r="F224">
        <f t="shared" si="39"/>
        <v>0.25609437386569872</v>
      </c>
      <c r="G224" s="5">
        <f>_xll.SNL.Clients.Office.Excel.Functions.SPG(A224, "SP_MARKETCAP", "12/30/2023")</f>
        <v>46695.215137450003</v>
      </c>
      <c r="H224">
        <f t="shared" si="43"/>
        <v>1.1113461684463149E-3</v>
      </c>
      <c r="I224">
        <f t="shared" si="44"/>
        <v>4.7521162162764419E-3</v>
      </c>
      <c r="K224" t="s">
        <v>224</v>
      </c>
      <c r="L224" s="4" cm="1">
        <f t="array" ref="L224">_xll.SNL.Clients.Office.Excel.Functions.SPG(K224, "SP_TOTAL_REV", "CY2023")</f>
        <v>4408000</v>
      </c>
      <c r="M224" s="4">
        <f>_xll.SNL.Clients.Office.Excel.Functions.SPG(K224,"IQ_AVG_DILUT_SHARES_OUT","CY2023")</f>
        <v>264000000</v>
      </c>
      <c r="N224" s="5">
        <f>_xll.SNL.Clients.Office.Excel.Functions.SPG(K224, "IQ_DILUT_EPS_NORM", "CY2023")</f>
        <v>4.2759999999999998</v>
      </c>
      <c r="O224">
        <f t="shared" si="40"/>
        <v>1128864</v>
      </c>
      <c r="P224">
        <f t="shared" si="41"/>
        <v>0.25609437386569872</v>
      </c>
      <c r="Q224" s="5">
        <f>_xll.SNL.Clients.Office.Excel.Functions.SPG(K224, "SP_MARKETCAP", "12/31/2022")</f>
        <v>34174.822308119998</v>
      </c>
      <c r="R224">
        <f t="shared" si="45"/>
        <v>1.0142472204234297E-3</v>
      </c>
      <c r="S224">
        <f t="shared" si="46"/>
        <v>4.3369211145305852E-3</v>
      </c>
      <c r="U224" t="s">
        <v>224</v>
      </c>
      <c r="V224" s="4" cm="1">
        <f t="array" ref="V224">_xll.SNL.Clients.Office.Excel.Functions.SPG(U224, "SP_TOTAL_REV", "CY2021")</f>
        <v>2444000</v>
      </c>
      <c r="W224" s="4">
        <f>_xll.SNL.Clients.Office.Excel.Functions.SPG(U224,"IQ_AVG_DILUT_SHARES_OUT","CY2021")</f>
        <v>281000000</v>
      </c>
      <c r="X224" s="5">
        <f>_xll.SNL.Clients.Office.Excel.Functions.SPG(U224, "IQ_DILUT_EPS_NORM", "CY2021")</f>
        <v>1.425</v>
      </c>
      <c r="Y224">
        <f t="shared" si="47"/>
        <v>400425</v>
      </c>
      <c r="Z224">
        <f t="shared" si="48"/>
        <v>0.16384001636661211</v>
      </c>
      <c r="AA224" s="5">
        <f>_xll.SNL.Clients.Office.Excel.Functions.SPG(U224, "SP_MARKETCAP", "12/31/2021")</f>
        <v>43477.795175179999</v>
      </c>
      <c r="AB224">
        <f t="shared" si="42"/>
        <v>1.0246631994500978E-3</v>
      </c>
      <c r="AC224">
        <f t="shared" si="49"/>
        <v>1.4601450592163893E-3</v>
      </c>
    </row>
    <row r="225" spans="1:29" x14ac:dyDescent="0.3">
      <c r="A225" t="s">
        <v>225</v>
      </c>
      <c r="B225" s="4" cm="1">
        <f t="array" ref="B225">_xll.SNL.Clients.Office.Excel.Functions.SPG(A225, "SP_TOTAL_REV", "CY2023")</f>
        <v>3969300</v>
      </c>
      <c r="C225" s="4">
        <f>_xll.SNL.Clients.Office.Excel.Functions.SPG(A225,"IQ_AVG_DILUT_SHARES_OUT","CY2023")</f>
        <v>246564250</v>
      </c>
      <c r="D225" s="5">
        <f>_xll.SNL.Clients.Office.Excel.Functions.SPG(A225, "IQ_DILUT_EPS_NORM", "CY2023")</f>
        <v>2.3969999999999998</v>
      </c>
      <c r="E225">
        <f t="shared" si="38"/>
        <v>591014.50725000002</v>
      </c>
      <c r="F225">
        <f t="shared" si="39"/>
        <v>0.14889640673418489</v>
      </c>
      <c r="G225" s="5">
        <f>_xll.SNL.Clients.Office.Excel.Functions.SPG(A225, "SP_MARKETCAP", "12/30/2023")</f>
        <v>17148.2002029</v>
      </c>
      <c r="H225">
        <f t="shared" si="43"/>
        <v>4.0812718252065337E-4</v>
      </c>
      <c r="I225">
        <f t="shared" si="44"/>
        <v>9.7828085650200603E-4</v>
      </c>
      <c r="K225" t="s">
        <v>225</v>
      </c>
      <c r="L225" s="4" cm="1">
        <f t="array" ref="L225">_xll.SNL.Clients.Office.Excel.Functions.SPG(K225, "SP_TOTAL_REV", "CY2023")</f>
        <v>3969300</v>
      </c>
      <c r="M225" s="4">
        <f>_xll.SNL.Clients.Office.Excel.Functions.SPG(K225,"IQ_AVG_DILUT_SHARES_OUT","CY2023")</f>
        <v>246564250</v>
      </c>
      <c r="N225" s="5">
        <f>_xll.SNL.Clients.Office.Excel.Functions.SPG(K225, "IQ_DILUT_EPS_NORM", "CY2023")</f>
        <v>2.3969999999999998</v>
      </c>
      <c r="O225">
        <f t="shared" si="40"/>
        <v>591014.50725000002</v>
      </c>
      <c r="P225">
        <f t="shared" si="41"/>
        <v>0.14889640673418489</v>
      </c>
      <c r="Q225" s="5">
        <f>_xll.SNL.Clients.Office.Excel.Functions.SPG(K225, "SP_MARKETCAP", "12/31/2022")</f>
        <v>18390.82351079</v>
      </c>
      <c r="R225">
        <f t="shared" si="45"/>
        <v>5.4580654316042107E-4</v>
      </c>
      <c r="S225">
        <f t="shared" si="46"/>
        <v>1.3082982839555293E-3</v>
      </c>
      <c r="U225" t="s">
        <v>225</v>
      </c>
      <c r="V225" s="4" cm="1">
        <f t="array" ref="V225">_xll.SNL.Clients.Office.Excel.Functions.SPG(U225, "SP_TOTAL_REV", "CY2021")</f>
        <v>5493600</v>
      </c>
      <c r="W225" s="4">
        <f>_xll.SNL.Clients.Office.Excel.Functions.SPG(U225,"IQ_AVG_DILUT_SHARES_OUT","CY2021")</f>
        <v>258277250</v>
      </c>
      <c r="X225" s="5">
        <f>_xll.SNL.Clients.Office.Excel.Functions.SPG(U225, "IQ_DILUT_EPS_NORM", "CY2021")</f>
        <v>5.2060000000000004</v>
      </c>
      <c r="Y225">
        <f t="shared" si="47"/>
        <v>1344591.3635</v>
      </c>
      <c r="Z225">
        <f t="shared" si="48"/>
        <v>0.2447559639398573</v>
      </c>
      <c r="AA225" s="5">
        <f>_xll.SNL.Clients.Office.Excel.Functions.SPG(U225, "SP_MARKETCAP", "12/31/2021")</f>
        <v>19248.755700239999</v>
      </c>
      <c r="AB225">
        <f t="shared" si="42"/>
        <v>4.5364516580869991E-4</v>
      </c>
      <c r="AC225">
        <f t="shared" si="49"/>
        <v>2.3616767332000918E-3</v>
      </c>
    </row>
    <row r="226" spans="1:29" x14ac:dyDescent="0.3">
      <c r="A226" t="s">
        <v>226</v>
      </c>
      <c r="B226" s="4" cm="1">
        <f t="array" ref="B226">_xll.SNL.Clients.Office.Excel.Functions.SPG(A226, "SP_TOTAL_REV", "CY2023")</f>
        <v>36662000</v>
      </c>
      <c r="C226" s="4">
        <f>_xll.SNL.Clients.Office.Excel.Functions.SPG(A226,"IQ_AVG_DILUT_SHARES_OUT","CY2023")</f>
        <v>668200000</v>
      </c>
      <c r="D226" s="5" t="str">
        <f>_xll.SNL.Clients.Office.Excel.Functions.SPG(A226, "IQ_DILUT_EPS_NORM", "CY2023")</f>
        <v>NA</v>
      </c>
      <c r="E226" t="e">
        <f t="shared" si="38"/>
        <v>#VALUE!</v>
      </c>
      <c r="F226" t="e">
        <f t="shared" si="39"/>
        <v>#VALUE!</v>
      </c>
      <c r="G226" s="5">
        <f>_xll.SNL.Clients.Office.Excel.Functions.SPG(A226, "SP_MARKETCAP", "12/30/2023")</f>
        <v>138251.45255324</v>
      </c>
      <c r="H226">
        <f t="shared" si="43"/>
        <v>3.290384713399807E-3</v>
      </c>
      <c r="I226" t="e">
        <f t="shared" si="44"/>
        <v>#VALUE!</v>
      </c>
      <c r="K226" t="s">
        <v>226</v>
      </c>
      <c r="L226" s="4" cm="1">
        <f t="array" ref="L226">_xll.SNL.Clients.Office.Excel.Functions.SPG(K226, "SP_TOTAL_REV", "CY2023")</f>
        <v>36662000</v>
      </c>
      <c r="M226" s="4">
        <f>_xll.SNL.Clients.Office.Excel.Functions.SPG(K226,"IQ_AVG_DILUT_SHARES_OUT","CY2023")</f>
        <v>668200000</v>
      </c>
      <c r="N226" s="5" t="str">
        <f>_xll.SNL.Clients.Office.Excel.Functions.SPG(K226, "IQ_DILUT_EPS_NORM", "CY2023")</f>
        <v>NA</v>
      </c>
      <c r="O226" t="e">
        <f t="shared" si="40"/>
        <v>#VALUE!</v>
      </c>
      <c r="P226" t="e">
        <f t="shared" si="41"/>
        <v>#VALUE!</v>
      </c>
      <c r="Q226" s="5">
        <f>_xll.SNL.Clients.Office.Excel.Functions.SPG(K226, "SP_MARKETCAP", "12/31/2022")</f>
        <v>144078.65431760001</v>
      </c>
      <c r="R226">
        <f t="shared" si="45"/>
        <v>4.2759951565059908E-3</v>
      </c>
      <c r="S226" t="e">
        <f t="shared" si="46"/>
        <v>#VALUE!</v>
      </c>
      <c r="U226" t="s">
        <v>226</v>
      </c>
      <c r="V226" s="4" cm="1">
        <f t="array" ref="V226">_xll.SNL.Clients.Office.Excel.Functions.SPG(U226, "SP_TOTAL_REV", "CY2021")</f>
        <v>34392000</v>
      </c>
      <c r="W226" s="4">
        <f>_xll.SNL.Clients.Office.Excel.Functions.SPG(U226,"IQ_AVG_DILUT_SHARES_OUT","CY2021")</f>
        <v>700400000</v>
      </c>
      <c r="X226" s="5" t="str">
        <f>_xll.SNL.Clients.Office.Excel.Functions.SPG(U226, "IQ_DILUT_EPS_NORM", "CY2021")</f>
        <v>NA</v>
      </c>
      <c r="Y226" t="e">
        <f t="shared" si="47"/>
        <v>#VALUE!</v>
      </c>
      <c r="Z226" t="e">
        <f t="shared" si="48"/>
        <v>#VALUE!</v>
      </c>
      <c r="AA226" s="5">
        <f>_xll.SNL.Clients.Office.Excel.Functions.SPG(U226, "SP_MARKETCAP", "12/31/2021")</f>
        <v>143543.07451725</v>
      </c>
      <c r="AB226">
        <f t="shared" si="42"/>
        <v>3.3829522725594436E-3</v>
      </c>
      <c r="AC226" t="e">
        <f t="shared" si="49"/>
        <v>#VALUE!</v>
      </c>
    </row>
    <row r="227" spans="1:29" x14ac:dyDescent="0.3">
      <c r="A227" t="s">
        <v>227</v>
      </c>
      <c r="B227" s="4" cm="1">
        <f t="array" ref="B227">_xll.SNL.Clients.Office.Excel.Functions.SPG(A227, "SP_TOTAL_REV", "CY2023")</f>
        <v>12135929</v>
      </c>
      <c r="C227" s="4">
        <f>_xll.SNL.Clients.Office.Excel.Functions.SPG(A227,"IQ_AVG_DILUT_SHARES_OUT","CY2023")</f>
        <v>548454250</v>
      </c>
      <c r="D227" s="5">
        <f>_xll.SNL.Clients.Office.Excel.Functions.SPG(A227, "IQ_DILUT_EPS_NORM", "CY2023")</f>
        <v>1.194</v>
      </c>
      <c r="E227">
        <f t="shared" si="38"/>
        <v>654854.37450000003</v>
      </c>
      <c r="F227">
        <f t="shared" si="39"/>
        <v>5.3959970802400052E-2</v>
      </c>
      <c r="G227" s="5">
        <f>_xll.SNL.Clients.Office.Excel.Functions.SPG(A227, "SP_MARKETCAP", "12/30/2023")</f>
        <v>17559.03419816</v>
      </c>
      <c r="H227">
        <f t="shared" si="43"/>
        <v>4.1790503203169483E-4</v>
      </c>
      <c r="I227">
        <f t="shared" si="44"/>
        <v>4.9897860824584363E-4</v>
      </c>
      <c r="K227" t="s">
        <v>227</v>
      </c>
      <c r="L227" s="4" cm="1">
        <f t="array" ref="L227">_xll.SNL.Clients.Office.Excel.Functions.SPG(K227, "SP_TOTAL_REV", "CY2023")</f>
        <v>12135929</v>
      </c>
      <c r="M227" s="4">
        <f>_xll.SNL.Clients.Office.Excel.Functions.SPG(K227,"IQ_AVG_DILUT_SHARES_OUT","CY2023")</f>
        <v>548454250</v>
      </c>
      <c r="N227" s="5">
        <f>_xll.SNL.Clients.Office.Excel.Functions.SPG(K227, "IQ_DILUT_EPS_NORM", "CY2023")</f>
        <v>1.194</v>
      </c>
      <c r="O227">
        <f t="shared" si="40"/>
        <v>654854.37450000003</v>
      </c>
      <c r="P227">
        <f t="shared" si="41"/>
        <v>5.3959970802400052E-2</v>
      </c>
      <c r="Q227" s="5">
        <f>_xll.SNL.Clients.Office.Excel.Functions.SPG(K227, "SP_MARKETCAP", "12/31/2022")</f>
        <v>24889.622036699999</v>
      </c>
      <c r="R227">
        <f t="shared" si="45"/>
        <v>7.3867918728328383E-4</v>
      </c>
      <c r="S227">
        <f t="shared" si="46"/>
        <v>8.8198294961624091E-4</v>
      </c>
      <c r="U227" t="s">
        <v>227</v>
      </c>
      <c r="V227" s="4" cm="1">
        <f t="array" ref="V227">_xll.SNL.Clients.Office.Excel.Functions.SPG(U227, "SP_TOTAL_REV", "CY2021")</f>
        <v>11969400</v>
      </c>
      <c r="W227" s="4">
        <f>_xll.SNL.Clients.Office.Excel.Functions.SPG(U227,"IQ_AVG_DILUT_SHARES_OUT","CY2021")</f>
        <v>547701000</v>
      </c>
      <c r="X227" s="5">
        <f>_xll.SNL.Clients.Office.Excel.Functions.SPG(U227, "IQ_DILUT_EPS_NORM", "CY2021")</f>
        <v>1.37</v>
      </c>
      <c r="Y227">
        <f t="shared" si="47"/>
        <v>750350.37</v>
      </c>
      <c r="Z227">
        <f t="shared" si="48"/>
        <v>6.2689054589202473E-2</v>
      </c>
      <c r="AA227" s="5">
        <f>_xll.SNL.Clients.Office.Excel.Functions.SPG(U227, "SP_MARKETCAP", "12/31/2021")</f>
        <v>26482.839210689999</v>
      </c>
      <c r="AB227">
        <f t="shared" si="42"/>
        <v>6.2413447247755408E-4</v>
      </c>
      <c r="AC227">
        <f t="shared" si="49"/>
        <v>8.5506422729424917E-4</v>
      </c>
    </row>
    <row r="228" spans="1:29" x14ac:dyDescent="0.3">
      <c r="A228" t="s">
        <v>228</v>
      </c>
      <c r="B228" s="4" cm="1">
        <f t="array" ref="B228">_xll.SNL.Clients.Office.Excel.Functions.SPG(A228, "SP_TOTAL_REV", "CY2023")</f>
        <v>5392000</v>
      </c>
      <c r="C228" s="4">
        <f>_xll.SNL.Clients.Office.Excel.Functions.SPG(A228,"IQ_AVG_DILUT_SHARES_OUT","CY2023")</f>
        <v>712800000</v>
      </c>
      <c r="D228" s="5">
        <f>_xll.SNL.Clients.Office.Excel.Functions.SPG(A228, "IQ_DILUT_EPS_NORM", "CY2023")</f>
        <v>0.61299999999999999</v>
      </c>
      <c r="E228">
        <f t="shared" si="38"/>
        <v>436946.4</v>
      </c>
      <c r="F228">
        <f t="shared" si="39"/>
        <v>8.1036053412462908E-2</v>
      </c>
      <c r="G228" s="5">
        <f>_xll.SNL.Clients.Office.Excel.Functions.SPG(A228, "SP_MARKETCAP", "12/30/2023")</f>
        <v>13734.858623640001</v>
      </c>
      <c r="H228">
        <f t="shared" si="43"/>
        <v>3.2688964941275368E-4</v>
      </c>
      <c r="I228">
        <f t="shared" si="44"/>
        <v>2.0038335509001801E-4</v>
      </c>
      <c r="K228" t="s">
        <v>228</v>
      </c>
      <c r="L228" s="4" cm="1">
        <f t="array" ref="L228">_xll.SNL.Clients.Office.Excel.Functions.SPG(K228, "SP_TOTAL_REV", "CY2023")</f>
        <v>5392000</v>
      </c>
      <c r="M228" s="4">
        <f>_xll.SNL.Clients.Office.Excel.Functions.SPG(K228,"IQ_AVG_DILUT_SHARES_OUT","CY2023")</f>
        <v>712800000</v>
      </c>
      <c r="N228" s="5">
        <f>_xll.SNL.Clients.Office.Excel.Functions.SPG(K228, "IQ_DILUT_EPS_NORM", "CY2023")</f>
        <v>0.61299999999999999</v>
      </c>
      <c r="O228">
        <f t="shared" si="40"/>
        <v>436946.4</v>
      </c>
      <c r="P228">
        <f t="shared" si="41"/>
        <v>8.1036053412462908E-2</v>
      </c>
      <c r="Q228" s="5">
        <f>_xll.SNL.Clients.Office.Excel.Functions.SPG(K228, "SP_MARKETCAP", "12/31/2022")</f>
        <v>11476.19556405</v>
      </c>
      <c r="R228">
        <f t="shared" si="45"/>
        <v>3.4059283021078924E-4</v>
      </c>
      <c r="S228">
        <f t="shared" si="46"/>
        <v>2.0878340491921381E-4</v>
      </c>
      <c r="U228" t="s">
        <v>228</v>
      </c>
      <c r="V228" s="4" cm="1">
        <f t="array" ref="V228">_xll.SNL.Clients.Office.Excel.Functions.SPG(U228, "SP_TOTAL_REV", "CY2021")</f>
        <v>2923000</v>
      </c>
      <c r="W228" s="4">
        <f>_xll.SNL.Clients.Office.Excel.Functions.SPG(U228,"IQ_AVG_DILUT_SHARES_OUT","CY2021")</f>
        <v>710300000</v>
      </c>
      <c r="X228" s="5">
        <f>_xll.SNL.Clients.Office.Excel.Functions.SPG(U228, "IQ_DILUT_EPS_NORM", "CY2021")</f>
        <v>-1.6E-2</v>
      </c>
      <c r="Y228">
        <f t="shared" si="47"/>
        <v>-11364.8</v>
      </c>
      <c r="Z228">
        <f t="shared" si="48"/>
        <v>-3.888060212110845E-3</v>
      </c>
      <c r="AA228" s="5">
        <f>_xll.SNL.Clients.Office.Excel.Functions.SPG(U228, "SP_MARKETCAP", "12/31/2021")</f>
        <v>12417.074180019999</v>
      </c>
      <c r="AB228">
        <f t="shared" si="42"/>
        <v>2.9263947046633595E-4</v>
      </c>
      <c r="AC228">
        <f t="shared" si="49"/>
        <v>-4.682231527461375E-6</v>
      </c>
    </row>
    <row r="229" spans="1:29" x14ac:dyDescent="0.3">
      <c r="A229" t="s">
        <v>229</v>
      </c>
      <c r="B229" s="4" cm="1">
        <f t="array" ref="B229">_xll.SNL.Clients.Office.Excel.Functions.SPG(A229, "SP_TOTAL_REV", "CY2023")</f>
        <v>6640000</v>
      </c>
      <c r="C229" s="4">
        <f>_xll.SNL.Clients.Office.Excel.Functions.SPG(A229,"IQ_AVG_DILUT_SHARES_OUT","CY2023")</f>
        <v>416000000</v>
      </c>
      <c r="D229" s="5">
        <f>_xll.SNL.Clients.Office.Excel.Functions.SPG(A229, "IQ_DILUT_EPS_NORM", "CY2023")</f>
        <v>1.48</v>
      </c>
      <c r="E229">
        <f t="shared" si="38"/>
        <v>615680</v>
      </c>
      <c r="F229">
        <f t="shared" si="39"/>
        <v>9.2722891566265064E-2</v>
      </c>
      <c r="G229" s="5">
        <f>_xll.SNL.Clients.Office.Excel.Functions.SPG(A229, "SP_MARKETCAP", "12/30/2023")</f>
        <v>22283.604438480001</v>
      </c>
      <c r="H229">
        <f t="shared" si="43"/>
        <v>5.3034980862560457E-4</v>
      </c>
      <c r="I229">
        <f t="shared" si="44"/>
        <v>7.8491771676589479E-4</v>
      </c>
      <c r="K229" t="s">
        <v>229</v>
      </c>
      <c r="L229" s="4" cm="1">
        <f t="array" ref="L229">_xll.SNL.Clients.Office.Excel.Functions.SPG(K229, "SP_TOTAL_REV", "CY2023")</f>
        <v>6640000</v>
      </c>
      <c r="M229" s="4">
        <f>_xll.SNL.Clients.Office.Excel.Functions.SPG(K229,"IQ_AVG_DILUT_SHARES_OUT","CY2023")</f>
        <v>416000000</v>
      </c>
      <c r="N229" s="5">
        <f>_xll.SNL.Clients.Office.Excel.Functions.SPG(K229, "IQ_DILUT_EPS_NORM", "CY2023")</f>
        <v>1.48</v>
      </c>
      <c r="O229">
        <f t="shared" si="40"/>
        <v>615680</v>
      </c>
      <c r="P229">
        <f t="shared" si="41"/>
        <v>9.2722891566265064E-2</v>
      </c>
      <c r="Q229" s="5">
        <f>_xll.SNL.Clients.Office.Excel.Functions.SPG(K229, "SP_MARKETCAP", "12/31/2022")</f>
        <v>16304.391378169999</v>
      </c>
      <c r="R229">
        <f t="shared" si="45"/>
        <v>4.838849924927191E-4</v>
      </c>
      <c r="S229">
        <f t="shared" si="46"/>
        <v>7.1614978888922425E-4</v>
      </c>
      <c r="U229" t="s">
        <v>229</v>
      </c>
      <c r="V229" s="4" cm="1">
        <f t="array" ref="V229">_xll.SNL.Clients.Office.Excel.Functions.SPG(U229, "SP_TOTAL_REV", "CY2021")</f>
        <v>4972000</v>
      </c>
      <c r="W229" s="4">
        <f>_xll.SNL.Clients.Office.Excel.Functions.SPG(U229,"IQ_AVG_DILUT_SHARES_OUT","CY2021")</f>
        <v>435000000</v>
      </c>
      <c r="X229" s="5">
        <f>_xll.SNL.Clients.Office.Excel.Functions.SPG(U229, "IQ_DILUT_EPS_NORM", "CY2021")</f>
        <v>0.81200000000000006</v>
      </c>
      <c r="Y229">
        <f t="shared" si="47"/>
        <v>353220</v>
      </c>
      <c r="Z229">
        <f t="shared" si="48"/>
        <v>7.1041834271922774E-2</v>
      </c>
      <c r="AA229" s="5">
        <f>_xll.SNL.Clients.Office.Excel.Functions.SPG(U229, "SP_MARKETCAP", "12/31/2021")</f>
        <v>13598.34836706</v>
      </c>
      <c r="AB229">
        <f t="shared" si="42"/>
        <v>3.2047915697857199E-4</v>
      </c>
      <c r="AC229">
        <f t="shared" si="49"/>
        <v>2.6022907546660048E-4</v>
      </c>
    </row>
    <row r="230" spans="1:29" x14ac:dyDescent="0.3">
      <c r="A230" t="s">
        <v>230</v>
      </c>
      <c r="B230" s="4" cm="1">
        <f t="array" ref="B230">_xll.SNL.Clients.Office.Excel.Functions.SPG(A230, "SP_TOTAL_REV", "CY2023")</f>
        <v>53105000</v>
      </c>
      <c r="C230" s="4">
        <f>_xll.SNL.Clients.Office.Excel.Functions.SPG(A230,"IQ_AVG_DILUT_SHARES_OUT","CY2023")</f>
        <v>1001500000</v>
      </c>
      <c r="D230" s="5">
        <f>_xll.SNL.Clients.Office.Excel.Functions.SPG(A230, "IQ_DILUT_EPS_NORM", "CY2023")</f>
        <v>2.3860000000000001</v>
      </c>
      <c r="E230">
        <f t="shared" si="38"/>
        <v>2389579</v>
      </c>
      <c r="F230">
        <f t="shared" si="39"/>
        <v>4.4997250729686473E-2</v>
      </c>
      <c r="G230" s="5">
        <f>_xll.SNL.Clients.Office.Excel.Functions.SPG(A230, "SP_MARKETCAP", "12/30/2023")</f>
        <v>29816.254690410002</v>
      </c>
      <c r="H230">
        <f t="shared" si="43"/>
        <v>7.0962689239290153E-4</v>
      </c>
      <c r="I230">
        <f t="shared" si="44"/>
        <v>1.6931697652494632E-3</v>
      </c>
      <c r="K230" t="s">
        <v>230</v>
      </c>
      <c r="L230" s="4" cm="1">
        <f t="array" ref="L230">_xll.SNL.Clients.Office.Excel.Functions.SPG(K230, "SP_TOTAL_REV", "CY2023")</f>
        <v>53105000</v>
      </c>
      <c r="M230" s="4">
        <f>_xll.SNL.Clients.Office.Excel.Functions.SPG(K230,"IQ_AVG_DILUT_SHARES_OUT","CY2023")</f>
        <v>1001500000</v>
      </c>
      <c r="N230" s="5">
        <f>_xll.SNL.Clients.Office.Excel.Functions.SPG(K230, "IQ_DILUT_EPS_NORM", "CY2023")</f>
        <v>2.3860000000000001</v>
      </c>
      <c r="O230">
        <f t="shared" si="40"/>
        <v>2389579</v>
      </c>
      <c r="P230">
        <f t="shared" si="41"/>
        <v>4.4997250729686473E-2</v>
      </c>
      <c r="Q230" s="5">
        <f>_xll.SNL.Clients.Office.Excel.Functions.SPG(K230, "SP_MARKETCAP", "12/31/2022")</f>
        <v>26390.25753852</v>
      </c>
      <c r="R230">
        <f t="shared" si="45"/>
        <v>7.8321534822853095E-4</v>
      </c>
      <c r="S230">
        <f t="shared" si="46"/>
        <v>1.8687518208732748E-3</v>
      </c>
      <c r="U230" t="s">
        <v>230</v>
      </c>
      <c r="V230" s="4" cm="1">
        <f t="array" ref="V230">_xll.SNL.Clients.Office.Excel.Functions.SPG(U230, "SP_TOTAL_REV", "CY2021")</f>
        <v>64869000</v>
      </c>
      <c r="W230" s="4">
        <f>_xll.SNL.Clients.Office.Excel.Functions.SPG(U230,"IQ_AVG_DILUT_SHARES_OUT","CY2021")</f>
        <v>1170250000</v>
      </c>
      <c r="X230" s="5">
        <f>_xll.SNL.Clients.Office.Excel.Functions.SPG(U230, "IQ_DILUT_EPS_NORM", "CY2021")</f>
        <v>2.952</v>
      </c>
      <c r="Y230">
        <f t="shared" si="47"/>
        <v>3454578</v>
      </c>
      <c r="Z230">
        <f t="shared" si="48"/>
        <v>5.325468251398973E-2</v>
      </c>
      <c r="AA230" s="5">
        <f>_xll.SNL.Clients.Office.Excel.Functions.SPG(U230, "SP_MARKETCAP", "12/31/2021")</f>
        <v>40786.158797529999</v>
      </c>
      <c r="AB230">
        <f t="shared" si="42"/>
        <v>9.6122804292096491E-4</v>
      </c>
      <c r="AC230">
        <f t="shared" si="49"/>
        <v>2.8375451827026884E-3</v>
      </c>
    </row>
    <row r="231" spans="1:29" x14ac:dyDescent="0.3">
      <c r="A231" t="s">
        <v>231</v>
      </c>
      <c r="B231" s="4" cm="1">
        <f t="array" ref="B231">_xll.SNL.Clients.Office.Excel.Functions.SPG(A231, "SP_TOTAL_REV", "CY2023")</f>
        <v>5372900</v>
      </c>
      <c r="C231" s="4">
        <f>_xll.SNL.Clients.Office.Excel.Functions.SPG(A231,"IQ_AVG_DILUT_SHARES_OUT","CY2023")</f>
        <v>54000000</v>
      </c>
      <c r="D231" s="5">
        <f>_xll.SNL.Clients.Office.Excel.Functions.SPG(A231, "IQ_DILUT_EPS_NORM", "CY2023")</f>
        <v>11.327999999999999</v>
      </c>
      <c r="E231">
        <f t="shared" si="38"/>
        <v>611712</v>
      </c>
      <c r="F231">
        <f t="shared" si="39"/>
        <v>0.11385136518453721</v>
      </c>
      <c r="G231" s="5">
        <f>_xll.SNL.Clients.Office.Excel.Functions.SPG(A231, "SP_MARKETCAP", "12/30/2023")</f>
        <v>17637.900906499999</v>
      </c>
      <c r="H231">
        <f t="shared" si="43"/>
        <v>4.1978205977155289E-4</v>
      </c>
      <c r="I231">
        <f t="shared" si="44"/>
        <v>4.7552911730921509E-3</v>
      </c>
      <c r="K231" t="s">
        <v>231</v>
      </c>
      <c r="L231" s="4" cm="1">
        <f t="array" ref="L231">_xll.SNL.Clients.Office.Excel.Functions.SPG(K231, "SP_TOTAL_REV", "CY2023")</f>
        <v>5372900</v>
      </c>
      <c r="M231" s="4">
        <f>_xll.SNL.Clients.Office.Excel.Functions.SPG(K231,"IQ_AVG_DILUT_SHARES_OUT","CY2023")</f>
        <v>54000000</v>
      </c>
      <c r="N231" s="5">
        <f>_xll.SNL.Clients.Office.Excel.Functions.SPG(K231, "IQ_DILUT_EPS_NORM", "CY2023")</f>
        <v>11.327999999999999</v>
      </c>
      <c r="O231">
        <f t="shared" si="40"/>
        <v>611712</v>
      </c>
      <c r="P231">
        <f t="shared" si="41"/>
        <v>0.11385136518453721</v>
      </c>
      <c r="Q231" s="5">
        <f>_xll.SNL.Clients.Office.Excel.Functions.SPG(K231, "SP_MARKETCAP", "12/31/2022")</f>
        <v>12603.68394972</v>
      </c>
      <c r="R231">
        <f t="shared" si="45"/>
        <v>3.7405465631525997E-4</v>
      </c>
      <c r="S231">
        <f t="shared" si="46"/>
        <v>4.2372911467392646E-3</v>
      </c>
      <c r="U231" t="s">
        <v>231</v>
      </c>
      <c r="V231" s="4" cm="1">
        <f t="array" ref="V231">_xll.SNL.Clients.Office.Excel.Functions.SPG(U231, "SP_TOTAL_REV", "CY2021")</f>
        <v>4194100</v>
      </c>
      <c r="W231" s="4">
        <f>_xll.SNL.Clients.Office.Excel.Functions.SPG(U231,"IQ_AVG_DILUT_SHARES_OUT","CY2021")</f>
        <v>54700000</v>
      </c>
      <c r="X231" s="5">
        <f>_xll.SNL.Clients.Office.Excel.Functions.SPG(U231, "IQ_DILUT_EPS_NORM", "CY2021")</f>
        <v>5.452</v>
      </c>
      <c r="Y231">
        <f t="shared" si="47"/>
        <v>298224.40000000002</v>
      </c>
      <c r="Z231">
        <f t="shared" si="48"/>
        <v>7.1105696096898027E-2</v>
      </c>
      <c r="AA231" s="5">
        <f>_xll.SNL.Clients.Office.Excel.Functions.SPG(U231, "SP_MARKETCAP", "12/31/2021")</f>
        <v>11332.154602410001</v>
      </c>
      <c r="AB231">
        <f t="shared" si="42"/>
        <v>2.6707062179172494E-4</v>
      </c>
      <c r="AC231">
        <f t="shared" si="49"/>
        <v>1.4560690300084844E-3</v>
      </c>
    </row>
    <row r="232" spans="1:29" x14ac:dyDescent="0.3">
      <c r="A232" t="s">
        <v>232</v>
      </c>
      <c r="B232" s="4" cm="1">
        <f t="array" ref="B232">_xll.SNL.Clients.Office.Excel.Functions.SPG(A232, "SP_TOTAL_REV", "CY2023")</f>
        <v>106374000</v>
      </c>
      <c r="C232" s="4">
        <f>_xll.SNL.Clients.Office.Excel.Functions.SPG(A232,"IQ_AVG_DILUT_SHARES_OUT","CY2023")</f>
        <v>124441000</v>
      </c>
      <c r="D232" s="5">
        <f>_xll.SNL.Clients.Office.Excel.Functions.SPG(A232, "IQ_DILUT_EPS_NORM", "CY2023")</f>
        <v>19.532</v>
      </c>
      <c r="E232">
        <f t="shared" si="38"/>
        <v>2430581.6120000002</v>
      </c>
      <c r="F232">
        <f t="shared" si="39"/>
        <v>2.284939564179217E-2</v>
      </c>
      <c r="G232" s="5">
        <f>_xll.SNL.Clients.Office.Excel.Functions.SPG(A232, "SP_MARKETCAP", "12/30/2023")</f>
        <v>56361.318723199998</v>
      </c>
      <c r="H232">
        <f t="shared" si="43"/>
        <v>1.341399443759591E-3</v>
      </c>
      <c r="I232">
        <f t="shared" si="44"/>
        <v>2.6200213935512331E-2</v>
      </c>
      <c r="K232" t="s">
        <v>232</v>
      </c>
      <c r="L232" s="4" cm="1">
        <f t="array" ref="L232">_xll.SNL.Clients.Office.Excel.Functions.SPG(K232, "SP_TOTAL_REV", "CY2023")</f>
        <v>106374000</v>
      </c>
      <c r="M232" s="4">
        <f>_xll.SNL.Clients.Office.Excel.Functions.SPG(K232,"IQ_AVG_DILUT_SHARES_OUT","CY2023")</f>
        <v>124441000</v>
      </c>
      <c r="N232" s="5">
        <f>_xll.SNL.Clients.Office.Excel.Functions.SPG(K232, "IQ_DILUT_EPS_NORM", "CY2023")</f>
        <v>19.532</v>
      </c>
      <c r="O232">
        <f t="shared" si="40"/>
        <v>2430581.6120000002</v>
      </c>
      <c r="P232">
        <f t="shared" si="41"/>
        <v>2.284939564179217E-2</v>
      </c>
      <c r="Q232" s="5">
        <f>_xll.SNL.Clients.Office.Excel.Functions.SPG(K232, "SP_MARKETCAP", "12/31/2022")</f>
        <v>64843.41687642</v>
      </c>
      <c r="R232">
        <f t="shared" si="45"/>
        <v>1.924435911815708E-3</v>
      </c>
      <c r="S232">
        <f t="shared" si="46"/>
        <v>3.7588082229584409E-2</v>
      </c>
      <c r="U232" t="s">
        <v>232</v>
      </c>
      <c r="V232" s="4" cm="1">
        <f t="array" ref="V232">_xll.SNL.Clients.Office.Excel.Functions.SPG(U232, "SP_TOTAL_REV", "CY2021")</f>
        <v>83064000</v>
      </c>
      <c r="W232" s="4">
        <f>_xll.SNL.Clients.Office.Excel.Functions.SPG(U232,"IQ_AVG_DILUT_SHARES_OUT","CY2021")</f>
        <v>129396000</v>
      </c>
      <c r="X232" s="5">
        <f>_xll.SNL.Clients.Office.Excel.Functions.SPG(U232, "IQ_DILUT_EPS_NORM", "CY2021")</f>
        <v>16.506</v>
      </c>
      <c r="Y232">
        <f t="shared" si="47"/>
        <v>2135810.3760000002</v>
      </c>
      <c r="Z232">
        <f t="shared" si="48"/>
        <v>2.5712828373302514E-2</v>
      </c>
      <c r="AA232" s="5">
        <f>_xll.SNL.Clients.Office.Excel.Functions.SPG(U232, "SP_MARKETCAP", "12/31/2021")</f>
        <v>59621.916223259999</v>
      </c>
      <c r="AB232">
        <f t="shared" si="42"/>
        <v>1.4051398694096349E-3</v>
      </c>
      <c r="AC232">
        <f t="shared" si="49"/>
        <v>2.3193238684475433E-2</v>
      </c>
    </row>
    <row r="233" spans="1:29" x14ac:dyDescent="0.3">
      <c r="A233" t="s">
        <v>233</v>
      </c>
      <c r="B233" s="4" cm="1">
        <f t="array" ref="B233">_xll.SNL.Clients.Office.Excel.Functions.SPG(A233, "SP_TOTAL_REV", "CY2023")</f>
        <v>7303000</v>
      </c>
      <c r="C233" s="4">
        <f>_xll.SNL.Clients.Office.Excel.Functions.SPG(A233,"IQ_AVG_DILUT_SHARES_OUT","CY2023")</f>
        <v>1468016000</v>
      </c>
      <c r="D233" s="5">
        <f>_xll.SNL.Clients.Office.Excel.Functions.SPG(A233, "IQ_DILUT_EPS_NORM", "CY2023")</f>
        <v>1.0009999999999999</v>
      </c>
      <c r="E233">
        <f t="shared" si="38"/>
        <v>1469484.0159999998</v>
      </c>
      <c r="F233">
        <f t="shared" si="39"/>
        <v>0.20121648856634258</v>
      </c>
      <c r="G233" s="5">
        <f>_xll.SNL.Clients.Office.Excel.Functions.SPG(A233, "SP_MARKETCAP", "12/30/2023")</f>
        <v>18419.51518296</v>
      </c>
      <c r="H233">
        <f t="shared" si="43"/>
        <v>4.3838448035768483E-4</v>
      </c>
      <c r="I233">
        <f t="shared" si="44"/>
        <v>4.3882286483804244E-4</v>
      </c>
      <c r="K233" t="s">
        <v>233</v>
      </c>
      <c r="L233" s="4" cm="1">
        <f t="array" ref="L233">_xll.SNL.Clients.Office.Excel.Functions.SPG(K233, "SP_TOTAL_REV", "CY2023")</f>
        <v>7303000</v>
      </c>
      <c r="M233" s="4">
        <f>_xll.SNL.Clients.Office.Excel.Functions.SPG(K233,"IQ_AVG_DILUT_SHARES_OUT","CY2023")</f>
        <v>1468016000</v>
      </c>
      <c r="N233" s="5">
        <f>_xll.SNL.Clients.Office.Excel.Functions.SPG(K233, "IQ_DILUT_EPS_NORM", "CY2023")</f>
        <v>1.0009999999999999</v>
      </c>
      <c r="O233">
        <f t="shared" si="40"/>
        <v>1469484.0159999998</v>
      </c>
      <c r="P233">
        <f t="shared" si="41"/>
        <v>0.20121648856634258</v>
      </c>
      <c r="Q233" s="5">
        <f>_xll.SNL.Clients.Office.Excel.Functions.SPG(K233, "SP_MARKETCAP", "12/31/2022")</f>
        <v>20342.552995499998</v>
      </c>
      <c r="R233">
        <f t="shared" si="45"/>
        <v>6.0373036166745187E-4</v>
      </c>
      <c r="S233">
        <f t="shared" si="46"/>
        <v>6.0433409202911923E-4</v>
      </c>
      <c r="U233" t="s">
        <v>233</v>
      </c>
      <c r="V233" s="4" cm="1">
        <f t="array" ref="V233">_xll.SNL.Clients.Office.Excel.Functions.SPG(U233, "SP_TOTAL_REV", "CY2021")</f>
        <v>5985000</v>
      </c>
      <c r="W233" s="4">
        <f>_xll.SNL.Clients.Office.Excel.Functions.SPG(U233,"IQ_AVG_DILUT_SHARES_OUT","CY2021")</f>
        <v>1286733000</v>
      </c>
      <c r="X233" s="5">
        <f>_xll.SNL.Clients.Office.Excel.Functions.SPG(U233, "IQ_DILUT_EPS_NORM", "CY2021")</f>
        <v>0.77100000000000002</v>
      </c>
      <c r="Y233">
        <f t="shared" si="47"/>
        <v>992071.14300000004</v>
      </c>
      <c r="Z233">
        <f t="shared" si="48"/>
        <v>0.16575958947368422</v>
      </c>
      <c r="AA233" s="5">
        <f>_xll.SNL.Clients.Office.Excel.Functions.SPG(U233, "SP_MARKETCAP", "12/31/2021")</f>
        <v>22304.432459579999</v>
      </c>
      <c r="AB233">
        <f t="shared" si="42"/>
        <v>5.2565984622418788E-4</v>
      </c>
      <c r="AC233">
        <f t="shared" si="49"/>
        <v>4.0528374143884889E-4</v>
      </c>
    </row>
    <row r="234" spans="1:29" x14ac:dyDescent="0.3">
      <c r="A234" t="s">
        <v>234</v>
      </c>
      <c r="B234" s="4" cm="1">
        <f t="array" ref="B234">_xll.SNL.Clients.Office.Excel.Functions.SPG(A234, "SP_TOTAL_REV", "CY2023")</f>
        <v>11454000</v>
      </c>
      <c r="C234" s="4">
        <f>_xll.SNL.Clients.Office.Excel.Functions.SPG(A234,"IQ_AVG_DILUT_SHARES_OUT","CY2023")</f>
        <v>39900000</v>
      </c>
      <c r="D234" s="5">
        <f>_xll.SNL.Clients.Office.Excel.Functions.SPG(A234, "IQ_DILUT_EPS_NORM", "CY2023")</f>
        <v>11.122</v>
      </c>
      <c r="E234">
        <f t="shared" si="38"/>
        <v>443767.8</v>
      </c>
      <c r="F234">
        <f t="shared" si="39"/>
        <v>3.8743478260869567E-2</v>
      </c>
      <c r="G234" s="5">
        <f>_xll.SNL.Clients.Office.Excel.Functions.SPG(A234, "SP_MARKETCAP", "12/30/2023")</f>
        <v>10313.79811584</v>
      </c>
      <c r="H234">
        <f t="shared" si="43"/>
        <v>2.4546840579763843E-4</v>
      </c>
      <c r="I234">
        <f t="shared" si="44"/>
        <v>2.7300996092813347E-3</v>
      </c>
      <c r="K234" t="s">
        <v>234</v>
      </c>
      <c r="L234" s="4" cm="1">
        <f t="array" ref="L234">_xll.SNL.Clients.Office.Excel.Functions.SPG(K234, "SP_TOTAL_REV", "CY2023")</f>
        <v>11454000</v>
      </c>
      <c r="M234" s="4">
        <f>_xll.SNL.Clients.Office.Excel.Functions.SPG(K234,"IQ_AVG_DILUT_SHARES_OUT","CY2023")</f>
        <v>39900000</v>
      </c>
      <c r="N234" s="5">
        <f>_xll.SNL.Clients.Office.Excel.Functions.SPG(K234, "IQ_DILUT_EPS_NORM", "CY2023")</f>
        <v>11.122</v>
      </c>
      <c r="O234">
        <f t="shared" si="40"/>
        <v>443767.8</v>
      </c>
      <c r="P234">
        <f t="shared" si="41"/>
        <v>3.8743478260869567E-2</v>
      </c>
      <c r="Q234" s="5">
        <f>_xll.SNL.Clients.Office.Excel.Functions.SPG(K234, "SP_MARKETCAP", "12/31/2022")</f>
        <v>9204.9476844799992</v>
      </c>
      <c r="R234">
        <f t="shared" si="45"/>
        <v>2.7318628079329191E-4</v>
      </c>
      <c r="S234">
        <f t="shared" si="46"/>
        <v>3.0383778149829926E-3</v>
      </c>
      <c r="U234" t="s">
        <v>234</v>
      </c>
      <c r="V234" s="4" cm="1">
        <f t="array" ref="V234">_xll.SNL.Clients.Office.Excel.Functions.SPG(U234, "SP_TOTAL_REV", "CY2021")</f>
        <v>9524000</v>
      </c>
      <c r="W234" s="4">
        <f>_xll.SNL.Clients.Office.Excel.Functions.SPG(U234,"IQ_AVG_DILUT_SHARES_OUT","CY2021")</f>
        <v>40300000</v>
      </c>
      <c r="X234" s="5">
        <f>_xll.SNL.Clients.Office.Excel.Functions.SPG(U234, "IQ_DILUT_EPS_NORM", "CY2021")</f>
        <v>9.3520000000000003</v>
      </c>
      <c r="Y234">
        <f t="shared" si="47"/>
        <v>376885.6</v>
      </c>
      <c r="Z234">
        <f t="shared" si="48"/>
        <v>3.9572196556068875E-2</v>
      </c>
      <c r="AA234" s="5">
        <f>_xll.SNL.Clients.Office.Excel.Functions.SPG(U234, "SP_MARKETCAP", "12/31/2021")</f>
        <v>7480.9907665199999</v>
      </c>
      <c r="AB234">
        <f t="shared" si="42"/>
        <v>1.7630829491222669E-4</v>
      </c>
      <c r="AC234">
        <f t="shared" si="49"/>
        <v>1.6488351740191441E-3</v>
      </c>
    </row>
    <row r="235" spans="1:29" x14ac:dyDescent="0.3">
      <c r="A235" t="s">
        <v>235</v>
      </c>
      <c r="B235" s="4" cm="1">
        <f t="array" ref="B235">_xll.SNL.Clients.Office.Excel.Functions.SPG(A235, "SP_TOTAL_REV", "CY2023")</f>
        <v>3273900</v>
      </c>
      <c r="C235" s="4">
        <f>_xll.SNL.Clients.Office.Excel.Functions.SPG(A235,"IQ_AVG_DILUT_SHARES_OUT","CY2023")</f>
        <v>75900000</v>
      </c>
      <c r="D235" s="5">
        <f>_xll.SNL.Clients.Office.Excel.Functions.SPG(A235, "IQ_DILUT_EPS_NORM", "CY2023")</f>
        <v>5.7329999999999997</v>
      </c>
      <c r="E235">
        <f t="shared" si="38"/>
        <v>435134.7</v>
      </c>
      <c r="F235">
        <f t="shared" si="39"/>
        <v>0.13291019884541372</v>
      </c>
      <c r="G235" s="5">
        <f>_xll.SNL.Clients.Office.Excel.Functions.SPG(A235, "SP_MARKETCAP", "12/30/2023")</f>
        <v>16419.060772289999</v>
      </c>
      <c r="H235">
        <f t="shared" si="43"/>
        <v>3.9077366331988922E-4</v>
      </c>
      <c r="I235">
        <f t="shared" si="44"/>
        <v>2.2403054118129246E-3</v>
      </c>
      <c r="K235" t="s">
        <v>235</v>
      </c>
      <c r="L235" s="4" cm="1">
        <f t="array" ref="L235">_xll.SNL.Clients.Office.Excel.Functions.SPG(K235, "SP_TOTAL_REV", "CY2023")</f>
        <v>3273900</v>
      </c>
      <c r="M235" s="4">
        <f>_xll.SNL.Clients.Office.Excel.Functions.SPG(K235,"IQ_AVG_DILUT_SHARES_OUT","CY2023")</f>
        <v>75900000</v>
      </c>
      <c r="N235" s="5">
        <f>_xll.SNL.Clients.Office.Excel.Functions.SPG(K235, "IQ_DILUT_EPS_NORM", "CY2023")</f>
        <v>5.7329999999999997</v>
      </c>
      <c r="O235">
        <f t="shared" si="40"/>
        <v>435134.7</v>
      </c>
      <c r="P235">
        <f t="shared" si="41"/>
        <v>0.13291019884541372</v>
      </c>
      <c r="Q235" s="5">
        <f>_xll.SNL.Clients.Office.Excel.Functions.SPG(K235, "SP_MARKETCAP", "12/31/2022")</f>
        <v>17220.90181797</v>
      </c>
      <c r="R235">
        <f t="shared" si="45"/>
        <v>5.1108537286851817E-4</v>
      </c>
      <c r="S235">
        <f t="shared" si="46"/>
        <v>2.9300524426552144E-3</v>
      </c>
      <c r="U235" t="s">
        <v>235</v>
      </c>
      <c r="V235" s="4" cm="1">
        <f t="array" ref="V235">_xll.SNL.Clients.Office.Excel.Functions.SPG(U235, "SP_TOTAL_REV", "CY2021")</f>
        <v>2764800</v>
      </c>
      <c r="W235" s="4">
        <f>_xll.SNL.Clients.Office.Excel.Functions.SPG(U235,"IQ_AVG_DILUT_SHARES_OUT","CY2021")</f>
        <v>76400000</v>
      </c>
      <c r="X235" s="5">
        <f>_xll.SNL.Clients.Office.Excel.Functions.SPG(U235, "IQ_DILUT_EPS_NORM", "CY2021")</f>
        <v>5.1180000000000003</v>
      </c>
      <c r="Y235">
        <f t="shared" si="47"/>
        <v>391015.2</v>
      </c>
      <c r="Z235">
        <f t="shared" si="48"/>
        <v>0.14142621527777779</v>
      </c>
      <c r="AA235" s="5">
        <f>_xll.SNL.Clients.Office.Excel.Functions.SPG(U235, "SP_MARKETCAP", "12/31/2021")</f>
        <v>17967.7628984</v>
      </c>
      <c r="AB235">
        <f t="shared" si="42"/>
        <v>4.2345536024203612E-4</v>
      </c>
      <c r="AC235">
        <f t="shared" si="49"/>
        <v>2.1672445337187411E-3</v>
      </c>
    </row>
    <row r="236" spans="1:29" x14ac:dyDescent="0.3">
      <c r="A236" t="s">
        <v>236</v>
      </c>
      <c r="B236" s="4" cm="1">
        <f t="array" ref="B236">_xll.SNL.Clients.Office.Excel.Functions.SPG(A236, "SP_TOTAL_REV", "CY2023")</f>
        <v>3660953</v>
      </c>
      <c r="C236" s="4">
        <f>_xll.SNL.Clients.Office.Excel.Functions.SPG(A236,"IQ_AVG_DILUT_SHARES_OUT","CY2023")</f>
        <v>83978000</v>
      </c>
      <c r="D236" s="5">
        <f>_xll.SNL.Clients.Office.Excel.Functions.SPG(A236, "IQ_DILUT_EPS_NORM", "CY2023")</f>
        <v>7.8979999999999997</v>
      </c>
      <c r="E236">
        <f t="shared" si="38"/>
        <v>663258.24399999995</v>
      </c>
      <c r="F236">
        <f t="shared" si="39"/>
        <v>0.18117092571251256</v>
      </c>
      <c r="G236" s="5">
        <f>_xll.SNL.Clients.Office.Excel.Functions.SPG(A236, "SP_MARKETCAP", "12/30/2023")</f>
        <v>46097.847195100003</v>
      </c>
      <c r="H236">
        <f t="shared" si="43"/>
        <v>1.097128810802086E-3</v>
      </c>
      <c r="I236">
        <f t="shared" si="44"/>
        <v>8.6651233477148745E-3</v>
      </c>
      <c r="K236" t="s">
        <v>236</v>
      </c>
      <c r="L236" s="4" cm="1">
        <f t="array" ref="L236">_xll.SNL.Clients.Office.Excel.Functions.SPG(K236, "SP_TOTAL_REV", "CY2023")</f>
        <v>3660953</v>
      </c>
      <c r="M236" s="4">
        <f>_xll.SNL.Clients.Office.Excel.Functions.SPG(K236,"IQ_AVG_DILUT_SHARES_OUT","CY2023")</f>
        <v>83978000</v>
      </c>
      <c r="N236" s="5">
        <f>_xll.SNL.Clients.Office.Excel.Functions.SPG(K236, "IQ_DILUT_EPS_NORM", "CY2023")</f>
        <v>7.8979999999999997</v>
      </c>
      <c r="O236">
        <f t="shared" si="40"/>
        <v>663258.24399999995</v>
      </c>
      <c r="P236">
        <f t="shared" si="41"/>
        <v>0.18117092571251256</v>
      </c>
      <c r="Q236" s="5">
        <f>_xll.SNL.Clients.Office.Excel.Functions.SPG(K236, "SP_MARKETCAP", "12/31/2022")</f>
        <v>33786.005777719998</v>
      </c>
      <c r="R236">
        <f t="shared" si="45"/>
        <v>1.0027078455685332E-3</v>
      </c>
      <c r="S236">
        <f t="shared" si="46"/>
        <v>7.9193865643002754E-3</v>
      </c>
      <c r="U236" t="s">
        <v>236</v>
      </c>
      <c r="V236" s="4" cm="1">
        <f t="array" ref="V236">_xll.SNL.Clients.Office.Excel.Functions.SPG(U236, "SP_TOTAL_REV", "CY2021")</f>
        <v>3215360</v>
      </c>
      <c r="W236" s="4">
        <f>_xll.SNL.Clients.Office.Excel.Functions.SPG(U236,"IQ_AVG_DILUT_SHARES_OUT","CY2021")</f>
        <v>86572000</v>
      </c>
      <c r="X236" s="5">
        <f>_xll.SNL.Clients.Office.Excel.Functions.SPG(U236, "IQ_DILUT_EPS_NORM", "CY2021")</f>
        <v>6.5170000000000003</v>
      </c>
      <c r="Y236">
        <f t="shared" si="47"/>
        <v>564189.72400000005</v>
      </c>
      <c r="Z236">
        <f t="shared" si="48"/>
        <v>0.17546704692476117</v>
      </c>
      <c r="AA236" s="5">
        <f>_xll.SNL.Clients.Office.Excel.Functions.SPG(U236, "SP_MARKETCAP", "12/31/2021")</f>
        <v>55833.199123680002</v>
      </c>
      <c r="AB236">
        <f t="shared" si="42"/>
        <v>1.3158492563639409E-3</v>
      </c>
      <c r="AC236">
        <f t="shared" si="49"/>
        <v>8.5753896037238028E-3</v>
      </c>
    </row>
    <row r="237" spans="1:29" x14ac:dyDescent="0.3">
      <c r="A237" t="s">
        <v>237</v>
      </c>
      <c r="B237" s="4" cm="1">
        <f t="array" ref="B237">_xll.SNL.Clients.Office.Excel.Functions.SPG(A237, "SP_TOTAL_REV", "CY2023")</f>
        <v>16107000</v>
      </c>
      <c r="C237" s="4">
        <f>_xll.SNL.Clients.Office.Excel.Functions.SPG(A237,"IQ_AVG_DILUT_SHARES_OUT","CY2023")</f>
        <v>303600000</v>
      </c>
      <c r="D237" s="5">
        <f>_xll.SNL.Clients.Office.Excel.Functions.SPG(A237, "IQ_DILUT_EPS_NORM", "CY2023")</f>
        <v>7.8639999999999999</v>
      </c>
      <c r="E237">
        <f t="shared" si="38"/>
        <v>2387510.4</v>
      </c>
      <c r="F237">
        <f t="shared" si="39"/>
        <v>0.14822812441795491</v>
      </c>
      <c r="G237" s="5">
        <f>_xll.SNL.Clients.Office.Excel.Functions.SPG(A237, "SP_MARKETCAP", "12/30/2023")</f>
        <v>78814.047407200007</v>
      </c>
      <c r="H237">
        <f t="shared" si="43"/>
        <v>1.8757744096030557E-3</v>
      </c>
      <c r="I237">
        <f t="shared" si="44"/>
        <v>1.475108995711843E-2</v>
      </c>
      <c r="K237" t="s">
        <v>237</v>
      </c>
      <c r="L237" s="4" cm="1">
        <f t="array" ref="L237">_xll.SNL.Clients.Office.Excel.Functions.SPG(K237, "SP_TOTAL_REV", "CY2023")</f>
        <v>16107000</v>
      </c>
      <c r="M237" s="4">
        <f>_xll.SNL.Clients.Office.Excel.Functions.SPG(K237,"IQ_AVG_DILUT_SHARES_OUT","CY2023")</f>
        <v>303600000</v>
      </c>
      <c r="N237" s="5">
        <f>_xll.SNL.Clients.Office.Excel.Functions.SPG(K237, "IQ_DILUT_EPS_NORM", "CY2023")</f>
        <v>7.8639999999999999</v>
      </c>
      <c r="O237">
        <f t="shared" si="40"/>
        <v>2387510.4</v>
      </c>
      <c r="P237">
        <f t="shared" si="41"/>
        <v>0.14822812441795491</v>
      </c>
      <c r="Q237" s="5">
        <f>_xll.SNL.Clients.Office.Excel.Functions.SPG(K237, "SP_MARKETCAP", "12/31/2022")</f>
        <v>67673.159293699995</v>
      </c>
      <c r="R237">
        <f t="shared" si="45"/>
        <v>2.0084175739693275E-3</v>
      </c>
      <c r="S237">
        <f t="shared" si="46"/>
        <v>1.5794195801694791E-2</v>
      </c>
      <c r="U237" t="s">
        <v>237</v>
      </c>
      <c r="V237" s="4" cm="1">
        <f t="array" ref="V237">_xll.SNL.Clients.Office.Excel.Functions.SPG(U237, "SP_TOTAL_REV", "CY2021")</f>
        <v>14455000</v>
      </c>
      <c r="W237" s="4">
        <f>_xll.SNL.Clients.Office.Excel.Functions.SPG(U237,"IQ_AVG_DILUT_SHARES_OUT","CY2021")</f>
        <v>316400000</v>
      </c>
      <c r="X237" s="5">
        <f>_xll.SNL.Clients.Office.Excel.Functions.SPG(U237, "IQ_DILUT_EPS_NORM", "CY2021")</f>
        <v>6.5129999999999999</v>
      </c>
      <c r="Y237">
        <f t="shared" si="47"/>
        <v>2060713.2</v>
      </c>
      <c r="Z237">
        <f t="shared" si="48"/>
        <v>0.14256058111380146</v>
      </c>
      <c r="AA237" s="5">
        <f>_xll.SNL.Clients.Office.Excel.Functions.SPG(U237, "SP_MARKETCAP", "12/31/2021")</f>
        <v>77465.762929999997</v>
      </c>
      <c r="AB237">
        <f t="shared" si="42"/>
        <v>1.8256748340589688E-3</v>
      </c>
      <c r="AC237">
        <f t="shared" si="49"/>
        <v>1.1890620194226063E-2</v>
      </c>
    </row>
    <row r="238" spans="1:29" x14ac:dyDescent="0.3">
      <c r="A238" t="s">
        <v>238</v>
      </c>
      <c r="B238" s="4" cm="1">
        <f t="array" ref="B238">_xll.SNL.Clients.Office.Excel.Functions.SPG(A238, "SP_TOTAL_REV", "CY2023")</f>
        <v>3695649</v>
      </c>
      <c r="C238" s="4">
        <f>_xll.SNL.Clients.Office.Excel.Functions.SPG(A238,"IQ_AVG_DILUT_SHARES_OUT","CY2023")</f>
        <v>225928000</v>
      </c>
      <c r="D238" s="5">
        <f>_xll.SNL.Clients.Office.Excel.Functions.SPG(A238, "IQ_DILUT_EPS_NORM", "CY2023")</f>
        <v>2.2669999999999999</v>
      </c>
      <c r="E238">
        <f t="shared" si="38"/>
        <v>512178.77600000001</v>
      </c>
      <c r="F238">
        <f t="shared" si="39"/>
        <v>0.13858967017701085</v>
      </c>
      <c r="G238" s="5">
        <f>_xll.SNL.Clients.Office.Excel.Functions.SPG(A238, "SP_MARKETCAP", "12/30/2023")</f>
        <v>14071.819054019999</v>
      </c>
      <c r="H238">
        <f t="shared" si="43"/>
        <v>3.3490930800343649E-4</v>
      </c>
      <c r="I238">
        <f t="shared" si="44"/>
        <v>7.5923940124379046E-4</v>
      </c>
      <c r="K238" t="s">
        <v>238</v>
      </c>
      <c r="L238" s="4" cm="1">
        <f t="array" ref="L238">_xll.SNL.Clients.Office.Excel.Functions.SPG(K238, "SP_TOTAL_REV", "CY2023")</f>
        <v>3695649</v>
      </c>
      <c r="M238" s="4">
        <f>_xll.SNL.Clients.Office.Excel.Functions.SPG(K238,"IQ_AVG_DILUT_SHARES_OUT","CY2023")</f>
        <v>225928000</v>
      </c>
      <c r="N238" s="5">
        <f>_xll.SNL.Clients.Office.Excel.Functions.SPG(K238, "IQ_DILUT_EPS_NORM", "CY2023")</f>
        <v>2.2669999999999999</v>
      </c>
      <c r="O238">
        <f t="shared" si="40"/>
        <v>512178.77600000001</v>
      </c>
      <c r="P238">
        <f t="shared" si="41"/>
        <v>0.13858967017701085</v>
      </c>
      <c r="Q238" s="5">
        <f>_xll.SNL.Clients.Office.Excel.Functions.SPG(K238, "SP_MARKETCAP", "12/31/2022")</f>
        <v>17869.229589760002</v>
      </c>
      <c r="R238">
        <f t="shared" si="45"/>
        <v>5.3032657431596752E-4</v>
      </c>
      <c r="S238">
        <f t="shared" si="46"/>
        <v>1.2022503439742982E-3</v>
      </c>
      <c r="U238" t="s">
        <v>238</v>
      </c>
      <c r="V238" s="4" cm="1">
        <f t="array" ref="V238">_xll.SNL.Clients.Office.Excel.Functions.SPG(U238, "SP_TOTAL_REV", "CY2021")</f>
        <v>2986267</v>
      </c>
      <c r="W238" s="4">
        <f>_xll.SNL.Clients.Office.Excel.Functions.SPG(U238,"IQ_AVG_DILUT_SHARES_OUT","CY2021")</f>
        <v>222074000</v>
      </c>
      <c r="X238" s="5">
        <f>_xll.SNL.Clients.Office.Excel.Functions.SPG(U238, "IQ_DILUT_EPS_NORM", "CY2021")</f>
        <v>1.7150000000000001</v>
      </c>
      <c r="Y238">
        <f t="shared" si="47"/>
        <v>380856.91</v>
      </c>
      <c r="Z238">
        <f t="shared" si="48"/>
        <v>0.12753612118407362</v>
      </c>
      <c r="AA238" s="5">
        <f>_xll.SNL.Clients.Office.Excel.Functions.SPG(U238, "SP_MARKETCAP", "12/31/2021")</f>
        <v>16213.371361199999</v>
      </c>
      <c r="AB238">
        <f t="shared" si="42"/>
        <v>3.8210872713075652E-4</v>
      </c>
      <c r="AC238">
        <f t="shared" si="49"/>
        <v>6.5531646702924749E-4</v>
      </c>
    </row>
    <row r="239" spans="1:29" x14ac:dyDescent="0.3">
      <c r="A239" t="s">
        <v>239</v>
      </c>
      <c r="B239" s="4" cm="1">
        <f t="array" ref="B239">_xll.SNL.Clients.Office.Excel.Functions.SPG(A239, "SP_TOTAL_REV", "CY2023")</f>
        <v>6876100</v>
      </c>
      <c r="C239" s="4">
        <f>_xll.SNL.Clients.Office.Excel.Functions.SPG(A239,"IQ_AVG_DILUT_SHARES_OUT","CY2023")</f>
        <v>409000000</v>
      </c>
      <c r="D239" s="5">
        <f>_xll.SNL.Clients.Office.Excel.Functions.SPG(A239, "IQ_DILUT_EPS_NORM", "CY2023")</f>
        <v>1.6819999999999999</v>
      </c>
      <c r="E239">
        <f t="shared" si="38"/>
        <v>687938</v>
      </c>
      <c r="F239">
        <f t="shared" si="39"/>
        <v>0.1000477014586757</v>
      </c>
      <c r="G239" s="5">
        <f>_xll.SNL.Clients.Office.Excel.Functions.SPG(A239, "SP_MARKETCAP", "12/30/2023")</f>
        <v>31306.99812384</v>
      </c>
      <c r="H239">
        <f t="shared" si="43"/>
        <v>7.4510658764652112E-4</v>
      </c>
      <c r="I239">
        <f t="shared" si="44"/>
        <v>1.2532692804214484E-3</v>
      </c>
      <c r="K239" t="s">
        <v>239</v>
      </c>
      <c r="L239" s="4" cm="1">
        <f t="array" ref="L239">_xll.SNL.Clients.Office.Excel.Functions.SPG(K239, "SP_TOTAL_REV", "CY2023")</f>
        <v>6876100</v>
      </c>
      <c r="M239" s="4">
        <f>_xll.SNL.Clients.Office.Excel.Functions.SPG(K239,"IQ_AVG_DILUT_SHARES_OUT","CY2023")</f>
        <v>409000000</v>
      </c>
      <c r="N239" s="5">
        <f>_xll.SNL.Clients.Office.Excel.Functions.SPG(K239, "IQ_DILUT_EPS_NORM", "CY2023")</f>
        <v>1.6819999999999999</v>
      </c>
      <c r="O239">
        <f t="shared" si="40"/>
        <v>687938</v>
      </c>
      <c r="P239">
        <f t="shared" si="41"/>
        <v>0.1000477014586757</v>
      </c>
      <c r="Q239" s="5">
        <f>_xll.SNL.Clients.Office.Excel.Functions.SPG(K239, "SP_MARKETCAP", "12/31/2022")</f>
        <v>21157.37007175</v>
      </c>
      <c r="R239">
        <f t="shared" si="45"/>
        <v>6.2791266603436438E-4</v>
      </c>
      <c r="S239">
        <f t="shared" si="46"/>
        <v>1.0561491042698008E-3</v>
      </c>
      <c r="U239" t="s">
        <v>239</v>
      </c>
      <c r="V239" s="4" cm="1">
        <f t="array" ref="V239">_xll.SNL.Clients.Office.Excel.Functions.SPG(U239, "SP_TOTAL_REV", "CY2021")</f>
        <v>5152400</v>
      </c>
      <c r="W239" s="4">
        <f>_xll.SNL.Clients.Office.Excel.Functions.SPG(U239,"IQ_AVG_DILUT_SHARES_OUT","CY2021")</f>
        <v>421200000</v>
      </c>
      <c r="X239" s="5">
        <f>_xll.SNL.Clients.Office.Excel.Functions.SPG(U239, "IQ_DILUT_EPS_NORM", "CY2021")</f>
        <v>0.80900000000000005</v>
      </c>
      <c r="Y239">
        <f t="shared" si="47"/>
        <v>340750.8</v>
      </c>
      <c r="Z239">
        <f t="shared" si="48"/>
        <v>6.6134383976399341E-2</v>
      </c>
      <c r="AA239" s="5">
        <f>_xll.SNL.Clients.Office.Excel.Functions.SPG(U239, "SP_MARKETCAP", "12/31/2021")</f>
        <v>25217.260748749999</v>
      </c>
      <c r="AB239">
        <f t="shared" si="42"/>
        <v>5.9430794445925047E-4</v>
      </c>
      <c r="AC239">
        <f t="shared" si="49"/>
        <v>4.8079512706753364E-4</v>
      </c>
    </row>
    <row r="240" spans="1:29" x14ac:dyDescent="0.3">
      <c r="A240" t="s">
        <v>240</v>
      </c>
      <c r="B240" s="4" cm="1">
        <f t="array" ref="B240">_xll.SNL.Clients.Office.Excel.Functions.SPG(A240, "SP_TOTAL_REV", "CY2023")</f>
        <v>1697100</v>
      </c>
      <c r="C240" s="4">
        <f>_xll.SNL.Clients.Office.Excel.Functions.SPG(A240,"IQ_AVG_DILUT_SHARES_OUT","CY2023")</f>
        <v>73633000</v>
      </c>
      <c r="D240" s="5">
        <f>_xll.SNL.Clients.Office.Excel.Functions.SPG(A240, "IQ_DILUT_EPS_NORM", "CY2023")</f>
        <v>1.956</v>
      </c>
      <c r="E240">
        <f t="shared" si="38"/>
        <v>144026.14799999999</v>
      </c>
      <c r="F240">
        <f t="shared" si="39"/>
        <v>8.4866035000883855E-2</v>
      </c>
      <c r="G240" s="5">
        <f>_xll.SNL.Clients.Office.Excel.Functions.SPG(A240, "SP_MARKETCAP", "12/30/2023")</f>
        <v>15151.196770619999</v>
      </c>
      <c r="H240">
        <f t="shared" si="43"/>
        <v>3.6059849877210012E-4</v>
      </c>
      <c r="I240">
        <f t="shared" si="44"/>
        <v>7.053306635982278E-4</v>
      </c>
      <c r="K240" t="s">
        <v>240</v>
      </c>
      <c r="L240" s="4" cm="1">
        <f t="array" ref="L240">_xll.SNL.Clients.Office.Excel.Functions.SPG(K240, "SP_TOTAL_REV", "CY2023")</f>
        <v>1697100</v>
      </c>
      <c r="M240" s="4">
        <f>_xll.SNL.Clients.Office.Excel.Functions.SPG(K240,"IQ_AVG_DILUT_SHARES_OUT","CY2023")</f>
        <v>73633000</v>
      </c>
      <c r="N240" s="5">
        <f>_xll.SNL.Clients.Office.Excel.Functions.SPG(K240, "IQ_DILUT_EPS_NORM", "CY2023")</f>
        <v>1.956</v>
      </c>
      <c r="O240">
        <f t="shared" si="40"/>
        <v>144026.14799999999</v>
      </c>
      <c r="P240">
        <f t="shared" si="41"/>
        <v>8.4866035000883855E-2</v>
      </c>
      <c r="Q240" s="5">
        <f>_xll.SNL.Clients.Office.Excel.Functions.SPG(K240, "SP_MARKETCAP", "12/31/2022")</f>
        <v>20445.003676169999</v>
      </c>
      <c r="R240">
        <f t="shared" si="45"/>
        <v>6.0677091348548861E-4</v>
      </c>
      <c r="S240">
        <f t="shared" si="46"/>
        <v>1.1868439067776156E-3</v>
      </c>
      <c r="U240" t="s">
        <v>240</v>
      </c>
      <c r="V240" s="4" cm="1">
        <f t="array" ref="V240">_xll.SNL.Clients.Office.Excel.Functions.SPG(U240, "SP_TOTAL_REV", "CY2021")</f>
        <v>1098800</v>
      </c>
      <c r="W240" s="4">
        <f>_xll.SNL.Clients.Office.Excel.Functions.SPG(U240,"IQ_AVG_DILUT_SHARES_OUT","CY2021")</f>
        <v>68579000</v>
      </c>
      <c r="X240" s="5">
        <f>_xll.SNL.Clients.Office.Excel.Functions.SPG(U240, "IQ_DILUT_EPS_NORM", "CY2021")</f>
        <v>0.57299999999999995</v>
      </c>
      <c r="Y240">
        <f t="shared" si="47"/>
        <v>39295.767</v>
      </c>
      <c r="Z240">
        <f t="shared" si="48"/>
        <v>3.5762438114306516E-2</v>
      </c>
      <c r="AA240" s="5">
        <f>_xll.SNL.Clients.Office.Excel.Functions.SPG(U240, "SP_MARKETCAP", "12/31/2021")</f>
        <v>18350.125786019998</v>
      </c>
      <c r="AB240">
        <f t="shared" si="42"/>
        <v>4.3246669989716535E-4</v>
      </c>
      <c r="AC240">
        <f t="shared" si="49"/>
        <v>2.4780341904107571E-4</v>
      </c>
    </row>
    <row r="241" spans="1:29" x14ac:dyDescent="0.3">
      <c r="A241" t="s">
        <v>241</v>
      </c>
      <c r="B241" s="4" cm="1">
        <f t="array" ref="B241">_xll.SNL.Clients.Office.Excel.Functions.SPG(A241, "SP_TOTAL_REV", "CY2023")</f>
        <v>54228000</v>
      </c>
      <c r="C241" s="4">
        <f>_xll.SNL.Clients.Office.Excel.Functions.SPG(A241,"IQ_AVG_DILUT_SHARES_OUT","CY2023")</f>
        <v>4212000000</v>
      </c>
      <c r="D241" s="5" t="str">
        <f>_xll.SNL.Clients.Office.Excel.Functions.SPG(A241, "IQ_DILUT_EPS_NORM", "CY2023")</f>
        <v>NA</v>
      </c>
      <c r="E241" t="e">
        <f t="shared" si="38"/>
        <v>#VALUE!</v>
      </c>
      <c r="F241" t="e">
        <f t="shared" si="39"/>
        <v>#VALUE!</v>
      </c>
      <c r="G241" s="5">
        <f>_xll.SNL.Clients.Office.Excel.Functions.SPG(A241, "SP_MARKETCAP", "12/30/2023")</f>
        <v>211854</v>
      </c>
      <c r="H241">
        <f t="shared" si="43"/>
        <v>5.0421254185677366E-3</v>
      </c>
      <c r="I241" t="e">
        <f t="shared" si="44"/>
        <v>#VALUE!</v>
      </c>
      <c r="K241" t="s">
        <v>241</v>
      </c>
      <c r="L241" s="4" cm="1">
        <f t="array" ref="L241">_xll.SNL.Clients.Office.Excel.Functions.SPG(K241, "SP_TOTAL_REV", "CY2023")</f>
        <v>54228000</v>
      </c>
      <c r="M241" s="4">
        <f>_xll.SNL.Clients.Office.Excel.Functions.SPG(K241,"IQ_AVG_DILUT_SHARES_OUT","CY2023")</f>
        <v>4212000000</v>
      </c>
      <c r="N241" s="5" t="str">
        <f>_xll.SNL.Clients.Office.Excel.Functions.SPG(K241, "IQ_DILUT_EPS_NORM", "CY2023")</f>
        <v>NA</v>
      </c>
      <c r="O241" t="e">
        <f t="shared" si="40"/>
        <v>#VALUE!</v>
      </c>
      <c r="P241" t="e">
        <f t="shared" si="41"/>
        <v>#VALUE!</v>
      </c>
      <c r="Q241" s="5">
        <f>_xll.SNL.Clients.Office.Excel.Functions.SPG(K241, "SP_MARKETCAP", "12/31/2022")</f>
        <v>109076.61</v>
      </c>
      <c r="R241">
        <f t="shared" si="45"/>
        <v>3.2371974756229952E-3</v>
      </c>
      <c r="S241" t="e">
        <f t="shared" si="46"/>
        <v>#VALUE!</v>
      </c>
      <c r="U241" t="s">
        <v>241</v>
      </c>
      <c r="V241" s="4" cm="1">
        <f t="array" ref="V241">_xll.SNL.Clients.Office.Excel.Functions.SPG(U241, "SP_TOTAL_REV", "CY2021")</f>
        <v>79024000</v>
      </c>
      <c r="W241" s="4">
        <f>_xll.SNL.Clients.Office.Excel.Functions.SPG(U241,"IQ_AVG_DILUT_SHARES_OUT","CY2021")</f>
        <v>4090000000</v>
      </c>
      <c r="X241" s="5" t="str">
        <f>_xll.SNL.Clients.Office.Excel.Functions.SPG(U241, "IQ_DILUT_EPS_NORM", "CY2021")</f>
        <v>NA</v>
      </c>
      <c r="Y241" t="e">
        <f t="shared" si="47"/>
        <v>#VALUE!</v>
      </c>
      <c r="Z241" t="e">
        <f t="shared" si="48"/>
        <v>#VALUE!</v>
      </c>
      <c r="AA241" s="5">
        <f>_xll.SNL.Clients.Office.Excel.Functions.SPG(U241, "SP_MARKETCAP", "12/31/2021")</f>
        <v>209450.5</v>
      </c>
      <c r="AB241">
        <f t="shared" si="42"/>
        <v>4.9362259192697018E-3</v>
      </c>
      <c r="AC241" t="e">
        <f t="shared" si="49"/>
        <v>#VALUE!</v>
      </c>
    </row>
    <row r="242" spans="1:29" x14ac:dyDescent="0.3">
      <c r="A242" t="s">
        <v>242</v>
      </c>
      <c r="B242" s="4" cm="1">
        <f t="array" ref="B242">_xll.SNL.Clients.Office.Excel.Functions.SPG(A242, "SP_TOTAL_REV", "CY2023")</f>
        <v>7988000</v>
      </c>
      <c r="C242" s="4">
        <f>_xll.SNL.Clients.Office.Excel.Functions.SPG(A242,"IQ_AVG_DILUT_SHARES_OUT","CY2023")</f>
        <v>565000000</v>
      </c>
      <c r="D242" s="5">
        <f>_xll.SNL.Clients.Office.Excel.Functions.SPG(A242, "IQ_DILUT_EPS_NORM", "CY2023")</f>
        <v>3.3780000000000001</v>
      </c>
      <c r="E242">
        <f t="shared" si="38"/>
        <v>1908570</v>
      </c>
      <c r="F242">
        <f t="shared" si="39"/>
        <v>0.23892964446670004</v>
      </c>
      <c r="G242" s="5">
        <f>_xll.SNL.Clients.Office.Excel.Functions.SPG(A242, "SP_MARKETCAP", "12/30/2023")</f>
        <v>73508.696447580005</v>
      </c>
      <c r="H242">
        <f t="shared" si="43"/>
        <v>1.7495070512906199E-3</v>
      </c>
      <c r="I242">
        <f t="shared" si="44"/>
        <v>5.909834819259714E-3</v>
      </c>
      <c r="K242" t="s">
        <v>242</v>
      </c>
      <c r="L242" s="4" cm="1">
        <f t="array" ref="L242">_xll.SNL.Clients.Office.Excel.Functions.SPG(K242, "SP_TOTAL_REV", "CY2023")</f>
        <v>7988000</v>
      </c>
      <c r="M242" s="4">
        <f>_xll.SNL.Clients.Office.Excel.Functions.SPG(K242,"IQ_AVG_DILUT_SHARES_OUT","CY2023")</f>
        <v>565000000</v>
      </c>
      <c r="N242" s="5">
        <f>_xll.SNL.Clients.Office.Excel.Functions.SPG(K242, "IQ_DILUT_EPS_NORM", "CY2023")</f>
        <v>3.3780000000000001</v>
      </c>
      <c r="O242">
        <f t="shared" si="40"/>
        <v>1908570</v>
      </c>
      <c r="P242">
        <f t="shared" si="41"/>
        <v>0.23892964446670004</v>
      </c>
      <c r="Q242" s="5">
        <f>_xll.SNL.Clients.Office.Excel.Functions.SPG(K242, "SP_MARKETCAP", "12/31/2022")</f>
        <v>57301.811208749998</v>
      </c>
      <c r="R242">
        <f t="shared" si="45"/>
        <v>1.7006146285036814E-3</v>
      </c>
      <c r="S242">
        <f t="shared" si="46"/>
        <v>5.7446762150854362E-3</v>
      </c>
      <c r="U242" t="s">
        <v>242</v>
      </c>
      <c r="V242" s="4" cm="1">
        <f t="array" ref="V242">_xll.SNL.Clients.Office.Excel.Functions.SPG(U242, "SP_TOTAL_REV", "CY2021")</f>
        <v>7146000</v>
      </c>
      <c r="W242" s="4">
        <f>_xll.SNL.Clients.Office.Excel.Functions.SPG(U242,"IQ_AVG_DILUT_SHARES_OUT","CY2021")</f>
        <v>565000000</v>
      </c>
      <c r="X242" s="5">
        <f>_xll.SNL.Clients.Office.Excel.Functions.SPG(U242, "IQ_DILUT_EPS_NORM", "CY2021")</f>
        <v>6.3959999999999999</v>
      </c>
      <c r="Y242">
        <f t="shared" si="47"/>
        <v>3613740</v>
      </c>
      <c r="Z242">
        <f t="shared" si="48"/>
        <v>0.50570109151973131</v>
      </c>
      <c r="AA242" s="5">
        <f>_xll.SNL.Clients.Office.Excel.Functions.SPG(U242, "SP_MARKETCAP", "12/31/2021")</f>
        <v>77056.811034719998</v>
      </c>
      <c r="AB242">
        <f t="shared" si="42"/>
        <v>1.8160368578057939E-3</v>
      </c>
      <c r="AC242">
        <f t="shared" si="49"/>
        <v>1.1615371742525858E-2</v>
      </c>
    </row>
    <row r="243" spans="1:29" x14ac:dyDescent="0.3">
      <c r="A243" t="s">
        <v>243</v>
      </c>
      <c r="B243" s="4" cm="1">
        <f t="array" ref="B243">_xll.SNL.Clients.Office.Excel.Functions.SPG(A243, "SP_TOTAL_REV", "CY2023")</f>
        <v>61860000</v>
      </c>
      <c r="C243" s="4">
        <f>_xll.SNL.Clients.Office.Excel.Functions.SPG(A243,"IQ_AVG_DILUT_SHARES_OUT","CY2023")</f>
        <v>922073828</v>
      </c>
      <c r="D243" s="5">
        <f>_xll.SNL.Clients.Office.Excel.Functions.SPG(A243, "IQ_DILUT_EPS_NORM", "CY2023")</f>
        <v>6.1779999999999999</v>
      </c>
      <c r="E243">
        <f t="shared" si="38"/>
        <v>5696572.1093839994</v>
      </c>
      <c r="F243">
        <f t="shared" si="39"/>
        <v>9.2088136265502732E-2</v>
      </c>
      <c r="G243" s="5">
        <f>_xll.SNL.Clients.Office.Excel.Functions.SPG(A243, "SP_MARKETCAP", "12/30/2023")</f>
        <v>149340.54392254999</v>
      </c>
      <c r="H243">
        <f t="shared" si="43"/>
        <v>3.5543050994298938E-3</v>
      </c>
      <c r="I243">
        <f t="shared" si="44"/>
        <v>2.1958496904277883E-2</v>
      </c>
      <c r="K243" t="s">
        <v>243</v>
      </c>
      <c r="L243" s="4" cm="1">
        <f t="array" ref="L243">_xll.SNL.Clients.Office.Excel.Functions.SPG(K243, "SP_TOTAL_REV", "CY2023")</f>
        <v>61860000</v>
      </c>
      <c r="M243" s="4">
        <f>_xll.SNL.Clients.Office.Excel.Functions.SPG(K243,"IQ_AVG_DILUT_SHARES_OUT","CY2023")</f>
        <v>922073828</v>
      </c>
      <c r="N243" s="5">
        <f>_xll.SNL.Clients.Office.Excel.Functions.SPG(K243, "IQ_DILUT_EPS_NORM", "CY2023")</f>
        <v>6.1779999999999999</v>
      </c>
      <c r="O243">
        <f t="shared" si="40"/>
        <v>5696572.1093839994</v>
      </c>
      <c r="P243">
        <f t="shared" si="41"/>
        <v>9.2088136265502732E-2</v>
      </c>
      <c r="Q243" s="5">
        <f>_xll.SNL.Clients.Office.Excel.Functions.SPG(K243, "SP_MARKETCAP", "12/31/2022")</f>
        <v>127382.36328306999</v>
      </c>
      <c r="R243">
        <f t="shared" si="45"/>
        <v>3.7804792875286968E-3</v>
      </c>
      <c r="S243">
        <f t="shared" si="46"/>
        <v>2.3355801038352289E-2</v>
      </c>
      <c r="U243" t="s">
        <v>243</v>
      </c>
      <c r="V243" s="4" cm="1">
        <f t="array" ref="V243">_xll.SNL.Clients.Office.Excel.Functions.SPG(U243, "SP_TOTAL_REV", "CY2021")</f>
        <v>57351000</v>
      </c>
      <c r="W243" s="4">
        <f>_xll.SNL.Clients.Office.Excel.Functions.SPG(U243,"IQ_AVG_DILUT_SHARES_OUT","CY2021")</f>
        <v>904641001</v>
      </c>
      <c r="X243" s="5">
        <f>_xll.SNL.Clients.Office.Excel.Functions.SPG(U243, "IQ_DILUT_EPS_NORM", "CY2021")</f>
        <v>3.25</v>
      </c>
      <c r="Y243">
        <f t="shared" si="47"/>
        <v>2940083.2532500001</v>
      </c>
      <c r="Z243">
        <f t="shared" si="48"/>
        <v>5.1264725170441665E-2</v>
      </c>
      <c r="AA243" s="5">
        <f>_xll.SNL.Clients.Office.Excel.Functions.SPG(U243, "SP_MARKETCAP", "12/31/2021")</f>
        <v>119866.334781</v>
      </c>
      <c r="AB243">
        <f t="shared" si="42"/>
        <v>2.8249505663334846E-3</v>
      </c>
      <c r="AC243">
        <f t="shared" si="49"/>
        <v>9.1810893405838249E-3</v>
      </c>
    </row>
    <row r="244" spans="1:29" x14ac:dyDescent="0.3">
      <c r="A244" t="s">
        <v>244</v>
      </c>
      <c r="B244" s="4" cm="1">
        <f t="array" ref="B244">_xll.SNL.Clients.Office.Excel.Functions.SPG(A244, "SP_TOTAL_REV", "CY2023")</f>
        <v>11479000</v>
      </c>
      <c r="C244" s="4">
        <f>_xll.SNL.Clients.Office.Excel.Functions.SPG(A244,"IQ_AVG_DILUT_SHARES_OUT","CY2023")</f>
        <v>255000000</v>
      </c>
      <c r="D244" s="5">
        <f>_xll.SNL.Clients.Office.Excel.Functions.SPG(A244, "IQ_DILUT_EPS_NORM", "CY2023")</f>
        <v>0.41799999999999998</v>
      </c>
      <c r="E244">
        <f t="shared" si="38"/>
        <v>106590</v>
      </c>
      <c r="F244">
        <f t="shared" si="39"/>
        <v>9.2856520602839967E-3</v>
      </c>
      <c r="G244" s="5">
        <f>_xll.SNL.Clients.Office.Excel.Functions.SPG(A244, "SP_MARKETCAP", "12/30/2023")</f>
        <v>20669.951479980002</v>
      </c>
      <c r="H244">
        <f t="shared" si="43"/>
        <v>4.9194486654851439E-4</v>
      </c>
      <c r="I244">
        <f t="shared" si="44"/>
        <v>2.05632954217279E-4</v>
      </c>
      <c r="K244" t="s">
        <v>244</v>
      </c>
      <c r="L244" s="4" cm="1">
        <f t="array" ref="L244">_xll.SNL.Clients.Office.Excel.Functions.SPG(K244, "SP_TOTAL_REV", "CY2023")</f>
        <v>11479000</v>
      </c>
      <c r="M244" s="4">
        <f>_xll.SNL.Clients.Office.Excel.Functions.SPG(K244,"IQ_AVG_DILUT_SHARES_OUT","CY2023")</f>
        <v>255000000</v>
      </c>
      <c r="N244" s="5">
        <f>_xll.SNL.Clients.Office.Excel.Functions.SPG(K244, "IQ_DILUT_EPS_NORM", "CY2023")</f>
        <v>0.41799999999999998</v>
      </c>
      <c r="O244">
        <f t="shared" si="40"/>
        <v>106590</v>
      </c>
      <c r="P244">
        <f t="shared" si="41"/>
        <v>9.2856520602839967E-3</v>
      </c>
      <c r="Q244" s="5">
        <f>_xll.SNL.Clients.Office.Excel.Functions.SPG(K244, "SP_MARKETCAP", "12/31/2022")</f>
        <v>26730.242604520001</v>
      </c>
      <c r="R244">
        <f t="shared" si="45"/>
        <v>7.9330549310381376E-4</v>
      </c>
      <c r="S244">
        <f t="shared" si="46"/>
        <v>3.3160169611739414E-4</v>
      </c>
      <c r="U244" t="s">
        <v>244</v>
      </c>
      <c r="V244" s="4" cm="1">
        <f t="array" ref="V244">_xll.SNL.Clients.Office.Excel.Functions.SPG(U244, "SP_TOTAL_REV", "CY2021")</f>
        <v>11656000</v>
      </c>
      <c r="W244" s="4">
        <f>_xll.SNL.Clients.Office.Excel.Functions.SPG(U244,"IQ_AVG_DILUT_SHARES_OUT","CY2021")</f>
        <v>243000000</v>
      </c>
      <c r="X244" s="5">
        <f>_xll.SNL.Clients.Office.Excel.Functions.SPG(U244, "IQ_DILUT_EPS_NORM", "CY2021")</f>
        <v>0.94299999999999995</v>
      </c>
      <c r="Y244">
        <f t="shared" si="47"/>
        <v>229149</v>
      </c>
      <c r="Z244">
        <f t="shared" si="48"/>
        <v>1.9659317089910776E-2</v>
      </c>
      <c r="AA244" s="5">
        <f>_xll.SNL.Clients.Office.Excel.Functions.SPG(U244, "SP_MARKETCAP", "12/31/2021")</f>
        <v>38347.504646100002</v>
      </c>
      <c r="AB244">
        <f t="shared" si="42"/>
        <v>9.0375504653077523E-4</v>
      </c>
      <c r="AC244">
        <f t="shared" si="49"/>
        <v>8.5224100887852097E-4</v>
      </c>
    </row>
    <row r="245" spans="1:29" x14ac:dyDescent="0.3">
      <c r="A245" t="s">
        <v>245</v>
      </c>
      <c r="B245" s="4" cm="1">
        <f t="array" ref="B245">_xll.SNL.Clients.Office.Excel.Functions.SPG(A245, "SP_TOTAL_REV", "CY2023")</f>
        <v>18916000</v>
      </c>
      <c r="C245" s="4">
        <f>_xll.SNL.Clients.Office.Excel.Functions.SPG(A245,"IQ_AVG_DILUT_SHARES_OUT","CY2023")</f>
        <v>349100000</v>
      </c>
      <c r="D245" s="5">
        <f>_xll.SNL.Clients.Office.Excel.Functions.SPG(A245, "IQ_DILUT_EPS_NORM", "CY2023")</f>
        <v>1.5840000000000001</v>
      </c>
      <c r="E245">
        <f t="shared" si="38"/>
        <v>552974.4</v>
      </c>
      <c r="F245">
        <f t="shared" si="39"/>
        <v>2.9233157115669275E-2</v>
      </c>
      <c r="G245" s="5">
        <f>_xll.SNL.Clients.Office.Excel.Functions.SPG(A245, "SP_MARKETCAP", "12/30/2023")</f>
        <v>12508.525864949999</v>
      </c>
      <c r="H245">
        <f t="shared" si="43"/>
        <v>2.9770292849073591E-4</v>
      </c>
      <c r="I245">
        <f t="shared" si="44"/>
        <v>4.7156143872932572E-4</v>
      </c>
      <c r="K245" t="s">
        <v>245</v>
      </c>
      <c r="L245" s="4" cm="1">
        <f t="array" ref="L245">_xll.SNL.Clients.Office.Excel.Functions.SPG(K245, "SP_TOTAL_REV", "CY2023")</f>
        <v>18916000</v>
      </c>
      <c r="M245" s="4">
        <f>_xll.SNL.Clients.Office.Excel.Functions.SPG(K245,"IQ_AVG_DILUT_SHARES_OUT","CY2023")</f>
        <v>349100000</v>
      </c>
      <c r="N245" s="5">
        <f>_xll.SNL.Clients.Office.Excel.Functions.SPG(K245, "IQ_DILUT_EPS_NORM", "CY2023")</f>
        <v>1.5840000000000001</v>
      </c>
      <c r="O245">
        <f t="shared" si="40"/>
        <v>552974.4</v>
      </c>
      <c r="P245">
        <f t="shared" si="41"/>
        <v>2.9233157115669275E-2</v>
      </c>
      <c r="Q245" s="5">
        <f>_xll.SNL.Clients.Office.Excel.Functions.SPG(K245, "SP_MARKETCAP", "12/31/2022")</f>
        <v>12316.852411669999</v>
      </c>
      <c r="R245">
        <f t="shared" si="45"/>
        <v>3.6554201248717872E-4</v>
      </c>
      <c r="S245">
        <f t="shared" si="46"/>
        <v>5.7901854777969112E-4</v>
      </c>
      <c r="U245" t="s">
        <v>245</v>
      </c>
      <c r="V245" s="4" cm="1">
        <f t="array" ref="V245">_xll.SNL.Clients.Office.Excel.Functions.SPG(U245, "SP_TOTAL_REV", "CY2021")</f>
        <v>19363000</v>
      </c>
      <c r="W245" s="4">
        <f>_xll.SNL.Clients.Office.Excel.Functions.SPG(U245,"IQ_AVG_DILUT_SHARES_OUT","CY2021")</f>
        <v>392400000</v>
      </c>
      <c r="X245" s="5">
        <f>_xll.SNL.Clients.Office.Excel.Functions.SPG(U245, "IQ_DILUT_EPS_NORM", "CY2021")</f>
        <v>2.1150000000000002</v>
      </c>
      <c r="Y245">
        <f t="shared" si="47"/>
        <v>829926.00000000012</v>
      </c>
      <c r="Z245">
        <f t="shared" si="48"/>
        <v>4.2861436760832525E-2</v>
      </c>
      <c r="AA245" s="5">
        <f>_xll.SNL.Clients.Office.Excel.Functions.SPG(U245, "SP_MARKETCAP", "12/31/2021")</f>
        <v>18193.623679619999</v>
      </c>
      <c r="AB245">
        <f t="shared" si="42"/>
        <v>4.2877833556271888E-4</v>
      </c>
      <c r="AC245">
        <f t="shared" si="49"/>
        <v>9.0686617971515052E-4</v>
      </c>
    </row>
    <row r="246" spans="1:29" x14ac:dyDescent="0.3">
      <c r="A246" t="s">
        <v>246</v>
      </c>
      <c r="B246" s="4" cm="1">
        <f t="array" ref="B246">_xll.SNL.Clients.Office.Excel.Functions.SPG(A246, "SP_TOTAL_REV", "CY2023")</f>
        <v>15094000</v>
      </c>
      <c r="C246" s="4">
        <f>_xll.SNL.Clients.Office.Excel.Functions.SPG(A246,"IQ_AVG_DILUT_SHARES_OUT","CY2023")</f>
        <v>283500000</v>
      </c>
      <c r="D246" s="5">
        <f>_xll.SNL.Clients.Office.Excel.Functions.SPG(A246, "IQ_DILUT_EPS_NORM", "CY2023")</f>
        <v>7.3920000000000003</v>
      </c>
      <c r="E246">
        <f t="shared" si="38"/>
        <v>2095632</v>
      </c>
      <c r="F246">
        <f t="shared" si="39"/>
        <v>0.13883874387173711</v>
      </c>
      <c r="G246" s="5">
        <f>_xll.SNL.Clients.Office.Excel.Functions.SPG(A246, "SP_MARKETCAP", "12/30/2023")</f>
        <v>174968.39808000001</v>
      </c>
      <c r="H246">
        <f t="shared" si="43"/>
        <v>4.1642480548172156E-3</v>
      </c>
      <c r="I246">
        <f t="shared" si="44"/>
        <v>3.0782121621208858E-2</v>
      </c>
      <c r="K246" t="s">
        <v>246</v>
      </c>
      <c r="L246" s="4" cm="1">
        <f t="array" ref="L246">_xll.SNL.Clients.Office.Excel.Functions.SPG(K246, "SP_TOTAL_REV", "CY2023")</f>
        <v>15094000</v>
      </c>
      <c r="M246" s="4">
        <f>_xll.SNL.Clients.Office.Excel.Functions.SPG(K246,"IQ_AVG_DILUT_SHARES_OUT","CY2023")</f>
        <v>283500000</v>
      </c>
      <c r="N246" s="5">
        <f>_xll.SNL.Clients.Office.Excel.Functions.SPG(K246, "IQ_DILUT_EPS_NORM", "CY2023")</f>
        <v>7.3920000000000003</v>
      </c>
      <c r="O246">
        <f t="shared" si="40"/>
        <v>2095632</v>
      </c>
      <c r="P246">
        <f t="shared" si="41"/>
        <v>0.13883874387173711</v>
      </c>
      <c r="Q246" s="5">
        <f>_xll.SNL.Clients.Office.Excel.Functions.SPG(K246, "SP_MARKETCAP", "12/31/2022")</f>
        <v>109341.764727</v>
      </c>
      <c r="R246">
        <f t="shared" si="45"/>
        <v>3.2450667907116646E-3</v>
      </c>
      <c r="S246">
        <f t="shared" si="46"/>
        <v>2.3987533716940627E-2</v>
      </c>
      <c r="U246" t="s">
        <v>246</v>
      </c>
      <c r="V246" s="4" cm="1">
        <f t="array" ref="V246">_xll.SNL.Clients.Office.Excel.Functions.SPG(U246, "SP_TOTAL_REV", "CY2021")</f>
        <v>11414000</v>
      </c>
      <c r="W246" s="4">
        <f>_xll.SNL.Clients.Office.Excel.Functions.SPG(U246,"IQ_AVG_DILUT_SHARES_OUT","CY2021")</f>
        <v>279500000</v>
      </c>
      <c r="X246" s="5">
        <f>_xll.SNL.Clients.Office.Excel.Functions.SPG(U246, "IQ_DILUT_EPS_NORM", "CY2021")</f>
        <v>5.8159999999999998</v>
      </c>
      <c r="Y246">
        <f t="shared" si="47"/>
        <v>1625572</v>
      </c>
      <c r="Z246">
        <f t="shared" si="48"/>
        <v>0.14241913439635534</v>
      </c>
      <c r="AA246" s="5">
        <f>_xll.SNL.Clients.Office.Excel.Functions.SPG(U246, "SP_MARKETCAP", "12/31/2021")</f>
        <v>182138.61341799999</v>
      </c>
      <c r="AB246">
        <f t="shared" si="42"/>
        <v>4.2925528678794079E-3</v>
      </c>
      <c r="AC246">
        <f t="shared" si="49"/>
        <v>2.4965487479586636E-2</v>
      </c>
    </row>
    <row r="247" spans="1:29" x14ac:dyDescent="0.3">
      <c r="A247" t="s">
        <v>247</v>
      </c>
      <c r="B247" s="4" cm="1">
        <f t="array" ref="B247">_xll.SNL.Clients.Office.Excel.Functions.SPG(A247, "SP_TOTAL_REV", "CY2023")</f>
        <v>7124100</v>
      </c>
      <c r="C247" s="4">
        <f>_xll.SNL.Clients.Office.Excel.Functions.SPG(A247,"IQ_AVG_DILUT_SHARES_OUT","CY2023")</f>
        <v>357400000</v>
      </c>
      <c r="D247" s="5">
        <f>_xll.SNL.Clients.Office.Excel.Functions.SPG(A247, "IQ_DILUT_EPS_NORM", "CY2023")</f>
        <v>3.3839999999999999</v>
      </c>
      <c r="E247">
        <f t="shared" si="38"/>
        <v>1209441.6000000001</v>
      </c>
      <c r="F247">
        <f t="shared" si="39"/>
        <v>0.16976763380637555</v>
      </c>
      <c r="G247" s="5">
        <f>_xll.SNL.Clients.Office.Excel.Functions.SPG(A247, "SP_MARKETCAP", "12/30/2023")</f>
        <v>118774.87227712</v>
      </c>
      <c r="H247">
        <f t="shared" si="43"/>
        <v>2.8268420827343506E-3</v>
      </c>
      <c r="I247">
        <f t="shared" si="44"/>
        <v>9.5660336079730415E-3</v>
      </c>
      <c r="K247" t="s">
        <v>247</v>
      </c>
      <c r="L247" s="4" cm="1">
        <f t="array" ref="L247">_xll.SNL.Clients.Office.Excel.Functions.SPG(K247, "SP_TOTAL_REV", "CY2023")</f>
        <v>7124100</v>
      </c>
      <c r="M247" s="4">
        <f>_xll.SNL.Clients.Office.Excel.Functions.SPG(K247,"IQ_AVG_DILUT_SHARES_OUT","CY2023")</f>
        <v>357400000</v>
      </c>
      <c r="N247" s="5">
        <f>_xll.SNL.Clients.Office.Excel.Functions.SPG(K247, "IQ_DILUT_EPS_NORM", "CY2023")</f>
        <v>3.3839999999999999</v>
      </c>
      <c r="O247">
        <f t="shared" si="40"/>
        <v>1209441.6000000001</v>
      </c>
      <c r="P247">
        <f t="shared" si="41"/>
        <v>0.16976763380637555</v>
      </c>
      <c r="Q247" s="5">
        <f>_xll.SNL.Clients.Office.Excel.Functions.SPG(K247, "SP_MARKETCAP", "12/31/2022")</f>
        <v>93770.595649499999</v>
      </c>
      <c r="R247">
        <f t="shared" si="45"/>
        <v>2.7829425164957551E-3</v>
      </c>
      <c r="S247">
        <f t="shared" si="46"/>
        <v>9.4174774758216343E-3</v>
      </c>
      <c r="U247" t="s">
        <v>247</v>
      </c>
      <c r="V247" s="4" cm="1">
        <f t="array" ref="V247">_xll.SNL.Clients.Office.Excel.Functions.SPG(U247, "SP_TOTAL_REV", "CY2021")</f>
        <v>5710100</v>
      </c>
      <c r="W247" s="4">
        <f>_xll.SNL.Clients.Office.Excel.Functions.SPG(U247,"IQ_AVG_DILUT_SHARES_OUT","CY2021")</f>
        <v>365800000</v>
      </c>
      <c r="X247" s="5">
        <f>_xll.SNL.Clients.Office.Excel.Functions.SPG(U247, "IQ_DILUT_EPS_NORM", "CY2021")</f>
        <v>3.1840000000000002</v>
      </c>
      <c r="Y247">
        <f t="shared" si="47"/>
        <v>1164707.2</v>
      </c>
      <c r="Z247">
        <f t="shared" si="48"/>
        <v>0.20397317034727938</v>
      </c>
      <c r="AA247" s="5">
        <f>_xll.SNL.Clients.Office.Excel.Functions.SPG(U247, "SP_MARKETCAP", "12/31/2021")</f>
        <v>128355.2041573</v>
      </c>
      <c r="AB247">
        <f t="shared" si="42"/>
        <v>3.0250120464473396E-3</v>
      </c>
      <c r="AC247">
        <f t="shared" si="49"/>
        <v>9.6316383558883289E-3</v>
      </c>
    </row>
    <row r="248" spans="1:29" x14ac:dyDescent="0.3">
      <c r="A248" t="s">
        <v>248</v>
      </c>
      <c r="B248" s="4" cm="1">
        <f t="array" ref="B248">_xll.SNL.Clients.Office.Excel.Functions.SPG(A248, "SP_TOTAL_REV", "CY2023")</f>
        <v>5716400</v>
      </c>
      <c r="C248" s="4">
        <f>_xll.SNL.Clients.Office.Excel.Functions.SPG(A248,"IQ_AVG_DILUT_SHARES_OUT","CY2023")</f>
        <v>456200000</v>
      </c>
      <c r="D248" s="5">
        <f>_xll.SNL.Clients.Office.Excel.Functions.SPG(A248, "IQ_DILUT_EPS_NORM", "CY2023")</f>
        <v>1.7509999999999999</v>
      </c>
      <c r="E248">
        <f t="shared" si="38"/>
        <v>798806.2</v>
      </c>
      <c r="F248">
        <f t="shared" si="39"/>
        <v>0.13973938142887132</v>
      </c>
      <c r="G248" s="5">
        <f>_xll.SNL.Clients.Office.Excel.Functions.SPG(A248, "SP_MARKETCAP", "12/30/2023")</f>
        <v>8020.0504781600002</v>
      </c>
      <c r="H248">
        <f t="shared" si="43"/>
        <v>1.9087720965441703E-4</v>
      </c>
      <c r="I248">
        <f t="shared" si="44"/>
        <v>3.3422599410488419E-4</v>
      </c>
      <c r="K248" t="s">
        <v>248</v>
      </c>
      <c r="L248" s="4" cm="1">
        <f t="array" ref="L248">_xll.SNL.Clients.Office.Excel.Functions.SPG(K248, "SP_TOTAL_REV", "CY2023")</f>
        <v>5716400</v>
      </c>
      <c r="M248" s="4">
        <f>_xll.SNL.Clients.Office.Excel.Functions.SPG(K248,"IQ_AVG_DILUT_SHARES_OUT","CY2023")</f>
        <v>456200000</v>
      </c>
      <c r="N248" s="5">
        <f>_xll.SNL.Clients.Office.Excel.Functions.SPG(K248, "IQ_DILUT_EPS_NORM", "CY2023")</f>
        <v>1.7509999999999999</v>
      </c>
      <c r="O248">
        <f t="shared" si="40"/>
        <v>798806.2</v>
      </c>
      <c r="P248">
        <f t="shared" si="41"/>
        <v>0.13973938142887132</v>
      </c>
      <c r="Q248" s="5">
        <f>_xll.SNL.Clients.Office.Excel.Functions.SPG(K248, "SP_MARKETCAP", "12/31/2022")</f>
        <v>8181.5750979200002</v>
      </c>
      <c r="R248">
        <f t="shared" si="45"/>
        <v>2.4281442422538239E-4</v>
      </c>
      <c r="S248">
        <f t="shared" si="46"/>
        <v>4.2516805681864454E-4</v>
      </c>
      <c r="U248" t="s">
        <v>248</v>
      </c>
      <c r="V248" s="4" cm="1">
        <f t="array" ref="V248">_xll.SNL.Clients.Office.Excel.Functions.SPG(U248, "SP_TOTAL_REV", "CY2021")</f>
        <v>6894500</v>
      </c>
      <c r="W248" s="4">
        <f>_xll.SNL.Clients.Office.Excel.Functions.SPG(U248,"IQ_AVG_DILUT_SHARES_OUT","CY2021")</f>
        <v>465400000</v>
      </c>
      <c r="X248" s="5">
        <f>_xll.SNL.Clients.Office.Excel.Functions.SPG(U248, "IQ_DILUT_EPS_NORM", "CY2021")</f>
        <v>2.54</v>
      </c>
      <c r="Y248">
        <f t="shared" si="47"/>
        <v>1182116</v>
      </c>
      <c r="Z248">
        <f t="shared" si="48"/>
        <v>0.17145782870403944</v>
      </c>
      <c r="AA248" s="5">
        <f>_xll.SNL.Clients.Office.Excel.Functions.SPG(U248, "SP_MARKETCAP", "12/31/2021")</f>
        <v>10616.97402134</v>
      </c>
      <c r="AB248">
        <f t="shared" si="42"/>
        <v>2.5021559914324188E-4</v>
      </c>
      <c r="AC248">
        <f t="shared" si="49"/>
        <v>6.3554762182383437E-4</v>
      </c>
    </row>
    <row r="249" spans="1:29" x14ac:dyDescent="0.3">
      <c r="A249" t="s">
        <v>249</v>
      </c>
      <c r="B249" s="4" cm="1">
        <f t="array" ref="B249">_xll.SNL.Clients.Office.Excel.Functions.SPG(A249, "SP_TOTAL_REV", "CY2023")</f>
        <v>2412733</v>
      </c>
      <c r="C249" s="4">
        <f>_xll.SNL.Clients.Office.Excel.Functions.SPG(A249,"IQ_AVG_DILUT_SHARES_OUT","CY2023")</f>
        <v>613288708</v>
      </c>
      <c r="D249" s="5">
        <f>_xll.SNL.Clients.Office.Excel.Functions.SPG(A249, "IQ_DILUT_EPS_NORM", "CY2023")</f>
        <v>0.35099999999999998</v>
      </c>
      <c r="E249">
        <f t="shared" si="38"/>
        <v>215264.33650799998</v>
      </c>
      <c r="F249">
        <f t="shared" si="39"/>
        <v>8.9220123614175278E-2</v>
      </c>
      <c r="G249" s="5">
        <f>_xll.SNL.Clients.Office.Excel.Functions.SPG(A249, "SP_MARKETCAP", "12/30/2023")</f>
        <v>20873.89553229</v>
      </c>
      <c r="H249">
        <f t="shared" si="43"/>
        <v>4.9679873520389951E-4</v>
      </c>
      <c r="I249">
        <f t="shared" si="44"/>
        <v>1.7437635605656871E-4</v>
      </c>
      <c r="K249" t="s">
        <v>249</v>
      </c>
      <c r="L249" s="4" cm="1">
        <f t="array" ref="L249">_xll.SNL.Clients.Office.Excel.Functions.SPG(K249, "SP_TOTAL_REV", "CY2023")</f>
        <v>2412733</v>
      </c>
      <c r="M249" s="4">
        <f>_xll.SNL.Clients.Office.Excel.Functions.SPG(K249,"IQ_AVG_DILUT_SHARES_OUT","CY2023")</f>
        <v>613288708</v>
      </c>
      <c r="N249" s="5">
        <f>_xll.SNL.Clients.Office.Excel.Functions.SPG(K249, "IQ_DILUT_EPS_NORM", "CY2023")</f>
        <v>0.35099999999999998</v>
      </c>
      <c r="O249">
        <f t="shared" si="40"/>
        <v>215264.33650799998</v>
      </c>
      <c r="P249">
        <f t="shared" si="41"/>
        <v>8.9220123614175278E-2</v>
      </c>
      <c r="Q249" s="5">
        <f>_xll.SNL.Clients.Office.Excel.Functions.SPG(K249, "SP_MARKETCAP", "12/31/2022")</f>
        <v>18122.189702759999</v>
      </c>
      <c r="R249">
        <f t="shared" si="45"/>
        <v>5.378339752082111E-4</v>
      </c>
      <c r="S249">
        <f t="shared" si="46"/>
        <v>1.8877972529808209E-4</v>
      </c>
      <c r="U249" t="s">
        <v>249</v>
      </c>
      <c r="V249" s="4" cm="1">
        <f t="array" ref="V249">_xll.SNL.Clients.Office.Excel.Functions.SPG(U249, "SP_TOTAL_REV", "CY2021")</f>
        <v>1994019</v>
      </c>
      <c r="W249" s="4">
        <f>_xll.SNL.Clients.Office.Excel.Functions.SPG(U249,"IQ_AVG_DILUT_SHARES_OUT","CY2021")</f>
        <v>579209523</v>
      </c>
      <c r="X249" s="5">
        <f>_xll.SNL.Clients.Office.Excel.Functions.SPG(U249, "IQ_DILUT_EPS_NORM", "CY2021")</f>
        <v>0.23699999999999999</v>
      </c>
      <c r="Y249">
        <f t="shared" si="47"/>
        <v>137272.65695100001</v>
      </c>
      <c r="Z249">
        <f t="shared" si="48"/>
        <v>6.884220107782324E-2</v>
      </c>
      <c r="AA249" s="5">
        <f>_xll.SNL.Clients.Office.Excel.Functions.SPG(U249, "SP_MARKETCAP", "12/31/2021")</f>
        <v>27057.491679160001</v>
      </c>
      <c r="AB249">
        <f t="shared" si="42"/>
        <v>6.3767759798660729E-4</v>
      </c>
      <c r="AC249">
        <f t="shared" si="49"/>
        <v>1.5112959072282592E-4</v>
      </c>
    </row>
    <row r="250" spans="1:29" x14ac:dyDescent="0.3">
      <c r="A250" t="s">
        <v>250</v>
      </c>
      <c r="B250" s="4" cm="1">
        <f t="array" ref="B250">_xll.SNL.Clients.Office.Excel.Functions.SPG(A250, "SP_TOTAL_REV", "CY2023")</f>
        <v>14984000</v>
      </c>
      <c r="C250" s="4">
        <f>_xll.SNL.Clients.Office.Excel.Functions.SPG(A250,"IQ_AVG_DILUT_SHARES_OUT","CY2023")</f>
        <v>186300000</v>
      </c>
      <c r="D250" s="5">
        <f>_xll.SNL.Clients.Office.Excel.Functions.SPG(A250, "IQ_DILUT_EPS_NORM", "CY2023")</f>
        <v>4.9349999999999996</v>
      </c>
      <c r="E250">
        <f t="shared" si="38"/>
        <v>919390.49999999988</v>
      </c>
      <c r="F250">
        <f t="shared" si="39"/>
        <v>6.1358148691938057E-2</v>
      </c>
      <c r="G250" s="5">
        <f>_xll.SNL.Clients.Office.Excel.Functions.SPG(A250, "SP_MARKETCAP", "12/30/2023")</f>
        <v>42226.85</v>
      </c>
      <c r="H250">
        <f t="shared" si="43"/>
        <v>1.0049990735650355E-3</v>
      </c>
      <c r="I250">
        <f t="shared" si="44"/>
        <v>4.9596704280434499E-3</v>
      </c>
      <c r="K250" t="s">
        <v>250</v>
      </c>
      <c r="L250" s="4" cm="1">
        <f t="array" ref="L250">_xll.SNL.Clients.Office.Excel.Functions.SPG(K250, "SP_TOTAL_REV", "CY2023")</f>
        <v>14984000</v>
      </c>
      <c r="M250" s="4">
        <f>_xll.SNL.Clients.Office.Excel.Functions.SPG(K250,"IQ_AVG_DILUT_SHARES_OUT","CY2023")</f>
        <v>186300000</v>
      </c>
      <c r="N250" s="5">
        <f>_xll.SNL.Clients.Office.Excel.Functions.SPG(K250, "IQ_DILUT_EPS_NORM", "CY2023")</f>
        <v>4.9349999999999996</v>
      </c>
      <c r="O250">
        <f t="shared" si="40"/>
        <v>919390.49999999988</v>
      </c>
      <c r="P250">
        <f t="shared" si="41"/>
        <v>6.1358148691938057E-2</v>
      </c>
      <c r="Q250" s="5">
        <f>_xll.SNL.Clients.Office.Excel.Functions.SPG(K250, "SP_MARKETCAP", "12/31/2022")</f>
        <v>38056.273312470003</v>
      </c>
      <c r="R250">
        <f t="shared" si="45"/>
        <v>1.1294417006427562E-3</v>
      </c>
      <c r="S250">
        <f t="shared" si="46"/>
        <v>5.5737947926720009E-3</v>
      </c>
      <c r="U250" t="s">
        <v>250</v>
      </c>
      <c r="V250" s="4" cm="1">
        <f t="array" ref="V250">_xll.SNL.Clients.Office.Excel.Functions.SPG(U250, "SP_TOTAL_REV", "CY2021")</f>
        <v>13874000</v>
      </c>
      <c r="W250" s="4">
        <f>_xll.SNL.Clients.Office.Excel.Functions.SPG(U250,"IQ_AVG_DILUT_SHARES_OUT","CY2021")</f>
        <v>195000000</v>
      </c>
      <c r="X250" s="5">
        <f>_xll.SNL.Clients.Office.Excel.Functions.SPG(U250, "IQ_DILUT_EPS_NORM", "CY2021")</f>
        <v>3.5670000000000002</v>
      </c>
      <c r="Y250">
        <f t="shared" si="47"/>
        <v>695565</v>
      </c>
      <c r="Z250">
        <f t="shared" si="48"/>
        <v>5.0134424102638027E-2</v>
      </c>
      <c r="AA250" s="5">
        <f>_xll.SNL.Clients.Office.Excel.Functions.SPG(U250, "SP_MARKETCAP", "12/31/2021")</f>
        <v>53899.884812140001</v>
      </c>
      <c r="AB250">
        <f t="shared" si="42"/>
        <v>1.2702858596916064E-3</v>
      </c>
      <c r="AC250">
        <f t="shared" si="49"/>
        <v>4.5311096615199605E-3</v>
      </c>
    </row>
    <row r="251" spans="1:29" x14ac:dyDescent="0.3">
      <c r="A251" t="s">
        <v>251</v>
      </c>
      <c r="B251" s="4" cm="1">
        <f t="array" ref="B251">_xll.SNL.Clients.Office.Excel.Functions.SPG(A251, "SP_TOTAL_REV", "CY2023")</f>
        <v>5492760</v>
      </c>
      <c r="C251" s="4">
        <f>_xll.SNL.Clients.Office.Excel.Functions.SPG(A251,"IQ_AVG_DILUT_SHARES_OUT","CY2023")</f>
        <v>293965000</v>
      </c>
      <c r="D251" s="5">
        <f>_xll.SNL.Clients.Office.Excel.Functions.SPG(A251, "IQ_DILUT_EPS_NORM", "CY2023")</f>
        <v>0.95399999999999996</v>
      </c>
      <c r="E251">
        <f t="shared" si="38"/>
        <v>280442.61</v>
      </c>
      <c r="F251">
        <f t="shared" si="39"/>
        <v>5.1056774736198192E-2</v>
      </c>
      <c r="G251" s="5">
        <f>_xll.SNL.Clients.Office.Excel.Functions.SPG(A251, "SP_MARKETCAP", "12/30/2023")</f>
        <v>20433.429968640001</v>
      </c>
      <c r="H251">
        <f t="shared" si="43"/>
        <v>4.863156543346054E-4</v>
      </c>
      <c r="I251">
        <f t="shared" si="44"/>
        <v>4.6394513423521355E-4</v>
      </c>
      <c r="K251" t="s">
        <v>251</v>
      </c>
      <c r="L251" s="4" cm="1">
        <f t="array" ref="L251">_xll.SNL.Clients.Office.Excel.Functions.SPG(K251, "SP_TOTAL_REV", "CY2023")</f>
        <v>5492760</v>
      </c>
      <c r="M251" s="4">
        <f>_xll.SNL.Clients.Office.Excel.Functions.SPG(K251,"IQ_AVG_DILUT_SHARES_OUT","CY2023")</f>
        <v>293965000</v>
      </c>
      <c r="N251" s="5">
        <f>_xll.SNL.Clients.Office.Excel.Functions.SPG(K251, "IQ_DILUT_EPS_NORM", "CY2023")</f>
        <v>0.95399999999999996</v>
      </c>
      <c r="O251">
        <f t="shared" si="40"/>
        <v>280442.61</v>
      </c>
      <c r="P251">
        <f t="shared" si="41"/>
        <v>5.1056774736198192E-2</v>
      </c>
      <c r="Q251" s="5">
        <f>_xll.SNL.Clients.Office.Excel.Functions.SPG(K251, "SP_MARKETCAP", "12/31/2022")</f>
        <v>14492.09474445</v>
      </c>
      <c r="R251">
        <f t="shared" si="45"/>
        <v>4.3009929006065386E-4</v>
      </c>
      <c r="S251">
        <f t="shared" si="46"/>
        <v>4.1031472271786375E-4</v>
      </c>
      <c r="U251" t="s">
        <v>251</v>
      </c>
      <c r="V251" s="4" cm="1">
        <f t="array" ref="V251">_xll.SNL.Clients.Office.Excel.Functions.SPG(U251, "SP_TOTAL_REV", "CY2021")</f>
        <v>4498872</v>
      </c>
      <c r="W251" s="4">
        <f>_xll.SNL.Clients.Office.Excel.Functions.SPG(U251,"IQ_AVG_DILUT_SHARES_OUT","CY2021")</f>
        <v>290975090</v>
      </c>
      <c r="X251" s="5">
        <f>_xll.SNL.Clients.Office.Excel.Functions.SPG(U251, "IQ_DILUT_EPS_NORM", "CY2021")</f>
        <v>1.016</v>
      </c>
      <c r="Y251">
        <f t="shared" si="47"/>
        <v>295630.69144000002</v>
      </c>
      <c r="Z251">
        <f t="shared" si="48"/>
        <v>6.5712181062275166E-2</v>
      </c>
      <c r="AA251" s="5">
        <f>_xll.SNL.Clients.Office.Excel.Functions.SPG(U251, "SP_MARKETCAP", "12/31/2021")</f>
        <v>15152.12523034</v>
      </c>
      <c r="AB251">
        <f t="shared" si="42"/>
        <v>3.570978025548982E-4</v>
      </c>
      <c r="AC251">
        <f t="shared" si="49"/>
        <v>3.6281136739577655E-4</v>
      </c>
    </row>
    <row r="252" spans="1:29" x14ac:dyDescent="0.3">
      <c r="A252" t="s">
        <v>252</v>
      </c>
      <c r="B252" s="4" cm="1">
        <f t="array" ref="B252">_xll.SNL.Clients.Office.Excel.Functions.SPG(A252, "SP_TOTAL_REV", "CY2023")</f>
        <v>12829665</v>
      </c>
      <c r="C252" s="4">
        <f>_xll.SNL.Clients.Office.Excel.Functions.SPG(A252,"IQ_AVG_DILUT_SHARES_OUT","CY2023")</f>
        <v>104451000</v>
      </c>
      <c r="D252" s="5">
        <f>_xll.SNL.Clients.Office.Excel.Functions.SPG(A252, "IQ_DILUT_EPS_NORM", "CY2023")</f>
        <v>5.5940000000000003</v>
      </c>
      <c r="E252">
        <f t="shared" si="38"/>
        <v>584298.89399999997</v>
      </c>
      <c r="F252">
        <f t="shared" si="39"/>
        <v>4.5542802091870671E-2</v>
      </c>
      <c r="G252" s="5">
        <f>_xll.SNL.Clients.Office.Excel.Functions.SPG(A252, "SP_MARKETCAP", "12/30/2023")</f>
        <v>20601.7438707</v>
      </c>
      <c r="H252">
        <f t="shared" si="43"/>
        <v>4.9032152537728123E-4</v>
      </c>
      <c r="I252">
        <f t="shared" si="44"/>
        <v>2.7428586129605113E-3</v>
      </c>
      <c r="K252" t="s">
        <v>252</v>
      </c>
      <c r="L252" s="4" cm="1">
        <f t="array" ref="L252">_xll.SNL.Clients.Office.Excel.Functions.SPG(K252, "SP_TOTAL_REV", "CY2023")</f>
        <v>12829665</v>
      </c>
      <c r="M252" s="4">
        <f>_xll.SNL.Clients.Office.Excel.Functions.SPG(K252,"IQ_AVG_DILUT_SHARES_OUT","CY2023")</f>
        <v>104451000</v>
      </c>
      <c r="N252" s="5">
        <f>_xll.SNL.Clients.Office.Excel.Functions.SPG(K252, "IQ_DILUT_EPS_NORM", "CY2023")</f>
        <v>5.5940000000000003</v>
      </c>
      <c r="O252">
        <f t="shared" si="40"/>
        <v>584298.89399999997</v>
      </c>
      <c r="P252">
        <f t="shared" si="41"/>
        <v>4.5542802091870671E-2</v>
      </c>
      <c r="Q252" s="5">
        <f>_xll.SNL.Clients.Office.Excel.Functions.SPG(K252, "SP_MARKETCAP", "12/31/2022")</f>
        <v>18052.78507428</v>
      </c>
      <c r="R252">
        <f t="shared" si="45"/>
        <v>5.3577417074498102E-4</v>
      </c>
      <c r="S252">
        <f t="shared" si="46"/>
        <v>2.9971207111474242E-3</v>
      </c>
      <c r="U252" t="s">
        <v>252</v>
      </c>
      <c r="V252" s="4" cm="1">
        <f t="array" ref="V252">_xll.SNL.Clients.Office.Excel.Functions.SPG(U252, "SP_TOTAL_REV", "CY2021")</f>
        <v>12168302</v>
      </c>
      <c r="W252" s="4">
        <f>_xll.SNL.Clients.Office.Excel.Functions.SPG(U252,"IQ_AVG_DILUT_SHARES_OUT","CY2021")</f>
        <v>106593000</v>
      </c>
      <c r="X252" s="5">
        <f>_xll.SNL.Clients.Office.Excel.Functions.SPG(U252, "IQ_DILUT_EPS_NORM", "CY2021")</f>
        <v>5.8620000000000001</v>
      </c>
      <c r="Y252">
        <f t="shared" si="47"/>
        <v>624848.16599999997</v>
      </c>
      <c r="Z252">
        <f t="shared" si="48"/>
        <v>5.1350481439398854E-2</v>
      </c>
      <c r="AA252" s="5">
        <f>_xll.SNL.Clients.Office.Excel.Functions.SPG(U252, "SP_MARKETCAP", "12/31/2021")</f>
        <v>21464.839729200001</v>
      </c>
      <c r="AB252">
        <f t="shared" si="42"/>
        <v>5.0587273949810141E-4</v>
      </c>
      <c r="AC252">
        <f t="shared" si="49"/>
        <v>2.9654259989378706E-3</v>
      </c>
    </row>
    <row r="253" spans="1:29" x14ac:dyDescent="0.3">
      <c r="A253" t="s">
        <v>253</v>
      </c>
      <c r="B253" s="4" cm="1">
        <f t="array" ref="B253">_xll.SNL.Clients.Office.Excel.Functions.SPG(A253, "SP_TOTAL_REV", "CY2023")</f>
        <v>33454000</v>
      </c>
      <c r="C253" s="4">
        <f>_xll.SNL.Clients.Office.Excel.Functions.SPG(A253,"IQ_AVG_DILUT_SHARES_OUT","CY2023")</f>
        <v>134425000</v>
      </c>
      <c r="D253" s="5">
        <f>_xll.SNL.Clients.Office.Excel.Functions.SPG(A253, "IQ_DILUT_EPS_NORM", "CY2023")</f>
        <v>6.2859999999999996</v>
      </c>
      <c r="E253">
        <f t="shared" si="38"/>
        <v>844995.55</v>
      </c>
      <c r="F253">
        <f t="shared" si="39"/>
        <v>2.5258430979852933E-2</v>
      </c>
      <c r="G253" s="5">
        <f>_xll.SNL.Clients.Office.Excel.Functions.SPG(A253, "SP_MARKETCAP", "12/30/2023")</f>
        <v>16389.6827094</v>
      </c>
      <c r="H253">
        <f t="shared" si="43"/>
        <v>3.9007446539279816E-4</v>
      </c>
      <c r="I253">
        <f t="shared" si="44"/>
        <v>2.4520080894591292E-3</v>
      </c>
      <c r="K253" t="s">
        <v>253</v>
      </c>
      <c r="L253" s="4" cm="1">
        <f t="array" ref="L253">_xll.SNL.Clients.Office.Excel.Functions.SPG(K253, "SP_TOTAL_REV", "CY2023")</f>
        <v>33454000</v>
      </c>
      <c r="M253" s="4">
        <f>_xll.SNL.Clients.Office.Excel.Functions.SPG(K253,"IQ_AVG_DILUT_SHARES_OUT","CY2023")</f>
        <v>134425000</v>
      </c>
      <c r="N253" s="5">
        <f>_xll.SNL.Clients.Office.Excel.Functions.SPG(K253, "IQ_DILUT_EPS_NORM", "CY2023")</f>
        <v>6.2859999999999996</v>
      </c>
      <c r="O253">
        <f t="shared" si="40"/>
        <v>844995.55</v>
      </c>
      <c r="P253">
        <f t="shared" si="41"/>
        <v>2.5258430979852933E-2</v>
      </c>
      <c r="Q253" s="5">
        <f>_xll.SNL.Clients.Office.Excel.Functions.SPG(K253, "SP_MARKETCAP", "12/31/2022")</f>
        <v>9154.5746600000002</v>
      </c>
      <c r="R253">
        <f t="shared" si="45"/>
        <v>2.7169130008490583E-4</v>
      </c>
      <c r="S253">
        <f t="shared" si="46"/>
        <v>1.707851512333718E-3</v>
      </c>
      <c r="U253" t="s">
        <v>253</v>
      </c>
      <c r="V253" s="4" cm="1">
        <f t="array" ref="V253">_xll.SNL.Clients.Office.Excel.Functions.SPG(U253, "SP_TOTAL_REV", "CY2021")</f>
        <v>30019000</v>
      </c>
      <c r="W253" s="4">
        <f>_xll.SNL.Clients.Office.Excel.Functions.SPG(U253,"IQ_AVG_DILUT_SHARES_OUT","CY2021")</f>
        <v>150800000</v>
      </c>
      <c r="X253" s="5">
        <f>_xll.SNL.Clients.Office.Excel.Functions.SPG(U253, "IQ_DILUT_EPS_NORM", "CY2021")</f>
        <v>4.0759999999999996</v>
      </c>
      <c r="Y253">
        <f t="shared" si="47"/>
        <v>614660.80000000005</v>
      </c>
      <c r="Z253">
        <f t="shared" si="48"/>
        <v>2.0475725373929846E-2</v>
      </c>
      <c r="AA253" s="5">
        <f>_xll.SNL.Clients.Office.Excel.Functions.SPG(U253, "SP_MARKETCAP", "12/31/2021")</f>
        <v>10142.07873315</v>
      </c>
      <c r="AB253">
        <f t="shared" si="42"/>
        <v>2.3902350158079856E-4</v>
      </c>
      <c r="AC253">
        <f t="shared" si="49"/>
        <v>9.742597924433348E-4</v>
      </c>
    </row>
    <row r="254" spans="1:29" x14ac:dyDescent="0.3">
      <c r="A254" t="s">
        <v>254</v>
      </c>
      <c r="B254" s="4" cm="1">
        <f t="array" ref="B254">_xll.SNL.Clients.Office.Excel.Functions.SPG(A254, "SP_TOTAL_REV", "CY2023")</f>
        <v>2160255</v>
      </c>
      <c r="C254" s="4">
        <f>_xll.SNL.Clients.Office.Excel.Functions.SPG(A254,"IQ_AVG_DILUT_SHARES_OUT","CY2023")</f>
        <v>73025000</v>
      </c>
      <c r="D254" s="5">
        <f>_xll.SNL.Clients.Office.Excel.Functions.SPG(A254, "IQ_DILUT_EPS_NORM", "CY2023")</f>
        <v>4.1379999999999999</v>
      </c>
      <c r="E254">
        <f t="shared" si="38"/>
        <v>302177.45</v>
      </c>
      <c r="F254">
        <f t="shared" si="39"/>
        <v>0.13988045392789278</v>
      </c>
      <c r="G254" s="5">
        <f>_xll.SNL.Clients.Office.Excel.Functions.SPG(A254, "SP_MARKETCAP", "12/30/2023")</f>
        <v>11900.85648882</v>
      </c>
      <c r="H254">
        <f t="shared" si="43"/>
        <v>2.832403967119153E-4</v>
      </c>
      <c r="I254">
        <f t="shared" si="44"/>
        <v>1.1720487615939055E-3</v>
      </c>
      <c r="K254" t="s">
        <v>254</v>
      </c>
      <c r="L254" s="4" cm="1">
        <f t="array" ref="L254">_xll.SNL.Clients.Office.Excel.Functions.SPG(K254, "SP_TOTAL_REV", "CY2023")</f>
        <v>2160255</v>
      </c>
      <c r="M254" s="4">
        <f>_xll.SNL.Clients.Office.Excel.Functions.SPG(K254,"IQ_AVG_DILUT_SHARES_OUT","CY2023")</f>
        <v>73025000</v>
      </c>
      <c r="N254" s="5">
        <f>_xll.SNL.Clients.Office.Excel.Functions.SPG(K254, "IQ_DILUT_EPS_NORM", "CY2023")</f>
        <v>4.1379999999999999</v>
      </c>
      <c r="O254">
        <f t="shared" si="40"/>
        <v>302177.45</v>
      </c>
      <c r="P254">
        <f t="shared" si="41"/>
        <v>0.13988045392789278</v>
      </c>
      <c r="Q254" s="5">
        <f>_xll.SNL.Clients.Office.Excel.Functions.SPG(K254, "SP_MARKETCAP", "12/31/2022")</f>
        <v>12807.002457480001</v>
      </c>
      <c r="R254">
        <f t="shared" si="45"/>
        <v>3.8008878370579866E-4</v>
      </c>
      <c r="S254">
        <f t="shared" si="46"/>
        <v>1.5728073869745948E-3</v>
      </c>
      <c r="U254" t="s">
        <v>254</v>
      </c>
      <c r="V254" s="4" cm="1">
        <f t="array" ref="V254">_xll.SNL.Clients.Office.Excel.Functions.SPG(U254, "SP_TOTAL_REV", "CY2021")</f>
        <v>1866016</v>
      </c>
      <c r="W254" s="4">
        <f>_xll.SNL.Clients.Office.Excel.Functions.SPG(U254,"IQ_AVG_DILUT_SHARES_OUT","CY2021")</f>
        <v>74370000</v>
      </c>
      <c r="X254" s="5">
        <f>_xll.SNL.Clients.Office.Excel.Functions.SPG(U254, "IQ_DILUT_EPS_NORM", "CY2021")</f>
        <v>3.7410000000000001</v>
      </c>
      <c r="Y254">
        <f t="shared" si="47"/>
        <v>278218.17</v>
      </c>
      <c r="Z254">
        <f t="shared" si="48"/>
        <v>0.14909741931473255</v>
      </c>
      <c r="AA254" s="5">
        <f>_xll.SNL.Clients.Office.Excel.Functions.SPG(U254, "SP_MARKETCAP", "12/31/2021")</f>
        <v>12364.11193368</v>
      </c>
      <c r="AB254">
        <f t="shared" si="42"/>
        <v>2.9139128240697948E-4</v>
      </c>
      <c r="AC254">
        <f t="shared" si="49"/>
        <v>1.0900947874845103E-3</v>
      </c>
    </row>
    <row r="255" spans="1:29" x14ac:dyDescent="0.3">
      <c r="A255" t="s">
        <v>255</v>
      </c>
      <c r="B255" s="4" cm="1">
        <f t="array" ref="B255">_xll.SNL.Clients.Office.Excel.Functions.SPG(A255, "SP_TOTAL_REV", "CY2023")</f>
        <v>16712971</v>
      </c>
      <c r="C255" s="4">
        <f>_xll.SNL.Clients.Office.Excel.Functions.SPG(A255,"IQ_AVG_DILUT_SHARES_OUT","CY2023")</f>
        <v>127043250</v>
      </c>
      <c r="D255" s="5">
        <f>_xll.SNL.Clients.Office.Excel.Functions.SPG(A255, "IQ_DILUT_EPS_NORM", "CY2023")</f>
        <v>4.88</v>
      </c>
      <c r="E255">
        <f t="shared" si="38"/>
        <v>619971.06000000006</v>
      </c>
      <c r="F255">
        <f t="shared" si="39"/>
        <v>3.7095203479979716E-2</v>
      </c>
      <c r="G255" s="5">
        <f>_xll.SNL.Clients.Office.Excel.Functions.SPG(A255, "SP_MARKETCAP", "12/30/2023")</f>
        <v>16395.878844399998</v>
      </c>
      <c r="H255">
        <f t="shared" si="43"/>
        <v>3.9022193341219064E-4</v>
      </c>
      <c r="I255">
        <f t="shared" si="44"/>
        <v>1.9042830350514902E-3</v>
      </c>
      <c r="K255" t="s">
        <v>255</v>
      </c>
      <c r="L255" s="4" cm="1">
        <f t="array" ref="L255">_xll.SNL.Clients.Office.Excel.Functions.SPG(K255, "SP_TOTAL_REV", "CY2023")</f>
        <v>16712971</v>
      </c>
      <c r="M255" s="4">
        <f>_xll.SNL.Clients.Office.Excel.Functions.SPG(K255,"IQ_AVG_DILUT_SHARES_OUT","CY2023")</f>
        <v>127043250</v>
      </c>
      <c r="N255" s="5">
        <f>_xll.SNL.Clients.Office.Excel.Functions.SPG(K255, "IQ_DILUT_EPS_NORM", "CY2023")</f>
        <v>4.88</v>
      </c>
      <c r="O255">
        <f t="shared" si="40"/>
        <v>619971.06000000006</v>
      </c>
      <c r="P255">
        <f t="shared" si="41"/>
        <v>3.7095203479979716E-2</v>
      </c>
      <c r="Q255" s="5">
        <f>_xll.SNL.Clients.Office.Excel.Functions.SPG(K255, "SP_MARKETCAP", "12/31/2022")</f>
        <v>15202.21410827</v>
      </c>
      <c r="R255">
        <f t="shared" si="45"/>
        <v>4.5117435475095831E-4</v>
      </c>
      <c r="S255">
        <f t="shared" si="46"/>
        <v>2.2017308511846764E-3</v>
      </c>
      <c r="U255" t="s">
        <v>255</v>
      </c>
      <c r="V255" s="4" cm="1">
        <f t="array" ref="V255">_xll.SNL.Clients.Office.Excel.Functions.SPG(U255, "SP_TOTAL_REV", "CY2021")</f>
        <v>14091421</v>
      </c>
      <c r="W255" s="4">
        <f>_xll.SNL.Clients.Office.Excel.Functions.SPG(U255,"IQ_AVG_DILUT_SHARES_OUT","CY2021")</f>
        <v>131060000</v>
      </c>
      <c r="X255" s="5">
        <f>_xll.SNL.Clients.Office.Excel.Functions.SPG(U255, "IQ_DILUT_EPS_NORM", "CY2021")</f>
        <v>5.1820000000000004</v>
      </c>
      <c r="Y255">
        <f t="shared" si="47"/>
        <v>679152.92</v>
      </c>
      <c r="Z255">
        <f t="shared" si="48"/>
        <v>4.8196198240049747E-2</v>
      </c>
      <c r="AA255" s="5">
        <f>_xll.SNL.Clients.Office.Excel.Functions.SPG(U255, "SP_MARKETCAP", "12/31/2021")</f>
        <v>18023.793262020001</v>
      </c>
      <c r="AB255">
        <f t="shared" si="42"/>
        <v>4.2477585617385367E-4</v>
      </c>
      <c r="AC255">
        <f t="shared" si="49"/>
        <v>2.2011884866929097E-3</v>
      </c>
    </row>
    <row r="256" spans="1:29" x14ac:dyDescent="0.3">
      <c r="A256" t="s">
        <v>256</v>
      </c>
      <c r="B256" s="4" cm="1">
        <f t="array" ref="B256">_xll.SNL.Clients.Office.Excel.Functions.SPG(A256, "SP_TOTAL_REV", "CY2023")</f>
        <v>85159000</v>
      </c>
      <c r="C256" s="4">
        <f>_xll.SNL.Clients.Office.Excel.Functions.SPG(A256,"IQ_AVG_DILUT_SHARES_OUT","CY2023")</f>
        <v>2560400000</v>
      </c>
      <c r="D256" s="5">
        <f>_xll.SNL.Clients.Office.Excel.Functions.SPG(A256, "IQ_DILUT_EPS_NORM", "CY2023")</f>
        <v>6.2130000000000001</v>
      </c>
      <c r="E256">
        <f t="shared" si="38"/>
        <v>15907765.199999999</v>
      </c>
      <c r="F256">
        <f t="shared" si="39"/>
        <v>0.18680075153536324</v>
      </c>
      <c r="G256" s="5">
        <f>_xll.SNL.Clients.Office.Excel.Functions.SPG(A256, "SP_MARKETCAP", "12/30/2023")</f>
        <v>377316.85089880001</v>
      </c>
      <c r="H256">
        <f t="shared" si="43"/>
        <v>8.9801414406656104E-3</v>
      </c>
      <c r="I256">
        <f t="shared" si="44"/>
        <v>5.5793618770855438E-2</v>
      </c>
      <c r="K256" t="s">
        <v>256</v>
      </c>
      <c r="L256" s="4" cm="1">
        <f t="array" ref="L256">_xll.SNL.Clients.Office.Excel.Functions.SPG(K256, "SP_TOTAL_REV", "CY2023")</f>
        <v>85159000</v>
      </c>
      <c r="M256" s="4">
        <f>_xll.SNL.Clients.Office.Excel.Functions.SPG(K256,"IQ_AVG_DILUT_SHARES_OUT","CY2023")</f>
        <v>2560400000</v>
      </c>
      <c r="N256" s="5">
        <f>_xll.SNL.Clients.Office.Excel.Functions.SPG(K256, "IQ_DILUT_EPS_NORM", "CY2023")</f>
        <v>6.2130000000000001</v>
      </c>
      <c r="O256">
        <f t="shared" si="40"/>
        <v>15907765.199999999</v>
      </c>
      <c r="P256">
        <f t="shared" si="41"/>
        <v>0.18680075153536324</v>
      </c>
      <c r="Q256" s="5">
        <f>_xll.SNL.Clients.Office.Excel.Functions.SPG(K256, "SP_MARKETCAP", "12/31/2022")</f>
        <v>461848.52917654999</v>
      </c>
      <c r="R256">
        <f t="shared" si="45"/>
        <v>1.3706833140216963E-2</v>
      </c>
      <c r="S256">
        <f t="shared" si="46"/>
        <v>8.5160554300167987E-2</v>
      </c>
      <c r="U256" t="s">
        <v>256</v>
      </c>
      <c r="V256" s="4" cm="1">
        <f t="array" ref="V256">_xll.SNL.Clients.Office.Excel.Functions.SPG(U256, "SP_TOTAL_REV", "CY2021")</f>
        <v>78740000</v>
      </c>
      <c r="W256" s="4">
        <f>_xll.SNL.Clients.Office.Excel.Functions.SPG(U256,"IQ_AVG_DILUT_SHARES_OUT","CY2021")</f>
        <v>2674000000</v>
      </c>
      <c r="X256" s="5">
        <f>_xll.SNL.Clients.Office.Excel.Functions.SPG(U256, "IQ_DILUT_EPS_NORM", "CY2021")</f>
        <v>4.8289999999999997</v>
      </c>
      <c r="Y256">
        <f t="shared" si="47"/>
        <v>12912746</v>
      </c>
      <c r="Z256">
        <f t="shared" si="48"/>
        <v>0.16399220218440436</v>
      </c>
      <c r="AA256" s="5">
        <f>_xll.SNL.Clients.Office.Excel.Functions.SPG(U256, "SP_MARKETCAP", "12/31/2021")</f>
        <v>450358.36348683003</v>
      </c>
      <c r="AB256">
        <f t="shared" si="42"/>
        <v>1.0613823441832681E-2</v>
      </c>
      <c r="AC256">
        <f t="shared" si="49"/>
        <v>5.1254153400610014E-2</v>
      </c>
    </row>
    <row r="257" spans="1:29" x14ac:dyDescent="0.3">
      <c r="A257" t="s">
        <v>257</v>
      </c>
      <c r="B257" s="4" cm="1">
        <f t="array" ref="B257">_xll.SNL.Clients.Office.Excel.Functions.SPG(A257, "SP_TOTAL_REV", "CY2023")</f>
        <v>26819000</v>
      </c>
      <c r="C257" s="4">
        <f>_xll.SNL.Clients.Office.Excel.Functions.SPG(A257,"IQ_AVG_DILUT_SHARES_OUT","CY2023")</f>
        <v>685425000</v>
      </c>
      <c r="D257" s="5">
        <f>_xll.SNL.Clients.Office.Excel.Functions.SPG(A257, "IQ_DILUT_EPS_NORM", "CY2023")</f>
        <v>2.2200000000000002</v>
      </c>
      <c r="E257">
        <f t="shared" si="38"/>
        <v>1521643.5000000002</v>
      </c>
      <c r="F257">
        <f t="shared" si="39"/>
        <v>5.6737518177411544E-2</v>
      </c>
      <c r="G257" s="5">
        <f>_xll.SNL.Clients.Office.Excel.Functions.SPG(A257, "SP_MARKETCAP", "12/30/2023")</f>
        <v>39234.040079960003</v>
      </c>
      <c r="H257">
        <f t="shared" si="43"/>
        <v>9.3377019438043026E-4</v>
      </c>
      <c r="I257">
        <f t="shared" si="44"/>
        <v>2.0729698315245554E-3</v>
      </c>
      <c r="K257" t="s">
        <v>257</v>
      </c>
      <c r="L257" s="4" cm="1">
        <f t="array" ref="L257">_xll.SNL.Clients.Office.Excel.Functions.SPG(K257, "SP_TOTAL_REV", "CY2023")</f>
        <v>26819000</v>
      </c>
      <c r="M257" s="4">
        <f>_xll.SNL.Clients.Office.Excel.Functions.SPG(K257,"IQ_AVG_DILUT_SHARES_OUT","CY2023")</f>
        <v>685425000</v>
      </c>
      <c r="N257" s="5">
        <f>_xll.SNL.Clients.Office.Excel.Functions.SPG(K257, "IQ_DILUT_EPS_NORM", "CY2023")</f>
        <v>2.2200000000000002</v>
      </c>
      <c r="O257">
        <f t="shared" si="40"/>
        <v>1521643.5000000002</v>
      </c>
      <c r="P257">
        <f t="shared" si="41"/>
        <v>5.6737518177411544E-2</v>
      </c>
      <c r="Q257" s="5">
        <f>_xll.SNL.Clients.Office.Excel.Functions.SPG(K257, "SP_MARKETCAP", "12/31/2022")</f>
        <v>43949.048896</v>
      </c>
      <c r="R257">
        <f t="shared" si="45"/>
        <v>1.3043286745175046E-3</v>
      </c>
      <c r="S257">
        <f t="shared" si="46"/>
        <v>2.8956096574288604E-3</v>
      </c>
      <c r="U257" t="s">
        <v>257</v>
      </c>
      <c r="V257" s="4" cm="1">
        <f t="array" ref="V257">_xll.SNL.Clients.Office.Excel.Functions.SPG(U257, "SP_TOTAL_REV", "CY2021")</f>
        <v>24189000</v>
      </c>
      <c r="W257" s="4">
        <f>_xll.SNL.Clients.Office.Excel.Functions.SPG(U257,"IQ_AVG_DILUT_SHARES_OUT","CY2021")</f>
        <v>716850000</v>
      </c>
      <c r="X257" s="5">
        <f>_xll.SNL.Clients.Office.Excel.Functions.SPG(U257, "IQ_DILUT_EPS_NORM", "CY2021")</f>
        <v>2.2669999999999999</v>
      </c>
      <c r="Y257">
        <f t="shared" si="47"/>
        <v>1625098.95</v>
      </c>
      <c r="Z257">
        <f t="shared" si="48"/>
        <v>6.7183387076770434E-2</v>
      </c>
      <c r="AA257" s="5">
        <f>_xll.SNL.Clients.Office.Excel.Functions.SPG(U257, "SP_MARKETCAP", "12/31/2021")</f>
        <v>57269.267037450001</v>
      </c>
      <c r="AB257">
        <f t="shared" si="42"/>
        <v>1.3496937955642916E-3</v>
      </c>
      <c r="AC257">
        <f t="shared" si="49"/>
        <v>3.0597558345442492E-3</v>
      </c>
    </row>
    <row r="258" spans="1:29" x14ac:dyDescent="0.3">
      <c r="A258" t="s">
        <v>258</v>
      </c>
      <c r="B258" s="4" cm="1">
        <f t="array" ref="B258">_xll.SNL.Clients.Office.Excel.Functions.SPG(A258, "SP_TOTAL_REV", "CY2023")</f>
        <v>154990000</v>
      </c>
      <c r="C258" s="4">
        <f>_xll.SNL.Clients.Office.Excel.Functions.SPG(A258,"IQ_AVG_DILUT_SHARES_OUT","CY2023")</f>
        <v>2943100000</v>
      </c>
      <c r="D258" s="5">
        <f>_xll.SNL.Clients.Office.Excel.Functions.SPG(A258, "IQ_DILUT_EPS_NORM", "CY2023")</f>
        <v>13.263999999999999</v>
      </c>
      <c r="E258">
        <f t="shared" si="38"/>
        <v>39037278.399999999</v>
      </c>
      <c r="F258">
        <f t="shared" si="39"/>
        <v>0.25186965868765726</v>
      </c>
      <c r="G258" s="5">
        <f>_xll.SNL.Clients.Office.Excel.Functions.SPG(A258, "SP_MARKETCAP", "12/30/2023")</f>
        <v>491760.51880409999</v>
      </c>
      <c r="H258">
        <f t="shared" si="43"/>
        <v>1.1703900854882182E-2</v>
      </c>
      <c r="I258">
        <f t="shared" si="44"/>
        <v>0.15524054093915726</v>
      </c>
      <c r="K258" t="s">
        <v>258</v>
      </c>
      <c r="L258" s="4" cm="1">
        <f t="array" ref="L258">_xll.SNL.Clients.Office.Excel.Functions.SPG(K258, "SP_TOTAL_REV", "CY2023")</f>
        <v>154990000</v>
      </c>
      <c r="M258" s="4">
        <f>_xll.SNL.Clients.Office.Excel.Functions.SPG(K258,"IQ_AVG_DILUT_SHARES_OUT","CY2023")</f>
        <v>2943100000</v>
      </c>
      <c r="N258" s="5">
        <f>_xll.SNL.Clients.Office.Excel.Functions.SPG(K258, "IQ_DILUT_EPS_NORM", "CY2023")</f>
        <v>13.263999999999999</v>
      </c>
      <c r="O258">
        <f t="shared" si="40"/>
        <v>39037278.399999999</v>
      </c>
      <c r="P258">
        <f t="shared" si="41"/>
        <v>0.25186965868765726</v>
      </c>
      <c r="Q258" s="5">
        <f>_xll.SNL.Clients.Office.Excel.Functions.SPG(K258, "SP_MARKETCAP", "12/31/2022")</f>
        <v>393342.77548080002</v>
      </c>
      <c r="R258">
        <f t="shared" si="45"/>
        <v>1.1673705662845485E-2</v>
      </c>
      <c r="S258">
        <f t="shared" si="46"/>
        <v>0.15484003191198251</v>
      </c>
      <c r="U258" t="s">
        <v>258</v>
      </c>
      <c r="V258" s="4" cm="1">
        <f t="array" ref="V258">_xll.SNL.Clients.Office.Excel.Functions.SPG(U258, "SP_TOTAL_REV", "CY2021")</f>
        <v>121649000</v>
      </c>
      <c r="W258" s="4">
        <f>_xll.SNL.Clients.Office.Excel.Functions.SPG(U258,"IQ_AVG_DILUT_SHARES_OUT","CY2021")</f>
        <v>3026600000</v>
      </c>
      <c r="X258" s="5">
        <f>_xll.SNL.Clients.Office.Excel.Functions.SPG(U258, "IQ_DILUT_EPS_NORM", "CY2021")</f>
        <v>12.3</v>
      </c>
      <c r="Y258">
        <f t="shared" si="47"/>
        <v>37227180</v>
      </c>
      <c r="Z258">
        <f t="shared" si="48"/>
        <v>0.30602125788128137</v>
      </c>
      <c r="AA258" s="5">
        <f>_xll.SNL.Clients.Office.Excel.Functions.SPG(U258, "SP_MARKETCAP", "12/31/2021")</f>
        <v>467966.38075935002</v>
      </c>
      <c r="AB258">
        <f t="shared" si="42"/>
        <v>1.1028800494871762E-2</v>
      </c>
      <c r="AC258">
        <f t="shared" si="49"/>
        <v>0.13565424608692267</v>
      </c>
    </row>
    <row r="259" spans="1:29" x14ac:dyDescent="0.3">
      <c r="A259" t="s">
        <v>259</v>
      </c>
      <c r="B259" s="4" cm="1">
        <f t="array" ref="B259">_xll.SNL.Clients.Office.Excel.Functions.SPG(A259, "SP_TOTAL_REV", "CY2023")</f>
        <v>5564500</v>
      </c>
      <c r="C259" s="4">
        <f>_xll.SNL.Clients.Office.Excel.Functions.SPG(A259,"IQ_AVG_DILUT_SHARES_OUT","CY2023")</f>
        <v>325900000</v>
      </c>
      <c r="D259" s="5">
        <f>_xll.SNL.Clients.Office.Excel.Functions.SPG(A259, "IQ_DILUT_EPS_NORM", "CY2023")</f>
        <v>1.014</v>
      </c>
      <c r="E259">
        <f t="shared" si="38"/>
        <v>330462.59999999998</v>
      </c>
      <c r="F259">
        <f t="shared" si="39"/>
        <v>5.9387653877257612E-2</v>
      </c>
      <c r="G259" s="5">
        <f>_xll.SNL.Clients.Office.Excel.Functions.SPG(A259, "SP_MARKETCAP", "12/30/2023")</f>
        <v>9400.2427609200004</v>
      </c>
      <c r="H259">
        <f t="shared" si="43"/>
        <v>2.2372578740803616E-4</v>
      </c>
      <c r="I259">
        <f t="shared" si="44"/>
        <v>2.2685794843174868E-4</v>
      </c>
      <c r="K259" t="s">
        <v>259</v>
      </c>
      <c r="L259" s="4" cm="1">
        <f t="array" ref="L259">_xll.SNL.Clients.Office.Excel.Functions.SPG(K259, "SP_TOTAL_REV", "CY2023")</f>
        <v>5564500</v>
      </c>
      <c r="M259" s="4">
        <f>_xll.SNL.Clients.Office.Excel.Functions.SPG(K259,"IQ_AVG_DILUT_SHARES_OUT","CY2023")</f>
        <v>325900000</v>
      </c>
      <c r="N259" s="5">
        <f>_xll.SNL.Clients.Office.Excel.Functions.SPG(K259, "IQ_DILUT_EPS_NORM", "CY2023")</f>
        <v>1.014</v>
      </c>
      <c r="O259">
        <f t="shared" si="40"/>
        <v>330462.59999999998</v>
      </c>
      <c r="P259">
        <f t="shared" si="41"/>
        <v>5.9387653877257612E-2</v>
      </c>
      <c r="Q259" s="5">
        <f>_xll.SNL.Clients.Office.Excel.Functions.SPG(K259, "SP_MARKETCAP", "12/31/2022")</f>
        <v>10372.794515080001</v>
      </c>
      <c r="R259">
        <f t="shared" si="45"/>
        <v>3.0784587290871098E-4</v>
      </c>
      <c r="S259">
        <f t="shared" si="46"/>
        <v>3.1215571512943293E-4</v>
      </c>
      <c r="U259" t="s">
        <v>259</v>
      </c>
      <c r="V259" s="4" cm="1">
        <f t="array" ref="V259">_xll.SNL.Clients.Office.Excel.Functions.SPG(U259, "SP_TOTAL_REV", "CY2021")</f>
        <v>4735400</v>
      </c>
      <c r="W259" s="4">
        <f>_xll.SNL.Clients.Office.Excel.Functions.SPG(U259,"IQ_AVG_DILUT_SHARES_OUT","CY2021")</f>
        <v>331600000</v>
      </c>
      <c r="X259" s="5">
        <f>_xll.SNL.Clients.Office.Excel.Functions.SPG(U259, "IQ_DILUT_EPS_NORM", "CY2021")</f>
        <v>0.746</v>
      </c>
      <c r="Y259">
        <f t="shared" si="47"/>
        <v>247373.6</v>
      </c>
      <c r="Z259">
        <f t="shared" si="48"/>
        <v>5.2239219495713141E-2</v>
      </c>
      <c r="AA259" s="5">
        <f>_xll.SNL.Clients.Office.Excel.Functions.SPG(U259, "SP_MARKETCAP", "12/31/2021")</f>
        <v>11612.21754523</v>
      </c>
      <c r="AB259">
        <f t="shared" si="42"/>
        <v>2.7367100688211637E-4</v>
      </c>
      <c r="AC259">
        <f t="shared" si="49"/>
        <v>2.0415857113405882E-4</v>
      </c>
    </row>
    <row r="260" spans="1:29" x14ac:dyDescent="0.3">
      <c r="A260" t="s">
        <v>260</v>
      </c>
      <c r="B260" s="4" cm="1">
        <f t="array" ref="B260">_xll.SNL.Clients.Office.Excel.Functions.SPG(A260, "SP_TOTAL_REV", "CY2023")</f>
        <v>13122000</v>
      </c>
      <c r="C260" s="4">
        <f>_xll.SNL.Clients.Office.Excel.Functions.SPG(A260,"IQ_AVG_DILUT_SHARES_OUT","CY2023")</f>
        <v>344565217</v>
      </c>
      <c r="D260" s="5">
        <f>_xll.SNL.Clients.Office.Excel.Functions.SPG(A260, "IQ_DILUT_EPS_NORM", "CY2023")</f>
        <v>1.9359999999999999</v>
      </c>
      <c r="E260">
        <f t="shared" si="38"/>
        <v>667078.26011199993</v>
      </c>
      <c r="F260">
        <f t="shared" si="39"/>
        <v>5.0836630095412276E-2</v>
      </c>
      <c r="G260" s="5">
        <f>_xll.SNL.Clients.Office.Excel.Functions.SPG(A260, "SP_MARKETCAP", "12/30/2023")</f>
        <v>19150.278831129999</v>
      </c>
      <c r="H260">
        <f t="shared" si="43"/>
        <v>4.5577665593805265E-4</v>
      </c>
      <c r="I260">
        <f t="shared" si="44"/>
        <v>8.823836058960699E-4</v>
      </c>
      <c r="K260" t="s">
        <v>260</v>
      </c>
      <c r="L260" s="4" cm="1">
        <f t="array" ref="L260">_xll.SNL.Clients.Office.Excel.Functions.SPG(K260, "SP_TOTAL_REV", "CY2023")</f>
        <v>13122000</v>
      </c>
      <c r="M260" s="4">
        <f>_xll.SNL.Clients.Office.Excel.Functions.SPG(K260,"IQ_AVG_DILUT_SHARES_OUT","CY2023")</f>
        <v>344565217</v>
      </c>
      <c r="N260" s="5">
        <f>_xll.SNL.Clients.Office.Excel.Functions.SPG(K260, "IQ_DILUT_EPS_NORM", "CY2023")</f>
        <v>1.9359999999999999</v>
      </c>
      <c r="O260">
        <f t="shared" si="40"/>
        <v>667078.26011199993</v>
      </c>
      <c r="P260">
        <f t="shared" si="41"/>
        <v>5.0836630095412276E-2</v>
      </c>
      <c r="Q260" s="5">
        <f>_xll.SNL.Clients.Office.Excel.Functions.SPG(K260, "SP_MARKETCAP", "12/31/2022")</f>
        <v>24312.868769799999</v>
      </c>
      <c r="R260">
        <f t="shared" si="45"/>
        <v>7.2156218832570716E-4</v>
      </c>
      <c r="S260">
        <f t="shared" si="46"/>
        <v>1.3969443965985691E-3</v>
      </c>
      <c r="U260" t="s">
        <v>260</v>
      </c>
      <c r="V260" s="4" cm="1">
        <f t="array" ref="V260">_xll.SNL.Clients.Office.Excel.Functions.SPG(U260, "SP_TOTAL_REV", "CY2021")</f>
        <v>11747000</v>
      </c>
      <c r="W260" s="4">
        <f>_xll.SNL.Clients.Office.Excel.Functions.SPG(U260,"IQ_AVG_DILUT_SHARES_OUT","CY2021")</f>
        <v>343648960</v>
      </c>
      <c r="X260" s="5">
        <f>_xll.SNL.Clients.Office.Excel.Functions.SPG(U260, "IQ_DILUT_EPS_NORM", "CY2021")</f>
        <v>2.653</v>
      </c>
      <c r="Y260">
        <f t="shared" si="47"/>
        <v>911700.69088000001</v>
      </c>
      <c r="Z260">
        <f t="shared" si="48"/>
        <v>7.7611363827360183E-2</v>
      </c>
      <c r="AA260" s="5">
        <f>_xll.SNL.Clients.Office.Excel.Functions.SPG(U260, "SP_MARKETCAP", "12/31/2021")</f>
        <v>21959.422216679999</v>
      </c>
      <c r="AB260">
        <f t="shared" si="42"/>
        <v>5.1752881524829374E-4</v>
      </c>
      <c r="AC260">
        <f t="shared" si="49"/>
        <v>1.3730039468537233E-3</v>
      </c>
    </row>
    <row r="261" spans="1:29" x14ac:dyDescent="0.3">
      <c r="A261" t="s">
        <v>261</v>
      </c>
      <c r="B261" s="4" cm="1">
        <f t="array" ref="B261">_xll.SNL.Clients.Office.Excel.Functions.SPG(A261, "SP_TOTAL_REV", "CY2023")</f>
        <v>15444000</v>
      </c>
      <c r="C261" s="4">
        <f>_xll.SNL.Clients.Office.Excel.Functions.SPG(A261,"IQ_AVG_DILUT_SHARES_OUT","CY2023")</f>
        <v>1850325000</v>
      </c>
      <c r="D261" s="5">
        <f>_xll.SNL.Clients.Office.Excel.Functions.SPG(A261, "IQ_DILUT_EPS_NORM", "CY2023")</f>
        <v>0.88800000000000001</v>
      </c>
      <c r="E261">
        <f t="shared" si="38"/>
        <v>1643088.6</v>
      </c>
      <c r="F261">
        <f t="shared" si="39"/>
        <v>0.10639009324009324</v>
      </c>
      <c r="G261" s="5">
        <f>_xll.SNL.Clients.Office.Excel.Functions.SPG(A261, "SP_MARKETCAP", "12/30/2023")</f>
        <v>41229.84418005</v>
      </c>
      <c r="H261">
        <f t="shared" si="43"/>
        <v>9.8127033402162418E-4</v>
      </c>
      <c r="I261">
        <f t="shared" si="44"/>
        <v>8.7136805661120224E-4</v>
      </c>
      <c r="K261" t="s">
        <v>261</v>
      </c>
      <c r="L261" s="4" cm="1">
        <f t="array" ref="L261">_xll.SNL.Clients.Office.Excel.Functions.SPG(K261, "SP_TOTAL_REV", "CY2023")</f>
        <v>15444000</v>
      </c>
      <c r="M261" s="4">
        <f>_xll.SNL.Clients.Office.Excel.Functions.SPG(K261,"IQ_AVG_DILUT_SHARES_OUT","CY2023")</f>
        <v>1850325000</v>
      </c>
      <c r="N261" s="5">
        <f>_xll.SNL.Clients.Office.Excel.Functions.SPG(K261, "IQ_DILUT_EPS_NORM", "CY2023")</f>
        <v>0.88800000000000001</v>
      </c>
      <c r="O261">
        <f t="shared" si="40"/>
        <v>1643088.6</v>
      </c>
      <c r="P261">
        <f t="shared" si="41"/>
        <v>0.10639009324009324</v>
      </c>
      <c r="Q261" s="5" t="str">
        <f>_xll.SNL.Clients.Office.Excel.Functions.SPG(K261, "SP_MARKETCAP", "12/31/2022")</f>
        <v>NA</v>
      </c>
      <c r="R261" t="e">
        <f t="shared" si="45"/>
        <v>#VALUE!</v>
      </c>
      <c r="S261" t="e">
        <f t="shared" si="46"/>
        <v>#VALUE!</v>
      </c>
      <c r="U261" t="s">
        <v>261</v>
      </c>
      <c r="V261" s="4" cm="1">
        <f t="array" ref="V261">_xll.SNL.Clients.Office.Excel.Functions.SPG(U261, "SP_TOTAL_REV", "CY2021")</f>
        <v>15054000</v>
      </c>
      <c r="W261" s="4">
        <f>_xll.SNL.Clients.Office.Excel.Functions.SPG(U261,"IQ_AVG_DILUT_SHARES_OUT","CY2021")</f>
        <v>1716160000</v>
      </c>
      <c r="X261" s="5">
        <f>_xll.SNL.Clients.Office.Excel.Functions.SPG(U261, "IQ_DILUT_EPS_NORM", "CY2021")</f>
        <v>1.149</v>
      </c>
      <c r="Y261">
        <f t="shared" si="47"/>
        <v>1971867.84</v>
      </c>
      <c r="Z261">
        <f t="shared" si="48"/>
        <v>0.13098630530091671</v>
      </c>
      <c r="AA261" s="5" t="str">
        <f>_xll.SNL.Clients.Office.Excel.Functions.SPG(U261, "SP_MARKETCAP", "12/31/2021")</f>
        <v>NA</v>
      </c>
      <c r="AB261" t="e">
        <f t="shared" si="42"/>
        <v>#VALUE!</v>
      </c>
      <c r="AC261" t="e">
        <f t="shared" si="49"/>
        <v>#VALUE!</v>
      </c>
    </row>
    <row r="262" spans="1:29" x14ac:dyDescent="0.3">
      <c r="A262" t="s">
        <v>262</v>
      </c>
      <c r="B262" s="4" cm="1">
        <f t="array" ref="B262">_xll.SNL.Clients.Office.Excel.Functions.SPG(A262, "SP_TOTAL_REV", "CY2023")</f>
        <v>14814000</v>
      </c>
      <c r="C262" s="4">
        <f>_xll.SNL.Clients.Office.Excel.Functions.SPG(A262,"IQ_AVG_DILUT_SHARES_OUT","CY2023")</f>
        <v>1408400000</v>
      </c>
      <c r="D262" s="5">
        <f>_xll.SNL.Clients.Office.Excel.Functions.SPG(A262, "IQ_DILUT_EPS_NORM", "CY2023")</f>
        <v>1.2370000000000001</v>
      </c>
      <c r="E262">
        <f t="shared" ref="E262:E325" si="50">C262*D262/1000</f>
        <v>1742190.8000000003</v>
      </c>
      <c r="F262">
        <f t="shared" ref="F262:F325" si="51">E262/B262</f>
        <v>0.11760434723909817</v>
      </c>
      <c r="G262" s="5">
        <f>_xll.SNL.Clients.Office.Excel.Functions.SPG(A262, "SP_MARKETCAP", "12/30/2023")</f>
        <v>46592.558951960003</v>
      </c>
      <c r="H262">
        <f t="shared" si="43"/>
        <v>1.1089029511257434E-3</v>
      </c>
      <c r="I262">
        <f t="shared" si="44"/>
        <v>1.3717129505425448E-3</v>
      </c>
      <c r="K262" t="s">
        <v>262</v>
      </c>
      <c r="L262" s="4" cm="1">
        <f t="array" ref="L262">_xll.SNL.Clients.Office.Excel.Functions.SPG(K262, "SP_TOTAL_REV", "CY2023")</f>
        <v>14814000</v>
      </c>
      <c r="M262" s="4">
        <f>_xll.SNL.Clients.Office.Excel.Functions.SPG(K262,"IQ_AVG_DILUT_SHARES_OUT","CY2023")</f>
        <v>1408400000</v>
      </c>
      <c r="N262" s="5">
        <f>_xll.SNL.Clients.Office.Excel.Functions.SPG(K262, "IQ_DILUT_EPS_NORM", "CY2023")</f>
        <v>1.2370000000000001</v>
      </c>
      <c r="O262">
        <f t="shared" ref="O262:O325" si="52">M262*N262/1000</f>
        <v>1742190.8000000003</v>
      </c>
      <c r="P262">
        <f t="shared" ref="P262:P325" si="53">O262/L262</f>
        <v>0.11760434723909817</v>
      </c>
      <c r="Q262" s="5">
        <f>_xll.SNL.Clients.Office.Excel.Functions.SPG(K262, "SP_MARKETCAP", "12/31/2022")</f>
        <v>50564.510442040002</v>
      </c>
      <c r="R262">
        <f t="shared" si="45"/>
        <v>1.5006636671151081E-3</v>
      </c>
      <c r="S262">
        <f t="shared" si="46"/>
        <v>1.8563209562213888E-3</v>
      </c>
      <c r="U262" t="s">
        <v>262</v>
      </c>
      <c r="V262" s="4" cm="1">
        <f t="array" ref="V262">_xll.SNL.Clients.Office.Excel.Functions.SPG(U262, "SP_TOTAL_REV", "CY2021")</f>
        <v>12683000</v>
      </c>
      <c r="W262" s="4">
        <f>_xll.SNL.Clients.Office.Excel.Functions.SPG(U262,"IQ_AVG_DILUT_SHARES_OUT","CY2021")</f>
        <v>1427900000</v>
      </c>
      <c r="X262" s="5">
        <f>_xll.SNL.Clients.Office.Excel.Functions.SPG(U262, "IQ_DILUT_EPS_NORM", "CY2021")</f>
        <v>1.107</v>
      </c>
      <c r="Y262">
        <f t="shared" si="47"/>
        <v>1580685.3</v>
      </c>
      <c r="Z262">
        <f t="shared" si="48"/>
        <v>0.12463023732555389</v>
      </c>
      <c r="AA262" s="5">
        <f>_xll.SNL.Clients.Office.Excel.Functions.SPG(U262, "SP_MARKETCAP", "12/31/2021")</f>
        <v>52266.064354839997</v>
      </c>
      <c r="AB262">
        <f t="shared" ref="AB262:AB325" si="54">AA262/$AA$509</f>
        <v>1.2317807862314936E-3</v>
      </c>
      <c r="AC262">
        <f t="shared" si="49"/>
        <v>1.3635813303582633E-3</v>
      </c>
    </row>
    <row r="263" spans="1:29" x14ac:dyDescent="0.3">
      <c r="A263" t="s">
        <v>263</v>
      </c>
      <c r="B263" s="4" cm="1">
        <f t="array" ref="B263">_xll.SNL.Clients.Office.Excel.Functions.SPG(A263, "SP_TOTAL_REV", "CY2023")</f>
        <v>6383000</v>
      </c>
      <c r="C263" s="4">
        <f>_xll.SNL.Clients.Office.Excel.Functions.SPG(A263,"IQ_AVG_DILUT_SHARES_OUT","CY2023")</f>
        <v>932759000</v>
      </c>
      <c r="D263" s="5">
        <f>_xll.SNL.Clients.Office.Excel.Functions.SPG(A263, "IQ_DILUT_EPS_NORM", "CY2023")</f>
        <v>0.83199999999999996</v>
      </c>
      <c r="E263">
        <f t="shared" si="50"/>
        <v>776055.48800000001</v>
      </c>
      <c r="F263">
        <f t="shared" si="51"/>
        <v>0.12158162118126273</v>
      </c>
      <c r="G263" s="5">
        <f>_xll.SNL.Clients.Office.Excel.Functions.SPG(A263, "SP_MARKETCAP", "12/30/2023")</f>
        <v>13482.1477584</v>
      </c>
      <c r="H263">
        <f t="shared" ref="H263:H326" si="55">G263/$G$509</f>
        <v>3.2087513055932228E-4</v>
      </c>
      <c r="I263">
        <f t="shared" ref="I263:I326" si="56">D263*H263</f>
        <v>2.6696810862535613E-4</v>
      </c>
      <c r="K263" t="s">
        <v>263</v>
      </c>
      <c r="L263" s="4" cm="1">
        <f t="array" ref="L263">_xll.SNL.Clients.Office.Excel.Functions.SPG(K263, "SP_TOTAL_REV", "CY2023")</f>
        <v>6383000</v>
      </c>
      <c r="M263" s="4">
        <f>_xll.SNL.Clients.Office.Excel.Functions.SPG(K263,"IQ_AVG_DILUT_SHARES_OUT","CY2023")</f>
        <v>932759000</v>
      </c>
      <c r="N263" s="5">
        <f>_xll.SNL.Clients.Office.Excel.Functions.SPG(K263, "IQ_DILUT_EPS_NORM", "CY2023")</f>
        <v>0.83199999999999996</v>
      </c>
      <c r="O263">
        <f t="shared" si="52"/>
        <v>776055.48800000001</v>
      </c>
      <c r="P263">
        <f t="shared" si="53"/>
        <v>0.12158162118126273</v>
      </c>
      <c r="Q263" s="5">
        <f>_xll.SNL.Clients.Office.Excel.Functions.SPG(K263, "SP_MARKETCAP", "12/31/2022")</f>
        <v>16252.330310060001</v>
      </c>
      <c r="R263">
        <f t="shared" ref="R263:R326" si="57">Q263/$Q$509</f>
        <v>4.8233991368742875E-4</v>
      </c>
      <c r="S263">
        <f t="shared" ref="S263:S326" si="58">N263*R263</f>
        <v>4.0130680818794071E-4</v>
      </c>
      <c r="U263" t="s">
        <v>263</v>
      </c>
      <c r="V263" s="4" cm="1">
        <f t="array" ref="V263">_xll.SNL.Clients.Office.Excel.Functions.SPG(U263, "SP_TOTAL_REV", "CY2021")</f>
        <v>7265000</v>
      </c>
      <c r="W263" s="4">
        <f>_xll.SNL.Clients.Office.Excel.Functions.SPG(U263,"IQ_AVG_DILUT_SHARES_OUT","CY2021")</f>
        <v>957414000</v>
      </c>
      <c r="X263" s="5">
        <f>_xll.SNL.Clients.Office.Excel.Functions.SPG(U263, "IQ_DILUT_EPS_NORM", "CY2021")</f>
        <v>2.1240000000000001</v>
      </c>
      <c r="Y263">
        <f t="shared" ref="Y263:Y326" si="59">W263*X263/1000</f>
        <v>2033547.3359999999</v>
      </c>
      <c r="Z263">
        <f t="shared" ref="Z263:Z326" si="60">Y263/V263</f>
        <v>0.27991016324845147</v>
      </c>
      <c r="AA263" s="5">
        <f>_xll.SNL.Clients.Office.Excel.Functions.SPG(U263, "SP_MARKETCAP", "12/31/2021")</f>
        <v>21535.378132049998</v>
      </c>
      <c r="AB263">
        <f t="shared" si="54"/>
        <v>5.075351537317845E-4</v>
      </c>
      <c r="AC263">
        <f t="shared" ref="AC263:AC326" si="61">X263*AB263</f>
        <v>1.0780046665263103E-3</v>
      </c>
    </row>
    <row r="264" spans="1:29" x14ac:dyDescent="0.3">
      <c r="A264" t="s">
        <v>264</v>
      </c>
      <c r="B264" s="4" cm="1">
        <f t="array" ref="B264">_xll.SNL.Clients.Office.Excel.Functions.SPG(A264, "SP_TOTAL_REV", "CY2023")</f>
        <v>5342000</v>
      </c>
      <c r="C264" s="4">
        <f>_xll.SNL.Clients.Office.Excel.Functions.SPG(A264,"IQ_AVG_DILUT_SHARES_OUT","CY2023")</f>
        <v>178000000</v>
      </c>
      <c r="D264" s="5">
        <f>_xll.SNL.Clients.Office.Excel.Functions.SPG(A264, "IQ_DILUT_EPS_NORM", "CY2023")</f>
        <v>4.3860000000000001</v>
      </c>
      <c r="E264">
        <f t="shared" si="50"/>
        <v>780708</v>
      </c>
      <c r="F264">
        <f t="shared" si="51"/>
        <v>0.14614526394608759</v>
      </c>
      <c r="G264" s="5">
        <f>_xll.SNL.Clients.Office.Excel.Functions.SPG(A264, "SP_MARKETCAP", "12/30/2023")</f>
        <v>27847.84605036</v>
      </c>
      <c r="H264">
        <f t="shared" si="55"/>
        <v>6.6277876472892324E-4</v>
      </c>
      <c r="I264">
        <f t="shared" si="56"/>
        <v>2.9069476621010576E-3</v>
      </c>
      <c r="K264" t="s">
        <v>264</v>
      </c>
      <c r="L264" s="4" cm="1">
        <f t="array" ref="L264">_xll.SNL.Clients.Office.Excel.Functions.SPG(K264, "SP_TOTAL_REV", "CY2023")</f>
        <v>5342000</v>
      </c>
      <c r="M264" s="4">
        <f>_xll.SNL.Clients.Office.Excel.Functions.SPG(K264,"IQ_AVG_DILUT_SHARES_OUT","CY2023")</f>
        <v>178000000</v>
      </c>
      <c r="N264" s="5">
        <f>_xll.SNL.Clients.Office.Excel.Functions.SPG(K264, "IQ_DILUT_EPS_NORM", "CY2023")</f>
        <v>4.3860000000000001</v>
      </c>
      <c r="O264">
        <f t="shared" si="52"/>
        <v>780708</v>
      </c>
      <c r="P264">
        <f t="shared" si="53"/>
        <v>0.14614526394608759</v>
      </c>
      <c r="Q264" s="5">
        <f>_xll.SNL.Clients.Office.Excel.Functions.SPG(K264, "SP_MARKETCAP", "12/31/2022")</f>
        <v>30586.539342200002</v>
      </c>
      <c r="R264">
        <f t="shared" si="57"/>
        <v>9.0775343995943105E-4</v>
      </c>
      <c r="S264">
        <f t="shared" si="58"/>
        <v>3.9814065876620647E-3</v>
      </c>
      <c r="U264" t="s">
        <v>264</v>
      </c>
      <c r="V264" s="4" cm="1">
        <f t="array" ref="V264">_xll.SNL.Clients.Office.Excel.Functions.SPG(U264, "SP_TOTAL_REV", "CY2021")</f>
        <v>5011000</v>
      </c>
      <c r="W264" s="4">
        <f>_xll.SNL.Clients.Office.Excel.Functions.SPG(U264,"IQ_AVG_DILUT_SHARES_OUT","CY2021")</f>
        <v>186000000</v>
      </c>
      <c r="X264" s="5">
        <f>_xll.SNL.Clients.Office.Excel.Functions.SPG(U264, "IQ_DILUT_EPS_NORM", "CY2021")</f>
        <v>3.6190000000000002</v>
      </c>
      <c r="Y264">
        <f t="shared" si="59"/>
        <v>673134</v>
      </c>
      <c r="Z264">
        <f t="shared" si="60"/>
        <v>0.13433127120335261</v>
      </c>
      <c r="AA264" s="5">
        <f>_xll.SNL.Clients.Office.Excel.Functions.SPG(U264, "SP_MARKETCAP", "12/31/2021")</f>
        <v>37800.102131779997</v>
      </c>
      <c r="AB264">
        <f t="shared" si="54"/>
        <v>8.9085413448014843E-4</v>
      </c>
      <c r="AC264">
        <f t="shared" si="61"/>
        <v>3.2240011126836573E-3</v>
      </c>
    </row>
    <row r="265" spans="1:29" x14ac:dyDescent="0.3">
      <c r="A265" t="s">
        <v>265</v>
      </c>
      <c r="B265" s="4" cm="1">
        <f t="array" ref="B265">_xll.SNL.Clients.Office.Excel.Functions.SPG(A265, "SP_TOTAL_REV", "CY2023")</f>
        <v>20431000</v>
      </c>
      <c r="C265" s="4">
        <f>_xll.SNL.Clients.Office.Excel.Functions.SPG(A265,"IQ_AVG_DILUT_SHARES_OUT","CY2023")</f>
        <v>338800000</v>
      </c>
      <c r="D265" s="5">
        <f>_xll.SNL.Clients.Office.Excel.Functions.SPG(A265, "IQ_DILUT_EPS_NORM", "CY2023")</f>
        <v>5.2320000000000002</v>
      </c>
      <c r="E265">
        <f t="shared" si="50"/>
        <v>1772601.6</v>
      </c>
      <c r="F265">
        <f t="shared" si="51"/>
        <v>8.6760393519651521E-2</v>
      </c>
      <c r="G265" s="5">
        <f>_xll.SNL.Clients.Office.Excel.Functions.SPG(A265, "SP_MARKETCAP", "12/30/2023")</f>
        <v>41063.213461710002</v>
      </c>
      <c r="H265">
        <f t="shared" si="55"/>
        <v>9.7730452275322072E-4</v>
      </c>
      <c r="I265">
        <f t="shared" si="56"/>
        <v>5.1132572630448511E-3</v>
      </c>
      <c r="K265" t="s">
        <v>265</v>
      </c>
      <c r="L265" s="4" cm="1">
        <f t="array" ref="L265">_xll.SNL.Clients.Office.Excel.Functions.SPG(K265, "SP_TOTAL_REV", "CY2023")</f>
        <v>20431000</v>
      </c>
      <c r="M265" s="4">
        <f>_xll.SNL.Clients.Office.Excel.Functions.SPG(K265,"IQ_AVG_DILUT_SHARES_OUT","CY2023")</f>
        <v>338800000</v>
      </c>
      <c r="N265" s="5">
        <f>_xll.SNL.Clients.Office.Excel.Functions.SPG(K265, "IQ_DILUT_EPS_NORM", "CY2023")</f>
        <v>5.2320000000000002</v>
      </c>
      <c r="O265">
        <f t="shared" si="52"/>
        <v>1772601.6</v>
      </c>
      <c r="P265">
        <f t="shared" si="53"/>
        <v>8.6760393519651521E-2</v>
      </c>
      <c r="Q265" s="5">
        <f>_xll.SNL.Clients.Office.Excel.Functions.SPG(K265, "SP_MARKETCAP", "12/31/2022")</f>
        <v>45814.551760499999</v>
      </c>
      <c r="R265">
        <f t="shared" si="57"/>
        <v>1.3596934421219145E-3</v>
      </c>
      <c r="S265">
        <f t="shared" si="58"/>
        <v>7.1139160891818569E-3</v>
      </c>
      <c r="U265" t="s">
        <v>265</v>
      </c>
      <c r="V265" s="4" cm="1">
        <f t="array" ref="V265">_xll.SNL.Clients.Office.Excel.Functions.SPG(U265, "SP_TOTAL_REV", "CY2021")</f>
        <v>19440000</v>
      </c>
      <c r="W265" s="4">
        <f>_xll.SNL.Clients.Office.Excel.Functions.SPG(U265,"IQ_AVG_DILUT_SHARES_OUT","CY2021")</f>
        <v>338800000</v>
      </c>
      <c r="X265" s="5">
        <f>_xll.SNL.Clients.Office.Excel.Functions.SPG(U265, "IQ_DILUT_EPS_NORM", "CY2021")</f>
        <v>4.8499999999999996</v>
      </c>
      <c r="Y265">
        <f t="shared" si="59"/>
        <v>1643179.9999999998</v>
      </c>
      <c r="Z265">
        <f t="shared" si="60"/>
        <v>8.4525720164609047E-2</v>
      </c>
      <c r="AA265" s="5">
        <f>_xll.SNL.Clients.Office.Excel.Functions.SPG(U265, "SP_MARKETCAP", "12/31/2021")</f>
        <v>48123.553908239999</v>
      </c>
      <c r="AB265">
        <f t="shared" si="54"/>
        <v>1.1341521463506987E-3</v>
      </c>
      <c r="AC265">
        <f t="shared" si="61"/>
        <v>5.5006379098008883E-3</v>
      </c>
    </row>
    <row r="266" spans="1:29" x14ac:dyDescent="0.3">
      <c r="A266" t="s">
        <v>266</v>
      </c>
      <c r="B266" s="4" cm="1">
        <f t="array" ref="B266">_xll.SNL.Clients.Office.Excel.Functions.SPG(A266, "SP_TOTAL_REV", "CY2023")</f>
        <v>2087463</v>
      </c>
      <c r="C266" s="4">
        <f>_xll.SNL.Clients.Office.Excel.Functions.SPG(A266,"IQ_AVG_DILUT_SHARES_OUT","CY2023")</f>
        <v>618199000</v>
      </c>
      <c r="D266" s="5">
        <f>_xll.SNL.Clients.Office.Excel.Functions.SPG(A266, "IQ_DILUT_EPS_NORM", "CY2023")</f>
        <v>0.63800000000000001</v>
      </c>
      <c r="E266">
        <f t="shared" si="50"/>
        <v>394410.962</v>
      </c>
      <c r="F266">
        <f t="shared" si="51"/>
        <v>0.18894273191908073</v>
      </c>
      <c r="G266" s="5">
        <f>_xll.SNL.Clients.Office.Excel.Functions.SPG(A266, "SP_MARKETCAP", "12/30/2023")</f>
        <v>13209.51860532</v>
      </c>
      <c r="H266">
        <f t="shared" si="55"/>
        <v>3.143865564347494E-4</v>
      </c>
      <c r="I266">
        <f t="shared" si="56"/>
        <v>2.0057862300537011E-4</v>
      </c>
      <c r="K266" t="s">
        <v>266</v>
      </c>
      <c r="L266" s="4" cm="1">
        <f t="array" ref="L266">_xll.SNL.Clients.Office.Excel.Functions.SPG(K266, "SP_TOTAL_REV", "CY2023")</f>
        <v>2087463</v>
      </c>
      <c r="M266" s="4">
        <f>_xll.SNL.Clients.Office.Excel.Functions.SPG(K266,"IQ_AVG_DILUT_SHARES_OUT","CY2023")</f>
        <v>618199000</v>
      </c>
      <c r="N266" s="5">
        <f>_xll.SNL.Clients.Office.Excel.Functions.SPG(K266, "IQ_DILUT_EPS_NORM", "CY2023")</f>
        <v>0.63800000000000001</v>
      </c>
      <c r="O266">
        <f t="shared" si="52"/>
        <v>394410.962</v>
      </c>
      <c r="P266">
        <f t="shared" si="53"/>
        <v>0.18894273191908073</v>
      </c>
      <c r="Q266" s="5">
        <f>_xll.SNL.Clients.Office.Excel.Functions.SPG(K266, "SP_MARKETCAP", "12/31/2022")</f>
        <v>13099.000358220001</v>
      </c>
      <c r="R266">
        <f t="shared" si="57"/>
        <v>3.8875475588042661E-4</v>
      </c>
      <c r="S266">
        <f t="shared" si="58"/>
        <v>2.4802553425171218E-4</v>
      </c>
      <c r="U266" t="s">
        <v>266</v>
      </c>
      <c r="V266" s="4" cm="1">
        <f t="array" ref="V266">_xll.SNL.Clients.Office.Excel.Functions.SPG(U266, "SP_TOTAL_REV", "CY2021")</f>
        <v>1475391</v>
      </c>
      <c r="W266" s="4">
        <f>_xll.SNL.Clients.Office.Excel.Functions.SPG(U266,"IQ_AVG_DILUT_SHARES_OUT","CY2021")</f>
        <v>511385000</v>
      </c>
      <c r="X266" s="5">
        <f>_xll.SNL.Clients.Office.Excel.Functions.SPG(U266, "IQ_DILUT_EPS_NORM", "CY2021")</f>
        <v>0.442</v>
      </c>
      <c r="Y266">
        <f t="shared" si="59"/>
        <v>226032.17</v>
      </c>
      <c r="Z266">
        <f t="shared" si="60"/>
        <v>0.15320153776185433</v>
      </c>
      <c r="AA266" s="5">
        <f>_xll.SNL.Clients.Office.Excel.Functions.SPG(U266, "SP_MARKETCAP", "12/31/2021")</f>
        <v>15194.951629699999</v>
      </c>
      <c r="AB266">
        <f t="shared" si="54"/>
        <v>3.581071139795538E-4</v>
      </c>
      <c r="AC266">
        <f t="shared" si="61"/>
        <v>1.5828334437896279E-4</v>
      </c>
    </row>
    <row r="267" spans="1:29" x14ac:dyDescent="0.3">
      <c r="A267" t="s">
        <v>267</v>
      </c>
      <c r="B267" s="4" cm="1">
        <f t="array" ref="B267">_xll.SNL.Clients.Office.Excel.Functions.SPG(A267, "SP_TOTAL_REV", "CY2023")</f>
        <v>15334000</v>
      </c>
      <c r="C267" s="4">
        <f>_xll.SNL.Clients.Office.Excel.Functions.SPG(A267,"IQ_AVG_DILUT_SHARES_OUT","CY2023")</f>
        <v>2234000000</v>
      </c>
      <c r="D267" s="5">
        <f>_xll.SNL.Clients.Office.Excel.Functions.SPG(A267, "IQ_DILUT_EPS_NORM", "CY2023")</f>
        <v>0.86699999999999999</v>
      </c>
      <c r="E267">
        <f t="shared" si="50"/>
        <v>1936878</v>
      </c>
      <c r="F267">
        <f t="shared" si="51"/>
        <v>0.12631263858093125</v>
      </c>
      <c r="G267" s="5">
        <f>_xll.SNL.Clients.Office.Excel.Functions.SPG(A267, "SP_MARKETCAP", "12/30/2023")</f>
        <v>39209.732178120001</v>
      </c>
      <c r="H267">
        <f t="shared" si="55"/>
        <v>9.3319166629156E-4</v>
      </c>
      <c r="I267">
        <f t="shared" si="56"/>
        <v>8.0907717467478251E-4</v>
      </c>
      <c r="K267" t="s">
        <v>267</v>
      </c>
      <c r="L267" s="4" cm="1">
        <f t="array" ref="L267">_xll.SNL.Clients.Office.Excel.Functions.SPG(K267, "SP_TOTAL_REV", "CY2023")</f>
        <v>15334000</v>
      </c>
      <c r="M267" s="4">
        <f>_xll.SNL.Clients.Office.Excel.Functions.SPG(K267,"IQ_AVG_DILUT_SHARES_OUT","CY2023")</f>
        <v>2234000000</v>
      </c>
      <c r="N267" s="5">
        <f>_xll.SNL.Clients.Office.Excel.Functions.SPG(K267, "IQ_DILUT_EPS_NORM", "CY2023")</f>
        <v>0.86699999999999999</v>
      </c>
      <c r="O267">
        <f t="shared" si="52"/>
        <v>1936878</v>
      </c>
      <c r="P267">
        <f t="shared" si="53"/>
        <v>0.12631263858093125</v>
      </c>
      <c r="Q267" s="5">
        <f>_xll.SNL.Clients.Office.Excel.Functions.SPG(K267, "SP_MARKETCAP", "12/31/2022")</f>
        <v>40639.176643680003</v>
      </c>
      <c r="R267">
        <f t="shared" si="57"/>
        <v>1.2060976229671778E-3</v>
      </c>
      <c r="S267">
        <f t="shared" si="58"/>
        <v>1.0456866391125432E-3</v>
      </c>
      <c r="U267" t="s">
        <v>267</v>
      </c>
      <c r="V267" s="4" cm="1">
        <f t="array" ref="V267">_xll.SNL.Clients.Office.Excel.Functions.SPG(U267, "SP_TOTAL_REV", "CY2021")</f>
        <v>16610000</v>
      </c>
      <c r="W267" s="4">
        <f>_xll.SNL.Clients.Office.Excel.Functions.SPG(U267,"IQ_AVG_DILUT_SHARES_OUT","CY2021")</f>
        <v>2266000000</v>
      </c>
      <c r="X267" s="5">
        <f>_xll.SNL.Clients.Office.Excel.Functions.SPG(U267, "IQ_DILUT_EPS_NORM", "CY2021")</f>
        <v>0.996</v>
      </c>
      <c r="Y267">
        <f t="shared" si="59"/>
        <v>2256936</v>
      </c>
      <c r="Z267">
        <f t="shared" si="60"/>
        <v>0.13587814569536424</v>
      </c>
      <c r="AA267" s="5">
        <f>_xll.SNL.Clients.Office.Excel.Functions.SPG(U267, "SP_MARKETCAP", "12/31/2021")</f>
        <v>35961.368541019998</v>
      </c>
      <c r="AB267">
        <f t="shared" si="54"/>
        <v>8.4751976951400441E-4</v>
      </c>
      <c r="AC267">
        <f t="shared" si="61"/>
        <v>8.4412969043594843E-4</v>
      </c>
    </row>
    <row r="268" spans="1:29" x14ac:dyDescent="0.3">
      <c r="A268" t="s">
        <v>268</v>
      </c>
      <c r="B268" s="4" cm="1">
        <f t="array" ref="B268">_xll.SNL.Clients.Office.Excel.Functions.SPG(A268, "SP_TOTAL_REV", "CY2023")</f>
        <v>18663644</v>
      </c>
      <c r="C268" s="4">
        <f>_xll.SNL.Clients.Office.Excel.Functions.SPG(A268,"IQ_AVG_DILUT_SHARES_OUT","CY2023")</f>
        <v>911787433</v>
      </c>
      <c r="D268" s="5">
        <f>_xll.SNL.Clients.Office.Excel.Functions.SPG(A268, "IQ_DILUT_EPS_NORM", "CY2023")</f>
        <v>2.7109999999999999</v>
      </c>
      <c r="E268">
        <f t="shared" si="50"/>
        <v>2471855.7308629998</v>
      </c>
      <c r="F268">
        <f t="shared" si="51"/>
        <v>0.13244228891544438</v>
      </c>
      <c r="G268" s="5">
        <f>_xll.SNL.Clients.Office.Excel.Functions.SPG(A268, "SP_MARKETCAP", "12/30/2023")</f>
        <v>73322.968806599994</v>
      </c>
      <c r="H268">
        <f t="shared" si="55"/>
        <v>1.7450867332436822E-3</v>
      </c>
      <c r="I268">
        <f t="shared" si="56"/>
        <v>4.7309301338236218E-3</v>
      </c>
      <c r="K268" t="s">
        <v>268</v>
      </c>
      <c r="L268" s="4" cm="1">
        <f t="array" ref="L268">_xll.SNL.Clients.Office.Excel.Functions.SPG(K268, "SP_TOTAL_REV", "CY2023")</f>
        <v>18663644</v>
      </c>
      <c r="M268" s="4">
        <f>_xll.SNL.Clients.Office.Excel.Functions.SPG(K268,"IQ_AVG_DILUT_SHARES_OUT","CY2023")</f>
        <v>911787433</v>
      </c>
      <c r="N268" s="5">
        <f>_xll.SNL.Clients.Office.Excel.Functions.SPG(K268, "IQ_DILUT_EPS_NORM", "CY2023")</f>
        <v>2.7109999999999999</v>
      </c>
      <c r="O268">
        <f t="shared" si="52"/>
        <v>2471855.7308629998</v>
      </c>
      <c r="P268">
        <f t="shared" si="53"/>
        <v>0.13244228891544438</v>
      </c>
      <c r="Q268" s="5">
        <f>_xll.SNL.Clients.Office.Excel.Functions.SPG(K268, "SP_MARKETCAP", "12/31/2022")</f>
        <v>39972.812680460003</v>
      </c>
      <c r="R268">
        <f t="shared" si="57"/>
        <v>1.1863211398184816E-3</v>
      </c>
      <c r="S268">
        <f t="shared" si="58"/>
        <v>3.2161166100479035E-3</v>
      </c>
      <c r="U268" t="s">
        <v>268</v>
      </c>
      <c r="V268" s="4" cm="1">
        <f t="array" ref="V268">_xll.SNL.Clients.Office.Excel.Functions.SPG(U268, "SP_TOTAL_REV", "CY2021")</f>
        <v>24820632</v>
      </c>
      <c r="W268" s="4">
        <f>_xll.SNL.Clients.Office.Excel.Functions.SPG(U268,"IQ_AVG_DILUT_SHARES_OUT","CY2021")</f>
        <v>633092865</v>
      </c>
      <c r="X268" s="5">
        <f>_xll.SNL.Clients.Office.Excel.Functions.SPG(U268, "IQ_DILUT_EPS_NORM", "CY2021")</f>
        <v>1.4770000000000001</v>
      </c>
      <c r="Y268">
        <f t="shared" si="59"/>
        <v>935078.16160500003</v>
      </c>
      <c r="Z268">
        <f t="shared" si="60"/>
        <v>3.7673422723684069E-2</v>
      </c>
      <c r="AA268" s="5">
        <f>_xll.SNL.Clients.Office.Excel.Functions.SPG(U268, "SP_MARKETCAP", "12/31/2021")</f>
        <v>43583.187486000003</v>
      </c>
      <c r="AB268">
        <f t="shared" si="54"/>
        <v>1.0271470333696226E-3</v>
      </c>
      <c r="AC268">
        <f t="shared" si="61"/>
        <v>1.5170961682869327E-3</v>
      </c>
    </row>
    <row r="269" spans="1:29" x14ac:dyDescent="0.3">
      <c r="A269" t="s">
        <v>269</v>
      </c>
      <c r="B269" s="4" cm="1">
        <f t="array" ref="B269">_xll.SNL.Clients.Office.Excel.Functions.SPG(A269, "SP_TOTAL_REV", "CY2023")</f>
        <v>9671427</v>
      </c>
      <c r="C269" s="4">
        <f>_xll.SNL.Clients.Office.Excel.Functions.SPG(A269,"IQ_AVG_DILUT_SHARES_OUT","CY2023")</f>
        <v>137443000</v>
      </c>
      <c r="D269" s="5">
        <f>_xll.SNL.Clients.Office.Excel.Functions.SPG(A269, "IQ_DILUT_EPS_NORM", "CY2023")</f>
        <v>15.047000000000001</v>
      </c>
      <c r="E269">
        <f t="shared" si="50"/>
        <v>2068104.821</v>
      </c>
      <c r="F269">
        <f t="shared" si="51"/>
        <v>0.21383657458201361</v>
      </c>
      <c r="G269" s="5">
        <f>_xll.SNL.Clients.Office.Excel.Functions.SPG(A269, "SP_MARKETCAP", "12/30/2023")</f>
        <v>79244.176242000001</v>
      </c>
      <c r="H269">
        <f t="shared" si="55"/>
        <v>1.8860114763150553E-3</v>
      </c>
      <c r="I269">
        <f t="shared" si="56"/>
        <v>2.8378814684112637E-2</v>
      </c>
      <c r="K269" t="s">
        <v>269</v>
      </c>
      <c r="L269" s="4" cm="1">
        <f t="array" ref="L269">_xll.SNL.Clients.Office.Excel.Functions.SPG(K269, "SP_TOTAL_REV", "CY2023")</f>
        <v>9671427</v>
      </c>
      <c r="M269" s="4">
        <f>_xll.SNL.Clients.Office.Excel.Functions.SPG(K269,"IQ_AVG_DILUT_SHARES_OUT","CY2023")</f>
        <v>137443000</v>
      </c>
      <c r="N269" s="5">
        <f>_xll.SNL.Clients.Office.Excel.Functions.SPG(K269, "IQ_DILUT_EPS_NORM", "CY2023")</f>
        <v>15.047000000000001</v>
      </c>
      <c r="O269">
        <f t="shared" si="52"/>
        <v>2068104.821</v>
      </c>
      <c r="P269">
        <f t="shared" si="53"/>
        <v>0.21383657458201361</v>
      </c>
      <c r="Q269" s="5">
        <f>_xll.SNL.Clients.Office.Excel.Functions.SPG(K269, "SP_MARKETCAP", "12/31/2022")</f>
        <v>53432.060828809997</v>
      </c>
      <c r="R269">
        <f t="shared" si="57"/>
        <v>1.585767401758801E-3</v>
      </c>
      <c r="S269">
        <f t="shared" si="58"/>
        <v>2.3861042094264678E-2</v>
      </c>
      <c r="U269" t="s">
        <v>269</v>
      </c>
      <c r="V269" s="4" cm="1">
        <f t="array" ref="V269">_xll.SNL.Clients.Office.Excel.Functions.SPG(U269, "SP_TOTAL_REV", "CY2021")</f>
        <v>8165712</v>
      </c>
      <c r="W269" s="4">
        <f>_xll.SNL.Clients.Office.Excel.Functions.SPG(U269,"IQ_AVG_DILUT_SHARES_OUT","CY2021")</f>
        <v>153851500</v>
      </c>
      <c r="X269" s="5">
        <f>_xll.SNL.Clients.Office.Excel.Functions.SPG(U269, "IQ_DILUT_EPS_NORM", "CY2021")</f>
        <v>12.234</v>
      </c>
      <c r="Y269">
        <f t="shared" si="59"/>
        <v>1882219.2509999999</v>
      </c>
      <c r="Z269">
        <f t="shared" si="60"/>
        <v>0.23050277195668914</v>
      </c>
      <c r="AA269" s="5">
        <f>_xll.SNL.Clients.Office.Excel.Functions.SPG(U269, "SP_MARKETCAP", "12/31/2021")</f>
        <v>65214.209388149997</v>
      </c>
      <c r="AB269">
        <f t="shared" si="54"/>
        <v>1.5369362722288443E-3</v>
      </c>
      <c r="AC269">
        <f t="shared" si="61"/>
        <v>1.8802878354447682E-2</v>
      </c>
    </row>
    <row r="270" spans="1:29" x14ac:dyDescent="0.3">
      <c r="A270" t="s">
        <v>270</v>
      </c>
      <c r="B270" s="4" cm="1">
        <f t="array" ref="B270">_xll.SNL.Clients.Office.Excel.Functions.SPG(A270, "SP_TOTAL_REV", "CY2023")</f>
        <v>19419000</v>
      </c>
      <c r="C270" s="4">
        <f>_xll.SNL.Clients.Office.Excel.Functions.SPG(A270,"IQ_AVG_DILUT_SHARES_OUT","CY2023")</f>
        <v>190600000</v>
      </c>
      <c r="D270" s="5">
        <f>_xll.SNL.Clients.Office.Excel.Functions.SPG(A270, "IQ_DILUT_EPS_NORM", "CY2023")</f>
        <v>6.0449999999999999</v>
      </c>
      <c r="E270">
        <f t="shared" si="50"/>
        <v>1152177</v>
      </c>
      <c r="F270">
        <f t="shared" si="51"/>
        <v>5.9332457902054686E-2</v>
      </c>
      <c r="G270" s="5">
        <f>_xll.SNL.Clients.Office.Excel.Functions.SPG(A270, "SP_MARKETCAP", "12/30/2023")</f>
        <v>39920.967244380001</v>
      </c>
      <c r="H270">
        <f t="shared" si="55"/>
        <v>9.5011906160232234E-4</v>
      </c>
      <c r="I270">
        <f t="shared" si="56"/>
        <v>5.7434697273860387E-3</v>
      </c>
      <c r="K270" t="s">
        <v>270</v>
      </c>
      <c r="L270" s="4" cm="1">
        <f t="array" ref="L270">_xll.SNL.Clients.Office.Excel.Functions.SPG(K270, "SP_TOTAL_REV", "CY2023")</f>
        <v>19419000</v>
      </c>
      <c r="M270" s="4">
        <f>_xll.SNL.Clients.Office.Excel.Functions.SPG(K270,"IQ_AVG_DILUT_SHARES_OUT","CY2023")</f>
        <v>190600000</v>
      </c>
      <c r="N270" s="5">
        <f>_xll.SNL.Clients.Office.Excel.Functions.SPG(K270, "IQ_DILUT_EPS_NORM", "CY2023")</f>
        <v>6.0449999999999999</v>
      </c>
      <c r="O270">
        <f t="shared" si="52"/>
        <v>1152177</v>
      </c>
      <c r="P270">
        <f t="shared" si="53"/>
        <v>5.9332457902054686E-2</v>
      </c>
      <c r="Q270" s="5">
        <f>_xll.SNL.Clients.Office.Excel.Functions.SPG(K270, "SP_MARKETCAP", "12/31/2022")</f>
        <v>39643.765946949999</v>
      </c>
      <c r="R270">
        <f t="shared" si="57"/>
        <v>1.1765556249653836E-3</v>
      </c>
      <c r="S270">
        <f t="shared" si="58"/>
        <v>7.1122787529157442E-3</v>
      </c>
      <c r="U270" t="s">
        <v>270</v>
      </c>
      <c r="V270" s="4" cm="1">
        <f t="array" ref="V270">_xll.SNL.Clients.Office.Excel.Functions.SPG(U270, "SP_TOTAL_REV", "CY2021")</f>
        <v>17814000</v>
      </c>
      <c r="W270" s="4">
        <f>_xll.SNL.Clients.Office.Excel.Functions.SPG(U270,"IQ_AVG_DILUT_SHARES_OUT","CY2021")</f>
        <v>203200000</v>
      </c>
      <c r="X270" s="5">
        <f>_xll.SNL.Clients.Office.Excel.Functions.SPG(U270, "IQ_DILUT_EPS_NORM", "CY2021")</f>
        <v>8.4930000000000003</v>
      </c>
      <c r="Y270">
        <f t="shared" si="59"/>
        <v>1725777.6</v>
      </c>
      <c r="Z270">
        <f t="shared" si="60"/>
        <v>9.6877601886156961E-2</v>
      </c>
      <c r="AA270" s="5">
        <f>_xll.SNL.Clients.Office.Excel.Functions.SPG(U270, "SP_MARKETCAP", "12/31/2021")</f>
        <v>41843.119009560003</v>
      </c>
      <c r="AB270">
        <f t="shared" si="54"/>
        <v>9.8613795907900371E-4</v>
      </c>
      <c r="AC270">
        <f t="shared" si="61"/>
        <v>8.3752696864579784E-3</v>
      </c>
    </row>
    <row r="271" spans="1:29" x14ac:dyDescent="0.3">
      <c r="A271" t="s">
        <v>271</v>
      </c>
      <c r="B271" s="4" cm="1">
        <f t="array" ref="B271">_xll.SNL.Clients.Office.Excel.Functions.SPG(A271, "SP_TOTAL_REV", "CY2023")</f>
        <v>12161600</v>
      </c>
      <c r="C271" s="4">
        <f>_xll.SNL.Clients.Office.Excel.Functions.SPG(A271,"IQ_AVG_DILUT_SHARES_OUT","CY2023")</f>
        <v>87600000</v>
      </c>
      <c r="D271" s="5">
        <f>_xll.SNL.Clients.Office.Excel.Functions.SPG(A271, "IQ_DILUT_EPS_NORM", "CY2023")</f>
        <v>7.2140000000000004</v>
      </c>
      <c r="E271">
        <f t="shared" si="50"/>
        <v>631946.4</v>
      </c>
      <c r="F271">
        <f t="shared" si="51"/>
        <v>5.196243915274306E-2</v>
      </c>
      <c r="G271" s="5">
        <f>_xll.SNL.Clients.Office.Excel.Functions.SPG(A271, "SP_MARKETCAP", "12/30/2023")</f>
        <v>19296.920999999998</v>
      </c>
      <c r="H271">
        <f t="shared" si="55"/>
        <v>4.5926673970844793E-4</v>
      </c>
      <c r="I271">
        <f t="shared" si="56"/>
        <v>3.3131502602567436E-3</v>
      </c>
      <c r="K271" t="s">
        <v>271</v>
      </c>
      <c r="L271" s="4" cm="1">
        <f t="array" ref="L271">_xll.SNL.Clients.Office.Excel.Functions.SPG(K271, "SP_TOTAL_REV", "CY2023")</f>
        <v>12161600</v>
      </c>
      <c r="M271" s="4">
        <f>_xll.SNL.Clients.Office.Excel.Functions.SPG(K271,"IQ_AVG_DILUT_SHARES_OUT","CY2023")</f>
        <v>87600000</v>
      </c>
      <c r="N271" s="5">
        <f>_xll.SNL.Clients.Office.Excel.Functions.SPG(K271, "IQ_DILUT_EPS_NORM", "CY2023")</f>
        <v>7.2140000000000004</v>
      </c>
      <c r="O271">
        <f t="shared" si="52"/>
        <v>631946.4</v>
      </c>
      <c r="P271">
        <f t="shared" si="53"/>
        <v>5.196243915274306E-2</v>
      </c>
      <c r="Q271" s="5">
        <f>_xll.SNL.Clients.Office.Excel.Functions.SPG(K271, "SP_MARKETCAP", "12/31/2022")</f>
        <v>20863.527999999998</v>
      </c>
      <c r="R271">
        <f t="shared" si="57"/>
        <v>6.1919196218318182E-4</v>
      </c>
      <c r="S271">
        <f t="shared" si="58"/>
        <v>4.4668508151894737E-3</v>
      </c>
      <c r="U271" t="s">
        <v>271</v>
      </c>
      <c r="V271" s="4" cm="1">
        <f t="array" ref="V271">_xll.SNL.Clients.Office.Excel.Functions.SPG(U271, "SP_TOTAL_REV", "CY2021")</f>
        <v>13136100</v>
      </c>
      <c r="W271" s="4">
        <f>_xll.SNL.Clients.Office.Excel.Functions.SPG(U271,"IQ_AVG_DILUT_SHARES_OUT","CY2021")</f>
        <v>97500000</v>
      </c>
      <c r="X271" s="5">
        <f>_xll.SNL.Clients.Office.Excel.Functions.SPG(U271, "IQ_DILUT_EPS_NORM", "CY2021")</f>
        <v>18.812000000000001</v>
      </c>
      <c r="Y271">
        <f t="shared" si="59"/>
        <v>1834170</v>
      </c>
      <c r="Z271">
        <f t="shared" si="60"/>
        <v>0.13962820015072966</v>
      </c>
      <c r="AA271" s="5">
        <f>_xll.SNL.Clients.Office.Excel.Functions.SPG(U271, "SP_MARKETCAP", "12/31/2021")</f>
        <v>30069.897000000001</v>
      </c>
      <c r="AB271">
        <f t="shared" si="54"/>
        <v>7.0867247851482936E-4</v>
      </c>
      <c r="AC271">
        <f t="shared" si="61"/>
        <v>1.3331546665820971E-2</v>
      </c>
    </row>
    <row r="272" spans="1:29" x14ac:dyDescent="0.3">
      <c r="A272" t="s">
        <v>272</v>
      </c>
      <c r="B272" s="4" cm="1">
        <f t="array" ref="B272">_xll.SNL.Clients.Office.Excel.Functions.SPG(A272, "SP_TOTAL_REV", "CY2023")</f>
        <v>14317147</v>
      </c>
      <c r="C272" s="4">
        <f>_xll.SNL.Clients.Office.Excel.Functions.SPG(A272,"IQ_AVG_DILUT_SHARES_OUT","CY2023")</f>
        <v>1337935000</v>
      </c>
      <c r="D272" s="5">
        <f>_xll.SNL.Clients.Office.Excel.Functions.SPG(A272, "IQ_DILUT_EPS_NORM", "CY2023")</f>
        <v>1.8979999999999999</v>
      </c>
      <c r="E272">
        <f t="shared" si="50"/>
        <v>2539400.63</v>
      </c>
      <c r="F272">
        <f t="shared" si="51"/>
        <v>0.17736778353955573</v>
      </c>
      <c r="G272" s="5">
        <f>_xll.SNL.Clients.Office.Excel.Functions.SPG(A272, "SP_MARKETCAP", "12/30/2023")</f>
        <v>103227.40192</v>
      </c>
      <c r="H272">
        <f t="shared" si="55"/>
        <v>2.4568122721947186E-3</v>
      </c>
      <c r="I272">
        <f t="shared" si="56"/>
        <v>4.6630296926255758E-3</v>
      </c>
      <c r="K272" t="s">
        <v>272</v>
      </c>
      <c r="L272" s="4" cm="1">
        <f t="array" ref="L272">_xll.SNL.Clients.Office.Excel.Functions.SPG(K272, "SP_TOTAL_REV", "CY2023")</f>
        <v>14317147</v>
      </c>
      <c r="M272" s="4">
        <f>_xll.SNL.Clients.Office.Excel.Functions.SPG(K272,"IQ_AVG_DILUT_SHARES_OUT","CY2023")</f>
        <v>1337935000</v>
      </c>
      <c r="N272" s="5">
        <f>_xll.SNL.Clients.Office.Excel.Functions.SPG(K272, "IQ_DILUT_EPS_NORM", "CY2023")</f>
        <v>1.8979999999999999</v>
      </c>
      <c r="O272">
        <f t="shared" si="52"/>
        <v>2539400.63</v>
      </c>
      <c r="P272">
        <f t="shared" si="53"/>
        <v>0.17736778353955573</v>
      </c>
      <c r="Q272" s="5">
        <f>_xll.SNL.Clients.Office.Excel.Functions.SPG(K272, "SP_MARKETCAP", "12/31/2022")</f>
        <v>57320.234920800001</v>
      </c>
      <c r="R272">
        <f t="shared" si="57"/>
        <v>1.7011614111194951E-3</v>
      </c>
      <c r="S272">
        <f t="shared" si="58"/>
        <v>3.2288043583048017E-3</v>
      </c>
      <c r="U272" t="s">
        <v>272</v>
      </c>
      <c r="V272" s="4" cm="1">
        <f t="array" ref="V272">_xll.SNL.Clients.Office.Excel.Functions.SPG(U272, "SP_TOTAL_REV", "CY2021")</f>
        <v>16523902</v>
      </c>
      <c r="W272" s="4">
        <f>_xll.SNL.Clients.Office.Excel.Functions.SPG(U272,"IQ_AVG_DILUT_SHARES_OUT","CY2021")</f>
        <v>1430660000</v>
      </c>
      <c r="X272" s="5">
        <f>_xll.SNL.Clients.Office.Excel.Functions.SPG(U272, "IQ_DILUT_EPS_NORM", "CY2021")</f>
        <v>2.2370000000000001</v>
      </c>
      <c r="Y272">
        <f t="shared" si="59"/>
        <v>3200386.42</v>
      </c>
      <c r="Z272">
        <f t="shared" si="60"/>
        <v>0.19368224406075513</v>
      </c>
      <c r="AA272" s="5">
        <f>_xll.SNL.Clients.Office.Excel.Functions.SPG(U272, "SP_MARKETCAP", "12/31/2021")</f>
        <v>101255.38294755</v>
      </c>
      <c r="AB272">
        <f t="shared" si="54"/>
        <v>2.3863368469938038E-3</v>
      </c>
      <c r="AC272">
        <f t="shared" si="61"/>
        <v>5.3382355267251394E-3</v>
      </c>
    </row>
    <row r="273" spans="1:29" x14ac:dyDescent="0.3">
      <c r="A273" t="s">
        <v>273</v>
      </c>
      <c r="B273" s="4" cm="1">
        <f t="array" ref="B273">_xll.SNL.Clients.Office.Excel.Functions.SPG(A273, "SP_TOTAL_REV", "CY2023")</f>
        <v>6345900</v>
      </c>
      <c r="C273" s="4">
        <f>_xll.SNL.Clients.Office.Excel.Functions.SPG(A273,"IQ_AVG_DILUT_SHARES_OUT","CY2023")</f>
        <v>145900000</v>
      </c>
      <c r="D273" s="5">
        <f>_xll.SNL.Clients.Office.Excel.Functions.SPG(A273, "IQ_DILUT_EPS_NORM", "CY2023")</f>
        <v>6.1479999999999997</v>
      </c>
      <c r="E273">
        <f t="shared" si="50"/>
        <v>896993.2</v>
      </c>
      <c r="F273">
        <f t="shared" si="51"/>
        <v>0.14135003703178428</v>
      </c>
      <c r="G273" s="5">
        <f>_xll.SNL.Clients.Office.Excel.Functions.SPG(A273, "SP_MARKETCAP", "12/30/2023")</f>
        <v>15665.16494259</v>
      </c>
      <c r="H273">
        <f t="shared" si="55"/>
        <v>3.7283094179524216E-4</v>
      </c>
      <c r="I273">
        <f t="shared" si="56"/>
        <v>2.2921646301571489E-3</v>
      </c>
      <c r="K273" t="s">
        <v>273</v>
      </c>
      <c r="L273" s="4" cm="1">
        <f t="array" ref="L273">_xll.SNL.Clients.Office.Excel.Functions.SPG(K273, "SP_TOTAL_REV", "CY2023")</f>
        <v>6345900</v>
      </c>
      <c r="M273" s="4">
        <f>_xll.SNL.Clients.Office.Excel.Functions.SPG(K273,"IQ_AVG_DILUT_SHARES_OUT","CY2023")</f>
        <v>145900000</v>
      </c>
      <c r="N273" s="5">
        <f>_xll.SNL.Clients.Office.Excel.Functions.SPG(K273, "IQ_DILUT_EPS_NORM", "CY2023")</f>
        <v>6.1479999999999997</v>
      </c>
      <c r="O273">
        <f t="shared" si="52"/>
        <v>896993.2</v>
      </c>
      <c r="P273">
        <f t="shared" si="53"/>
        <v>0.14135003703178428</v>
      </c>
      <c r="Q273" s="5">
        <f>_xll.SNL.Clients.Office.Excel.Functions.SPG(K273, "SP_MARKETCAP", "12/31/2022")</f>
        <v>12852.756389439999</v>
      </c>
      <c r="R273">
        <f t="shared" si="57"/>
        <v>3.8144667806134136E-4</v>
      </c>
      <c r="S273">
        <f t="shared" si="58"/>
        <v>2.3451341767211265E-3</v>
      </c>
      <c r="U273" t="s">
        <v>273</v>
      </c>
      <c r="V273" s="4" cm="1">
        <f t="array" ref="V273">_xll.SNL.Clients.Office.Excel.Functions.SPG(U273, "SP_TOTAL_REV", "CY2021")</f>
        <v>3894100</v>
      </c>
      <c r="W273" s="4">
        <f>_xll.SNL.Clients.Office.Excel.Functions.SPG(U273,"IQ_AVG_DILUT_SHARES_OUT","CY2021")</f>
        <v>146850000</v>
      </c>
      <c r="X273" s="5">
        <f>_xll.SNL.Clients.Office.Excel.Functions.SPG(U273, "IQ_DILUT_EPS_NORM", "CY2021")</f>
        <v>1.26</v>
      </c>
      <c r="Y273">
        <f t="shared" si="59"/>
        <v>185031</v>
      </c>
      <c r="Z273">
        <f t="shared" si="60"/>
        <v>4.7515728923242857E-2</v>
      </c>
      <c r="AA273" s="5">
        <f>_xll.SNL.Clients.Office.Excel.Functions.SPG(U273, "SP_MARKETCAP", "12/31/2021")</f>
        <v>9257.8152553799991</v>
      </c>
      <c r="AB273">
        <f t="shared" si="54"/>
        <v>2.1818361674675978E-4</v>
      </c>
      <c r="AC273">
        <f t="shared" si="61"/>
        <v>2.7491135710091733E-4</v>
      </c>
    </row>
    <row r="274" spans="1:29" x14ac:dyDescent="0.3">
      <c r="A274" t="s">
        <v>274</v>
      </c>
      <c r="B274" s="4" cm="1">
        <f t="array" ref="B274">_xll.SNL.Clients.Office.Excel.Functions.SPG(A274, "SP_TOTAL_REV", "CY2023")</f>
        <v>10372000</v>
      </c>
      <c r="C274" s="4">
        <f>_xll.SNL.Clients.Office.Excel.Functions.SPG(A274,"IQ_AVG_DILUT_SHARES_OUT","CY2023")</f>
        <v>765000000</v>
      </c>
      <c r="D274" s="5">
        <f>_xll.SNL.Clients.Office.Excel.Functions.SPG(A274, "IQ_DILUT_EPS_NORM", "CY2023")</f>
        <v>1.198</v>
      </c>
      <c r="E274">
        <f t="shared" si="50"/>
        <v>916470</v>
      </c>
      <c r="F274">
        <f t="shared" si="51"/>
        <v>8.836000771307366E-2</v>
      </c>
      <c r="G274" s="5">
        <f>_xll.SNL.Clients.Office.Excel.Functions.SPG(A274, "SP_MARKETCAP", "12/30/2023")</f>
        <v>37071.307049349998</v>
      </c>
      <c r="H274">
        <f t="shared" si="55"/>
        <v>8.822971460206412E-4</v>
      </c>
      <c r="I274">
        <f t="shared" si="56"/>
        <v>1.056991980932728E-3</v>
      </c>
      <c r="K274" t="s">
        <v>274</v>
      </c>
      <c r="L274" s="4" cm="1">
        <f t="array" ref="L274">_xll.SNL.Clients.Office.Excel.Functions.SPG(K274, "SP_TOTAL_REV", "CY2023")</f>
        <v>10372000</v>
      </c>
      <c r="M274" s="4">
        <f>_xll.SNL.Clients.Office.Excel.Functions.SPG(K274,"IQ_AVG_DILUT_SHARES_OUT","CY2023")</f>
        <v>765000000</v>
      </c>
      <c r="N274" s="5">
        <f>_xll.SNL.Clients.Office.Excel.Functions.SPG(K274, "IQ_DILUT_EPS_NORM", "CY2023")</f>
        <v>1.198</v>
      </c>
      <c r="O274">
        <f t="shared" si="52"/>
        <v>916470</v>
      </c>
      <c r="P274">
        <f t="shared" si="53"/>
        <v>8.836000771307366E-2</v>
      </c>
      <c r="Q274" s="5">
        <f>_xll.SNL.Clients.Office.Excel.Functions.SPG(K274, "SP_MARKETCAP", "12/31/2022")</f>
        <v>36732.265368920001</v>
      </c>
      <c r="R274">
        <f t="shared" si="57"/>
        <v>1.0901475277438656E-3</v>
      </c>
      <c r="S274">
        <f t="shared" si="58"/>
        <v>1.3059967382371509E-3</v>
      </c>
      <c r="U274" t="s">
        <v>274</v>
      </c>
      <c r="V274" s="4" cm="1">
        <f t="array" ref="V274">_xll.SNL.Clients.Office.Excel.Functions.SPG(U274, "SP_TOTAL_REV", "CY2021")</f>
        <v>4234000</v>
      </c>
      <c r="W274" s="4">
        <f>_xll.SNL.Clients.Office.Excel.Functions.SPG(U274,"IQ_AVG_DILUT_SHARES_OUT","CY2021")</f>
        <v>764000000</v>
      </c>
      <c r="X274" s="5">
        <f>_xll.SNL.Clients.Office.Excel.Functions.SPG(U274, "IQ_DILUT_EPS_NORM", "CY2021")</f>
        <v>-0.65900000000000003</v>
      </c>
      <c r="Y274">
        <f t="shared" si="59"/>
        <v>-503476</v>
      </c>
      <c r="Z274">
        <f t="shared" si="60"/>
        <v>-0.11891261218705716</v>
      </c>
      <c r="AA274" s="5">
        <f>_xll.SNL.Clients.Office.Excel.Functions.SPG(U274, "SP_MARKETCAP", "12/31/2021")</f>
        <v>28755.997507560001</v>
      </c>
      <c r="AB274">
        <f t="shared" si="54"/>
        <v>6.777071443194102E-4</v>
      </c>
      <c r="AC274">
        <f t="shared" si="61"/>
        <v>-4.4660900810649133E-4</v>
      </c>
    </row>
    <row r="275" spans="1:29" x14ac:dyDescent="0.3">
      <c r="A275" t="s">
        <v>275</v>
      </c>
      <c r="B275" s="4" cm="1">
        <f t="array" ref="B275">_xll.SNL.Clients.Office.Excel.Functions.SPG(A275, "SP_TOTAL_REV", "CY2023")</f>
        <v>15438000</v>
      </c>
      <c r="C275" s="4">
        <f>_xll.SNL.Clients.Office.Excel.Functions.SPG(A275,"IQ_AVG_DILUT_SHARES_OUT","CY2023")</f>
        <v>138000000</v>
      </c>
      <c r="D275" s="5">
        <f>_xll.SNL.Clients.Office.Excel.Functions.SPG(A275, "IQ_DILUT_EPS_NORM", "CY2023")</f>
        <v>4.9800000000000004</v>
      </c>
      <c r="E275">
        <f t="shared" si="50"/>
        <v>687240</v>
      </c>
      <c r="F275">
        <f t="shared" si="51"/>
        <v>4.4516129032258066E-2</v>
      </c>
      <c r="G275" s="5">
        <f>_xll.SNL.Clients.Office.Excel.Functions.SPG(A275, "SP_MARKETCAP", "12/30/2023")</f>
        <v>14883.69576672</v>
      </c>
      <c r="H275">
        <f t="shared" si="55"/>
        <v>3.5423197460330192E-4</v>
      </c>
      <c r="I275">
        <f t="shared" si="56"/>
        <v>1.7640752335244436E-3</v>
      </c>
      <c r="K275" t="s">
        <v>275</v>
      </c>
      <c r="L275" s="4" cm="1">
        <f t="array" ref="L275">_xll.SNL.Clients.Office.Excel.Functions.SPG(K275, "SP_TOTAL_REV", "CY2023")</f>
        <v>15438000</v>
      </c>
      <c r="M275" s="4">
        <f>_xll.SNL.Clients.Office.Excel.Functions.SPG(K275,"IQ_AVG_DILUT_SHARES_OUT","CY2023")</f>
        <v>138000000</v>
      </c>
      <c r="N275" s="5">
        <f>_xll.SNL.Clients.Office.Excel.Functions.SPG(K275, "IQ_DILUT_EPS_NORM", "CY2023")</f>
        <v>4.9800000000000004</v>
      </c>
      <c r="O275">
        <f t="shared" si="52"/>
        <v>687240</v>
      </c>
      <c r="P275">
        <f t="shared" si="53"/>
        <v>4.4516129032258066E-2</v>
      </c>
      <c r="Q275" s="5">
        <f>_xll.SNL.Clients.Office.Excel.Functions.SPG(K275, "SP_MARKETCAP", "12/31/2022")</f>
        <v>14378.374500829999</v>
      </c>
      <c r="R275">
        <f t="shared" si="57"/>
        <v>4.2672427789650704E-4</v>
      </c>
      <c r="S275">
        <f t="shared" si="58"/>
        <v>2.1250869039246053E-3</v>
      </c>
      <c r="U275" t="s">
        <v>275</v>
      </c>
      <c r="V275" s="4" cm="1">
        <f t="array" ref="V275">_xll.SNL.Clients.Office.Excel.Functions.SPG(U275, "SP_TOTAL_REV", "CY2021")</f>
        <v>13737000</v>
      </c>
      <c r="W275" s="4">
        <f>_xll.SNL.Clients.Office.Excel.Functions.SPG(U275,"IQ_AVG_DILUT_SHARES_OUT","CY2021")</f>
        <v>143000000</v>
      </c>
      <c r="X275" s="5">
        <f>_xll.SNL.Clients.Office.Excel.Functions.SPG(U275, "IQ_DILUT_EPS_NORM", "CY2021")</f>
        <v>4.32</v>
      </c>
      <c r="Y275">
        <f t="shared" si="59"/>
        <v>617760</v>
      </c>
      <c r="Z275">
        <f t="shared" si="60"/>
        <v>4.4970517580257698E-2</v>
      </c>
      <c r="AA275" s="5">
        <f>_xll.SNL.Clients.Office.Excel.Functions.SPG(U275, "SP_MARKETCAP", "12/31/2021")</f>
        <v>12476.168748399999</v>
      </c>
      <c r="AB275">
        <f t="shared" si="54"/>
        <v>2.9403218206227585E-4</v>
      </c>
      <c r="AC275">
        <f t="shared" si="61"/>
        <v>1.2702190265090317E-3</v>
      </c>
    </row>
    <row r="276" spans="1:29" x14ac:dyDescent="0.3">
      <c r="A276" t="s">
        <v>276</v>
      </c>
      <c r="B276" s="4" cm="1">
        <f t="array" ref="B276">_xll.SNL.Clients.Office.Excel.Functions.SPG(A276, "SP_TOTAL_REV", "CY2023")</f>
        <v>34233366</v>
      </c>
      <c r="C276" s="4">
        <f>_xll.SNL.Clients.Office.Excel.Functions.SPG(A276,"IQ_AVG_DILUT_SHARES_OUT","CY2023")</f>
        <v>283319000</v>
      </c>
      <c r="D276" s="5">
        <f>_xll.SNL.Clients.Office.Excel.Functions.SPG(A276, "IQ_DILUT_EPS_NORM", "CY2023")</f>
        <v>11.507</v>
      </c>
      <c r="E276">
        <f t="shared" si="50"/>
        <v>3260151.733</v>
      </c>
      <c r="F276">
        <f t="shared" si="51"/>
        <v>9.5233163253651429E-2</v>
      </c>
      <c r="G276" s="5">
        <f>_xll.SNL.Clients.Office.Excel.Functions.SPG(A276, "SP_MARKETCAP", "12/30/2023")</f>
        <v>41867.558057369999</v>
      </c>
      <c r="H276">
        <f t="shared" si="55"/>
        <v>9.9644792495976343E-4</v>
      </c>
      <c r="I276">
        <f t="shared" si="56"/>
        <v>1.1466126272511997E-2</v>
      </c>
      <c r="K276" t="s">
        <v>276</v>
      </c>
      <c r="L276" s="4" cm="1">
        <f t="array" ref="L276">_xll.SNL.Clients.Office.Excel.Functions.SPG(K276, "SP_TOTAL_REV", "CY2023")</f>
        <v>34233366</v>
      </c>
      <c r="M276" s="4">
        <f>_xll.SNL.Clients.Office.Excel.Functions.SPG(K276,"IQ_AVG_DILUT_SHARES_OUT","CY2023")</f>
        <v>283319000</v>
      </c>
      <c r="N276" s="5">
        <f>_xll.SNL.Clients.Office.Excel.Functions.SPG(K276, "IQ_DILUT_EPS_NORM", "CY2023")</f>
        <v>11.507</v>
      </c>
      <c r="O276">
        <f t="shared" si="52"/>
        <v>3260151.733</v>
      </c>
      <c r="P276">
        <f t="shared" si="53"/>
        <v>9.5233163253651429E-2</v>
      </c>
      <c r="Q276" s="5">
        <f>_xll.SNL.Clients.Office.Excel.Functions.SPG(K276, "SP_MARKETCAP", "12/31/2022")</f>
        <v>25778.381363560002</v>
      </c>
      <c r="R276">
        <f t="shared" si="57"/>
        <v>7.6505596457171986E-4</v>
      </c>
      <c r="S276">
        <f t="shared" si="58"/>
        <v>8.8034989843267797E-3</v>
      </c>
      <c r="U276" t="s">
        <v>276</v>
      </c>
      <c r="V276" s="4" cm="1">
        <f t="array" ref="V276">_xll.SNL.Clients.Office.Excel.Functions.SPG(U276, "SP_TOTAL_REV", "CY2021")</f>
        <v>27130676</v>
      </c>
      <c r="W276" s="4">
        <f>_xll.SNL.Clients.Office.Excel.Functions.SPG(U276,"IQ_AVG_DILUT_SHARES_OUT","CY2021")</f>
        <v>306612000</v>
      </c>
      <c r="X276" s="5">
        <f>_xll.SNL.Clients.Office.Excel.Functions.SPG(U276, "IQ_DILUT_EPS_NORM", "CY2021")</f>
        <v>10.734</v>
      </c>
      <c r="Y276">
        <f t="shared" si="59"/>
        <v>3291173.2080000001</v>
      </c>
      <c r="Z276">
        <f t="shared" si="60"/>
        <v>0.12130819033038469</v>
      </c>
      <c r="AA276" s="5">
        <f>_xll.SNL.Clients.Office.Excel.Functions.SPG(U276, "SP_MARKETCAP", "12/31/2021")</f>
        <v>35175.680995199997</v>
      </c>
      <c r="AB276">
        <f t="shared" si="54"/>
        <v>8.2900307354944911E-4</v>
      </c>
      <c r="AC276">
        <f t="shared" si="61"/>
        <v>8.8985189914797865E-3</v>
      </c>
    </row>
    <row r="277" spans="1:29" x14ac:dyDescent="0.3">
      <c r="A277" t="s">
        <v>277</v>
      </c>
      <c r="B277" s="4" cm="1">
        <f t="array" ref="B277">_xll.SNL.Clients.Office.Excel.Functions.SPG(A277, "SP_TOTAL_REV", "CY2023")</f>
        <v>4981900</v>
      </c>
      <c r="C277" s="4">
        <f>_xll.SNL.Clients.Office.Excel.Functions.SPG(A277,"IQ_AVG_DILUT_SHARES_OUT","CY2023")</f>
        <v>35700000</v>
      </c>
      <c r="D277" s="5">
        <f>_xll.SNL.Clients.Office.Excel.Functions.SPG(A277, "IQ_DILUT_EPS_NORM", "CY2023")</f>
        <v>13.831</v>
      </c>
      <c r="E277">
        <f t="shared" si="50"/>
        <v>493766.7</v>
      </c>
      <c r="F277">
        <f t="shared" si="51"/>
        <v>9.9112125895742587E-2</v>
      </c>
      <c r="G277" s="5">
        <f>_xll.SNL.Clients.Office.Excel.Functions.SPG(A277, "SP_MARKETCAP", "12/30/2023")</f>
        <v>15904.737732</v>
      </c>
      <c r="H277">
        <f t="shared" si="55"/>
        <v>3.7853277443036511E-4</v>
      </c>
      <c r="I277">
        <f t="shared" si="56"/>
        <v>5.2354868031463794E-3</v>
      </c>
      <c r="K277" t="s">
        <v>277</v>
      </c>
      <c r="L277" s="4" cm="1">
        <f t="array" ref="L277">_xll.SNL.Clients.Office.Excel.Functions.SPG(K277, "SP_TOTAL_REV", "CY2023")</f>
        <v>4981900</v>
      </c>
      <c r="M277" s="4">
        <f>_xll.SNL.Clients.Office.Excel.Functions.SPG(K277,"IQ_AVG_DILUT_SHARES_OUT","CY2023")</f>
        <v>35700000</v>
      </c>
      <c r="N277" s="5">
        <f>_xll.SNL.Clients.Office.Excel.Functions.SPG(K277, "IQ_DILUT_EPS_NORM", "CY2023")</f>
        <v>13.831</v>
      </c>
      <c r="O277">
        <f t="shared" si="52"/>
        <v>493766.7</v>
      </c>
      <c r="P277">
        <f t="shared" si="53"/>
        <v>9.9112125895742587E-2</v>
      </c>
      <c r="Q277" s="5">
        <f>_xll.SNL.Clients.Office.Excel.Functions.SPG(K277, "SP_MARKETCAP", "12/31/2022")</f>
        <v>8478.0143155700007</v>
      </c>
      <c r="R277">
        <f t="shared" si="57"/>
        <v>2.5161220669269813E-4</v>
      </c>
      <c r="S277">
        <f t="shared" si="58"/>
        <v>3.4800484307667078E-3</v>
      </c>
      <c r="U277" t="s">
        <v>277</v>
      </c>
      <c r="V277" s="4" cm="1">
        <f t="array" ref="V277">_xll.SNL.Clients.Office.Excel.Functions.SPG(U277, "SP_TOTAL_REV", "CY2021")</f>
        <v>4194100</v>
      </c>
      <c r="W277" s="4">
        <f>_xll.SNL.Clients.Office.Excel.Functions.SPG(U277,"IQ_AVG_DILUT_SHARES_OUT","CY2021")</f>
        <v>37500000</v>
      </c>
      <c r="X277" s="5">
        <f>_xll.SNL.Clients.Office.Excel.Functions.SPG(U277, "IQ_DILUT_EPS_NORM", "CY2021")</f>
        <v>9.4179999999999993</v>
      </c>
      <c r="Y277">
        <f t="shared" si="59"/>
        <v>353175</v>
      </c>
      <c r="Z277">
        <f t="shared" si="60"/>
        <v>8.420757731098448E-2</v>
      </c>
      <c r="AA277" s="5">
        <f>_xll.SNL.Clients.Office.Excel.Functions.SPG(U277, "SP_MARKETCAP", "12/31/2021")</f>
        <v>11870.4942594</v>
      </c>
      <c r="AB277">
        <f t="shared" si="54"/>
        <v>2.7975794489768456E-4</v>
      </c>
      <c r="AC277">
        <f t="shared" si="61"/>
        <v>2.6347603250463929E-3</v>
      </c>
    </row>
    <row r="278" spans="1:29" x14ac:dyDescent="0.3">
      <c r="A278" t="s">
        <v>278</v>
      </c>
      <c r="B278" s="4" cm="1">
        <f t="array" ref="B278">_xll.SNL.Clients.Office.Excel.Functions.SPG(A278, "SP_TOTAL_REV", "CY2023")</f>
        <v>32854000</v>
      </c>
      <c r="C278" s="4">
        <f>_xll.SNL.Clients.Office.Excel.Functions.SPG(A278,"IQ_AVG_DILUT_SHARES_OUT","CY2023")</f>
        <v>492290000</v>
      </c>
      <c r="D278" s="5">
        <f>_xll.SNL.Clients.Office.Excel.Functions.SPG(A278, "IQ_DILUT_EPS_NORM", "CY2023")</f>
        <v>10.122999999999999</v>
      </c>
      <c r="E278">
        <f t="shared" si="50"/>
        <v>4983451.67</v>
      </c>
      <c r="F278">
        <f t="shared" si="51"/>
        <v>0.15168477719607962</v>
      </c>
      <c r="G278" s="5">
        <f>_xll.SNL.Clients.Office.Excel.Functions.SPG(A278, "SP_MARKETCAP", "12/30/2023")</f>
        <v>199149.37150506</v>
      </c>
      <c r="H278">
        <f t="shared" si="55"/>
        <v>4.7397552472809214E-3</v>
      </c>
      <c r="I278">
        <f t="shared" si="56"/>
        <v>4.7980542368224764E-2</v>
      </c>
      <c r="K278" t="s">
        <v>278</v>
      </c>
      <c r="L278" s="4" cm="1">
        <f t="array" ref="L278">_xll.SNL.Clients.Office.Excel.Functions.SPG(K278, "SP_TOTAL_REV", "CY2023")</f>
        <v>32854000</v>
      </c>
      <c r="M278" s="4">
        <f>_xll.SNL.Clients.Office.Excel.Functions.SPG(K278,"IQ_AVG_DILUT_SHARES_OUT","CY2023")</f>
        <v>492290000</v>
      </c>
      <c r="N278" s="5">
        <f>_xll.SNL.Clients.Office.Excel.Functions.SPG(K278, "IQ_DILUT_EPS_NORM", "CY2023")</f>
        <v>10.122999999999999</v>
      </c>
      <c r="O278">
        <f t="shared" si="52"/>
        <v>4983451.67</v>
      </c>
      <c r="P278">
        <f t="shared" si="53"/>
        <v>0.15168477719607962</v>
      </c>
      <c r="Q278" s="5">
        <f>_xll.SNL.Clients.Office.Excel.Functions.SPG(K278, "SP_MARKETCAP", "12/31/2022")</f>
        <v>160663.46184701999</v>
      </c>
      <c r="R278">
        <f t="shared" si="57"/>
        <v>4.7682023956925734E-3</v>
      </c>
      <c r="S278">
        <f t="shared" si="58"/>
        <v>4.8268512851595918E-2</v>
      </c>
      <c r="U278" t="s">
        <v>278</v>
      </c>
      <c r="V278" s="4" cm="1">
        <f t="array" ref="V278">_xll.SNL.Clients.Office.Excel.Functions.SPG(U278, "SP_TOTAL_REV", "CY2021")</f>
        <v>30793000</v>
      </c>
      <c r="W278" s="4">
        <f>_xll.SNL.Clients.Office.Excel.Functions.SPG(U278,"IQ_AVG_DILUT_SHARES_OUT","CY2021")</f>
        <v>521875000</v>
      </c>
      <c r="X278" s="5">
        <f>_xll.SNL.Clients.Office.Excel.Functions.SPG(U278, "IQ_DILUT_EPS_NORM", "CY2021")</f>
        <v>6.36</v>
      </c>
      <c r="Y278">
        <f t="shared" si="59"/>
        <v>3319125</v>
      </c>
      <c r="Z278">
        <f t="shared" si="60"/>
        <v>0.10778829604130809</v>
      </c>
      <c r="AA278" s="5">
        <f>_xll.SNL.Clients.Office.Excel.Functions.SPG(U278, "SP_MARKETCAP", "12/31/2021")</f>
        <v>176328.25035595</v>
      </c>
      <c r="AB278">
        <f t="shared" si="54"/>
        <v>4.155617101446487E-3</v>
      </c>
      <c r="AC278">
        <f t="shared" si="61"/>
        <v>2.6429724765199659E-2</v>
      </c>
    </row>
    <row r="279" spans="1:29" x14ac:dyDescent="0.3">
      <c r="A279" t="s">
        <v>279</v>
      </c>
      <c r="B279" s="4" cm="1">
        <f t="array" ref="B279">_xll.SNL.Clients.Office.Excel.Functions.SPG(A279, "SP_TOTAL_REV", "CY2023")</f>
        <v>22749073</v>
      </c>
      <c r="C279" s="4">
        <f>_xll.SNL.Clients.Office.Excel.Functions.SPG(A279,"IQ_AVG_DILUT_SHARES_OUT","CY2023")</f>
        <v>230977326</v>
      </c>
      <c r="D279" s="5">
        <f>_xll.SNL.Clients.Office.Excel.Functions.SPG(A279, "IQ_DILUT_EPS_NORM", "CY2023")</f>
        <v>1.8029999999999999</v>
      </c>
      <c r="E279">
        <f t="shared" si="50"/>
        <v>416452.118778</v>
      </c>
      <c r="F279">
        <f t="shared" si="51"/>
        <v>1.8306333571394315E-2</v>
      </c>
      <c r="G279" s="5">
        <f>_xll.SNL.Clients.Office.Excel.Functions.SPG(A279, "SP_MARKETCAP", "12/30/2023")</f>
        <v>21365.294277600002</v>
      </c>
      <c r="H279">
        <f t="shared" si="55"/>
        <v>5.0849402584924892E-4</v>
      </c>
      <c r="I279">
        <f t="shared" si="56"/>
        <v>9.1681472860619573E-4</v>
      </c>
      <c r="K279" t="s">
        <v>279</v>
      </c>
      <c r="L279" s="4" cm="1">
        <f t="array" ref="L279">_xll.SNL.Clients.Office.Excel.Functions.SPG(K279, "SP_TOTAL_REV", "CY2023")</f>
        <v>22749073</v>
      </c>
      <c r="M279" s="4">
        <f>_xll.SNL.Clients.Office.Excel.Functions.SPG(K279,"IQ_AVG_DILUT_SHARES_OUT","CY2023")</f>
        <v>230977326</v>
      </c>
      <c r="N279" s="5">
        <f>_xll.SNL.Clients.Office.Excel.Functions.SPG(K279, "IQ_DILUT_EPS_NORM", "CY2023")</f>
        <v>1.8029999999999999</v>
      </c>
      <c r="O279">
        <f t="shared" si="52"/>
        <v>416452.118778</v>
      </c>
      <c r="P279">
        <f t="shared" si="53"/>
        <v>1.8306333571394315E-2</v>
      </c>
      <c r="Q279" s="5">
        <f>_xll.SNL.Clients.Office.Excel.Functions.SPG(K279, "SP_MARKETCAP", "12/31/2022")</f>
        <v>15780.581482379999</v>
      </c>
      <c r="R279">
        <f t="shared" si="57"/>
        <v>4.6833925750555981E-4</v>
      </c>
      <c r="S279">
        <f t="shared" si="58"/>
        <v>8.4441568128252426E-4</v>
      </c>
      <c r="U279" t="s">
        <v>279</v>
      </c>
      <c r="V279" s="4" cm="1">
        <f t="array" ref="V279">_xll.SNL.Clients.Office.Excel.Functions.SPG(U279, "SP_TOTAL_REV", "CY2021")</f>
        <v>6268447</v>
      </c>
      <c r="W279" s="4">
        <f>_xll.SNL.Clients.Office.Excel.Functions.SPG(U279,"IQ_AVG_DILUT_SHARES_OUT","CY2021")</f>
        <v>217190862</v>
      </c>
      <c r="X279" s="5">
        <f>_xll.SNL.Clients.Office.Excel.Functions.SPG(U279, "IQ_DILUT_EPS_NORM", "CY2021")</f>
        <v>-2.2589999999999999</v>
      </c>
      <c r="Y279">
        <f t="shared" si="59"/>
        <v>-490634.15725799993</v>
      </c>
      <c r="Z279">
        <f t="shared" si="60"/>
        <v>-7.8270448367514303E-2</v>
      </c>
      <c r="AA279" s="5">
        <f>_xll.SNL.Clients.Office.Excel.Functions.SPG(U279, "SP_MARKETCAP", "12/31/2021")</f>
        <v>26362.91389426</v>
      </c>
      <c r="AB279">
        <f t="shared" si="54"/>
        <v>6.2130813186085285E-4</v>
      </c>
      <c r="AC279">
        <f t="shared" si="61"/>
        <v>-1.4035350698736666E-3</v>
      </c>
    </row>
    <row r="280" spans="1:29" x14ac:dyDescent="0.3">
      <c r="A280" t="s">
        <v>280</v>
      </c>
      <c r="B280" s="4" cm="1">
        <f t="array" ref="B280">_xll.SNL.Clients.Office.Excel.Functions.SPG(A280, "SP_TOTAL_REV", "CY2023")</f>
        <v>13866000</v>
      </c>
      <c r="C280" s="4">
        <f>_xll.SNL.Clients.Office.Excel.Functions.SPG(A280,"IQ_AVG_DILUT_SHARES_OUT","CY2023")</f>
        <v>268300000</v>
      </c>
      <c r="D280" s="5">
        <f>_xll.SNL.Clients.Office.Excel.Functions.SPG(A280, "IQ_DILUT_EPS_NORM", "CY2023")</f>
        <v>2.9529999999999998</v>
      </c>
      <c r="E280">
        <f t="shared" si="50"/>
        <v>792289.9</v>
      </c>
      <c r="F280">
        <f t="shared" si="51"/>
        <v>5.7139037934516086E-2</v>
      </c>
      <c r="G280" s="5">
        <f>_xll.SNL.Clients.Office.Excel.Functions.SPG(A280, "SP_MARKETCAP", "12/30/2023")</f>
        <v>12788.52366501</v>
      </c>
      <c r="H280">
        <f t="shared" si="55"/>
        <v>3.0436687642103495E-4</v>
      </c>
      <c r="I280">
        <f t="shared" si="56"/>
        <v>8.9879538607131617E-4</v>
      </c>
      <c r="K280" t="s">
        <v>280</v>
      </c>
      <c r="L280" s="4" cm="1">
        <f t="array" ref="L280">_xll.SNL.Clients.Office.Excel.Functions.SPG(K280, "SP_TOTAL_REV", "CY2023")</f>
        <v>13866000</v>
      </c>
      <c r="M280" s="4">
        <f>_xll.SNL.Clients.Office.Excel.Functions.SPG(K280,"IQ_AVG_DILUT_SHARES_OUT","CY2023")</f>
        <v>268300000</v>
      </c>
      <c r="N280" s="5">
        <f>_xll.SNL.Clients.Office.Excel.Functions.SPG(K280, "IQ_DILUT_EPS_NORM", "CY2023")</f>
        <v>2.9529999999999998</v>
      </c>
      <c r="O280">
        <f t="shared" si="52"/>
        <v>792289.9</v>
      </c>
      <c r="P280">
        <f t="shared" si="53"/>
        <v>5.7139037934516086E-2</v>
      </c>
      <c r="Q280" s="5">
        <f>_xll.SNL.Clients.Office.Excel.Functions.SPG(K280, "SP_MARKETCAP", "12/31/2022")</f>
        <v>14269.81594885</v>
      </c>
      <c r="R280">
        <f t="shared" si="57"/>
        <v>4.2350245545054964E-4</v>
      </c>
      <c r="S280">
        <f t="shared" si="58"/>
        <v>1.2506027509454731E-3</v>
      </c>
      <c r="U280" t="s">
        <v>280</v>
      </c>
      <c r="V280" s="4" cm="1">
        <f t="array" ref="V280">_xll.SNL.Clients.Office.Excel.Functions.SPG(U280, "SP_TOTAL_REV", "CY2021")</f>
        <v>13089000</v>
      </c>
      <c r="W280" s="4">
        <f>_xll.SNL.Clients.Office.Excel.Functions.SPG(U280,"IQ_AVG_DILUT_SHARES_OUT","CY2021")</f>
        <v>297700000</v>
      </c>
      <c r="X280" s="5">
        <f>_xll.SNL.Clients.Office.Excel.Functions.SPG(U280, "IQ_DILUT_EPS_NORM", "CY2021")</f>
        <v>3.0739999999999998</v>
      </c>
      <c r="Y280">
        <f t="shared" si="59"/>
        <v>915129.8</v>
      </c>
      <c r="Z280">
        <f t="shared" si="60"/>
        <v>6.9915944686377879E-2</v>
      </c>
      <c r="AA280" s="5">
        <f>_xll.SNL.Clients.Office.Excel.Functions.SPG(U280, "SP_MARKETCAP", "12/31/2021")</f>
        <v>17498.215715490001</v>
      </c>
      <c r="AB280">
        <f t="shared" si="54"/>
        <v>4.1238930418296531E-4</v>
      </c>
      <c r="AC280">
        <f t="shared" si="61"/>
        <v>1.2676847210584352E-3</v>
      </c>
    </row>
    <row r="281" spans="1:29" x14ac:dyDescent="0.3">
      <c r="A281" t="s">
        <v>281</v>
      </c>
      <c r="B281" s="4" cm="1">
        <f t="array" ref="B281">_xll.SNL.Clients.Office.Excel.Functions.SPG(A281, "SP_TOTAL_REV", "CY2023")</f>
        <v>67571000</v>
      </c>
      <c r="C281" s="4">
        <f>_xll.SNL.Clients.Office.Excel.Functions.SPG(A281,"IQ_AVG_DILUT_SHARES_OUT","CY2023")</f>
        <v>251200000</v>
      </c>
      <c r="D281" s="5">
        <f>_xll.SNL.Clients.Office.Excel.Functions.SPG(A281, "IQ_DILUT_EPS_NORM", "CY2023")</f>
        <v>20.536000000000001</v>
      </c>
      <c r="E281">
        <f t="shared" si="50"/>
        <v>5158643.2</v>
      </c>
      <c r="F281">
        <f t="shared" si="51"/>
        <v>7.6344041082713004E-2</v>
      </c>
      <c r="G281" s="5">
        <f>_xll.SNL.Clients.Office.Excel.Functions.SPG(A281, "SP_MARKETCAP", "12/30/2023")</f>
        <v>112448.2615866</v>
      </c>
      <c r="H281">
        <f t="shared" si="55"/>
        <v>2.6762687417728709E-3</v>
      </c>
      <c r="I281">
        <f t="shared" si="56"/>
        <v>5.4959854881047682E-2</v>
      </c>
      <c r="K281" t="s">
        <v>281</v>
      </c>
      <c r="L281" s="4" cm="1">
        <f t="array" ref="L281">_xll.SNL.Clients.Office.Excel.Functions.SPG(K281, "SP_TOTAL_REV", "CY2023")</f>
        <v>67571000</v>
      </c>
      <c r="M281" s="4">
        <f>_xll.SNL.Clients.Office.Excel.Functions.SPG(K281,"IQ_AVG_DILUT_SHARES_OUT","CY2023")</f>
        <v>251200000</v>
      </c>
      <c r="N281" s="5">
        <f>_xll.SNL.Clients.Office.Excel.Functions.SPG(K281, "IQ_DILUT_EPS_NORM", "CY2023")</f>
        <v>20.536000000000001</v>
      </c>
      <c r="O281">
        <f t="shared" si="52"/>
        <v>5158643.2</v>
      </c>
      <c r="P281">
        <f t="shared" si="53"/>
        <v>7.6344041082713004E-2</v>
      </c>
      <c r="Q281" s="5">
        <f>_xll.SNL.Clients.Office.Excel.Functions.SPG(K281, "SP_MARKETCAP", "12/31/2022")</f>
        <v>127496.36225987</v>
      </c>
      <c r="R281">
        <f t="shared" si="57"/>
        <v>3.7838625719919796E-3</v>
      </c>
      <c r="S281">
        <f t="shared" si="58"/>
        <v>7.7705401778427302E-2</v>
      </c>
      <c r="U281" t="s">
        <v>281</v>
      </c>
      <c r="V281" s="4" cm="1">
        <f t="array" ref="V281">_xll.SNL.Clients.Office.Excel.Functions.SPG(U281, "SP_TOTAL_REV", "CY2021")</f>
        <v>67044000</v>
      </c>
      <c r="W281" s="4">
        <f>_xll.SNL.Clients.Office.Excel.Functions.SPG(U281,"IQ_AVG_DILUT_SHARES_OUT","CY2021")</f>
        <v>277400000</v>
      </c>
      <c r="X281" s="5">
        <f>_xll.SNL.Clients.Office.Excel.Functions.SPG(U281, "IQ_DILUT_EPS_NORM", "CY2021")</f>
        <v>16.495000000000001</v>
      </c>
      <c r="Y281">
        <f t="shared" si="59"/>
        <v>4575713</v>
      </c>
      <c r="Z281">
        <f t="shared" si="60"/>
        <v>6.8249403376886827E-2</v>
      </c>
      <c r="AA281" s="5">
        <f>_xll.SNL.Clients.Office.Excel.Functions.SPG(U281, "SP_MARKETCAP", "12/31/2021")</f>
        <v>98017.258640400003</v>
      </c>
      <c r="AB281">
        <f t="shared" si="54"/>
        <v>2.3100223328972936E-3</v>
      </c>
      <c r="AC281">
        <f t="shared" si="61"/>
        <v>3.810381838114086E-2</v>
      </c>
    </row>
    <row r="282" spans="1:29" x14ac:dyDescent="0.3">
      <c r="A282" t="s">
        <v>282</v>
      </c>
      <c r="B282" s="4" cm="1">
        <f t="array" ref="B282">_xll.SNL.Clients.Office.Excel.Functions.SPG(A282, "SP_TOTAL_REV", "CY2023")</f>
        <v>15855000</v>
      </c>
      <c r="C282" s="4">
        <f>_xll.SNL.Clients.Office.Excel.Functions.SPG(A282,"IQ_AVG_DILUT_SHARES_OUT","CY2023")</f>
        <v>227810000</v>
      </c>
      <c r="D282" s="5">
        <f>_xll.SNL.Clients.Office.Excel.Functions.SPG(A282, "IQ_DILUT_EPS_NORM", "CY2023")</f>
        <v>5.0220000000000002</v>
      </c>
      <c r="E282">
        <f t="shared" si="50"/>
        <v>1144061.82</v>
      </c>
      <c r="F282">
        <f t="shared" si="51"/>
        <v>7.2157793755912969E-2</v>
      </c>
      <c r="G282" s="5">
        <f>_xll.SNL.Clients.Office.Excel.Functions.SPG(A282, "SP_MARKETCAP", "12/30/2023")</f>
        <v>15536.012176779999</v>
      </c>
      <c r="H282">
        <f t="shared" si="55"/>
        <v>3.6975710583571846E-4</v>
      </c>
      <c r="I282">
        <f t="shared" si="56"/>
        <v>1.8569201855069782E-3</v>
      </c>
      <c r="K282" t="s">
        <v>282</v>
      </c>
      <c r="L282" s="4" cm="1">
        <f t="array" ref="L282">_xll.SNL.Clients.Office.Excel.Functions.SPG(K282, "SP_TOTAL_REV", "CY2023")</f>
        <v>15855000</v>
      </c>
      <c r="M282" s="4">
        <f>_xll.SNL.Clients.Office.Excel.Functions.SPG(K282,"IQ_AVG_DILUT_SHARES_OUT","CY2023")</f>
        <v>227810000</v>
      </c>
      <c r="N282" s="5">
        <f>_xll.SNL.Clients.Office.Excel.Functions.SPG(K282, "IQ_DILUT_EPS_NORM", "CY2023")</f>
        <v>5.0220000000000002</v>
      </c>
      <c r="O282">
        <f t="shared" si="52"/>
        <v>1144061.82</v>
      </c>
      <c r="P282">
        <f t="shared" si="53"/>
        <v>7.2157793755912969E-2</v>
      </c>
      <c r="Q282" s="5">
        <f>_xll.SNL.Clients.Office.Excel.Functions.SPG(K282, "SP_MARKETCAP", "12/31/2022")</f>
        <v>13849.11994316</v>
      </c>
      <c r="R282">
        <f t="shared" si="57"/>
        <v>4.1101695514370707E-4</v>
      </c>
      <c r="S282">
        <f t="shared" si="58"/>
        <v>2.0641271487316969E-3</v>
      </c>
      <c r="U282" t="s">
        <v>282</v>
      </c>
      <c r="V282" s="4" cm="1">
        <f t="array" ref="V282">_xll.SNL.Clients.Office.Excel.Functions.SPG(U282, "SP_TOTAL_REV", "CY2021")</f>
        <v>14102000</v>
      </c>
      <c r="W282" s="4">
        <f>_xll.SNL.Clients.Office.Excel.Functions.SPG(U282,"IQ_AVG_DILUT_SHARES_OUT","CY2021")</f>
        <v>260200000</v>
      </c>
      <c r="X282" s="5">
        <f>_xll.SNL.Clients.Office.Excel.Functions.SPG(U282, "IQ_DILUT_EPS_NORM", "CY2021")</f>
        <v>4.7160000000000002</v>
      </c>
      <c r="Y282">
        <f t="shared" si="59"/>
        <v>1227103.2</v>
      </c>
      <c r="Z282">
        <f t="shared" si="60"/>
        <v>8.7016253013756914E-2</v>
      </c>
      <c r="AA282" s="5">
        <f>_xll.SNL.Clients.Office.Excel.Functions.SPG(U282, "SP_MARKETCAP", "12/31/2021")</f>
        <v>14652.811637119999</v>
      </c>
      <c r="AB282">
        <f t="shared" si="54"/>
        <v>3.4533022644170558E-4</v>
      </c>
      <c r="AC282">
        <f t="shared" si="61"/>
        <v>1.6285773478990836E-3</v>
      </c>
    </row>
    <row r="283" spans="1:29" x14ac:dyDescent="0.3">
      <c r="A283" t="s">
        <v>283</v>
      </c>
      <c r="B283" s="4" cm="1">
        <f t="array" ref="B283">_xll.SNL.Clients.Office.Excel.Functions.SPG(A283, "SP_TOTAL_REV", "CY2023")</f>
        <v>86377000</v>
      </c>
      <c r="C283" s="4">
        <f>_xll.SNL.Clients.Office.Excel.Functions.SPG(A283,"IQ_AVG_DILUT_SHARES_OUT","CY2023")</f>
        <v>584000000</v>
      </c>
      <c r="D283" s="5">
        <f>_xll.SNL.Clients.Office.Excel.Functions.SPG(A283, "IQ_DILUT_EPS_NORM", "CY2023")</f>
        <v>10.888999999999999</v>
      </c>
      <c r="E283">
        <f t="shared" si="50"/>
        <v>6359176</v>
      </c>
      <c r="F283">
        <f t="shared" si="51"/>
        <v>7.3621172302812093E-2</v>
      </c>
      <c r="G283" s="5">
        <f>_xll.SNL.Clients.Office.Excel.Functions.SPG(A283, "SP_MARKETCAP", "12/30/2023")</f>
        <v>127991.30912999999</v>
      </c>
      <c r="H283">
        <f t="shared" si="55"/>
        <v>3.0461932893414037E-3</v>
      </c>
      <c r="I283">
        <f t="shared" si="56"/>
        <v>3.3169998727638546E-2</v>
      </c>
      <c r="K283" t="s">
        <v>283</v>
      </c>
      <c r="L283" s="4" cm="1">
        <f t="array" ref="L283">_xll.SNL.Clients.Office.Excel.Functions.SPG(K283, "SP_TOTAL_REV", "CY2023")</f>
        <v>86377000</v>
      </c>
      <c r="M283" s="4">
        <f>_xll.SNL.Clients.Office.Excel.Functions.SPG(K283,"IQ_AVG_DILUT_SHARES_OUT","CY2023")</f>
        <v>584000000</v>
      </c>
      <c r="N283" s="5">
        <f>_xll.SNL.Clients.Office.Excel.Functions.SPG(K283, "IQ_DILUT_EPS_NORM", "CY2023")</f>
        <v>10.888999999999999</v>
      </c>
      <c r="O283">
        <f t="shared" si="52"/>
        <v>6359176</v>
      </c>
      <c r="P283">
        <f t="shared" si="53"/>
        <v>7.3621172302812093E-2</v>
      </c>
      <c r="Q283" s="5">
        <f>_xll.SNL.Clients.Office.Excel.Functions.SPG(K283, "SP_MARKETCAP", "12/31/2022")</f>
        <v>120480.941043</v>
      </c>
      <c r="R283">
        <f t="shared" si="57"/>
        <v>3.5756574961862356E-3</v>
      </c>
      <c r="S283">
        <f t="shared" si="58"/>
        <v>3.8935334475971917E-2</v>
      </c>
      <c r="U283" t="s">
        <v>283</v>
      </c>
      <c r="V283" s="4" cm="1">
        <f t="array" ref="V283">_xll.SNL.Clients.Office.Excel.Functions.SPG(U283, "SP_TOTAL_REV", "CY2021")</f>
        <v>96250000</v>
      </c>
      <c r="W283" s="4">
        <f>_xll.SNL.Clients.Office.Excel.Functions.SPG(U283,"IQ_AVG_DILUT_SHARES_OUT","CY2021")</f>
        <v>699000000</v>
      </c>
      <c r="X283" s="5">
        <f>_xll.SNL.Clients.Office.Excel.Functions.SPG(U283, "IQ_DILUT_EPS_NORM", "CY2021")</f>
        <v>10.021000000000001</v>
      </c>
      <c r="Y283">
        <f t="shared" si="59"/>
        <v>7004679.0000000009</v>
      </c>
      <c r="Z283">
        <f t="shared" si="60"/>
        <v>7.2775885714285726E-2</v>
      </c>
      <c r="AA283" s="5">
        <f>_xll.SNL.Clients.Office.Excel.Functions.SPG(U283, "SP_MARKETCAP", "12/31/2021")</f>
        <v>174150.17341272</v>
      </c>
      <c r="AB283">
        <f t="shared" si="54"/>
        <v>4.1042852599787625E-3</v>
      </c>
      <c r="AC283">
        <f t="shared" si="61"/>
        <v>4.1129042590247182E-2</v>
      </c>
    </row>
    <row r="284" spans="1:29" x14ac:dyDescent="0.3">
      <c r="A284" t="s">
        <v>284</v>
      </c>
      <c r="B284" s="4" cm="1">
        <f t="array" ref="B284">_xll.SNL.Clients.Office.Excel.Functions.SPG(A284, "SP_TOTAL_REV", "CY2023")</f>
        <v>9619278</v>
      </c>
      <c r="C284" s="4">
        <f>_xll.SNL.Clients.Office.Excel.Functions.SPG(A284,"IQ_AVG_DILUT_SHARES_OUT","CY2023")</f>
        <v>127060000</v>
      </c>
      <c r="D284" s="5">
        <f>_xll.SNL.Clients.Office.Excel.Functions.SPG(A284, "IQ_DILUT_EPS_NORM", "CY2023")</f>
        <v>11.069000000000001</v>
      </c>
      <c r="E284">
        <f t="shared" si="50"/>
        <v>1406427.14</v>
      </c>
      <c r="F284">
        <f t="shared" si="51"/>
        <v>0.14620922069203113</v>
      </c>
      <c r="G284" s="5">
        <f>_xll.SNL.Clients.Office.Excel.Functions.SPG(A284, "SP_MARKETCAP", "12/30/2023")</f>
        <v>64520.067033630003</v>
      </c>
      <c r="H284">
        <f t="shared" si="55"/>
        <v>1.5355776619651272E-3</v>
      </c>
      <c r="I284">
        <f t="shared" si="56"/>
        <v>1.6997309140291995E-2</v>
      </c>
      <c r="K284" t="s">
        <v>284</v>
      </c>
      <c r="L284" s="4" cm="1">
        <f t="array" ref="L284">_xll.SNL.Clients.Office.Excel.Functions.SPG(K284, "SP_TOTAL_REV", "CY2023")</f>
        <v>9619278</v>
      </c>
      <c r="M284" s="4">
        <f>_xll.SNL.Clients.Office.Excel.Functions.SPG(K284,"IQ_AVG_DILUT_SHARES_OUT","CY2023")</f>
        <v>127060000</v>
      </c>
      <c r="N284" s="5">
        <f>_xll.SNL.Clients.Office.Excel.Functions.SPG(K284, "IQ_DILUT_EPS_NORM", "CY2023")</f>
        <v>11.069000000000001</v>
      </c>
      <c r="O284">
        <f t="shared" si="52"/>
        <v>1406427.14</v>
      </c>
      <c r="P284">
        <f t="shared" si="53"/>
        <v>0.14620922069203113</v>
      </c>
      <c r="Q284" s="5">
        <f>_xll.SNL.Clients.Office.Excel.Functions.SPG(K284, "SP_MARKETCAP", "12/31/2022")</f>
        <v>40853.171440060003</v>
      </c>
      <c r="R284">
        <f t="shared" si="57"/>
        <v>1.2124486033894498E-3</v>
      </c>
      <c r="S284">
        <f t="shared" si="58"/>
        <v>1.3420593590917821E-2</v>
      </c>
      <c r="U284" t="s">
        <v>284</v>
      </c>
      <c r="V284" s="4" cm="1">
        <f t="array" ref="V284">_xll.SNL.Clients.Office.Excel.Functions.SPG(U284, "SP_TOTAL_REV", "CY2021")</f>
        <v>6256617</v>
      </c>
      <c r="W284" s="4">
        <f>_xll.SNL.Clients.Office.Excel.Functions.SPG(U284,"IQ_AVG_DILUT_SHARES_OUT","CY2021")</f>
        <v>130295000</v>
      </c>
      <c r="X284" s="5" t="str">
        <f>_xll.SNL.Clients.Office.Excel.Functions.SPG(U284, "IQ_DILUT_EPS_NORM", "CY2021")</f>
        <v>NA</v>
      </c>
      <c r="Y284" t="e">
        <f t="shared" si="59"/>
        <v>#VALUE!</v>
      </c>
      <c r="Z284" t="e">
        <f t="shared" si="60"/>
        <v>#VALUE!</v>
      </c>
      <c r="AA284" s="5">
        <f>_xll.SNL.Clients.Office.Excel.Functions.SPG(U284, "SP_MARKETCAP", "12/31/2021")</f>
        <v>50612.103026750003</v>
      </c>
      <c r="AB284">
        <f t="shared" si="54"/>
        <v>1.1928010426778255E-3</v>
      </c>
      <c r="AC284" t="e">
        <f t="shared" si="61"/>
        <v>#VALUE!</v>
      </c>
    </row>
    <row r="285" spans="1:29" x14ac:dyDescent="0.3">
      <c r="A285" t="s">
        <v>285</v>
      </c>
      <c r="B285" s="4" cm="1">
        <f t="array" ref="B285">_xll.SNL.Clients.Office.Excel.Functions.SPG(A285, "SP_TOTAL_REV", "CY2023")</f>
        <v>41107000</v>
      </c>
      <c r="C285" s="4">
        <f>_xll.SNL.Clients.Office.Excel.Functions.SPG(A285,"IQ_AVG_DILUT_SHARES_OUT","CY2023")</f>
        <v>326000000</v>
      </c>
      <c r="D285" s="5">
        <f>_xll.SNL.Clients.Office.Excel.Functions.SPG(A285, "IQ_DILUT_EPS_NORM", "CY2023")</f>
        <v>6.016</v>
      </c>
      <c r="E285">
        <f t="shared" si="50"/>
        <v>1961216</v>
      </c>
      <c r="F285">
        <f t="shared" si="51"/>
        <v>4.7710025056559711E-2</v>
      </c>
      <c r="G285" s="5">
        <f>_xll.SNL.Clients.Office.Excel.Functions.SPG(A285, "SP_MARKETCAP", "12/30/2023")</f>
        <v>30840.317376840001</v>
      </c>
      <c r="H285">
        <f t="shared" si="55"/>
        <v>7.3399958538645116E-4</v>
      </c>
      <c r="I285">
        <f t="shared" si="56"/>
        <v>4.4157415056848906E-3</v>
      </c>
      <c r="K285" t="s">
        <v>285</v>
      </c>
      <c r="L285" s="4" cm="1">
        <f t="array" ref="L285">_xll.SNL.Clients.Office.Excel.Functions.SPG(K285, "SP_TOTAL_REV", "CY2023")</f>
        <v>41107000</v>
      </c>
      <c r="M285" s="4">
        <f>_xll.SNL.Clients.Office.Excel.Functions.SPG(K285,"IQ_AVG_DILUT_SHARES_OUT","CY2023")</f>
        <v>326000000</v>
      </c>
      <c r="N285" s="5">
        <f>_xll.SNL.Clients.Office.Excel.Functions.SPG(K285, "IQ_DILUT_EPS_NORM", "CY2023")</f>
        <v>6.016</v>
      </c>
      <c r="O285">
        <f t="shared" si="52"/>
        <v>1961216</v>
      </c>
      <c r="P285">
        <f t="shared" si="53"/>
        <v>4.7710025056559711E-2</v>
      </c>
      <c r="Q285" s="5">
        <f>_xll.SNL.Clients.Office.Excel.Functions.SPG(K285, "SP_MARKETCAP", "12/31/2022")</f>
        <v>27036.596671989999</v>
      </c>
      <c r="R285">
        <f t="shared" si="57"/>
        <v>8.0239753046966802E-4</v>
      </c>
      <c r="S285">
        <f t="shared" si="58"/>
        <v>4.8272235433055232E-3</v>
      </c>
      <c r="U285" t="s">
        <v>285</v>
      </c>
      <c r="V285" s="4" cm="1">
        <f t="array" ref="V285">_xll.SNL.Clients.Office.Excel.Functions.SPG(U285, "SP_TOTAL_REV", "CY2021")</f>
        <v>46173000</v>
      </c>
      <c r="W285" s="4">
        <f>_xll.SNL.Clients.Office.Excel.Functions.SPG(U285,"IQ_AVG_DILUT_SHARES_OUT","CY2021")</f>
        <v>334000000</v>
      </c>
      <c r="X285" s="5">
        <f>_xll.SNL.Clients.Office.Excel.Functions.SPG(U285, "IQ_DILUT_EPS_NORM", "CY2021")</f>
        <v>13.853</v>
      </c>
      <c r="Y285">
        <f t="shared" si="59"/>
        <v>4626902</v>
      </c>
      <c r="Z285">
        <f t="shared" si="60"/>
        <v>0.1002079570311654</v>
      </c>
      <c r="AA285" s="5">
        <f>_xll.SNL.Clients.Office.Excel.Functions.SPG(U285, "SP_MARKETCAP", "12/31/2021")</f>
        <v>30476.577211430002</v>
      </c>
      <c r="AB285">
        <f t="shared" si="54"/>
        <v>7.1825691684519787E-4</v>
      </c>
      <c r="AC285">
        <f t="shared" si="61"/>
        <v>9.9500130690565267E-3</v>
      </c>
    </row>
    <row r="286" spans="1:29" x14ac:dyDescent="0.3">
      <c r="A286" t="s">
        <v>286</v>
      </c>
      <c r="B286" s="4" cm="1">
        <f t="array" ref="B286">_xll.SNL.Clients.Office.Excel.Functions.SPG(A286, "SP_TOTAL_REV", "CY2023")</f>
        <v>9418362</v>
      </c>
      <c r="C286" s="4">
        <f>_xll.SNL.Clients.Office.Excel.Functions.SPG(A286,"IQ_AVG_DILUT_SHARES_OUT","CY2023")</f>
        <v>167002000</v>
      </c>
      <c r="D286" s="5">
        <f>_xll.SNL.Clients.Office.Excel.Functions.SPG(A286, "IQ_DILUT_EPS_NORM", "CY2023")</f>
        <v>13.544</v>
      </c>
      <c r="E286">
        <f t="shared" si="50"/>
        <v>2261875.088</v>
      </c>
      <c r="F286">
        <f t="shared" si="51"/>
        <v>0.24015588782847802</v>
      </c>
      <c r="G286" s="5">
        <f>_xll.SNL.Clients.Office.Excel.Functions.SPG(A286, "SP_MARKETCAP", "12/30/2023")</f>
        <v>22749.84244764</v>
      </c>
      <c r="H286">
        <f t="shared" si="55"/>
        <v>5.4144627372462587E-4</v>
      </c>
      <c r="I286">
        <f t="shared" si="56"/>
        <v>7.3333483313263326E-3</v>
      </c>
      <c r="K286" t="s">
        <v>286</v>
      </c>
      <c r="L286" s="4" cm="1">
        <f t="array" ref="L286">_xll.SNL.Clients.Office.Excel.Functions.SPG(K286, "SP_TOTAL_REV", "CY2023")</f>
        <v>9418362</v>
      </c>
      <c r="M286" s="4">
        <f>_xll.SNL.Clients.Office.Excel.Functions.SPG(K286,"IQ_AVG_DILUT_SHARES_OUT","CY2023")</f>
        <v>167002000</v>
      </c>
      <c r="N286" s="5">
        <f>_xll.SNL.Clients.Office.Excel.Functions.SPG(K286, "IQ_DILUT_EPS_NORM", "CY2023")</f>
        <v>13.544</v>
      </c>
      <c r="O286">
        <f t="shared" si="52"/>
        <v>2261875.088</v>
      </c>
      <c r="P286">
        <f t="shared" si="53"/>
        <v>0.24015588782847802</v>
      </c>
      <c r="Q286" s="5">
        <f>_xll.SNL.Clients.Office.Excel.Functions.SPG(K286, "SP_MARKETCAP", "12/31/2022")</f>
        <v>25039.29153558</v>
      </c>
      <c r="R286">
        <f t="shared" si="57"/>
        <v>7.4312110864435384E-4</v>
      </c>
      <c r="S286">
        <f t="shared" si="58"/>
        <v>1.0064832295479128E-2</v>
      </c>
      <c r="U286" t="s">
        <v>286</v>
      </c>
      <c r="V286" s="4" cm="1">
        <f t="array" ref="V286">_xll.SNL.Clients.Office.Excel.Functions.SPG(U286, "SP_TOTAL_REV", "CY2021")</f>
        <v>5991772</v>
      </c>
      <c r="W286" s="4">
        <f>_xll.SNL.Clients.Office.Excel.Functions.SPG(U286,"IQ_AVG_DILUT_SHARES_OUT","CY2021")</f>
        <v>128812000</v>
      </c>
      <c r="X286" s="5">
        <f>_xll.SNL.Clients.Office.Excel.Functions.SPG(U286, "IQ_DILUT_EPS_NORM", "CY2021")</f>
        <v>12.125</v>
      </c>
      <c r="Y286">
        <f t="shared" si="59"/>
        <v>1561845.5</v>
      </c>
      <c r="Z286">
        <f t="shared" si="60"/>
        <v>0.26066504199425478</v>
      </c>
      <c r="AA286" s="5">
        <f>_xll.SNL.Clients.Office.Excel.Functions.SPG(U286, "SP_MARKETCAP", "12/31/2021")</f>
        <v>19763.375799860001</v>
      </c>
      <c r="AB286">
        <f t="shared" si="54"/>
        <v>4.6577347810359258E-4</v>
      </c>
      <c r="AC286">
        <f t="shared" si="61"/>
        <v>5.6475034220060602E-3</v>
      </c>
    </row>
    <row r="287" spans="1:29" x14ac:dyDescent="0.3">
      <c r="A287" t="s">
        <v>287</v>
      </c>
      <c r="B287" s="4" cm="1">
        <f t="array" ref="B287">_xll.SNL.Clients.Office.Excel.Functions.SPG(A287, "SP_TOTAL_REV", "CY2023")</f>
        <v>149348000</v>
      </c>
      <c r="C287" s="4">
        <f>_xll.SNL.Clients.Office.Excel.Functions.SPG(A287,"IQ_AVG_DILUT_SHARES_OUT","CY2023")</f>
        <v>409000000</v>
      </c>
      <c r="D287" s="5">
        <f>_xll.SNL.Clients.Office.Excel.Functions.SPG(A287, "IQ_DILUT_EPS_NORM", "CY2023")</f>
        <v>17.196999999999999</v>
      </c>
      <c r="E287">
        <f t="shared" si="50"/>
        <v>7033573</v>
      </c>
      <c r="F287">
        <f t="shared" si="51"/>
        <v>4.7095193775611326E-2</v>
      </c>
      <c r="G287" s="5">
        <f>_xll.SNL.Clients.Office.Excel.Functions.SPG(A287, "SP_MARKETCAP", "12/30/2023")</f>
        <v>56331.888015719996</v>
      </c>
      <c r="H287">
        <f t="shared" si="55"/>
        <v>1.3406989928912035E-3</v>
      </c>
      <c r="I287">
        <f t="shared" si="56"/>
        <v>2.3056000580750025E-2</v>
      </c>
      <c r="K287" t="s">
        <v>287</v>
      </c>
      <c r="L287" s="4" cm="1">
        <f t="array" ref="L287">_xll.SNL.Clients.Office.Excel.Functions.SPG(K287, "SP_TOTAL_REV", "CY2023")</f>
        <v>149348000</v>
      </c>
      <c r="M287" s="4">
        <f>_xll.SNL.Clients.Office.Excel.Functions.SPG(K287,"IQ_AVG_DILUT_SHARES_OUT","CY2023")</f>
        <v>409000000</v>
      </c>
      <c r="N287" s="5">
        <f>_xll.SNL.Clients.Office.Excel.Functions.SPG(K287, "IQ_DILUT_EPS_NORM", "CY2023")</f>
        <v>17.196999999999999</v>
      </c>
      <c r="O287">
        <f t="shared" si="52"/>
        <v>7033573</v>
      </c>
      <c r="P287">
        <f t="shared" si="53"/>
        <v>4.7095193775611326E-2</v>
      </c>
      <c r="Q287" s="5">
        <f>_xll.SNL.Clients.Office.Excel.Functions.SPG(K287, "SP_MARKETCAP", "12/31/2022")</f>
        <v>54547.434352869997</v>
      </c>
      <c r="R287">
        <f t="shared" si="57"/>
        <v>1.6188696805742478E-3</v>
      </c>
      <c r="S287">
        <f t="shared" si="58"/>
        <v>2.7839701896835337E-2</v>
      </c>
      <c r="U287" t="s">
        <v>287</v>
      </c>
      <c r="V287" s="4" cm="1">
        <f t="array" ref="V287">_xll.SNL.Clients.Office.Excel.Functions.SPG(U287, "SP_TOTAL_REV", "CY2021")</f>
        <v>120451000</v>
      </c>
      <c r="W287" s="4">
        <f>_xll.SNL.Clients.Office.Excel.Functions.SPG(U287,"IQ_AVG_DILUT_SHARES_OUT","CY2021")</f>
        <v>638000000</v>
      </c>
      <c r="X287" s="5">
        <f>_xll.SNL.Clients.Office.Excel.Functions.SPG(U287, "IQ_DILUT_EPS_NORM", "CY2021")</f>
        <v>0.88900000000000001</v>
      </c>
      <c r="Y287">
        <f t="shared" si="59"/>
        <v>567182</v>
      </c>
      <c r="Z287">
        <f t="shared" si="60"/>
        <v>4.7088193539281537E-3</v>
      </c>
      <c r="AA287" s="5">
        <f>_xll.SNL.Clients.Office.Excel.Functions.SPG(U287, "SP_MARKETCAP", "12/31/2021")</f>
        <v>39391.455707189998</v>
      </c>
      <c r="AB287">
        <f t="shared" si="54"/>
        <v>9.2835836944574342E-4</v>
      </c>
      <c r="AC287">
        <f t="shared" si="61"/>
        <v>8.2531059043726592E-4</v>
      </c>
    </row>
    <row r="288" spans="1:29" x14ac:dyDescent="0.3">
      <c r="A288" t="s">
        <v>288</v>
      </c>
      <c r="B288" s="4" cm="1">
        <f t="array" ref="B288">_xll.SNL.Clients.Office.Excel.Functions.SPG(A288, "SP_TOTAL_REV", "CY2023")</f>
        <v>752547</v>
      </c>
      <c r="C288" s="4">
        <f>_xll.SNL.Clients.Office.Excel.Functions.SPG(A288,"IQ_AVG_DILUT_SHARES_OUT","CY2023")</f>
        <v>37654000</v>
      </c>
      <c r="D288" s="5">
        <f>_xll.SNL.Clients.Office.Excel.Functions.SPG(A288, "IQ_DILUT_EPS_NORM", "CY2023")</f>
        <v>5.5250000000000004</v>
      </c>
      <c r="E288">
        <f t="shared" si="50"/>
        <v>208038.35</v>
      </c>
      <c r="F288">
        <f t="shared" si="51"/>
        <v>0.27644565721476533</v>
      </c>
      <c r="G288" s="5">
        <f>_xll.SNL.Clients.Office.Excel.Functions.SPG(A288, "SP_MARKETCAP", "12/30/2023")</f>
        <v>11100.610446799999</v>
      </c>
      <c r="H288">
        <f t="shared" si="55"/>
        <v>2.641945400862331E-4</v>
      </c>
      <c r="I288">
        <f t="shared" si="56"/>
        <v>1.459674833976438E-3</v>
      </c>
      <c r="K288" t="s">
        <v>288</v>
      </c>
      <c r="L288" s="4" cm="1">
        <f t="array" ref="L288">_xll.SNL.Clients.Office.Excel.Functions.SPG(K288, "SP_TOTAL_REV", "CY2023")</f>
        <v>752547</v>
      </c>
      <c r="M288" s="4">
        <f>_xll.SNL.Clients.Office.Excel.Functions.SPG(K288,"IQ_AVG_DILUT_SHARES_OUT","CY2023")</f>
        <v>37654000</v>
      </c>
      <c r="N288" s="5">
        <f>_xll.SNL.Clients.Office.Excel.Functions.SPG(K288, "IQ_DILUT_EPS_NORM", "CY2023")</f>
        <v>5.5250000000000004</v>
      </c>
      <c r="O288">
        <f t="shared" si="52"/>
        <v>208038.35</v>
      </c>
      <c r="P288">
        <f t="shared" si="53"/>
        <v>0.27644565721476533</v>
      </c>
      <c r="Q288" s="5">
        <f>_xll.SNL.Clients.Office.Excel.Functions.SPG(K288, "SP_MARKETCAP", "12/31/2022")</f>
        <v>10496.53356647</v>
      </c>
      <c r="R288">
        <f t="shared" si="57"/>
        <v>3.1151822525625537E-4</v>
      </c>
      <c r="S288">
        <f t="shared" si="58"/>
        <v>1.7211381945408111E-3</v>
      </c>
      <c r="U288" t="s">
        <v>288</v>
      </c>
      <c r="V288" s="4" cm="1">
        <f t="array" ref="V288">_xll.SNL.Clients.Office.Excel.Functions.SPG(U288, "SP_TOTAL_REV", "CY2021")</f>
        <v>698951</v>
      </c>
      <c r="W288" s="4">
        <f>_xll.SNL.Clients.Office.Excel.Functions.SPG(U288,"IQ_AVG_DILUT_SHARES_OUT","CY2021")</f>
        <v>38097000</v>
      </c>
      <c r="X288" s="5">
        <f>_xll.SNL.Clients.Office.Excel.Functions.SPG(U288, "IQ_DILUT_EPS_NORM", "CY2021")</f>
        <v>5.4779999999999998</v>
      </c>
      <c r="Y288">
        <f t="shared" si="59"/>
        <v>208695.36600000001</v>
      </c>
      <c r="Z288">
        <f t="shared" si="60"/>
        <v>0.29858368612392</v>
      </c>
      <c r="AA288" s="5">
        <f>_xll.SNL.Clients.Office.Excel.Functions.SPG(U288, "SP_MARKETCAP", "12/31/2021")</f>
        <v>15639.151663410001</v>
      </c>
      <c r="AB288">
        <f t="shared" si="54"/>
        <v>3.6857580094730886E-4</v>
      </c>
      <c r="AC288">
        <f t="shared" si="61"/>
        <v>2.0190582375893577E-3</v>
      </c>
    </row>
    <row r="289" spans="1:29" x14ac:dyDescent="0.3">
      <c r="A289" t="s">
        <v>289</v>
      </c>
      <c r="B289" s="4" cm="1">
        <f t="array" ref="B289">_xll.SNL.Clients.Office.Excel.Functions.SPG(A289, "SP_TOTAL_REV", "CY2023")</f>
        <v>6300000</v>
      </c>
      <c r="C289" s="4">
        <f>_xll.SNL.Clients.Office.Excel.Functions.SPG(A289,"IQ_AVG_DILUT_SHARES_OUT","CY2023")</f>
        <v>302900000</v>
      </c>
      <c r="D289" s="5">
        <f>_xll.SNL.Clients.Office.Excel.Functions.SPG(A289, "IQ_DILUT_EPS_NORM", "CY2023")</f>
        <v>7.0940000000000003</v>
      </c>
      <c r="E289">
        <f t="shared" si="50"/>
        <v>2148772.6</v>
      </c>
      <c r="F289">
        <f t="shared" si="51"/>
        <v>0.34107501587301586</v>
      </c>
      <c r="G289" s="5">
        <f>_xll.SNL.Clients.Office.Excel.Functions.SPG(A289, "SP_MARKETCAP", "12/30/2023")</f>
        <v>66230.335887480003</v>
      </c>
      <c r="H289">
        <f t="shared" si="55"/>
        <v>1.5762820624512252E-3</v>
      </c>
      <c r="I289">
        <f t="shared" si="56"/>
        <v>1.1182144951028991E-2</v>
      </c>
      <c r="K289" t="s">
        <v>289</v>
      </c>
      <c r="L289" s="4" cm="1">
        <f t="array" ref="L289">_xll.SNL.Clients.Office.Excel.Functions.SPG(K289, "SP_TOTAL_REV", "CY2023")</f>
        <v>6300000</v>
      </c>
      <c r="M289" s="4">
        <f>_xll.SNL.Clients.Office.Excel.Functions.SPG(K289,"IQ_AVG_DILUT_SHARES_OUT","CY2023")</f>
        <v>302900000</v>
      </c>
      <c r="N289" s="5">
        <f>_xll.SNL.Clients.Office.Excel.Functions.SPG(K289, "IQ_DILUT_EPS_NORM", "CY2023")</f>
        <v>7.0940000000000003</v>
      </c>
      <c r="O289">
        <f t="shared" si="52"/>
        <v>2148772.6</v>
      </c>
      <c r="P289">
        <f t="shared" si="53"/>
        <v>0.34107501587301586</v>
      </c>
      <c r="Q289" s="5">
        <f>_xll.SNL.Clients.Office.Excel.Functions.SPG(K289, "SP_MARKETCAP", "12/31/2022")</f>
        <v>47129.582979569997</v>
      </c>
      <c r="R289">
        <f t="shared" si="57"/>
        <v>1.3987212019939792E-3</v>
      </c>
      <c r="S289">
        <f t="shared" si="58"/>
        <v>9.9225282069452889E-3</v>
      </c>
      <c r="U289" t="s">
        <v>289</v>
      </c>
      <c r="V289" s="4" cm="1">
        <f t="array" ref="V289">_xll.SNL.Clients.Office.Excel.Functions.SPG(U289, "SP_TOTAL_REV", "CY2021")</f>
        <v>3415000</v>
      </c>
      <c r="W289" s="4">
        <f>_xll.SNL.Clients.Office.Excel.Functions.SPG(U289,"IQ_AVG_DILUT_SHARES_OUT","CY2021")</f>
        <v>329300000</v>
      </c>
      <c r="X289" s="5">
        <f>_xll.SNL.Clients.Office.Excel.Functions.SPG(U289, "IQ_DILUT_EPS_NORM", "CY2021")</f>
        <v>2.5659999999999998</v>
      </c>
      <c r="Y289">
        <f t="shared" si="59"/>
        <v>844983.8</v>
      </c>
      <c r="Z289">
        <f t="shared" si="60"/>
        <v>0.24743303074670572</v>
      </c>
      <c r="AA289" s="5">
        <f>_xll.SNL.Clients.Office.Excel.Functions.SPG(U289, "SP_MARKETCAP", "12/31/2021")</f>
        <v>53815.875443999998</v>
      </c>
      <c r="AB289">
        <f t="shared" si="54"/>
        <v>1.2683059684023799E-3</v>
      </c>
      <c r="AC289">
        <f t="shared" si="61"/>
        <v>3.2544731149205066E-3</v>
      </c>
    </row>
    <row r="290" spans="1:29" x14ac:dyDescent="0.3">
      <c r="A290" t="s">
        <v>290</v>
      </c>
      <c r="B290" s="4" cm="1">
        <f t="array" ref="B290">_xll.SNL.Clients.Office.Excel.Functions.SPG(A290, "SP_TOTAL_REV", "CY2023")</f>
        <v>22819000</v>
      </c>
      <c r="C290" s="4">
        <f>_xll.SNL.Clients.Office.Excel.Functions.SPG(A290,"IQ_AVG_DILUT_SHARES_OUT","CY2023")</f>
        <v>499000000</v>
      </c>
      <c r="D290" s="5">
        <f>_xll.SNL.Clients.Office.Excel.Functions.SPG(A290, "IQ_DILUT_EPS_NORM", "CY2023")</f>
        <v>6.6360000000000001</v>
      </c>
      <c r="E290">
        <f t="shared" si="50"/>
        <v>3311364</v>
      </c>
      <c r="F290">
        <f t="shared" si="51"/>
        <v>0.14511433454577327</v>
      </c>
      <c r="G290" s="5">
        <f>_xll.SNL.Clients.Office.Excel.Functions.SPG(A290, "SP_MARKETCAP", "12/30/2023")</f>
        <v>93422.435017330004</v>
      </c>
      <c r="H290">
        <f t="shared" si="55"/>
        <v>2.2234540497954825E-3</v>
      </c>
      <c r="I290">
        <f t="shared" si="56"/>
        <v>1.4754841074442823E-2</v>
      </c>
      <c r="K290" t="s">
        <v>290</v>
      </c>
      <c r="L290" s="4" cm="1">
        <f t="array" ref="L290">_xll.SNL.Clients.Office.Excel.Functions.SPG(K290, "SP_TOTAL_REV", "CY2023")</f>
        <v>22819000</v>
      </c>
      <c r="M290" s="4">
        <f>_xll.SNL.Clients.Office.Excel.Functions.SPG(K290,"IQ_AVG_DILUT_SHARES_OUT","CY2023")</f>
        <v>499000000</v>
      </c>
      <c r="N290" s="5">
        <f>_xll.SNL.Clients.Office.Excel.Functions.SPG(K290, "IQ_DILUT_EPS_NORM", "CY2023")</f>
        <v>6.6360000000000001</v>
      </c>
      <c r="O290">
        <f t="shared" si="52"/>
        <v>3311364</v>
      </c>
      <c r="P290">
        <f t="shared" si="53"/>
        <v>0.14511433454577327</v>
      </c>
      <c r="Q290" s="5">
        <f>_xll.SNL.Clients.Office.Excel.Functions.SPG(K290, "SP_MARKETCAP", "12/31/2022")</f>
        <v>82079.653052880007</v>
      </c>
      <c r="R290">
        <f t="shared" si="57"/>
        <v>2.435976380846402E-3</v>
      </c>
      <c r="S290">
        <f t="shared" si="58"/>
        <v>1.6165139263296723E-2</v>
      </c>
      <c r="U290" t="s">
        <v>290</v>
      </c>
      <c r="V290" s="4" cm="1">
        <f t="array" ref="V290">_xll.SNL.Clients.Office.Excel.Functions.SPG(U290, "SP_TOTAL_REV", "CY2021")</f>
        <v>19883000</v>
      </c>
      <c r="W290" s="4">
        <f>_xll.SNL.Clients.Office.Excel.Functions.SPG(U290,"IQ_AVG_DILUT_SHARES_OUT","CY2021")</f>
        <v>513000000</v>
      </c>
      <c r="X290" s="5">
        <f>_xll.SNL.Clients.Office.Excel.Functions.SPG(U290, "IQ_DILUT_EPS_NORM", "CY2021")</f>
        <v>5.2649999999999997</v>
      </c>
      <c r="Y290">
        <f t="shared" si="59"/>
        <v>2700945</v>
      </c>
      <c r="Z290">
        <f t="shared" si="60"/>
        <v>0.13584192526278729</v>
      </c>
      <c r="AA290" s="5">
        <f>_xll.SNL.Clients.Office.Excel.Functions.SPG(U290, "SP_MARKETCAP", "12/31/2021")</f>
        <v>87760.912691940001</v>
      </c>
      <c r="AB290">
        <f t="shared" si="54"/>
        <v>2.0683058380319913E-3</v>
      </c>
      <c r="AC290">
        <f t="shared" si="61"/>
        <v>1.0889630237238435E-2</v>
      </c>
    </row>
    <row r="291" spans="1:29" x14ac:dyDescent="0.3">
      <c r="A291" t="s">
        <v>291</v>
      </c>
      <c r="B291" s="4" cm="1">
        <f t="array" ref="B291">_xll.SNL.Clients.Office.Excel.Functions.SPG(A291, "SP_TOTAL_REV", "CY2023")</f>
        <v>6777200</v>
      </c>
      <c r="C291" s="4">
        <f>_xll.SNL.Clients.Office.Excel.Functions.SPG(A291,"IQ_AVG_DILUT_SHARES_OUT","CY2023")</f>
        <v>62100000</v>
      </c>
      <c r="D291" s="5">
        <f>_xll.SNL.Clients.Office.Excel.Functions.SPG(A291, "IQ_DILUT_EPS_NORM", "CY2023")</f>
        <v>14.943</v>
      </c>
      <c r="E291">
        <f t="shared" si="50"/>
        <v>927960.3</v>
      </c>
      <c r="F291">
        <f t="shared" si="51"/>
        <v>0.13692384760668122</v>
      </c>
      <c r="G291" s="5">
        <f>_xll.SNL.Clients.Office.Excel.Functions.SPG(A291, "SP_MARKETCAP", "12/30/2023")</f>
        <v>30836.210694509999</v>
      </c>
      <c r="H291">
        <f t="shared" si="55"/>
        <v>7.3390184634276022E-4</v>
      </c>
      <c r="I291">
        <f t="shared" si="56"/>
        <v>1.0966695289899865E-2</v>
      </c>
      <c r="K291" t="s">
        <v>291</v>
      </c>
      <c r="L291" s="4" cm="1">
        <f t="array" ref="L291">_xll.SNL.Clients.Office.Excel.Functions.SPG(K291, "SP_TOTAL_REV", "CY2023")</f>
        <v>6777200</v>
      </c>
      <c r="M291" s="4">
        <f>_xll.SNL.Clients.Office.Excel.Functions.SPG(K291,"IQ_AVG_DILUT_SHARES_OUT","CY2023")</f>
        <v>62100000</v>
      </c>
      <c r="N291" s="5">
        <f>_xll.SNL.Clients.Office.Excel.Functions.SPG(K291, "IQ_DILUT_EPS_NORM", "CY2023")</f>
        <v>14.943</v>
      </c>
      <c r="O291">
        <f t="shared" si="52"/>
        <v>927960.3</v>
      </c>
      <c r="P291">
        <f t="shared" si="53"/>
        <v>0.13692384760668122</v>
      </c>
      <c r="Q291" s="5">
        <f>_xll.SNL.Clients.Office.Excel.Functions.SPG(K291, "SP_MARKETCAP", "12/31/2022")</f>
        <v>20984.791851180002</v>
      </c>
      <c r="R291">
        <f t="shared" si="57"/>
        <v>6.2279085504320228E-4</v>
      </c>
      <c r="S291">
        <f t="shared" si="58"/>
        <v>9.3063637469105714E-3</v>
      </c>
      <c r="U291" t="s">
        <v>291</v>
      </c>
      <c r="V291" s="4" cm="1">
        <f t="array" ref="V291">_xll.SNL.Clients.Office.Excel.Functions.SPG(U291, "SP_TOTAL_REV", "CY2021")</f>
        <v>5414000</v>
      </c>
      <c r="W291" s="4">
        <f>_xll.SNL.Clients.Office.Excel.Functions.SPG(U291,"IQ_AVG_DILUT_SHARES_OUT","CY2021")</f>
        <v>62600000</v>
      </c>
      <c r="X291" s="5">
        <f>_xll.SNL.Clients.Office.Excel.Functions.SPG(U291, "IQ_DILUT_EPS_NORM", "CY2021")</f>
        <v>8.8989999999999991</v>
      </c>
      <c r="Y291">
        <f t="shared" si="59"/>
        <v>557077.4</v>
      </c>
      <c r="Z291">
        <f t="shared" si="60"/>
        <v>0.10289571481344663</v>
      </c>
      <c r="AA291" s="5">
        <f>_xll.SNL.Clients.Office.Excel.Functions.SPG(U291, "SP_MARKETCAP", "12/31/2021")</f>
        <v>27480.470623320001</v>
      </c>
      <c r="AB291">
        <f t="shared" si="54"/>
        <v>6.4764615679867949E-4</v>
      </c>
      <c r="AC291">
        <f t="shared" si="61"/>
        <v>5.7634031493514482E-3</v>
      </c>
    </row>
    <row r="292" spans="1:29" x14ac:dyDescent="0.3">
      <c r="A292" t="s">
        <v>292</v>
      </c>
      <c r="B292" s="4" cm="1">
        <f t="array" ref="B292">_xll.SNL.Clients.Office.Excel.Functions.SPG(A292, "SP_TOTAL_REV", "CY2023")</f>
        <v>7967000</v>
      </c>
      <c r="C292" s="4">
        <f>_xll.SNL.Clients.Office.Excel.Functions.SPG(A292,"IQ_AVG_DILUT_SHARES_OUT","CY2023")</f>
        <v>226000000</v>
      </c>
      <c r="D292" s="5">
        <f>_xll.SNL.Clients.Office.Excel.Functions.SPG(A292, "IQ_DILUT_EPS_NORM", "CY2023")</f>
        <v>3.2679999999999998</v>
      </c>
      <c r="E292">
        <f t="shared" si="50"/>
        <v>738568</v>
      </c>
      <c r="F292">
        <f t="shared" si="51"/>
        <v>9.2703401531316676E-2</v>
      </c>
      <c r="G292" s="5">
        <f>_xll.SNL.Clients.Office.Excel.Functions.SPG(A292, "SP_MARKETCAP", "12/30/2023")</f>
        <v>15030.312</v>
      </c>
      <c r="H292">
        <f t="shared" si="55"/>
        <v>3.5772144110662846E-4</v>
      </c>
      <c r="I292">
        <f t="shared" si="56"/>
        <v>1.1690336695364617E-3</v>
      </c>
      <c r="K292" t="s">
        <v>292</v>
      </c>
      <c r="L292" s="4" cm="1">
        <f t="array" ref="L292">_xll.SNL.Clients.Office.Excel.Functions.SPG(K292, "SP_TOTAL_REV", "CY2023")</f>
        <v>7967000</v>
      </c>
      <c r="M292" s="4">
        <f>_xll.SNL.Clients.Office.Excel.Functions.SPG(K292,"IQ_AVG_DILUT_SHARES_OUT","CY2023")</f>
        <v>226000000</v>
      </c>
      <c r="N292" s="5">
        <f>_xll.SNL.Clients.Office.Excel.Functions.SPG(K292, "IQ_DILUT_EPS_NORM", "CY2023")</f>
        <v>3.2679999999999998</v>
      </c>
      <c r="O292">
        <f t="shared" si="52"/>
        <v>738568</v>
      </c>
      <c r="P292">
        <f t="shared" si="53"/>
        <v>9.2703401531316676E-2</v>
      </c>
      <c r="Q292" s="5">
        <f>_xll.SNL.Clients.Office.Excel.Functions.SPG(K292, "SP_MARKETCAP", "12/31/2022")</f>
        <v>10525.444170410001</v>
      </c>
      <c r="R292">
        <f t="shared" si="57"/>
        <v>3.1237623994971998E-4</v>
      </c>
      <c r="S292">
        <f t="shared" si="58"/>
        <v>1.0208455521556849E-3</v>
      </c>
      <c r="U292" t="s">
        <v>292</v>
      </c>
      <c r="V292" s="4" cm="1">
        <f t="array" ref="V292">_xll.SNL.Clients.Office.Excel.Functions.SPG(U292, "SP_TOTAL_REV", "CY2021")</f>
        <v>8375000</v>
      </c>
      <c r="W292" s="4">
        <f>_xll.SNL.Clients.Office.Excel.Functions.SPG(U292,"IQ_AVG_DILUT_SHARES_OUT","CY2021")</f>
        <v>251000000</v>
      </c>
      <c r="X292" s="5">
        <f>_xll.SNL.Clients.Office.Excel.Functions.SPG(U292, "IQ_DILUT_EPS_NORM", "CY2021")</f>
        <v>1.639</v>
      </c>
      <c r="Y292">
        <f t="shared" si="59"/>
        <v>411389</v>
      </c>
      <c r="Z292">
        <f t="shared" si="60"/>
        <v>4.9121074626865671E-2</v>
      </c>
      <c r="AA292" s="5">
        <f>_xll.SNL.Clients.Office.Excel.Functions.SPG(U292, "SP_MARKETCAP", "12/31/2021")</f>
        <v>17139.823758459999</v>
      </c>
      <c r="AB292">
        <f t="shared" si="54"/>
        <v>4.0394289957877824E-4</v>
      </c>
      <c r="AC292">
        <f t="shared" si="61"/>
        <v>6.6206241240961757E-4</v>
      </c>
    </row>
    <row r="293" spans="1:29" x14ac:dyDescent="0.3">
      <c r="A293" t="s">
        <v>293</v>
      </c>
      <c r="B293" s="4" cm="1">
        <f t="array" ref="B293">_xll.SNL.Clients.Office.Excel.Functions.SPG(A293, "SP_TOTAL_REV", "CY2023")</f>
        <v>25098000</v>
      </c>
      <c r="C293" s="4">
        <f>_xll.SNL.Clients.Office.Excel.Functions.SPG(A293,"IQ_AVG_DILUT_SHARES_OUT","CY2023")</f>
        <v>946000000</v>
      </c>
      <c r="D293" s="5">
        <f>_xll.SNL.Clients.Office.Excel.Functions.SPG(A293, "IQ_DILUT_EPS_NORM", "CY2023")</f>
        <v>9.407</v>
      </c>
      <c r="E293">
        <f t="shared" si="50"/>
        <v>8899022</v>
      </c>
      <c r="F293">
        <f t="shared" si="51"/>
        <v>0.35457096182962788</v>
      </c>
      <c r="G293" s="5">
        <f>_xll.SNL.Clients.Office.Excel.Functions.SPG(A293, "SP_MARKETCAP", "12/30/2023")</f>
        <v>399970.86777711002</v>
      </c>
      <c r="H293">
        <f t="shared" si="55"/>
        <v>9.5193070657413198E-3</v>
      </c>
      <c r="I293">
        <f t="shared" si="56"/>
        <v>8.9548121567428599E-2</v>
      </c>
      <c r="K293" t="s">
        <v>293</v>
      </c>
      <c r="L293" s="4" cm="1">
        <f t="array" ref="L293">_xll.SNL.Clients.Office.Excel.Functions.SPG(K293, "SP_TOTAL_REV", "CY2023")</f>
        <v>25098000</v>
      </c>
      <c r="M293" s="4">
        <f>_xll.SNL.Clients.Office.Excel.Functions.SPG(K293,"IQ_AVG_DILUT_SHARES_OUT","CY2023")</f>
        <v>946000000</v>
      </c>
      <c r="N293" s="5">
        <f>_xll.SNL.Clients.Office.Excel.Functions.SPG(K293, "IQ_DILUT_EPS_NORM", "CY2023")</f>
        <v>9.407</v>
      </c>
      <c r="O293">
        <f t="shared" si="52"/>
        <v>8899022</v>
      </c>
      <c r="P293">
        <f t="shared" si="53"/>
        <v>0.35457096182962788</v>
      </c>
      <c r="Q293" s="5">
        <f>_xll.SNL.Clients.Office.Excel.Functions.SPG(K293, "SP_MARKETCAP", "12/31/2022")</f>
        <v>334328.40756075003</v>
      </c>
      <c r="R293">
        <f t="shared" si="57"/>
        <v>9.9222654333015661E-3</v>
      </c>
      <c r="S293">
        <f t="shared" si="58"/>
        <v>9.3338750931067832E-2</v>
      </c>
      <c r="U293" t="s">
        <v>293</v>
      </c>
      <c r="V293" s="4" cm="1">
        <f t="array" ref="V293">_xll.SNL.Clients.Office.Excel.Functions.SPG(U293, "SP_TOTAL_REV", "CY2021")</f>
        <v>18884000</v>
      </c>
      <c r="W293" s="4">
        <f>_xll.SNL.Clients.Office.Excel.Functions.SPG(U293,"IQ_AVG_DILUT_SHARES_OUT","CY2021")</f>
        <v>992000000</v>
      </c>
      <c r="X293" s="5">
        <f>_xll.SNL.Clients.Office.Excel.Functions.SPG(U293, "IQ_DILUT_EPS_NORM", "CY2021")</f>
        <v>6.1980000000000004</v>
      </c>
      <c r="Y293">
        <f t="shared" si="59"/>
        <v>6148416</v>
      </c>
      <c r="Z293">
        <f t="shared" si="60"/>
        <v>0.32558864647320485</v>
      </c>
      <c r="AA293" s="5">
        <f>_xll.SNL.Clients.Office.Excel.Functions.SPG(U293, "SP_MARKETCAP", "12/31/2021")</f>
        <v>353052.52317140001</v>
      </c>
      <c r="AB293">
        <f t="shared" si="54"/>
        <v>8.3205674645905926E-3</v>
      </c>
      <c r="AC293">
        <f t="shared" si="61"/>
        <v>5.1570877145532497E-2</v>
      </c>
    </row>
    <row r="294" spans="1:29" x14ac:dyDescent="0.3">
      <c r="A294" t="s">
        <v>294</v>
      </c>
      <c r="B294" s="4" cm="1">
        <f t="array" ref="B294">_xll.SNL.Clients.Office.Excel.Functions.SPG(A294, "SP_TOTAL_REV", "CY2023")</f>
        <v>3364504</v>
      </c>
      <c r="C294" s="4">
        <f>_xll.SNL.Clients.Office.Excel.Functions.SPG(A294,"IQ_AVG_DILUT_SHARES_OUT","CY2023")</f>
        <v>293284000</v>
      </c>
      <c r="D294" s="5">
        <f>_xll.SNL.Clients.Office.Excel.Functions.SPG(A294, "IQ_DILUT_EPS_NORM", "CY2023")</f>
        <v>1.6559999999999999</v>
      </c>
      <c r="E294">
        <f t="shared" si="50"/>
        <v>485678.304</v>
      </c>
      <c r="F294">
        <f t="shared" si="51"/>
        <v>0.14435361170621286</v>
      </c>
      <c r="G294" s="5">
        <f>_xll.SNL.Clients.Office.Excel.Functions.SPG(A294, "SP_MARKETCAP", "12/30/2023")</f>
        <v>9921.1221225000008</v>
      </c>
      <c r="H294">
        <f t="shared" si="55"/>
        <v>2.3612271675102638E-4</v>
      </c>
      <c r="I294">
        <f t="shared" si="56"/>
        <v>3.9101921893969969E-4</v>
      </c>
      <c r="K294" t="s">
        <v>294</v>
      </c>
      <c r="L294" s="4" cm="1">
        <f t="array" ref="L294">_xll.SNL.Clients.Office.Excel.Functions.SPG(K294, "SP_TOTAL_REV", "CY2023")</f>
        <v>3364504</v>
      </c>
      <c r="M294" s="4">
        <f>_xll.SNL.Clients.Office.Excel.Functions.SPG(K294,"IQ_AVG_DILUT_SHARES_OUT","CY2023")</f>
        <v>293284000</v>
      </c>
      <c r="N294" s="5">
        <f>_xll.SNL.Clients.Office.Excel.Functions.SPG(K294, "IQ_DILUT_EPS_NORM", "CY2023")</f>
        <v>1.6559999999999999</v>
      </c>
      <c r="O294">
        <f t="shared" si="52"/>
        <v>485678.304</v>
      </c>
      <c r="P294">
        <f t="shared" si="53"/>
        <v>0.14435361170621286</v>
      </c>
      <c r="Q294" s="5">
        <f>_xll.SNL.Clients.Office.Excel.Functions.SPG(K294, "SP_MARKETCAP", "12/31/2022")</f>
        <v>11588.41033794</v>
      </c>
      <c r="R294">
        <f t="shared" si="57"/>
        <v>3.4392316274279878E-4</v>
      </c>
      <c r="S294">
        <f t="shared" si="58"/>
        <v>5.6953675750207478E-4</v>
      </c>
      <c r="U294" t="s">
        <v>294</v>
      </c>
      <c r="V294" s="4" cm="1">
        <f t="array" ref="V294">_xll.SNL.Clients.Office.Excel.Functions.SPG(U294, "SP_TOTAL_REV", "CY2021")</f>
        <v>2983277</v>
      </c>
      <c r="W294" s="4">
        <f>_xll.SNL.Clients.Office.Excel.Functions.SPG(U294,"IQ_AVG_DILUT_SHARES_OUT","CY2021")</f>
        <v>304840000</v>
      </c>
      <c r="X294" s="5">
        <f>_xll.SNL.Clients.Office.Excel.Functions.SPG(U294, "IQ_DILUT_EPS_NORM", "CY2021")</f>
        <v>1.4330000000000001</v>
      </c>
      <c r="Y294">
        <f t="shared" si="59"/>
        <v>436835.72</v>
      </c>
      <c r="Z294">
        <f t="shared" si="60"/>
        <v>0.14642814596163881</v>
      </c>
      <c r="AA294" s="5">
        <f>_xll.SNL.Clients.Office.Excel.Functions.SPG(U294, "SP_MARKETCAP", "12/31/2021")</f>
        <v>37438.032511999998</v>
      </c>
      <c r="AB294">
        <f t="shared" si="54"/>
        <v>8.8232105653696785E-4</v>
      </c>
      <c r="AC294">
        <f t="shared" si="61"/>
        <v>1.2643660740174749E-3</v>
      </c>
    </row>
    <row r="295" spans="1:29" x14ac:dyDescent="0.3">
      <c r="A295" t="s">
        <v>295</v>
      </c>
      <c r="B295" s="4" cm="1">
        <f t="array" ref="B295">_xll.SNL.Clients.Office.Excel.Functions.SPG(A295, "SP_TOTAL_REV", "CY2023")</f>
        <v>6662200</v>
      </c>
      <c r="C295" s="4">
        <f>_xll.SNL.Clients.Office.Excel.Functions.SPG(A295,"IQ_AVG_DILUT_SHARES_OUT","CY2023")</f>
        <v>269800000</v>
      </c>
      <c r="D295" s="5">
        <f>_xll.SNL.Clients.Office.Excel.Functions.SPG(A295, "IQ_DILUT_EPS_NORM", "CY2023")</f>
        <v>2.125</v>
      </c>
      <c r="E295">
        <f t="shared" si="50"/>
        <v>573325</v>
      </c>
      <c r="F295">
        <f t="shared" si="51"/>
        <v>8.6056407793221462E-2</v>
      </c>
      <c r="G295" s="5">
        <f>_xll.SNL.Clients.Office.Excel.Functions.SPG(A295, "SP_MARKETCAP", "12/30/2023")</f>
        <v>18352.106654073999</v>
      </c>
      <c r="H295">
        <f t="shared" si="55"/>
        <v>4.367801573006533E-4</v>
      </c>
      <c r="I295">
        <f t="shared" si="56"/>
        <v>9.2815783426388821E-4</v>
      </c>
      <c r="K295" t="s">
        <v>295</v>
      </c>
      <c r="L295" s="4" cm="1">
        <f t="array" ref="L295">_xll.SNL.Clients.Office.Excel.Functions.SPG(K295, "SP_TOTAL_REV", "CY2023")</f>
        <v>6662200</v>
      </c>
      <c r="M295" s="4">
        <f>_xll.SNL.Clients.Office.Excel.Functions.SPG(K295,"IQ_AVG_DILUT_SHARES_OUT","CY2023")</f>
        <v>269800000</v>
      </c>
      <c r="N295" s="5">
        <f>_xll.SNL.Clients.Office.Excel.Functions.SPG(K295, "IQ_DILUT_EPS_NORM", "CY2023")</f>
        <v>2.125</v>
      </c>
      <c r="O295">
        <f t="shared" si="52"/>
        <v>573325</v>
      </c>
      <c r="P295">
        <f t="shared" si="53"/>
        <v>8.6056407793221462E-2</v>
      </c>
      <c r="Q295" s="5">
        <f>_xll.SNL.Clients.Office.Excel.Functions.SPG(K295, "SP_MARKETCAP", "12/31/2022")</f>
        <v>22219.003598939998</v>
      </c>
      <c r="R295">
        <f t="shared" si="57"/>
        <v>6.5942003846055362E-4</v>
      </c>
      <c r="S295">
        <f t="shared" si="58"/>
        <v>1.4012675817286764E-3</v>
      </c>
      <c r="U295" t="s">
        <v>295</v>
      </c>
      <c r="V295" s="4" cm="1">
        <f t="array" ref="V295">_xll.SNL.Clients.Office.Excel.Functions.SPG(U295, "SP_TOTAL_REV", "CY2021")</f>
        <v>6317900</v>
      </c>
      <c r="W295" s="4">
        <f>_xll.SNL.Clients.Office.Excel.Functions.SPG(U295,"IQ_AVG_DILUT_SHARES_OUT","CY2021")</f>
        <v>269900000</v>
      </c>
      <c r="X295" s="5">
        <f>_xll.SNL.Clients.Office.Excel.Functions.SPG(U295, "IQ_DILUT_EPS_NORM", "CY2021")</f>
        <v>2.395</v>
      </c>
      <c r="Y295">
        <f t="shared" si="59"/>
        <v>646410.5</v>
      </c>
      <c r="Z295">
        <f t="shared" si="60"/>
        <v>0.10231413919182007</v>
      </c>
      <c r="AA295" s="5">
        <f>_xll.SNL.Clients.Office.Excel.Functions.SPG(U295, "SP_MARKETCAP", "12/31/2021")</f>
        <v>25803.6366538691</v>
      </c>
      <c r="AB295">
        <f t="shared" si="54"/>
        <v>6.0812736213208547E-4</v>
      </c>
      <c r="AC295">
        <f t="shared" si="61"/>
        <v>1.4564650323063448E-3</v>
      </c>
    </row>
    <row r="296" spans="1:29" x14ac:dyDescent="0.3">
      <c r="A296" t="s">
        <v>296</v>
      </c>
      <c r="B296" s="4" cm="1">
        <f t="array" ref="B296">_xll.SNL.Clients.Office.Excel.Functions.SPG(A296, "SP_TOTAL_REV", "CY2023")</f>
        <v>25493700</v>
      </c>
      <c r="C296" s="4">
        <f>_xll.SNL.Clients.Office.Excel.Functions.SPG(A296,"IQ_AVG_DILUT_SHARES_OUT","CY2023")</f>
        <v>732300000</v>
      </c>
      <c r="D296" s="5">
        <f>_xll.SNL.Clients.Office.Excel.Functions.SPG(A296, "IQ_DILUT_EPS_NORM", "CY2023")</f>
        <v>9.1959999999999997</v>
      </c>
      <c r="E296">
        <f t="shared" si="50"/>
        <v>6734230.7999999998</v>
      </c>
      <c r="F296">
        <f t="shared" si="51"/>
        <v>0.26415274361901175</v>
      </c>
      <c r="G296" s="5">
        <f>_xll.SNL.Clients.Office.Excel.Functions.SPG(A296, "SP_MARKETCAP", "12/30/2023")</f>
        <v>215071.16531529999</v>
      </c>
      <c r="H296">
        <f t="shared" si="55"/>
        <v>5.1186939563909947E-3</v>
      </c>
      <c r="I296">
        <f t="shared" si="56"/>
        <v>4.7071509622971588E-2</v>
      </c>
      <c r="K296" t="s">
        <v>296</v>
      </c>
      <c r="L296" s="4" cm="1">
        <f t="array" ref="L296">_xll.SNL.Clients.Office.Excel.Functions.SPG(K296, "SP_TOTAL_REV", "CY2023")</f>
        <v>25493700</v>
      </c>
      <c r="M296" s="4">
        <f>_xll.SNL.Clients.Office.Excel.Functions.SPG(K296,"IQ_AVG_DILUT_SHARES_OUT","CY2023")</f>
        <v>732300000</v>
      </c>
      <c r="N296" s="5">
        <f>_xll.SNL.Clients.Office.Excel.Functions.SPG(K296, "IQ_DILUT_EPS_NORM", "CY2023")</f>
        <v>9.1959999999999997</v>
      </c>
      <c r="O296">
        <f t="shared" si="52"/>
        <v>6734230.7999999998</v>
      </c>
      <c r="P296">
        <f t="shared" si="53"/>
        <v>0.26415274361901175</v>
      </c>
      <c r="Q296" s="5">
        <f>_xll.SNL.Clients.Office.Excel.Functions.SPG(K296, "SP_MARKETCAP", "12/31/2022")</f>
        <v>193015.66825876001</v>
      </c>
      <c r="R296">
        <f t="shared" si="57"/>
        <v>5.7283576565401459E-3</v>
      </c>
      <c r="S296">
        <f t="shared" si="58"/>
        <v>5.267797700954318E-2</v>
      </c>
      <c r="U296" t="s">
        <v>296</v>
      </c>
      <c r="V296" s="4" cm="1">
        <f t="array" ref="V296">_xll.SNL.Clients.Office.Excel.Functions.SPG(U296, "SP_TOTAL_REV", "CY2021")</f>
        <v>23222900</v>
      </c>
      <c r="W296" s="4">
        <f>_xll.SNL.Clients.Office.Excel.Functions.SPG(U296,"IQ_AVG_DILUT_SHARES_OUT","CY2021")</f>
        <v>751800000</v>
      </c>
      <c r="X296" s="5">
        <f>_xll.SNL.Clients.Office.Excel.Functions.SPG(U296, "IQ_DILUT_EPS_NORM", "CY2021")</f>
        <v>7.5709999999999997</v>
      </c>
      <c r="Y296">
        <f t="shared" si="59"/>
        <v>5691877.7999999998</v>
      </c>
      <c r="Z296">
        <f t="shared" si="60"/>
        <v>0.24509763207868096</v>
      </c>
      <c r="AA296" s="5">
        <f>_xll.SNL.Clients.Office.Excel.Functions.SPG(U296, "SP_MARKETCAP", "12/31/2021")</f>
        <v>200314.08161589</v>
      </c>
      <c r="AB296">
        <f t="shared" si="54"/>
        <v>4.7209033240171909E-3</v>
      </c>
      <c r="AC296">
        <f t="shared" si="61"/>
        <v>3.574195906613415E-2</v>
      </c>
    </row>
    <row r="297" spans="1:29" x14ac:dyDescent="0.3">
      <c r="A297" t="s">
        <v>297</v>
      </c>
      <c r="B297" s="4" cm="1">
        <f t="array" ref="B297">_xll.SNL.Clients.Office.Excel.Functions.SPG(A297, "SP_TOTAL_REV", "CY2023")</f>
        <v>301506000</v>
      </c>
      <c r="C297" s="4">
        <f>_xll.SNL.Clients.Office.Excel.Functions.SPG(A297,"IQ_AVG_DILUT_SHARES_OUT","CY2023")</f>
        <v>135599899</v>
      </c>
      <c r="D297" s="5">
        <f>_xll.SNL.Clients.Office.Excel.Functions.SPG(A297, "IQ_DILUT_EPS_NORM", "CY2023")</f>
        <v>16.843</v>
      </c>
      <c r="E297">
        <f t="shared" si="50"/>
        <v>2283909.098857</v>
      </c>
      <c r="F297">
        <f t="shared" si="51"/>
        <v>7.5750038103951497E-3</v>
      </c>
      <c r="G297" s="5">
        <f>_xll.SNL.Clients.Office.Excel.Functions.SPG(A297, "SP_MARKETCAP", "12/30/2023")</f>
        <v>61605.269305299997</v>
      </c>
      <c r="H297">
        <f t="shared" si="55"/>
        <v>1.4662054730237043E-3</v>
      </c>
      <c r="I297">
        <f t="shared" si="56"/>
        <v>2.4695298782138251E-2</v>
      </c>
      <c r="K297" t="s">
        <v>297</v>
      </c>
      <c r="L297" s="4" cm="1">
        <f t="array" ref="L297">_xll.SNL.Clients.Office.Excel.Functions.SPG(K297, "SP_TOTAL_REV", "CY2023")</f>
        <v>301506000</v>
      </c>
      <c r="M297" s="4">
        <f>_xll.SNL.Clients.Office.Excel.Functions.SPG(K297,"IQ_AVG_DILUT_SHARES_OUT","CY2023")</f>
        <v>135599899</v>
      </c>
      <c r="N297" s="5">
        <f>_xll.SNL.Clients.Office.Excel.Functions.SPG(K297, "IQ_DILUT_EPS_NORM", "CY2023")</f>
        <v>16.843</v>
      </c>
      <c r="O297">
        <f t="shared" si="52"/>
        <v>2283909.098857</v>
      </c>
      <c r="P297">
        <f t="shared" si="53"/>
        <v>7.5750038103951497E-3</v>
      </c>
      <c r="Q297" s="5">
        <f>_xll.SNL.Clients.Office.Excel.Functions.SPG(K297, "SP_MARKETCAP", "12/31/2022")</f>
        <v>53189.570217599998</v>
      </c>
      <c r="R297">
        <f t="shared" si="57"/>
        <v>1.5785707168373382E-3</v>
      </c>
      <c r="S297">
        <f t="shared" si="58"/>
        <v>2.6587866583691288E-2</v>
      </c>
      <c r="U297" t="s">
        <v>297</v>
      </c>
      <c r="V297" s="4" cm="1">
        <f t="array" ref="V297">_xll.SNL.Clients.Office.Excel.Functions.SPG(U297, "SP_TOTAL_REV", "CY2021")</f>
        <v>257006000</v>
      </c>
      <c r="W297" s="4">
        <f>_xll.SNL.Clients.Office.Excel.Functions.SPG(U297,"IQ_AVG_DILUT_SHARES_OUT","CY2021")</f>
        <v>156550000</v>
      </c>
      <c r="X297" s="5">
        <f>_xll.SNL.Clients.Office.Excel.Functions.SPG(U297, "IQ_DILUT_EPS_NORM", "CY2021")</f>
        <v>14.593</v>
      </c>
      <c r="Y297">
        <f t="shared" si="59"/>
        <v>2284534.15</v>
      </c>
      <c r="Z297">
        <f t="shared" si="60"/>
        <v>8.8890304117413589E-3</v>
      </c>
      <c r="AA297" s="5">
        <f>_xll.SNL.Clients.Office.Excel.Functions.SPG(U297, "SP_MARKETCAP", "12/31/2021")</f>
        <v>37952.206002619998</v>
      </c>
      <c r="AB297">
        <f t="shared" si="54"/>
        <v>8.9443884337156508E-4</v>
      </c>
      <c r="AC297">
        <f t="shared" si="61"/>
        <v>1.3052546041321248E-2</v>
      </c>
    </row>
    <row r="298" spans="1:29" x14ac:dyDescent="0.3">
      <c r="A298" t="s">
        <v>298</v>
      </c>
      <c r="B298" s="4" cm="1">
        <f t="array" ref="B298">_xll.SNL.Clients.Office.Excel.Functions.SPG(A298, "SP_TOTAL_REV", "CY2023")</f>
        <v>32320000</v>
      </c>
      <c r="C298" s="4">
        <f>_xll.SNL.Clients.Office.Excel.Functions.SPG(A298,"IQ_AVG_DILUT_SHARES_OUT","CY2023")</f>
        <v>1332524001</v>
      </c>
      <c r="D298" s="5">
        <f>_xll.SNL.Clients.Office.Excel.Functions.SPG(A298, "IQ_DILUT_EPS_NORM", "CY2023")</f>
        <v>3.1030000000000002</v>
      </c>
      <c r="E298">
        <f t="shared" si="50"/>
        <v>4134821.9751030002</v>
      </c>
      <c r="F298">
        <f t="shared" si="51"/>
        <v>0.12793384823957302</v>
      </c>
      <c r="G298" s="5">
        <f>_xll.SNL.Clients.Office.Excel.Functions.SPG(A298, "SP_MARKETCAP", "12/30/2023")</f>
        <v>109536.92214018</v>
      </c>
      <c r="H298">
        <f t="shared" si="55"/>
        <v>2.6069788599444739E-3</v>
      </c>
      <c r="I298">
        <f t="shared" si="56"/>
        <v>8.0894554024077032E-3</v>
      </c>
      <c r="K298" t="s">
        <v>298</v>
      </c>
      <c r="L298" s="4" cm="1">
        <f t="array" ref="L298">_xll.SNL.Clients.Office.Excel.Functions.SPG(K298, "SP_TOTAL_REV", "CY2023")</f>
        <v>32320000</v>
      </c>
      <c r="M298" s="4">
        <f>_xll.SNL.Clients.Office.Excel.Functions.SPG(K298,"IQ_AVG_DILUT_SHARES_OUT","CY2023")</f>
        <v>1332524001</v>
      </c>
      <c r="N298" s="5">
        <f>_xll.SNL.Clients.Office.Excel.Functions.SPG(K298, "IQ_DILUT_EPS_NORM", "CY2023")</f>
        <v>3.1030000000000002</v>
      </c>
      <c r="O298">
        <f t="shared" si="52"/>
        <v>4134821.9751030002</v>
      </c>
      <c r="P298">
        <f t="shared" si="53"/>
        <v>0.12793384823957302</v>
      </c>
      <c r="Q298" s="5">
        <f>_xll.SNL.Clients.Office.Excel.Functions.SPG(K298, "SP_MARKETCAP", "12/31/2022")</f>
        <v>103381.58789015999</v>
      </c>
      <c r="R298">
        <f t="shared" si="57"/>
        <v>3.0681794689431836E-3</v>
      </c>
      <c r="S298">
        <f t="shared" si="58"/>
        <v>9.5205608921307E-3</v>
      </c>
      <c r="U298" t="s">
        <v>298</v>
      </c>
      <c r="V298" s="4" cm="1">
        <f t="array" ref="V298">_xll.SNL.Clients.Office.Excel.Functions.SPG(U298, "SP_TOTAL_REV", "CY2021")</f>
        <v>31785000</v>
      </c>
      <c r="W298" s="4">
        <f>_xll.SNL.Clients.Office.Excel.Functions.SPG(U298,"IQ_AVG_DILUT_SHARES_OUT","CY2021")</f>
        <v>1354900000</v>
      </c>
      <c r="X298" s="5">
        <f>_xll.SNL.Clients.Office.Excel.Functions.SPG(U298, "IQ_DILUT_EPS_NORM", "CY2021")</f>
        <v>2.9740000000000002</v>
      </c>
      <c r="Y298">
        <f t="shared" si="59"/>
        <v>4029472.6000000006</v>
      </c>
      <c r="Z298">
        <f t="shared" si="60"/>
        <v>0.12677277332074879</v>
      </c>
      <c r="AA298" s="5">
        <f>_xll.SNL.Clients.Office.Excel.Functions.SPG(U298, "SP_MARKETCAP", "12/31/2021")</f>
        <v>139094.50275479999</v>
      </c>
      <c r="AB298">
        <f t="shared" si="54"/>
        <v>3.2781105307754083E-3</v>
      </c>
      <c r="AC298">
        <f t="shared" si="61"/>
        <v>9.7491007185260652E-3</v>
      </c>
    </row>
    <row r="299" spans="1:29" x14ac:dyDescent="0.3">
      <c r="A299" t="s">
        <v>299</v>
      </c>
      <c r="B299" s="4" cm="1">
        <f t="array" ref="B299">_xll.SNL.Clients.Office.Excel.Functions.SPG(A299, "SP_TOTAL_REV", "CY2023")</f>
        <v>60115000</v>
      </c>
      <c r="C299" s="4">
        <f>_xll.SNL.Clients.Office.Excel.Functions.SPG(A299,"IQ_AVG_DILUT_SHARES_OUT","CY2023")</f>
        <v>2547000000</v>
      </c>
      <c r="D299" s="5">
        <f>_xll.SNL.Clients.Office.Excel.Functions.SPG(A299, "IQ_DILUT_EPS_NORM", "CY2023")</f>
        <v>3.7360000000000002</v>
      </c>
      <c r="E299">
        <f t="shared" si="50"/>
        <v>9515592</v>
      </c>
      <c r="F299">
        <f t="shared" si="51"/>
        <v>0.15828981119520918</v>
      </c>
      <c r="G299" s="5">
        <f>_xll.SNL.Clients.Office.Excel.Functions.SPG(A299, "SP_MARKETCAP", "12/30/2023")</f>
        <v>276259.19661768002</v>
      </c>
      <c r="H299">
        <f t="shared" si="55"/>
        <v>6.5749691645147429E-3</v>
      </c>
      <c r="I299">
        <f t="shared" si="56"/>
        <v>2.4564084798627081E-2</v>
      </c>
      <c r="K299" t="s">
        <v>299</v>
      </c>
      <c r="L299" s="4" cm="1">
        <f t="array" ref="L299">_xll.SNL.Clients.Office.Excel.Functions.SPG(K299, "SP_TOTAL_REV", "CY2023")</f>
        <v>60115000</v>
      </c>
      <c r="M299" s="4">
        <f>_xll.SNL.Clients.Office.Excel.Functions.SPG(K299,"IQ_AVG_DILUT_SHARES_OUT","CY2023")</f>
        <v>2547000000</v>
      </c>
      <c r="N299" s="5">
        <f>_xll.SNL.Clients.Office.Excel.Functions.SPG(K299, "IQ_DILUT_EPS_NORM", "CY2023")</f>
        <v>3.7360000000000002</v>
      </c>
      <c r="O299">
        <f t="shared" si="52"/>
        <v>9515592</v>
      </c>
      <c r="P299">
        <f t="shared" si="53"/>
        <v>0.15828981119520918</v>
      </c>
      <c r="Q299" s="5">
        <f>_xll.SNL.Clients.Office.Excel.Functions.SPG(K299, "SP_MARKETCAP", "12/31/2022")</f>
        <v>281302.18331529998</v>
      </c>
      <c r="R299">
        <f t="shared" si="57"/>
        <v>8.3485425309378983E-3</v>
      </c>
      <c r="S299">
        <f t="shared" si="58"/>
        <v>3.119015489558399E-2</v>
      </c>
      <c r="U299" t="s">
        <v>299</v>
      </c>
      <c r="V299" s="4" cm="1">
        <f t="array" ref="V299">_xll.SNL.Clients.Office.Excel.Functions.SPG(U299, "SP_TOTAL_REV", "CY2021")</f>
        <v>48704000</v>
      </c>
      <c r="W299" s="4">
        <f>_xll.SNL.Clients.Office.Excel.Functions.SPG(U299,"IQ_AVG_DILUT_SHARES_OUT","CY2021")</f>
        <v>2538000000</v>
      </c>
      <c r="X299" s="5">
        <f>_xll.SNL.Clients.Office.Excel.Functions.SPG(U299, "IQ_DILUT_EPS_NORM", "CY2021")</f>
        <v>3.2160000000000002</v>
      </c>
      <c r="Y299">
        <f t="shared" si="59"/>
        <v>8162208.0000000009</v>
      </c>
      <c r="Z299">
        <f t="shared" si="60"/>
        <v>0.16758804204993433</v>
      </c>
      <c r="AA299" s="5">
        <f>_xll.SNL.Clients.Office.Excel.Functions.SPG(U299, "SP_MARKETCAP", "12/31/2021")</f>
        <v>193588.34325504</v>
      </c>
      <c r="AB299">
        <f t="shared" si="54"/>
        <v>4.5623944447208695E-3</v>
      </c>
      <c r="AC299">
        <f t="shared" si="61"/>
        <v>1.4672660534222318E-2</v>
      </c>
    </row>
    <row r="300" spans="1:29" x14ac:dyDescent="0.3">
      <c r="A300" t="s">
        <v>300</v>
      </c>
      <c r="B300" s="4" cm="1">
        <f t="array" ref="B300">_xll.SNL.Clients.Office.Excel.Functions.SPG(A300, "SP_TOTAL_REV", "CY2023")</f>
        <v>134902000</v>
      </c>
      <c r="C300" s="4">
        <f>_xll.SNL.Clients.Office.Excel.Functions.SPG(A300,"IQ_AVG_DILUT_SHARES_OUT","CY2023")</f>
        <v>2629000000</v>
      </c>
      <c r="D300" s="5" t="str">
        <f>_xll.SNL.Clients.Office.Excel.Functions.SPG(A300, "IQ_DILUT_EPS_NORM", "CY2023")</f>
        <v>NA</v>
      </c>
      <c r="E300" t="e">
        <f t="shared" si="50"/>
        <v>#VALUE!</v>
      </c>
      <c r="F300" t="e">
        <f t="shared" si="51"/>
        <v>#VALUE!</v>
      </c>
      <c r="G300" s="5">
        <f>_xll.SNL.Clients.Office.Excel.Functions.SPG(A300, "SP_MARKETCAP", "12/30/2023")</f>
        <v>910121.66969576001</v>
      </c>
      <c r="H300">
        <f t="shared" si="55"/>
        <v>2.166089667772287E-2</v>
      </c>
      <c r="I300" t="e">
        <f t="shared" si="56"/>
        <v>#VALUE!</v>
      </c>
      <c r="K300" t="s">
        <v>300</v>
      </c>
      <c r="L300" s="4" cm="1">
        <f t="array" ref="L300">_xll.SNL.Clients.Office.Excel.Functions.SPG(K300, "SP_TOTAL_REV", "CY2023")</f>
        <v>134902000</v>
      </c>
      <c r="M300" s="4">
        <f>_xll.SNL.Clients.Office.Excel.Functions.SPG(K300,"IQ_AVG_DILUT_SHARES_OUT","CY2023")</f>
        <v>2629000000</v>
      </c>
      <c r="N300" s="5" t="str">
        <f>_xll.SNL.Clients.Office.Excel.Functions.SPG(K300, "IQ_DILUT_EPS_NORM", "CY2023")</f>
        <v>NA</v>
      </c>
      <c r="O300" t="e">
        <f t="shared" si="52"/>
        <v>#VALUE!</v>
      </c>
      <c r="P300" t="e">
        <f t="shared" si="53"/>
        <v>#VALUE!</v>
      </c>
      <c r="Q300" s="5">
        <f>_xll.SNL.Clients.Office.Excel.Functions.SPG(K300, "SP_MARKETCAP", "12/31/2022")</f>
        <v>315555.18842408003</v>
      </c>
      <c r="R300">
        <f t="shared" si="57"/>
        <v>9.3651100761764638E-3</v>
      </c>
      <c r="S300" t="e">
        <f t="shared" si="58"/>
        <v>#VALUE!</v>
      </c>
      <c r="U300" t="s">
        <v>300</v>
      </c>
      <c r="V300" s="4" cm="1">
        <f t="array" ref="V300">_xll.SNL.Clients.Office.Excel.Functions.SPG(U300, "SP_TOTAL_REV", "CY2021")</f>
        <v>117929000</v>
      </c>
      <c r="W300" s="4">
        <f>_xll.SNL.Clients.Office.Excel.Functions.SPG(U300,"IQ_AVG_DILUT_SHARES_OUT","CY2021")</f>
        <v>2859000000</v>
      </c>
      <c r="X300" s="5" t="str">
        <f>_xll.SNL.Clients.Office.Excel.Functions.SPG(U300, "IQ_DILUT_EPS_NORM", "CY2021")</f>
        <v>NA</v>
      </c>
      <c r="Y300" t="e">
        <f t="shared" si="59"/>
        <v>#VALUE!</v>
      </c>
      <c r="Z300" t="e">
        <f t="shared" si="60"/>
        <v>#VALUE!</v>
      </c>
      <c r="AA300" s="5">
        <f>_xll.SNL.Clients.Office.Excel.Functions.SPG(U300, "SP_MARKETCAP", "12/31/2021")</f>
        <v>935644.81320660003</v>
      </c>
      <c r="AB300">
        <f t="shared" si="54"/>
        <v>2.2050814766165168E-2</v>
      </c>
      <c r="AC300" t="e">
        <f t="shared" si="61"/>
        <v>#VALUE!</v>
      </c>
    </row>
    <row r="301" spans="1:29" x14ac:dyDescent="0.3">
      <c r="A301" t="s">
        <v>301</v>
      </c>
      <c r="B301" s="4" cm="1">
        <f t="array" ref="B301">_xll.SNL.Clients.Office.Excel.Functions.SPG(A301, "SP_TOTAL_REV", "CY2023")</f>
        <v>66905000</v>
      </c>
      <c r="C301" s="4">
        <f>_xll.SNL.Clients.Office.Excel.Functions.SPG(A301,"IQ_AVG_DILUT_SHARES_OUT","CY2023")</f>
        <v>762300000</v>
      </c>
      <c r="D301" s="5">
        <f>_xll.SNL.Clients.Office.Excel.Functions.SPG(A301, "IQ_DILUT_EPS_NORM", "CY2023")</f>
        <v>1.7410000000000001</v>
      </c>
      <c r="E301">
        <f t="shared" si="50"/>
        <v>1327164.3</v>
      </c>
      <c r="F301">
        <f t="shared" si="51"/>
        <v>1.9836548837904491E-2</v>
      </c>
      <c r="G301" s="5">
        <f>_xll.SNL.Clients.Office.Excel.Functions.SPG(A301, "SP_MARKETCAP", "12/30/2023")</f>
        <v>48948.779843769997</v>
      </c>
      <c r="H301">
        <f t="shared" si="55"/>
        <v>1.1649810107817117E-3</v>
      </c>
      <c r="I301">
        <f t="shared" si="56"/>
        <v>2.0282319397709604E-3</v>
      </c>
      <c r="K301" t="s">
        <v>301</v>
      </c>
      <c r="L301" s="4" cm="1">
        <f t="array" ref="L301">_xll.SNL.Clients.Office.Excel.Functions.SPG(K301, "SP_TOTAL_REV", "CY2023")</f>
        <v>66905000</v>
      </c>
      <c r="M301" s="4">
        <f>_xll.SNL.Clients.Office.Excel.Functions.SPG(K301,"IQ_AVG_DILUT_SHARES_OUT","CY2023")</f>
        <v>762300000</v>
      </c>
      <c r="N301" s="5">
        <f>_xll.SNL.Clients.Office.Excel.Functions.SPG(K301, "IQ_DILUT_EPS_NORM", "CY2023")</f>
        <v>1.7410000000000001</v>
      </c>
      <c r="O301">
        <f t="shared" si="52"/>
        <v>1327164.3</v>
      </c>
      <c r="P301">
        <f t="shared" si="53"/>
        <v>1.9836548837904491E-2</v>
      </c>
      <c r="Q301" s="5">
        <f>_xll.SNL.Clients.Office.Excel.Functions.SPG(K301, "SP_MARKETCAP", "12/31/2022")</f>
        <v>56781.951055849997</v>
      </c>
      <c r="R301">
        <f t="shared" si="57"/>
        <v>1.6851861147770002E-3</v>
      </c>
      <c r="S301">
        <f t="shared" si="58"/>
        <v>2.9339090258267576E-3</v>
      </c>
      <c r="U301" t="s">
        <v>301</v>
      </c>
      <c r="V301" s="4" cm="1">
        <f t="array" ref="V301">_xll.SNL.Clients.Office.Excel.Functions.SPG(U301, "SP_TOTAL_REV", "CY2021")</f>
        <v>69680000</v>
      </c>
      <c r="W301" s="4">
        <f>_xll.SNL.Clients.Office.Excel.Functions.SPG(U301,"IQ_AVG_DILUT_SHARES_OUT","CY2021")</f>
        <v>869400000</v>
      </c>
      <c r="X301" s="5">
        <f>_xll.SNL.Clients.Office.Excel.Functions.SPG(U301, "IQ_DILUT_EPS_NORM", "CY2021")</f>
        <v>6.0990000000000002</v>
      </c>
      <c r="Y301">
        <f t="shared" si="59"/>
        <v>5302470.5999999996</v>
      </c>
      <c r="Z301">
        <f t="shared" si="60"/>
        <v>7.6097454075774965E-2</v>
      </c>
      <c r="AA301" s="5">
        <f>_xll.SNL.Clients.Office.Excel.Functions.SPG(U301, "SP_MARKETCAP", "12/31/2021")</f>
        <v>52564.10046057</v>
      </c>
      <c r="AB301">
        <f t="shared" si="54"/>
        <v>1.2388047539469331E-3</v>
      </c>
      <c r="AC301">
        <f t="shared" si="61"/>
        <v>7.5554701943223454E-3</v>
      </c>
    </row>
    <row r="302" spans="1:29" x14ac:dyDescent="0.3">
      <c r="A302" t="s">
        <v>302</v>
      </c>
      <c r="B302" s="4" cm="1">
        <f t="array" ref="B302">_xll.SNL.Clients.Office.Excel.Functions.SPG(A302, "SP_TOTAL_REV", "CY2023")</f>
        <v>3788309</v>
      </c>
      <c r="C302" s="4">
        <f>_xll.SNL.Clients.Office.Excel.Functions.SPG(A302,"IQ_AVG_DILUT_SHARES_OUT","CY2023")</f>
        <v>21971528</v>
      </c>
      <c r="D302" s="5">
        <f>_xll.SNL.Clients.Office.Excel.Functions.SPG(A302, "IQ_DILUT_EPS_NORM", "CY2023")</f>
        <v>28.63</v>
      </c>
      <c r="E302">
        <f t="shared" si="50"/>
        <v>629044.84664</v>
      </c>
      <c r="F302">
        <f t="shared" si="51"/>
        <v>0.16604898033396959</v>
      </c>
      <c r="G302" s="5">
        <f>_xll.SNL.Clients.Office.Excel.Functions.SPG(A302, "SP_MARKETCAP", "12/30/2023")</f>
        <v>26301.58447392</v>
      </c>
      <c r="H302">
        <f t="shared" si="55"/>
        <v>6.2597773761438797E-4</v>
      </c>
      <c r="I302">
        <f t="shared" si="56"/>
        <v>1.7921742627899927E-2</v>
      </c>
      <c r="K302" t="s">
        <v>302</v>
      </c>
      <c r="L302" s="4" cm="1">
        <f t="array" ref="L302">_xll.SNL.Clients.Office.Excel.Functions.SPG(K302, "SP_TOTAL_REV", "CY2023")</f>
        <v>3788309</v>
      </c>
      <c r="M302" s="4">
        <f>_xll.SNL.Clients.Office.Excel.Functions.SPG(K302,"IQ_AVG_DILUT_SHARES_OUT","CY2023")</f>
        <v>21971528</v>
      </c>
      <c r="N302" s="5">
        <f>_xll.SNL.Clients.Office.Excel.Functions.SPG(K302, "IQ_DILUT_EPS_NORM", "CY2023")</f>
        <v>28.63</v>
      </c>
      <c r="O302">
        <f t="shared" si="52"/>
        <v>629044.84664</v>
      </c>
      <c r="P302">
        <f t="shared" si="53"/>
        <v>0.16604898033396959</v>
      </c>
      <c r="Q302" s="5">
        <f>_xll.SNL.Clients.Office.Excel.Functions.SPG(K302, "SP_MARKETCAP", "12/31/2022")</f>
        <v>32225.135490050001</v>
      </c>
      <c r="R302">
        <f t="shared" si="57"/>
        <v>9.5638402458601216E-4</v>
      </c>
      <c r="S302">
        <f t="shared" si="58"/>
        <v>2.7381274623897528E-2</v>
      </c>
      <c r="U302" t="s">
        <v>302</v>
      </c>
      <c r="V302" s="4" cm="1">
        <f t="array" ref="V302">_xll.SNL.Clients.Office.Excel.Functions.SPG(U302, "SP_TOTAL_REV", "CY2021")</f>
        <v>3717930</v>
      </c>
      <c r="W302" s="4">
        <f>_xll.SNL.Clients.Office.Excel.Functions.SPG(U302,"IQ_AVG_DILUT_SHARES_OUT","CY2021")</f>
        <v>23457630</v>
      </c>
      <c r="X302" s="5">
        <f>_xll.SNL.Clients.Office.Excel.Functions.SPG(U302, "IQ_DILUT_EPS_NORM", "CY2021")</f>
        <v>25.707000000000001</v>
      </c>
      <c r="Y302">
        <f t="shared" si="59"/>
        <v>603025.29440999997</v>
      </c>
      <c r="Z302">
        <f t="shared" si="60"/>
        <v>0.16219382678264518</v>
      </c>
      <c r="AA302" s="5">
        <f>_xll.SNL.Clients.Office.Excel.Functions.SPG(U302, "SP_MARKETCAP", "12/31/2021")</f>
        <v>39011.483522549999</v>
      </c>
      <c r="AB302">
        <f t="shared" si="54"/>
        <v>9.1940337269748318E-4</v>
      </c>
      <c r="AC302">
        <f t="shared" si="61"/>
        <v>2.3635102501934201E-2</v>
      </c>
    </row>
    <row r="303" spans="1:29" x14ac:dyDescent="0.3">
      <c r="A303" t="s">
        <v>303</v>
      </c>
      <c r="B303" s="4" cm="1">
        <f t="array" ref="B303">_xll.SNL.Clients.Office.Excel.Functions.SPG(A303, "SP_TOTAL_REV", "CY2023")</f>
        <v>16118509</v>
      </c>
      <c r="C303" s="4">
        <f>_xll.SNL.Clients.Office.Excel.Functions.SPG(A303,"IQ_AVG_DILUT_SHARES_OUT","CY2023")</f>
        <v>358627000</v>
      </c>
      <c r="D303" s="5">
        <f>_xll.SNL.Clients.Office.Excel.Functions.SPG(A303, "IQ_DILUT_EPS_NORM", "CY2023")</f>
        <v>1.4350000000000001</v>
      </c>
      <c r="E303">
        <f t="shared" si="50"/>
        <v>514629.745</v>
      </c>
      <c r="F303">
        <f t="shared" si="51"/>
        <v>3.1927875276801347E-2</v>
      </c>
      <c r="G303" s="5">
        <f>_xll.SNL.Clients.Office.Excel.Functions.SPG(A303, "SP_MARKETCAP", "12/30/2023")</f>
        <v>15261.945463079999</v>
      </c>
      <c r="H303">
        <f t="shared" si="55"/>
        <v>3.6323431776690647E-4</v>
      </c>
      <c r="I303">
        <f t="shared" si="56"/>
        <v>5.2124124599551083E-4</v>
      </c>
      <c r="K303" t="s">
        <v>303</v>
      </c>
      <c r="L303" s="4" cm="1">
        <f t="array" ref="L303">_xll.SNL.Clients.Office.Excel.Functions.SPG(K303, "SP_TOTAL_REV", "CY2023")</f>
        <v>16118509</v>
      </c>
      <c r="M303" s="4">
        <f>_xll.SNL.Clients.Office.Excel.Functions.SPG(K303,"IQ_AVG_DILUT_SHARES_OUT","CY2023")</f>
        <v>358627000</v>
      </c>
      <c r="N303" s="5">
        <f>_xll.SNL.Clients.Office.Excel.Functions.SPG(K303, "IQ_DILUT_EPS_NORM", "CY2023")</f>
        <v>1.4350000000000001</v>
      </c>
      <c r="O303">
        <f t="shared" si="52"/>
        <v>514629.745</v>
      </c>
      <c r="P303">
        <f t="shared" si="53"/>
        <v>3.1927875276801347E-2</v>
      </c>
      <c r="Q303" s="5">
        <f>_xll.SNL.Clients.Office.Excel.Functions.SPG(K303, "SP_MARKETCAP", "12/31/2022")</f>
        <v>12876.20052488</v>
      </c>
      <c r="R303">
        <f t="shared" si="57"/>
        <v>3.8214245780792989E-4</v>
      </c>
      <c r="S303">
        <f t="shared" si="58"/>
        <v>5.4837442695437942E-4</v>
      </c>
      <c r="U303" t="s">
        <v>303</v>
      </c>
      <c r="V303" s="4" cm="1">
        <f t="array" ref="V303">_xll.SNL.Clients.Office.Excel.Functions.SPG(U303, "SP_TOTAL_REV", "CY2021")</f>
        <v>9454057</v>
      </c>
      <c r="W303" s="4">
        <f>_xll.SNL.Clients.Office.Excel.Functions.SPG(U303,"IQ_AVG_DILUT_SHARES_OUT","CY2021")</f>
        <v>487356000</v>
      </c>
      <c r="X303" s="5">
        <f>_xll.SNL.Clients.Office.Excel.Functions.SPG(U303, "IQ_DILUT_EPS_NORM", "CY2021")</f>
        <v>-7.0000000000000007E-2</v>
      </c>
      <c r="Y303">
        <f t="shared" si="59"/>
        <v>-34114.92</v>
      </c>
      <c r="Z303">
        <f t="shared" si="60"/>
        <v>-3.6084952735106206E-3</v>
      </c>
      <c r="AA303" s="5">
        <f>_xll.SNL.Clients.Office.Excel.Functions.SPG(U303, "SP_MARKETCAP", "12/31/2021")</f>
        <v>21046.91775384</v>
      </c>
      <c r="AB303">
        <f t="shared" si="54"/>
        <v>4.9602336082865716E-4</v>
      </c>
      <c r="AC303">
        <f t="shared" si="61"/>
        <v>-3.4721635258006004E-5</v>
      </c>
    </row>
    <row r="304" spans="1:29" x14ac:dyDescent="0.3">
      <c r="A304" t="s">
        <v>304</v>
      </c>
      <c r="B304" s="4" cm="1">
        <f t="array" ref="B304">_xll.SNL.Clients.Office.Excel.Functions.SPG(A304, "SP_TOTAL_REV", "CY2023")</f>
        <v>8541300</v>
      </c>
      <c r="C304" s="4">
        <f>_xll.SNL.Clients.Office.Excel.Functions.SPG(A304,"IQ_AVG_DILUT_SHARES_OUT","CY2023")</f>
        <v>550250000</v>
      </c>
      <c r="D304" s="5">
        <f>_xll.SNL.Clients.Office.Excel.Functions.SPG(A304, "IQ_DILUT_EPS_NORM", "CY2023")</f>
        <v>3.3929999999999998</v>
      </c>
      <c r="E304">
        <f t="shared" si="50"/>
        <v>1866998.25</v>
      </c>
      <c r="F304">
        <f t="shared" si="51"/>
        <v>0.21858478802992518</v>
      </c>
      <c r="G304" s="5">
        <f>_xll.SNL.Clients.Office.Excel.Functions.SPG(A304, "SP_MARKETCAP", "12/30/2023")</f>
        <v>48791.464973640002</v>
      </c>
      <c r="H304">
        <f t="shared" si="55"/>
        <v>1.1612369167103176E-3</v>
      </c>
      <c r="I304">
        <f t="shared" si="56"/>
        <v>3.9400768583981076E-3</v>
      </c>
      <c r="K304" t="s">
        <v>304</v>
      </c>
      <c r="L304" s="4" cm="1">
        <f t="array" ref="L304">_xll.SNL.Clients.Office.Excel.Functions.SPG(K304, "SP_TOTAL_REV", "CY2023")</f>
        <v>8541300</v>
      </c>
      <c r="M304" s="4">
        <f>_xll.SNL.Clients.Office.Excel.Functions.SPG(K304,"IQ_AVG_DILUT_SHARES_OUT","CY2023")</f>
        <v>550250000</v>
      </c>
      <c r="N304" s="5">
        <f>_xll.SNL.Clients.Office.Excel.Functions.SPG(K304, "IQ_DILUT_EPS_NORM", "CY2023")</f>
        <v>3.3929999999999998</v>
      </c>
      <c r="O304">
        <f t="shared" si="52"/>
        <v>1866998.25</v>
      </c>
      <c r="P304">
        <f t="shared" si="53"/>
        <v>0.21858478802992518</v>
      </c>
      <c r="Q304" s="5">
        <f>_xll.SNL.Clients.Office.Excel.Functions.SPG(K304, "SP_MARKETCAP", "12/31/2022")</f>
        <v>38638.1118775</v>
      </c>
      <c r="R304">
        <f t="shared" si="57"/>
        <v>1.1467096220966334E-3</v>
      </c>
      <c r="S304">
        <f t="shared" si="58"/>
        <v>3.890785747773877E-3</v>
      </c>
      <c r="U304" t="s">
        <v>304</v>
      </c>
      <c r="V304" s="4" cm="1">
        <f t="array" ref="V304">_xll.SNL.Clients.Office.Excel.Functions.SPG(U304, "SP_TOTAL_REV", "CY2021")</f>
        <v>6443800</v>
      </c>
      <c r="W304" s="4">
        <f>_xll.SNL.Clients.Office.Excel.Functions.SPG(U304,"IQ_AVG_DILUT_SHARES_OUT","CY2021")</f>
        <v>565350000</v>
      </c>
      <c r="X304" s="5">
        <f>_xll.SNL.Clients.Office.Excel.Functions.SPG(U304, "IQ_DILUT_EPS_NORM", "CY2021")</f>
        <v>1.49</v>
      </c>
      <c r="Y304">
        <f t="shared" si="59"/>
        <v>842371.5</v>
      </c>
      <c r="Z304">
        <f t="shared" si="60"/>
        <v>0.13072589155467271</v>
      </c>
      <c r="AA304" s="5">
        <f>_xll.SNL.Clients.Office.Excel.Functions.SPG(U304, "SP_MARKETCAP", "12/31/2021")</f>
        <v>48307.044186719999</v>
      </c>
      <c r="AB304">
        <f t="shared" si="54"/>
        <v>1.1384765545930616E-3</v>
      </c>
      <c r="AC304">
        <f t="shared" si="61"/>
        <v>1.6963300663436617E-3</v>
      </c>
    </row>
    <row r="305" spans="1:29" x14ac:dyDescent="0.3">
      <c r="A305" t="s">
        <v>305</v>
      </c>
      <c r="B305" s="4" cm="1">
        <f t="array" ref="B305">_xll.SNL.Clients.Office.Excel.Functions.SPG(A305, "SP_TOTAL_REV", "CY2023")</f>
        <v>16181000</v>
      </c>
      <c r="C305" s="4">
        <f>_xll.SNL.Clients.Office.Excel.Functions.SPG(A305,"IQ_AVG_DILUT_SHARES_OUT","CY2023")</f>
        <v>1095500000</v>
      </c>
      <c r="D305" s="5">
        <f>_xll.SNL.Clients.Office.Excel.Functions.SPG(A305, "IQ_DILUT_EPS_NORM", "CY2023")</f>
        <v>-3.609</v>
      </c>
      <c r="E305">
        <f t="shared" si="50"/>
        <v>-3953659.5</v>
      </c>
      <c r="F305">
        <f t="shared" si="51"/>
        <v>-0.24433962672269946</v>
      </c>
      <c r="G305" s="5">
        <f>_xll.SNL.Clients.Office.Excel.Functions.SPG(A305, "SP_MARKETCAP", "12/30/2023")</f>
        <v>94207.583819199994</v>
      </c>
      <c r="H305">
        <f t="shared" si="55"/>
        <v>2.242140592090019E-3</v>
      </c>
      <c r="I305">
        <f t="shared" si="56"/>
        <v>-8.0918853968528787E-3</v>
      </c>
      <c r="K305" t="s">
        <v>305</v>
      </c>
      <c r="L305" s="4" cm="1">
        <f t="array" ref="L305">_xll.SNL.Clients.Office.Excel.Functions.SPG(K305, "SP_TOTAL_REV", "CY2023")</f>
        <v>16181000</v>
      </c>
      <c r="M305" s="4">
        <f>_xll.SNL.Clients.Office.Excel.Functions.SPG(K305,"IQ_AVG_DILUT_SHARES_OUT","CY2023")</f>
        <v>1095500000</v>
      </c>
      <c r="N305" s="5">
        <f>_xll.SNL.Clients.Office.Excel.Functions.SPG(K305, "IQ_DILUT_EPS_NORM", "CY2023")</f>
        <v>-3.609</v>
      </c>
      <c r="O305">
        <f t="shared" si="52"/>
        <v>-3953659.5</v>
      </c>
      <c r="P305">
        <f t="shared" si="53"/>
        <v>-0.24433962672269946</v>
      </c>
      <c r="Q305" s="5">
        <f>_xll.SNL.Clients.Office.Excel.Functions.SPG(K305, "SP_MARKETCAP", "12/31/2022")</f>
        <v>54537.004068959999</v>
      </c>
      <c r="R305">
        <f t="shared" si="57"/>
        <v>1.6185601285195637E-3</v>
      </c>
      <c r="S305">
        <f t="shared" si="58"/>
        <v>-5.8413835038271054E-3</v>
      </c>
      <c r="U305" t="s">
        <v>305</v>
      </c>
      <c r="V305" s="4" cm="1">
        <f t="array" ref="V305">_xll.SNL.Clients.Office.Excel.Functions.SPG(U305, "SP_TOTAL_REV", "CY2021")</f>
        <v>29619000</v>
      </c>
      <c r="W305" s="4">
        <f>_xll.SNL.Clients.Office.Excel.Functions.SPG(U305,"IQ_AVG_DILUT_SHARES_OUT","CY2021")</f>
        <v>1139750000</v>
      </c>
      <c r="X305" s="5">
        <f>_xll.SNL.Clients.Office.Excel.Functions.SPG(U305, "IQ_DILUT_EPS_NORM", "CY2021")</f>
        <v>4.6500000000000004</v>
      </c>
      <c r="Y305">
        <f t="shared" si="59"/>
        <v>5299837.5</v>
      </c>
      <c r="Z305">
        <f t="shared" si="60"/>
        <v>0.17893370809277828</v>
      </c>
      <c r="AA305" s="5">
        <f>_xll.SNL.Clients.Office.Excel.Functions.SPG(U305, "SP_MARKETCAP", "12/31/2021")</f>
        <v>104343.81211935</v>
      </c>
      <c r="AB305">
        <f t="shared" si="54"/>
        <v>2.4591234200870538E-3</v>
      </c>
      <c r="AC305">
        <f t="shared" si="61"/>
        <v>1.14349239034048E-2</v>
      </c>
    </row>
    <row r="306" spans="1:29" x14ac:dyDescent="0.3">
      <c r="A306" t="s">
        <v>306</v>
      </c>
      <c r="B306" s="4" cm="1">
        <f t="array" ref="B306">_xll.SNL.Clients.Office.Excel.Functions.SPG(A306, "SP_TOTAL_REV", "CY2023")</f>
        <v>227583000</v>
      </c>
      <c r="C306" s="4">
        <f>_xll.SNL.Clients.Office.Excel.Functions.SPG(A306,"IQ_AVG_DILUT_SHARES_OUT","CY2023")</f>
        <v>7465000000</v>
      </c>
      <c r="D306" s="5" t="str">
        <f>_xll.SNL.Clients.Office.Excel.Functions.SPG(A306, "IQ_DILUT_EPS_NORM", "CY2023")</f>
        <v>NA</v>
      </c>
      <c r="E306" t="e">
        <f t="shared" si="50"/>
        <v>#VALUE!</v>
      </c>
      <c r="F306" t="e">
        <f t="shared" si="51"/>
        <v>#VALUE!</v>
      </c>
      <c r="G306" s="5">
        <f>_xll.SNL.Clients.Office.Excel.Functions.SPG(A306, "SP_MARKETCAP", "12/30/2023")</f>
        <v>2794827.92619716</v>
      </c>
      <c r="H306">
        <f t="shared" si="55"/>
        <v>6.6516907526889532E-2</v>
      </c>
      <c r="I306" t="e">
        <f t="shared" si="56"/>
        <v>#VALUE!</v>
      </c>
      <c r="K306" t="s">
        <v>306</v>
      </c>
      <c r="L306" s="4" cm="1">
        <f t="array" ref="L306">_xll.SNL.Clients.Office.Excel.Functions.SPG(K306, "SP_TOTAL_REV", "CY2023")</f>
        <v>227583000</v>
      </c>
      <c r="M306" s="4">
        <f>_xll.SNL.Clients.Office.Excel.Functions.SPG(K306,"IQ_AVG_DILUT_SHARES_OUT","CY2023")</f>
        <v>7465000000</v>
      </c>
      <c r="N306" s="5" t="str">
        <f>_xll.SNL.Clients.Office.Excel.Functions.SPG(K306, "IQ_DILUT_EPS_NORM", "CY2023")</f>
        <v>NA</v>
      </c>
      <c r="O306" t="e">
        <f t="shared" si="52"/>
        <v>#VALUE!</v>
      </c>
      <c r="P306" t="e">
        <f t="shared" si="53"/>
        <v>#VALUE!</v>
      </c>
      <c r="Q306" s="5">
        <f>_xll.SNL.Clients.Office.Excel.Functions.SPG(K306, "SP_MARKETCAP", "12/31/2022")</f>
        <v>1788218.42571288</v>
      </c>
      <c r="R306">
        <f t="shared" si="57"/>
        <v>5.3071104552848331E-2</v>
      </c>
      <c r="S306" t="e">
        <f t="shared" si="58"/>
        <v>#VALUE!</v>
      </c>
      <c r="U306" t="s">
        <v>306</v>
      </c>
      <c r="V306" s="4" cm="1">
        <f t="array" ref="V306">_xll.SNL.Clients.Office.Excel.Functions.SPG(U306, "SP_TOTAL_REV", "CY2021")</f>
        <v>184903000</v>
      </c>
      <c r="W306" s="4">
        <f>_xll.SNL.Clients.Office.Excel.Functions.SPG(U306,"IQ_AVG_DILUT_SHARES_OUT","CY2021")</f>
        <v>7575000000</v>
      </c>
      <c r="X306" s="5" t="str">
        <f>_xll.SNL.Clients.Office.Excel.Functions.SPG(U306, "IQ_DILUT_EPS_NORM", "CY2021")</f>
        <v>NA</v>
      </c>
      <c r="Y306" t="e">
        <f t="shared" si="59"/>
        <v>#VALUE!</v>
      </c>
      <c r="Z306" t="e">
        <f t="shared" si="60"/>
        <v>#VALUE!</v>
      </c>
      <c r="AA306" s="5">
        <f>_xll.SNL.Clients.Office.Excel.Functions.SPG(U306, "SP_MARKETCAP", "12/31/2021")</f>
        <v>2525083.98292608</v>
      </c>
      <c r="AB306">
        <f t="shared" si="54"/>
        <v>5.9509931964127509E-2</v>
      </c>
      <c r="AC306" t="e">
        <f t="shared" si="61"/>
        <v>#VALUE!</v>
      </c>
    </row>
    <row r="307" spans="1:29" x14ac:dyDescent="0.3">
      <c r="A307" t="s">
        <v>307</v>
      </c>
      <c r="B307" s="4" cm="1">
        <f t="array" ref="B307">_xll.SNL.Clients.Office.Excel.Functions.SPG(A307, "SP_TOTAL_REV", "CY2023")</f>
        <v>2174952</v>
      </c>
      <c r="C307" s="4">
        <f>_xll.SNL.Clients.Office.Excel.Functions.SPG(A307,"IQ_AVG_DILUT_SHARES_OUT","CY2023")</f>
        <v>116645000</v>
      </c>
      <c r="D307" s="5">
        <f>_xll.SNL.Clients.Office.Excel.Functions.SPG(A307, "IQ_DILUT_EPS_NORM", "CY2023")</f>
        <v>2.8959999999999999</v>
      </c>
      <c r="E307">
        <f t="shared" si="50"/>
        <v>337803.92</v>
      </c>
      <c r="F307">
        <f t="shared" si="51"/>
        <v>0.1553155747805009</v>
      </c>
      <c r="G307" s="5">
        <f>_xll.SNL.Clients.Office.Excel.Functions.SPG(A307, "SP_MARKETCAP", "12/30/2023")</f>
        <v>15689.801384459999</v>
      </c>
      <c r="H307">
        <f t="shared" si="55"/>
        <v>3.7341728913716529E-4</v>
      </c>
      <c r="I307">
        <f t="shared" si="56"/>
        <v>1.0814164693412306E-3</v>
      </c>
      <c r="K307" t="s">
        <v>307</v>
      </c>
      <c r="L307" s="4" cm="1">
        <f t="array" ref="L307">_xll.SNL.Clients.Office.Excel.Functions.SPG(K307, "SP_TOTAL_REV", "CY2023")</f>
        <v>2174952</v>
      </c>
      <c r="M307" s="4">
        <f>_xll.SNL.Clients.Office.Excel.Functions.SPG(K307,"IQ_AVG_DILUT_SHARES_OUT","CY2023")</f>
        <v>116645000</v>
      </c>
      <c r="N307" s="5">
        <f>_xll.SNL.Clients.Office.Excel.Functions.SPG(K307, "IQ_DILUT_EPS_NORM", "CY2023")</f>
        <v>2.8959999999999999</v>
      </c>
      <c r="O307">
        <f t="shared" si="52"/>
        <v>337803.92</v>
      </c>
      <c r="P307">
        <f t="shared" si="53"/>
        <v>0.1553155747805009</v>
      </c>
      <c r="Q307" s="5">
        <f>_xll.SNL.Clients.Office.Excel.Functions.SPG(K307, "SP_MARKETCAP", "12/31/2022")</f>
        <v>18128.737055819998</v>
      </c>
      <c r="R307">
        <f t="shared" si="57"/>
        <v>5.3802828886352031E-4</v>
      </c>
      <c r="S307">
        <f t="shared" si="58"/>
        <v>1.5581299245487547E-3</v>
      </c>
      <c r="U307" t="s">
        <v>307</v>
      </c>
      <c r="V307" s="4" cm="1">
        <f t="array" ref="V307">_xll.SNL.Clients.Office.Excel.Functions.SPG(U307, "SP_TOTAL_REV", "CY2021")</f>
        <v>1827244</v>
      </c>
      <c r="W307" s="4">
        <f>_xll.SNL.Clients.Office.Excel.Functions.SPG(U307,"IQ_AVG_DILUT_SHARES_OUT","CY2021")</f>
        <v>115039000</v>
      </c>
      <c r="X307" s="5">
        <f>_xll.SNL.Clients.Office.Excel.Functions.SPG(U307, "IQ_DILUT_EPS_NORM", "CY2021")</f>
        <v>1.4359999999999999</v>
      </c>
      <c r="Y307">
        <f t="shared" si="59"/>
        <v>165196.00399999999</v>
      </c>
      <c r="Z307">
        <f t="shared" si="60"/>
        <v>9.0407194660373752E-2</v>
      </c>
      <c r="AA307" s="5">
        <f>_xll.SNL.Clients.Office.Excel.Functions.SPG(U307, "SP_MARKETCAP", "12/31/2021")</f>
        <v>26417.336829119999</v>
      </c>
      <c r="AB307">
        <f t="shared" si="54"/>
        <v>6.2259074470569524E-4</v>
      </c>
      <c r="AC307">
        <f t="shared" si="61"/>
        <v>8.9404030939737829E-4</v>
      </c>
    </row>
    <row r="308" spans="1:29" x14ac:dyDescent="0.3">
      <c r="A308" t="s">
        <v>308</v>
      </c>
      <c r="B308" s="4" cm="1">
        <f t="array" ref="B308">_xll.SNL.Clients.Office.Excel.Functions.SPG(A308, "SP_TOTAL_REV", "CY2023")</f>
        <v>6848000</v>
      </c>
      <c r="C308" s="4">
        <f>_xll.SNL.Clients.Office.Excel.Functions.SPG(A308,"IQ_AVG_DILUT_SHARES_OUT","CY2023")</f>
        <v>382000000</v>
      </c>
      <c r="D308" s="5">
        <f>_xll.SNL.Clients.Office.Excel.Functions.SPG(A308, "IQ_DILUT_EPS_NORM", "CY2023")</f>
        <v>-6.3319999999999999</v>
      </c>
      <c r="E308">
        <f t="shared" si="50"/>
        <v>-2418824</v>
      </c>
      <c r="F308">
        <f t="shared" si="51"/>
        <v>-0.35321612149532711</v>
      </c>
      <c r="G308" s="5">
        <f>_xll.SNL.Clients.Office.Excel.Functions.SPG(A308, "SP_MARKETCAP", "12/30/2023")</f>
        <v>37918.693402199999</v>
      </c>
      <c r="H308">
        <f t="shared" si="55"/>
        <v>9.0246494209271163E-4</v>
      </c>
      <c r="I308">
        <f t="shared" si="56"/>
        <v>-5.7144080133310496E-3</v>
      </c>
      <c r="K308" t="s">
        <v>308</v>
      </c>
      <c r="L308" s="4" cm="1">
        <f t="array" ref="L308">_xll.SNL.Clients.Office.Excel.Functions.SPG(K308, "SP_TOTAL_REV", "CY2023")</f>
        <v>6848000</v>
      </c>
      <c r="M308" s="4">
        <f>_xll.SNL.Clients.Office.Excel.Functions.SPG(K308,"IQ_AVG_DILUT_SHARES_OUT","CY2023")</f>
        <v>382000000</v>
      </c>
      <c r="N308" s="5">
        <f>_xll.SNL.Clients.Office.Excel.Functions.SPG(K308, "IQ_DILUT_EPS_NORM", "CY2023")</f>
        <v>-6.3319999999999999</v>
      </c>
      <c r="O308">
        <f t="shared" si="52"/>
        <v>-2418824</v>
      </c>
      <c r="P308">
        <f t="shared" si="53"/>
        <v>-0.35321612149532711</v>
      </c>
      <c r="Q308" s="5">
        <f>_xll.SNL.Clients.Office.Excel.Functions.SPG(K308, "SP_MARKETCAP", "12/31/2022")</f>
        <v>69006.495841779993</v>
      </c>
      <c r="R308">
        <f t="shared" si="57"/>
        <v>2.0479886030616364E-3</v>
      </c>
      <c r="S308">
        <f t="shared" si="58"/>
        <v>-1.2967863834586282E-2</v>
      </c>
      <c r="U308" t="s">
        <v>308</v>
      </c>
      <c r="V308" s="4" cm="1">
        <f t="array" ref="V308">_xll.SNL.Clients.Office.Excel.Functions.SPG(U308, "SP_TOTAL_REV", "CY2021")</f>
        <v>18471000</v>
      </c>
      <c r="W308" s="4">
        <f>_xll.SNL.Clients.Office.Excel.Functions.SPG(U308,"IQ_AVG_DILUT_SHARES_OUT","CY2021")</f>
        <v>431000000</v>
      </c>
      <c r="X308" s="5">
        <f>_xll.SNL.Clients.Office.Excel.Functions.SPG(U308, "IQ_DILUT_EPS_NORM", "CY2021")</f>
        <v>19.265000000000001</v>
      </c>
      <c r="Y308">
        <f t="shared" si="59"/>
        <v>8303215</v>
      </c>
      <c r="Z308">
        <f t="shared" si="60"/>
        <v>0.44952709652969519</v>
      </c>
      <c r="AA308" s="5">
        <f>_xll.SNL.Clients.Office.Excel.Functions.SPG(U308, "SP_MARKETCAP", "12/31/2021")</f>
        <v>102976.07086746</v>
      </c>
      <c r="AB308">
        <f t="shared" si="54"/>
        <v>2.4268891699017656E-3</v>
      </c>
      <c r="AC308">
        <f t="shared" si="61"/>
        <v>4.6754019858157518E-2</v>
      </c>
    </row>
    <row r="309" spans="1:29" x14ac:dyDescent="0.3">
      <c r="A309" t="s">
        <v>309</v>
      </c>
      <c r="B309" s="4" cm="1">
        <f t="array" ref="B309">_xll.SNL.Clients.Office.Excel.Functions.SPG(A309, "SP_TOTAL_REV", "CY2023")</f>
        <v>11135115</v>
      </c>
      <c r="C309" s="4">
        <f>_xll.SNL.Clients.Office.Excel.Functions.SPG(A309,"IQ_AVG_DILUT_SHARES_OUT","CY2023")</f>
        <v>63657000</v>
      </c>
      <c r="D309" s="5">
        <f>_xll.SNL.Clients.Office.Excel.Functions.SPG(A309, "IQ_DILUT_EPS_NORM", "CY2023")</f>
        <v>7.3330000000000002</v>
      </c>
      <c r="E309">
        <f t="shared" si="50"/>
        <v>466796.78100000002</v>
      </c>
      <c r="F309">
        <f t="shared" si="51"/>
        <v>4.1921145942363416E-2</v>
      </c>
      <c r="G309" s="5">
        <f>_xll.SNL.Clients.Office.Excel.Functions.SPG(A309, "SP_MARKETCAP", "12/30/2023")</f>
        <v>6591.1031460000004</v>
      </c>
      <c r="H309">
        <f t="shared" si="55"/>
        <v>1.568682616747778E-4</v>
      </c>
      <c r="I309">
        <f t="shared" si="56"/>
        <v>1.1503149628611456E-3</v>
      </c>
      <c r="K309" t="s">
        <v>309</v>
      </c>
      <c r="L309" s="4" cm="1">
        <f t="array" ref="L309">_xll.SNL.Clients.Office.Excel.Functions.SPG(K309, "SP_TOTAL_REV", "CY2023")</f>
        <v>11135115</v>
      </c>
      <c r="M309" s="4">
        <f>_xll.SNL.Clients.Office.Excel.Functions.SPG(K309,"IQ_AVG_DILUT_SHARES_OUT","CY2023")</f>
        <v>63657000</v>
      </c>
      <c r="N309" s="5">
        <f>_xll.SNL.Clients.Office.Excel.Functions.SPG(K309, "IQ_DILUT_EPS_NORM", "CY2023")</f>
        <v>7.3330000000000002</v>
      </c>
      <c r="O309">
        <f t="shared" si="52"/>
        <v>466796.78100000002</v>
      </c>
      <c r="P309">
        <f t="shared" si="53"/>
        <v>4.1921145942363416E-2</v>
      </c>
      <c r="Q309" s="5">
        <f>_xll.SNL.Clients.Office.Excel.Functions.SPG(K309, "SP_MARKETCAP", "12/31/2022")</f>
        <v>6494.4487510400004</v>
      </c>
      <c r="R309">
        <f t="shared" si="57"/>
        <v>1.9274355063317062E-4</v>
      </c>
      <c r="S309">
        <f t="shared" si="58"/>
        <v>1.4133884567930403E-3</v>
      </c>
      <c r="U309" t="s">
        <v>309</v>
      </c>
      <c r="V309" s="4" cm="1">
        <f t="array" ref="V309">_xll.SNL.Clients.Office.Excel.Functions.SPG(U309, "SP_TOTAL_REV", "CY2021")</f>
        <v>11200613</v>
      </c>
      <c r="W309" s="4">
        <f>_xll.SNL.Clients.Office.Excel.Functions.SPG(U309,"IQ_AVG_DILUT_SHARES_OUT","CY2021")</f>
        <v>69145000</v>
      </c>
      <c r="X309" s="5">
        <f>_xll.SNL.Clients.Office.Excel.Functions.SPG(U309, "IQ_DILUT_EPS_NORM", "CY2021")</f>
        <v>11.868</v>
      </c>
      <c r="Y309">
        <f t="shared" si="59"/>
        <v>820612.86</v>
      </c>
      <c r="Z309">
        <f t="shared" si="60"/>
        <v>7.3264995406947808E-2</v>
      </c>
      <c r="AA309" s="5">
        <f>_xll.SNL.Clients.Office.Excel.Functions.SPG(U309, "SP_MARKETCAP", "12/31/2021")</f>
        <v>12339.48371314</v>
      </c>
      <c r="AB309">
        <f t="shared" si="54"/>
        <v>2.9081085667118491E-4</v>
      </c>
      <c r="AC309">
        <f t="shared" si="61"/>
        <v>3.4513432469736225E-3</v>
      </c>
    </row>
    <row r="310" spans="1:29" x14ac:dyDescent="0.3">
      <c r="A310" t="s">
        <v>310</v>
      </c>
      <c r="B310" s="4" cm="1">
        <f t="array" ref="B310">_xll.SNL.Clients.Office.Excel.Functions.SPG(A310, "SP_TOTAL_REV", "CY2023")</f>
        <v>34072000</v>
      </c>
      <c r="C310" s="4">
        <f>_xll.SNL.Clients.Office.Excel.Functions.SPG(A310,"IQ_AVG_DILUT_SHARES_OUT","CY2023")</f>
        <v>58100000</v>
      </c>
      <c r="D310" s="5">
        <f>_xll.SNL.Clients.Office.Excel.Functions.SPG(A310, "IQ_DILUT_EPS_NORM", "CY2023")</f>
        <v>16.233000000000001</v>
      </c>
      <c r="E310">
        <f t="shared" si="50"/>
        <v>943137.3</v>
      </c>
      <c r="F310">
        <f t="shared" si="51"/>
        <v>2.7680714369570324E-2</v>
      </c>
      <c r="G310" s="5">
        <f>_xll.SNL.Clients.Office.Excel.Functions.SPG(A310, "SP_MARKETCAP", "12/30/2023")</f>
        <v>21064.373</v>
      </c>
      <c r="H310">
        <f t="shared" si="55"/>
        <v>5.0133209913191118E-4</v>
      </c>
      <c r="I310">
        <f t="shared" si="56"/>
        <v>8.1381239652083149E-3</v>
      </c>
      <c r="K310" t="s">
        <v>310</v>
      </c>
      <c r="L310" s="4" cm="1">
        <f t="array" ref="L310">_xll.SNL.Clients.Office.Excel.Functions.SPG(K310, "SP_TOTAL_REV", "CY2023")</f>
        <v>34072000</v>
      </c>
      <c r="M310" s="4">
        <f>_xll.SNL.Clients.Office.Excel.Functions.SPG(K310,"IQ_AVG_DILUT_SHARES_OUT","CY2023")</f>
        <v>58100000</v>
      </c>
      <c r="N310" s="5">
        <f>_xll.SNL.Clients.Office.Excel.Functions.SPG(K310, "IQ_DILUT_EPS_NORM", "CY2023")</f>
        <v>16.233000000000001</v>
      </c>
      <c r="O310">
        <f t="shared" si="52"/>
        <v>943137.3</v>
      </c>
      <c r="P310">
        <f t="shared" si="53"/>
        <v>2.7680714369570324E-2</v>
      </c>
      <c r="Q310" s="5">
        <f>_xll.SNL.Clients.Office.Excel.Functions.SPG(K310, "SP_MARKETCAP", "12/31/2022")</f>
        <v>19284.848000000002</v>
      </c>
      <c r="R310">
        <f t="shared" si="57"/>
        <v>5.7233958099149921E-4</v>
      </c>
      <c r="S310">
        <f t="shared" si="58"/>
        <v>9.2907884182350069E-3</v>
      </c>
      <c r="U310" t="s">
        <v>310</v>
      </c>
      <c r="V310" s="4" cm="1">
        <f t="array" ref="V310">_xll.SNL.Clients.Office.Excel.Functions.SPG(U310, "SP_TOTAL_REV", "CY2021")</f>
        <v>27771000</v>
      </c>
      <c r="W310" s="4">
        <f>_xll.SNL.Clients.Office.Excel.Functions.SPG(U310,"IQ_AVG_DILUT_SHARES_OUT","CY2021")</f>
        <v>58600000</v>
      </c>
      <c r="X310" s="5">
        <f>_xll.SNL.Clients.Office.Excel.Functions.SPG(U310, "IQ_DILUT_EPS_NORM", "CY2021")</f>
        <v>9.3320000000000007</v>
      </c>
      <c r="Y310">
        <f t="shared" si="59"/>
        <v>546855.19999999995</v>
      </c>
      <c r="Z310">
        <f t="shared" si="60"/>
        <v>1.9691591948435415E-2</v>
      </c>
      <c r="AA310" s="5">
        <f>_xll.SNL.Clients.Office.Excel.Functions.SPG(U310, "SP_MARKETCAP", "12/31/2021")</f>
        <v>18575.871999999999</v>
      </c>
      <c r="AB310">
        <f t="shared" si="54"/>
        <v>4.3778697515372991E-4</v>
      </c>
      <c r="AC310">
        <f t="shared" si="61"/>
        <v>4.0854280521346077E-3</v>
      </c>
    </row>
    <row r="311" spans="1:29" x14ac:dyDescent="0.3">
      <c r="A311" t="s">
        <v>311</v>
      </c>
      <c r="B311" s="4" cm="1">
        <f t="array" ref="B311">_xll.SNL.Clients.Office.Excel.Functions.SPG(A311, "SP_TOTAL_REV", "CY2023")</f>
        <v>11702100</v>
      </c>
      <c r="C311" s="4">
        <f>_xll.SNL.Clients.Office.Excel.Functions.SPG(A311,"IQ_AVG_DILUT_SHARES_OUT","CY2023")</f>
        <v>217300000</v>
      </c>
      <c r="D311" s="5">
        <f>_xll.SNL.Clients.Office.Excel.Functions.SPG(A311, "IQ_DILUT_EPS_NORM", "CY2023")</f>
        <v>4.0359999999999996</v>
      </c>
      <c r="E311">
        <f t="shared" si="50"/>
        <v>877022.79999999993</v>
      </c>
      <c r="F311">
        <f t="shared" si="51"/>
        <v>7.4945761871800784E-2</v>
      </c>
      <c r="G311" s="5">
        <f>_xll.SNL.Clients.Office.Excel.Functions.SPG(A311, "SP_MARKETCAP", "12/30/2023")</f>
        <v>13209.697468390001</v>
      </c>
      <c r="H311">
        <f t="shared" si="55"/>
        <v>3.1439081337599997E-4</v>
      </c>
      <c r="I311">
        <f t="shared" si="56"/>
        <v>1.2688813227855356E-3</v>
      </c>
      <c r="K311" t="s">
        <v>311</v>
      </c>
      <c r="L311" s="4" cm="1">
        <f t="array" ref="L311">_xll.SNL.Clients.Office.Excel.Functions.SPG(K311, "SP_TOTAL_REV", "CY2023")</f>
        <v>11702100</v>
      </c>
      <c r="M311" s="4">
        <f>_xll.SNL.Clients.Office.Excel.Functions.SPG(K311,"IQ_AVG_DILUT_SHARES_OUT","CY2023")</f>
        <v>217300000</v>
      </c>
      <c r="N311" s="5">
        <f>_xll.SNL.Clients.Office.Excel.Functions.SPG(K311, "IQ_DILUT_EPS_NORM", "CY2023")</f>
        <v>4.0359999999999996</v>
      </c>
      <c r="O311">
        <f t="shared" si="52"/>
        <v>877022.79999999993</v>
      </c>
      <c r="P311">
        <f t="shared" si="53"/>
        <v>7.4945761871800784E-2</v>
      </c>
      <c r="Q311" s="5">
        <f>_xll.SNL.Clients.Office.Excel.Functions.SPG(K311, "SP_MARKETCAP", "12/31/2022")</f>
        <v>11219.82268008</v>
      </c>
      <c r="R311">
        <f t="shared" si="57"/>
        <v>3.3298414441824519E-4</v>
      </c>
      <c r="S311">
        <f t="shared" si="58"/>
        <v>1.3439240068720375E-3</v>
      </c>
      <c r="U311" t="s">
        <v>311</v>
      </c>
      <c r="V311" s="4" cm="1">
        <f t="array" ref="V311">_xll.SNL.Clients.Office.Excel.Functions.SPG(U311, "SP_TOTAL_REV", "CY2021")</f>
        <v>10279700</v>
      </c>
      <c r="W311" s="4">
        <f>_xll.SNL.Clients.Office.Excel.Functions.SPG(U311,"IQ_AVG_DILUT_SHARES_OUT","CY2021")</f>
        <v>217600000</v>
      </c>
      <c r="X311" s="5">
        <f>_xll.SNL.Clients.Office.Excel.Functions.SPG(U311, "IQ_DILUT_EPS_NORM", "CY2021")</f>
        <v>3.6749999999999998</v>
      </c>
      <c r="Y311">
        <f t="shared" si="59"/>
        <v>799680</v>
      </c>
      <c r="Z311">
        <f t="shared" si="60"/>
        <v>7.7792153467513642E-2</v>
      </c>
      <c r="AA311" s="5">
        <f>_xll.SNL.Clients.Office.Excel.Functions.SPG(U311, "SP_MARKETCAP", "12/31/2021")</f>
        <v>10086.40513985</v>
      </c>
      <c r="AB311">
        <f t="shared" si="54"/>
        <v>2.3771141383564475E-4</v>
      </c>
      <c r="AC311">
        <f t="shared" si="61"/>
        <v>8.7358944584599437E-4</v>
      </c>
    </row>
    <row r="312" spans="1:29" x14ac:dyDescent="0.3">
      <c r="A312" t="s">
        <v>312</v>
      </c>
      <c r="B312" s="4" cm="1">
        <f t="array" ref="B312">_xll.SNL.Clients.Office.Excel.Functions.SPG(A312, "SP_TOTAL_REV", "CY2023")</f>
        <v>36016000</v>
      </c>
      <c r="C312" s="4">
        <f>_xll.SNL.Clients.Office.Excel.Functions.SPG(A312,"IQ_AVG_DILUT_SHARES_OUT","CY2023")</f>
        <v>1370000000</v>
      </c>
      <c r="D312" s="5">
        <f>_xll.SNL.Clients.Office.Excel.Functions.SPG(A312, "IQ_DILUT_EPS_NORM", "CY2023")</f>
        <v>2.6539999999999999</v>
      </c>
      <c r="E312">
        <f t="shared" si="50"/>
        <v>3635980</v>
      </c>
      <c r="F312">
        <f t="shared" si="51"/>
        <v>0.10095457574411373</v>
      </c>
      <c r="G312" s="5">
        <f>_xll.SNL.Clients.Office.Excel.Functions.SPG(A312, "SP_MARKETCAP", "12/30/2023")</f>
        <v>98569.66722155</v>
      </c>
      <c r="H312">
        <f t="shared" si="55"/>
        <v>2.3459581815662685E-3</v>
      </c>
      <c r="I312">
        <f t="shared" si="56"/>
        <v>6.2261730138768769E-3</v>
      </c>
      <c r="K312" t="s">
        <v>312</v>
      </c>
      <c r="L312" s="4" cm="1">
        <f t="array" ref="L312">_xll.SNL.Clients.Office.Excel.Functions.SPG(K312, "SP_TOTAL_REV", "CY2023")</f>
        <v>36016000</v>
      </c>
      <c r="M312" s="4">
        <f>_xll.SNL.Clients.Office.Excel.Functions.SPG(K312,"IQ_AVG_DILUT_SHARES_OUT","CY2023")</f>
        <v>1370000000</v>
      </c>
      <c r="N312" s="5">
        <f>_xll.SNL.Clients.Office.Excel.Functions.SPG(K312, "IQ_DILUT_EPS_NORM", "CY2023")</f>
        <v>2.6539999999999999</v>
      </c>
      <c r="O312">
        <f t="shared" si="52"/>
        <v>3635980</v>
      </c>
      <c r="P312">
        <f t="shared" si="53"/>
        <v>0.10095457574411373</v>
      </c>
      <c r="Q312" s="5">
        <f>_xll.SNL.Clients.Office.Excel.Functions.SPG(K312, "SP_MARKETCAP", "12/31/2022")</f>
        <v>91018.473558199999</v>
      </c>
      <c r="R312">
        <f t="shared" si="57"/>
        <v>2.701264485921073E-3</v>
      </c>
      <c r="S312">
        <f t="shared" si="58"/>
        <v>7.1691559456345273E-3</v>
      </c>
      <c r="U312" t="s">
        <v>312</v>
      </c>
      <c r="V312" s="4" cm="1">
        <f t="array" ref="V312">_xll.SNL.Clients.Office.Excel.Functions.SPG(U312, "SP_TOTAL_REV", "CY2021")</f>
        <v>28720000</v>
      </c>
      <c r="W312" s="4">
        <f>_xll.SNL.Clients.Office.Excel.Functions.SPG(U312,"IQ_AVG_DILUT_SHARES_OUT","CY2021")</f>
        <v>1413000000</v>
      </c>
      <c r="X312" s="5">
        <f>_xll.SNL.Clients.Office.Excel.Functions.SPG(U312, "IQ_DILUT_EPS_NORM", "CY2021")</f>
        <v>2.2410000000000001</v>
      </c>
      <c r="Y312">
        <f t="shared" si="59"/>
        <v>3166533</v>
      </c>
      <c r="Z312">
        <f t="shared" si="60"/>
        <v>0.11025532729805014</v>
      </c>
      <c r="AA312" s="5">
        <f>_xll.SNL.Clients.Office.Excel.Functions.SPG(U312, "SP_MARKETCAP", "12/31/2021")</f>
        <v>92500.602072919995</v>
      </c>
      <c r="AB312">
        <f t="shared" si="54"/>
        <v>2.1800084960427422E-3</v>
      </c>
      <c r="AC312">
        <f t="shared" si="61"/>
        <v>4.8853990396317852E-3</v>
      </c>
    </row>
    <row r="313" spans="1:29" x14ac:dyDescent="0.3">
      <c r="A313" t="s">
        <v>313</v>
      </c>
      <c r="B313" s="4" cm="1">
        <f t="array" ref="B313">_xll.SNL.Clients.Office.Excel.Functions.SPG(A313, "SP_TOTAL_REV", "CY2023")</f>
        <v>1821072</v>
      </c>
      <c r="C313" s="4">
        <f>_xll.SNL.Clients.Office.Excel.Functions.SPG(A313,"IQ_AVG_DILUT_SHARES_OUT","CY2023")</f>
        <v>48771000</v>
      </c>
      <c r="D313" s="5">
        <f>_xll.SNL.Clients.Office.Excel.Functions.SPG(A313, "IQ_DILUT_EPS_NORM", "CY2023")</f>
        <v>6.3959999999999999</v>
      </c>
      <c r="E313">
        <f t="shared" si="50"/>
        <v>311939.31599999999</v>
      </c>
      <c r="F313">
        <f t="shared" si="51"/>
        <v>0.17129433432615515</v>
      </c>
      <c r="G313" s="5">
        <f>_xll.SNL.Clients.Office.Excel.Functions.SPG(A313, "SP_MARKETCAP", "12/30/2023")</f>
        <v>30221.931359999999</v>
      </c>
      <c r="H313">
        <f t="shared" si="55"/>
        <v>7.1928199754767619E-4</v>
      </c>
      <c r="I313">
        <f t="shared" si="56"/>
        <v>4.6005276563149365E-3</v>
      </c>
      <c r="K313" t="s">
        <v>313</v>
      </c>
      <c r="L313" s="4" cm="1">
        <f t="array" ref="L313">_xll.SNL.Clients.Office.Excel.Functions.SPG(K313, "SP_TOTAL_REV", "CY2023")</f>
        <v>1821072</v>
      </c>
      <c r="M313" s="4">
        <f>_xll.SNL.Clients.Office.Excel.Functions.SPG(K313,"IQ_AVG_DILUT_SHARES_OUT","CY2023")</f>
        <v>48771000</v>
      </c>
      <c r="N313" s="5">
        <f>_xll.SNL.Clients.Office.Excel.Functions.SPG(K313, "IQ_DILUT_EPS_NORM", "CY2023")</f>
        <v>6.3959999999999999</v>
      </c>
      <c r="O313">
        <f t="shared" si="52"/>
        <v>311939.31599999999</v>
      </c>
      <c r="P313">
        <f t="shared" si="53"/>
        <v>0.17129433432615515</v>
      </c>
      <c r="Q313" s="5">
        <f>_xll.SNL.Clients.Office.Excel.Functions.SPG(K313, "SP_MARKETCAP", "12/31/2022")</f>
        <v>16599.160619999999</v>
      </c>
      <c r="R313">
        <f t="shared" si="57"/>
        <v>4.9263321308321397E-4</v>
      </c>
      <c r="S313">
        <f t="shared" si="58"/>
        <v>3.1508820308802366E-3</v>
      </c>
      <c r="U313" t="s">
        <v>313</v>
      </c>
      <c r="V313" s="4" cm="1">
        <f t="array" ref="V313">_xll.SNL.Clients.Office.Excel.Functions.SPG(U313, "SP_TOTAL_REV", "CY2021")</f>
        <v>1207798</v>
      </c>
      <c r="W313" s="4">
        <f>_xll.SNL.Clients.Office.Excel.Functions.SPG(U313,"IQ_AVG_DILUT_SHARES_OUT","CY2021")</f>
        <v>47889000</v>
      </c>
      <c r="X313" s="5">
        <f>_xll.SNL.Clients.Office.Excel.Functions.SPG(U313, "IQ_DILUT_EPS_NORM", "CY2021")</f>
        <v>3.6139999999999999</v>
      </c>
      <c r="Y313">
        <f t="shared" si="59"/>
        <v>173070.84599999999</v>
      </c>
      <c r="Z313">
        <f t="shared" si="60"/>
        <v>0.14329452938322468</v>
      </c>
      <c r="AA313" s="5">
        <f>_xll.SNL.Clients.Office.Excel.Functions.SPG(U313, "SP_MARKETCAP", "12/31/2021")</f>
        <v>22739.059689999998</v>
      </c>
      <c r="AB313">
        <f t="shared" si="54"/>
        <v>5.3590292609279457E-4</v>
      </c>
      <c r="AC313">
        <f t="shared" si="61"/>
        <v>1.9367531748993596E-3</v>
      </c>
    </row>
    <row r="314" spans="1:29" x14ac:dyDescent="0.3">
      <c r="A314" t="s">
        <v>314</v>
      </c>
      <c r="B314" s="4" cm="1">
        <f t="array" ref="B314">_xll.SNL.Clients.Office.Excel.Functions.SPG(A314, "SP_TOTAL_REV", "CY2023")</f>
        <v>7140027</v>
      </c>
      <c r="C314" s="4">
        <f>_xll.SNL.Clients.Office.Excel.Functions.SPG(A314,"IQ_AVG_DILUT_SHARES_OUT","CY2023")</f>
        <v>1057981000</v>
      </c>
      <c r="D314" s="5">
        <f>_xll.SNL.Clients.Office.Excel.Functions.SPG(A314, "IQ_DILUT_EPS_NORM", "CY2023")</f>
        <v>1.23</v>
      </c>
      <c r="E314">
        <f t="shared" si="50"/>
        <v>1301316.6299999999</v>
      </c>
      <c r="F314">
        <f t="shared" si="51"/>
        <v>0.18225654188702647</v>
      </c>
      <c r="G314" s="5">
        <f>_xll.SNL.Clients.Office.Excel.Functions.SPG(A314, "SP_MARKETCAP", "12/30/2023")</f>
        <v>59939.826058279999</v>
      </c>
      <c r="H314">
        <f t="shared" si="55"/>
        <v>1.4265679220264065E-3</v>
      </c>
      <c r="I314">
        <f t="shared" si="56"/>
        <v>1.75467854409248E-3</v>
      </c>
      <c r="K314" t="s">
        <v>314</v>
      </c>
      <c r="L314" s="4" cm="1">
        <f t="array" ref="L314">_xll.SNL.Clients.Office.Excel.Functions.SPG(K314, "SP_TOTAL_REV", "CY2023")</f>
        <v>7140027</v>
      </c>
      <c r="M314" s="4">
        <f>_xll.SNL.Clients.Office.Excel.Functions.SPG(K314,"IQ_AVG_DILUT_SHARES_OUT","CY2023")</f>
        <v>1057981000</v>
      </c>
      <c r="N314" s="5">
        <f>_xll.SNL.Clients.Office.Excel.Functions.SPG(K314, "IQ_DILUT_EPS_NORM", "CY2023")</f>
        <v>1.23</v>
      </c>
      <c r="O314">
        <f t="shared" si="52"/>
        <v>1301316.6299999999</v>
      </c>
      <c r="P314">
        <f t="shared" si="53"/>
        <v>0.18225654188702647</v>
      </c>
      <c r="Q314" s="5">
        <f>_xll.SNL.Clients.Office.Excel.Functions.SPG(K314, "SP_MARKETCAP", "12/31/2022")</f>
        <v>53011.377241679998</v>
      </c>
      <c r="R314">
        <f t="shared" si="57"/>
        <v>1.5732822700124693E-3</v>
      </c>
      <c r="S314">
        <f t="shared" si="58"/>
        <v>1.9351371921153371E-3</v>
      </c>
      <c r="U314" t="s">
        <v>314</v>
      </c>
      <c r="V314" s="4" cm="1">
        <f t="array" ref="V314">_xll.SNL.Clients.Office.Excel.Functions.SPG(U314, "SP_TOTAL_REV", "CY2021")</f>
        <v>5541352</v>
      </c>
      <c r="W314" s="4">
        <f>_xll.SNL.Clients.Office.Excel.Functions.SPG(U314,"IQ_AVG_DILUT_SHARES_OUT","CY2021")</f>
        <v>1071278000</v>
      </c>
      <c r="X314" s="5">
        <f>_xll.SNL.Clients.Office.Excel.Functions.SPG(U314, "IQ_DILUT_EPS_NORM", "CY2021")</f>
        <v>1.054</v>
      </c>
      <c r="Y314">
        <f t="shared" si="59"/>
        <v>1129127.0120000001</v>
      </c>
      <c r="Z314">
        <f t="shared" si="60"/>
        <v>0.20376381287454759</v>
      </c>
      <c r="AA314" s="5">
        <f>_xll.SNL.Clients.Office.Excel.Functions.SPG(U314, "SP_MARKETCAP", "12/31/2021")</f>
        <v>50818.520604600002</v>
      </c>
      <c r="AB314">
        <f t="shared" si="54"/>
        <v>1.1976657901860723E-3</v>
      </c>
      <c r="AC314">
        <f t="shared" si="61"/>
        <v>1.2623397428561203E-3</v>
      </c>
    </row>
    <row r="315" spans="1:29" x14ac:dyDescent="0.3">
      <c r="A315" t="s">
        <v>315</v>
      </c>
      <c r="B315" s="4" cm="1">
        <f t="array" ref="B315">_xll.SNL.Clients.Office.Excel.Functions.SPG(A315, "SP_TOTAL_REV", "CY2023")</f>
        <v>5916000</v>
      </c>
      <c r="C315" s="4">
        <f>_xll.SNL.Clients.Office.Excel.Functions.SPG(A315,"IQ_AVG_DILUT_SHARES_OUT","CY2023")</f>
        <v>184000000</v>
      </c>
      <c r="D315" s="5">
        <f>_xll.SNL.Clients.Office.Excel.Functions.SPG(A315, "IQ_DILUT_EPS_NORM", "CY2023")</f>
        <v>6.8150000000000004</v>
      </c>
      <c r="E315">
        <f t="shared" si="50"/>
        <v>1253960</v>
      </c>
      <c r="F315">
        <f t="shared" si="51"/>
        <v>0.2119607843137255</v>
      </c>
      <c r="G315" s="5">
        <f>_xll.SNL.Clients.Office.Excel.Functions.SPG(A315, "SP_MARKETCAP", "12/30/2023")</f>
        <v>71475.089331359995</v>
      </c>
      <c r="H315">
        <f t="shared" si="55"/>
        <v>1.7011071998265309E-3</v>
      </c>
      <c r="I315">
        <f t="shared" si="56"/>
        <v>1.1593045566817808E-2</v>
      </c>
      <c r="K315" t="s">
        <v>315</v>
      </c>
      <c r="L315" s="4" cm="1">
        <f t="array" ref="L315">_xll.SNL.Clients.Office.Excel.Functions.SPG(K315, "SP_TOTAL_REV", "CY2023")</f>
        <v>5916000</v>
      </c>
      <c r="M315" s="4">
        <f>_xll.SNL.Clients.Office.Excel.Functions.SPG(K315,"IQ_AVG_DILUT_SHARES_OUT","CY2023")</f>
        <v>184000000</v>
      </c>
      <c r="N315" s="5">
        <f>_xll.SNL.Clients.Office.Excel.Functions.SPG(K315, "IQ_DILUT_EPS_NORM", "CY2023")</f>
        <v>6.8150000000000004</v>
      </c>
      <c r="O315">
        <f t="shared" si="52"/>
        <v>1253960</v>
      </c>
      <c r="P315">
        <f t="shared" si="53"/>
        <v>0.2119607843137255</v>
      </c>
      <c r="Q315" s="5">
        <f>_xll.SNL.Clients.Office.Excel.Functions.SPG(K315, "SP_MARKETCAP", "12/31/2022")</f>
        <v>51032.703430080001</v>
      </c>
      <c r="R315">
        <f t="shared" si="57"/>
        <v>1.514558792376037E-3</v>
      </c>
      <c r="S315">
        <f t="shared" si="58"/>
        <v>1.0321718170042692E-2</v>
      </c>
      <c r="U315" t="s">
        <v>315</v>
      </c>
      <c r="V315" s="4" cm="1">
        <f t="array" ref="V315">_xll.SNL.Clients.Office.Excel.Functions.SPG(U315, "SP_TOTAL_REV", "CY2021")</f>
        <v>6218000</v>
      </c>
      <c r="W315" s="4">
        <f>_xll.SNL.Clients.Office.Excel.Functions.SPG(U315,"IQ_AVG_DILUT_SHARES_OUT","CY2021")</f>
        <v>187900000</v>
      </c>
      <c r="X315" s="5">
        <f>_xll.SNL.Clients.Office.Excel.Functions.SPG(U315, "IQ_DILUT_EPS_NORM", "CY2021")</f>
        <v>9.1639999999999997</v>
      </c>
      <c r="Y315">
        <f t="shared" si="59"/>
        <v>1721915.6</v>
      </c>
      <c r="Z315">
        <f t="shared" si="60"/>
        <v>0.27692434866516569</v>
      </c>
      <c r="AA315" s="5">
        <f>_xll.SNL.Clients.Office.Excel.Functions.SPG(U315, "SP_MARKETCAP", "12/31/2021")</f>
        <v>72608.732166600006</v>
      </c>
      <c r="AB315">
        <f t="shared" si="54"/>
        <v>1.7112067323118479E-3</v>
      </c>
      <c r="AC315">
        <f t="shared" si="61"/>
        <v>1.5681498494905775E-2</v>
      </c>
    </row>
    <row r="316" spans="1:29" x14ac:dyDescent="0.3">
      <c r="A316" t="s">
        <v>316</v>
      </c>
      <c r="B316" s="4" cm="1">
        <f t="array" ref="B316">_xll.SNL.Clients.Office.Excel.Functions.SPG(A316, "SP_TOTAL_REV", "CY2023")</f>
        <v>54143000</v>
      </c>
      <c r="C316" s="4">
        <f>_xll.SNL.Clients.Office.Excel.Functions.SPG(A316,"IQ_AVG_DILUT_SHARES_OUT","CY2023")</f>
        <v>1646000000</v>
      </c>
      <c r="D316" s="5">
        <f>_xll.SNL.Clients.Office.Excel.Functions.SPG(A316, "IQ_DILUT_EPS_NORM", "CY2023")</f>
        <v>4.6440000000000001</v>
      </c>
      <c r="E316">
        <f t="shared" si="50"/>
        <v>7644024</v>
      </c>
      <c r="F316">
        <f t="shared" si="51"/>
        <v>0.141182128807048</v>
      </c>
      <c r="G316" s="5">
        <f>_xll.SNL.Clients.Office.Excel.Functions.SPG(A316, "SP_MARKETCAP", "12/30/2023")</f>
        <v>153052.30483499999</v>
      </c>
      <c r="H316">
        <f t="shared" si="55"/>
        <v>3.6426450129755919E-3</v>
      </c>
      <c r="I316">
        <f t="shared" si="56"/>
        <v>1.6916443440258649E-2</v>
      </c>
      <c r="K316" t="s">
        <v>316</v>
      </c>
      <c r="L316" s="4" cm="1">
        <f t="array" ref="L316">_xll.SNL.Clients.Office.Excel.Functions.SPG(K316, "SP_TOTAL_REV", "CY2023")</f>
        <v>54143000</v>
      </c>
      <c r="M316" s="4">
        <f>_xll.SNL.Clients.Office.Excel.Functions.SPG(K316,"IQ_AVG_DILUT_SHARES_OUT","CY2023")</f>
        <v>1646000000</v>
      </c>
      <c r="N316" s="5">
        <f>_xll.SNL.Clients.Office.Excel.Functions.SPG(K316, "IQ_DILUT_EPS_NORM", "CY2023")</f>
        <v>4.6440000000000001</v>
      </c>
      <c r="O316">
        <f t="shared" si="52"/>
        <v>7644024</v>
      </c>
      <c r="P316">
        <f t="shared" si="53"/>
        <v>0.141182128807048</v>
      </c>
      <c r="Q316" s="5">
        <f>_xll.SNL.Clients.Office.Excel.Functions.SPG(K316, "SP_MARKETCAP", "12/31/2022")</f>
        <v>143693.10280338</v>
      </c>
      <c r="R316">
        <f t="shared" si="57"/>
        <v>4.2645526814551471E-3</v>
      </c>
      <c r="S316">
        <f t="shared" si="58"/>
        <v>1.9804582652677705E-2</v>
      </c>
      <c r="U316" t="s">
        <v>316</v>
      </c>
      <c r="V316" s="4" cm="1">
        <f t="array" ref="V316">_xll.SNL.Clients.Office.Excel.Functions.SPG(U316, "SP_TOTAL_REV", "CY2021")</f>
        <v>59755000</v>
      </c>
      <c r="W316" s="4">
        <f>_xll.SNL.Clients.Office.Excel.Functions.SPG(U316,"IQ_AVG_DILUT_SHARES_OUT","CY2021")</f>
        <v>1814000000</v>
      </c>
      <c r="X316" s="5">
        <f>_xll.SNL.Clients.Office.Excel.Functions.SPG(U316, "IQ_DILUT_EPS_NORM", "CY2021")</f>
        <v>6.7460000000000004</v>
      </c>
      <c r="Y316">
        <f t="shared" si="59"/>
        <v>12237244</v>
      </c>
      <c r="Z316">
        <f t="shared" si="60"/>
        <v>0.20479029369927204</v>
      </c>
      <c r="AA316" s="5">
        <f>_xll.SNL.Clients.Office.Excel.Functions.SPG(U316, "SP_MARKETCAP", "12/31/2021")</f>
        <v>176139.47740464</v>
      </c>
      <c r="AB316">
        <f t="shared" si="54"/>
        <v>4.1511681937804112E-3</v>
      </c>
      <c r="AC316">
        <f t="shared" si="61"/>
        <v>2.8003780635242656E-2</v>
      </c>
    </row>
    <row r="317" spans="1:29" x14ac:dyDescent="0.3">
      <c r="A317" t="s">
        <v>317</v>
      </c>
      <c r="B317" s="4" cm="1">
        <f t="array" ref="B317">_xll.SNL.Clients.Office.Excel.Functions.SPG(A317, "SP_TOTAL_REV", "CY2023")</f>
        <v>9978000</v>
      </c>
      <c r="C317" s="4">
        <f>_xll.SNL.Clients.Office.Excel.Functions.SPG(A317,"IQ_AVG_DILUT_SHARES_OUT","CY2023")</f>
        <v>172100000</v>
      </c>
      <c r="D317" s="5">
        <f>_xll.SNL.Clients.Office.Excel.Functions.SPG(A317, "IQ_DILUT_EPS_NORM", "CY2023")</f>
        <v>8.0399999999999991</v>
      </c>
      <c r="E317">
        <f t="shared" si="50"/>
        <v>1383683.9999999998</v>
      </c>
      <c r="F317">
        <f t="shared" si="51"/>
        <v>0.13867348165965121</v>
      </c>
      <c r="G317" s="5">
        <f>_xll.SNL.Clients.Office.Excel.Functions.SPG(A317, "SP_MARKETCAP", "12/30/2023")</f>
        <v>51963.073281739998</v>
      </c>
      <c r="H317">
        <f t="shared" si="55"/>
        <v>1.2367211977152154E-3</v>
      </c>
      <c r="I317">
        <f t="shared" si="56"/>
        <v>9.9432384296303314E-3</v>
      </c>
      <c r="K317" t="s">
        <v>317</v>
      </c>
      <c r="L317" s="4" cm="1">
        <f t="array" ref="L317">_xll.SNL.Clients.Office.Excel.Functions.SPG(K317, "SP_TOTAL_REV", "CY2023")</f>
        <v>9978000</v>
      </c>
      <c r="M317" s="4">
        <f>_xll.SNL.Clients.Office.Excel.Functions.SPG(K317,"IQ_AVG_DILUT_SHARES_OUT","CY2023")</f>
        <v>172100000</v>
      </c>
      <c r="N317" s="5">
        <f>_xll.SNL.Clients.Office.Excel.Functions.SPG(K317, "IQ_DILUT_EPS_NORM", "CY2023")</f>
        <v>8.0399999999999991</v>
      </c>
      <c r="O317">
        <f t="shared" si="52"/>
        <v>1383683.9999999998</v>
      </c>
      <c r="P317">
        <f t="shared" si="53"/>
        <v>0.13867348165965121</v>
      </c>
      <c r="Q317" s="5">
        <f>_xll.SNL.Clients.Office.Excel.Functions.SPG(K317, "SP_MARKETCAP", "12/31/2022")</f>
        <v>43089.938991390001</v>
      </c>
      <c r="R317">
        <f t="shared" si="57"/>
        <v>1.2788318387202957E-3</v>
      </c>
      <c r="S317">
        <f t="shared" si="58"/>
        <v>1.0281807983311176E-2</v>
      </c>
      <c r="U317" t="s">
        <v>317</v>
      </c>
      <c r="V317" s="4" cm="1">
        <f t="array" ref="V317">_xll.SNL.Clients.Office.Excel.Functions.SPG(U317, "SP_TOTAL_REV", "CY2021")</f>
        <v>8171000</v>
      </c>
      <c r="W317" s="4">
        <f>_xll.SNL.Clients.Office.Excel.Functions.SPG(U317,"IQ_AVG_DILUT_SHARES_OUT","CY2021")</f>
        <v>173600000</v>
      </c>
      <c r="X317" s="5">
        <f>_xll.SNL.Clients.Office.Excel.Functions.SPG(U317, "IQ_DILUT_EPS_NORM", "CY2021")</f>
        <v>5.8650000000000002</v>
      </c>
      <c r="Y317">
        <f t="shared" si="59"/>
        <v>1018164</v>
      </c>
      <c r="Z317">
        <f t="shared" si="60"/>
        <v>0.12460702484396034</v>
      </c>
      <c r="AA317" s="5">
        <f>_xll.SNL.Clients.Office.Excel.Functions.SPG(U317, "SP_MARKETCAP", "12/31/2021")</f>
        <v>45889.447489600003</v>
      </c>
      <c r="AB317">
        <f t="shared" si="54"/>
        <v>1.0814998298840513E-3</v>
      </c>
      <c r="AC317">
        <f t="shared" si="61"/>
        <v>6.3429965022699609E-3</v>
      </c>
    </row>
    <row r="318" spans="1:29" x14ac:dyDescent="0.3">
      <c r="A318" t="s">
        <v>318</v>
      </c>
      <c r="B318" s="4" cm="1">
        <f t="array" ref="B318">_xll.SNL.Clients.Office.Excel.Functions.SPG(A318, "SP_TOTAL_REV", "CY2023")</f>
        <v>2528920</v>
      </c>
      <c r="C318" s="4">
        <f>_xll.SNL.Clients.Office.Excel.Functions.SPG(A318,"IQ_AVG_DILUT_SHARES_OUT","CY2023")</f>
        <v>79843000</v>
      </c>
      <c r="D318" s="5">
        <f>_xll.SNL.Clients.Office.Excel.Functions.SPG(A318, "IQ_DILUT_EPS_NORM", "CY2023")</f>
        <v>9.6199999999999992</v>
      </c>
      <c r="E318">
        <f t="shared" si="50"/>
        <v>768089.65999999992</v>
      </c>
      <c r="F318">
        <f t="shared" si="51"/>
        <v>0.30372240323932742</v>
      </c>
      <c r="G318" s="5">
        <f>_xll.SNL.Clients.Office.Excel.Functions.SPG(A318, "SP_MARKETCAP", "12/30/2023")</f>
        <v>44737.931623500001</v>
      </c>
      <c r="H318">
        <f t="shared" si="55"/>
        <v>1.0647628187949942E-3</v>
      </c>
      <c r="I318">
        <f t="shared" si="56"/>
        <v>1.0243018316807843E-2</v>
      </c>
      <c r="K318" t="s">
        <v>318</v>
      </c>
      <c r="L318" s="4" cm="1">
        <f t="array" ref="L318">_xll.SNL.Clients.Office.Excel.Functions.SPG(K318, "SP_TOTAL_REV", "CY2023")</f>
        <v>2528920</v>
      </c>
      <c r="M318" s="4">
        <f>_xll.SNL.Clients.Office.Excel.Functions.SPG(K318,"IQ_AVG_DILUT_SHARES_OUT","CY2023")</f>
        <v>79843000</v>
      </c>
      <c r="N318" s="5">
        <f>_xll.SNL.Clients.Office.Excel.Functions.SPG(K318, "IQ_DILUT_EPS_NORM", "CY2023")</f>
        <v>9.6199999999999992</v>
      </c>
      <c r="O318">
        <f t="shared" si="52"/>
        <v>768089.65999999992</v>
      </c>
      <c r="P318">
        <f t="shared" si="53"/>
        <v>0.30372240323932742</v>
      </c>
      <c r="Q318" s="5">
        <f>_xll.SNL.Clients.Office.Excel.Functions.SPG(K318, "SP_MARKETCAP", "12/31/2022")</f>
        <v>37194.14007822</v>
      </c>
      <c r="R318">
        <f t="shared" si="57"/>
        <v>1.1038551378630291E-3</v>
      </c>
      <c r="S318">
        <f t="shared" si="58"/>
        <v>1.061908642624234E-2</v>
      </c>
      <c r="U318" t="s">
        <v>318</v>
      </c>
      <c r="V318" s="4" cm="1">
        <f t="array" ref="V318">_xll.SNL.Clients.Office.Excel.Functions.SPG(U318, "SP_TOTAL_REV", "CY2021")</f>
        <v>2043544</v>
      </c>
      <c r="W318" s="4">
        <f>_xll.SNL.Clients.Office.Excel.Functions.SPG(U318,"IQ_AVG_DILUT_SHARES_OUT","CY2021")</f>
        <v>83479000</v>
      </c>
      <c r="X318" s="5">
        <f>_xll.SNL.Clients.Office.Excel.Functions.SPG(U318, "IQ_DILUT_EPS_NORM", "CY2021")</f>
        <v>7.101</v>
      </c>
      <c r="Y318">
        <f t="shared" si="59"/>
        <v>592784.37899999996</v>
      </c>
      <c r="Z318">
        <f t="shared" si="60"/>
        <v>0.29007664087487228</v>
      </c>
      <c r="AA318" s="5">
        <f>_xll.SNL.Clients.Office.Excel.Functions.SPG(U318, "SP_MARKETCAP", "12/31/2021")</f>
        <v>50514.277200659999</v>
      </c>
      <c r="AB318">
        <f t="shared" si="54"/>
        <v>1.1904955319327118E-3</v>
      </c>
      <c r="AC318">
        <f t="shared" si="61"/>
        <v>8.4537087722541867E-3</v>
      </c>
    </row>
    <row r="319" spans="1:29" x14ac:dyDescent="0.3">
      <c r="A319" t="s">
        <v>319</v>
      </c>
      <c r="B319" s="4" cm="1">
        <f t="array" ref="B319">_xll.SNL.Clients.Office.Excel.Functions.SPG(A319, "SP_TOTAL_REV", "CY2023")</f>
        <v>6064000</v>
      </c>
      <c r="C319" s="4">
        <f>_xll.SNL.Clients.Office.Excel.Functions.SPG(A319,"IQ_AVG_DILUT_SHARES_OUT","CY2023")</f>
        <v>508392982</v>
      </c>
      <c r="D319" s="5">
        <f>_xll.SNL.Clients.Office.Excel.Functions.SPG(A319, "IQ_DILUT_EPS_NORM", "CY2023")</f>
        <v>2.008</v>
      </c>
      <c r="E319">
        <f t="shared" si="50"/>
        <v>1020853.107856</v>
      </c>
      <c r="F319">
        <f t="shared" si="51"/>
        <v>0.16834648876253297</v>
      </c>
      <c r="G319" s="5">
        <f>_xll.SNL.Clients.Office.Excel.Functions.SPG(A319, "SP_MARKETCAP", "12/30/2023")</f>
        <v>33544.720099799997</v>
      </c>
      <c r="H319">
        <f t="shared" si="55"/>
        <v>7.9836437298300535E-4</v>
      </c>
      <c r="I319">
        <f t="shared" si="56"/>
        <v>1.6031156609498747E-3</v>
      </c>
      <c r="K319" t="s">
        <v>319</v>
      </c>
      <c r="L319" s="4" cm="1">
        <f t="array" ref="L319">_xll.SNL.Clients.Office.Excel.Functions.SPG(K319, "SP_TOTAL_REV", "CY2023")</f>
        <v>6064000</v>
      </c>
      <c r="M319" s="4">
        <f>_xll.SNL.Clients.Office.Excel.Functions.SPG(K319,"IQ_AVG_DILUT_SHARES_OUT","CY2023")</f>
        <v>508392982</v>
      </c>
      <c r="N319" s="5">
        <f>_xll.SNL.Clients.Office.Excel.Functions.SPG(K319, "IQ_DILUT_EPS_NORM", "CY2023")</f>
        <v>2.008</v>
      </c>
      <c r="O319">
        <f t="shared" si="52"/>
        <v>1020853.107856</v>
      </c>
      <c r="P319">
        <f t="shared" si="53"/>
        <v>0.16834648876253297</v>
      </c>
      <c r="Q319" s="5">
        <f>_xll.SNL.Clients.Office.Excel.Functions.SPG(K319, "SP_MARKETCAP", "12/31/2022")</f>
        <v>30139.998920099999</v>
      </c>
      <c r="R319">
        <f t="shared" si="57"/>
        <v>8.9450092388668407E-4</v>
      </c>
      <c r="S319">
        <f t="shared" si="58"/>
        <v>1.7961578551644616E-3</v>
      </c>
      <c r="U319" t="s">
        <v>319</v>
      </c>
      <c r="V319" s="4" cm="1">
        <f t="array" ref="V319">_xll.SNL.Clients.Office.Excel.Functions.SPG(U319, "SP_TOTAL_REV", "CY2021")</f>
        <v>5886000</v>
      </c>
      <c r="W319" s="4">
        <f>_xll.SNL.Clients.Office.Excel.Functions.SPG(U319,"IQ_AVG_DILUT_SHARES_OUT","CY2021")</f>
        <v>505087566</v>
      </c>
      <c r="X319" s="5">
        <f>_xll.SNL.Clients.Office.Excel.Functions.SPG(U319, "IQ_DILUT_EPS_NORM", "CY2021")</f>
        <v>1.84</v>
      </c>
      <c r="Y319">
        <f t="shared" si="59"/>
        <v>929361.12144000002</v>
      </c>
      <c r="Z319">
        <f t="shared" si="60"/>
        <v>0.15789349667686034</v>
      </c>
      <c r="AA319" s="5">
        <f>_xll.SNL.Clients.Office.Excel.Functions.SPG(U319, "SP_MARKETCAP", "12/31/2021")</f>
        <v>35118.293102827993</v>
      </c>
      <c r="AB319">
        <f t="shared" si="54"/>
        <v>8.2765058405059877E-4</v>
      </c>
      <c r="AC319">
        <f t="shared" si="61"/>
        <v>1.5228770746531018E-3</v>
      </c>
    </row>
    <row r="320" spans="1:29" x14ac:dyDescent="0.3">
      <c r="A320" t="s">
        <v>320</v>
      </c>
      <c r="B320" s="4" cm="1">
        <f t="array" ref="B320">_xll.SNL.Clients.Office.Excel.Functions.SPG(A320, "SP_TOTAL_REV", "CY2023")</f>
        <v>6181000</v>
      </c>
      <c r="C320" s="4">
        <f>_xll.SNL.Clients.Office.Excel.Functions.SPG(A320,"IQ_AVG_DILUT_SHARES_OUT","CY2023")</f>
        <v>214000000</v>
      </c>
      <c r="D320" s="5">
        <f>_xll.SNL.Clients.Office.Excel.Functions.SPG(A320, "IQ_DILUT_EPS_NORM", "CY2023")</f>
        <v>3.63</v>
      </c>
      <c r="E320">
        <f t="shared" si="50"/>
        <v>776820</v>
      </c>
      <c r="F320">
        <f t="shared" si="51"/>
        <v>0.12567869276816049</v>
      </c>
      <c r="G320" s="5">
        <f>_xll.SNL.Clients.Office.Excel.Functions.SPG(A320, "SP_MARKETCAP", "12/30/2023")</f>
        <v>18163.69710352</v>
      </c>
      <c r="H320">
        <f t="shared" si="55"/>
        <v>4.3229600980308779E-4</v>
      </c>
      <c r="I320">
        <f t="shared" si="56"/>
        <v>1.5692345155852087E-3</v>
      </c>
      <c r="K320" t="s">
        <v>320</v>
      </c>
      <c r="L320" s="4" cm="1">
        <f t="array" ref="L320">_xll.SNL.Clients.Office.Excel.Functions.SPG(K320, "SP_TOTAL_REV", "CY2023")</f>
        <v>6181000</v>
      </c>
      <c r="M320" s="4">
        <f>_xll.SNL.Clients.Office.Excel.Functions.SPG(K320,"IQ_AVG_DILUT_SHARES_OUT","CY2023")</f>
        <v>214000000</v>
      </c>
      <c r="N320" s="5">
        <f>_xll.SNL.Clients.Office.Excel.Functions.SPG(K320, "IQ_DILUT_EPS_NORM", "CY2023")</f>
        <v>3.63</v>
      </c>
      <c r="O320">
        <f t="shared" si="52"/>
        <v>776820</v>
      </c>
      <c r="P320">
        <f t="shared" si="53"/>
        <v>0.12567869276816049</v>
      </c>
      <c r="Q320" s="5">
        <f>_xll.SNL.Clients.Office.Excel.Functions.SPG(K320, "SP_MARKETCAP", "12/31/2022")</f>
        <v>12947.33582142</v>
      </c>
      <c r="R320">
        <f t="shared" si="57"/>
        <v>3.8425362538443394E-4</v>
      </c>
      <c r="S320">
        <f t="shared" si="58"/>
        <v>1.3948406601454952E-3</v>
      </c>
      <c r="U320" t="s">
        <v>320</v>
      </c>
      <c r="V320" s="4" cm="1">
        <f t="array" ref="V320">_xll.SNL.Clients.Office.Excel.Functions.SPG(U320, "SP_TOTAL_REV", "CY2021")</f>
        <v>6193000</v>
      </c>
      <c r="W320" s="4">
        <f>_xll.SNL.Clients.Office.Excel.Functions.SPG(U320,"IQ_AVG_DILUT_SHARES_OUT","CY2021")</f>
        <v>229000000</v>
      </c>
      <c r="X320" s="5">
        <f>_xll.SNL.Clients.Office.Excel.Functions.SPG(U320, "IQ_DILUT_EPS_NORM", "CY2021")</f>
        <v>3.117</v>
      </c>
      <c r="Y320">
        <f t="shared" si="59"/>
        <v>713793</v>
      </c>
      <c r="Z320">
        <f t="shared" si="60"/>
        <v>0.11525803326336186</v>
      </c>
      <c r="AA320" s="5">
        <f>_xll.SNL.Clients.Office.Excel.Functions.SPG(U320, "SP_MARKETCAP", "12/31/2021")</f>
        <v>20447.32939459</v>
      </c>
      <c r="AB320">
        <f t="shared" si="54"/>
        <v>4.8189255856357673E-4</v>
      </c>
      <c r="AC320">
        <f t="shared" si="61"/>
        <v>1.5020591050426686E-3</v>
      </c>
    </row>
    <row r="321" spans="1:29" x14ac:dyDescent="0.3">
      <c r="A321" t="s">
        <v>321</v>
      </c>
      <c r="B321" s="4" cm="1">
        <f t="array" ref="B321">_xll.SNL.Clients.Office.Excel.Functions.SPG(A321, "SP_TOTAL_REV", "CY2023")</f>
        <v>33723297</v>
      </c>
      <c r="C321" s="4">
        <f>_xll.SNL.Clients.Office.Excel.Functions.SPG(A321,"IQ_AVG_DILUT_SHARES_OUT","CY2023")</f>
        <v>449498000</v>
      </c>
      <c r="D321" s="5">
        <f>_xll.SNL.Clients.Office.Excel.Functions.SPG(A321, "IQ_DILUT_EPS_NORM", "CY2023")</f>
        <v>8.6280000000000001</v>
      </c>
      <c r="E321">
        <f t="shared" si="50"/>
        <v>3878268.7439999999</v>
      </c>
      <c r="F321">
        <f t="shared" si="51"/>
        <v>0.11500265659078351</v>
      </c>
      <c r="G321" s="5">
        <f>_xll.SNL.Clients.Office.Excel.Functions.SPG(A321, "SP_MARKETCAP", "12/30/2023")</f>
        <v>213097.47724271999</v>
      </c>
      <c r="H321">
        <f t="shared" si="55"/>
        <v>5.0717201782273557E-3</v>
      </c>
      <c r="I321">
        <f t="shared" si="56"/>
        <v>4.3758801697745625E-2</v>
      </c>
      <c r="K321" t="s">
        <v>321</v>
      </c>
      <c r="L321" s="4" cm="1">
        <f t="array" ref="L321">_xll.SNL.Clients.Office.Excel.Functions.SPG(K321, "SP_TOTAL_REV", "CY2023")</f>
        <v>33723297</v>
      </c>
      <c r="M321" s="4">
        <f>_xll.SNL.Clients.Office.Excel.Functions.SPG(K321,"IQ_AVG_DILUT_SHARES_OUT","CY2023")</f>
        <v>449498000</v>
      </c>
      <c r="N321" s="5">
        <f>_xll.SNL.Clients.Office.Excel.Functions.SPG(K321, "IQ_DILUT_EPS_NORM", "CY2023")</f>
        <v>8.6280000000000001</v>
      </c>
      <c r="O321">
        <f t="shared" si="52"/>
        <v>3878268.7439999999</v>
      </c>
      <c r="P321">
        <f t="shared" si="53"/>
        <v>0.11500265659078351</v>
      </c>
      <c r="Q321" s="5">
        <f>_xll.SNL.Clients.Office.Excel.Functions.SPG(K321, "SP_MARKETCAP", "12/31/2022")</f>
        <v>131227.64327072</v>
      </c>
      <c r="R321">
        <f t="shared" si="57"/>
        <v>3.8946002770706731E-3</v>
      </c>
      <c r="S321">
        <f t="shared" si="58"/>
        <v>3.3602611190565769E-2</v>
      </c>
      <c r="U321" t="s">
        <v>321</v>
      </c>
      <c r="V321" s="4" cm="1">
        <f t="array" ref="V321">_xll.SNL.Clients.Office.Excel.Functions.SPG(U321, "SP_TOTAL_REV", "CY2021")</f>
        <v>29697844</v>
      </c>
      <c r="W321" s="4">
        <f>_xll.SNL.Clients.Office.Excel.Functions.SPG(U321,"IQ_AVG_DILUT_SHARES_OUT","CY2021")</f>
        <v>455372000</v>
      </c>
      <c r="X321" s="5">
        <f>_xll.SNL.Clients.Office.Excel.Functions.SPG(U321, "IQ_DILUT_EPS_NORM", "CY2021")</f>
        <v>8.016</v>
      </c>
      <c r="Y321">
        <f t="shared" si="59"/>
        <v>3650261.952</v>
      </c>
      <c r="Z321">
        <f t="shared" si="60"/>
        <v>0.12291336542814355</v>
      </c>
      <c r="AA321" s="5">
        <f>_xll.SNL.Clients.Office.Excel.Functions.SPG(U321, "SP_MARKETCAP", "12/31/2021")</f>
        <v>266852.11975335999</v>
      </c>
      <c r="AB321">
        <f t="shared" si="54"/>
        <v>6.2890389382627299E-3</v>
      </c>
      <c r="AC321">
        <f t="shared" si="61"/>
        <v>5.0412936129114044E-2</v>
      </c>
    </row>
    <row r="322" spans="1:29" x14ac:dyDescent="0.3">
      <c r="A322" t="s">
        <v>322</v>
      </c>
      <c r="B322" s="4" cm="1">
        <f t="array" ref="B322">_xll.SNL.Clients.Office.Excel.Functions.SPG(A322, "SP_TOTAL_REV", "CY2023")</f>
        <v>11812000</v>
      </c>
      <c r="C322" s="4">
        <f>_xll.SNL.Clients.Office.Excel.Functions.SPG(A322,"IQ_AVG_DILUT_SHARES_OUT","CY2023")</f>
        <v>841000000</v>
      </c>
      <c r="D322" s="5">
        <f>_xll.SNL.Clients.Office.Excel.Functions.SPG(A322, "IQ_DILUT_EPS_NORM", "CY2023")</f>
        <v>0.44</v>
      </c>
      <c r="E322">
        <f t="shared" si="50"/>
        <v>370040</v>
      </c>
      <c r="F322">
        <f t="shared" si="51"/>
        <v>3.1327463596342704E-2</v>
      </c>
      <c r="G322" s="5">
        <f>_xll.SNL.Clients.Office.Excel.Functions.SPG(A322, "SP_MARKETCAP", "12/30/2023")</f>
        <v>47703.784694970003</v>
      </c>
      <c r="H322">
        <f t="shared" si="55"/>
        <v>1.1353501249558224E-3</v>
      </c>
      <c r="I322">
        <f t="shared" si="56"/>
        <v>4.9955405498056191E-4</v>
      </c>
      <c r="K322" t="s">
        <v>322</v>
      </c>
      <c r="L322" s="4" cm="1">
        <f t="array" ref="L322">_xll.SNL.Clients.Office.Excel.Functions.SPG(K322, "SP_TOTAL_REV", "CY2023")</f>
        <v>11812000</v>
      </c>
      <c r="M322" s="4">
        <f>_xll.SNL.Clients.Office.Excel.Functions.SPG(K322,"IQ_AVG_DILUT_SHARES_OUT","CY2023")</f>
        <v>841000000</v>
      </c>
      <c r="N322" s="5">
        <f>_xll.SNL.Clients.Office.Excel.Functions.SPG(K322, "IQ_DILUT_EPS_NORM", "CY2023")</f>
        <v>0.44</v>
      </c>
      <c r="O322">
        <f t="shared" si="52"/>
        <v>370040</v>
      </c>
      <c r="P322">
        <f t="shared" si="53"/>
        <v>3.1327463596342704E-2</v>
      </c>
      <c r="Q322" s="5">
        <f>_xll.SNL.Clients.Office.Excel.Functions.SPG(K322, "SP_MARKETCAP", "12/31/2022")</f>
        <v>37464.468103200001</v>
      </c>
      <c r="R322">
        <f t="shared" si="57"/>
        <v>1.1118779871251707E-3</v>
      </c>
      <c r="S322">
        <f t="shared" si="58"/>
        <v>4.8922631433507516E-4</v>
      </c>
      <c r="U322" t="s">
        <v>322</v>
      </c>
      <c r="V322" s="4" cm="1">
        <f t="array" ref="V322">_xll.SNL.Clients.Office.Excel.Functions.SPG(U322, "SP_TOTAL_REV", "CY2021")</f>
        <v>12222000</v>
      </c>
      <c r="W322" s="4">
        <f>_xll.SNL.Clients.Office.Excel.Functions.SPG(U322,"IQ_AVG_DILUT_SHARES_OUT","CY2021")</f>
        <v>801000000</v>
      </c>
      <c r="X322" s="5">
        <f>_xll.SNL.Clients.Office.Excel.Functions.SPG(U322, "IQ_DILUT_EPS_NORM", "CY2021")</f>
        <v>2.661</v>
      </c>
      <c r="Y322">
        <f t="shared" si="59"/>
        <v>2131461</v>
      </c>
      <c r="Z322">
        <f t="shared" si="60"/>
        <v>0.17439543446244476</v>
      </c>
      <c r="AA322" s="5">
        <f>_xll.SNL.Clients.Office.Excel.Functions.SPG(U322, "SP_MARKETCAP", "12/31/2021")</f>
        <v>49555.575712580001</v>
      </c>
      <c r="AB322">
        <f t="shared" si="54"/>
        <v>1.1679013288427077E-3</v>
      </c>
      <c r="AC322">
        <f t="shared" si="61"/>
        <v>3.1077854360504449E-3</v>
      </c>
    </row>
    <row r="323" spans="1:29" x14ac:dyDescent="0.3">
      <c r="A323" t="s">
        <v>323</v>
      </c>
      <c r="B323" s="4" cm="1">
        <f t="array" ref="B323">_xll.SNL.Clients.Office.Excel.Functions.SPG(A323, "SP_TOTAL_REV", "CY2023")</f>
        <v>9965000</v>
      </c>
      <c r="C323" s="4">
        <f>_xll.SNL.Clients.Office.Excel.Functions.SPG(A323,"IQ_AVG_DILUT_SHARES_OUT","CY2023")</f>
        <v>575300000</v>
      </c>
      <c r="D323" s="5">
        <f>_xll.SNL.Clients.Office.Excel.Functions.SPG(A323, "IQ_DILUT_EPS_NORM", "CY2023")</f>
        <v>0.61699999999999999</v>
      </c>
      <c r="E323">
        <f t="shared" si="50"/>
        <v>354960.1</v>
      </c>
      <c r="F323">
        <f t="shared" si="51"/>
        <v>3.5620682388359255E-2</v>
      </c>
      <c r="G323" s="5" t="str">
        <f>_xll.SNL.Clients.Office.Excel.Functions.SPG(A323, "SP_MARKETCAP", "12/30/2023")</f>
        <v>NA</v>
      </c>
      <c r="H323" t="e">
        <f t="shared" si="55"/>
        <v>#VALUE!</v>
      </c>
      <c r="I323" t="e">
        <f t="shared" si="56"/>
        <v>#VALUE!</v>
      </c>
      <c r="K323" t="s">
        <v>323</v>
      </c>
      <c r="L323" s="4" cm="1">
        <f t="array" ref="L323">_xll.SNL.Clients.Office.Excel.Functions.SPG(K323, "SP_TOTAL_REV", "CY2023")</f>
        <v>9965000</v>
      </c>
      <c r="M323" s="4">
        <f>_xll.SNL.Clients.Office.Excel.Functions.SPG(K323,"IQ_AVG_DILUT_SHARES_OUT","CY2023")</f>
        <v>575300000</v>
      </c>
      <c r="N323" s="5">
        <f>_xll.SNL.Clients.Office.Excel.Functions.SPG(K323, "IQ_DILUT_EPS_NORM", "CY2023")</f>
        <v>0.61699999999999999</v>
      </c>
      <c r="O323">
        <f t="shared" si="52"/>
        <v>354960.1</v>
      </c>
      <c r="P323">
        <f t="shared" si="53"/>
        <v>3.5620682388359255E-2</v>
      </c>
      <c r="Q323" s="5" t="str">
        <f>_xll.SNL.Clients.Office.Excel.Functions.SPG(K323, "SP_MARKETCAP", "12/31/2022")</f>
        <v>NA</v>
      </c>
      <c r="R323" t="e">
        <f t="shared" si="57"/>
        <v>#VALUE!</v>
      </c>
      <c r="S323" t="e">
        <f t="shared" si="58"/>
        <v>#VALUE!</v>
      </c>
      <c r="U323" t="s">
        <v>323</v>
      </c>
      <c r="V323" s="4" cm="1">
        <f t="array" ref="V323">_xll.SNL.Clients.Office.Excel.Functions.SPG(U323, "SP_TOTAL_REV", "CY2021")</f>
        <v>10046000</v>
      </c>
      <c r="W323" s="4">
        <f>_xll.SNL.Clients.Office.Excel.Functions.SPG(U323,"IQ_AVG_DILUT_SHARES_OUT","CY2021")</f>
        <v>594850000</v>
      </c>
      <c r="X323" s="5">
        <f>_xll.SNL.Clients.Office.Excel.Functions.SPG(U323, "IQ_DILUT_EPS_NORM", "CY2021")</f>
        <v>0.56399999999999995</v>
      </c>
      <c r="Y323">
        <f t="shared" si="59"/>
        <v>335495.39999999997</v>
      </c>
      <c r="Z323">
        <f t="shared" si="60"/>
        <v>3.3395918773641245E-2</v>
      </c>
      <c r="AA323" s="5" t="str">
        <f>_xll.SNL.Clients.Office.Excel.Functions.SPG(U323, "SP_MARKETCAP", "12/31/2021")</f>
        <v>NA</v>
      </c>
      <c r="AB323" t="e">
        <f t="shared" si="54"/>
        <v>#VALUE!</v>
      </c>
      <c r="AC323" t="e">
        <f t="shared" si="61"/>
        <v>#VALUE!</v>
      </c>
    </row>
    <row r="324" spans="1:29" x14ac:dyDescent="0.3">
      <c r="A324" t="s">
        <v>324</v>
      </c>
      <c r="B324" s="4" cm="1">
        <f t="array" ref="B324">_xll.SNL.Clients.Office.Excel.Functions.SPG(A324, "SP_TOTAL_REV", "CY2023")</f>
        <v>9965000</v>
      </c>
      <c r="C324" s="4">
        <f>_xll.SNL.Clients.Office.Excel.Functions.SPG(A324,"IQ_AVG_DILUT_SHARES_OUT","CY2023")</f>
        <v>575300000</v>
      </c>
      <c r="D324" s="5">
        <f>_xll.SNL.Clients.Office.Excel.Functions.SPG(A324, "IQ_DILUT_EPS_NORM", "CY2023")</f>
        <v>0.61699999999999999</v>
      </c>
      <c r="E324">
        <f t="shared" si="50"/>
        <v>354960.1</v>
      </c>
      <c r="F324">
        <f t="shared" si="51"/>
        <v>3.5620682388359255E-2</v>
      </c>
      <c r="G324" s="5">
        <f>_xll.SNL.Clients.Office.Excel.Functions.SPG(A324, "SP_MARKETCAP", "12/30/2023")</f>
        <v>14252.10786147</v>
      </c>
      <c r="H324">
        <f t="shared" si="55"/>
        <v>3.3920018180674875E-4</v>
      </c>
      <c r="I324">
        <f t="shared" si="56"/>
        <v>2.0928651217476399E-4</v>
      </c>
      <c r="K324" t="s">
        <v>324</v>
      </c>
      <c r="L324" s="4" cm="1">
        <f t="array" ref="L324">_xll.SNL.Clients.Office.Excel.Functions.SPG(K324, "SP_TOTAL_REV", "CY2023")</f>
        <v>9965000</v>
      </c>
      <c r="M324" s="4">
        <f>_xll.SNL.Clients.Office.Excel.Functions.SPG(K324,"IQ_AVG_DILUT_SHARES_OUT","CY2023")</f>
        <v>575300000</v>
      </c>
      <c r="N324" s="5">
        <f>_xll.SNL.Clients.Office.Excel.Functions.SPG(K324, "IQ_DILUT_EPS_NORM", "CY2023")</f>
        <v>0.61699999999999999</v>
      </c>
      <c r="O324">
        <f t="shared" si="52"/>
        <v>354960.1</v>
      </c>
      <c r="P324">
        <f t="shared" si="53"/>
        <v>3.5620682388359255E-2</v>
      </c>
      <c r="Q324" s="5">
        <f>_xll.SNL.Clients.Office.Excel.Functions.SPG(K324, "SP_MARKETCAP", "12/31/2022")</f>
        <v>10525.24225164</v>
      </c>
      <c r="R324">
        <f t="shared" si="57"/>
        <v>3.1237024736402701E-4</v>
      </c>
      <c r="S324">
        <f t="shared" si="58"/>
        <v>1.9273244262360466E-4</v>
      </c>
      <c r="U324" t="s">
        <v>324</v>
      </c>
      <c r="V324" s="4" cm="1">
        <f t="array" ref="V324">_xll.SNL.Clients.Office.Excel.Functions.SPG(U324, "SP_TOTAL_REV", "CY2021")</f>
        <v>10046000</v>
      </c>
      <c r="W324" s="4">
        <f>_xll.SNL.Clients.Office.Excel.Functions.SPG(U324,"IQ_AVG_DILUT_SHARES_OUT","CY2021")</f>
        <v>594850000</v>
      </c>
      <c r="X324" s="5">
        <f>_xll.SNL.Clients.Office.Excel.Functions.SPG(U324, "IQ_DILUT_EPS_NORM", "CY2021")</f>
        <v>0.56399999999999995</v>
      </c>
      <c r="Y324">
        <f t="shared" si="59"/>
        <v>335495.39999999997</v>
      </c>
      <c r="Z324">
        <f t="shared" si="60"/>
        <v>3.3395918773641245E-2</v>
      </c>
      <c r="AA324" s="5">
        <f>_xll.SNL.Clients.Office.Excel.Functions.SPG(U324, "SP_MARKETCAP", "12/31/2021")</f>
        <v>13031.075952040001</v>
      </c>
      <c r="AB324">
        <f t="shared" si="54"/>
        <v>3.0710996092361657E-4</v>
      </c>
      <c r="AC324">
        <f t="shared" si="61"/>
        <v>1.7321001796091973E-4</v>
      </c>
    </row>
    <row r="325" spans="1:29" x14ac:dyDescent="0.3">
      <c r="A325" t="s">
        <v>325</v>
      </c>
      <c r="B325" s="4" cm="1">
        <f t="array" ref="B325">_xll.SNL.Clients.Office.Excel.Functions.SPG(A325, "SP_TOTAL_REV", "CY2023")</f>
        <v>28114000</v>
      </c>
      <c r="C325" s="4">
        <f>_xll.SNL.Clients.Office.Excel.Functions.SPG(A325,"IQ_AVG_DILUT_SHARES_OUT","CY2023")</f>
        <v>2030800000</v>
      </c>
      <c r="D325" s="5">
        <f>_xll.SNL.Clients.Office.Excel.Functions.SPG(A325, "IQ_DILUT_EPS_NORM", "CY2023")</f>
        <v>2.5369999999999999</v>
      </c>
      <c r="E325">
        <f t="shared" si="50"/>
        <v>5152139.5999999996</v>
      </c>
      <c r="F325">
        <f t="shared" si="51"/>
        <v>0.18325886035427189</v>
      </c>
      <c r="G325" s="5">
        <f>_xll.SNL.Clients.Office.Excel.Functions.SPG(A325, "SP_MARKETCAP", "12/30/2023")</f>
        <v>124620.72818834</v>
      </c>
      <c r="H325">
        <f t="shared" si="55"/>
        <v>2.9659734594524997E-3</v>
      </c>
      <c r="I325">
        <f t="shared" si="56"/>
        <v>7.5246746666309912E-3</v>
      </c>
      <c r="K325" t="s">
        <v>325</v>
      </c>
      <c r="L325" s="4" cm="1">
        <f t="array" ref="L325">_xll.SNL.Clients.Office.Excel.Functions.SPG(K325, "SP_TOTAL_REV", "CY2023")</f>
        <v>28114000</v>
      </c>
      <c r="M325" s="4">
        <f>_xll.SNL.Clients.Office.Excel.Functions.SPG(K325,"IQ_AVG_DILUT_SHARES_OUT","CY2023")</f>
        <v>2030800000</v>
      </c>
      <c r="N325" s="5">
        <f>_xll.SNL.Clients.Office.Excel.Functions.SPG(K325, "IQ_DILUT_EPS_NORM", "CY2023")</f>
        <v>2.5369999999999999</v>
      </c>
      <c r="O325">
        <f t="shared" si="52"/>
        <v>5152139.5999999996</v>
      </c>
      <c r="P325">
        <f t="shared" si="53"/>
        <v>0.18325886035427189</v>
      </c>
      <c r="Q325" s="5">
        <f>_xll.SNL.Clients.Office.Excel.Functions.SPG(K325, "SP_MARKETCAP", "12/31/2022")</f>
        <v>166126.8813072</v>
      </c>
      <c r="R325">
        <f t="shared" si="57"/>
        <v>4.9303468525542628E-3</v>
      </c>
      <c r="S325">
        <f t="shared" si="58"/>
        <v>1.2508289964930164E-2</v>
      </c>
      <c r="U325" t="s">
        <v>325</v>
      </c>
      <c r="V325" s="4" cm="1">
        <f t="array" ref="V325">_xll.SNL.Clients.Office.Excel.Functions.SPG(U325, "SP_TOTAL_REV", "CY2021")</f>
        <v>17069000</v>
      </c>
      <c r="W325" s="4">
        <f>_xll.SNL.Clients.Office.Excel.Functions.SPG(U325,"IQ_AVG_DILUT_SHARES_OUT","CY2021")</f>
        <v>1972200000</v>
      </c>
      <c r="X325" s="5">
        <f>_xll.SNL.Clients.Office.Excel.Functions.SPG(U325, "IQ_DILUT_EPS_NORM", "CY2021")</f>
        <v>1.2529999999999999</v>
      </c>
      <c r="Y325">
        <f t="shared" si="59"/>
        <v>2471166.6</v>
      </c>
      <c r="Z325">
        <f t="shared" si="60"/>
        <v>0.14477512449469801</v>
      </c>
      <c r="AA325" s="5">
        <f>_xll.SNL.Clients.Office.Excel.Functions.SPG(U325, "SP_MARKETCAP", "12/31/2021")</f>
        <v>183185.11909584</v>
      </c>
      <c r="AB325">
        <f t="shared" si="54"/>
        <v>4.3172163967400059E-3</v>
      </c>
      <c r="AC325">
        <f t="shared" si="61"/>
        <v>5.4094721451152265E-3</v>
      </c>
    </row>
    <row r="326" spans="1:29" x14ac:dyDescent="0.3">
      <c r="A326" t="s">
        <v>326</v>
      </c>
      <c r="B326" s="4" cm="1">
        <f t="array" ref="B326">_xll.SNL.Clients.Office.Excel.Functions.SPG(A326, "SP_TOTAL_REV", "CY2023")</f>
        <v>51542000</v>
      </c>
      <c r="C326" s="4">
        <f>_xll.SNL.Clients.Office.Excel.Functions.SPG(A326,"IQ_AVG_DILUT_SHARES_OUT","CY2023")</f>
        <v>1549100000</v>
      </c>
      <c r="D326" s="5">
        <f>_xll.SNL.Clients.Office.Excel.Functions.SPG(A326, "IQ_DILUT_EPS_NORM", "CY2023")</f>
        <v>2.5390000000000001</v>
      </c>
      <c r="E326">
        <f t="shared" ref="E326:E389" si="62">C326*D326/1000</f>
        <v>3933164.9</v>
      </c>
      <c r="F326">
        <f t="shared" ref="F326:F389" si="63">E326/B326</f>
        <v>7.6309900663536531E-2</v>
      </c>
      <c r="G326" s="5">
        <f>_xll.SNL.Clients.Office.Excel.Functions.SPG(A326, "SP_MARKETCAP", "12/30/2023")</f>
        <v>165233.78227125001</v>
      </c>
      <c r="H326">
        <f t="shared" si="55"/>
        <v>3.9325641885258559E-3</v>
      </c>
      <c r="I326">
        <f t="shared" si="56"/>
        <v>9.984780474667148E-3</v>
      </c>
      <c r="K326" t="s">
        <v>326</v>
      </c>
      <c r="L326" s="4" cm="1">
        <f t="array" ref="L326">_xll.SNL.Clients.Office.Excel.Functions.SPG(K326, "SP_TOTAL_REV", "CY2023")</f>
        <v>51542000</v>
      </c>
      <c r="M326" s="4">
        <f>_xll.SNL.Clients.Office.Excel.Functions.SPG(K326,"IQ_AVG_DILUT_SHARES_OUT","CY2023")</f>
        <v>1549100000</v>
      </c>
      <c r="N326" s="5">
        <f>_xll.SNL.Clients.Office.Excel.Functions.SPG(K326, "IQ_DILUT_EPS_NORM", "CY2023")</f>
        <v>2.5390000000000001</v>
      </c>
      <c r="O326">
        <f t="shared" ref="O326:O389" si="64">M326*N326/1000</f>
        <v>3933164.9</v>
      </c>
      <c r="P326">
        <f t="shared" ref="P326:P389" si="65">O326/L326</f>
        <v>7.6309900663536531E-2</v>
      </c>
      <c r="Q326" s="5">
        <f>_xll.SNL.Clients.Office.Excel.Functions.SPG(K326, "SP_MARKETCAP", "12/31/2022")</f>
        <v>183072.78600641</v>
      </c>
      <c r="R326">
        <f t="shared" si="57"/>
        <v>5.4332708058603884E-3</v>
      </c>
      <c r="S326">
        <f t="shared" si="58"/>
        <v>1.3795074576079527E-2</v>
      </c>
      <c r="U326" t="s">
        <v>326</v>
      </c>
      <c r="V326" s="4" cm="1">
        <f t="array" ref="V326">_xll.SNL.Clients.Office.Excel.Functions.SPG(U326, "SP_TOTAL_REV", "CY2021")</f>
        <v>46306000</v>
      </c>
      <c r="W326" s="4">
        <f>_xll.SNL.Clients.Office.Excel.Functions.SPG(U326,"IQ_AVG_DILUT_SHARES_OUT","CY2021")</f>
        <v>1617700000</v>
      </c>
      <c r="X326" s="5" t="str">
        <f>_xll.SNL.Clients.Office.Excel.Functions.SPG(U326, "IQ_DILUT_EPS_NORM", "CY2021")</f>
        <v>NA</v>
      </c>
      <c r="Y326" t="e">
        <f t="shared" si="59"/>
        <v>#VALUE!</v>
      </c>
      <c r="Z326" t="e">
        <f t="shared" si="60"/>
        <v>#VALUE!</v>
      </c>
      <c r="AA326" s="5">
        <f>_xll.SNL.Clients.Office.Excel.Functions.SPG(U326, "SP_MARKETCAP", "12/31/2021")</f>
        <v>263808.22889238998</v>
      </c>
      <c r="AB326">
        <f t="shared" ref="AB326:AB389" si="66">AA326/$AA$509</f>
        <v>6.217302022078007E-3</v>
      </c>
      <c r="AC326" t="e">
        <f t="shared" si="61"/>
        <v>#VALUE!</v>
      </c>
    </row>
    <row r="327" spans="1:29" x14ac:dyDescent="0.3">
      <c r="A327" t="s">
        <v>327</v>
      </c>
      <c r="B327" s="4" cm="1">
        <f t="array" ref="B327">_xll.SNL.Clients.Office.Excel.Functions.SPG(A327, "SP_TOTAL_REV", "CY2023")</f>
        <v>5505400</v>
      </c>
      <c r="C327" s="4">
        <f>_xll.SNL.Clients.Office.Excel.Functions.SPG(A327,"IQ_AVG_DILUT_SHARES_OUT","CY2023")</f>
        <v>447900000</v>
      </c>
      <c r="D327" s="5">
        <f>_xll.SNL.Clients.Office.Excel.Functions.SPG(A327, "IQ_DILUT_EPS_NORM", "CY2023")</f>
        <v>1.2290000000000001</v>
      </c>
      <c r="E327">
        <f t="shared" si="62"/>
        <v>550469.1</v>
      </c>
      <c r="F327">
        <f t="shared" si="63"/>
        <v>9.998712173502379E-2</v>
      </c>
      <c r="G327" s="5">
        <f>_xll.SNL.Clients.Office.Excel.Functions.SPG(A327, "SP_MARKETCAP", "12/30/2023")</f>
        <v>10976.179958549999</v>
      </c>
      <c r="H327">
        <f t="shared" ref="H327:H390" si="67">G327/$G$509</f>
        <v>2.6123309433750936E-4</v>
      </c>
      <c r="I327">
        <f t="shared" ref="I327:I390" si="68">D327*H327</f>
        <v>3.2105547294079904E-4</v>
      </c>
      <c r="K327" t="s">
        <v>327</v>
      </c>
      <c r="L327" s="4" cm="1">
        <f t="array" ref="L327">_xll.SNL.Clients.Office.Excel.Functions.SPG(K327, "SP_TOTAL_REV", "CY2023")</f>
        <v>5505400</v>
      </c>
      <c r="M327" s="4">
        <f>_xll.SNL.Clients.Office.Excel.Functions.SPG(K327,"IQ_AVG_DILUT_SHARES_OUT","CY2023")</f>
        <v>447900000</v>
      </c>
      <c r="N327" s="5">
        <f>_xll.SNL.Clients.Office.Excel.Functions.SPG(K327, "IQ_DILUT_EPS_NORM", "CY2023")</f>
        <v>1.2290000000000001</v>
      </c>
      <c r="O327">
        <f t="shared" si="64"/>
        <v>550469.1</v>
      </c>
      <c r="P327">
        <f t="shared" si="65"/>
        <v>9.998712173502379E-2</v>
      </c>
      <c r="Q327" s="5">
        <f>_xll.SNL.Clients.Office.Excel.Functions.SPG(K327, "SP_MARKETCAP", "12/31/2022")</f>
        <v>11136.203657640001</v>
      </c>
      <c r="R327">
        <f t="shared" ref="R327:R390" si="69">Q327/$Q$509</f>
        <v>3.3050248232444865E-4</v>
      </c>
      <c r="S327">
        <f t="shared" ref="S327:S390" si="70">N327*R327</f>
        <v>4.0618755077674742E-4</v>
      </c>
      <c r="U327" t="s">
        <v>327</v>
      </c>
      <c r="V327" s="4" cm="1">
        <f t="array" ref="V327">_xll.SNL.Clients.Office.Excel.Functions.SPG(U327, "SP_TOTAL_REV", "CY2021")</f>
        <v>4899600</v>
      </c>
      <c r="W327" s="4">
        <f>_xll.SNL.Clients.Office.Excel.Functions.SPG(U327,"IQ_AVG_DILUT_SHARES_OUT","CY2021")</f>
        <v>417300000</v>
      </c>
      <c r="X327" s="5">
        <f>_xll.SNL.Clients.Office.Excel.Functions.SPG(U327, "IQ_DILUT_EPS_NORM", "CY2021")</f>
        <v>1.06</v>
      </c>
      <c r="Y327">
        <f t="shared" ref="Y327:Y390" si="71">W327*X327/1000</f>
        <v>442338</v>
      </c>
      <c r="Z327">
        <f t="shared" ref="Z327:Z390" si="72">Y327/V327</f>
        <v>9.0280431055596369E-2</v>
      </c>
      <c r="AA327" s="5">
        <f>_xll.SNL.Clients.Office.Excel.Functions.SPG(U327, "SP_MARKETCAP", "12/31/2021")</f>
        <v>10842.576187189999</v>
      </c>
      <c r="AB327">
        <f t="shared" si="66"/>
        <v>2.5553247954463576E-4</v>
      </c>
      <c r="AC327">
        <f t="shared" ref="AC327:AC390" si="73">X327*AB327</f>
        <v>2.7086442831731391E-4</v>
      </c>
    </row>
    <row r="328" spans="1:29" x14ac:dyDescent="0.3">
      <c r="A328" t="s">
        <v>328</v>
      </c>
      <c r="B328" s="4" cm="1">
        <f t="array" ref="B328">_xll.SNL.Clients.Office.Excel.Functions.SPG(A328, "SP_TOTAL_REV", "CY2023")</f>
        <v>2651348</v>
      </c>
      <c r="C328" s="4">
        <f>_xll.SNL.Clients.Office.Excel.Functions.SPG(A328,"IQ_AVG_DILUT_SHARES_OUT","CY2023")</f>
        <v>57579250</v>
      </c>
      <c r="D328" s="5">
        <f>_xll.SNL.Clients.Office.Excel.Functions.SPG(A328, "IQ_DILUT_EPS_NORM", "CY2023")</f>
        <v>6.7619999999999996</v>
      </c>
      <c r="E328">
        <f t="shared" si="62"/>
        <v>389350.8885</v>
      </c>
      <c r="F328">
        <f t="shared" si="63"/>
        <v>0.14685016395433567</v>
      </c>
      <c r="G328" s="5">
        <f>_xll.SNL.Clients.Office.Excel.Functions.SPG(A328, "SP_MARKETCAP", "12/30/2023")</f>
        <v>15061.35342816</v>
      </c>
      <c r="H328">
        <f t="shared" si="67"/>
        <v>3.5846022712886162E-4</v>
      </c>
      <c r="I328">
        <f t="shared" si="68"/>
        <v>2.423908055845362E-3</v>
      </c>
      <c r="K328" t="s">
        <v>328</v>
      </c>
      <c r="L328" s="4" cm="1">
        <f t="array" ref="L328">_xll.SNL.Clients.Office.Excel.Functions.SPG(K328, "SP_TOTAL_REV", "CY2023")</f>
        <v>2651348</v>
      </c>
      <c r="M328" s="4">
        <f>_xll.SNL.Clients.Office.Excel.Functions.SPG(K328,"IQ_AVG_DILUT_SHARES_OUT","CY2023")</f>
        <v>57579250</v>
      </c>
      <c r="N328" s="5">
        <f>_xll.SNL.Clients.Office.Excel.Functions.SPG(K328, "IQ_DILUT_EPS_NORM", "CY2023")</f>
        <v>6.7619999999999996</v>
      </c>
      <c r="O328">
        <f t="shared" si="64"/>
        <v>389350.8885</v>
      </c>
      <c r="P328">
        <f t="shared" si="65"/>
        <v>0.14685016395433567</v>
      </c>
      <c r="Q328" s="5">
        <f>_xll.SNL.Clients.Office.Excel.Functions.SPG(K328, "SP_MARKETCAP", "12/31/2022")</f>
        <v>13587.320201279999</v>
      </c>
      <c r="R328">
        <f t="shared" si="69"/>
        <v>4.0324720997530946E-4</v>
      </c>
      <c r="S328">
        <f t="shared" si="70"/>
        <v>2.7267576338530423E-3</v>
      </c>
      <c r="U328" t="s">
        <v>328</v>
      </c>
      <c r="V328" s="4" cm="1">
        <f t="array" ref="V328">_xll.SNL.Clients.Office.Excel.Functions.SPG(U328, "SP_TOTAL_REV", "CY2021")</f>
        <v>2444809</v>
      </c>
      <c r="W328" s="4">
        <f>_xll.SNL.Clients.Office.Excel.Functions.SPG(U328,"IQ_AVG_DILUT_SHARES_OUT","CY2021")</f>
        <v>58750000</v>
      </c>
      <c r="X328" s="5">
        <f>_xll.SNL.Clients.Office.Excel.Functions.SPG(U328, "IQ_DILUT_EPS_NORM", "CY2021")</f>
        <v>6.6840000000000002</v>
      </c>
      <c r="Y328">
        <f t="shared" si="71"/>
        <v>392685</v>
      </c>
      <c r="Z328">
        <f t="shared" si="72"/>
        <v>0.16061990936715301</v>
      </c>
      <c r="AA328" s="5">
        <f>_xll.SNL.Clients.Office.Excel.Functions.SPG(U328, "SP_MARKETCAP", "12/31/2021")</f>
        <v>14850.74221362</v>
      </c>
      <c r="AB328">
        <f t="shared" si="66"/>
        <v>3.4999495649455957E-4</v>
      </c>
      <c r="AC328">
        <f t="shared" si="73"/>
        <v>2.3393662892096361E-3</v>
      </c>
    </row>
    <row r="329" spans="1:29" x14ac:dyDescent="0.3">
      <c r="A329" t="s">
        <v>329</v>
      </c>
      <c r="B329" s="4" cm="1">
        <f t="array" ref="B329">_xll.SNL.Clients.Office.Excel.Functions.SPG(A329, "SP_TOTAL_REV", "CY2023")</f>
        <v>12156000</v>
      </c>
      <c r="C329" s="4">
        <f>_xll.SNL.Clients.Office.Excel.Functions.SPG(A329,"IQ_AVG_DILUT_SHARES_OUT","CY2023")</f>
        <v>227400000</v>
      </c>
      <c r="D329" s="5">
        <f>_xll.SNL.Clients.Office.Excel.Functions.SPG(A329, "IQ_DILUT_EPS_NORM", "CY2023")</f>
        <v>9.4440000000000008</v>
      </c>
      <c r="E329">
        <f t="shared" si="62"/>
        <v>2147565.6</v>
      </c>
      <c r="F329">
        <f t="shared" si="63"/>
        <v>0.17666712734452122</v>
      </c>
      <c r="G329" s="5">
        <f>_xll.SNL.Clients.Office.Excel.Functions.SPG(A329, "SP_MARKETCAP", "12/30/2023")</f>
        <v>53360.982129739998</v>
      </c>
      <c r="H329">
        <f t="shared" si="67"/>
        <v>1.2699914297398245E-3</v>
      </c>
      <c r="I329">
        <f t="shared" si="68"/>
        <v>1.1993799062462904E-2</v>
      </c>
      <c r="K329" t="s">
        <v>329</v>
      </c>
      <c r="L329" s="4" cm="1">
        <f t="array" ref="L329">_xll.SNL.Clients.Office.Excel.Functions.SPG(K329, "SP_TOTAL_REV", "CY2023")</f>
        <v>12156000</v>
      </c>
      <c r="M329" s="4">
        <f>_xll.SNL.Clients.Office.Excel.Functions.SPG(K329,"IQ_AVG_DILUT_SHARES_OUT","CY2023")</f>
        <v>227400000</v>
      </c>
      <c r="N329" s="5">
        <f>_xll.SNL.Clients.Office.Excel.Functions.SPG(K329, "IQ_DILUT_EPS_NORM", "CY2023")</f>
        <v>9.4440000000000008</v>
      </c>
      <c r="O329">
        <f t="shared" si="64"/>
        <v>2147565.6</v>
      </c>
      <c r="P329">
        <f t="shared" si="65"/>
        <v>0.17666712734452122</v>
      </c>
      <c r="Q329" s="5">
        <f>_xll.SNL.Clients.Office.Excel.Functions.SPG(K329, "SP_MARKETCAP", "12/31/2022")</f>
        <v>59964.95390778</v>
      </c>
      <c r="R329">
        <f t="shared" si="69"/>
        <v>1.7796519108552666E-3</v>
      </c>
      <c r="S329">
        <f t="shared" si="70"/>
        <v>1.6807032646117138E-2</v>
      </c>
      <c r="U329" t="s">
        <v>329</v>
      </c>
      <c r="V329" s="4" cm="1">
        <f t="array" ref="V329">_xll.SNL.Clients.Office.Excel.Functions.SPG(U329, "SP_TOTAL_REV", "CY2021")</f>
        <v>11142000</v>
      </c>
      <c r="W329" s="4">
        <f>_xll.SNL.Clients.Office.Excel.Functions.SPG(U329,"IQ_AVG_DILUT_SHARES_OUT","CY2021")</f>
        <v>248100000</v>
      </c>
      <c r="X329" s="5">
        <f>_xll.SNL.Clients.Office.Excel.Functions.SPG(U329, "IQ_DILUT_EPS_NORM", "CY2021")</f>
        <v>9.7690000000000001</v>
      </c>
      <c r="Y329">
        <f t="shared" si="71"/>
        <v>2423688.9</v>
      </c>
      <c r="Z329">
        <f t="shared" si="72"/>
        <v>0.21752727517501344</v>
      </c>
      <c r="AA329" s="5">
        <f>_xll.SNL.Clients.Office.Excel.Functions.SPG(U329, "SP_MARKETCAP", "12/31/2021")</f>
        <v>72446.093774389999</v>
      </c>
      <c r="AB329">
        <f t="shared" si="66"/>
        <v>1.7073737510246445E-3</v>
      </c>
      <c r="AC329">
        <f t="shared" si="73"/>
        <v>1.6679334173759754E-2</v>
      </c>
    </row>
    <row r="330" spans="1:29" x14ac:dyDescent="0.3">
      <c r="A330" t="s">
        <v>330</v>
      </c>
      <c r="B330" s="4" cm="1">
        <f t="array" ref="B330">_xll.SNL.Clients.Office.Excel.Functions.SPG(A330, "SP_TOTAL_REV", "CY2023")</f>
        <v>6749000</v>
      </c>
      <c r="C330" s="4">
        <f>_xll.SNL.Clients.Office.Excel.Functions.SPG(A330,"IQ_AVG_DILUT_SHARES_OUT","CY2023")</f>
        <v>207563746</v>
      </c>
      <c r="D330" s="5">
        <f>_xll.SNL.Clients.Office.Excel.Functions.SPG(A330, "IQ_DILUT_EPS_NORM", "CY2023")</f>
        <v>4.5209999999999999</v>
      </c>
      <c r="E330">
        <f t="shared" si="62"/>
        <v>938395.69566600001</v>
      </c>
      <c r="F330">
        <f t="shared" si="63"/>
        <v>0.13904218338509408</v>
      </c>
      <c r="G330" s="5">
        <f>_xll.SNL.Clients.Office.Excel.Functions.SPG(A330, "SP_MARKETCAP", "12/30/2023")</f>
        <v>17469.728900599999</v>
      </c>
      <c r="H330">
        <f t="shared" si="67"/>
        <v>4.1577956585763144E-4</v>
      </c>
      <c r="I330">
        <f t="shared" si="68"/>
        <v>1.8797394172423516E-3</v>
      </c>
      <c r="K330" t="s">
        <v>330</v>
      </c>
      <c r="L330" s="4" cm="1">
        <f t="array" ref="L330">_xll.SNL.Clients.Office.Excel.Functions.SPG(K330, "SP_TOTAL_REV", "CY2023")</f>
        <v>6749000</v>
      </c>
      <c r="M330" s="4">
        <f>_xll.SNL.Clients.Office.Excel.Functions.SPG(K330,"IQ_AVG_DILUT_SHARES_OUT","CY2023")</f>
        <v>207563746</v>
      </c>
      <c r="N330" s="5">
        <f>_xll.SNL.Clients.Office.Excel.Functions.SPG(K330, "IQ_DILUT_EPS_NORM", "CY2023")</f>
        <v>4.5209999999999999</v>
      </c>
      <c r="O330">
        <f t="shared" si="64"/>
        <v>938395.69566600001</v>
      </c>
      <c r="P330">
        <f t="shared" si="65"/>
        <v>0.13904218338509408</v>
      </c>
      <c r="Q330" s="5">
        <f>_xll.SNL.Clients.Office.Excel.Functions.SPG(K330, "SP_MARKETCAP", "12/31/2022")</f>
        <v>18442.702903770001</v>
      </c>
      <c r="R330">
        <f t="shared" si="69"/>
        <v>5.473462301748206E-4</v>
      </c>
      <c r="S330">
        <f t="shared" si="70"/>
        <v>2.4745523066203637E-3</v>
      </c>
      <c r="U330" t="s">
        <v>330</v>
      </c>
      <c r="V330" s="4" cm="1">
        <f t="array" ref="V330">_xll.SNL.Clients.Office.Excel.Functions.SPG(U330, "SP_TOTAL_REV", "CY2021")</f>
        <v>6546000</v>
      </c>
      <c r="W330" s="4">
        <f>_xll.SNL.Clients.Office.Excel.Functions.SPG(U330,"IQ_AVG_DILUT_SHARES_OUT","CY2021")</f>
        <v>208899230</v>
      </c>
      <c r="X330" s="5">
        <f>_xll.SNL.Clients.Office.Excel.Functions.SPG(U330, "IQ_DILUT_EPS_NORM", "CY2021")</f>
        <v>6.0140000000000002</v>
      </c>
      <c r="Y330">
        <f t="shared" si="71"/>
        <v>1256319.9692200001</v>
      </c>
      <c r="Z330">
        <f t="shared" si="72"/>
        <v>0.19192177959364498</v>
      </c>
      <c r="AA330" s="5">
        <f>_xll.SNL.Clients.Office.Excel.Functions.SPG(U330, "SP_MARKETCAP", "12/31/2021")</f>
        <v>24838.36175367</v>
      </c>
      <c r="AB330">
        <f t="shared" si="66"/>
        <v>5.8537824011240414E-4</v>
      </c>
      <c r="AC330">
        <f t="shared" si="73"/>
        <v>3.5204647360359987E-3</v>
      </c>
    </row>
    <row r="331" spans="1:29" x14ac:dyDescent="0.3">
      <c r="A331" t="s">
        <v>331</v>
      </c>
      <c r="B331" s="4" cm="1">
        <f t="array" ref="B331">_xll.SNL.Clients.Office.Excel.Functions.SPG(A331, "SP_TOTAL_REV", "CY2023")</f>
        <v>39290000</v>
      </c>
      <c r="C331" s="4">
        <f>_xll.SNL.Clients.Office.Excel.Functions.SPG(A331,"IQ_AVG_DILUT_SHARES_OUT","CY2023")</f>
        <v>152000000</v>
      </c>
      <c r="D331" s="5">
        <f>_xll.SNL.Clients.Office.Excel.Functions.SPG(A331, "IQ_DILUT_EPS_NORM", "CY2023")</f>
        <v>9.2479999999999993</v>
      </c>
      <c r="E331">
        <f t="shared" si="62"/>
        <v>1405696</v>
      </c>
      <c r="F331">
        <f t="shared" si="63"/>
        <v>3.5777449732756428E-2</v>
      </c>
      <c r="G331" s="5">
        <f>_xll.SNL.Clients.Office.Excel.Functions.SPG(A331, "SP_MARKETCAP", "12/30/2023")</f>
        <v>70592.0501047</v>
      </c>
      <c r="H331">
        <f t="shared" si="67"/>
        <v>1.6800908653209997E-3</v>
      </c>
      <c r="I331">
        <f t="shared" si="68"/>
        <v>1.5537480322488605E-2</v>
      </c>
      <c r="K331" t="s">
        <v>331</v>
      </c>
      <c r="L331" s="4" cm="1">
        <f t="array" ref="L331">_xll.SNL.Clients.Office.Excel.Functions.SPG(K331, "SP_TOTAL_REV", "CY2023")</f>
        <v>39290000</v>
      </c>
      <c r="M331" s="4">
        <f>_xll.SNL.Clients.Office.Excel.Functions.SPG(K331,"IQ_AVG_DILUT_SHARES_OUT","CY2023")</f>
        <v>152000000</v>
      </c>
      <c r="N331" s="5">
        <f>_xll.SNL.Clients.Office.Excel.Functions.SPG(K331, "IQ_DILUT_EPS_NORM", "CY2023")</f>
        <v>9.2479999999999993</v>
      </c>
      <c r="O331">
        <f t="shared" si="64"/>
        <v>1405696</v>
      </c>
      <c r="P331">
        <f t="shared" si="65"/>
        <v>3.5777449732756428E-2</v>
      </c>
      <c r="Q331" s="5">
        <f>_xll.SNL.Clients.Office.Excel.Functions.SPG(K331, "SP_MARKETCAP", "12/31/2022")</f>
        <v>83976.011435160006</v>
      </c>
      <c r="R331">
        <f t="shared" si="69"/>
        <v>2.4922568846867149E-3</v>
      </c>
      <c r="S331">
        <f t="shared" si="70"/>
        <v>2.3048391669582738E-2</v>
      </c>
      <c r="U331" t="s">
        <v>331</v>
      </c>
      <c r="V331" s="4" cm="1">
        <f t="array" ref="V331">_xll.SNL.Clients.Office.Excel.Functions.SPG(U331, "SP_TOTAL_REV", "CY2021")</f>
        <v>35667000</v>
      </c>
      <c r="W331" s="4">
        <f>_xll.SNL.Clients.Office.Excel.Functions.SPG(U331,"IQ_AVG_DILUT_SHARES_OUT","CY2021")</f>
        <v>160900000</v>
      </c>
      <c r="X331" s="5">
        <f>_xll.SNL.Clients.Office.Excel.Functions.SPG(U331, "IQ_DILUT_EPS_NORM", "CY2021")</f>
        <v>27.236999999999998</v>
      </c>
      <c r="Y331">
        <f t="shared" si="71"/>
        <v>4382433.3</v>
      </c>
      <c r="Z331">
        <f t="shared" si="72"/>
        <v>0.1228708133568845</v>
      </c>
      <c r="AA331" s="5">
        <f>_xll.SNL.Clients.Office.Excel.Functions.SPG(U331, "SP_MARKETCAP", "12/31/2021")</f>
        <v>61365.165476009999</v>
      </c>
      <c r="AB331">
        <f t="shared" si="66"/>
        <v>1.4462239066650824E-3</v>
      </c>
      <c r="AC331">
        <f t="shared" si="73"/>
        <v>3.9390800545836845E-2</v>
      </c>
    </row>
    <row r="332" spans="1:29" x14ac:dyDescent="0.3">
      <c r="A332" t="s">
        <v>332</v>
      </c>
      <c r="B332" s="4" cm="1">
        <f t="array" ref="B332">_xll.SNL.Clients.Office.Excel.Functions.SPG(A332, "SP_TOTAL_REV", "CY2023")</f>
        <v>8549924</v>
      </c>
      <c r="C332" s="4">
        <f>_xll.SNL.Clients.Office.Excel.Functions.SPG(A332,"IQ_AVG_DILUT_SHARES_OUT","CY2023")</f>
        <v>427400849</v>
      </c>
      <c r="D332" s="5">
        <f>_xll.SNL.Clients.Office.Excel.Functions.SPG(A332, "IQ_DILUT_EPS_NORM", "CY2023")</f>
        <v>0.252</v>
      </c>
      <c r="E332">
        <f t="shared" si="62"/>
        <v>107705.01394799999</v>
      </c>
      <c r="F332">
        <f t="shared" si="63"/>
        <v>1.2597189629755772E-2</v>
      </c>
      <c r="G332" s="5">
        <f>_xll.SNL.Clients.Office.Excel.Functions.SPG(A332, "SP_MARKETCAP", "12/30/2023")</f>
        <v>8525.5156773599992</v>
      </c>
      <c r="H332">
        <f t="shared" si="67"/>
        <v>2.029072819168606E-4</v>
      </c>
      <c r="I332">
        <f t="shared" si="68"/>
        <v>5.1132635043048872E-5</v>
      </c>
      <c r="K332" t="s">
        <v>332</v>
      </c>
      <c r="L332" s="4" cm="1">
        <f t="array" ref="L332">_xll.SNL.Clients.Office.Excel.Functions.SPG(K332, "SP_TOTAL_REV", "CY2023")</f>
        <v>8549924</v>
      </c>
      <c r="M332" s="4">
        <f>_xll.SNL.Clients.Office.Excel.Functions.SPG(K332,"IQ_AVG_DILUT_SHARES_OUT","CY2023")</f>
        <v>427400849</v>
      </c>
      <c r="N332" s="5">
        <f>_xll.SNL.Clients.Office.Excel.Functions.SPG(K332, "IQ_DILUT_EPS_NORM", "CY2023")</f>
        <v>0.252</v>
      </c>
      <c r="O332">
        <f t="shared" si="64"/>
        <v>107705.01394799999</v>
      </c>
      <c r="P332">
        <f t="shared" si="65"/>
        <v>1.2597189629755772E-2</v>
      </c>
      <c r="Q332" s="5">
        <f>_xll.SNL.Clients.Office.Excel.Functions.SPG(K332, "SP_MARKETCAP", "12/31/2022")</f>
        <v>5157.8882640000002</v>
      </c>
      <c r="R332">
        <f t="shared" si="69"/>
        <v>1.5307684083476993E-4</v>
      </c>
      <c r="S332">
        <f t="shared" si="70"/>
        <v>3.8575363890362025E-5</v>
      </c>
      <c r="U332" t="s">
        <v>332</v>
      </c>
      <c r="V332" s="4" cm="1">
        <f t="array" ref="V332">_xll.SNL.Clients.Office.Excel.Functions.SPG(U332, "SP_TOTAL_REV", "CY2021")</f>
        <v>647986</v>
      </c>
      <c r="W332" s="4">
        <f>_xll.SNL.Clients.Office.Excel.Functions.SPG(U332,"IQ_AVG_DILUT_SHARES_OUT","CY2021")</f>
        <v>365449967</v>
      </c>
      <c r="X332" s="5">
        <f>_xll.SNL.Clients.Office.Excel.Functions.SPG(U332, "IQ_DILUT_EPS_NORM", "CY2021")</f>
        <v>-7.6980000000000004</v>
      </c>
      <c r="Y332">
        <f t="shared" si="71"/>
        <v>-2813233.8459660001</v>
      </c>
      <c r="Z332">
        <f t="shared" si="72"/>
        <v>-4.3415040540474639</v>
      </c>
      <c r="AA332" s="5">
        <f>_xll.SNL.Clients.Office.Excel.Functions.SPG(U332, "SP_MARKETCAP", "12/31/2021")</f>
        <v>8646.3383171000005</v>
      </c>
      <c r="AB332">
        <f t="shared" si="66"/>
        <v>2.0377263032384166E-4</v>
      </c>
      <c r="AC332">
        <f t="shared" si="73"/>
        <v>-1.5686417082329332E-3</v>
      </c>
    </row>
    <row r="333" spans="1:29" x14ac:dyDescent="0.3">
      <c r="A333" t="s">
        <v>333</v>
      </c>
      <c r="B333" s="4" cm="1">
        <f t="array" ref="B333">_xll.SNL.Clients.Office.Excel.Functions.SPG(A333, "SP_TOTAL_REV", "CY2023")</f>
        <v>28823000</v>
      </c>
      <c r="C333" s="4">
        <f>_xll.SNL.Clients.Office.Excel.Functions.SPG(A333,"IQ_AVG_DILUT_SHARES_OUT","CY2023")</f>
        <v>228000000</v>
      </c>
      <c r="D333" s="5">
        <f>_xll.SNL.Clients.Office.Excel.Functions.SPG(A333, "IQ_DILUT_EPS_NORM", "CY2023")</f>
        <v>-4.55</v>
      </c>
      <c r="E333">
        <f t="shared" si="62"/>
        <v>-1037400</v>
      </c>
      <c r="F333">
        <f t="shared" si="63"/>
        <v>-3.5992089650626238E-2</v>
      </c>
      <c r="G333" s="5">
        <f>_xll.SNL.Clients.Office.Excel.Functions.SPG(A333, "SP_MARKETCAP", "12/30/2023")</f>
        <v>11672.021341199999</v>
      </c>
      <c r="H333">
        <f t="shared" si="67"/>
        <v>2.7779411996247224E-4</v>
      </c>
      <c r="I333">
        <f t="shared" si="68"/>
        <v>-1.2639632458292486E-3</v>
      </c>
      <c r="K333" t="s">
        <v>333</v>
      </c>
      <c r="L333" s="4" cm="1">
        <f t="array" ref="L333">_xll.SNL.Clients.Office.Excel.Functions.SPG(K333, "SP_TOTAL_REV", "CY2023")</f>
        <v>28823000</v>
      </c>
      <c r="M333" s="4">
        <f>_xll.SNL.Clients.Office.Excel.Functions.SPG(K333,"IQ_AVG_DILUT_SHARES_OUT","CY2023")</f>
        <v>228000000</v>
      </c>
      <c r="N333" s="5">
        <f>_xll.SNL.Clients.Office.Excel.Functions.SPG(K333, "IQ_DILUT_EPS_NORM", "CY2023")</f>
        <v>-4.55</v>
      </c>
      <c r="O333">
        <f t="shared" si="64"/>
        <v>-1037400</v>
      </c>
      <c r="P333">
        <f t="shared" si="65"/>
        <v>-3.5992089650626238E-2</v>
      </c>
      <c r="Q333" s="5">
        <f>_xll.SNL.Clients.Office.Excel.Functions.SPG(K333, "SP_MARKETCAP", "12/31/2022")</f>
        <v>7330.8254030999997</v>
      </c>
      <c r="R333">
        <f t="shared" si="69"/>
        <v>2.1756570440856427E-4</v>
      </c>
      <c r="S333">
        <f t="shared" si="70"/>
        <v>-9.8992395505896743E-4</v>
      </c>
      <c r="U333" t="s">
        <v>333</v>
      </c>
      <c r="V333" s="4" cm="1">
        <f t="array" ref="V333">_xll.SNL.Clients.Office.Excel.Functions.SPG(U333, "SP_TOTAL_REV", "CY2021")</f>
        <v>26989000</v>
      </c>
      <c r="W333" s="4">
        <f>_xll.SNL.Clients.Office.Excel.Functions.SPG(U333,"IQ_AVG_DILUT_SHARES_OUT","CY2021")</f>
        <v>245000000</v>
      </c>
      <c r="X333" s="5">
        <f>_xll.SNL.Clients.Office.Excel.Functions.SPG(U333, "IQ_DILUT_EPS_NORM", "CY2021")</f>
        <v>8.4849999999999994</v>
      </c>
      <c r="Y333">
        <f t="shared" si="71"/>
        <v>2078824.9999999998</v>
      </c>
      <c r="Z333">
        <f t="shared" si="72"/>
        <v>7.702489903293934E-2</v>
      </c>
      <c r="AA333" s="5">
        <f>_xll.SNL.Clients.Office.Excel.Functions.SPG(U333, "SP_MARKETCAP", "12/31/2021")</f>
        <v>10547.64908508</v>
      </c>
      <c r="AB333">
        <f t="shared" si="66"/>
        <v>2.4858178329072145E-4</v>
      </c>
      <c r="AC333">
        <f t="shared" si="73"/>
        <v>2.1092164312217715E-3</v>
      </c>
    </row>
    <row r="334" spans="1:29" x14ac:dyDescent="0.3">
      <c r="A334" t="s">
        <v>334</v>
      </c>
      <c r="B334" s="4" cm="1">
        <f t="array" ref="B334">_xll.SNL.Clients.Office.Excel.Functions.SPG(A334, "SP_TOTAL_REV", "CY2023")</f>
        <v>34713501</v>
      </c>
      <c r="C334" s="4">
        <f>_xll.SNL.Clients.Office.Excel.Functions.SPG(A334,"IQ_AVG_DILUT_SHARES_OUT","CY2023")</f>
        <v>250412000</v>
      </c>
      <c r="D334" s="5">
        <f>_xll.SNL.Clients.Office.Excel.Functions.SPG(A334, "IQ_DILUT_EPS_NORM", "CY2023")</f>
        <v>14.106999999999999</v>
      </c>
      <c r="E334">
        <f t="shared" si="62"/>
        <v>3532562.0839999998</v>
      </c>
      <c r="F334">
        <f t="shared" si="63"/>
        <v>0.10176334804144359</v>
      </c>
      <c r="G334" s="5">
        <f>_xll.SNL.Clients.Office.Excel.Functions.SPG(A334, "SP_MARKETCAP", "12/30/2023")</f>
        <v>42785.81938596</v>
      </c>
      <c r="H334">
        <f t="shared" si="67"/>
        <v>1.0183025455275667E-3</v>
      </c>
      <c r="I334">
        <f t="shared" si="68"/>
        <v>1.4365194009757384E-2</v>
      </c>
      <c r="K334" t="s">
        <v>334</v>
      </c>
      <c r="L334" s="4" cm="1">
        <f t="array" ref="L334">_xll.SNL.Clients.Office.Excel.Functions.SPG(K334, "SP_TOTAL_REV", "CY2023")</f>
        <v>34713501</v>
      </c>
      <c r="M334" s="4">
        <f>_xll.SNL.Clients.Office.Excel.Functions.SPG(K334,"IQ_AVG_DILUT_SHARES_OUT","CY2023")</f>
        <v>250412000</v>
      </c>
      <c r="N334" s="5">
        <f>_xll.SNL.Clients.Office.Excel.Functions.SPG(K334, "IQ_DILUT_EPS_NORM", "CY2023")</f>
        <v>14.106999999999999</v>
      </c>
      <c r="O334">
        <f t="shared" si="64"/>
        <v>3532562.0839999998</v>
      </c>
      <c r="P334">
        <f t="shared" si="65"/>
        <v>0.10176334804144359</v>
      </c>
      <c r="Q334" s="5">
        <f>_xll.SNL.Clients.Office.Excel.Functions.SPG(K334, "SP_MARKETCAP", "12/31/2022")</f>
        <v>33815.026415100001</v>
      </c>
      <c r="R334">
        <f t="shared" si="69"/>
        <v>1.0035691258564658E-3</v>
      </c>
      <c r="S334">
        <f t="shared" si="70"/>
        <v>1.4157349658457163E-2</v>
      </c>
      <c r="U334" t="s">
        <v>334</v>
      </c>
      <c r="V334" s="4" cm="1">
        <f t="array" ref="V334">_xll.SNL.Clients.Office.Excel.Functions.SPG(U334, "SP_TOTAL_REV", "CY2021")</f>
        <v>36483939</v>
      </c>
      <c r="W334" s="4">
        <f>_xll.SNL.Clients.Office.Excel.Functions.SPG(U334,"IQ_AVG_DILUT_SHARES_OUT","CY2021")</f>
        <v>293390000</v>
      </c>
      <c r="X334" s="5">
        <f>_xll.SNL.Clients.Office.Excel.Functions.SPG(U334, "IQ_DILUT_EPS_NORM", "CY2021")</f>
        <v>18.638000000000002</v>
      </c>
      <c r="Y334">
        <f t="shared" si="71"/>
        <v>5468202.8200000012</v>
      </c>
      <c r="Z334">
        <f t="shared" si="72"/>
        <v>0.14987972707661859</v>
      </c>
      <c r="AA334" s="5">
        <f>_xll.SNL.Clients.Office.Excel.Functions.SPG(U334, "SP_MARKETCAP", "12/31/2021")</f>
        <v>31082.9164671</v>
      </c>
      <c r="AB334">
        <f t="shared" si="66"/>
        <v>7.3254682090228499E-4</v>
      </c>
      <c r="AC334">
        <f t="shared" si="73"/>
        <v>1.3653207647976789E-2</v>
      </c>
    </row>
    <row r="335" spans="1:29" x14ac:dyDescent="0.3">
      <c r="A335" t="s">
        <v>335</v>
      </c>
      <c r="B335" s="4" cm="1">
        <f t="array" ref="B335">_xll.SNL.Clients.Office.Excel.Functions.SPG(A335, "SP_TOTAL_REV", "CY2023")</f>
        <v>60922000</v>
      </c>
      <c r="C335" s="4">
        <f>_xll.SNL.Clients.Office.Excel.Functions.SPG(A335,"IQ_AVG_DILUT_SHARES_OUT","CY2023")</f>
        <v>24940000000</v>
      </c>
      <c r="D335" s="5">
        <f>_xll.SNL.Clients.Office.Excel.Functions.SPG(A335, "IQ_DILUT_EPS_NORM", "CY2023")</f>
        <v>0.84199999999999997</v>
      </c>
      <c r="E335">
        <f t="shared" si="62"/>
        <v>20999480</v>
      </c>
      <c r="F335">
        <f t="shared" si="63"/>
        <v>0.34469452742851514</v>
      </c>
      <c r="G335" s="5">
        <f>_xll.SNL.Clients.Office.Excel.Functions.SPG(A335, "SP_MARKETCAP", "12/30/2023")</f>
        <v>1223193.3999999999</v>
      </c>
      <c r="H335">
        <f t="shared" si="67"/>
        <v>2.9112004181956877E-2</v>
      </c>
      <c r="I335">
        <f t="shared" si="68"/>
        <v>2.4512307521207689E-2</v>
      </c>
      <c r="K335" t="s">
        <v>335</v>
      </c>
      <c r="L335" s="4" cm="1">
        <f t="array" ref="L335">_xll.SNL.Clients.Office.Excel.Functions.SPG(K335, "SP_TOTAL_REV", "CY2023")</f>
        <v>60922000</v>
      </c>
      <c r="M335" s="4">
        <f>_xll.SNL.Clients.Office.Excel.Functions.SPG(K335,"IQ_AVG_DILUT_SHARES_OUT","CY2023")</f>
        <v>24940000000</v>
      </c>
      <c r="N335" s="5">
        <f>_xll.SNL.Clients.Office.Excel.Functions.SPG(K335, "IQ_DILUT_EPS_NORM", "CY2023")</f>
        <v>0.84199999999999997</v>
      </c>
      <c r="O335">
        <f t="shared" si="64"/>
        <v>20999480</v>
      </c>
      <c r="P335">
        <f t="shared" si="65"/>
        <v>0.34469452742851514</v>
      </c>
      <c r="Q335" s="5">
        <f>_xll.SNL.Clients.Office.Excel.Functions.SPG(K335, "SP_MARKETCAP", "12/31/2022")</f>
        <v>359650.54</v>
      </c>
      <c r="R335">
        <f t="shared" si="69"/>
        <v>1.0673780750927692E-2</v>
      </c>
      <c r="S335">
        <f t="shared" si="70"/>
        <v>8.9873233922811158E-3</v>
      </c>
      <c r="U335" t="s">
        <v>335</v>
      </c>
      <c r="V335" s="4" cm="1">
        <f t="array" ref="V335">_xll.SNL.Clients.Office.Excel.Functions.SPG(U335, "SP_TOTAL_REV", "CY2021")</f>
        <v>26914000</v>
      </c>
      <c r="W335" s="4">
        <f>_xll.SNL.Clients.Office.Excel.Functions.SPG(U335,"IQ_AVG_DILUT_SHARES_OUT","CY2021")</f>
        <v>25350000000</v>
      </c>
      <c r="X335" s="5" t="str">
        <f>_xll.SNL.Clients.Office.Excel.Functions.SPG(U335, "IQ_DILUT_EPS_NORM", "CY2021")</f>
        <v>NA</v>
      </c>
      <c r="Y335" t="e">
        <f t="shared" si="71"/>
        <v>#VALUE!</v>
      </c>
      <c r="Z335" t="e">
        <f t="shared" si="72"/>
        <v>#VALUE!</v>
      </c>
      <c r="AA335" s="5">
        <f>_xll.SNL.Clients.Office.Excel.Functions.SPG(U335, "SP_MARKETCAP", "12/31/2021")</f>
        <v>735275</v>
      </c>
      <c r="AB335">
        <f t="shared" si="66"/>
        <v>1.7328597987548513E-2</v>
      </c>
      <c r="AC335" t="e">
        <f t="shared" si="73"/>
        <v>#VALUE!</v>
      </c>
    </row>
    <row r="336" spans="1:29" x14ac:dyDescent="0.3">
      <c r="A336" t="s">
        <v>336</v>
      </c>
      <c r="B336" s="4" cm="1">
        <f t="array" ref="B336">_xll.SNL.Clients.Office.Excel.Functions.SPG(A336, "SP_TOTAL_REV", "CY2023")</f>
        <v>9682899</v>
      </c>
      <c r="C336" s="4">
        <f>_xll.SNL.Clients.Office.Excel.Functions.SPG(A336,"IQ_AVG_DILUT_SHARES_OUT","CY2023")</f>
        <v>3435294</v>
      </c>
      <c r="D336" s="5">
        <f>_xll.SNL.Clients.Office.Excel.Functions.SPG(A336, "IQ_DILUT_EPS_NORM", "CY2023")</f>
        <v>350.83800000000002</v>
      </c>
      <c r="E336">
        <f t="shared" si="62"/>
        <v>1205231.676372</v>
      </c>
      <c r="F336">
        <f t="shared" si="63"/>
        <v>0.12447012783795432</v>
      </c>
      <c r="G336" s="5">
        <f>_xll.SNL.Clients.Office.Excel.Functions.SPG(A336, "SP_MARKETCAP", "12/30/2023")</f>
        <v>22296.132230650001</v>
      </c>
      <c r="H336">
        <f t="shared" si="67"/>
        <v>5.306479700921754E-4</v>
      </c>
      <c r="I336">
        <f t="shared" si="68"/>
        <v>0.18617147253119865</v>
      </c>
      <c r="K336" t="s">
        <v>336</v>
      </c>
      <c r="L336" s="4" cm="1">
        <f t="array" ref="L336">_xll.SNL.Clients.Office.Excel.Functions.SPG(K336, "SP_TOTAL_REV", "CY2023")</f>
        <v>9682899</v>
      </c>
      <c r="M336" s="4">
        <f>_xll.SNL.Clients.Office.Excel.Functions.SPG(K336,"IQ_AVG_DILUT_SHARES_OUT","CY2023")</f>
        <v>3435294</v>
      </c>
      <c r="N336" s="5">
        <f>_xll.SNL.Clients.Office.Excel.Functions.SPG(K336, "IQ_DILUT_EPS_NORM", "CY2023")</f>
        <v>350.83800000000002</v>
      </c>
      <c r="O336">
        <f t="shared" si="64"/>
        <v>1205231.676372</v>
      </c>
      <c r="P336">
        <f t="shared" si="65"/>
        <v>0.12447012783795432</v>
      </c>
      <c r="Q336" s="5">
        <f>_xll.SNL.Clients.Office.Excel.Functions.SPG(K336, "SP_MARKETCAP", "12/31/2022")</f>
        <v>14741.284458460001</v>
      </c>
      <c r="R336">
        <f t="shared" si="69"/>
        <v>4.3749479229659966E-4</v>
      </c>
      <c r="S336">
        <f t="shared" si="70"/>
        <v>0.15348979793975445</v>
      </c>
      <c r="U336" t="s">
        <v>336</v>
      </c>
      <c r="V336" s="4" cm="1">
        <f t="array" ref="V336">_xll.SNL.Clients.Office.Excel.Functions.SPG(U336, "SP_TOTAL_REV", "CY2021")</f>
        <v>8966309</v>
      </c>
      <c r="W336" s="4">
        <f>_xll.SNL.Clients.Office.Excel.Functions.SPG(U336,"IQ_AVG_DILUT_SHARES_OUT","CY2021")</f>
        <v>3858912</v>
      </c>
      <c r="X336" s="5">
        <f>_xll.SNL.Clients.Office.Excel.Functions.SPG(U336, "IQ_DILUT_EPS_NORM", "CY2021")</f>
        <v>257.58600000000001</v>
      </c>
      <c r="Y336">
        <f t="shared" si="71"/>
        <v>994001.70643200004</v>
      </c>
      <c r="Z336">
        <f t="shared" si="72"/>
        <v>0.11085963091747117</v>
      </c>
      <c r="AA336" s="5">
        <f>_xll.SNL.Clients.Office.Excel.Functions.SPG(U336, "SP_MARKETCAP", "12/31/2021")</f>
        <v>20555.570145549998</v>
      </c>
      <c r="AB336">
        <f t="shared" si="66"/>
        <v>4.8444352311324335E-4</v>
      </c>
      <c r="AC336">
        <f t="shared" si="73"/>
        <v>0.12478586934464792</v>
      </c>
    </row>
    <row r="337" spans="1:29" x14ac:dyDescent="0.3">
      <c r="A337" t="s">
        <v>337</v>
      </c>
      <c r="B337" s="4" cm="1">
        <f t="array" ref="B337">_xll.SNL.Clients.Office.Excel.Functions.SPG(A337, "SP_TOTAL_REV", "CY2023")</f>
        <v>13276000</v>
      </c>
      <c r="C337" s="4">
        <f>_xll.SNL.Clients.Office.Excel.Functions.SPG(A337,"IQ_AVG_DILUT_SHARES_OUT","CY2023")</f>
        <v>261370000</v>
      </c>
      <c r="D337" s="5">
        <f>_xll.SNL.Clients.Office.Excel.Functions.SPG(A337, "IQ_DILUT_EPS_NORM", "CY2023")</f>
        <v>8.1349999999999998</v>
      </c>
      <c r="E337">
        <f t="shared" si="62"/>
        <v>2126244.9500000002</v>
      </c>
      <c r="F337">
        <f t="shared" si="63"/>
        <v>0.16015704655016572</v>
      </c>
      <c r="G337" s="5">
        <f>_xll.SNL.Clients.Office.Excel.Functions.SPG(A337, "SP_MARKETCAP", "12/30/2023")</f>
        <v>59203.074973679999</v>
      </c>
      <c r="H337">
        <f t="shared" si="67"/>
        <v>1.4090332454528276E-3</v>
      </c>
      <c r="I337">
        <f t="shared" si="68"/>
        <v>1.1462485451758752E-2</v>
      </c>
      <c r="K337" t="s">
        <v>337</v>
      </c>
      <c r="L337" s="4" cm="1">
        <f t="array" ref="L337">_xll.SNL.Clients.Office.Excel.Functions.SPG(K337, "SP_TOTAL_REV", "CY2023")</f>
        <v>13276000</v>
      </c>
      <c r="M337" s="4">
        <f>_xll.SNL.Clients.Office.Excel.Functions.SPG(K337,"IQ_AVG_DILUT_SHARES_OUT","CY2023")</f>
        <v>261370000</v>
      </c>
      <c r="N337" s="5">
        <f>_xll.SNL.Clients.Office.Excel.Functions.SPG(K337, "IQ_DILUT_EPS_NORM", "CY2023")</f>
        <v>8.1349999999999998</v>
      </c>
      <c r="O337">
        <f t="shared" si="64"/>
        <v>2126244.9500000002</v>
      </c>
      <c r="P337">
        <f t="shared" si="65"/>
        <v>0.16015704655016572</v>
      </c>
      <c r="Q337" s="5">
        <f>_xll.SNL.Clients.Office.Excel.Functions.SPG(K337, "SP_MARKETCAP", "12/31/2022")</f>
        <v>40951.08224186</v>
      </c>
      <c r="R337">
        <f t="shared" si="69"/>
        <v>1.2153544197732113E-3</v>
      </c>
      <c r="S337">
        <f t="shared" si="70"/>
        <v>9.8869082048550737E-3</v>
      </c>
      <c r="U337" t="s">
        <v>337</v>
      </c>
      <c r="V337" s="4" cm="1">
        <f t="array" ref="V337">_xll.SNL.Clients.Office.Excel.Functions.SPG(U337, "SP_TOTAL_REV", "CY2021")</f>
        <v>11063000</v>
      </c>
      <c r="W337" s="4">
        <f>_xll.SNL.Clients.Office.Excel.Functions.SPG(U337,"IQ_AVG_DILUT_SHARES_OUT","CY2021")</f>
        <v>275646000</v>
      </c>
      <c r="X337" s="5">
        <f>_xll.SNL.Clients.Office.Excel.Functions.SPG(U337, "IQ_DILUT_EPS_NORM", "CY2021")</f>
        <v>4.9429999999999996</v>
      </c>
      <c r="Y337">
        <f t="shared" si="71"/>
        <v>1362518.1780000001</v>
      </c>
      <c r="Z337">
        <f t="shared" si="72"/>
        <v>0.12315991846696195</v>
      </c>
      <c r="AA337" s="5">
        <f>_xll.SNL.Clients.Office.Excel.Functions.SPG(U337, "SP_MARKETCAP", "12/31/2021")</f>
        <v>60574.275457219999</v>
      </c>
      <c r="AB337">
        <f t="shared" si="66"/>
        <v>1.4275846013874971E-3</v>
      </c>
      <c r="AC337">
        <f t="shared" si="73"/>
        <v>7.0565506846583977E-3</v>
      </c>
    </row>
    <row r="338" spans="1:29" x14ac:dyDescent="0.3">
      <c r="A338" t="s">
        <v>338</v>
      </c>
      <c r="B338" s="4" cm="1">
        <f t="array" ref="B338">_xll.SNL.Clients.Office.Excel.Functions.SPG(A338, "SP_TOTAL_REV", "CY2023")</f>
        <v>15812250</v>
      </c>
      <c r="C338" s="4">
        <f>_xll.SNL.Clients.Office.Excel.Functions.SPG(A338,"IQ_AVG_DILUT_SHARES_OUT","CY2023")</f>
        <v>60998000</v>
      </c>
      <c r="D338" s="5">
        <f>_xll.SNL.Clients.Office.Excel.Functions.SPG(A338, "IQ_DILUT_EPS_NORM", "CY2023")</f>
        <v>30.724</v>
      </c>
      <c r="E338">
        <f t="shared" si="62"/>
        <v>1874102.5519999999</v>
      </c>
      <c r="F338">
        <f t="shared" si="63"/>
        <v>0.1185221933627409</v>
      </c>
      <c r="G338" s="5">
        <f>_xll.SNL.Clients.Office.Excel.Functions.SPG(A338, "SP_MARKETCAP", "12/30/2023")</f>
        <v>56208.799224000002</v>
      </c>
      <c r="H338">
        <f t="shared" si="67"/>
        <v>1.3377694795212781E-3</v>
      </c>
      <c r="I338">
        <f t="shared" si="68"/>
        <v>4.1101629488811749E-2</v>
      </c>
      <c r="K338" t="s">
        <v>338</v>
      </c>
      <c r="L338" s="4" cm="1">
        <f t="array" ref="L338">_xll.SNL.Clients.Office.Excel.Functions.SPG(K338, "SP_TOTAL_REV", "CY2023")</f>
        <v>15812250</v>
      </c>
      <c r="M338" s="4">
        <f>_xll.SNL.Clients.Office.Excel.Functions.SPG(K338,"IQ_AVG_DILUT_SHARES_OUT","CY2023")</f>
        <v>60998000</v>
      </c>
      <c r="N338" s="5">
        <f>_xll.SNL.Clients.Office.Excel.Functions.SPG(K338, "IQ_DILUT_EPS_NORM", "CY2023")</f>
        <v>30.724</v>
      </c>
      <c r="O338">
        <f t="shared" si="64"/>
        <v>1874102.5519999999</v>
      </c>
      <c r="P338">
        <f t="shared" si="65"/>
        <v>0.1185221933627409</v>
      </c>
      <c r="Q338" s="5">
        <f>_xll.SNL.Clients.Office.Excel.Functions.SPG(K338, "SP_MARKETCAP", "12/31/2022")</f>
        <v>52815.946161330001</v>
      </c>
      <c r="R338">
        <f t="shared" si="69"/>
        <v>1.5674822272721668E-3</v>
      </c>
      <c r="S338">
        <f t="shared" si="70"/>
        <v>4.8159323950710056E-2</v>
      </c>
      <c r="U338" t="s">
        <v>338</v>
      </c>
      <c r="V338" s="4" cm="1">
        <f t="array" ref="V338">_xll.SNL.Clients.Office.Excel.Functions.SPG(U338, "SP_TOTAL_REV", "CY2021")</f>
        <v>13327563</v>
      </c>
      <c r="W338" s="4">
        <f>_xll.SNL.Clients.Office.Excel.Functions.SPG(U338,"IQ_AVG_DILUT_SHARES_OUT","CY2021")</f>
        <v>69611000</v>
      </c>
      <c r="X338" s="5">
        <f>_xll.SNL.Clients.Office.Excel.Functions.SPG(U338, "IQ_DILUT_EPS_NORM", "CY2021")</f>
        <v>25.09</v>
      </c>
      <c r="Y338">
        <f t="shared" si="71"/>
        <v>1746539.99</v>
      </c>
      <c r="Z338">
        <f t="shared" si="72"/>
        <v>0.13104721320769597</v>
      </c>
      <c r="AA338" s="5">
        <f>_xll.SNL.Clients.Office.Excel.Functions.SPG(U338, "SP_MARKETCAP", "12/31/2021")</f>
        <v>47584.644607080001</v>
      </c>
      <c r="AB338">
        <f t="shared" si="66"/>
        <v>1.1214513981523345E-3</v>
      </c>
      <c r="AC338">
        <f t="shared" si="73"/>
        <v>2.8137215579642074E-2</v>
      </c>
    </row>
    <row r="339" spans="1:29" x14ac:dyDescent="0.3">
      <c r="A339" t="s">
        <v>339</v>
      </c>
      <c r="B339" s="4" cm="1">
        <f t="array" ref="B339">_xll.SNL.Clients.Office.Excel.Functions.SPG(A339, "SP_TOTAL_REV", "CY2023")</f>
        <v>28257000</v>
      </c>
      <c r="C339" s="4">
        <f>_xll.SNL.Clients.Office.Excel.Functions.SPG(A339,"IQ_AVG_DILUT_SHARES_OUT","CY2023")</f>
        <v>960900000</v>
      </c>
      <c r="D339" s="5">
        <f>_xll.SNL.Clients.Office.Excel.Functions.SPG(A339, "IQ_DILUT_EPS_NORM", "CY2023")</f>
        <v>3.7090000000000001</v>
      </c>
      <c r="E339">
        <f t="shared" si="62"/>
        <v>3563978.1</v>
      </c>
      <c r="F339">
        <f t="shared" si="63"/>
        <v>0.12612726404076866</v>
      </c>
      <c r="G339" s="5">
        <f>_xll.SNL.Clients.Office.Excel.Functions.SPG(A339, "SP_MARKETCAP", "12/30/2023")</f>
        <v>52400.364973180003</v>
      </c>
      <c r="H339">
        <f t="shared" si="67"/>
        <v>1.2471287404226372E-3</v>
      </c>
      <c r="I339">
        <f t="shared" si="68"/>
        <v>4.6256004982275613E-3</v>
      </c>
      <c r="K339" t="s">
        <v>339</v>
      </c>
      <c r="L339" s="4" cm="1">
        <f t="array" ref="L339">_xll.SNL.Clients.Office.Excel.Functions.SPG(K339, "SP_TOTAL_REV", "CY2023")</f>
        <v>28257000</v>
      </c>
      <c r="M339" s="4">
        <f>_xll.SNL.Clients.Office.Excel.Functions.SPG(K339,"IQ_AVG_DILUT_SHARES_OUT","CY2023")</f>
        <v>960900000</v>
      </c>
      <c r="N339" s="5">
        <f>_xll.SNL.Clients.Office.Excel.Functions.SPG(K339, "IQ_DILUT_EPS_NORM", "CY2023")</f>
        <v>3.7090000000000001</v>
      </c>
      <c r="O339">
        <f t="shared" si="64"/>
        <v>3563978.1</v>
      </c>
      <c r="P339">
        <f t="shared" si="65"/>
        <v>0.12612726404076866</v>
      </c>
      <c r="Q339" s="5">
        <f>_xll.SNL.Clients.Office.Excel.Functions.SPG(K339, "SP_MARKETCAP", "12/31/2022")</f>
        <v>57061.240165390001</v>
      </c>
      <c r="R339">
        <f t="shared" si="69"/>
        <v>1.6934749129012901E-3</v>
      </c>
      <c r="S339">
        <f t="shared" si="70"/>
        <v>6.2810984519508853E-3</v>
      </c>
      <c r="U339" t="s">
        <v>339</v>
      </c>
      <c r="V339" s="4" cm="1">
        <f t="array" ref="V339">_xll.SNL.Clients.Office.Excel.Functions.SPG(U339, "SP_TOTAL_REV", "CY2021")</f>
        <v>25956000</v>
      </c>
      <c r="W339" s="4">
        <f>_xll.SNL.Clients.Office.Excel.Functions.SPG(U339,"IQ_AVG_DILUT_SHARES_OUT","CY2021")</f>
        <v>958800000</v>
      </c>
      <c r="X339" s="5">
        <f>_xll.SNL.Clients.Office.Excel.Functions.SPG(U339, "IQ_DILUT_EPS_NORM", "CY2021")</f>
        <v>2.4039999999999999</v>
      </c>
      <c r="Y339">
        <f t="shared" si="71"/>
        <v>2304955.2000000002</v>
      </c>
      <c r="Z339">
        <f t="shared" si="72"/>
        <v>8.8802404068423491E-2</v>
      </c>
      <c r="AA339" s="5">
        <f>_xll.SNL.Clients.Office.Excel.Functions.SPG(U339, "SP_MARKETCAP", "12/31/2021")</f>
        <v>27076.108639189999</v>
      </c>
      <c r="AB339">
        <f t="shared" si="66"/>
        <v>6.3811635330415523E-4</v>
      </c>
      <c r="AC339">
        <f t="shared" si="73"/>
        <v>1.5340317133431891E-3</v>
      </c>
    </row>
    <row r="340" spans="1:29" x14ac:dyDescent="0.3">
      <c r="A340" t="s">
        <v>340</v>
      </c>
      <c r="B340" s="4" cm="1">
        <f t="array" ref="B340">_xll.SNL.Clients.Office.Excel.Functions.SPG(A340, "SP_TOTAL_REV", "CY2023")</f>
        <v>5866152</v>
      </c>
      <c r="C340" s="4">
        <f>_xll.SNL.Clients.Office.Excel.Functions.SPG(A340,"IQ_AVG_DILUT_SHARES_OUT","CY2023")</f>
        <v>220180424</v>
      </c>
      <c r="D340" s="5">
        <f>_xll.SNL.Clients.Office.Excel.Functions.SPG(A340, "IQ_DILUT_EPS_NORM", "CY2023")</f>
        <v>4.6769999999999996</v>
      </c>
      <c r="E340">
        <f t="shared" si="62"/>
        <v>1029783.8430479999</v>
      </c>
      <c r="F340">
        <f t="shared" si="63"/>
        <v>0.17554673711966548</v>
      </c>
      <c r="G340" s="5">
        <f>_xll.SNL.Clients.Office.Excel.Functions.SPG(A340, "SP_MARKETCAP", "12/30/2023")</f>
        <v>44227.03737582</v>
      </c>
      <c r="H340">
        <f t="shared" si="67"/>
        <v>1.0526035351731255E-3</v>
      </c>
      <c r="I340">
        <f t="shared" si="68"/>
        <v>4.9230267340047073E-3</v>
      </c>
      <c r="K340" t="s">
        <v>340</v>
      </c>
      <c r="L340" s="4" cm="1">
        <f t="array" ref="L340">_xll.SNL.Clients.Office.Excel.Functions.SPG(K340, "SP_TOTAL_REV", "CY2023")</f>
        <v>5866152</v>
      </c>
      <c r="M340" s="4">
        <f>_xll.SNL.Clients.Office.Excel.Functions.SPG(K340,"IQ_AVG_DILUT_SHARES_OUT","CY2023")</f>
        <v>220180424</v>
      </c>
      <c r="N340" s="5">
        <f>_xll.SNL.Clients.Office.Excel.Functions.SPG(K340, "IQ_DILUT_EPS_NORM", "CY2023")</f>
        <v>4.6769999999999996</v>
      </c>
      <c r="O340">
        <f t="shared" si="64"/>
        <v>1029783.8430479999</v>
      </c>
      <c r="P340">
        <f t="shared" si="65"/>
        <v>0.17554673711966548</v>
      </c>
      <c r="Q340" s="5">
        <f>_xll.SNL.Clients.Office.Excel.Functions.SPG(K340, "SP_MARKETCAP", "12/31/2022")</f>
        <v>31352.474691160001</v>
      </c>
      <c r="R340">
        <f t="shared" si="69"/>
        <v>9.3048502263461444E-4</v>
      </c>
      <c r="S340">
        <f t="shared" si="70"/>
        <v>4.3518784508620916E-3</v>
      </c>
      <c r="U340" t="s">
        <v>340</v>
      </c>
      <c r="V340" s="4" cm="1">
        <f t="array" ref="V340">_xll.SNL.Clients.Office.Excel.Functions.SPG(U340, "SP_TOTAL_REV", "CY2021")</f>
        <v>5256328</v>
      </c>
      <c r="W340" s="4">
        <f>_xll.SNL.Clients.Office.Excel.Functions.SPG(U340,"IQ_AVG_DILUT_SHARES_OUT","CY2021")</f>
        <v>232819978</v>
      </c>
      <c r="X340" s="5">
        <f>_xll.SNL.Clients.Office.Excel.Functions.SPG(U340, "IQ_DILUT_EPS_NORM", "CY2021")</f>
        <v>3.7269999999999999</v>
      </c>
      <c r="Y340">
        <f t="shared" si="71"/>
        <v>867720.05800599989</v>
      </c>
      <c r="Z340">
        <f t="shared" si="72"/>
        <v>0.16508103337653204</v>
      </c>
      <c r="AA340" s="5">
        <f>_xll.SNL.Clients.Office.Excel.Functions.SPG(U340, "SP_MARKETCAP", "12/31/2021")</f>
        <v>41217.703821360003</v>
      </c>
      <c r="AB340">
        <f t="shared" si="66"/>
        <v>9.7139848286721241E-4</v>
      </c>
      <c r="AC340">
        <f t="shared" si="73"/>
        <v>3.6204021456461006E-3</v>
      </c>
    </row>
    <row r="341" spans="1:29" x14ac:dyDescent="0.3">
      <c r="A341" t="s">
        <v>341</v>
      </c>
      <c r="B341" s="4" cm="1">
        <f t="array" ref="B341">_xll.SNL.Clients.Office.Excel.Functions.SPG(A341, "SP_TOTAL_REV", "CY2023")</f>
        <v>14692200</v>
      </c>
      <c r="C341" s="4">
        <f>_xll.SNL.Clients.Office.Excel.Functions.SPG(A341,"IQ_AVG_DILUT_SHARES_OUT","CY2023")</f>
        <v>201400000</v>
      </c>
      <c r="D341" s="5">
        <f>_xll.SNL.Clients.Office.Excel.Functions.SPG(A341, "IQ_DILUT_EPS_NORM", "CY2023")</f>
        <v>5.9649999999999999</v>
      </c>
      <c r="E341">
        <f t="shared" si="62"/>
        <v>1201351</v>
      </c>
      <c r="F341">
        <f t="shared" si="63"/>
        <v>8.1767944895931172E-2</v>
      </c>
      <c r="G341" s="5">
        <f>_xll.SNL.Clients.Office.Excel.Functions.SPG(A341, "SP_MARKETCAP", "12/30/2023")</f>
        <v>17123.285046699999</v>
      </c>
      <c r="H341">
        <f t="shared" si="67"/>
        <v>4.0753420177738861E-4</v>
      </c>
      <c r="I341">
        <f t="shared" si="68"/>
        <v>2.4309415136021229E-3</v>
      </c>
      <c r="K341" t="s">
        <v>341</v>
      </c>
      <c r="L341" s="4" cm="1">
        <f t="array" ref="L341">_xll.SNL.Clients.Office.Excel.Functions.SPG(K341, "SP_TOTAL_REV", "CY2023")</f>
        <v>14692200</v>
      </c>
      <c r="M341" s="4">
        <f>_xll.SNL.Clients.Office.Excel.Functions.SPG(K341,"IQ_AVG_DILUT_SHARES_OUT","CY2023")</f>
        <v>201400000</v>
      </c>
      <c r="N341" s="5">
        <f>_xll.SNL.Clients.Office.Excel.Functions.SPG(K341, "IQ_DILUT_EPS_NORM", "CY2023")</f>
        <v>5.9649999999999999</v>
      </c>
      <c r="O341">
        <f t="shared" si="64"/>
        <v>1201351</v>
      </c>
      <c r="P341">
        <f t="shared" si="65"/>
        <v>8.1767944895931172E-2</v>
      </c>
      <c r="Q341" s="5">
        <f>_xll.SNL.Clients.Office.Excel.Functions.SPG(K341, "SP_MARKETCAP", "12/31/2022")</f>
        <v>16633.438560959999</v>
      </c>
      <c r="R341">
        <f t="shared" si="69"/>
        <v>4.9365052067963883E-4</v>
      </c>
      <c r="S341">
        <f t="shared" si="70"/>
        <v>2.9446253558540456E-3</v>
      </c>
      <c r="U341" t="s">
        <v>341</v>
      </c>
      <c r="V341" s="4" cm="1">
        <f t="array" ref="V341">_xll.SNL.Clients.Office.Excel.Functions.SPG(U341, "SP_TOTAL_REV", "CY2021")</f>
        <v>14289400</v>
      </c>
      <c r="W341" s="4">
        <f>_xll.SNL.Clients.Office.Excel.Functions.SPG(U341,"IQ_AVG_DILUT_SHARES_OUT","CY2021")</f>
        <v>215600000</v>
      </c>
      <c r="X341" s="5">
        <f>_xll.SNL.Clients.Office.Excel.Functions.SPG(U341, "IQ_DILUT_EPS_NORM", "CY2021")</f>
        <v>5.1779999999999999</v>
      </c>
      <c r="Y341">
        <f t="shared" si="71"/>
        <v>1116376.8</v>
      </c>
      <c r="Z341">
        <f t="shared" si="72"/>
        <v>7.8126219435385669E-2</v>
      </c>
      <c r="AA341" s="5">
        <f>_xll.SNL.Clients.Office.Excel.Functions.SPG(U341, "SP_MARKETCAP", "12/31/2021")</f>
        <v>15574.162906940001</v>
      </c>
      <c r="AB341">
        <f t="shared" si="66"/>
        <v>3.6704417803808538E-4</v>
      </c>
      <c r="AC341">
        <f t="shared" si="73"/>
        <v>1.900554753881206E-3</v>
      </c>
    </row>
    <row r="342" spans="1:29" x14ac:dyDescent="0.3">
      <c r="A342" t="s">
        <v>342</v>
      </c>
      <c r="B342" s="4" cm="1">
        <f t="array" ref="B342">_xll.SNL.Clients.Office.Excel.Functions.SPG(A342, "SP_TOTAL_REV", "CY2023")</f>
        <v>8253000</v>
      </c>
      <c r="C342" s="4">
        <f>_xll.SNL.Clients.Office.Excel.Functions.SPG(A342,"IQ_AVG_DILUT_SHARES_OUT","CY2023")</f>
        <v>446800000</v>
      </c>
      <c r="D342" s="5">
        <f>_xll.SNL.Clients.Office.Excel.Functions.SPG(A342, "IQ_DILUT_EPS_NORM", "CY2023")</f>
        <v>3.6669999999999998</v>
      </c>
      <c r="E342">
        <f t="shared" si="62"/>
        <v>1638415.6</v>
      </c>
      <c r="F342">
        <f t="shared" si="63"/>
        <v>0.19852363988852539</v>
      </c>
      <c r="G342" s="5">
        <f>_xll.SNL.Clients.Office.Excel.Functions.SPG(A342, "SP_MARKETCAP", "12/30/2023")</f>
        <v>35976.169442109996</v>
      </c>
      <c r="H342">
        <f t="shared" si="67"/>
        <v>8.5623286983848624E-4</v>
      </c>
      <c r="I342">
        <f t="shared" si="68"/>
        <v>3.1398059336977288E-3</v>
      </c>
      <c r="K342" t="s">
        <v>342</v>
      </c>
      <c r="L342" s="4" cm="1">
        <f t="array" ref="L342">_xll.SNL.Clients.Office.Excel.Functions.SPG(K342, "SP_TOTAL_REV", "CY2023")</f>
        <v>8253000</v>
      </c>
      <c r="M342" s="4">
        <f>_xll.SNL.Clients.Office.Excel.Functions.SPG(K342,"IQ_AVG_DILUT_SHARES_OUT","CY2023")</f>
        <v>446800000</v>
      </c>
      <c r="N342" s="5">
        <f>_xll.SNL.Clients.Office.Excel.Functions.SPG(K342, "IQ_DILUT_EPS_NORM", "CY2023")</f>
        <v>3.6669999999999998</v>
      </c>
      <c r="O342">
        <f t="shared" si="64"/>
        <v>1638415.6</v>
      </c>
      <c r="P342">
        <f t="shared" si="65"/>
        <v>0.19852363988852539</v>
      </c>
      <c r="Q342" s="5">
        <f>_xll.SNL.Clients.Office.Excel.Functions.SPG(K342, "SP_MARKETCAP", "12/31/2022")</f>
        <v>26970.258248009999</v>
      </c>
      <c r="R342">
        <f t="shared" si="69"/>
        <v>8.0042872543763721E-4</v>
      </c>
      <c r="S342">
        <f t="shared" si="70"/>
        <v>2.9351721361798155E-3</v>
      </c>
      <c r="U342" t="s">
        <v>342</v>
      </c>
      <c r="V342" s="4" cm="1">
        <f t="array" ref="V342">_xll.SNL.Clients.Office.Excel.Functions.SPG(U342, "SP_TOTAL_REV", "CY2021")</f>
        <v>6739800</v>
      </c>
      <c r="W342" s="4">
        <f>_xll.SNL.Clients.Office.Excel.Functions.SPG(U342,"IQ_AVG_DILUT_SHARES_OUT","CY2021")</f>
        <v>443800000</v>
      </c>
      <c r="X342" s="5">
        <f>_xll.SNL.Clients.Office.Excel.Functions.SPG(U342, "IQ_DILUT_EPS_NORM", "CY2021")</f>
        <v>1.7569999999999999</v>
      </c>
      <c r="Y342">
        <f t="shared" si="71"/>
        <v>779756.6</v>
      </c>
      <c r="Z342">
        <f t="shared" si="72"/>
        <v>0.11569432327368764</v>
      </c>
      <c r="AA342" s="5">
        <f>_xll.SNL.Clients.Office.Excel.Functions.SPG(U342, "SP_MARKETCAP", "12/31/2021")</f>
        <v>29262.22191552</v>
      </c>
      <c r="AB342">
        <f t="shared" si="66"/>
        <v>6.8963759110057853E-4</v>
      </c>
      <c r="AC342">
        <f t="shared" si="73"/>
        <v>1.2116932475637165E-3</v>
      </c>
    </row>
    <row r="343" spans="1:29" x14ac:dyDescent="0.3">
      <c r="A343" t="s">
        <v>343</v>
      </c>
      <c r="B343" s="4" cm="1">
        <f t="array" ref="B343">_xll.SNL.Clients.Office.Excel.Functions.SPG(A343, "SP_TOTAL_REV", "CY2023")</f>
        <v>17677000</v>
      </c>
      <c r="C343" s="4">
        <f>_xll.SNL.Clients.Office.Excel.Functions.SPG(A343,"IQ_AVG_DILUT_SHARES_OUT","CY2023")</f>
        <v>485400000</v>
      </c>
      <c r="D343" s="5">
        <f>_xll.SNL.Clients.Office.Excel.Functions.SPG(A343, "IQ_DILUT_EPS_NORM", "CY2023")</f>
        <v>3.7029999999999998</v>
      </c>
      <c r="E343">
        <f t="shared" si="62"/>
        <v>1797436.2</v>
      </c>
      <c r="F343">
        <f t="shared" si="63"/>
        <v>0.10168219720540815</v>
      </c>
      <c r="G343" s="5">
        <f>_xll.SNL.Clients.Office.Excel.Functions.SPG(A343, "SP_MARKETCAP", "12/30/2023")</f>
        <v>40906.712541480003</v>
      </c>
      <c r="H343">
        <f t="shared" si="67"/>
        <v>9.7357980069028634E-4</v>
      </c>
      <c r="I343">
        <f t="shared" si="68"/>
        <v>3.6051660019561301E-3</v>
      </c>
      <c r="K343" t="s">
        <v>343</v>
      </c>
      <c r="L343" s="4" cm="1">
        <f t="array" ref="L343">_xll.SNL.Clients.Office.Excel.Functions.SPG(K343, "SP_TOTAL_REV", "CY2023")</f>
        <v>17677000</v>
      </c>
      <c r="M343" s="4">
        <f>_xll.SNL.Clients.Office.Excel.Functions.SPG(K343,"IQ_AVG_DILUT_SHARES_OUT","CY2023")</f>
        <v>485400000</v>
      </c>
      <c r="N343" s="5">
        <f>_xll.SNL.Clients.Office.Excel.Functions.SPG(K343, "IQ_DILUT_EPS_NORM", "CY2023")</f>
        <v>3.7029999999999998</v>
      </c>
      <c r="O343">
        <f t="shared" si="64"/>
        <v>1797436.2</v>
      </c>
      <c r="P343">
        <f t="shared" si="65"/>
        <v>0.10168219720540815</v>
      </c>
      <c r="Q343" s="5">
        <f>_xll.SNL.Clients.Office.Excel.Functions.SPG(K343, "SP_MARKETCAP", "12/31/2022")</f>
        <v>29364.867419400001</v>
      </c>
      <c r="R343">
        <f t="shared" si="69"/>
        <v>8.7149641597850927E-4</v>
      </c>
      <c r="S343">
        <f t="shared" si="70"/>
        <v>3.2271512283684198E-3</v>
      </c>
      <c r="U343" t="s">
        <v>343</v>
      </c>
      <c r="V343" s="4" cm="1">
        <f t="array" ref="V343">_xll.SNL.Clients.Office.Excel.Functions.SPG(U343, "SP_TOTAL_REV", "CY2021")</f>
        <v>16540000</v>
      </c>
      <c r="W343" s="4">
        <f>_xll.SNL.Clients.Office.Excel.Functions.SPG(U343,"IQ_AVG_DILUT_SHARES_OUT","CY2021")</f>
        <v>447400000</v>
      </c>
      <c r="X343" s="5">
        <f>_xll.SNL.Clients.Office.Excel.Functions.SPG(U343, "IQ_DILUT_EPS_NORM", "CY2021")</f>
        <v>2.7719999999999998</v>
      </c>
      <c r="Y343">
        <f t="shared" si="71"/>
        <v>1240192.8</v>
      </c>
      <c r="Z343">
        <f t="shared" si="72"/>
        <v>7.4981426844014515E-2</v>
      </c>
      <c r="AA343" s="5">
        <f>_xll.SNL.Clients.Office.Excel.Functions.SPG(U343, "SP_MARKETCAP", "12/31/2021")</f>
        <v>26203.240668279999</v>
      </c>
      <c r="AB343">
        <f t="shared" si="66"/>
        <v>6.1754503214662016E-4</v>
      </c>
      <c r="AC343">
        <f t="shared" si="73"/>
        <v>1.7118348291104309E-3</v>
      </c>
    </row>
    <row r="344" spans="1:29" x14ac:dyDescent="0.3">
      <c r="A344" t="s">
        <v>344</v>
      </c>
      <c r="B344" s="4" cm="1">
        <f t="array" ref="B344">_xll.SNL.Clients.Office.Excel.Functions.SPG(A344, "SP_TOTAL_REV", "CY2023")</f>
        <v>51628000</v>
      </c>
      <c r="C344" s="4">
        <f>_xll.SNL.Clients.Office.Excel.Functions.SPG(A344,"IQ_AVG_DILUT_SHARES_OUT","CY2023")</f>
        <v>2802500000</v>
      </c>
      <c r="D344" s="5">
        <f>_xll.SNL.Clients.Office.Excel.Functions.SPG(A344, "IQ_DILUT_EPS_NORM", "CY2023")</f>
        <v>2.524</v>
      </c>
      <c r="E344">
        <f t="shared" si="62"/>
        <v>7073510</v>
      </c>
      <c r="F344">
        <f t="shared" si="63"/>
        <v>0.13700918106453863</v>
      </c>
      <c r="G344" s="5">
        <f>_xll.SNL.Clients.Office.Excel.Functions.SPG(A344, "SP_MARKETCAP", "12/30/2023")</f>
        <v>289818.84645999997</v>
      </c>
      <c r="H344">
        <f t="shared" si="67"/>
        <v>6.8976888447513183E-3</v>
      </c>
      <c r="I344">
        <f t="shared" si="68"/>
        <v>1.7409766644152329E-2</v>
      </c>
      <c r="K344" t="s">
        <v>344</v>
      </c>
      <c r="L344" s="4" cm="1">
        <f t="array" ref="L344">_xll.SNL.Clients.Office.Excel.Functions.SPG(K344, "SP_TOTAL_REV", "CY2023")</f>
        <v>51628000</v>
      </c>
      <c r="M344" s="4">
        <f>_xll.SNL.Clients.Office.Excel.Functions.SPG(K344,"IQ_AVG_DILUT_SHARES_OUT","CY2023")</f>
        <v>2802500000</v>
      </c>
      <c r="N344" s="5">
        <f>_xll.SNL.Clients.Office.Excel.Functions.SPG(K344, "IQ_DILUT_EPS_NORM", "CY2023")</f>
        <v>2.524</v>
      </c>
      <c r="O344">
        <f t="shared" si="64"/>
        <v>7073510</v>
      </c>
      <c r="P344">
        <f t="shared" si="65"/>
        <v>0.13700918106453863</v>
      </c>
      <c r="Q344" s="5">
        <f>_xll.SNL.Clients.Office.Excel.Functions.SPG(K344, "SP_MARKETCAP", "12/31/2022")</f>
        <v>220391.72021999999</v>
      </c>
      <c r="R344">
        <f t="shared" si="69"/>
        <v>6.5408296090646145E-3</v>
      </c>
      <c r="S344">
        <f t="shared" si="70"/>
        <v>1.6509053933279089E-2</v>
      </c>
      <c r="U344" t="s">
        <v>344</v>
      </c>
      <c r="V344" s="4" cm="1">
        <f t="array" ref="V344">_xll.SNL.Clients.Office.Excel.Functions.SPG(U344, "SP_TOTAL_REV", "CY2021")</f>
        <v>41399000</v>
      </c>
      <c r="W344" s="4">
        <f>_xll.SNL.Clients.Office.Excel.Functions.SPG(U344,"IQ_AVG_DILUT_SHARES_OUT","CY2021")</f>
        <v>2895500000</v>
      </c>
      <c r="X344" s="5">
        <f>_xll.SNL.Clients.Office.Excel.Functions.SPG(U344, "IQ_DILUT_EPS_NORM", "CY2021")</f>
        <v>2.85</v>
      </c>
      <c r="Y344">
        <f t="shared" si="71"/>
        <v>8252175</v>
      </c>
      <c r="Z344">
        <f t="shared" si="72"/>
        <v>0.19933271335056402</v>
      </c>
      <c r="AA344" s="5">
        <f>_xll.SNL.Clients.Office.Excel.Functions.SPG(U344, "SP_MARKETCAP", "12/31/2021")</f>
        <v>232889.68286999999</v>
      </c>
      <c r="AB344">
        <f t="shared" si="66"/>
        <v>5.4886290026206434E-3</v>
      </c>
      <c r="AC344">
        <f t="shared" si="73"/>
        <v>1.5642592657468833E-2</v>
      </c>
    </row>
    <row r="345" spans="1:29" x14ac:dyDescent="0.3">
      <c r="A345" t="s">
        <v>345</v>
      </c>
      <c r="B345" s="4" cm="1">
        <f t="array" ref="B345">_xll.SNL.Clients.Office.Excel.Functions.SPG(A345, "SP_TOTAL_REV", "CY2023")</f>
        <v>14209000</v>
      </c>
      <c r="C345" s="4">
        <f>_xll.SNL.Clients.Office.Excel.Functions.SPG(A345,"IQ_AVG_DILUT_SHARES_OUT","CY2023")</f>
        <v>414600000</v>
      </c>
      <c r="D345" s="5">
        <f>_xll.SNL.Clients.Office.Excel.Functions.SPG(A345, "IQ_DILUT_EPS_NORM", "CY2023")</f>
        <v>2.9649999999999999</v>
      </c>
      <c r="E345">
        <f t="shared" si="62"/>
        <v>1229289</v>
      </c>
      <c r="F345">
        <f t="shared" si="63"/>
        <v>8.6514814554155814E-2</v>
      </c>
      <c r="G345" s="5">
        <f>_xll.SNL.Clients.Office.Excel.Functions.SPG(A345, "SP_MARKETCAP", "12/30/2023")</f>
        <v>36616.386893809999</v>
      </c>
      <c r="H345">
        <f t="shared" si="67"/>
        <v>8.7147004584945255E-4</v>
      </c>
      <c r="I345">
        <f t="shared" si="68"/>
        <v>2.5839086859436268E-3</v>
      </c>
      <c r="K345" t="s">
        <v>345</v>
      </c>
      <c r="L345" s="4" cm="1">
        <f t="array" ref="L345">_xll.SNL.Clients.Office.Excel.Functions.SPG(K345, "SP_TOTAL_REV", "CY2023")</f>
        <v>14209000</v>
      </c>
      <c r="M345" s="4">
        <f>_xll.SNL.Clients.Office.Excel.Functions.SPG(K345,"IQ_AVG_DILUT_SHARES_OUT","CY2023")</f>
        <v>414600000</v>
      </c>
      <c r="N345" s="5">
        <f>_xll.SNL.Clients.Office.Excel.Functions.SPG(K345, "IQ_DILUT_EPS_NORM", "CY2023")</f>
        <v>2.9649999999999999</v>
      </c>
      <c r="O345">
        <f t="shared" si="64"/>
        <v>1229289</v>
      </c>
      <c r="P345">
        <f t="shared" si="65"/>
        <v>8.6514814554155814E-2</v>
      </c>
      <c r="Q345" s="5">
        <f>_xll.SNL.Clients.Office.Excel.Functions.SPG(K345, "SP_MARKETCAP", "12/31/2022")</f>
        <v>32622.855689870001</v>
      </c>
      <c r="R345">
        <f t="shared" si="69"/>
        <v>9.6818764432503388E-4</v>
      </c>
      <c r="S345">
        <f t="shared" si="70"/>
        <v>2.8706763654237255E-3</v>
      </c>
      <c r="U345" t="s">
        <v>345</v>
      </c>
      <c r="V345" s="4" cm="1">
        <f t="array" ref="V345">_xll.SNL.Clients.Office.Excel.Functions.SPG(U345, "SP_TOTAL_REV", "CY2021")</f>
        <v>14298000</v>
      </c>
      <c r="W345" s="4">
        <f>_xll.SNL.Clients.Office.Excel.Functions.SPG(U345,"IQ_AVG_DILUT_SHARES_OUT","CY2021")</f>
        <v>431400000</v>
      </c>
      <c r="X345" s="5">
        <f>_xll.SNL.Clients.Office.Excel.Functions.SPG(U345, "IQ_DILUT_EPS_NORM", "CY2021")</f>
        <v>2.5579999999999998</v>
      </c>
      <c r="Y345">
        <f t="shared" si="71"/>
        <v>1103521.2</v>
      </c>
      <c r="Z345">
        <f t="shared" si="72"/>
        <v>7.7180109106168696E-2</v>
      </c>
      <c r="AA345" s="5">
        <f>_xll.SNL.Clients.Office.Excel.Functions.SPG(U345, "SP_MARKETCAP", "12/31/2021")</f>
        <v>36984.633782550001</v>
      </c>
      <c r="AB345">
        <f t="shared" si="66"/>
        <v>8.7163557925200059E-4</v>
      </c>
      <c r="AC345">
        <f t="shared" si="73"/>
        <v>2.2296438117266172E-3</v>
      </c>
    </row>
    <row r="346" spans="1:29" x14ac:dyDescent="0.3">
      <c r="A346" t="s">
        <v>346</v>
      </c>
      <c r="B346" s="4" cm="1">
        <f t="array" ref="B346">_xll.SNL.Clients.Office.Excel.Functions.SPG(A346, "SP_TOTAL_REV", "CY2023")</f>
        <v>35127400</v>
      </c>
      <c r="C346" s="4">
        <f>_xll.SNL.Clients.Office.Excel.Functions.SPG(A346,"IQ_AVG_DILUT_SHARES_OUT","CY2023")</f>
        <v>525000000</v>
      </c>
      <c r="D346" s="5">
        <f>_xll.SNL.Clients.Office.Excel.Functions.SPG(A346, "IQ_DILUT_EPS_NORM", "CY2023")</f>
        <v>7.5220000000000002</v>
      </c>
      <c r="E346">
        <f t="shared" si="62"/>
        <v>3949050</v>
      </c>
      <c r="F346">
        <f t="shared" si="63"/>
        <v>0.11242078833047707</v>
      </c>
      <c r="G346" s="5">
        <f>_xll.SNL.Clients.Office.Excel.Functions.SPG(A346, "SP_MARKETCAP", "12/30/2023")</f>
        <v>51078.3559713</v>
      </c>
      <c r="H346">
        <f t="shared" si="67"/>
        <v>1.215664924813989E-3</v>
      </c>
      <c r="I346">
        <f t="shared" si="68"/>
        <v>9.1442315644508256E-3</v>
      </c>
      <c r="K346" t="s">
        <v>346</v>
      </c>
      <c r="L346" s="4" cm="1">
        <f t="array" ref="L346">_xll.SNL.Clients.Office.Excel.Functions.SPG(K346, "SP_TOTAL_REV", "CY2023")</f>
        <v>35127400</v>
      </c>
      <c r="M346" s="4">
        <f>_xll.SNL.Clients.Office.Excel.Functions.SPG(K346,"IQ_AVG_DILUT_SHARES_OUT","CY2023")</f>
        <v>525000000</v>
      </c>
      <c r="N346" s="5">
        <f>_xll.SNL.Clients.Office.Excel.Functions.SPG(K346, "IQ_DILUT_EPS_NORM", "CY2023")</f>
        <v>7.5220000000000002</v>
      </c>
      <c r="O346">
        <f t="shared" si="64"/>
        <v>3949050</v>
      </c>
      <c r="P346">
        <f t="shared" si="65"/>
        <v>0.11242078833047707</v>
      </c>
      <c r="Q346" s="5">
        <f>_xll.SNL.Clients.Office.Excel.Functions.SPG(K346, "SP_MARKETCAP", "12/31/2022")</f>
        <v>34418.556864760001</v>
      </c>
      <c r="R346">
        <f t="shared" si="69"/>
        <v>1.021480823406481E-3</v>
      </c>
      <c r="S346">
        <f t="shared" si="70"/>
        <v>7.6835787536635499E-3</v>
      </c>
      <c r="U346" t="s">
        <v>346</v>
      </c>
      <c r="V346" s="4" cm="1">
        <f t="array" ref="V346">_xll.SNL.Clients.Office.Excel.Functions.SPG(U346, "SP_TOTAL_REV", "CY2021")</f>
        <v>23522300</v>
      </c>
      <c r="W346" s="4">
        <f>_xll.SNL.Clients.Office.Excel.Functions.SPG(U346,"IQ_AVG_DILUT_SHARES_OUT","CY2021")</f>
        <v>522700000</v>
      </c>
      <c r="X346" s="5">
        <f>_xll.SNL.Clients.Office.Excel.Functions.SPG(U346, "IQ_DILUT_EPS_NORM", "CY2021")</f>
        <v>2.8650000000000002</v>
      </c>
      <c r="Y346">
        <f t="shared" si="71"/>
        <v>1497535.5</v>
      </c>
      <c r="Z346">
        <f t="shared" si="72"/>
        <v>6.3664501345531685E-2</v>
      </c>
      <c r="AA346" s="5">
        <f>_xll.SNL.Clients.Office.Excel.Functions.SPG(U346, "SP_MARKETCAP", "12/31/2021")</f>
        <v>30641.870498560002</v>
      </c>
      <c r="AB346">
        <f t="shared" si="66"/>
        <v>7.2215246738440591E-4</v>
      </c>
      <c r="AC346">
        <f t="shared" si="73"/>
        <v>2.068966819056323E-3</v>
      </c>
    </row>
    <row r="347" spans="1:29" x14ac:dyDescent="0.3">
      <c r="A347" t="s">
        <v>347</v>
      </c>
      <c r="B347" s="4" cm="1">
        <f t="array" ref="B347">_xll.SNL.Clients.Office.Excel.Functions.SPG(A347, "SP_TOTAL_REV", "CY2023")</f>
        <v>7802400</v>
      </c>
      <c r="C347" s="4">
        <f>_xll.SNL.Clients.Office.Excel.Functions.SPG(A347,"IQ_AVG_DILUT_SHARES_OUT","CY2023")</f>
        <v>89500000</v>
      </c>
      <c r="D347" s="5">
        <f>_xll.SNL.Clients.Office.Excel.Functions.SPG(A347, "IQ_DILUT_EPS_NORM", "CY2023")</f>
        <v>7.476</v>
      </c>
      <c r="E347">
        <f t="shared" si="62"/>
        <v>669102</v>
      </c>
      <c r="F347">
        <f t="shared" si="63"/>
        <v>8.5755921254998466E-2</v>
      </c>
      <c r="G347" s="5">
        <f>_xll.SNL.Clients.Office.Excel.Functions.SPG(A347, "SP_MARKETCAP", "12/30/2023")</f>
        <v>14491.26024632</v>
      </c>
      <c r="H347">
        <f t="shared" si="67"/>
        <v>3.4489200881290995E-4</v>
      </c>
      <c r="I347">
        <f t="shared" si="68"/>
        <v>2.5784126578853148E-3</v>
      </c>
      <c r="K347" t="s">
        <v>347</v>
      </c>
      <c r="L347" s="4" cm="1">
        <f t="array" ref="L347">_xll.SNL.Clients.Office.Excel.Functions.SPG(K347, "SP_TOTAL_REV", "CY2023")</f>
        <v>7802400</v>
      </c>
      <c r="M347" s="4">
        <f>_xll.SNL.Clients.Office.Excel.Functions.SPG(K347,"IQ_AVG_DILUT_SHARES_OUT","CY2023")</f>
        <v>89500000</v>
      </c>
      <c r="N347" s="5">
        <f>_xll.SNL.Clients.Office.Excel.Functions.SPG(K347, "IQ_DILUT_EPS_NORM", "CY2023")</f>
        <v>7.476</v>
      </c>
      <c r="O347">
        <f t="shared" si="64"/>
        <v>669102</v>
      </c>
      <c r="P347">
        <f t="shared" si="65"/>
        <v>8.5755921254998466E-2</v>
      </c>
      <c r="Q347" s="5">
        <f>_xll.SNL.Clients.Office.Excel.Functions.SPG(K347, "SP_MARKETCAP", "12/31/2022")</f>
        <v>11751.515977470001</v>
      </c>
      <c r="R347">
        <f t="shared" si="69"/>
        <v>3.487638445768454E-4</v>
      </c>
      <c r="S347">
        <f t="shared" si="70"/>
        <v>2.6073585020564964E-3</v>
      </c>
      <c r="U347" t="s">
        <v>347</v>
      </c>
      <c r="V347" s="4" cm="1">
        <f t="array" ref="V347">_xll.SNL.Clients.Office.Excel.Functions.SPG(U347, "SP_TOTAL_REV", "CY2021")</f>
        <v>7730300</v>
      </c>
      <c r="W347" s="4">
        <f>_xll.SNL.Clients.Office.Excel.Functions.SPG(U347,"IQ_AVG_DILUT_SHARES_OUT","CY2021")</f>
        <v>94500000</v>
      </c>
      <c r="X347" s="5">
        <f>_xll.SNL.Clients.Office.Excel.Functions.SPG(U347, "IQ_DILUT_EPS_NORM", "CY2021")</f>
        <v>7.9989999999999997</v>
      </c>
      <c r="Y347">
        <f t="shared" si="71"/>
        <v>755905.5</v>
      </c>
      <c r="Z347">
        <f t="shared" si="72"/>
        <v>9.7784756089673103E-2</v>
      </c>
      <c r="AA347" s="5">
        <f>_xll.SNL.Clients.Office.Excel.Functions.SPG(U347, "SP_MARKETCAP", "12/31/2021")</f>
        <v>12841.514014349999</v>
      </c>
      <c r="AB347">
        <f t="shared" si="66"/>
        <v>3.0264245881628156E-4</v>
      </c>
      <c r="AC347">
        <f t="shared" si="73"/>
        <v>2.4208370280714361E-3</v>
      </c>
    </row>
    <row r="348" spans="1:29" x14ac:dyDescent="0.3">
      <c r="A348" t="s">
        <v>348</v>
      </c>
      <c r="B348" s="4" cm="1">
        <f t="array" ref="B348">_xll.SNL.Clients.Office.Excel.Functions.SPG(A348, "SP_TOTAL_REV", "CY2023")</f>
        <v>2225012</v>
      </c>
      <c r="C348" s="4">
        <f>_xll.SNL.Clients.Office.Excel.Functions.SPG(A348,"IQ_AVG_DILUT_SHARES_OUT","CY2023")</f>
        <v>2297927000</v>
      </c>
      <c r="D348" s="5">
        <f>_xll.SNL.Clients.Office.Excel.Functions.SPG(A348, "IQ_DILUT_EPS_NORM", "CY2023")</f>
        <v>6.0999999999999999E-2</v>
      </c>
      <c r="E348">
        <f t="shared" si="62"/>
        <v>140173.54699999999</v>
      </c>
      <c r="F348">
        <f t="shared" si="63"/>
        <v>6.2999007196365683E-2</v>
      </c>
      <c r="G348" s="5">
        <f>_xll.SNL.Clients.Office.Excel.Functions.SPG(A348, "SP_MARKETCAP", "12/30/2023")</f>
        <v>37361.737465730002</v>
      </c>
      <c r="H348">
        <f t="shared" si="67"/>
        <v>8.8920939023011967E-4</v>
      </c>
      <c r="I348">
        <f t="shared" si="68"/>
        <v>5.42417728040373E-5</v>
      </c>
      <c r="K348" t="s">
        <v>348</v>
      </c>
      <c r="L348" s="4" cm="1">
        <f t="array" ref="L348">_xll.SNL.Clients.Office.Excel.Functions.SPG(K348, "SP_TOTAL_REV", "CY2023")</f>
        <v>2225012</v>
      </c>
      <c r="M348" s="4">
        <f>_xll.SNL.Clients.Office.Excel.Functions.SPG(K348,"IQ_AVG_DILUT_SHARES_OUT","CY2023")</f>
        <v>2297927000</v>
      </c>
      <c r="N348" s="5">
        <f>_xll.SNL.Clients.Office.Excel.Functions.SPG(K348, "IQ_DILUT_EPS_NORM", "CY2023")</f>
        <v>6.0999999999999999E-2</v>
      </c>
      <c r="O348">
        <f t="shared" si="64"/>
        <v>140173.54699999999</v>
      </c>
      <c r="P348">
        <f t="shared" si="65"/>
        <v>6.2999007196365683E-2</v>
      </c>
      <c r="Q348" s="5">
        <f>_xll.SNL.Clients.Office.Excel.Functions.SPG(K348, "SP_MARKETCAP", "12/31/2022")</f>
        <v>13354.851546899999</v>
      </c>
      <c r="R348">
        <f t="shared" si="69"/>
        <v>3.963479586956776E-4</v>
      </c>
      <c r="S348">
        <f t="shared" si="70"/>
        <v>2.4177225480436333E-5</v>
      </c>
      <c r="U348" t="s">
        <v>348</v>
      </c>
      <c r="V348" s="4" cm="1">
        <f t="array" ref="V348">_xll.SNL.Clients.Office.Excel.Functions.SPG(U348, "SP_TOTAL_REV", "CY2021")</f>
        <v>1541889</v>
      </c>
      <c r="W348" s="4">
        <f>_xll.SNL.Clients.Office.Excel.Functions.SPG(U348,"IQ_AVG_DILUT_SHARES_OUT","CY2021")</f>
        <v>1923617000</v>
      </c>
      <c r="X348" s="5">
        <f>_xll.SNL.Clients.Office.Excel.Functions.SPG(U348, "IQ_DILUT_EPS_NORM", "CY2021")</f>
        <v>-0.13500000000000001</v>
      </c>
      <c r="Y348">
        <f t="shared" si="71"/>
        <v>-259688.29500000004</v>
      </c>
      <c r="Z348">
        <f t="shared" si="72"/>
        <v>-0.1684221724131893</v>
      </c>
      <c r="AA348" s="5">
        <f>_xll.SNL.Clients.Office.Excel.Functions.SPG(U348, "SP_MARKETCAP", "12/31/2021")</f>
        <v>36507.789135300001</v>
      </c>
      <c r="AB348">
        <f t="shared" si="66"/>
        <v>8.6039754015817909E-4</v>
      </c>
      <c r="AC348">
        <f t="shared" si="73"/>
        <v>-1.1615366792135418E-4</v>
      </c>
    </row>
    <row r="349" spans="1:29" x14ac:dyDescent="0.3">
      <c r="A349" t="s">
        <v>349</v>
      </c>
      <c r="B349" s="4" cm="1">
        <f t="array" ref="B349">_xll.SNL.Clients.Office.Excel.Functions.SPG(A349, "SP_TOTAL_REV", "CY2023")</f>
        <v>7527400</v>
      </c>
      <c r="C349" s="4">
        <f>_xll.SNL.Clients.Office.Excel.Functions.SPG(A349,"IQ_AVG_DILUT_SHARES_OUT","CY2023")</f>
        <v>703300000</v>
      </c>
      <c r="D349" s="5">
        <f>_xll.SNL.Clients.Office.Excel.Functions.SPG(A349, "IQ_DILUT_EPS_NORM", "CY2023")</f>
        <v>0.92600000000000005</v>
      </c>
      <c r="E349">
        <f t="shared" si="62"/>
        <v>651255.80000000005</v>
      </c>
      <c r="F349">
        <f t="shared" si="63"/>
        <v>8.6518027472965442E-2</v>
      </c>
      <c r="G349" s="5">
        <f>_xll.SNL.Clients.Office.Excel.Functions.SPG(A349, "SP_MARKETCAP", "12/30/2023")</f>
        <v>92975.664000000004</v>
      </c>
      <c r="H349">
        <f t="shared" si="67"/>
        <v>2.2128208991220991E-3</v>
      </c>
      <c r="I349">
        <f t="shared" si="68"/>
        <v>2.049072152587064E-3</v>
      </c>
      <c r="K349" t="s">
        <v>349</v>
      </c>
      <c r="L349" s="4" cm="1">
        <f t="array" ref="L349">_xll.SNL.Clients.Office.Excel.Functions.SPG(K349, "SP_TOTAL_REV", "CY2023")</f>
        <v>7527400</v>
      </c>
      <c r="M349" s="4">
        <f>_xll.SNL.Clients.Office.Excel.Functions.SPG(K349,"IQ_AVG_DILUT_SHARES_OUT","CY2023")</f>
        <v>703300000</v>
      </c>
      <c r="N349" s="5">
        <f>_xll.SNL.Clients.Office.Excel.Functions.SPG(K349, "IQ_DILUT_EPS_NORM", "CY2023")</f>
        <v>0.92600000000000005</v>
      </c>
      <c r="O349">
        <f t="shared" si="64"/>
        <v>651255.80000000005</v>
      </c>
      <c r="P349">
        <f t="shared" si="65"/>
        <v>8.6518027472965442E-2</v>
      </c>
      <c r="Q349" s="5">
        <f>_xll.SNL.Clients.Office.Excel.Functions.SPG(K349, "SP_MARKETCAP", "12/31/2022")</f>
        <v>42190.885593580002</v>
      </c>
      <c r="R349">
        <f t="shared" si="69"/>
        <v>1.2521495519326809E-3</v>
      </c>
      <c r="S349">
        <f t="shared" si="70"/>
        <v>1.1594904850896627E-3</v>
      </c>
      <c r="U349" t="s">
        <v>349</v>
      </c>
      <c r="V349" s="4" cm="1">
        <f t="array" ref="V349">_xll.SNL.Clients.Office.Excel.Functions.SPG(U349, "SP_TOTAL_REV", "CY2021")</f>
        <v>4857500</v>
      </c>
      <c r="W349" s="4">
        <f>_xll.SNL.Clients.Office.Excel.Functions.SPG(U349,"IQ_AVG_DILUT_SHARES_OUT","CY2021")</f>
        <v>585000000</v>
      </c>
      <c r="X349" s="5">
        <f>_xll.SNL.Clients.Office.Excel.Functions.SPG(U349, "IQ_DILUT_EPS_NORM", "CY2021")</f>
        <v>-0.45400000000000001</v>
      </c>
      <c r="Y349">
        <f t="shared" si="71"/>
        <v>-265590</v>
      </c>
      <c r="Z349">
        <f t="shared" si="72"/>
        <v>-5.4676273803396812E-2</v>
      </c>
      <c r="AA349" s="5">
        <f>_xll.SNL.Clients.Office.Excel.Functions.SPG(U349, "SP_MARKETCAP", "12/31/2021")</f>
        <v>54933.505223427201</v>
      </c>
      <c r="AB349">
        <f t="shared" si="66"/>
        <v>1.294645714955175E-3</v>
      </c>
      <c r="AC349">
        <f t="shared" si="73"/>
        <v>-5.8776915458964949E-4</v>
      </c>
    </row>
    <row r="350" spans="1:29" x14ac:dyDescent="0.3">
      <c r="A350" t="s">
        <v>350</v>
      </c>
      <c r="B350" s="4" cm="1">
        <f t="array" ref="B350">_xll.SNL.Clients.Office.Excel.Functions.SPG(A350, "SP_TOTAL_REV", "CY2023")</f>
        <v>29652000</v>
      </c>
      <c r="C350" s="4">
        <f>_xll.SNL.Clients.Office.Excel.Functions.SPG(A350,"IQ_AVG_DILUT_SHARES_OUT","CY2023")</f>
        <v>652000000</v>
      </c>
      <c r="D350" s="5">
        <f>_xll.SNL.Clients.Office.Excel.Functions.SPG(A350, "IQ_DILUT_EPS_NORM", "CY2023")</f>
        <v>0.57299999999999995</v>
      </c>
      <c r="E350">
        <f t="shared" si="62"/>
        <v>373595.99999999994</v>
      </c>
      <c r="F350">
        <f t="shared" si="63"/>
        <v>1.25993524888709E-2</v>
      </c>
      <c r="G350" s="5">
        <f>_xll.SNL.Clients.Office.Excel.Functions.SPG(A350, "SP_MARKETCAP", "12/30/2023")</f>
        <v>9832.5234797699995</v>
      </c>
      <c r="H350">
        <f t="shared" si="67"/>
        <v>2.3401406896264598E-4</v>
      </c>
      <c r="I350">
        <f t="shared" si="68"/>
        <v>1.3409006151559612E-4</v>
      </c>
      <c r="K350" t="s">
        <v>350</v>
      </c>
      <c r="L350" s="4" cm="1">
        <f t="array" ref="L350">_xll.SNL.Clients.Office.Excel.Functions.SPG(K350, "SP_TOTAL_REV", "CY2023")</f>
        <v>29652000</v>
      </c>
      <c r="M350" s="4">
        <f>_xll.SNL.Clients.Office.Excel.Functions.SPG(K350,"IQ_AVG_DILUT_SHARES_OUT","CY2023")</f>
        <v>652000000</v>
      </c>
      <c r="N350" s="5">
        <f>_xll.SNL.Clients.Office.Excel.Functions.SPG(K350, "IQ_DILUT_EPS_NORM", "CY2023")</f>
        <v>0.57299999999999995</v>
      </c>
      <c r="O350">
        <f t="shared" si="64"/>
        <v>373595.99999999994</v>
      </c>
      <c r="P350">
        <f t="shared" si="65"/>
        <v>1.25993524888709E-2</v>
      </c>
      <c r="Q350" s="5">
        <f>_xll.SNL.Clients.Office.Excel.Functions.SPG(K350, "SP_MARKETCAP", "12/31/2022")</f>
        <v>11069.187790399999</v>
      </c>
      <c r="R350">
        <f t="shared" si="69"/>
        <v>3.2851357199568048E-4</v>
      </c>
      <c r="S350">
        <f t="shared" si="70"/>
        <v>1.8823827675352491E-4</v>
      </c>
      <c r="U350" t="s">
        <v>350</v>
      </c>
      <c r="V350" s="4" cm="1">
        <f t="array" ref="V350">_xll.SNL.Clients.Office.Excel.Functions.SPG(U350, "SP_TOTAL_REV", "CY2021")</f>
        <v>28586000</v>
      </c>
      <c r="W350" s="4">
        <f>_xll.SNL.Clients.Office.Excel.Functions.SPG(U350,"IQ_AVG_DILUT_SHARES_OUT","CY2021")</f>
        <v>655000000</v>
      </c>
      <c r="X350" s="5">
        <f>_xll.SNL.Clients.Office.Excel.Functions.SPG(U350, "IQ_DILUT_EPS_NORM", "CY2021")</f>
        <v>2.6829999999999998</v>
      </c>
      <c r="Y350">
        <f t="shared" si="71"/>
        <v>1757365</v>
      </c>
      <c r="Z350">
        <f t="shared" si="72"/>
        <v>6.1476422024767371E-2</v>
      </c>
      <c r="AA350" s="5">
        <f>_xll.SNL.Clients.Office.Excel.Functions.SPG(U350, "SP_MARKETCAP", "12/31/2021")</f>
        <v>19668.806851509999</v>
      </c>
      <c r="AB350">
        <f t="shared" si="66"/>
        <v>4.6354472384421691E-4</v>
      </c>
      <c r="AC350">
        <f t="shared" si="73"/>
        <v>1.2436904940740338E-3</v>
      </c>
    </row>
    <row r="351" spans="1:29" x14ac:dyDescent="0.3">
      <c r="A351" t="s">
        <v>351</v>
      </c>
      <c r="B351" s="4" cm="1">
        <f t="array" ref="B351">_xll.SNL.Clients.Office.Excel.Functions.SPG(A351, "SP_TOTAL_REV", "CY2023")</f>
        <v>19826043</v>
      </c>
      <c r="C351" s="4">
        <f>_xll.SNL.Clients.Office.Excel.Functions.SPG(A351,"IQ_AVG_DILUT_SHARES_OUT","CY2023")</f>
        <v>130023935</v>
      </c>
      <c r="D351" s="5">
        <f>_xll.SNL.Clients.Office.Excel.Functions.SPG(A351, "IQ_DILUT_EPS_NORM", "CY2023")</f>
        <v>17.509</v>
      </c>
      <c r="E351">
        <f t="shared" si="62"/>
        <v>2276589.0779149998</v>
      </c>
      <c r="F351">
        <f t="shared" si="63"/>
        <v>0.11482821246352587</v>
      </c>
      <c r="G351" s="5">
        <f>_xll.SNL.Clients.Office.Excel.Functions.SPG(A351, "SP_MARKETCAP", "12/30/2023")</f>
        <v>59188.8121168</v>
      </c>
      <c r="H351">
        <f t="shared" si="67"/>
        <v>1.4086937894443687E-3</v>
      </c>
      <c r="I351">
        <f t="shared" si="68"/>
        <v>2.4664819559381452E-2</v>
      </c>
      <c r="K351" t="s">
        <v>351</v>
      </c>
      <c r="L351" s="4" cm="1">
        <f t="array" ref="L351">_xll.SNL.Clients.Office.Excel.Functions.SPG(K351, "SP_TOTAL_REV", "CY2023")</f>
        <v>19826043</v>
      </c>
      <c r="M351" s="4">
        <f>_xll.SNL.Clients.Office.Excel.Functions.SPG(K351,"IQ_AVG_DILUT_SHARES_OUT","CY2023")</f>
        <v>130023935</v>
      </c>
      <c r="N351" s="5">
        <f>_xll.SNL.Clients.Office.Excel.Functions.SPG(K351, "IQ_DILUT_EPS_NORM", "CY2023")</f>
        <v>17.509</v>
      </c>
      <c r="O351">
        <f t="shared" si="64"/>
        <v>2276589.0779149998</v>
      </c>
      <c r="P351">
        <f t="shared" si="65"/>
        <v>0.11482821246352587</v>
      </c>
      <c r="Q351" s="5">
        <f>_xll.SNL.Clients.Office.Excel.Functions.SPG(K351, "SP_MARKETCAP", "12/31/2022")</f>
        <v>37366.067720999999</v>
      </c>
      <c r="R351">
        <f t="shared" si="69"/>
        <v>1.1089576408762529E-3</v>
      </c>
      <c r="S351">
        <f t="shared" si="70"/>
        <v>1.9416739334102314E-2</v>
      </c>
      <c r="U351" t="s">
        <v>351</v>
      </c>
      <c r="V351" s="4" cm="1">
        <f t="array" ref="V351">_xll.SNL.Clients.Office.Excel.Functions.SPG(U351, "SP_TOTAL_REV", "CY2021")</f>
        <v>15292584</v>
      </c>
      <c r="W351" s="4">
        <f>_xll.SNL.Clients.Office.Excel.Functions.SPG(U351,"IQ_AVG_DILUT_SHARES_OUT","CY2021")</f>
        <v>130885802</v>
      </c>
      <c r="X351" s="5">
        <f>_xll.SNL.Clients.Office.Excel.Functions.SPG(U351, "IQ_DILUT_EPS_NORM", "CY2021")</f>
        <v>11.439</v>
      </c>
      <c r="Y351">
        <f t="shared" si="71"/>
        <v>1497202.6890780001</v>
      </c>
      <c r="Z351">
        <f t="shared" si="72"/>
        <v>9.7903839473956797E-2</v>
      </c>
      <c r="AA351" s="5">
        <f>_xll.SNL.Clients.Office.Excel.Functions.SPG(U351, "SP_MARKETCAP", "12/31/2021")</f>
        <v>40883.176848360003</v>
      </c>
      <c r="AB351">
        <f t="shared" si="66"/>
        <v>9.635145164177772E-4</v>
      </c>
      <c r="AC351">
        <f t="shared" si="73"/>
        <v>1.1021642553302954E-2</v>
      </c>
    </row>
    <row r="352" spans="1:29" x14ac:dyDescent="0.3">
      <c r="A352" t="s">
        <v>352</v>
      </c>
      <c r="B352" s="4" cm="1">
        <f t="array" ref="B352">_xll.SNL.Clients.Office.Excel.Functions.SPG(A352, "SP_TOTAL_REV", "CY2023")</f>
        <v>5154500</v>
      </c>
      <c r="C352" s="4">
        <f>_xll.SNL.Clients.Office.Excel.Functions.SPG(A352,"IQ_AVG_DILUT_SHARES_OUT","CY2023")</f>
        <v>362350000</v>
      </c>
      <c r="D352" s="5">
        <f>_xll.SNL.Clients.Office.Excel.Functions.SPG(A352, "IQ_DILUT_EPS_NORM", "CY2023")</f>
        <v>3.722</v>
      </c>
      <c r="E352">
        <f t="shared" si="62"/>
        <v>1348666.7</v>
      </c>
      <c r="F352">
        <f t="shared" si="63"/>
        <v>0.26164840430691627</v>
      </c>
      <c r="G352" s="5">
        <f>_xll.SNL.Clients.Office.Excel.Functions.SPG(A352, "SP_MARKETCAP", "12/30/2023")</f>
        <v>42858.377694859999</v>
      </c>
      <c r="H352">
        <f t="shared" si="67"/>
        <v>1.0200294333542444E-3</v>
      </c>
      <c r="I352">
        <f t="shared" si="68"/>
        <v>3.7965495509444977E-3</v>
      </c>
      <c r="K352" t="s">
        <v>352</v>
      </c>
      <c r="L352" s="4" cm="1">
        <f t="array" ref="L352">_xll.SNL.Clients.Office.Excel.Functions.SPG(K352, "SP_TOTAL_REV", "CY2023")</f>
        <v>5154500</v>
      </c>
      <c r="M352" s="4">
        <f>_xll.SNL.Clients.Office.Excel.Functions.SPG(K352,"IQ_AVG_DILUT_SHARES_OUT","CY2023")</f>
        <v>362350000</v>
      </c>
      <c r="N352" s="5">
        <f>_xll.SNL.Clients.Office.Excel.Functions.SPG(K352, "IQ_DILUT_EPS_NORM", "CY2023")</f>
        <v>3.722</v>
      </c>
      <c r="O352">
        <f t="shared" si="64"/>
        <v>1348666.7</v>
      </c>
      <c r="P352">
        <f t="shared" si="65"/>
        <v>0.26164840430691627</v>
      </c>
      <c r="Q352" s="5">
        <f>_xll.SNL.Clients.Office.Excel.Functions.SPG(K352, "SP_MARKETCAP", "12/31/2022")</f>
        <v>41655.514286880003</v>
      </c>
      <c r="R352">
        <f t="shared" si="69"/>
        <v>1.2362606950772083E-3</v>
      </c>
      <c r="S352">
        <f t="shared" si="70"/>
        <v>4.6013623070773691E-3</v>
      </c>
      <c r="U352" t="s">
        <v>352</v>
      </c>
      <c r="V352" s="4" cm="1">
        <f t="array" ref="V352">_xll.SNL.Clients.Office.Excel.Functions.SPG(U352, "SP_TOTAL_REV", "CY2021")</f>
        <v>4332300</v>
      </c>
      <c r="W352" s="4">
        <f>_xll.SNL.Clients.Office.Excel.Functions.SPG(U352,"IQ_AVG_DILUT_SHARES_OUT","CY2021")</f>
        <v>362750000</v>
      </c>
      <c r="X352" s="5">
        <f>_xll.SNL.Clients.Office.Excel.Functions.SPG(U352, "IQ_DILUT_EPS_NORM", "CY2021")</f>
        <v>2.8690000000000002</v>
      </c>
      <c r="Y352">
        <f t="shared" si="71"/>
        <v>1040729.7500000001</v>
      </c>
      <c r="Z352">
        <f t="shared" si="72"/>
        <v>0.24022568843339567</v>
      </c>
      <c r="AA352" s="5">
        <f>_xll.SNL.Clients.Office.Excel.Functions.SPG(U352, "SP_MARKETCAP", "12/31/2021")</f>
        <v>49249.2</v>
      </c>
      <c r="AB352">
        <f t="shared" si="66"/>
        <v>1.1606808173926411E-3</v>
      </c>
      <c r="AC352">
        <f t="shared" si="73"/>
        <v>3.3299932650994873E-3</v>
      </c>
    </row>
    <row r="353" spans="1:29" x14ac:dyDescent="0.3">
      <c r="A353" t="s">
        <v>353</v>
      </c>
      <c r="B353" s="4" cm="1">
        <f t="array" ref="B353">_xll.SNL.Clients.Office.Excel.Functions.SPG(A353, "SP_TOTAL_REV", "CY2023")</f>
        <v>1693674</v>
      </c>
      <c r="C353" s="4">
        <f>_xll.SNL.Clients.Office.Excel.Functions.SPG(A353,"IQ_AVG_DILUT_SHARES_OUT","CY2023")</f>
        <v>57974000</v>
      </c>
      <c r="D353" s="5">
        <f>_xll.SNL.Clients.Office.Excel.Functions.SPG(A353, "IQ_DILUT_EPS_NORM", "CY2023")</f>
        <v>5.093</v>
      </c>
      <c r="E353">
        <f t="shared" si="62"/>
        <v>295261.58199999999</v>
      </c>
      <c r="F353">
        <f t="shared" si="63"/>
        <v>0.17433200367957469</v>
      </c>
      <c r="G353" s="5">
        <f>_xll.SNL.Clients.Office.Excel.Functions.SPG(A353, "SP_MARKETCAP", "12/30/2023")</f>
        <v>11927.9135104</v>
      </c>
      <c r="H353">
        <f t="shared" si="67"/>
        <v>2.8388435385343373E-4</v>
      </c>
      <c r="I353">
        <f t="shared" si="68"/>
        <v>1.4458230141755381E-3</v>
      </c>
      <c r="K353" t="s">
        <v>353</v>
      </c>
      <c r="L353" s="4" cm="1">
        <f t="array" ref="L353">_xll.SNL.Clients.Office.Excel.Functions.SPG(K353, "SP_TOTAL_REV", "CY2023")</f>
        <v>1693674</v>
      </c>
      <c r="M353" s="4">
        <f>_xll.SNL.Clients.Office.Excel.Functions.SPG(K353,"IQ_AVG_DILUT_SHARES_OUT","CY2023")</f>
        <v>57974000</v>
      </c>
      <c r="N353" s="5">
        <f>_xll.SNL.Clients.Office.Excel.Functions.SPG(K353, "IQ_DILUT_EPS_NORM", "CY2023")</f>
        <v>5.093</v>
      </c>
      <c r="O353">
        <f t="shared" si="64"/>
        <v>295261.58199999999</v>
      </c>
      <c r="P353">
        <f t="shared" si="65"/>
        <v>0.17433200367957469</v>
      </c>
      <c r="Q353" s="5">
        <f>_xll.SNL.Clients.Office.Excel.Functions.SPG(K353, "SP_MARKETCAP", "12/31/2022")</f>
        <v>17956.542754149999</v>
      </c>
      <c r="R353">
        <f t="shared" si="69"/>
        <v>5.3291787189435722E-4</v>
      </c>
      <c r="S353">
        <f t="shared" si="70"/>
        <v>2.7141507215579612E-3</v>
      </c>
      <c r="U353" t="s">
        <v>353</v>
      </c>
      <c r="V353" s="4" cm="1">
        <f t="array" ref="V353">_xll.SNL.Clients.Office.Excel.Functions.SPG(U353, "SP_TOTAL_REV", "CY2021")</f>
        <v>1055524</v>
      </c>
      <c r="W353" s="4">
        <f>_xll.SNL.Clients.Office.Excel.Functions.SPG(U353,"IQ_AVG_DILUT_SHARES_OUT","CY2021")</f>
        <v>58191000</v>
      </c>
      <c r="X353" s="5">
        <f>_xll.SNL.Clients.Office.Excel.Functions.SPG(U353, "IQ_DILUT_EPS_NORM", "CY2021")</f>
        <v>2.7509999999999999</v>
      </c>
      <c r="Y353">
        <f t="shared" si="71"/>
        <v>160083.44099999999</v>
      </c>
      <c r="Z353">
        <f t="shared" si="72"/>
        <v>0.15166253064828464</v>
      </c>
      <c r="AA353" s="5">
        <f>_xll.SNL.Clients.Office.Excel.Functions.SPG(U353, "SP_MARKETCAP", "12/31/2021")</f>
        <v>24079.614581850001</v>
      </c>
      <c r="AB353">
        <f t="shared" si="66"/>
        <v>5.6749646157422699E-4</v>
      </c>
      <c r="AC353">
        <f t="shared" si="73"/>
        <v>1.5611827657906984E-3</v>
      </c>
    </row>
    <row r="354" spans="1:29" x14ac:dyDescent="0.3">
      <c r="A354" t="s">
        <v>354</v>
      </c>
      <c r="B354" s="4" cm="1">
        <f t="array" ref="B354">_xll.SNL.Clients.Office.Excel.Functions.SPG(A354, "SP_TOTAL_REV", "CY2023")</f>
        <v>29771000</v>
      </c>
      <c r="C354" s="4">
        <f>_xll.SNL.Clients.Office.Excel.Functions.SPG(A354,"IQ_AVG_DILUT_SHARES_OUT","CY2023")</f>
        <v>1107000000</v>
      </c>
      <c r="D354" s="5">
        <f>_xll.SNL.Clients.Office.Excel.Functions.SPG(A354, "IQ_DILUT_EPS_NORM", "CY2023")</f>
        <v>2.8119999999999998</v>
      </c>
      <c r="E354">
        <f t="shared" si="62"/>
        <v>3112884</v>
      </c>
      <c r="F354">
        <f t="shared" si="63"/>
        <v>0.10456094857411576</v>
      </c>
      <c r="G354" s="5">
        <f>_xll.SNL.Clients.Office.Excel.Functions.SPG(A354, "SP_MARKETCAP", "12/30/2023")</f>
        <v>66208.591155839997</v>
      </c>
      <c r="H354">
        <f t="shared" si="67"/>
        <v>1.5757645378157593E-3</v>
      </c>
      <c r="I354">
        <f t="shared" si="68"/>
        <v>4.4310498803379148E-3</v>
      </c>
      <c r="K354" t="s">
        <v>354</v>
      </c>
      <c r="L354" s="4" cm="1">
        <f t="array" ref="L354">_xll.SNL.Clients.Office.Excel.Functions.SPG(K354, "SP_TOTAL_REV", "CY2023")</f>
        <v>29771000</v>
      </c>
      <c r="M354" s="4">
        <f>_xll.SNL.Clients.Office.Excel.Functions.SPG(K354,"IQ_AVG_DILUT_SHARES_OUT","CY2023")</f>
        <v>1107000000</v>
      </c>
      <c r="N354" s="5">
        <f>_xll.SNL.Clients.Office.Excel.Functions.SPG(K354, "IQ_DILUT_EPS_NORM", "CY2023")</f>
        <v>2.8119999999999998</v>
      </c>
      <c r="O354">
        <f t="shared" si="64"/>
        <v>3112884</v>
      </c>
      <c r="P354">
        <f t="shared" si="65"/>
        <v>0.10456094857411576</v>
      </c>
      <c r="Q354" s="5">
        <f>_xll.SNL.Clients.Office.Excel.Functions.SPG(K354, "SP_MARKETCAP", "12/31/2022")</f>
        <v>81192.77507304</v>
      </c>
      <c r="R354">
        <f t="shared" si="69"/>
        <v>2.4096554385515901E-3</v>
      </c>
      <c r="S354">
        <f t="shared" si="70"/>
        <v>6.7759510932070711E-3</v>
      </c>
      <c r="U354" t="s">
        <v>354</v>
      </c>
      <c r="V354" s="4" cm="1">
        <f t="array" ref="V354">_xll.SNL.Clients.Office.Excel.Functions.SPG(U354, "SP_TOTAL_REV", "CY2021")</f>
        <v>25371000</v>
      </c>
      <c r="W354" s="4">
        <f>_xll.SNL.Clients.Office.Excel.Functions.SPG(U354,"IQ_AVG_DILUT_SHARES_OUT","CY2021")</f>
        <v>1186000000</v>
      </c>
      <c r="X354" s="5">
        <f>_xll.SNL.Clients.Office.Excel.Functions.SPG(U354, "IQ_DILUT_EPS_NORM", "CY2021")</f>
        <v>2.145</v>
      </c>
      <c r="Y354">
        <f t="shared" si="71"/>
        <v>2543970</v>
      </c>
      <c r="Z354">
        <f t="shared" si="72"/>
        <v>0.10027078160104055</v>
      </c>
      <c r="AA354" s="5">
        <f>_xll.SNL.Clients.Office.Excel.Functions.SPG(U354, "SP_MARKETCAP", "12/31/2021")</f>
        <v>221568.33183576001</v>
      </c>
      <c r="AB354">
        <f t="shared" si="66"/>
        <v>5.2218129939867837E-3</v>
      </c>
      <c r="AC354">
        <f t="shared" si="73"/>
        <v>1.1200788872101651E-2</v>
      </c>
    </row>
    <row r="355" spans="1:29" x14ac:dyDescent="0.3">
      <c r="A355" t="s">
        <v>355</v>
      </c>
      <c r="B355" s="4" cm="1">
        <f t="array" ref="B355">_xll.SNL.Clients.Office.Excel.Functions.SPG(A355, "SP_TOTAL_REV", "CY2023")</f>
        <v>4104500</v>
      </c>
      <c r="C355" s="4">
        <f>_xll.SNL.Clients.Office.Excel.Functions.SPG(A355,"IQ_AVG_DILUT_SHARES_OUT","CY2023")</f>
        <v>166300000</v>
      </c>
      <c r="D355" s="5">
        <f>_xll.SNL.Clients.Office.Excel.Functions.SPG(A355, "IQ_DILUT_EPS_NORM", "CY2023")</f>
        <v>2.5270000000000001</v>
      </c>
      <c r="E355">
        <f t="shared" si="62"/>
        <v>420240.1</v>
      </c>
      <c r="F355">
        <f t="shared" si="63"/>
        <v>0.10238521135339261</v>
      </c>
      <c r="G355" s="5">
        <f>_xll.SNL.Clients.Office.Excel.Functions.SPG(A355, "SP_MARKETCAP", "12/30/2023")</f>
        <v>12018.88730889</v>
      </c>
      <c r="H355">
        <f t="shared" si="67"/>
        <v>2.8604953035135254E-4</v>
      </c>
      <c r="I355">
        <f t="shared" si="68"/>
        <v>7.2284716319786786E-4</v>
      </c>
      <c r="K355" t="s">
        <v>355</v>
      </c>
      <c r="L355" s="4" cm="1">
        <f t="array" ref="L355">_xll.SNL.Clients.Office.Excel.Functions.SPG(K355, "SP_TOTAL_REV", "CY2023")</f>
        <v>4104500</v>
      </c>
      <c r="M355" s="4">
        <f>_xll.SNL.Clients.Office.Excel.Functions.SPG(K355,"IQ_AVG_DILUT_SHARES_OUT","CY2023")</f>
        <v>166300000</v>
      </c>
      <c r="N355" s="5">
        <f>_xll.SNL.Clients.Office.Excel.Functions.SPG(K355, "IQ_DILUT_EPS_NORM", "CY2023")</f>
        <v>2.5270000000000001</v>
      </c>
      <c r="O355">
        <f t="shared" si="64"/>
        <v>420240.1</v>
      </c>
      <c r="P355">
        <f t="shared" si="65"/>
        <v>0.10238521135339261</v>
      </c>
      <c r="Q355" s="5">
        <f>_xll.SNL.Clients.Office.Excel.Functions.SPG(K355, "SP_MARKETCAP", "12/31/2022")</f>
        <v>7399.1359629199997</v>
      </c>
      <c r="R355">
        <f t="shared" si="69"/>
        <v>2.1959303888300106E-4</v>
      </c>
      <c r="S355">
        <f t="shared" si="70"/>
        <v>5.5491160925734374E-4</v>
      </c>
      <c r="U355" t="s">
        <v>355</v>
      </c>
      <c r="V355" s="4" cm="1">
        <f t="array" ref="V355">_xll.SNL.Clients.Office.Excel.Functions.SPG(U355, "SP_TOTAL_REV", "CY2021")</f>
        <v>3764800</v>
      </c>
      <c r="W355" s="4">
        <f>_xll.SNL.Clients.Office.Excel.Functions.SPG(U355,"IQ_AVG_DILUT_SHARES_OUT","CY2021")</f>
        <v>167500000</v>
      </c>
      <c r="X355" s="5">
        <f>_xll.SNL.Clients.Office.Excel.Functions.SPG(U355, "IQ_DILUT_EPS_NORM", "CY2021")</f>
        <v>2.3340000000000001</v>
      </c>
      <c r="Y355">
        <f t="shared" si="71"/>
        <v>390945</v>
      </c>
      <c r="Z355">
        <f t="shared" si="72"/>
        <v>0.10384216957076073</v>
      </c>
      <c r="AA355" s="5">
        <f>_xll.SNL.Clients.Office.Excel.Functions.SPG(U355, "SP_MARKETCAP", "12/31/2021")</f>
        <v>12084.87433357</v>
      </c>
      <c r="AB355">
        <f t="shared" si="66"/>
        <v>2.8481034858587304E-4</v>
      </c>
      <c r="AC355">
        <f t="shared" si="73"/>
        <v>6.6474735359942766E-4</v>
      </c>
    </row>
    <row r="356" spans="1:29" x14ac:dyDescent="0.3">
      <c r="A356" t="s">
        <v>356</v>
      </c>
      <c r="B356" s="4" cm="1">
        <f t="array" ref="B356">_xll.SNL.Clients.Office.Excel.Functions.SPG(A356, "SP_TOTAL_REV", "CY2023")</f>
        <v>91471000</v>
      </c>
      <c r="C356" s="4">
        <f>_xll.SNL.Clients.Office.Excel.Functions.SPG(A356,"IQ_AVG_DILUT_SHARES_OUT","CY2023")</f>
        <v>1383000000</v>
      </c>
      <c r="D356" s="5">
        <f>_xll.SNL.Clients.Office.Excel.Functions.SPG(A356, "IQ_DILUT_EPS_NORM", "CY2023")</f>
        <v>5.69</v>
      </c>
      <c r="E356">
        <f t="shared" si="62"/>
        <v>7869270.0000000009</v>
      </c>
      <c r="F356">
        <f t="shared" si="63"/>
        <v>8.6030217227317962E-2</v>
      </c>
      <c r="G356" s="5">
        <f>_xll.SNL.Clients.Office.Excel.Functions.SPG(A356, "SP_MARKETCAP", "12/30/2023")</f>
        <v>236277.67084064</v>
      </c>
      <c r="H356">
        <f t="shared" si="67"/>
        <v>5.6234088097726351E-3</v>
      </c>
      <c r="I356">
        <f t="shared" si="68"/>
        <v>3.1997196127606299E-2</v>
      </c>
      <c r="K356" t="s">
        <v>356</v>
      </c>
      <c r="L356" s="4" cm="1">
        <f t="array" ref="L356">_xll.SNL.Clients.Office.Excel.Functions.SPG(K356, "SP_TOTAL_REV", "CY2023")</f>
        <v>91471000</v>
      </c>
      <c r="M356" s="4">
        <f>_xll.SNL.Clients.Office.Excel.Functions.SPG(K356,"IQ_AVG_DILUT_SHARES_OUT","CY2023")</f>
        <v>1383000000</v>
      </c>
      <c r="N356" s="5">
        <f>_xll.SNL.Clients.Office.Excel.Functions.SPG(K356, "IQ_DILUT_EPS_NORM", "CY2023")</f>
        <v>5.69</v>
      </c>
      <c r="O356">
        <f t="shared" si="64"/>
        <v>7869270.0000000009</v>
      </c>
      <c r="P356">
        <f t="shared" si="65"/>
        <v>8.6030217227317962E-2</v>
      </c>
      <c r="Q356" s="5">
        <f>_xll.SNL.Clients.Office.Excel.Functions.SPG(K356, "SP_MARKETCAP", "12/31/2022")</f>
        <v>251832.01544412001</v>
      </c>
      <c r="R356">
        <f t="shared" si="69"/>
        <v>7.4739209870636472E-3</v>
      </c>
      <c r="S356">
        <f t="shared" si="70"/>
        <v>4.2526610416392156E-2</v>
      </c>
      <c r="U356" t="s">
        <v>356</v>
      </c>
      <c r="V356" s="4" cm="1">
        <f t="array" ref="V356">_xll.SNL.Clients.Office.Excel.Functions.SPG(U356, "SP_TOTAL_REV", "CY2021")</f>
        <v>79474000</v>
      </c>
      <c r="W356" s="4">
        <f>_xll.SNL.Clients.Office.Excel.Functions.SPG(U356,"IQ_AVG_DILUT_SHARES_OUT","CY2021")</f>
        <v>1389000000</v>
      </c>
      <c r="X356" s="5">
        <f>_xll.SNL.Clients.Office.Excel.Functions.SPG(U356, "IQ_DILUT_EPS_NORM", "CY2021")</f>
        <v>4.4820000000000002</v>
      </c>
      <c r="Y356">
        <f t="shared" si="71"/>
        <v>6225498</v>
      </c>
      <c r="Z356">
        <f t="shared" si="72"/>
        <v>7.8333769534690595E-2</v>
      </c>
      <c r="AA356" s="5">
        <f>_xll.SNL.Clients.Office.Excel.Functions.SPG(U356, "SP_MARKETCAP", "12/31/2021")</f>
        <v>242976.00367775999</v>
      </c>
      <c r="AB356">
        <f t="shared" si="66"/>
        <v>5.7263384289592493E-3</v>
      </c>
      <c r="AC356">
        <f t="shared" si="73"/>
        <v>2.5665448838595357E-2</v>
      </c>
    </row>
    <row r="357" spans="1:29" x14ac:dyDescent="0.3">
      <c r="A357" t="s">
        <v>357</v>
      </c>
      <c r="B357" s="4" cm="1">
        <f t="array" ref="B357">_xll.SNL.Clients.Office.Excel.Functions.SPG(A357, "SP_TOTAL_REV", "CY2023")</f>
        <v>58496000</v>
      </c>
      <c r="C357" s="4">
        <f>_xll.SNL.Clients.Office.Excel.Functions.SPG(A357,"IQ_AVG_DILUT_SHARES_OUT","CY2023")</f>
        <v>5709000000</v>
      </c>
      <c r="D357" s="5">
        <f>_xll.SNL.Clients.Office.Excel.Functions.SPG(A357, "IQ_DILUT_EPS_NORM", "CY2023")</f>
        <v>0.77</v>
      </c>
      <c r="E357">
        <f t="shared" si="62"/>
        <v>4395930</v>
      </c>
      <c r="F357">
        <f t="shared" si="63"/>
        <v>7.5149240973741788E-2</v>
      </c>
      <c r="G357" s="5">
        <f>_xll.SNL.Clients.Office.Excel.Functions.SPG(A357, "SP_MARKETCAP", "12/30/2023")</f>
        <v>162560.23867667999</v>
      </c>
      <c r="H357">
        <f t="shared" si="67"/>
        <v>3.8689338482168199E-3</v>
      </c>
      <c r="I357">
        <f t="shared" si="68"/>
        <v>2.9790790631269515E-3</v>
      </c>
      <c r="K357" t="s">
        <v>357</v>
      </c>
      <c r="L357" s="4" cm="1">
        <f t="array" ref="L357">_xll.SNL.Clients.Office.Excel.Functions.SPG(K357, "SP_TOTAL_REV", "CY2023")</f>
        <v>58496000</v>
      </c>
      <c r="M357" s="4">
        <f>_xll.SNL.Clients.Office.Excel.Functions.SPG(K357,"IQ_AVG_DILUT_SHARES_OUT","CY2023")</f>
        <v>5709000000</v>
      </c>
      <c r="N357" s="5">
        <f>_xll.SNL.Clients.Office.Excel.Functions.SPG(K357, "IQ_DILUT_EPS_NORM", "CY2023")</f>
        <v>0.77</v>
      </c>
      <c r="O357">
        <f t="shared" si="64"/>
        <v>4395930</v>
      </c>
      <c r="P357">
        <f t="shared" si="65"/>
        <v>7.5149240973741788E-2</v>
      </c>
      <c r="Q357" s="5">
        <f>_xll.SNL.Clients.Office.Excel.Functions.SPG(K357, "SP_MARKETCAP", "12/31/2022")</f>
        <v>287626.23687587999</v>
      </c>
      <c r="R357">
        <f t="shared" si="69"/>
        <v>8.5362290589846932E-3</v>
      </c>
      <c r="S357">
        <f t="shared" si="70"/>
        <v>6.5728963754182138E-3</v>
      </c>
      <c r="U357" t="s">
        <v>357</v>
      </c>
      <c r="V357" s="4" cm="1">
        <f t="array" ref="V357">_xll.SNL.Clients.Office.Excel.Functions.SPG(U357, "SP_TOTAL_REV", "CY2021")</f>
        <v>81288000</v>
      </c>
      <c r="W357" s="4">
        <f>_xll.SNL.Clients.Office.Excel.Functions.SPG(U357,"IQ_AVG_DILUT_SHARES_OUT","CY2021")</f>
        <v>5708000000</v>
      </c>
      <c r="X357" s="5">
        <f>_xll.SNL.Clients.Office.Excel.Functions.SPG(U357, "IQ_DILUT_EPS_NORM", "CY2021")</f>
        <v>3.0870000000000002</v>
      </c>
      <c r="Y357">
        <f t="shared" si="71"/>
        <v>17620596</v>
      </c>
      <c r="Z357">
        <f t="shared" si="72"/>
        <v>0.21676749335695306</v>
      </c>
      <c r="AA357" s="5">
        <f>_xll.SNL.Clients.Office.Excel.Functions.SPG(U357, "SP_MARKETCAP", "12/31/2021")</f>
        <v>331439.7726119</v>
      </c>
      <c r="AB357">
        <f t="shared" si="66"/>
        <v>7.8112088357092345E-3</v>
      </c>
      <c r="AC357">
        <f t="shared" si="73"/>
        <v>2.411320167583441E-2</v>
      </c>
    </row>
    <row r="358" spans="1:29" x14ac:dyDescent="0.3">
      <c r="A358" t="s">
        <v>358</v>
      </c>
      <c r="B358" s="4" cm="1">
        <f t="array" ref="B358">_xll.SNL.Clients.Office.Excel.Functions.SPG(A358, "SP_TOTAL_REV", "CY2023")</f>
        <v>24428000</v>
      </c>
      <c r="C358" s="4">
        <f>_xll.SNL.Clients.Office.Excel.Functions.SPG(A358,"IQ_AVG_DILUT_SHARES_OUT","CY2023")</f>
        <v>2138000000</v>
      </c>
      <c r="D358" s="5">
        <f>_xll.SNL.Clients.Office.Excel.Functions.SPG(A358, "IQ_DILUT_EPS_NORM", "CY2023")</f>
        <v>0.38500000000000001</v>
      </c>
      <c r="E358">
        <f t="shared" si="62"/>
        <v>823130</v>
      </c>
      <c r="F358">
        <f t="shared" si="63"/>
        <v>3.3696168331422957E-2</v>
      </c>
      <c r="G358" s="5">
        <f>_xll.SNL.Clients.Office.Excel.Functions.SPG(A358, "SP_MARKETCAP", "12/30/2023")</f>
        <v>38467.152503429999</v>
      </c>
      <c r="H358">
        <f t="shared" si="67"/>
        <v>9.1551826926782563E-4</v>
      </c>
      <c r="I358">
        <f t="shared" si="68"/>
        <v>3.5247453366811287E-4</v>
      </c>
      <c r="K358" t="s">
        <v>358</v>
      </c>
      <c r="L358" s="4" cm="1">
        <f t="array" ref="L358">_xll.SNL.Clients.Office.Excel.Functions.SPG(K358, "SP_TOTAL_REV", "CY2023")</f>
        <v>24428000</v>
      </c>
      <c r="M358" s="4">
        <f>_xll.SNL.Clients.Office.Excel.Functions.SPG(K358,"IQ_AVG_DILUT_SHARES_OUT","CY2023")</f>
        <v>2138000000</v>
      </c>
      <c r="N358" s="5">
        <f>_xll.SNL.Clients.Office.Excel.Functions.SPG(K358, "IQ_DILUT_EPS_NORM", "CY2023")</f>
        <v>0.38500000000000001</v>
      </c>
      <c r="O358">
        <f t="shared" si="64"/>
        <v>823130</v>
      </c>
      <c r="P358">
        <f t="shared" si="65"/>
        <v>3.3696168331422957E-2</v>
      </c>
      <c r="Q358" s="5">
        <f>_xll.SNL.Clients.Office.Excel.Functions.SPG(K358, "SP_MARKETCAP", "12/31/2022")</f>
        <v>32320.0033821</v>
      </c>
      <c r="R358">
        <f t="shared" si="69"/>
        <v>9.5919953288483011E-4</v>
      </c>
      <c r="S358">
        <f t="shared" si="70"/>
        <v>3.692918201606596E-4</v>
      </c>
      <c r="U358" t="s">
        <v>358</v>
      </c>
      <c r="V358" s="4" cm="1">
        <f t="array" ref="V358">_xll.SNL.Clients.Office.Excel.Functions.SPG(U358, "SP_TOTAL_REV", "CY2021")</f>
        <v>20642000</v>
      </c>
      <c r="W358" s="4">
        <f>_xll.SNL.Clients.Office.Excel.Functions.SPG(U358,"IQ_AVG_DILUT_SHARES_OUT","CY2021")</f>
        <v>1985000000</v>
      </c>
      <c r="X358" s="5">
        <f>_xll.SNL.Clients.Office.Excel.Functions.SPG(U358, "IQ_DILUT_EPS_NORM", "CY2021")</f>
        <v>0.47899999999999998</v>
      </c>
      <c r="Y358">
        <f t="shared" si="71"/>
        <v>950815</v>
      </c>
      <c r="Z358">
        <f t="shared" si="72"/>
        <v>4.6062154829958339E-2</v>
      </c>
      <c r="AA358" s="5">
        <f>_xll.SNL.Clients.Office.Excel.Functions.SPG(U358, "SP_MARKETCAP", "12/31/2021")</f>
        <v>24102.382100139999</v>
      </c>
      <c r="AB358">
        <f t="shared" si="66"/>
        <v>5.6803303519854657E-4</v>
      </c>
      <c r="AC358">
        <f t="shared" si="73"/>
        <v>2.7208782386010379E-4</v>
      </c>
    </row>
    <row r="359" spans="1:29" x14ac:dyDescent="0.3">
      <c r="A359" t="s">
        <v>359</v>
      </c>
      <c r="B359" s="4" cm="1">
        <f t="array" ref="B359">_xll.SNL.Clients.Office.Excel.Functions.SPG(A359, "SP_TOTAL_REV", "CY2023")</f>
        <v>35174000</v>
      </c>
      <c r="C359" s="4">
        <f>_xll.SNL.Clients.Office.Excel.Functions.SPG(A359,"IQ_AVG_DILUT_SHARES_OUT","CY2023")</f>
        <v>1553000000</v>
      </c>
      <c r="D359" s="5">
        <f>_xll.SNL.Clients.Office.Excel.Functions.SPG(A359, "IQ_DILUT_EPS_NORM", "CY2023")</f>
        <v>4.4530000000000003</v>
      </c>
      <c r="E359">
        <f t="shared" si="62"/>
        <v>6915509</v>
      </c>
      <c r="F359">
        <f t="shared" si="63"/>
        <v>0.19660854608517656</v>
      </c>
      <c r="G359" s="5">
        <f>_xll.SNL.Clients.Office.Excel.Functions.SPG(A359, "SP_MARKETCAP", "12/30/2023")</f>
        <v>146050.35563328001</v>
      </c>
      <c r="H359">
        <f t="shared" si="67"/>
        <v>3.4759986147508129E-3</v>
      </c>
      <c r="I359">
        <f t="shared" si="68"/>
        <v>1.547862183148537E-2</v>
      </c>
      <c r="K359" t="s">
        <v>359</v>
      </c>
      <c r="L359" s="4" cm="1">
        <f t="array" ref="L359">_xll.SNL.Clients.Office.Excel.Functions.SPG(K359, "SP_TOTAL_REV", "CY2023")</f>
        <v>35174000</v>
      </c>
      <c r="M359" s="4">
        <f>_xll.SNL.Clients.Office.Excel.Functions.SPG(K359,"IQ_AVG_DILUT_SHARES_OUT","CY2023")</f>
        <v>1553000000</v>
      </c>
      <c r="N359" s="5">
        <f>_xll.SNL.Clients.Office.Excel.Functions.SPG(K359, "IQ_DILUT_EPS_NORM", "CY2023")</f>
        <v>4.4530000000000003</v>
      </c>
      <c r="O359">
        <f t="shared" si="64"/>
        <v>6915509</v>
      </c>
      <c r="P359">
        <f t="shared" si="65"/>
        <v>0.19660854608517656</v>
      </c>
      <c r="Q359" s="5">
        <f>_xll.SNL.Clients.Office.Excel.Functions.SPG(K359, "SP_MARKETCAP", "12/31/2022")</f>
        <v>156895.97528904999</v>
      </c>
      <c r="R359">
        <f t="shared" si="69"/>
        <v>4.6563901751358102E-3</v>
      </c>
      <c r="S359">
        <f t="shared" si="70"/>
        <v>2.0734905449879763E-2</v>
      </c>
      <c r="U359" t="s">
        <v>359</v>
      </c>
      <c r="V359" s="4" cm="1">
        <f t="array" ref="V359">_xll.SNL.Clients.Office.Excel.Functions.SPG(U359, "SP_TOTAL_REV", "CY2021")</f>
        <v>31405000</v>
      </c>
      <c r="W359" s="4">
        <f>_xll.SNL.Clients.Office.Excel.Functions.SPG(U359,"IQ_AVG_DILUT_SHARES_OUT","CY2021")</f>
        <v>1559000000</v>
      </c>
      <c r="X359" s="5">
        <f>_xll.SNL.Clients.Office.Excel.Functions.SPG(U359, "IQ_DILUT_EPS_NORM", "CY2021")</f>
        <v>4.665</v>
      </c>
      <c r="Y359">
        <f t="shared" si="71"/>
        <v>7272735</v>
      </c>
      <c r="Z359">
        <f t="shared" si="72"/>
        <v>0.23157888871198853</v>
      </c>
      <c r="AA359" s="5">
        <f>_xll.SNL.Clients.Office.Excel.Functions.SPG(U359, "SP_MARKETCAP", "12/31/2021")</f>
        <v>147898.62959999999</v>
      </c>
      <c r="AB359">
        <f t="shared" si="66"/>
        <v>3.4856018431848532E-3</v>
      </c>
      <c r="AC359">
        <f t="shared" si="73"/>
        <v>1.6260332598457342E-2</v>
      </c>
    </row>
    <row r="360" spans="1:29" x14ac:dyDescent="0.3">
      <c r="A360" t="s">
        <v>360</v>
      </c>
      <c r="B360" s="4" cm="1">
        <f t="array" ref="B360">_xll.SNL.Clients.Office.Excel.Functions.SPG(A360, "SP_TOTAL_REV", "CY2023")</f>
        <v>147399000</v>
      </c>
      <c r="C360" s="4">
        <f>_xll.SNL.Clients.Office.Excel.Functions.SPG(A360,"IQ_AVG_DILUT_SHARES_OUT","CY2023")</f>
        <v>453210000</v>
      </c>
      <c r="D360" s="5">
        <f>_xll.SNL.Clients.Office.Excel.Functions.SPG(A360, "IQ_DILUT_EPS_NORM", "CY2023")</f>
        <v>12.564</v>
      </c>
      <c r="E360">
        <f t="shared" si="62"/>
        <v>5694130.4400000004</v>
      </c>
      <c r="F360">
        <f t="shared" si="63"/>
        <v>3.8630726395701469E-2</v>
      </c>
      <c r="G360" s="5">
        <f>_xll.SNL.Clients.Office.Excel.Functions.SPG(A360, "SP_MARKETCAP", "12/30/2023")</f>
        <v>58575.6852555</v>
      </c>
      <c r="H360">
        <f t="shared" si="67"/>
        <v>1.3941013695128717E-3</v>
      </c>
      <c r="I360">
        <f t="shared" si="68"/>
        <v>1.7515489606559721E-2</v>
      </c>
      <c r="K360" t="s">
        <v>360</v>
      </c>
      <c r="L360" s="4" cm="1">
        <f t="array" ref="L360">_xll.SNL.Clients.Office.Excel.Functions.SPG(K360, "SP_TOTAL_REV", "CY2023")</f>
        <v>147399000</v>
      </c>
      <c r="M360" s="4">
        <f>_xll.SNL.Clients.Office.Excel.Functions.SPG(K360,"IQ_AVG_DILUT_SHARES_OUT","CY2023")</f>
        <v>453210000</v>
      </c>
      <c r="N360" s="5">
        <f>_xll.SNL.Clients.Office.Excel.Functions.SPG(K360, "IQ_DILUT_EPS_NORM", "CY2023")</f>
        <v>12.564</v>
      </c>
      <c r="O360">
        <f t="shared" si="64"/>
        <v>5694130.4400000004</v>
      </c>
      <c r="P360">
        <f t="shared" si="65"/>
        <v>3.8630726395701469E-2</v>
      </c>
      <c r="Q360" s="5">
        <f>_xll.SNL.Clients.Office.Excel.Functions.SPG(K360, "SP_MARKETCAP", "12/31/2022")</f>
        <v>49191.56072904</v>
      </c>
      <c r="R360">
        <f t="shared" si="69"/>
        <v>1.4599169905812398E-3</v>
      </c>
      <c r="S360">
        <f t="shared" si="70"/>
        <v>1.8342397069662696E-2</v>
      </c>
      <c r="U360" t="s">
        <v>360</v>
      </c>
      <c r="V360" s="4" cm="1">
        <f t="array" ref="V360">_xll.SNL.Clients.Office.Excel.Functions.SPG(U360, "SP_TOTAL_REV", "CY2021")</f>
        <v>111476000</v>
      </c>
      <c r="W360" s="4">
        <f>_xll.SNL.Clients.Office.Excel.Functions.SPG(U360,"IQ_AVG_DILUT_SHARES_OUT","CY2021")</f>
        <v>440364000</v>
      </c>
      <c r="X360" s="5">
        <f>_xll.SNL.Clients.Office.Excel.Functions.SPG(U360, "IQ_DILUT_EPS_NORM", "CY2021")</f>
        <v>3.423</v>
      </c>
      <c r="Y360">
        <f t="shared" si="71"/>
        <v>1507365.9720000001</v>
      </c>
      <c r="Z360">
        <f t="shared" si="72"/>
        <v>1.3521887868240698E-2</v>
      </c>
      <c r="AA360" s="5">
        <f>_xll.SNL.Clients.Office.Excel.Functions.SPG(U360, "SP_MARKETCAP", "12/31/2021")</f>
        <v>31752.119890860002</v>
      </c>
      <c r="AB360">
        <f t="shared" si="66"/>
        <v>7.4831827661916398E-4</v>
      </c>
      <c r="AC360">
        <f t="shared" si="73"/>
        <v>2.5614934608673983E-3</v>
      </c>
    </row>
    <row r="361" spans="1:29" x14ac:dyDescent="0.3">
      <c r="A361" t="s">
        <v>361</v>
      </c>
      <c r="B361" s="4" cm="1">
        <f t="array" ref="B361">_xll.SNL.Clients.Office.Excel.Functions.SPG(A361, "SP_TOTAL_REV", "CY2023")</f>
        <v>4695991</v>
      </c>
      <c r="C361" s="4">
        <f>_xll.SNL.Clients.Office.Excel.Functions.SPG(A361,"IQ_AVG_DILUT_SHARES_OUT","CY2023")</f>
        <v>113804000</v>
      </c>
      <c r="D361" s="5">
        <f>_xll.SNL.Clients.Office.Excel.Functions.SPG(A361, "IQ_DILUT_EPS_NORM", "CY2023")</f>
        <v>3.105</v>
      </c>
      <c r="E361">
        <f t="shared" si="62"/>
        <v>353361.42</v>
      </c>
      <c r="F361">
        <f t="shared" si="63"/>
        <v>7.5247465337987235E-2</v>
      </c>
      <c r="G361" s="5">
        <f>_xll.SNL.Clients.Office.Excel.Functions.SPG(A361, "SP_MARKETCAP", "12/30/2023")</f>
        <v>8146.5371766400003</v>
      </c>
      <c r="H361">
        <f t="shared" si="67"/>
        <v>1.9388759320873613E-4</v>
      </c>
      <c r="I361">
        <f t="shared" si="68"/>
        <v>6.0202097691312568E-4</v>
      </c>
      <c r="K361" t="s">
        <v>361</v>
      </c>
      <c r="L361" s="4" cm="1">
        <f t="array" ref="L361">_xll.SNL.Clients.Office.Excel.Functions.SPG(K361, "SP_TOTAL_REV", "CY2023")</f>
        <v>4695991</v>
      </c>
      <c r="M361" s="4">
        <f>_xll.SNL.Clients.Office.Excel.Functions.SPG(K361,"IQ_AVG_DILUT_SHARES_OUT","CY2023")</f>
        <v>113804000</v>
      </c>
      <c r="N361" s="5">
        <f>_xll.SNL.Clients.Office.Excel.Functions.SPG(K361, "IQ_DILUT_EPS_NORM", "CY2023")</f>
        <v>3.105</v>
      </c>
      <c r="O361">
        <f t="shared" si="64"/>
        <v>353361.42</v>
      </c>
      <c r="P361">
        <f t="shared" si="65"/>
        <v>7.5247465337987235E-2</v>
      </c>
      <c r="Q361" s="5">
        <f>_xll.SNL.Clients.Office.Excel.Functions.SPG(K361, "SP_MARKETCAP", "12/31/2022")</f>
        <v>8603.1810361200005</v>
      </c>
      <c r="R361">
        <f t="shared" si="69"/>
        <v>2.5532692969148282E-4</v>
      </c>
      <c r="S361">
        <f t="shared" si="70"/>
        <v>7.9279011669205416E-4</v>
      </c>
      <c r="U361" t="s">
        <v>361</v>
      </c>
      <c r="V361" s="4" cm="1">
        <f t="array" ref="V361">_xll.SNL.Clients.Office.Excel.Functions.SPG(U361, "SP_TOTAL_REV", "CY2021")</f>
        <v>3803835</v>
      </c>
      <c r="W361" s="4">
        <f>_xll.SNL.Clients.Office.Excel.Functions.SPG(U361,"IQ_AVG_DILUT_SHARES_OUT","CY2021")</f>
        <v>113192000</v>
      </c>
      <c r="X361" s="5">
        <f>_xll.SNL.Clients.Office.Excel.Functions.SPG(U361, "IQ_DILUT_EPS_NORM", "CY2021")</f>
        <v>3.9750000000000001</v>
      </c>
      <c r="Y361">
        <f t="shared" si="71"/>
        <v>449938.2</v>
      </c>
      <c r="Z361">
        <f t="shared" si="72"/>
        <v>0.1182854145881722</v>
      </c>
      <c r="AA361" s="5">
        <f>_xll.SNL.Clients.Office.Excel.Functions.SPG(U361, "SP_MARKETCAP", "12/31/2021")</f>
        <v>7963.8807155699997</v>
      </c>
      <c r="AB361">
        <f t="shared" si="66"/>
        <v>1.876888066926017E-4</v>
      </c>
      <c r="AC361">
        <f t="shared" si="73"/>
        <v>7.4606300660309181E-4</v>
      </c>
    </row>
    <row r="362" spans="1:29" x14ac:dyDescent="0.3">
      <c r="A362" t="s">
        <v>362</v>
      </c>
      <c r="B362" s="4" cm="1">
        <f t="array" ref="B362">_xll.SNL.Clients.Office.Excel.Functions.SPG(A362, "SP_TOTAL_REV", "CY2023")</f>
        <v>5541595</v>
      </c>
      <c r="C362" s="4">
        <f>_xll.SNL.Clients.Office.Excel.Functions.SPG(A362,"IQ_AVG_DILUT_SHARES_OUT","CY2023")</f>
        <v>38997000</v>
      </c>
      <c r="D362" s="5">
        <f>_xll.SNL.Clients.Office.Excel.Functions.SPG(A362, "IQ_DILUT_EPS_NORM", "CY2023")</f>
        <v>11.04</v>
      </c>
      <c r="E362">
        <f t="shared" si="62"/>
        <v>430526.87999999995</v>
      </c>
      <c r="F362">
        <f t="shared" si="63"/>
        <v>7.7690065766264041E-2</v>
      </c>
      <c r="G362" s="5">
        <f>_xll.SNL.Clients.Office.Excel.Functions.SPG(A362, "SP_MARKETCAP", "12/30/2023")</f>
        <v>15421.77147199</v>
      </c>
      <c r="H362">
        <f t="shared" si="67"/>
        <v>3.6703817694385543E-4</v>
      </c>
      <c r="I362">
        <f t="shared" si="68"/>
        <v>4.0521014734601641E-3</v>
      </c>
      <c r="K362" t="s">
        <v>362</v>
      </c>
      <c r="L362" s="4" cm="1">
        <f t="array" ref="L362">_xll.SNL.Clients.Office.Excel.Functions.SPG(K362, "SP_TOTAL_REV", "CY2023")</f>
        <v>5541595</v>
      </c>
      <c r="M362" s="4">
        <f>_xll.SNL.Clients.Office.Excel.Functions.SPG(K362,"IQ_AVG_DILUT_SHARES_OUT","CY2023")</f>
        <v>38997000</v>
      </c>
      <c r="N362" s="5">
        <f>_xll.SNL.Clients.Office.Excel.Functions.SPG(K362, "IQ_DILUT_EPS_NORM", "CY2023")</f>
        <v>11.04</v>
      </c>
      <c r="O362">
        <f t="shared" si="64"/>
        <v>430526.87999999995</v>
      </c>
      <c r="P362">
        <f t="shared" si="65"/>
        <v>7.7690065766264041E-2</v>
      </c>
      <c r="Q362" s="5">
        <f>_xll.SNL.Clients.Office.Excel.Functions.SPG(K362, "SP_MARKETCAP", "12/31/2022")</f>
        <v>11806.17333994</v>
      </c>
      <c r="R362">
        <f t="shared" si="69"/>
        <v>3.5038597672609441E-4</v>
      </c>
      <c r="S362">
        <f t="shared" si="70"/>
        <v>3.868261183056082E-3</v>
      </c>
      <c r="U362" t="s">
        <v>362</v>
      </c>
      <c r="V362" s="4" cm="1">
        <f t="array" ref="V362">_xll.SNL.Clients.Office.Excel.Functions.SPG(U362, "SP_TOTAL_REV", "CY2021")</f>
        <v>5295584</v>
      </c>
      <c r="W362" s="4">
        <f>_xll.SNL.Clients.Office.Excel.Functions.SPG(U362,"IQ_AVG_DILUT_SHARES_OUT","CY2021")</f>
        <v>40480000</v>
      </c>
      <c r="X362" s="5">
        <f>_xll.SNL.Clients.Office.Excel.Functions.SPG(U362, "IQ_DILUT_EPS_NORM", "CY2021")</f>
        <v>12.728999999999999</v>
      </c>
      <c r="Y362">
        <f t="shared" si="71"/>
        <v>515269.91999999993</v>
      </c>
      <c r="Z362">
        <f t="shared" si="72"/>
        <v>9.7301812226942286E-2</v>
      </c>
      <c r="AA362" s="5">
        <f>_xll.SNL.Clients.Office.Excel.Functions.SPG(U362, "SP_MARKETCAP", "12/31/2021")</f>
        <v>22689.791585999999</v>
      </c>
      <c r="AB362">
        <f t="shared" si="66"/>
        <v>5.3474179975526812E-4</v>
      </c>
      <c r="AC362">
        <f t="shared" si="73"/>
        <v>6.8067283690848076E-3</v>
      </c>
    </row>
    <row r="363" spans="1:29" x14ac:dyDescent="0.3">
      <c r="A363" t="s">
        <v>363</v>
      </c>
      <c r="B363" s="4" cm="1">
        <f t="array" ref="B363">_xll.SNL.Clients.Office.Excel.Functions.SPG(A363, "SP_TOTAL_REV", "CY2023")</f>
        <v>18246000</v>
      </c>
      <c r="C363" s="4">
        <f>_xll.SNL.Clients.Office.Excel.Functions.SPG(A363,"IQ_AVG_DILUT_SHARES_OUT","CY2023")</f>
        <v>237200000</v>
      </c>
      <c r="D363" s="5">
        <f>_xll.SNL.Clients.Office.Excel.Functions.SPG(A363, "IQ_DILUT_EPS_NORM", "CY2023")</f>
        <v>5.4290000000000003</v>
      </c>
      <c r="E363">
        <f t="shared" si="62"/>
        <v>1287758.8</v>
      </c>
      <c r="F363">
        <f t="shared" si="63"/>
        <v>7.0577595089334658E-2</v>
      </c>
      <c r="G363" s="5">
        <f>_xll.SNL.Clients.Office.Excel.Functions.SPG(A363, "SP_MARKETCAP", "12/30/2023")</f>
        <v>35263.89</v>
      </c>
      <c r="H363">
        <f t="shared" si="67"/>
        <v>8.3928061838141647E-4</v>
      </c>
      <c r="I363">
        <f t="shared" si="68"/>
        <v>4.5564544771927104E-3</v>
      </c>
      <c r="K363" t="s">
        <v>363</v>
      </c>
      <c r="L363" s="4" cm="1">
        <f t="array" ref="L363">_xll.SNL.Clients.Office.Excel.Functions.SPG(K363, "SP_TOTAL_REV", "CY2023")</f>
        <v>18246000</v>
      </c>
      <c r="M363" s="4">
        <f>_xll.SNL.Clients.Office.Excel.Functions.SPG(K363,"IQ_AVG_DILUT_SHARES_OUT","CY2023")</f>
        <v>237200000</v>
      </c>
      <c r="N363" s="5">
        <f>_xll.SNL.Clients.Office.Excel.Functions.SPG(K363, "IQ_DILUT_EPS_NORM", "CY2023")</f>
        <v>5.4290000000000003</v>
      </c>
      <c r="O363">
        <f t="shared" si="64"/>
        <v>1287758.8</v>
      </c>
      <c r="P363">
        <f t="shared" si="65"/>
        <v>7.0577595089334658E-2</v>
      </c>
      <c r="Q363" s="5">
        <f>_xll.SNL.Clients.Office.Excel.Functions.SPG(K363, "SP_MARKETCAP", "12/31/2022")</f>
        <v>29552.34452156</v>
      </c>
      <c r="R363">
        <f t="shared" si="69"/>
        <v>8.7706039896119886E-4</v>
      </c>
      <c r="S363">
        <f t="shared" si="70"/>
        <v>4.761560905960349E-3</v>
      </c>
      <c r="U363" t="s">
        <v>363</v>
      </c>
      <c r="V363" s="4" cm="1">
        <f t="array" ref="V363">_xll.SNL.Clients.Office.Excel.Functions.SPG(U363, "SP_TOTAL_REV", "CY2021")</f>
        <v>16802000</v>
      </c>
      <c r="W363" s="4">
        <f>_xll.SNL.Clients.Office.Excel.Functions.SPG(U363,"IQ_AVG_DILUT_SHARES_OUT","CY2021")</f>
        <v>239400000</v>
      </c>
      <c r="X363" s="5">
        <f>_xll.SNL.Clients.Office.Excel.Functions.SPG(U363, "IQ_DILUT_EPS_NORM", "CY2021")</f>
        <v>4.3970000000000002</v>
      </c>
      <c r="Y363">
        <f t="shared" si="71"/>
        <v>1052641.8</v>
      </c>
      <c r="Z363">
        <f t="shared" si="72"/>
        <v>6.2649791691465298E-2</v>
      </c>
      <c r="AA363" s="5">
        <f>_xll.SNL.Clients.Office.Excel.Functions.SPG(U363, "SP_MARKETCAP", "12/31/2021")</f>
        <v>40937.403091319997</v>
      </c>
      <c r="AB363">
        <f t="shared" si="66"/>
        <v>9.6479249372508243E-4</v>
      </c>
      <c r="AC363">
        <f t="shared" si="73"/>
        <v>4.2421925949091875E-3</v>
      </c>
    </row>
    <row r="364" spans="1:29" x14ac:dyDescent="0.3">
      <c r="A364" t="s">
        <v>364</v>
      </c>
      <c r="B364" s="4" cm="1">
        <f t="array" ref="B364">_xll.SNL.Clients.Office.Excel.Functions.SPG(A364, "SP_TOTAL_REV", "CY2023")</f>
        <v>8312000</v>
      </c>
      <c r="C364" s="4">
        <f>_xll.SNL.Clients.Office.Excel.Functions.SPG(A364,"IQ_AVG_DILUT_SHARES_OUT","CY2023")</f>
        <v>738166000</v>
      </c>
      <c r="D364" s="5">
        <f>_xll.SNL.Clients.Office.Excel.Functions.SPG(A364, "IQ_DILUT_EPS_NORM", "CY2023")</f>
        <v>0.997</v>
      </c>
      <c r="E364">
        <f t="shared" si="62"/>
        <v>735951.50199999998</v>
      </c>
      <c r="F364">
        <f t="shared" si="63"/>
        <v>8.854084480269489E-2</v>
      </c>
      <c r="G364" s="5">
        <f>_xll.SNL.Clients.Office.Excel.Functions.SPG(A364, "SP_MARKETCAP", "12/30/2023")</f>
        <v>19976.070941900001</v>
      </c>
      <c r="H364">
        <f t="shared" si="67"/>
        <v>4.7543050902634049E-4</v>
      </c>
      <c r="I364">
        <f t="shared" si="68"/>
        <v>4.7400421749926148E-4</v>
      </c>
      <c r="K364" t="s">
        <v>364</v>
      </c>
      <c r="L364" s="4" cm="1">
        <f t="array" ref="L364">_xll.SNL.Clients.Office.Excel.Functions.SPG(K364, "SP_TOTAL_REV", "CY2023")</f>
        <v>8312000</v>
      </c>
      <c r="M364" s="4">
        <f>_xll.SNL.Clients.Office.Excel.Functions.SPG(K364,"IQ_AVG_DILUT_SHARES_OUT","CY2023")</f>
        <v>738166000</v>
      </c>
      <c r="N364" s="5">
        <f>_xll.SNL.Clients.Office.Excel.Functions.SPG(K364, "IQ_DILUT_EPS_NORM", "CY2023")</f>
        <v>0.997</v>
      </c>
      <c r="O364">
        <f t="shared" si="64"/>
        <v>735951.50199999998</v>
      </c>
      <c r="P364">
        <f t="shared" si="65"/>
        <v>8.854084480269489E-2</v>
      </c>
      <c r="Q364" s="5">
        <f>_xll.SNL.Clients.Office.Excel.Functions.SPG(K364, "SP_MARKETCAP", "12/31/2022")</f>
        <v>21515.22025848</v>
      </c>
      <c r="R364">
        <f t="shared" si="69"/>
        <v>6.3853301554040029E-4</v>
      </c>
      <c r="S364">
        <f t="shared" si="70"/>
        <v>6.3661741649377905E-4</v>
      </c>
      <c r="U364" t="s">
        <v>364</v>
      </c>
      <c r="V364" s="4" cm="1">
        <f t="array" ref="V364">_xll.SNL.Clients.Office.Excel.Functions.SPG(U364, "SP_TOTAL_REV", "CY2021")</f>
        <v>5783000</v>
      </c>
      <c r="W364" s="4">
        <f>_xll.SNL.Clients.Office.Excel.Functions.SPG(U364,"IQ_AVG_DILUT_SHARES_OUT","CY2021")</f>
        <v>764819000</v>
      </c>
      <c r="X364" s="5">
        <f>_xll.SNL.Clients.Office.Excel.Functions.SPG(U364, "IQ_DILUT_EPS_NORM", "CY2021")</f>
        <v>0.48899999999999999</v>
      </c>
      <c r="Y364">
        <f t="shared" si="71"/>
        <v>373996.49099999998</v>
      </c>
      <c r="Z364">
        <f t="shared" si="72"/>
        <v>6.4671708628739402E-2</v>
      </c>
      <c r="AA364" s="5">
        <f>_xll.SNL.Clients.Office.Excel.Functions.SPG(U364, "SP_MARKETCAP", "12/31/2021")</f>
        <v>22566.52001412</v>
      </c>
      <c r="AB364">
        <f t="shared" si="66"/>
        <v>5.3183659624311049E-4</v>
      </c>
      <c r="AC364">
        <f t="shared" si="73"/>
        <v>2.6006809556288103E-4</v>
      </c>
    </row>
    <row r="365" spans="1:29" x14ac:dyDescent="0.3">
      <c r="A365" t="s">
        <v>365</v>
      </c>
      <c r="B365" s="4" cm="1">
        <f t="array" ref="B365">_xll.SNL.Clients.Office.Excel.Functions.SPG(A365, "SP_TOTAL_REV", "CY2023")</f>
        <v>13665800</v>
      </c>
      <c r="C365" s="4">
        <f>_xll.SNL.Clients.Office.Excel.Functions.SPG(A365,"IQ_AVG_DILUT_SHARES_OUT","CY2023")</f>
        <v>244600000</v>
      </c>
      <c r="D365" s="5">
        <f>_xll.SNL.Clients.Office.Excel.Functions.SPG(A365, "IQ_DILUT_EPS_NORM", "CY2023")</f>
        <v>1.696</v>
      </c>
      <c r="E365">
        <f t="shared" si="62"/>
        <v>414841.59999999998</v>
      </c>
      <c r="F365">
        <f t="shared" si="63"/>
        <v>3.0356188441218221E-2</v>
      </c>
      <c r="G365" s="5">
        <f>_xll.SNL.Clients.Office.Excel.Functions.SPG(A365, "SP_MARKETCAP", "12/30/2023")</f>
        <v>18755.880929710002</v>
      </c>
      <c r="H365">
        <f t="shared" si="67"/>
        <v>4.463899854773602E-4</v>
      </c>
      <c r="I365">
        <f t="shared" si="68"/>
        <v>7.5707741536960285E-4</v>
      </c>
      <c r="K365" t="s">
        <v>365</v>
      </c>
      <c r="L365" s="4" cm="1">
        <f t="array" ref="L365">_xll.SNL.Clients.Office.Excel.Functions.SPG(K365, "SP_TOTAL_REV", "CY2023")</f>
        <v>13665800</v>
      </c>
      <c r="M365" s="4">
        <f>_xll.SNL.Clients.Office.Excel.Functions.SPG(K365,"IQ_AVG_DILUT_SHARES_OUT","CY2023")</f>
        <v>244600000</v>
      </c>
      <c r="N365" s="5">
        <f>_xll.SNL.Clients.Office.Excel.Functions.SPG(K365, "IQ_DILUT_EPS_NORM", "CY2023")</f>
        <v>1.696</v>
      </c>
      <c r="O365">
        <f t="shared" si="64"/>
        <v>414841.59999999998</v>
      </c>
      <c r="P365">
        <f t="shared" si="65"/>
        <v>3.0356188441218221E-2</v>
      </c>
      <c r="Q365" s="5">
        <f>_xll.SNL.Clients.Office.Excel.Functions.SPG(K365, "SP_MARKETCAP", "12/31/2022")</f>
        <v>20533.779736799999</v>
      </c>
      <c r="R365">
        <f t="shared" si="69"/>
        <v>6.0940562719145354E-4</v>
      </c>
      <c r="S365">
        <f t="shared" si="70"/>
        <v>1.0335519437167052E-3</v>
      </c>
      <c r="U365" t="s">
        <v>365</v>
      </c>
      <c r="V365" s="4" cm="1">
        <f t="array" ref="V365">_xll.SNL.Clients.Office.Excel.Functions.SPG(U365, "SP_TOTAL_REV", "CY2021")</f>
        <v>14262700</v>
      </c>
      <c r="W365" s="4">
        <f>_xll.SNL.Clients.Office.Excel.Functions.SPG(U365,"IQ_AVG_DILUT_SHARES_OUT","CY2021")</f>
        <v>272900000</v>
      </c>
      <c r="X365" s="5">
        <f>_xll.SNL.Clients.Office.Excel.Functions.SPG(U365, "IQ_DILUT_EPS_NORM", "CY2021")</f>
        <v>4.2050000000000001</v>
      </c>
      <c r="Y365">
        <f t="shared" si="71"/>
        <v>1147544.5</v>
      </c>
      <c r="Z365">
        <f t="shared" si="72"/>
        <v>8.0457732406907526E-2</v>
      </c>
      <c r="AA365" s="5">
        <f>_xll.SNL.Clients.Office.Excel.Functions.SPG(U365, "SP_MARKETCAP", "12/31/2021")</f>
        <v>19172.471293260001</v>
      </c>
      <c r="AB365">
        <f t="shared" si="66"/>
        <v>4.5184733258810231E-4</v>
      </c>
      <c r="AC365">
        <f t="shared" si="73"/>
        <v>1.9000180335329703E-3</v>
      </c>
    </row>
    <row r="366" spans="1:29" x14ac:dyDescent="0.3">
      <c r="A366" t="s">
        <v>366</v>
      </c>
      <c r="B366" s="4" cm="1">
        <f t="array" ref="B366">_xll.SNL.Clients.Office.Excel.Functions.SPG(A366, "SP_TOTAL_REV", "CY2023")</f>
        <v>8028436</v>
      </c>
      <c r="C366" s="4">
        <f>_xll.SNL.Clients.Office.Excel.Functions.SPG(A366,"IQ_AVG_DILUT_SHARES_OUT","CY2023")</f>
        <v>951791000</v>
      </c>
      <c r="D366" s="5">
        <f>_xll.SNL.Clients.Office.Excel.Functions.SPG(A366, "IQ_DILUT_EPS_NORM", "CY2023")</f>
        <v>1.66</v>
      </c>
      <c r="E366">
        <f t="shared" si="62"/>
        <v>1579973.06</v>
      </c>
      <c r="F366">
        <f t="shared" si="63"/>
        <v>0.19679711714710063</v>
      </c>
      <c r="G366" s="5">
        <f>_xll.SNL.Clients.Office.Excel.Functions.SPG(A366, "SP_MARKETCAP", "12/30/2023")</f>
        <v>123165.3343</v>
      </c>
      <c r="H366">
        <f t="shared" si="67"/>
        <v>2.9313350834084921E-3</v>
      </c>
      <c r="I366">
        <f t="shared" si="68"/>
        <v>4.8660162384580969E-3</v>
      </c>
      <c r="K366" t="s">
        <v>366</v>
      </c>
      <c r="L366" s="4" cm="1">
        <f t="array" ref="L366">_xll.SNL.Clients.Office.Excel.Functions.SPG(K366, "SP_TOTAL_REV", "CY2023")</f>
        <v>8028436</v>
      </c>
      <c r="M366" s="4">
        <f>_xll.SNL.Clients.Office.Excel.Functions.SPG(K366,"IQ_AVG_DILUT_SHARES_OUT","CY2023")</f>
        <v>951791000</v>
      </c>
      <c r="N366" s="5">
        <f>_xll.SNL.Clients.Office.Excel.Functions.SPG(K366, "IQ_DILUT_EPS_NORM", "CY2023")</f>
        <v>1.66</v>
      </c>
      <c r="O366">
        <f t="shared" si="64"/>
        <v>1579973.06</v>
      </c>
      <c r="P366">
        <f t="shared" si="65"/>
        <v>0.19679711714710063</v>
      </c>
      <c r="Q366" s="5">
        <f>_xll.SNL.Clients.Office.Excel.Functions.SPG(K366, "SP_MARKETCAP", "12/31/2022")</f>
        <v>104058.64798521</v>
      </c>
      <c r="R366">
        <f t="shared" si="69"/>
        <v>3.0882733940343736E-3</v>
      </c>
      <c r="S366">
        <f t="shared" si="70"/>
        <v>5.1265338340970596E-3</v>
      </c>
      <c r="U366" t="s">
        <v>366</v>
      </c>
      <c r="V366" s="4" cm="1">
        <f t="array" ref="V366">_xll.SNL.Clients.Office.Excel.Functions.SPG(U366, "SP_TOTAL_REV", "CY2021")</f>
        <v>4970972</v>
      </c>
      <c r="W366" s="4">
        <f>_xll.SNL.Clients.Office.Excel.Functions.SPG(U366,"IQ_AVG_DILUT_SHARES_OUT","CY2021")</f>
        <v>764762000</v>
      </c>
      <c r="X366" s="5">
        <f>_xll.SNL.Clients.Office.Excel.Functions.SPG(U366, "IQ_DILUT_EPS_NORM", "CY2021")</f>
        <v>1.2969999999999999</v>
      </c>
      <c r="Y366">
        <f t="shared" si="71"/>
        <v>991896.31400000001</v>
      </c>
      <c r="Z366">
        <f t="shared" si="72"/>
        <v>0.19953769886452791</v>
      </c>
      <c r="AA366" s="5">
        <f>_xll.SNL.Clients.Office.Excel.Functions.SPG(U366, "SP_MARKETCAP", "12/31/2021")</f>
        <v>124473.09372</v>
      </c>
      <c r="AB366">
        <f t="shared" si="66"/>
        <v>2.9335203853528675E-3</v>
      </c>
      <c r="AC366">
        <f t="shared" si="73"/>
        <v>3.8047759398026691E-3</v>
      </c>
    </row>
    <row r="367" spans="1:29" x14ac:dyDescent="0.3">
      <c r="A367" t="s">
        <v>367</v>
      </c>
      <c r="B367" s="4" cm="1">
        <f t="array" ref="B367">_xll.SNL.Clients.Office.Excel.Functions.SPG(A367, "SP_TOTAL_REV", "CY2023")</f>
        <v>53979000</v>
      </c>
      <c r="C367" s="4">
        <f>_xll.SNL.Clients.Office.Excel.Functions.SPG(A367,"IQ_AVG_DILUT_SHARES_OUT","CY2023")</f>
        <v>364600000</v>
      </c>
      <c r="D367" s="5">
        <f>_xll.SNL.Clients.Office.Excel.Functions.SPG(A367, "IQ_DILUT_EPS_NORM", "CY2023")</f>
        <v>5.65</v>
      </c>
      <c r="E367">
        <f t="shared" si="62"/>
        <v>2059990.0000000002</v>
      </c>
      <c r="F367">
        <f t="shared" si="63"/>
        <v>3.8162804053428187E-2</v>
      </c>
      <c r="G367" s="5">
        <f>_xll.SNL.Clients.Office.Excel.Functions.SPG(A367, "SP_MARKETCAP", "12/30/2023")</f>
        <v>37470.423000000003</v>
      </c>
      <c r="H367">
        <f t="shared" si="67"/>
        <v>8.9179610605787541E-4</v>
      </c>
      <c r="I367">
        <f t="shared" si="68"/>
        <v>5.0386479992269965E-3</v>
      </c>
      <c r="K367" t="s">
        <v>367</v>
      </c>
      <c r="L367" s="4" cm="1">
        <f t="array" ref="L367">_xll.SNL.Clients.Office.Excel.Functions.SPG(K367, "SP_TOTAL_REV", "CY2023")</f>
        <v>53979000</v>
      </c>
      <c r="M367" s="4">
        <f>_xll.SNL.Clients.Office.Excel.Functions.SPG(K367,"IQ_AVG_DILUT_SHARES_OUT","CY2023")</f>
        <v>364600000</v>
      </c>
      <c r="N367" s="5">
        <f>_xll.SNL.Clients.Office.Excel.Functions.SPG(K367, "IQ_DILUT_EPS_NORM", "CY2023")</f>
        <v>5.65</v>
      </c>
      <c r="O367">
        <f t="shared" si="64"/>
        <v>2059990.0000000002</v>
      </c>
      <c r="P367">
        <f t="shared" si="65"/>
        <v>3.8162804053428187E-2</v>
      </c>
      <c r="Q367" s="5">
        <f>_xll.SNL.Clients.Office.Excel.Functions.SPG(K367, "SP_MARKETCAP", "12/31/2022")</f>
        <v>36601.279999999999</v>
      </c>
      <c r="R367">
        <f t="shared" si="69"/>
        <v>1.0862601177334941E-3</v>
      </c>
      <c r="S367">
        <f t="shared" si="70"/>
        <v>6.1373696651942419E-3</v>
      </c>
      <c r="U367" t="s">
        <v>367</v>
      </c>
      <c r="V367" s="4" cm="1">
        <f t="array" ref="V367">_xll.SNL.Clients.Office.Excel.Functions.SPG(U367, "SP_TOTAL_REV", "CY2021")</f>
        <v>71247000</v>
      </c>
      <c r="W367" s="4">
        <f>_xll.SNL.Clients.Office.Excel.Functions.SPG(U367,"IQ_AVG_DILUT_SHARES_OUT","CY2021")</f>
        <v>390100000</v>
      </c>
      <c r="X367" s="5">
        <f>_xll.SNL.Clients.Office.Excel.Functions.SPG(U367, "IQ_DILUT_EPS_NORM", "CY2021")</f>
        <v>19.036999999999999</v>
      </c>
      <c r="Y367">
        <f t="shared" si="71"/>
        <v>7426333.7000000002</v>
      </c>
      <c r="Z367">
        <f t="shared" si="72"/>
        <v>0.10423363369685741</v>
      </c>
      <c r="AA367" s="5">
        <f>_xll.SNL.Clients.Office.Excel.Functions.SPG(U367, "SP_MARKETCAP", "12/31/2021")</f>
        <v>40914.720000000001</v>
      </c>
      <c r="AB367">
        <f t="shared" si="66"/>
        <v>9.6425790983388656E-4</v>
      </c>
      <c r="AC367">
        <f t="shared" si="73"/>
        <v>1.8356577829507698E-2</v>
      </c>
    </row>
    <row r="368" spans="1:29" x14ac:dyDescent="0.3">
      <c r="A368" t="s">
        <v>368</v>
      </c>
      <c r="B368" s="4" cm="1">
        <f t="array" ref="B368">_xll.SNL.Clients.Office.Excel.Functions.SPG(A368, "SP_TOTAL_REV", "CY2023")</f>
        <v>2181357</v>
      </c>
      <c r="C368" s="4">
        <f>_xll.SNL.Clients.Office.Excel.Functions.SPG(A368,"IQ_AVG_DILUT_SHARES_OUT","CY2023")</f>
        <v>119699500</v>
      </c>
      <c r="D368" s="5">
        <f>_xll.SNL.Clients.Office.Excel.Functions.SPG(A368, "IQ_DILUT_EPS_NORM", "CY2023")</f>
        <v>1.8080000000000001</v>
      </c>
      <c r="E368">
        <f t="shared" si="62"/>
        <v>216416.696</v>
      </c>
      <c r="F368">
        <f t="shared" si="63"/>
        <v>9.9211956593991721E-2</v>
      </c>
      <c r="G368" s="5">
        <f>_xll.SNL.Clients.Office.Excel.Functions.SPG(A368, "SP_MARKETCAP", "12/30/2023")</f>
        <v>20863.062159839999</v>
      </c>
      <c r="H368">
        <f t="shared" si="67"/>
        <v>4.9654090092841278E-4</v>
      </c>
      <c r="I368">
        <f t="shared" si="68"/>
        <v>8.9774594887857037E-4</v>
      </c>
      <c r="K368" t="s">
        <v>368</v>
      </c>
      <c r="L368" s="4" cm="1">
        <f t="array" ref="L368">_xll.SNL.Clients.Office.Excel.Functions.SPG(K368, "SP_TOTAL_REV", "CY2023")</f>
        <v>2181357</v>
      </c>
      <c r="M368" s="4">
        <f>_xll.SNL.Clients.Office.Excel.Functions.SPG(K368,"IQ_AVG_DILUT_SHARES_OUT","CY2023")</f>
        <v>119699500</v>
      </c>
      <c r="N368" s="5">
        <f>_xll.SNL.Clients.Office.Excel.Functions.SPG(K368, "IQ_DILUT_EPS_NORM", "CY2023")</f>
        <v>1.8080000000000001</v>
      </c>
      <c r="O368">
        <f t="shared" si="64"/>
        <v>216416.696</v>
      </c>
      <c r="P368">
        <f t="shared" si="65"/>
        <v>9.9211956593991721E-2</v>
      </c>
      <c r="Q368" s="5">
        <f>_xll.SNL.Clients.Office.Excel.Functions.SPG(K368, "SP_MARKETCAP", "12/31/2022")</f>
        <v>14183.22080488</v>
      </c>
      <c r="R368">
        <f t="shared" si="69"/>
        <v>4.2093246742597781E-4</v>
      </c>
      <c r="S368">
        <f t="shared" si="70"/>
        <v>7.6104590110616789E-4</v>
      </c>
      <c r="U368" t="s">
        <v>368</v>
      </c>
      <c r="V368" s="4" cm="1">
        <f t="array" ref="V368">_xll.SNL.Clients.Office.Excel.Functions.SPG(U368, "SP_TOTAL_REV", "CY2021")</f>
        <v>1835830</v>
      </c>
      <c r="W368" s="4">
        <f>_xll.SNL.Clients.Office.Excel.Functions.SPG(U368,"IQ_AVG_DILUT_SHARES_OUT","CY2021")</f>
        <v>118615250</v>
      </c>
      <c r="X368" s="5">
        <f>_xll.SNL.Clients.Office.Excel.Functions.SPG(U368, "IQ_DILUT_EPS_NORM", "CY2021")</f>
        <v>1.788</v>
      </c>
      <c r="Y368">
        <f t="shared" si="71"/>
        <v>212084.06700000001</v>
      </c>
      <c r="Z368">
        <f t="shared" si="72"/>
        <v>0.11552489446190552</v>
      </c>
      <c r="AA368" s="5">
        <f>_xll.SNL.Clients.Office.Excel.Functions.SPG(U368, "SP_MARKETCAP", "12/31/2021")</f>
        <v>14280.18104845</v>
      </c>
      <c r="AB368">
        <f t="shared" si="66"/>
        <v>3.365482528006516E-4</v>
      </c>
      <c r="AC368">
        <f t="shared" si="73"/>
        <v>6.0174827600756504E-4</v>
      </c>
    </row>
    <row r="369" spans="1:29" x14ac:dyDescent="0.3">
      <c r="A369" t="s">
        <v>369</v>
      </c>
      <c r="B369" s="4" cm="1">
        <f t="array" ref="B369">_xll.SNL.Clients.Office.Excel.Functions.SPG(A369, "SP_TOTAL_REV", "CY2023")</f>
        <v>11237000</v>
      </c>
      <c r="C369" s="4">
        <f>_xll.SNL.Clients.Office.Excel.Functions.SPG(A369,"IQ_AVG_DILUT_SHARES_OUT","CY2023")</f>
        <v>500000000</v>
      </c>
      <c r="D369" s="5">
        <f>_xll.SNL.Clients.Office.Excel.Functions.SPG(A369, "IQ_DILUT_EPS_NORM", "CY2023")</f>
        <v>3.6240000000000001</v>
      </c>
      <c r="E369">
        <f t="shared" si="62"/>
        <v>1812000</v>
      </c>
      <c r="F369">
        <f t="shared" si="63"/>
        <v>0.16125300347067723</v>
      </c>
      <c r="G369" s="5">
        <f>_xll.SNL.Clients.Office.Excel.Functions.SPG(A369, "SP_MARKETCAP", "12/30/2023")</f>
        <v>30471.919567299999</v>
      </c>
      <c r="H369">
        <f t="shared" si="67"/>
        <v>7.2523171713932666E-4</v>
      </c>
      <c r="I369">
        <f t="shared" si="68"/>
        <v>2.6282397429129201E-3</v>
      </c>
      <c r="K369" t="s">
        <v>369</v>
      </c>
      <c r="L369" s="4" cm="1">
        <f t="array" ref="L369">_xll.SNL.Clients.Office.Excel.Functions.SPG(K369, "SP_TOTAL_REV", "CY2023")</f>
        <v>11237000</v>
      </c>
      <c r="M369" s="4">
        <f>_xll.SNL.Clients.Office.Excel.Functions.SPG(K369,"IQ_AVG_DILUT_SHARES_OUT","CY2023")</f>
        <v>500000000</v>
      </c>
      <c r="N369" s="5">
        <f>_xll.SNL.Clients.Office.Excel.Functions.SPG(K369, "IQ_DILUT_EPS_NORM", "CY2023")</f>
        <v>3.6240000000000001</v>
      </c>
      <c r="O369">
        <f t="shared" si="64"/>
        <v>1812000</v>
      </c>
      <c r="P369">
        <f t="shared" si="65"/>
        <v>0.16125300347067723</v>
      </c>
      <c r="Q369" s="5">
        <f>_xll.SNL.Clients.Office.Excel.Functions.SPG(K369, "SP_MARKETCAP", "12/31/2022")</f>
        <v>30570.650814879999</v>
      </c>
      <c r="R369">
        <f t="shared" si="69"/>
        <v>9.0728189706373895E-4</v>
      </c>
      <c r="S369">
        <f t="shared" si="70"/>
        <v>3.2879895949589899E-3</v>
      </c>
      <c r="U369" t="s">
        <v>369</v>
      </c>
      <c r="V369" s="4" cm="1">
        <f t="array" ref="V369">_xll.SNL.Clients.Office.Excel.Functions.SPG(U369, "SP_TOTAL_REV", "CY2021")</f>
        <v>9722000</v>
      </c>
      <c r="W369" s="4">
        <f>_xll.SNL.Clients.Office.Excel.Functions.SPG(U369,"IQ_AVG_DILUT_SHARES_OUT","CY2021")</f>
        <v>504000000</v>
      </c>
      <c r="X369" s="5">
        <f>_xll.SNL.Clients.Office.Excel.Functions.SPG(U369, "IQ_DILUT_EPS_NORM", "CY2021")</f>
        <v>2.0649999999999999</v>
      </c>
      <c r="Y369">
        <f t="shared" si="71"/>
        <v>1040760</v>
      </c>
      <c r="Z369">
        <f t="shared" si="72"/>
        <v>0.10705204690392923</v>
      </c>
      <c r="AA369" s="5">
        <f>_xll.SNL.Clients.Office.Excel.Functions.SPG(U369, "SP_MARKETCAP", "12/31/2021")</f>
        <v>33742.936832560001</v>
      </c>
      <c r="AB369">
        <f t="shared" si="66"/>
        <v>7.9523686687385791E-4</v>
      </c>
      <c r="AC369">
        <f t="shared" si="73"/>
        <v>1.6421641300945165E-3</v>
      </c>
    </row>
    <row r="370" spans="1:29" x14ac:dyDescent="0.3">
      <c r="A370" t="s">
        <v>370</v>
      </c>
      <c r="B370" s="4" t="str" cm="1">
        <f t="array" ref="B370">_xll.SNL.Clients.Office.Excel.Functions.SPG(A370, "SP_TOTAL_REV", "CY2023")</f>
        <v>NA</v>
      </c>
      <c r="C370" s="4">
        <f>_xll.SNL.Clients.Office.Excel.Functions.SPG(A370,"IQ_AVG_DILUT_SHARES_OUT","CY2023")</f>
        <v>176143000</v>
      </c>
      <c r="D370" s="5">
        <f>_xll.SNL.Clients.Office.Excel.Functions.SPG(A370, "IQ_DILUT_EPS_NORM", "CY2023")</f>
        <v>7.6070000000000002</v>
      </c>
      <c r="E370">
        <f t="shared" si="62"/>
        <v>1339919.801</v>
      </c>
      <c r="F370" t="e">
        <f t="shared" si="63"/>
        <v>#VALUE!</v>
      </c>
      <c r="G370" s="5">
        <f>_xll.SNL.Clients.Office.Excel.Functions.SPG(A370, "SP_MARKETCAP", "12/30/2023")</f>
        <v>53630.029410000003</v>
      </c>
      <c r="H370">
        <f t="shared" si="67"/>
        <v>1.2763947552875861E-3</v>
      </c>
      <c r="I370">
        <f t="shared" si="68"/>
        <v>9.709534903472667E-3</v>
      </c>
      <c r="K370" t="s">
        <v>370</v>
      </c>
      <c r="L370" s="4" t="str" cm="1">
        <f t="array" ref="L370">_xll.SNL.Clients.Office.Excel.Functions.SPG(K370, "SP_TOTAL_REV", "CY2023")</f>
        <v>NA</v>
      </c>
      <c r="M370" s="4">
        <f>_xll.SNL.Clients.Office.Excel.Functions.SPG(K370,"IQ_AVG_DILUT_SHARES_OUT","CY2023")</f>
        <v>176143000</v>
      </c>
      <c r="N370" s="5">
        <f>_xll.SNL.Clients.Office.Excel.Functions.SPG(K370, "IQ_DILUT_EPS_NORM", "CY2023")</f>
        <v>7.6070000000000002</v>
      </c>
      <c r="O370">
        <f t="shared" si="64"/>
        <v>1339919.801</v>
      </c>
      <c r="P370" t="e">
        <f t="shared" si="65"/>
        <v>#VALUE!</v>
      </c>
      <c r="Q370" s="5">
        <f>_xll.SNL.Clients.Office.Excel.Functions.SPG(K370, "SP_MARKETCAP", "12/31/2022")</f>
        <v>49212.119933720001</v>
      </c>
      <c r="R370">
        <f t="shared" si="69"/>
        <v>1.4605271507749872E-3</v>
      </c>
      <c r="S370">
        <f t="shared" si="70"/>
        <v>1.1110230035945329E-2</v>
      </c>
      <c r="U370" t="s">
        <v>370</v>
      </c>
      <c r="V370" s="4" t="str" cm="1">
        <f t="array" ref="V370">_xll.SNL.Clients.Office.Excel.Functions.SPG(U370, "SP_TOTAL_REV", "CY2021")</f>
        <v>NA</v>
      </c>
      <c r="W370" s="4">
        <f>_xll.SNL.Clients.Office.Excel.Functions.SPG(U370,"IQ_AVG_DILUT_SHARES_OUT","CY2021")</f>
        <v>175568000</v>
      </c>
      <c r="X370" s="5">
        <f>_xll.SNL.Clients.Office.Excel.Functions.SPG(U370, "IQ_DILUT_EPS_NORM", "CY2021")</f>
        <v>6.9349999999999996</v>
      </c>
      <c r="Y370">
        <f t="shared" si="71"/>
        <v>1217564.08</v>
      </c>
      <c r="Z370" t="e">
        <f t="shared" si="72"/>
        <v>#VALUE!</v>
      </c>
      <c r="AA370" s="5">
        <f>_xll.SNL.Clients.Office.Excel.Functions.SPG(U370, "SP_MARKETCAP", "12/31/2021")</f>
        <v>65680.803993599999</v>
      </c>
      <c r="AB370">
        <f t="shared" si="66"/>
        <v>1.5479327434008573E-3</v>
      </c>
      <c r="AC370">
        <f t="shared" si="73"/>
        <v>1.0734913575484945E-2</v>
      </c>
    </row>
    <row r="371" spans="1:29" x14ac:dyDescent="0.3">
      <c r="A371" t="s">
        <v>371</v>
      </c>
      <c r="B371" s="4" cm="1">
        <f t="array" ref="B371">_xll.SNL.Clients.Office.Excel.Functions.SPG(A371, "SP_TOTAL_REV", "CY2023")</f>
        <v>16061578</v>
      </c>
      <c r="C371" s="4">
        <f>_xll.SNL.Clients.Office.Excel.Functions.SPG(A371,"IQ_AVG_DILUT_SHARES_OUT","CY2023")</f>
        <v>221163000</v>
      </c>
      <c r="D371" s="5">
        <f>_xll.SNL.Clients.Office.Excel.Functions.SPG(A371, "IQ_DILUT_EPS_NORM", "CY2023")</f>
        <v>9.8670000000000009</v>
      </c>
      <c r="E371">
        <f t="shared" si="62"/>
        <v>2182215.321</v>
      </c>
      <c r="F371">
        <f t="shared" si="63"/>
        <v>0.13586556196408597</v>
      </c>
      <c r="G371" s="5">
        <f>_xll.SNL.Clients.Office.Excel.Functions.SPG(A371, "SP_MARKETCAP", "12/30/2023")</f>
        <v>22253.7138356</v>
      </c>
      <c r="H371">
        <f t="shared" si="67"/>
        <v>5.2963841224622275E-4</v>
      </c>
      <c r="I371">
        <f t="shared" si="68"/>
        <v>5.2259422136334806E-3</v>
      </c>
      <c r="K371" t="s">
        <v>371</v>
      </c>
      <c r="L371" s="4" cm="1">
        <f t="array" ref="L371">_xll.SNL.Clients.Office.Excel.Functions.SPG(K371, "SP_TOTAL_REV", "CY2023")</f>
        <v>16061578</v>
      </c>
      <c r="M371" s="4">
        <f>_xll.SNL.Clients.Office.Excel.Functions.SPG(K371,"IQ_AVG_DILUT_SHARES_OUT","CY2023")</f>
        <v>221163000</v>
      </c>
      <c r="N371" s="5">
        <f>_xll.SNL.Clients.Office.Excel.Functions.SPG(K371, "IQ_DILUT_EPS_NORM", "CY2023")</f>
        <v>9.8670000000000009</v>
      </c>
      <c r="O371">
        <f t="shared" si="64"/>
        <v>2182215.321</v>
      </c>
      <c r="P371">
        <f t="shared" si="65"/>
        <v>0.13586556196408597</v>
      </c>
      <c r="Q371" s="5">
        <f>_xll.SNL.Clients.Office.Excel.Functions.SPG(K371, "SP_MARKETCAP", "12/31/2022")</f>
        <v>10372.63203372</v>
      </c>
      <c r="R371">
        <f t="shared" si="69"/>
        <v>3.0784105075436978E-4</v>
      </c>
      <c r="S371">
        <f t="shared" si="70"/>
        <v>3.037467647793367E-3</v>
      </c>
      <c r="U371" t="s">
        <v>371</v>
      </c>
      <c r="V371" s="4" cm="1">
        <f t="array" ref="V371">_xll.SNL.Clients.Office.Excel.Functions.SPG(U371, "SP_TOTAL_REV", "CY2021")</f>
        <v>13736995</v>
      </c>
      <c r="W371" s="4">
        <f>_xll.SNL.Clients.Office.Excel.Functions.SPG(U371,"IQ_AVG_DILUT_SHARES_OUT","CY2021")</f>
        <v>259928000</v>
      </c>
      <c r="X371" s="5">
        <f>_xll.SNL.Clients.Office.Excel.Functions.SPG(U371, "IQ_DILUT_EPS_NORM", "CY2021")</f>
        <v>6.2119999999999997</v>
      </c>
      <c r="Y371">
        <f t="shared" si="71"/>
        <v>1614672.736</v>
      </c>
      <c r="Z371">
        <f t="shared" si="72"/>
        <v>0.11754191771926829</v>
      </c>
      <c r="AA371" s="5">
        <f>_xll.SNL.Clients.Office.Excel.Functions.SPG(U371, "SP_MARKETCAP", "12/31/2021")</f>
        <v>14472.09272572</v>
      </c>
      <c r="AB371">
        <f t="shared" si="66"/>
        <v>3.4107113240967949E-4</v>
      </c>
      <c r="AC371">
        <f t="shared" si="73"/>
        <v>2.1187338745289291E-3</v>
      </c>
    </row>
    <row r="372" spans="1:29" x14ac:dyDescent="0.3">
      <c r="A372" t="s">
        <v>372</v>
      </c>
      <c r="B372" s="4" cm="1">
        <f t="array" ref="B372">_xll.SNL.Clients.Office.Excel.Functions.SPG(A372, "SP_TOTAL_REV", "CY2023")</f>
        <v>36292000</v>
      </c>
      <c r="C372" s="4">
        <f>_xll.SNL.Clients.Office.Excel.Functions.SPG(A372,"IQ_AVG_DILUT_SHARES_OUT","CY2023")</f>
        <v>1125000000</v>
      </c>
      <c r="D372" s="5">
        <f>_xll.SNL.Clients.Office.Excel.Functions.SPG(A372, "IQ_DILUT_EPS_NORM", "CY2023")</f>
        <v>4.8979999999999997</v>
      </c>
      <c r="E372">
        <f t="shared" si="62"/>
        <v>5510250</v>
      </c>
      <c r="F372">
        <f t="shared" si="63"/>
        <v>0.15183098203460818</v>
      </c>
      <c r="G372" s="5">
        <f>_xll.SNL.Clients.Office.Excel.Functions.SPG(A372, "SP_MARKETCAP", "12/30/2023")</f>
        <v>160973.19</v>
      </c>
      <c r="H372">
        <f t="shared" si="67"/>
        <v>3.8311620880744934E-3</v>
      </c>
      <c r="I372">
        <f t="shared" si="68"/>
        <v>1.8765031907388867E-2</v>
      </c>
      <c r="K372" t="s">
        <v>372</v>
      </c>
      <c r="L372" s="4" cm="1">
        <f t="array" ref="L372">_xll.SNL.Clients.Office.Excel.Functions.SPG(K372, "SP_TOTAL_REV", "CY2023")</f>
        <v>36292000</v>
      </c>
      <c r="M372" s="4">
        <f>_xll.SNL.Clients.Office.Excel.Functions.SPG(K372,"IQ_AVG_DILUT_SHARES_OUT","CY2023")</f>
        <v>1125000000</v>
      </c>
      <c r="N372" s="5">
        <f>_xll.SNL.Clients.Office.Excel.Functions.SPG(K372, "IQ_DILUT_EPS_NORM", "CY2023")</f>
        <v>4.8979999999999997</v>
      </c>
      <c r="O372">
        <f t="shared" si="64"/>
        <v>5510250</v>
      </c>
      <c r="P372">
        <f t="shared" si="65"/>
        <v>0.15183098203460818</v>
      </c>
      <c r="Q372" s="5">
        <f>_xll.SNL.Clients.Office.Excel.Functions.SPG(K372, "SP_MARKETCAP", "12/31/2022")</f>
        <v>123242.74</v>
      </c>
      <c r="R372">
        <f t="shared" si="69"/>
        <v>3.6576227187190835E-3</v>
      </c>
      <c r="S372">
        <f t="shared" si="70"/>
        <v>1.791503607628607E-2</v>
      </c>
      <c r="U372" t="s">
        <v>372</v>
      </c>
      <c r="V372" s="4" cm="1">
        <f t="array" ref="V372">_xll.SNL.Clients.Office.Excel.Functions.SPG(U372, "SP_TOTAL_REV", "CY2021")</f>
        <v>36036000</v>
      </c>
      <c r="W372" s="4">
        <f>_xll.SNL.Clients.Office.Excel.Functions.SPG(U372,"IQ_AVG_DILUT_SHARES_OUT","CY2021")</f>
        <v>1145500000</v>
      </c>
      <c r="X372" s="5">
        <f>_xll.SNL.Clients.Office.Excel.Functions.SPG(U372, "IQ_DILUT_EPS_NORM", "CY2021")</f>
        <v>5.8449999999999998</v>
      </c>
      <c r="Y372">
        <f t="shared" si="71"/>
        <v>6695447.5</v>
      </c>
      <c r="Z372">
        <f t="shared" si="72"/>
        <v>0.18579885392385392</v>
      </c>
      <c r="AA372" s="5">
        <f>_xll.SNL.Clients.Office.Excel.Functions.SPG(U372, "SP_MARKETCAP", "12/31/2021")</f>
        <v>204741.25200000001</v>
      </c>
      <c r="AB372">
        <f t="shared" si="66"/>
        <v>4.8252406886884003E-3</v>
      </c>
      <c r="AC372">
        <f t="shared" si="73"/>
        <v>2.8203531825383699E-2</v>
      </c>
    </row>
    <row r="373" spans="1:29" x14ac:dyDescent="0.3">
      <c r="A373" t="s">
        <v>373</v>
      </c>
      <c r="B373" s="4" cm="1">
        <f t="array" ref="B373">_xll.SNL.Clients.Office.Excel.Functions.SPG(A373, "SP_TOTAL_REV", "CY2023")</f>
        <v>20882206</v>
      </c>
      <c r="C373" s="4">
        <f>_xll.SNL.Clients.Office.Excel.Functions.SPG(A373,"IQ_AVG_DILUT_SHARES_OUT","CY2023")</f>
        <v>148823000</v>
      </c>
      <c r="D373" s="5">
        <f>_xll.SNL.Clients.Office.Excel.Functions.SPG(A373, "IQ_DILUT_EPS_NORM", "CY2023")</f>
        <v>4.0540000000000003</v>
      </c>
      <c r="E373">
        <f t="shared" si="62"/>
        <v>603328.44200000004</v>
      </c>
      <c r="F373">
        <f t="shared" si="63"/>
        <v>2.889198784841027E-2</v>
      </c>
      <c r="G373" s="5">
        <f>_xll.SNL.Clients.Office.Excel.Functions.SPG(A373, "SP_MARKETCAP", "12/30/2023")</f>
        <v>31352.479262000001</v>
      </c>
      <c r="H373">
        <f t="shared" si="67"/>
        <v>7.4618903878165158E-4</v>
      </c>
      <c r="I373">
        <f t="shared" si="68"/>
        <v>3.0250503632208159E-3</v>
      </c>
      <c r="K373" t="s">
        <v>373</v>
      </c>
      <c r="L373" s="4" cm="1">
        <f t="array" ref="L373">_xll.SNL.Clients.Office.Excel.Functions.SPG(K373, "SP_TOTAL_REV", "CY2023")</f>
        <v>20882206</v>
      </c>
      <c r="M373" s="4">
        <f>_xll.SNL.Clients.Office.Excel.Functions.SPG(K373,"IQ_AVG_DILUT_SHARES_OUT","CY2023")</f>
        <v>148823000</v>
      </c>
      <c r="N373" s="5">
        <f>_xll.SNL.Clients.Office.Excel.Functions.SPG(K373, "IQ_DILUT_EPS_NORM", "CY2023")</f>
        <v>4.0540000000000003</v>
      </c>
      <c r="O373">
        <f t="shared" si="64"/>
        <v>603328.44200000004</v>
      </c>
      <c r="P373">
        <f t="shared" si="65"/>
        <v>2.889198784841027E-2</v>
      </c>
      <c r="Q373" s="5">
        <f>_xll.SNL.Clients.Office.Excel.Functions.SPG(K373, "SP_MARKETCAP", "12/31/2022")</f>
        <v>20363.41473</v>
      </c>
      <c r="R373">
        <f t="shared" si="69"/>
        <v>6.0434950040178295E-4</v>
      </c>
      <c r="S373">
        <f t="shared" si="70"/>
        <v>2.4500328746288281E-3</v>
      </c>
      <c r="U373" t="s">
        <v>373</v>
      </c>
      <c r="V373" s="4" cm="1">
        <f t="array" ref="V373">_xll.SNL.Clients.Office.Excel.Functions.SPG(U373, "SP_TOTAL_REV", "CY2021")</f>
        <v>12980213</v>
      </c>
      <c r="W373" s="4">
        <f>_xll.SNL.Clients.Office.Excel.Functions.SPG(U373,"IQ_AVG_DILUT_SHARES_OUT","CY2021")</f>
        <v>145373000</v>
      </c>
      <c r="X373" s="5">
        <f>_xll.SNL.Clients.Office.Excel.Functions.SPG(U373, "IQ_DILUT_EPS_NORM", "CY2021")</f>
        <v>2.69</v>
      </c>
      <c r="Y373">
        <f t="shared" si="71"/>
        <v>391053.37</v>
      </c>
      <c r="Z373">
        <f t="shared" si="72"/>
        <v>3.0126883896281209E-2</v>
      </c>
      <c r="AA373" s="5">
        <f>_xll.SNL.Clients.Office.Excel.Functions.SPG(U373, "SP_MARKETCAP", "12/31/2021")</f>
        <v>16338.967444800001</v>
      </c>
      <c r="AB373">
        <f t="shared" si="66"/>
        <v>3.8506871358686475E-4</v>
      </c>
      <c r="AC373">
        <f t="shared" si="73"/>
        <v>1.0358348395486661E-3</v>
      </c>
    </row>
    <row r="374" spans="1:29" x14ac:dyDescent="0.3">
      <c r="A374" t="s">
        <v>374</v>
      </c>
      <c r="B374" s="4" cm="1">
        <f t="array" ref="B374">_xll.SNL.Clients.Office.Excel.Functions.SPG(A374, "SP_TOTAL_REV", "CY2023")</f>
        <v>9252000</v>
      </c>
      <c r="C374" s="4">
        <f>_xll.SNL.Clients.Office.Excel.Functions.SPG(A374,"IQ_AVG_DILUT_SHARES_OUT","CY2023")</f>
        <v>113000000</v>
      </c>
      <c r="D374" s="5">
        <f>_xll.SNL.Clients.Office.Excel.Functions.SPG(A374, "IQ_DILUT_EPS_NORM", "CY2023")</f>
        <v>6.3140000000000001</v>
      </c>
      <c r="E374">
        <f t="shared" si="62"/>
        <v>713482</v>
      </c>
      <c r="F374">
        <f t="shared" si="63"/>
        <v>7.7116515348032863E-2</v>
      </c>
      <c r="G374" s="5">
        <f>_xll.SNL.Clients.Office.Excel.Functions.SPG(A374, "SP_MARKETCAP", "12/30/2023")</f>
        <v>15502.53738636</v>
      </c>
      <c r="H374">
        <f t="shared" si="67"/>
        <v>3.6896040578918686E-4</v>
      </c>
      <c r="I374">
        <f t="shared" si="68"/>
        <v>2.3296160021529259E-3</v>
      </c>
      <c r="K374" t="s">
        <v>374</v>
      </c>
      <c r="L374" s="4" cm="1">
        <f t="array" ref="L374">_xll.SNL.Clients.Office.Excel.Functions.SPG(K374, "SP_TOTAL_REV", "CY2023")</f>
        <v>9252000</v>
      </c>
      <c r="M374" s="4">
        <f>_xll.SNL.Clients.Office.Excel.Functions.SPG(K374,"IQ_AVG_DILUT_SHARES_OUT","CY2023")</f>
        <v>113000000</v>
      </c>
      <c r="N374" s="5">
        <f>_xll.SNL.Clients.Office.Excel.Functions.SPG(K374, "IQ_DILUT_EPS_NORM", "CY2023")</f>
        <v>6.3140000000000001</v>
      </c>
      <c r="O374">
        <f t="shared" si="64"/>
        <v>713482</v>
      </c>
      <c r="P374">
        <f t="shared" si="65"/>
        <v>7.7116515348032863E-2</v>
      </c>
      <c r="Q374" s="5">
        <f>_xll.SNL.Clients.Office.Excel.Functions.SPG(K374, "SP_MARKETCAP", "12/31/2022")</f>
        <v>17816.555181039999</v>
      </c>
      <c r="R374">
        <f t="shared" si="69"/>
        <v>5.2876329266522389E-4</v>
      </c>
      <c r="S374">
        <f t="shared" si="70"/>
        <v>3.3386114298882236E-3</v>
      </c>
      <c r="U374" t="s">
        <v>374</v>
      </c>
      <c r="V374" s="4" cm="1">
        <f t="array" ref="V374">_xll.SNL.Clients.Office.Excel.Functions.SPG(U374, "SP_TOTAL_REV", "CY2021")</f>
        <v>10788000</v>
      </c>
      <c r="W374" s="4">
        <f>_xll.SNL.Clients.Office.Excel.Functions.SPG(U374,"IQ_AVG_DILUT_SHARES_OUT","CY2021")</f>
        <v>128000000</v>
      </c>
      <c r="X374" s="5">
        <f>_xll.SNL.Clients.Office.Excel.Functions.SPG(U374, "IQ_DILUT_EPS_NORM", "CY2021")</f>
        <v>10.933</v>
      </c>
      <c r="Y374">
        <f t="shared" si="71"/>
        <v>1399424</v>
      </c>
      <c r="Z374">
        <f t="shared" si="72"/>
        <v>0.12972043010752687</v>
      </c>
      <c r="AA374" s="5">
        <f>_xll.SNL.Clients.Office.Excel.Functions.SPG(U374, "SP_MARKETCAP", "12/31/2021")</f>
        <v>21223.962130709999</v>
      </c>
      <c r="AB374">
        <f t="shared" si="66"/>
        <v>5.0019585524603333E-4</v>
      </c>
      <c r="AC374">
        <f t="shared" si="73"/>
        <v>5.4686412854048827E-3</v>
      </c>
    </row>
    <row r="375" spans="1:29" x14ac:dyDescent="0.3">
      <c r="A375" t="s">
        <v>375</v>
      </c>
      <c r="B375" s="4" cm="1">
        <f t="array" ref="B375">_xll.SNL.Clients.Office.Excel.Functions.SPG(A375, "SP_TOTAL_REV", "CY2023")</f>
        <v>6604300</v>
      </c>
      <c r="C375" s="4">
        <f>_xll.SNL.Clients.Office.Excel.Functions.SPG(A375,"IQ_AVG_DILUT_SHARES_OUT","CY2023")</f>
        <v>67099950</v>
      </c>
      <c r="D375" s="5">
        <f>_xll.SNL.Clients.Office.Excel.Functions.SPG(A375, "IQ_DILUT_EPS_NORM", "CY2023")</f>
        <v>7.2640000000000002</v>
      </c>
      <c r="E375">
        <f t="shared" si="62"/>
        <v>487414.0368</v>
      </c>
      <c r="F375">
        <f t="shared" si="63"/>
        <v>7.3802528171040077E-2</v>
      </c>
      <c r="G375" s="5">
        <f>_xll.SNL.Clients.Office.Excel.Functions.SPG(A375, "SP_MARKETCAP", "12/30/2023")</f>
        <v>9320.0902802000001</v>
      </c>
      <c r="H375">
        <f t="shared" si="67"/>
        <v>2.2181815828420758E-4</v>
      </c>
      <c r="I375">
        <f t="shared" si="68"/>
        <v>1.611287101776484E-3</v>
      </c>
      <c r="K375" t="s">
        <v>375</v>
      </c>
      <c r="L375" s="4" cm="1">
        <f t="array" ref="L375">_xll.SNL.Clients.Office.Excel.Functions.SPG(K375, "SP_TOTAL_REV", "CY2023")</f>
        <v>6604300</v>
      </c>
      <c r="M375" s="4">
        <f>_xll.SNL.Clients.Office.Excel.Functions.SPG(K375,"IQ_AVG_DILUT_SHARES_OUT","CY2023")</f>
        <v>67099950</v>
      </c>
      <c r="N375" s="5">
        <f>_xll.SNL.Clients.Office.Excel.Functions.SPG(K375, "IQ_DILUT_EPS_NORM", "CY2023")</f>
        <v>7.2640000000000002</v>
      </c>
      <c r="O375">
        <f t="shared" si="64"/>
        <v>487414.0368</v>
      </c>
      <c r="P375">
        <f t="shared" si="65"/>
        <v>7.3802528171040077E-2</v>
      </c>
      <c r="Q375" s="5">
        <f>_xll.SNL.Clients.Office.Excel.Functions.SPG(K375, "SP_MARKETCAP", "12/31/2022")</f>
        <v>6971.3131239699997</v>
      </c>
      <c r="R375">
        <f t="shared" si="69"/>
        <v>2.0689602699142502E-4</v>
      </c>
      <c r="S375">
        <f t="shared" si="70"/>
        <v>1.5028927400657114E-3</v>
      </c>
      <c r="U375" t="s">
        <v>375</v>
      </c>
      <c r="V375" s="4" cm="1">
        <f t="array" ref="V375">_xll.SNL.Clients.Office.Excel.Functions.SPG(U375, "SP_TOTAL_REV", "CY2021")</f>
        <v>5982800</v>
      </c>
      <c r="W375" s="4">
        <f>_xll.SNL.Clients.Office.Excel.Functions.SPG(U375,"IQ_AVG_DILUT_SHARES_OUT","CY2021")</f>
        <v>74700000</v>
      </c>
      <c r="X375" s="5">
        <f>_xll.SNL.Clients.Office.Excel.Functions.SPG(U375, "IQ_DILUT_EPS_NORM", "CY2021")</f>
        <v>6.3280000000000003</v>
      </c>
      <c r="Y375">
        <f t="shared" si="71"/>
        <v>472701.6</v>
      </c>
      <c r="Z375">
        <f t="shared" si="72"/>
        <v>7.9010095607407904E-2</v>
      </c>
      <c r="AA375" s="5">
        <f>_xll.SNL.Clients.Office.Excel.Functions.SPG(U375, "SP_MARKETCAP", "12/31/2021")</f>
        <v>8750.1210178199999</v>
      </c>
      <c r="AB375">
        <f t="shared" si="66"/>
        <v>2.0621852974764761E-4</v>
      </c>
      <c r="AC375">
        <f t="shared" si="73"/>
        <v>1.3049508562431142E-3</v>
      </c>
    </row>
    <row r="376" spans="1:29" x14ac:dyDescent="0.3">
      <c r="A376" t="s">
        <v>376</v>
      </c>
      <c r="B376" s="4" cm="1">
        <f t="array" ref="B376">_xll.SNL.Clients.Office.Excel.Functions.SPG(A376, "SP_TOTAL_REV", "CY2023")</f>
        <v>11846000</v>
      </c>
      <c r="C376" s="4">
        <f>_xll.SNL.Clients.Office.Excel.Functions.SPG(A376,"IQ_AVG_DILUT_SHARES_OUT","CY2023")</f>
        <v>215250000</v>
      </c>
      <c r="D376" s="5">
        <f>_xll.SNL.Clients.Office.Excel.Functions.SPG(A376, "IQ_DILUT_EPS_NORM", "CY2023")</f>
        <v>6.7859999999999996</v>
      </c>
      <c r="E376">
        <f t="shared" si="62"/>
        <v>1460686.5</v>
      </c>
      <c r="F376">
        <f t="shared" si="63"/>
        <v>0.12330630592605099</v>
      </c>
      <c r="G376" s="5">
        <f>_xll.SNL.Clients.Office.Excel.Functions.SPG(A376, "SP_MARKETCAP", "12/30/2023")</f>
        <v>23259.6536285</v>
      </c>
      <c r="H376">
        <f t="shared" si="67"/>
        <v>5.5357978035506118E-4</v>
      </c>
      <c r="I376">
        <f t="shared" si="68"/>
        <v>3.756592389489445E-3</v>
      </c>
      <c r="K376" t="s">
        <v>376</v>
      </c>
      <c r="L376" s="4" cm="1">
        <f t="array" ref="L376">_xll.SNL.Clients.Office.Excel.Functions.SPG(K376, "SP_TOTAL_REV", "CY2023")</f>
        <v>11846000</v>
      </c>
      <c r="M376" s="4">
        <f>_xll.SNL.Clients.Office.Excel.Functions.SPG(K376,"IQ_AVG_DILUT_SHARES_OUT","CY2023")</f>
        <v>215250000</v>
      </c>
      <c r="N376" s="5">
        <f>_xll.SNL.Clients.Office.Excel.Functions.SPG(K376, "IQ_DILUT_EPS_NORM", "CY2023")</f>
        <v>6.7859999999999996</v>
      </c>
      <c r="O376">
        <f t="shared" si="64"/>
        <v>1460686.5</v>
      </c>
      <c r="P376">
        <f t="shared" si="65"/>
        <v>0.12330630592605099</v>
      </c>
      <c r="Q376" s="5">
        <f>_xll.SNL.Clients.Office.Excel.Functions.SPG(K376, "SP_MARKETCAP", "12/31/2022")</f>
        <v>22979.544591499998</v>
      </c>
      <c r="R376">
        <f t="shared" si="69"/>
        <v>6.8199152634620616E-4</v>
      </c>
      <c r="S376">
        <f t="shared" si="70"/>
        <v>4.6279944977853545E-3</v>
      </c>
      <c r="U376" t="s">
        <v>376</v>
      </c>
      <c r="V376" s="4" cm="1">
        <f t="array" ref="V376">_xll.SNL.Clients.Office.Excel.Functions.SPG(U376, "SP_TOTAL_REV", "CY2021")</f>
        <v>10319000</v>
      </c>
      <c r="W376" s="4">
        <f>_xll.SNL.Clients.Office.Excel.Functions.SPG(U376,"IQ_AVG_DILUT_SHARES_OUT","CY2021")</f>
        <v>211900000</v>
      </c>
      <c r="X376" s="5">
        <f>_xll.SNL.Clients.Office.Excel.Functions.SPG(U376, "IQ_DILUT_EPS_NORM", "CY2021")</f>
        <v>5.931</v>
      </c>
      <c r="Y376">
        <f t="shared" si="71"/>
        <v>1256778.8999999999</v>
      </c>
      <c r="Z376">
        <f t="shared" si="72"/>
        <v>0.12179270278127724</v>
      </c>
      <c r="AA376" s="5">
        <f>_xll.SNL.Clients.Office.Excel.Functions.SPG(U376, "SP_MARKETCAP", "12/31/2021")</f>
        <v>20686.9401884</v>
      </c>
      <c r="AB376">
        <f t="shared" si="66"/>
        <v>4.8753958738872495E-4</v>
      </c>
      <c r="AC376">
        <f t="shared" si="73"/>
        <v>2.8915972928025275E-3</v>
      </c>
    </row>
    <row r="377" spans="1:29" x14ac:dyDescent="0.3">
      <c r="A377" t="s">
        <v>377</v>
      </c>
      <c r="B377" s="4" cm="1">
        <f t="array" ref="B377">_xll.SNL.Clients.Office.Excel.Functions.SPG(A377, "SP_TOTAL_REV", "CY2023")</f>
        <v>4091914</v>
      </c>
      <c r="C377" s="4">
        <f>_xll.SNL.Clients.Office.Excel.Functions.SPG(A377,"IQ_AVG_DILUT_SHARES_OUT","CY2023")</f>
        <v>693024000</v>
      </c>
      <c r="D377" s="5">
        <f>_xll.SNL.Clients.Office.Excel.Functions.SPG(A377, "IQ_DILUT_EPS_NORM", "CY2023")</f>
        <v>0.9</v>
      </c>
      <c r="E377">
        <f t="shared" si="62"/>
        <v>623721.6</v>
      </c>
      <c r="F377">
        <f t="shared" si="63"/>
        <v>0.15242783694867487</v>
      </c>
      <c r="G377" s="5">
        <f>_xll.SNL.Clients.Office.Excel.Functions.SPG(A377, "SP_MARKETCAP", "12/30/2023")</f>
        <v>41569.177074480001</v>
      </c>
      <c r="H377">
        <f t="shared" si="67"/>
        <v>9.8934645725914472E-4</v>
      </c>
      <c r="I377">
        <f t="shared" si="68"/>
        <v>8.9041181153323029E-4</v>
      </c>
      <c r="K377" t="s">
        <v>377</v>
      </c>
      <c r="L377" s="4" cm="1">
        <f t="array" ref="L377">_xll.SNL.Clients.Office.Excel.Functions.SPG(K377, "SP_TOTAL_REV", "CY2023")</f>
        <v>4091914</v>
      </c>
      <c r="M377" s="4">
        <f>_xll.SNL.Clients.Office.Excel.Functions.SPG(K377,"IQ_AVG_DILUT_SHARES_OUT","CY2023")</f>
        <v>693024000</v>
      </c>
      <c r="N377" s="5">
        <f>_xll.SNL.Clients.Office.Excel.Functions.SPG(K377, "IQ_DILUT_EPS_NORM", "CY2023")</f>
        <v>0.9</v>
      </c>
      <c r="O377">
        <f t="shared" si="64"/>
        <v>623721.6</v>
      </c>
      <c r="P377">
        <f t="shared" si="65"/>
        <v>0.15242783694867487</v>
      </c>
      <c r="Q377" s="5">
        <f>_xll.SNL.Clients.Office.Excel.Functions.SPG(K377, "SP_MARKETCAP", "12/31/2022")</f>
        <v>39780.369403229997</v>
      </c>
      <c r="R377">
        <f t="shared" si="69"/>
        <v>1.1806097696975216E-3</v>
      </c>
      <c r="S377">
        <f t="shared" si="70"/>
        <v>1.0625487927277695E-3</v>
      </c>
      <c r="U377" t="s">
        <v>377</v>
      </c>
      <c r="V377" s="4" cm="1">
        <f t="array" ref="V377">_xll.SNL.Clients.Office.Excel.Functions.SPG(U377, "SP_TOTAL_REV", "CY2021")</f>
        <v>2092228</v>
      </c>
      <c r="W377" s="4">
        <f>_xll.SNL.Clients.Office.Excel.Functions.SPG(U377,"IQ_AVG_DILUT_SHARES_OUT","CY2021")</f>
        <v>414770000</v>
      </c>
      <c r="X377" s="5">
        <f>_xll.SNL.Clients.Office.Excel.Functions.SPG(U377, "IQ_DILUT_EPS_NORM", "CY2021")</f>
        <v>0.96199999999999997</v>
      </c>
      <c r="Y377">
        <f t="shared" si="71"/>
        <v>399008.74</v>
      </c>
      <c r="Z377">
        <f t="shared" si="72"/>
        <v>0.1907099704238735</v>
      </c>
      <c r="AA377" s="5">
        <f>_xll.SNL.Clients.Office.Excel.Functions.SPG(U377, "SP_MARKETCAP", "12/31/2021")</f>
        <v>40506.544365560003</v>
      </c>
      <c r="AB377">
        <f t="shared" si="66"/>
        <v>9.5463822811273015E-4</v>
      </c>
      <c r="AC377">
        <f t="shared" si="73"/>
        <v>9.1836197544444638E-4</v>
      </c>
    </row>
    <row r="378" spans="1:29" x14ac:dyDescent="0.3">
      <c r="A378" t="s">
        <v>378</v>
      </c>
      <c r="B378" s="4" cm="1">
        <f t="array" ref="B378">_xll.SNL.Clients.Office.Excel.Functions.SPG(A378, "SP_TOTAL_REV", "CY2023")</f>
        <v>1371811</v>
      </c>
      <c r="C378" s="4">
        <f>_xll.SNL.Clients.Office.Excel.Functions.SPG(A378,"IQ_AVG_DILUT_SHARES_OUT","CY2023")</f>
        <v>176371000</v>
      </c>
      <c r="D378" s="5">
        <f>_xll.SNL.Clients.Office.Excel.Functions.SPG(A378, "IQ_DILUT_EPS_NORM", "CY2023")</f>
        <v>1.268</v>
      </c>
      <c r="E378">
        <f t="shared" si="62"/>
        <v>223638.42800000001</v>
      </c>
      <c r="F378">
        <f t="shared" si="63"/>
        <v>0.16302422709833936</v>
      </c>
      <c r="G378" s="5">
        <f>_xll.SNL.Clients.Office.Excel.Functions.SPG(A378, "SP_MARKETCAP", "12/30/2023")</f>
        <v>12337.190524</v>
      </c>
      <c r="H378">
        <f t="shared" si="67"/>
        <v>2.9362514719936093E-4</v>
      </c>
      <c r="I378">
        <f t="shared" si="68"/>
        <v>3.7231668664878967E-4</v>
      </c>
      <c r="K378" t="s">
        <v>378</v>
      </c>
      <c r="L378" s="4" cm="1">
        <f t="array" ref="L378">_xll.SNL.Clients.Office.Excel.Functions.SPG(K378, "SP_TOTAL_REV", "CY2023")</f>
        <v>1371811</v>
      </c>
      <c r="M378" s="4">
        <f>_xll.SNL.Clients.Office.Excel.Functions.SPG(K378,"IQ_AVG_DILUT_SHARES_OUT","CY2023")</f>
        <v>176371000</v>
      </c>
      <c r="N378" s="5">
        <f>_xll.SNL.Clients.Office.Excel.Functions.SPG(K378, "IQ_DILUT_EPS_NORM", "CY2023")</f>
        <v>1.268</v>
      </c>
      <c r="O378">
        <f t="shared" si="64"/>
        <v>223638.42800000001</v>
      </c>
      <c r="P378">
        <f t="shared" si="65"/>
        <v>0.16302422709833936</v>
      </c>
      <c r="Q378" s="5">
        <f>_xll.SNL.Clients.Office.Excel.Functions.SPG(K378, "SP_MARKETCAP", "12/31/2022")</f>
        <v>10695.17</v>
      </c>
      <c r="R378">
        <f t="shared" si="69"/>
        <v>3.1741339711014848E-4</v>
      </c>
      <c r="S378">
        <f t="shared" si="70"/>
        <v>4.0248018753566829E-4</v>
      </c>
      <c r="U378" t="s">
        <v>378</v>
      </c>
      <c r="V378" s="4" cm="1">
        <f t="array" ref="V378">_xll.SNL.Clients.Office.Excel.Functions.SPG(U378, "SP_TOTAL_REV", "CY2021")</f>
        <v>1215917</v>
      </c>
      <c r="W378" s="4">
        <f>_xll.SNL.Clients.Office.Excel.Functions.SPG(U378,"IQ_AVG_DILUT_SHARES_OUT","CY2021")</f>
        <v>170694000</v>
      </c>
      <c r="X378" s="5">
        <f>_xll.SNL.Clients.Office.Excel.Functions.SPG(U378, "IQ_DILUT_EPS_NORM", "CY2021")</f>
        <v>1.2569999999999999</v>
      </c>
      <c r="Y378">
        <f t="shared" si="71"/>
        <v>214562.35799999998</v>
      </c>
      <c r="Z378">
        <f t="shared" si="72"/>
        <v>0.17646135221400802</v>
      </c>
      <c r="AA378" s="5">
        <f>_xll.SNL.Clients.Office.Excel.Functions.SPG(U378, "SP_MARKETCAP", "12/31/2021")</f>
        <v>12864.92949445</v>
      </c>
      <c r="AB378">
        <f t="shared" si="66"/>
        <v>3.0319430328445789E-4</v>
      </c>
      <c r="AC378">
        <f t="shared" si="73"/>
        <v>3.8111523922856351E-4</v>
      </c>
    </row>
    <row r="379" spans="1:29" x14ac:dyDescent="0.3">
      <c r="A379" t="s">
        <v>379</v>
      </c>
      <c r="B379" s="4" cm="1">
        <f t="array" ref="B379">_xll.SNL.Clients.Office.Excel.Functions.SPG(A379, "SP_TOTAL_REV", "CY2023")</f>
        <v>13117200</v>
      </c>
      <c r="C379" s="4">
        <f>_xll.SNL.Clients.Office.Excel.Functions.SPG(A379,"IQ_AVG_DILUT_SHARES_OUT","CY2023")</f>
        <v>113700000</v>
      </c>
      <c r="D379" s="5">
        <f>_xll.SNL.Clients.Office.Excel.Functions.SPG(A379, "IQ_DILUT_EPS_NORM", "CY2023")</f>
        <v>25.413</v>
      </c>
      <c r="E379">
        <f t="shared" si="62"/>
        <v>2889458.1</v>
      </c>
      <c r="F379">
        <f t="shared" si="63"/>
        <v>0.22028009788674413</v>
      </c>
      <c r="G379" s="5">
        <f>_xll.SNL.Clients.Office.Excel.Functions.SPG(A379, "SP_MARKETCAP", "12/30/2023")</f>
        <v>93403.492577359997</v>
      </c>
      <c r="H379">
        <f t="shared" si="67"/>
        <v>2.2230032197046536E-3</v>
      </c>
      <c r="I379">
        <f t="shared" si="68"/>
        <v>5.6493180822354362E-2</v>
      </c>
      <c r="K379" t="s">
        <v>379</v>
      </c>
      <c r="L379" s="4" cm="1">
        <f t="array" ref="L379">_xll.SNL.Clients.Office.Excel.Functions.SPG(K379, "SP_TOTAL_REV", "CY2023")</f>
        <v>13117200</v>
      </c>
      <c r="M379" s="4">
        <f>_xll.SNL.Clients.Office.Excel.Functions.SPG(K379,"IQ_AVG_DILUT_SHARES_OUT","CY2023")</f>
        <v>113700000</v>
      </c>
      <c r="N379" s="5">
        <f>_xll.SNL.Clients.Office.Excel.Functions.SPG(K379, "IQ_DILUT_EPS_NORM", "CY2023")</f>
        <v>25.413</v>
      </c>
      <c r="O379">
        <f t="shared" si="64"/>
        <v>2889458.1</v>
      </c>
      <c r="P379">
        <f t="shared" si="65"/>
        <v>0.22028009788674413</v>
      </c>
      <c r="Q379" s="5">
        <f>_xll.SNL.Clients.Office.Excel.Functions.SPG(K379, "SP_MARKETCAP", "12/31/2022")</f>
        <v>77056.528083149999</v>
      </c>
      <c r="R379">
        <f t="shared" si="69"/>
        <v>2.2868990720471202E-3</v>
      </c>
      <c r="S379">
        <f t="shared" si="70"/>
        <v>5.8116966117933468E-2</v>
      </c>
      <c r="U379" t="s">
        <v>379</v>
      </c>
      <c r="V379" s="4" cm="1">
        <f t="array" ref="V379">_xll.SNL.Clients.Office.Excel.Functions.SPG(U379, "SP_TOTAL_REV", "CY2021")</f>
        <v>16071700</v>
      </c>
      <c r="W379" s="4">
        <f>_xll.SNL.Clients.Office.Excel.Functions.SPG(U379,"IQ_AVG_DILUT_SHARES_OUT","CY2021")</f>
        <v>112200000</v>
      </c>
      <c r="X379" s="5">
        <f>_xll.SNL.Clients.Office.Excel.Functions.SPG(U379, "IQ_DILUT_EPS_NORM", "CY2021")</f>
        <v>50.064999999999998</v>
      </c>
      <c r="Y379">
        <f t="shared" si="71"/>
        <v>5617293</v>
      </c>
      <c r="Z379">
        <f t="shared" si="72"/>
        <v>0.34951455042092622</v>
      </c>
      <c r="AA379" s="5">
        <f>_xll.SNL.Clients.Office.Excel.Functions.SPG(U379, "SP_MARKETCAP", "12/31/2021")</f>
        <v>66028.913989280001</v>
      </c>
      <c r="AB379">
        <f t="shared" si="66"/>
        <v>1.5561368278190491E-3</v>
      </c>
      <c r="AC379">
        <f t="shared" si="73"/>
        <v>7.7907990284760684E-2</v>
      </c>
    </row>
    <row r="380" spans="1:29" x14ac:dyDescent="0.3">
      <c r="A380" t="s">
        <v>380</v>
      </c>
      <c r="B380" s="4" cm="1">
        <f t="array" ref="B380">_xll.SNL.Clients.Office.Excel.Functions.SPG(A380, "SP_TOTAL_REV", "CY2023")</f>
        <v>7574000</v>
      </c>
      <c r="C380" s="4">
        <f>_xll.SNL.Clients.Office.Excel.Functions.SPG(A380,"IQ_AVG_DILUT_SHARES_OUT","CY2023")</f>
        <v>938000000</v>
      </c>
      <c r="D380" s="5">
        <f>_xll.SNL.Clients.Office.Excel.Functions.SPG(A380, "IQ_DILUT_EPS_NORM", "CY2023")</f>
        <v>1.8380000000000001</v>
      </c>
      <c r="E380">
        <f t="shared" si="62"/>
        <v>1724044</v>
      </c>
      <c r="F380">
        <f t="shared" si="63"/>
        <v>0.22762661737523104</v>
      </c>
      <c r="G380" s="5">
        <f>_xll.SNL.Clients.Office.Excel.Functions.SPG(A380, "SP_MARKETCAP", "12/30/2023")</f>
        <v>18024.65849844</v>
      </c>
      <c r="H380">
        <f t="shared" si="67"/>
        <v>4.2898689085873895E-4</v>
      </c>
      <c r="I380">
        <f t="shared" si="68"/>
        <v>7.8847790539836218E-4</v>
      </c>
      <c r="K380" t="s">
        <v>380</v>
      </c>
      <c r="L380" s="4" cm="1">
        <f t="array" ref="L380">_xll.SNL.Clients.Office.Excel.Functions.SPG(K380, "SP_TOTAL_REV", "CY2023")</f>
        <v>7574000</v>
      </c>
      <c r="M380" s="4">
        <f>_xll.SNL.Clients.Office.Excel.Functions.SPG(K380,"IQ_AVG_DILUT_SHARES_OUT","CY2023")</f>
        <v>938000000</v>
      </c>
      <c r="N380" s="5">
        <f>_xll.SNL.Clients.Office.Excel.Functions.SPG(K380, "IQ_DILUT_EPS_NORM", "CY2023")</f>
        <v>1.8380000000000001</v>
      </c>
      <c r="O380">
        <f t="shared" si="64"/>
        <v>1724044</v>
      </c>
      <c r="P380">
        <f t="shared" si="65"/>
        <v>0.22762661737523104</v>
      </c>
      <c r="Q380" s="5">
        <f>_xll.SNL.Clients.Office.Excel.Functions.SPG(K380, "SP_MARKETCAP", "12/31/2022")</f>
        <v>20146.647265359999</v>
      </c>
      <c r="R380">
        <f t="shared" si="69"/>
        <v>5.9791623217562691E-4</v>
      </c>
      <c r="S380">
        <f t="shared" si="70"/>
        <v>1.0989700347388022E-3</v>
      </c>
      <c r="U380" t="s">
        <v>380</v>
      </c>
      <c r="V380" s="4" cm="1">
        <f t="array" ref="V380">_xll.SNL.Clients.Office.Excel.Functions.SPG(U380, "SP_TOTAL_REV", "CY2021")</f>
        <v>6418000</v>
      </c>
      <c r="W380" s="4">
        <f>_xll.SNL.Clients.Office.Excel.Functions.SPG(U380,"IQ_AVG_DILUT_SHARES_OUT","CY2021")</f>
        <v>963000000</v>
      </c>
      <c r="X380" s="5">
        <f>_xll.SNL.Clients.Office.Excel.Functions.SPG(U380, "IQ_DILUT_EPS_NORM", "CY2021")</f>
        <v>2.1150000000000002</v>
      </c>
      <c r="Y380">
        <f t="shared" si="71"/>
        <v>2036745.0000000002</v>
      </c>
      <c r="Z380">
        <f t="shared" si="72"/>
        <v>0.31734886257401063</v>
      </c>
      <c r="AA380" s="5">
        <f>_xll.SNL.Clients.Office.Excel.Functions.SPG(U380, "SP_MARKETCAP", "12/31/2021")</f>
        <v>20781.5611814</v>
      </c>
      <c r="AB380">
        <f t="shared" si="66"/>
        <v>4.8976956821070259E-4</v>
      </c>
      <c r="AC380">
        <f t="shared" si="73"/>
        <v>1.0358626367656361E-3</v>
      </c>
    </row>
    <row r="381" spans="1:29" x14ac:dyDescent="0.3">
      <c r="A381" t="s">
        <v>381</v>
      </c>
      <c r="B381" s="4" cm="1">
        <f t="array" ref="B381">_xll.SNL.Clients.Office.Excel.Functions.SPG(A381, "SP_TOTAL_REV", "CY2023")</f>
        <v>14964500</v>
      </c>
      <c r="C381" s="4">
        <f>_xll.SNL.Clients.Office.Excel.Functions.SPG(A381,"IQ_AVG_DILUT_SHARES_OUT","CY2023")</f>
        <v>316665000</v>
      </c>
      <c r="D381" s="5">
        <f>_xll.SNL.Clients.Office.Excel.Functions.SPG(A381, "IQ_DILUT_EPS_NORM", "CY2023")</f>
        <v>4.4489999999999998</v>
      </c>
      <c r="E381">
        <f t="shared" si="62"/>
        <v>1408842.585</v>
      </c>
      <c r="F381">
        <f t="shared" si="63"/>
        <v>9.4145650372548365E-2</v>
      </c>
      <c r="G381" s="5">
        <f>_xll.SNL.Clients.Office.Excel.Functions.SPG(A381, "SP_MARKETCAP", "12/30/2023")</f>
        <v>51886.705709729998</v>
      </c>
      <c r="H381">
        <f t="shared" si="67"/>
        <v>1.2349036494225898E-3</v>
      </c>
      <c r="I381">
        <f t="shared" si="68"/>
        <v>5.4940863362811015E-3</v>
      </c>
      <c r="K381" t="s">
        <v>381</v>
      </c>
      <c r="L381" s="4" cm="1">
        <f t="array" ref="L381">_xll.SNL.Clients.Office.Excel.Functions.SPG(K381, "SP_TOTAL_REV", "CY2023")</f>
        <v>14964500</v>
      </c>
      <c r="M381" s="4">
        <f>_xll.SNL.Clients.Office.Excel.Functions.SPG(K381,"IQ_AVG_DILUT_SHARES_OUT","CY2023")</f>
        <v>316665000</v>
      </c>
      <c r="N381" s="5">
        <f>_xll.SNL.Clients.Office.Excel.Functions.SPG(K381, "IQ_DILUT_EPS_NORM", "CY2023")</f>
        <v>4.4489999999999998</v>
      </c>
      <c r="O381">
        <f t="shared" si="64"/>
        <v>1408842.585</v>
      </c>
      <c r="P381">
        <f t="shared" si="65"/>
        <v>9.4145650372548365E-2</v>
      </c>
      <c r="Q381" s="5">
        <f>_xll.SNL.Clients.Office.Excel.Functions.SPG(K381, "SP_MARKETCAP", "12/31/2022")</f>
        <v>40760.960734640001</v>
      </c>
      <c r="R381">
        <f t="shared" si="69"/>
        <v>1.2097119556075738E-3</v>
      </c>
      <c r="S381">
        <f t="shared" si="70"/>
        <v>5.3820084904980959E-3</v>
      </c>
      <c r="U381" t="s">
        <v>381</v>
      </c>
      <c r="V381" s="4" cm="1">
        <f t="array" ref="V381">_xll.SNL.Clients.Office.Excel.Functions.SPG(U381, "SP_TOTAL_REV", "CY2021")</f>
        <v>11295000</v>
      </c>
      <c r="W381" s="4">
        <f>_xll.SNL.Clients.Office.Excel.Functions.SPG(U381,"IQ_AVG_DILUT_SHARES_OUT","CY2021")</f>
        <v>319425000</v>
      </c>
      <c r="X381" s="5">
        <f>_xll.SNL.Clients.Office.Excel.Functions.SPG(U381, "IQ_DILUT_EPS_NORM", "CY2021")</f>
        <v>3.1520000000000001</v>
      </c>
      <c r="Y381">
        <f t="shared" si="71"/>
        <v>1006827.6</v>
      </c>
      <c r="Z381">
        <f t="shared" si="72"/>
        <v>8.9139229747675963E-2</v>
      </c>
      <c r="AA381" s="5">
        <f>_xll.SNL.Clients.Office.Excel.Functions.SPG(U381, "SP_MARKETCAP", "12/31/2021")</f>
        <v>44218.869162750001</v>
      </c>
      <c r="AB381">
        <f t="shared" si="66"/>
        <v>1.0421284651121018E-3</v>
      </c>
      <c r="AC381">
        <f t="shared" si="73"/>
        <v>3.2847889220333454E-3</v>
      </c>
    </row>
    <row r="382" spans="1:29" x14ac:dyDescent="0.3">
      <c r="A382" t="s">
        <v>382</v>
      </c>
      <c r="B382" s="4" cm="1">
        <f t="array" ref="B382">_xll.SNL.Clients.Office.Excel.Functions.SPG(A382, "SP_TOTAL_REV", "CY2023")</f>
        <v>4504077</v>
      </c>
      <c r="C382" s="4">
        <f>_xll.SNL.Clients.Office.Excel.Functions.SPG(A382,"IQ_AVG_DILUT_SHARES_OUT","CY2023")</f>
        <v>147557500</v>
      </c>
      <c r="D382" s="5">
        <f>_xll.SNL.Clients.Office.Excel.Functions.SPG(A382, "IQ_DILUT_EPS_NORM", "CY2023")</f>
        <v>4.8730000000000002</v>
      </c>
      <c r="E382">
        <f t="shared" si="62"/>
        <v>719047.69750000001</v>
      </c>
      <c r="F382">
        <f t="shared" si="63"/>
        <v>0.15964373999378786</v>
      </c>
      <c r="G382" s="5">
        <f>_xll.SNL.Clients.Office.Excel.Functions.SPG(A382, "SP_MARKETCAP", "12/30/2023")</f>
        <v>25301.03566284</v>
      </c>
      <c r="H382">
        <f t="shared" si="67"/>
        <v>6.0216467487842742E-4</v>
      </c>
      <c r="I382">
        <f t="shared" si="68"/>
        <v>2.934348460682577E-3</v>
      </c>
      <c r="K382" t="s">
        <v>382</v>
      </c>
      <c r="L382" s="4" cm="1">
        <f t="array" ref="L382">_xll.SNL.Clients.Office.Excel.Functions.SPG(K382, "SP_TOTAL_REV", "CY2023")</f>
        <v>4504077</v>
      </c>
      <c r="M382" s="4">
        <f>_xll.SNL.Clients.Office.Excel.Functions.SPG(K382,"IQ_AVG_DILUT_SHARES_OUT","CY2023")</f>
        <v>147557500</v>
      </c>
      <c r="N382" s="5">
        <f>_xll.SNL.Clients.Office.Excel.Functions.SPG(K382, "IQ_DILUT_EPS_NORM", "CY2023")</f>
        <v>4.8730000000000002</v>
      </c>
      <c r="O382">
        <f t="shared" si="64"/>
        <v>719047.69750000001</v>
      </c>
      <c r="P382">
        <f t="shared" si="65"/>
        <v>0.15964373999378786</v>
      </c>
      <c r="Q382" s="5">
        <f>_xll.SNL.Clients.Office.Excel.Functions.SPG(K382, "SP_MARKETCAP", "12/31/2022")</f>
        <v>30573.201195549998</v>
      </c>
      <c r="R382">
        <f t="shared" si="69"/>
        <v>9.0735758777201088E-4</v>
      </c>
      <c r="S382">
        <f t="shared" si="70"/>
        <v>4.4215535252130093E-3</v>
      </c>
      <c r="U382" t="s">
        <v>382</v>
      </c>
      <c r="V382" s="4" cm="1">
        <f t="array" ref="V382">_xll.SNL.Clients.Office.Excel.Functions.SPG(U382, "SP_TOTAL_REV", "CY2021")</f>
        <v>3443760</v>
      </c>
      <c r="W382" s="4">
        <f>_xll.SNL.Clients.Office.Excel.Functions.SPG(U382,"IQ_AVG_DILUT_SHARES_OUT","CY2021")</f>
        <v>146798000</v>
      </c>
      <c r="X382" s="5">
        <f>_xll.SNL.Clients.Office.Excel.Functions.SPG(U382, "IQ_DILUT_EPS_NORM", "CY2021")</f>
        <v>4.0119999999999996</v>
      </c>
      <c r="Y382">
        <f t="shared" si="71"/>
        <v>588953.57599999988</v>
      </c>
      <c r="Z382">
        <f t="shared" si="72"/>
        <v>0.17102050549399489</v>
      </c>
      <c r="AA382" s="5">
        <f>_xll.SNL.Clients.Office.Excel.Functions.SPG(U382, "SP_MARKETCAP", "12/31/2021")</f>
        <v>38081.517767040001</v>
      </c>
      <c r="AB382">
        <f t="shared" si="66"/>
        <v>8.9748639915776052E-4</v>
      </c>
      <c r="AC382">
        <f t="shared" si="73"/>
        <v>3.600715433420935E-3</v>
      </c>
    </row>
    <row r="383" spans="1:29" x14ac:dyDescent="0.3">
      <c r="A383" t="s">
        <v>383</v>
      </c>
      <c r="B383" s="4" cm="1">
        <f t="array" ref="B383">_xll.SNL.Clients.Office.Excel.Functions.SPG(A383, "SP_TOTAL_REV", "CY2023")</f>
        <v>2750571</v>
      </c>
      <c r="C383" s="4">
        <f>_xll.SNL.Clients.Office.Excel.Functions.SPG(A383,"IQ_AVG_DILUT_SHARES_OUT","CY2023")</f>
        <v>124812000</v>
      </c>
      <c r="D383" s="5">
        <f>_xll.SNL.Clients.Office.Excel.Functions.SPG(A383, "IQ_DILUT_EPS_NORM", "CY2023")</f>
        <v>1.7070000000000001</v>
      </c>
      <c r="E383">
        <f t="shared" si="62"/>
        <v>213054.084</v>
      </c>
      <c r="F383">
        <f t="shared" si="63"/>
        <v>7.7458129239347029E-2</v>
      </c>
      <c r="G383" s="5">
        <f>_xll.SNL.Clients.Office.Excel.Functions.SPG(A383, "SP_MARKETCAP", "12/30/2023")</f>
        <v>13489.650651280001</v>
      </c>
      <c r="H383">
        <f t="shared" si="67"/>
        <v>3.2105369941760696E-4</v>
      </c>
      <c r="I383">
        <f t="shared" si="68"/>
        <v>5.4803866490585513E-4</v>
      </c>
      <c r="K383" t="s">
        <v>383</v>
      </c>
      <c r="L383" s="4" cm="1">
        <f t="array" ref="L383">_xll.SNL.Clients.Office.Excel.Functions.SPG(K383, "SP_TOTAL_REV", "CY2023")</f>
        <v>2750571</v>
      </c>
      <c r="M383" s="4">
        <f>_xll.SNL.Clients.Office.Excel.Functions.SPG(K383,"IQ_AVG_DILUT_SHARES_OUT","CY2023")</f>
        <v>124812000</v>
      </c>
      <c r="N383" s="5">
        <f>_xll.SNL.Clients.Office.Excel.Functions.SPG(K383, "IQ_DILUT_EPS_NORM", "CY2023")</f>
        <v>1.7070000000000001</v>
      </c>
      <c r="O383">
        <f t="shared" si="64"/>
        <v>213054.084</v>
      </c>
      <c r="P383">
        <f t="shared" si="65"/>
        <v>7.7458129239347029E-2</v>
      </c>
      <c r="Q383" s="5">
        <f>_xll.SNL.Clients.Office.Excel.Functions.SPG(K383, "SP_MARKETCAP", "12/31/2022")</f>
        <v>17712.0183024</v>
      </c>
      <c r="R383">
        <f t="shared" si="69"/>
        <v>5.2566082624604462E-4</v>
      </c>
      <c r="S383">
        <f t="shared" si="70"/>
        <v>8.973030304019982E-4</v>
      </c>
      <c r="U383" t="s">
        <v>383</v>
      </c>
      <c r="V383" s="4" cm="1">
        <f t="array" ref="V383">_xll.SNL.Clients.Office.Excel.Functions.SPG(U383, "SP_TOTAL_REV", "CY2021")</f>
        <v>3827808</v>
      </c>
      <c r="W383" s="4">
        <f>_xll.SNL.Clients.Office.Excel.Functions.SPG(U383,"IQ_AVG_DILUT_SHARES_OUT","CY2021")</f>
        <v>116674000</v>
      </c>
      <c r="X383" s="5">
        <f>_xll.SNL.Clients.Office.Excel.Functions.SPG(U383, "IQ_DILUT_EPS_NORM", "CY2021")</f>
        <v>7.1239999999999997</v>
      </c>
      <c r="Y383">
        <f t="shared" si="71"/>
        <v>831185.576</v>
      </c>
      <c r="Z383">
        <f t="shared" si="72"/>
        <v>0.21714400931290179</v>
      </c>
      <c r="AA383" s="5">
        <f>_xll.SNL.Clients.Office.Excel.Functions.SPG(U383, "SP_MARKETCAP", "12/31/2021")</f>
        <v>25373.81060352</v>
      </c>
      <c r="AB383">
        <f t="shared" si="66"/>
        <v>5.9799743410369425E-4</v>
      </c>
      <c r="AC383">
        <f t="shared" si="73"/>
        <v>4.2601337205547176E-3</v>
      </c>
    </row>
    <row r="384" spans="1:29" x14ac:dyDescent="0.3">
      <c r="A384" t="s">
        <v>384</v>
      </c>
      <c r="B384" s="4" cm="1">
        <f t="array" ref="B384">_xll.SNL.Clients.Office.Excel.Functions.SPG(A384, "SP_TOTAL_REV", "CY2023")</f>
        <v>9129100</v>
      </c>
      <c r="C384" s="4">
        <f>_xll.SNL.Clients.Office.Excel.Functions.SPG(A384,"IQ_AVG_DILUT_SHARES_OUT","CY2023")</f>
        <v>115525000</v>
      </c>
      <c r="D384" s="5">
        <f>_xll.SNL.Clients.Office.Excel.Functions.SPG(A384, "IQ_DILUT_EPS_NORM", "CY2023")</f>
        <v>8.5830000000000002</v>
      </c>
      <c r="E384">
        <f t="shared" si="62"/>
        <v>991551.07499999995</v>
      </c>
      <c r="F384">
        <f t="shared" si="63"/>
        <v>0.10861432945197226</v>
      </c>
      <c r="G384" s="5">
        <f>_xll.SNL.Clients.Office.Excel.Functions.SPG(A384, "SP_MARKETCAP", "12/30/2023")</f>
        <v>35575.33894568</v>
      </c>
      <c r="H384">
        <f t="shared" si="67"/>
        <v>8.466931036099194E-4</v>
      </c>
      <c r="I384">
        <f t="shared" si="68"/>
        <v>7.2671669082839388E-3</v>
      </c>
      <c r="K384" t="s">
        <v>384</v>
      </c>
      <c r="L384" s="4" cm="1">
        <f t="array" ref="L384">_xll.SNL.Clients.Office.Excel.Functions.SPG(K384, "SP_TOTAL_REV", "CY2023")</f>
        <v>9129100</v>
      </c>
      <c r="M384" s="4">
        <f>_xll.SNL.Clients.Office.Excel.Functions.SPG(K384,"IQ_AVG_DILUT_SHARES_OUT","CY2023")</f>
        <v>115525000</v>
      </c>
      <c r="N384" s="5">
        <f>_xll.SNL.Clients.Office.Excel.Functions.SPG(K384, "IQ_DILUT_EPS_NORM", "CY2023")</f>
        <v>8.5830000000000002</v>
      </c>
      <c r="O384">
        <f t="shared" si="64"/>
        <v>991551.07499999995</v>
      </c>
      <c r="P384">
        <f t="shared" si="65"/>
        <v>0.10861432945197226</v>
      </c>
      <c r="Q384" s="5">
        <f>_xll.SNL.Clients.Office.Excel.Functions.SPG(K384, "SP_MARKETCAP", "12/31/2022")</f>
        <v>29555.144219620001</v>
      </c>
      <c r="R384">
        <f t="shared" si="69"/>
        <v>8.7714348896090035E-4</v>
      </c>
      <c r="S384">
        <f t="shared" si="70"/>
        <v>7.5285225657514077E-3</v>
      </c>
      <c r="U384" t="s">
        <v>384</v>
      </c>
      <c r="V384" s="4" cm="1">
        <f t="array" ref="V384">_xll.SNL.Clients.Office.Excel.Functions.SPG(U384, "SP_TOTAL_REV", "CY2021")</f>
        <v>7289400</v>
      </c>
      <c r="W384" s="4">
        <f>_xll.SNL.Clients.Office.Excel.Functions.SPG(U384,"IQ_AVG_DILUT_SHARES_OUT","CY2021")</f>
        <v>117150000</v>
      </c>
      <c r="X384" s="5">
        <f>_xll.SNL.Clients.Office.Excel.Functions.SPG(U384, "IQ_DILUT_EPS_NORM", "CY2021")</f>
        <v>5.9489999999999998</v>
      </c>
      <c r="Y384">
        <f t="shared" si="71"/>
        <v>696925.35</v>
      </c>
      <c r="Z384">
        <f t="shared" si="72"/>
        <v>9.5608054160836273E-2</v>
      </c>
      <c r="AA384" s="5">
        <f>_xll.SNL.Clients.Office.Excel.Functions.SPG(U384, "SP_MARKETCAP", "12/31/2021")</f>
        <v>40471.223657900002</v>
      </c>
      <c r="AB384">
        <f t="shared" si="66"/>
        <v>9.5380580712238526E-4</v>
      </c>
      <c r="AC384">
        <f t="shared" si="73"/>
        <v>5.6741907465710697E-3</v>
      </c>
    </row>
    <row r="385" spans="1:29" x14ac:dyDescent="0.3">
      <c r="A385" t="s">
        <v>385</v>
      </c>
      <c r="B385" s="4" cm="1">
        <f t="array" ref="B385">_xll.SNL.Clients.Office.Excel.Functions.SPG(A385, "SP_TOTAL_REV", "CY2023")</f>
        <v>3073278</v>
      </c>
      <c r="C385" s="4">
        <f>_xll.SNL.Clients.Office.Excel.Functions.SPG(A385,"IQ_AVG_DILUT_SHARES_OUT","CY2023")</f>
        <v>490130000</v>
      </c>
      <c r="D385" s="5">
        <f>_xll.SNL.Clients.Office.Excel.Functions.SPG(A385, "IQ_DILUT_EPS_NORM", "CY2023")</f>
        <v>0.73799999999999999</v>
      </c>
      <c r="E385">
        <f t="shared" si="62"/>
        <v>361715.94</v>
      </c>
      <c r="F385">
        <f t="shared" si="63"/>
        <v>0.11769711038181381</v>
      </c>
      <c r="G385" s="5">
        <f>_xll.SNL.Clients.Office.Excel.Functions.SPG(A385, "SP_MARKETCAP", "12/30/2023")</f>
        <v>21137.933258860001</v>
      </c>
      <c r="H385">
        <f t="shared" si="67"/>
        <v>5.0308283336867069E-4</v>
      </c>
      <c r="I385">
        <f t="shared" si="68"/>
        <v>3.7127513102607894E-4</v>
      </c>
      <c r="K385" t="s">
        <v>385</v>
      </c>
      <c r="L385" s="4" cm="1">
        <f t="array" ref="L385">_xll.SNL.Clients.Office.Excel.Functions.SPG(K385, "SP_TOTAL_REV", "CY2023")</f>
        <v>3073278</v>
      </c>
      <c r="M385" s="4">
        <f>_xll.SNL.Clients.Office.Excel.Functions.SPG(K385,"IQ_AVG_DILUT_SHARES_OUT","CY2023")</f>
        <v>490130000</v>
      </c>
      <c r="N385" s="5">
        <f>_xll.SNL.Clients.Office.Excel.Functions.SPG(K385, "IQ_DILUT_EPS_NORM", "CY2023")</f>
        <v>0.73799999999999999</v>
      </c>
      <c r="O385">
        <f t="shared" si="64"/>
        <v>361715.94</v>
      </c>
      <c r="P385">
        <f t="shared" si="65"/>
        <v>0.11769711038181381</v>
      </c>
      <c r="Q385" s="5">
        <f>_xll.SNL.Clients.Office.Excel.Functions.SPG(K385, "SP_MARKETCAP", "12/31/2022")</f>
        <v>17994.94281144</v>
      </c>
      <c r="R385">
        <f t="shared" si="69"/>
        <v>5.3405751648473248E-4</v>
      </c>
      <c r="S385">
        <f t="shared" si="70"/>
        <v>3.9413444716573259E-4</v>
      </c>
      <c r="U385" t="s">
        <v>385</v>
      </c>
      <c r="V385" s="4" cm="1">
        <f t="array" ref="V385">_xll.SNL.Clients.Office.Excel.Functions.SPG(U385, "SP_TOTAL_REV", "CY2021")</f>
        <v>2424300</v>
      </c>
      <c r="W385" s="4">
        <f>_xll.SNL.Clients.Office.Excel.Functions.SPG(U385,"IQ_AVG_DILUT_SHARES_OUT","CY2021")</f>
        <v>492054000</v>
      </c>
      <c r="X385" s="5">
        <f>_xll.SNL.Clients.Office.Excel.Functions.SPG(U385, "IQ_DILUT_EPS_NORM", "CY2021")</f>
        <v>0.56799999999999995</v>
      </c>
      <c r="Y385">
        <f t="shared" si="71"/>
        <v>279486.67200000002</v>
      </c>
      <c r="Z385">
        <f t="shared" si="72"/>
        <v>0.1152855141690385</v>
      </c>
      <c r="AA385" s="5">
        <f>_xll.SNL.Clients.Office.Excel.Functions.SPG(U385, "SP_MARKETCAP", "12/31/2021")</f>
        <v>16832.985513849999</v>
      </c>
      <c r="AB385">
        <f t="shared" si="66"/>
        <v>3.9671148740231122E-4</v>
      </c>
      <c r="AC385">
        <f t="shared" si="73"/>
        <v>2.2533212484451276E-4</v>
      </c>
    </row>
    <row r="386" spans="1:29" x14ac:dyDescent="0.3">
      <c r="A386" t="s">
        <v>386</v>
      </c>
      <c r="B386" s="4" cm="1">
        <f t="array" ref="B386">_xll.SNL.Clients.Office.Excel.Functions.SPG(A386, "SP_TOTAL_REV", "CY2023")</f>
        <v>6177800</v>
      </c>
      <c r="C386" s="4">
        <f>_xll.SNL.Clients.Office.Excel.Functions.SPG(A386,"IQ_AVG_DILUT_SHARES_OUT","CY2023")</f>
        <v>107400000</v>
      </c>
      <c r="D386" s="5">
        <f>_xll.SNL.Clients.Office.Excel.Functions.SPG(A386, "IQ_DILUT_EPS_NORM", "CY2023")</f>
        <v>9.1809999999999992</v>
      </c>
      <c r="E386">
        <f t="shared" si="62"/>
        <v>986039.39999999991</v>
      </c>
      <c r="F386">
        <f t="shared" si="63"/>
        <v>0.1596101201074816</v>
      </c>
      <c r="G386" s="5">
        <f>_xll.SNL.Clients.Office.Excel.Functions.SPG(A386, "SP_MARKETCAP", "12/30/2023")</f>
        <v>58236.213524890001</v>
      </c>
      <c r="H386">
        <f t="shared" si="67"/>
        <v>1.386021941974124E-3</v>
      </c>
      <c r="I386">
        <f t="shared" si="68"/>
        <v>1.2725067449264431E-2</v>
      </c>
      <c r="K386" t="s">
        <v>386</v>
      </c>
      <c r="L386" s="4" cm="1">
        <f t="array" ref="L386">_xll.SNL.Clients.Office.Excel.Functions.SPG(K386, "SP_TOTAL_REV", "CY2023")</f>
        <v>6177800</v>
      </c>
      <c r="M386" s="4">
        <f>_xll.SNL.Clients.Office.Excel.Functions.SPG(K386,"IQ_AVG_DILUT_SHARES_OUT","CY2023")</f>
        <v>107400000</v>
      </c>
      <c r="N386" s="5">
        <f>_xll.SNL.Clients.Office.Excel.Functions.SPG(K386, "IQ_DILUT_EPS_NORM", "CY2023")</f>
        <v>9.1809999999999992</v>
      </c>
      <c r="O386">
        <f t="shared" si="64"/>
        <v>986039.39999999991</v>
      </c>
      <c r="P386">
        <f t="shared" si="65"/>
        <v>0.1596101201074816</v>
      </c>
      <c r="Q386" s="5">
        <f>_xll.SNL.Clients.Office.Excel.Functions.SPG(K386, "SP_MARKETCAP", "12/31/2022")</f>
        <v>45824.03201286</v>
      </c>
      <c r="R386">
        <f t="shared" si="69"/>
        <v>1.3599747989500013E-3</v>
      </c>
      <c r="S386">
        <f t="shared" si="70"/>
        <v>1.2485928629159961E-2</v>
      </c>
      <c r="U386" t="s">
        <v>386</v>
      </c>
      <c r="V386" s="4" cm="1">
        <f t="array" ref="V386">_xll.SNL.Clients.Office.Excel.Functions.SPG(U386, "SP_TOTAL_REV", "CY2021")</f>
        <v>4833800</v>
      </c>
      <c r="W386" s="4">
        <f>_xll.SNL.Clients.Office.Excel.Functions.SPG(U386,"IQ_AVG_DILUT_SHARES_OUT","CY2021")</f>
        <v>106500000</v>
      </c>
      <c r="X386" s="5">
        <f>_xll.SNL.Clients.Office.Excel.Functions.SPG(U386, "IQ_DILUT_EPS_NORM", "CY2021")</f>
        <v>6.4509999999999996</v>
      </c>
      <c r="Y386">
        <f t="shared" si="71"/>
        <v>687031.5</v>
      </c>
      <c r="Z386">
        <f t="shared" si="72"/>
        <v>0.14213072530928048</v>
      </c>
      <c r="AA386" s="5">
        <f>_xll.SNL.Clients.Office.Excel.Functions.SPG(U386, "SP_MARKETCAP", "12/31/2021")</f>
        <v>51883.802914</v>
      </c>
      <c r="AB386">
        <f t="shared" si="66"/>
        <v>1.2227718374239627E-3</v>
      </c>
      <c r="AC386">
        <f t="shared" si="73"/>
        <v>7.8881011232219828E-3</v>
      </c>
    </row>
    <row r="387" spans="1:29" x14ac:dyDescent="0.3">
      <c r="A387" t="s">
        <v>387</v>
      </c>
      <c r="B387" s="4" cm="1">
        <f t="array" ref="B387">_xll.SNL.Clients.Office.Excel.Functions.SPG(A387, "SP_TOTAL_REV", "CY2023")</f>
        <v>20376941</v>
      </c>
      <c r="C387" s="4">
        <f>_xll.SNL.Clients.Office.Excel.Functions.SPG(A387,"IQ_AVG_DILUT_SHARES_OUT","CY2023")</f>
        <v>337433000</v>
      </c>
      <c r="D387" s="5">
        <f>_xll.SNL.Clients.Office.Excel.Functions.SPG(A387, "IQ_DILUT_EPS_NORM", "CY2023")</f>
        <v>4.5780000000000003</v>
      </c>
      <c r="E387">
        <f t="shared" si="62"/>
        <v>1544768.274</v>
      </c>
      <c r="F387">
        <f t="shared" si="63"/>
        <v>7.5809625890363039E-2</v>
      </c>
      <c r="G387" s="5">
        <f>_xll.SNL.Clients.Office.Excel.Functions.SPG(A387, "SP_MARKETCAP", "12/30/2023")</f>
        <v>46591.244551739997</v>
      </c>
      <c r="H387">
        <f t="shared" si="67"/>
        <v>1.1088716683991513E-3</v>
      </c>
      <c r="I387">
        <f t="shared" si="68"/>
        <v>5.0764144979313156E-3</v>
      </c>
      <c r="K387" t="s">
        <v>387</v>
      </c>
      <c r="L387" s="4" cm="1">
        <f t="array" ref="L387">_xll.SNL.Clients.Office.Excel.Functions.SPG(K387, "SP_TOTAL_REV", "CY2023")</f>
        <v>20376941</v>
      </c>
      <c r="M387" s="4">
        <f>_xll.SNL.Clients.Office.Excel.Functions.SPG(K387,"IQ_AVG_DILUT_SHARES_OUT","CY2023")</f>
        <v>337433000</v>
      </c>
      <c r="N387" s="5">
        <f>_xll.SNL.Clients.Office.Excel.Functions.SPG(K387, "IQ_DILUT_EPS_NORM", "CY2023")</f>
        <v>4.5780000000000003</v>
      </c>
      <c r="O387">
        <f t="shared" si="64"/>
        <v>1544768.274</v>
      </c>
      <c r="P387">
        <f t="shared" si="65"/>
        <v>7.5809625890363039E-2</v>
      </c>
      <c r="Q387" s="5">
        <f>_xll.SNL.Clients.Office.Excel.Functions.SPG(K387, "SP_MARKETCAP", "12/31/2022")</f>
        <v>39971.143014629997</v>
      </c>
      <c r="R387">
        <f t="shared" si="69"/>
        <v>1.1862715871416058E-3</v>
      </c>
      <c r="S387">
        <f t="shared" si="70"/>
        <v>5.4307513259342719E-3</v>
      </c>
      <c r="U387" t="s">
        <v>387</v>
      </c>
      <c r="V387" s="4" cm="1">
        <f t="array" ref="V387">_xll.SNL.Clients.Office.Excel.Functions.SPG(U387, "SP_TOTAL_REV", "CY2021")</f>
        <v>18916244</v>
      </c>
      <c r="W387" s="4">
        <f>_xll.SNL.Clients.Office.Excel.Functions.SPG(U387,"IQ_AVG_DILUT_SHARES_OUT","CY2021")</f>
        <v>353734000</v>
      </c>
      <c r="X387" s="5">
        <f>_xll.SNL.Clients.Office.Excel.Functions.SPG(U387, "IQ_DILUT_EPS_NORM", "CY2021")</f>
        <v>3.9910000000000001</v>
      </c>
      <c r="Y387">
        <f t="shared" si="71"/>
        <v>1411752.3940000001</v>
      </c>
      <c r="Z387">
        <f t="shared" si="72"/>
        <v>7.4631750045093523E-2</v>
      </c>
      <c r="AA387" s="5">
        <f>_xll.SNL.Clients.Office.Excel.Functions.SPG(U387, "SP_MARKETCAP", "12/31/2021")</f>
        <v>40378.522115799999</v>
      </c>
      <c r="AB387">
        <f t="shared" si="66"/>
        <v>9.5162106297104487E-4</v>
      </c>
      <c r="AC387">
        <f t="shared" si="73"/>
        <v>3.7979196623174403E-3</v>
      </c>
    </row>
    <row r="388" spans="1:29" x14ac:dyDescent="0.3">
      <c r="A388" t="s">
        <v>388</v>
      </c>
      <c r="B388" s="4" cm="1">
        <f t="array" ref="B388">_xll.SNL.Clients.Office.Excel.Functions.SPG(A388, "SP_TOTAL_REV", "CY2023")</f>
        <v>13900000</v>
      </c>
      <c r="C388" s="4">
        <f>_xll.SNL.Clients.Office.Excel.Functions.SPG(A388,"IQ_AVG_DILUT_SHARES_OUT","CY2023")</f>
        <v>283000000</v>
      </c>
      <c r="D388" s="5">
        <f>_xll.SNL.Clients.Office.Excel.Functions.SPG(A388, "IQ_DILUT_EPS_NORM", "CY2023")</f>
        <v>3.7869999999999999</v>
      </c>
      <c r="E388">
        <f t="shared" si="62"/>
        <v>1071721</v>
      </c>
      <c r="F388">
        <f t="shared" si="63"/>
        <v>7.7102230215827336E-2</v>
      </c>
      <c r="G388" s="5">
        <f>_xll.SNL.Clients.Office.Excel.Functions.SPG(A388, "SP_MARKETCAP", "12/30/2023")</f>
        <v>33179.883616960004</v>
      </c>
      <c r="H388">
        <f t="shared" si="67"/>
        <v>7.8968126431501516E-4</v>
      </c>
      <c r="I388">
        <f t="shared" si="68"/>
        <v>2.9905229479609626E-3</v>
      </c>
      <c r="K388" t="s">
        <v>388</v>
      </c>
      <c r="L388" s="4" cm="1">
        <f t="array" ref="L388">_xll.SNL.Clients.Office.Excel.Functions.SPG(K388, "SP_TOTAL_REV", "CY2023")</f>
        <v>13900000</v>
      </c>
      <c r="M388" s="4">
        <f>_xll.SNL.Clients.Office.Excel.Functions.SPG(K388,"IQ_AVG_DILUT_SHARES_OUT","CY2023")</f>
        <v>283000000</v>
      </c>
      <c r="N388" s="5">
        <f>_xll.SNL.Clients.Office.Excel.Functions.SPG(K388, "IQ_DILUT_EPS_NORM", "CY2023")</f>
        <v>3.7869999999999999</v>
      </c>
      <c r="O388">
        <f t="shared" si="64"/>
        <v>1071721</v>
      </c>
      <c r="P388">
        <f t="shared" si="65"/>
        <v>7.7102230215827336E-2</v>
      </c>
      <c r="Q388" s="5">
        <f>_xll.SNL.Clients.Office.Excel.Functions.SPG(K388, "SP_MARKETCAP", "12/31/2022")</f>
        <v>12613.647001449999</v>
      </c>
      <c r="R388">
        <f t="shared" si="69"/>
        <v>3.7435034175973658E-4</v>
      </c>
      <c r="S388">
        <f t="shared" si="70"/>
        <v>1.4176647442441224E-3</v>
      </c>
      <c r="U388" t="s">
        <v>388</v>
      </c>
      <c r="V388" s="4" cm="1">
        <f t="array" ref="V388">_xll.SNL.Clients.Office.Excel.Functions.SPG(U388, "SP_TOTAL_REV", "CY2021")</f>
        <v>1532000</v>
      </c>
      <c r="W388" s="4">
        <f>_xll.SNL.Clients.Office.Excel.Functions.SPG(U388,"IQ_AVG_DILUT_SHARES_OUT","CY2021")</f>
        <v>252000000</v>
      </c>
      <c r="X388" s="5">
        <f>_xll.SNL.Clients.Office.Excel.Functions.SPG(U388, "IQ_DILUT_EPS_NORM", "CY2021")</f>
        <v>-12.996</v>
      </c>
      <c r="Y388">
        <f t="shared" si="71"/>
        <v>-3274992</v>
      </c>
      <c r="Z388">
        <f t="shared" si="72"/>
        <v>-2.1377232375979114</v>
      </c>
      <c r="AA388" s="5">
        <f>_xll.SNL.Clients.Office.Excel.Functions.SPG(U388, "SP_MARKETCAP", "12/31/2021")</f>
        <v>19593.339234300001</v>
      </c>
      <c r="AB388">
        <f t="shared" si="66"/>
        <v>4.6176614032143937E-4</v>
      </c>
      <c r="AC388">
        <f t="shared" si="73"/>
        <v>-6.0011127596174265E-3</v>
      </c>
    </row>
    <row r="389" spans="1:29" x14ac:dyDescent="0.3">
      <c r="A389" t="s">
        <v>389</v>
      </c>
      <c r="B389" s="4" cm="1">
        <f t="array" ref="B389">_xll.SNL.Clients.Office.Excel.Functions.SPG(A389, "SP_TOTAL_REV", "CY2023")</f>
        <v>68920000</v>
      </c>
      <c r="C389" s="4">
        <f>_xll.SNL.Clients.Office.Excel.Functions.SPG(A389,"IQ_AVG_DILUT_SHARES_OUT","CY2023")</f>
        <v>1435400000</v>
      </c>
      <c r="D389" s="5">
        <f>_xll.SNL.Clients.Office.Excel.Functions.SPG(A389, "IQ_DILUT_EPS_NORM", "CY2023")</f>
        <v>1.512</v>
      </c>
      <c r="E389">
        <f t="shared" si="62"/>
        <v>2170324.7999999998</v>
      </c>
      <c r="F389">
        <f t="shared" si="63"/>
        <v>3.1490493325594893E-2</v>
      </c>
      <c r="G389" s="5">
        <f>_xll.SNL.Clients.Office.Excel.Functions.SPG(A389, "SP_MARKETCAP", "12/30/2023")</f>
        <v>120713.94246953999</v>
      </c>
      <c r="H389">
        <f t="shared" si="67"/>
        <v>2.8729919553144665E-3</v>
      </c>
      <c r="I389">
        <f t="shared" si="68"/>
        <v>4.3439638364354731E-3</v>
      </c>
      <c r="K389" t="s">
        <v>389</v>
      </c>
      <c r="L389" s="4" cm="1">
        <f t="array" ref="L389">_xll.SNL.Clients.Office.Excel.Functions.SPG(K389, "SP_TOTAL_REV", "CY2023")</f>
        <v>68920000</v>
      </c>
      <c r="M389" s="4">
        <f>_xll.SNL.Clients.Office.Excel.Functions.SPG(K389,"IQ_AVG_DILUT_SHARES_OUT","CY2023")</f>
        <v>1435400000</v>
      </c>
      <c r="N389" s="5">
        <f>_xll.SNL.Clients.Office.Excel.Functions.SPG(K389, "IQ_DILUT_EPS_NORM", "CY2023")</f>
        <v>1.512</v>
      </c>
      <c r="O389">
        <f t="shared" si="64"/>
        <v>2170324.7999999998</v>
      </c>
      <c r="P389">
        <f t="shared" si="65"/>
        <v>3.1490493325594893E-2</v>
      </c>
      <c r="Q389" s="5">
        <f>_xll.SNL.Clients.Office.Excel.Functions.SPG(K389, "SP_MARKETCAP", "12/31/2022")</f>
        <v>148529.83915871999</v>
      </c>
      <c r="R389">
        <f t="shared" si="69"/>
        <v>4.4080983116297602E-3</v>
      </c>
      <c r="S389">
        <f t="shared" si="70"/>
        <v>6.6650446471841979E-3</v>
      </c>
      <c r="U389" t="s">
        <v>389</v>
      </c>
      <c r="V389" s="4" cm="1">
        <f t="array" ref="V389">_xll.SNL.Clients.Office.Excel.Functions.SPG(U389, "SP_TOTAL_REV", "CY2021")</f>
        <v>64388000</v>
      </c>
      <c r="W389" s="4">
        <f>_xll.SNL.Clients.Office.Excel.Functions.SPG(U389,"IQ_AVG_DILUT_SHARES_OUT","CY2021")</f>
        <v>1508500000</v>
      </c>
      <c r="X389" s="5">
        <f>_xll.SNL.Clients.Office.Excel.Functions.SPG(U389, "IQ_DILUT_EPS_NORM", "CY2021")</f>
        <v>2.0489999999999999</v>
      </c>
      <c r="Y389">
        <f t="shared" si="71"/>
        <v>3090916.5</v>
      </c>
      <c r="Z389">
        <f t="shared" si="72"/>
        <v>4.8004542771945082E-2</v>
      </c>
      <c r="AA389" s="5">
        <f>_xll.SNL.Clients.Office.Excel.Functions.SPG(U389, "SP_MARKETCAP", "12/31/2021")</f>
        <v>129019.12029552</v>
      </c>
      <c r="AB389">
        <f t="shared" si="66"/>
        <v>3.0406588940304342E-3</v>
      </c>
      <c r="AC389">
        <f t="shared" si="73"/>
        <v>6.2303100738683595E-3</v>
      </c>
    </row>
    <row r="390" spans="1:29" x14ac:dyDescent="0.3">
      <c r="A390" t="s">
        <v>390</v>
      </c>
      <c r="B390" s="4" cm="1">
        <f t="array" ref="B390">_xll.SNL.Clients.Office.Excel.Functions.SPG(A390, "SP_TOTAL_REV", "CY2023")</f>
        <v>12497000</v>
      </c>
      <c r="C390" s="4">
        <f>_xll.SNL.Clients.Office.Excel.Functions.SPG(A390,"IQ_AVG_DILUT_SHARES_OUT","CY2023")</f>
        <v>318900000</v>
      </c>
      <c r="D390" s="5">
        <f>_xll.SNL.Clients.Office.Excel.Functions.SPG(A390, "IQ_DILUT_EPS_NORM", "CY2023")</f>
        <v>7.5410000000000004</v>
      </c>
      <c r="E390">
        <f t="shared" ref="E390:E453" si="74">C390*D390/1000</f>
        <v>2404824.9</v>
      </c>
      <c r="F390">
        <f t="shared" ref="F390:F453" si="75">E390/B390</f>
        <v>0.1924321757221733</v>
      </c>
      <c r="G390" s="5">
        <f>_xll.SNL.Clients.Office.Excel.Functions.SPG(A390, "SP_MARKETCAP", "12/30/2023")</f>
        <v>139556.736</v>
      </c>
      <c r="H390">
        <f t="shared" si="67"/>
        <v>3.3214504607793436E-3</v>
      </c>
      <c r="I390">
        <f t="shared" si="68"/>
        <v>2.5047057924737031E-2</v>
      </c>
      <c r="K390" t="s">
        <v>390</v>
      </c>
      <c r="L390" s="4" cm="1">
        <f t="array" ref="L390">_xll.SNL.Clients.Office.Excel.Functions.SPG(K390, "SP_TOTAL_REV", "CY2023")</f>
        <v>12497000</v>
      </c>
      <c r="M390" s="4">
        <f>_xll.SNL.Clients.Office.Excel.Functions.SPG(K390,"IQ_AVG_DILUT_SHARES_OUT","CY2023")</f>
        <v>318900000</v>
      </c>
      <c r="N390" s="5">
        <f>_xll.SNL.Clients.Office.Excel.Functions.SPG(K390, "IQ_DILUT_EPS_NORM", "CY2023")</f>
        <v>7.5410000000000004</v>
      </c>
      <c r="O390">
        <f t="shared" ref="O390:O453" si="76">M390*N390/1000</f>
        <v>2404824.9</v>
      </c>
      <c r="P390">
        <f t="shared" ref="P390:P453" si="77">O390/L390</f>
        <v>0.1924321757221733</v>
      </c>
      <c r="Q390" s="5">
        <f>_xll.SNL.Clients.Office.Excel.Functions.SPG(K390, "SP_MARKETCAP", "12/31/2022")</f>
        <v>109123.452</v>
      </c>
      <c r="R390">
        <f t="shared" si="69"/>
        <v>3.2385876618797296E-3</v>
      </c>
      <c r="S390">
        <f t="shared" si="70"/>
        <v>2.4422189558235042E-2</v>
      </c>
      <c r="U390" t="s">
        <v>390</v>
      </c>
      <c r="V390" s="4" cm="1">
        <f t="array" ref="V390">_xll.SNL.Clients.Office.Excel.Functions.SPG(U390, "SP_TOTAL_REV", "CY2021")</f>
        <v>8297000</v>
      </c>
      <c r="W390" s="4">
        <f>_xll.SNL.Clients.Office.Excel.Functions.SPG(U390,"IQ_AVG_DILUT_SHARES_OUT","CY2021")</f>
        <v>241800000</v>
      </c>
      <c r="X390" s="5">
        <f>_xll.SNL.Clients.Office.Excel.Functions.SPG(U390, "IQ_DILUT_EPS_NORM", "CY2021")</f>
        <v>10.417999999999999</v>
      </c>
      <c r="Y390">
        <f t="shared" si="71"/>
        <v>2519072.4</v>
      </c>
      <c r="Z390">
        <f t="shared" si="72"/>
        <v>0.30361243823068579</v>
      </c>
      <c r="AA390" s="5">
        <f>_xll.SNL.Clients.Office.Excel.Functions.SPG(U390, "SP_MARKETCAP", "12/31/2021")</f>
        <v>113676.10005174</v>
      </c>
      <c r="AB390">
        <f t="shared" ref="AB390:AB453" si="78">AA390/$AA$509</f>
        <v>2.6790621720974399E-3</v>
      </c>
      <c r="AC390">
        <f t="shared" si="73"/>
        <v>2.7910469708911128E-2</v>
      </c>
    </row>
    <row r="391" spans="1:29" x14ac:dyDescent="0.3">
      <c r="A391" t="s">
        <v>391</v>
      </c>
      <c r="B391" s="4" cm="1">
        <f t="array" ref="B391">_xll.SNL.Clients.Office.Excel.Functions.SPG(A391, "SP_TOTAL_REV", "CY2023")</f>
        <v>34857000</v>
      </c>
      <c r="C391" s="4">
        <f>_xll.SNL.Clients.Office.Excel.Functions.SPG(A391,"IQ_AVG_DILUT_SHARES_OUT","CY2023")</f>
        <v>984000000</v>
      </c>
      <c r="D391" s="5" t="str">
        <f>_xll.SNL.Clients.Office.Excel.Functions.SPG(A391, "IQ_DILUT_EPS_NORM", "CY2023")</f>
        <v>NA</v>
      </c>
      <c r="E391" t="e">
        <f t="shared" si="74"/>
        <v>#VALUE!</v>
      </c>
      <c r="F391" t="e">
        <f t="shared" si="75"/>
        <v>#VALUE!</v>
      </c>
      <c r="G391" s="5">
        <f>_xll.SNL.Clients.Office.Excel.Functions.SPG(A391, "SP_MARKETCAP", "12/30/2023")</f>
        <v>254719.52</v>
      </c>
      <c r="H391">
        <f t="shared" ref="H391:H454" si="79">G391/$G$509</f>
        <v>6.0623248387916811E-3</v>
      </c>
      <c r="I391" t="e">
        <f t="shared" ref="I391:I454" si="80">D391*H391</f>
        <v>#VALUE!</v>
      </c>
      <c r="K391" t="s">
        <v>391</v>
      </c>
      <c r="L391" s="4" cm="1">
        <f t="array" ref="L391">_xll.SNL.Clients.Office.Excel.Functions.SPG(K391, "SP_TOTAL_REV", "CY2023")</f>
        <v>34857000</v>
      </c>
      <c r="M391" s="4">
        <f>_xll.SNL.Clients.Office.Excel.Functions.SPG(K391,"IQ_AVG_DILUT_SHARES_OUT","CY2023")</f>
        <v>984000000</v>
      </c>
      <c r="N391" s="5" t="str">
        <f>_xll.SNL.Clients.Office.Excel.Functions.SPG(K391, "IQ_DILUT_EPS_NORM", "CY2023")</f>
        <v>NA</v>
      </c>
      <c r="O391" t="e">
        <f t="shared" si="76"/>
        <v>#VALUE!</v>
      </c>
      <c r="P391" t="e">
        <f t="shared" si="77"/>
        <v>#VALUE!</v>
      </c>
      <c r="Q391" s="5">
        <f>_xll.SNL.Clients.Office.Excel.Functions.SPG(K391, "SP_MARKETCAP", "12/31/2022")</f>
        <v>131396.69</v>
      </c>
      <c r="R391">
        <f t="shared" ref="R391:R454" si="81">Q391/$Q$509</f>
        <v>3.8996172797561026E-3</v>
      </c>
      <c r="S391" t="e">
        <f t="shared" ref="S391:S454" si="82">N391*R391</f>
        <v>#VALUE!</v>
      </c>
      <c r="U391" t="s">
        <v>391</v>
      </c>
      <c r="V391" s="4" cm="1">
        <f t="array" ref="V391">_xll.SNL.Clients.Office.Excel.Functions.SPG(U391, "SP_TOTAL_REV", "CY2021")</f>
        <v>26492000</v>
      </c>
      <c r="W391" s="4">
        <f>_xll.SNL.Clients.Office.Excel.Functions.SPG(U391,"IQ_AVG_DILUT_SHARES_OUT","CY2021")</f>
        <v>974000000</v>
      </c>
      <c r="X391" s="5" t="str">
        <f>_xll.SNL.Clients.Office.Excel.Functions.SPG(U391, "IQ_DILUT_EPS_NORM", "CY2021")</f>
        <v>NA</v>
      </c>
      <c r="Y391" t="e">
        <f t="shared" ref="Y391:Y454" si="83">W391*X391/1000</f>
        <v>#VALUE!</v>
      </c>
      <c r="Z391" t="e">
        <f t="shared" ref="Z391:Z454" si="84">Y391/V391</f>
        <v>#VALUE!</v>
      </c>
      <c r="AA391" s="5">
        <f>_xll.SNL.Clients.Office.Excel.Functions.SPG(U391, "SP_MARKETCAP", "12/31/2021")</f>
        <v>250318.05</v>
      </c>
      <c r="AB391">
        <f t="shared" si="78"/>
        <v>5.8993721498447086E-3</v>
      </c>
      <c r="AC391" t="e">
        <f t="shared" ref="AC391:AC454" si="85">X391*AB391</f>
        <v>#VALUE!</v>
      </c>
    </row>
    <row r="392" spans="1:29" x14ac:dyDescent="0.3">
      <c r="A392" t="s">
        <v>392</v>
      </c>
      <c r="B392" s="4" cm="1">
        <f t="array" ref="B392">_xll.SNL.Clients.Office.Excel.Functions.SPG(A392, "SP_TOTAL_REV", "CY2023")</f>
        <v>2729889</v>
      </c>
      <c r="C392" s="4">
        <f>_xll.SNL.Clients.Office.Excel.Functions.SPG(A392,"IQ_AVG_DILUT_SHARES_OUT","CY2023")</f>
        <v>108907000</v>
      </c>
      <c r="D392" s="5">
        <f>_xll.SNL.Clients.Office.Excel.Functions.SPG(A392, "IQ_DILUT_EPS_NORM", "CY2023")</f>
        <v>4.101</v>
      </c>
      <c r="E392">
        <f t="shared" si="74"/>
        <v>446627.60700000002</v>
      </c>
      <c r="F392">
        <f t="shared" si="75"/>
        <v>0.16360650817670611</v>
      </c>
      <c r="G392" s="5">
        <f>_xll.SNL.Clients.Office.Excel.Functions.SPG(A392, "SP_MARKETCAP", "12/30/2023")</f>
        <v>27369.86089439</v>
      </c>
      <c r="H392">
        <f t="shared" si="79"/>
        <v>6.5140271752370455E-4</v>
      </c>
      <c r="I392">
        <f t="shared" si="80"/>
        <v>2.6714025445647121E-3</v>
      </c>
      <c r="K392" t="s">
        <v>392</v>
      </c>
      <c r="L392" s="4" cm="1">
        <f t="array" ref="L392">_xll.SNL.Clients.Office.Excel.Functions.SPG(K392, "SP_TOTAL_REV", "CY2023")</f>
        <v>2729889</v>
      </c>
      <c r="M392" s="4">
        <f>_xll.SNL.Clients.Office.Excel.Functions.SPG(K392,"IQ_AVG_DILUT_SHARES_OUT","CY2023")</f>
        <v>108907000</v>
      </c>
      <c r="N392" s="5">
        <f>_xll.SNL.Clients.Office.Excel.Functions.SPG(K392, "IQ_DILUT_EPS_NORM", "CY2023")</f>
        <v>4.101</v>
      </c>
      <c r="O392">
        <f t="shared" si="76"/>
        <v>446627.60700000002</v>
      </c>
      <c r="P392">
        <f t="shared" si="77"/>
        <v>0.16360650817670611</v>
      </c>
      <c r="Q392" s="5">
        <f>_xll.SNL.Clients.Office.Excel.Functions.SPG(K392, "SP_MARKETCAP", "12/31/2022")</f>
        <v>30263.81995678</v>
      </c>
      <c r="R392">
        <f t="shared" si="81"/>
        <v>8.9817570941008382E-4</v>
      </c>
      <c r="S392">
        <f t="shared" si="82"/>
        <v>3.6834185842907537E-3</v>
      </c>
      <c r="U392" t="s">
        <v>392</v>
      </c>
      <c r="V392" s="4" cm="1">
        <f t="array" ref="V392">_xll.SNL.Clients.Office.Excel.Functions.SPG(U392, "SP_TOTAL_REV", "CY2021")</f>
        <v>2312282</v>
      </c>
      <c r="W392" s="4">
        <f>_xll.SNL.Clients.Office.Excel.Functions.SPG(U392,"IQ_AVG_DILUT_SHARES_OUT","CY2021")</f>
        <v>111177000</v>
      </c>
      <c r="X392" s="5">
        <f>_xll.SNL.Clients.Office.Excel.Functions.SPG(U392, "IQ_DILUT_EPS_NORM", "CY2021")</f>
        <v>1.8169999999999999</v>
      </c>
      <c r="Y392">
        <f t="shared" si="83"/>
        <v>202008.609</v>
      </c>
      <c r="Z392">
        <f t="shared" si="84"/>
        <v>8.7363309925000493E-2</v>
      </c>
      <c r="AA392" s="5">
        <f>_xll.SNL.Clients.Office.Excel.Functions.SPG(U392, "SP_MARKETCAP", "12/31/2021")</f>
        <v>42318.124278180003</v>
      </c>
      <c r="AB392">
        <f t="shared" si="78"/>
        <v>9.9733264860589282E-4</v>
      </c>
      <c r="AC392">
        <f t="shared" si="85"/>
        <v>1.8121534225169073E-3</v>
      </c>
    </row>
    <row r="393" spans="1:29" x14ac:dyDescent="0.3">
      <c r="A393" t="s">
        <v>393</v>
      </c>
      <c r="B393" s="4" cm="1">
        <f t="array" ref="B393">_xll.SNL.Clients.Office.Excel.Functions.SPG(A393, "SP_TOTAL_REV", "CY2023")</f>
        <v>33135000</v>
      </c>
      <c r="C393" s="4">
        <f>_xll.SNL.Clients.Office.Excel.Functions.SPG(A393,"IQ_AVG_DILUT_SHARES_OUT","CY2023")</f>
        <v>1443000000</v>
      </c>
      <c r="D393" s="5">
        <f>_xll.SNL.Clients.Office.Excel.Functions.SPG(A393, "IQ_DILUT_EPS_NORM", "CY2023")</f>
        <v>2.2469999999999999</v>
      </c>
      <c r="E393">
        <f t="shared" si="74"/>
        <v>3242421</v>
      </c>
      <c r="F393">
        <f t="shared" si="75"/>
        <v>9.7854866455409681E-2</v>
      </c>
      <c r="G393" s="5">
        <f>_xll.SNL.Clients.Office.Excel.Functions.SPG(A393, "SP_MARKETCAP", "12/30/2023")</f>
        <v>74327.164034799993</v>
      </c>
      <c r="H393">
        <f t="shared" si="79"/>
        <v>1.7689865807108609E-3</v>
      </c>
      <c r="I393">
        <f t="shared" si="80"/>
        <v>3.9749128468573045E-3</v>
      </c>
      <c r="K393" t="s">
        <v>393</v>
      </c>
      <c r="L393" s="4" cm="1">
        <f t="array" ref="L393">_xll.SNL.Clients.Office.Excel.Functions.SPG(K393, "SP_TOTAL_REV", "CY2023")</f>
        <v>33135000</v>
      </c>
      <c r="M393" s="4">
        <f>_xll.SNL.Clients.Office.Excel.Functions.SPG(K393,"IQ_AVG_DILUT_SHARES_OUT","CY2023")</f>
        <v>1443000000</v>
      </c>
      <c r="N393" s="5">
        <f>_xll.SNL.Clients.Office.Excel.Functions.SPG(K393, "IQ_DILUT_EPS_NORM", "CY2023")</f>
        <v>2.2469999999999999</v>
      </c>
      <c r="O393">
        <f t="shared" si="76"/>
        <v>3242421</v>
      </c>
      <c r="P393">
        <f t="shared" si="77"/>
        <v>9.7854866455409681E-2</v>
      </c>
      <c r="Q393" s="5">
        <f>_xll.SNL.Clients.Office.Excel.Functions.SPG(K393, "SP_MARKETCAP", "12/31/2022")</f>
        <v>75805.947211499995</v>
      </c>
      <c r="R393">
        <f t="shared" si="81"/>
        <v>2.2497840824928263E-3</v>
      </c>
      <c r="S393">
        <f t="shared" si="82"/>
        <v>5.0552648333613802E-3</v>
      </c>
      <c r="U393" t="s">
        <v>393</v>
      </c>
      <c r="V393" s="4" cm="1">
        <f t="array" ref="V393">_xll.SNL.Clients.Office.Excel.Functions.SPG(U393, "SP_TOTAL_REV", "CY2021")</f>
        <v>22929000</v>
      </c>
      <c r="W393" s="4">
        <f>_xll.SNL.Clients.Office.Excel.Functions.SPG(U393,"IQ_AVG_DILUT_SHARES_OUT","CY2021")</f>
        <v>1427000000</v>
      </c>
      <c r="X393" s="5">
        <f>_xll.SNL.Clients.Office.Excel.Functions.SPG(U393, "IQ_DILUT_EPS_NORM", "CY2021")</f>
        <v>0.97399999999999998</v>
      </c>
      <c r="Y393">
        <f t="shared" si="83"/>
        <v>1389898</v>
      </c>
      <c r="Z393">
        <f t="shared" si="84"/>
        <v>6.0617471324523532E-2</v>
      </c>
      <c r="AA393" s="5">
        <f>_xll.SNL.Clients.Office.Excel.Functions.SPG(U393, "SP_MARKETCAP", "12/31/2021")</f>
        <v>42008.845950700001</v>
      </c>
      <c r="AB393">
        <f t="shared" si="78"/>
        <v>9.9004372976170215E-4</v>
      </c>
      <c r="AC393">
        <f t="shared" si="85"/>
        <v>9.6430259278789787E-4</v>
      </c>
    </row>
    <row r="394" spans="1:29" x14ac:dyDescent="0.3">
      <c r="A394" t="s">
        <v>394</v>
      </c>
      <c r="B394" s="4" cm="1">
        <f t="array" ref="B394">_xll.SNL.Clients.Office.Excel.Functions.SPG(A394, "SP_TOTAL_REV", "CY2023")</f>
        <v>6471000</v>
      </c>
      <c r="C394" s="4">
        <f>_xll.SNL.Clients.Office.Excel.Functions.SPG(A394,"IQ_AVG_DILUT_SHARES_OUT","CY2023")</f>
        <v>208000000</v>
      </c>
      <c r="D394" s="5">
        <f>_xll.SNL.Clients.Office.Excel.Functions.SPG(A394, "IQ_DILUT_EPS_NORM", "CY2023")</f>
        <v>-1.07</v>
      </c>
      <c r="E394">
        <f t="shared" si="74"/>
        <v>-222560</v>
      </c>
      <c r="F394">
        <f t="shared" si="75"/>
        <v>-3.4393447689692477E-2</v>
      </c>
      <c r="G394" s="5">
        <f>_xll.SNL.Clients.Office.Excel.Functions.SPG(A394, "SP_MARKETCAP", "12/30/2023")</f>
        <v>17858.036884820001</v>
      </c>
      <c r="H394">
        <f t="shared" si="79"/>
        <v>4.250212962826811E-4</v>
      </c>
      <c r="I394">
        <f t="shared" si="80"/>
        <v>-4.5477278702246878E-4</v>
      </c>
      <c r="K394" t="s">
        <v>394</v>
      </c>
      <c r="L394" s="4" cm="1">
        <f t="array" ref="L394">_xll.SNL.Clients.Office.Excel.Functions.SPG(K394, "SP_TOTAL_REV", "CY2023")</f>
        <v>6471000</v>
      </c>
      <c r="M394" s="4">
        <f>_xll.SNL.Clients.Office.Excel.Functions.SPG(K394,"IQ_AVG_DILUT_SHARES_OUT","CY2023")</f>
        <v>208000000</v>
      </c>
      <c r="N394" s="5">
        <f>_xll.SNL.Clients.Office.Excel.Functions.SPG(K394, "IQ_DILUT_EPS_NORM", "CY2023")</f>
        <v>-1.07</v>
      </c>
      <c r="O394">
        <f t="shared" si="76"/>
        <v>-222560</v>
      </c>
      <c r="P394">
        <f t="shared" si="77"/>
        <v>-3.4393447689692477E-2</v>
      </c>
      <c r="Q394" s="5">
        <f>_xll.SNL.Clients.Office.Excel.Functions.SPG(K394, "SP_MARKETCAP", "12/31/2022")</f>
        <v>10861.56403743</v>
      </c>
      <c r="R394">
        <f t="shared" si="81"/>
        <v>3.2235167267561678E-4</v>
      </c>
      <c r="S394">
        <f t="shared" si="82"/>
        <v>-3.4491628976290997E-4</v>
      </c>
      <c r="U394" t="s">
        <v>394</v>
      </c>
      <c r="V394" s="4" cm="1">
        <f t="array" ref="V394">_xll.SNL.Clients.Office.Excel.Functions.SPG(U394, "SP_TOTAL_REV", "CY2021")</f>
        <v>11975000</v>
      </c>
      <c r="W394" s="4">
        <f>_xll.SNL.Clients.Office.Excel.Functions.SPG(U394,"IQ_AVG_DILUT_SHARES_OUT","CY2021")</f>
        <v>231500000</v>
      </c>
      <c r="X394" s="5">
        <f>_xll.SNL.Clients.Office.Excel.Functions.SPG(U394, "IQ_DILUT_EPS_NORM", "CY2021")</f>
        <v>4.83</v>
      </c>
      <c r="Y394">
        <f t="shared" si="83"/>
        <v>1118145</v>
      </c>
      <c r="Z394">
        <f t="shared" si="84"/>
        <v>9.3373277661795401E-2</v>
      </c>
      <c r="AA394" s="5">
        <f>_xll.SNL.Clients.Office.Excel.Functions.SPG(U394, "SP_MARKETCAP", "12/31/2021")</f>
        <v>25153.409066100001</v>
      </c>
      <c r="AB394">
        <f t="shared" si="78"/>
        <v>5.9280311954412301E-4</v>
      </c>
      <c r="AC394">
        <f t="shared" si="85"/>
        <v>2.8632390673981141E-3</v>
      </c>
    </row>
    <row r="395" spans="1:29" x14ac:dyDescent="0.3">
      <c r="A395" t="s">
        <v>395</v>
      </c>
      <c r="B395" s="4" cm="1">
        <f t="array" ref="B395">_xll.SNL.Clients.Office.Excel.Functions.SPG(A395, "SP_TOTAL_REV", "CY2023")</f>
        <v>16720000</v>
      </c>
      <c r="C395" s="4">
        <f>_xll.SNL.Clients.Office.Excel.Functions.SPG(A395,"IQ_AVG_DILUT_SHARES_OUT","CY2023")</f>
        <v>632733000</v>
      </c>
      <c r="D395" s="5">
        <f>_xll.SNL.Clients.Office.Excel.Functions.SPG(A395, "IQ_DILUT_EPS_NORM", "CY2023")</f>
        <v>3.198</v>
      </c>
      <c r="E395">
        <f t="shared" si="74"/>
        <v>2023480.1340000001</v>
      </c>
      <c r="F395">
        <f t="shared" si="75"/>
        <v>0.12102153911483254</v>
      </c>
      <c r="G395" s="5">
        <f>_xll.SNL.Clients.Office.Excel.Functions.SPG(A395, "SP_MARKETCAP", "12/30/2023")</f>
        <v>47029.685774340003</v>
      </c>
      <c r="H395">
        <f t="shared" si="79"/>
        <v>1.119306569949367E-3</v>
      </c>
      <c r="I395">
        <f t="shared" si="80"/>
        <v>3.5795424106980756E-3</v>
      </c>
      <c r="K395" t="s">
        <v>395</v>
      </c>
      <c r="L395" s="4" cm="1">
        <f t="array" ref="L395">_xll.SNL.Clients.Office.Excel.Functions.SPG(K395, "SP_TOTAL_REV", "CY2023")</f>
        <v>16720000</v>
      </c>
      <c r="M395" s="4">
        <f>_xll.SNL.Clients.Office.Excel.Functions.SPG(K395,"IQ_AVG_DILUT_SHARES_OUT","CY2023")</f>
        <v>632733000</v>
      </c>
      <c r="N395" s="5">
        <f>_xll.SNL.Clients.Office.Excel.Functions.SPG(K395, "IQ_DILUT_EPS_NORM", "CY2023")</f>
        <v>3.198</v>
      </c>
      <c r="O395">
        <f t="shared" si="76"/>
        <v>2023480.1340000001</v>
      </c>
      <c r="P395">
        <f t="shared" si="77"/>
        <v>0.12102153911483254</v>
      </c>
      <c r="Q395" s="5">
        <f>_xll.SNL.Clients.Office.Excel.Functions.SPG(K395, "SP_MARKETCAP", "12/31/2022")</f>
        <v>48577.077918019997</v>
      </c>
      <c r="R395">
        <f t="shared" si="81"/>
        <v>1.4416802466574261E-3</v>
      </c>
      <c r="S395">
        <f t="shared" si="82"/>
        <v>4.6104934288104483E-3</v>
      </c>
      <c r="U395" t="s">
        <v>395</v>
      </c>
      <c r="V395" s="4" cm="1">
        <f t="array" ref="V395">_xll.SNL.Clients.Office.Excel.Functions.SPG(U395, "SP_TOTAL_REV", "CY2021")</f>
        <v>12857000</v>
      </c>
      <c r="W395" s="4">
        <f>_xll.SNL.Clients.Office.Excel.Functions.SPG(U395,"IQ_AVG_DILUT_SHARES_OUT","CY2021")</f>
        <v>626073000</v>
      </c>
      <c r="X395" s="5">
        <f>_xll.SNL.Clients.Office.Excel.Functions.SPG(U395, "IQ_DILUT_EPS_NORM", "CY2021")</f>
        <v>2.8809999999999998</v>
      </c>
      <c r="Y395">
        <f t="shared" si="83"/>
        <v>1803716.3129999998</v>
      </c>
      <c r="Z395">
        <f t="shared" si="84"/>
        <v>0.14029060535117055</v>
      </c>
      <c r="AA395" s="5">
        <f>_xll.SNL.Clients.Office.Excel.Functions.SPG(U395, "SP_MARKETCAP", "12/31/2021")</f>
        <v>42241.959473360002</v>
      </c>
      <c r="AB395">
        <f t="shared" si="78"/>
        <v>9.9553763410992072E-4</v>
      </c>
      <c r="AC395">
        <f t="shared" si="85"/>
        <v>2.8681439238706814E-3</v>
      </c>
    </row>
    <row r="396" spans="1:29" x14ac:dyDescent="0.3">
      <c r="A396" t="s">
        <v>396</v>
      </c>
      <c r="B396" s="4" cm="1">
        <f t="array" ref="B396">_xll.SNL.Clients.Office.Excel.Functions.SPG(A396, "SP_TOTAL_REV", "CY2023")</f>
        <v>8971000</v>
      </c>
      <c r="C396" s="4">
        <f>_xll.SNL.Clients.Office.Excel.Functions.SPG(A396,"IQ_AVG_DILUT_SHARES_OUT","CY2023")</f>
        <v>205591000</v>
      </c>
      <c r="D396" s="5">
        <f>_xll.SNL.Clients.Office.Excel.Functions.SPG(A396, "IQ_DILUT_EPS_NORM", "CY2023")</f>
        <v>3.0640000000000001</v>
      </c>
      <c r="E396">
        <f t="shared" si="74"/>
        <v>629930.82400000002</v>
      </c>
      <c r="F396">
        <f t="shared" si="75"/>
        <v>7.0218573626128641E-2</v>
      </c>
      <c r="G396" s="5">
        <f>_xll.SNL.Clients.Office.Excel.Functions.SPG(A396, "SP_MARKETCAP", "12/30/2023")</f>
        <v>144516.06195</v>
      </c>
      <c r="H396">
        <f t="shared" si="79"/>
        <v>3.4394824235058326E-3</v>
      </c>
      <c r="I396">
        <f t="shared" si="80"/>
        <v>1.0538574145621871E-2</v>
      </c>
      <c r="K396" t="s">
        <v>396</v>
      </c>
      <c r="L396" s="4" cm="1">
        <f t="array" ref="L396">_xll.SNL.Clients.Office.Excel.Functions.SPG(K396, "SP_TOTAL_REV", "CY2023")</f>
        <v>8971000</v>
      </c>
      <c r="M396" s="4">
        <f>_xll.SNL.Clients.Office.Excel.Functions.SPG(K396,"IQ_AVG_DILUT_SHARES_OUT","CY2023")</f>
        <v>205591000</v>
      </c>
      <c r="N396" s="5">
        <f>_xll.SNL.Clients.Office.Excel.Functions.SPG(K396, "IQ_DILUT_EPS_NORM", "CY2023")</f>
        <v>3.0640000000000001</v>
      </c>
      <c r="O396">
        <f t="shared" si="76"/>
        <v>629930.82400000002</v>
      </c>
      <c r="P396">
        <f t="shared" si="77"/>
        <v>7.0218573626128641E-2</v>
      </c>
      <c r="Q396" s="5">
        <f>_xll.SNL.Clients.Office.Excel.Functions.SPG(K396, "SP_MARKETCAP", "12/31/2022")</f>
        <v>78280.667780000003</v>
      </c>
      <c r="R396">
        <f t="shared" si="81"/>
        <v>2.3232293351205025E-3</v>
      </c>
      <c r="S396">
        <f t="shared" si="82"/>
        <v>7.11837468280922E-3</v>
      </c>
      <c r="U396" t="s">
        <v>396</v>
      </c>
      <c r="V396" s="4" cm="1">
        <f t="array" ref="V396">_xll.SNL.Clients.Office.Excel.Functions.SPG(U396, "SP_TOTAL_REV", "CY2021")</f>
        <v>5896000</v>
      </c>
      <c r="W396" s="4">
        <f>_xll.SNL.Clients.Office.Excel.Functions.SPG(U396,"IQ_AVG_DILUT_SHARES_OUT","CY2021")</f>
        <v>203167000</v>
      </c>
      <c r="X396" s="5">
        <f>_xll.SNL.Clients.Office.Excel.Functions.SPG(U396, "IQ_DILUT_EPS_NORM", "CY2021")</f>
        <v>0.76600000000000001</v>
      </c>
      <c r="Y396">
        <f t="shared" si="83"/>
        <v>155625.92199999999</v>
      </c>
      <c r="Z396">
        <f t="shared" si="84"/>
        <v>2.6395169945725914E-2</v>
      </c>
      <c r="AA396" s="5">
        <f>_xll.SNL.Clients.Office.Excel.Functions.SPG(U396, "SP_MARKETCAP", "12/31/2021")</f>
        <v>129169.64445000001</v>
      </c>
      <c r="AB396">
        <f t="shared" si="78"/>
        <v>3.0442063729470299E-3</v>
      </c>
      <c r="AC396">
        <f t="shared" si="85"/>
        <v>2.3318620816774249E-3</v>
      </c>
    </row>
    <row r="397" spans="1:29" x14ac:dyDescent="0.3">
      <c r="A397" t="s">
        <v>397</v>
      </c>
      <c r="B397" s="4" cm="1">
        <f t="array" ref="B397">_xll.SNL.Clients.Office.Excel.Functions.SPG(A397, "SP_TOTAL_REV", "CY2023")</f>
        <v>6027849</v>
      </c>
      <c r="C397" s="4">
        <f>_xll.SNL.Clients.Office.Excel.Functions.SPG(A397,"IQ_AVG_DILUT_SHARES_OUT","CY2023")</f>
        <v>326807326</v>
      </c>
      <c r="D397" s="5">
        <f>_xll.SNL.Clients.Office.Excel.Functions.SPG(A397, "IQ_DILUT_EPS_NORM", "CY2023")</f>
        <v>3.431</v>
      </c>
      <c r="E397">
        <f t="shared" si="74"/>
        <v>1121275.935506</v>
      </c>
      <c r="F397">
        <f t="shared" si="75"/>
        <v>0.18601592964687735</v>
      </c>
      <c r="G397" s="5">
        <f>_xll.SNL.Clients.Office.Excel.Functions.SPG(A397, "SP_MARKETCAP", "12/30/2023")</f>
        <v>46535.930990319997</v>
      </c>
      <c r="H397">
        <f t="shared" si="79"/>
        <v>1.1075552055802888E-3</v>
      </c>
      <c r="I397">
        <f t="shared" si="80"/>
        <v>3.8000219103459707E-3</v>
      </c>
      <c r="K397" t="s">
        <v>397</v>
      </c>
      <c r="L397" s="4" cm="1">
        <f t="array" ref="L397">_xll.SNL.Clients.Office.Excel.Functions.SPG(K397, "SP_TOTAL_REV", "CY2023")</f>
        <v>6027849</v>
      </c>
      <c r="M397" s="4">
        <f>_xll.SNL.Clients.Office.Excel.Functions.SPG(K397,"IQ_AVG_DILUT_SHARES_OUT","CY2023")</f>
        <v>326807326</v>
      </c>
      <c r="N397" s="5">
        <f>_xll.SNL.Clients.Office.Excel.Functions.SPG(K397, "IQ_DILUT_EPS_NORM", "CY2023")</f>
        <v>3.431</v>
      </c>
      <c r="O397">
        <f t="shared" si="76"/>
        <v>1121275.935506</v>
      </c>
      <c r="P397">
        <f t="shared" si="77"/>
        <v>0.18601592964687735</v>
      </c>
      <c r="Q397" s="5">
        <f>_xll.SNL.Clients.Office.Excel.Functions.SPG(K397, "SP_MARKETCAP", "12/31/2022")</f>
        <v>38606.179269239998</v>
      </c>
      <c r="R397">
        <f t="shared" si="81"/>
        <v>1.1457619197537633E-3</v>
      </c>
      <c r="S397">
        <f t="shared" si="82"/>
        <v>3.9311091466751619E-3</v>
      </c>
      <c r="U397" t="s">
        <v>397</v>
      </c>
      <c r="V397" s="4" cm="1">
        <f t="array" ref="V397">_xll.SNL.Clients.Office.Excel.Functions.SPG(U397, "SP_TOTAL_REV", "CY2021")</f>
        <v>5891109</v>
      </c>
      <c r="W397" s="4">
        <f>_xll.SNL.Clients.Office.Excel.Functions.SPG(U397,"IQ_AVG_DILUT_SHARES_OUT","CY2021")</f>
        <v>328587137</v>
      </c>
      <c r="X397" s="5">
        <f>_xll.SNL.Clients.Office.Excel.Functions.SPG(U397, "IQ_DILUT_EPS_NORM", "CY2021")</f>
        <v>3.5910000000000002</v>
      </c>
      <c r="Y397">
        <f t="shared" si="83"/>
        <v>1179956.408967</v>
      </c>
      <c r="Z397">
        <f t="shared" si="84"/>
        <v>0.20029444523382609</v>
      </c>
      <c r="AA397" s="5">
        <f>_xll.SNL.Clients.Office.Excel.Functions.SPG(U397, "SP_MARKETCAP", "12/31/2021")</f>
        <v>52503.483672510003</v>
      </c>
      <c r="AB397">
        <f t="shared" si="78"/>
        <v>1.2373761674295237E-3</v>
      </c>
      <c r="AC397">
        <f t="shared" si="85"/>
        <v>4.4434178172394201E-3</v>
      </c>
    </row>
    <row r="398" spans="1:29" x14ac:dyDescent="0.3">
      <c r="A398" t="s">
        <v>398</v>
      </c>
      <c r="B398" s="4" cm="1">
        <f t="array" ref="B398">_xll.SNL.Clients.Office.Excel.Functions.SPG(A398, "SP_TOTAL_REV", "CY2023")</f>
        <v>4644600</v>
      </c>
      <c r="C398" s="4">
        <f>_xll.SNL.Clients.Office.Excel.Functions.SPG(A398,"IQ_AVG_DILUT_SHARES_OUT","CY2023")</f>
        <v>160500000</v>
      </c>
      <c r="D398" s="5">
        <f>_xll.SNL.Clients.Office.Excel.Functions.SPG(A398, "IQ_DILUT_EPS_NORM", "CY2023")</f>
        <v>3.9870000000000001</v>
      </c>
      <c r="E398">
        <f t="shared" si="74"/>
        <v>639913.5</v>
      </c>
      <c r="F398">
        <f t="shared" si="75"/>
        <v>0.13777580415966928</v>
      </c>
      <c r="G398" s="5">
        <f>_xll.SNL.Clients.Office.Excel.Functions.SPG(A398, "SP_MARKETCAP", "12/30/2023")</f>
        <v>17982.12614814</v>
      </c>
      <c r="H398">
        <f t="shared" si="79"/>
        <v>4.2797462087771878E-4</v>
      </c>
      <c r="I398">
        <f t="shared" si="80"/>
        <v>1.7063348134394648E-3</v>
      </c>
      <c r="K398" t="s">
        <v>398</v>
      </c>
      <c r="L398" s="4" cm="1">
        <f t="array" ref="L398">_xll.SNL.Clients.Office.Excel.Functions.SPG(K398, "SP_TOTAL_REV", "CY2023")</f>
        <v>4644600</v>
      </c>
      <c r="M398" s="4">
        <f>_xll.SNL.Clients.Office.Excel.Functions.SPG(K398,"IQ_AVG_DILUT_SHARES_OUT","CY2023")</f>
        <v>160500000</v>
      </c>
      <c r="N398" s="5">
        <f>_xll.SNL.Clients.Office.Excel.Functions.SPG(K398, "IQ_DILUT_EPS_NORM", "CY2023")</f>
        <v>3.9870000000000001</v>
      </c>
      <c r="O398">
        <f t="shared" si="76"/>
        <v>639913.5</v>
      </c>
      <c r="P398">
        <f t="shared" si="77"/>
        <v>0.13777580415966928</v>
      </c>
      <c r="Q398" s="5">
        <f>_xll.SNL.Clients.Office.Excel.Functions.SPG(K398, "SP_MARKETCAP", "12/31/2022")</f>
        <v>14595.477762320001</v>
      </c>
      <c r="R398">
        <f t="shared" si="81"/>
        <v>4.3316751196882512E-4</v>
      </c>
      <c r="S398">
        <f t="shared" si="82"/>
        <v>1.7270388702197057E-3</v>
      </c>
      <c r="U398" t="s">
        <v>398</v>
      </c>
      <c r="V398" s="4" cm="1">
        <f t="array" ref="V398">_xll.SNL.Clients.Office.Excel.Functions.SPG(U398, "SP_TOTAL_REV", "CY2021")</f>
        <v>5109500</v>
      </c>
      <c r="W398" s="4">
        <f>_xll.SNL.Clients.Office.Excel.Functions.SPG(U398,"IQ_AVG_DILUT_SHARES_OUT","CY2021")</f>
        <v>166850000</v>
      </c>
      <c r="X398" s="5">
        <f>_xll.SNL.Clients.Office.Excel.Functions.SPG(U398, "IQ_DILUT_EPS_NORM", "CY2021")</f>
        <v>5.6779999999999999</v>
      </c>
      <c r="Y398">
        <f t="shared" si="83"/>
        <v>947374.3</v>
      </c>
      <c r="Z398">
        <f t="shared" si="84"/>
        <v>0.18541428711224192</v>
      </c>
      <c r="AA398" s="5">
        <f>_xll.SNL.Clients.Office.Excel.Functions.SPG(U398, "SP_MARKETCAP", "12/31/2021")</f>
        <v>25658.178430420001</v>
      </c>
      <c r="AB398">
        <f t="shared" si="78"/>
        <v>6.0469927457554892E-4</v>
      </c>
      <c r="AC398">
        <f t="shared" si="85"/>
        <v>3.4334824810399668E-3</v>
      </c>
    </row>
    <row r="399" spans="1:29" x14ac:dyDescent="0.3">
      <c r="A399" t="s">
        <v>399</v>
      </c>
      <c r="B399" s="4" cm="1">
        <f t="array" ref="B399">_xll.SNL.Clients.Office.Excel.Functions.SPG(A399, "SP_TOTAL_REV", "CY2023")</f>
        <v>12093000</v>
      </c>
      <c r="C399" s="4">
        <f>_xll.SNL.Clients.Office.Excel.Functions.SPG(A399,"IQ_AVG_DILUT_SHARES_OUT","CY2023")</f>
        <v>260342615</v>
      </c>
      <c r="D399" s="5">
        <f>_xll.SNL.Clients.Office.Excel.Functions.SPG(A399, "IQ_DILUT_EPS_NORM", "CY2023")</f>
        <v>3.052</v>
      </c>
      <c r="E399">
        <f t="shared" si="74"/>
        <v>794565.66098000004</v>
      </c>
      <c r="F399">
        <f t="shared" si="75"/>
        <v>6.5704594474489383E-2</v>
      </c>
      <c r="G399" s="5">
        <f>_xll.SNL.Clients.Office.Excel.Functions.SPG(A399, "SP_MARKETCAP", "12/30/2023")</f>
        <v>10558.388502199999</v>
      </c>
      <c r="H399">
        <f t="shared" si="79"/>
        <v>2.5128965724534796E-4</v>
      </c>
      <c r="I399">
        <f t="shared" si="80"/>
        <v>7.66936033912802E-4</v>
      </c>
      <c r="K399" t="s">
        <v>399</v>
      </c>
      <c r="L399" s="4" cm="1">
        <f t="array" ref="L399">_xll.SNL.Clients.Office.Excel.Functions.SPG(K399, "SP_TOTAL_REV", "CY2023")</f>
        <v>12093000</v>
      </c>
      <c r="M399" s="4">
        <f>_xll.SNL.Clients.Office.Excel.Functions.SPG(K399,"IQ_AVG_DILUT_SHARES_OUT","CY2023")</f>
        <v>260342615</v>
      </c>
      <c r="N399" s="5">
        <f>_xll.SNL.Clients.Office.Excel.Functions.SPG(K399, "IQ_DILUT_EPS_NORM", "CY2023")</f>
        <v>3.052</v>
      </c>
      <c r="O399">
        <f t="shared" si="76"/>
        <v>794565.66098000004</v>
      </c>
      <c r="P399">
        <f t="shared" si="77"/>
        <v>6.5704594474489383E-2</v>
      </c>
      <c r="Q399" s="5">
        <f>_xll.SNL.Clients.Office.Excel.Functions.SPG(K399, "SP_MARKETCAP", "12/31/2022")</f>
        <v>9597.0373903207183</v>
      </c>
      <c r="R399">
        <f t="shared" si="81"/>
        <v>2.8482279760441519E-4</v>
      </c>
      <c r="S399">
        <f t="shared" si="82"/>
        <v>8.692791782886752E-4</v>
      </c>
      <c r="U399" t="s">
        <v>399</v>
      </c>
      <c r="V399" s="4" cm="1">
        <f t="array" ref="V399">_xll.SNL.Clients.Office.Excel.Functions.SPG(U399, "SP_TOTAL_REV", "CY2021")</f>
        <v>11933000</v>
      </c>
      <c r="W399" s="4">
        <f>_xll.SNL.Clients.Office.Excel.Functions.SPG(U399,"IQ_AVG_DILUT_SHARES_OUT","CY2021")</f>
        <v>259874082</v>
      </c>
      <c r="X399" s="5">
        <f>_xll.SNL.Clients.Office.Excel.Functions.SPG(U399, "IQ_DILUT_EPS_NORM", "CY2021")</f>
        <v>2.5779999999999998</v>
      </c>
      <c r="Y399">
        <f t="shared" si="83"/>
        <v>669955.3833959999</v>
      </c>
      <c r="Z399">
        <f t="shared" si="84"/>
        <v>5.6143080817564729E-2</v>
      </c>
      <c r="AA399" s="5">
        <f>_xll.SNL.Clients.Office.Excel.Functions.SPG(U399, "SP_MARKETCAP", "12/31/2021")</f>
        <v>13829.8469425</v>
      </c>
      <c r="AB399">
        <f t="shared" si="78"/>
        <v>3.2593500104846417E-4</v>
      </c>
      <c r="AC399">
        <f t="shared" si="85"/>
        <v>8.4026043270294054E-4</v>
      </c>
    </row>
    <row r="400" spans="1:29" x14ac:dyDescent="0.3">
      <c r="A400" t="s">
        <v>400</v>
      </c>
      <c r="B400" s="4" cm="1">
        <f t="array" ref="B400">_xll.SNL.Clients.Office.Excel.Functions.SPG(A400, "SP_TOTAL_REV", "CY2023")</f>
        <v>5108300</v>
      </c>
      <c r="C400" s="4">
        <f>_xll.SNL.Clients.Office.Excel.Functions.SPG(A400,"IQ_AVG_DILUT_SHARES_OUT","CY2023")</f>
        <v>53900000</v>
      </c>
      <c r="D400" s="5">
        <f>_xll.SNL.Clients.Office.Excel.Functions.SPG(A400, "IQ_DILUT_EPS_NORM", "CY2023")</f>
        <v>14.962999999999999</v>
      </c>
      <c r="E400">
        <f t="shared" si="74"/>
        <v>806505.7</v>
      </c>
      <c r="F400">
        <f t="shared" si="75"/>
        <v>0.15788142826380597</v>
      </c>
      <c r="G400" s="5">
        <f>_xll.SNL.Clients.Office.Excel.Functions.SPG(A400, "SP_MARKETCAP", "12/30/2023")</f>
        <v>15244.96335756</v>
      </c>
      <c r="H400">
        <f t="shared" si="79"/>
        <v>3.628301436380102E-4</v>
      </c>
      <c r="I400">
        <f t="shared" si="80"/>
        <v>5.4290274392555463E-3</v>
      </c>
      <c r="K400" t="s">
        <v>400</v>
      </c>
      <c r="L400" s="4" cm="1">
        <f t="array" ref="L400">_xll.SNL.Clients.Office.Excel.Functions.SPG(K400, "SP_TOTAL_REV", "CY2023")</f>
        <v>5108300</v>
      </c>
      <c r="M400" s="4">
        <f>_xll.SNL.Clients.Office.Excel.Functions.SPG(K400,"IQ_AVG_DILUT_SHARES_OUT","CY2023")</f>
        <v>53900000</v>
      </c>
      <c r="N400" s="5">
        <f>_xll.SNL.Clients.Office.Excel.Functions.SPG(K400, "IQ_DILUT_EPS_NORM", "CY2023")</f>
        <v>14.962999999999999</v>
      </c>
      <c r="O400">
        <f t="shared" si="76"/>
        <v>806505.7</v>
      </c>
      <c r="P400">
        <f t="shared" si="77"/>
        <v>0.15788142826380597</v>
      </c>
      <c r="Q400" s="5">
        <f>_xll.SNL.Clients.Office.Excel.Functions.SPG(K400, "SP_MARKETCAP", "12/31/2022")</f>
        <v>12145.303465110001</v>
      </c>
      <c r="R400">
        <f t="shared" si="81"/>
        <v>3.6045074849621114E-4</v>
      </c>
      <c r="S400">
        <f t="shared" si="82"/>
        <v>5.3934245497488072E-3</v>
      </c>
      <c r="U400" t="s">
        <v>400</v>
      </c>
      <c r="V400" s="4" cm="1">
        <f t="array" ref="V400">_xll.SNL.Clients.Office.Excel.Functions.SPG(U400, "SP_TOTAL_REV", "CY2021")</f>
        <v>4601700</v>
      </c>
      <c r="W400" s="4">
        <f>_xll.SNL.Clients.Office.Excel.Functions.SPG(U400,"IQ_AVG_DILUT_SHARES_OUT","CY2021")</f>
        <v>55000000</v>
      </c>
      <c r="X400" s="5">
        <f>_xll.SNL.Clients.Office.Excel.Functions.SPG(U400, "IQ_DILUT_EPS_NORM", "CY2021")</f>
        <v>11.988</v>
      </c>
      <c r="Y400">
        <f t="shared" si="83"/>
        <v>659340</v>
      </c>
      <c r="Z400">
        <f t="shared" si="84"/>
        <v>0.14328183062781147</v>
      </c>
      <c r="AA400" s="5">
        <f>_xll.SNL.Clients.Office.Excel.Functions.SPG(U400, "SP_MARKETCAP", "12/31/2021")</f>
        <v>11530.363346259999</v>
      </c>
      <c r="AB400">
        <f t="shared" si="78"/>
        <v>2.7174190755527414E-4</v>
      </c>
      <c r="AC400">
        <f t="shared" si="85"/>
        <v>3.2576419877726262E-3</v>
      </c>
    </row>
    <row r="401" spans="1:29" x14ac:dyDescent="0.3">
      <c r="A401" t="s">
        <v>401</v>
      </c>
      <c r="B401" s="4" cm="1">
        <f t="array" ref="B401">_xll.SNL.Clients.Office.Excel.Functions.SPG(A401, "SP_TOTAL_REV", "CY2023")</f>
        <v>8197000</v>
      </c>
      <c r="C401" s="4" t="str">
        <f>_xll.SNL.Clients.Office.Excel.Functions.SPG(A401,"IQ_AVG_DILUT_SHARES_OUT","CY2023")</f>
        <v>NA</v>
      </c>
      <c r="D401" s="5" t="str">
        <f>_xll.SNL.Clients.Office.Excel.Functions.SPG(A401, "IQ_DILUT_EPS_NORM", "CY2023")</f>
        <v>NA</v>
      </c>
      <c r="E401" t="e">
        <f t="shared" si="74"/>
        <v>#VALUE!</v>
      </c>
      <c r="F401" t="e">
        <f t="shared" si="75"/>
        <v>#VALUE!</v>
      </c>
      <c r="G401" s="5" t="str">
        <f>_xll.SNL.Clients.Office.Excel.Functions.SPG(A401, "SP_MARKETCAP", "12/30/2023")</f>
        <v>NA</v>
      </c>
      <c r="H401" t="e">
        <f t="shared" si="79"/>
        <v>#VALUE!</v>
      </c>
      <c r="I401" t="e">
        <f t="shared" si="80"/>
        <v>#VALUE!</v>
      </c>
      <c r="K401" t="s">
        <v>401</v>
      </c>
      <c r="L401" s="4" cm="1">
        <f t="array" ref="L401">_xll.SNL.Clients.Office.Excel.Functions.SPG(K401, "SP_TOTAL_REV", "CY2023")</f>
        <v>8197000</v>
      </c>
      <c r="M401" s="4" t="str">
        <f>_xll.SNL.Clients.Office.Excel.Functions.SPG(K401,"IQ_AVG_DILUT_SHARES_OUT","CY2023")</f>
        <v>NA</v>
      </c>
      <c r="N401" s="5" t="str">
        <f>_xll.SNL.Clients.Office.Excel.Functions.SPG(K401, "IQ_DILUT_EPS_NORM", "CY2023")</f>
        <v>NA</v>
      </c>
      <c r="O401" t="e">
        <f t="shared" si="76"/>
        <v>#VALUE!</v>
      </c>
      <c r="P401" t="e">
        <f t="shared" si="77"/>
        <v>#VALUE!</v>
      </c>
      <c r="Q401" s="5" t="str">
        <f>_xll.SNL.Clients.Office.Excel.Functions.SPG(K401, "SP_MARKETCAP", "12/31/2022")</f>
        <v>NA</v>
      </c>
      <c r="R401" t="e">
        <f t="shared" si="81"/>
        <v>#VALUE!</v>
      </c>
      <c r="S401" t="e">
        <f t="shared" si="82"/>
        <v>#VALUE!</v>
      </c>
      <c r="U401" t="s">
        <v>401</v>
      </c>
      <c r="V401" s="4" cm="1">
        <f t="array" ref="V401">_xll.SNL.Clients.Office.Excel.Functions.SPG(U401, "SP_TOTAL_REV", "CY2021")</f>
        <v>8171000</v>
      </c>
      <c r="W401" s="4" t="str">
        <f>_xll.SNL.Clients.Office.Excel.Functions.SPG(U401,"IQ_AVG_DILUT_SHARES_OUT","CY2021")</f>
        <v>NA</v>
      </c>
      <c r="X401" s="5" t="str">
        <f>_xll.SNL.Clients.Office.Excel.Functions.SPG(U401, "IQ_DILUT_EPS_NORM", "CY2021")</f>
        <v>NA</v>
      </c>
      <c r="Y401" t="e">
        <f t="shared" si="83"/>
        <v>#VALUE!</v>
      </c>
      <c r="Z401" t="e">
        <f t="shared" si="84"/>
        <v>#VALUE!</v>
      </c>
      <c r="AA401" s="5" t="str">
        <f>_xll.SNL.Clients.Office.Excel.Functions.SPG(U401, "SP_MARKETCAP", "12/31/2021")</f>
        <v>NA</v>
      </c>
      <c r="AB401" t="e">
        <f t="shared" si="78"/>
        <v>#VALUE!</v>
      </c>
      <c r="AC401" t="e">
        <f t="shared" si="85"/>
        <v>#VALUE!</v>
      </c>
    </row>
    <row r="402" spans="1:29" x14ac:dyDescent="0.3">
      <c r="A402" t="s">
        <v>402</v>
      </c>
      <c r="B402" s="4" cm="1">
        <f t="array" ref="B402">_xll.SNL.Clients.Office.Excel.Functions.SPG(A402, "SP_TOTAL_REV", "CY2023")</f>
        <v>26091000</v>
      </c>
      <c r="C402" s="4">
        <f>_xll.SNL.Clients.Office.Excel.Functions.SPG(A402,"IQ_AVG_DILUT_SHARES_OUT","CY2023")</f>
        <v>640000000</v>
      </c>
      <c r="D402" s="5">
        <f>_xll.SNL.Clients.Office.Excel.Functions.SPG(A402, "IQ_DILUT_EPS_NORM", "CY2023")</f>
        <v>1.2390000000000001</v>
      </c>
      <c r="E402">
        <f t="shared" si="74"/>
        <v>792960.00000000012</v>
      </c>
      <c r="F402">
        <f t="shared" si="75"/>
        <v>3.0392089226169948E-2</v>
      </c>
      <c r="G402" s="5">
        <f>_xll.SNL.Clients.Office.Excel.Functions.SPG(A402, "SP_MARKETCAP", "12/30/2023")</f>
        <v>17215.812174399998</v>
      </c>
      <c r="H402">
        <f t="shared" si="79"/>
        <v>4.0973634751210797E-4</v>
      </c>
      <c r="I402">
        <f t="shared" si="80"/>
        <v>5.0766333456750184E-4</v>
      </c>
      <c r="K402" t="s">
        <v>402</v>
      </c>
      <c r="L402" s="4" cm="1">
        <f t="array" ref="L402">_xll.SNL.Clients.Office.Excel.Functions.SPG(K402, "SP_TOTAL_REV", "CY2023")</f>
        <v>26091000</v>
      </c>
      <c r="M402" s="4">
        <f>_xll.SNL.Clients.Office.Excel.Functions.SPG(K402,"IQ_AVG_DILUT_SHARES_OUT","CY2023")</f>
        <v>640000000</v>
      </c>
      <c r="N402" s="5">
        <f>_xll.SNL.Clients.Office.Excel.Functions.SPG(K402, "IQ_DILUT_EPS_NORM", "CY2023")</f>
        <v>1.2390000000000001</v>
      </c>
      <c r="O402">
        <f t="shared" si="76"/>
        <v>792960.00000000012</v>
      </c>
      <c r="P402">
        <f t="shared" si="77"/>
        <v>3.0392089226169948E-2</v>
      </c>
      <c r="Q402" s="5">
        <f>_xll.SNL.Clients.Office.Excel.Functions.SPG(K402, "SP_MARKETCAP", "12/31/2022")</f>
        <v>19991.62997468</v>
      </c>
      <c r="R402">
        <f t="shared" si="81"/>
        <v>5.9331559797855011E-4</v>
      </c>
      <c r="S402">
        <f t="shared" si="82"/>
        <v>7.351180258954236E-4</v>
      </c>
      <c r="U402" t="s">
        <v>402</v>
      </c>
      <c r="V402" s="4" cm="1">
        <f t="array" ref="V402">_xll.SNL.Clients.Office.Excel.Functions.SPG(U402, "SP_TOTAL_REV", "CY2021")</f>
        <v>15790000</v>
      </c>
      <c r="W402" s="4">
        <f>_xll.SNL.Clients.Office.Excel.Functions.SPG(U402,"IQ_AVG_DILUT_SHARES_OUT","CY2021")</f>
        <v>609000000</v>
      </c>
      <c r="X402" s="5">
        <f>_xll.SNL.Clients.Office.Excel.Functions.SPG(U402, "IQ_DILUT_EPS_NORM", "CY2021")</f>
        <v>-1.526</v>
      </c>
      <c r="Y402">
        <f t="shared" si="83"/>
        <v>-929334</v>
      </c>
      <c r="Z402">
        <f t="shared" si="84"/>
        <v>-5.8855858138062066E-2</v>
      </c>
      <c r="AA402" s="5">
        <f>_xll.SNL.Clients.Office.Excel.Functions.SPG(U402, "SP_MARKETCAP", "12/31/2021")</f>
        <v>25357.848815879999</v>
      </c>
      <c r="AB402">
        <f t="shared" si="78"/>
        <v>5.9762125457742696E-4</v>
      </c>
      <c r="AC402">
        <f t="shared" si="85"/>
        <v>-9.1197003448515357E-4</v>
      </c>
    </row>
    <row r="403" spans="1:29" x14ac:dyDescent="0.3">
      <c r="A403" t="s">
        <v>403</v>
      </c>
      <c r="B403" s="4" cm="1">
        <f t="array" ref="B403">_xll.SNL.Clients.Office.Excel.Functions.SPG(A403, "SP_TOTAL_REV", "CY2023")</f>
        <v>15781100</v>
      </c>
      <c r="C403" s="4">
        <f>_xll.SNL.Clients.Office.Excel.Functions.SPG(A403,"IQ_AVG_DILUT_SHARES_OUT","CY2023")</f>
        <v>149751000</v>
      </c>
      <c r="D403" s="5">
        <f>_xll.SNL.Clients.Office.Excel.Functions.SPG(A403, "IQ_DILUT_EPS_NORM", "CY2023")</f>
        <v>0.89400000000000002</v>
      </c>
      <c r="E403">
        <f t="shared" si="74"/>
        <v>133877.394</v>
      </c>
      <c r="F403">
        <f t="shared" si="75"/>
        <v>8.4834006501447942E-3</v>
      </c>
      <c r="G403" s="5">
        <f>_xll.SNL.Clients.Office.Excel.Functions.SPG(A403, "SP_MARKETCAP", "12/30/2023")</f>
        <v>15039.8495172</v>
      </c>
      <c r="H403">
        <f t="shared" si="79"/>
        <v>3.5794843402582827E-4</v>
      </c>
      <c r="I403">
        <f t="shared" si="80"/>
        <v>3.200059000190905E-4</v>
      </c>
      <c r="K403" t="s">
        <v>403</v>
      </c>
      <c r="L403" s="4" cm="1">
        <f t="array" ref="L403">_xll.SNL.Clients.Office.Excel.Functions.SPG(K403, "SP_TOTAL_REV", "CY2023")</f>
        <v>15781100</v>
      </c>
      <c r="M403" s="4">
        <f>_xll.SNL.Clients.Office.Excel.Functions.SPG(K403,"IQ_AVG_DILUT_SHARES_OUT","CY2023")</f>
        <v>149751000</v>
      </c>
      <c r="N403" s="5">
        <f>_xll.SNL.Clients.Office.Excel.Functions.SPG(K403, "IQ_DILUT_EPS_NORM", "CY2023")</f>
        <v>0.89400000000000002</v>
      </c>
      <c r="O403">
        <f t="shared" si="76"/>
        <v>133877.394</v>
      </c>
      <c r="P403">
        <f t="shared" si="77"/>
        <v>8.4834006501447942E-3</v>
      </c>
      <c r="Q403" s="5">
        <f>_xll.SNL.Clients.Office.Excel.Functions.SPG(K403, "SP_MARKETCAP", "12/31/2022")</f>
        <v>11113.38696432</v>
      </c>
      <c r="R403">
        <f t="shared" si="81"/>
        <v>3.298253239307511E-4</v>
      </c>
      <c r="S403">
        <f t="shared" si="82"/>
        <v>2.9486383959409149E-4</v>
      </c>
      <c r="U403" t="s">
        <v>403</v>
      </c>
      <c r="V403" s="4" cm="1">
        <f t="array" ref="V403">_xll.SNL.Clients.Office.Excel.Functions.SPG(U403, "SP_TOTAL_REV", "CY2021")</f>
        <v>15281300</v>
      </c>
      <c r="W403" s="4">
        <f>_xll.SNL.Clients.Office.Excel.Functions.SPG(U403,"IQ_AVG_DILUT_SHARES_OUT","CY2021")</f>
        <v>165024000</v>
      </c>
      <c r="X403" s="5">
        <f>_xll.SNL.Clients.Office.Excel.Functions.SPG(U403, "IQ_DILUT_EPS_NORM", "CY2021")</f>
        <v>6.9269999999999996</v>
      </c>
      <c r="Y403">
        <f t="shared" si="83"/>
        <v>1143121.2479999999</v>
      </c>
      <c r="Z403">
        <f t="shared" si="84"/>
        <v>7.4805235680210441E-2</v>
      </c>
      <c r="AA403" s="5">
        <f>_xll.SNL.Clients.Office.Excel.Functions.SPG(U403, "SP_MARKETCAP", "12/31/2021")</f>
        <v>30751.324258820001</v>
      </c>
      <c r="AB403">
        <f t="shared" si="78"/>
        <v>7.247320195380505E-4</v>
      </c>
      <c r="AC403">
        <f t="shared" si="85"/>
        <v>5.0202186993400753E-3</v>
      </c>
    </row>
    <row r="404" spans="1:29" x14ac:dyDescent="0.3">
      <c r="A404" t="s">
        <v>404</v>
      </c>
      <c r="B404" s="4" cm="1">
        <f t="array" ref="B404">_xll.SNL.Clients.Office.Excel.Functions.SPG(A404, "SP_TOTAL_REV", "CY2023")</f>
        <v>36687000</v>
      </c>
      <c r="C404" s="4">
        <f>_xll.SNL.Clients.Office.Excel.Functions.SPG(A404,"IQ_AVG_DILUT_SHARES_OUT","CY2023")</f>
        <v>1148225000</v>
      </c>
      <c r="D404" s="5">
        <f>_xll.SNL.Clients.Office.Excel.Functions.SPG(A404, "IQ_DILUT_EPS_NORM", "CY2023")</f>
        <v>3.0459999999999998</v>
      </c>
      <c r="E404">
        <f t="shared" si="74"/>
        <v>3497493.35</v>
      </c>
      <c r="F404">
        <f t="shared" si="75"/>
        <v>9.5333315615885733E-2</v>
      </c>
      <c r="G404" s="5">
        <f>_xll.SNL.Clients.Office.Excel.Functions.SPG(A404, "SP_MARKETCAP", "12/30/2023")</f>
        <v>109134.567</v>
      </c>
      <c r="H404">
        <f t="shared" si="79"/>
        <v>2.597402807193084E-3</v>
      </c>
      <c r="I404">
        <f t="shared" si="80"/>
        <v>7.9116889507101339E-3</v>
      </c>
      <c r="K404" t="s">
        <v>404</v>
      </c>
      <c r="L404" s="4" cm="1">
        <f t="array" ref="L404">_xll.SNL.Clients.Office.Excel.Functions.SPG(K404, "SP_TOTAL_REV", "CY2023")</f>
        <v>36687000</v>
      </c>
      <c r="M404" s="4">
        <f>_xll.SNL.Clients.Office.Excel.Functions.SPG(K404,"IQ_AVG_DILUT_SHARES_OUT","CY2023")</f>
        <v>1148225000</v>
      </c>
      <c r="N404" s="5">
        <f>_xll.SNL.Clients.Office.Excel.Functions.SPG(K404, "IQ_DILUT_EPS_NORM", "CY2023")</f>
        <v>3.0459999999999998</v>
      </c>
      <c r="O404">
        <f t="shared" si="76"/>
        <v>3497493.35</v>
      </c>
      <c r="P404">
        <f t="shared" si="77"/>
        <v>9.5333315615885733E-2</v>
      </c>
      <c r="Q404" s="5">
        <f>_xll.SNL.Clients.Office.Excel.Functions.SPG(K404, "SP_MARKETCAP", "12/31/2022")</f>
        <v>113861.75999999999</v>
      </c>
      <c r="R404">
        <f t="shared" si="81"/>
        <v>3.3792121156129744E-3</v>
      </c>
      <c r="S404">
        <f t="shared" si="82"/>
        <v>1.029308010415712E-2</v>
      </c>
      <c r="U404" t="s">
        <v>404</v>
      </c>
      <c r="V404" s="4" cm="1">
        <f t="array" ref="V404">_xll.SNL.Clients.Office.Excel.Functions.SPG(U404, "SP_TOTAL_REV", "CY2021")</f>
        <v>30361600</v>
      </c>
      <c r="W404" s="4">
        <f>_xll.SNL.Clients.Office.Excel.Functions.SPG(U404,"IQ_AVG_DILUT_SHARES_OUT","CY2021")</f>
        <v>1183900000</v>
      </c>
      <c r="X404" s="5">
        <f>_xll.SNL.Clients.Office.Excel.Functions.SPG(U404, "IQ_DILUT_EPS_NORM", "CY2021")</f>
        <v>2.5760000000000001</v>
      </c>
      <c r="Y404">
        <f t="shared" si="83"/>
        <v>3049726.4</v>
      </c>
      <c r="Z404">
        <f t="shared" si="84"/>
        <v>0.10044682757166948</v>
      </c>
      <c r="AA404" s="5">
        <f>_xll.SNL.Clients.Office.Excel.Functions.SPG(U404, "SP_MARKETCAP", "12/31/2021")</f>
        <v>137229.204</v>
      </c>
      <c r="AB404">
        <f t="shared" si="78"/>
        <v>3.2341500911458767E-3</v>
      </c>
      <c r="AC404">
        <f t="shared" si="85"/>
        <v>8.3311706347917788E-3</v>
      </c>
    </row>
    <row r="405" spans="1:29" x14ac:dyDescent="0.3">
      <c r="A405" t="s">
        <v>405</v>
      </c>
      <c r="B405" s="4" cm="1">
        <f t="array" ref="B405">_xll.SNL.Clients.Office.Excel.Functions.SPG(A405, "SP_TOTAL_REV", "CY2023")</f>
        <v>11899000</v>
      </c>
      <c r="C405" s="4">
        <f>_xll.SNL.Clients.Office.Excel.Functions.SPG(A405,"IQ_AVG_DILUT_SHARES_OUT","CY2023")</f>
        <v>326568000</v>
      </c>
      <c r="D405" s="5">
        <f>_xll.SNL.Clients.Office.Excel.Functions.SPG(A405, "IQ_DILUT_EPS_NORM", "CY2023")</f>
        <v>4.7919999999999998</v>
      </c>
      <c r="E405">
        <f t="shared" si="74"/>
        <v>1564913.8559999999</v>
      </c>
      <c r="F405">
        <f t="shared" si="75"/>
        <v>0.13151641785023951</v>
      </c>
      <c r="G405" s="5">
        <f>_xll.SNL.Clients.Office.Excel.Functions.SPG(A405, "SP_MARKETCAP", "12/30/2023")</f>
        <v>23902.878762060001</v>
      </c>
      <c r="H405">
        <f t="shared" si="79"/>
        <v>5.6888853919739835E-4</v>
      </c>
      <c r="I405">
        <f t="shared" si="80"/>
        <v>2.7261138798339328E-3</v>
      </c>
      <c r="K405" t="s">
        <v>405</v>
      </c>
      <c r="L405" s="4" cm="1">
        <f t="array" ref="L405">_xll.SNL.Clients.Office.Excel.Functions.SPG(K405, "SP_TOTAL_REV", "CY2023")</f>
        <v>11899000</v>
      </c>
      <c r="M405" s="4">
        <f>_xll.SNL.Clients.Office.Excel.Functions.SPG(K405,"IQ_AVG_DILUT_SHARES_OUT","CY2023")</f>
        <v>326568000</v>
      </c>
      <c r="N405" s="5">
        <f>_xll.SNL.Clients.Office.Excel.Functions.SPG(K405, "IQ_DILUT_EPS_NORM", "CY2023")</f>
        <v>4.7919999999999998</v>
      </c>
      <c r="O405">
        <f t="shared" si="76"/>
        <v>1564913.8559999999</v>
      </c>
      <c r="P405">
        <f t="shared" si="77"/>
        <v>0.13151641785023951</v>
      </c>
      <c r="Q405" s="5">
        <f>_xll.SNL.Clients.Office.Excel.Functions.SPG(K405, "SP_MARKETCAP", "12/31/2022")</f>
        <v>28463.54720279</v>
      </c>
      <c r="R405">
        <f t="shared" si="81"/>
        <v>8.4474685408858746E-4</v>
      </c>
      <c r="S405">
        <f t="shared" si="82"/>
        <v>4.0480269247925114E-3</v>
      </c>
      <c r="U405" t="s">
        <v>405</v>
      </c>
      <c r="V405" s="4" cm="1">
        <f t="array" ref="V405">_xll.SNL.Clients.Office.Excel.Functions.SPG(U405, "SP_TOTAL_REV", "CY2021")</f>
        <v>12060000</v>
      </c>
      <c r="W405" s="4">
        <f>_xll.SNL.Clients.Office.Excel.Functions.SPG(U405,"IQ_AVG_DILUT_SHARES_OUT","CY2021")</f>
        <v>357962000</v>
      </c>
      <c r="X405" s="5">
        <f>_xll.SNL.Clients.Office.Excel.Functions.SPG(U405, "IQ_DILUT_EPS_NORM", "CY2021")</f>
        <v>5.6449999999999996</v>
      </c>
      <c r="Y405">
        <f t="shared" si="83"/>
        <v>2020695.4899999998</v>
      </c>
      <c r="Z405">
        <f t="shared" si="84"/>
        <v>0.16755352321724709</v>
      </c>
      <c r="AA405" s="5">
        <f>_xll.SNL.Clients.Office.Excel.Functions.SPG(U405, "SP_MARKETCAP", "12/31/2021")</f>
        <v>34003.513089</v>
      </c>
      <c r="AB405">
        <f t="shared" si="78"/>
        <v>8.0137799936571348E-4</v>
      </c>
      <c r="AC405">
        <f t="shared" si="85"/>
        <v>4.523778806419452E-3</v>
      </c>
    </row>
    <row r="406" spans="1:29" x14ac:dyDescent="0.3">
      <c r="A406" t="s">
        <v>406</v>
      </c>
      <c r="B406" s="4" cm="1">
        <f t="array" ref="B406">_xll.SNL.Clients.Office.Excel.Functions.SPG(A406, "SP_TOTAL_REV", "CY2023")</f>
        <v>18795316</v>
      </c>
      <c r="C406" s="4">
        <f>_xll.SNL.Clients.Office.Excel.Functions.SPG(A406,"IQ_AVG_DILUT_SHARES_OUT","CY2023")</f>
        <v>167431000</v>
      </c>
      <c r="D406" s="5">
        <f>_xll.SNL.Clients.Office.Excel.Functions.SPG(A406, "IQ_DILUT_EPS_NORM", "CY2023")</f>
        <v>11.917999999999999</v>
      </c>
      <c r="E406">
        <f t="shared" si="74"/>
        <v>1995442.6579999998</v>
      </c>
      <c r="F406">
        <f t="shared" si="75"/>
        <v>0.10616701831456304</v>
      </c>
      <c r="G406" s="5">
        <f>_xll.SNL.Clients.Office.Excel.Functions.SPG(A406, "SP_MARKETCAP", "12/30/2023")</f>
        <v>19110.525107000001</v>
      </c>
      <c r="H406">
        <f t="shared" si="79"/>
        <v>4.5483051726274515E-4</v>
      </c>
      <c r="I406">
        <f t="shared" si="80"/>
        <v>5.4206701047373965E-3</v>
      </c>
      <c r="K406" t="s">
        <v>406</v>
      </c>
      <c r="L406" s="4" cm="1">
        <f t="array" ref="L406">_xll.SNL.Clients.Office.Excel.Functions.SPG(K406, "SP_TOTAL_REV", "CY2023")</f>
        <v>18795316</v>
      </c>
      <c r="M406" s="4">
        <f>_xll.SNL.Clients.Office.Excel.Functions.SPG(K406,"IQ_AVG_DILUT_SHARES_OUT","CY2023")</f>
        <v>167431000</v>
      </c>
      <c r="N406" s="5">
        <f>_xll.SNL.Clients.Office.Excel.Functions.SPG(K406, "IQ_DILUT_EPS_NORM", "CY2023")</f>
        <v>11.917999999999999</v>
      </c>
      <c r="O406">
        <f t="shared" si="76"/>
        <v>1995442.6579999998</v>
      </c>
      <c r="P406">
        <f t="shared" si="77"/>
        <v>0.10616701831456304</v>
      </c>
      <c r="Q406" s="5">
        <f>_xll.SNL.Clients.Office.Excel.Functions.SPG(K406, "SP_MARKETCAP", "12/31/2022")</f>
        <v>17153.326659300001</v>
      </c>
      <c r="R406">
        <f t="shared" si="81"/>
        <v>5.090798637766849E-4</v>
      </c>
      <c r="S406">
        <f t="shared" si="82"/>
        <v>6.0672138164905298E-3</v>
      </c>
      <c r="U406" t="s">
        <v>406</v>
      </c>
      <c r="V406" s="4" cm="1">
        <f t="array" ref="V406">_xll.SNL.Clients.Office.Excel.Functions.SPG(U406, "SP_TOTAL_REV", "CY2021")</f>
        <v>18408850</v>
      </c>
      <c r="W406" s="4">
        <f>_xll.SNL.Clients.Office.Excel.Functions.SPG(U406,"IQ_AVG_DILUT_SHARES_OUT","CY2021")</f>
        <v>206615000</v>
      </c>
      <c r="X406" s="5">
        <f>_xll.SNL.Clients.Office.Excel.Functions.SPG(U406, "IQ_DILUT_EPS_NORM", "CY2021")</f>
        <v>12.574</v>
      </c>
      <c r="Y406">
        <f t="shared" si="83"/>
        <v>2597977.0099999998</v>
      </c>
      <c r="Z406">
        <f t="shared" si="84"/>
        <v>0.14112652392735014</v>
      </c>
      <c r="AA406" s="5">
        <f>_xll.SNL.Clients.Office.Excel.Functions.SPG(U406, "SP_MARKETCAP", "12/31/2021")</f>
        <v>12317.867597820001</v>
      </c>
      <c r="AB406">
        <f t="shared" si="78"/>
        <v>2.9030141874329023E-4</v>
      </c>
      <c r="AC406">
        <f t="shared" si="85"/>
        <v>3.6502500392781314E-3</v>
      </c>
    </row>
    <row r="407" spans="1:29" x14ac:dyDescent="0.3">
      <c r="A407" t="s">
        <v>407</v>
      </c>
      <c r="B407" s="4" cm="1">
        <f t="array" ref="B407">_xll.SNL.Clients.Office.Excel.Functions.SPG(A407, "SP_TOTAL_REV", "CY2023")</f>
        <v>4780499</v>
      </c>
      <c r="C407" s="4">
        <f>_xll.SNL.Clients.Office.Excel.Functions.SPG(A407,"IQ_AVG_DILUT_SHARES_OUT","CY2023")</f>
        <v>99804426</v>
      </c>
      <c r="D407" s="5">
        <f>_xll.SNL.Clients.Office.Excel.Functions.SPG(A407, "IQ_DILUT_EPS_NORM", "CY2023")</f>
        <v>4.7130000000000001</v>
      </c>
      <c r="E407">
        <f t="shared" si="74"/>
        <v>470378.25973800005</v>
      </c>
      <c r="F407">
        <f t="shared" si="75"/>
        <v>9.8395221866587584E-2</v>
      </c>
      <c r="G407" s="5">
        <f>_xll.SNL.Clients.Office.Excel.Functions.SPG(A407, "SP_MARKETCAP", "12/30/2023")</f>
        <v>21721.215395849998</v>
      </c>
      <c r="H407">
        <f t="shared" si="79"/>
        <v>5.1696494883079916E-4</v>
      </c>
      <c r="I407">
        <f t="shared" si="80"/>
        <v>2.4364558038395567E-3</v>
      </c>
      <c r="K407" t="s">
        <v>407</v>
      </c>
      <c r="L407" s="4" cm="1">
        <f t="array" ref="L407">_xll.SNL.Clients.Office.Excel.Functions.SPG(K407, "SP_TOTAL_REV", "CY2023")</f>
        <v>4780499</v>
      </c>
      <c r="M407" s="4">
        <f>_xll.SNL.Clients.Office.Excel.Functions.SPG(K407,"IQ_AVG_DILUT_SHARES_OUT","CY2023")</f>
        <v>99804426</v>
      </c>
      <c r="N407" s="5">
        <f>_xll.SNL.Clients.Office.Excel.Functions.SPG(K407, "IQ_DILUT_EPS_NORM", "CY2023")</f>
        <v>4.7130000000000001</v>
      </c>
      <c r="O407">
        <f t="shared" si="76"/>
        <v>470378.25973800005</v>
      </c>
      <c r="P407">
        <f t="shared" si="77"/>
        <v>9.8395221866587584E-2</v>
      </c>
      <c r="Q407" s="5">
        <f>_xll.SNL.Clients.Office.Excel.Functions.SPG(K407, "SP_MARKETCAP", "12/31/2022")</f>
        <v>18436.30118957</v>
      </c>
      <c r="R407">
        <f t="shared" si="81"/>
        <v>5.4715623881876449E-4</v>
      </c>
      <c r="S407">
        <f t="shared" si="82"/>
        <v>2.5787473535528369E-3</v>
      </c>
      <c r="U407" t="s">
        <v>407</v>
      </c>
      <c r="V407" s="4" cm="1">
        <f t="array" ref="V407">_xll.SNL.Clients.Office.Excel.Functions.SPG(U407, "SP_TOTAL_REV", "CY2021")</f>
        <v>4247909</v>
      </c>
      <c r="W407" s="4">
        <f>_xll.SNL.Clients.Office.Excel.Functions.SPG(U407,"IQ_AVG_DILUT_SHARES_OUT","CY2021")</f>
        <v>94636250</v>
      </c>
      <c r="X407" s="5">
        <f>_xll.SNL.Clients.Office.Excel.Functions.SPG(U407, "IQ_DILUT_EPS_NORM", "CY2021")</f>
        <v>3.93</v>
      </c>
      <c r="Y407">
        <f t="shared" si="83"/>
        <v>371920.46250000002</v>
      </c>
      <c r="Z407">
        <f t="shared" si="84"/>
        <v>8.7553773515393105E-2</v>
      </c>
      <c r="AA407" s="5">
        <f>_xll.SNL.Clients.Office.Excel.Functions.SPG(U407, "SP_MARKETCAP", "12/31/2021")</f>
        <v>24346.598916819999</v>
      </c>
      <c r="AB407">
        <f t="shared" si="78"/>
        <v>5.7378861649540354E-4</v>
      </c>
      <c r="AC407">
        <f t="shared" si="85"/>
        <v>2.2549892628269362E-3</v>
      </c>
    </row>
    <row r="408" spans="1:29" x14ac:dyDescent="0.3">
      <c r="A408" t="s">
        <v>408</v>
      </c>
      <c r="B408" s="4" cm="1">
        <f t="array" ref="B408">_xll.SNL.Clients.Office.Excel.Functions.SPG(A408, "SP_TOTAL_REV", "CY2023")</f>
        <v>20498000</v>
      </c>
      <c r="C408" s="4">
        <f>_xll.SNL.Clients.Office.Excel.Functions.SPG(A408,"IQ_AVG_DILUT_SHARES_OUT","CY2023")</f>
        <v>383700000</v>
      </c>
      <c r="D408" s="5">
        <f>_xll.SNL.Clients.Office.Excel.Functions.SPG(A408, "IQ_DILUT_EPS_NORM", "CY2023")</f>
        <v>6.38</v>
      </c>
      <c r="E408">
        <f t="shared" si="74"/>
        <v>2448006</v>
      </c>
      <c r="F408">
        <f t="shared" si="75"/>
        <v>0.11942657820275149</v>
      </c>
      <c r="G408" s="5">
        <f>_xll.SNL.Clients.Office.Excel.Functions.SPG(A408, "SP_MARKETCAP", "12/30/2023")</f>
        <v>113776.28199252</v>
      </c>
      <c r="H408">
        <f t="shared" si="79"/>
        <v>2.7078756288038729E-3</v>
      </c>
      <c r="I408">
        <f t="shared" si="80"/>
        <v>1.7276246511768709E-2</v>
      </c>
      <c r="K408" t="s">
        <v>408</v>
      </c>
      <c r="L408" s="4" cm="1">
        <f t="array" ref="L408">_xll.SNL.Clients.Office.Excel.Functions.SPG(K408, "SP_TOTAL_REV", "CY2023")</f>
        <v>20498000</v>
      </c>
      <c r="M408" s="4">
        <f>_xll.SNL.Clients.Office.Excel.Functions.SPG(K408,"IQ_AVG_DILUT_SHARES_OUT","CY2023")</f>
        <v>383700000</v>
      </c>
      <c r="N408" s="5">
        <f>_xll.SNL.Clients.Office.Excel.Functions.SPG(K408, "IQ_DILUT_EPS_NORM", "CY2023")</f>
        <v>6.38</v>
      </c>
      <c r="O408">
        <f t="shared" si="76"/>
        <v>2448006</v>
      </c>
      <c r="P408">
        <f t="shared" si="77"/>
        <v>0.11942657820275149</v>
      </c>
      <c r="Q408" s="5">
        <f>_xll.SNL.Clients.Office.Excel.Functions.SPG(K408, "SP_MARKETCAP", "12/31/2022")</f>
        <v>92522.333341210004</v>
      </c>
      <c r="R408">
        <f t="shared" si="81"/>
        <v>2.7458963377291826E-3</v>
      </c>
      <c r="S408">
        <f t="shared" si="82"/>
        <v>1.7518818634712184E-2</v>
      </c>
      <c r="U408" t="s">
        <v>408</v>
      </c>
      <c r="V408" s="4" cm="1">
        <f t="array" ref="V408">_xll.SNL.Clients.Office.Excel.Functions.SPG(U408, "SP_TOTAL_REV", "CY2021")</f>
        <v>17108000</v>
      </c>
      <c r="W408" s="4">
        <f>_xll.SNL.Clients.Office.Excel.Functions.SPG(U408,"IQ_AVG_DILUT_SHARES_OUT","CY2021")</f>
        <v>382300000</v>
      </c>
      <c r="X408" s="5">
        <f>_xll.SNL.Clients.Office.Excel.Functions.SPG(U408, "IQ_DILUT_EPS_NORM", "CY2021")</f>
        <v>5.5030000000000001</v>
      </c>
      <c r="Y408">
        <f t="shared" si="83"/>
        <v>2103796.9</v>
      </c>
      <c r="Z408">
        <f t="shared" si="84"/>
        <v>0.12297152794014496</v>
      </c>
      <c r="AA408" s="5">
        <f>_xll.SNL.Clients.Office.Excel.Functions.SPG(U408, "SP_MARKETCAP", "12/31/2021")</f>
        <v>100881.50956835999</v>
      </c>
      <c r="AB408">
        <f t="shared" si="78"/>
        <v>2.3775255838796899E-3</v>
      </c>
      <c r="AC408">
        <f t="shared" si="85"/>
        <v>1.3083523288089934E-2</v>
      </c>
    </row>
    <row r="409" spans="1:29" x14ac:dyDescent="0.3">
      <c r="A409" t="s">
        <v>409</v>
      </c>
      <c r="B409" s="4" cm="1">
        <f t="array" ref="B409">_xll.SNL.Clients.Office.Excel.Functions.SPG(A409, "SP_TOTAL_REV", "CY2023")</f>
        <v>9252753</v>
      </c>
      <c r="C409" s="4">
        <f>_xll.SNL.Clients.Office.Excel.Functions.SPG(A409,"IQ_AVG_DILUT_SHARES_OUT","CY2023")</f>
        <v>570725000</v>
      </c>
      <c r="D409" s="5">
        <f>_xll.SNL.Clients.Office.Excel.Functions.SPG(A409, "IQ_DILUT_EPS_NORM", "CY2023")</f>
        <v>0.94099999999999995</v>
      </c>
      <c r="E409">
        <f t="shared" si="74"/>
        <v>537052.22499999998</v>
      </c>
      <c r="F409">
        <f t="shared" si="75"/>
        <v>5.8042425319253632E-2</v>
      </c>
      <c r="G409" s="5">
        <f>_xll.SNL.Clients.Office.Excel.Functions.SPG(A409, "SP_MARKETCAP", "12/30/2023")</f>
        <v>15876.83660146</v>
      </c>
      <c r="H409">
        <f t="shared" si="79"/>
        <v>3.7786872749472777E-4</v>
      </c>
      <c r="I409">
        <f t="shared" si="80"/>
        <v>3.5557447257253882E-4</v>
      </c>
      <c r="K409" t="s">
        <v>409</v>
      </c>
      <c r="L409" s="4" cm="1">
        <f t="array" ref="L409">_xll.SNL.Clients.Office.Excel.Functions.SPG(K409, "SP_TOTAL_REV", "CY2023")</f>
        <v>9252753</v>
      </c>
      <c r="M409" s="4">
        <f>_xll.SNL.Clients.Office.Excel.Functions.SPG(K409,"IQ_AVG_DILUT_SHARES_OUT","CY2023")</f>
        <v>570725000</v>
      </c>
      <c r="N409" s="5">
        <f>_xll.SNL.Clients.Office.Excel.Functions.SPG(K409, "IQ_DILUT_EPS_NORM", "CY2023")</f>
        <v>0.94099999999999995</v>
      </c>
      <c r="O409">
        <f t="shared" si="76"/>
        <v>537052.22499999998</v>
      </c>
      <c r="P409">
        <f t="shared" si="77"/>
        <v>5.8042425319253632E-2</v>
      </c>
      <c r="Q409" s="5">
        <f>_xll.SNL.Clients.Office.Excel.Functions.SPG(K409, "SP_MARKETCAP", "12/31/2022")</f>
        <v>4344.9689405999998</v>
      </c>
      <c r="R409">
        <f t="shared" si="81"/>
        <v>1.2895085835699E-4</v>
      </c>
      <c r="S409">
        <f t="shared" si="82"/>
        <v>1.2134275771392758E-4</v>
      </c>
      <c r="U409" t="s">
        <v>409</v>
      </c>
      <c r="V409" s="4" cm="1">
        <f t="array" ref="V409">_xll.SNL.Clients.Office.Excel.Functions.SPG(U409, "SP_TOTAL_REV", "CY2021")</f>
        <v>4170015</v>
      </c>
      <c r="W409" s="4">
        <f>_xll.SNL.Clients.Office.Excel.Functions.SPG(U409,"IQ_AVG_DILUT_SHARES_OUT","CY2021")</f>
        <v>531110000</v>
      </c>
      <c r="X409" s="5">
        <f>_xll.SNL.Clients.Office.Excel.Functions.SPG(U409, "IQ_DILUT_EPS_NORM", "CY2021")</f>
        <v>0.158</v>
      </c>
      <c r="Y409">
        <f t="shared" si="83"/>
        <v>83915.38</v>
      </c>
      <c r="Z409">
        <f t="shared" si="84"/>
        <v>2.0123519939376718E-2</v>
      </c>
      <c r="AA409" s="5">
        <f>_xll.SNL.Clients.Office.Excel.Functions.SPG(U409, "SP_MARKETCAP", "12/31/2021")</f>
        <v>2244.7822010999998</v>
      </c>
      <c r="AB409">
        <f t="shared" si="78"/>
        <v>5.290391803402289E-5</v>
      </c>
      <c r="AC409">
        <f t="shared" si="85"/>
        <v>8.3588190493756162E-6</v>
      </c>
    </row>
    <row r="410" spans="1:29" x14ac:dyDescent="0.3">
      <c r="A410" t="s">
        <v>410</v>
      </c>
      <c r="B410" s="4" cm="1">
        <f t="array" ref="B410">_xll.SNL.Clients.Office.Excel.Functions.SPG(A410, "SP_TOTAL_REV", "CY2023")</f>
        <v>7662000</v>
      </c>
      <c r="C410" s="4">
        <f>_xll.SNL.Clients.Office.Excel.Functions.SPG(A410,"IQ_AVG_DILUT_SHARES_OUT","CY2023")</f>
        <v>423500000</v>
      </c>
      <c r="D410" s="5">
        <f>_xll.SNL.Clients.Office.Excel.Functions.SPG(A410, "IQ_DILUT_EPS_NORM", "CY2023")</f>
        <v>4.774</v>
      </c>
      <c r="E410">
        <f t="shared" si="74"/>
        <v>2021789</v>
      </c>
      <c r="F410">
        <f t="shared" si="75"/>
        <v>0.26387222657269643</v>
      </c>
      <c r="G410" s="5">
        <f>_xll.SNL.Clients.Office.Excel.Functions.SPG(A410, "SP_MARKETCAP", "12/30/2023")</f>
        <v>15803.188508400001</v>
      </c>
      <c r="H410">
        <f t="shared" si="79"/>
        <v>3.7611590280391778E-4</v>
      </c>
      <c r="I410">
        <f t="shared" si="80"/>
        <v>1.7955773199859035E-3</v>
      </c>
      <c r="K410" t="s">
        <v>410</v>
      </c>
      <c r="L410" s="4" cm="1">
        <f t="array" ref="L410">_xll.SNL.Clients.Office.Excel.Functions.SPG(K410, "SP_TOTAL_REV", "CY2023")</f>
        <v>7662000</v>
      </c>
      <c r="M410" s="4">
        <f>_xll.SNL.Clients.Office.Excel.Functions.SPG(K410,"IQ_AVG_DILUT_SHARES_OUT","CY2023")</f>
        <v>423500000</v>
      </c>
      <c r="N410" s="5">
        <f>_xll.SNL.Clients.Office.Excel.Functions.SPG(K410, "IQ_DILUT_EPS_NORM", "CY2023")</f>
        <v>4.774</v>
      </c>
      <c r="O410">
        <f t="shared" si="76"/>
        <v>2021789</v>
      </c>
      <c r="P410">
        <f t="shared" si="77"/>
        <v>0.26387222657269643</v>
      </c>
      <c r="Q410" s="5">
        <f>_xll.SNL.Clients.Office.Excel.Functions.SPG(K410, "SP_MARKETCAP", "12/31/2022")</f>
        <v>14804.791324080001</v>
      </c>
      <c r="R410">
        <f t="shared" si="81"/>
        <v>4.393795617725652E-4</v>
      </c>
      <c r="S410">
        <f t="shared" si="82"/>
        <v>2.0975980279022261E-3</v>
      </c>
      <c r="U410" t="s">
        <v>410</v>
      </c>
      <c r="V410" s="4" cm="1">
        <f t="array" ref="V410">_xll.SNL.Clients.Office.Excel.Functions.SPG(U410, "SP_TOTAL_REV", "CY2021")</f>
        <v>9466000</v>
      </c>
      <c r="W410" s="4">
        <f>_xll.SNL.Clients.Office.Excel.Functions.SPG(U410,"IQ_AVG_DILUT_SHARES_OUT","CY2021")</f>
        <v>569300000</v>
      </c>
      <c r="X410" s="5">
        <f>_xll.SNL.Clients.Office.Excel.Functions.SPG(U410, "IQ_DILUT_EPS_NORM", "CY2021")</f>
        <v>6.1559999999999997</v>
      </c>
      <c r="Y410">
        <f t="shared" si="83"/>
        <v>3504610.8</v>
      </c>
      <c r="Z410">
        <f t="shared" si="84"/>
        <v>0.37023143883372067</v>
      </c>
      <c r="AA410" s="5">
        <f>_xll.SNL.Clients.Office.Excel.Functions.SPG(U410, "SP_MARKETCAP", "12/31/2021")</f>
        <v>25387.35322103</v>
      </c>
      <c r="AB410">
        <f t="shared" si="78"/>
        <v>5.9831659982336372E-4</v>
      </c>
      <c r="AC410">
        <f t="shared" si="85"/>
        <v>3.6832369885126267E-3</v>
      </c>
    </row>
    <row r="411" spans="1:29" x14ac:dyDescent="0.3">
      <c r="A411" t="s">
        <v>411</v>
      </c>
      <c r="B411" s="4" cm="1">
        <f t="array" ref="B411">_xll.SNL.Clients.Office.Excel.Functions.SPG(A411, "SP_TOTAL_REV", "CY2023")</f>
        <v>6120111</v>
      </c>
      <c r="C411" s="4">
        <f>_xll.SNL.Clients.Office.Excel.Functions.SPG(A411,"IQ_AVG_DILUT_SHARES_OUT","CY2023")</f>
        <v>155218000</v>
      </c>
      <c r="D411" s="5">
        <f>_xll.SNL.Clients.Office.Excel.Functions.SPG(A411, "IQ_DILUT_EPS_NORM", "CY2023")</f>
        <v>5.9690000000000003</v>
      </c>
      <c r="E411">
        <f t="shared" si="74"/>
        <v>926496.24199999997</v>
      </c>
      <c r="F411">
        <f t="shared" si="75"/>
        <v>0.1513855291186712</v>
      </c>
      <c r="G411" s="5">
        <f>_xll.SNL.Clients.Office.Excel.Functions.SPG(A411, "SP_MARKETCAP", "12/30/2023")</f>
        <v>78259.563350979995</v>
      </c>
      <c r="H411">
        <f t="shared" si="79"/>
        <v>1.8625776884929634E-3</v>
      </c>
      <c r="I411">
        <f t="shared" si="80"/>
        <v>1.1117726222614499E-2</v>
      </c>
      <c r="K411" t="s">
        <v>411</v>
      </c>
      <c r="L411" s="4" cm="1">
        <f t="array" ref="L411">_xll.SNL.Clients.Office.Excel.Functions.SPG(K411, "SP_TOTAL_REV", "CY2023")</f>
        <v>6120111</v>
      </c>
      <c r="M411" s="4">
        <f>_xll.SNL.Clients.Office.Excel.Functions.SPG(K411,"IQ_AVG_DILUT_SHARES_OUT","CY2023")</f>
        <v>155218000</v>
      </c>
      <c r="N411" s="5">
        <f>_xll.SNL.Clients.Office.Excel.Functions.SPG(K411, "IQ_DILUT_EPS_NORM", "CY2023")</f>
        <v>5.9690000000000003</v>
      </c>
      <c r="O411">
        <f t="shared" si="76"/>
        <v>926496.24199999997</v>
      </c>
      <c r="P411">
        <f t="shared" si="77"/>
        <v>0.1513855291186712</v>
      </c>
      <c r="Q411" s="5">
        <f>_xll.SNL.Clients.Office.Excel.Functions.SPG(K411, "SP_MARKETCAP", "12/31/2022")</f>
        <v>48665.285872259999</v>
      </c>
      <c r="R411">
        <f t="shared" si="81"/>
        <v>1.444298099988178E-3</v>
      </c>
      <c r="S411">
        <f t="shared" si="82"/>
        <v>8.6210153588294341E-3</v>
      </c>
      <c r="U411" t="s">
        <v>411</v>
      </c>
      <c r="V411" s="4" cm="1">
        <f t="array" ref="V411">_xll.SNL.Clients.Office.Excel.Functions.SPG(U411, "SP_TOTAL_REV", "CY2021")</f>
        <v>4504127</v>
      </c>
      <c r="W411" s="4">
        <f>_xll.SNL.Clients.Office.Excel.Functions.SPG(U411,"IQ_AVG_DILUT_SHARES_OUT","CY2021")</f>
        <v>157339000</v>
      </c>
      <c r="X411" s="5">
        <f>_xll.SNL.Clients.Office.Excel.Functions.SPG(U411, "IQ_DILUT_EPS_NORM", "CY2021")</f>
        <v>3.9830000000000001</v>
      </c>
      <c r="Y411">
        <f t="shared" si="83"/>
        <v>626681.23699999996</v>
      </c>
      <c r="Z411">
        <f t="shared" si="84"/>
        <v>0.13913489495300643</v>
      </c>
      <c r="AA411" s="5">
        <f>_xll.SNL.Clients.Office.Excel.Functions.SPG(U411, "SP_MARKETCAP", "12/31/2021")</f>
        <v>56542.026815999998</v>
      </c>
      <c r="AB411">
        <f t="shared" si="78"/>
        <v>1.3325545572685754E-3</v>
      </c>
      <c r="AC411">
        <f t="shared" si="85"/>
        <v>5.3075648016007362E-3</v>
      </c>
    </row>
    <row r="412" spans="1:29" x14ac:dyDescent="0.3">
      <c r="A412" t="s">
        <v>412</v>
      </c>
      <c r="B412" s="4" cm="1">
        <f t="array" ref="B412">_xll.SNL.Clients.Office.Excel.Functions.SPG(A412, "SP_TOTAL_REV", "CY2023")</f>
        <v>77512159</v>
      </c>
      <c r="C412" s="4">
        <f>_xll.SNL.Clients.Office.Excel.Functions.SPG(A412,"IQ_AVG_DILUT_SHARES_OUT","CY2023")</f>
        <v>507837214</v>
      </c>
      <c r="D412" s="5">
        <f>_xll.SNL.Clients.Office.Excel.Functions.SPG(A412, "IQ_DILUT_EPS_NORM", "CY2023")</f>
        <v>3.843</v>
      </c>
      <c r="E412">
        <f t="shared" si="74"/>
        <v>1951618.413402</v>
      </c>
      <c r="F412">
        <f t="shared" si="75"/>
        <v>2.5178222856648853E-2</v>
      </c>
      <c r="G412" s="5">
        <f>_xll.SNL.Clients.Office.Excel.Functions.SPG(A412, "SP_MARKETCAP", "12/30/2023")</f>
        <v>36884.7221661</v>
      </c>
      <c r="H412">
        <f t="shared" si="79"/>
        <v>8.7785642560679351E-4</v>
      </c>
      <c r="I412">
        <f t="shared" si="80"/>
        <v>3.3736022436069075E-3</v>
      </c>
      <c r="K412" t="s">
        <v>412</v>
      </c>
      <c r="L412" s="4" cm="1">
        <f t="array" ref="L412">_xll.SNL.Clients.Office.Excel.Functions.SPG(K412, "SP_TOTAL_REV", "CY2023")</f>
        <v>77512159</v>
      </c>
      <c r="M412" s="4">
        <f>_xll.SNL.Clients.Office.Excel.Functions.SPG(K412,"IQ_AVG_DILUT_SHARES_OUT","CY2023")</f>
        <v>507837214</v>
      </c>
      <c r="N412" s="5">
        <f>_xll.SNL.Clients.Office.Excel.Functions.SPG(K412, "IQ_DILUT_EPS_NORM", "CY2023")</f>
        <v>3.843</v>
      </c>
      <c r="O412">
        <f t="shared" si="76"/>
        <v>1951618.413402</v>
      </c>
      <c r="P412">
        <f t="shared" si="77"/>
        <v>2.5178222856648853E-2</v>
      </c>
      <c r="Q412" s="5">
        <f>_xll.SNL.Clients.Office.Excel.Functions.SPG(K412, "SP_MARKETCAP", "12/31/2022")</f>
        <v>38742.377362699997</v>
      </c>
      <c r="R412">
        <f t="shared" si="81"/>
        <v>1.1498040340469503E-3</v>
      </c>
      <c r="S412">
        <f t="shared" si="82"/>
        <v>4.4186969028424299E-3</v>
      </c>
      <c r="U412" t="s">
        <v>412</v>
      </c>
      <c r="V412" s="4" cm="1">
        <f t="array" ref="V412">_xll.SNL.Clients.Office.Excel.Functions.SPG(U412, "SP_TOTAL_REV", "CY2021")</f>
        <v>60738231</v>
      </c>
      <c r="W412" s="4">
        <f>_xll.SNL.Clients.Office.Excel.Functions.SPG(U412,"IQ_AVG_DILUT_SHARES_OUT","CY2021")</f>
        <v>515274154</v>
      </c>
      <c r="X412" s="5">
        <f>_xll.SNL.Clients.Office.Excel.Functions.SPG(U412, "IQ_DILUT_EPS_NORM", "CY2021")</f>
        <v>1.454</v>
      </c>
      <c r="Y412">
        <f t="shared" si="83"/>
        <v>749208.61991600005</v>
      </c>
      <c r="Z412">
        <f t="shared" si="84"/>
        <v>1.2335041827543513E-2</v>
      </c>
      <c r="AA412" s="5">
        <f>_xll.SNL.Clients.Office.Excel.Functions.SPG(U412, "SP_MARKETCAP", "12/31/2021")</f>
        <v>40269.15574265</v>
      </c>
      <c r="AB412">
        <f t="shared" si="78"/>
        <v>9.4904357031364115E-4</v>
      </c>
      <c r="AC412">
        <f t="shared" si="85"/>
        <v>1.3799093512360341E-3</v>
      </c>
    </row>
    <row r="413" spans="1:29" x14ac:dyDescent="0.3">
      <c r="A413" t="s">
        <v>413</v>
      </c>
      <c r="B413" s="4" cm="1">
        <f t="array" ref="B413">_xll.SNL.Clients.Office.Excel.Functions.SPG(A413, "SP_TOTAL_REV", "CY2023")</f>
        <v>78558000</v>
      </c>
      <c r="C413" s="4">
        <f>_xll.SNL.Clients.Office.Excel.Functions.SPG(A413,"IQ_AVG_DILUT_SHARES_OUT","CY2023")</f>
        <v>1200286264</v>
      </c>
      <c r="D413" s="5">
        <f>_xll.SNL.Clients.Office.Excel.Functions.SPG(A413, "IQ_DILUT_EPS_NORM", "CY2023")</f>
        <v>6.4930000000000003</v>
      </c>
      <c r="E413">
        <f t="shared" si="74"/>
        <v>7793458.7121520005</v>
      </c>
      <c r="F413">
        <f t="shared" si="75"/>
        <v>9.9206429799027482E-2</v>
      </c>
      <c r="G413" s="5">
        <f>_xll.SNL.Clients.Office.Excel.Functions.SPG(A413, "SP_MARKETCAP", "12/30/2023")</f>
        <v>185417.6463698</v>
      </c>
      <c r="H413">
        <f t="shared" si="79"/>
        <v>4.412940174894844E-3</v>
      </c>
      <c r="I413">
        <f t="shared" si="80"/>
        <v>2.8653220555592225E-2</v>
      </c>
      <c r="K413" t="s">
        <v>413</v>
      </c>
      <c r="L413" s="4" cm="1">
        <f t="array" ref="L413">_xll.SNL.Clients.Office.Excel.Functions.SPG(K413, "SP_TOTAL_REV", "CY2023")</f>
        <v>78558000</v>
      </c>
      <c r="M413" s="4">
        <f>_xll.SNL.Clients.Office.Excel.Functions.SPG(K413,"IQ_AVG_DILUT_SHARES_OUT","CY2023")</f>
        <v>1200286264</v>
      </c>
      <c r="N413" s="5">
        <f>_xll.SNL.Clients.Office.Excel.Functions.SPG(K413, "IQ_DILUT_EPS_NORM", "CY2023")</f>
        <v>6.4930000000000003</v>
      </c>
      <c r="O413">
        <f t="shared" si="76"/>
        <v>7793458.7121520005</v>
      </c>
      <c r="P413">
        <f t="shared" si="77"/>
        <v>9.9206429799027482E-2</v>
      </c>
      <c r="Q413" s="5">
        <f>_xll.SNL.Clients.Office.Excel.Functions.SPG(K413, "SP_MARKETCAP", "12/31/2022")</f>
        <v>174181.57876</v>
      </c>
      <c r="R413">
        <f t="shared" si="81"/>
        <v>5.1693957766188363E-3</v>
      </c>
      <c r="S413">
        <f t="shared" si="82"/>
        <v>3.3564886777586109E-2</v>
      </c>
      <c r="U413" t="s">
        <v>413</v>
      </c>
      <c r="V413" s="4" cm="1">
        <f t="array" ref="V413">_xll.SNL.Clients.Office.Excel.Functions.SPG(U413, "SP_TOTAL_REV", "CY2021")</f>
        <v>80118000</v>
      </c>
      <c r="W413" s="4">
        <f>_xll.SNL.Clients.Office.Excel.Functions.SPG(U413,"IQ_AVG_DILUT_SHARES_OUT","CY2021")</f>
        <v>1254769926</v>
      </c>
      <c r="X413" s="5">
        <f>_xll.SNL.Clients.Office.Excel.Functions.SPG(U413, "IQ_DILUT_EPS_NORM", "CY2021")</f>
        <v>3.3079999999999998</v>
      </c>
      <c r="Y413">
        <f t="shared" si="83"/>
        <v>4150778.9152079998</v>
      </c>
      <c r="Z413">
        <f t="shared" si="84"/>
        <v>5.180831916932524E-2</v>
      </c>
      <c r="AA413" s="5">
        <f>_xll.SNL.Clients.Office.Excel.Functions.SPG(U413, "SP_MARKETCAP", "12/31/2021")</f>
        <v>144865.22829341999</v>
      </c>
      <c r="AB413">
        <f t="shared" si="78"/>
        <v>3.414112139636345E-3</v>
      </c>
      <c r="AC413">
        <f t="shared" si="85"/>
        <v>1.1293882957917029E-2</v>
      </c>
    </row>
    <row r="414" spans="1:29" x14ac:dyDescent="0.3">
      <c r="A414" t="s">
        <v>414</v>
      </c>
      <c r="B414" s="4" cm="1">
        <f t="array" ref="B414">_xll.SNL.Clients.Office.Excel.Functions.SPG(A414, "SP_TOTAL_REV", "CY2023")</f>
        <v>6460500</v>
      </c>
      <c r="C414" s="4">
        <f>_xll.SNL.Clients.Office.Excel.Functions.SPG(A414,"IQ_AVG_DILUT_SHARES_OUT","CY2023")</f>
        <v>224800000</v>
      </c>
      <c r="D414" s="5">
        <f>_xll.SNL.Clients.Office.Excel.Functions.SPG(A414, "IQ_DILUT_EPS_NORM", "CY2023")</f>
        <v>6.4850000000000003</v>
      </c>
      <c r="E414">
        <f t="shared" si="74"/>
        <v>1457828</v>
      </c>
      <c r="F414">
        <f t="shared" si="75"/>
        <v>0.22565250367618606</v>
      </c>
      <c r="G414" s="5">
        <f>_xll.SNL.Clients.Office.Excel.Functions.SPG(A414, "SP_MARKETCAP", "12/30/2023")</f>
        <v>24065.519191560001</v>
      </c>
      <c r="H414">
        <f t="shared" si="79"/>
        <v>5.7275938158729296E-4</v>
      </c>
      <c r="I414">
        <f t="shared" si="80"/>
        <v>3.7143445895935949E-3</v>
      </c>
      <c r="K414" t="s">
        <v>414</v>
      </c>
      <c r="L414" s="4" cm="1">
        <f t="array" ref="L414">_xll.SNL.Clients.Office.Excel.Functions.SPG(K414, "SP_TOTAL_REV", "CY2023")</f>
        <v>6460500</v>
      </c>
      <c r="M414" s="4">
        <f>_xll.SNL.Clients.Office.Excel.Functions.SPG(K414,"IQ_AVG_DILUT_SHARES_OUT","CY2023")</f>
        <v>224800000</v>
      </c>
      <c r="N414" s="5">
        <f>_xll.SNL.Clients.Office.Excel.Functions.SPG(K414, "IQ_DILUT_EPS_NORM", "CY2023")</f>
        <v>6.4850000000000003</v>
      </c>
      <c r="O414">
        <f t="shared" si="76"/>
        <v>1457828</v>
      </c>
      <c r="P414">
        <f t="shared" si="77"/>
        <v>0.22565250367618606</v>
      </c>
      <c r="Q414" s="5">
        <f>_xll.SNL.Clients.Office.Excel.Functions.SPG(K414, "SP_MARKETCAP", "12/31/2022")</f>
        <v>24371.072396719999</v>
      </c>
      <c r="R414">
        <f t="shared" si="81"/>
        <v>7.2328956722148994E-4</v>
      </c>
      <c r="S414">
        <f t="shared" si="82"/>
        <v>4.6905328434313628E-3</v>
      </c>
      <c r="U414" t="s">
        <v>414</v>
      </c>
      <c r="V414" s="4" cm="1">
        <f t="array" ref="V414">_xll.SNL.Clients.Office.Excel.Functions.SPG(U414, "SP_TOTAL_REV", "CY2021")</f>
        <v>7671900</v>
      </c>
      <c r="W414" s="4">
        <f>_xll.SNL.Clients.Office.Excel.Functions.SPG(U414,"IQ_AVG_DILUT_SHARES_OUT","CY2021")</f>
        <v>228800000</v>
      </c>
      <c r="X414" s="5">
        <f>_xll.SNL.Clients.Office.Excel.Functions.SPG(U414, "IQ_DILUT_EPS_NORM", "CY2021")</f>
        <v>10.930999999999999</v>
      </c>
      <c r="Y414">
        <f t="shared" si="83"/>
        <v>2501012.7999999998</v>
      </c>
      <c r="Z414">
        <f t="shared" si="84"/>
        <v>0.32599653280152241</v>
      </c>
      <c r="AA414" s="5">
        <f>_xll.SNL.Clients.Office.Excel.Functions.SPG(U414, "SP_MARKETCAP", "12/31/2021")</f>
        <v>45069.579668480001</v>
      </c>
      <c r="AB414">
        <f t="shared" si="78"/>
        <v>1.0621775900756588E-3</v>
      </c>
      <c r="AC414">
        <f t="shared" si="85"/>
        <v>1.1610663237117026E-2</v>
      </c>
    </row>
    <row r="415" spans="1:29" x14ac:dyDescent="0.3">
      <c r="A415" t="s">
        <v>415</v>
      </c>
      <c r="B415" s="4" cm="1">
        <f t="array" ref="B415">_xll.SNL.Clients.Office.Excel.Functions.SPG(A415, "SP_TOTAL_REV", "CY2023")</f>
        <v>5396400</v>
      </c>
      <c r="C415" s="4">
        <f>_xll.SNL.Clients.Office.Excel.Functions.SPG(A415,"IQ_AVG_DILUT_SHARES_OUT","CY2023")</f>
        <v>169374873</v>
      </c>
      <c r="D415" s="5">
        <f>_xll.SNL.Clients.Office.Excel.Functions.SPG(A415, "IQ_DILUT_EPS_NORM", "CY2023")</f>
        <v>-2.3439999999999999</v>
      </c>
      <c r="E415">
        <f t="shared" si="74"/>
        <v>-397014.70231199998</v>
      </c>
      <c r="F415">
        <f t="shared" si="75"/>
        <v>-7.3570288027573941E-2</v>
      </c>
      <c r="G415" s="5">
        <f>_xll.SNL.Clients.Office.Excel.Functions.SPG(A415, "SP_MARKETCAP", "12/30/2023")</f>
        <v>27372.383439000001</v>
      </c>
      <c r="H415">
        <f t="shared" si="79"/>
        <v>6.5146275408802499E-4</v>
      </c>
      <c r="I415">
        <f t="shared" si="80"/>
        <v>-1.5270286955823304E-3</v>
      </c>
      <c r="K415" t="s">
        <v>415</v>
      </c>
      <c r="L415" s="4" cm="1">
        <f t="array" ref="L415">_xll.SNL.Clients.Office.Excel.Functions.SPG(K415, "SP_TOTAL_REV", "CY2023")</f>
        <v>5396400</v>
      </c>
      <c r="M415" s="4">
        <f>_xll.SNL.Clients.Office.Excel.Functions.SPG(K415,"IQ_AVG_DILUT_SHARES_OUT","CY2023")</f>
        <v>169374873</v>
      </c>
      <c r="N415" s="5">
        <f>_xll.SNL.Clients.Office.Excel.Functions.SPG(K415, "IQ_DILUT_EPS_NORM", "CY2023")</f>
        <v>-2.3439999999999999</v>
      </c>
      <c r="O415">
        <f t="shared" si="76"/>
        <v>-397014.70231199998</v>
      </c>
      <c r="P415">
        <f t="shared" si="77"/>
        <v>-7.3570288027573941E-2</v>
      </c>
      <c r="Q415" s="5">
        <f>_xll.SNL.Clients.Office.Excel.Functions.SPG(K415, "SP_MARKETCAP", "12/31/2022")</f>
        <v>17475.005590379998</v>
      </c>
      <c r="R415">
        <f t="shared" si="81"/>
        <v>5.1862671551376467E-4</v>
      </c>
      <c r="S415">
        <f t="shared" si="82"/>
        <v>-1.2156610211642644E-3</v>
      </c>
      <c r="U415" t="s">
        <v>415</v>
      </c>
      <c r="V415" s="4" cm="1">
        <f t="array" ref="V415">_xll.SNL.Clients.Office.Excel.Functions.SPG(U415, "SP_TOTAL_REV", "CY2021")</f>
        <v>3414231</v>
      </c>
      <c r="W415" s="4">
        <f>_xll.SNL.Clients.Office.Excel.Functions.SPG(U415,"IQ_AVG_DILUT_SHARES_OUT","CY2021")</f>
        <v>116664250</v>
      </c>
      <c r="X415" s="5">
        <f>_xll.SNL.Clients.Office.Excel.Functions.SPG(U415, "IQ_DILUT_EPS_NORM", "CY2021")</f>
        <v>3.5870000000000002</v>
      </c>
      <c r="Y415">
        <f t="shared" si="83"/>
        <v>418474.66475</v>
      </c>
      <c r="Z415">
        <f t="shared" si="84"/>
        <v>0.12256776555247727</v>
      </c>
      <c r="AA415" s="5">
        <f>_xll.SNL.Clients.Office.Excel.Functions.SPG(U415, "SP_MARKETCAP", "12/31/2021")</f>
        <v>20491.077967919999</v>
      </c>
      <c r="AB415">
        <f t="shared" si="78"/>
        <v>4.8292360332882007E-4</v>
      </c>
      <c r="AC415">
        <f t="shared" si="85"/>
        <v>1.7322469651404777E-3</v>
      </c>
    </row>
    <row r="416" spans="1:29" x14ac:dyDescent="0.3">
      <c r="A416" t="s">
        <v>416</v>
      </c>
      <c r="B416" s="4" cm="1">
        <f t="array" ref="B416">_xll.SNL.Clients.Office.Excel.Functions.SPG(A416, "SP_TOTAL_REV", "CY2023")</f>
        <v>6726700</v>
      </c>
      <c r="C416" s="4">
        <f>_xll.SNL.Clients.Office.Excel.Functions.SPG(A416,"IQ_AVG_DILUT_SHARES_OUT","CY2023")</f>
        <v>234800000</v>
      </c>
      <c r="D416" s="5">
        <f>_xll.SNL.Clients.Office.Excel.Functions.SPG(A416, "IQ_DILUT_EPS_NORM", "CY2023")</f>
        <v>3.2749999999999999</v>
      </c>
      <c r="E416">
        <f t="shared" si="74"/>
        <v>768970</v>
      </c>
      <c r="F416">
        <f t="shared" si="75"/>
        <v>0.11431608366658243</v>
      </c>
      <c r="G416" s="5">
        <f>_xll.SNL.Clients.Office.Excel.Functions.SPG(A416, "SP_MARKETCAP", "12/30/2023")</f>
        <v>8436.3522306300001</v>
      </c>
      <c r="H416">
        <f t="shared" si="79"/>
        <v>2.0078519179269754E-4</v>
      </c>
      <c r="I416">
        <f t="shared" si="80"/>
        <v>6.5757150312108442E-4</v>
      </c>
      <c r="K416" t="s">
        <v>416</v>
      </c>
      <c r="L416" s="4" cm="1">
        <f t="array" ref="L416">_xll.SNL.Clients.Office.Excel.Functions.SPG(K416, "SP_TOTAL_REV", "CY2023")</f>
        <v>6726700</v>
      </c>
      <c r="M416" s="4">
        <f>_xll.SNL.Clients.Office.Excel.Functions.SPG(K416,"IQ_AVG_DILUT_SHARES_OUT","CY2023")</f>
        <v>234800000</v>
      </c>
      <c r="N416" s="5">
        <f>_xll.SNL.Clients.Office.Excel.Functions.SPG(K416, "IQ_DILUT_EPS_NORM", "CY2023")</f>
        <v>3.2749999999999999</v>
      </c>
      <c r="O416">
        <f t="shared" si="76"/>
        <v>768970</v>
      </c>
      <c r="P416">
        <f t="shared" si="77"/>
        <v>0.11431608366658243</v>
      </c>
      <c r="Q416" s="5">
        <f>_xll.SNL.Clients.Office.Excel.Functions.SPG(K416, "SP_MARKETCAP", "12/31/2022")</f>
        <v>9175.8063420800008</v>
      </c>
      <c r="R416">
        <f t="shared" si="81"/>
        <v>2.7232141819760302E-4</v>
      </c>
      <c r="S416">
        <f t="shared" si="82"/>
        <v>8.9185264459714991E-4</v>
      </c>
      <c r="U416" t="s">
        <v>416</v>
      </c>
      <c r="V416" s="4" cm="1">
        <f t="array" ref="V416">_xll.SNL.Clients.Office.Excel.Functions.SPG(U416, "SP_TOTAL_REV", "CY2021")</f>
        <v>6510800</v>
      </c>
      <c r="W416" s="4">
        <f>_xll.SNL.Clients.Office.Excel.Functions.SPG(U416,"IQ_AVG_DILUT_SHARES_OUT","CY2021")</f>
        <v>283800000</v>
      </c>
      <c r="X416" s="5">
        <f>_xll.SNL.Clients.Office.Excel.Functions.SPG(U416, "IQ_DILUT_EPS_NORM", "CY2021")</f>
        <v>2.5329999999999999</v>
      </c>
      <c r="Y416">
        <f t="shared" si="83"/>
        <v>718865.4</v>
      </c>
      <c r="Z416">
        <f t="shared" si="84"/>
        <v>0.11041122442710574</v>
      </c>
      <c r="AA416" s="5">
        <f>_xll.SNL.Clients.Office.Excel.Functions.SPG(U416, "SP_MARKETCAP", "12/31/2021")</f>
        <v>11170.7918742</v>
      </c>
      <c r="AB416">
        <f t="shared" si="78"/>
        <v>2.6326770472351899E-4</v>
      </c>
      <c r="AC416">
        <f t="shared" si="85"/>
        <v>6.6685709606467355E-4</v>
      </c>
    </row>
    <row r="417" spans="1:29" x14ac:dyDescent="0.3">
      <c r="A417" t="s">
        <v>417</v>
      </c>
      <c r="B417" s="4" cm="1">
        <f t="array" ref="B417">_xll.SNL.Clients.Office.Excel.Functions.SPG(A417, "SP_TOTAL_REV", "CY2023")</f>
        <v>16060300</v>
      </c>
      <c r="C417" s="4">
        <f>_xll.SNL.Clients.Office.Excel.Functions.SPG(A417,"IQ_AVG_DILUT_SHARES_OUT","CY2023")</f>
        <v>226000000</v>
      </c>
      <c r="D417" s="5">
        <f>_xll.SNL.Clients.Office.Excel.Functions.SPG(A417, "IQ_DILUT_EPS_NORM", "CY2023")</f>
        <v>4.3449999999999998</v>
      </c>
      <c r="E417">
        <f t="shared" si="74"/>
        <v>981970</v>
      </c>
      <c r="F417">
        <f t="shared" si="75"/>
        <v>6.1142693473969972E-2</v>
      </c>
      <c r="G417" s="5">
        <f>_xll.SNL.Clients.Office.Excel.Functions.SPG(A417, "SP_MARKETCAP", "12/30/2023")</f>
        <v>19369.890372000002</v>
      </c>
      <c r="H417">
        <f t="shared" si="79"/>
        <v>4.6100341083732984E-4</v>
      </c>
      <c r="I417">
        <f t="shared" si="80"/>
        <v>2.003059820088198E-3</v>
      </c>
      <c r="K417" t="s">
        <v>417</v>
      </c>
      <c r="L417" s="4" cm="1">
        <f t="array" ref="L417">_xll.SNL.Clients.Office.Excel.Functions.SPG(K417, "SP_TOTAL_REV", "CY2023")</f>
        <v>16060300</v>
      </c>
      <c r="M417" s="4">
        <f>_xll.SNL.Clients.Office.Excel.Functions.SPG(K417,"IQ_AVG_DILUT_SHARES_OUT","CY2023")</f>
        <v>226000000</v>
      </c>
      <c r="N417" s="5">
        <f>_xll.SNL.Clients.Office.Excel.Functions.SPG(K417, "IQ_DILUT_EPS_NORM", "CY2023")</f>
        <v>4.3449999999999998</v>
      </c>
      <c r="O417">
        <f t="shared" si="76"/>
        <v>981970</v>
      </c>
      <c r="P417">
        <f t="shared" si="77"/>
        <v>6.1142693473969972E-2</v>
      </c>
      <c r="Q417" s="5">
        <f>_xll.SNL.Clients.Office.Excel.Functions.SPG(K417, "SP_MARKETCAP", "12/31/2022")</f>
        <v>16638.5909445</v>
      </c>
      <c r="R417">
        <f t="shared" si="81"/>
        <v>4.9380343415017232E-4</v>
      </c>
      <c r="S417">
        <f t="shared" si="82"/>
        <v>2.1455759213824988E-3</v>
      </c>
      <c r="U417" t="s">
        <v>417</v>
      </c>
      <c r="V417" s="4" cm="1">
        <f t="array" ref="V417">_xll.SNL.Clients.Office.Excel.Functions.SPG(U417, "SP_TOTAL_REV", "CY2021")</f>
        <v>16949800</v>
      </c>
      <c r="W417" s="4">
        <f>_xll.SNL.Clients.Office.Excel.Functions.SPG(U417,"IQ_AVG_DILUT_SHARES_OUT","CY2021")</f>
        <v>228600000</v>
      </c>
      <c r="X417" s="5">
        <f>_xll.SNL.Clients.Office.Excel.Functions.SPG(U417, "IQ_DILUT_EPS_NORM", "CY2021")</f>
        <v>0.94099999999999995</v>
      </c>
      <c r="Y417">
        <f t="shared" si="83"/>
        <v>215112.6</v>
      </c>
      <c r="Z417">
        <f t="shared" si="84"/>
        <v>1.2691158597741567E-2</v>
      </c>
      <c r="AA417" s="5">
        <f>_xll.SNL.Clients.Office.Excel.Functions.SPG(U417, "SP_MARKETCAP", "12/31/2021")</f>
        <v>11961.483175199999</v>
      </c>
      <c r="AB417">
        <f t="shared" si="78"/>
        <v>2.8190232671839257E-4</v>
      </c>
      <c r="AC417">
        <f t="shared" si="85"/>
        <v>2.6527008944200742E-4</v>
      </c>
    </row>
    <row r="418" spans="1:29" x14ac:dyDescent="0.3">
      <c r="A418" t="s">
        <v>418</v>
      </c>
      <c r="B418" s="4" cm="1">
        <f t="array" ref="B418">_xll.SNL.Clients.Office.Excel.Functions.SPG(A418, "SP_TOTAL_REV", "CY2023")</f>
        <v>107412000</v>
      </c>
      <c r="C418" s="4">
        <f>_xll.SNL.Clients.Office.Excel.Functions.SPG(A418,"IQ_AVG_DILUT_SHARES_OUT","CY2023")</f>
        <v>462800000</v>
      </c>
      <c r="D418" s="5">
        <f>_xll.SNL.Clients.Office.Excel.Functions.SPG(A418, "IQ_DILUT_EPS_NORM", "CY2023")</f>
        <v>7.2910000000000004</v>
      </c>
      <c r="E418">
        <f t="shared" si="74"/>
        <v>3374274.8</v>
      </c>
      <c r="F418">
        <f t="shared" si="75"/>
        <v>3.1414318698097042E-2</v>
      </c>
      <c r="G418" s="5">
        <f>_xll.SNL.Clients.Office.Excel.Functions.SPG(A418, "SP_MARKETCAP", "12/30/2023")</f>
        <v>65749.873556000006</v>
      </c>
      <c r="H418">
        <f t="shared" si="79"/>
        <v>1.564847058466313E-3</v>
      </c>
      <c r="I418">
        <f t="shared" si="80"/>
        <v>1.1409299903277889E-2</v>
      </c>
      <c r="K418" t="s">
        <v>418</v>
      </c>
      <c r="L418" s="4" cm="1">
        <f t="array" ref="L418">_xll.SNL.Clients.Office.Excel.Functions.SPG(K418, "SP_TOTAL_REV", "CY2023")</f>
        <v>107412000</v>
      </c>
      <c r="M418" s="4">
        <f>_xll.SNL.Clients.Office.Excel.Functions.SPG(K418,"IQ_AVG_DILUT_SHARES_OUT","CY2023")</f>
        <v>462800000</v>
      </c>
      <c r="N418" s="5">
        <f>_xll.SNL.Clients.Office.Excel.Functions.SPG(K418, "IQ_DILUT_EPS_NORM", "CY2023")</f>
        <v>7.2910000000000004</v>
      </c>
      <c r="O418">
        <f t="shared" si="76"/>
        <v>3374274.8</v>
      </c>
      <c r="P418">
        <f t="shared" si="77"/>
        <v>3.1414318698097042E-2</v>
      </c>
      <c r="Q418" s="5">
        <f>_xll.SNL.Clients.Office.Excel.Functions.SPG(K418, "SP_MARKETCAP", "12/31/2022")</f>
        <v>68604.615515519996</v>
      </c>
      <c r="R418">
        <f t="shared" si="81"/>
        <v>2.0360615182570077E-3</v>
      </c>
      <c r="S418">
        <f t="shared" si="82"/>
        <v>1.4844924529611843E-2</v>
      </c>
      <c r="U418" t="s">
        <v>418</v>
      </c>
      <c r="V418" s="4" cm="1">
        <f t="array" ref="V418">_xll.SNL.Clients.Office.Excel.Functions.SPG(U418, "SP_TOTAL_REV", "CY2021")</f>
        <v>106005000</v>
      </c>
      <c r="W418" s="4">
        <f>_xll.SNL.Clients.Office.Excel.Functions.SPG(U418,"IQ_AVG_DILUT_SHARES_OUT","CY2021")</f>
        <v>492700000</v>
      </c>
      <c r="X418" s="5">
        <f>_xll.SNL.Clients.Office.Excel.Functions.SPG(U418, "IQ_DILUT_EPS_NORM", "CY2021")</f>
        <v>10.984</v>
      </c>
      <c r="Y418">
        <f t="shared" si="83"/>
        <v>5411816.7999999998</v>
      </c>
      <c r="Z418">
        <f t="shared" si="84"/>
        <v>5.1052467336446396E-2</v>
      </c>
      <c r="AA418" s="5">
        <f>_xll.SNL.Clients.Office.Excel.Functions.SPG(U418, "SP_MARKETCAP", "12/31/2021")</f>
        <v>110888.43958192</v>
      </c>
      <c r="AB418">
        <f t="shared" si="78"/>
        <v>2.6133639671981966E-3</v>
      </c>
      <c r="AC418">
        <f t="shared" si="85"/>
        <v>2.8705189815704992E-2</v>
      </c>
    </row>
    <row r="419" spans="1:29" x14ac:dyDescent="0.3">
      <c r="A419" t="s">
        <v>419</v>
      </c>
      <c r="B419" s="4" cm="1">
        <f t="array" ref="B419">_xll.SNL.Clients.Office.Excel.Functions.SPG(A419, "SP_TOTAL_REV", "CY2023")</f>
        <v>16024000</v>
      </c>
      <c r="C419" s="4">
        <f>_xll.SNL.Clients.Office.Excel.Functions.SPG(A419,"IQ_AVG_DILUT_SHARES_OUT","CY2023")</f>
        <v>315500000</v>
      </c>
      <c r="D419" s="5">
        <f>_xll.SNL.Clients.Office.Excel.Functions.SPG(A419, "IQ_DILUT_EPS_NORM", "CY2023")</f>
        <v>5.4690000000000003</v>
      </c>
      <c r="E419">
        <f t="shared" si="74"/>
        <v>1725469.5</v>
      </c>
      <c r="F419">
        <f t="shared" si="75"/>
        <v>0.10768032326510235</v>
      </c>
      <c r="G419" s="5">
        <f>_xll.SNL.Clients.Office.Excel.Functions.SPG(A419, "SP_MARKETCAP", "12/30/2023")</f>
        <v>43664.488137499997</v>
      </c>
      <c r="H419">
        <f t="shared" si="79"/>
        <v>1.0392148627207329E-3</v>
      </c>
      <c r="I419">
        <f t="shared" si="80"/>
        <v>5.6834660842196884E-3</v>
      </c>
      <c r="K419" t="s">
        <v>419</v>
      </c>
      <c r="L419" s="4" cm="1">
        <f t="array" ref="L419">_xll.SNL.Clients.Office.Excel.Functions.SPG(K419, "SP_TOTAL_REV", "CY2023")</f>
        <v>16024000</v>
      </c>
      <c r="M419" s="4">
        <f>_xll.SNL.Clients.Office.Excel.Functions.SPG(K419,"IQ_AVG_DILUT_SHARES_OUT","CY2023")</f>
        <v>315500000</v>
      </c>
      <c r="N419" s="5">
        <f>_xll.SNL.Clients.Office.Excel.Functions.SPG(K419, "IQ_DILUT_EPS_NORM", "CY2023")</f>
        <v>5.4690000000000003</v>
      </c>
      <c r="O419">
        <f t="shared" si="76"/>
        <v>1725469.5</v>
      </c>
      <c r="P419">
        <f t="shared" si="77"/>
        <v>0.10768032326510235</v>
      </c>
      <c r="Q419" s="5">
        <f>_xll.SNL.Clients.Office.Excel.Functions.SPG(K419, "SP_MARKETCAP", "12/31/2022")</f>
        <v>36418.068632399998</v>
      </c>
      <c r="R419">
        <f t="shared" si="81"/>
        <v>1.0808227340753462E-3</v>
      </c>
      <c r="S419">
        <f t="shared" si="82"/>
        <v>5.9110195326580687E-3</v>
      </c>
      <c r="U419" t="s">
        <v>419</v>
      </c>
      <c r="V419" s="4" cm="1">
        <f t="array" ref="V419">_xll.SNL.Clients.Office.Excel.Functions.SPG(U419, "SP_TOTAL_REV", "CY2021")</f>
        <v>15219000</v>
      </c>
      <c r="W419" s="4">
        <f>_xll.SNL.Clients.Office.Excel.Functions.SPG(U419,"IQ_AVG_DILUT_SHARES_OUT","CY2021")</f>
        <v>332250000</v>
      </c>
      <c r="X419" s="5">
        <f>_xll.SNL.Clients.Office.Excel.Functions.SPG(U419, "IQ_DILUT_EPS_NORM", "CY2021")</f>
        <v>5.2030000000000003</v>
      </c>
      <c r="Y419">
        <f t="shared" si="83"/>
        <v>1728696.75</v>
      </c>
      <c r="Z419">
        <f t="shared" si="84"/>
        <v>0.11358806426177805</v>
      </c>
      <c r="AA419" s="5">
        <f>_xll.SNL.Clients.Office.Excel.Functions.SPG(U419, "SP_MARKETCAP", "12/31/2021")</f>
        <v>52764.46612908</v>
      </c>
      <c r="AB419">
        <f t="shared" si="78"/>
        <v>1.2435268730453877E-3</v>
      </c>
      <c r="AC419">
        <f t="shared" si="85"/>
        <v>6.4700703204551525E-3</v>
      </c>
    </row>
    <row r="420" spans="1:29" x14ac:dyDescent="0.3">
      <c r="A420" t="s">
        <v>420</v>
      </c>
      <c r="B420" s="4" cm="1">
        <f t="array" ref="B420">_xll.SNL.Clients.Office.Excel.Functions.SPG(A420, "SP_TOTAL_REV", "CY2023")</f>
        <v>5635500</v>
      </c>
      <c r="C420" s="4">
        <f>_xll.SNL.Clients.Office.Excel.Functions.SPG(A420,"IQ_AVG_DILUT_SHARES_OUT","CY2023")</f>
        <v>47900000</v>
      </c>
      <c r="D420" s="5">
        <f>_xll.SNL.Clients.Office.Excel.Functions.SPG(A420, "IQ_DILUT_EPS_NORM", "CY2023")</f>
        <v>12.472</v>
      </c>
      <c r="E420">
        <f t="shared" si="74"/>
        <v>597408.80000000005</v>
      </c>
      <c r="F420">
        <f t="shared" si="75"/>
        <v>0.10600812705172567</v>
      </c>
      <c r="G420" s="5">
        <f>_xll.SNL.Clients.Office.Excel.Functions.SPG(A420, "SP_MARKETCAP", "12/30/2023")</f>
        <v>21058.058424129998</v>
      </c>
      <c r="H420">
        <f t="shared" si="79"/>
        <v>5.0118181221969055E-4</v>
      </c>
      <c r="I420">
        <f t="shared" si="80"/>
        <v>6.2507395620039806E-3</v>
      </c>
      <c r="K420" t="s">
        <v>420</v>
      </c>
      <c r="L420" s="4" cm="1">
        <f t="array" ref="L420">_xll.SNL.Clients.Office.Excel.Functions.SPG(K420, "SP_TOTAL_REV", "CY2023")</f>
        <v>5635500</v>
      </c>
      <c r="M420" s="4">
        <f>_xll.SNL.Clients.Office.Excel.Functions.SPG(K420,"IQ_AVG_DILUT_SHARES_OUT","CY2023")</f>
        <v>47900000</v>
      </c>
      <c r="N420" s="5">
        <f>_xll.SNL.Clients.Office.Excel.Functions.SPG(K420, "IQ_DILUT_EPS_NORM", "CY2023")</f>
        <v>12.472</v>
      </c>
      <c r="O420">
        <f t="shared" si="76"/>
        <v>597408.80000000005</v>
      </c>
      <c r="P420">
        <f t="shared" si="77"/>
        <v>0.10600812705172567</v>
      </c>
      <c r="Q420" s="5">
        <f>_xll.SNL.Clients.Office.Excel.Functions.SPG(K420, "SP_MARKETCAP", "12/31/2022")</f>
        <v>18744.218801629999</v>
      </c>
      <c r="R420">
        <f t="shared" si="81"/>
        <v>5.5629467937408133E-4</v>
      </c>
      <c r="S420">
        <f t="shared" si="82"/>
        <v>6.9381072411535422E-3</v>
      </c>
      <c r="U420" t="s">
        <v>420</v>
      </c>
      <c r="V420" s="4" cm="1">
        <f t="array" ref="V420">_xll.SNL.Clients.Office.Excel.Functions.SPG(U420, "SP_TOTAL_REV", "CY2021")</f>
        <v>4614300</v>
      </c>
      <c r="W420" s="4">
        <f>_xll.SNL.Clients.Office.Excel.Functions.SPG(U420,"IQ_AVG_DILUT_SHARES_OUT","CY2021")</f>
        <v>44300000</v>
      </c>
      <c r="X420" s="5">
        <f>_xll.SNL.Clients.Office.Excel.Functions.SPG(U420, "IQ_DILUT_EPS_NORM", "CY2021")</f>
        <v>9.2210000000000001</v>
      </c>
      <c r="Y420">
        <f t="shared" si="83"/>
        <v>408490.3</v>
      </c>
      <c r="Z420">
        <f t="shared" si="84"/>
        <v>8.8527035520013869E-2</v>
      </c>
      <c r="AA420" s="5">
        <f>_xll.SNL.Clients.Office.Excel.Functions.SPG(U420, "SP_MARKETCAP", "12/31/2021")</f>
        <v>20383.179842639998</v>
      </c>
      <c r="AB420">
        <f t="shared" si="78"/>
        <v>4.8038071361192875E-4</v>
      </c>
      <c r="AC420">
        <f t="shared" si="85"/>
        <v>4.429590560215595E-3</v>
      </c>
    </row>
    <row r="421" spans="1:29" x14ac:dyDescent="0.3">
      <c r="A421" t="s">
        <v>421</v>
      </c>
      <c r="B421" s="4" cm="1">
        <f t="array" ref="B421">_xll.SNL.Clients.Office.Excel.Functions.SPG(A421, "SP_TOTAL_REV", "CY2023")</f>
        <v>2974489</v>
      </c>
      <c r="C421" s="4">
        <f>_xll.SNL.Clients.Office.Excel.Functions.SPG(A421,"IQ_AVG_DILUT_SHARES_OUT","CY2023")</f>
        <v>47304000</v>
      </c>
      <c r="D421" s="5">
        <f>_xll.SNL.Clients.Office.Excel.Functions.SPG(A421, "IQ_DILUT_EPS_NORM", "CY2023")</f>
        <v>5.6719999999999997</v>
      </c>
      <c r="E421">
        <f t="shared" si="74"/>
        <v>268308.288</v>
      </c>
      <c r="F421">
        <f t="shared" si="75"/>
        <v>9.0203153550071968E-2</v>
      </c>
      <c r="G421" s="5">
        <f>_xll.SNL.Clients.Office.Excel.Functions.SPG(A421, "SP_MARKETCAP", "12/30/2023")</f>
        <v>11717.15084176</v>
      </c>
      <c r="H421">
        <f t="shared" si="79"/>
        <v>2.7886820212235996E-4</v>
      </c>
      <c r="I421">
        <f t="shared" si="80"/>
        <v>1.5817404424380256E-3</v>
      </c>
      <c r="K421" t="s">
        <v>421</v>
      </c>
      <c r="L421" s="4" cm="1">
        <f t="array" ref="L421">_xll.SNL.Clients.Office.Excel.Functions.SPG(K421, "SP_TOTAL_REV", "CY2023")</f>
        <v>2974489</v>
      </c>
      <c r="M421" s="4">
        <f>_xll.SNL.Clients.Office.Excel.Functions.SPG(K421,"IQ_AVG_DILUT_SHARES_OUT","CY2023")</f>
        <v>47304000</v>
      </c>
      <c r="N421" s="5">
        <f>_xll.SNL.Clients.Office.Excel.Functions.SPG(K421, "IQ_DILUT_EPS_NORM", "CY2023")</f>
        <v>5.6719999999999997</v>
      </c>
      <c r="O421">
        <f t="shared" si="76"/>
        <v>268308.288</v>
      </c>
      <c r="P421">
        <f t="shared" si="77"/>
        <v>9.0203153550071968E-2</v>
      </c>
      <c r="Q421" s="5">
        <f>_xll.SNL.Clients.Office.Excel.Functions.SPG(K421, "SP_MARKETCAP", "12/31/2022")</f>
        <v>11709.25336905</v>
      </c>
      <c r="R421">
        <f t="shared" si="81"/>
        <v>3.4750956642050677E-4</v>
      </c>
      <c r="S421">
        <f t="shared" si="82"/>
        <v>1.9710742607371144E-3</v>
      </c>
      <c r="U421" t="s">
        <v>421</v>
      </c>
      <c r="V421" s="4" cm="1">
        <f t="array" ref="V421">_xll.SNL.Clients.Office.Excel.Functions.SPG(U421, "SP_TOTAL_REV", "CY2021")</f>
        <v>2809563</v>
      </c>
      <c r="W421" s="4">
        <f>_xll.SNL.Clients.Office.Excel.Functions.SPG(U421,"IQ_AVG_DILUT_SHARES_OUT","CY2021")</f>
        <v>47427000</v>
      </c>
      <c r="X421" s="5">
        <f>_xll.SNL.Clients.Office.Excel.Functions.SPG(U421, "IQ_DILUT_EPS_NORM", "CY2021")</f>
        <v>6.7409999999999997</v>
      </c>
      <c r="Y421">
        <f t="shared" si="83"/>
        <v>319705.40700000001</v>
      </c>
      <c r="Z421">
        <f t="shared" si="84"/>
        <v>0.11379186264910238</v>
      </c>
      <c r="AA421" s="5">
        <f>_xll.SNL.Clients.Office.Excel.Functions.SPG(U421, "SP_MARKETCAP", "12/31/2021")</f>
        <v>15387.629176</v>
      </c>
      <c r="AB421">
        <f t="shared" si="78"/>
        <v>3.626480432115554E-4</v>
      </c>
      <c r="AC421">
        <f t="shared" si="85"/>
        <v>2.4446104592890949E-3</v>
      </c>
    </row>
    <row r="422" spans="1:29" x14ac:dyDescent="0.3">
      <c r="A422" t="s">
        <v>422</v>
      </c>
      <c r="B422" s="4" cm="1">
        <f t="array" ref="B422">_xll.SNL.Clients.Office.Excel.Functions.SPG(A422, "SP_TOTAL_REV", "CY2023")</f>
        <v>2676298</v>
      </c>
      <c r="C422" s="4">
        <f>_xll.SNL.Clients.Office.Excel.Functions.SPG(A422,"IQ_AVG_DILUT_SHARES_OUT","CY2023")</f>
        <v>164304000</v>
      </c>
      <c r="D422" s="5">
        <f>_xll.SNL.Clients.Office.Excel.Functions.SPG(A422, "IQ_DILUT_EPS_NORM", "CY2023")</f>
        <v>2.0499999999999998</v>
      </c>
      <c r="E422">
        <f t="shared" si="74"/>
        <v>336823.2</v>
      </c>
      <c r="F422">
        <f t="shared" si="75"/>
        <v>0.12585414628714739</v>
      </c>
      <c r="G422" s="5">
        <f>_xll.SNL.Clients.Office.Excel.Functions.SPG(A422, "SP_MARKETCAP", "12/30/2023")</f>
        <v>16590.39956256</v>
      </c>
      <c r="H422">
        <f t="shared" si="79"/>
        <v>3.9485152670508384E-4</v>
      </c>
      <c r="I422">
        <f t="shared" si="80"/>
        <v>8.0944562974542182E-4</v>
      </c>
      <c r="K422" t="s">
        <v>422</v>
      </c>
      <c r="L422" s="4" cm="1">
        <f t="array" ref="L422">_xll.SNL.Clients.Office.Excel.Functions.SPG(K422, "SP_TOTAL_REV", "CY2023")</f>
        <v>2676298</v>
      </c>
      <c r="M422" s="4">
        <f>_xll.SNL.Clients.Office.Excel.Functions.SPG(K422,"IQ_AVG_DILUT_SHARES_OUT","CY2023")</f>
        <v>164304000</v>
      </c>
      <c r="N422" s="5">
        <f>_xll.SNL.Clients.Office.Excel.Functions.SPG(K422, "IQ_DILUT_EPS_NORM", "CY2023")</f>
        <v>2.0499999999999998</v>
      </c>
      <c r="O422">
        <f t="shared" si="76"/>
        <v>336823.2</v>
      </c>
      <c r="P422">
        <f t="shared" si="77"/>
        <v>0.12585414628714739</v>
      </c>
      <c r="Q422" s="5">
        <f>_xll.SNL.Clients.Office.Excel.Functions.SPG(K422, "SP_MARKETCAP", "12/31/2022")</f>
        <v>13605.299353099999</v>
      </c>
      <c r="R422">
        <f t="shared" si="81"/>
        <v>4.0378079884358792E-4</v>
      </c>
      <c r="S422">
        <f t="shared" si="82"/>
        <v>8.2775063762935517E-4</v>
      </c>
      <c r="U422" t="s">
        <v>422</v>
      </c>
      <c r="V422" s="4" cm="1">
        <f t="array" ref="V422">_xll.SNL.Clients.Office.Excel.Functions.SPG(U422, "SP_TOTAL_REV", "CY2021")</f>
        <v>3702881</v>
      </c>
      <c r="W422" s="4">
        <f>_xll.SNL.Clients.Office.Excel.Functions.SPG(U422,"IQ_AVG_DILUT_SHARES_OUT","CY2021")</f>
        <v>183625000</v>
      </c>
      <c r="X422" s="5">
        <f>_xll.SNL.Clients.Office.Excel.Functions.SPG(U422, "IQ_DILUT_EPS_NORM", "CY2021")</f>
        <v>4.0519999999999996</v>
      </c>
      <c r="Y422">
        <f t="shared" si="83"/>
        <v>744048.49999999988</v>
      </c>
      <c r="Z422">
        <f t="shared" si="84"/>
        <v>0.2009377292978089</v>
      </c>
      <c r="AA422" s="5">
        <f>_xll.SNL.Clients.Office.Excel.Functions.SPG(U422, "SP_MARKETCAP", "12/31/2021")</f>
        <v>26656.0997202</v>
      </c>
      <c r="AB422">
        <f t="shared" si="78"/>
        <v>6.2821779057815137E-4</v>
      </c>
      <c r="AC422">
        <f t="shared" si="85"/>
        <v>2.545538487422669E-3</v>
      </c>
    </row>
    <row r="423" spans="1:29" x14ac:dyDescent="0.3">
      <c r="A423" t="s">
        <v>423</v>
      </c>
      <c r="B423" s="4" cm="1">
        <f t="array" ref="B423">_xll.SNL.Clients.Office.Excel.Functions.SPG(A423, "SP_TOTAL_REV", "CY2023")</f>
        <v>96773000</v>
      </c>
      <c r="C423" s="4">
        <f>_xll.SNL.Clients.Office.Excel.Functions.SPG(A423,"IQ_AVG_DILUT_SHARES_OUT","CY2023")</f>
        <v>3485000000</v>
      </c>
      <c r="D423" s="5" t="str">
        <f>_xll.SNL.Clients.Office.Excel.Functions.SPG(A423, "IQ_DILUT_EPS_NORM", "CY2023")</f>
        <v>NA</v>
      </c>
      <c r="E423" t="e">
        <f t="shared" si="74"/>
        <v>#VALUE!</v>
      </c>
      <c r="F423" t="e">
        <f t="shared" si="75"/>
        <v>#VALUE!</v>
      </c>
      <c r="G423" s="5">
        <f>_xll.SNL.Clients.Office.Excel.Functions.SPG(A423, "SP_MARKETCAP", "12/30/2023")</f>
        <v>789898.38723568001</v>
      </c>
      <c r="H423">
        <f t="shared" si="79"/>
        <v>1.8799582431139761E-2</v>
      </c>
      <c r="I423" t="e">
        <f t="shared" si="80"/>
        <v>#VALUE!</v>
      </c>
      <c r="K423" t="s">
        <v>423</v>
      </c>
      <c r="L423" s="4" cm="1">
        <f t="array" ref="L423">_xll.SNL.Clients.Office.Excel.Functions.SPG(K423, "SP_TOTAL_REV", "CY2023")</f>
        <v>96773000</v>
      </c>
      <c r="M423" s="4">
        <f>_xll.SNL.Clients.Office.Excel.Functions.SPG(K423,"IQ_AVG_DILUT_SHARES_OUT","CY2023")</f>
        <v>3485000000</v>
      </c>
      <c r="N423" s="5" t="str">
        <f>_xll.SNL.Clients.Office.Excel.Functions.SPG(K423, "IQ_DILUT_EPS_NORM", "CY2023")</f>
        <v>NA</v>
      </c>
      <c r="O423" t="e">
        <f t="shared" si="76"/>
        <v>#VALUE!</v>
      </c>
      <c r="P423" t="e">
        <f t="shared" si="77"/>
        <v>#VALUE!</v>
      </c>
      <c r="Q423" s="5">
        <f>_xll.SNL.Clients.Office.Excel.Functions.SPG(K423, "SP_MARKETCAP", "12/31/2022")</f>
        <v>388971.94666781998</v>
      </c>
      <c r="R423">
        <f t="shared" si="81"/>
        <v>1.1543987330017217E-2</v>
      </c>
      <c r="S423" t="e">
        <f t="shared" si="82"/>
        <v>#VALUE!</v>
      </c>
      <c r="U423" t="s">
        <v>423</v>
      </c>
      <c r="V423" s="4" cm="1">
        <f t="array" ref="V423">_xll.SNL.Clients.Office.Excel.Functions.SPG(U423, "SP_TOTAL_REV", "CY2021")</f>
        <v>53823000</v>
      </c>
      <c r="W423" s="4">
        <f>_xll.SNL.Clients.Office.Excel.Functions.SPG(U423,"IQ_AVG_DILUT_SHARES_OUT","CY2021")</f>
        <v>3386000000</v>
      </c>
      <c r="X423" s="5" t="str">
        <f>_xll.SNL.Clients.Office.Excel.Functions.SPG(U423, "IQ_DILUT_EPS_NORM", "CY2021")</f>
        <v>NA</v>
      </c>
      <c r="Y423" t="e">
        <f t="shared" si="83"/>
        <v>#VALUE!</v>
      </c>
      <c r="Z423" t="e">
        <f t="shared" si="84"/>
        <v>#VALUE!</v>
      </c>
      <c r="AA423" s="5">
        <f>_xll.SNL.Clients.Office.Excel.Functions.SPG(U423, "SP_MARKETCAP", "12/31/2021")</f>
        <v>1063563.91889472</v>
      </c>
      <c r="AB423">
        <f t="shared" si="78"/>
        <v>2.5065549059315573E-2</v>
      </c>
      <c r="AC423" t="e">
        <f t="shared" si="85"/>
        <v>#VALUE!</v>
      </c>
    </row>
    <row r="424" spans="1:29" x14ac:dyDescent="0.3">
      <c r="A424" t="s">
        <v>424</v>
      </c>
      <c r="B424" s="4" cm="1">
        <f t="array" ref="B424">_xll.SNL.Clients.Office.Excel.Functions.SPG(A424, "SP_TOTAL_REV", "CY2023")</f>
        <v>17519000</v>
      </c>
      <c r="C424" s="4">
        <f>_xll.SNL.Clients.Office.Excel.Functions.SPG(A424,"IQ_AVG_DILUT_SHARES_OUT","CY2023")</f>
        <v>916000000</v>
      </c>
      <c r="D424" s="5">
        <f>_xll.SNL.Clients.Office.Excel.Functions.SPG(A424, "IQ_DILUT_EPS_NORM", "CY2023")</f>
        <v>5.0609999999999999</v>
      </c>
      <c r="E424">
        <f t="shared" si="74"/>
        <v>4635876</v>
      </c>
      <c r="F424">
        <f t="shared" si="75"/>
        <v>0.26461989839602718</v>
      </c>
      <c r="G424" s="5">
        <f>_xll.SNL.Clients.Office.Excel.Functions.SPG(A424, "SP_MARKETCAP", "12/30/2023")</f>
        <v>154812.46969278</v>
      </c>
      <c r="H424">
        <f t="shared" si="79"/>
        <v>3.6845369384067013E-3</v>
      </c>
      <c r="I424">
        <f t="shared" si="80"/>
        <v>1.8647441445276317E-2</v>
      </c>
      <c r="K424" t="s">
        <v>424</v>
      </c>
      <c r="L424" s="4" cm="1">
        <f t="array" ref="L424">_xll.SNL.Clients.Office.Excel.Functions.SPG(K424, "SP_TOTAL_REV", "CY2023")</f>
        <v>17519000</v>
      </c>
      <c r="M424" s="4">
        <f>_xll.SNL.Clients.Office.Excel.Functions.SPG(K424,"IQ_AVG_DILUT_SHARES_OUT","CY2023")</f>
        <v>916000000</v>
      </c>
      <c r="N424" s="5">
        <f>_xll.SNL.Clients.Office.Excel.Functions.SPG(K424, "IQ_DILUT_EPS_NORM", "CY2023")</f>
        <v>5.0609999999999999</v>
      </c>
      <c r="O424">
        <f t="shared" si="76"/>
        <v>4635876</v>
      </c>
      <c r="P424">
        <f t="shared" si="77"/>
        <v>0.26461989839602718</v>
      </c>
      <c r="Q424" s="5">
        <f>_xll.SNL.Clients.Office.Excel.Functions.SPG(K424, "SP_MARKETCAP", "12/31/2022")</f>
        <v>149948.99825664001</v>
      </c>
      <c r="R424">
        <f t="shared" si="81"/>
        <v>4.4502163995433297E-3</v>
      </c>
      <c r="S424">
        <f t="shared" si="82"/>
        <v>2.252254519808879E-2</v>
      </c>
      <c r="U424" t="s">
        <v>424</v>
      </c>
      <c r="V424" s="4" cm="1">
        <f t="array" ref="V424">_xll.SNL.Clients.Office.Excel.Functions.SPG(U424, "SP_TOTAL_REV", "CY2021")</f>
        <v>18344000</v>
      </c>
      <c r="W424" s="4">
        <f>_xll.SNL.Clients.Office.Excel.Functions.SPG(U424,"IQ_AVG_DILUT_SHARES_OUT","CY2021")</f>
        <v>936000000</v>
      </c>
      <c r="X424" s="5">
        <f>_xll.SNL.Clients.Office.Excel.Functions.SPG(U424, "IQ_DILUT_EPS_NORM", "CY2021")</f>
        <v>5.992</v>
      </c>
      <c r="Y424">
        <f t="shared" si="83"/>
        <v>5608512</v>
      </c>
      <c r="Z424">
        <f t="shared" si="84"/>
        <v>0.30574095071958135</v>
      </c>
      <c r="AA424" s="5">
        <f>_xll.SNL.Clients.Office.Excel.Functions.SPG(U424, "SP_MARKETCAP", "12/31/2021")</f>
        <v>174056.95407809</v>
      </c>
      <c r="AB424">
        <f t="shared" si="78"/>
        <v>4.1020883127488549E-3</v>
      </c>
      <c r="AC424">
        <f t="shared" si="85"/>
        <v>2.4579713169991139E-2</v>
      </c>
    </row>
    <row r="425" spans="1:29" x14ac:dyDescent="0.3">
      <c r="A425" t="s">
        <v>425</v>
      </c>
      <c r="B425" s="4" cm="1">
        <f t="array" ref="B425">_xll.SNL.Clients.Office.Excel.Functions.SPG(A425, "SP_TOTAL_REV", "CY2023")</f>
        <v>631595</v>
      </c>
      <c r="C425" s="4">
        <f>_xll.SNL.Clients.Office.Excel.Functions.SPG(A425,"IQ_AVG_DILUT_SHARES_OUT","CY2023")</f>
        <v>23059845</v>
      </c>
      <c r="D425" s="5">
        <f>_xll.SNL.Clients.Office.Excel.Functions.SPG(A425, "IQ_DILUT_EPS_NORM", "CY2023")</f>
        <v>14.041</v>
      </c>
      <c r="E425">
        <f t="shared" si="74"/>
        <v>323783.28364499996</v>
      </c>
      <c r="F425">
        <f t="shared" si="75"/>
        <v>0.51264383607374975</v>
      </c>
      <c r="G425" s="5">
        <f>_xll.SNL.Clients.Office.Excel.Functions.SPG(A425, "SP_MARKETCAP", "12/30/2023")</f>
        <v>12068.344614150001</v>
      </c>
      <c r="H425">
        <f t="shared" si="79"/>
        <v>2.8722661426756522E-4</v>
      </c>
      <c r="I425">
        <f t="shared" si="80"/>
        <v>4.0329488909308835E-3</v>
      </c>
      <c r="K425" t="s">
        <v>425</v>
      </c>
      <c r="L425" s="4" cm="1">
        <f t="array" ref="L425">_xll.SNL.Clients.Office.Excel.Functions.SPG(K425, "SP_TOTAL_REV", "CY2023")</f>
        <v>631595</v>
      </c>
      <c r="M425" s="4">
        <f>_xll.SNL.Clients.Office.Excel.Functions.SPG(K425,"IQ_AVG_DILUT_SHARES_OUT","CY2023")</f>
        <v>23059845</v>
      </c>
      <c r="N425" s="5">
        <f>_xll.SNL.Clients.Office.Excel.Functions.SPG(K425, "IQ_DILUT_EPS_NORM", "CY2023")</f>
        <v>14.041</v>
      </c>
      <c r="O425">
        <f t="shared" si="76"/>
        <v>323783.28364499996</v>
      </c>
      <c r="P425">
        <f t="shared" si="77"/>
        <v>0.51264383607374975</v>
      </c>
      <c r="Q425" s="5">
        <f>_xll.SNL.Clients.Office.Excel.Functions.SPG(K425, "SP_MARKETCAP", "12/31/2022")</f>
        <v>18061.110658080001</v>
      </c>
      <c r="R425">
        <f t="shared" si="81"/>
        <v>5.3602125908830639E-4</v>
      </c>
      <c r="S425">
        <f t="shared" si="82"/>
        <v>7.5262744988589102E-3</v>
      </c>
      <c r="U425" t="s">
        <v>425</v>
      </c>
      <c r="V425" s="4" cm="1">
        <f t="array" ref="V425">_xll.SNL.Clients.Office.Excel.Functions.SPG(U425, "SP_TOTAL_REV", "CY2021")</f>
        <v>450958</v>
      </c>
      <c r="W425" s="4">
        <f>_xll.SNL.Clients.Office.Excel.Functions.SPG(U425,"IQ_AVG_DILUT_SHARES_OUT","CY2021")</f>
        <v>23256162</v>
      </c>
      <c r="X425" s="5">
        <f>_xll.SNL.Clients.Office.Excel.Functions.SPG(U425, "IQ_DILUT_EPS_NORM", "CY2021")</f>
        <v>9.7560000000000002</v>
      </c>
      <c r="Y425">
        <f t="shared" si="83"/>
        <v>226887.11647199999</v>
      </c>
      <c r="Z425">
        <f t="shared" si="84"/>
        <v>0.5031225002594476</v>
      </c>
      <c r="AA425" s="5">
        <f>_xll.SNL.Clients.Office.Excel.Functions.SPG(U425, "SP_MARKETCAP", "12/31/2021")</f>
        <v>9674.1916177200001</v>
      </c>
      <c r="AB425">
        <f t="shared" si="78"/>
        <v>2.279965691720533E-4</v>
      </c>
      <c r="AC425">
        <f t="shared" si="85"/>
        <v>2.2243345288425519E-3</v>
      </c>
    </row>
    <row r="426" spans="1:29" x14ac:dyDescent="0.3">
      <c r="A426" t="s">
        <v>426</v>
      </c>
      <c r="B426" s="4" cm="1">
        <f t="array" ref="B426">_xll.SNL.Clients.Office.Excel.Functions.SPG(A426, "SP_TOTAL_REV", "CY2023")</f>
        <v>13683000</v>
      </c>
      <c r="C426" s="4">
        <f>_xll.SNL.Clients.Office.Excel.Functions.SPG(A426,"IQ_AVG_DILUT_SHARES_OUT","CY2023")</f>
        <v>201774000</v>
      </c>
      <c r="D426" s="5">
        <f>_xll.SNL.Clients.Office.Excel.Functions.SPG(A426, "IQ_DILUT_EPS_NORM", "CY2023")</f>
        <v>3.7570000000000001</v>
      </c>
      <c r="E426">
        <f t="shared" si="74"/>
        <v>758064.91799999995</v>
      </c>
      <c r="F426">
        <f t="shared" si="75"/>
        <v>5.5401952641964479E-2</v>
      </c>
      <c r="G426" s="5">
        <f>_xll.SNL.Clients.Office.Excel.Functions.SPG(A426, "SP_MARKETCAP", "12/30/2023")</f>
        <v>15762.75885194</v>
      </c>
      <c r="H426">
        <f t="shared" si="79"/>
        <v>3.7515367693845882E-4</v>
      </c>
      <c r="I426">
        <f t="shared" si="80"/>
        <v>1.4094523642577898E-3</v>
      </c>
      <c r="K426" t="s">
        <v>426</v>
      </c>
      <c r="L426" s="4" cm="1">
        <f t="array" ref="L426">_xll.SNL.Clients.Office.Excel.Functions.SPG(K426, "SP_TOTAL_REV", "CY2023")</f>
        <v>13683000</v>
      </c>
      <c r="M426" s="4">
        <f>_xll.SNL.Clients.Office.Excel.Functions.SPG(K426,"IQ_AVG_DILUT_SHARES_OUT","CY2023")</f>
        <v>201774000</v>
      </c>
      <c r="N426" s="5">
        <f>_xll.SNL.Clients.Office.Excel.Functions.SPG(K426, "IQ_DILUT_EPS_NORM", "CY2023")</f>
        <v>3.7570000000000001</v>
      </c>
      <c r="O426">
        <f t="shared" si="76"/>
        <v>758064.91799999995</v>
      </c>
      <c r="P426">
        <f t="shared" si="77"/>
        <v>5.5401952641964479E-2</v>
      </c>
      <c r="Q426" s="5">
        <f>_xll.SNL.Clients.Office.Excel.Functions.SPG(K426, "SP_MARKETCAP", "12/31/2022")</f>
        <v>14781.0202176</v>
      </c>
      <c r="R426">
        <f t="shared" si="81"/>
        <v>4.3867407811397125E-4</v>
      </c>
      <c r="S426">
        <f t="shared" si="82"/>
        <v>1.64809851147419E-3</v>
      </c>
      <c r="U426" t="s">
        <v>426</v>
      </c>
      <c r="V426" s="4" cm="1">
        <f t="array" ref="V426">_xll.SNL.Clients.Office.Excel.Functions.SPG(U426, "SP_TOTAL_REV", "CY2021")</f>
        <v>12382000</v>
      </c>
      <c r="W426" s="4">
        <f>_xll.SNL.Clients.Office.Excel.Functions.SPG(U426,"IQ_AVG_DILUT_SHARES_OUT","CY2021")</f>
        <v>226520000</v>
      </c>
      <c r="X426" s="5">
        <f>_xll.SNL.Clients.Office.Excel.Functions.SPG(U426, "IQ_DILUT_EPS_NORM", "CY2021")</f>
        <v>2.431</v>
      </c>
      <c r="Y426">
        <f t="shared" si="83"/>
        <v>550670.12</v>
      </c>
      <c r="Z426">
        <f t="shared" si="84"/>
        <v>4.447343886286545E-2</v>
      </c>
      <c r="AA426" s="5">
        <f>_xll.SNL.Clients.Office.Excel.Functions.SPG(U426, "SP_MARKETCAP", "12/31/2021")</f>
        <v>17016.8267524</v>
      </c>
      <c r="AB426">
        <f t="shared" si="78"/>
        <v>4.0104416689823582E-4</v>
      </c>
      <c r="AC426">
        <f t="shared" si="85"/>
        <v>9.7493836972961136E-4</v>
      </c>
    </row>
    <row r="427" spans="1:29" x14ac:dyDescent="0.3">
      <c r="A427" t="s">
        <v>427</v>
      </c>
      <c r="B427" s="4" cm="1">
        <f t="array" ref="B427">_xll.SNL.Clients.Office.Excel.Functions.SPG(A427, "SP_TOTAL_REV", "CY2023")</f>
        <v>12668000</v>
      </c>
      <c r="C427" s="4">
        <f>_xll.SNL.Clients.Office.Excel.Functions.SPG(A427,"IQ_AVG_DILUT_SHARES_OUT","CY2023")</f>
        <v>712000000</v>
      </c>
      <c r="D427" s="5">
        <f>_xll.SNL.Clients.Office.Excel.Functions.SPG(A427, "IQ_DILUT_EPS_NORM", "CY2023")</f>
        <v>1.5589999999999999</v>
      </c>
      <c r="E427">
        <f t="shared" si="74"/>
        <v>1110008</v>
      </c>
      <c r="F427">
        <f t="shared" si="75"/>
        <v>8.7622987053994322E-2</v>
      </c>
      <c r="G427" s="5">
        <f>_xll.SNL.Clients.Office.Excel.Functions.SPG(A427, "SP_MARKETCAP", "12/30/2023")</f>
        <v>12890.35892375</v>
      </c>
      <c r="H427">
        <f t="shared" si="79"/>
        <v>3.0679055568410944E-4</v>
      </c>
      <c r="I427">
        <f t="shared" si="80"/>
        <v>4.7828647631152659E-4</v>
      </c>
      <c r="K427" t="s">
        <v>427</v>
      </c>
      <c r="L427" s="4" cm="1">
        <f t="array" ref="L427">_xll.SNL.Clients.Office.Excel.Functions.SPG(K427, "SP_TOTAL_REV", "CY2023")</f>
        <v>12668000</v>
      </c>
      <c r="M427" s="4">
        <f>_xll.SNL.Clients.Office.Excel.Functions.SPG(K427,"IQ_AVG_DILUT_SHARES_OUT","CY2023")</f>
        <v>712000000</v>
      </c>
      <c r="N427" s="5">
        <f>_xll.SNL.Clients.Office.Excel.Functions.SPG(K427, "IQ_DILUT_EPS_NORM", "CY2023")</f>
        <v>1.5589999999999999</v>
      </c>
      <c r="O427">
        <f t="shared" si="76"/>
        <v>1110008</v>
      </c>
      <c r="P427">
        <f t="shared" si="77"/>
        <v>8.7622987053994322E-2</v>
      </c>
      <c r="Q427" s="5">
        <f>_xll.SNL.Clients.Office.Excel.Functions.SPG(K427, "SP_MARKETCAP", "12/31/2022")</f>
        <v>19210.235615279998</v>
      </c>
      <c r="R427">
        <f t="shared" si="81"/>
        <v>5.7012521969565587E-4</v>
      </c>
      <c r="S427">
        <f t="shared" si="82"/>
        <v>8.8882521750552747E-4</v>
      </c>
      <c r="U427" t="s">
        <v>427</v>
      </c>
      <c r="V427" s="4" cm="1">
        <f t="array" ref="V427">_xll.SNL.Clients.Office.Excel.Functions.SPG(U427, "SP_TOTAL_REV", "CY2021")</f>
        <v>11141000</v>
      </c>
      <c r="W427" s="4">
        <f>_xll.SNL.Clients.Office.Excel.Functions.SPG(U427,"IQ_AVG_DILUT_SHARES_OUT","CY2021")</f>
        <v>666000000</v>
      </c>
      <c r="X427" s="5">
        <f>_xll.SNL.Clients.Office.Excel.Functions.SPG(U427, "IQ_DILUT_EPS_NORM", "CY2021")</f>
        <v>2.6019999999999999</v>
      </c>
      <c r="Y427">
        <f t="shared" si="83"/>
        <v>1732932</v>
      </c>
      <c r="Z427">
        <f t="shared" si="84"/>
        <v>0.15554546270532268</v>
      </c>
      <c r="AA427" s="5">
        <f>_xll.SNL.Clients.Office.Excel.Functions.SPG(U427, "SP_MARKETCAP", "12/31/2021")</f>
        <v>16201.146044700001</v>
      </c>
      <c r="AB427">
        <f t="shared" si="78"/>
        <v>3.8182060691056813E-4</v>
      </c>
      <c r="AC427">
        <f t="shared" si="85"/>
        <v>9.934972191812982E-4</v>
      </c>
    </row>
    <row r="428" spans="1:29" x14ac:dyDescent="0.3">
      <c r="A428" t="s">
        <v>428</v>
      </c>
      <c r="B428" s="4" cm="1">
        <f t="array" ref="B428">_xll.SNL.Clients.Office.Excel.Functions.SPG(A428, "SP_TOTAL_REV", "CY2023")</f>
        <v>57094000</v>
      </c>
      <c r="C428" s="4">
        <f>_xll.SNL.Clients.Office.Excel.Functions.SPG(A428,"IQ_AVG_DILUT_SHARES_OUT","CY2023")</f>
        <v>262500000</v>
      </c>
      <c r="D428" s="5">
        <f>_xll.SNL.Clients.Office.Excel.Functions.SPG(A428, "IQ_DILUT_EPS_NORM", "CY2023")</f>
        <v>-0.33100000000000002</v>
      </c>
      <c r="E428">
        <f t="shared" si="74"/>
        <v>-86887.5</v>
      </c>
      <c r="F428">
        <f t="shared" si="75"/>
        <v>-1.5218324167162924E-3</v>
      </c>
      <c r="G428" s="5">
        <f>_xll.SNL.Clients.Office.Excel.Functions.SPG(A428, "SP_MARKETCAP", "12/30/2023")</f>
        <v>36630.955218720002</v>
      </c>
      <c r="H428">
        <f t="shared" si="79"/>
        <v>8.718167719973406E-4</v>
      </c>
      <c r="I428">
        <f t="shared" si="80"/>
        <v>-2.8857135153111975E-4</v>
      </c>
      <c r="K428" t="s">
        <v>428</v>
      </c>
      <c r="L428" s="4" cm="1">
        <f t="array" ref="L428">_xll.SNL.Clients.Office.Excel.Functions.SPG(K428, "SP_TOTAL_REV", "CY2023")</f>
        <v>57094000</v>
      </c>
      <c r="M428" s="4">
        <f>_xll.SNL.Clients.Office.Excel.Functions.SPG(K428,"IQ_AVG_DILUT_SHARES_OUT","CY2023")</f>
        <v>262500000</v>
      </c>
      <c r="N428" s="5">
        <f>_xll.SNL.Clients.Office.Excel.Functions.SPG(K428, "IQ_DILUT_EPS_NORM", "CY2023")</f>
        <v>-0.33100000000000002</v>
      </c>
      <c r="O428">
        <f t="shared" si="76"/>
        <v>-86887.5</v>
      </c>
      <c r="P428">
        <f t="shared" si="77"/>
        <v>-1.5218324167162924E-3</v>
      </c>
      <c r="Q428" s="5">
        <f>_xll.SNL.Clients.Office.Excel.Functions.SPG(K428, "SP_MARKETCAP", "12/31/2022")</f>
        <v>35962.4182344</v>
      </c>
      <c r="R428">
        <f t="shared" si="81"/>
        <v>1.0672998503134454E-3</v>
      </c>
      <c r="S428">
        <f t="shared" si="82"/>
        <v>-3.5327625045375043E-4</v>
      </c>
      <c r="U428" t="s">
        <v>428</v>
      </c>
      <c r="V428" s="4" cm="1">
        <f t="array" ref="V428">_xll.SNL.Clients.Office.Excel.Functions.SPG(U428, "SP_TOTAL_REV", "CY2021")</f>
        <v>50588000</v>
      </c>
      <c r="W428" s="4">
        <f>_xll.SNL.Clients.Office.Excel.Functions.SPG(U428,"IQ_AVG_DILUT_SHARES_OUT","CY2021")</f>
        <v>299100000</v>
      </c>
      <c r="X428" s="5">
        <f>_xll.SNL.Clients.Office.Excel.Functions.SPG(U428, "IQ_DILUT_EPS_NORM", "CY2021")</f>
        <v>14.038</v>
      </c>
      <c r="Y428">
        <f t="shared" si="83"/>
        <v>4198765.8</v>
      </c>
      <c r="Z428">
        <f t="shared" si="84"/>
        <v>8.2999244880208739E-2</v>
      </c>
      <c r="AA428" s="5">
        <f>_xll.SNL.Clients.Office.Excel.Functions.SPG(U428, "SP_MARKETCAP", "12/31/2021")</f>
        <v>33727.436223650002</v>
      </c>
      <c r="AB428">
        <f t="shared" si="78"/>
        <v>7.9487155618008533E-4</v>
      </c>
      <c r="AC428">
        <f t="shared" si="85"/>
        <v>1.1158406905656039E-2</v>
      </c>
    </row>
    <row r="429" spans="1:29" x14ac:dyDescent="0.3">
      <c r="A429" t="s">
        <v>429</v>
      </c>
      <c r="B429" s="4" cm="1">
        <f t="array" ref="B429">_xll.SNL.Clients.Office.Excel.Functions.SPG(A429, "SP_TOTAL_REV", "CY2023")</f>
        <v>17383000</v>
      </c>
      <c r="C429" s="4">
        <f>_xll.SNL.Clients.Office.Excel.Functions.SPG(A429,"IQ_AVG_DILUT_SHARES_OUT","CY2023")</f>
        <v>787798000</v>
      </c>
      <c r="D429" s="5">
        <f>_xll.SNL.Clients.Office.Excel.Functions.SPG(A429, "IQ_DILUT_EPS_NORM", "CY2023")</f>
        <v>4.0279999999999996</v>
      </c>
      <c r="E429">
        <f t="shared" si="74"/>
        <v>3173250.3439999996</v>
      </c>
      <c r="F429">
        <f t="shared" si="75"/>
        <v>0.18254906195708448</v>
      </c>
      <c r="G429" s="5">
        <f>_xll.SNL.Clients.Office.Excel.Functions.SPG(A429, "SP_MARKETCAP", "12/30/2023")</f>
        <v>40030.264119899999</v>
      </c>
      <c r="H429">
        <f t="shared" si="79"/>
        <v>9.5272032735245883E-4</v>
      </c>
      <c r="I429">
        <f t="shared" si="80"/>
        <v>3.8375574785757039E-3</v>
      </c>
      <c r="K429" t="s">
        <v>429</v>
      </c>
      <c r="L429" s="4" cm="1">
        <f t="array" ref="L429">_xll.SNL.Clients.Office.Excel.Functions.SPG(K429, "SP_TOTAL_REV", "CY2023")</f>
        <v>17383000</v>
      </c>
      <c r="M429" s="4">
        <f>_xll.SNL.Clients.Office.Excel.Functions.SPG(K429,"IQ_AVG_DILUT_SHARES_OUT","CY2023")</f>
        <v>787798000</v>
      </c>
      <c r="N429" s="5">
        <f>_xll.SNL.Clients.Office.Excel.Functions.SPG(K429, "IQ_DILUT_EPS_NORM", "CY2023")</f>
        <v>4.0279999999999996</v>
      </c>
      <c r="O429">
        <f t="shared" si="76"/>
        <v>3173250.3439999996</v>
      </c>
      <c r="P429">
        <f t="shared" si="77"/>
        <v>0.18254906195708448</v>
      </c>
      <c r="Q429" s="5">
        <f>_xll.SNL.Clients.Office.Excel.Functions.SPG(K429, "SP_MARKETCAP", "12/31/2022")</f>
        <v>36792.90327848</v>
      </c>
      <c r="R429">
        <f t="shared" si="81"/>
        <v>1.0919471517673357E-3</v>
      </c>
      <c r="S429">
        <f t="shared" si="82"/>
        <v>4.398363127318828E-3</v>
      </c>
      <c r="U429" t="s">
        <v>429</v>
      </c>
      <c r="V429" s="4" cm="1">
        <f t="array" ref="V429">_xll.SNL.Clients.Office.Excel.Functions.SPG(U429, "SP_TOTAL_REV", "CY2021")</f>
        <v>16162000</v>
      </c>
      <c r="W429" s="4">
        <f>_xll.SNL.Clients.Office.Excel.Functions.SPG(U429,"IQ_AVG_DILUT_SHARES_OUT","CY2021")</f>
        <v>856359000</v>
      </c>
      <c r="X429" s="5">
        <f>_xll.SNL.Clients.Office.Excel.Functions.SPG(U429, "IQ_DILUT_EPS_NORM", "CY2021")</f>
        <v>3.3780000000000001</v>
      </c>
      <c r="Y429">
        <f t="shared" si="83"/>
        <v>2892780.702</v>
      </c>
      <c r="Z429">
        <f t="shared" si="84"/>
        <v>0.17898655500556862</v>
      </c>
      <c r="AA429" s="5">
        <f>_xll.SNL.Clients.Office.Excel.Functions.SPG(U429, "SP_MARKETCAP", "12/31/2021")</f>
        <v>47963.68733904</v>
      </c>
      <c r="AB429">
        <f t="shared" si="78"/>
        <v>1.1303844900189652E-3</v>
      </c>
      <c r="AC429">
        <f t="shared" si="85"/>
        <v>3.8184388072840646E-3</v>
      </c>
    </row>
    <row r="430" spans="1:29" x14ac:dyDescent="0.3">
      <c r="A430" t="s">
        <v>430</v>
      </c>
      <c r="B430" s="4" cm="1">
        <f t="array" ref="B430">_xll.SNL.Clients.Office.Excel.Functions.SPG(A430, "SP_TOTAL_REV", "CY2023")</f>
        <v>77794000</v>
      </c>
      <c r="C430" s="4">
        <f>_xll.SNL.Clients.Office.Excel.Functions.SPG(A430,"IQ_AVG_DILUT_SHARES_OUT","CY2023")</f>
        <v>605800000</v>
      </c>
      <c r="D430" s="5">
        <f>_xll.SNL.Clients.Office.Excel.Functions.SPG(A430, "IQ_DILUT_EPS_NORM", "CY2023")</f>
        <v>-0.46200000000000002</v>
      </c>
      <c r="E430">
        <f t="shared" si="74"/>
        <v>-279879.59999999998</v>
      </c>
      <c r="F430">
        <f t="shared" si="75"/>
        <v>-3.5977016222330767E-3</v>
      </c>
      <c r="G430" s="5">
        <f>_xll.SNL.Clients.Office.Excel.Functions.SPG(A430, "SP_MARKETCAP", "12/30/2023")</f>
        <v>157693.25190602001</v>
      </c>
      <c r="H430">
        <f t="shared" si="79"/>
        <v>3.7530995580538893E-3</v>
      </c>
      <c r="I430">
        <f t="shared" si="80"/>
        <v>-1.7339319958208969E-3</v>
      </c>
      <c r="K430" t="s">
        <v>430</v>
      </c>
      <c r="L430" s="4" cm="1">
        <f t="array" ref="L430">_xll.SNL.Clients.Office.Excel.Functions.SPG(K430, "SP_TOTAL_REV", "CY2023")</f>
        <v>77794000</v>
      </c>
      <c r="M430" s="4">
        <f>_xll.SNL.Clients.Office.Excel.Functions.SPG(K430,"IQ_AVG_DILUT_SHARES_OUT","CY2023")</f>
        <v>605800000</v>
      </c>
      <c r="N430" s="5">
        <f>_xll.SNL.Clients.Office.Excel.Functions.SPG(K430, "IQ_DILUT_EPS_NORM", "CY2023")</f>
        <v>-0.46200000000000002</v>
      </c>
      <c r="O430">
        <f t="shared" si="76"/>
        <v>-279879.59999999998</v>
      </c>
      <c r="P430">
        <f t="shared" si="77"/>
        <v>-3.5977016222330767E-3</v>
      </c>
      <c r="Q430" s="5">
        <f>_xll.SNL.Clients.Office.Excel.Functions.SPG(K430, "SP_MARKETCAP", "12/31/2022")</f>
        <v>113528.83824408001</v>
      </c>
      <c r="R430">
        <f t="shared" si="81"/>
        <v>3.3693315970687683E-3</v>
      </c>
      <c r="S430">
        <f t="shared" si="82"/>
        <v>-1.556631197845771E-3</v>
      </c>
      <c r="U430" t="s">
        <v>430</v>
      </c>
      <c r="V430" s="4" cm="1">
        <f t="array" ref="V430">_xll.SNL.Clients.Office.Excel.Functions.SPG(U430, "SP_TOTAL_REV", "CY2021")</f>
        <v>62286000</v>
      </c>
      <c r="W430" s="4">
        <f>_xll.SNL.Clients.Office.Excel.Functions.SPG(U430,"IQ_AVG_DILUT_SHARES_OUT","CY2021")</f>
        <v>587600000</v>
      </c>
      <c r="X430" s="5">
        <f>_xll.SNL.Clients.Office.Excel.Functions.SPG(U430, "IQ_DILUT_EPS_NORM", "CY2021")</f>
        <v>-2.9929999999999999</v>
      </c>
      <c r="Y430">
        <f t="shared" si="83"/>
        <v>-1758686.8</v>
      </c>
      <c r="Z430">
        <f t="shared" si="84"/>
        <v>-2.8235667726294836E-2</v>
      </c>
      <c r="AA430" s="5">
        <f>_xll.SNL.Clients.Office.Excel.Functions.SPG(U430, "SP_MARKETCAP", "12/31/2021")</f>
        <v>118315.60777567999</v>
      </c>
      <c r="AB430">
        <f t="shared" si="78"/>
        <v>2.7884037983029854E-3</v>
      </c>
      <c r="AC430">
        <f t="shared" si="85"/>
        <v>-8.3456925683208349E-3</v>
      </c>
    </row>
    <row r="431" spans="1:29" x14ac:dyDescent="0.3">
      <c r="A431" t="s">
        <v>431</v>
      </c>
      <c r="B431" s="4" cm="1">
        <f t="array" ref="B431">_xll.SNL.Clients.Office.Excel.Functions.SPG(A431, "SP_TOTAL_REV", "CY2023")</f>
        <v>9271000</v>
      </c>
      <c r="C431" s="4">
        <f>_xll.SNL.Clients.Office.Excel.Functions.SPG(A431,"IQ_AVG_DILUT_SHARES_OUT","CY2023")</f>
        <v>300000000</v>
      </c>
      <c r="D431" s="5">
        <f>_xll.SNL.Clients.Office.Excel.Functions.SPG(A431, "IQ_DILUT_EPS_NORM", "CY2023")</f>
        <v>2.444</v>
      </c>
      <c r="E431">
        <f t="shared" si="74"/>
        <v>733200</v>
      </c>
      <c r="F431">
        <f t="shared" si="75"/>
        <v>7.9085319814475252E-2</v>
      </c>
      <c r="G431" s="5">
        <f>_xll.SNL.Clients.Office.Excel.Functions.SPG(A431, "SP_MARKETCAP", "12/30/2023")</f>
        <v>12886.855867050001</v>
      </c>
      <c r="H431">
        <f t="shared" si="79"/>
        <v>3.0670718293103537E-4</v>
      </c>
      <c r="I431">
        <f t="shared" si="80"/>
        <v>7.4959235508345037E-4</v>
      </c>
      <c r="K431" t="s">
        <v>431</v>
      </c>
      <c r="L431" s="4" cm="1">
        <f t="array" ref="L431">_xll.SNL.Clients.Office.Excel.Functions.SPG(K431, "SP_TOTAL_REV", "CY2023")</f>
        <v>9271000</v>
      </c>
      <c r="M431" s="4">
        <f>_xll.SNL.Clients.Office.Excel.Functions.SPG(K431,"IQ_AVG_DILUT_SHARES_OUT","CY2023")</f>
        <v>300000000</v>
      </c>
      <c r="N431" s="5">
        <f>_xll.SNL.Clients.Office.Excel.Functions.SPG(K431, "IQ_DILUT_EPS_NORM", "CY2023")</f>
        <v>2.444</v>
      </c>
      <c r="O431">
        <f t="shared" si="76"/>
        <v>733200</v>
      </c>
      <c r="P431">
        <f t="shared" si="77"/>
        <v>7.9085319814475252E-2</v>
      </c>
      <c r="Q431" s="5">
        <f>_xll.SNL.Clients.Office.Excel.Functions.SPG(K431, "SP_MARKETCAP", "12/31/2022")</f>
        <v>16994.784256999999</v>
      </c>
      <c r="R431">
        <f t="shared" si="81"/>
        <v>5.0437461061099919E-4</v>
      </c>
      <c r="S431">
        <f t="shared" si="82"/>
        <v>1.2326915483332819E-3</v>
      </c>
      <c r="U431" t="s">
        <v>431</v>
      </c>
      <c r="V431" s="4" cm="1">
        <f t="array" ref="V431">_xll.SNL.Clients.Office.Excel.Functions.SPG(U431, "SP_TOTAL_REV", "CY2021")</f>
        <v>8302000</v>
      </c>
      <c r="W431" s="4">
        <f>_xll.SNL.Clients.Office.Excel.Functions.SPG(U431,"IQ_AVG_DILUT_SHARES_OUT","CY2021")</f>
        <v>304000000</v>
      </c>
      <c r="X431" s="5">
        <f>_xll.SNL.Clients.Office.Excel.Functions.SPG(U431, "IQ_DILUT_EPS_NORM", "CY2021")</f>
        <v>2.5369999999999999</v>
      </c>
      <c r="Y431">
        <f t="shared" si="83"/>
        <v>771248</v>
      </c>
      <c r="Z431">
        <f t="shared" si="84"/>
        <v>9.289906046735727E-2</v>
      </c>
      <c r="AA431" s="5">
        <f>_xll.SNL.Clients.Office.Excel.Functions.SPG(U431, "SP_MARKETCAP", "12/31/2021")</f>
        <v>13113.52817788</v>
      </c>
      <c r="AB431">
        <f t="shared" si="78"/>
        <v>3.0905315425231659E-4</v>
      </c>
      <c r="AC431">
        <f t="shared" si="85"/>
        <v>7.8406785233812721E-4</v>
      </c>
    </row>
    <row r="432" spans="1:29" x14ac:dyDescent="0.3">
      <c r="A432" t="s">
        <v>432</v>
      </c>
      <c r="B432" s="4" cm="1">
        <f t="array" ref="B432">_xll.SNL.Clients.Office.Excel.Functions.SPG(A432, "SP_TOTAL_REV", "CY2023")</f>
        <v>18837000</v>
      </c>
      <c r="C432" s="4">
        <f>_xll.SNL.Clients.Office.Excel.Functions.SPG(A432,"IQ_AVG_DILUT_SHARES_OUT","CY2023")</f>
        <v>1831000000</v>
      </c>
      <c r="D432" s="5">
        <f>_xll.SNL.Clients.Office.Excel.Functions.SPG(A432, "IQ_DILUT_EPS_NORM", "CY2023")</f>
        <v>2.4729999999999999</v>
      </c>
      <c r="E432">
        <f t="shared" si="74"/>
        <v>4528063</v>
      </c>
      <c r="F432">
        <f t="shared" si="75"/>
        <v>0.24038132399001963</v>
      </c>
      <c r="G432" s="5">
        <f>_xll.SNL.Clients.Office.Excel.Functions.SPG(A432, "SP_MARKETCAP", "12/30/2023")</f>
        <v>125446.0281904</v>
      </c>
      <c r="H432">
        <f t="shared" si="79"/>
        <v>2.9856156003529818E-3</v>
      </c>
      <c r="I432">
        <f t="shared" si="80"/>
        <v>7.3834273796729239E-3</v>
      </c>
      <c r="K432" t="s">
        <v>432</v>
      </c>
      <c r="L432" s="4" cm="1">
        <f t="array" ref="L432">_xll.SNL.Clients.Office.Excel.Functions.SPG(K432, "SP_TOTAL_REV", "CY2023")</f>
        <v>18837000</v>
      </c>
      <c r="M432" s="4">
        <f>_xll.SNL.Clients.Office.Excel.Functions.SPG(K432,"IQ_AVG_DILUT_SHARES_OUT","CY2023")</f>
        <v>1831000000</v>
      </c>
      <c r="N432" s="5">
        <f>_xll.SNL.Clients.Office.Excel.Functions.SPG(K432, "IQ_DILUT_EPS_NORM", "CY2023")</f>
        <v>2.4729999999999999</v>
      </c>
      <c r="O432">
        <f t="shared" si="76"/>
        <v>4528063</v>
      </c>
      <c r="P432">
        <f t="shared" si="77"/>
        <v>0.24038132399001963</v>
      </c>
      <c r="Q432" s="5">
        <f>_xll.SNL.Clients.Office.Excel.Functions.SPG(K432, "SP_MARKETCAP", "12/31/2022")</f>
        <v>155424.72011272001</v>
      </c>
      <c r="R432">
        <f t="shared" si="81"/>
        <v>4.6127259693742569E-3</v>
      </c>
      <c r="S432">
        <f t="shared" si="82"/>
        <v>1.1407271322262536E-2</v>
      </c>
      <c r="U432" t="s">
        <v>432</v>
      </c>
      <c r="V432" s="4" cm="1">
        <f t="array" ref="V432">_xll.SNL.Clients.Office.Excel.Functions.SPG(U432, "SP_TOTAL_REV", "CY2021")</f>
        <v>18520000</v>
      </c>
      <c r="W432" s="4">
        <f>_xll.SNL.Clients.Office.Excel.Functions.SPG(U432,"IQ_AVG_DILUT_SHARES_OUT","CY2021")</f>
        <v>1897000000</v>
      </c>
      <c r="X432" s="5">
        <f>_xll.SNL.Clients.Office.Excel.Functions.SPG(U432, "IQ_DILUT_EPS_NORM", "CY2021")</f>
        <v>2.6909999999999998</v>
      </c>
      <c r="Y432">
        <f t="shared" si="83"/>
        <v>5104827</v>
      </c>
      <c r="Z432">
        <f t="shared" si="84"/>
        <v>0.27563860691144709</v>
      </c>
      <c r="AA432" s="5">
        <f>_xll.SNL.Clients.Office.Excel.Functions.SPG(U432, "SP_MARKETCAP", "12/31/2021")</f>
        <v>158999.45579499999</v>
      </c>
      <c r="AB432">
        <f t="shared" si="78"/>
        <v>3.747220631342757E-3</v>
      </c>
      <c r="AC432">
        <f t="shared" si="85"/>
        <v>1.0083770718943359E-2</v>
      </c>
    </row>
    <row r="433" spans="1:29" x14ac:dyDescent="0.3">
      <c r="A433" t="s">
        <v>433</v>
      </c>
      <c r="B433" s="4" cm="1">
        <f t="array" ref="B433">_xll.SNL.Clients.Office.Excel.Functions.SPG(A433, "SP_TOTAL_REV", "CY2023")</f>
        <v>195187000</v>
      </c>
      <c r="C433" s="4">
        <f>_xll.SNL.Clients.Office.Excel.Functions.SPG(A433,"IQ_AVG_DILUT_SHARES_OUT","CY2023")</f>
        <v>296882000</v>
      </c>
      <c r="D433" s="5">
        <f>_xll.SNL.Clients.Office.Excel.Functions.SPG(A433, "IQ_DILUT_EPS_NORM", "CY2023")</f>
        <v>15.11</v>
      </c>
      <c r="E433">
        <f t="shared" si="74"/>
        <v>4485887.0199999996</v>
      </c>
      <c r="F433">
        <f t="shared" si="75"/>
        <v>2.2982509183500949E-2</v>
      </c>
      <c r="G433" s="5">
        <f>_xll.SNL.Clients.Office.Excel.Functions.SPG(A433, "SP_MARKETCAP", "12/30/2023")</f>
        <v>87625.048818700001</v>
      </c>
      <c r="H433">
        <f t="shared" si="79"/>
        <v>2.085476252286981E-3</v>
      </c>
      <c r="I433">
        <f t="shared" si="80"/>
        <v>3.151154617205628E-2</v>
      </c>
      <c r="K433" t="s">
        <v>433</v>
      </c>
      <c r="L433" s="4" cm="1">
        <f t="array" ref="L433">_xll.SNL.Clients.Office.Excel.Functions.SPG(K433, "SP_TOTAL_REV", "CY2023")</f>
        <v>195187000</v>
      </c>
      <c r="M433" s="4">
        <f>_xll.SNL.Clients.Office.Excel.Functions.SPG(K433,"IQ_AVG_DILUT_SHARES_OUT","CY2023")</f>
        <v>296882000</v>
      </c>
      <c r="N433" s="5">
        <f>_xll.SNL.Clients.Office.Excel.Functions.SPG(K433, "IQ_DILUT_EPS_NORM", "CY2023")</f>
        <v>15.11</v>
      </c>
      <c r="O433">
        <f t="shared" si="76"/>
        <v>4485887.0199999996</v>
      </c>
      <c r="P433">
        <f t="shared" si="77"/>
        <v>2.2982509183500949E-2</v>
      </c>
      <c r="Q433" s="5">
        <f>_xll.SNL.Clients.Office.Excel.Functions.SPG(K433, "SP_MARKETCAP", "12/31/2022")</f>
        <v>101303.56158536</v>
      </c>
      <c r="R433">
        <f t="shared" si="81"/>
        <v>3.006507388116903E-3</v>
      </c>
      <c r="S433">
        <f t="shared" si="82"/>
        <v>4.5428326634446403E-2</v>
      </c>
      <c r="U433" t="s">
        <v>433</v>
      </c>
      <c r="V433" s="4" cm="1">
        <f t="array" ref="V433">_xll.SNL.Clients.Office.Excel.Functions.SPG(U433, "SP_TOTAL_REV", "CY2021")</f>
        <v>174274000</v>
      </c>
      <c r="W433" s="4">
        <f>_xll.SNL.Clients.Office.Excel.Functions.SPG(U433,"IQ_AVG_DILUT_SHARES_OUT","CY2021")</f>
        <v>340966000</v>
      </c>
      <c r="X433" s="5">
        <f>_xll.SNL.Clients.Office.Excel.Functions.SPG(U433, "IQ_DILUT_EPS_NORM", "CY2021")</f>
        <v>13.125999999999999</v>
      </c>
      <c r="Y433">
        <f t="shared" si="83"/>
        <v>4475519.716</v>
      </c>
      <c r="Z433">
        <f t="shared" si="84"/>
        <v>2.5680937581050528E-2</v>
      </c>
      <c r="AA433" s="5">
        <f>_xll.SNL.Clients.Office.Excel.Functions.SPG(U433, "SP_MARKETCAP", "12/31/2021")</f>
        <v>76105.759973249995</v>
      </c>
      <c r="AB433">
        <f t="shared" si="78"/>
        <v>1.7936229561909627E-3</v>
      </c>
      <c r="AC433">
        <f t="shared" si="85"/>
        <v>2.3543094922962575E-2</v>
      </c>
    </row>
    <row r="434" spans="1:29" x14ac:dyDescent="0.3">
      <c r="A434" t="s">
        <v>434</v>
      </c>
      <c r="B434" s="4" cm="1">
        <f t="array" ref="B434">_xll.SNL.Clients.Office.Excel.Functions.SPG(A434, "SP_TOTAL_REV", "CY2023")</f>
        <v>7310000</v>
      </c>
      <c r="C434" s="4">
        <f>_xll.SNL.Clients.Office.Excel.Functions.SPG(A434,"IQ_AVG_DILUT_SHARES_OUT","CY2023")</f>
        <v>124523000</v>
      </c>
      <c r="D434" s="5">
        <f>_xll.SNL.Clients.Office.Excel.Functions.SPG(A434, "IQ_DILUT_EPS_NORM", "CY2023")</f>
        <v>3.7050000000000001</v>
      </c>
      <c r="E434">
        <f t="shared" si="74"/>
        <v>461357.71500000003</v>
      </c>
      <c r="F434">
        <f t="shared" si="75"/>
        <v>6.3113230506155957E-2</v>
      </c>
      <c r="G434" s="5">
        <f>_xll.SNL.Clients.Office.Excel.Functions.SPG(A434, "SP_MARKETCAP", "12/30/2023")</f>
        <v>17689.586783819999</v>
      </c>
      <c r="H434">
        <f t="shared" si="79"/>
        <v>4.2101218370509271E-4</v>
      </c>
      <c r="I434">
        <f t="shared" si="80"/>
        <v>1.5598501406273685E-3</v>
      </c>
      <c r="K434" t="s">
        <v>434</v>
      </c>
      <c r="L434" s="4" cm="1">
        <f t="array" ref="L434">_xll.SNL.Clients.Office.Excel.Functions.SPG(K434, "SP_TOTAL_REV", "CY2023")</f>
        <v>7310000</v>
      </c>
      <c r="M434" s="4">
        <f>_xll.SNL.Clients.Office.Excel.Functions.SPG(K434,"IQ_AVG_DILUT_SHARES_OUT","CY2023")</f>
        <v>124523000</v>
      </c>
      <c r="N434" s="5">
        <f>_xll.SNL.Clients.Office.Excel.Functions.SPG(K434, "IQ_DILUT_EPS_NORM", "CY2023")</f>
        <v>3.7050000000000001</v>
      </c>
      <c r="O434">
        <f t="shared" si="76"/>
        <v>461357.71500000003</v>
      </c>
      <c r="P434">
        <f t="shared" si="77"/>
        <v>6.3113230506155957E-2</v>
      </c>
      <c r="Q434" s="5">
        <f>_xll.SNL.Clients.Office.Excel.Functions.SPG(K434, "SP_MARKETCAP", "12/31/2022")</f>
        <v>17314.588563009998</v>
      </c>
      <c r="R434">
        <f t="shared" si="81"/>
        <v>5.1386582684983292E-4</v>
      </c>
      <c r="S434">
        <f t="shared" si="82"/>
        <v>1.903872888478631E-3</v>
      </c>
      <c r="U434" t="s">
        <v>434</v>
      </c>
      <c r="V434" s="4" cm="1">
        <f t="array" ref="V434">_xll.SNL.Clients.Office.Excel.Functions.SPG(U434, "SP_TOTAL_REV", "CY2021")</f>
        <v>7080000</v>
      </c>
      <c r="W434" s="4">
        <f>_xll.SNL.Clients.Office.Excel.Functions.SPG(U434,"IQ_AVG_DILUT_SHARES_OUT","CY2021")</f>
        <v>125058500</v>
      </c>
      <c r="X434" s="5">
        <f>_xll.SNL.Clients.Office.Excel.Functions.SPG(U434, "IQ_DILUT_EPS_NORM", "CY2021")</f>
        <v>3.0470000000000002</v>
      </c>
      <c r="Y434">
        <f t="shared" si="83"/>
        <v>381053.24949999998</v>
      </c>
      <c r="Z434">
        <f t="shared" si="84"/>
        <v>5.3821080437853101E-2</v>
      </c>
      <c r="AA434" s="5">
        <f>_xll.SNL.Clients.Office.Excel.Functions.SPG(U434, "SP_MARKETCAP", "12/31/2021")</f>
        <v>21422.351879760001</v>
      </c>
      <c r="AB434">
        <f t="shared" si="78"/>
        <v>5.0487140685072287E-4</v>
      </c>
      <c r="AC434">
        <f t="shared" si="85"/>
        <v>1.5383431766741527E-3</v>
      </c>
    </row>
    <row r="435" spans="1:29" x14ac:dyDescent="0.3">
      <c r="A435" t="s">
        <v>435</v>
      </c>
      <c r="B435" s="4" cm="1">
        <f t="array" ref="B435">_xll.SNL.Clients.Office.Excel.Functions.SPG(A435, "SP_TOTAL_REV", "CY2023")</f>
        <v>45754000</v>
      </c>
      <c r="C435" s="4">
        <f>_xll.SNL.Clients.Office.Excel.Functions.SPG(A435,"IQ_AVG_DILUT_SHARES_OUT","CY2023")</f>
        <v>4339000000</v>
      </c>
      <c r="D435" s="5">
        <f>_xll.SNL.Clients.Office.Excel.Functions.SPG(A435, "IQ_DILUT_EPS_NORM", "CY2023")</f>
        <v>2.0510000000000002</v>
      </c>
      <c r="E435">
        <f t="shared" si="74"/>
        <v>8899289</v>
      </c>
      <c r="F435">
        <f t="shared" si="75"/>
        <v>0.19450297241771211</v>
      </c>
      <c r="G435" s="5">
        <f>_xll.SNL.Clients.Office.Excel.Functions.SPG(A435, "SP_MARKETCAP", "12/30/2023")</f>
        <v>254778.77582330001</v>
      </c>
      <c r="H435">
        <f t="shared" si="79"/>
        <v>6.0637351274473554E-3</v>
      </c>
      <c r="I435">
        <f t="shared" si="80"/>
        <v>1.2436720746394526E-2</v>
      </c>
      <c r="K435" t="s">
        <v>435</v>
      </c>
      <c r="L435" s="4" cm="1">
        <f t="array" ref="L435">_xll.SNL.Clients.Office.Excel.Functions.SPG(K435, "SP_TOTAL_REV", "CY2023")</f>
        <v>45754000</v>
      </c>
      <c r="M435" s="4">
        <f>_xll.SNL.Clients.Office.Excel.Functions.SPG(K435,"IQ_AVG_DILUT_SHARES_OUT","CY2023")</f>
        <v>4339000000</v>
      </c>
      <c r="N435" s="5">
        <f>_xll.SNL.Clients.Office.Excel.Functions.SPG(K435, "IQ_DILUT_EPS_NORM", "CY2023")</f>
        <v>2.0510000000000002</v>
      </c>
      <c r="O435">
        <f t="shared" si="76"/>
        <v>8899289</v>
      </c>
      <c r="P435">
        <f t="shared" si="77"/>
        <v>0.19450297241771211</v>
      </c>
      <c r="Q435" s="5">
        <f>_xll.SNL.Clients.Office.Excel.Functions.SPG(K435, "SP_MARKETCAP", "12/31/2022")</f>
        <v>275082.28872304002</v>
      </c>
      <c r="R435">
        <f t="shared" si="81"/>
        <v>8.1639472536121273E-3</v>
      </c>
      <c r="S435">
        <f t="shared" si="82"/>
        <v>1.6744255817158476E-2</v>
      </c>
      <c r="U435" t="s">
        <v>435</v>
      </c>
      <c r="V435" s="4" cm="1">
        <f t="array" ref="V435">_xll.SNL.Clients.Office.Excel.Functions.SPG(U435, "SP_TOTAL_REV", "CY2021")</f>
        <v>38655000</v>
      </c>
      <c r="W435" s="4">
        <f>_xll.SNL.Clients.Office.Excel.Functions.SPG(U435,"IQ_AVG_DILUT_SHARES_OUT","CY2021")</f>
        <v>4340000000</v>
      </c>
      <c r="X435" s="5">
        <f>_xll.SNL.Clients.Office.Excel.Functions.SPG(U435, "IQ_DILUT_EPS_NORM", "CY2021")</f>
        <v>1.655</v>
      </c>
      <c r="Y435">
        <f t="shared" si="83"/>
        <v>7182700</v>
      </c>
      <c r="Z435">
        <f t="shared" si="84"/>
        <v>0.18581554779459319</v>
      </c>
      <c r="AA435" s="5">
        <f>_xll.SNL.Clients.Office.Excel.Functions.SPG(U435, "SP_MARKETCAP", "12/31/2021")</f>
        <v>255752.87217356</v>
      </c>
      <c r="AB435">
        <f t="shared" si="78"/>
        <v>6.0274573541280532E-3</v>
      </c>
      <c r="AC435">
        <f t="shared" si="85"/>
        <v>9.9754419210819276E-3</v>
      </c>
    </row>
    <row r="436" spans="1:29" x14ac:dyDescent="0.3">
      <c r="A436" t="s">
        <v>436</v>
      </c>
      <c r="B436" s="4" cm="1">
        <f t="array" ref="B436">_xll.SNL.Clients.Office.Excel.Functions.SPG(A436, "SP_TOTAL_REV", "CY2023")</f>
        <v>3666300</v>
      </c>
      <c r="C436" s="4">
        <f>_xll.SNL.Clients.Office.Excel.Functions.SPG(A436,"IQ_AVG_DILUT_SHARES_OUT","CY2023")</f>
        <v>199500000</v>
      </c>
      <c r="D436" s="5">
        <f>_xll.SNL.Clients.Office.Excel.Functions.SPG(A436, "IQ_DILUT_EPS_NORM", "CY2023")</f>
        <v>1.1870000000000001</v>
      </c>
      <c r="E436">
        <f t="shared" si="74"/>
        <v>236806.5</v>
      </c>
      <c r="F436">
        <f t="shared" si="75"/>
        <v>6.459004991408232E-2</v>
      </c>
      <c r="G436" s="5">
        <f>_xll.SNL.Clients.Office.Excel.Functions.SPG(A436, "SP_MARKETCAP", "12/30/2023")</f>
        <v>18742.612628080002</v>
      </c>
      <c r="H436">
        <f t="shared" si="79"/>
        <v>4.4607419988487739E-4</v>
      </c>
      <c r="I436">
        <f t="shared" si="80"/>
        <v>5.2949007526334945E-4</v>
      </c>
      <c r="K436" t="s">
        <v>436</v>
      </c>
      <c r="L436" s="4" cm="1">
        <f t="array" ref="L436">_xll.SNL.Clients.Office.Excel.Functions.SPG(K436, "SP_TOTAL_REV", "CY2023")</f>
        <v>3666300</v>
      </c>
      <c r="M436" s="4">
        <f>_xll.SNL.Clients.Office.Excel.Functions.SPG(K436,"IQ_AVG_DILUT_SHARES_OUT","CY2023")</f>
        <v>199500000</v>
      </c>
      <c r="N436" s="5">
        <f>_xll.SNL.Clients.Office.Excel.Functions.SPG(K436, "IQ_DILUT_EPS_NORM", "CY2023")</f>
        <v>1.1870000000000001</v>
      </c>
      <c r="O436">
        <f t="shared" si="76"/>
        <v>236806.5</v>
      </c>
      <c r="P436">
        <f t="shared" si="77"/>
        <v>6.459004991408232E-2</v>
      </c>
      <c r="Q436" s="5">
        <f>_xll.SNL.Clients.Office.Excel.Functions.SPG(K436, "SP_MARKETCAP", "12/31/2022")</f>
        <v>16320.01415728</v>
      </c>
      <c r="R436">
        <f t="shared" si="81"/>
        <v>4.843486484598152E-4</v>
      </c>
      <c r="S436">
        <f t="shared" si="82"/>
        <v>5.7492184572180069E-4</v>
      </c>
      <c r="U436" t="s">
        <v>436</v>
      </c>
      <c r="V436" s="4" cm="1">
        <f t="array" ref="V436">_xll.SNL.Clients.Office.Excel.Functions.SPG(U436, "SP_TOTAL_REV", "CY2021")</f>
        <v>3029200</v>
      </c>
      <c r="W436" s="4">
        <f>_xll.SNL.Clients.Office.Excel.Functions.SPG(U436,"IQ_AVG_DILUT_SHARES_OUT","CY2021")</f>
        <v>199400000</v>
      </c>
      <c r="X436" s="5">
        <f>_xll.SNL.Clients.Office.Excel.Functions.SPG(U436, "IQ_DILUT_EPS_NORM", "CY2021")</f>
        <v>1.681</v>
      </c>
      <c r="Y436">
        <f t="shared" si="83"/>
        <v>335191.40000000002</v>
      </c>
      <c r="Z436">
        <f t="shared" si="84"/>
        <v>0.11065343985210617</v>
      </c>
      <c r="AA436" s="5">
        <f>_xll.SNL.Clients.Office.Excel.Functions.SPG(U436, "SP_MARKETCAP", "12/31/2021")</f>
        <v>20698.9958988</v>
      </c>
      <c r="AB436">
        <f t="shared" si="78"/>
        <v>4.8782371041613089E-4</v>
      </c>
      <c r="AC436">
        <f t="shared" si="85"/>
        <v>8.2003165720951601E-4</v>
      </c>
    </row>
    <row r="437" spans="1:29" x14ac:dyDescent="0.3">
      <c r="A437" t="s">
        <v>437</v>
      </c>
      <c r="B437" s="4" cm="1">
        <f t="array" ref="B437">_xll.SNL.Clients.Office.Excel.Functions.SPG(A437, "SP_TOTAL_REV", "CY2023")</f>
        <v>15157000</v>
      </c>
      <c r="C437" s="4">
        <f>_xll.SNL.Clients.Office.Excel.Functions.SPG(A437,"IQ_AVG_DILUT_SHARES_OUT","CY2023")</f>
        <v>360600000</v>
      </c>
      <c r="D437" s="5">
        <f>_xll.SNL.Clients.Office.Excel.Functions.SPG(A437, "IQ_DILUT_EPS_NORM", "CY2023")</f>
        <v>1.413</v>
      </c>
      <c r="E437">
        <f t="shared" si="74"/>
        <v>509527.8</v>
      </c>
      <c r="F437">
        <f t="shared" si="75"/>
        <v>3.3616665567064719E-2</v>
      </c>
      <c r="G437" s="5">
        <f>_xll.SNL.Clients.Office.Excel.Functions.SPG(A437, "SP_MARKETCAP", "12/30/2023")</f>
        <v>52335.064226249997</v>
      </c>
      <c r="H437">
        <f t="shared" si="79"/>
        <v>1.2455745825783327E-3</v>
      </c>
      <c r="I437">
        <f t="shared" si="80"/>
        <v>1.7599968851831841E-3</v>
      </c>
      <c r="K437" t="s">
        <v>437</v>
      </c>
      <c r="L437" s="4" cm="1">
        <f t="array" ref="L437">_xll.SNL.Clients.Office.Excel.Functions.SPG(K437, "SP_TOTAL_REV", "CY2023")</f>
        <v>15157000</v>
      </c>
      <c r="M437" s="4">
        <f>_xll.SNL.Clients.Office.Excel.Functions.SPG(K437,"IQ_AVG_DILUT_SHARES_OUT","CY2023")</f>
        <v>360600000</v>
      </c>
      <c r="N437" s="5">
        <f>_xll.SNL.Clients.Office.Excel.Functions.SPG(K437, "IQ_DILUT_EPS_NORM", "CY2023")</f>
        <v>1.413</v>
      </c>
      <c r="O437">
        <f t="shared" si="76"/>
        <v>509527.8</v>
      </c>
      <c r="P437">
        <f t="shared" si="77"/>
        <v>3.3616665567064719E-2</v>
      </c>
      <c r="Q437" s="5">
        <f>_xll.SNL.Clients.Office.Excel.Functions.SPG(K437, "SP_MARKETCAP", "12/31/2022")</f>
        <v>88528.706451970007</v>
      </c>
      <c r="R437">
        <f t="shared" si="81"/>
        <v>2.6273726791333769E-3</v>
      </c>
      <c r="S437">
        <f t="shared" si="82"/>
        <v>3.7124775956154615E-3</v>
      </c>
      <c r="U437" t="s">
        <v>437</v>
      </c>
      <c r="V437" s="4" cm="1">
        <f t="array" ref="V437">_xll.SNL.Clients.Office.Excel.Functions.SPG(U437, "SP_TOTAL_REV", "CY2021")</f>
        <v>17731000</v>
      </c>
      <c r="W437" s="4">
        <f>_xll.SNL.Clients.Office.Excel.Functions.SPG(U437,"IQ_AVG_DILUT_SHARES_OUT","CY2021")</f>
        <v>367450000</v>
      </c>
      <c r="X437" s="5">
        <f>_xll.SNL.Clients.Office.Excel.Functions.SPG(U437, "IQ_DILUT_EPS_NORM", "CY2021")</f>
        <v>5.6989999999999998</v>
      </c>
      <c r="Y437">
        <f t="shared" si="83"/>
        <v>2094097.55</v>
      </c>
      <c r="Z437">
        <f t="shared" si="84"/>
        <v>0.11810374767356607</v>
      </c>
      <c r="AA437" s="5">
        <f>_xll.SNL.Clients.Office.Excel.Functions.SPG(U437, "SP_MARKETCAP", "12/31/2021")</f>
        <v>133252.52525879999</v>
      </c>
      <c r="AB437">
        <f t="shared" si="78"/>
        <v>3.1404296909801079E-3</v>
      </c>
      <c r="AC437">
        <f t="shared" si="85"/>
        <v>1.7897308808895635E-2</v>
      </c>
    </row>
    <row r="438" spans="1:29" x14ac:dyDescent="0.3">
      <c r="A438" t="s">
        <v>438</v>
      </c>
      <c r="B438" s="4" cm="1">
        <f t="array" ref="B438">_xll.SNL.Clients.Office.Excel.Functions.SPG(A438, "SP_TOTAL_REV", "CY2023")</f>
        <v>46254000</v>
      </c>
      <c r="C438" s="4">
        <f>_xll.SNL.Clients.Office.Excel.Functions.SPG(A438,"IQ_AVG_DILUT_SHARES_OUT","CY2023")</f>
        <v>345800000</v>
      </c>
      <c r="D438" s="5">
        <f>_xll.SNL.Clients.Office.Excel.Functions.SPG(A438, "IQ_DILUT_EPS_NORM", "CY2023")</f>
        <v>22.47</v>
      </c>
      <c r="E438">
        <f t="shared" si="74"/>
        <v>7770126</v>
      </c>
      <c r="F438">
        <f t="shared" si="75"/>
        <v>0.16798819561551434</v>
      </c>
      <c r="G438" s="5">
        <f>_xll.SNL.Clients.Office.Excel.Functions.SPG(A438, "SP_MARKETCAP", "12/30/2023")</f>
        <v>132488.56178712001</v>
      </c>
      <c r="H438">
        <f t="shared" si="79"/>
        <v>3.1532279072206326E-3</v>
      </c>
      <c r="I438">
        <f t="shared" si="80"/>
        <v>7.0853031075247611E-2</v>
      </c>
      <c r="K438" t="s">
        <v>438</v>
      </c>
      <c r="L438" s="4" cm="1">
        <f t="array" ref="L438">_xll.SNL.Clients.Office.Excel.Functions.SPG(K438, "SP_TOTAL_REV", "CY2023")</f>
        <v>46254000</v>
      </c>
      <c r="M438" s="4">
        <f>_xll.SNL.Clients.Office.Excel.Functions.SPG(K438,"IQ_AVG_DILUT_SHARES_OUT","CY2023")</f>
        <v>345800000</v>
      </c>
      <c r="N438" s="5">
        <f>_xll.SNL.Clients.Office.Excel.Functions.SPG(K438, "IQ_DILUT_EPS_NORM", "CY2023")</f>
        <v>22.47</v>
      </c>
      <c r="O438">
        <f t="shared" si="76"/>
        <v>7770126</v>
      </c>
      <c r="P438">
        <f t="shared" si="77"/>
        <v>0.16798819561551434</v>
      </c>
      <c r="Q438" s="5">
        <f>_xll.SNL.Clients.Office.Excel.Functions.SPG(K438, "SP_MARKETCAP", "12/31/2022")</f>
        <v>121751.65735992001</v>
      </c>
      <c r="R438">
        <f t="shared" si="81"/>
        <v>3.6133700695176437E-3</v>
      </c>
      <c r="S438">
        <f t="shared" si="82"/>
        <v>8.1192425462061443E-2</v>
      </c>
      <c r="U438" t="s">
        <v>438</v>
      </c>
      <c r="V438" s="4" cm="1">
        <f t="array" ref="V438">_xll.SNL.Clients.Office.Excel.Functions.SPG(U438, "SP_TOTAL_REV", "CY2021")</f>
        <v>59339000</v>
      </c>
      <c r="W438" s="4">
        <f>_xll.SNL.Clients.Office.Excel.Functions.SPG(U438,"IQ_AVG_DILUT_SHARES_OUT","CY2021")</f>
        <v>355800000</v>
      </c>
      <c r="X438" s="5">
        <f>_xll.SNL.Clients.Office.Excel.Functions.SPG(U438, "IQ_DILUT_EPS_NORM", "CY2021")</f>
        <v>47.756999999999998</v>
      </c>
      <c r="Y438">
        <f t="shared" si="83"/>
        <v>16991940.600000001</v>
      </c>
      <c r="Z438">
        <f t="shared" si="84"/>
        <v>0.28635367296381808</v>
      </c>
      <c r="AA438" s="5">
        <f>_xll.SNL.Clients.Office.Excel.Functions.SPG(U438, "SP_MARKETCAP", "12/31/2021")</f>
        <v>127610.1583162</v>
      </c>
      <c r="AB438">
        <f t="shared" si="78"/>
        <v>3.0074531741033634E-3</v>
      </c>
      <c r="AC438">
        <f t="shared" si="85"/>
        <v>0.14362694123565431</v>
      </c>
    </row>
    <row r="439" spans="1:29" x14ac:dyDescent="0.3">
      <c r="A439" t="s">
        <v>439</v>
      </c>
      <c r="B439" s="4" cm="1">
        <f t="array" ref="B439">_xll.SNL.Clients.Office.Excel.Functions.SPG(A439, "SP_TOTAL_REV", "CY2023")</f>
        <v>24527000</v>
      </c>
      <c r="C439" s="4">
        <f>_xll.SNL.Clients.Office.Excel.Functions.SPG(A439,"IQ_AVG_DILUT_SHARES_OUT","CY2023")</f>
        <v>311500000</v>
      </c>
      <c r="D439" s="5">
        <f>_xll.SNL.Clients.Office.Excel.Functions.SPG(A439, "IQ_DILUT_EPS_NORM", "CY2023")</f>
        <v>6.1840000000000002</v>
      </c>
      <c r="E439">
        <f t="shared" si="74"/>
        <v>1926316</v>
      </c>
      <c r="F439">
        <f t="shared" si="75"/>
        <v>7.8538590125168187E-2</v>
      </c>
      <c r="G439" s="5">
        <f>_xll.SNL.Clients.Office.Excel.Functions.SPG(A439, "SP_MARKETCAP", "12/30/2023")</f>
        <v>24175.878774640001</v>
      </c>
      <c r="H439">
        <f t="shared" si="79"/>
        <v>5.7538593977845382E-4</v>
      </c>
      <c r="I439">
        <f t="shared" si="80"/>
        <v>3.5581866515899587E-3</v>
      </c>
      <c r="K439" t="s">
        <v>439</v>
      </c>
      <c r="L439" s="4" cm="1">
        <f t="array" ref="L439">_xll.SNL.Clients.Office.Excel.Functions.SPG(K439, "SP_TOTAL_REV", "CY2023")</f>
        <v>24527000</v>
      </c>
      <c r="M439" s="4">
        <f>_xll.SNL.Clients.Office.Excel.Functions.SPG(K439,"IQ_AVG_DILUT_SHARES_OUT","CY2023")</f>
        <v>311500000</v>
      </c>
      <c r="N439" s="5">
        <f>_xll.SNL.Clients.Office.Excel.Functions.SPG(K439, "IQ_DILUT_EPS_NORM", "CY2023")</f>
        <v>6.1840000000000002</v>
      </c>
      <c r="O439">
        <f t="shared" si="76"/>
        <v>1926316</v>
      </c>
      <c r="P439">
        <f t="shared" si="77"/>
        <v>7.8538590125168187E-2</v>
      </c>
      <c r="Q439" s="5">
        <f>_xll.SNL.Clients.Office.Excel.Functions.SPG(K439, "SP_MARKETCAP", "12/31/2022")</f>
        <v>24121.441786070001</v>
      </c>
      <c r="R439">
        <f t="shared" si="81"/>
        <v>7.1588097996676692E-4</v>
      </c>
      <c r="S439">
        <f t="shared" si="82"/>
        <v>4.4270079801144871E-3</v>
      </c>
      <c r="U439" t="s">
        <v>439</v>
      </c>
      <c r="V439" s="4" cm="1">
        <f t="array" ref="V439">_xll.SNL.Clients.Office.Excel.Functions.SPG(U439, "SP_TOTAL_REV", "CY2021")</f>
        <v>22390000</v>
      </c>
      <c r="W439" s="4">
        <f>_xll.SNL.Clients.Office.Excel.Functions.SPG(U439,"IQ_AVG_DILUT_SHARES_OUT","CY2021")</f>
        <v>354100000</v>
      </c>
      <c r="X439" s="5">
        <f>_xll.SNL.Clients.Office.Excel.Functions.SPG(U439, "IQ_DILUT_EPS_NORM", "CY2021")</f>
        <v>5.1269999999999998</v>
      </c>
      <c r="Y439">
        <f t="shared" si="83"/>
        <v>1815470.7</v>
      </c>
      <c r="Z439">
        <f t="shared" si="84"/>
        <v>8.1083997320232248E-2</v>
      </c>
      <c r="AA439" s="5">
        <f>_xll.SNL.Clients.Office.Excel.Functions.SPG(U439, "SP_MARKETCAP", "12/31/2021")</f>
        <v>23497.99549112</v>
      </c>
      <c r="AB439">
        <f t="shared" si="78"/>
        <v>5.5378915015313467E-4</v>
      </c>
      <c r="AC439">
        <f t="shared" si="85"/>
        <v>2.8392769728351214E-3</v>
      </c>
    </row>
    <row r="440" spans="1:29" x14ac:dyDescent="0.3">
      <c r="A440" t="s">
        <v>440</v>
      </c>
      <c r="B440" s="4" cm="1">
        <f t="array" ref="B440">_xll.SNL.Clients.Office.Excel.Functions.SPG(A440, "SP_TOTAL_REV", "CY2023")</f>
        <v>11164992</v>
      </c>
      <c r="C440" s="4">
        <f>_xll.SNL.Clients.Office.Excel.Functions.SPG(A440,"IQ_AVG_DILUT_SHARES_OUT","CY2023")</f>
        <v>205547000</v>
      </c>
      <c r="D440" s="5">
        <f>_xll.SNL.Clients.Office.Excel.Functions.SPG(A440, "IQ_DILUT_EPS_NORM", "CY2023")</f>
        <v>7.2539999999999996</v>
      </c>
      <c r="E440">
        <f t="shared" si="74"/>
        <v>1491037.9380000001</v>
      </c>
      <c r="F440">
        <f t="shared" si="75"/>
        <v>0.13354581337810184</v>
      </c>
      <c r="G440" s="5">
        <f>_xll.SNL.Clients.Office.Excel.Functions.SPG(A440, "SP_MARKETCAP", "12/30/2023")</f>
        <v>38126.641424959998</v>
      </c>
      <c r="H440">
        <f t="shared" si="79"/>
        <v>9.0741410524893755E-4</v>
      </c>
      <c r="I440">
        <f t="shared" si="80"/>
        <v>6.5823819194757924E-3</v>
      </c>
      <c r="K440" t="s">
        <v>440</v>
      </c>
      <c r="L440" s="4" cm="1">
        <f t="array" ref="L440">_xll.SNL.Clients.Office.Excel.Functions.SPG(K440, "SP_TOTAL_REV", "CY2023")</f>
        <v>11164992</v>
      </c>
      <c r="M440" s="4">
        <f>_xll.SNL.Clients.Office.Excel.Functions.SPG(K440,"IQ_AVG_DILUT_SHARES_OUT","CY2023")</f>
        <v>205547000</v>
      </c>
      <c r="N440" s="5">
        <f>_xll.SNL.Clients.Office.Excel.Functions.SPG(K440, "IQ_DILUT_EPS_NORM", "CY2023")</f>
        <v>7.2539999999999996</v>
      </c>
      <c r="O440">
        <f t="shared" si="76"/>
        <v>1491037.9380000001</v>
      </c>
      <c r="P440">
        <f t="shared" si="77"/>
        <v>0.13354581337810184</v>
      </c>
      <c r="Q440" s="5">
        <f>_xll.SNL.Clients.Office.Excel.Functions.SPG(K440, "SP_MARKETCAP", "12/31/2022")</f>
        <v>47490.972124319997</v>
      </c>
      <c r="R440">
        <f t="shared" si="81"/>
        <v>1.4094465814048561E-3</v>
      </c>
      <c r="S440">
        <f t="shared" si="82"/>
        <v>1.0224125501510825E-2</v>
      </c>
      <c r="U440" t="s">
        <v>440</v>
      </c>
      <c r="V440" s="4" cm="1">
        <f t="array" ref="V440">_xll.SNL.Clients.Office.Excel.Functions.SPG(U440, "SP_TOTAL_REV", "CY2021")</f>
        <v>8971337</v>
      </c>
      <c r="W440" s="4">
        <f>_xll.SNL.Clients.Office.Excel.Functions.SPG(U440,"IQ_AVG_DILUT_SHARES_OUT","CY2021")</f>
        <v>207758000</v>
      </c>
      <c r="X440" s="5">
        <f>_xll.SNL.Clients.Office.Excel.Functions.SPG(U440, "IQ_DILUT_EPS_NORM", "CY2021")</f>
        <v>5.7729999999999997</v>
      </c>
      <c r="Y440">
        <f t="shared" si="83"/>
        <v>1199386.9339999999</v>
      </c>
      <c r="Z440">
        <f t="shared" si="84"/>
        <v>0.1336909909860704</v>
      </c>
      <c r="AA440" s="5">
        <f>_xll.SNL.Clients.Office.Excel.Functions.SPG(U440, "SP_MARKETCAP", "12/31/2021")</f>
        <v>39855.541256160002</v>
      </c>
      <c r="AB440">
        <f t="shared" si="78"/>
        <v>9.392957084140641E-4</v>
      </c>
      <c r="AC440">
        <f t="shared" si="85"/>
        <v>5.4225541246743919E-3</v>
      </c>
    </row>
    <row r="441" spans="1:29" x14ac:dyDescent="0.3">
      <c r="A441" t="s">
        <v>441</v>
      </c>
      <c r="B441" s="4" cm="1">
        <f t="array" ref="B441">_xll.SNL.Clients.Office.Excel.Functions.SPG(A441, "SP_TOTAL_REV", "CY2023")</f>
        <v>152669000</v>
      </c>
      <c r="C441" s="4">
        <f>_xll.SNL.Clients.Office.Excel.Functions.SPG(A441,"IQ_AVG_DILUT_SHARES_OUT","CY2023")</f>
        <v>1002000000</v>
      </c>
      <c r="D441" s="5">
        <f>_xll.SNL.Clients.Office.Excel.Functions.SPG(A441, "IQ_DILUT_EPS_NORM", "CY2023")</f>
        <v>12.428000000000001</v>
      </c>
      <c r="E441">
        <f t="shared" si="74"/>
        <v>12452856</v>
      </c>
      <c r="F441">
        <f t="shared" si="75"/>
        <v>8.1567679096607698E-2</v>
      </c>
      <c r="G441" s="5">
        <f>_xll.SNL.Clients.Office.Excel.Functions.SPG(A441, "SP_MARKETCAP", "12/30/2023")</f>
        <v>344907.99203820003</v>
      </c>
      <c r="H441">
        <f t="shared" si="79"/>
        <v>8.2088105663474225E-3</v>
      </c>
      <c r="I441">
        <f t="shared" si="80"/>
        <v>0.10201909771856578</v>
      </c>
      <c r="K441" t="s">
        <v>441</v>
      </c>
      <c r="L441" s="4" cm="1">
        <f t="array" ref="L441">_xll.SNL.Clients.Office.Excel.Functions.SPG(K441, "SP_TOTAL_REV", "CY2023")</f>
        <v>152669000</v>
      </c>
      <c r="M441" s="4">
        <f>_xll.SNL.Clients.Office.Excel.Functions.SPG(K441,"IQ_AVG_DILUT_SHARES_OUT","CY2023")</f>
        <v>1002000000</v>
      </c>
      <c r="N441" s="5">
        <f>_xll.SNL.Clients.Office.Excel.Functions.SPG(K441, "IQ_DILUT_EPS_NORM", "CY2023")</f>
        <v>12.428000000000001</v>
      </c>
      <c r="O441">
        <f t="shared" si="76"/>
        <v>12452856</v>
      </c>
      <c r="P441">
        <f t="shared" si="77"/>
        <v>8.1567679096607698E-2</v>
      </c>
      <c r="Q441" s="5">
        <f>_xll.SNL.Clients.Office.Excel.Functions.SPG(K441, "SP_MARKETCAP", "12/31/2022")</f>
        <v>321920.09690891998</v>
      </c>
      <c r="R441">
        <f t="shared" si="81"/>
        <v>9.5540091048471869E-3</v>
      </c>
      <c r="S441">
        <f t="shared" si="82"/>
        <v>0.11873722515504084</v>
      </c>
      <c r="U441" t="s">
        <v>441</v>
      </c>
      <c r="V441" s="4" cm="1">
        <f t="array" ref="V441">_xll.SNL.Clients.Office.Excel.Functions.SPG(U441, "SP_TOTAL_REV", "CY2021")</f>
        <v>151157000</v>
      </c>
      <c r="W441" s="4">
        <f>_xll.SNL.Clients.Office.Excel.Functions.SPG(U441,"IQ_AVG_DILUT_SHARES_OUT","CY2021")</f>
        <v>1058000000</v>
      </c>
      <c r="X441" s="5">
        <f>_xll.SNL.Clients.Office.Excel.Functions.SPG(U441, "IQ_DILUT_EPS_NORM", "CY2021")</f>
        <v>12.840999999999999</v>
      </c>
      <c r="Y441">
        <f t="shared" si="83"/>
        <v>13585778</v>
      </c>
      <c r="Z441">
        <f t="shared" si="84"/>
        <v>8.9878589810594281E-2</v>
      </c>
      <c r="AA441" s="5">
        <f>_xll.SNL.Clients.Office.Excel.Functions.SPG(U441, "SP_MARKETCAP", "12/31/2021")</f>
        <v>433369.70084677002</v>
      </c>
      <c r="AB441">
        <f t="shared" si="78"/>
        <v>1.0213443032821517E-2</v>
      </c>
      <c r="AC441">
        <f t="shared" si="85"/>
        <v>0.1311508219844611</v>
      </c>
    </row>
    <row r="442" spans="1:29" x14ac:dyDescent="0.3">
      <c r="A442" t="s">
        <v>442</v>
      </c>
      <c r="B442" s="4" cm="1">
        <f t="array" ref="B442">_xll.SNL.Clients.Office.Excel.Functions.SPG(A442, "SP_TOTAL_REV", "CY2023")</f>
        <v>9400600</v>
      </c>
      <c r="C442" s="4">
        <f>_xll.SNL.Clients.Office.Excel.Functions.SPG(A442,"IQ_AVG_DILUT_SHARES_OUT","CY2023")</f>
        <v>385900000</v>
      </c>
      <c r="D442" s="5">
        <f>_xll.SNL.Clients.Office.Excel.Functions.SPG(A442, "IQ_DILUT_EPS_NORM", "CY2023")</f>
        <v>2.2069999999999999</v>
      </c>
      <c r="E442">
        <f t="shared" si="74"/>
        <v>851681.3</v>
      </c>
      <c r="F442">
        <f t="shared" si="75"/>
        <v>9.0598610726974879E-2</v>
      </c>
      <c r="G442" s="5">
        <f>_xll.SNL.Clients.Office.Excel.Functions.SPG(A442, "SP_MARKETCAP", "12/30/2023")</f>
        <v>12501.25483584</v>
      </c>
      <c r="H442">
        <f t="shared" si="79"/>
        <v>2.9752987799041647E-4</v>
      </c>
      <c r="I442">
        <f t="shared" si="80"/>
        <v>6.566484407248491E-4</v>
      </c>
      <c r="K442" t="s">
        <v>442</v>
      </c>
      <c r="L442" s="4" cm="1">
        <f t="array" ref="L442">_xll.SNL.Clients.Office.Excel.Functions.SPG(K442, "SP_TOTAL_REV", "CY2023")</f>
        <v>9400600</v>
      </c>
      <c r="M442" s="4">
        <f>_xll.SNL.Clients.Office.Excel.Functions.SPG(K442,"IQ_AVG_DILUT_SHARES_OUT","CY2023")</f>
        <v>385900000</v>
      </c>
      <c r="N442" s="5">
        <f>_xll.SNL.Clients.Office.Excel.Functions.SPG(K442, "IQ_DILUT_EPS_NORM", "CY2023")</f>
        <v>2.2069999999999999</v>
      </c>
      <c r="O442">
        <f t="shared" si="76"/>
        <v>851681.3</v>
      </c>
      <c r="P442">
        <f t="shared" si="77"/>
        <v>9.0598610726974879E-2</v>
      </c>
      <c r="Q442" s="5">
        <f>_xll.SNL.Clients.Office.Excel.Functions.SPG(K442, "SP_MARKETCAP", "12/31/2022")</f>
        <v>12941.75835658</v>
      </c>
      <c r="R442">
        <f t="shared" si="81"/>
        <v>3.8408809626595087E-4</v>
      </c>
      <c r="S442">
        <f t="shared" si="82"/>
        <v>8.4768242845895353E-4</v>
      </c>
      <c r="U442" t="s">
        <v>442</v>
      </c>
      <c r="V442" s="4" cm="1">
        <f t="array" ref="V442">_xll.SNL.Clients.Office.Excel.Functions.SPG(U442, "SP_TOTAL_REV", "CY2021")</f>
        <v>9107900</v>
      </c>
      <c r="W442" s="4">
        <f>_xll.SNL.Clients.Office.Excel.Functions.SPG(U442,"IQ_AVG_DILUT_SHARES_OUT","CY2021")</f>
        <v>398400000</v>
      </c>
      <c r="X442" s="5">
        <f>_xll.SNL.Clients.Office.Excel.Functions.SPG(U442, "IQ_DILUT_EPS_NORM", "CY2021")</f>
        <v>2.052</v>
      </c>
      <c r="Y442">
        <f t="shared" si="83"/>
        <v>817516.8</v>
      </c>
      <c r="Z442">
        <f t="shared" si="84"/>
        <v>8.9759088264034531E-2</v>
      </c>
      <c r="AA442" s="5">
        <f>_xll.SNL.Clients.Office.Excel.Functions.SPG(U442, "SP_MARKETCAP", "12/31/2021")</f>
        <v>14746.134486999999</v>
      </c>
      <c r="AB442">
        <f t="shared" si="78"/>
        <v>3.4752961326789015E-4</v>
      </c>
      <c r="AC442">
        <f t="shared" si="85"/>
        <v>7.1313076642571063E-4</v>
      </c>
    </row>
    <row r="443" spans="1:29" x14ac:dyDescent="0.3">
      <c r="A443" t="s">
        <v>443</v>
      </c>
      <c r="B443" s="4" cm="1">
        <f t="array" ref="B443">_xll.SNL.Clients.Office.Excel.Functions.SPG(A443, "SP_TOTAL_REV", "CY2023")</f>
        <v>8207800</v>
      </c>
      <c r="C443" s="4">
        <f>_xll.SNL.Clients.Office.Excel.Functions.SPG(A443,"IQ_AVG_DILUT_SHARES_OUT","CY2023")</f>
        <v>104024923</v>
      </c>
      <c r="D443" s="5">
        <f>_xll.SNL.Clients.Office.Excel.Functions.SPG(A443, "IQ_DILUT_EPS_NORM", "CY2023")</f>
        <v>6.8730000000000002</v>
      </c>
      <c r="E443">
        <f t="shared" si="74"/>
        <v>714963.29577900004</v>
      </c>
      <c r="F443">
        <f t="shared" si="75"/>
        <v>8.7107787199858677E-2</v>
      </c>
      <c r="G443" s="5">
        <f>_xll.SNL.Clients.Office.Excel.Functions.SPG(A443, "SP_MARKETCAP", "12/30/2023")</f>
        <v>13414.454455040001</v>
      </c>
      <c r="H443">
        <f t="shared" si="79"/>
        <v>3.1926402986951581E-4</v>
      </c>
      <c r="I443">
        <f t="shared" si="80"/>
        <v>2.1943016772931821E-3</v>
      </c>
      <c r="K443" t="s">
        <v>443</v>
      </c>
      <c r="L443" s="4" cm="1">
        <f t="array" ref="L443">_xll.SNL.Clients.Office.Excel.Functions.SPG(K443, "SP_TOTAL_REV", "CY2023")</f>
        <v>8207800</v>
      </c>
      <c r="M443" s="4">
        <f>_xll.SNL.Clients.Office.Excel.Functions.SPG(K443,"IQ_AVG_DILUT_SHARES_OUT","CY2023")</f>
        <v>104024923</v>
      </c>
      <c r="N443" s="5">
        <f>_xll.SNL.Clients.Office.Excel.Functions.SPG(K443, "IQ_DILUT_EPS_NORM", "CY2023")</f>
        <v>6.8730000000000002</v>
      </c>
      <c r="O443">
        <f t="shared" si="76"/>
        <v>714963.29577900004</v>
      </c>
      <c r="P443">
        <f t="shared" si="77"/>
        <v>8.7107787199858677E-2</v>
      </c>
      <c r="Q443" s="5">
        <f>_xll.SNL.Clients.Office.Excel.Functions.SPG(K443, "SP_MARKETCAP", "12/31/2022")</f>
        <v>16898.017683059999</v>
      </c>
      <c r="R443">
        <f t="shared" si="81"/>
        <v>5.015027528508134E-4</v>
      </c>
      <c r="S443">
        <f t="shared" si="82"/>
        <v>3.4468284203436404E-3</v>
      </c>
      <c r="U443" t="s">
        <v>443</v>
      </c>
      <c r="V443" s="4" cm="1">
        <f t="array" ref="V443">_xll.SNL.Clients.Office.Excel.Functions.SPG(U443, "SP_TOTAL_REV", "CY2021")</f>
        <v>7885300</v>
      </c>
      <c r="W443" s="4">
        <f>_xll.SNL.Clients.Office.Excel.Functions.SPG(U443,"IQ_AVG_DILUT_SHARES_OUT","CY2021")</f>
        <v>107876403</v>
      </c>
      <c r="X443" s="5">
        <f>_xll.SNL.Clients.Office.Excel.Functions.SPG(U443, "IQ_DILUT_EPS_NORM", "CY2021")</f>
        <v>5.62</v>
      </c>
      <c r="Y443">
        <f t="shared" si="83"/>
        <v>606265.38485999999</v>
      </c>
      <c r="Z443">
        <f t="shared" si="84"/>
        <v>7.688551923959773E-2</v>
      </c>
      <c r="AA443" s="5">
        <f>_xll.SNL.Clients.Office.Excel.Functions.SPG(U443, "SP_MARKETCAP", "12/31/2021")</f>
        <v>14717.891997119999</v>
      </c>
      <c r="AB443">
        <f t="shared" si="78"/>
        <v>3.4686400821767367E-4</v>
      </c>
      <c r="AC443">
        <f t="shared" si="85"/>
        <v>1.9493757261833261E-3</v>
      </c>
    </row>
    <row r="444" spans="1:29" x14ac:dyDescent="0.3">
      <c r="A444" t="s">
        <v>444</v>
      </c>
      <c r="B444" s="4" cm="1">
        <f t="array" ref="B444">_xll.SNL.Clients.Office.Excel.Functions.SPG(A444, "SP_TOTAL_REV", "CY2023")</f>
        <v>26640000</v>
      </c>
      <c r="C444" s="4">
        <f>_xll.SNL.Clients.Office.Excel.Functions.SPG(A444,"IQ_AVG_DILUT_SHARES_OUT","CY2023")</f>
        <v>1235000000</v>
      </c>
      <c r="D444" s="5">
        <f>_xll.SNL.Clients.Office.Excel.Functions.SPG(A444, "IQ_DILUT_EPS_NORM", "CY2023")</f>
        <v>2.294</v>
      </c>
      <c r="E444">
        <f t="shared" si="74"/>
        <v>2833090</v>
      </c>
      <c r="F444">
        <f t="shared" si="75"/>
        <v>0.10634722222222222</v>
      </c>
      <c r="G444" s="5">
        <f>_xll.SNL.Clients.Office.Excel.Functions.SPG(A444, "SP_MARKETCAP", "12/30/2023")</f>
        <v>45357.400904119997</v>
      </c>
      <c r="H444">
        <f t="shared" si="79"/>
        <v>1.0795061883128506E-3</v>
      </c>
      <c r="I444">
        <f t="shared" si="80"/>
        <v>2.4763871959896794E-3</v>
      </c>
      <c r="K444" t="s">
        <v>444</v>
      </c>
      <c r="L444" s="4" cm="1">
        <f t="array" ref="L444">_xll.SNL.Clients.Office.Excel.Functions.SPG(K444, "SP_TOTAL_REV", "CY2023")</f>
        <v>26640000</v>
      </c>
      <c r="M444" s="4">
        <f>_xll.SNL.Clients.Office.Excel.Functions.SPG(K444,"IQ_AVG_DILUT_SHARES_OUT","CY2023")</f>
        <v>1235000000</v>
      </c>
      <c r="N444" s="5">
        <f>_xll.SNL.Clients.Office.Excel.Functions.SPG(K444, "IQ_DILUT_EPS_NORM", "CY2023")</f>
        <v>2.294</v>
      </c>
      <c r="O444">
        <f t="shared" si="76"/>
        <v>2833090</v>
      </c>
      <c r="P444">
        <f t="shared" si="77"/>
        <v>0.10634722222222222</v>
      </c>
      <c r="Q444" s="5">
        <f>_xll.SNL.Clients.Office.Excel.Functions.SPG(K444, "SP_MARKETCAP", "12/31/2022")</f>
        <v>49866.906976439997</v>
      </c>
      <c r="R444">
        <f t="shared" si="81"/>
        <v>1.4799600517586521E-3</v>
      </c>
      <c r="S444">
        <f t="shared" si="82"/>
        <v>3.3950283587343478E-3</v>
      </c>
      <c r="U444" t="s">
        <v>444</v>
      </c>
      <c r="V444" s="4" cm="1">
        <f t="array" ref="V444">_xll.SNL.Clients.Office.Excel.Functions.SPG(U444, "SP_TOTAL_REV", "CY2021")</f>
        <v>26042000</v>
      </c>
      <c r="W444" s="4">
        <f>_xll.SNL.Clients.Office.Excel.Functions.SPG(U444,"IQ_AVG_DILUT_SHARES_OUT","CY2021")</f>
        <v>1236000000</v>
      </c>
      <c r="X444" s="5">
        <f>_xll.SNL.Clients.Office.Excel.Functions.SPG(U444, "IQ_DILUT_EPS_NORM", "CY2021")</f>
        <v>1.732</v>
      </c>
      <c r="Y444">
        <f t="shared" si="83"/>
        <v>2140752</v>
      </c>
      <c r="Z444">
        <f t="shared" si="84"/>
        <v>8.2203824591045235E-2</v>
      </c>
      <c r="AA444" s="5">
        <f>_xll.SNL.Clients.Office.Excel.Functions.SPG(U444, "SP_MARKETCAP", "12/31/2021")</f>
        <v>43943.124349899997</v>
      </c>
      <c r="AB444">
        <f t="shared" si="78"/>
        <v>1.0356298475757658E-3</v>
      </c>
      <c r="AC444">
        <f t="shared" si="85"/>
        <v>1.7937108960012263E-3</v>
      </c>
    </row>
    <row r="445" spans="1:29" x14ac:dyDescent="0.3">
      <c r="A445" t="s">
        <v>445</v>
      </c>
      <c r="B445" s="4" cm="1">
        <f t="array" ref="B445">_xll.SNL.Clients.Office.Excel.Functions.SPG(A445, "SP_TOTAL_REV", "CY2023")</f>
        <v>150039000</v>
      </c>
      <c r="C445" s="4">
        <f>_xll.SNL.Clients.Office.Excel.Functions.SPG(A445,"IQ_AVG_DILUT_SHARES_OUT","CY2023")</f>
        <v>725000000</v>
      </c>
      <c r="D445" s="5">
        <f>_xll.SNL.Clients.Office.Excel.Functions.SPG(A445, "IQ_DILUT_EPS_NORM", "CY2023")</f>
        <v>3.911</v>
      </c>
      <c r="E445">
        <f t="shared" si="74"/>
        <v>2835475</v>
      </c>
      <c r="F445">
        <f t="shared" si="75"/>
        <v>1.8898253120855243E-2</v>
      </c>
      <c r="G445" s="5">
        <f>_xll.SNL.Clients.Office.Excel.Functions.SPG(A445, "SP_MARKETCAP", "12/30/2023")</f>
        <v>32884.845762370001</v>
      </c>
      <c r="H445">
        <f t="shared" si="79"/>
        <v>7.8265936307138546E-4</v>
      </c>
      <c r="I445">
        <f t="shared" si="80"/>
        <v>3.0609807689721885E-3</v>
      </c>
      <c r="K445" t="s">
        <v>445</v>
      </c>
      <c r="L445" s="4" cm="1">
        <f t="array" ref="L445">_xll.SNL.Clients.Office.Excel.Functions.SPG(K445, "SP_TOTAL_REV", "CY2023")</f>
        <v>150039000</v>
      </c>
      <c r="M445" s="4">
        <f>_xll.SNL.Clients.Office.Excel.Functions.SPG(K445,"IQ_AVG_DILUT_SHARES_OUT","CY2023")</f>
        <v>725000000</v>
      </c>
      <c r="N445" s="5">
        <f>_xll.SNL.Clients.Office.Excel.Functions.SPG(K445, "IQ_DILUT_EPS_NORM", "CY2023")</f>
        <v>3.911</v>
      </c>
      <c r="O445">
        <f t="shared" si="76"/>
        <v>2835475</v>
      </c>
      <c r="P445">
        <f t="shared" si="77"/>
        <v>1.8898253120855243E-2</v>
      </c>
      <c r="Q445" s="5">
        <f>_xll.SNL.Clients.Office.Excel.Functions.SPG(K445, "SP_MARKETCAP", "12/31/2022")</f>
        <v>31911.339187500002</v>
      </c>
      <c r="R445">
        <f t="shared" si="81"/>
        <v>9.4707111507704692E-4</v>
      </c>
      <c r="S445">
        <f t="shared" si="82"/>
        <v>3.7039951310663304E-3</v>
      </c>
      <c r="U445" t="s">
        <v>445</v>
      </c>
      <c r="V445" s="4" cm="1">
        <f t="array" ref="V445">_xll.SNL.Clients.Office.Excel.Functions.SPG(U445, "SP_TOTAL_REV", "CY2021")</f>
        <v>137888000</v>
      </c>
      <c r="W445" s="4">
        <f>_xll.SNL.Clients.Office.Excel.Functions.SPG(U445,"IQ_AVG_DILUT_SHARES_OUT","CY2021")</f>
        <v>754000000</v>
      </c>
      <c r="X445" s="5">
        <f>_xll.SNL.Clients.Office.Excel.Functions.SPG(U445, "IQ_DILUT_EPS_NORM", "CY2021")</f>
        <v>2.5870000000000002</v>
      </c>
      <c r="Y445">
        <f t="shared" si="83"/>
        <v>1950598.0000000002</v>
      </c>
      <c r="Z445">
        <f t="shared" si="84"/>
        <v>1.4146249129728478E-2</v>
      </c>
      <c r="AA445" s="5">
        <f>_xll.SNL.Clients.Office.Excel.Functions.SPG(U445, "SP_MARKETCAP", "12/31/2021")</f>
        <v>33277.666826640001</v>
      </c>
      <c r="AB445">
        <f t="shared" si="78"/>
        <v>7.8427161320923991E-4</v>
      </c>
      <c r="AC445">
        <f t="shared" si="85"/>
        <v>2.0289106633723038E-3</v>
      </c>
    </row>
    <row r="446" spans="1:29" x14ac:dyDescent="0.3">
      <c r="A446" t="s">
        <v>446</v>
      </c>
      <c r="B446" s="4" cm="1">
        <f t="array" ref="B446">_xll.SNL.Clients.Office.Excel.Functions.SPG(A446, "SP_TOTAL_REV", "CY2023")</f>
        <v>13696100</v>
      </c>
      <c r="C446" s="4">
        <f>_xll.SNL.Clients.Office.Excel.Functions.SPG(A446,"IQ_AVG_DILUT_SHARES_OUT","CY2023")</f>
        <v>333200000</v>
      </c>
      <c r="D446" s="5">
        <f>_xll.SNL.Clients.Office.Excel.Functions.SPG(A446, "IQ_DILUT_EPS_NORM", "CY2023")</f>
        <v>2.4750000000000001</v>
      </c>
      <c r="E446">
        <f t="shared" si="74"/>
        <v>824670</v>
      </c>
      <c r="F446">
        <f t="shared" si="75"/>
        <v>6.0212031162155649E-2</v>
      </c>
      <c r="G446" s="5">
        <f>_xll.SNL.Clients.Office.Excel.Functions.SPG(A446, "SP_MARKETCAP", "12/30/2023")</f>
        <v>11677.83080715</v>
      </c>
      <c r="H446">
        <f t="shared" si="79"/>
        <v>2.7793238525807582E-4</v>
      </c>
      <c r="I446">
        <f t="shared" si="80"/>
        <v>6.8788265351373771E-4</v>
      </c>
      <c r="K446" t="s">
        <v>446</v>
      </c>
      <c r="L446" s="4" cm="1">
        <f t="array" ref="L446">_xll.SNL.Clients.Office.Excel.Functions.SPG(K446, "SP_TOTAL_REV", "CY2023")</f>
        <v>13696100</v>
      </c>
      <c r="M446" s="4">
        <f>_xll.SNL.Clients.Office.Excel.Functions.SPG(K446,"IQ_AVG_DILUT_SHARES_OUT","CY2023")</f>
        <v>333200000</v>
      </c>
      <c r="N446" s="5">
        <f>_xll.SNL.Clients.Office.Excel.Functions.SPG(K446, "IQ_DILUT_EPS_NORM", "CY2023")</f>
        <v>2.4750000000000001</v>
      </c>
      <c r="O446">
        <f t="shared" si="76"/>
        <v>824670</v>
      </c>
      <c r="P446">
        <f t="shared" si="77"/>
        <v>6.0212031162155649E-2</v>
      </c>
      <c r="Q446" s="5">
        <f>_xll.SNL.Clients.Office.Excel.Functions.SPG(K446, "SP_MARKETCAP", "12/31/2022")</f>
        <v>14936.902961579999</v>
      </c>
      <c r="R446">
        <f t="shared" si="81"/>
        <v>4.4330039740740401E-4</v>
      </c>
      <c r="S446">
        <f t="shared" si="82"/>
        <v>1.097168483583325E-3</v>
      </c>
      <c r="U446" t="s">
        <v>446</v>
      </c>
      <c r="V446" s="4" cm="1">
        <f t="array" ref="V446">_xll.SNL.Clients.Office.Excel.Functions.SPG(U446, "SP_TOTAL_REV", "CY2021")</f>
        <v>12357400</v>
      </c>
      <c r="W446" s="4">
        <f>_xll.SNL.Clients.Office.Excel.Functions.SPG(U446,"IQ_AVG_DILUT_SHARES_OUT","CY2021")</f>
        <v>381600000</v>
      </c>
      <c r="X446" s="5">
        <f>_xll.SNL.Clients.Office.Excel.Functions.SPG(U446, "IQ_DILUT_EPS_NORM", "CY2021")</f>
        <v>3.9039999999999999</v>
      </c>
      <c r="Y446">
        <f t="shared" si="83"/>
        <v>1489766.3999999999</v>
      </c>
      <c r="Z446">
        <f t="shared" si="84"/>
        <v>0.12055662194312719</v>
      </c>
      <c r="AA446" s="5">
        <f>_xll.SNL.Clients.Office.Excel.Functions.SPG(U446, "SP_MARKETCAP", "12/31/2021")</f>
        <v>14889.125133879999</v>
      </c>
      <c r="AB446">
        <f t="shared" si="78"/>
        <v>3.5089954619878407E-4</v>
      </c>
      <c r="AC446">
        <f t="shared" si="85"/>
        <v>1.369911828360053E-3</v>
      </c>
    </row>
    <row r="447" spans="1:29" x14ac:dyDescent="0.3">
      <c r="A447" t="s">
        <v>447</v>
      </c>
      <c r="B447" s="4" cm="1">
        <f t="array" ref="B447">_xll.SNL.Clients.Office.Excel.Functions.SPG(A447, "SP_TOTAL_REV", "CY2023")</f>
        <v>21490000</v>
      </c>
      <c r="C447" s="4">
        <f>_xll.SNL.Clients.Office.Excel.Functions.SPG(A447,"IQ_AVG_DILUT_SHARES_OUT","CY2023")</f>
        <v>401000000</v>
      </c>
      <c r="D447" s="5">
        <f>_xll.SNL.Clients.Office.Excel.Functions.SPG(A447, "IQ_DILUT_EPS_NORM", "CY2023")</f>
        <v>10.327</v>
      </c>
      <c r="E447">
        <f t="shared" si="74"/>
        <v>4141127</v>
      </c>
      <c r="F447">
        <f t="shared" si="75"/>
        <v>0.19270018613308515</v>
      </c>
      <c r="G447" s="5">
        <f>_xll.SNL.Clients.Office.Excel.Functions.SPG(A447, "SP_MARKETCAP", "12/30/2023")</f>
        <v>61683.1208835</v>
      </c>
      <c r="H447">
        <f t="shared" si="79"/>
        <v>1.4680583406651831E-3</v>
      </c>
      <c r="I447">
        <f t="shared" si="80"/>
        <v>1.5160638484049346E-2</v>
      </c>
      <c r="K447" t="s">
        <v>447</v>
      </c>
      <c r="L447" s="4" cm="1">
        <f t="array" ref="L447">_xll.SNL.Clients.Office.Excel.Functions.SPG(K447, "SP_TOTAL_REV", "CY2023")</f>
        <v>21490000</v>
      </c>
      <c r="M447" s="4">
        <f>_xll.SNL.Clients.Office.Excel.Functions.SPG(K447,"IQ_AVG_DILUT_SHARES_OUT","CY2023")</f>
        <v>401000000</v>
      </c>
      <c r="N447" s="5">
        <f>_xll.SNL.Clients.Office.Excel.Functions.SPG(K447, "IQ_DILUT_EPS_NORM", "CY2023")</f>
        <v>10.327</v>
      </c>
      <c r="O447">
        <f t="shared" si="76"/>
        <v>4141127</v>
      </c>
      <c r="P447">
        <f t="shared" si="77"/>
        <v>0.19270018613308515</v>
      </c>
      <c r="Q447" s="5">
        <f>_xll.SNL.Clients.Office.Excel.Functions.SPG(K447, "SP_MARKETCAP", "12/31/2022")</f>
        <v>63700.208072020003</v>
      </c>
      <c r="R447">
        <f t="shared" si="81"/>
        <v>1.8905075319759451E-3</v>
      </c>
      <c r="S447">
        <f t="shared" si="82"/>
        <v>1.9523271282715585E-2</v>
      </c>
      <c r="U447" t="s">
        <v>447</v>
      </c>
      <c r="V447" s="4" cm="1">
        <f t="array" ref="V447">_xll.SNL.Clients.Office.Excel.Functions.SPG(U447, "SP_TOTAL_REV", "CY2021")</f>
        <v>19276000</v>
      </c>
      <c r="W447" s="4">
        <f>_xll.SNL.Clients.Office.Excel.Functions.SPG(U447,"IQ_AVG_DILUT_SHARES_OUT","CY2021")</f>
        <v>426000000</v>
      </c>
      <c r="X447" s="5">
        <f>_xll.SNL.Clients.Office.Excel.Functions.SPG(U447, "IQ_DILUT_EPS_NORM", "CY2021")</f>
        <v>10.132999999999999</v>
      </c>
      <c r="Y447">
        <f t="shared" si="83"/>
        <v>4316658</v>
      </c>
      <c r="Z447">
        <f t="shared" si="84"/>
        <v>0.22393951027184064</v>
      </c>
      <c r="AA447" s="5">
        <f>_xll.SNL.Clients.Office.Excel.Functions.SPG(U447, "SP_MARKETCAP", "12/31/2021")</f>
        <v>84747.93461964</v>
      </c>
      <c r="AB447">
        <f t="shared" si="78"/>
        <v>1.9972974591802887E-3</v>
      </c>
      <c r="AC447">
        <f t="shared" si="85"/>
        <v>2.0238615153873863E-2</v>
      </c>
    </row>
    <row r="448" spans="1:29" x14ac:dyDescent="0.3">
      <c r="A448" t="s">
        <v>448</v>
      </c>
      <c r="B448" s="4" cm="1">
        <f t="array" ref="B448">_xll.SNL.Clients.Office.Excel.Functions.SPG(A448, "SP_TOTAL_REV", "CY2023")</f>
        <v>83933000</v>
      </c>
      <c r="C448" s="4">
        <f>_xll.SNL.Clients.Office.Excel.Functions.SPG(A448,"IQ_AVG_DILUT_SHARES_OUT","CY2023")</f>
        <v>2473600000</v>
      </c>
      <c r="D448" s="5">
        <f>_xll.SNL.Clients.Office.Excel.Functions.SPG(A448, "IQ_DILUT_EPS_NORM", "CY2023")</f>
        <v>5.141</v>
      </c>
      <c r="E448">
        <f t="shared" si="74"/>
        <v>12716777.6</v>
      </c>
      <c r="F448">
        <f t="shared" si="75"/>
        <v>0.15151105762929956</v>
      </c>
      <c r="G448" s="5">
        <f>_xll.SNL.Clients.Office.Excel.Functions.SPG(A448, "SP_MARKETCAP", "12/30/2023")</f>
        <v>345378.10535993997</v>
      </c>
      <c r="H448">
        <f t="shared" si="79"/>
        <v>8.2199992638898444E-3</v>
      </c>
      <c r="I448">
        <f t="shared" si="80"/>
        <v>4.225901621565769E-2</v>
      </c>
      <c r="K448" t="s">
        <v>448</v>
      </c>
      <c r="L448" s="4" cm="1">
        <f t="array" ref="L448">_xll.SNL.Clients.Office.Excel.Functions.SPG(K448, "SP_TOTAL_REV", "CY2023")</f>
        <v>83933000</v>
      </c>
      <c r="M448" s="4">
        <f>_xll.SNL.Clients.Office.Excel.Functions.SPG(K448,"IQ_AVG_DILUT_SHARES_OUT","CY2023")</f>
        <v>2473600000</v>
      </c>
      <c r="N448" s="5">
        <f>_xll.SNL.Clients.Office.Excel.Functions.SPG(K448, "IQ_DILUT_EPS_NORM", "CY2023")</f>
        <v>5.141</v>
      </c>
      <c r="O448">
        <f t="shared" si="76"/>
        <v>12716777.6</v>
      </c>
      <c r="P448">
        <f t="shared" si="77"/>
        <v>0.15151105762929956</v>
      </c>
      <c r="Q448" s="5">
        <f>_xll.SNL.Clients.Office.Excel.Functions.SPG(K448, "SP_MARKETCAP", "12/31/2022")</f>
        <v>359151.25640472001</v>
      </c>
      <c r="R448">
        <f t="shared" si="81"/>
        <v>1.0658962912398788E-2</v>
      </c>
      <c r="S448">
        <f t="shared" si="82"/>
        <v>5.4797728332642168E-2</v>
      </c>
      <c r="U448" t="s">
        <v>448</v>
      </c>
      <c r="V448" s="4" cm="1">
        <f t="array" ref="V448">_xll.SNL.Clients.Office.Excel.Functions.SPG(U448, "SP_TOTAL_REV", "CY2021")</f>
        <v>78346000</v>
      </c>
      <c r="W448" s="4">
        <f>_xll.SNL.Clients.Office.Excel.Functions.SPG(U448,"IQ_AVG_DILUT_SHARES_OUT","CY2021")</f>
        <v>2566600000</v>
      </c>
      <c r="X448" s="5">
        <f>_xll.SNL.Clients.Office.Excel.Functions.SPG(U448, "IQ_DILUT_EPS_NORM", "CY2021")</f>
        <v>4.3869999999999996</v>
      </c>
      <c r="Y448">
        <f t="shared" si="83"/>
        <v>11259674.199999997</v>
      </c>
      <c r="Z448">
        <f t="shared" si="84"/>
        <v>0.14371728231179637</v>
      </c>
      <c r="AA448" s="5">
        <f>_xll.SNL.Clients.Office.Excel.Functions.SPG(U448, "SP_MARKETCAP", "12/31/2021")</f>
        <v>395855.06423202</v>
      </c>
      <c r="AB448">
        <f t="shared" si="78"/>
        <v>9.3293166086319667E-3</v>
      </c>
      <c r="AC448">
        <f t="shared" si="85"/>
        <v>4.092771196206843E-2</v>
      </c>
    </row>
    <row r="449" spans="1:29" x14ac:dyDescent="0.3">
      <c r="A449" t="s">
        <v>449</v>
      </c>
      <c r="B449" s="4" cm="1">
        <f t="array" ref="B449">_xll.SNL.Clients.Office.Excel.Functions.SPG(A449, "SP_TOTAL_REV", "CY2023")</f>
        <v>62082300</v>
      </c>
      <c r="C449" s="4">
        <f>_xll.SNL.Clients.Office.Excel.Functions.SPG(A449,"IQ_AVG_DILUT_SHARES_OUT","CY2023")</f>
        <v>587500000</v>
      </c>
      <c r="D449" s="5">
        <f>_xll.SNL.Clients.Office.Excel.Functions.SPG(A449, "IQ_DILUT_EPS_NORM", "CY2023")</f>
        <v>5.2169999999999996</v>
      </c>
      <c r="E449">
        <f t="shared" si="74"/>
        <v>3064987.5</v>
      </c>
      <c r="F449">
        <f t="shared" si="75"/>
        <v>4.9369747899159662E-2</v>
      </c>
      <c r="G449" s="5">
        <f>_xll.SNL.Clients.Office.Excel.Functions.SPG(A449, "SP_MARKETCAP", "12/30/2023")</f>
        <v>93172.659755999994</v>
      </c>
      <c r="H449">
        <f t="shared" si="79"/>
        <v>2.2175093983181375E-3</v>
      </c>
      <c r="I449">
        <f t="shared" si="80"/>
        <v>1.1568746531025723E-2</v>
      </c>
      <c r="K449" t="s">
        <v>449</v>
      </c>
      <c r="L449" s="4" cm="1">
        <f t="array" ref="L449">_xll.SNL.Clients.Office.Excel.Functions.SPG(K449, "SP_TOTAL_REV", "CY2023")</f>
        <v>62082300</v>
      </c>
      <c r="M449" s="4">
        <f>_xll.SNL.Clients.Office.Excel.Functions.SPG(K449,"IQ_AVG_DILUT_SHARES_OUT","CY2023")</f>
        <v>587500000</v>
      </c>
      <c r="N449" s="5">
        <f>_xll.SNL.Clients.Office.Excel.Functions.SPG(K449, "IQ_DILUT_EPS_NORM", "CY2023")</f>
        <v>5.2169999999999996</v>
      </c>
      <c r="O449">
        <f t="shared" si="76"/>
        <v>3064987.5</v>
      </c>
      <c r="P449">
        <f t="shared" si="77"/>
        <v>4.9369747899159662E-2</v>
      </c>
      <c r="Q449" s="5">
        <f>_xll.SNL.Clients.Office.Excel.Functions.SPG(K449, "SP_MARKETCAP", "12/31/2022")</f>
        <v>75889.392343519998</v>
      </c>
      <c r="R449">
        <f t="shared" si="81"/>
        <v>2.2522605838319141E-3</v>
      </c>
      <c r="S449">
        <f t="shared" si="82"/>
        <v>1.1750043465851095E-2</v>
      </c>
      <c r="U449" t="s">
        <v>449</v>
      </c>
      <c r="V449" s="4" cm="1">
        <f t="array" ref="V449">_xll.SNL.Clients.Office.Excel.Functions.SPG(U449, "SP_TOTAL_REV", "CY2021")</f>
        <v>47676500</v>
      </c>
      <c r="W449" s="4">
        <f>_xll.SNL.Clients.Office.Excel.Functions.SPG(U449,"IQ_AVG_DILUT_SHARES_OUT","CY2021")</f>
        <v>587100000</v>
      </c>
      <c r="X449" s="5">
        <f>_xll.SNL.Clients.Office.Excel.Functions.SPG(U449, "IQ_DILUT_EPS_NORM", "CY2021")</f>
        <v>4.4820000000000002</v>
      </c>
      <c r="Y449">
        <f t="shared" si="83"/>
        <v>2631382.2000000002</v>
      </c>
      <c r="Z449">
        <f t="shared" si="84"/>
        <v>5.5192436525332192E-2</v>
      </c>
      <c r="AA449" s="5">
        <f>_xll.SNL.Clients.Office.Excel.Functions.SPG(U449, "SP_MARKETCAP", "12/31/2021")</f>
        <v>60056.782543349997</v>
      </c>
      <c r="AB449">
        <f t="shared" si="78"/>
        <v>1.4153885840254782E-3</v>
      </c>
      <c r="AC449">
        <f t="shared" si="85"/>
        <v>6.3437716336021939E-3</v>
      </c>
    </row>
    <row r="450" spans="1:29" x14ac:dyDescent="0.3">
      <c r="A450" t="s">
        <v>450</v>
      </c>
      <c r="B450" s="4" cm="1">
        <f t="array" ref="B450">_xll.SNL.Clients.Office.Excel.Functions.SPG(A450, "SP_TOTAL_REV", "CY2023")</f>
        <v>23051900</v>
      </c>
      <c r="C450" s="4">
        <f>_xll.SNL.Clients.Office.Excel.Functions.SPG(A450,"IQ_AVG_DILUT_SHARES_OUT","CY2023")</f>
        <v>258300000</v>
      </c>
      <c r="D450" s="5">
        <f>_xll.SNL.Clients.Office.Excel.Functions.SPG(A450, "IQ_DILUT_EPS_NORM", "CY2023")</f>
        <v>7.6950000000000003</v>
      </c>
      <c r="E450">
        <f t="shared" si="74"/>
        <v>1987618.5</v>
      </c>
      <c r="F450">
        <f t="shared" si="75"/>
        <v>8.6223630156299483E-2</v>
      </c>
      <c r="G450" s="5">
        <f>_xll.SNL.Clients.Office.Excel.Functions.SPG(A450, "SP_MARKETCAP", "12/30/2023")</f>
        <v>79835.823470999996</v>
      </c>
      <c r="H450">
        <f t="shared" si="79"/>
        <v>1.9000926809756519E-3</v>
      </c>
      <c r="I450">
        <f t="shared" si="80"/>
        <v>1.4621213180107642E-2</v>
      </c>
      <c r="K450" t="s">
        <v>450</v>
      </c>
      <c r="L450" s="4" cm="1">
        <f t="array" ref="L450">_xll.SNL.Clients.Office.Excel.Functions.SPG(K450, "SP_TOTAL_REV", "CY2023")</f>
        <v>23051900</v>
      </c>
      <c r="M450" s="4">
        <f>_xll.SNL.Clients.Office.Excel.Functions.SPG(K450,"IQ_AVG_DILUT_SHARES_OUT","CY2023")</f>
        <v>258300000</v>
      </c>
      <c r="N450" s="5">
        <f>_xll.SNL.Clients.Office.Excel.Functions.SPG(K450, "IQ_DILUT_EPS_NORM", "CY2023")</f>
        <v>7.6950000000000003</v>
      </c>
      <c r="O450">
        <f t="shared" si="76"/>
        <v>1987618.5</v>
      </c>
      <c r="P450">
        <f t="shared" si="77"/>
        <v>8.6223630156299483E-2</v>
      </c>
      <c r="Q450" s="5">
        <f>_xll.SNL.Clients.Office.Excel.Functions.SPG(K450, "SP_MARKETCAP", "12/31/2022")</f>
        <v>61123.334034150001</v>
      </c>
      <c r="R450">
        <f t="shared" si="81"/>
        <v>1.8140305482267141E-3</v>
      </c>
      <c r="S450">
        <f t="shared" si="82"/>
        <v>1.3958965068604565E-2</v>
      </c>
      <c r="U450" t="s">
        <v>450</v>
      </c>
      <c r="V450" s="4" cm="1">
        <f t="array" ref="V450">_xll.SNL.Clients.Office.Excel.Functions.SPG(U450, "SP_TOTAL_REV", "CY2021")</f>
        <v>19944600</v>
      </c>
      <c r="W450" s="4">
        <f>_xll.SNL.Clients.Office.Excel.Functions.SPG(U450,"IQ_AVG_DILUT_SHARES_OUT","CY2021")</f>
        <v>267100000</v>
      </c>
      <c r="X450" s="5">
        <f>_xll.SNL.Clients.Office.Excel.Functions.SPG(U450, "IQ_DILUT_EPS_NORM", "CY2021")</f>
        <v>5.4349999999999996</v>
      </c>
      <c r="Y450">
        <f t="shared" si="83"/>
        <v>1451688.5</v>
      </c>
      <c r="Z450">
        <f t="shared" si="84"/>
        <v>7.2786042337274245E-2</v>
      </c>
      <c r="AA450" s="5">
        <f>_xll.SNL.Clients.Office.Excel.Functions.SPG(U450, "SP_MARKETCAP", "12/31/2021")</f>
        <v>92048.556635360001</v>
      </c>
      <c r="AB450">
        <f t="shared" si="78"/>
        <v>2.1693549124725373E-3</v>
      </c>
      <c r="AC450">
        <f t="shared" si="85"/>
        <v>1.1790443949288239E-2</v>
      </c>
    </row>
    <row r="451" spans="1:29" x14ac:dyDescent="0.3">
      <c r="A451" t="s">
        <v>451</v>
      </c>
      <c r="B451" s="4" cm="1">
        <f t="array" ref="B451">_xll.SNL.Clients.Office.Excel.Functions.SPG(A451, "SP_TOTAL_REV", "CY2023")</f>
        <v>25253000</v>
      </c>
      <c r="C451" s="4">
        <f>_xll.SNL.Clients.Office.Excel.Functions.SPG(A451,"IQ_AVG_DILUT_SHARES_OUT","CY2023")</f>
        <v>1098000000</v>
      </c>
      <c r="D451" s="5">
        <f>_xll.SNL.Clients.Office.Excel.Functions.SPG(A451, "IQ_DILUT_EPS_NORM", "CY2023")</f>
        <v>2.589</v>
      </c>
      <c r="E451">
        <f t="shared" si="74"/>
        <v>2842722</v>
      </c>
      <c r="F451">
        <f t="shared" si="75"/>
        <v>0.11256967489011206</v>
      </c>
      <c r="G451" s="5">
        <f>_xll.SNL.Clients.Office.Excel.Functions.SPG(A451, "SP_MARKETCAP", "12/30/2023")</f>
        <v>76474.22875188</v>
      </c>
      <c r="H451">
        <f t="shared" si="79"/>
        <v>1.820086723192471E-3</v>
      </c>
      <c r="I451">
        <f t="shared" si="80"/>
        <v>4.7122045263453078E-3</v>
      </c>
      <c r="K451" t="s">
        <v>451</v>
      </c>
      <c r="L451" s="4" cm="1">
        <f t="array" ref="L451">_xll.SNL.Clients.Office.Excel.Functions.SPG(K451, "SP_TOTAL_REV", "CY2023")</f>
        <v>25253000</v>
      </c>
      <c r="M451" s="4">
        <f>_xll.SNL.Clients.Office.Excel.Functions.SPG(K451,"IQ_AVG_DILUT_SHARES_OUT","CY2023")</f>
        <v>1098000000</v>
      </c>
      <c r="N451" s="5">
        <f>_xll.SNL.Clients.Office.Excel.Functions.SPG(K451, "IQ_DILUT_EPS_NORM", "CY2023")</f>
        <v>2.589</v>
      </c>
      <c r="O451">
        <f t="shared" si="76"/>
        <v>2842722</v>
      </c>
      <c r="P451">
        <f t="shared" si="77"/>
        <v>0.11256967489011206</v>
      </c>
      <c r="Q451" s="5">
        <f>_xll.SNL.Clients.Office.Excel.Functions.SPG(K451, "SP_MARKETCAP", "12/31/2022")</f>
        <v>77670.716647480003</v>
      </c>
      <c r="R451">
        <f t="shared" si="81"/>
        <v>2.3051270832587412E-3</v>
      </c>
      <c r="S451">
        <f t="shared" si="82"/>
        <v>5.9679740185568809E-3</v>
      </c>
      <c r="U451" t="s">
        <v>451</v>
      </c>
      <c r="V451" s="4" cm="1">
        <f t="array" ref="V451">_xll.SNL.Clients.Office.Excel.Functions.SPG(U451, "SP_TOTAL_REV", "CY2021")</f>
        <v>23113000</v>
      </c>
      <c r="W451" s="4">
        <f>_xll.SNL.Clients.Office.Excel.Functions.SPG(U451,"IQ_AVG_DILUT_SHARES_OUT","CY2021")</f>
        <v>1068000000</v>
      </c>
      <c r="X451" s="5">
        <f>_xll.SNL.Clients.Office.Excel.Functions.SPG(U451, "IQ_DILUT_EPS_NORM", "CY2021")</f>
        <v>1.593</v>
      </c>
      <c r="Y451">
        <f t="shared" si="83"/>
        <v>1701324</v>
      </c>
      <c r="Z451">
        <f t="shared" si="84"/>
        <v>7.3608964651927483E-2</v>
      </c>
      <c r="AA451" s="5">
        <f>_xll.SNL.Clients.Office.Excel.Functions.SPG(U451, "SP_MARKETCAP", "12/31/2021")</f>
        <v>72681.353587980004</v>
      </c>
      <c r="AB451">
        <f t="shared" si="78"/>
        <v>1.7129182380972729E-3</v>
      </c>
      <c r="AC451">
        <f t="shared" si="85"/>
        <v>2.7286787532889555E-3</v>
      </c>
    </row>
    <row r="452" spans="1:29" x14ac:dyDescent="0.3">
      <c r="A452" t="s">
        <v>452</v>
      </c>
      <c r="B452" s="4" cm="1">
        <f t="array" ref="B452">_xll.SNL.Clients.Office.Excel.Functions.SPG(A452, "SP_TOTAL_REV", "CY2023")</f>
        <v>54217000</v>
      </c>
      <c r="C452" s="4">
        <f>_xll.SNL.Clients.Office.Excel.Functions.SPG(A452,"IQ_AVG_DILUT_SHARES_OUT","CY2023")</f>
        <v>1159000000</v>
      </c>
      <c r="D452" s="5">
        <f>_xll.SNL.Clients.Office.Excel.Functions.SPG(A452, "IQ_DILUT_EPS_NORM", "CY2023")</f>
        <v>3.218</v>
      </c>
      <c r="E452">
        <f t="shared" si="74"/>
        <v>3729662</v>
      </c>
      <c r="F452">
        <f t="shared" si="75"/>
        <v>6.8791375398860141E-2</v>
      </c>
      <c r="G452" s="5">
        <f>_xll.SNL.Clients.Office.Excel.Functions.SPG(A452, "SP_MARKETCAP", "12/30/2023")</f>
        <v>106913.08210896001</v>
      </c>
      <c r="H452">
        <f t="shared" si="79"/>
        <v>2.5445314644944477E-3</v>
      </c>
      <c r="I452">
        <f t="shared" si="80"/>
        <v>8.1883022527431334E-3</v>
      </c>
      <c r="K452" t="s">
        <v>452</v>
      </c>
      <c r="L452" s="4" cm="1">
        <f t="array" ref="L452">_xll.SNL.Clients.Office.Excel.Functions.SPG(K452, "SP_TOTAL_REV", "CY2023")</f>
        <v>54217000</v>
      </c>
      <c r="M452" s="4">
        <f>_xll.SNL.Clients.Office.Excel.Functions.SPG(K452,"IQ_AVG_DILUT_SHARES_OUT","CY2023")</f>
        <v>1159000000</v>
      </c>
      <c r="N452" s="5">
        <f>_xll.SNL.Clients.Office.Excel.Functions.SPG(K452, "IQ_DILUT_EPS_NORM", "CY2023")</f>
        <v>3.218</v>
      </c>
      <c r="O452">
        <f t="shared" si="76"/>
        <v>3729662</v>
      </c>
      <c r="P452">
        <f t="shared" si="77"/>
        <v>6.8791375398860141E-2</v>
      </c>
      <c r="Q452" s="5">
        <f>_xll.SNL.Clients.Office.Excel.Functions.SPG(K452, "SP_MARKETCAP", "12/31/2022")</f>
        <v>91978.130260399994</v>
      </c>
      <c r="R452">
        <f t="shared" si="81"/>
        <v>2.7297453697129924E-3</v>
      </c>
      <c r="S452">
        <f t="shared" si="82"/>
        <v>8.7843205997364098E-3</v>
      </c>
      <c r="U452" t="s">
        <v>452</v>
      </c>
      <c r="V452" s="4" cm="1">
        <f t="array" ref="V452">_xll.SNL.Clients.Office.Excel.Functions.SPG(U452, "SP_TOTAL_REV", "CY2021")</f>
        <v>48550000</v>
      </c>
      <c r="W452" s="4">
        <f>_xll.SNL.Clients.Office.Excel.Functions.SPG(U452,"IQ_AVG_DILUT_SHARES_OUT","CY2021")</f>
        <v>1216000000</v>
      </c>
      <c r="X452" s="5">
        <f>_xll.SNL.Clients.Office.Excel.Functions.SPG(U452, "IQ_DILUT_EPS_NORM", "CY2021")</f>
        <v>2.3849999999999998</v>
      </c>
      <c r="Y452">
        <f t="shared" si="83"/>
        <v>2900159.9999999995</v>
      </c>
      <c r="Z452">
        <f t="shared" si="84"/>
        <v>5.9735530381050457E-2</v>
      </c>
      <c r="AA452" s="5">
        <f>_xll.SNL.Clients.Office.Excel.Functions.SPG(U452, "SP_MARKETCAP", "12/31/2021")</f>
        <v>90563.327672479994</v>
      </c>
      <c r="AB452">
        <f t="shared" si="78"/>
        <v>2.1343517699514243E-3</v>
      </c>
      <c r="AC452">
        <f t="shared" si="85"/>
        <v>5.0904289713341461E-3</v>
      </c>
    </row>
    <row r="453" spans="1:29" x14ac:dyDescent="0.3">
      <c r="A453" t="s">
        <v>453</v>
      </c>
      <c r="B453" s="4" cm="1">
        <f t="array" ref="B453">_xll.SNL.Clients.Office.Excel.Functions.SPG(A453, "SP_TOTAL_REV", "CY2023")</f>
        <v>41364000</v>
      </c>
      <c r="C453" s="4">
        <f>_xll.SNL.Clients.Office.Excel.Functions.SPG(A453,"IQ_AVG_DILUT_SHARES_OUT","CY2023")</f>
        <v>232200000</v>
      </c>
      <c r="D453" s="5">
        <f>_xll.SNL.Clients.Office.Excel.Functions.SPG(A453, "IQ_DILUT_EPS_NORM", "CY2023")</f>
        <v>9.0739999999999998</v>
      </c>
      <c r="E453">
        <f t="shared" si="74"/>
        <v>2106982.7999999998</v>
      </c>
      <c r="F453">
        <f t="shared" si="75"/>
        <v>5.093759791122715E-2</v>
      </c>
      <c r="G453" s="5">
        <f>_xll.SNL.Clients.Office.Excel.Functions.SPG(A453, "SP_MARKETCAP", "12/30/2023")</f>
        <v>43507.810468540003</v>
      </c>
      <c r="H453">
        <f t="shared" si="79"/>
        <v>1.0354859340378421E-3</v>
      </c>
      <c r="I453">
        <f t="shared" si="80"/>
        <v>9.3959993654593801E-3</v>
      </c>
      <c r="K453" t="s">
        <v>453</v>
      </c>
      <c r="L453" s="4" cm="1">
        <f t="array" ref="L453">_xll.SNL.Clients.Office.Excel.Functions.SPG(K453, "SP_TOTAL_REV", "CY2023")</f>
        <v>41364000</v>
      </c>
      <c r="M453" s="4">
        <f>_xll.SNL.Clients.Office.Excel.Functions.SPG(K453,"IQ_AVG_DILUT_SHARES_OUT","CY2023")</f>
        <v>232200000</v>
      </c>
      <c r="N453" s="5">
        <f>_xll.SNL.Clients.Office.Excel.Functions.SPG(K453, "IQ_DILUT_EPS_NORM", "CY2023")</f>
        <v>9.0739999999999998</v>
      </c>
      <c r="O453">
        <f t="shared" si="76"/>
        <v>2106982.7999999998</v>
      </c>
      <c r="P453">
        <f t="shared" si="77"/>
        <v>5.093759791122715E-2</v>
      </c>
      <c r="Q453" s="5">
        <f>_xll.SNL.Clients.Office.Excel.Functions.SPG(K453, "SP_MARKETCAP", "12/31/2022")</f>
        <v>43937.817462250001</v>
      </c>
      <c r="R453">
        <f t="shared" si="81"/>
        <v>1.303995345777428E-3</v>
      </c>
      <c r="S453">
        <f t="shared" si="82"/>
        <v>1.1832453767584381E-2</v>
      </c>
      <c r="U453" t="s">
        <v>453</v>
      </c>
      <c r="V453" s="4" cm="1">
        <f t="array" ref="V453">_xll.SNL.Clients.Office.Excel.Functions.SPG(U453, "SP_TOTAL_REV", "CY2021")</f>
        <v>34816000</v>
      </c>
      <c r="W453" s="4">
        <f>_xll.SNL.Clients.Office.Excel.Functions.SPG(U453,"IQ_AVG_DILUT_SHARES_OUT","CY2021")</f>
        <v>250800000</v>
      </c>
      <c r="X453" s="5">
        <f>_xll.SNL.Clients.Office.Excel.Functions.SPG(U453, "IQ_DILUT_EPS_NORM", "CY2021")</f>
        <v>11.109</v>
      </c>
      <c r="Y453">
        <f t="shared" si="83"/>
        <v>2786137.2</v>
      </c>
      <c r="Z453">
        <f t="shared" si="84"/>
        <v>8.0024620863970594E-2</v>
      </c>
      <c r="AA453" s="5">
        <f>_xll.SNL.Clients.Office.Excel.Functions.SPG(U453, "SP_MARKETCAP", "12/31/2021")</f>
        <v>38483.138907410001</v>
      </c>
      <c r="AB453">
        <f t="shared" si="78"/>
        <v>9.0695160780047577E-4</v>
      </c>
      <c r="AC453">
        <f t="shared" si="85"/>
        <v>1.0075325411055486E-2</v>
      </c>
    </row>
    <row r="454" spans="1:29" x14ac:dyDescent="0.3">
      <c r="A454" t="s">
        <v>454</v>
      </c>
      <c r="B454" s="4" cm="1">
        <f t="array" ref="B454">_xll.SNL.Clients.Office.Excel.Functions.SPG(A454, "SP_TOTAL_REV", "CY2023")</f>
        <v>88935000</v>
      </c>
      <c r="C454" s="4">
        <f>_xll.SNL.Clients.Office.Excel.Functions.SPG(A454,"IQ_AVG_DILUT_SHARES_OUT","CY2023")</f>
        <v>1832000000</v>
      </c>
      <c r="D454" s="5">
        <f>_xll.SNL.Clients.Office.Excel.Functions.SPG(A454, "IQ_DILUT_EPS_NORM", "CY2023")</f>
        <v>2.5819999999999999</v>
      </c>
      <c r="E454">
        <f t="shared" ref="E454:E495" si="86">C454*D454/1000</f>
        <v>4730224</v>
      </c>
      <c r="F454">
        <f t="shared" ref="F454:F495" si="87">E454/B454</f>
        <v>5.3187429021195255E-2</v>
      </c>
      <c r="G454" s="5">
        <f>_xll.SNL.Clients.Office.Excel.Functions.SPG(A454, "SP_MARKETCAP", "12/30/2023")</f>
        <v>165259.22450709</v>
      </c>
      <c r="H454">
        <f t="shared" si="79"/>
        <v>3.9331697137650959E-3</v>
      </c>
      <c r="I454">
        <f t="shared" si="80"/>
        <v>1.0155444200941477E-2</v>
      </c>
      <c r="K454" t="s">
        <v>454</v>
      </c>
      <c r="L454" s="4" cm="1">
        <f t="array" ref="L454">_xll.SNL.Clients.Office.Excel.Functions.SPG(K454, "SP_TOTAL_REV", "CY2023")</f>
        <v>88935000</v>
      </c>
      <c r="M454" s="4">
        <f>_xll.SNL.Clients.Office.Excel.Functions.SPG(K454,"IQ_AVG_DILUT_SHARES_OUT","CY2023")</f>
        <v>1832000000</v>
      </c>
      <c r="N454" s="5">
        <f>_xll.SNL.Clients.Office.Excel.Functions.SPG(K454, "IQ_DILUT_EPS_NORM", "CY2023")</f>
        <v>2.5819999999999999</v>
      </c>
      <c r="O454">
        <f t="shared" ref="O454:O495" si="88">M454*N454/1000</f>
        <v>4730224</v>
      </c>
      <c r="P454">
        <f t="shared" ref="P454:P495" si="89">O454/L454</f>
        <v>5.3187429021195255E-2</v>
      </c>
      <c r="Q454" s="5">
        <f>_xll.SNL.Clients.Office.Excel.Functions.SPG(K454, "SP_MARKETCAP", "12/31/2022")</f>
        <v>158433.67191743999</v>
      </c>
      <c r="R454">
        <f t="shared" si="81"/>
        <v>4.7020262436173856E-3</v>
      </c>
      <c r="S454">
        <f t="shared" si="82"/>
        <v>1.214063176102009E-2</v>
      </c>
      <c r="U454" t="s">
        <v>454</v>
      </c>
      <c r="V454" s="4" cm="1">
        <f t="array" ref="V454">_xll.SNL.Clients.Office.Excel.Functions.SPG(U454, "SP_TOTAL_REV", "CY2021")</f>
        <v>72988000</v>
      </c>
      <c r="W454" s="4">
        <f>_xll.SNL.Clients.Office.Excel.Functions.SPG(U454,"IQ_AVG_DILUT_SHARES_OUT","CY2021")</f>
        <v>1829250000</v>
      </c>
      <c r="X454" s="5">
        <f>_xll.SNL.Clients.Office.Excel.Functions.SPG(U454, "IQ_DILUT_EPS_NORM", "CY2021")</f>
        <v>1.3959999999999999</v>
      </c>
      <c r="Y454">
        <f t="shared" si="83"/>
        <v>2553633</v>
      </c>
      <c r="Z454">
        <f t="shared" si="84"/>
        <v>3.4987025264427027E-2</v>
      </c>
      <c r="AA454" s="5">
        <f>_xll.SNL.Clients.Office.Excel.Functions.SPG(U454, "SP_MARKETCAP", "12/31/2021")</f>
        <v>281536.72978572</v>
      </c>
      <c r="AB454">
        <f t="shared" ref="AB454:AB507" si="90">AA454/$AA$509</f>
        <v>6.6351185735756251E-3</v>
      </c>
      <c r="AC454">
        <f t="shared" si="85"/>
        <v>9.2626255287115728E-3</v>
      </c>
    </row>
    <row r="455" spans="1:29" x14ac:dyDescent="0.3">
      <c r="A455" t="s">
        <v>455</v>
      </c>
      <c r="B455" s="4" cm="1">
        <f t="array" ref="B455">_xll.SNL.Clients.Office.Excel.Functions.SPG(A455, "SP_TOTAL_REV", "CY2023")</f>
        <v>9951000</v>
      </c>
      <c r="C455" s="4">
        <f>_xll.SNL.Clients.Office.Excel.Functions.SPG(A455,"IQ_AVG_DILUT_SHARES_OUT","CY2023")</f>
        <v>1222715000</v>
      </c>
      <c r="D455" s="5">
        <f>_xll.SNL.Clients.Office.Excel.Functions.SPG(A455, "IQ_DILUT_EPS_NORM", "CY2023")</f>
        <v>1.823</v>
      </c>
      <c r="E455">
        <f t="shared" si="86"/>
        <v>2229009.4449999998</v>
      </c>
      <c r="F455">
        <f t="shared" si="87"/>
        <v>0.22399853733293135</v>
      </c>
      <c r="G455" s="5">
        <f>_xll.SNL.Clients.Office.Excel.Functions.SPG(A455, "SP_MARKETCAP", "12/30/2023")</f>
        <v>42370.648745760001</v>
      </c>
      <c r="H455">
        <f t="shared" ref="H455:H508" si="91">G455/$G$509</f>
        <v>1.0084214838624792E-3</v>
      </c>
      <c r="I455">
        <f t="shared" ref="I455:I495" si="92">D455*H455</f>
        <v>1.8383523650812995E-3</v>
      </c>
      <c r="K455" t="s">
        <v>455</v>
      </c>
      <c r="L455" s="4" cm="1">
        <f t="array" ref="L455">_xll.SNL.Clients.Office.Excel.Functions.SPG(K455, "SP_TOTAL_REV", "CY2023")</f>
        <v>9951000</v>
      </c>
      <c r="M455" s="4">
        <f>_xll.SNL.Clients.Office.Excel.Functions.SPG(K455,"IQ_AVG_DILUT_SHARES_OUT","CY2023")</f>
        <v>1222715000</v>
      </c>
      <c r="N455" s="5">
        <f>_xll.SNL.Clients.Office.Excel.Functions.SPG(K455, "IQ_DILUT_EPS_NORM", "CY2023")</f>
        <v>1.823</v>
      </c>
      <c r="O455">
        <f t="shared" si="88"/>
        <v>2229009.4449999998</v>
      </c>
      <c r="P455">
        <f t="shared" si="89"/>
        <v>0.22399853733293135</v>
      </c>
      <c r="Q455" s="5">
        <f>_xll.SNL.Clients.Office.Excel.Functions.SPG(K455, "SP_MARKETCAP", "12/31/2022")</f>
        <v>40083.380341199998</v>
      </c>
      <c r="R455">
        <f t="shared" ref="R455:R508" si="93">Q455/$Q$509</f>
        <v>1.1896025889965689E-3</v>
      </c>
      <c r="S455">
        <f t="shared" ref="S455:S508" si="94">N455*R455</f>
        <v>2.1686455197407451E-3</v>
      </c>
      <c r="U455" t="s">
        <v>455</v>
      </c>
      <c r="V455" s="4" cm="1">
        <f t="array" ref="V455">_xll.SNL.Clients.Office.Excel.Functions.SPG(U455, "SP_TOTAL_REV", "CY2021")</f>
        <v>10775000</v>
      </c>
      <c r="W455" s="4">
        <f>_xll.SNL.Clients.Office.Excel.Functions.SPG(U455,"IQ_AVG_DILUT_SHARES_OUT","CY2021")</f>
        <v>1218215000</v>
      </c>
      <c r="X455" s="5">
        <f>_xll.SNL.Clients.Office.Excel.Functions.SPG(U455, "IQ_DILUT_EPS_NORM", "CY2021")</f>
        <v>1.0289999999999999</v>
      </c>
      <c r="Y455">
        <f t="shared" ref="Y455:Y508" si="95">W455*X455/1000</f>
        <v>1253543.2350000001</v>
      </c>
      <c r="Z455">
        <f t="shared" ref="Z455:Z508" si="96">Y455/V455</f>
        <v>0.11633811925754062</v>
      </c>
      <c r="AA455" s="5">
        <f>_xll.SNL.Clients.Office.Excel.Functions.SPG(U455, "SP_MARKETCAP", "12/31/2021")</f>
        <v>31639.37596596</v>
      </c>
      <c r="AB455">
        <f t="shared" si="90"/>
        <v>7.4566118349056508E-4</v>
      </c>
      <c r="AC455">
        <f t="shared" ref="AC455:AC508" si="97">X455*AB455</f>
        <v>7.6728535781179141E-4</v>
      </c>
    </row>
    <row r="456" spans="1:29" x14ac:dyDescent="0.3">
      <c r="A456" t="s">
        <v>456</v>
      </c>
      <c r="B456" s="4" cm="1">
        <f t="array" ref="B456">_xll.SNL.Clients.Office.Excel.Functions.SPG(A456, "SP_TOTAL_REV", "CY2023")</f>
        <v>42857000</v>
      </c>
      <c r="C456" s="4">
        <f>_xll.SNL.Clients.Office.Excel.Functions.SPG(A456,"IQ_AVG_DILUT_SHARES_OUT","CY2023")</f>
        <v>388000000</v>
      </c>
      <c r="D456" s="5">
        <f>_xll.SNL.Clients.Office.Excel.Functions.SPG(A456, "IQ_DILUT_EPS_NORM", "CY2023")</f>
        <v>11.081</v>
      </c>
      <c r="E456">
        <f t="shared" si="86"/>
        <v>4299428</v>
      </c>
      <c r="F456">
        <f t="shared" si="87"/>
        <v>0.10032032106773689</v>
      </c>
      <c r="G456" s="5">
        <f>_xll.SNL.Clients.Office.Excel.Functions.SPG(A456, "SP_MARKETCAP", "12/30/2023")</f>
        <v>205082.56426359</v>
      </c>
      <c r="H456">
        <f t="shared" si="91"/>
        <v>4.8809652410551534E-3</v>
      </c>
      <c r="I456">
        <f t="shared" si="92"/>
        <v>5.4085975836132151E-2</v>
      </c>
      <c r="K456" t="s">
        <v>456</v>
      </c>
      <c r="L456" s="4" cm="1">
        <f t="array" ref="L456">_xll.SNL.Clients.Office.Excel.Functions.SPG(K456, "SP_TOTAL_REV", "CY2023")</f>
        <v>42857000</v>
      </c>
      <c r="M456" s="4">
        <f>_xll.SNL.Clients.Office.Excel.Functions.SPG(K456,"IQ_AVG_DILUT_SHARES_OUT","CY2023")</f>
        <v>388000000</v>
      </c>
      <c r="N456" s="5">
        <f>_xll.SNL.Clients.Office.Excel.Functions.SPG(K456, "IQ_DILUT_EPS_NORM", "CY2023")</f>
        <v>11.081</v>
      </c>
      <c r="O456">
        <f t="shared" si="88"/>
        <v>4299428</v>
      </c>
      <c r="P456">
        <f t="shared" si="89"/>
        <v>0.10032032106773689</v>
      </c>
      <c r="Q456" s="5">
        <f>_xll.SNL.Clients.Office.Excel.Functions.SPG(K456, "SP_MARKETCAP", "12/31/2022")</f>
        <v>216998.34103002999</v>
      </c>
      <c r="R456">
        <f t="shared" si="93"/>
        <v>6.4401202218953351E-3</v>
      </c>
      <c r="S456">
        <f t="shared" si="94"/>
        <v>7.1362972178822204E-2</v>
      </c>
      <c r="U456" t="s">
        <v>456</v>
      </c>
      <c r="V456" s="4" cm="1">
        <f t="array" ref="V456">_xll.SNL.Clients.Office.Excel.Functions.SPG(U456, "SP_TOTAL_REV", "CY2021")</f>
        <v>39211000</v>
      </c>
      <c r="W456" s="4">
        <f>_xll.SNL.Clients.Office.Excel.Functions.SPG(U456,"IQ_AVG_DILUT_SHARES_OUT","CY2021")</f>
        <v>397000000</v>
      </c>
      <c r="X456" s="5">
        <f>_xll.SNL.Clients.Office.Excel.Functions.SPG(U456, "IQ_DILUT_EPS_NORM", "CY2021")</f>
        <v>15.54</v>
      </c>
      <c r="Y456">
        <f t="shared" si="95"/>
        <v>6169380</v>
      </c>
      <c r="Z456">
        <f t="shared" si="96"/>
        <v>0.15733799189003086</v>
      </c>
      <c r="AA456" s="5">
        <f>_xll.SNL.Clients.Office.Excel.Functions.SPG(U456, "SP_MARKETCAP", "12/31/2021")</f>
        <v>262924.64556988003</v>
      </c>
      <c r="AB456">
        <f t="shared" si="90"/>
        <v>6.1964781668071532E-3</v>
      </c>
      <c r="AC456">
        <f t="shared" si="97"/>
        <v>9.629327071218316E-2</v>
      </c>
    </row>
    <row r="457" spans="1:29" x14ac:dyDescent="0.3">
      <c r="A457" t="s">
        <v>457</v>
      </c>
      <c r="B457" s="4" cm="1">
        <f t="array" ref="B457">_xll.SNL.Clients.Office.Excel.Functions.SPG(A457, "SP_TOTAL_REV", "CY2023")</f>
        <v>14555741</v>
      </c>
      <c r="C457" s="4">
        <f>_xll.SNL.Clients.Office.Excel.Functions.SPG(A457,"IQ_AVG_DILUT_SHARES_OUT","CY2023")</f>
        <v>109746000</v>
      </c>
      <c r="D457" s="5">
        <f>_xll.SNL.Clients.Office.Excel.Functions.SPG(A457, "IQ_DILUT_EPS_NORM", "CY2023")</f>
        <v>8.157</v>
      </c>
      <c r="E457">
        <f t="shared" si="86"/>
        <v>895198.12199999997</v>
      </c>
      <c r="F457">
        <f t="shared" si="87"/>
        <v>6.1501377497717225E-2</v>
      </c>
      <c r="G457" s="5">
        <f>_xll.SNL.Clients.Office.Excel.Functions.SPG(A457, "SP_MARKETCAP", "12/30/2023")</f>
        <v>23247.79728612</v>
      </c>
      <c r="H457">
        <f t="shared" si="91"/>
        <v>5.5329759939418512E-4</v>
      </c>
      <c r="I457">
        <f t="shared" si="92"/>
        <v>4.5132485182583677E-3</v>
      </c>
      <c r="K457" t="s">
        <v>457</v>
      </c>
      <c r="L457" s="4" cm="1">
        <f t="array" ref="L457">_xll.SNL.Clients.Office.Excel.Functions.SPG(K457, "SP_TOTAL_REV", "CY2023")</f>
        <v>14555741</v>
      </c>
      <c r="M457" s="4">
        <f>_xll.SNL.Clients.Office.Excel.Functions.SPG(K457,"IQ_AVG_DILUT_SHARES_OUT","CY2023")</f>
        <v>109746000</v>
      </c>
      <c r="N457" s="5">
        <f>_xll.SNL.Clients.Office.Excel.Functions.SPG(K457, "IQ_DILUT_EPS_NORM", "CY2023")</f>
        <v>8.157</v>
      </c>
      <c r="O457">
        <f t="shared" si="88"/>
        <v>895198.12199999997</v>
      </c>
      <c r="P457">
        <f t="shared" si="89"/>
        <v>6.1501377497717225E-2</v>
      </c>
      <c r="Q457" s="5">
        <f>_xll.SNL.Clients.Office.Excel.Functions.SPG(K457, "SP_MARKETCAP", "12/31/2022")</f>
        <v>24850.916227649999</v>
      </c>
      <c r="R457">
        <f t="shared" si="93"/>
        <v>7.3753046853094453E-4</v>
      </c>
      <c r="S457">
        <f t="shared" si="94"/>
        <v>6.0160360318069145E-3</v>
      </c>
      <c r="U457" t="s">
        <v>457</v>
      </c>
      <c r="V457" s="4" cm="1">
        <f t="array" ref="V457">_xll.SNL.Clients.Office.Excel.Functions.SPG(U457, "SP_TOTAL_REV", "CY2021")</f>
        <v>12731105</v>
      </c>
      <c r="W457" s="4">
        <f>_xll.SNL.Clients.Office.Excel.Functions.SPG(U457,"IQ_AVG_DILUT_SHARES_OUT","CY2021")</f>
        <v>115824000</v>
      </c>
      <c r="X457" s="5">
        <f>_xll.SNL.Clients.Office.Excel.Functions.SPG(U457, "IQ_DILUT_EPS_NORM", "CY2021")</f>
        <v>6.9080000000000004</v>
      </c>
      <c r="Y457">
        <f t="shared" si="95"/>
        <v>800112.19200000004</v>
      </c>
      <c r="Z457">
        <f t="shared" si="96"/>
        <v>6.2847034251936496E-2</v>
      </c>
      <c r="AA457" s="5">
        <f>_xll.SNL.Clients.Office.Excel.Functions.SPG(U457, "SP_MARKETCAP", "12/31/2021")</f>
        <v>27156.2408664</v>
      </c>
      <c r="AB457">
        <f t="shared" si="90"/>
        <v>6.4000487005118052E-4</v>
      </c>
      <c r="AC457">
        <f t="shared" si="97"/>
        <v>4.4211536423135554E-3</v>
      </c>
    </row>
    <row r="458" spans="1:29" x14ac:dyDescent="0.3">
      <c r="A458" t="s">
        <v>458</v>
      </c>
      <c r="B458" s="4" cm="1">
        <f t="array" ref="B458">_xll.SNL.Clients.Office.Excel.Functions.SPG(A458, "SP_TOTAL_REV", "CY2023")</f>
        <v>17677600</v>
      </c>
      <c r="C458" s="4">
        <f>_xll.SNL.Clients.Office.Excel.Functions.SPG(A458,"IQ_AVG_DILUT_SHARES_OUT","CY2023")</f>
        <v>230700000</v>
      </c>
      <c r="D458" s="5">
        <f>_xll.SNL.Clients.Office.Excel.Functions.SPG(A458, "IQ_DILUT_EPS_NORM", "CY2023")</f>
        <v>6.8860000000000001</v>
      </c>
      <c r="E458">
        <f t="shared" si="86"/>
        <v>1588600.2</v>
      </c>
      <c r="F458">
        <f t="shared" si="87"/>
        <v>8.986515137801511E-2</v>
      </c>
      <c r="G458" s="5">
        <f>_xll.SNL.Clients.Office.Excel.Functions.SPG(A458, "SP_MARKETCAP", "12/30/2023")</f>
        <v>55501.148885399998</v>
      </c>
      <c r="H458">
        <f t="shared" si="91"/>
        <v>1.320927400732522E-3</v>
      </c>
      <c r="I458">
        <f t="shared" si="92"/>
        <v>9.0959060814441474E-3</v>
      </c>
      <c r="K458" t="s">
        <v>458</v>
      </c>
      <c r="L458" s="4" cm="1">
        <f t="array" ref="L458">_xll.SNL.Clients.Office.Excel.Functions.SPG(K458, "SP_TOTAL_REV", "CY2023")</f>
        <v>17677600</v>
      </c>
      <c r="M458" s="4">
        <f>_xll.SNL.Clients.Office.Excel.Functions.SPG(K458,"IQ_AVG_DILUT_SHARES_OUT","CY2023")</f>
        <v>230700000</v>
      </c>
      <c r="N458" s="5">
        <f>_xll.SNL.Clients.Office.Excel.Functions.SPG(K458, "IQ_DILUT_EPS_NORM", "CY2023")</f>
        <v>6.8860000000000001</v>
      </c>
      <c r="O458">
        <f t="shared" si="88"/>
        <v>1588600.2</v>
      </c>
      <c r="P458">
        <f t="shared" si="89"/>
        <v>8.986515137801511E-2</v>
      </c>
      <c r="Q458" s="5">
        <f>_xll.SNL.Clients.Office.Excel.Functions.SPG(K458, "SP_MARKETCAP", "12/31/2022")</f>
        <v>38712.353384640002</v>
      </c>
      <c r="R458">
        <f t="shared" si="93"/>
        <v>1.1489129764133844E-3</v>
      </c>
      <c r="S458">
        <f t="shared" si="94"/>
        <v>7.9114147555825656E-3</v>
      </c>
      <c r="U458" t="s">
        <v>458</v>
      </c>
      <c r="V458" s="4" cm="1">
        <f t="array" ref="V458">_xll.SNL.Clients.Office.Excel.Functions.SPG(U458, "SP_TOTAL_REV", "CY2021")</f>
        <v>14136400</v>
      </c>
      <c r="W458" s="4">
        <f>_xll.SNL.Clients.Office.Excel.Functions.SPG(U458,"IQ_AVG_DILUT_SHARES_OUT","CY2021")</f>
        <v>242300000</v>
      </c>
      <c r="X458" s="5">
        <f>_xll.SNL.Clients.Office.Excel.Functions.SPG(U458, "IQ_DILUT_EPS_NORM", "CY2021")</f>
        <v>4.55</v>
      </c>
      <c r="Y458">
        <f t="shared" si="95"/>
        <v>1102465</v>
      </c>
      <c r="Z458">
        <f t="shared" si="96"/>
        <v>7.7987677202116523E-2</v>
      </c>
      <c r="AA458" s="5">
        <f>_xll.SNL.Clients.Office.Excel.Functions.SPG(U458, "SP_MARKETCAP", "12/31/2021")</f>
        <v>47990.24216134</v>
      </c>
      <c r="AB458">
        <f t="shared" si="90"/>
        <v>1.1310103209533334E-3</v>
      </c>
      <c r="AC458">
        <f t="shared" si="97"/>
        <v>5.1460969603376663E-3</v>
      </c>
    </row>
    <row r="459" spans="1:29" x14ac:dyDescent="0.3">
      <c r="A459" t="s">
        <v>459</v>
      </c>
      <c r="B459" s="4" cm="1">
        <f t="array" ref="B459">_xll.SNL.Clients.Office.Excel.Functions.SPG(A459, "SP_TOTAL_REV", "CY2023")</f>
        <v>6977000</v>
      </c>
      <c r="C459" s="4">
        <f>_xll.SNL.Clients.Office.Excel.Functions.SPG(A459,"IQ_AVG_DILUT_SHARES_OUT","CY2023")</f>
        <v>57350000</v>
      </c>
      <c r="D459" s="5">
        <f>_xll.SNL.Clients.Office.Excel.Functions.SPG(A459, "IQ_DILUT_EPS_NORM", "CY2023")</f>
        <v>21.446999999999999</v>
      </c>
      <c r="E459">
        <f t="shared" si="86"/>
        <v>1229985.45</v>
      </c>
      <c r="F459">
        <f t="shared" si="87"/>
        <v>0.17629145048014905</v>
      </c>
      <c r="G459" s="5">
        <f>_xll.SNL.Clients.Office.Excel.Functions.SPG(A459, "SP_MARKETCAP", "12/30/2023")</f>
        <v>55955.7476064</v>
      </c>
      <c r="H459">
        <f t="shared" si="91"/>
        <v>1.3317468507613272E-3</v>
      </c>
      <c r="I459">
        <f t="shared" si="92"/>
        <v>2.8561974708278183E-2</v>
      </c>
      <c r="K459" t="s">
        <v>459</v>
      </c>
      <c r="L459" s="4" cm="1">
        <f t="array" ref="L459">_xll.SNL.Clients.Office.Excel.Functions.SPG(K459, "SP_TOTAL_REV", "CY2023")</f>
        <v>6977000</v>
      </c>
      <c r="M459" s="4">
        <f>_xll.SNL.Clients.Office.Excel.Functions.SPG(K459,"IQ_AVG_DILUT_SHARES_OUT","CY2023")</f>
        <v>57350000</v>
      </c>
      <c r="N459" s="5">
        <f>_xll.SNL.Clients.Office.Excel.Functions.SPG(K459, "IQ_DILUT_EPS_NORM", "CY2023")</f>
        <v>21.446999999999999</v>
      </c>
      <c r="O459">
        <f t="shared" si="88"/>
        <v>1229985.45</v>
      </c>
      <c r="P459">
        <f t="shared" si="89"/>
        <v>0.17629145048014905</v>
      </c>
      <c r="Q459" s="5">
        <f>_xll.SNL.Clients.Office.Excel.Functions.SPG(K459, "SP_MARKETCAP", "12/31/2022")</f>
        <v>34236.964371399998</v>
      </c>
      <c r="R459">
        <f t="shared" si="93"/>
        <v>1.016091485022229E-3</v>
      </c>
      <c r="S459">
        <f t="shared" si="94"/>
        <v>2.1792114079271743E-2</v>
      </c>
      <c r="U459" t="s">
        <v>459</v>
      </c>
      <c r="V459" s="4" cm="1">
        <f t="array" ref="V459">_xll.SNL.Clients.Office.Excel.Functions.SPG(U459, "SP_TOTAL_REV", "CY2021")</f>
        <v>4884000</v>
      </c>
      <c r="W459" s="4">
        <f>_xll.SNL.Clients.Office.Excel.Functions.SPG(U459,"IQ_AVG_DILUT_SHARES_OUT","CY2021")</f>
        <v>59525000</v>
      </c>
      <c r="X459" s="5">
        <f>_xll.SNL.Clients.Office.Excel.Functions.SPG(U459, "IQ_DILUT_EPS_NORM", "CY2021")</f>
        <v>8.8699999999999992</v>
      </c>
      <c r="Y459">
        <f t="shared" si="95"/>
        <v>527986.74999999988</v>
      </c>
      <c r="Z459">
        <f t="shared" si="96"/>
        <v>0.10810539516789515</v>
      </c>
      <c r="AA459" s="5">
        <f>_xll.SNL.Clients.Office.Excel.Functions.SPG(U459, "SP_MARKETCAP", "12/31/2021")</f>
        <v>35153.770728279997</v>
      </c>
      <c r="AB459">
        <f t="shared" si="90"/>
        <v>8.2848670320195112E-4</v>
      </c>
      <c r="AC459">
        <f t="shared" si="97"/>
        <v>7.3486770574013056E-3</v>
      </c>
    </row>
    <row r="460" spans="1:29" x14ac:dyDescent="0.3">
      <c r="A460" t="s">
        <v>460</v>
      </c>
      <c r="B460" s="4" cm="1">
        <f t="array" ref="B460">_xll.SNL.Clients.Office.Excel.Functions.SPG(A460, "SP_TOTAL_REV", "CY2023")</f>
        <v>3798700</v>
      </c>
      <c r="C460" s="4">
        <f>_xll.SNL.Clients.Office.Excel.Functions.SPG(A460,"IQ_AVG_DILUT_SHARES_OUT","CY2023")</f>
        <v>249100000</v>
      </c>
      <c r="D460" s="5">
        <f>_xll.SNL.Clients.Office.Excel.Functions.SPG(A460, "IQ_DILUT_EPS_NORM", "CY2023")</f>
        <v>1.103</v>
      </c>
      <c r="E460">
        <f t="shared" si="86"/>
        <v>274757.3</v>
      </c>
      <c r="F460">
        <f t="shared" si="87"/>
        <v>7.2329296864716869E-2</v>
      </c>
      <c r="G460" s="5">
        <f>_xll.SNL.Clients.Office.Excel.Functions.SPG(A460, "SP_MARKETCAP", "12/30/2023")</f>
        <v>13234.434458</v>
      </c>
      <c r="H460">
        <f t="shared" si="91"/>
        <v>3.1497955375423887E-4</v>
      </c>
      <c r="I460">
        <f t="shared" si="92"/>
        <v>3.4742244779092544E-4</v>
      </c>
      <c r="K460" t="s">
        <v>460</v>
      </c>
      <c r="L460" s="4" cm="1">
        <f t="array" ref="L460">_xll.SNL.Clients.Office.Excel.Functions.SPG(K460, "SP_TOTAL_REV", "CY2023")</f>
        <v>3798700</v>
      </c>
      <c r="M460" s="4">
        <f>_xll.SNL.Clients.Office.Excel.Functions.SPG(K460,"IQ_AVG_DILUT_SHARES_OUT","CY2023")</f>
        <v>249100000</v>
      </c>
      <c r="N460" s="5">
        <f>_xll.SNL.Clients.Office.Excel.Functions.SPG(K460, "IQ_DILUT_EPS_NORM", "CY2023")</f>
        <v>1.103</v>
      </c>
      <c r="O460">
        <f t="shared" si="88"/>
        <v>274757.3</v>
      </c>
      <c r="P460">
        <f t="shared" si="89"/>
        <v>7.2329296864716869E-2</v>
      </c>
      <c r="Q460" s="5">
        <f>_xll.SNL.Clients.Office.Excel.Functions.SPG(K460, "SP_MARKETCAP", "12/31/2022")</f>
        <v>12469.34437696</v>
      </c>
      <c r="R460">
        <f t="shared" si="93"/>
        <v>3.7006769957160113E-4</v>
      </c>
      <c r="S460">
        <f t="shared" si="94"/>
        <v>4.0818467262747604E-4</v>
      </c>
      <c r="U460" t="s">
        <v>460</v>
      </c>
      <c r="V460" s="4" cm="1">
        <f t="array" ref="V460">_xll.SNL.Clients.Office.Excel.Functions.SPG(U460, "SP_TOTAL_REV", "CY2021")</f>
        <v>3659100</v>
      </c>
      <c r="W460" s="4">
        <f>_xll.SNL.Clients.Office.Excel.Functions.SPG(U460,"IQ_AVG_DILUT_SHARES_OUT","CY2021")</f>
        <v>254300000</v>
      </c>
      <c r="X460" s="5">
        <f>_xll.SNL.Clients.Office.Excel.Functions.SPG(U460, "IQ_DILUT_EPS_NORM", "CY2021")</f>
        <v>1.335</v>
      </c>
      <c r="Y460">
        <f t="shared" si="95"/>
        <v>339490.5</v>
      </c>
      <c r="Z460">
        <f t="shared" si="96"/>
        <v>9.277978191358531E-2</v>
      </c>
      <c r="AA460" s="5">
        <f>_xll.SNL.Clients.Office.Excel.Functions.SPG(U460, "SP_MARKETCAP", "12/31/2021")</f>
        <v>21885.421436910001</v>
      </c>
      <c r="AB460">
        <f t="shared" si="90"/>
        <v>5.1578480142571109E-4</v>
      </c>
      <c r="AC460">
        <f t="shared" si="97"/>
        <v>6.8857270990332431E-4</v>
      </c>
    </row>
    <row r="461" spans="1:29" x14ac:dyDescent="0.3">
      <c r="A461" t="s">
        <v>461</v>
      </c>
      <c r="B461" s="4" cm="1">
        <f t="array" ref="B461">_xll.SNL.Clients.Office.Excel.Functions.SPG(A461, "SP_TOTAL_REV", "CY2023")</f>
        <v>20022000</v>
      </c>
      <c r="C461" s="4">
        <f>_xll.SNL.Clients.Office.Excel.Functions.SPG(A461,"IQ_AVG_DILUT_SHARES_OUT","CY2023")</f>
        <v>1331963000</v>
      </c>
      <c r="D461" s="5">
        <f>_xll.SNL.Clients.Office.Excel.Functions.SPG(A461, "IQ_DILUT_EPS_NORM", "CY2023")</f>
        <v>2.9079999999999999</v>
      </c>
      <c r="E461">
        <f t="shared" si="86"/>
        <v>3873348.4040000001</v>
      </c>
      <c r="F461">
        <f t="shared" si="87"/>
        <v>0.19345462011787035</v>
      </c>
      <c r="G461" s="5">
        <f>_xll.SNL.Clients.Office.Excel.Functions.SPG(A461, "SP_MARKETCAP", "12/30/2023")</f>
        <v>49239.025402840001</v>
      </c>
      <c r="H461">
        <f t="shared" si="91"/>
        <v>1.1718888553870215E-3</v>
      </c>
      <c r="I461">
        <f t="shared" si="92"/>
        <v>3.4078527914654581E-3</v>
      </c>
      <c r="K461" t="s">
        <v>461</v>
      </c>
      <c r="L461" s="4" cm="1">
        <f t="array" ref="L461">_xll.SNL.Clients.Office.Excel.Functions.SPG(K461, "SP_TOTAL_REV", "CY2023")</f>
        <v>20022000</v>
      </c>
      <c r="M461" s="4">
        <f>_xll.SNL.Clients.Office.Excel.Functions.SPG(K461,"IQ_AVG_DILUT_SHARES_OUT","CY2023")</f>
        <v>1331963000</v>
      </c>
      <c r="N461" s="5">
        <f>_xll.SNL.Clients.Office.Excel.Functions.SPG(K461, "IQ_DILUT_EPS_NORM", "CY2023")</f>
        <v>2.9079999999999999</v>
      </c>
      <c r="O461">
        <f t="shared" si="88"/>
        <v>3873348.4040000001</v>
      </c>
      <c r="P461">
        <f t="shared" si="89"/>
        <v>0.19345462011787035</v>
      </c>
      <c r="Q461" s="5">
        <f>_xll.SNL.Clients.Office.Excel.Functions.SPG(K461, "SP_MARKETCAP", "12/31/2022")</f>
        <v>57090.75337264</v>
      </c>
      <c r="R461">
        <f t="shared" si="93"/>
        <v>1.6943508117764682E-3</v>
      </c>
      <c r="S461">
        <f t="shared" si="94"/>
        <v>4.9271721606459692E-3</v>
      </c>
      <c r="U461" t="s">
        <v>461</v>
      </c>
      <c r="V461" s="4" cm="1">
        <f t="array" ref="V461">_xll.SNL.Clients.Office.Excel.Functions.SPG(U461, "SP_TOTAL_REV", "CY2021")</f>
        <v>19633000</v>
      </c>
      <c r="W461" s="4">
        <f>_xll.SNL.Clients.Office.Excel.Functions.SPG(U461,"IQ_AVG_DILUT_SHARES_OUT","CY2021")</f>
        <v>1349378000</v>
      </c>
      <c r="X461" s="5">
        <f>_xll.SNL.Clients.Office.Excel.Functions.SPG(U461, "IQ_DILUT_EPS_NORM", "CY2021")</f>
        <v>4.085</v>
      </c>
      <c r="Y461">
        <f t="shared" si="95"/>
        <v>5512209.1299999999</v>
      </c>
      <c r="Z461">
        <f t="shared" si="96"/>
        <v>0.28076244740997303</v>
      </c>
      <c r="AA461" s="5">
        <f>_xll.SNL.Clients.Office.Excel.Functions.SPG(U461, "SP_MARKETCAP", "12/31/2021")</f>
        <v>78157.898847300006</v>
      </c>
      <c r="AB461">
        <f t="shared" si="90"/>
        <v>1.8419867514553646E-3</v>
      </c>
      <c r="AC461">
        <f t="shared" si="97"/>
        <v>7.5245158796951647E-3</v>
      </c>
    </row>
    <row r="462" spans="1:29" x14ac:dyDescent="0.3">
      <c r="A462" t="s">
        <v>462</v>
      </c>
      <c r="B462" s="4" cm="1">
        <f t="array" ref="B462">_xll.SNL.Clients.Office.Excel.Functions.SPG(A462, "SP_TOTAL_REV", "CY2023")</f>
        <v>1951751</v>
      </c>
      <c r="C462" s="4">
        <f>_xll.SNL.Clients.Office.Excel.Functions.SPG(A462,"IQ_AVG_DILUT_SHARES_OUT","CY2023")</f>
        <v>42769000</v>
      </c>
      <c r="D462" s="5">
        <f>_xll.SNL.Clients.Office.Excel.Functions.SPG(A462, "IQ_DILUT_EPS_NORM", "CY2023")</f>
        <v>2.903</v>
      </c>
      <c r="E462">
        <f t="shared" si="86"/>
        <v>124158.40700000001</v>
      </c>
      <c r="F462">
        <f t="shared" si="87"/>
        <v>6.3613855968307431E-2</v>
      </c>
      <c r="G462" s="5">
        <f>_xll.SNL.Clients.Office.Excel.Functions.SPG(A462, "SP_MARKETCAP", "12/30/2023")</f>
        <v>17612.964650319998</v>
      </c>
      <c r="H462">
        <f t="shared" si="91"/>
        <v>4.1918857684874236E-4</v>
      </c>
      <c r="I462">
        <f t="shared" si="92"/>
        <v>1.2169044385918991E-3</v>
      </c>
      <c r="K462" t="s">
        <v>462</v>
      </c>
      <c r="L462" s="4" cm="1">
        <f t="array" ref="L462">_xll.SNL.Clients.Office.Excel.Functions.SPG(K462, "SP_TOTAL_REV", "CY2023")</f>
        <v>1951751</v>
      </c>
      <c r="M462" s="4">
        <f>_xll.SNL.Clients.Office.Excel.Functions.SPG(K462,"IQ_AVG_DILUT_SHARES_OUT","CY2023")</f>
        <v>42769000</v>
      </c>
      <c r="N462" s="5">
        <f>_xll.SNL.Clients.Office.Excel.Functions.SPG(K462, "IQ_DILUT_EPS_NORM", "CY2023")</f>
        <v>2.903</v>
      </c>
      <c r="O462">
        <f t="shared" si="88"/>
        <v>124158.40700000001</v>
      </c>
      <c r="P462">
        <f t="shared" si="89"/>
        <v>6.3613855968307431E-2</v>
      </c>
      <c r="Q462" s="5">
        <f>_xll.SNL.Clients.Office.Excel.Functions.SPG(K462, "SP_MARKETCAP", "12/31/2022")</f>
        <v>13425.11951418</v>
      </c>
      <c r="R462">
        <f t="shared" si="93"/>
        <v>3.9843338550070917E-4</v>
      </c>
      <c r="S462">
        <f t="shared" si="94"/>
        <v>1.1566521181085587E-3</v>
      </c>
      <c r="U462" t="s">
        <v>462</v>
      </c>
      <c r="V462" s="4" cm="1">
        <f t="array" ref="V462">_xll.SNL.Clients.Office.Excel.Functions.SPG(U462, "SP_TOTAL_REV", "CY2021")</f>
        <v>1592287</v>
      </c>
      <c r="W462" s="4">
        <f>_xll.SNL.Clients.Office.Excel.Functions.SPG(U462,"IQ_AVG_DILUT_SHARES_OUT","CY2021")</f>
        <v>42244000</v>
      </c>
      <c r="X462" s="5">
        <f>_xll.SNL.Clients.Office.Excel.Functions.SPG(U462, "IQ_DILUT_EPS_NORM", "CY2021")</f>
        <v>2.3519999999999999</v>
      </c>
      <c r="Y462">
        <f t="shared" si="95"/>
        <v>99357.888000000006</v>
      </c>
      <c r="Z462">
        <f t="shared" si="96"/>
        <v>6.2399484515040321E-2</v>
      </c>
      <c r="AA462" s="5">
        <f>_xll.SNL.Clients.Office.Excel.Functions.SPG(U462, "SP_MARKETCAP", "12/31/2021")</f>
        <v>22043.216185550002</v>
      </c>
      <c r="AB462">
        <f t="shared" si="90"/>
        <v>5.195036301139282E-4</v>
      </c>
      <c r="AC462">
        <f t="shared" si="97"/>
        <v>1.2218725380279591E-3</v>
      </c>
    </row>
    <row r="463" spans="1:29" x14ac:dyDescent="0.3">
      <c r="A463" t="s">
        <v>463</v>
      </c>
      <c r="B463" s="4" cm="1">
        <f t="array" ref="B463">_xll.SNL.Clients.Office.Excel.Functions.SPG(A463, "SP_TOTAL_REV", "CY2023")</f>
        <v>52940000</v>
      </c>
      <c r="C463" s="4">
        <f>_xll.SNL.Clients.Office.Excel.Functions.SPG(A463,"IQ_AVG_DILUT_SHARES_OUT","CY2023")</f>
        <v>353500000</v>
      </c>
      <c r="D463" s="5">
        <f>_xll.SNL.Clients.Office.Excel.Functions.SPG(A463, "IQ_DILUT_EPS_NORM", "CY2023")</f>
        <v>0.60599999999999998</v>
      </c>
      <c r="E463">
        <f t="shared" si="86"/>
        <v>214221</v>
      </c>
      <c r="F463">
        <f t="shared" si="87"/>
        <v>4.0464865885908577E-3</v>
      </c>
      <c r="G463" s="5">
        <f>_xll.SNL.Clients.Office.Excel.Functions.SPG(A463, "SP_MARKETCAP", "12/30/2023")</f>
        <v>19154.336562500001</v>
      </c>
      <c r="H463">
        <f t="shared" si="91"/>
        <v>4.5587322994884499E-4</v>
      </c>
      <c r="I463">
        <f t="shared" si="92"/>
        <v>2.7625917734900007E-4</v>
      </c>
      <c r="K463" t="s">
        <v>463</v>
      </c>
      <c r="L463" s="4" cm="1">
        <f t="array" ref="L463">_xll.SNL.Clients.Office.Excel.Functions.SPG(K463, "SP_TOTAL_REV", "CY2023")</f>
        <v>52940000</v>
      </c>
      <c r="M463" s="4">
        <f>_xll.SNL.Clients.Office.Excel.Functions.SPG(K463,"IQ_AVG_DILUT_SHARES_OUT","CY2023")</f>
        <v>353500000</v>
      </c>
      <c r="N463" s="5">
        <f>_xll.SNL.Clients.Office.Excel.Functions.SPG(K463, "IQ_DILUT_EPS_NORM", "CY2023")</f>
        <v>0.60599999999999998</v>
      </c>
      <c r="O463">
        <f t="shared" si="88"/>
        <v>214221</v>
      </c>
      <c r="P463">
        <f t="shared" si="89"/>
        <v>4.0464865885908577E-3</v>
      </c>
      <c r="Q463" s="5">
        <f>_xll.SNL.Clients.Office.Excel.Functions.SPG(K463, "SP_MARKETCAP", "12/31/2022")</f>
        <v>22274.679456000002</v>
      </c>
      <c r="R463">
        <f t="shared" si="93"/>
        <v>6.6107239769621186E-4</v>
      </c>
      <c r="S463">
        <f t="shared" si="94"/>
        <v>4.0060987300390437E-4</v>
      </c>
      <c r="U463" t="s">
        <v>463</v>
      </c>
      <c r="V463" s="4" cm="1">
        <f t="array" ref="V463">_xll.SNL.Clients.Office.Excel.Functions.SPG(U463, "SP_TOTAL_REV", "CY2021")</f>
        <v>49522000</v>
      </c>
      <c r="W463" s="4">
        <f>_xll.SNL.Clients.Office.Excel.Functions.SPG(U463,"IQ_AVG_DILUT_SHARES_OUT","CY2021")</f>
        <v>365000000</v>
      </c>
      <c r="X463" s="5">
        <f>_xll.SNL.Clients.Office.Excel.Functions.SPG(U463, "IQ_DILUT_EPS_NORM", "CY2021")</f>
        <v>8.2539999999999996</v>
      </c>
      <c r="Y463">
        <f t="shared" si="95"/>
        <v>3012710</v>
      </c>
      <c r="Z463">
        <f t="shared" si="96"/>
        <v>6.0835790153871007E-2</v>
      </c>
      <c r="AA463" s="5">
        <f>_xll.SNL.Clients.Office.Excel.Functions.SPG(U463, "SP_MARKETCAP", "12/31/2021")</f>
        <v>31646.164103319999</v>
      </c>
      <c r="AB463">
        <f t="shared" si="90"/>
        <v>7.4582116295864942E-4</v>
      </c>
      <c r="AC463">
        <f t="shared" si="97"/>
        <v>6.1560078790606921E-3</v>
      </c>
    </row>
    <row r="464" spans="1:29" x14ac:dyDescent="0.3">
      <c r="A464" t="s">
        <v>464</v>
      </c>
      <c r="B464" s="4" cm="1">
        <f t="array" ref="B464">_xll.SNL.Clients.Office.Excel.Functions.SPG(A464, "SP_TOTAL_REV", "CY2023")</f>
        <v>28153000</v>
      </c>
      <c r="C464" s="4">
        <f>_xll.SNL.Clients.Office.Excel.Functions.SPG(A464,"IQ_AVG_DILUT_SHARES_OUT","CY2023")</f>
        <v>1543000000</v>
      </c>
      <c r="D464" s="5">
        <f>_xll.SNL.Clients.Office.Excel.Functions.SPG(A464, "IQ_DILUT_EPS_NORM", "CY2023")</f>
        <v>3.1709999999999998</v>
      </c>
      <c r="E464">
        <f t="shared" si="86"/>
        <v>4892853</v>
      </c>
      <c r="F464">
        <f t="shared" si="87"/>
        <v>0.17379508400525698</v>
      </c>
      <c r="G464" s="5">
        <f>_xll.SNL.Clients.Office.Excel.Functions.SPG(A464, "SP_MARKETCAP", "12/30/2023")</f>
        <v>67387.496931679998</v>
      </c>
      <c r="H464">
        <f t="shared" si="91"/>
        <v>1.6038224964970171E-3</v>
      </c>
      <c r="I464">
        <f t="shared" si="92"/>
        <v>5.0857211363920405E-3</v>
      </c>
      <c r="K464" t="s">
        <v>464</v>
      </c>
      <c r="L464" s="4" cm="1">
        <f t="array" ref="L464">_xll.SNL.Clients.Office.Excel.Functions.SPG(K464, "SP_TOTAL_REV", "CY2023")</f>
        <v>28153000</v>
      </c>
      <c r="M464" s="4">
        <f>_xll.SNL.Clients.Office.Excel.Functions.SPG(K464,"IQ_AVG_DILUT_SHARES_OUT","CY2023")</f>
        <v>1543000000</v>
      </c>
      <c r="N464" s="5">
        <f>_xll.SNL.Clients.Office.Excel.Functions.SPG(K464, "IQ_DILUT_EPS_NORM", "CY2023")</f>
        <v>3.1709999999999998</v>
      </c>
      <c r="O464">
        <f t="shared" si="88"/>
        <v>4892853</v>
      </c>
      <c r="P464">
        <f t="shared" si="89"/>
        <v>0.17379508400525698</v>
      </c>
      <c r="Q464" s="5">
        <f>_xll.SNL.Clients.Office.Excel.Functions.SPG(K464, "SP_MARKETCAP", "12/31/2022")</f>
        <v>66733.851701160005</v>
      </c>
      <c r="R464">
        <f t="shared" si="93"/>
        <v>1.9805406151290777E-3</v>
      </c>
      <c r="S464">
        <f t="shared" si="94"/>
        <v>6.2802942905743047E-3</v>
      </c>
      <c r="U464" t="s">
        <v>464</v>
      </c>
      <c r="V464" s="4" cm="1">
        <f t="array" ref="V464">_xll.SNL.Clients.Office.Excel.Functions.SPG(U464, "SP_TOTAL_REV", "CY2021")</f>
        <v>22721000</v>
      </c>
      <c r="W464" s="4">
        <f>_xll.SNL.Clients.Office.Excel.Functions.SPG(U464,"IQ_AVG_DILUT_SHARES_OUT","CY2021")</f>
        <v>1490000000</v>
      </c>
      <c r="X464" s="5">
        <f>_xll.SNL.Clients.Office.Excel.Functions.SPG(U464, "IQ_DILUT_EPS_NORM", "CY2021")</f>
        <v>4.2489999999999997</v>
      </c>
      <c r="Y464">
        <f t="shared" si="95"/>
        <v>6331009.9999999991</v>
      </c>
      <c r="Z464">
        <f t="shared" si="96"/>
        <v>0.27864134501122306</v>
      </c>
      <c r="AA464" s="5">
        <f>_xll.SNL.Clients.Office.Excel.Functions.SPG(U464, "SP_MARKETCAP", "12/31/2021")</f>
        <v>83288.745629430006</v>
      </c>
      <c r="AB464">
        <f t="shared" si="90"/>
        <v>1.9629080138717906E-3</v>
      </c>
      <c r="AC464">
        <f t="shared" si="97"/>
        <v>8.3403961509412369E-3</v>
      </c>
    </row>
    <row r="465" spans="1:29" x14ac:dyDescent="0.3">
      <c r="A465" t="s">
        <v>465</v>
      </c>
      <c r="B465" s="4" cm="1">
        <f t="array" ref="B465">_xll.SNL.Clients.Office.Excel.Functions.SPG(A465, "SP_TOTAL_REV", "CY2023")</f>
        <v>37281000</v>
      </c>
      <c r="C465" s="4">
        <f>_xll.SNL.Clients.Office.Excel.Functions.SPG(A465,"IQ_AVG_DILUT_SHARES_OUT","CY2023")</f>
        <v>2091782000</v>
      </c>
      <c r="D465" s="5">
        <f>_xll.SNL.Clients.Office.Excel.Functions.SPG(A465, "IQ_DILUT_EPS_NORM", "CY2023")</f>
        <v>-7.0999999999999994E-2</v>
      </c>
      <c r="E465">
        <f t="shared" si="86"/>
        <v>-148516.522</v>
      </c>
      <c r="F465">
        <f t="shared" si="87"/>
        <v>-3.9837054263565895E-3</v>
      </c>
      <c r="G465" s="5">
        <f>_xll.SNL.Clients.Office.Excel.Functions.SPG(A465, "SP_MARKETCAP", "12/30/2023")</f>
        <v>126702.3312211</v>
      </c>
      <c r="H465">
        <f t="shared" si="91"/>
        <v>3.0155156137797578E-3</v>
      </c>
      <c r="I465">
        <f t="shared" si="92"/>
        <v>-2.141016085783628E-4</v>
      </c>
      <c r="K465" t="s">
        <v>465</v>
      </c>
      <c r="L465" s="4" cm="1">
        <f t="array" ref="L465">_xll.SNL.Clients.Office.Excel.Functions.SPG(K465, "SP_TOTAL_REV", "CY2023")</f>
        <v>37281000</v>
      </c>
      <c r="M465" s="4">
        <f>_xll.SNL.Clients.Office.Excel.Functions.SPG(K465,"IQ_AVG_DILUT_SHARES_OUT","CY2023")</f>
        <v>2091782000</v>
      </c>
      <c r="N465" s="5">
        <f>_xll.SNL.Clients.Office.Excel.Functions.SPG(K465, "IQ_DILUT_EPS_NORM", "CY2023")</f>
        <v>-7.0999999999999994E-2</v>
      </c>
      <c r="O465">
        <f t="shared" si="88"/>
        <v>-148516.522</v>
      </c>
      <c r="P465">
        <f t="shared" si="89"/>
        <v>-3.9837054263565895E-3</v>
      </c>
      <c r="Q465" s="5">
        <f>_xll.SNL.Clients.Office.Excel.Functions.SPG(K465, "SP_MARKETCAP", "12/31/2022")</f>
        <v>49321.693518200002</v>
      </c>
      <c r="R465">
        <f t="shared" si="93"/>
        <v>1.4637790975587533E-3</v>
      </c>
      <c r="S465">
        <f t="shared" si="94"/>
        <v>-1.0392831592667147E-4</v>
      </c>
      <c r="U465" t="s">
        <v>465</v>
      </c>
      <c r="V465" s="4" cm="1">
        <f t="array" ref="V465">_xll.SNL.Clients.Office.Excel.Functions.SPG(U465, "SP_TOTAL_REV", "CY2021")</f>
        <v>17455000</v>
      </c>
      <c r="W465" s="4">
        <f>_xll.SNL.Clients.Office.Excel.Functions.SPG(U465,"IQ_AVG_DILUT_SHARES_OUT","CY2021")</f>
        <v>1895519000</v>
      </c>
      <c r="X465" s="5">
        <f>_xll.SNL.Clients.Office.Excel.Functions.SPG(U465, "IQ_DILUT_EPS_NORM", "CY2021")</f>
        <v>-1.482</v>
      </c>
      <c r="Y465">
        <f t="shared" si="95"/>
        <v>-2809159.1579999998</v>
      </c>
      <c r="Z465">
        <f t="shared" si="96"/>
        <v>-0.160937219020338</v>
      </c>
      <c r="AA465" s="5">
        <f>_xll.SNL.Clients.Office.Excel.Functions.SPG(U465, "SP_MARKETCAP", "12/31/2021")</f>
        <v>81349.158138640007</v>
      </c>
      <c r="AB465">
        <f t="shared" si="90"/>
        <v>1.9171967740097284E-3</v>
      </c>
      <c r="AC465">
        <f t="shared" si="97"/>
        <v>-2.8412856190824175E-3</v>
      </c>
    </row>
    <row r="466" spans="1:29" x14ac:dyDescent="0.3">
      <c r="A466" t="s">
        <v>466</v>
      </c>
      <c r="B466" s="4" cm="1">
        <f t="array" ref="B466">_xll.SNL.Clients.Office.Excel.Functions.SPG(A466, "SP_TOTAL_REV", "CY2023")</f>
        <v>1650653</v>
      </c>
      <c r="C466" s="4">
        <f>_xll.SNL.Clients.Office.Excel.Functions.SPG(A466,"IQ_AVG_DILUT_SHARES_OUT","CY2023")</f>
        <v>329104000</v>
      </c>
      <c r="D466" s="5">
        <f>_xll.SNL.Clients.Office.Excel.Functions.SPG(A466, "IQ_DILUT_EPS_NORM", "CY2023")</f>
        <v>0.192</v>
      </c>
      <c r="E466">
        <f t="shared" si="86"/>
        <v>63187.968000000001</v>
      </c>
      <c r="F466">
        <f t="shared" si="87"/>
        <v>3.8280588348974617E-2</v>
      </c>
      <c r="G466" s="5">
        <f>_xll.SNL.Clients.Office.Excel.Functions.SPG(A466, "SP_MARKETCAP", "12/30/2023")</f>
        <v>12594.65825086</v>
      </c>
      <c r="H466">
        <f t="shared" si="91"/>
        <v>2.9975287936425592E-4</v>
      </c>
      <c r="I466">
        <f t="shared" si="92"/>
        <v>5.7552552837937139E-5</v>
      </c>
      <c r="K466" t="s">
        <v>466</v>
      </c>
      <c r="L466" s="4" cm="1">
        <f t="array" ref="L466">_xll.SNL.Clients.Office.Excel.Functions.SPG(K466, "SP_TOTAL_REV", "CY2023")</f>
        <v>1650653</v>
      </c>
      <c r="M466" s="4">
        <f>_xll.SNL.Clients.Office.Excel.Functions.SPG(K466,"IQ_AVG_DILUT_SHARES_OUT","CY2023")</f>
        <v>329104000</v>
      </c>
      <c r="N466" s="5">
        <f>_xll.SNL.Clients.Office.Excel.Functions.SPG(K466, "IQ_DILUT_EPS_NORM", "CY2023")</f>
        <v>0.192</v>
      </c>
      <c r="O466">
        <f t="shared" si="88"/>
        <v>63187.968000000001</v>
      </c>
      <c r="P466">
        <f t="shared" si="89"/>
        <v>3.8280588348974617E-2</v>
      </c>
      <c r="Q466" s="5">
        <f>_xll.SNL.Clients.Office.Excel.Functions.SPG(K466, "SP_MARKETCAP", "12/31/2022")</f>
        <v>12608.233139399999</v>
      </c>
      <c r="R466">
        <f t="shared" si="93"/>
        <v>3.7418966807761876E-4</v>
      </c>
      <c r="S466">
        <f t="shared" si="94"/>
        <v>7.1844416270902797E-5</v>
      </c>
      <c r="U466" t="s">
        <v>466</v>
      </c>
      <c r="V466" s="4" cm="1">
        <f t="array" ref="V466">_xll.SNL.Clients.Office.Excel.Functions.SPG(U466, "SP_TOTAL_REV", "CY2021")</f>
        <v>1368438</v>
      </c>
      <c r="W466" s="4">
        <f>_xll.SNL.Clients.Office.Excel.Functions.SPG(U466,"IQ_AVG_DILUT_SHARES_OUT","CY2021")</f>
        <v>301703000</v>
      </c>
      <c r="X466" s="5">
        <f>_xll.SNL.Clients.Office.Excel.Functions.SPG(U466, "IQ_DILUT_EPS_NORM", "CY2021")</f>
        <v>-7.4999999999999997E-2</v>
      </c>
      <c r="Y466">
        <f t="shared" si="95"/>
        <v>-22627.724999999999</v>
      </c>
      <c r="Z466">
        <f t="shared" si="96"/>
        <v>-1.6535440407238033E-2</v>
      </c>
      <c r="AA466" s="5">
        <f>_xll.SNL.Clients.Office.Excel.Functions.SPG(U466, "SP_MARKETCAP", "12/31/2021")</f>
        <v>18548.090876210001</v>
      </c>
      <c r="AB466">
        <f t="shared" si="90"/>
        <v>4.3713224335161616E-4</v>
      </c>
      <c r="AC466">
        <f t="shared" si="97"/>
        <v>-3.2784918251371211E-5</v>
      </c>
    </row>
    <row r="467" spans="1:29" x14ac:dyDescent="0.3">
      <c r="A467" t="s">
        <v>467</v>
      </c>
      <c r="B467" s="4" cm="1">
        <f t="array" ref="B467">_xll.SNL.Clients.Office.Excel.Functions.SPG(A467, "SP_TOTAL_REV", "CY2023")</f>
        <v>11207303</v>
      </c>
      <c r="C467" s="4">
        <f>_xll.SNL.Clients.Office.Excel.Functions.SPG(A467,"IQ_AVG_DILUT_SHARES_OUT","CY2023")</f>
        <v>49596000</v>
      </c>
      <c r="D467" s="5">
        <f>_xll.SNL.Clients.Office.Excel.Functions.SPG(A467, "IQ_DILUT_EPS_NORM", "CY2023")</f>
        <v>21.367999999999999</v>
      </c>
      <c r="E467">
        <f t="shared" si="86"/>
        <v>1059767.328</v>
      </c>
      <c r="F467">
        <f t="shared" si="87"/>
        <v>9.4560424394700485E-2</v>
      </c>
      <c r="G467" s="5">
        <f>_xll.SNL.Clients.Office.Excel.Functions.SPG(A467, "SP_MARKETCAP", "12/30/2023")</f>
        <v>23794.657714829998</v>
      </c>
      <c r="H467">
        <f t="shared" si="91"/>
        <v>5.6631287816167372E-4</v>
      </c>
      <c r="I467">
        <f t="shared" si="92"/>
        <v>1.2100973580558644E-2</v>
      </c>
      <c r="K467" t="s">
        <v>467</v>
      </c>
      <c r="L467" s="4" cm="1">
        <f t="array" ref="L467">_xll.SNL.Clients.Office.Excel.Functions.SPG(K467, "SP_TOTAL_REV", "CY2023")</f>
        <v>11207303</v>
      </c>
      <c r="M467" s="4">
        <f>_xll.SNL.Clients.Office.Excel.Functions.SPG(K467,"IQ_AVG_DILUT_SHARES_OUT","CY2023")</f>
        <v>49596000</v>
      </c>
      <c r="N467" s="5">
        <f>_xll.SNL.Clients.Office.Excel.Functions.SPG(K467, "IQ_DILUT_EPS_NORM", "CY2023")</f>
        <v>21.367999999999999</v>
      </c>
      <c r="O467">
        <f t="shared" si="88"/>
        <v>1059767.328</v>
      </c>
      <c r="P467">
        <f t="shared" si="89"/>
        <v>9.4560424394700485E-2</v>
      </c>
      <c r="Q467" s="5">
        <f>_xll.SNL.Clients.Office.Excel.Functions.SPG(K467, "SP_MARKETCAP", "12/31/2022")</f>
        <v>23866.64325297</v>
      </c>
      <c r="R467">
        <f t="shared" si="93"/>
        <v>7.083190180746273E-4</v>
      </c>
      <c r="S467">
        <f t="shared" si="94"/>
        <v>1.5135360778218636E-2</v>
      </c>
      <c r="U467" t="s">
        <v>467</v>
      </c>
      <c r="V467" s="4" cm="1">
        <f t="array" ref="V467">_xll.SNL.Clients.Office.Excel.Functions.SPG(U467, "SP_TOTAL_REV", "CY2021")</f>
        <v>8630889</v>
      </c>
      <c r="W467" s="4">
        <f>_xll.SNL.Clients.Office.Excel.Functions.SPG(U467,"IQ_AVG_DILUT_SHARES_OUT","CY2021")</f>
        <v>54841000</v>
      </c>
      <c r="X467" s="5">
        <f>_xll.SNL.Clients.Office.Excel.Functions.SPG(U467, "IQ_DILUT_EPS_NORM", "CY2021")</f>
        <v>14.768000000000001</v>
      </c>
      <c r="Y467">
        <f t="shared" si="95"/>
        <v>809891.88800000004</v>
      </c>
      <c r="Z467">
        <f t="shared" si="96"/>
        <v>9.3836438865104163E-2</v>
      </c>
      <c r="AA467" s="5">
        <f>_xll.SNL.Clients.Office.Excel.Functions.SPG(U467, "SP_MARKETCAP", "12/31/2021")</f>
        <v>22315.912134819999</v>
      </c>
      <c r="AB467">
        <f t="shared" si="90"/>
        <v>5.2593039353949383E-4</v>
      </c>
      <c r="AC467">
        <f t="shared" si="97"/>
        <v>7.7669400517912449E-3</v>
      </c>
    </row>
    <row r="468" spans="1:29" x14ac:dyDescent="0.3">
      <c r="A468" t="s">
        <v>468</v>
      </c>
      <c r="B468" s="4" cm="1">
        <f t="array" ref="B468">_xll.SNL.Clients.Office.Excel.Functions.SPG(A468, "SP_TOTAL_REV", "CY2023")</f>
        <v>24119000</v>
      </c>
      <c r="C468" s="4">
        <f>_xll.SNL.Clients.Office.Excel.Functions.SPG(A468,"IQ_AVG_DILUT_SHARES_OUT","CY2023")</f>
        <v>610200000</v>
      </c>
      <c r="D468" s="5">
        <f>_xll.SNL.Clients.Office.Excel.Functions.SPG(A468, "IQ_DILUT_EPS_NORM", "CY2023")</f>
        <v>8.3230000000000004</v>
      </c>
      <c r="E468">
        <f t="shared" si="86"/>
        <v>5078694.5999999996</v>
      </c>
      <c r="F468">
        <f t="shared" si="87"/>
        <v>0.21056820763713255</v>
      </c>
      <c r="G468" s="5">
        <f>_xll.SNL.Clients.Office.Excel.Functions.SPG(A468, "SP_MARKETCAP", "12/30/2023")</f>
        <v>149729.33672190001</v>
      </c>
      <c r="H468">
        <f t="shared" si="91"/>
        <v>3.5635583684555383E-3</v>
      </c>
      <c r="I468">
        <f t="shared" si="92"/>
        <v>2.9659496300655445E-2</v>
      </c>
      <c r="K468" t="s">
        <v>468</v>
      </c>
      <c r="L468" s="4" cm="1">
        <f t="array" ref="L468">_xll.SNL.Clients.Office.Excel.Functions.SPG(K468, "SP_TOTAL_REV", "CY2023")</f>
        <v>24119000</v>
      </c>
      <c r="M468" s="4">
        <f>_xll.SNL.Clients.Office.Excel.Functions.SPG(K468,"IQ_AVG_DILUT_SHARES_OUT","CY2023")</f>
        <v>610200000</v>
      </c>
      <c r="N468" s="5">
        <f>_xll.SNL.Clients.Office.Excel.Functions.SPG(K468, "IQ_DILUT_EPS_NORM", "CY2023")</f>
        <v>8.3230000000000004</v>
      </c>
      <c r="O468">
        <f t="shared" si="88"/>
        <v>5078694.5999999996</v>
      </c>
      <c r="P468">
        <f t="shared" si="89"/>
        <v>0.21056820763713255</v>
      </c>
      <c r="Q468" s="5">
        <f>_xll.SNL.Clients.Office.Excel.Functions.SPG(K468, "SP_MARKETCAP", "12/31/2022")</f>
        <v>133120.27119900001</v>
      </c>
      <c r="R468">
        <f t="shared" si="93"/>
        <v>3.9507700677501008E-3</v>
      </c>
      <c r="S468">
        <f t="shared" si="94"/>
        <v>3.2882259273884093E-2</v>
      </c>
      <c r="U468" t="s">
        <v>468</v>
      </c>
      <c r="V468" s="4" cm="1">
        <f t="array" ref="V468">_xll.SNL.Clients.Office.Excel.Functions.SPG(U468, "SP_TOTAL_REV", "CY2021")</f>
        <v>21804000</v>
      </c>
      <c r="W468" s="4">
        <f>_xll.SNL.Clients.Office.Excel.Functions.SPG(U468,"IQ_AVG_DILUT_SHARES_OUT","CY2021")</f>
        <v>655400000</v>
      </c>
      <c r="X468" s="5">
        <f>_xll.SNL.Clients.Office.Excel.Functions.SPG(U468, "IQ_DILUT_EPS_NORM", "CY2021")</f>
        <v>8.0850000000000009</v>
      </c>
      <c r="Y468">
        <f t="shared" si="95"/>
        <v>5298909.0000000009</v>
      </c>
      <c r="Z468">
        <f t="shared" si="96"/>
        <v>0.2430246285085306</v>
      </c>
      <c r="AA468" s="5">
        <f>_xll.SNL.Clients.Office.Excel.Functions.SPG(U468, "SP_MARKETCAP", "12/31/2021")</f>
        <v>161959.675101</v>
      </c>
      <c r="AB468">
        <f t="shared" si="90"/>
        <v>3.8169856176521709E-3</v>
      </c>
      <c r="AC468">
        <f t="shared" si="97"/>
        <v>3.0860328718717803E-2</v>
      </c>
    </row>
    <row r="469" spans="1:29" x14ac:dyDescent="0.3">
      <c r="A469" t="s">
        <v>469</v>
      </c>
      <c r="B469" s="4" cm="1">
        <f t="array" ref="B469">_xll.SNL.Clients.Office.Excel.Functions.SPG(A469, "SP_TOTAL_REV", "CY2023")</f>
        <v>53717000</v>
      </c>
      <c r="C469" s="4">
        <f>_xll.SNL.Clients.Office.Excel.Functions.SPG(A469,"IQ_AVG_DILUT_SHARES_OUT","CY2023")</f>
        <v>331900000</v>
      </c>
      <c r="D469" s="5">
        <f>_xll.SNL.Clients.Office.Excel.Functions.SPG(A469, "IQ_DILUT_EPS_NORM", "CY2023")</f>
        <v>8.1349999999999998</v>
      </c>
      <c r="E469">
        <f t="shared" si="86"/>
        <v>2700006.5</v>
      </c>
      <c r="F469">
        <f t="shared" si="87"/>
        <v>5.0263538544594824E-2</v>
      </c>
      <c r="G469" s="5">
        <f>_xll.SNL.Clients.Office.Excel.Functions.SPG(A469, "SP_MARKETCAP", "12/30/2023")</f>
        <v>13533.9779129</v>
      </c>
      <c r="H469">
        <f t="shared" si="91"/>
        <v>3.2210868828989495E-4</v>
      </c>
      <c r="I469">
        <f t="shared" si="92"/>
        <v>2.6203541792382953E-3</v>
      </c>
      <c r="K469" t="s">
        <v>469</v>
      </c>
      <c r="L469" s="4" cm="1">
        <f t="array" ref="L469">_xll.SNL.Clients.Office.Excel.Functions.SPG(K469, "SP_TOTAL_REV", "CY2023")</f>
        <v>53717000</v>
      </c>
      <c r="M469" s="4">
        <f>_xll.SNL.Clients.Office.Excel.Functions.SPG(K469,"IQ_AVG_DILUT_SHARES_OUT","CY2023")</f>
        <v>331900000</v>
      </c>
      <c r="N469" s="5">
        <f>_xll.SNL.Clients.Office.Excel.Functions.SPG(K469, "IQ_DILUT_EPS_NORM", "CY2023")</f>
        <v>8.1349999999999998</v>
      </c>
      <c r="O469">
        <f t="shared" si="88"/>
        <v>2700006.5</v>
      </c>
      <c r="P469">
        <f t="shared" si="89"/>
        <v>5.0263538544594824E-2</v>
      </c>
      <c r="Q469" s="5">
        <f>_xll.SNL.Clients.Office.Excel.Functions.SPG(K469, "SP_MARKETCAP", "12/31/2022")</f>
        <v>12325.179228700001</v>
      </c>
      <c r="R469">
        <f t="shared" si="93"/>
        <v>3.6578913743055103E-4</v>
      </c>
      <c r="S469">
        <f t="shared" si="94"/>
        <v>2.9756946329975325E-3</v>
      </c>
      <c r="U469" t="s">
        <v>469</v>
      </c>
      <c r="V469" s="4" cm="1">
        <f t="array" ref="V469">_xll.SNL.Clients.Office.Excel.Functions.SPG(U469, "SP_TOTAL_REV", "CY2021")</f>
        <v>24634000</v>
      </c>
      <c r="W469" s="4">
        <f>_xll.SNL.Clients.Office.Excel.Functions.SPG(U469,"IQ_AVG_DILUT_SHARES_OUT","CY2021")</f>
        <v>321900000</v>
      </c>
      <c r="X469" s="5">
        <f>_xll.SNL.Clients.Office.Excel.Functions.SPG(U469, "IQ_DILUT_EPS_NORM", "CY2021")</f>
        <v>-11.279</v>
      </c>
      <c r="Y469">
        <f t="shared" si="95"/>
        <v>-3630710.1</v>
      </c>
      <c r="Z469">
        <f t="shared" si="96"/>
        <v>-0.1473861370463587</v>
      </c>
      <c r="AA469" s="5">
        <f>_xll.SNL.Clients.Office.Excel.Functions.SPG(U469, "SP_MARKETCAP", "12/31/2021")</f>
        <v>14176.24931426</v>
      </c>
      <c r="AB469">
        <f t="shared" si="90"/>
        <v>3.3409884102964449E-4</v>
      </c>
      <c r="AC469">
        <f t="shared" si="97"/>
        <v>-3.76830082797336E-3</v>
      </c>
    </row>
    <row r="470" spans="1:29" x14ac:dyDescent="0.3">
      <c r="A470" t="s">
        <v>470</v>
      </c>
      <c r="B470" s="4" cm="1">
        <f t="array" ref="B470">_xll.SNL.Clients.Office.Excel.Functions.SPG(A470, "SP_TOTAL_REV", "CY2023")</f>
        <v>90958000</v>
      </c>
      <c r="C470" s="4">
        <f>_xll.SNL.Clients.Office.Excel.Functions.SPG(A470,"IQ_AVG_DILUT_SHARES_OUT","CY2023")</f>
        <v>860000000</v>
      </c>
      <c r="D470" s="5">
        <f>_xll.SNL.Clients.Office.Excel.Functions.SPG(A470, "IQ_DILUT_EPS_NORM", "CY2023")</f>
        <v>7.04</v>
      </c>
      <c r="E470">
        <f t="shared" si="86"/>
        <v>6054400</v>
      </c>
      <c r="F470">
        <f t="shared" si="87"/>
        <v>6.6562589326942104E-2</v>
      </c>
      <c r="G470" s="5">
        <f>_xll.SNL.Clients.Office.Excel.Functions.SPG(A470, "SP_MARKETCAP", "12/30/2023")</f>
        <v>133948.26035847</v>
      </c>
      <c r="H470">
        <f t="shared" si="91"/>
        <v>3.1879687347247192E-3</v>
      </c>
      <c r="I470">
        <f t="shared" si="92"/>
        <v>2.2443299892462024E-2</v>
      </c>
      <c r="K470" t="s">
        <v>470</v>
      </c>
      <c r="L470" s="4" cm="1">
        <f t="array" ref="L470">_xll.SNL.Clients.Office.Excel.Functions.SPG(K470, "SP_TOTAL_REV", "CY2023")</f>
        <v>90958000</v>
      </c>
      <c r="M470" s="4">
        <f>_xll.SNL.Clients.Office.Excel.Functions.SPG(K470,"IQ_AVG_DILUT_SHARES_OUT","CY2023")</f>
        <v>860000000</v>
      </c>
      <c r="N470" s="5">
        <f>_xll.SNL.Clients.Office.Excel.Functions.SPG(K470, "IQ_DILUT_EPS_NORM", "CY2023")</f>
        <v>7.04</v>
      </c>
      <c r="O470">
        <f t="shared" si="88"/>
        <v>6054400</v>
      </c>
      <c r="P470">
        <f t="shared" si="89"/>
        <v>6.6562589326942104E-2</v>
      </c>
      <c r="Q470" s="5">
        <f>_xll.SNL.Clients.Office.Excel.Functions.SPG(K470, "SP_MARKETCAP", "12/31/2022")</f>
        <v>150357.37258672001</v>
      </c>
      <c r="R470">
        <f t="shared" si="93"/>
        <v>4.462336214693839E-3</v>
      </c>
      <c r="S470">
        <f t="shared" si="94"/>
        <v>3.1414846951444628E-2</v>
      </c>
      <c r="U470" t="s">
        <v>470</v>
      </c>
      <c r="V470" s="4" cm="1">
        <f t="array" ref="V470">_xll.SNL.Clients.Office.Excel.Functions.SPG(U470, "SP_TOTAL_REV", "CY2021")</f>
        <v>97287000</v>
      </c>
      <c r="W470" s="4">
        <f>_xll.SNL.Clients.Office.Excel.Functions.SPG(U470,"IQ_AVG_DILUT_SHARES_OUT","CY2021")</f>
        <v>878000000</v>
      </c>
      <c r="X470" s="5">
        <f>_xll.SNL.Clients.Office.Excel.Functions.SPG(U470, "IQ_DILUT_EPS_NORM", "CY2021")</f>
        <v>9.6270000000000007</v>
      </c>
      <c r="Y470">
        <f t="shared" si="95"/>
        <v>8452506.0000000019</v>
      </c>
      <c r="Z470">
        <f t="shared" si="96"/>
        <v>8.6882173363347637E-2</v>
      </c>
      <c r="AA470" s="5">
        <f>_xll.SNL.Clients.Office.Excel.Functions.SPG(U470, "SP_MARKETCAP", "12/31/2021")</f>
        <v>186291.92843100001</v>
      </c>
      <c r="AB470">
        <f t="shared" si="90"/>
        <v>4.3904361444438589E-3</v>
      </c>
      <c r="AC470">
        <f t="shared" si="97"/>
        <v>4.2266728762561032E-2</v>
      </c>
    </row>
    <row r="471" spans="1:29" x14ac:dyDescent="0.3">
      <c r="A471" t="s">
        <v>471</v>
      </c>
      <c r="B471" s="4" cm="1">
        <f t="array" ref="B471">_xll.SNL.Clients.Office.Excel.Functions.SPG(A471, "SP_TOTAL_REV", "CY2023")</f>
        <v>14332000</v>
      </c>
      <c r="C471" s="4">
        <f>_xll.SNL.Clients.Office.Excel.Functions.SPG(A471,"IQ_AVG_DILUT_SHARES_OUT","CY2023")</f>
        <v>68710000</v>
      </c>
      <c r="D471" s="5">
        <f>_xll.SNL.Clients.Office.Excel.Functions.SPG(A471, "IQ_DILUT_EPS_NORM", "CY2023")</f>
        <v>30.445</v>
      </c>
      <c r="E471">
        <f t="shared" si="86"/>
        <v>2091875.95</v>
      </c>
      <c r="F471">
        <f t="shared" si="87"/>
        <v>0.1459584112475579</v>
      </c>
      <c r="G471" s="5">
        <f>_xll.SNL.Clients.Office.Excel.Functions.SPG(A471, "SP_MARKETCAP", "12/30/2023")</f>
        <v>38867.239059</v>
      </c>
      <c r="H471">
        <f t="shared" si="91"/>
        <v>9.2504032970315705E-4</v>
      </c>
      <c r="I471">
        <f t="shared" si="92"/>
        <v>2.8162852837812617E-2</v>
      </c>
      <c r="K471" t="s">
        <v>471</v>
      </c>
      <c r="L471" s="4" cm="1">
        <f t="array" ref="L471">_xll.SNL.Clients.Office.Excel.Functions.SPG(K471, "SP_TOTAL_REV", "CY2023")</f>
        <v>14332000</v>
      </c>
      <c r="M471" s="4">
        <f>_xll.SNL.Clients.Office.Excel.Functions.SPG(K471,"IQ_AVG_DILUT_SHARES_OUT","CY2023")</f>
        <v>68710000</v>
      </c>
      <c r="N471" s="5">
        <f>_xll.SNL.Clients.Office.Excel.Functions.SPG(K471, "IQ_DILUT_EPS_NORM", "CY2023")</f>
        <v>30.445</v>
      </c>
      <c r="O471">
        <f t="shared" si="88"/>
        <v>2091875.95</v>
      </c>
      <c r="P471">
        <f t="shared" si="89"/>
        <v>0.1459584112475579</v>
      </c>
      <c r="Q471" s="5">
        <f>_xll.SNL.Clients.Office.Excel.Functions.SPG(K471, "SP_MARKETCAP", "12/31/2022")</f>
        <v>24633.620317019999</v>
      </c>
      <c r="R471">
        <f t="shared" si="93"/>
        <v>7.3108151697886896E-4</v>
      </c>
      <c r="S471">
        <f t="shared" si="94"/>
        <v>2.2257776784421666E-2</v>
      </c>
      <c r="U471" t="s">
        <v>471</v>
      </c>
      <c r="V471" s="4" cm="1">
        <f t="array" ref="V471">_xll.SNL.Clients.Office.Excel.Functions.SPG(U471, "SP_TOTAL_REV", "CY2021")</f>
        <v>9716000</v>
      </c>
      <c r="W471" s="4">
        <f>_xll.SNL.Clients.Office.Excel.Functions.SPG(U471,"IQ_AVG_DILUT_SHARES_OUT","CY2021")</f>
        <v>72817000</v>
      </c>
      <c r="X471" s="5">
        <f>_xll.SNL.Clients.Office.Excel.Functions.SPG(U471, "IQ_DILUT_EPS_NORM", "CY2021")</f>
        <v>16.463000000000001</v>
      </c>
      <c r="Y471">
        <f t="shared" si="95"/>
        <v>1198786.2709999999</v>
      </c>
      <c r="Z471">
        <f t="shared" si="96"/>
        <v>0.12338269565664882</v>
      </c>
      <c r="AA471" s="5">
        <f>_xll.SNL.Clients.Office.Excel.Functions.SPG(U471, "SP_MARKETCAP", "12/31/2021")</f>
        <v>24055.946806150001</v>
      </c>
      <c r="AB471">
        <f t="shared" si="90"/>
        <v>5.6693867112797937E-4</v>
      </c>
      <c r="AC471">
        <f t="shared" si="97"/>
        <v>9.3335113427799252E-3</v>
      </c>
    </row>
    <row r="472" spans="1:29" x14ac:dyDescent="0.3">
      <c r="A472" t="s">
        <v>472</v>
      </c>
      <c r="B472" s="4" cm="1">
        <f t="array" ref="B472">_xll.SNL.Clients.Office.Excel.Functions.SPG(A472, "SP_TOTAL_REV", "CY2023")</f>
        <v>371622000</v>
      </c>
      <c r="C472" s="4">
        <f>_xll.SNL.Clients.Office.Excel.Functions.SPG(A472,"IQ_AVG_DILUT_SHARES_OUT","CY2023")</f>
        <v>938000000</v>
      </c>
      <c r="D472" s="5">
        <f>_xll.SNL.Clients.Office.Excel.Functions.SPG(A472, "IQ_DILUT_EPS_NORM", "CY2023")</f>
        <v>18.584</v>
      </c>
      <c r="E472">
        <f t="shared" si="86"/>
        <v>17431792</v>
      </c>
      <c r="F472">
        <f t="shared" si="87"/>
        <v>4.69073198034562E-2</v>
      </c>
      <c r="G472" s="5">
        <f>_xll.SNL.Clients.Office.Excel.Functions.SPG(A472, "SP_MARKETCAP", "12/30/2023")</f>
        <v>486945.41900570999</v>
      </c>
      <c r="H472">
        <f t="shared" si="91"/>
        <v>1.1589301474712807E-2</v>
      </c>
      <c r="I472">
        <f t="shared" si="92"/>
        <v>0.2153755786060628</v>
      </c>
      <c r="K472" t="s">
        <v>472</v>
      </c>
      <c r="L472" s="4" cm="1">
        <f t="array" ref="L472">_xll.SNL.Clients.Office.Excel.Functions.SPG(K472, "SP_TOTAL_REV", "CY2023")</f>
        <v>371622000</v>
      </c>
      <c r="M472" s="4">
        <f>_xll.SNL.Clients.Office.Excel.Functions.SPG(K472,"IQ_AVG_DILUT_SHARES_OUT","CY2023")</f>
        <v>938000000</v>
      </c>
      <c r="N472" s="5">
        <f>_xll.SNL.Clients.Office.Excel.Functions.SPG(K472, "IQ_DILUT_EPS_NORM", "CY2023")</f>
        <v>18.584</v>
      </c>
      <c r="O472">
        <f t="shared" si="88"/>
        <v>17431792</v>
      </c>
      <c r="P472">
        <f t="shared" si="89"/>
        <v>4.69073198034562E-2</v>
      </c>
      <c r="Q472" s="5">
        <f>_xll.SNL.Clients.Office.Excel.Functions.SPG(K472, "SP_MARKETCAP", "12/31/2022")</f>
        <v>495373.19152314001</v>
      </c>
      <c r="R472">
        <f t="shared" si="93"/>
        <v>1.470178478309892E-2</v>
      </c>
      <c r="S472">
        <f t="shared" si="94"/>
        <v>0.27321796840911033</v>
      </c>
      <c r="U472" t="s">
        <v>472</v>
      </c>
      <c r="V472" s="4" cm="1">
        <f t="array" ref="V472">_xll.SNL.Clients.Office.Excel.Functions.SPG(U472, "SP_TOTAL_REV", "CY2021")</f>
        <v>287597000</v>
      </c>
      <c r="W472" s="4">
        <f>_xll.SNL.Clients.Office.Excel.Functions.SPG(U472,"IQ_AVG_DILUT_SHARES_OUT","CY2021")</f>
        <v>956000000</v>
      </c>
      <c r="X472" s="5">
        <f>_xll.SNL.Clients.Office.Excel.Functions.SPG(U472, "IQ_DILUT_EPS_NORM", "CY2021")</f>
        <v>14.118</v>
      </c>
      <c r="Y472">
        <f t="shared" si="95"/>
        <v>13496808</v>
      </c>
      <c r="Z472">
        <f t="shared" si="96"/>
        <v>4.6929585496371662E-2</v>
      </c>
      <c r="AA472" s="5">
        <f>_xll.SNL.Clients.Office.Excel.Functions.SPG(U472, "SP_MARKETCAP", "12/31/2021")</f>
        <v>472941.186675</v>
      </c>
      <c r="AB472">
        <f t="shared" si="90"/>
        <v>1.1146044263228331E-2</v>
      </c>
      <c r="AC472">
        <f t="shared" si="97"/>
        <v>0.15735985290825757</v>
      </c>
    </row>
    <row r="473" spans="1:29" x14ac:dyDescent="0.3">
      <c r="A473" t="s">
        <v>473</v>
      </c>
      <c r="B473" s="4" cm="1">
        <f t="array" ref="B473">_xll.SNL.Clients.Office.Excel.Functions.SPG(A473, "SP_TOTAL_REV", "CY2023")</f>
        <v>14281976</v>
      </c>
      <c r="C473" s="4">
        <f>_xll.SNL.Clients.Office.Excel.Functions.SPG(A473,"IQ_AVG_DILUT_SHARES_OUT","CY2023")</f>
        <v>70125000</v>
      </c>
      <c r="D473" s="5">
        <f>_xll.SNL.Clients.Office.Excel.Functions.SPG(A473, "IQ_DILUT_EPS_NORM", "CY2023")</f>
        <v>8.36</v>
      </c>
      <c r="E473">
        <f t="shared" si="86"/>
        <v>586245</v>
      </c>
      <c r="F473">
        <f t="shared" si="87"/>
        <v>4.104789141222475E-2</v>
      </c>
      <c r="G473" s="5">
        <f>_xll.SNL.Clients.Office.Excel.Functions.SPG(A473, "SP_MARKETCAP", "12/30/2023")</f>
        <v>10405.35683776</v>
      </c>
      <c r="H473">
        <f t="shared" si="91"/>
        <v>2.476475034737947E-4</v>
      </c>
      <c r="I473">
        <f t="shared" si="92"/>
        <v>2.0703331290409235E-3</v>
      </c>
      <c r="K473" t="s">
        <v>473</v>
      </c>
      <c r="L473" s="4" cm="1">
        <f t="array" ref="L473">_xll.SNL.Clients.Office.Excel.Functions.SPG(K473, "SP_TOTAL_REV", "CY2023")</f>
        <v>14281976</v>
      </c>
      <c r="M473" s="4">
        <f>_xll.SNL.Clients.Office.Excel.Functions.SPG(K473,"IQ_AVG_DILUT_SHARES_OUT","CY2023")</f>
        <v>70125000</v>
      </c>
      <c r="N473" s="5">
        <f>_xll.SNL.Clients.Office.Excel.Functions.SPG(K473, "IQ_DILUT_EPS_NORM", "CY2023")</f>
        <v>8.36</v>
      </c>
      <c r="O473">
        <f t="shared" si="88"/>
        <v>586245</v>
      </c>
      <c r="P473">
        <f t="shared" si="89"/>
        <v>4.104789141222475E-2</v>
      </c>
      <c r="Q473" s="5">
        <f>_xll.SNL.Clients.Office.Excel.Functions.SPG(K473, "SP_MARKETCAP", "12/31/2022")</f>
        <v>10060.436353180001</v>
      </c>
      <c r="R473">
        <f t="shared" si="93"/>
        <v>2.9857564482596328E-4</v>
      </c>
      <c r="S473">
        <f t="shared" si="94"/>
        <v>2.4960923907450527E-3</v>
      </c>
      <c r="U473" t="s">
        <v>473</v>
      </c>
      <c r="V473" s="4" cm="1">
        <f t="array" ref="V473">_xll.SNL.Clients.Office.Excel.Functions.SPG(U473, "SP_TOTAL_REV", "CY2021")</f>
        <v>12642117</v>
      </c>
      <c r="W473" s="4">
        <f>_xll.SNL.Clients.Office.Excel.Functions.SPG(U473,"IQ_AVG_DILUT_SHARES_OUT","CY2021")</f>
        <v>83692000</v>
      </c>
      <c r="X473" s="5">
        <f>_xll.SNL.Clients.Office.Excel.Functions.SPG(U473, "IQ_DILUT_EPS_NORM", "CY2021")</f>
        <v>9.9390000000000001</v>
      </c>
      <c r="Y473">
        <f t="shared" si="95"/>
        <v>831814.78799999994</v>
      </c>
      <c r="Z473">
        <f t="shared" si="96"/>
        <v>6.5797111986861057E-2</v>
      </c>
      <c r="AA473" s="5">
        <f>_xll.SNL.Clients.Office.Excel.Functions.SPG(U473, "SP_MARKETCAP", "12/31/2021")</f>
        <v>10421.21108522</v>
      </c>
      <c r="AB473">
        <f t="shared" si="90"/>
        <v>2.456019549680889E-4</v>
      </c>
      <c r="AC473">
        <f t="shared" si="97"/>
        <v>2.4410378304278355E-3</v>
      </c>
    </row>
    <row r="474" spans="1:29" x14ac:dyDescent="0.3">
      <c r="A474" t="s">
        <v>474</v>
      </c>
      <c r="B474" s="4" cm="1">
        <f t="array" ref="B474">_xll.SNL.Clients.Office.Excel.Functions.SPG(A474, "SP_TOTAL_REV", "CY2023")</f>
        <v>139001000</v>
      </c>
      <c r="C474" s="4">
        <f>_xll.SNL.Clients.Office.Excel.Functions.SPG(A474,"IQ_AVG_DILUT_SHARES_OUT","CY2023")</f>
        <v>353000000</v>
      </c>
      <c r="D474" s="5">
        <f>_xll.SNL.Clients.Office.Excel.Functions.SPG(A474, "IQ_DILUT_EPS_NORM", "CY2023")</f>
        <v>19.927</v>
      </c>
      <c r="E474">
        <f t="shared" si="86"/>
        <v>7034231</v>
      </c>
      <c r="F474">
        <f t="shared" si="87"/>
        <v>5.0605614348098217E-2</v>
      </c>
      <c r="G474" s="5">
        <f>_xll.SNL.Clients.Office.Excel.Functions.SPG(A474, "SP_MARKETCAP", "12/30/2023")</f>
        <v>44258.882460000001</v>
      </c>
      <c r="H474">
        <f t="shared" si="91"/>
        <v>1.0533614482094637E-3</v>
      </c>
      <c r="I474">
        <f t="shared" si="92"/>
        <v>2.0990333578469984E-2</v>
      </c>
      <c r="K474" t="s">
        <v>474</v>
      </c>
      <c r="L474" s="4" cm="1">
        <f t="array" ref="L474">_xll.SNL.Clients.Office.Excel.Functions.SPG(K474, "SP_TOTAL_REV", "CY2023")</f>
        <v>139001000</v>
      </c>
      <c r="M474" s="4">
        <f>_xll.SNL.Clients.Office.Excel.Functions.SPG(K474,"IQ_AVG_DILUT_SHARES_OUT","CY2023")</f>
        <v>353000000</v>
      </c>
      <c r="N474" s="5">
        <f>_xll.SNL.Clients.Office.Excel.Functions.SPG(K474, "IQ_DILUT_EPS_NORM", "CY2023")</f>
        <v>19.927</v>
      </c>
      <c r="O474">
        <f t="shared" si="88"/>
        <v>7034231</v>
      </c>
      <c r="P474">
        <f t="shared" si="89"/>
        <v>5.0605614348098217E-2</v>
      </c>
      <c r="Q474" s="5">
        <f>_xll.SNL.Clients.Office.Excel.Functions.SPG(K474, "SP_MARKETCAP", "12/31/2022")</f>
        <v>48907.483047080001</v>
      </c>
      <c r="R474">
        <f t="shared" si="93"/>
        <v>1.4514860762456939E-3</v>
      </c>
      <c r="S474">
        <f t="shared" si="94"/>
        <v>2.8923763041347941E-2</v>
      </c>
      <c r="U474" t="s">
        <v>474</v>
      </c>
      <c r="V474" s="4" cm="1">
        <f t="array" ref="V474">_xll.SNL.Clients.Office.Excel.Functions.SPG(U474, "SP_TOTAL_REV", "CY2021")</f>
        <v>108332000</v>
      </c>
      <c r="W474" s="4">
        <f>_xll.SNL.Clients.Office.Excel.Functions.SPG(U474,"IQ_AVG_DILUT_SHARES_OUT","CY2021")</f>
        <v>407000000</v>
      </c>
      <c r="X474" s="5">
        <f>_xll.SNL.Clients.Office.Excel.Functions.SPG(U474, "IQ_DILUT_EPS_NORM", "CY2021")</f>
        <v>1.7649999999999999</v>
      </c>
      <c r="Y474">
        <f t="shared" si="95"/>
        <v>718355</v>
      </c>
      <c r="Z474">
        <f t="shared" si="96"/>
        <v>6.6310508437026914E-3</v>
      </c>
      <c r="AA474" s="5">
        <f>_xll.SNL.Clients.Office.Excel.Functions.SPG(U474, "SP_MARKETCAP", "12/31/2021")</f>
        <v>30707.643042650001</v>
      </c>
      <c r="AB474">
        <f t="shared" si="90"/>
        <v>7.2370256221308078E-4</v>
      </c>
      <c r="AC474">
        <f t="shared" si="97"/>
        <v>1.2773350223060874E-3</v>
      </c>
    </row>
    <row r="475" spans="1:29" x14ac:dyDescent="0.3">
      <c r="A475" t="s">
        <v>475</v>
      </c>
      <c r="B475" s="4" cm="1">
        <f t="array" ref="B475">_xll.SNL.Clients.Office.Excel.Functions.SPG(A475, "SP_TOTAL_REV", "CY2023")</f>
        <v>4480722</v>
      </c>
      <c r="C475" s="4">
        <f>_xll.SNL.Clients.Office.Excel.Functions.SPG(A475,"IQ_AVG_DILUT_SHARES_OUT","CY2023")</f>
        <v>405670000</v>
      </c>
      <c r="D475" s="5">
        <f>_xll.SNL.Clients.Office.Excel.Functions.SPG(A475, "IQ_DILUT_EPS_NORM", "CY2023")</f>
        <v>0.17199999999999999</v>
      </c>
      <c r="E475">
        <f t="shared" si="86"/>
        <v>69775.240000000005</v>
      </c>
      <c r="F475">
        <f t="shared" si="87"/>
        <v>1.5572320710814018E-2</v>
      </c>
      <c r="G475" s="5">
        <f>_xll.SNL.Clients.Office.Excel.Functions.SPG(A475, "SP_MARKETCAP", "12/30/2023")</f>
        <v>20040.85075048</v>
      </c>
      <c r="H475">
        <f t="shared" si="91"/>
        <v>4.7697226853737716E-4</v>
      </c>
      <c r="I475">
        <f t="shared" si="92"/>
        <v>8.203923018842887E-5</v>
      </c>
      <c r="K475" t="s">
        <v>475</v>
      </c>
      <c r="L475" s="4" cm="1">
        <f t="array" ref="L475">_xll.SNL.Clients.Office.Excel.Functions.SPG(K475, "SP_TOTAL_REV", "CY2023")</f>
        <v>4480722</v>
      </c>
      <c r="M475" s="4">
        <f>_xll.SNL.Clients.Office.Excel.Functions.SPG(K475,"IQ_AVG_DILUT_SHARES_OUT","CY2023")</f>
        <v>405670000</v>
      </c>
      <c r="N475" s="5">
        <f>_xll.SNL.Clients.Office.Excel.Functions.SPG(K475, "IQ_DILUT_EPS_NORM", "CY2023")</f>
        <v>0.17199999999999999</v>
      </c>
      <c r="O475">
        <f t="shared" si="88"/>
        <v>69775.240000000005</v>
      </c>
      <c r="P475">
        <f t="shared" si="89"/>
        <v>1.5572320710814018E-2</v>
      </c>
      <c r="Q475" s="5">
        <f>_xll.SNL.Clients.Office.Excel.Functions.SPG(K475, "SP_MARKETCAP", "12/31/2022")</f>
        <v>18007.29522425</v>
      </c>
      <c r="R475">
        <f t="shared" si="93"/>
        <v>5.3442411386584268E-4</v>
      </c>
      <c r="S475">
        <f t="shared" si="94"/>
        <v>9.1920947584924929E-5</v>
      </c>
      <c r="U475" t="s">
        <v>475</v>
      </c>
      <c r="V475" s="4" cm="1">
        <f t="array" ref="V475">_xll.SNL.Clients.Office.Excel.Functions.SPG(U475, "SP_TOTAL_REV", "CY2021")</f>
        <v>3799707</v>
      </c>
      <c r="W475" s="4">
        <f>_xll.SNL.Clients.Office.Excel.Functions.SPG(U475,"IQ_AVG_DILUT_SHARES_OUT","CY2021")</f>
        <v>386304000</v>
      </c>
      <c r="X475" s="5">
        <f>_xll.SNL.Clients.Office.Excel.Functions.SPG(U475, "IQ_DILUT_EPS_NORM", "CY2021")</f>
        <v>0.27</v>
      </c>
      <c r="Y475">
        <f t="shared" si="95"/>
        <v>104302.08</v>
      </c>
      <c r="Z475">
        <f t="shared" si="96"/>
        <v>2.7450032331440295E-2</v>
      </c>
      <c r="AA475" s="5">
        <f>_xll.SNL.Clients.Office.Excel.Functions.SPG(U475, "SP_MARKETCAP", "12/31/2021")</f>
        <v>20405.871599040001</v>
      </c>
      <c r="AB475">
        <f t="shared" si="90"/>
        <v>4.8091550171744987E-4</v>
      </c>
      <c r="AC475">
        <f t="shared" si="97"/>
        <v>1.2984718546371146E-4</v>
      </c>
    </row>
    <row r="476" spans="1:29" x14ac:dyDescent="0.3">
      <c r="A476" t="s">
        <v>476</v>
      </c>
      <c r="B476" s="4" cm="1">
        <f t="array" ref="B476">_xll.SNL.Clients.Office.Excel.Functions.SPG(A476, "SP_TOTAL_REV", "CY2023")</f>
        <v>5021000</v>
      </c>
      <c r="C476" s="4">
        <f>_xll.SNL.Clients.Office.Excel.Functions.SPG(A476,"IQ_AVG_DILUT_SHARES_OUT","CY2023")</f>
        <v>246800000</v>
      </c>
      <c r="D476" s="5">
        <f>_xll.SNL.Clients.Office.Excel.Functions.SPG(A476, "IQ_DILUT_EPS_NORM", "CY2023")</f>
        <v>2.8439999999999999</v>
      </c>
      <c r="E476">
        <f t="shared" si="86"/>
        <v>701899.2</v>
      </c>
      <c r="F476">
        <f t="shared" si="87"/>
        <v>0.13979271061541523</v>
      </c>
      <c r="G476" s="5">
        <f>_xll.SNL.Clients.Office.Excel.Functions.SPG(A476, "SP_MARKETCAP", "12/30/2023")</f>
        <v>20261.300768820001</v>
      </c>
      <c r="H476">
        <f t="shared" si="91"/>
        <v>4.8221897920130535E-4</v>
      </c>
      <c r="I476">
        <f t="shared" si="92"/>
        <v>1.3714307768485123E-3</v>
      </c>
      <c r="K476" t="s">
        <v>476</v>
      </c>
      <c r="L476" s="4" cm="1">
        <f t="array" ref="L476">_xll.SNL.Clients.Office.Excel.Functions.SPG(K476, "SP_TOTAL_REV", "CY2023")</f>
        <v>5021000</v>
      </c>
      <c r="M476" s="4">
        <f>_xll.SNL.Clients.Office.Excel.Functions.SPG(K476,"IQ_AVG_DILUT_SHARES_OUT","CY2023")</f>
        <v>246800000</v>
      </c>
      <c r="N476" s="5">
        <f>_xll.SNL.Clients.Office.Excel.Functions.SPG(K476, "IQ_DILUT_EPS_NORM", "CY2023")</f>
        <v>2.8439999999999999</v>
      </c>
      <c r="O476">
        <f t="shared" si="88"/>
        <v>701899.2</v>
      </c>
      <c r="P476">
        <f t="shared" si="89"/>
        <v>0.13979271061541523</v>
      </c>
      <c r="Q476" s="5" t="str">
        <f>_xll.SNL.Clients.Office.Excel.Functions.SPG(K476, "SP_MARKETCAP", "12/31/2022")</f>
        <v>NA</v>
      </c>
      <c r="R476" t="e">
        <f t="shared" si="93"/>
        <v>#VALUE!</v>
      </c>
      <c r="S476" t="e">
        <f t="shared" si="94"/>
        <v>#VALUE!</v>
      </c>
      <c r="U476" t="s">
        <v>476</v>
      </c>
      <c r="V476" s="4" cm="1">
        <f t="array" ref="V476">_xll.SNL.Clients.Office.Excel.Functions.SPG(U476, "SP_TOTAL_REV", "CY2021")</f>
        <v>4700000</v>
      </c>
      <c r="W476" s="4">
        <f>_xll.SNL.Clients.Office.Excel.Functions.SPG(U476,"IQ_AVG_DILUT_SHARES_OUT","CY2021")</f>
        <v>246300000</v>
      </c>
      <c r="X476" s="5">
        <f>_xll.SNL.Clients.Office.Excel.Functions.SPG(U476, "IQ_DILUT_EPS_NORM", "CY2021")</f>
        <v>2.637</v>
      </c>
      <c r="Y476">
        <f t="shared" si="95"/>
        <v>649493.1</v>
      </c>
      <c r="Z476">
        <f t="shared" si="96"/>
        <v>0.13819002127659574</v>
      </c>
      <c r="AA476" s="5" t="str">
        <f>_xll.SNL.Clients.Office.Excel.Functions.SPG(U476, "SP_MARKETCAP", "12/31/2021")</f>
        <v>NA</v>
      </c>
      <c r="AB476" t="e">
        <f t="shared" si="90"/>
        <v>#VALUE!</v>
      </c>
      <c r="AC476" t="e">
        <f t="shared" si="97"/>
        <v>#VALUE!</v>
      </c>
    </row>
    <row r="477" spans="1:29" x14ac:dyDescent="0.3">
      <c r="A477" t="s">
        <v>477</v>
      </c>
      <c r="B477" s="4" cm="1">
        <f t="array" ref="B477">_xll.SNL.Clients.Office.Excel.Functions.SPG(A477, "SP_TOTAL_REV", "CY2023")</f>
        <v>1493100</v>
      </c>
      <c r="C477" s="4">
        <f>_xll.SNL.Clients.Office.Excel.Functions.SPG(A477,"IQ_AVG_DILUT_SHARES_OUT","CY2023")</f>
        <v>103500000</v>
      </c>
      <c r="D477" s="5">
        <f>_xll.SNL.Clients.Office.Excel.Functions.SPG(A477, "IQ_DILUT_EPS_NORM", "CY2023")</f>
        <v>5.8970000000000002</v>
      </c>
      <c r="E477">
        <f t="shared" si="86"/>
        <v>610339.5</v>
      </c>
      <c r="F477">
        <f t="shared" si="87"/>
        <v>0.40877335744424353</v>
      </c>
      <c r="G477" s="5">
        <f>_xll.SNL.Clients.Office.Excel.Functions.SPG(A477, "SP_MARKETCAP", "12/30/2023")</f>
        <v>21028.516</v>
      </c>
      <c r="H477">
        <f t="shared" si="91"/>
        <v>5.0047870249491787E-4</v>
      </c>
      <c r="I477">
        <f t="shared" si="92"/>
        <v>2.9513229086125308E-3</v>
      </c>
      <c r="K477" t="s">
        <v>477</v>
      </c>
      <c r="L477" s="4" cm="1">
        <f t="array" ref="L477">_xll.SNL.Clients.Office.Excel.Functions.SPG(K477, "SP_TOTAL_REV", "CY2023")</f>
        <v>1493100</v>
      </c>
      <c r="M477" s="4">
        <f>_xll.SNL.Clients.Office.Excel.Functions.SPG(K477,"IQ_AVG_DILUT_SHARES_OUT","CY2023")</f>
        <v>103500000</v>
      </c>
      <c r="N477" s="5">
        <f>_xll.SNL.Clients.Office.Excel.Functions.SPG(K477, "IQ_DILUT_EPS_NORM", "CY2023")</f>
        <v>5.8970000000000002</v>
      </c>
      <c r="O477">
        <f t="shared" si="88"/>
        <v>610339.5</v>
      </c>
      <c r="P477">
        <f t="shared" si="89"/>
        <v>0.40877335744424353</v>
      </c>
      <c r="Q477" s="5">
        <f>_xll.SNL.Clients.Office.Excel.Functions.SPG(K477, "SP_MARKETCAP", "12/31/2022")</f>
        <v>21780.020720640001</v>
      </c>
      <c r="R477">
        <f t="shared" si="93"/>
        <v>6.4639181668620191E-4</v>
      </c>
      <c r="S477">
        <f t="shared" si="94"/>
        <v>3.811772542998533E-3</v>
      </c>
      <c r="U477" t="s">
        <v>477</v>
      </c>
      <c r="V477" s="4" cm="1">
        <f t="array" ref="V477">_xll.SNL.Clients.Office.Excel.Functions.SPG(U477, "SP_TOTAL_REV", "CY2021")</f>
        <v>1327600</v>
      </c>
      <c r="W477" s="4">
        <f>_xll.SNL.Clients.Office.Excel.Functions.SPG(U477,"IQ_AVG_DILUT_SHARES_OUT","CY2021")</f>
        <v>112200000</v>
      </c>
      <c r="X477" s="5">
        <f>_xll.SNL.Clients.Office.Excel.Functions.SPG(U477, "IQ_DILUT_EPS_NORM", "CY2021")</f>
        <v>4.3689999999999998</v>
      </c>
      <c r="Y477">
        <f t="shared" si="95"/>
        <v>490201.8</v>
      </c>
      <c r="Z477">
        <f t="shared" si="96"/>
        <v>0.36923907803555289</v>
      </c>
      <c r="AA477" s="5">
        <f>_xll.SNL.Clients.Office.Excel.Functions.SPG(U477, "SP_MARKETCAP", "12/31/2021")</f>
        <v>28193.928625519999</v>
      </c>
      <c r="AB477">
        <f t="shared" si="90"/>
        <v>6.6446058255927682E-4</v>
      </c>
      <c r="AC477">
        <f t="shared" si="97"/>
        <v>2.9030282852014803E-3</v>
      </c>
    </row>
    <row r="478" spans="1:29" x14ac:dyDescent="0.3">
      <c r="A478" t="s">
        <v>478</v>
      </c>
      <c r="B478" s="4" cm="1">
        <f t="array" ref="B478">_xll.SNL.Clients.Office.Excel.Functions.SPG(A478, "SP_TOTAL_REV", "CY2023")</f>
        <v>2681400</v>
      </c>
      <c r="C478" s="4">
        <f>_xll.SNL.Clients.Office.Excel.Functions.SPG(A478,"IQ_AVG_DILUT_SHARES_OUT","CY2023")</f>
        <v>147336159</v>
      </c>
      <c r="D478" s="5">
        <f>_xll.SNL.Clients.Office.Excel.Functions.SPG(A478, "IQ_DILUT_EPS_NORM", "CY2023")</f>
        <v>4.3689999999999998</v>
      </c>
      <c r="E478">
        <f t="shared" si="86"/>
        <v>643711.67867100006</v>
      </c>
      <c r="F478">
        <f t="shared" si="87"/>
        <v>0.2400655175173417</v>
      </c>
      <c r="G478" s="5">
        <f>_xll.SNL.Clients.Office.Excel.Functions.SPG(A478, "SP_MARKETCAP", "12/30/2023")</f>
        <v>34631.489243880002</v>
      </c>
      <c r="H478">
        <f t="shared" si="91"/>
        <v>8.2422947973331872E-4</v>
      </c>
      <c r="I478">
        <f t="shared" si="92"/>
        <v>3.6010585969548691E-3</v>
      </c>
      <c r="K478" t="s">
        <v>478</v>
      </c>
      <c r="L478" s="4" cm="1">
        <f t="array" ref="L478">_xll.SNL.Clients.Office.Excel.Functions.SPG(K478, "SP_TOTAL_REV", "CY2023")</f>
        <v>2681400</v>
      </c>
      <c r="M478" s="4">
        <f>_xll.SNL.Clients.Office.Excel.Functions.SPG(K478,"IQ_AVG_DILUT_SHARES_OUT","CY2023")</f>
        <v>147336159</v>
      </c>
      <c r="N478" s="5">
        <f>_xll.SNL.Clients.Office.Excel.Functions.SPG(K478, "IQ_DILUT_EPS_NORM", "CY2023")</f>
        <v>4.3689999999999998</v>
      </c>
      <c r="O478">
        <f t="shared" si="88"/>
        <v>643711.67867100006</v>
      </c>
      <c r="P478">
        <f t="shared" si="89"/>
        <v>0.2400655175173417</v>
      </c>
      <c r="Q478" s="5">
        <f>_xll.SNL.Clients.Office.Excel.Functions.SPG(K478, "SP_MARKETCAP", "12/31/2022")</f>
        <v>27589.962138999999</v>
      </c>
      <c r="R478">
        <f t="shared" si="93"/>
        <v>8.1882042161839108E-4</v>
      </c>
      <c r="S478">
        <f t="shared" si="94"/>
        <v>3.5774264220507506E-3</v>
      </c>
      <c r="U478" t="s">
        <v>478</v>
      </c>
      <c r="V478" s="4" cm="1">
        <f t="array" ref="V478">_xll.SNL.Clients.Office.Excel.Functions.SPG(U478, "SP_TOTAL_REV", "CY2021")</f>
        <v>2462500</v>
      </c>
      <c r="W478" s="4">
        <f>_xll.SNL.Clients.Office.Excel.Functions.SPG(U478,"IQ_AVG_DILUT_SHARES_OUT","CY2021")</f>
        <v>163338909</v>
      </c>
      <c r="X478" s="5">
        <f>_xll.SNL.Clients.Office.Excel.Functions.SPG(U478, "IQ_DILUT_EPS_NORM", "CY2021")</f>
        <v>3.02</v>
      </c>
      <c r="Y478">
        <f t="shared" si="95"/>
        <v>493283.50517999998</v>
      </c>
      <c r="Z478">
        <f t="shared" si="96"/>
        <v>0.20031817469238578</v>
      </c>
      <c r="AA478" s="5">
        <f>_xll.SNL.Clients.Office.Excel.Functions.SPG(U478, "SP_MARKETCAP", "12/31/2021")</f>
        <v>36862.441303749998</v>
      </c>
      <c r="AB478">
        <f t="shared" si="90"/>
        <v>8.6875580727249996E-4</v>
      </c>
      <c r="AC478">
        <f t="shared" si="97"/>
        <v>2.62364253796295E-3</v>
      </c>
    </row>
    <row r="479" spans="1:29" x14ac:dyDescent="0.3">
      <c r="A479" t="s">
        <v>479</v>
      </c>
      <c r="B479" s="4" cm="1">
        <f t="array" ref="B479">_xll.SNL.Clients.Office.Excel.Functions.SPG(A479, "SP_TOTAL_REV", "CY2023")</f>
        <v>133974000</v>
      </c>
      <c r="C479" s="4">
        <f>_xll.SNL.Clients.Office.Excel.Functions.SPG(A479,"IQ_AVG_DILUT_SHARES_OUT","CY2023")</f>
        <v>4215000000</v>
      </c>
      <c r="D479" s="5">
        <f>_xll.SNL.Clients.Office.Excel.Functions.SPG(A479, "IQ_DILUT_EPS_NORM", "CY2023")</f>
        <v>3.5939999999999999</v>
      </c>
      <c r="E479">
        <f t="shared" si="86"/>
        <v>15148710</v>
      </c>
      <c r="F479">
        <f t="shared" si="87"/>
        <v>0.1130720139728604</v>
      </c>
      <c r="G479" s="5">
        <f>_xll.SNL.Clients.Office.Excel.Functions.SPG(A479, "SP_MARKETCAP", "12/30/2023")</f>
        <v>158494.6325443</v>
      </c>
      <c r="H479">
        <f t="shared" si="91"/>
        <v>3.7721724180717294E-3</v>
      </c>
      <c r="I479">
        <f t="shared" si="92"/>
        <v>1.3557187670549795E-2</v>
      </c>
      <c r="K479" t="s">
        <v>479</v>
      </c>
      <c r="L479" s="4" cm="1">
        <f t="array" ref="L479">_xll.SNL.Clients.Office.Excel.Functions.SPG(K479, "SP_TOTAL_REV", "CY2023")</f>
        <v>133974000</v>
      </c>
      <c r="M479" s="4">
        <f>_xll.SNL.Clients.Office.Excel.Functions.SPG(K479,"IQ_AVG_DILUT_SHARES_OUT","CY2023")</f>
        <v>4215000000</v>
      </c>
      <c r="N479" s="5">
        <f>_xll.SNL.Clients.Office.Excel.Functions.SPG(K479, "IQ_DILUT_EPS_NORM", "CY2023")</f>
        <v>3.5939999999999999</v>
      </c>
      <c r="O479">
        <f t="shared" si="88"/>
        <v>15148710</v>
      </c>
      <c r="P479">
        <f t="shared" si="89"/>
        <v>0.1130720139728604</v>
      </c>
      <c r="Q479" s="5">
        <f>_xll.SNL.Clients.Office.Excel.Functions.SPG(K479, "SP_MARKETCAP", "12/31/2022")</f>
        <v>165472.80741179999</v>
      </c>
      <c r="R479">
        <f t="shared" si="93"/>
        <v>4.9109351164995782E-3</v>
      </c>
      <c r="S479">
        <f t="shared" si="94"/>
        <v>1.7649900808699482E-2</v>
      </c>
      <c r="U479" t="s">
        <v>479</v>
      </c>
      <c r="V479" s="4" cm="1">
        <f t="array" ref="V479">_xll.SNL.Clients.Office.Excel.Functions.SPG(U479, "SP_TOTAL_REV", "CY2021")</f>
        <v>133613000</v>
      </c>
      <c r="W479" s="4">
        <f>_xll.SNL.Clients.Office.Excel.Functions.SPG(U479,"IQ_AVG_DILUT_SHARES_OUT","CY2021")</f>
        <v>4150000000</v>
      </c>
      <c r="X479" s="5">
        <f>_xll.SNL.Clients.Office.Excel.Functions.SPG(U479, "IQ_DILUT_EPS_NORM", "CY2021")</f>
        <v>4.8959999999999999</v>
      </c>
      <c r="Y479">
        <f t="shared" si="95"/>
        <v>20318400</v>
      </c>
      <c r="Z479">
        <f t="shared" si="96"/>
        <v>0.15206903519867079</v>
      </c>
      <c r="AA479" s="5">
        <f>_xll.SNL.Clients.Office.Excel.Functions.SPG(U479, "SP_MARKETCAP", "12/31/2021")</f>
        <v>218116.32971364001</v>
      </c>
      <c r="AB479">
        <f t="shared" si="90"/>
        <v>5.1404579131988041E-3</v>
      </c>
      <c r="AC479">
        <f t="shared" si="97"/>
        <v>2.5167681943021346E-2</v>
      </c>
    </row>
    <row r="480" spans="1:29" x14ac:dyDescent="0.3">
      <c r="A480" t="s">
        <v>480</v>
      </c>
      <c r="B480" s="4" cm="1">
        <f t="array" ref="B480">_xll.SNL.Clients.Office.Excel.Functions.SPG(A480, "SP_TOTAL_REV", "CY2023")</f>
        <v>9869200</v>
      </c>
      <c r="C480" s="4">
        <f>_xll.SNL.Clients.Office.Excel.Functions.SPG(A480,"IQ_AVG_DILUT_SHARES_OUT","CY2023")</f>
        <v>260500000</v>
      </c>
      <c r="D480" s="5">
        <f>_xll.SNL.Clients.Office.Excel.Functions.SPG(A480, "IQ_DILUT_EPS_NORM", "CY2023")</f>
        <v>11.667</v>
      </c>
      <c r="E480">
        <f t="shared" si="86"/>
        <v>3039253.5</v>
      </c>
      <c r="F480">
        <f t="shared" si="87"/>
        <v>0.30795338021318852</v>
      </c>
      <c r="G480" s="5">
        <f>_xll.SNL.Clients.Office.Excel.Functions.SPG(A480, "SP_MARKETCAP", "12/30/2023")</f>
        <v>104848.71073776</v>
      </c>
      <c r="H480">
        <f t="shared" si="91"/>
        <v>2.4953994237300954E-3</v>
      </c>
      <c r="I480">
        <f t="shared" si="92"/>
        <v>2.9113825076659022E-2</v>
      </c>
      <c r="K480" t="s">
        <v>480</v>
      </c>
      <c r="L480" s="4" cm="1">
        <f t="array" ref="L480">_xll.SNL.Clients.Office.Excel.Functions.SPG(K480, "SP_TOTAL_REV", "CY2023")</f>
        <v>9869200</v>
      </c>
      <c r="M480" s="4">
        <f>_xll.SNL.Clients.Office.Excel.Functions.SPG(K480,"IQ_AVG_DILUT_SHARES_OUT","CY2023")</f>
        <v>260500000</v>
      </c>
      <c r="N480" s="5">
        <f>_xll.SNL.Clients.Office.Excel.Functions.SPG(K480, "IQ_DILUT_EPS_NORM", "CY2023")</f>
        <v>11.667</v>
      </c>
      <c r="O480">
        <f t="shared" si="88"/>
        <v>3039253.5</v>
      </c>
      <c r="P480">
        <f t="shared" si="89"/>
        <v>0.30795338021318852</v>
      </c>
      <c r="Q480" s="5">
        <f>_xll.SNL.Clients.Office.Excel.Functions.SPG(K480, "SP_MARKETCAP", "12/31/2022")</f>
        <v>74127.357508560002</v>
      </c>
      <c r="R480">
        <f t="shared" si="93"/>
        <v>2.1999665611290424E-3</v>
      </c>
      <c r="S480">
        <f t="shared" si="94"/>
        <v>2.5667009868692536E-2</v>
      </c>
      <c r="U480" t="s">
        <v>480</v>
      </c>
      <c r="V480" s="4" cm="1">
        <f t="array" ref="V480">_xll.SNL.Clients.Office.Excel.Functions.SPG(U480, "SP_TOTAL_REV", "CY2021")</f>
        <v>7574400</v>
      </c>
      <c r="W480" s="4">
        <f>_xll.SNL.Clients.Office.Excel.Functions.SPG(U480,"IQ_AVG_DILUT_SHARES_OUT","CY2021")</f>
        <v>259900000</v>
      </c>
      <c r="X480" s="5">
        <f>_xll.SNL.Clients.Office.Excel.Functions.SPG(U480, "IQ_DILUT_EPS_NORM", "CY2021")</f>
        <v>9.1950000000000003</v>
      </c>
      <c r="Y480">
        <f t="shared" si="95"/>
        <v>2389780.5</v>
      </c>
      <c r="Z480">
        <f t="shared" si="96"/>
        <v>0.31550756495564003</v>
      </c>
      <c r="AA480" s="5">
        <f>_xll.SNL.Clients.Office.Excel.Functions.SPG(U480, "SP_MARKETCAP", "12/31/2021")</f>
        <v>55833.725584799999</v>
      </c>
      <c r="AB480">
        <f t="shared" si="90"/>
        <v>1.3158616637395548E-3</v>
      </c>
      <c r="AC480">
        <f t="shared" si="97"/>
        <v>1.2099347998085206E-2</v>
      </c>
    </row>
    <row r="481" spans="1:29" x14ac:dyDescent="0.3">
      <c r="A481" t="s">
        <v>481</v>
      </c>
      <c r="B481" s="4" cm="1">
        <f t="array" ref="B481">_xll.SNL.Clients.Office.Excel.Functions.SPG(A481, "SP_TOTAL_REV", "CY2023")</f>
        <v>15426900</v>
      </c>
      <c r="C481" s="4">
        <f>_xll.SNL.Clients.Office.Excel.Functions.SPG(A481,"IQ_AVG_DILUT_SHARES_OUT","CY2023")</f>
        <v>1206900000</v>
      </c>
      <c r="D481" s="5">
        <f>_xll.SNL.Clients.Office.Excel.Functions.SPG(A481, "IQ_DILUT_EPS_NORM", "CY2023")</f>
        <v>0.94799999999999995</v>
      </c>
      <c r="E481">
        <f t="shared" si="86"/>
        <v>1144141.2</v>
      </c>
      <c r="F481">
        <f t="shared" si="87"/>
        <v>7.4165334577912606E-2</v>
      </c>
      <c r="G481" s="5">
        <f>_xll.SNL.Clients.Office.Excel.Functions.SPG(A481, "SP_MARKETCAP", "12/30/2023")</f>
        <v>12992.43693</v>
      </c>
      <c r="H481">
        <f t="shared" si="91"/>
        <v>3.0922001233817234E-4</v>
      </c>
      <c r="I481">
        <f t="shared" si="92"/>
        <v>2.9314057169658737E-4</v>
      </c>
      <c r="K481" t="s">
        <v>481</v>
      </c>
      <c r="L481" s="4" cm="1">
        <f t="array" ref="L481">_xll.SNL.Clients.Office.Excel.Functions.SPG(K481, "SP_TOTAL_REV", "CY2023")</f>
        <v>15426900</v>
      </c>
      <c r="M481" s="4">
        <f>_xll.SNL.Clients.Office.Excel.Functions.SPG(K481,"IQ_AVG_DILUT_SHARES_OUT","CY2023")</f>
        <v>1206900000</v>
      </c>
      <c r="N481" s="5">
        <f>_xll.SNL.Clients.Office.Excel.Functions.SPG(K481, "IQ_DILUT_EPS_NORM", "CY2023")</f>
        <v>0.94799999999999995</v>
      </c>
      <c r="O481">
        <f t="shared" si="88"/>
        <v>1144141.2</v>
      </c>
      <c r="P481">
        <f t="shared" si="89"/>
        <v>7.4165334577912606E-2</v>
      </c>
      <c r="Q481" s="5">
        <f>_xll.SNL.Clients.Office.Excel.Functions.SPG(K481, "SP_MARKETCAP", "12/31/2022")</f>
        <v>13497.17957574</v>
      </c>
      <c r="R481">
        <f t="shared" si="93"/>
        <v>4.0057199843867333E-4</v>
      </c>
      <c r="S481">
        <f t="shared" si="94"/>
        <v>3.797422545198623E-4</v>
      </c>
      <c r="U481" t="s">
        <v>481</v>
      </c>
      <c r="V481" s="4" cm="1">
        <f t="array" ref="V481">_xll.SNL.Clients.Office.Excel.Functions.SPG(U481, "SP_TOTAL_REV", "CY2021")</f>
        <v>17886300</v>
      </c>
      <c r="W481" s="4">
        <f>_xll.SNL.Clients.Office.Excel.Functions.SPG(U481,"IQ_AVG_DILUT_SHARES_OUT","CY2021")</f>
        <v>1208800000</v>
      </c>
      <c r="X481" s="5">
        <f>_xll.SNL.Clients.Office.Excel.Functions.SPG(U481, "IQ_DILUT_EPS_NORM", "CY2021")</f>
        <v>0.23799999999999999</v>
      </c>
      <c r="Y481">
        <f t="shared" si="95"/>
        <v>287694.40000000002</v>
      </c>
      <c r="Z481">
        <f t="shared" si="96"/>
        <v>1.6084623426868609E-2</v>
      </c>
      <c r="AA481" s="5">
        <f>_xll.SNL.Clients.Office.Excel.Functions.SPG(U481, "SP_MARKETCAP", "12/31/2021")</f>
        <v>16363.092918480001</v>
      </c>
      <c r="AB481">
        <f t="shared" si="90"/>
        <v>3.856372908330106E-4</v>
      </c>
      <c r="AC481">
        <f t="shared" si="97"/>
        <v>9.1781675218256518E-5</v>
      </c>
    </row>
    <row r="482" spans="1:29" x14ac:dyDescent="0.3">
      <c r="A482" t="s">
        <v>482</v>
      </c>
      <c r="B482" s="4" cm="1">
        <f t="array" ref="B482">_xll.SNL.Clients.Office.Excel.Functions.SPG(A482, "SP_TOTAL_REV", "CY2023")</f>
        <v>3641694</v>
      </c>
      <c r="C482" s="4">
        <f>_xll.SNL.Clients.Office.Excel.Functions.SPG(A482,"IQ_AVG_DILUT_SHARES_OUT","CY2023")</f>
        <v>1015776697</v>
      </c>
      <c r="D482" s="5">
        <f>_xll.SNL.Clients.Office.Excel.Functions.SPG(A482, "IQ_DILUT_EPS_NORM", "CY2023")</f>
        <v>1.528</v>
      </c>
      <c r="E482">
        <f t="shared" si="86"/>
        <v>1552106.793016</v>
      </c>
      <c r="F482">
        <f t="shared" si="87"/>
        <v>0.42620461604297338</v>
      </c>
      <c r="G482" s="5">
        <f>_xll.SNL.Clients.Office.Excel.Functions.SPG(A482, "SP_MARKETCAP", "12/30/2023")</f>
        <v>32980.883507400002</v>
      </c>
      <c r="H482">
        <f t="shared" si="91"/>
        <v>7.8494506150218063E-4</v>
      </c>
      <c r="I482">
        <f t="shared" si="92"/>
        <v>1.1993960539753319E-3</v>
      </c>
      <c r="K482" t="s">
        <v>482</v>
      </c>
      <c r="L482" s="4" cm="1">
        <f t="array" ref="L482">_xll.SNL.Clients.Office.Excel.Functions.SPG(K482, "SP_TOTAL_REV", "CY2023")</f>
        <v>3641694</v>
      </c>
      <c r="M482" s="4">
        <f>_xll.SNL.Clients.Office.Excel.Functions.SPG(K482,"IQ_AVG_DILUT_SHARES_OUT","CY2023")</f>
        <v>1015776697</v>
      </c>
      <c r="N482" s="5">
        <f>_xll.SNL.Clients.Office.Excel.Functions.SPG(K482, "IQ_DILUT_EPS_NORM", "CY2023")</f>
        <v>1.528</v>
      </c>
      <c r="O482">
        <f t="shared" si="88"/>
        <v>1552106.793016</v>
      </c>
      <c r="P482">
        <f t="shared" si="89"/>
        <v>0.42620461604297338</v>
      </c>
      <c r="Q482" s="5">
        <f>_xll.SNL.Clients.Office.Excel.Functions.SPG(K482, "SP_MARKETCAP", "12/31/2022")</f>
        <v>31204.370275199999</v>
      </c>
      <c r="R482">
        <f t="shared" si="93"/>
        <v>9.2608955011787286E-4</v>
      </c>
      <c r="S482">
        <f t="shared" si="94"/>
        <v>1.4150648325801098E-3</v>
      </c>
      <c r="U482" t="s">
        <v>482</v>
      </c>
      <c r="V482" s="4" cm="1">
        <f t="array" ref="V482">_xll.SNL.Clients.Office.Excel.Functions.SPG(U482, "SP_TOTAL_REV", "CY2021")</f>
        <v>1509688</v>
      </c>
      <c r="W482" s="4">
        <f>_xll.SNL.Clients.Office.Excel.Functions.SPG(U482,"IQ_AVG_DILUT_SHARES_OUT","CY2021")</f>
        <v>577066292</v>
      </c>
      <c r="X482" s="5">
        <f>_xll.SNL.Clients.Office.Excel.Functions.SPG(U482, "IQ_DILUT_EPS_NORM", "CY2021")</f>
        <v>1.1120000000000001</v>
      </c>
      <c r="Y482">
        <f t="shared" si="95"/>
        <v>641697.71670400014</v>
      </c>
      <c r="Z482">
        <f t="shared" si="96"/>
        <v>0.42505320086269488</v>
      </c>
      <c r="AA482" s="5">
        <f>_xll.SNL.Clients.Office.Excel.Functions.SPG(U482, "SP_MARKETCAP", "12/31/2021")</f>
        <v>18937.565053630002</v>
      </c>
      <c r="AB482">
        <f t="shared" si="90"/>
        <v>4.4631117837190429E-4</v>
      </c>
      <c r="AC482">
        <f t="shared" si="97"/>
        <v>4.9629803034955766E-4</v>
      </c>
    </row>
    <row r="483" spans="1:29" x14ac:dyDescent="0.3">
      <c r="A483" t="s">
        <v>483</v>
      </c>
      <c r="B483" s="4" cm="1">
        <f t="array" ref="B483">_xll.SNL.Clients.Office.Excel.Functions.SPG(A483, "SP_TOTAL_REV", "CY2023")</f>
        <v>33351000</v>
      </c>
      <c r="C483" s="4">
        <f>_xll.SNL.Clients.Office.Excel.Functions.SPG(A483,"IQ_AVG_DILUT_SHARES_OUT","CY2023")</f>
        <v>2070750000</v>
      </c>
      <c r="D483" s="5">
        <f>_xll.SNL.Clients.Office.Excel.Functions.SPG(A483, "IQ_DILUT_EPS_NORM", "CY2023")</f>
        <v>6.8419999999999996</v>
      </c>
      <c r="E483">
        <f t="shared" si="86"/>
        <v>14168071.5</v>
      </c>
      <c r="F483">
        <f t="shared" si="87"/>
        <v>0.42481699199424305</v>
      </c>
      <c r="G483" s="5">
        <f>_xll.SNL.Clients.Office.Excel.Functions.SPG(A483, "SP_MARKETCAP", "12/30/2023")</f>
        <v>521885.01114279998</v>
      </c>
      <c r="H483">
        <f t="shared" si="91"/>
        <v>1.2420863803622392E-2</v>
      </c>
      <c r="I483">
        <f t="shared" si="92"/>
        <v>8.4983550144384398E-2</v>
      </c>
      <c r="K483" t="s">
        <v>483</v>
      </c>
      <c r="L483" s="4" cm="1">
        <f t="array" ref="L483">_xll.SNL.Clients.Office.Excel.Functions.SPG(K483, "SP_TOTAL_REV", "CY2023")</f>
        <v>33351000</v>
      </c>
      <c r="M483" s="4">
        <f>_xll.SNL.Clients.Office.Excel.Functions.SPG(K483,"IQ_AVG_DILUT_SHARES_OUT","CY2023")</f>
        <v>2070750000</v>
      </c>
      <c r="N483" s="5">
        <f>_xll.SNL.Clients.Office.Excel.Functions.SPG(K483, "IQ_DILUT_EPS_NORM", "CY2023")</f>
        <v>6.8419999999999996</v>
      </c>
      <c r="O483">
        <f t="shared" si="88"/>
        <v>14168071.5</v>
      </c>
      <c r="P483">
        <f t="shared" si="89"/>
        <v>0.42481699199424305</v>
      </c>
      <c r="Q483" s="5">
        <f>_xll.SNL.Clients.Office.Excel.Functions.SPG(K483, "SP_MARKETCAP", "12/31/2022")</f>
        <v>426199.67488727998</v>
      </c>
      <c r="R483">
        <f t="shared" si="93"/>
        <v>1.2648839303462439E-2</v>
      </c>
      <c r="S483">
        <f t="shared" si="94"/>
        <v>8.654335851429E-2</v>
      </c>
      <c r="U483" t="s">
        <v>483</v>
      </c>
      <c r="V483" s="4" cm="1">
        <f t="array" ref="V483">_xll.SNL.Clients.Office.Excel.Functions.SPG(U483, "SP_TOTAL_REV", "CY2021")</f>
        <v>25477000</v>
      </c>
      <c r="W483" s="4">
        <f>_xll.SNL.Clients.Office.Excel.Functions.SPG(U483,"IQ_AVG_DILUT_SHARES_OUT","CY2021")</f>
        <v>2177750000</v>
      </c>
      <c r="X483" s="5">
        <f>_xll.SNL.Clients.Office.Excel.Functions.SPG(U483, "IQ_DILUT_EPS_NORM", "CY2021")</f>
        <v>4.7069999999999999</v>
      </c>
      <c r="Y483">
        <f t="shared" si="95"/>
        <v>10250669.25</v>
      </c>
      <c r="Z483">
        <f t="shared" si="96"/>
        <v>0.40234993327314833</v>
      </c>
      <c r="AA483" s="5">
        <f>_xll.SNL.Clients.Office.Excel.Functions.SPG(U483, "SP_MARKETCAP", "12/31/2021")</f>
        <v>453884.45233871997</v>
      </c>
      <c r="AB483">
        <f t="shared" si="90"/>
        <v>1.0696924562070385E-2</v>
      </c>
      <c r="AC483">
        <f t="shared" si="97"/>
        <v>5.0350423913665301E-2</v>
      </c>
    </row>
    <row r="484" spans="1:29" x14ac:dyDescent="0.3">
      <c r="A484" t="s">
        <v>484</v>
      </c>
      <c r="B484" s="4" cm="1">
        <f t="array" ref="B484">_xll.SNL.Clients.Office.Excel.Functions.SPG(A484, "SP_TOTAL_REV", "CY2023")</f>
        <v>14779000</v>
      </c>
      <c r="C484" s="4">
        <f>_xll.SNL.Clients.Office.Excel.Functions.SPG(A484,"IQ_AVG_DILUT_SHARES_OUT","CY2023")</f>
        <v>375193110</v>
      </c>
      <c r="D484" s="5">
        <f>_xll.SNL.Clients.Office.Excel.Functions.SPG(A484, "IQ_DILUT_EPS_NORM", "CY2023")</f>
        <v>3.4380000000000002</v>
      </c>
      <c r="E484">
        <f t="shared" si="86"/>
        <v>1289913.91218</v>
      </c>
      <c r="F484">
        <f t="shared" si="87"/>
        <v>8.7280188928885574E-2</v>
      </c>
      <c r="G484" s="5">
        <f>_xll.SNL.Clients.Office.Excel.Functions.SPG(A484, "SP_MARKETCAP", "12/30/2023")</f>
        <v>13772.91602124</v>
      </c>
      <c r="H484">
        <f t="shared" si="91"/>
        <v>3.2779541551489715E-4</v>
      </c>
      <c r="I484">
        <f t="shared" si="92"/>
        <v>1.1269606385402163E-3</v>
      </c>
      <c r="K484" t="s">
        <v>484</v>
      </c>
      <c r="L484" s="4" cm="1">
        <f t="array" ref="L484">_xll.SNL.Clients.Office.Excel.Functions.SPG(K484, "SP_TOTAL_REV", "CY2023")</f>
        <v>14779000</v>
      </c>
      <c r="M484" s="4">
        <f>_xll.SNL.Clients.Office.Excel.Functions.SPG(K484,"IQ_AVG_DILUT_SHARES_OUT","CY2023")</f>
        <v>375193110</v>
      </c>
      <c r="N484" s="5">
        <f>_xll.SNL.Clients.Office.Excel.Functions.SPG(K484, "IQ_DILUT_EPS_NORM", "CY2023")</f>
        <v>3.4380000000000002</v>
      </c>
      <c r="O484">
        <f t="shared" si="88"/>
        <v>1289913.91218</v>
      </c>
      <c r="P484">
        <f t="shared" si="89"/>
        <v>8.7280188928885574E-2</v>
      </c>
      <c r="Q484" s="5">
        <f>_xll.SNL.Clients.Office.Excel.Functions.SPG(K484, "SP_MARKETCAP", "12/31/2022")</f>
        <v>9232.5215016000002</v>
      </c>
      <c r="R484">
        <f t="shared" si="93"/>
        <v>2.7400462205980319E-4</v>
      </c>
      <c r="S484">
        <f t="shared" si="94"/>
        <v>9.4202789064160345E-4</v>
      </c>
      <c r="U484" t="s">
        <v>484</v>
      </c>
      <c r="V484" s="4" cm="1">
        <f t="array" ref="V484">_xll.SNL.Clients.Office.Excel.Functions.SPG(U484, "SP_TOTAL_REV", "CY2021")</f>
        <v>12077000</v>
      </c>
      <c r="W484" s="4">
        <f>_xll.SNL.Clients.Office.Excel.Functions.SPG(U484,"IQ_AVG_DILUT_SHARES_OUT","CY2021")</f>
        <v>482214544</v>
      </c>
      <c r="X484" s="5">
        <f>_xll.SNL.Clients.Office.Excel.Functions.SPG(U484, "IQ_DILUT_EPS_NORM", "CY2021")</f>
        <v>-2.3730000000000002</v>
      </c>
      <c r="Y484">
        <f t="shared" si="95"/>
        <v>-1144295.1129120002</v>
      </c>
      <c r="Z484">
        <f t="shared" si="96"/>
        <v>-9.4749947247826455E-2</v>
      </c>
      <c r="AA484" s="5">
        <f>_xll.SNL.Clients.Office.Excel.Functions.SPG(U484, "SP_MARKETCAP", "12/31/2021")</f>
        <v>10989.4286304</v>
      </c>
      <c r="AB484">
        <f t="shared" si="90"/>
        <v>2.5899342538377812E-4</v>
      </c>
      <c r="AC484">
        <f t="shared" si="97"/>
        <v>-6.1459139843570549E-4</v>
      </c>
    </row>
    <row r="485" spans="1:29" x14ac:dyDescent="0.3">
      <c r="A485" t="s">
        <v>485</v>
      </c>
      <c r="B485" s="4" cm="1">
        <f t="array" ref="B485">_xll.SNL.Clients.Office.Excel.Functions.SPG(A485, "SP_TOTAL_REV", "CY2023")</f>
        <v>7781900</v>
      </c>
      <c r="C485" s="4">
        <f>_xll.SNL.Clients.Office.Excel.Functions.SPG(A485,"IQ_AVG_DILUT_SHARES_OUT","CY2023")</f>
        <v>133700000</v>
      </c>
      <c r="D485" s="5">
        <f>_xll.SNL.Clients.Office.Excel.Functions.SPG(A485, "IQ_DILUT_EPS_NORM", "CY2023")</f>
        <v>5.6269999999999998</v>
      </c>
      <c r="E485">
        <f t="shared" si="86"/>
        <v>752329.9</v>
      </c>
      <c r="F485">
        <f t="shared" si="87"/>
        <v>9.6676891247638758E-2</v>
      </c>
      <c r="G485" s="5">
        <f>_xll.SNL.Clients.Office.Excel.Functions.SPG(A485, "SP_MARKETCAP", "12/30/2023")</f>
        <v>30163.587582870001</v>
      </c>
      <c r="H485">
        <f t="shared" si="91"/>
        <v>7.1789341559178954E-4</v>
      </c>
      <c r="I485">
        <f t="shared" si="92"/>
        <v>4.0395862495349998E-3</v>
      </c>
      <c r="K485" t="s">
        <v>485</v>
      </c>
      <c r="L485" s="4" cm="1">
        <f t="array" ref="L485">_xll.SNL.Clients.Office.Excel.Functions.SPG(K485, "SP_TOTAL_REV", "CY2023")</f>
        <v>7781900</v>
      </c>
      <c r="M485" s="4">
        <f>_xll.SNL.Clients.Office.Excel.Functions.SPG(K485,"IQ_AVG_DILUT_SHARES_OUT","CY2023")</f>
        <v>133700000</v>
      </c>
      <c r="N485" s="5">
        <f>_xll.SNL.Clients.Office.Excel.Functions.SPG(K485, "IQ_DILUT_EPS_NORM", "CY2023")</f>
        <v>5.6269999999999998</v>
      </c>
      <c r="O485">
        <f t="shared" si="88"/>
        <v>752329.9</v>
      </c>
      <c r="P485">
        <f t="shared" si="89"/>
        <v>9.6676891247638758E-2</v>
      </c>
      <c r="Q485" s="5">
        <f>_xll.SNL.Clients.Office.Excel.Functions.SPG(K485, "SP_MARKETCAP", "12/31/2022")</f>
        <v>23273.32130526</v>
      </c>
      <c r="R485">
        <f t="shared" si="93"/>
        <v>6.9071029048987269E-4</v>
      </c>
      <c r="S485">
        <f t="shared" si="94"/>
        <v>3.8866268045865135E-3</v>
      </c>
      <c r="U485" t="s">
        <v>485</v>
      </c>
      <c r="V485" s="4" cm="1">
        <f t="array" ref="V485">_xll.SNL.Clients.Office.Excel.Functions.SPG(U485, "SP_TOTAL_REV", "CY2021")</f>
        <v>5552200</v>
      </c>
      <c r="W485" s="4">
        <f>_xll.SNL.Clients.Office.Excel.Functions.SPG(U485,"IQ_AVG_DILUT_SHARES_OUT","CY2021")</f>
        <v>133500000</v>
      </c>
      <c r="X485" s="5">
        <f>_xll.SNL.Clients.Office.Excel.Functions.SPG(U485, "IQ_DILUT_EPS_NORM", "CY2021")</f>
        <v>3.56</v>
      </c>
      <c r="Y485">
        <f t="shared" si="95"/>
        <v>475260</v>
      </c>
      <c r="Z485">
        <f t="shared" si="96"/>
        <v>8.5598501494902918E-2</v>
      </c>
      <c r="AA485" s="5">
        <f>_xll.SNL.Clients.Office.Excel.Functions.SPG(U485, "SP_MARKETCAP", "12/31/2021")</f>
        <v>27546.909712240002</v>
      </c>
      <c r="AB485">
        <f t="shared" si="90"/>
        <v>6.4921196042664676E-4</v>
      </c>
      <c r="AC485">
        <f t="shared" si="97"/>
        <v>2.3111945791188626E-3</v>
      </c>
    </row>
    <row r="486" spans="1:29" x14ac:dyDescent="0.3">
      <c r="A486" t="s">
        <v>486</v>
      </c>
      <c r="B486" s="4" cm="1">
        <f t="array" ref="B486">_xll.SNL.Clients.Office.Excel.Functions.SPG(A486, "SP_TOTAL_REV", "CY2023")</f>
        <v>12142938</v>
      </c>
      <c r="C486" s="4">
        <f>_xll.SNL.Clients.Office.Excel.Functions.SPG(A486,"IQ_AVG_DILUT_SHARES_OUT","CY2023")</f>
        <v>409947000</v>
      </c>
      <c r="D486" s="5">
        <f>_xll.SNL.Clients.Office.Excel.Functions.SPG(A486, "IQ_DILUT_EPS_NORM", "CY2023")</f>
        <v>2.669</v>
      </c>
      <c r="E486">
        <f t="shared" si="86"/>
        <v>1094148.5430000001</v>
      </c>
      <c r="F486">
        <f t="shared" si="87"/>
        <v>9.0105750601707765E-2</v>
      </c>
      <c r="G486" s="5">
        <f>_xll.SNL.Clients.Office.Excel.Functions.SPG(A486, "SP_MARKETCAP", "12/30/2023")</f>
        <v>18236.709986607966</v>
      </c>
      <c r="H486">
        <f t="shared" si="91"/>
        <v>4.3403371649590808E-4</v>
      </c>
      <c r="I486">
        <f t="shared" si="92"/>
        <v>1.1584359893275786E-3</v>
      </c>
      <c r="K486" t="s">
        <v>486</v>
      </c>
      <c r="L486" s="4" cm="1">
        <f t="array" ref="L486">_xll.SNL.Clients.Office.Excel.Functions.SPG(K486, "SP_TOTAL_REV", "CY2023")</f>
        <v>12142938</v>
      </c>
      <c r="M486" s="4">
        <f>_xll.SNL.Clients.Office.Excel.Functions.SPG(K486,"IQ_AVG_DILUT_SHARES_OUT","CY2023")</f>
        <v>409947000</v>
      </c>
      <c r="N486" s="5">
        <f>_xll.SNL.Clients.Office.Excel.Functions.SPG(K486, "IQ_DILUT_EPS_NORM", "CY2023")</f>
        <v>2.669</v>
      </c>
      <c r="O486">
        <f t="shared" si="88"/>
        <v>1094148.5430000001</v>
      </c>
      <c r="P486">
        <f t="shared" si="89"/>
        <v>9.0105750601707765E-2</v>
      </c>
      <c r="Q486" s="5">
        <f>_xll.SNL.Clients.Office.Excel.Functions.SPG(K486, "SP_MARKETCAP", "12/31/2022")</f>
        <v>19265.60207678</v>
      </c>
      <c r="R486">
        <f t="shared" si="93"/>
        <v>5.7176839662792371E-4</v>
      </c>
      <c r="S486">
        <f t="shared" si="94"/>
        <v>1.5260498505999284E-3</v>
      </c>
      <c r="U486" t="s">
        <v>486</v>
      </c>
      <c r="V486" s="4" cm="1">
        <f t="array" ref="V486">_xll.SNL.Clients.Office.Excel.Functions.SPG(U486, "SP_TOTAL_REV", "CY2021")</f>
        <v>9455466</v>
      </c>
      <c r="W486" s="4">
        <f>_xll.SNL.Clients.Office.Excel.Functions.SPG(U486,"IQ_AVG_DILUT_SHARES_OUT","CY2021")</f>
        <v>419623500</v>
      </c>
      <c r="X486" s="5">
        <f>_xll.SNL.Clients.Office.Excel.Functions.SPG(U486, "IQ_DILUT_EPS_NORM", "CY2021")</f>
        <v>1.9079999999999999</v>
      </c>
      <c r="Y486">
        <f t="shared" si="95"/>
        <v>800641.63800000004</v>
      </c>
      <c r="Z486">
        <f t="shared" si="96"/>
        <v>8.4675005758573937E-2</v>
      </c>
      <c r="AA486" s="5">
        <f>_xll.SNL.Clients.Office.Excel.Functions.SPG(U486, "SP_MARKETCAP", "12/31/2021")</f>
        <v>14553.405432625899</v>
      </c>
      <c r="AB486">
        <f t="shared" si="90"/>
        <v>3.4298747011904222E-4</v>
      </c>
      <c r="AC486">
        <f t="shared" si="97"/>
        <v>6.5442009298713249E-4</v>
      </c>
    </row>
    <row r="487" spans="1:29" x14ac:dyDescent="0.3">
      <c r="A487" t="s">
        <v>487</v>
      </c>
      <c r="B487" s="4" cm="1">
        <f t="array" ref="B487">_xll.SNL.Clients.Office.Excel.Functions.SPG(A487, "SP_TOTAL_REV", "CY2023")</f>
        <v>16478000</v>
      </c>
      <c r="C487" s="4">
        <f>_xll.SNL.Clients.Office.Excel.Functions.SPG(A487,"IQ_AVG_DILUT_SHARES_OUT","CY2023")</f>
        <v>50100000</v>
      </c>
      <c r="D487" s="5">
        <f>_xll.SNL.Clients.Office.Excel.Functions.SPG(A487, "IQ_DILUT_EPS_NORM", "CY2023")</f>
        <v>30.035</v>
      </c>
      <c r="E487">
        <f t="shared" si="86"/>
        <v>1504753.5</v>
      </c>
      <c r="F487">
        <f t="shared" si="87"/>
        <v>9.1318940405389001E-2</v>
      </c>
      <c r="G487" s="5">
        <f>_xll.SNL.Clients.Office.Excel.Functions.SPG(A487, "SP_MARKETCAP", "12/30/2023")</f>
        <v>41131.323763499997</v>
      </c>
      <c r="H487">
        <f t="shared" si="91"/>
        <v>9.7892554800609152E-4</v>
      </c>
      <c r="I487">
        <f t="shared" si="92"/>
        <v>2.9402028834362957E-2</v>
      </c>
      <c r="K487" t="s">
        <v>487</v>
      </c>
      <c r="L487" s="4" cm="1">
        <f t="array" ref="L487">_xll.SNL.Clients.Office.Excel.Functions.SPG(K487, "SP_TOTAL_REV", "CY2023")</f>
        <v>16478000</v>
      </c>
      <c r="M487" s="4">
        <f>_xll.SNL.Clients.Office.Excel.Functions.SPG(K487,"IQ_AVG_DILUT_SHARES_OUT","CY2023")</f>
        <v>50100000</v>
      </c>
      <c r="N487" s="5">
        <f>_xll.SNL.Clients.Office.Excel.Functions.SPG(K487, "IQ_DILUT_EPS_NORM", "CY2023")</f>
        <v>30.035</v>
      </c>
      <c r="O487">
        <f t="shared" si="88"/>
        <v>1504753.5</v>
      </c>
      <c r="P487">
        <f t="shared" si="89"/>
        <v>9.1318940405389001E-2</v>
      </c>
      <c r="Q487" s="5">
        <f>_xll.SNL.Clients.Office.Excel.Functions.SPG(K487, "SP_MARKETCAP", "12/31/2022")</f>
        <v>28106.902543749999</v>
      </c>
      <c r="R487">
        <f t="shared" si="93"/>
        <v>8.3416228247475827E-4</v>
      </c>
      <c r="S487">
        <f t="shared" si="94"/>
        <v>2.5054064154129363E-2</v>
      </c>
      <c r="U487" t="s">
        <v>487</v>
      </c>
      <c r="V487" s="4" cm="1">
        <f t="array" ref="V487">_xll.SNL.Clients.Office.Excel.Functions.SPG(U487, "SP_TOTAL_REV", "CY2021")</f>
        <v>13022000</v>
      </c>
      <c r="W487" s="4">
        <f>_xll.SNL.Clients.Office.Excel.Functions.SPG(U487,"IQ_AVG_DILUT_SHARES_OUT","CY2021")</f>
        <v>52200000</v>
      </c>
      <c r="X487" s="5">
        <f>_xll.SNL.Clients.Office.Excel.Functions.SPG(U487, "IQ_DILUT_EPS_NORM", "CY2021")</f>
        <v>16.420000000000002</v>
      </c>
      <c r="Y487">
        <f t="shared" si="95"/>
        <v>857124.00000000012</v>
      </c>
      <c r="Z487">
        <f t="shared" si="96"/>
        <v>6.5821225618184626E-2</v>
      </c>
      <c r="AA487" s="5">
        <f>_xll.SNL.Clients.Office.Excel.Functions.SPG(U487, "SP_MARKETCAP", "12/31/2021")</f>
        <v>26699.749157279999</v>
      </c>
      <c r="AB487">
        <f t="shared" si="90"/>
        <v>6.292464989492262E-4</v>
      </c>
      <c r="AC487">
        <f t="shared" si="97"/>
        <v>1.0332227512746294E-2</v>
      </c>
    </row>
    <row r="488" spans="1:29" x14ac:dyDescent="0.3">
      <c r="A488" t="s">
        <v>488</v>
      </c>
      <c r="B488" s="4" cm="1">
        <f t="array" ref="B488">_xll.SNL.Clients.Office.Excel.Functions.SPG(A488, "SP_TOTAL_REV", "CY2023")</f>
        <v>142406000</v>
      </c>
      <c r="C488" s="4">
        <f>_xll.SNL.Clients.Office.Excel.Functions.SPG(A488,"IQ_AVG_DILUT_SHARES_OUT","CY2023")</f>
        <v>863050000</v>
      </c>
      <c r="D488" s="5">
        <f>_xll.SNL.Clients.Office.Excel.Functions.SPG(A488, "IQ_DILUT_EPS_NORM", "CY2023")</f>
        <v>0.95799999999999996</v>
      </c>
      <c r="E488">
        <f t="shared" si="86"/>
        <v>826801.9</v>
      </c>
      <c r="F488">
        <f t="shared" si="87"/>
        <v>5.8059484853166298E-3</v>
      </c>
      <c r="G488" s="5">
        <f>_xll.SNL.Clients.Office.Excel.Functions.SPG(A488, "SP_MARKETCAP", "12/30/2023")</f>
        <v>22556.810023229998</v>
      </c>
      <c r="H488">
        <f t="shared" si="91"/>
        <v>5.368521018245181E-4</v>
      </c>
      <c r="I488">
        <f t="shared" si="92"/>
        <v>5.1430431354788832E-4</v>
      </c>
      <c r="K488" t="s">
        <v>488</v>
      </c>
      <c r="L488" s="4" cm="1">
        <f t="array" ref="L488">_xll.SNL.Clients.Office.Excel.Functions.SPG(K488, "SP_TOTAL_REV", "CY2023")</f>
        <v>142406000</v>
      </c>
      <c r="M488" s="4">
        <f>_xll.SNL.Clients.Office.Excel.Functions.SPG(K488,"IQ_AVG_DILUT_SHARES_OUT","CY2023")</f>
        <v>863050000</v>
      </c>
      <c r="N488" s="5">
        <f>_xll.SNL.Clients.Office.Excel.Functions.SPG(K488, "IQ_DILUT_EPS_NORM", "CY2023")</f>
        <v>0.95799999999999996</v>
      </c>
      <c r="O488">
        <f t="shared" si="88"/>
        <v>826801.9</v>
      </c>
      <c r="P488">
        <f t="shared" si="89"/>
        <v>5.8059484853166298E-3</v>
      </c>
      <c r="Q488" s="5">
        <f>_xll.SNL.Clients.Office.Excel.Functions.SPG(K488, "SP_MARKETCAP", "12/31/2022")</f>
        <v>32216.806832800001</v>
      </c>
      <c r="R488">
        <f t="shared" si="93"/>
        <v>9.5613684502822221E-4</v>
      </c>
      <c r="S488">
        <f t="shared" si="94"/>
        <v>9.1597909753703686E-4</v>
      </c>
      <c r="U488" t="s">
        <v>488</v>
      </c>
      <c r="V488" s="4" cm="1">
        <f t="array" ref="V488">_xll.SNL.Clients.Office.Excel.Functions.SPG(U488, "SP_TOTAL_REV", "CY2021")</f>
        <v>134972000</v>
      </c>
      <c r="W488" s="4">
        <f>_xll.SNL.Clients.Office.Excel.Functions.SPG(U488,"IQ_AVG_DILUT_SHARES_OUT","CY2021")</f>
        <v>866975000</v>
      </c>
      <c r="X488" s="5">
        <f>_xll.SNL.Clients.Office.Excel.Functions.SPG(U488, "IQ_DILUT_EPS_NORM", "CY2021")</f>
        <v>3.286</v>
      </c>
      <c r="Y488">
        <f t="shared" si="95"/>
        <v>2848879.85</v>
      </c>
      <c r="Z488">
        <f t="shared" si="96"/>
        <v>2.1107191491568623E-2</v>
      </c>
      <c r="AA488" s="5">
        <f>_xll.SNL.Clients.Office.Excel.Functions.SPG(U488, "SP_MARKETCAP", "12/31/2021")</f>
        <v>45063.36473216</v>
      </c>
      <c r="AB488">
        <f t="shared" si="90"/>
        <v>1.0620311195265342E-3</v>
      </c>
      <c r="AC488">
        <f t="shared" si="97"/>
        <v>3.4898342587641917E-3</v>
      </c>
    </row>
    <row r="489" spans="1:29" x14ac:dyDescent="0.3">
      <c r="A489" t="s">
        <v>489</v>
      </c>
      <c r="B489" s="4" cm="1">
        <f t="array" ref="B489">_xll.SNL.Clients.Office.Excel.Functions.SPG(A489, "SP_TOTAL_REV", "CY2023")</f>
        <v>648125000</v>
      </c>
      <c r="C489" s="4">
        <f>_xll.SNL.Clients.Office.Excel.Functions.SPG(A489,"IQ_AVG_DILUT_SHARES_OUT","CY2023")</f>
        <v>8108000000</v>
      </c>
      <c r="D489" s="5">
        <f>_xll.SNL.Clients.Office.Excel.Functions.SPG(A489, "IQ_DILUT_EPS_NORM", "CY2023")</f>
        <v>1.837</v>
      </c>
      <c r="E489">
        <f t="shared" si="86"/>
        <v>14894396</v>
      </c>
      <c r="F489">
        <f t="shared" si="87"/>
        <v>2.2980745998071359E-2</v>
      </c>
      <c r="G489" s="5">
        <f>_xll.SNL.Clients.Office.Excel.Functions.SPG(A489, "SP_MARKETCAP", "12/30/2023")</f>
        <v>424430.64327795</v>
      </c>
      <c r="H489">
        <f t="shared" si="91"/>
        <v>1.0101449747896226E-2</v>
      </c>
      <c r="I489">
        <f t="shared" si="92"/>
        <v>1.8556363186885368E-2</v>
      </c>
      <c r="K489" t="s">
        <v>489</v>
      </c>
      <c r="L489" s="4" cm="1">
        <f t="array" ref="L489">_xll.SNL.Clients.Office.Excel.Functions.SPG(K489, "SP_TOTAL_REV", "CY2023")</f>
        <v>648125000</v>
      </c>
      <c r="M489" s="4">
        <f>_xll.SNL.Clients.Office.Excel.Functions.SPG(K489,"IQ_AVG_DILUT_SHARES_OUT","CY2023")</f>
        <v>8108000000</v>
      </c>
      <c r="N489" s="5">
        <f>_xll.SNL.Clients.Office.Excel.Functions.SPG(K489, "IQ_DILUT_EPS_NORM", "CY2023")</f>
        <v>1.837</v>
      </c>
      <c r="O489">
        <f t="shared" si="88"/>
        <v>14894396</v>
      </c>
      <c r="P489">
        <f t="shared" si="89"/>
        <v>2.2980745998071359E-2</v>
      </c>
      <c r="Q489" s="5">
        <f>_xll.SNL.Clients.Office.Excel.Functions.SPG(K489, "SP_MARKETCAP", "12/31/2022")</f>
        <v>382379.27695985994</v>
      </c>
      <c r="R489">
        <f t="shared" si="93"/>
        <v>1.134832875815452E-2</v>
      </c>
      <c r="S489">
        <f t="shared" si="94"/>
        <v>2.0846879928729852E-2</v>
      </c>
      <c r="U489" t="s">
        <v>489</v>
      </c>
      <c r="V489" s="4" cm="1">
        <f t="array" ref="V489">_xll.SNL.Clients.Office.Excel.Functions.SPG(U489, "SP_TOTAL_REV", "CY2021")</f>
        <v>572754000</v>
      </c>
      <c r="W489" s="4">
        <f>_xll.SNL.Clients.Office.Excel.Functions.SPG(U489,"IQ_AVG_DILUT_SHARES_OUT","CY2021")</f>
        <v>8415000000</v>
      </c>
      <c r="X489" s="5">
        <f>_xll.SNL.Clients.Office.Excel.Functions.SPG(U489, "IQ_DILUT_EPS_NORM", "CY2021")</f>
        <v>1.7490000000000001</v>
      </c>
      <c r="Y489">
        <f t="shared" si="95"/>
        <v>14717835</v>
      </c>
      <c r="Z489">
        <f t="shared" si="96"/>
        <v>2.5696607967818644E-2</v>
      </c>
      <c r="AA489" s="5">
        <f>_xll.SNL.Clients.Office.Excel.Functions.SPG(U489, "SP_MARKETCAP", "12/31/2021")</f>
        <v>401352.47408801998</v>
      </c>
      <c r="AB489">
        <f t="shared" si="90"/>
        <v>9.4588768484978828E-3</v>
      </c>
      <c r="AC489">
        <f t="shared" si="97"/>
        <v>1.6543575608022797E-2</v>
      </c>
    </row>
    <row r="490" spans="1:29" x14ac:dyDescent="0.3">
      <c r="A490" t="s">
        <v>490</v>
      </c>
      <c r="B490" s="4" cm="1">
        <f t="array" ref="B490">_xll.SNL.Clients.Office.Excel.Functions.SPG(A490, "SP_TOTAL_REV", "CY2023")</f>
        <v>41321000</v>
      </c>
      <c r="C490" s="4">
        <f>_xll.SNL.Clients.Office.Excel.Functions.SPG(A490,"IQ_AVG_DILUT_SHARES_OUT","CY2023")</f>
        <v>2436000000</v>
      </c>
      <c r="D490" s="5">
        <f>_xll.SNL.Clients.Office.Excel.Functions.SPG(A490, "IQ_DILUT_EPS_NORM", "CY2023")</f>
        <v>-0.74</v>
      </c>
      <c r="E490">
        <f t="shared" si="86"/>
        <v>-1802640</v>
      </c>
      <c r="F490">
        <f t="shared" si="87"/>
        <v>-4.3625275283754025E-2</v>
      </c>
      <c r="G490" s="5">
        <f>_xll.SNL.Clients.Office.Excel.Functions.SPG(A490, "SP_MARKETCAP", "12/30/2023")</f>
        <v>27750.87696044</v>
      </c>
      <c r="H490">
        <f t="shared" si="91"/>
        <v>6.6047090028878517E-4</v>
      </c>
      <c r="I490">
        <f t="shared" si="92"/>
        <v>-4.88748466213701E-4</v>
      </c>
      <c r="K490" t="s">
        <v>490</v>
      </c>
      <c r="L490" s="4" cm="1">
        <f t="array" ref="L490">_xll.SNL.Clients.Office.Excel.Functions.SPG(K490, "SP_TOTAL_REV", "CY2023")</f>
        <v>41321000</v>
      </c>
      <c r="M490" s="4">
        <f>_xll.SNL.Clients.Office.Excel.Functions.SPG(K490,"IQ_AVG_DILUT_SHARES_OUT","CY2023")</f>
        <v>2436000000</v>
      </c>
      <c r="N490" s="5">
        <f>_xll.SNL.Clients.Office.Excel.Functions.SPG(K490, "IQ_DILUT_EPS_NORM", "CY2023")</f>
        <v>-0.74</v>
      </c>
      <c r="O490">
        <f t="shared" si="88"/>
        <v>-1802640</v>
      </c>
      <c r="P490">
        <f t="shared" si="89"/>
        <v>-4.3625275283754025E-2</v>
      </c>
      <c r="Q490" s="5">
        <f>_xll.SNL.Clients.Office.Excel.Functions.SPG(K490, "SP_MARKETCAP", "12/31/2022")</f>
        <v>23021.1942222</v>
      </c>
      <c r="R490">
        <f t="shared" si="93"/>
        <v>6.8322761242701373E-4</v>
      </c>
      <c r="S490">
        <f t="shared" si="94"/>
        <v>-5.055884331959901E-4</v>
      </c>
      <c r="U490" t="s">
        <v>490</v>
      </c>
      <c r="V490" s="4" cm="1">
        <f t="array" ref="V490">_xll.SNL.Clients.Office.Excel.Functions.SPG(U490, "SP_TOTAL_REV", "CY2021")</f>
        <v>12191000</v>
      </c>
      <c r="W490" s="4">
        <f>_xll.SNL.Clients.Office.Excel.Functions.SPG(U490,"IQ_AVG_DILUT_SHARES_OUT","CY2021")</f>
        <v>664000000</v>
      </c>
      <c r="X490" s="5">
        <f>_xll.SNL.Clients.Office.Excel.Functions.SPG(U490, "IQ_DILUT_EPS_NORM", "CY2021")</f>
        <v>1.1279999999999999</v>
      </c>
      <c r="Y490">
        <f t="shared" si="95"/>
        <v>748991.99999999988</v>
      </c>
      <c r="Z490">
        <f t="shared" si="96"/>
        <v>6.1438110081207441E-2</v>
      </c>
      <c r="AA490" s="5">
        <f>_xll.SNL.Clients.Office.Excel.Functions.SPG(U490, "SP_MARKETCAP", "12/31/2021")</f>
        <v>15331.902537059999</v>
      </c>
      <c r="AB490">
        <f t="shared" si="90"/>
        <v>3.6133470531296162E-4</v>
      </c>
      <c r="AC490">
        <f t="shared" si="97"/>
        <v>4.0758554759302065E-4</v>
      </c>
    </row>
    <row r="491" spans="1:29" x14ac:dyDescent="0.3">
      <c r="A491" t="s">
        <v>491</v>
      </c>
      <c r="B491" s="4" cm="1">
        <f t="array" ref="B491">_xll.SNL.Clients.Office.Excel.Functions.SPG(A491, "SP_TOTAL_REV", "CY2023")</f>
        <v>20426000</v>
      </c>
      <c r="C491" s="4">
        <f>_xll.SNL.Clients.Office.Excel.Functions.SPG(A491,"IQ_AVG_DILUT_SHARES_OUT","CY2023")</f>
        <v>406900000</v>
      </c>
      <c r="D491" s="5">
        <f>_xll.SNL.Clients.Office.Excel.Functions.SPG(A491, "IQ_DILUT_EPS_NORM", "CY2023")</f>
        <v>5.09</v>
      </c>
      <c r="E491">
        <f t="shared" si="86"/>
        <v>2071121</v>
      </c>
      <c r="F491">
        <f t="shared" si="87"/>
        <v>0.10139630862626065</v>
      </c>
      <c r="G491" s="5">
        <f>_xll.SNL.Clients.Office.Excel.Functions.SPG(A491, "SP_MARKETCAP", "12/30/2023")</f>
        <v>72137.078975700002</v>
      </c>
      <c r="H491">
        <f t="shared" si="91"/>
        <v>1.7168625540447914E-3</v>
      </c>
      <c r="I491">
        <f t="shared" si="92"/>
        <v>8.7388304000879883E-3</v>
      </c>
      <c r="K491" t="s">
        <v>491</v>
      </c>
      <c r="L491" s="4" cm="1">
        <f t="array" ref="L491">_xll.SNL.Clients.Office.Excel.Functions.SPG(K491, "SP_TOTAL_REV", "CY2023")</f>
        <v>20426000</v>
      </c>
      <c r="M491" s="4">
        <f>_xll.SNL.Clients.Office.Excel.Functions.SPG(K491,"IQ_AVG_DILUT_SHARES_OUT","CY2023")</f>
        <v>406900000</v>
      </c>
      <c r="N491" s="5">
        <f>_xll.SNL.Clients.Office.Excel.Functions.SPG(K491, "IQ_DILUT_EPS_NORM", "CY2023")</f>
        <v>5.09</v>
      </c>
      <c r="O491">
        <f t="shared" si="88"/>
        <v>2071121</v>
      </c>
      <c r="P491">
        <f t="shared" si="89"/>
        <v>0.10139630862626065</v>
      </c>
      <c r="Q491" s="5">
        <f>_xll.SNL.Clients.Office.Excel.Functions.SPG(K491, "SP_MARKETCAP", "12/31/2022")</f>
        <v>64395.646820479997</v>
      </c>
      <c r="R491">
        <f t="shared" si="93"/>
        <v>1.9111469024236068E-3</v>
      </c>
      <c r="S491">
        <f t="shared" si="94"/>
        <v>9.7277377333361593E-3</v>
      </c>
      <c r="U491" t="s">
        <v>491</v>
      </c>
      <c r="V491" s="4" cm="1">
        <f t="array" ref="V491">_xll.SNL.Clients.Office.Excel.Functions.SPG(U491, "SP_TOTAL_REV", "CY2021")</f>
        <v>17931000</v>
      </c>
      <c r="W491" s="4">
        <f>_xll.SNL.Clients.Office.Excel.Functions.SPG(U491,"IQ_AVG_DILUT_SHARES_OUT","CY2021")</f>
        <v>422900000</v>
      </c>
      <c r="X491" s="5">
        <f>_xll.SNL.Clients.Office.Excel.Functions.SPG(U491, "IQ_DILUT_EPS_NORM", "CY2021")</f>
        <v>3.7829999999999999</v>
      </c>
      <c r="Y491">
        <f t="shared" si="95"/>
        <v>1599830.7</v>
      </c>
      <c r="Z491">
        <f t="shared" si="96"/>
        <v>8.9221499079805922E-2</v>
      </c>
      <c r="AA491" s="5">
        <f>_xll.SNL.Clients.Office.Excel.Functions.SPG(U491, "SP_MARKETCAP", "12/31/2021")</f>
        <v>69816.999983300004</v>
      </c>
      <c r="AB491">
        <f t="shared" si="90"/>
        <v>1.6454125672806597E-3</v>
      </c>
      <c r="AC491">
        <f t="shared" si="97"/>
        <v>6.2245957420227352E-3</v>
      </c>
    </row>
    <row r="492" spans="1:29" x14ac:dyDescent="0.3">
      <c r="A492" t="s">
        <v>492</v>
      </c>
      <c r="B492" s="4" cm="1">
        <f t="array" ref="B492">_xll.SNL.Clients.Office.Excel.Functions.SPG(A492, "SP_TOTAL_REV", "CY2023")</f>
        <v>2956416</v>
      </c>
      <c r="C492" s="4">
        <f>_xll.SNL.Clients.Office.Excel.Functions.SPG(A492,"IQ_AVG_DILUT_SHARES_OUT","CY2023")</f>
        <v>59270000</v>
      </c>
      <c r="D492" s="5">
        <f>_xll.SNL.Clients.Office.Excel.Functions.SPG(A492, "IQ_DILUT_EPS_NORM", "CY2023")</f>
        <v>8.1750000000000007</v>
      </c>
      <c r="E492">
        <f t="shared" si="86"/>
        <v>484532.25000000006</v>
      </c>
      <c r="F492">
        <f t="shared" si="87"/>
        <v>0.16389176962917265</v>
      </c>
      <c r="G492" s="5">
        <f>_xll.SNL.Clients.Office.Excel.Functions.SPG(A492, "SP_MARKETCAP", "12/30/2023")</f>
        <v>19466.37463771</v>
      </c>
      <c r="H492">
        <f t="shared" si="91"/>
        <v>4.6329973646076967E-4</v>
      </c>
      <c r="I492">
        <f t="shared" si="92"/>
        <v>3.7874753455667924E-3</v>
      </c>
      <c r="K492" t="s">
        <v>492</v>
      </c>
      <c r="L492" s="4" cm="1">
        <f t="array" ref="L492">_xll.SNL.Clients.Office.Excel.Functions.SPG(K492, "SP_TOTAL_REV", "CY2023")</f>
        <v>2956416</v>
      </c>
      <c r="M492" s="4">
        <f>_xll.SNL.Clients.Office.Excel.Functions.SPG(K492,"IQ_AVG_DILUT_SHARES_OUT","CY2023")</f>
        <v>59270000</v>
      </c>
      <c r="N492" s="5">
        <f>_xll.SNL.Clients.Office.Excel.Functions.SPG(K492, "IQ_DILUT_EPS_NORM", "CY2023")</f>
        <v>8.1750000000000007</v>
      </c>
      <c r="O492">
        <f t="shared" si="88"/>
        <v>484532.25000000006</v>
      </c>
      <c r="P492">
        <f t="shared" si="89"/>
        <v>0.16389176962917265</v>
      </c>
      <c r="Q492" s="5">
        <f>_xll.SNL.Clients.Office.Excel.Functions.SPG(K492, "SP_MARKETCAP", "12/31/2022")</f>
        <v>20351.847043500002</v>
      </c>
      <c r="R492">
        <f t="shared" si="93"/>
        <v>6.0400619228525275E-4</v>
      </c>
      <c r="S492">
        <f t="shared" si="94"/>
        <v>4.937750621931942E-3</v>
      </c>
      <c r="U492" t="s">
        <v>492</v>
      </c>
      <c r="V492" s="4" cm="1">
        <f t="array" ref="V492">_xll.SNL.Clients.Office.Excel.Functions.SPG(U492, "SP_TOTAL_REV", "CY2021")</f>
        <v>2785874</v>
      </c>
      <c r="W492" s="4">
        <f>_xll.SNL.Clients.Office.Excel.Functions.SPG(U492,"IQ_AVG_DILUT_SHARES_OUT","CY2021")</f>
        <v>62028000</v>
      </c>
      <c r="X492" s="5">
        <f>_xll.SNL.Clients.Office.Excel.Functions.SPG(U492, "IQ_DILUT_EPS_NORM", "CY2021")</f>
        <v>7.9740000000000002</v>
      </c>
      <c r="Y492">
        <f t="shared" si="95"/>
        <v>494611.272</v>
      </c>
      <c r="Z492">
        <f t="shared" si="96"/>
        <v>0.17754258519947419</v>
      </c>
      <c r="AA492" s="5">
        <f>_xll.SNL.Clients.Office.Excel.Functions.SPG(U492, "SP_MARKETCAP", "12/31/2021")</f>
        <v>22742.113829400001</v>
      </c>
      <c r="AB492">
        <f t="shared" si="90"/>
        <v>5.3597490454148462E-4</v>
      </c>
      <c r="AC492">
        <f t="shared" si="97"/>
        <v>4.2738638888137987E-3</v>
      </c>
    </row>
    <row r="493" spans="1:29" x14ac:dyDescent="0.3">
      <c r="A493" t="s">
        <v>493</v>
      </c>
      <c r="B493" s="4" cm="1">
        <f t="array" ref="B493">_xll.SNL.Clients.Office.Excel.Functions.SPG(A493, "SP_TOTAL_REV", "CY2023")</f>
        <v>8893000</v>
      </c>
      <c r="C493" s="4">
        <f>_xll.SNL.Clients.Office.Excel.Functions.SPG(A493,"IQ_AVG_DILUT_SHARES_OUT","CY2023")</f>
        <v>315900000</v>
      </c>
      <c r="D493" s="5">
        <f>_xll.SNL.Clients.Office.Excel.Functions.SPG(A493, "IQ_DILUT_EPS_NORM", "CY2023")</f>
        <v>3.395</v>
      </c>
      <c r="E493">
        <f t="shared" si="86"/>
        <v>1072480.5</v>
      </c>
      <c r="F493">
        <f t="shared" si="87"/>
        <v>0.1205982795457101</v>
      </c>
      <c r="G493" s="5">
        <f>_xll.SNL.Clients.Office.Excel.Functions.SPG(A493, "SP_MARKETCAP", "12/30/2023")</f>
        <v>26550.12447427</v>
      </c>
      <c r="H493">
        <f t="shared" si="91"/>
        <v>6.3189298987913428E-4</v>
      </c>
      <c r="I493">
        <f t="shared" si="92"/>
        <v>2.1452767006396611E-3</v>
      </c>
      <c r="K493" t="s">
        <v>493</v>
      </c>
      <c r="L493" s="4" cm="1">
        <f t="array" ref="L493">_xll.SNL.Clients.Office.Excel.Functions.SPG(K493, "SP_TOTAL_REV", "CY2023")</f>
        <v>8893000</v>
      </c>
      <c r="M493" s="4">
        <f>_xll.SNL.Clients.Office.Excel.Functions.SPG(K493,"IQ_AVG_DILUT_SHARES_OUT","CY2023")</f>
        <v>315900000</v>
      </c>
      <c r="N493" s="5">
        <f>_xll.SNL.Clients.Office.Excel.Functions.SPG(K493, "IQ_DILUT_EPS_NORM", "CY2023")</f>
        <v>3.395</v>
      </c>
      <c r="O493">
        <f t="shared" si="88"/>
        <v>1072480.5</v>
      </c>
      <c r="P493">
        <f t="shared" si="89"/>
        <v>0.1205982795457101</v>
      </c>
      <c r="Q493" s="5">
        <f>_xll.SNL.Clients.Office.Excel.Functions.SPG(K493, "SP_MARKETCAP", "12/31/2022")</f>
        <v>29575.141626559998</v>
      </c>
      <c r="R493">
        <f t="shared" si="93"/>
        <v>8.7773697600881245E-4</v>
      </c>
      <c r="S493">
        <f t="shared" si="94"/>
        <v>2.9799170335499184E-3</v>
      </c>
      <c r="U493" t="s">
        <v>493</v>
      </c>
      <c r="V493" s="4" cm="1">
        <f t="array" ref="V493">_xll.SNL.Clients.Office.Excel.Functions.SPG(U493, "SP_TOTAL_REV", "CY2021")</f>
        <v>8316000</v>
      </c>
      <c r="W493" s="4">
        <f>_xll.SNL.Clients.Office.Excel.Functions.SPG(U493,"IQ_AVG_DILUT_SHARES_OUT","CY2021")</f>
        <v>316300000</v>
      </c>
      <c r="X493" s="5">
        <f>_xll.SNL.Clients.Office.Excel.Functions.SPG(U493, "IQ_DILUT_EPS_NORM", "CY2021")</f>
        <v>3.04</v>
      </c>
      <c r="Y493">
        <f t="shared" si="95"/>
        <v>961552</v>
      </c>
      <c r="Z493">
        <f t="shared" si="96"/>
        <v>0.11562674362674363</v>
      </c>
      <c r="AA493" s="5">
        <f>_xll.SNL.Clients.Office.Excel.Functions.SPG(U493, "SP_MARKETCAP", "12/31/2021")</f>
        <v>30619.229924169998</v>
      </c>
      <c r="AB493">
        <f t="shared" si="90"/>
        <v>7.2161888551121344E-4</v>
      </c>
      <c r="AC493">
        <f t="shared" si="97"/>
        <v>2.1937214119540889E-3</v>
      </c>
    </row>
    <row r="494" spans="1:29" x14ac:dyDescent="0.3">
      <c r="A494" t="s">
        <v>494</v>
      </c>
      <c r="B494" s="4" cm="1">
        <f t="array" ref="B494">_xll.SNL.Clients.Office.Excel.Functions.SPG(A494, "SP_TOTAL_REV", "CY2023")</f>
        <v>82597000</v>
      </c>
      <c r="C494" s="4">
        <f>_xll.SNL.Clients.Office.Excel.Functions.SPG(A494,"IQ_AVG_DILUT_SHARES_OUT","CY2023")</f>
        <v>3720400000</v>
      </c>
      <c r="D494" s="5">
        <f>_xll.SNL.Clients.Office.Excel.Functions.SPG(A494, "IQ_DILUT_EPS_NORM", "CY2023")</f>
        <v>4.0140000000000002</v>
      </c>
      <c r="E494">
        <f t="shared" si="86"/>
        <v>14933685.6</v>
      </c>
      <c r="F494">
        <f t="shared" si="87"/>
        <v>0.18080179183263315</v>
      </c>
      <c r="G494" s="5">
        <f>_xll.SNL.Clients.Office.Excel.Functions.SPG(A494, "SP_MARKETCAP", "12/30/2023")</f>
        <v>178749.30672307999</v>
      </c>
      <c r="H494">
        <f t="shared" si="91"/>
        <v>4.254233684423246E-3</v>
      </c>
      <c r="I494">
        <f t="shared" si="92"/>
        <v>1.7076494009274912E-2</v>
      </c>
      <c r="K494" t="s">
        <v>494</v>
      </c>
      <c r="L494" s="4" cm="1">
        <f t="array" ref="L494">_xll.SNL.Clients.Office.Excel.Functions.SPG(K494, "SP_TOTAL_REV", "CY2023")</f>
        <v>82597000</v>
      </c>
      <c r="M494" s="4">
        <f>_xll.SNL.Clients.Office.Excel.Functions.SPG(K494,"IQ_AVG_DILUT_SHARES_OUT","CY2023")</f>
        <v>3720400000</v>
      </c>
      <c r="N494" s="5">
        <f>_xll.SNL.Clients.Office.Excel.Functions.SPG(K494, "IQ_DILUT_EPS_NORM", "CY2023")</f>
        <v>4.0140000000000002</v>
      </c>
      <c r="O494">
        <f t="shared" si="88"/>
        <v>14933685.6</v>
      </c>
      <c r="P494">
        <f t="shared" si="89"/>
        <v>0.18080179183263315</v>
      </c>
      <c r="Q494" s="5">
        <f>_xll.SNL.Clients.Office.Excel.Functions.SPG(K494, "SP_MARKETCAP", "12/31/2022")</f>
        <v>157335.16917842001</v>
      </c>
      <c r="R494">
        <f t="shared" si="93"/>
        <v>4.669424659338956E-3</v>
      </c>
      <c r="S494">
        <f t="shared" si="94"/>
        <v>1.874307058258657E-2</v>
      </c>
      <c r="U494" t="s">
        <v>494</v>
      </c>
      <c r="V494" s="4" cm="1">
        <f t="array" ref="V494">_xll.SNL.Clients.Office.Excel.Functions.SPG(U494, "SP_TOTAL_REV", "CY2021")</f>
        <v>77868000</v>
      </c>
      <c r="W494" s="4">
        <f>_xll.SNL.Clients.Office.Excel.Functions.SPG(U494,"IQ_AVG_DILUT_SHARES_OUT","CY2021")</f>
        <v>4096200000</v>
      </c>
      <c r="X494" s="5">
        <f>_xll.SNL.Clients.Office.Excel.Functions.SPG(U494, "IQ_DILUT_EPS_NORM", "CY2021")</f>
        <v>4.1619999999999999</v>
      </c>
      <c r="Y494">
        <f t="shared" si="95"/>
        <v>17048384.399999999</v>
      </c>
      <c r="Z494">
        <f t="shared" si="96"/>
        <v>0.21893954384342731</v>
      </c>
      <c r="AA494" s="5">
        <f>_xll.SNL.Clients.Office.Excel.Functions.SPG(U494, "SP_MARKETCAP", "12/31/2021")</f>
        <v>191307.41856466001</v>
      </c>
      <c r="AB494">
        <f t="shared" si="90"/>
        <v>4.5086387383532264E-3</v>
      </c>
      <c r="AC494">
        <f t="shared" si="97"/>
        <v>1.8764954429026127E-2</v>
      </c>
    </row>
    <row r="495" spans="1:29" x14ac:dyDescent="0.3">
      <c r="A495" t="s">
        <v>495</v>
      </c>
      <c r="B495" s="4" cm="1">
        <f t="array" ref="B495">_xll.SNL.Clients.Office.Excel.Functions.SPG(A495, "SP_TOTAL_REV", "CY2023")</f>
        <v>6554361</v>
      </c>
      <c r="C495" s="4">
        <f>_xll.SNL.Clients.Office.Excel.Functions.SPG(A495,"IQ_AVG_DILUT_SHARES_OUT","CY2023")</f>
        <v>518701000</v>
      </c>
      <c r="D495" s="5">
        <f>_xll.SNL.Clients.Office.Excel.Functions.SPG(A495, "IQ_DILUT_EPS_NORM", "CY2023")</f>
        <v>0.39200000000000002</v>
      </c>
      <c r="E495">
        <f t="shared" si="86"/>
        <v>203330.79199999999</v>
      </c>
      <c r="F495">
        <f t="shared" si="87"/>
        <v>3.1022214369943919E-2</v>
      </c>
      <c r="G495" s="5">
        <f>_xll.SNL.Clients.Office.Excel.Functions.SPG(A495, "SP_MARKETCAP", "12/30/2023")</f>
        <v>49906.310640570002</v>
      </c>
      <c r="H495">
        <f t="shared" si="91"/>
        <v>1.1877702447334272E-3</v>
      </c>
      <c r="I495">
        <f t="shared" si="92"/>
        <v>4.6560593593550348E-4</v>
      </c>
      <c r="K495" t="s">
        <v>495</v>
      </c>
      <c r="L495" s="4" cm="1">
        <f t="array" ref="L495">_xll.SNL.Clients.Office.Excel.Functions.SPG(K495, "SP_TOTAL_REV", "CY2023")</f>
        <v>6554361</v>
      </c>
      <c r="M495" s="4">
        <f>_xll.SNL.Clients.Office.Excel.Functions.SPG(K495,"IQ_AVG_DILUT_SHARES_OUT","CY2023")</f>
        <v>518701000</v>
      </c>
      <c r="N495" s="5">
        <f>_xll.SNL.Clients.Office.Excel.Functions.SPG(K495, "IQ_DILUT_EPS_NORM", "CY2023")</f>
        <v>0.39200000000000002</v>
      </c>
      <c r="O495">
        <f t="shared" si="88"/>
        <v>203330.79199999999</v>
      </c>
      <c r="P495">
        <f t="shared" si="89"/>
        <v>3.1022214369943919E-2</v>
      </c>
      <c r="Q495" s="5">
        <f>_xll.SNL.Clients.Office.Excel.Functions.SPG(K495, "SP_MARKETCAP", "12/31/2022")</f>
        <v>30973.780785300001</v>
      </c>
      <c r="R495">
        <f t="shared" si="93"/>
        <v>9.1924606905800614E-4</v>
      </c>
      <c r="S495">
        <f t="shared" si="94"/>
        <v>3.6034445907073842E-4</v>
      </c>
      <c r="U495" t="s">
        <v>495</v>
      </c>
      <c r="V495" s="4" cm="1">
        <f t="array" ref="V495">_xll.SNL.Clients.Office.Excel.Functions.SPG(U495, "SP_TOTAL_REV", "CY2021")</f>
        <v>4719182</v>
      </c>
      <c r="W495" s="4">
        <f>_xll.SNL.Clients.Office.Excel.Functions.SPG(U495,"IQ_AVG_DILUT_SHARES_OUT","CY2021")</f>
        <v>426841000</v>
      </c>
      <c r="X495" s="5">
        <f>_xll.SNL.Clients.Office.Excel.Functions.SPG(U495, "IQ_DILUT_EPS_NORM", "CY2021")</f>
        <v>0.41099999999999998</v>
      </c>
      <c r="Y495">
        <f t="shared" si="95"/>
        <v>175431.65100000001</v>
      </c>
      <c r="Z495">
        <f t="shared" si="96"/>
        <v>3.7174165141331698E-2</v>
      </c>
      <c r="AA495" s="5">
        <f>_xll.SNL.Clients.Office.Excel.Functions.SPG(U495, "SP_MARKETCAP", "12/31/2021")</f>
        <v>37333.496266560003</v>
      </c>
      <c r="AB495">
        <f t="shared" si="90"/>
        <v>8.7985739794343835E-4</v>
      </c>
      <c r="AC495">
        <f t="shared" si="97"/>
        <v>3.6162139055475316E-4</v>
      </c>
    </row>
    <row r="496" spans="1:29" x14ac:dyDescent="0.3">
      <c r="A496" t="s">
        <v>496</v>
      </c>
      <c r="B496" s="4" cm="1">
        <f t="array" ref="B496">_xll.SNL.Clients.Office.Excel.Functions.SPG(A496, "SP_TOTAL_REV", "CY2023")</f>
        <v>2949800</v>
      </c>
      <c r="C496" s="4">
        <f>_xll.SNL.Clients.Office.Excel.Functions.SPG(A496,"IQ_AVG_DILUT_SHARES_OUT","CY2023")</f>
        <v>75300000</v>
      </c>
      <c r="D496" s="5">
        <f>_xll.SNL.Clients.Office.Excel.Functions.SPG(A496, "IQ_DILUT_EPS_NORM", "CY2023")</f>
        <v>6.1239999999999997</v>
      </c>
      <c r="E496">
        <f t="shared" ref="E496:E508" si="98">C496*D496/1000</f>
        <v>461137.2</v>
      </c>
      <c r="F496">
        <f t="shared" ref="F496:F508" si="99">E496/B496</f>
        <v>0.15632829344362331</v>
      </c>
      <c r="G496" s="5">
        <f>_xll.SNL.Clients.Office.Excel.Functions.SPG(A496, "SP_MARKETCAP", "12/30/2023")</f>
        <v>26053.242600400001</v>
      </c>
      <c r="H496">
        <f t="shared" si="91"/>
        <v>6.2006720076840003E-4</v>
      </c>
      <c r="I496">
        <f t="shared" ref="I496:I508" si="100">D496*H496</f>
        <v>3.7972915375056814E-3</v>
      </c>
      <c r="K496" t="s">
        <v>496</v>
      </c>
      <c r="L496" s="4" cm="1">
        <f t="array" ref="L496">_xll.SNL.Clients.Office.Excel.Functions.SPG(K496, "SP_TOTAL_REV", "CY2023")</f>
        <v>2949800</v>
      </c>
      <c r="M496" s="4">
        <f>_xll.SNL.Clients.Office.Excel.Functions.SPG(K496,"IQ_AVG_DILUT_SHARES_OUT","CY2023")</f>
        <v>75300000</v>
      </c>
      <c r="N496" s="5">
        <f>_xll.SNL.Clients.Office.Excel.Functions.SPG(K496, "IQ_DILUT_EPS_NORM", "CY2023")</f>
        <v>6.1239999999999997</v>
      </c>
      <c r="O496">
        <f t="shared" ref="O496:O508" si="101">M496*N496/1000</f>
        <v>461137.2</v>
      </c>
      <c r="P496">
        <f t="shared" ref="P496:P508" si="102">O496/L496</f>
        <v>0.15632829344362331</v>
      </c>
      <c r="Q496" s="5">
        <f>_xll.SNL.Clients.Office.Excel.Functions.SPG(K496, "SP_MARKETCAP", "12/31/2022")</f>
        <v>17423.663490449999</v>
      </c>
      <c r="R496">
        <f t="shared" si="93"/>
        <v>5.171029743901033E-4</v>
      </c>
      <c r="S496">
        <f t="shared" si="94"/>
        <v>3.1667386151649924E-3</v>
      </c>
      <c r="U496" t="s">
        <v>496</v>
      </c>
      <c r="V496" s="4" cm="1">
        <f t="array" ref="V496">_xll.SNL.Clients.Office.Excel.Functions.SPG(U496, "SP_TOTAL_REV", "CY2021")</f>
        <v>2831600</v>
      </c>
      <c r="W496" s="4">
        <f>_xll.SNL.Clients.Office.Excel.Functions.SPG(U496,"IQ_AVG_DILUT_SHARES_OUT","CY2021")</f>
        <v>76300000</v>
      </c>
      <c r="X496" s="5">
        <f>_xll.SNL.Clients.Office.Excel.Functions.SPG(U496, "IQ_DILUT_EPS_NORM", "CY2021")</f>
        <v>6.4480000000000004</v>
      </c>
      <c r="Y496">
        <f t="shared" si="95"/>
        <v>491982.40000000008</v>
      </c>
      <c r="Z496">
        <f t="shared" si="96"/>
        <v>0.17374713942647269</v>
      </c>
      <c r="AA496" s="5">
        <f>_xll.SNL.Clients.Office.Excel.Functions.SPG(U496, "SP_MARKETCAP", "12/31/2021")</f>
        <v>34744.127132150003</v>
      </c>
      <c r="AB496">
        <f t="shared" si="90"/>
        <v>8.1883242528483125E-4</v>
      </c>
      <c r="AC496">
        <f t="shared" si="97"/>
        <v>5.2798314782365923E-3</v>
      </c>
    </row>
    <row r="497" spans="1:29" x14ac:dyDescent="0.3">
      <c r="A497" t="s">
        <v>497</v>
      </c>
      <c r="B497" s="4" cm="1">
        <f t="array" ref="B497">_xll.SNL.Clients.Office.Excel.Functions.SPG(A497, "SP_TOTAL_REV", "CY2023")</f>
        <v>11257000</v>
      </c>
      <c r="C497" s="4">
        <f>_xll.SNL.Clients.Office.Excel.Functions.SPG(A497,"IQ_AVG_DILUT_SHARES_OUT","CY2023")</f>
        <v>321000000</v>
      </c>
      <c r="D497" s="5">
        <f>_xll.SNL.Clients.Office.Excel.Functions.SPG(A497, "IQ_DILUT_EPS_NORM", "CY2023")</f>
        <v>-3.97</v>
      </c>
      <c r="E497">
        <f t="shared" si="98"/>
        <v>-1274370</v>
      </c>
      <c r="F497">
        <f t="shared" si="99"/>
        <v>-0.11320689348849605</v>
      </c>
      <c r="G497" s="5">
        <f>_xll.SNL.Clients.Office.Excel.Functions.SPG(A497, "SP_MARKETCAP", "12/30/2023")</f>
        <v>16980.614498679999</v>
      </c>
      <c r="H497">
        <f t="shared" si="91"/>
        <v>4.0413864258732082E-4</v>
      </c>
      <c r="I497">
        <f t="shared" si="100"/>
        <v>-1.6044304110716637E-3</v>
      </c>
      <c r="K497" t="s">
        <v>497</v>
      </c>
      <c r="L497" s="4" cm="1">
        <f t="array" ref="L497">_xll.SNL.Clients.Office.Excel.Functions.SPG(K497, "SP_TOTAL_REV", "CY2023")</f>
        <v>11257000</v>
      </c>
      <c r="M497" s="4">
        <f>_xll.SNL.Clients.Office.Excel.Functions.SPG(K497,"IQ_AVG_DILUT_SHARES_OUT","CY2023")</f>
        <v>321000000</v>
      </c>
      <c r="N497" s="5">
        <f>_xll.SNL.Clients.Office.Excel.Functions.SPG(K497, "IQ_DILUT_EPS_NORM", "CY2023")</f>
        <v>-3.97</v>
      </c>
      <c r="O497">
        <f t="shared" si="101"/>
        <v>-1274370</v>
      </c>
      <c r="P497">
        <f t="shared" si="102"/>
        <v>-0.11320689348849605</v>
      </c>
      <c r="Q497" s="5">
        <f>_xll.SNL.Clients.Office.Excel.Functions.SPG(K497, "SP_MARKETCAP", "12/31/2022")</f>
        <v>10021.86680725</v>
      </c>
      <c r="R497">
        <f t="shared" si="93"/>
        <v>2.9743097011778775E-4</v>
      </c>
      <c r="S497">
        <f t="shared" si="94"/>
        <v>-1.1808009513676174E-3</v>
      </c>
      <c r="U497" t="s">
        <v>497</v>
      </c>
      <c r="V497" s="4" cm="1">
        <f t="array" ref="V497">_xll.SNL.Clients.Office.Excel.Functions.SPG(U497, "SP_TOTAL_REV", "CY2021")</f>
        <v>18941000</v>
      </c>
      <c r="W497" s="4">
        <f>_xll.SNL.Clients.Office.Excel.Functions.SPG(U497,"IQ_AVG_DILUT_SHARES_OUT","CY2021")</f>
        <v>314000000</v>
      </c>
      <c r="X497" s="5">
        <f>_xll.SNL.Clients.Office.Excel.Functions.SPG(U497, "IQ_DILUT_EPS_NORM", "CY2021")</f>
        <v>4.1440000000000001</v>
      </c>
      <c r="Y497">
        <f t="shared" si="95"/>
        <v>1301216</v>
      </c>
      <c r="Z497">
        <f t="shared" si="96"/>
        <v>6.8698379177445756E-2</v>
      </c>
      <c r="AA497" s="5">
        <f>_xll.SNL.Clients.Office.Excel.Functions.SPG(U497, "SP_MARKETCAP", "12/31/2021")</f>
        <v>20320.930678410001</v>
      </c>
      <c r="AB497">
        <f t="shared" si="90"/>
        <v>4.7891365605930896E-4</v>
      </c>
      <c r="AC497">
        <f t="shared" si="97"/>
        <v>1.9846181907097766E-3</v>
      </c>
    </row>
    <row r="498" spans="1:29" x14ac:dyDescent="0.3">
      <c r="A498" t="s">
        <v>498</v>
      </c>
      <c r="B498" s="4" cm="1">
        <f t="array" ref="B498">_xll.SNL.Clients.Office.Excel.Functions.SPG(A498, "SP_TOTAL_REV", "CY2023")</f>
        <v>9677000</v>
      </c>
      <c r="C498" s="4">
        <f>_xll.SNL.Clients.Office.Excel.Functions.SPG(A498,"IQ_AVG_DILUT_SHARES_OUT","CY2023")</f>
        <v>179500000</v>
      </c>
      <c r="D498" s="5">
        <f>_xll.SNL.Clients.Office.Excel.Functions.SPG(A498, "IQ_DILUT_EPS_NORM", "CY2023")</f>
        <v>3.827</v>
      </c>
      <c r="E498">
        <f t="shared" si="98"/>
        <v>686946.5</v>
      </c>
      <c r="F498">
        <f t="shared" si="99"/>
        <v>7.0987547793737726E-2</v>
      </c>
      <c r="G498" s="5">
        <f>_xll.SNL.Clients.Office.Excel.Functions.SPG(A498, "SP_MARKETCAP", "12/30/2023")</f>
        <v>22735.297404000001</v>
      </c>
      <c r="H498">
        <f t="shared" si="91"/>
        <v>5.4110010167098791E-4</v>
      </c>
      <c r="I498">
        <f t="shared" si="100"/>
        <v>2.0707900890948707E-3</v>
      </c>
      <c r="K498" t="s">
        <v>498</v>
      </c>
      <c r="L498" s="4" cm="1">
        <f t="array" ref="L498">_xll.SNL.Clients.Office.Excel.Functions.SPG(K498, "SP_TOTAL_REV", "CY2023")</f>
        <v>9677000</v>
      </c>
      <c r="M498" s="4">
        <f>_xll.SNL.Clients.Office.Excel.Functions.SPG(K498,"IQ_AVG_DILUT_SHARES_OUT","CY2023")</f>
        <v>179500000</v>
      </c>
      <c r="N498" s="5">
        <f>_xll.SNL.Clients.Office.Excel.Functions.SPG(K498, "IQ_DILUT_EPS_NORM", "CY2023")</f>
        <v>3.827</v>
      </c>
      <c r="O498">
        <f t="shared" si="101"/>
        <v>686946.5</v>
      </c>
      <c r="P498">
        <f t="shared" si="102"/>
        <v>7.0987547793737726E-2</v>
      </c>
      <c r="Q498" s="5">
        <f>_xll.SNL.Clients.Office.Excel.Functions.SPG(K498, "SP_MARKETCAP", "12/31/2022")</f>
        <v>18152.231505840002</v>
      </c>
      <c r="R498">
        <f t="shared" si="93"/>
        <v>5.3872556185629032E-4</v>
      </c>
      <c r="S498">
        <f t="shared" si="94"/>
        <v>2.0617027252240231E-3</v>
      </c>
      <c r="U498" t="s">
        <v>498</v>
      </c>
      <c r="V498" s="4" cm="1">
        <f t="array" ref="V498">_xll.SNL.Clients.Office.Excel.Functions.SPG(U498, "SP_TOTAL_REV", "CY2021")</f>
        <v>7822000</v>
      </c>
      <c r="W498" s="4">
        <f>_xll.SNL.Clients.Office.Excel.Functions.SPG(U498,"IQ_AVG_DILUT_SHARES_OUT","CY2021")</f>
        <v>188100000</v>
      </c>
      <c r="X498" s="5">
        <f>_xll.SNL.Clients.Office.Excel.Functions.SPG(U498, "IQ_DILUT_EPS_NORM", "CY2021")</f>
        <v>2.4119999999999999</v>
      </c>
      <c r="Y498">
        <f t="shared" si="95"/>
        <v>453697.2</v>
      </c>
      <c r="Z498">
        <f t="shared" si="96"/>
        <v>5.8002710304270011E-2</v>
      </c>
      <c r="AA498" s="5">
        <f>_xll.SNL.Clients.Office.Excel.Functions.SPG(U498, "SP_MARKETCAP", "12/31/2021")</f>
        <v>17208.083507430001</v>
      </c>
      <c r="AB498">
        <f t="shared" si="90"/>
        <v>4.0555161162343108E-4</v>
      </c>
      <c r="AC498">
        <f t="shared" si="97"/>
        <v>9.7819048723571584E-4</v>
      </c>
    </row>
    <row r="499" spans="1:29" x14ac:dyDescent="0.3">
      <c r="A499" t="s">
        <v>499</v>
      </c>
      <c r="B499" s="4" cm="1">
        <f t="array" ref="B499">_xll.SNL.Clients.Office.Excel.Functions.SPG(A499, "SP_TOTAL_REV", "CY2023")</f>
        <v>7721000</v>
      </c>
      <c r="C499" s="4">
        <f>_xll.SNL.Clients.Office.Excel.Functions.SPG(A499,"IQ_AVG_DILUT_SHARES_OUT","CY2023")</f>
        <v>732222000</v>
      </c>
      <c r="D499" s="5">
        <f>_xll.SNL.Clients.Office.Excel.Functions.SPG(A499, "IQ_DILUT_EPS_NORM", "CY2023")</f>
        <v>0.73599999999999999</v>
      </c>
      <c r="E499">
        <f t="shared" si="98"/>
        <v>538915.39199999999</v>
      </c>
      <c r="F499">
        <f t="shared" si="99"/>
        <v>6.9798651988084451E-2</v>
      </c>
      <c r="G499" s="5">
        <f>_xll.SNL.Clients.Office.Excel.Functions.SPG(A499, "SP_MARKETCAP", "12/30/2023")</f>
        <v>25382.134770000001</v>
      </c>
      <c r="H499">
        <f t="shared" si="91"/>
        <v>6.0409483371250453E-4</v>
      </c>
      <c r="I499">
        <f t="shared" si="100"/>
        <v>4.4461379761240332E-4</v>
      </c>
      <c r="K499" t="s">
        <v>499</v>
      </c>
      <c r="L499" s="4" cm="1">
        <f t="array" ref="L499">_xll.SNL.Clients.Office.Excel.Functions.SPG(K499, "SP_TOTAL_REV", "CY2023")</f>
        <v>7721000</v>
      </c>
      <c r="M499" s="4">
        <f>_xll.SNL.Clients.Office.Excel.Functions.SPG(K499,"IQ_AVG_DILUT_SHARES_OUT","CY2023")</f>
        <v>732222000</v>
      </c>
      <c r="N499" s="5">
        <f>_xll.SNL.Clients.Office.Excel.Functions.SPG(K499, "IQ_DILUT_EPS_NORM", "CY2023")</f>
        <v>0.73599999999999999</v>
      </c>
      <c r="O499">
        <f t="shared" si="101"/>
        <v>538915.39199999999</v>
      </c>
      <c r="P499">
        <f t="shared" si="102"/>
        <v>6.9798651988084451E-2</v>
      </c>
      <c r="Q499" s="5">
        <f>_xll.SNL.Clients.Office.Excel.Functions.SPG(K499, "SP_MARKETCAP", "12/31/2022")</f>
        <v>22813.427</v>
      </c>
      <c r="R499">
        <f t="shared" si="93"/>
        <v>6.7706145519841039E-4</v>
      </c>
      <c r="S499">
        <f t="shared" si="94"/>
        <v>4.9831723102603009E-4</v>
      </c>
      <c r="U499" t="s">
        <v>499</v>
      </c>
      <c r="V499" s="4" cm="1">
        <f t="array" ref="V499">_xll.SNL.Clients.Office.Excel.Functions.SPG(U499, "SP_TOTAL_REV", "CY2021")</f>
        <v>10169000</v>
      </c>
      <c r="W499" s="4">
        <f>_xll.SNL.Clients.Office.Excel.Functions.SPG(U499,"IQ_AVG_DILUT_SHARES_OUT","CY2021")</f>
        <v>750983000</v>
      </c>
      <c r="X499" s="5">
        <f>_xll.SNL.Clients.Office.Excel.Functions.SPG(U499, "IQ_DILUT_EPS_NORM", "CY2021")</f>
        <v>2.6970000000000001</v>
      </c>
      <c r="Y499">
        <f t="shared" si="95"/>
        <v>2025401.1510000001</v>
      </c>
      <c r="Z499">
        <f t="shared" si="96"/>
        <v>0.19917407326187433</v>
      </c>
      <c r="AA499" s="5">
        <f>_xll.SNL.Clients.Office.Excel.Functions.SPG(U499, "SP_MARKETCAP", "12/31/2021")</f>
        <v>30845.6731</v>
      </c>
      <c r="AB499">
        <f t="shared" si="90"/>
        <v>7.2695558642037238E-4</v>
      </c>
      <c r="AC499">
        <f t="shared" si="97"/>
        <v>1.9605992165757443E-3</v>
      </c>
    </row>
    <row r="500" spans="1:29" x14ac:dyDescent="0.3">
      <c r="A500" t="s">
        <v>500</v>
      </c>
      <c r="B500" s="4" cm="1">
        <f t="array" ref="B500">_xll.SNL.Clients.Office.Excel.Functions.SPG(A500, "SP_TOTAL_REV", "CY2023")</f>
        <v>9632000</v>
      </c>
      <c r="C500" s="4">
        <f>_xll.SNL.Clients.Office.Excel.Functions.SPG(A500,"IQ_AVG_DILUT_SHARES_OUT","CY2023")</f>
        <v>106000000</v>
      </c>
      <c r="D500" s="5">
        <f>_xll.SNL.Clients.Office.Excel.Functions.SPG(A500, "IQ_DILUT_EPS_NORM", "CY2023")</f>
        <v>9.8800000000000008</v>
      </c>
      <c r="E500">
        <f t="shared" si="98"/>
        <v>1047280.0000000001</v>
      </c>
      <c r="F500">
        <f t="shared" si="99"/>
        <v>0.10872923588039868</v>
      </c>
      <c r="G500" s="5">
        <f>_xll.SNL.Clients.Office.Excel.Functions.SPG(A500, "SP_MARKETCAP", "12/30/2023")</f>
        <v>24906.410168400002</v>
      </c>
      <c r="H500">
        <f t="shared" si="91"/>
        <v>5.9277258770362414E-4</v>
      </c>
      <c r="I500">
        <f t="shared" si="100"/>
        <v>5.8565931665118072E-3</v>
      </c>
      <c r="K500" t="s">
        <v>500</v>
      </c>
      <c r="L500" s="4" cm="1">
        <f t="array" ref="L500">_xll.SNL.Clients.Office.Excel.Functions.SPG(K500, "SP_TOTAL_REV", "CY2023")</f>
        <v>9632000</v>
      </c>
      <c r="M500" s="4">
        <f>_xll.SNL.Clients.Office.Excel.Functions.SPG(K500,"IQ_AVG_DILUT_SHARES_OUT","CY2023")</f>
        <v>106000000</v>
      </c>
      <c r="N500" s="5">
        <f>_xll.SNL.Clients.Office.Excel.Functions.SPG(K500, "IQ_DILUT_EPS_NORM", "CY2023")</f>
        <v>9.8800000000000008</v>
      </c>
      <c r="O500">
        <f t="shared" si="101"/>
        <v>1047280.0000000001</v>
      </c>
      <c r="P500">
        <f t="shared" si="102"/>
        <v>0.10872923588039868</v>
      </c>
      <c r="Q500" s="5">
        <f>_xll.SNL.Clients.Office.Excel.Functions.SPG(K500, "SP_MARKETCAP", "12/31/2022")</f>
        <v>26472.757344180001</v>
      </c>
      <c r="R500">
        <f t="shared" si="93"/>
        <v>7.856637939825927E-4</v>
      </c>
      <c r="S500">
        <f t="shared" si="94"/>
        <v>7.7623582845480167E-3</v>
      </c>
      <c r="U500" t="s">
        <v>500</v>
      </c>
      <c r="V500" s="4" cm="1">
        <f t="array" ref="V500">_xll.SNL.Clients.Office.Excel.Functions.SPG(U500, "SP_TOTAL_REV", "CY2021")</f>
        <v>9699000</v>
      </c>
      <c r="W500" s="4">
        <f>_xll.SNL.Clients.Office.Excel.Functions.SPG(U500,"IQ_AVG_DILUT_SHARES_OUT","CY2021")</f>
        <v>129000000</v>
      </c>
      <c r="X500" s="5">
        <f>_xll.SNL.Clients.Office.Excel.Functions.SPG(U500, "IQ_DILUT_EPS_NORM", "CY2021")</f>
        <v>7.4349999999999996</v>
      </c>
      <c r="Y500">
        <f t="shared" si="95"/>
        <v>959115</v>
      </c>
      <c r="Z500">
        <f t="shared" si="96"/>
        <v>9.8888029693782867E-2</v>
      </c>
      <c r="AA500" s="5">
        <f>_xll.SNL.Clients.Office.Excel.Functions.SPG(U500, "SP_MARKETCAP", "12/31/2021")</f>
        <v>29592.701976529999</v>
      </c>
      <c r="AB500">
        <f t="shared" si="90"/>
        <v>6.9742618192733421E-4</v>
      </c>
      <c r="AC500">
        <f t="shared" si="97"/>
        <v>5.1853636626297299E-3</v>
      </c>
    </row>
    <row r="501" spans="1:29" x14ac:dyDescent="0.3">
      <c r="A501" t="s">
        <v>501</v>
      </c>
      <c r="B501" s="4" cm="1">
        <f t="array" ref="B501">_xll.SNL.Clients.Office.Excel.Functions.SPG(A501, "SP_TOTAL_REV", "CY2023")</f>
        <v>7259000</v>
      </c>
      <c r="C501" s="4">
        <f>_xll.SNL.Clients.Office.Excel.Functions.SPG(A501,"IQ_AVG_DILUT_SHARES_OUT","CY2023")</f>
        <v>265285000</v>
      </c>
      <c r="D501" s="5">
        <f>_xll.SNL.Clients.Office.Excel.Functions.SPG(A501, "IQ_DILUT_EPS_NORM", "CY2023")</f>
        <v>0.89500000000000002</v>
      </c>
      <c r="E501">
        <f t="shared" si="98"/>
        <v>237430.07500000001</v>
      </c>
      <c r="F501">
        <f t="shared" si="99"/>
        <v>3.2708372365339577E-2</v>
      </c>
      <c r="G501" s="5">
        <f>_xll.SNL.Clients.Office.Excel.Functions.SPG(A501, "SP_MARKETCAP", "12/30/2023")</f>
        <v>72603.78</v>
      </c>
      <c r="H501">
        <f t="shared" si="91"/>
        <v>1.7279700389046223E-3</v>
      </c>
      <c r="I501">
        <f t="shared" si="100"/>
        <v>1.5465331848196369E-3</v>
      </c>
      <c r="K501" t="s">
        <v>501</v>
      </c>
      <c r="L501" s="4" cm="1">
        <f t="array" ref="L501">_xll.SNL.Clients.Office.Excel.Functions.SPG(K501, "SP_TOTAL_REV", "CY2023")</f>
        <v>7259000</v>
      </c>
      <c r="M501" s="4">
        <f>_xll.SNL.Clients.Office.Excel.Functions.SPG(K501,"IQ_AVG_DILUT_SHARES_OUT","CY2023")</f>
        <v>265285000</v>
      </c>
      <c r="N501" s="5">
        <f>_xll.SNL.Clients.Office.Excel.Functions.SPG(K501, "IQ_DILUT_EPS_NORM", "CY2023")</f>
        <v>0.89500000000000002</v>
      </c>
      <c r="O501">
        <f t="shared" si="101"/>
        <v>237430.07500000001</v>
      </c>
      <c r="P501">
        <f t="shared" si="102"/>
        <v>3.2708372365339577E-2</v>
      </c>
      <c r="Q501" s="5">
        <f>_xll.SNL.Clients.Office.Excel.Functions.SPG(K501, "SP_MARKETCAP", "12/31/2022")</f>
        <v>43006.433734400001</v>
      </c>
      <c r="R501">
        <f t="shared" si="93"/>
        <v>1.2763535529803072E-3</v>
      </c>
      <c r="S501">
        <f t="shared" si="94"/>
        <v>1.142336429917375E-3</v>
      </c>
      <c r="U501" t="s">
        <v>501</v>
      </c>
      <c r="V501" s="4" cm="1">
        <f t="array" ref="V501">_xll.SNL.Clients.Office.Excel.Functions.SPG(U501, "SP_TOTAL_REV", "CY2021")</f>
        <v>5139000</v>
      </c>
      <c r="W501" s="4">
        <f>_xll.SNL.Clients.Office.Excel.Functions.SPG(U501,"IQ_AVG_DILUT_SHARES_OUT","CY2021")</f>
        <v>254032000</v>
      </c>
      <c r="X501" s="5">
        <f>_xll.SNL.Clients.Office.Excel.Functions.SPG(U501, "IQ_DILUT_EPS_NORM", "CY2021")</f>
        <v>-0.315</v>
      </c>
      <c r="Y501">
        <f t="shared" si="95"/>
        <v>-80020.08</v>
      </c>
      <c r="Z501">
        <f t="shared" si="96"/>
        <v>-1.5571138353765324E-2</v>
      </c>
      <c r="AA501" s="5">
        <f>_xll.SNL.Clients.Office.Excel.Functions.SPG(U501, "SP_MARKETCAP", "12/31/2021")</f>
        <v>68295</v>
      </c>
      <c r="AB501">
        <f t="shared" si="90"/>
        <v>1.6095428235145025E-3</v>
      </c>
      <c r="AC501">
        <f t="shared" si="97"/>
        <v>-5.0700598940706825E-4</v>
      </c>
    </row>
    <row r="502" spans="1:29" x14ac:dyDescent="0.3">
      <c r="A502" t="s">
        <v>502</v>
      </c>
      <c r="B502" s="4" cm="1">
        <f t="array" ref="B502">_xll.SNL.Clients.Office.Excel.Functions.SPG(A502, "SP_TOTAL_REV", "CY2023")</f>
        <v>6531897</v>
      </c>
      <c r="C502" s="4">
        <f>_xll.SNL.Clients.Office.Excel.Functions.SPG(A502,"IQ_AVG_DILUT_SHARES_OUT","CY2023")</f>
        <v>112855000</v>
      </c>
      <c r="D502" s="5">
        <f>_xll.SNL.Clients.Office.Excel.Functions.SPG(A502, "IQ_DILUT_EPS_NORM", "CY2023")</f>
        <v>2.3279999999999998</v>
      </c>
      <c r="E502">
        <f t="shared" si="98"/>
        <v>262726.43999999994</v>
      </c>
      <c r="F502">
        <f t="shared" si="99"/>
        <v>4.0222073311933719E-2</v>
      </c>
      <c r="G502" s="5">
        <f>_xll.SNL.Clients.Office.Excel.Functions.SPG(A502, "SP_MARKETCAP", "12/30/2023")</f>
        <v>10214.11632942</v>
      </c>
      <c r="H502">
        <f t="shared" si="91"/>
        <v>2.4309597917800168E-4</v>
      </c>
      <c r="I502">
        <f t="shared" si="100"/>
        <v>5.6592743952638786E-4</v>
      </c>
      <c r="K502" t="s">
        <v>502</v>
      </c>
      <c r="L502" s="4" cm="1">
        <f t="array" ref="L502">_xll.SNL.Clients.Office.Excel.Functions.SPG(K502, "SP_TOTAL_REV", "CY2023")</f>
        <v>6531897</v>
      </c>
      <c r="M502" s="4">
        <f>_xll.SNL.Clients.Office.Excel.Functions.SPG(K502,"IQ_AVG_DILUT_SHARES_OUT","CY2023")</f>
        <v>112855000</v>
      </c>
      <c r="N502" s="5">
        <f>_xll.SNL.Clients.Office.Excel.Functions.SPG(K502, "IQ_DILUT_EPS_NORM", "CY2023")</f>
        <v>2.3279999999999998</v>
      </c>
      <c r="O502">
        <f t="shared" si="101"/>
        <v>262726.43999999994</v>
      </c>
      <c r="P502">
        <f t="shared" si="102"/>
        <v>4.0222073311933719E-2</v>
      </c>
      <c r="Q502" s="5">
        <f>_xll.SNL.Clients.Office.Excel.Functions.SPG(K502, "SP_MARKETCAP", "12/31/2022")</f>
        <v>9270.6145886100003</v>
      </c>
      <c r="R502">
        <f t="shared" si="93"/>
        <v>2.7513515632473368E-4</v>
      </c>
      <c r="S502">
        <f t="shared" si="94"/>
        <v>6.4051464392397991E-4</v>
      </c>
      <c r="U502" t="s">
        <v>502</v>
      </c>
      <c r="V502" s="4" cm="1">
        <f t="array" ref="V502">_xll.SNL.Clients.Office.Excel.Functions.SPG(U502, "SP_TOTAL_REV", "CY2021")</f>
        <v>3763664</v>
      </c>
      <c r="W502" s="4">
        <f>_xll.SNL.Clients.Office.Excel.Functions.SPG(U502,"IQ_AVG_DILUT_SHARES_OUT","CY2021")</f>
        <v>113760000</v>
      </c>
      <c r="X502" s="5">
        <f>_xll.SNL.Clients.Office.Excel.Functions.SPG(U502, "IQ_DILUT_EPS_NORM", "CY2021")</f>
        <v>-3.2490000000000001</v>
      </c>
      <c r="Y502">
        <f t="shared" si="95"/>
        <v>-369606.24</v>
      </c>
      <c r="Z502">
        <f t="shared" si="96"/>
        <v>-9.8203835411450113E-2</v>
      </c>
      <c r="AA502" s="5">
        <f>_xll.SNL.Clients.Office.Excel.Functions.SPG(U502, "SP_MARKETCAP", "12/31/2021")</f>
        <v>9756.4913154400001</v>
      </c>
      <c r="AB502">
        <f t="shared" si="90"/>
        <v>2.2993616779336731E-4</v>
      </c>
      <c r="AC502">
        <f t="shared" si="97"/>
        <v>-7.4706260916065047E-4</v>
      </c>
    </row>
    <row r="503" spans="1:29" x14ac:dyDescent="0.3">
      <c r="A503" t="s">
        <v>503</v>
      </c>
      <c r="B503" s="4" cm="1">
        <f t="array" ref="B503">_xll.SNL.Clients.Office.Excel.Functions.SPG(A503, "SP_TOTAL_REV", "CY2023")</f>
        <v>14206000</v>
      </c>
      <c r="C503" s="4">
        <f>_xll.SNL.Clients.Office.Excel.Functions.SPG(A503,"IQ_AVG_DILUT_SHARES_OUT","CY2023")</f>
        <v>552000000</v>
      </c>
      <c r="D503" s="5">
        <f>_xll.SNL.Clients.Office.Excel.Functions.SPG(A503, "IQ_DILUT_EPS_NORM", "CY2023")</f>
        <v>1.9610000000000001</v>
      </c>
      <c r="E503">
        <f t="shared" si="98"/>
        <v>1082472</v>
      </c>
      <c r="F503">
        <f t="shared" si="99"/>
        <v>7.6198226101647185E-2</v>
      </c>
      <c r="G503" s="5">
        <f>_xll.SNL.Clients.Office.Excel.Functions.SPG(A503, "SP_MARKETCAP", "12/30/2023")</f>
        <v>34162.948309289997</v>
      </c>
      <c r="H503">
        <f t="shared" si="91"/>
        <v>8.1307820500668747E-4</v>
      </c>
      <c r="I503">
        <f t="shared" si="100"/>
        <v>1.5944463600181143E-3</v>
      </c>
      <c r="K503" t="s">
        <v>503</v>
      </c>
      <c r="L503" s="4" cm="1">
        <f t="array" ref="L503">_xll.SNL.Clients.Office.Excel.Functions.SPG(K503, "SP_TOTAL_REV", "CY2023")</f>
        <v>14206000</v>
      </c>
      <c r="M503" s="4">
        <f>_xll.SNL.Clients.Office.Excel.Functions.SPG(K503,"IQ_AVG_DILUT_SHARES_OUT","CY2023")</f>
        <v>552000000</v>
      </c>
      <c r="N503" s="5">
        <f>_xll.SNL.Clients.Office.Excel.Functions.SPG(K503, "IQ_DILUT_EPS_NORM", "CY2023")</f>
        <v>1.9610000000000001</v>
      </c>
      <c r="O503">
        <f t="shared" si="101"/>
        <v>1082472</v>
      </c>
      <c r="P503">
        <f t="shared" si="102"/>
        <v>7.6198226101647185E-2</v>
      </c>
      <c r="Q503" s="5">
        <f>_xll.SNL.Clients.Office.Excel.Functions.SPG(K503, "SP_MARKETCAP", "12/31/2022")</f>
        <v>38367.592054560002</v>
      </c>
      <c r="R503">
        <f t="shared" si="93"/>
        <v>1.138681080616225E-3</v>
      </c>
      <c r="S503">
        <f t="shared" si="94"/>
        <v>2.2329535990884171E-3</v>
      </c>
      <c r="U503" t="s">
        <v>503</v>
      </c>
      <c r="V503" s="4" cm="1">
        <f t="array" ref="V503">_xll.SNL.Clients.Office.Excel.Functions.SPG(U503, "SP_TOTAL_REV", "CY2021")</f>
        <v>13431000</v>
      </c>
      <c r="W503" s="4">
        <f>_xll.SNL.Clients.Office.Excel.Functions.SPG(U503,"IQ_AVG_DILUT_SHARES_OUT","CY2021")</f>
        <v>540000000</v>
      </c>
      <c r="X503" s="5">
        <f>_xll.SNL.Clients.Office.Excel.Functions.SPG(U503, "IQ_DILUT_EPS_NORM", "CY2021")</f>
        <v>1.8360000000000001</v>
      </c>
      <c r="Y503">
        <f t="shared" si="95"/>
        <v>991440</v>
      </c>
      <c r="Z503">
        <f t="shared" si="96"/>
        <v>7.3817288362742914E-2</v>
      </c>
      <c r="AA503" s="5">
        <f>_xll.SNL.Clients.Office.Excel.Functions.SPG(U503, "SP_MARKETCAP", "12/31/2021")</f>
        <v>36468.336088999997</v>
      </c>
      <c r="AB503">
        <f t="shared" si="90"/>
        <v>8.5946773025206654E-4</v>
      </c>
      <c r="AC503">
        <f t="shared" si="97"/>
        <v>1.5779827527427942E-3</v>
      </c>
    </row>
    <row r="504" spans="1:29" x14ac:dyDescent="0.3">
      <c r="A504" t="s">
        <v>504</v>
      </c>
      <c r="B504" s="4" cm="1">
        <f t="array" ref="B504">_xll.SNL.Clients.Office.Excel.Functions.SPG(A504, "SP_TOTAL_REV", "CY2023")</f>
        <v>7364000</v>
      </c>
      <c r="C504" s="4">
        <f>_xll.SNL.Clients.Office.Excel.Functions.SPG(A504,"IQ_AVG_DILUT_SHARES_OUT","CY2023")</f>
        <v>218180000</v>
      </c>
      <c r="D504" s="5">
        <f>_xll.SNL.Clients.Office.Excel.Functions.SPG(A504, "IQ_DILUT_EPS_NORM", "CY2023")</f>
        <v>2.4009999999999998</v>
      </c>
      <c r="E504">
        <f t="shared" si="98"/>
        <v>523850.17999999993</v>
      </c>
      <c r="F504">
        <f t="shared" si="99"/>
        <v>7.1136634980988586E-2</v>
      </c>
      <c r="G504" s="5">
        <f>_xll.SNL.Clients.Office.Excel.Functions.SPG(A504, "SP_MARKETCAP", "12/30/2023")</f>
        <v>27569.6549208</v>
      </c>
      <c r="H504">
        <f t="shared" si="91"/>
        <v>6.5615781555838806E-4</v>
      </c>
      <c r="I504">
        <f t="shared" si="100"/>
        <v>1.5754349151556896E-3</v>
      </c>
      <c r="K504" t="s">
        <v>504</v>
      </c>
      <c r="L504" s="4" cm="1">
        <f t="array" ref="L504">_xll.SNL.Clients.Office.Excel.Functions.SPG(K504, "SP_TOTAL_REV", "CY2023")</f>
        <v>7364000</v>
      </c>
      <c r="M504" s="4">
        <f>_xll.SNL.Clients.Office.Excel.Functions.SPG(K504,"IQ_AVG_DILUT_SHARES_OUT","CY2023")</f>
        <v>218180000</v>
      </c>
      <c r="N504" s="5">
        <f>_xll.SNL.Clients.Office.Excel.Functions.SPG(K504, "IQ_DILUT_EPS_NORM", "CY2023")</f>
        <v>2.4009999999999998</v>
      </c>
      <c r="O504">
        <f t="shared" si="101"/>
        <v>523850.17999999993</v>
      </c>
      <c r="P504">
        <f t="shared" si="102"/>
        <v>7.1136634980988586E-2</v>
      </c>
      <c r="Q504" s="5">
        <f>_xll.SNL.Clients.Office.Excel.Functions.SPG(K504, "SP_MARKETCAP", "12/31/2022")</f>
        <v>19927.094793240001</v>
      </c>
      <c r="R504">
        <f t="shared" si="93"/>
        <v>5.9140030993974483E-4</v>
      </c>
      <c r="S504">
        <f t="shared" si="94"/>
        <v>1.4199521441653272E-3</v>
      </c>
      <c r="U504" t="s">
        <v>504</v>
      </c>
      <c r="V504" s="4" cm="1">
        <f t="array" ref="V504">_xll.SNL.Clients.Office.Excel.Functions.SPG(U504, "SP_TOTAL_REV", "CY2021")</f>
        <v>5195000</v>
      </c>
      <c r="W504" s="4">
        <f>_xll.SNL.Clients.Office.Excel.Functions.SPG(U504,"IQ_AVG_DILUT_SHARES_OUT","CY2021")</f>
        <v>181526000</v>
      </c>
      <c r="X504" s="5">
        <f>_xll.SNL.Clients.Office.Excel.Functions.SPG(U504, "IQ_DILUT_EPS_NORM", "CY2021")</f>
        <v>1.7769999999999999</v>
      </c>
      <c r="Y504">
        <f t="shared" si="95"/>
        <v>322571.70199999999</v>
      </c>
      <c r="Z504">
        <f t="shared" si="96"/>
        <v>6.209272415784408E-2</v>
      </c>
      <c r="AA504" s="5">
        <f>_xll.SNL.Clients.Office.Excel.Functions.SPG(U504, "SP_MARKETCAP", "12/31/2021")</f>
        <v>21624.606618239999</v>
      </c>
      <c r="AB504">
        <f t="shared" si="90"/>
        <v>5.0963804661706424E-4</v>
      </c>
      <c r="AC504">
        <f t="shared" si="97"/>
        <v>9.0562680883852316E-4</v>
      </c>
    </row>
    <row r="505" spans="1:29" x14ac:dyDescent="0.3">
      <c r="A505" t="s">
        <v>505</v>
      </c>
      <c r="B505" s="4" cm="1">
        <f t="array" ref="B505">_xll.SNL.Clients.Office.Excel.Functions.SPG(A505, "SP_TOTAL_REV", "CY2023")</f>
        <v>7076000</v>
      </c>
      <c r="C505" s="4">
        <f>_xll.SNL.Clients.Office.Excel.Functions.SPG(A505,"IQ_AVG_DILUT_SHARES_OUT","CY2023")</f>
        <v>285000000</v>
      </c>
      <c r="D505" s="5">
        <f>_xll.SNL.Clients.Office.Excel.Functions.SPG(A505, "IQ_DILUT_EPS_NORM", "CY2023")</f>
        <v>4.1180000000000003</v>
      </c>
      <c r="E505">
        <f t="shared" si="98"/>
        <v>1173630</v>
      </c>
      <c r="F505">
        <f t="shared" si="99"/>
        <v>0.16586065573770492</v>
      </c>
      <c r="G505" s="5">
        <f>_xll.SNL.Clients.Office.Excel.Functions.SPG(A505, "SP_MARKETCAP", "12/30/2023")</f>
        <v>36625.07189454</v>
      </c>
      <c r="H505">
        <f t="shared" si="91"/>
        <v>8.7167674887578673E-4</v>
      </c>
      <c r="I505">
        <f t="shared" si="100"/>
        <v>3.5895648518704899E-3</v>
      </c>
      <c r="K505" t="s">
        <v>505</v>
      </c>
      <c r="L505" s="4" cm="1">
        <f t="array" ref="L505">_xll.SNL.Clients.Office.Excel.Functions.SPG(K505, "SP_TOTAL_REV", "CY2023")</f>
        <v>7076000</v>
      </c>
      <c r="M505" s="4">
        <f>_xll.SNL.Clients.Office.Excel.Functions.SPG(K505,"IQ_AVG_DILUT_SHARES_OUT","CY2023")</f>
        <v>285000000</v>
      </c>
      <c r="N505" s="5">
        <f>_xll.SNL.Clients.Office.Excel.Functions.SPG(K505, "IQ_DILUT_EPS_NORM", "CY2023")</f>
        <v>4.1180000000000003</v>
      </c>
      <c r="O505">
        <f t="shared" si="101"/>
        <v>1173630</v>
      </c>
      <c r="P505">
        <f t="shared" si="102"/>
        <v>0.16586065573770492</v>
      </c>
      <c r="Q505" s="5">
        <f>_xll.SNL.Clients.Office.Excel.Functions.SPG(K505, "SP_MARKETCAP", "12/31/2022")</f>
        <v>36078.581877279998</v>
      </c>
      <c r="R505">
        <f t="shared" si="93"/>
        <v>1.0707473781701535E-3</v>
      </c>
      <c r="S505">
        <f t="shared" si="94"/>
        <v>4.4093377033046924E-3</v>
      </c>
      <c r="U505" t="s">
        <v>505</v>
      </c>
      <c r="V505" s="4" cm="1">
        <f t="array" ref="V505">_xll.SNL.Clients.Office.Excel.Functions.SPG(U505, "SP_TOTAL_REV", "CY2021")</f>
        <v>6584000</v>
      </c>
      <c r="W505" s="4">
        <f>_xll.SNL.Clients.Office.Excel.Functions.SPG(U505,"IQ_AVG_DILUT_SHARES_OUT","CY2021")</f>
        <v>302000000</v>
      </c>
      <c r="X505" s="5">
        <f>_xll.SNL.Clients.Office.Excel.Functions.SPG(U505, "IQ_DILUT_EPS_NORM", "CY2021")</f>
        <v>3.5840000000000001</v>
      </c>
      <c r="Y505">
        <f t="shared" si="95"/>
        <v>1082368</v>
      </c>
      <c r="Z505">
        <f t="shared" si="96"/>
        <v>0.16439368165249088</v>
      </c>
      <c r="AA505" s="5">
        <f>_xll.SNL.Clients.Office.Excel.Functions.SPG(U505, "SP_MARKETCAP", "12/31/2021")</f>
        <v>40704.462682580001</v>
      </c>
      <c r="AB505">
        <f t="shared" si="90"/>
        <v>9.5930266924021542E-4</v>
      </c>
      <c r="AC505">
        <f t="shared" si="97"/>
        <v>3.4381407665569322E-3</v>
      </c>
    </row>
    <row r="506" spans="1:29" x14ac:dyDescent="0.3">
      <c r="A506" t="s">
        <v>506</v>
      </c>
      <c r="B506" s="4" cm="1">
        <f t="array" ref="B506">_xll.SNL.Clients.Office.Excel.Functions.SPG(A506, "SP_TOTAL_REV", "CY2023")</f>
        <v>4584000</v>
      </c>
      <c r="C506" s="4">
        <f>_xll.SNL.Clients.Office.Excel.Functions.SPG(A506,"IQ_AVG_DILUT_SHARES_OUT","CY2023")</f>
        <v>51710962</v>
      </c>
      <c r="D506" s="5">
        <f>_xll.SNL.Clients.Office.Excel.Functions.SPG(A506, "IQ_DILUT_EPS_NORM", "CY2023")</f>
        <v>5.2939999999999996</v>
      </c>
      <c r="E506">
        <f t="shared" si="98"/>
        <v>273757.83282799996</v>
      </c>
      <c r="F506">
        <f t="shared" si="99"/>
        <v>5.9720295119546241E-2</v>
      </c>
      <c r="G506" s="5">
        <f>_xll.SNL.Clients.Office.Excel.Functions.SPG(A506, "SP_MARKETCAP", "12/30/2023")</f>
        <v>14038.12056132</v>
      </c>
      <c r="H506">
        <f t="shared" si="91"/>
        <v>3.3410728384241012E-4</v>
      </c>
      <c r="I506">
        <f t="shared" si="100"/>
        <v>1.768763960661719E-3</v>
      </c>
      <c r="K506" t="s">
        <v>506</v>
      </c>
      <c r="L506" s="4" cm="1">
        <f t="array" ref="L506">_xll.SNL.Clients.Office.Excel.Functions.SPG(K506, "SP_TOTAL_REV", "CY2023")</f>
        <v>4584000</v>
      </c>
      <c r="M506" s="4">
        <f>_xll.SNL.Clients.Office.Excel.Functions.SPG(K506,"IQ_AVG_DILUT_SHARES_OUT","CY2023")</f>
        <v>51710962</v>
      </c>
      <c r="N506" s="5">
        <f>_xll.SNL.Clients.Office.Excel.Functions.SPG(K506, "IQ_DILUT_EPS_NORM", "CY2023")</f>
        <v>5.2939999999999996</v>
      </c>
      <c r="O506">
        <f t="shared" si="101"/>
        <v>273757.83282799996</v>
      </c>
      <c r="P506">
        <f t="shared" si="102"/>
        <v>5.9720295119546241E-2</v>
      </c>
      <c r="Q506" s="5">
        <f>_xll.SNL.Clients.Office.Excel.Functions.SPG(K506, "SP_MARKETCAP", "12/31/2022")</f>
        <v>13238.396505180001</v>
      </c>
      <c r="R506">
        <f t="shared" si="93"/>
        <v>3.9289178264583928E-4</v>
      </c>
      <c r="S506">
        <f t="shared" si="94"/>
        <v>2.0799690973270731E-3</v>
      </c>
      <c r="U506" t="s">
        <v>506</v>
      </c>
      <c r="V506" s="4" cm="1">
        <f t="array" ref="V506">_xll.SNL.Clients.Office.Excel.Functions.SPG(U506, "SP_TOTAL_REV", "CY2021")</f>
        <v>5627000</v>
      </c>
      <c r="W506" s="4">
        <f>_xll.SNL.Clients.Office.Excel.Functions.SPG(U506,"IQ_AVG_DILUT_SHARES_OUT","CY2021")</f>
        <v>53902430</v>
      </c>
      <c r="X506" s="5">
        <f>_xll.SNL.Clients.Office.Excel.Functions.SPG(U506, "IQ_DILUT_EPS_NORM", "CY2021")</f>
        <v>11.595000000000001</v>
      </c>
      <c r="Y506">
        <f t="shared" si="95"/>
        <v>624998.67585</v>
      </c>
      <c r="Z506">
        <f t="shared" si="96"/>
        <v>0.11107138365914342</v>
      </c>
      <c r="AA506" s="5">
        <f>_xll.SNL.Clients.Office.Excel.Functions.SPG(U506, "SP_MARKETCAP", "12/31/2021")</f>
        <v>31808.375443199999</v>
      </c>
      <c r="AB506">
        <f t="shared" si="90"/>
        <v>7.4964407968749526E-4</v>
      </c>
      <c r="AC506">
        <f t="shared" si="97"/>
        <v>8.6921231039765075E-3</v>
      </c>
    </row>
    <row r="507" spans="1:29" x14ac:dyDescent="0.3">
      <c r="A507" t="s">
        <v>507</v>
      </c>
      <c r="B507" s="4" cm="1">
        <f t="array" ref="B507">_xll.SNL.Clients.Office.Excel.Functions.SPG(A507, "SP_TOTAL_REV", "CY2023")</f>
        <v>7394200</v>
      </c>
      <c r="C507" s="4">
        <f>_xll.SNL.Clients.Office.Excel.Functions.SPG(A507,"IQ_AVG_DILUT_SHARES_OUT","CY2023")</f>
        <v>209700000</v>
      </c>
      <c r="D507" s="5">
        <f>_xll.SNL.Clients.Office.Excel.Functions.SPG(A507, "IQ_DILUT_EPS_NORM", "CY2023")</f>
        <v>3.758</v>
      </c>
      <c r="E507">
        <f t="shared" si="98"/>
        <v>788052.6</v>
      </c>
      <c r="F507">
        <f t="shared" si="99"/>
        <v>0.10657712801925834</v>
      </c>
      <c r="G507" s="5">
        <f>_xll.SNL.Clients.Office.Excel.Functions.SPG(A507, "SP_MARKETCAP", "12/30/2023")</f>
        <v>25432.9525287</v>
      </c>
      <c r="H507">
        <f t="shared" si="91"/>
        <v>6.0530429642199272E-4</v>
      </c>
      <c r="I507">
        <f t="shared" si="100"/>
        <v>2.2747335459538487E-3</v>
      </c>
      <c r="K507" t="s">
        <v>507</v>
      </c>
      <c r="L507" s="4" cm="1">
        <f t="array" ref="L507">_xll.SNL.Clients.Office.Excel.Functions.SPG(K507, "SP_TOTAL_REV", "CY2023")</f>
        <v>7394200</v>
      </c>
      <c r="M507" s="4">
        <f>_xll.SNL.Clients.Office.Excel.Functions.SPG(K507,"IQ_AVG_DILUT_SHARES_OUT","CY2023")</f>
        <v>209700000</v>
      </c>
      <c r="N507" s="5">
        <f>_xll.SNL.Clients.Office.Excel.Functions.SPG(K507, "IQ_DILUT_EPS_NORM", "CY2023")</f>
        <v>3.758</v>
      </c>
      <c r="O507">
        <f t="shared" si="101"/>
        <v>788052.6</v>
      </c>
      <c r="P507">
        <f t="shared" si="102"/>
        <v>0.10657712801925834</v>
      </c>
      <c r="Q507" s="5">
        <f>_xll.SNL.Clients.Office.Excel.Functions.SPG(K507, "SP_MARKETCAP", "12/31/2022")</f>
        <v>26756.179980000001</v>
      </c>
      <c r="R507">
        <f t="shared" si="93"/>
        <v>7.9407526772761394E-4</v>
      </c>
      <c r="S507">
        <f t="shared" si="94"/>
        <v>2.9841348561203732E-3</v>
      </c>
      <c r="U507" t="s">
        <v>507</v>
      </c>
      <c r="V507" s="4" cm="1">
        <f t="array" ref="V507">_xll.SNL.Clients.Office.Excel.Functions.SPG(U507, "SP_TOTAL_REV", "CY2021")</f>
        <v>6827300</v>
      </c>
      <c r="W507" s="4">
        <f>_xll.SNL.Clients.Office.Excel.Functions.SPG(U507,"IQ_AVG_DILUT_SHARES_OUT","CY2021")</f>
        <v>210400000</v>
      </c>
      <c r="X507" s="5">
        <f>_xll.SNL.Clients.Office.Excel.Functions.SPG(U507, "IQ_DILUT_EPS_NORM", "CY2021")</f>
        <v>2.9980000000000002</v>
      </c>
      <c r="Y507">
        <f t="shared" si="95"/>
        <v>630779.19999999995</v>
      </c>
      <c r="Z507">
        <f t="shared" si="96"/>
        <v>9.2390725469805035E-2</v>
      </c>
      <c r="AA507" s="5">
        <f>_xll.SNL.Clients.Office.Excel.Functions.SPG(U507, "SP_MARKETCAP", "12/31/2021")</f>
        <v>26539.784750399998</v>
      </c>
      <c r="AB507">
        <f t="shared" si="90"/>
        <v>6.2547653682738043E-4</v>
      </c>
      <c r="AC507">
        <f t="shared" si="97"/>
        <v>1.8751786574084867E-3</v>
      </c>
    </row>
    <row r="508" spans="1:29" x14ac:dyDescent="0.3">
      <c r="A508" t="s">
        <v>508</v>
      </c>
      <c r="B508" s="4" cm="1">
        <f t="array" ref="B508">_xll.SNL.Clients.Office.Excel.Functions.SPG(A508, "SP_TOTAL_REV", "CY2023")</f>
        <v>8544000</v>
      </c>
      <c r="C508" s="4">
        <f>_xll.SNL.Clients.Office.Excel.Functions.SPG(A508,"IQ_AVG_DILUT_SHARES_OUT","CY2023")</f>
        <v>462269000</v>
      </c>
      <c r="D508" s="5">
        <f>_xll.SNL.Clients.Office.Excel.Functions.SPG(A508, "IQ_DILUT_EPS_NORM", "CY2023")</f>
        <v>3.9660000000000002</v>
      </c>
      <c r="E508">
        <f t="shared" si="98"/>
        <v>1833358.8540000001</v>
      </c>
      <c r="F508">
        <f t="shared" si="99"/>
        <v>0.21457851755617979</v>
      </c>
      <c r="G508" s="5">
        <f>_xll.SNL.Clients.Office.Excel.Functions.SPG(A508, "SP_MARKETCAP", "12/30/2023")</f>
        <v>90615.269192670006</v>
      </c>
      <c r="H508">
        <f t="shared" si="91"/>
        <v>2.1566435002724487E-3</v>
      </c>
      <c r="I508">
        <f t="shared" si="100"/>
        <v>8.5532481220805326E-3</v>
      </c>
      <c r="K508" t="s">
        <v>508</v>
      </c>
      <c r="L508" s="4" cm="1">
        <f t="array" ref="L508">_xll.SNL.Clients.Office.Excel.Functions.SPG(K508, "SP_TOTAL_REV", "CY2023")</f>
        <v>8544000</v>
      </c>
      <c r="M508" s="4">
        <f>_xll.SNL.Clients.Office.Excel.Functions.SPG(K508,"IQ_AVG_DILUT_SHARES_OUT","CY2023")</f>
        <v>462269000</v>
      </c>
      <c r="N508" s="5">
        <f>_xll.SNL.Clients.Office.Excel.Functions.SPG(K508, "IQ_DILUT_EPS_NORM", "CY2023")</f>
        <v>3.9660000000000002</v>
      </c>
      <c r="O508">
        <f t="shared" si="101"/>
        <v>1833358.8540000001</v>
      </c>
      <c r="P508">
        <f t="shared" si="102"/>
        <v>0.21457851755617979</v>
      </c>
      <c r="Q508" s="5">
        <f>_xll.SNL.Clients.Office.Excel.Functions.SPG(K508, "SP_MARKETCAP", "12/31/2022")</f>
        <v>68302.850867250003</v>
      </c>
      <c r="R508">
        <f t="shared" si="93"/>
        <v>2.0271056865932635E-3</v>
      </c>
      <c r="S508">
        <f t="shared" si="94"/>
        <v>8.0395011530288839E-3</v>
      </c>
      <c r="U508" t="s">
        <v>508</v>
      </c>
      <c r="V508" s="4" cm="1">
        <f t="array" ref="V508">_xll.SNL.Clients.Office.Excel.Functions.SPG(U508, "SP_TOTAL_REV", "CY2021")</f>
        <v>7776000</v>
      </c>
      <c r="W508" s="4">
        <f>_xll.SNL.Clients.Office.Excel.Functions.SPG(U508,"IQ_AVG_DILUT_SHARES_OUT","CY2021")</f>
        <v>476717000</v>
      </c>
      <c r="X508" s="5">
        <f>_xll.SNL.Clients.Office.Excel.Functions.SPG(U508, "IQ_DILUT_EPS_NORM", "CY2021")</f>
        <v>3.3780000000000001</v>
      </c>
      <c r="Y508">
        <f t="shared" si="95"/>
        <v>1610350.0260000001</v>
      </c>
      <c r="Z508">
        <f t="shared" si="96"/>
        <v>0.20709233873456792</v>
      </c>
      <c r="AA508" s="5">
        <f>_xll.SNL.Clients.Office.Excel.Functions.SPG(U508, "SP_MARKETCAP", "12/31/2021")</f>
        <v>115456.89434266</v>
      </c>
      <c r="AB508">
        <f>AA508/$AA$509</f>
        <v>2.7210310522659134E-3</v>
      </c>
      <c r="AC508">
        <f t="shared" si="97"/>
        <v>9.1916428945542552E-3</v>
      </c>
    </row>
    <row r="509" spans="1:29" x14ac:dyDescent="0.3">
      <c r="B509">
        <f>SUMIF(B6:B508,"&lt;&gt;#VALUE!")</f>
        <v>16569748219</v>
      </c>
      <c r="C509">
        <f>SUMIF(C6:C508,"&lt;&gt;#VALUE!")</f>
        <v>393106620983</v>
      </c>
      <c r="D509">
        <f>E509/C509*1000</f>
        <v>3.2712679409181198</v>
      </c>
      <c r="E509">
        <f>SUMIF(E6:E508,"&lt;&gt;#VALUE!")</f>
        <v>1285957086.5843382</v>
      </c>
      <c r="F509" s="7">
        <f>E509/B509</f>
        <v>7.7608728243062405E-2</v>
      </c>
      <c r="G509">
        <f>SUMIF(G6:G508,"&lt;&gt;#VALUE!")</f>
        <v>42016804.901330508</v>
      </c>
      <c r="I509">
        <f>SUMIF(I6:I508,"&lt;&gt;#VALUE!")</f>
        <v>5.4630893823683291</v>
      </c>
      <c r="L509">
        <f>SUMIF(L6:L508,"&lt;&gt;#VALUE!")</f>
        <v>16571296219</v>
      </c>
      <c r="M509">
        <f>SUMIF(M6:M508,"&lt;&gt;#VALUE!")</f>
        <v>393120320983</v>
      </c>
      <c r="N509">
        <f>O509/M509*1000</f>
        <v>3.2725043158986704</v>
      </c>
      <c r="O509">
        <f>SUMIF(O6:O508,"&lt;&gt;#VALUE!")</f>
        <v>1286487947.0843382</v>
      </c>
      <c r="P509" s="7">
        <f>O509/L509</f>
        <v>7.7633513400677825E-2</v>
      </c>
      <c r="Q509">
        <f>SUMIF(Q6:Q508,"&lt;&gt;#VALUE!")</f>
        <v>33694765.55612608</v>
      </c>
      <c r="S509">
        <f>SUMIF(S6:S508,"&lt;&gt;#VALUE!")</f>
        <v>5.8816191506700735</v>
      </c>
      <c r="V509">
        <f>SUM(V6:V508)</f>
        <v>14493271437</v>
      </c>
      <c r="W509">
        <f>SUM(W6:W508)</f>
        <v>398656549670</v>
      </c>
      <c r="X509">
        <f>Y509/W509*1000</f>
        <v>3.0257653198022076</v>
      </c>
      <c r="Y509">
        <f>SUMIF(Y6:Y508, "&lt;&gt;#VALUE!")</f>
        <v>1206241162.5034924</v>
      </c>
      <c r="Z509">
        <f>Y509/V509</f>
        <v>8.3227666558708668E-2</v>
      </c>
      <c r="AA509">
        <f>SUMIF(AA6:AA508, "&lt;&gt;#VALUE!")</f>
        <v>42431303.47465691</v>
      </c>
      <c r="AC509">
        <f>SUMIF(AC6:AC508, "&lt;&gt;#VALUE!")</f>
        <v>4.6742282555269936</v>
      </c>
    </row>
    <row r="511" spans="1:29" x14ac:dyDescent="0.3">
      <c r="I511" t="s">
        <v>3</v>
      </c>
      <c r="J511" s="7">
        <f>D509/N509-1</f>
        <v>-3.7780698242140254E-4</v>
      </c>
      <c r="S511" t="s">
        <v>3</v>
      </c>
      <c r="T511" s="7">
        <f>N509/X509-1</f>
        <v>8.1545979287181547E-2</v>
      </c>
    </row>
    <row r="512" spans="1:29" x14ac:dyDescent="0.3">
      <c r="I512" t="s">
        <v>1027</v>
      </c>
      <c r="J512" s="7">
        <f>B509/L509-1</f>
        <v>-9.3414539185210366E-5</v>
      </c>
      <c r="S512" t="s">
        <v>1027</v>
      </c>
      <c r="T512" s="7">
        <f>L509/V509-1</f>
        <v>0.14337858716252239</v>
      </c>
    </row>
    <row r="513" spans="9:20" x14ac:dyDescent="0.3">
      <c r="I513" t="s">
        <v>1028</v>
      </c>
      <c r="J513" s="7">
        <f>F509/P509-1</f>
        <v>-3.192584816753552E-4</v>
      </c>
      <c r="S513" t="s">
        <v>1028</v>
      </c>
      <c r="T513" s="7">
        <f>P509/Z509-1</f>
        <v>-6.7215066688007363E-2</v>
      </c>
    </row>
    <row r="514" spans="9:20" x14ac:dyDescent="0.3">
      <c r="I514" t="s">
        <v>2</v>
      </c>
      <c r="J514" s="7">
        <f>C509/M509-1</f>
        <v>-3.4849381394863599E-5</v>
      </c>
      <c r="S514" t="s">
        <v>2</v>
      </c>
      <c r="T514" s="7">
        <f>M509/W509-1</f>
        <v>-1.3887213671975984E-2</v>
      </c>
    </row>
  </sheetData>
  <autoFilter ref="A5:R5" xr:uid="{58A51631-632C-44E1-A4BE-CF799F3919B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9FEE-F3C0-4A0D-BADB-0954020A031E}">
  <dimension ref="A2:L507"/>
  <sheetViews>
    <sheetView workbookViewId="0">
      <pane xSplit="1" ySplit="3" topLeftCell="B466" activePane="bottomRight" state="frozen"/>
      <selection pane="topRight" activeCell="B1" sqref="B1"/>
      <selection pane="bottomLeft" activeCell="A4" sqref="A4"/>
      <selection pane="bottomRight" activeCell="C477" sqref="A477:C479"/>
    </sheetView>
  </sheetViews>
  <sheetFormatPr defaultRowHeight="14.4" x14ac:dyDescent="0.3"/>
  <cols>
    <col min="1" max="1" width="15.88671875" bestFit="1" customWidth="1"/>
    <col min="2" max="2" width="10.88671875" bestFit="1" customWidth="1"/>
    <col min="3" max="3" width="13.44140625" bestFit="1" customWidth="1"/>
    <col min="4" max="4" width="9" bestFit="1" customWidth="1"/>
    <col min="5" max="5" width="9.33203125" customWidth="1"/>
    <col min="6" max="6" width="8.109375" bestFit="1" customWidth="1"/>
    <col min="7" max="7" width="15.88671875" bestFit="1" customWidth="1"/>
    <col min="8" max="8" width="10.88671875" bestFit="1" customWidth="1"/>
    <col min="9" max="9" width="13.44140625" bestFit="1" customWidth="1"/>
    <col min="10" max="10" width="9" bestFit="1" customWidth="1"/>
    <col min="11" max="11" width="9.33203125" customWidth="1"/>
    <col min="12" max="12" width="8.109375" bestFit="1" customWidth="1"/>
  </cols>
  <sheetData>
    <row r="2" spans="1:12" x14ac:dyDescent="0.3">
      <c r="B2" t="s">
        <v>0</v>
      </c>
      <c r="H2" t="s">
        <v>509</v>
      </c>
    </row>
    <row r="3" spans="1:12" x14ac:dyDescent="0.3">
      <c r="A3" t="str" cm="1">
        <f t="array" ref="A3">_xll.ciqfunctions.udf.CIQRANGE("^SPX", "IQ_CONSTITUENTS", 1, 600, , , , , "Constituents")</f>
        <v>Constituents</v>
      </c>
      <c r="B3" s="1" t="s">
        <v>1</v>
      </c>
      <c r="C3" s="2" t="s">
        <v>2</v>
      </c>
      <c r="D3" s="2" t="s">
        <v>3</v>
      </c>
      <c r="E3" s="2" t="s">
        <v>4</v>
      </c>
      <c r="F3" s="3" t="s">
        <v>5</v>
      </c>
      <c r="G3" t="str" cm="1">
        <f t="array" ref="G3">_xll.ciqfunctions.udf.CIQRANGE("^SPX", "IQ_CONSTITUENTS", 1, 600, , , , , "Constituents")</f>
        <v>Constituents</v>
      </c>
      <c r="H3" s="1" t="s">
        <v>1</v>
      </c>
      <c r="I3" s="2" t="s">
        <v>2</v>
      </c>
      <c r="J3" s="2" t="s">
        <v>3</v>
      </c>
      <c r="K3" s="2" t="s">
        <v>4</v>
      </c>
      <c r="L3" s="3" t="s">
        <v>5</v>
      </c>
    </row>
    <row r="4" spans="1:12" x14ac:dyDescent="0.3">
      <c r="A4" t="s">
        <v>6</v>
      </c>
      <c r="B4" s="4" cm="1">
        <f t="array" ref="B4">_xll.SNL.Clients.Office.Excel.Functions.SPG(A4, "SP_TOTAL_REV", "CY2023")</f>
        <v>32681000</v>
      </c>
      <c r="C4" s="4">
        <f>_xll.SNL.Clients.Office.Excel.Functions.SPG(A4,"IQ_AVG_DILUT_SHARES_OUT","CY2023")</f>
        <v>553900000</v>
      </c>
      <c r="D4" s="5">
        <f>_xll.SNL.Clients.Office.Excel.Functions.SPG(A4, "IQ_DILUT_EPS_NORM", "CY2023")</f>
        <v>5.8529999999999998</v>
      </c>
      <c r="E4">
        <f>C4*D4/1000</f>
        <v>3241976.7</v>
      </c>
      <c r="F4">
        <f>E4/B4</f>
        <v>9.9200657874606052E-2</v>
      </c>
      <c r="G4" t="s">
        <v>6</v>
      </c>
      <c r="H4" s="4" cm="1">
        <f t="array" ref="H4">_xll.SNL.Clients.Office.Excel.Functions.SPG(G4, "SP_TOTAL_REV", "CY2022")</f>
        <v>34229000</v>
      </c>
      <c r="I4" s="4">
        <f>_xll.SNL.Clients.Office.Excel.Functions.SPG(G4,"IQ_AVG_DILUT_SHARES_OUT","CY2022")</f>
        <v>567600000</v>
      </c>
      <c r="J4" s="5">
        <f>_xll.SNL.Clients.Office.Excel.Functions.SPG(G4, "IQ_DILUT_EPS_NORM", "CY2022")</f>
        <v>6.6470000000000002</v>
      </c>
      <c r="K4">
        <f>I4*J4/1000</f>
        <v>3772837.2</v>
      </c>
      <c r="L4">
        <f>K4/H4</f>
        <v>0.11022341289549797</v>
      </c>
    </row>
    <row r="5" spans="1:12" x14ac:dyDescent="0.3">
      <c r="A5" t="s">
        <v>7</v>
      </c>
      <c r="B5" s="4" cm="1">
        <f t="array" ref="B5">_xll.SNL.Clients.Office.Excel.Functions.SPG(A5, "SP_TOTAL_REV", "CY2023")</f>
        <v>3852800</v>
      </c>
      <c r="C5" s="4">
        <f>_xll.SNL.Clients.Office.Excel.Functions.SPG(A5,"IQ_AVG_DILUT_SHARES_OUT","CY2023")</f>
        <v>151015574</v>
      </c>
      <c r="D5" s="5">
        <f>_xll.SNL.Clients.Office.Excel.Functions.SPG(A5, "IQ_DILUT_EPS_NORM", "CY2023")</f>
        <v>3.11</v>
      </c>
      <c r="E5">
        <f t="shared" ref="E5:E68" si="0">C5*D5/1000</f>
        <v>469658.43513999996</v>
      </c>
      <c r="F5">
        <f t="shared" ref="F5:F68" si="1">E5/B5</f>
        <v>0.12190054898774916</v>
      </c>
      <c r="G5" t="s">
        <v>7</v>
      </c>
      <c r="H5" s="4" cm="1">
        <f t="array" ref="H5">_xll.SNL.Clients.Office.Excel.Functions.SPG(G5, "SP_TOTAL_REV", "CY2023")</f>
        <v>3852800</v>
      </c>
      <c r="I5" s="4">
        <f>_xll.SNL.Clients.Office.Excel.Functions.SPG(G5,"IQ_AVG_DILUT_SHARES_OUT","CY2023")</f>
        <v>151015574</v>
      </c>
      <c r="J5" s="5">
        <f>_xll.SNL.Clients.Office.Excel.Functions.SPG(G5, "IQ_DILUT_EPS_NORM", "CY2023")</f>
        <v>3.11</v>
      </c>
      <c r="K5">
        <f t="shared" ref="K5:K68" si="2">I5*J5/1000</f>
        <v>469658.43513999996</v>
      </c>
      <c r="L5">
        <f t="shared" ref="L5:L68" si="3">K5/H5</f>
        <v>0.12190054898774916</v>
      </c>
    </row>
    <row r="6" spans="1:12" x14ac:dyDescent="0.3">
      <c r="A6" t="s">
        <v>8</v>
      </c>
      <c r="B6" s="4" cm="1">
        <f t="array" ref="B6">_xll.SNL.Clients.Office.Excel.Functions.SPG(A6, "SP_TOTAL_REV", "CY2023")</f>
        <v>40109000</v>
      </c>
      <c r="C6" s="4">
        <f>_xll.SNL.Clients.Office.Excel.Functions.SPG(A6,"IQ_AVG_DILUT_SHARES_OUT","CY2023")</f>
        <v>1749000000</v>
      </c>
      <c r="D6" s="5">
        <f>_xll.SNL.Clients.Office.Excel.Functions.SPG(A6, "IQ_DILUT_EPS_NORM", "CY2023")</f>
        <v>2.4670000000000001</v>
      </c>
      <c r="E6">
        <f t="shared" si="0"/>
        <v>4314783</v>
      </c>
      <c r="F6">
        <f t="shared" si="1"/>
        <v>0.1075764292303473</v>
      </c>
      <c r="G6" t="s">
        <v>8</v>
      </c>
      <c r="H6" s="4" cm="1">
        <f t="array" ref="H6">_xll.SNL.Clients.Office.Excel.Functions.SPG(G6, "SP_TOTAL_REV", "CY2023")</f>
        <v>40109000</v>
      </c>
      <c r="I6" s="4">
        <f>_xll.SNL.Clients.Office.Excel.Functions.SPG(G6,"IQ_AVG_DILUT_SHARES_OUT","CY2023")</f>
        <v>1749000000</v>
      </c>
      <c r="J6" s="5">
        <f>_xll.SNL.Clients.Office.Excel.Functions.SPG(G6, "IQ_DILUT_EPS_NORM", "CY2023")</f>
        <v>2.4670000000000001</v>
      </c>
      <c r="K6">
        <f t="shared" si="2"/>
        <v>4314783</v>
      </c>
      <c r="L6">
        <f t="shared" si="3"/>
        <v>0.1075764292303473</v>
      </c>
    </row>
    <row r="7" spans="1:12" x14ac:dyDescent="0.3">
      <c r="A7" t="s">
        <v>9</v>
      </c>
      <c r="B7" s="4" cm="1">
        <f t="array" ref="B7">_xll.SNL.Clients.Office.Excel.Functions.SPG(A7, "SP_TOTAL_REV", "CY2023")</f>
        <v>54318000</v>
      </c>
      <c r="C7" s="4">
        <f>_xll.SNL.Clients.Office.Excel.Functions.SPG(A7,"IQ_AVG_DILUT_SHARES_OUT","CY2023")</f>
        <v>1773000000</v>
      </c>
      <c r="D7" s="5">
        <f>_xll.SNL.Clients.Office.Excel.Functions.SPG(A7, "IQ_DILUT_EPS_NORM", "CY2023")</f>
        <v>5.6420000000000003</v>
      </c>
      <c r="E7">
        <f t="shared" si="0"/>
        <v>10003266</v>
      </c>
      <c r="F7">
        <f t="shared" si="1"/>
        <v>0.18416116204573069</v>
      </c>
      <c r="G7" t="s">
        <v>9</v>
      </c>
      <c r="H7" s="4" cm="1">
        <f t="array" ref="H7">_xll.SNL.Clients.Office.Excel.Functions.SPG(G7, "SP_TOTAL_REV", "CY2023")</f>
        <v>54318000</v>
      </c>
      <c r="I7" s="4">
        <f>_xll.SNL.Clients.Office.Excel.Functions.SPG(G7,"IQ_AVG_DILUT_SHARES_OUT","CY2023")</f>
        <v>1773000000</v>
      </c>
      <c r="J7" s="5">
        <f>_xll.SNL.Clients.Office.Excel.Functions.SPG(G7, "IQ_DILUT_EPS_NORM", "CY2023")</f>
        <v>5.6420000000000003</v>
      </c>
      <c r="K7">
        <f t="shared" si="2"/>
        <v>10003266</v>
      </c>
      <c r="L7">
        <f t="shared" si="3"/>
        <v>0.18416116204573069</v>
      </c>
    </row>
    <row r="8" spans="1:12" x14ac:dyDescent="0.3">
      <c r="A8" t="s">
        <v>10</v>
      </c>
      <c r="B8" s="4" cm="1">
        <f t="array" ref="B8">_xll.SNL.Clients.Office.Excel.Functions.SPG(A8, "SP_TOTAL_REV", "CY2023")</f>
        <v>64588246</v>
      </c>
      <c r="C8" s="4">
        <f>_xll.SNL.Clients.Office.Excel.Functions.SPG(A8,"IQ_AVG_DILUT_SHARES_OUT","CY2023")</f>
        <v>638249501</v>
      </c>
      <c r="D8" s="5">
        <f>_xll.SNL.Clients.Office.Excel.Functions.SPG(A8, "IQ_DILUT_EPS_NORM", "CY2023")</f>
        <v>9.68</v>
      </c>
      <c r="E8">
        <f t="shared" si="0"/>
        <v>6178255.1696799994</v>
      </c>
      <c r="F8">
        <f t="shared" si="1"/>
        <v>9.5656029576650828E-2</v>
      </c>
      <c r="G8" t="s">
        <v>10</v>
      </c>
      <c r="H8" s="4" cm="1">
        <f t="array" ref="H8">_xll.SNL.Clients.Office.Excel.Functions.SPG(G8, "SP_TOTAL_REV", "CY2023")</f>
        <v>64588246</v>
      </c>
      <c r="I8" s="4">
        <f>_xll.SNL.Clients.Office.Excel.Functions.SPG(G8,"IQ_AVG_DILUT_SHARES_OUT","CY2023")</f>
        <v>638249501</v>
      </c>
      <c r="J8" s="5">
        <f>_xll.SNL.Clients.Office.Excel.Functions.SPG(G8, "IQ_DILUT_EPS_NORM", "CY2023")</f>
        <v>9.68</v>
      </c>
      <c r="K8">
        <f t="shared" si="2"/>
        <v>6178255.1696799994</v>
      </c>
      <c r="L8">
        <f t="shared" si="3"/>
        <v>9.5656029576650828E-2</v>
      </c>
    </row>
    <row r="9" spans="1:12" x14ac:dyDescent="0.3">
      <c r="A9" t="s">
        <v>11</v>
      </c>
      <c r="B9" s="4" cm="1">
        <f t="array" ref="B9">_xll.SNL.Clients.Office.Excel.Functions.SPG(A9, "SP_TOTAL_REV", "CY2023")</f>
        <v>19409000</v>
      </c>
      <c r="C9" s="4">
        <f>_xll.SNL.Clients.Office.Excel.Functions.SPG(A9,"IQ_AVG_DILUT_SHARES_OUT","CY2023")</f>
        <v>459100000</v>
      </c>
      <c r="D9" s="5">
        <f>_xll.SNL.Clients.Office.Excel.Functions.SPG(A9, "IQ_DILUT_EPS_NORM", "CY2023")</f>
        <v>9.2439999999999998</v>
      </c>
      <c r="E9">
        <f t="shared" si="0"/>
        <v>4243920.4000000004</v>
      </c>
      <c r="F9">
        <f t="shared" si="1"/>
        <v>0.21865734453088775</v>
      </c>
      <c r="G9" t="s">
        <v>11</v>
      </c>
      <c r="H9" s="4" cm="1">
        <f t="array" ref="H9">_xll.SNL.Clients.Office.Excel.Functions.SPG(G9, "SP_TOTAL_REV", "CY2023")</f>
        <v>19409000</v>
      </c>
      <c r="I9" s="4">
        <f>_xll.SNL.Clients.Office.Excel.Functions.SPG(G9,"IQ_AVG_DILUT_SHARES_OUT","CY2023")</f>
        <v>459100000</v>
      </c>
      <c r="J9" s="5">
        <f>_xll.SNL.Clients.Office.Excel.Functions.SPG(G9, "IQ_DILUT_EPS_NORM", "CY2023")</f>
        <v>9.2439999999999998</v>
      </c>
      <c r="K9">
        <f t="shared" si="2"/>
        <v>4243920.4000000004</v>
      </c>
      <c r="L9">
        <f t="shared" si="3"/>
        <v>0.21865734453088775</v>
      </c>
    </row>
    <row r="10" spans="1:12" x14ac:dyDescent="0.3">
      <c r="A10" t="s">
        <v>12</v>
      </c>
      <c r="B10" s="4" cm="1">
        <f t="array" ref="B10">_xll.SNL.Clients.Office.Excel.Functions.SPG(A10, "SP_TOTAL_REV", "CY2023")</f>
        <v>22680000</v>
      </c>
      <c r="C10" s="4">
        <f>_xll.SNL.Clients.Office.Excel.Functions.SPG(A10,"IQ_AVG_DILUT_SHARES_OUT","CY2023")</f>
        <v>1625000000</v>
      </c>
      <c r="D10" s="5">
        <f>_xll.SNL.Clients.Office.Excel.Functions.SPG(A10, "IQ_DILUT_EPS_NORM", "CY2023")</f>
        <v>0.19600000000000001</v>
      </c>
      <c r="E10">
        <f t="shared" si="0"/>
        <v>318500</v>
      </c>
      <c r="F10">
        <f t="shared" si="1"/>
        <v>1.404320987654321E-2</v>
      </c>
      <c r="G10" t="s">
        <v>12</v>
      </c>
      <c r="H10" s="4" cm="1">
        <f t="array" ref="H10">_xll.SNL.Clients.Office.Excel.Functions.SPG(G10, "SP_TOTAL_REV", "CY2023")</f>
        <v>22680000</v>
      </c>
      <c r="I10" s="4">
        <f>_xll.SNL.Clients.Office.Excel.Functions.SPG(G10,"IQ_AVG_DILUT_SHARES_OUT","CY2023")</f>
        <v>1625000000</v>
      </c>
      <c r="J10" s="5">
        <f>_xll.SNL.Clients.Office.Excel.Functions.SPG(G10, "IQ_DILUT_EPS_NORM", "CY2023")</f>
        <v>0.19600000000000001</v>
      </c>
      <c r="K10">
        <f t="shared" si="2"/>
        <v>318500</v>
      </c>
      <c r="L10">
        <f t="shared" si="3"/>
        <v>1.404320987654321E-2</v>
      </c>
    </row>
    <row r="11" spans="1:12" x14ac:dyDescent="0.3">
      <c r="A11" t="s">
        <v>13</v>
      </c>
      <c r="B11" s="4" cm="1">
        <f t="array" ref="B11">_xll.SNL.Clients.Office.Excel.Functions.SPG(A11, "SP_TOTAL_REV", "CY2023")</f>
        <v>18701000</v>
      </c>
      <c r="C11" s="4">
        <f>_xll.SNL.Clients.Office.Excel.Functions.SPG(A11,"IQ_AVG_DILUT_SHARES_OUT","CY2023")</f>
        <v>598745000</v>
      </c>
      <c r="D11" s="5">
        <f>_xll.SNL.Clients.Office.Excel.Functions.SPG(A11, "IQ_DILUT_EPS_NORM", "CY2023")</f>
        <v>5.4930000000000003</v>
      </c>
      <c r="E11">
        <f t="shared" si="0"/>
        <v>3288906.2850000001</v>
      </c>
      <c r="F11">
        <f t="shared" si="1"/>
        <v>0.17586793674135073</v>
      </c>
      <c r="G11" t="s">
        <v>13</v>
      </c>
      <c r="H11" s="4" cm="1">
        <f t="array" ref="H11">_xll.SNL.Clients.Office.Excel.Functions.SPG(G11, "SP_TOTAL_REV", "CY2023")</f>
        <v>18701000</v>
      </c>
      <c r="I11" s="4">
        <f>_xll.SNL.Clients.Office.Excel.Functions.SPG(G11,"IQ_AVG_DILUT_SHARES_OUT","CY2023")</f>
        <v>598745000</v>
      </c>
      <c r="J11" s="5">
        <f>_xll.SNL.Clients.Office.Excel.Functions.SPG(G11, "IQ_DILUT_EPS_NORM", "CY2023")</f>
        <v>5.4930000000000003</v>
      </c>
      <c r="K11">
        <f t="shared" si="2"/>
        <v>3288906.2850000001</v>
      </c>
      <c r="L11">
        <f t="shared" si="3"/>
        <v>0.17586793674135073</v>
      </c>
    </row>
    <row r="12" spans="1:12" x14ac:dyDescent="0.3">
      <c r="A12" t="s">
        <v>14</v>
      </c>
      <c r="B12" s="4" cm="1">
        <f t="array" ref="B12">_xll.SNL.Clients.Office.Excel.Functions.SPG(A12, "SP_TOTAL_REV", "CY2023")</f>
        <v>6735000</v>
      </c>
      <c r="C12" s="4">
        <f>_xll.SNL.Clients.Office.Excel.Functions.SPG(A12,"IQ_AVG_DILUT_SHARES_OUT","CY2023")</f>
        <v>295250000</v>
      </c>
      <c r="D12" s="5">
        <f>_xll.SNL.Clients.Office.Excel.Functions.SPG(A12, "IQ_DILUT_EPS_NORM", "CY2023")</f>
        <v>2.9849999999999999</v>
      </c>
      <c r="E12">
        <f t="shared" si="0"/>
        <v>881321.25</v>
      </c>
      <c r="F12">
        <f t="shared" si="1"/>
        <v>0.13085690423162583</v>
      </c>
      <c r="G12" t="s">
        <v>14</v>
      </c>
      <c r="H12" s="4" cm="1">
        <f t="array" ref="H12">_xll.SNL.Clients.Office.Excel.Functions.SPG(G12, "SP_TOTAL_REV", "CY2023")</f>
        <v>6735000</v>
      </c>
      <c r="I12" s="4">
        <f>_xll.SNL.Clients.Office.Excel.Functions.SPG(G12,"IQ_AVG_DILUT_SHARES_OUT","CY2023")</f>
        <v>295250000</v>
      </c>
      <c r="J12" s="5">
        <f>_xll.SNL.Clients.Office.Excel.Functions.SPG(G12, "IQ_DILUT_EPS_NORM", "CY2023")</f>
        <v>2.9849999999999999</v>
      </c>
      <c r="K12">
        <f t="shared" si="2"/>
        <v>881321.25</v>
      </c>
      <c r="L12">
        <f t="shared" si="3"/>
        <v>0.13085690423162583</v>
      </c>
    </row>
    <row r="13" spans="1:12" x14ac:dyDescent="0.3">
      <c r="A13" t="s">
        <v>15</v>
      </c>
      <c r="B13" s="4" cm="1">
        <f t="array" ref="B13">_xll.SNL.Clients.Office.Excel.Functions.SPG(A13, "SP_TOTAL_REV", "CY2023")</f>
        <v>12422700</v>
      </c>
      <c r="C13" s="4">
        <f>_xll.SNL.Clients.Office.Excel.Functions.SPG(A13,"IQ_AVG_DILUT_SHARES_OUT","CY2023")</f>
        <v>222750000</v>
      </c>
      <c r="D13" s="5">
        <f>_xll.SNL.Clients.Office.Excel.Functions.SPG(A13, "IQ_DILUT_EPS_NORM", "CY2023")</f>
        <v>8.7070000000000007</v>
      </c>
      <c r="E13">
        <f t="shared" si="0"/>
        <v>1939484.2500000002</v>
      </c>
      <c r="F13">
        <f t="shared" si="1"/>
        <v>0.15612421212779831</v>
      </c>
      <c r="G13" t="s">
        <v>15</v>
      </c>
      <c r="H13" s="4" cm="1">
        <f t="array" ref="H13">_xll.SNL.Clients.Office.Excel.Functions.SPG(G13, "SP_TOTAL_REV", "CY2023")</f>
        <v>12422700</v>
      </c>
      <c r="I13" s="4">
        <f>_xll.SNL.Clients.Office.Excel.Functions.SPG(G13,"IQ_AVG_DILUT_SHARES_OUT","CY2023")</f>
        <v>222750000</v>
      </c>
      <c r="J13" s="5">
        <f>_xll.SNL.Clients.Office.Excel.Functions.SPG(G13, "IQ_DILUT_EPS_NORM", "CY2023")</f>
        <v>8.7070000000000007</v>
      </c>
      <c r="K13">
        <f t="shared" si="2"/>
        <v>1939484.2500000002</v>
      </c>
      <c r="L13">
        <f t="shared" si="3"/>
        <v>0.15612421212779831</v>
      </c>
    </row>
    <row r="14" spans="1:12" x14ac:dyDescent="0.3">
      <c r="A14" t="s">
        <v>16</v>
      </c>
      <c r="B14" s="4" cm="1">
        <f t="array" ref="B14">_xll.SNL.Clients.Office.Excel.Functions.SPG(A14, "SP_TOTAL_REV", "CY2023")</f>
        <v>9917000</v>
      </c>
      <c r="C14" s="4">
        <f>_xll.SNL.Clients.Office.Excel.Functions.SPG(A14,"IQ_AVG_DILUT_SHARES_OUT","CY2023")</f>
        <v>662000000</v>
      </c>
      <c r="D14" s="5">
        <f>_xll.SNL.Clients.Office.Excel.Functions.SPG(A14, "IQ_DILUT_EPS_NORM", "CY2023")</f>
        <v>1.99</v>
      </c>
      <c r="E14">
        <f t="shared" si="0"/>
        <v>1317380</v>
      </c>
      <c r="F14">
        <f t="shared" si="1"/>
        <v>0.13284057678733488</v>
      </c>
      <c r="G14" t="s">
        <v>16</v>
      </c>
      <c r="H14" s="4" cm="1">
        <f t="array" ref="H14">_xll.SNL.Clients.Office.Excel.Functions.SPG(G14, "SP_TOTAL_REV", "CY2023")</f>
        <v>9917000</v>
      </c>
      <c r="I14" s="4">
        <f>_xll.SNL.Clients.Office.Excel.Functions.SPG(G14,"IQ_AVG_DILUT_SHARES_OUT","CY2023")</f>
        <v>662000000</v>
      </c>
      <c r="J14" s="5">
        <f>_xll.SNL.Clients.Office.Excel.Functions.SPG(G14, "IQ_DILUT_EPS_NORM", "CY2023")</f>
        <v>1.99</v>
      </c>
      <c r="K14">
        <f t="shared" si="2"/>
        <v>1317380</v>
      </c>
      <c r="L14">
        <f t="shared" si="3"/>
        <v>0.13284057678733488</v>
      </c>
    </row>
    <row r="15" spans="1:12" x14ac:dyDescent="0.3">
      <c r="A15" t="s">
        <v>17</v>
      </c>
      <c r="B15" s="4" cm="1">
        <f t="array" ref="B15">_xll.SNL.Clients.Office.Excel.Functions.SPG(A15, "SP_TOTAL_REV", "CY2023")</f>
        <v>3811920</v>
      </c>
      <c r="C15" s="4">
        <f>_xll.SNL.Clients.Office.Excel.Functions.SPG(A15,"IQ_AVG_DILUT_SHARES_OUT","CY2023")</f>
        <v>155397000</v>
      </c>
      <c r="D15" s="5">
        <f>_xll.SNL.Clients.Office.Excel.Functions.SPG(A15, "IQ_DILUT_EPS_NORM", "CY2023")</f>
        <v>2.911</v>
      </c>
      <c r="E15">
        <f t="shared" si="0"/>
        <v>452360.66700000002</v>
      </c>
      <c r="F15">
        <f t="shared" si="1"/>
        <v>0.11867003163759995</v>
      </c>
      <c r="G15" t="s">
        <v>17</v>
      </c>
      <c r="H15" s="4" cm="1">
        <f t="array" ref="H15">_xll.SNL.Clients.Office.Excel.Functions.SPG(G15, "SP_TOTAL_REV", "CY2023")</f>
        <v>3811920</v>
      </c>
      <c r="I15" s="4">
        <f>_xll.SNL.Clients.Office.Excel.Functions.SPG(G15,"IQ_AVG_DILUT_SHARES_OUT","CY2023")</f>
        <v>155397000</v>
      </c>
      <c r="J15" s="5">
        <f>_xll.SNL.Clients.Office.Excel.Functions.SPG(G15, "IQ_DILUT_EPS_NORM", "CY2023")</f>
        <v>2.911</v>
      </c>
      <c r="K15">
        <f t="shared" si="2"/>
        <v>452360.66700000002</v>
      </c>
      <c r="L15">
        <f t="shared" si="3"/>
        <v>0.11867003163759995</v>
      </c>
    </row>
    <row r="16" spans="1:12" x14ac:dyDescent="0.3">
      <c r="A16" t="s">
        <v>18</v>
      </c>
      <c r="B16" s="4" cm="1">
        <f t="array" ref="B16">_xll.SNL.Clients.Office.Excel.Functions.SPG(A16, "SP_TOTAL_REV", "CY2023")</f>
        <v>9617203</v>
      </c>
      <c r="C16" s="4">
        <f>_xll.SNL.Clients.Office.Excel.Functions.SPG(A16,"IQ_AVG_DILUT_SHARES_OUT","CY2023")</f>
        <v>117766000</v>
      </c>
      <c r="D16" s="5">
        <f>_xll.SNL.Clients.Office.Excel.Functions.SPG(A16, "IQ_DILUT_EPS_NORM", "CY2023")</f>
        <v>11.619</v>
      </c>
      <c r="E16">
        <f t="shared" si="0"/>
        <v>1368323.1540000001</v>
      </c>
      <c r="F16">
        <f t="shared" si="1"/>
        <v>0.14227870140621968</v>
      </c>
      <c r="G16" t="s">
        <v>18</v>
      </c>
      <c r="H16" s="4" cm="1">
        <f t="array" ref="H16">_xll.SNL.Clients.Office.Excel.Functions.SPG(G16, "SP_TOTAL_REV", "CY2023")</f>
        <v>9617203</v>
      </c>
      <c r="I16" s="4">
        <f>_xll.SNL.Clients.Office.Excel.Functions.SPG(G16,"IQ_AVG_DILUT_SHARES_OUT","CY2023")</f>
        <v>117766000</v>
      </c>
      <c r="J16" s="5">
        <f>_xll.SNL.Clients.Office.Excel.Functions.SPG(G16, "IQ_DILUT_EPS_NORM", "CY2023")</f>
        <v>11.619</v>
      </c>
      <c r="K16">
        <f t="shared" si="2"/>
        <v>1368323.1540000001</v>
      </c>
      <c r="L16">
        <f t="shared" si="3"/>
        <v>0.14227870140621968</v>
      </c>
    </row>
    <row r="17" spans="1:12" x14ac:dyDescent="0.3">
      <c r="A17" t="s">
        <v>19</v>
      </c>
      <c r="B17" s="4" cm="1">
        <f t="array" ref="B17">_xll.SNL.Clients.Office.Excel.Functions.SPG(A17, "SP_TOTAL_REV", "CY2023")</f>
        <v>2886679</v>
      </c>
      <c r="C17" s="4">
        <f>_xll.SNL.Clients.Office.Excel.Functions.SPG(A17,"IQ_AVG_DILUT_SHARES_OUT","CY2023")</f>
        <v>170909000</v>
      </c>
      <c r="D17" s="5">
        <f>_xll.SNL.Clients.Office.Excel.Functions.SPG(A17, "IQ_DILUT_EPS_NORM", "CY2023")</f>
        <v>1.3779999999999999</v>
      </c>
      <c r="E17">
        <f t="shared" si="0"/>
        <v>235512.60199999998</v>
      </c>
      <c r="F17">
        <f t="shared" si="1"/>
        <v>8.1586003154489981E-2</v>
      </c>
      <c r="G17" t="s">
        <v>19</v>
      </c>
      <c r="H17" s="4" cm="1">
        <f t="array" ref="H17">_xll.SNL.Clients.Office.Excel.Functions.SPG(G17, "SP_TOTAL_REV", "CY2023")</f>
        <v>2886679</v>
      </c>
      <c r="I17" s="4">
        <f>_xll.SNL.Clients.Office.Excel.Functions.SPG(G17,"IQ_AVG_DILUT_SHARES_OUT","CY2023")</f>
        <v>170909000</v>
      </c>
      <c r="J17" s="5">
        <f>_xll.SNL.Clients.Office.Excel.Functions.SPG(G17, "IQ_DILUT_EPS_NORM", "CY2023")</f>
        <v>1.3779999999999999</v>
      </c>
      <c r="K17">
        <f t="shared" si="2"/>
        <v>235512.60199999998</v>
      </c>
      <c r="L17">
        <f t="shared" si="3"/>
        <v>8.1586003154489981E-2</v>
      </c>
    </row>
    <row r="18" spans="1:12" x14ac:dyDescent="0.3">
      <c r="A18" t="s">
        <v>20</v>
      </c>
      <c r="B18" s="4" cm="1">
        <f t="array" ref="B18">_xll.SNL.Clients.Office.Excel.Functions.SPG(A18, "SP_TOTAL_REV", "CY2023")</f>
        <v>3862260</v>
      </c>
      <c r="C18" s="4">
        <f>_xll.SNL.Clients.Office.Excel.Functions.SPG(A18,"IQ_AVG_DILUT_SHARES_OUT","CY2023")</f>
        <v>76568000</v>
      </c>
      <c r="D18" s="5">
        <f>_xll.SNL.Clients.Office.Excel.Functions.SPG(A18, "IQ_DILUT_EPS_NORM", "CY2023")</f>
        <v>5.343</v>
      </c>
      <c r="E18">
        <f t="shared" si="0"/>
        <v>409102.82400000002</v>
      </c>
      <c r="F18">
        <f t="shared" si="1"/>
        <v>0.10592317037175127</v>
      </c>
      <c r="G18" t="s">
        <v>20</v>
      </c>
      <c r="H18" s="4" cm="1">
        <f t="array" ref="H18">_xll.SNL.Clients.Office.Excel.Functions.SPG(G18, "SP_TOTAL_REV", "CY2023")</f>
        <v>3862260</v>
      </c>
      <c r="I18" s="4">
        <f>_xll.SNL.Clients.Office.Excel.Functions.SPG(G18,"IQ_AVG_DILUT_SHARES_OUT","CY2023")</f>
        <v>76568000</v>
      </c>
      <c r="J18" s="5">
        <f>_xll.SNL.Clients.Office.Excel.Functions.SPG(G18, "IQ_DILUT_EPS_NORM", "CY2023")</f>
        <v>5.343</v>
      </c>
      <c r="K18">
        <f t="shared" si="2"/>
        <v>409102.82400000002</v>
      </c>
      <c r="L18">
        <f t="shared" si="3"/>
        <v>0.10592317037175127</v>
      </c>
    </row>
    <row r="19" spans="1:12" x14ac:dyDescent="0.3">
      <c r="A19" t="s">
        <v>21</v>
      </c>
      <c r="B19" s="4" cm="1">
        <f t="array" ref="B19">_xll.SNL.Clients.Office.Excel.Functions.SPG(A19, "SP_TOTAL_REV", "CY2023")</f>
        <v>3650800</v>
      </c>
      <c r="C19" s="4">
        <f>_xll.SNL.Clients.Office.Excel.Functions.SPG(A19,"IQ_AVG_DILUT_SHARES_OUT","CY2023")</f>
        <v>88300000</v>
      </c>
      <c r="D19" s="5">
        <f>_xll.SNL.Clients.Office.Excel.Functions.SPG(A19, "IQ_DILUT_EPS_NORM", "CY2023")</f>
        <v>4.5679999999999996</v>
      </c>
      <c r="E19">
        <f t="shared" si="0"/>
        <v>403354.39999999997</v>
      </c>
      <c r="F19">
        <f t="shared" si="1"/>
        <v>0.11048383915854058</v>
      </c>
      <c r="G19" t="s">
        <v>21</v>
      </c>
      <c r="H19" s="4" cm="1">
        <f t="array" ref="H19">_xll.SNL.Clients.Office.Excel.Functions.SPG(G19, "SP_TOTAL_REV", "CY2023")</f>
        <v>3650800</v>
      </c>
      <c r="I19" s="4">
        <f>_xll.SNL.Clients.Office.Excel.Functions.SPG(G19,"IQ_AVG_DILUT_SHARES_OUT","CY2023")</f>
        <v>88300000</v>
      </c>
      <c r="J19" s="5">
        <f>_xll.SNL.Clients.Office.Excel.Functions.SPG(G19, "IQ_DILUT_EPS_NORM", "CY2023")</f>
        <v>4.5679999999999996</v>
      </c>
      <c r="K19">
        <f t="shared" si="2"/>
        <v>403354.39999999997</v>
      </c>
      <c r="L19">
        <f t="shared" si="3"/>
        <v>0.11048383915854058</v>
      </c>
    </row>
    <row r="20" spans="1:12" x14ac:dyDescent="0.3">
      <c r="A20" t="s">
        <v>22</v>
      </c>
      <c r="B20" s="4" cm="1">
        <f t="array" ref="B20">_xll.SNL.Clients.Office.Excel.Functions.SPG(A20, "SP_TOTAL_REV", "CY2023")</f>
        <v>4027000</v>
      </c>
      <c r="C20" s="4">
        <f>_xll.SNL.Clients.Office.Excel.Functions.SPG(A20,"IQ_AVG_DILUT_SHARES_OUT","CY2023")</f>
        <v>253300000</v>
      </c>
      <c r="D20" s="5">
        <f>_xll.SNL.Clients.Office.Excel.Functions.SPG(A20, "IQ_DILUT_EPS_NORM", "CY2023")</f>
        <v>1.744</v>
      </c>
      <c r="E20">
        <f t="shared" si="0"/>
        <v>441755.2</v>
      </c>
      <c r="F20">
        <f t="shared" si="1"/>
        <v>0.1096983362304445</v>
      </c>
      <c r="G20" t="s">
        <v>22</v>
      </c>
      <c r="H20" s="4" cm="1">
        <f t="array" ref="H20">_xll.SNL.Clients.Office.Excel.Functions.SPG(G20, "SP_TOTAL_REV", "CY2023")</f>
        <v>4027000</v>
      </c>
      <c r="I20" s="4">
        <f>_xll.SNL.Clients.Office.Excel.Functions.SPG(G20,"IQ_AVG_DILUT_SHARES_OUT","CY2023")</f>
        <v>253300000</v>
      </c>
      <c r="J20" s="5">
        <f>_xll.SNL.Clients.Office.Excel.Functions.SPG(G20, "IQ_DILUT_EPS_NORM", "CY2023")</f>
        <v>1.744</v>
      </c>
      <c r="K20">
        <f t="shared" si="2"/>
        <v>441755.2</v>
      </c>
      <c r="L20">
        <f t="shared" si="3"/>
        <v>0.1096983362304445</v>
      </c>
    </row>
    <row r="21" spans="1:12" x14ac:dyDescent="0.3">
      <c r="A21" t="s">
        <v>23</v>
      </c>
      <c r="B21" s="4" cm="1">
        <f t="array" ref="B21">_xll.SNL.Clients.Office.Excel.Functions.SPG(A21, "SP_TOTAL_REV", "CY2023")</f>
        <v>307394000</v>
      </c>
      <c r="C21" s="4">
        <f>_xll.SNL.Clients.Office.Excel.Functions.SPG(A21,"IQ_AVG_DILUT_SHARES_OUT","CY2023")</f>
        <v>12722000000</v>
      </c>
      <c r="D21" s="5" t="str">
        <f>_xll.SNL.Clients.Office.Excel.Functions.SPG(A21, "IQ_DILUT_EPS_NORM", "CY2023")</f>
        <v>NA</v>
      </c>
      <c r="E21" t="e">
        <f t="shared" si="0"/>
        <v>#VALUE!</v>
      </c>
      <c r="F21" t="e">
        <f t="shared" si="1"/>
        <v>#VALUE!</v>
      </c>
      <c r="G21" t="s">
        <v>23</v>
      </c>
      <c r="H21" s="4" cm="1">
        <f t="array" ref="H21">_xll.SNL.Clients.Office.Excel.Functions.SPG(G21, "SP_TOTAL_REV", "CY2023")</f>
        <v>307394000</v>
      </c>
      <c r="I21" s="4">
        <f>_xll.SNL.Clients.Office.Excel.Functions.SPG(G21,"IQ_AVG_DILUT_SHARES_OUT","CY2023")</f>
        <v>12722000000</v>
      </c>
      <c r="J21" s="5" t="str">
        <f>_xll.SNL.Clients.Office.Excel.Functions.SPG(G21, "IQ_DILUT_EPS_NORM", "CY2023")</f>
        <v>NA</v>
      </c>
      <c r="K21" t="e">
        <f t="shared" si="2"/>
        <v>#VALUE!</v>
      </c>
      <c r="L21" t="e">
        <f t="shared" si="3"/>
        <v>#VALUE!</v>
      </c>
    </row>
    <row r="22" spans="1:12" x14ac:dyDescent="0.3">
      <c r="A22" t="s">
        <v>24</v>
      </c>
      <c r="B22" s="4" cm="1">
        <f t="array" ref="B22">_xll.SNL.Clients.Office.Excel.Functions.SPG(A22, "SP_TOTAL_REV", "CY2023")</f>
        <v>307394000</v>
      </c>
      <c r="C22" s="4">
        <f>_xll.SNL.Clients.Office.Excel.Functions.SPG(A22,"IQ_AVG_DILUT_SHARES_OUT","CY2023")</f>
        <v>12722000000</v>
      </c>
      <c r="D22" s="5" t="str">
        <f>_xll.SNL.Clients.Office.Excel.Functions.SPG(A22, "IQ_DILUT_EPS_NORM", "CY2023")</f>
        <v>NA</v>
      </c>
      <c r="E22" t="e">
        <f t="shared" si="0"/>
        <v>#VALUE!</v>
      </c>
      <c r="F22" t="e">
        <f t="shared" si="1"/>
        <v>#VALUE!</v>
      </c>
      <c r="G22" t="s">
        <v>24</v>
      </c>
      <c r="H22" s="4" cm="1">
        <f t="array" ref="H22">_xll.SNL.Clients.Office.Excel.Functions.SPG(G22, "SP_TOTAL_REV", "CY2023")</f>
        <v>307394000</v>
      </c>
      <c r="I22" s="4">
        <f>_xll.SNL.Clients.Office.Excel.Functions.SPG(G22,"IQ_AVG_DILUT_SHARES_OUT","CY2023")</f>
        <v>12722000000</v>
      </c>
      <c r="J22" s="5" t="str">
        <f>_xll.SNL.Clients.Office.Excel.Functions.SPG(G22, "IQ_DILUT_EPS_NORM", "CY2023")</f>
        <v>NA</v>
      </c>
      <c r="K22" t="e">
        <f t="shared" si="2"/>
        <v>#VALUE!</v>
      </c>
      <c r="L22" t="e">
        <f t="shared" si="3"/>
        <v>#VALUE!</v>
      </c>
    </row>
    <row r="23" spans="1:12" x14ac:dyDescent="0.3">
      <c r="A23" t="s">
        <v>25</v>
      </c>
      <c r="B23" s="4" cm="1">
        <f t="array" ref="B23">_xll.SNL.Clients.Office.Excel.Functions.SPG(A23, "SP_TOTAL_REV", "CY2023")</f>
        <v>20502000</v>
      </c>
      <c r="C23" s="4">
        <f>_xll.SNL.Clients.Office.Excel.Functions.SPG(A23,"IQ_AVG_DILUT_SHARES_OUT","CY2023")</f>
        <v>1777000000</v>
      </c>
      <c r="D23" s="5">
        <f>_xll.SNL.Clients.Office.Excel.Functions.SPG(A23, "IQ_DILUT_EPS_NORM", "CY2023")</f>
        <v>4.0309999999999997</v>
      </c>
      <c r="E23">
        <f t="shared" si="0"/>
        <v>7163086.9999999991</v>
      </c>
      <c r="F23">
        <f t="shared" si="1"/>
        <v>0.34938479172763626</v>
      </c>
      <c r="G23" t="s">
        <v>25</v>
      </c>
      <c r="H23" s="4" cm="1">
        <f t="array" ref="H23">_xll.SNL.Clients.Office.Excel.Functions.SPG(G23, "SP_TOTAL_REV", "CY2023")</f>
        <v>20502000</v>
      </c>
      <c r="I23" s="4">
        <f>_xll.SNL.Clients.Office.Excel.Functions.SPG(G23,"IQ_AVG_DILUT_SHARES_OUT","CY2023")</f>
        <v>1777000000</v>
      </c>
      <c r="J23" s="5">
        <f>_xll.SNL.Clients.Office.Excel.Functions.SPG(G23, "IQ_DILUT_EPS_NORM", "CY2023")</f>
        <v>4.0309999999999997</v>
      </c>
      <c r="K23">
        <f t="shared" si="2"/>
        <v>7163086.9999999991</v>
      </c>
      <c r="L23">
        <f t="shared" si="3"/>
        <v>0.34938479172763626</v>
      </c>
    </row>
    <row r="24" spans="1:12" x14ac:dyDescent="0.3">
      <c r="A24" t="s">
        <v>26</v>
      </c>
      <c r="B24" s="4" cm="1">
        <f t="array" ref="B24">_xll.SNL.Clients.Office.Excel.Functions.SPG(A24, "SP_TOTAL_REV", "CY2023")</f>
        <v>574785000</v>
      </c>
      <c r="C24" s="4">
        <f>_xll.SNL.Clients.Office.Excel.Functions.SPG(A24,"IQ_AVG_DILUT_SHARES_OUT","CY2023")</f>
        <v>10492000000</v>
      </c>
      <c r="D24" s="5">
        <f>_xll.SNL.Clients.Office.Excel.Functions.SPG(A24, "IQ_DILUT_EPS_NORM", "CY2023")</f>
        <v>2.1739999999999999</v>
      </c>
      <c r="E24">
        <f t="shared" si="0"/>
        <v>22809608</v>
      </c>
      <c r="F24">
        <f t="shared" si="1"/>
        <v>3.9683721739433006E-2</v>
      </c>
      <c r="G24" t="s">
        <v>26</v>
      </c>
      <c r="H24" s="4" cm="1">
        <f t="array" ref="H24">_xll.SNL.Clients.Office.Excel.Functions.SPG(G24, "SP_TOTAL_REV", "CY2023")</f>
        <v>574785000</v>
      </c>
      <c r="I24" s="4">
        <f>_xll.SNL.Clients.Office.Excel.Functions.SPG(G24,"IQ_AVG_DILUT_SHARES_OUT","CY2023")</f>
        <v>10492000000</v>
      </c>
      <c r="J24" s="5">
        <f>_xll.SNL.Clients.Office.Excel.Functions.SPG(G24, "IQ_DILUT_EPS_NORM", "CY2023")</f>
        <v>2.1739999999999999</v>
      </c>
      <c r="K24">
        <f t="shared" si="2"/>
        <v>22809608</v>
      </c>
      <c r="L24">
        <f t="shared" si="3"/>
        <v>3.9683721739433006E-2</v>
      </c>
    </row>
    <row r="25" spans="1:12" x14ac:dyDescent="0.3">
      <c r="A25" t="s">
        <v>27</v>
      </c>
      <c r="B25" s="4" cm="1">
        <f t="array" ref="B25">_xll.SNL.Clients.Office.Excel.Functions.SPG(A25, "SP_TOTAL_REV", "CY2023")</f>
        <v>14034000</v>
      </c>
      <c r="C25" s="4">
        <f>_xll.SNL.Clients.Office.Excel.Functions.SPG(A25,"IQ_AVG_DILUT_SHARES_OUT","CY2023")</f>
        <v>1453000000</v>
      </c>
      <c r="D25" s="5">
        <f>_xll.SNL.Clients.Office.Excel.Functions.SPG(A25, "IQ_DILUT_EPS_NORM", "CY2023")</f>
        <v>0.39400000000000002</v>
      </c>
      <c r="E25">
        <f t="shared" si="0"/>
        <v>572482</v>
      </c>
      <c r="F25">
        <f t="shared" si="1"/>
        <v>4.079250391905373E-2</v>
      </c>
      <c r="G25" t="s">
        <v>27</v>
      </c>
      <c r="H25" s="4" cm="1">
        <f t="array" ref="H25">_xll.SNL.Clients.Office.Excel.Functions.SPG(G25, "SP_TOTAL_REV", "CY2023")</f>
        <v>14034000</v>
      </c>
      <c r="I25" s="4">
        <f>_xll.SNL.Clients.Office.Excel.Functions.SPG(G25,"IQ_AVG_DILUT_SHARES_OUT","CY2023")</f>
        <v>1453000000</v>
      </c>
      <c r="J25" s="5">
        <f>_xll.SNL.Clients.Office.Excel.Functions.SPG(G25, "IQ_DILUT_EPS_NORM", "CY2023")</f>
        <v>0.39400000000000002</v>
      </c>
      <c r="K25">
        <f t="shared" si="2"/>
        <v>572482</v>
      </c>
      <c r="L25">
        <f t="shared" si="3"/>
        <v>4.079250391905373E-2</v>
      </c>
    </row>
    <row r="26" spans="1:12" x14ac:dyDescent="0.3">
      <c r="A26" t="s">
        <v>28</v>
      </c>
      <c r="B26" s="4" cm="1">
        <f t="array" ref="B26">_xll.SNL.Clients.Office.Excel.Functions.SPG(A26, "SP_TOTAL_REV", "CY2023")</f>
        <v>7265000</v>
      </c>
      <c r="C26" s="4">
        <f>_xll.SNL.Clients.Office.Excel.Functions.SPG(A26,"IQ_AVG_DILUT_SHARES_OUT","CY2023")</f>
        <v>263400000</v>
      </c>
      <c r="D26" s="5">
        <f>_xll.SNL.Clients.Office.Excel.Functions.SPG(A26, "IQ_DILUT_EPS_NORM", "CY2023")</f>
        <v>3.161</v>
      </c>
      <c r="E26">
        <f t="shared" si="0"/>
        <v>832607.4</v>
      </c>
      <c r="F26">
        <f t="shared" si="1"/>
        <v>0.11460528561596697</v>
      </c>
      <c r="G26" t="s">
        <v>28</v>
      </c>
      <c r="H26" s="4" cm="1">
        <f t="array" ref="H26">_xll.SNL.Clients.Office.Excel.Functions.SPG(G26, "SP_TOTAL_REV", "CY2023")</f>
        <v>7265000</v>
      </c>
      <c r="I26" s="4">
        <f>_xll.SNL.Clients.Office.Excel.Functions.SPG(G26,"IQ_AVG_DILUT_SHARES_OUT","CY2023")</f>
        <v>263400000</v>
      </c>
      <c r="J26" s="5">
        <f>_xll.SNL.Clients.Office.Excel.Functions.SPG(G26, "IQ_DILUT_EPS_NORM", "CY2023")</f>
        <v>3.161</v>
      </c>
      <c r="K26">
        <f t="shared" si="2"/>
        <v>832607.4</v>
      </c>
      <c r="L26">
        <f t="shared" si="3"/>
        <v>0.11460528561596697</v>
      </c>
    </row>
    <row r="27" spans="1:12" x14ac:dyDescent="0.3">
      <c r="A27" t="s">
        <v>29</v>
      </c>
      <c r="B27" s="4" cm="1">
        <f t="array" ref="B27">_xll.SNL.Clients.Office.Excel.Functions.SPG(A27, "SP_TOTAL_REV", "CY2023")</f>
        <v>18982300</v>
      </c>
      <c r="C27" s="4">
        <f>_xll.SNL.Clients.Office.Excel.Functions.SPG(A27,"IQ_AVG_DILUT_SHARES_OUT","CY2023")</f>
        <v>520206258</v>
      </c>
      <c r="D27" s="5">
        <f>_xll.SNL.Clients.Office.Excel.Functions.SPG(A27, "IQ_DILUT_EPS_NORM", "CY2023")</f>
        <v>2.9289999999999998</v>
      </c>
      <c r="E27">
        <f t="shared" si="0"/>
        <v>1523684.129682</v>
      </c>
      <c r="F27">
        <f t="shared" si="1"/>
        <v>8.0268678172929514E-2</v>
      </c>
      <c r="G27" t="s">
        <v>29</v>
      </c>
      <c r="H27" s="4" cm="1">
        <f t="array" ref="H27">_xll.SNL.Clients.Office.Excel.Functions.SPG(G27, "SP_TOTAL_REV", "CY2023")</f>
        <v>18982300</v>
      </c>
      <c r="I27" s="4">
        <f>_xll.SNL.Clients.Office.Excel.Functions.SPG(G27,"IQ_AVG_DILUT_SHARES_OUT","CY2023")</f>
        <v>520206258</v>
      </c>
      <c r="J27" s="5">
        <f>_xll.SNL.Clients.Office.Excel.Functions.SPG(G27, "IQ_DILUT_EPS_NORM", "CY2023")</f>
        <v>2.9289999999999998</v>
      </c>
      <c r="K27">
        <f t="shared" si="2"/>
        <v>1523684.129682</v>
      </c>
      <c r="L27">
        <f t="shared" si="3"/>
        <v>8.0268678172929514E-2</v>
      </c>
    </row>
    <row r="28" spans="1:12" x14ac:dyDescent="0.3">
      <c r="A28" t="s">
        <v>30</v>
      </c>
      <c r="B28" s="4" cm="1">
        <f t="array" ref="B28">_xll.SNL.Clients.Office.Excel.Functions.SPG(A28, "SP_TOTAL_REV", "CY2023")</f>
        <v>55592000</v>
      </c>
      <c r="C28" s="4">
        <f>_xll.SNL.Clients.Office.Excel.Functions.SPG(A28,"IQ_AVG_DILUT_SHARES_OUT","CY2023")</f>
        <v>736000000</v>
      </c>
      <c r="D28" s="5">
        <f>_xll.SNL.Clients.Office.Excel.Functions.SPG(A28, "IQ_DILUT_EPS_NORM", "CY2023")</f>
        <v>9.2089999999999996</v>
      </c>
      <c r="E28">
        <f t="shared" si="0"/>
        <v>6777824</v>
      </c>
      <c r="F28">
        <f t="shared" si="1"/>
        <v>0.12192085192113973</v>
      </c>
      <c r="G28" t="s">
        <v>30</v>
      </c>
      <c r="H28" s="4" cm="1">
        <f t="array" ref="H28">_xll.SNL.Clients.Office.Excel.Functions.SPG(G28, "SP_TOTAL_REV", "CY2023")</f>
        <v>55592000</v>
      </c>
      <c r="I28" s="4">
        <f>_xll.SNL.Clients.Office.Excel.Functions.SPG(G28,"IQ_AVG_DILUT_SHARES_OUT","CY2023")</f>
        <v>736000000</v>
      </c>
      <c r="J28" s="5">
        <f>_xll.SNL.Clients.Office.Excel.Functions.SPG(G28, "IQ_DILUT_EPS_NORM", "CY2023")</f>
        <v>9.2089999999999996</v>
      </c>
      <c r="K28">
        <f t="shared" si="2"/>
        <v>6777824</v>
      </c>
      <c r="L28">
        <f t="shared" si="3"/>
        <v>0.12192085192113973</v>
      </c>
    </row>
    <row r="29" spans="1:12" x14ac:dyDescent="0.3">
      <c r="A29" t="s">
        <v>31</v>
      </c>
      <c r="B29" s="4" cm="1">
        <f t="array" ref="B29">_xll.SNL.Clients.Office.Excel.Functions.SPG(A29, "SP_TOTAL_REV", "CY2023")</f>
        <v>27938000</v>
      </c>
      <c r="C29" s="4">
        <f>_xll.SNL.Clients.Office.Excel.Functions.SPG(A29,"IQ_AVG_DILUT_SHARES_OUT","CY2023")</f>
        <v>725233068</v>
      </c>
      <c r="D29" s="5">
        <f>_xll.SNL.Clients.Office.Excel.Functions.SPG(A29, "IQ_DILUT_EPS_NORM", "CY2023")</f>
        <v>2.8919999999999999</v>
      </c>
      <c r="E29">
        <f t="shared" si="0"/>
        <v>2097374.032656</v>
      </c>
      <c r="F29">
        <f t="shared" si="1"/>
        <v>7.5072447299591949E-2</v>
      </c>
      <c r="G29" t="s">
        <v>31</v>
      </c>
      <c r="H29" s="4" cm="1">
        <f t="array" ref="H29">_xll.SNL.Clients.Office.Excel.Functions.SPG(G29, "SP_TOTAL_REV", "CY2023")</f>
        <v>27938000</v>
      </c>
      <c r="I29" s="4">
        <f>_xll.SNL.Clients.Office.Excel.Functions.SPG(G29,"IQ_AVG_DILUT_SHARES_OUT","CY2023")</f>
        <v>725233068</v>
      </c>
      <c r="J29" s="5">
        <f>_xll.SNL.Clients.Office.Excel.Functions.SPG(G29, "IQ_DILUT_EPS_NORM", "CY2023")</f>
        <v>2.8919999999999999</v>
      </c>
      <c r="K29">
        <f t="shared" si="2"/>
        <v>2097374.032656</v>
      </c>
      <c r="L29">
        <f t="shared" si="3"/>
        <v>7.5072447299591949E-2</v>
      </c>
    </row>
    <row r="30" spans="1:12" x14ac:dyDescent="0.3">
      <c r="A30" t="s">
        <v>32</v>
      </c>
      <c r="B30" s="4" cm="1">
        <f t="array" ref="B30">_xll.SNL.Clients.Office.Excel.Functions.SPG(A30, "SP_TOTAL_REV", "CY2023")</f>
        <v>10130800</v>
      </c>
      <c r="C30" s="4">
        <f>_xll.SNL.Clients.Office.Excel.Functions.SPG(A30,"IQ_AVG_DILUT_SHARES_OUT","CY2023")</f>
        <v>467162000</v>
      </c>
      <c r="D30" s="5">
        <f>_xll.SNL.Clients.Office.Excel.Functions.SPG(A30, "IQ_DILUT_EPS_NORM", "CY2023")</f>
        <v>3.335</v>
      </c>
      <c r="E30">
        <f t="shared" si="0"/>
        <v>1557985.27</v>
      </c>
      <c r="F30">
        <f t="shared" si="1"/>
        <v>0.15378699312986141</v>
      </c>
      <c r="G30" t="s">
        <v>32</v>
      </c>
      <c r="H30" s="4" cm="1">
        <f t="array" ref="H30">_xll.SNL.Clients.Office.Excel.Functions.SPG(G30, "SP_TOTAL_REV", "CY2023")</f>
        <v>10130800</v>
      </c>
      <c r="I30" s="4">
        <f>_xll.SNL.Clients.Office.Excel.Functions.SPG(G30,"IQ_AVG_DILUT_SHARES_OUT","CY2023")</f>
        <v>467162000</v>
      </c>
      <c r="J30" s="5">
        <f>_xll.SNL.Clients.Office.Excel.Functions.SPG(G30, "IQ_DILUT_EPS_NORM", "CY2023")</f>
        <v>3.335</v>
      </c>
      <c r="K30">
        <f t="shared" si="2"/>
        <v>1557985.27</v>
      </c>
      <c r="L30">
        <f t="shared" si="3"/>
        <v>0.15378699312986141</v>
      </c>
    </row>
    <row r="31" spans="1:12" x14ac:dyDescent="0.3">
      <c r="A31" t="s">
        <v>33</v>
      </c>
      <c r="B31" s="4" cm="1">
        <f t="array" ref="B31">_xll.SNL.Clients.Office.Excel.Functions.SPG(A31, "SP_TOTAL_REV", "CY2023")</f>
        <v>4234000</v>
      </c>
      <c r="C31" s="4">
        <f>_xll.SNL.Clients.Office.Excel.Functions.SPG(A31,"IQ_AVG_DILUT_SHARES_OUT","CY2023")</f>
        <v>193000000</v>
      </c>
      <c r="D31" s="5">
        <f>_xll.SNL.Clients.Office.Excel.Functions.SPG(A31, "IQ_DILUT_EPS_NORM", "CY2023")</f>
        <v>3.8730000000000002</v>
      </c>
      <c r="E31">
        <f t="shared" si="0"/>
        <v>747489</v>
      </c>
      <c r="F31">
        <f t="shared" si="1"/>
        <v>0.17654440245630609</v>
      </c>
      <c r="G31" t="s">
        <v>33</v>
      </c>
      <c r="H31" s="4" cm="1">
        <f t="array" ref="H31">_xll.SNL.Clients.Office.Excel.Functions.SPG(G31, "SP_TOTAL_REV", "CY2023")</f>
        <v>4234000</v>
      </c>
      <c r="I31" s="4">
        <f>_xll.SNL.Clients.Office.Excel.Functions.SPG(G31,"IQ_AVG_DILUT_SHARES_OUT","CY2023")</f>
        <v>193000000</v>
      </c>
      <c r="J31" s="5">
        <f>_xll.SNL.Clients.Office.Excel.Functions.SPG(G31, "IQ_DILUT_EPS_NORM", "CY2023")</f>
        <v>3.8730000000000002</v>
      </c>
      <c r="K31">
        <f t="shared" si="2"/>
        <v>747489</v>
      </c>
      <c r="L31">
        <f t="shared" si="3"/>
        <v>0.17654440245630609</v>
      </c>
    </row>
    <row r="32" spans="1:12" x14ac:dyDescent="0.3">
      <c r="A32" t="s">
        <v>34</v>
      </c>
      <c r="B32" s="4" cm="1">
        <f t="array" ref="B32">_xll.SNL.Clients.Office.Excel.Functions.SPG(A32, "SP_TOTAL_REV", "CY2023")</f>
        <v>16096000</v>
      </c>
      <c r="C32" s="4">
        <f>_xll.SNL.Clients.Office.Excel.Functions.SPG(A32,"IQ_AVG_DILUT_SHARES_OUT","CY2023")</f>
        <v>107800000</v>
      </c>
      <c r="D32" s="5">
        <f>_xll.SNL.Clients.Office.Excel.Functions.SPG(A32, "IQ_DILUT_EPS_NORM", "CY2023")</f>
        <v>19.109000000000002</v>
      </c>
      <c r="E32">
        <f t="shared" si="0"/>
        <v>2059950.2000000002</v>
      </c>
      <c r="F32">
        <f t="shared" si="1"/>
        <v>0.12797901341948312</v>
      </c>
      <c r="G32" t="s">
        <v>34</v>
      </c>
      <c r="H32" s="4" cm="1">
        <f t="array" ref="H32">_xll.SNL.Clients.Office.Excel.Functions.SPG(G32, "SP_TOTAL_REV", "CY2023")</f>
        <v>16096000</v>
      </c>
      <c r="I32" s="4">
        <f>_xll.SNL.Clients.Office.Excel.Functions.SPG(G32,"IQ_AVG_DILUT_SHARES_OUT","CY2023")</f>
        <v>107800000</v>
      </c>
      <c r="J32" s="5">
        <f>_xll.SNL.Clients.Office.Excel.Functions.SPG(G32, "IQ_DILUT_EPS_NORM", "CY2023")</f>
        <v>19.109000000000002</v>
      </c>
      <c r="K32">
        <f t="shared" si="2"/>
        <v>2059950.2000000002</v>
      </c>
      <c r="L32">
        <f t="shared" si="3"/>
        <v>0.12797901341948312</v>
      </c>
    </row>
    <row r="33" spans="1:12" x14ac:dyDescent="0.3">
      <c r="A33" t="s">
        <v>35</v>
      </c>
      <c r="B33" s="4" cm="1">
        <f t="array" ref="B33">_xll.SNL.Clients.Office.Excel.Functions.SPG(A33, "SP_TOTAL_REV", "CY2023")</f>
        <v>6596950</v>
      </c>
      <c r="C33" s="4">
        <f>_xll.SNL.Clients.Office.Excel.Functions.SPG(A33,"IQ_AVG_DILUT_SHARES_OUT","CY2023")</f>
        <v>231509000</v>
      </c>
      <c r="D33" s="5">
        <f>_xll.SNL.Clients.Office.Excel.Functions.SPG(A33, "IQ_DILUT_EPS_NORM", "CY2023")</f>
        <v>4.3369999999999997</v>
      </c>
      <c r="E33">
        <f t="shared" si="0"/>
        <v>1004054.5330000001</v>
      </c>
      <c r="F33">
        <f t="shared" si="1"/>
        <v>0.15219980945740078</v>
      </c>
      <c r="G33" t="s">
        <v>35</v>
      </c>
      <c r="H33" s="4" cm="1">
        <f t="array" ref="H33">_xll.SNL.Clients.Office.Excel.Functions.SPG(G33, "SP_TOTAL_REV", "CY2023")</f>
        <v>6596950</v>
      </c>
      <c r="I33" s="4">
        <f>_xll.SNL.Clients.Office.Excel.Functions.SPG(G33,"IQ_AVG_DILUT_SHARES_OUT","CY2023")</f>
        <v>231509000</v>
      </c>
      <c r="J33" s="5">
        <f>_xll.SNL.Clients.Office.Excel.Functions.SPG(G33, "IQ_DILUT_EPS_NORM", "CY2023")</f>
        <v>4.3369999999999997</v>
      </c>
      <c r="K33">
        <f t="shared" si="2"/>
        <v>1004054.5330000001</v>
      </c>
      <c r="L33">
        <f t="shared" si="3"/>
        <v>0.15219980945740078</v>
      </c>
    </row>
    <row r="34" spans="1:12" x14ac:dyDescent="0.3">
      <c r="A34" t="s">
        <v>36</v>
      </c>
      <c r="B34" s="4" cm="1">
        <f t="array" ref="B34">_xll.SNL.Clients.Office.Excel.Functions.SPG(A34, "SP_TOTAL_REV", "CY2023")</f>
        <v>28190000</v>
      </c>
      <c r="C34" s="4">
        <f>_xll.SNL.Clients.Office.Excel.Functions.SPG(A34,"IQ_AVG_DILUT_SHARES_OUT","CY2023")</f>
        <v>538000000</v>
      </c>
      <c r="D34" s="5">
        <f>_xll.SNL.Clients.Office.Excel.Functions.SPG(A34, "IQ_DILUT_EPS_NORM", "CY2023")</f>
        <v>7.5030000000000001</v>
      </c>
      <c r="E34">
        <f t="shared" si="0"/>
        <v>4036614</v>
      </c>
      <c r="F34">
        <f t="shared" si="1"/>
        <v>0.14319311812699539</v>
      </c>
      <c r="G34" t="s">
        <v>36</v>
      </c>
      <c r="H34" s="4" cm="1">
        <f t="array" ref="H34">_xll.SNL.Clients.Office.Excel.Functions.SPG(G34, "SP_TOTAL_REV", "CY2023")</f>
        <v>28190000</v>
      </c>
      <c r="I34" s="4">
        <f>_xll.SNL.Clients.Office.Excel.Functions.SPG(G34,"IQ_AVG_DILUT_SHARES_OUT","CY2023")</f>
        <v>538000000</v>
      </c>
      <c r="J34" s="5">
        <f>_xll.SNL.Clients.Office.Excel.Functions.SPG(G34, "IQ_DILUT_EPS_NORM", "CY2023")</f>
        <v>7.5030000000000001</v>
      </c>
      <c r="K34">
        <f t="shared" si="2"/>
        <v>4036614</v>
      </c>
      <c r="L34">
        <f t="shared" si="3"/>
        <v>0.14319311812699539</v>
      </c>
    </row>
    <row r="35" spans="1:12" x14ac:dyDescent="0.3">
      <c r="A35" t="s">
        <v>37</v>
      </c>
      <c r="B35" s="4" cm="1">
        <f t="array" ref="B35">_xll.SNL.Clients.Office.Excel.Functions.SPG(A35, "SP_TOTAL_REV", "CY2023")</f>
        <v>12554700</v>
      </c>
      <c r="C35" s="4">
        <f>_xll.SNL.Clients.Office.Excel.Functions.SPG(A35,"IQ_AVG_DILUT_SHARES_OUT","CY2023")</f>
        <v>1241200000</v>
      </c>
      <c r="D35" s="5">
        <f>_xll.SNL.Clients.Office.Excel.Functions.SPG(A35, "IQ_DILUT_EPS_NORM", "CY2023")</f>
        <v>1.2370000000000001</v>
      </c>
      <c r="E35">
        <f t="shared" si="0"/>
        <v>1535364.4000000001</v>
      </c>
      <c r="F35">
        <f t="shared" si="1"/>
        <v>0.12229399348451178</v>
      </c>
      <c r="G35" t="s">
        <v>37</v>
      </c>
      <c r="H35" s="4" cm="1">
        <f t="array" ref="H35">_xll.SNL.Clients.Office.Excel.Functions.SPG(G35, "SP_TOTAL_REV", "CY2023")</f>
        <v>12554700</v>
      </c>
      <c r="I35" s="4">
        <f>_xll.SNL.Clients.Office.Excel.Functions.SPG(G35,"IQ_AVG_DILUT_SHARES_OUT","CY2023")</f>
        <v>1241200000</v>
      </c>
      <c r="J35" s="5">
        <f>_xll.SNL.Clients.Office.Excel.Functions.SPG(G35, "IQ_DILUT_EPS_NORM", "CY2023")</f>
        <v>1.2370000000000001</v>
      </c>
      <c r="K35">
        <f t="shared" si="2"/>
        <v>1535364.4000000001</v>
      </c>
      <c r="L35">
        <f t="shared" si="3"/>
        <v>0.12229399348451178</v>
      </c>
    </row>
    <row r="36" spans="1:12" x14ac:dyDescent="0.3">
      <c r="A36" t="s">
        <v>38</v>
      </c>
      <c r="B36" s="4" cm="1">
        <f t="array" ref="B36">_xll.SNL.Clients.Office.Excel.Functions.SPG(A36, "SP_TOTAL_REV", "CY2023")</f>
        <v>11568613</v>
      </c>
      <c r="C36" s="4">
        <f>_xll.SNL.Clients.Office.Excel.Functions.SPG(A36,"IQ_AVG_DILUT_SHARES_OUT","CY2023")</f>
        <v>502848250</v>
      </c>
      <c r="D36" s="5">
        <f>_xll.SNL.Clients.Office.Excel.Functions.SPG(A36, "IQ_DILUT_EPS_NORM", "CY2023")</f>
        <v>4.008</v>
      </c>
      <c r="E36">
        <f t="shared" si="0"/>
        <v>2015415.7860000001</v>
      </c>
      <c r="F36">
        <f t="shared" si="1"/>
        <v>0.17421412454544033</v>
      </c>
      <c r="G36" t="s">
        <v>38</v>
      </c>
      <c r="H36" s="4" cm="1">
        <f t="array" ref="H36">_xll.SNL.Clients.Office.Excel.Functions.SPG(G36, "SP_TOTAL_REV", "CY2023")</f>
        <v>11568613</v>
      </c>
      <c r="I36" s="4">
        <f>_xll.SNL.Clients.Office.Excel.Functions.SPG(G36,"IQ_AVG_DILUT_SHARES_OUT","CY2023")</f>
        <v>502848250</v>
      </c>
      <c r="J36" s="5">
        <f>_xll.SNL.Clients.Office.Excel.Functions.SPG(G36, "IQ_DILUT_EPS_NORM", "CY2023")</f>
        <v>4.008</v>
      </c>
      <c r="K36">
        <f t="shared" si="2"/>
        <v>2015415.7860000001</v>
      </c>
      <c r="L36">
        <f t="shared" si="3"/>
        <v>0.17421412454544033</v>
      </c>
    </row>
    <row r="37" spans="1:12" x14ac:dyDescent="0.3">
      <c r="A37" t="s">
        <v>39</v>
      </c>
      <c r="B37" s="4" cm="1">
        <f t="array" ref="B37">_xll.SNL.Clients.Office.Excel.Functions.SPG(A37, "SP_TOTAL_REV", "CY2023")</f>
        <v>2269949</v>
      </c>
      <c r="C37" s="4">
        <f>_xll.SNL.Clients.Office.Excel.Functions.SPG(A37,"IQ_AVG_DILUT_SHARES_OUT","CY2023")</f>
        <v>87386000</v>
      </c>
      <c r="D37" s="5">
        <f>_xll.SNL.Clients.Office.Excel.Functions.SPG(A37, "IQ_DILUT_EPS_NORM", "CY2023")</f>
        <v>4.2510000000000003</v>
      </c>
      <c r="E37">
        <f t="shared" si="0"/>
        <v>371477.886</v>
      </c>
      <c r="F37">
        <f t="shared" si="1"/>
        <v>0.16365032254028614</v>
      </c>
      <c r="G37" t="s">
        <v>39</v>
      </c>
      <c r="H37" s="4" cm="1">
        <f t="array" ref="H37">_xll.SNL.Clients.Office.Excel.Functions.SPG(G37, "SP_TOTAL_REV", "CY2023")</f>
        <v>2269949</v>
      </c>
      <c r="I37" s="4">
        <f>_xll.SNL.Clients.Office.Excel.Functions.SPG(G37,"IQ_AVG_DILUT_SHARES_OUT","CY2023")</f>
        <v>87386000</v>
      </c>
      <c r="J37" s="5">
        <f>_xll.SNL.Clients.Office.Excel.Functions.SPG(G37, "IQ_DILUT_EPS_NORM", "CY2023")</f>
        <v>4.2510000000000003</v>
      </c>
      <c r="K37">
        <f t="shared" si="2"/>
        <v>371477.886</v>
      </c>
      <c r="L37">
        <f t="shared" si="3"/>
        <v>0.16365032254028614</v>
      </c>
    </row>
    <row r="38" spans="1:12" x14ac:dyDescent="0.3">
      <c r="A38" t="s">
        <v>40</v>
      </c>
      <c r="B38" s="4" cm="1">
        <f t="array" ref="B38">_xll.SNL.Clients.Office.Excel.Functions.SPG(A38, "SP_TOTAL_REV", "CY2023")</f>
        <v>13407000</v>
      </c>
      <c r="C38" s="4">
        <f>_xll.SNL.Clients.Office.Excel.Functions.SPG(A38,"IQ_AVG_DILUT_SHARES_OUT","CY2023")</f>
        <v>205000000</v>
      </c>
      <c r="D38" s="5">
        <f>_xll.SNL.Clients.Office.Excel.Functions.SPG(A38, "IQ_DILUT_EPS_NORM", "CY2023")</f>
        <v>10.401</v>
      </c>
      <c r="E38">
        <f t="shared" si="0"/>
        <v>2132205</v>
      </c>
      <c r="F38">
        <f t="shared" si="1"/>
        <v>0.15903669724770642</v>
      </c>
      <c r="G38" t="s">
        <v>40</v>
      </c>
      <c r="H38" s="4" cm="1">
        <f t="array" ref="H38">_xll.SNL.Clients.Office.Excel.Functions.SPG(G38, "SP_TOTAL_REV", "CY2023")</f>
        <v>13407000</v>
      </c>
      <c r="I38" s="4">
        <f>_xll.SNL.Clients.Office.Excel.Functions.SPG(G38,"IQ_AVG_DILUT_SHARES_OUT","CY2023")</f>
        <v>205000000</v>
      </c>
      <c r="J38" s="5">
        <f>_xll.SNL.Clients.Office.Excel.Functions.SPG(G38, "IQ_DILUT_EPS_NORM", "CY2023")</f>
        <v>10.401</v>
      </c>
      <c r="K38">
        <f t="shared" si="2"/>
        <v>2132205</v>
      </c>
      <c r="L38">
        <f t="shared" si="3"/>
        <v>0.15903669724770642</v>
      </c>
    </row>
    <row r="39" spans="1:12" x14ac:dyDescent="0.3">
      <c r="A39" t="s">
        <v>41</v>
      </c>
      <c r="B39" s="4" cm="1">
        <f t="array" ref="B39">_xll.SNL.Clients.Office.Excel.Functions.SPG(A39, "SP_TOTAL_REV", "CY2023")</f>
        <v>8093000</v>
      </c>
      <c r="C39" s="4">
        <f>_xll.SNL.Clients.Office.Excel.Functions.SPG(A39,"IQ_AVG_DILUT_SHARES_OUT","CY2023")</f>
        <v>309000000</v>
      </c>
      <c r="D39" s="5">
        <f>_xll.SNL.Clients.Office.Excel.Functions.SPG(A39, "IQ_DILUT_EPS_NORM", "CY2023")</f>
        <v>5.1390000000000002</v>
      </c>
      <c r="E39">
        <f t="shared" si="0"/>
        <v>1587951</v>
      </c>
      <c r="F39">
        <f t="shared" si="1"/>
        <v>0.19621290003706907</v>
      </c>
      <c r="G39" t="s">
        <v>41</v>
      </c>
      <c r="H39" s="4" cm="1">
        <f t="array" ref="H39">_xll.SNL.Clients.Office.Excel.Functions.SPG(G39, "SP_TOTAL_REV", "CY2023")</f>
        <v>8093000</v>
      </c>
      <c r="I39" s="4">
        <f>_xll.SNL.Clients.Office.Excel.Functions.SPG(G39,"IQ_AVG_DILUT_SHARES_OUT","CY2023")</f>
        <v>309000000</v>
      </c>
      <c r="J39" s="5">
        <f>_xll.SNL.Clients.Office.Excel.Functions.SPG(G39, "IQ_DILUT_EPS_NORM", "CY2023")</f>
        <v>5.1390000000000002</v>
      </c>
      <c r="K39">
        <f t="shared" si="2"/>
        <v>1587951</v>
      </c>
      <c r="L39">
        <f t="shared" si="3"/>
        <v>0.19621290003706907</v>
      </c>
    </row>
    <row r="40" spans="1:12" x14ac:dyDescent="0.3">
      <c r="A40" t="s">
        <v>42</v>
      </c>
      <c r="B40" s="4" cm="1">
        <f t="array" ref="B40">_xll.SNL.Clients.Office.Excel.Functions.SPG(A40, "SP_TOTAL_REV", "CY2023")</f>
        <v>31944000</v>
      </c>
      <c r="C40" s="4">
        <f>_xll.SNL.Clients.Office.Excel.Functions.SPG(A40,"IQ_AVG_DILUT_SHARES_OUT","CY2023")</f>
        <v>588846447</v>
      </c>
      <c r="D40" s="5">
        <f>_xll.SNL.Clients.Office.Excel.Functions.SPG(A40, "IQ_DILUT_EPS_NORM", "CY2023")</f>
        <v>3.4159999999999999</v>
      </c>
      <c r="E40">
        <f t="shared" si="0"/>
        <v>2011499.4629519999</v>
      </c>
      <c r="F40">
        <f t="shared" si="1"/>
        <v>6.296955493839218E-2</v>
      </c>
      <c r="G40" t="s">
        <v>42</v>
      </c>
      <c r="H40" s="4" cm="1">
        <f t="array" ref="H40">_xll.SNL.Clients.Office.Excel.Functions.SPG(G40, "SP_TOTAL_REV", "CY2023")</f>
        <v>31944000</v>
      </c>
      <c r="I40" s="4">
        <f>_xll.SNL.Clients.Office.Excel.Functions.SPG(G40,"IQ_AVG_DILUT_SHARES_OUT","CY2023")</f>
        <v>588846447</v>
      </c>
      <c r="J40" s="5">
        <f>_xll.SNL.Clients.Office.Excel.Functions.SPG(G40, "IQ_DILUT_EPS_NORM", "CY2023")</f>
        <v>3.4159999999999999</v>
      </c>
      <c r="K40">
        <f t="shared" si="2"/>
        <v>2011499.4629519999</v>
      </c>
      <c r="L40">
        <f t="shared" si="3"/>
        <v>6.296955493839218E-2</v>
      </c>
    </row>
    <row r="41" spans="1:12" x14ac:dyDescent="0.3">
      <c r="A41" t="s">
        <v>43</v>
      </c>
      <c r="B41" s="4" cm="1">
        <f t="array" ref="B41">_xll.SNL.Clients.Office.Excel.Functions.SPG(A41, "SP_TOTAL_REV", "CY2023")</f>
        <v>385706000</v>
      </c>
      <c r="C41" s="4">
        <f>_xll.SNL.Clients.Office.Excel.Functions.SPG(A41,"IQ_AVG_DILUT_SHARES_OUT","CY2023")</f>
        <v>15717777750</v>
      </c>
      <c r="D41" s="5">
        <f>_xll.SNL.Clients.Office.Excel.Functions.SPG(A41, "IQ_DILUT_EPS_NORM", "CY2023")</f>
        <v>4.7089999999999996</v>
      </c>
      <c r="E41">
        <f t="shared" si="0"/>
        <v>74015015.42475</v>
      </c>
      <c r="F41">
        <f t="shared" si="1"/>
        <v>0.19189490291763675</v>
      </c>
      <c r="G41" t="s">
        <v>43</v>
      </c>
      <c r="H41" s="4" cm="1">
        <f t="array" ref="H41">_xll.SNL.Clients.Office.Excel.Functions.SPG(G41, "SP_TOTAL_REV", "CY2023")</f>
        <v>385706000</v>
      </c>
      <c r="I41" s="4">
        <f>_xll.SNL.Clients.Office.Excel.Functions.SPG(G41,"IQ_AVG_DILUT_SHARES_OUT","CY2023")</f>
        <v>15717777750</v>
      </c>
      <c r="J41" s="5">
        <f>_xll.SNL.Clients.Office.Excel.Functions.SPG(G41, "IQ_DILUT_EPS_NORM", "CY2023")</f>
        <v>4.7089999999999996</v>
      </c>
      <c r="K41">
        <f t="shared" si="2"/>
        <v>74015015.42475</v>
      </c>
      <c r="L41">
        <f t="shared" si="3"/>
        <v>0.19189490291763675</v>
      </c>
    </row>
    <row r="42" spans="1:12" x14ac:dyDescent="0.3">
      <c r="A42" t="s">
        <v>44</v>
      </c>
      <c r="B42" s="4" cm="1">
        <f t="array" ref="B42">_xll.SNL.Clients.Office.Excel.Functions.SPG(A42, "SP_TOTAL_REV", "CY2023")</f>
        <v>26485000</v>
      </c>
      <c r="C42" s="4">
        <f>_xll.SNL.Clients.Office.Excel.Functions.SPG(A42,"IQ_AVG_DILUT_SHARES_OUT","CY2023")</f>
        <v>842000000</v>
      </c>
      <c r="D42" s="5">
        <f>_xll.SNL.Clients.Office.Excel.Functions.SPG(A42, "IQ_DILUT_EPS_NORM", "CY2023")</f>
        <v>5.8479999999999999</v>
      </c>
      <c r="E42">
        <f t="shared" si="0"/>
        <v>4924016</v>
      </c>
      <c r="F42">
        <f t="shared" si="1"/>
        <v>0.18591716065697564</v>
      </c>
      <c r="G42" t="s">
        <v>44</v>
      </c>
      <c r="H42" s="4" cm="1">
        <f t="array" ref="H42">_xll.SNL.Clients.Office.Excel.Functions.SPG(G42, "SP_TOTAL_REV", "CY2023")</f>
        <v>26485000</v>
      </c>
      <c r="I42" s="4">
        <f>_xll.SNL.Clients.Office.Excel.Functions.SPG(G42,"IQ_AVG_DILUT_SHARES_OUT","CY2023")</f>
        <v>842000000</v>
      </c>
      <c r="J42" s="5">
        <f>_xll.SNL.Clients.Office.Excel.Functions.SPG(G42, "IQ_DILUT_EPS_NORM", "CY2023")</f>
        <v>5.8479999999999999</v>
      </c>
      <c r="K42">
        <f t="shared" si="2"/>
        <v>4924016</v>
      </c>
      <c r="L42">
        <f t="shared" si="3"/>
        <v>0.18591716065697564</v>
      </c>
    </row>
    <row r="43" spans="1:12" x14ac:dyDescent="0.3">
      <c r="A43" t="s">
        <v>45</v>
      </c>
      <c r="B43" s="4" cm="1">
        <f t="array" ref="B43">_xll.SNL.Clients.Office.Excel.Functions.SPG(A43, "SP_TOTAL_REV", "CY2023")</f>
        <v>20051000</v>
      </c>
      <c r="C43" s="4">
        <f>_xll.SNL.Clients.Office.Excel.Functions.SPG(A43,"IQ_AVG_DILUT_SHARES_OUT","CY2023")</f>
        <v>282880000</v>
      </c>
      <c r="D43" s="5">
        <f>_xll.SNL.Clients.Office.Excel.Functions.SPG(A43, "IQ_DILUT_EPS_NORM", "CY2023")</f>
        <v>2.9409999999999998</v>
      </c>
      <c r="E43">
        <f t="shared" si="0"/>
        <v>831950.08</v>
      </c>
      <c r="F43">
        <f t="shared" si="1"/>
        <v>4.1491700164580321E-2</v>
      </c>
      <c r="G43" t="s">
        <v>45</v>
      </c>
      <c r="H43" s="4" cm="1">
        <f t="array" ref="H43">_xll.SNL.Clients.Office.Excel.Functions.SPG(G43, "SP_TOTAL_REV", "CY2023")</f>
        <v>20051000</v>
      </c>
      <c r="I43" s="4">
        <f>_xll.SNL.Clients.Office.Excel.Functions.SPG(G43,"IQ_AVG_DILUT_SHARES_OUT","CY2023")</f>
        <v>282880000</v>
      </c>
      <c r="J43" s="5">
        <f>_xll.SNL.Clients.Office.Excel.Functions.SPG(G43, "IQ_DILUT_EPS_NORM", "CY2023")</f>
        <v>2.9409999999999998</v>
      </c>
      <c r="K43">
        <f t="shared" si="2"/>
        <v>831950.08</v>
      </c>
      <c r="L43">
        <f t="shared" si="3"/>
        <v>4.1491700164580321E-2</v>
      </c>
    </row>
    <row r="44" spans="1:12" x14ac:dyDescent="0.3">
      <c r="A44" t="s">
        <v>46</v>
      </c>
      <c r="B44" s="4" cm="1">
        <f t="array" ref="B44">_xll.SNL.Clients.Office.Excel.Functions.SPG(A44, "SP_TOTAL_REV", "CY2023")</f>
        <v>13574000</v>
      </c>
      <c r="C44" s="4">
        <f>_xll.SNL.Clients.Office.Excel.Functions.SPG(A44,"IQ_AVG_DILUT_SHARES_OUT","CY2023")</f>
        <v>378800000</v>
      </c>
      <c r="D44" s="5">
        <f>_xll.SNL.Clients.Office.Excel.Functions.SPG(A44, "IQ_DILUT_EPS_NORM", "CY2023")</f>
        <v>5.9009999999999998</v>
      </c>
      <c r="E44">
        <f t="shared" si="0"/>
        <v>2235298.7999999998</v>
      </c>
      <c r="F44">
        <f t="shared" si="1"/>
        <v>0.16467502578458817</v>
      </c>
      <c r="G44" t="s">
        <v>46</v>
      </c>
      <c r="H44" s="4" cm="1">
        <f t="array" ref="H44">_xll.SNL.Clients.Office.Excel.Functions.SPG(G44, "SP_TOTAL_REV", "CY2023")</f>
        <v>13574000</v>
      </c>
      <c r="I44" s="4">
        <f>_xll.SNL.Clients.Office.Excel.Functions.SPG(G44,"IQ_AVG_DILUT_SHARES_OUT","CY2023")</f>
        <v>378800000</v>
      </c>
      <c r="J44" s="5">
        <f>_xll.SNL.Clients.Office.Excel.Functions.SPG(G44, "IQ_DILUT_EPS_NORM", "CY2023")</f>
        <v>5.9009999999999998</v>
      </c>
      <c r="K44">
        <f t="shared" si="2"/>
        <v>2235298.7999999998</v>
      </c>
      <c r="L44">
        <f t="shared" si="3"/>
        <v>0.16467502578458817</v>
      </c>
    </row>
    <row r="45" spans="1:12" x14ac:dyDescent="0.3">
      <c r="A45" t="s">
        <v>47</v>
      </c>
      <c r="B45" s="4" cm="1">
        <f t="array" ref="B45">_xll.SNL.Clients.Office.Excel.Functions.SPG(A45, "SP_TOTAL_REV", "CY2023")</f>
        <v>93935000</v>
      </c>
      <c r="C45" s="4">
        <f>_xll.SNL.Clients.Office.Excel.Functions.SPG(A45,"IQ_AVG_DILUT_SHARES_OUT","CY2023")</f>
        <v>542000000</v>
      </c>
      <c r="D45" s="5">
        <f>_xll.SNL.Clients.Office.Excel.Functions.SPG(A45, "IQ_DILUT_EPS_NORM", "CY2023")</f>
        <v>5.3120000000000003</v>
      </c>
      <c r="E45">
        <f t="shared" si="0"/>
        <v>2879104</v>
      </c>
      <c r="F45">
        <f t="shared" si="1"/>
        <v>3.0649960078777877E-2</v>
      </c>
      <c r="G45" t="s">
        <v>47</v>
      </c>
      <c r="H45" s="4" cm="1">
        <f t="array" ref="H45">_xll.SNL.Clients.Office.Excel.Functions.SPG(G45, "SP_TOTAL_REV", "CY2023")</f>
        <v>93935000</v>
      </c>
      <c r="I45" s="4">
        <f>_xll.SNL.Clients.Office.Excel.Functions.SPG(G45,"IQ_AVG_DILUT_SHARES_OUT","CY2023")</f>
        <v>542000000</v>
      </c>
      <c r="J45" s="5">
        <f>_xll.SNL.Clients.Office.Excel.Functions.SPG(G45, "IQ_DILUT_EPS_NORM", "CY2023")</f>
        <v>5.3120000000000003</v>
      </c>
      <c r="K45">
        <f t="shared" si="2"/>
        <v>2879104</v>
      </c>
      <c r="L45">
        <f t="shared" si="3"/>
        <v>3.0649960078777877E-2</v>
      </c>
    </row>
    <row r="46" spans="1:12" x14ac:dyDescent="0.3">
      <c r="A46" t="s">
        <v>48</v>
      </c>
      <c r="B46" s="4" cm="1">
        <f t="array" ref="B46">_xll.SNL.Clients.Office.Excel.Functions.SPG(A46, "SP_TOTAL_REV", "CY2023")</f>
        <v>5860168</v>
      </c>
      <c r="C46" s="4">
        <f>_xll.SNL.Clients.Office.Excel.Functions.SPG(A46,"IQ_AVG_DILUT_SHARES_OUT","CY2023")</f>
        <v>317135000</v>
      </c>
      <c r="D46" s="5">
        <f>_xll.SNL.Clients.Office.Excel.Functions.SPG(A46, "IQ_DILUT_EPS_NORM", "CY2023")</f>
        <v>4.7359999999999998</v>
      </c>
      <c r="E46">
        <f t="shared" si="0"/>
        <v>1501951.36</v>
      </c>
      <c r="F46">
        <f t="shared" si="1"/>
        <v>0.2562983450303814</v>
      </c>
      <c r="G46" t="s">
        <v>48</v>
      </c>
      <c r="H46" s="4" cm="1">
        <f t="array" ref="H46">_xll.SNL.Clients.Office.Excel.Functions.SPG(G46, "SP_TOTAL_REV", "CY2023")</f>
        <v>5860168</v>
      </c>
      <c r="I46" s="4">
        <f>_xll.SNL.Clients.Office.Excel.Functions.SPG(G46,"IQ_AVG_DILUT_SHARES_OUT","CY2023")</f>
        <v>317135000</v>
      </c>
      <c r="J46" s="5">
        <f>_xll.SNL.Clients.Office.Excel.Functions.SPG(G46, "IQ_DILUT_EPS_NORM", "CY2023")</f>
        <v>4.7359999999999998</v>
      </c>
      <c r="K46">
        <f t="shared" si="2"/>
        <v>1501951.36</v>
      </c>
      <c r="L46">
        <f t="shared" si="3"/>
        <v>0.2562983450303814</v>
      </c>
    </row>
    <row r="47" spans="1:12" x14ac:dyDescent="0.3">
      <c r="A47" t="s">
        <v>49</v>
      </c>
      <c r="B47" s="4" cm="1">
        <f t="array" ref="B47">_xll.SNL.Clients.Office.Excel.Functions.SPG(A47, "SP_TOTAL_REV", "CY2023")</f>
        <v>10071900</v>
      </c>
      <c r="C47" s="4">
        <f>_xll.SNL.Clients.Office.Excel.Functions.SPG(A47,"IQ_AVG_DILUT_SHARES_OUT","CY2023")</f>
        <v>219300000</v>
      </c>
      <c r="D47" s="5">
        <f>_xll.SNL.Clients.Office.Excel.Functions.SPG(A47, "IQ_DILUT_EPS_NORM", "CY2023")</f>
        <v>5.6619999999999999</v>
      </c>
      <c r="E47">
        <f t="shared" si="0"/>
        <v>1241676.6000000001</v>
      </c>
      <c r="F47">
        <f t="shared" si="1"/>
        <v>0.12328126768534239</v>
      </c>
      <c r="G47" t="s">
        <v>49</v>
      </c>
      <c r="H47" s="4" cm="1">
        <f t="array" ref="H47">_xll.SNL.Clients.Office.Excel.Functions.SPG(G47, "SP_TOTAL_REV", "CY2023")</f>
        <v>10071900</v>
      </c>
      <c r="I47" s="4">
        <f>_xll.SNL.Clients.Office.Excel.Functions.SPG(G47,"IQ_AVG_DILUT_SHARES_OUT","CY2023")</f>
        <v>219300000</v>
      </c>
      <c r="J47" s="5">
        <f>_xll.SNL.Clients.Office.Excel.Functions.SPG(G47, "IQ_DILUT_EPS_NORM", "CY2023")</f>
        <v>5.6619999999999999</v>
      </c>
      <c r="K47">
        <f t="shared" si="2"/>
        <v>1241676.6000000001</v>
      </c>
      <c r="L47">
        <f t="shared" si="3"/>
        <v>0.12328126768534239</v>
      </c>
    </row>
    <row r="48" spans="1:12" x14ac:dyDescent="0.3">
      <c r="A48" t="s">
        <v>50</v>
      </c>
      <c r="B48" s="4" cm="1">
        <f t="array" ref="B48">_xll.SNL.Clients.Office.Excel.Functions.SPG(A48, "SP_TOTAL_REV", "CY2023")</f>
        <v>11131600</v>
      </c>
      <c r="C48" s="4">
        <f>_xll.SNL.Clients.Office.Excel.Functions.SPG(A48,"IQ_AVG_DILUT_SHARES_OUT","CY2023")</f>
        <v>53783069</v>
      </c>
      <c r="D48" s="5">
        <f>_xll.SNL.Clients.Office.Excel.Functions.SPG(A48, "IQ_DILUT_EPS_NORM", "CY2023")</f>
        <v>9.7729999999999997</v>
      </c>
      <c r="E48">
        <f t="shared" si="0"/>
        <v>525621.93333699997</v>
      </c>
      <c r="F48">
        <f t="shared" si="1"/>
        <v>4.7218902344406913E-2</v>
      </c>
      <c r="G48" t="s">
        <v>50</v>
      </c>
      <c r="H48" s="4" cm="1">
        <f t="array" ref="H48">_xll.SNL.Clients.Office.Excel.Functions.SPG(G48, "SP_TOTAL_REV", "CY2023")</f>
        <v>11131600</v>
      </c>
      <c r="I48" s="4">
        <f>_xll.SNL.Clients.Office.Excel.Functions.SPG(G48,"IQ_AVG_DILUT_SHARES_OUT","CY2023")</f>
        <v>53783069</v>
      </c>
      <c r="J48" s="5">
        <f>_xll.SNL.Clients.Office.Excel.Functions.SPG(G48, "IQ_DILUT_EPS_NORM", "CY2023")</f>
        <v>9.7729999999999997</v>
      </c>
      <c r="K48">
        <f t="shared" si="2"/>
        <v>525621.93333699997</v>
      </c>
      <c r="L48">
        <f t="shared" si="3"/>
        <v>4.7218902344406913E-2</v>
      </c>
    </row>
    <row r="49" spans="1:12" x14ac:dyDescent="0.3">
      <c r="A49" t="s">
        <v>51</v>
      </c>
      <c r="B49" s="4" cm="1">
        <f t="array" ref="B49">_xll.SNL.Clients.Office.Excel.Functions.SPG(A49, "SP_TOTAL_REV", "CY2023")</f>
        <v>122428000</v>
      </c>
      <c r="C49" s="4">
        <f>_xll.SNL.Clients.Office.Excel.Functions.SPG(A49,"IQ_AVG_DILUT_SHARES_OUT","CY2023")</f>
        <v>7258000000</v>
      </c>
      <c r="D49" s="5">
        <f>_xll.SNL.Clients.Office.Excel.Functions.SPG(A49, "IQ_DILUT_EPS_NORM", "CY2023")</f>
        <v>1.6819999999999999</v>
      </c>
      <c r="E49">
        <f t="shared" si="0"/>
        <v>12207956</v>
      </c>
      <c r="F49">
        <f t="shared" si="1"/>
        <v>9.9715391903812858E-2</v>
      </c>
      <c r="G49" t="s">
        <v>51</v>
      </c>
      <c r="H49" s="4" cm="1">
        <f t="array" ref="H49">_xll.SNL.Clients.Office.Excel.Functions.SPG(G49, "SP_TOTAL_REV", "CY2023")</f>
        <v>122428000</v>
      </c>
      <c r="I49" s="4">
        <f>_xll.SNL.Clients.Office.Excel.Functions.SPG(G49,"IQ_AVG_DILUT_SHARES_OUT","CY2023")</f>
        <v>7258000000</v>
      </c>
      <c r="J49" s="5">
        <f>_xll.SNL.Clients.Office.Excel.Functions.SPG(G49, "IQ_DILUT_EPS_NORM", "CY2023")</f>
        <v>1.6819999999999999</v>
      </c>
      <c r="K49">
        <f t="shared" si="2"/>
        <v>12207956</v>
      </c>
      <c r="L49">
        <f t="shared" si="3"/>
        <v>9.9715391903812858E-2</v>
      </c>
    </row>
    <row r="50" spans="1:12" x14ac:dyDescent="0.3">
      <c r="A50" t="s">
        <v>52</v>
      </c>
      <c r="B50" s="4" cm="1">
        <f t="array" ref="B50">_xll.SNL.Clients.Office.Excel.Functions.SPG(A50, "SP_TOTAL_REV", "CY2023")</f>
        <v>3949815</v>
      </c>
      <c r="C50" s="4">
        <f>_xll.SNL.Clients.Office.Excel.Functions.SPG(A50,"IQ_AVG_DILUT_SHARES_OUT","CY2023")</f>
        <v>147130750</v>
      </c>
      <c r="D50" s="5">
        <f>_xll.SNL.Clients.Office.Excel.Functions.SPG(A50, "IQ_DILUT_EPS_NORM", "CY2023")</f>
        <v>4.49</v>
      </c>
      <c r="E50">
        <f t="shared" si="0"/>
        <v>660617.0675</v>
      </c>
      <c r="F50">
        <f t="shared" si="1"/>
        <v>0.16725266056764684</v>
      </c>
      <c r="G50" t="s">
        <v>52</v>
      </c>
      <c r="H50" s="4" cm="1">
        <f t="array" ref="H50">_xll.SNL.Clients.Office.Excel.Functions.SPG(G50, "SP_TOTAL_REV", "CY2023")</f>
        <v>3949815</v>
      </c>
      <c r="I50" s="4">
        <f>_xll.SNL.Clients.Office.Excel.Functions.SPG(G50,"IQ_AVG_DILUT_SHARES_OUT","CY2023")</f>
        <v>147130750</v>
      </c>
      <c r="J50" s="5">
        <f>_xll.SNL.Clients.Office.Excel.Functions.SPG(G50, "IQ_DILUT_EPS_NORM", "CY2023")</f>
        <v>4.49</v>
      </c>
      <c r="K50">
        <f t="shared" si="2"/>
        <v>660617.0675</v>
      </c>
      <c r="L50">
        <f t="shared" si="3"/>
        <v>0.16725266056764684</v>
      </c>
    </row>
    <row r="51" spans="1:12" x14ac:dyDescent="0.3">
      <c r="A51" t="s">
        <v>53</v>
      </c>
      <c r="B51" s="4" cm="1">
        <f t="array" ref="B51">_xll.SNL.Clients.Office.Excel.Functions.SPG(A51, "SP_TOTAL_REV", "CY2023")</f>
        <v>5497000</v>
      </c>
      <c r="C51" s="4">
        <f>_xll.SNL.Clients.Office.Excel.Functions.SPG(A51,"IQ_AVG_DILUT_SHARES_OUT","CY2023")</f>
        <v>216000000</v>
      </c>
      <c r="D51" s="5">
        <f>_xll.SNL.Clients.Office.Excel.Functions.SPG(A51, "IQ_DILUT_EPS_NORM", "CY2023")</f>
        <v>3.516</v>
      </c>
      <c r="E51">
        <f t="shared" si="0"/>
        <v>759456</v>
      </c>
      <c r="F51">
        <f t="shared" si="1"/>
        <v>0.13815826814626159</v>
      </c>
      <c r="G51" t="s">
        <v>53</v>
      </c>
      <c r="H51" s="4" cm="1">
        <f t="array" ref="H51">_xll.SNL.Clients.Office.Excel.Functions.SPG(G51, "SP_TOTAL_REV", "CY2023")</f>
        <v>5497000</v>
      </c>
      <c r="I51" s="4">
        <f>_xll.SNL.Clients.Office.Excel.Functions.SPG(G51,"IQ_AVG_DILUT_SHARES_OUT","CY2023")</f>
        <v>216000000</v>
      </c>
      <c r="J51" s="5">
        <f>_xll.SNL.Clients.Office.Excel.Functions.SPG(G51, "IQ_DILUT_EPS_NORM", "CY2023")</f>
        <v>3.516</v>
      </c>
      <c r="K51">
        <f t="shared" si="2"/>
        <v>759456</v>
      </c>
      <c r="L51">
        <f t="shared" si="3"/>
        <v>0.13815826814626159</v>
      </c>
    </row>
    <row r="52" spans="1:12" x14ac:dyDescent="0.3">
      <c r="A52" t="s">
        <v>54</v>
      </c>
      <c r="B52" s="4" cm="1">
        <f t="array" ref="B52">_xll.SNL.Clients.Office.Excel.Functions.SPG(A52, "SP_TOTAL_REV", "CY2023")</f>
        <v>18585900</v>
      </c>
      <c r="C52" s="4">
        <f>_xll.SNL.Clients.Office.Excel.Functions.SPG(A52,"IQ_AVG_DILUT_SHARES_OUT","CY2023")</f>
        <v>414400000</v>
      </c>
      <c r="D52" s="5">
        <f>_xll.SNL.Clients.Office.Excel.Functions.SPG(A52, "IQ_DILUT_EPS_NORM", "CY2023")</f>
        <v>6.9359999999999999</v>
      </c>
      <c r="E52">
        <f t="shared" si="0"/>
        <v>2874278.4</v>
      </c>
      <c r="F52">
        <f t="shared" si="1"/>
        <v>0.154648330185786</v>
      </c>
      <c r="G52" t="s">
        <v>54</v>
      </c>
      <c r="H52" s="4" cm="1">
        <f t="array" ref="H52">_xll.SNL.Clients.Office.Excel.Functions.SPG(G52, "SP_TOTAL_REV", "CY2023")</f>
        <v>18585900</v>
      </c>
      <c r="I52" s="4">
        <f>_xll.SNL.Clients.Office.Excel.Functions.SPG(G52,"IQ_AVG_DILUT_SHARES_OUT","CY2023")</f>
        <v>414400000</v>
      </c>
      <c r="J52" s="5">
        <f>_xll.SNL.Clients.Office.Excel.Functions.SPG(G52, "IQ_DILUT_EPS_NORM", "CY2023")</f>
        <v>6.9359999999999999</v>
      </c>
      <c r="K52">
        <f t="shared" si="2"/>
        <v>2874278.4</v>
      </c>
      <c r="L52">
        <f t="shared" si="3"/>
        <v>0.154648330185786</v>
      </c>
    </row>
    <row r="53" spans="1:12" x14ac:dyDescent="0.3">
      <c r="A53" t="s">
        <v>55</v>
      </c>
      <c r="B53" s="4" cm="1">
        <f t="array" ref="B53">_xll.SNL.Clients.Office.Excel.Functions.SPG(A53, "SP_TOTAL_REV", "CY2023")</f>
        <v>17662419</v>
      </c>
      <c r="C53" s="4">
        <f>_xll.SNL.Clients.Office.Excel.Functions.SPG(A53,"IQ_AVG_DILUT_SHARES_OUT","CY2023")</f>
        <v>18373000</v>
      </c>
      <c r="D53" s="5">
        <f>_xll.SNL.Clients.Office.Excel.Functions.SPG(A53, "IQ_DILUT_EPS_NORM", "CY2023")</f>
        <v>112.113</v>
      </c>
      <c r="E53">
        <f t="shared" si="0"/>
        <v>2059852.149</v>
      </c>
      <c r="F53">
        <f t="shared" si="1"/>
        <v>0.11662344489732691</v>
      </c>
      <c r="G53" t="s">
        <v>55</v>
      </c>
      <c r="H53" s="4" cm="1">
        <f t="array" ref="H53">_xll.SNL.Clients.Office.Excel.Functions.SPG(G53, "SP_TOTAL_REV", "CY2023")</f>
        <v>17830563</v>
      </c>
      <c r="I53" s="4">
        <f>_xll.SNL.Clients.Office.Excel.Functions.SPG(G53,"IQ_AVG_DILUT_SHARES_OUT","CY2023")</f>
        <v>18750250</v>
      </c>
      <c r="J53" s="5">
        <f>_xll.SNL.Clients.Office.Excel.Functions.SPG(G53, "IQ_DILUT_EPS_NORM", "CY2023")</f>
        <v>108.649</v>
      </c>
      <c r="K53">
        <f t="shared" si="2"/>
        <v>2037195.9122500001</v>
      </c>
      <c r="L53">
        <f t="shared" si="3"/>
        <v>0.11425303352732048</v>
      </c>
    </row>
    <row r="54" spans="1:12" x14ac:dyDescent="0.3">
      <c r="A54" t="s">
        <v>56</v>
      </c>
      <c r="B54" s="4" cm="1">
        <f t="array" ref="B54">_xll.SNL.Clients.Office.Excel.Functions.SPG(A54, "SP_TOTAL_REV", "CY2023")</f>
        <v>2815021</v>
      </c>
      <c r="C54" s="4">
        <f>_xll.SNL.Clients.Office.Excel.Functions.SPG(A54,"IQ_AVG_DILUT_SHARES_OUT","CY2023")</f>
        <v>141643788</v>
      </c>
      <c r="D54" s="5">
        <f>_xll.SNL.Clients.Office.Excel.Functions.SPG(A54, "IQ_DILUT_EPS_NORM", "CY2023")</f>
        <v>3.0649999999999999</v>
      </c>
      <c r="E54">
        <f t="shared" si="0"/>
        <v>434138.21021999995</v>
      </c>
      <c r="F54">
        <f t="shared" si="1"/>
        <v>0.15422201476294492</v>
      </c>
      <c r="G54" t="s">
        <v>56</v>
      </c>
      <c r="H54" s="4" cm="1">
        <f t="array" ref="H54">_xll.SNL.Clients.Office.Excel.Functions.SPG(G54, "SP_TOTAL_REV", "CY2023")</f>
        <v>2815021</v>
      </c>
      <c r="I54" s="4">
        <f>_xll.SNL.Clients.Office.Excel.Functions.SPG(G54,"IQ_AVG_DILUT_SHARES_OUT","CY2023")</f>
        <v>141643788</v>
      </c>
      <c r="J54" s="5">
        <f>_xll.SNL.Clients.Office.Excel.Functions.SPG(G54, "IQ_DILUT_EPS_NORM", "CY2023")</f>
        <v>3.0649999999999999</v>
      </c>
      <c r="K54">
        <f t="shared" si="2"/>
        <v>434138.21021999995</v>
      </c>
      <c r="L54">
        <f t="shared" si="3"/>
        <v>0.15422201476294492</v>
      </c>
    </row>
    <row r="55" spans="1:12" x14ac:dyDescent="0.3">
      <c r="A55" t="s">
        <v>57</v>
      </c>
      <c r="B55" s="4" cm="1">
        <f t="array" ref="B55">_xll.SNL.Clients.Office.Excel.Functions.SPG(A55, "SP_TOTAL_REV", "CY2023")</f>
        <v>8364300</v>
      </c>
      <c r="C55" s="4">
        <f>_xll.SNL.Clients.Office.Excel.Functions.SPG(A55,"IQ_AVG_DILUT_SHARES_OUT","CY2023")</f>
        <v>81100000</v>
      </c>
      <c r="D55" s="5">
        <f>_xll.SNL.Clients.Office.Excel.Functions.SPG(A55, "IQ_DILUT_EPS_NORM", "CY2023")</f>
        <v>6.476</v>
      </c>
      <c r="E55">
        <f t="shared" si="0"/>
        <v>525203.6</v>
      </c>
      <c r="F55">
        <f t="shared" si="1"/>
        <v>6.2791100271391509E-2</v>
      </c>
      <c r="G55" t="s">
        <v>57</v>
      </c>
      <c r="H55" s="4" cm="1">
        <f t="array" ref="H55">_xll.SNL.Clients.Office.Excel.Functions.SPG(G55, "SP_TOTAL_REV", "CY2023")</f>
        <v>8364300</v>
      </c>
      <c r="I55" s="4">
        <f>_xll.SNL.Clients.Office.Excel.Functions.SPG(G55,"IQ_AVG_DILUT_SHARES_OUT","CY2023")</f>
        <v>81100000</v>
      </c>
      <c r="J55" s="5">
        <f>_xll.SNL.Clients.Office.Excel.Functions.SPG(G55, "IQ_DILUT_EPS_NORM", "CY2023")</f>
        <v>6.476</v>
      </c>
      <c r="K55">
        <f t="shared" si="2"/>
        <v>525203.6</v>
      </c>
      <c r="L55">
        <f t="shared" si="3"/>
        <v>6.2791100271391509E-2</v>
      </c>
    </row>
    <row r="56" spans="1:12" x14ac:dyDescent="0.3">
      <c r="A56" t="s">
        <v>58</v>
      </c>
      <c r="B56" s="4" cm="1">
        <f t="array" ref="B56">_xll.SNL.Clients.Office.Excel.Functions.SPG(A56, "SP_TOTAL_REV", "CY2023")</f>
        <v>1563391</v>
      </c>
      <c r="C56" s="4">
        <f>_xll.SNL.Clients.Office.Excel.Functions.SPG(A56,"IQ_AVG_DILUT_SHARES_OUT","CY2023")</f>
        <v>75456000</v>
      </c>
      <c r="D56" s="5">
        <f>_xll.SNL.Clients.Office.Excel.Functions.SPG(A56, "IQ_DILUT_EPS_NORM", "CY2023")</f>
        <v>1.649</v>
      </c>
      <c r="E56">
        <f t="shared" si="0"/>
        <v>124426.944</v>
      </c>
      <c r="F56">
        <f t="shared" si="1"/>
        <v>7.9587859978725736E-2</v>
      </c>
      <c r="G56" t="s">
        <v>58</v>
      </c>
      <c r="H56" s="4" cm="1">
        <f t="array" ref="H56">_xll.SNL.Clients.Office.Excel.Functions.SPG(G56, "SP_TOTAL_REV", "CY2023")</f>
        <v>1563391</v>
      </c>
      <c r="I56" s="4">
        <f>_xll.SNL.Clients.Office.Excel.Functions.SPG(G56,"IQ_AVG_DILUT_SHARES_OUT","CY2023")</f>
        <v>75456000</v>
      </c>
      <c r="J56" s="5">
        <f>_xll.SNL.Clients.Office.Excel.Functions.SPG(G56, "IQ_DILUT_EPS_NORM", "CY2023")</f>
        <v>1.649</v>
      </c>
      <c r="K56">
        <f t="shared" si="2"/>
        <v>124426.944</v>
      </c>
      <c r="L56">
        <f t="shared" si="3"/>
        <v>7.9587859978725736E-2</v>
      </c>
    </row>
    <row r="57" spans="1:12" x14ac:dyDescent="0.3">
      <c r="A57" t="s">
        <v>59</v>
      </c>
      <c r="B57" s="4" cm="1">
        <f t="array" ref="B57">_xll.SNL.Clients.Office.Excel.Functions.SPG(A57, "SP_TOTAL_REV", "CY2023")</f>
        <v>25506000</v>
      </c>
      <c r="C57" s="4">
        <f>_xll.SNL.Clients.Office.Excel.Functions.SPG(A57,"IQ_AVG_DILUT_SHARES_OUT","CY2023")</f>
        <v>1015000000</v>
      </c>
      <c r="D57" s="5">
        <f>_xll.SNL.Clients.Office.Excel.Functions.SPG(A57, "IQ_DILUT_EPS_NORM", "CY2023")</f>
        <v>1.48</v>
      </c>
      <c r="E57">
        <f t="shared" si="0"/>
        <v>1502200</v>
      </c>
      <c r="F57">
        <f t="shared" si="1"/>
        <v>5.8895946051909356E-2</v>
      </c>
      <c r="G57" t="s">
        <v>59</v>
      </c>
      <c r="H57" s="4" cm="1">
        <f t="array" ref="H57">_xll.SNL.Clients.Office.Excel.Functions.SPG(G57, "SP_TOTAL_REV", "CY2023")</f>
        <v>25506000</v>
      </c>
      <c r="I57" s="4">
        <f>_xll.SNL.Clients.Office.Excel.Functions.SPG(G57,"IQ_AVG_DILUT_SHARES_OUT","CY2023")</f>
        <v>1015000000</v>
      </c>
      <c r="J57" s="5">
        <f>_xll.SNL.Clients.Office.Excel.Functions.SPG(G57, "IQ_DILUT_EPS_NORM", "CY2023")</f>
        <v>1.48</v>
      </c>
      <c r="K57">
        <f t="shared" si="2"/>
        <v>1502200</v>
      </c>
      <c r="L57">
        <f t="shared" si="3"/>
        <v>5.8895946051909356E-2</v>
      </c>
    </row>
    <row r="58" spans="1:12" x14ac:dyDescent="0.3">
      <c r="A58" t="s">
        <v>60</v>
      </c>
      <c r="B58" s="4" cm="1">
        <f t="array" ref="B58">_xll.SNL.Clients.Office.Excel.Functions.SPG(A58, "SP_TOTAL_REV", "CY2023")</f>
        <v>14029000</v>
      </c>
      <c r="C58" s="4">
        <f>_xll.SNL.Clients.Office.Excel.Functions.SPG(A58,"IQ_AVG_DILUT_SHARES_OUT","CY2023")</f>
        <v>317022000</v>
      </c>
      <c r="D58" s="5">
        <f>_xll.SNL.Clients.Office.Excel.Functions.SPG(A58, "IQ_DILUT_EPS_NORM", "CY2023")</f>
        <v>1.9059999999999999</v>
      </c>
      <c r="E58">
        <f t="shared" si="0"/>
        <v>604243.93200000003</v>
      </c>
      <c r="F58">
        <f t="shared" si="1"/>
        <v>4.3071062228241502E-2</v>
      </c>
      <c r="G58" t="s">
        <v>60</v>
      </c>
      <c r="H58" s="4" cm="1">
        <f t="array" ref="H58">_xll.SNL.Clients.Office.Excel.Functions.SPG(G58, "SP_TOTAL_REV", "CY2023")</f>
        <v>14029000</v>
      </c>
      <c r="I58" s="4">
        <f>_xll.SNL.Clients.Office.Excel.Functions.SPG(G58,"IQ_AVG_DILUT_SHARES_OUT","CY2023")</f>
        <v>317022000</v>
      </c>
      <c r="J58" s="5">
        <f>_xll.SNL.Clients.Office.Excel.Functions.SPG(G58, "IQ_DILUT_EPS_NORM", "CY2023")</f>
        <v>1.9059999999999999</v>
      </c>
      <c r="K58">
        <f t="shared" si="2"/>
        <v>604243.93200000003</v>
      </c>
      <c r="L58">
        <f t="shared" si="3"/>
        <v>4.3071062228241502E-2</v>
      </c>
    </row>
    <row r="59" spans="1:12" x14ac:dyDescent="0.3">
      <c r="A59" t="s">
        <v>61</v>
      </c>
      <c r="B59" s="4" cm="1">
        <f t="array" ref="B59">_xll.SNL.Clients.Office.Excel.Functions.SPG(A59, "SP_TOTAL_REV", "CY2023")</f>
        <v>100181000</v>
      </c>
      <c r="C59" s="4">
        <f>_xll.SNL.Clients.Office.Excel.Functions.SPG(A59,"IQ_AVG_DILUT_SHARES_OUT","CY2023")</f>
        <v>8080500000</v>
      </c>
      <c r="D59" s="5">
        <f>_xll.SNL.Clients.Office.Excel.Functions.SPG(A59, "IQ_DILUT_EPS_NORM", "CY2023")</f>
        <v>2.4780000000000002</v>
      </c>
      <c r="E59">
        <f t="shared" si="0"/>
        <v>20023479</v>
      </c>
      <c r="F59">
        <f t="shared" si="1"/>
        <v>0.19987301983410027</v>
      </c>
      <c r="G59" t="s">
        <v>61</v>
      </c>
      <c r="H59" s="4" cm="1">
        <f t="array" ref="H59">_xll.SNL.Clients.Office.Excel.Functions.SPG(G59, "SP_TOTAL_REV", "CY2023")</f>
        <v>100181000</v>
      </c>
      <c r="I59" s="4">
        <f>_xll.SNL.Clients.Office.Excel.Functions.SPG(G59,"IQ_AVG_DILUT_SHARES_OUT","CY2023")</f>
        <v>8080500000</v>
      </c>
      <c r="J59" s="5">
        <f>_xll.SNL.Clients.Office.Excel.Functions.SPG(G59, "IQ_DILUT_EPS_NORM", "CY2023")</f>
        <v>2.4780000000000002</v>
      </c>
      <c r="K59">
        <f t="shared" si="2"/>
        <v>20023479</v>
      </c>
      <c r="L59">
        <f t="shared" si="3"/>
        <v>0.19987301983410027</v>
      </c>
    </row>
    <row r="60" spans="1:12" x14ac:dyDescent="0.3">
      <c r="A60" t="s">
        <v>62</v>
      </c>
      <c r="B60" s="4" cm="1">
        <f t="array" ref="B60">_xll.SNL.Clients.Office.Excel.Functions.SPG(A60, "SP_TOTAL_REV", "CY2023")</f>
        <v>14813000</v>
      </c>
      <c r="C60" s="4">
        <f>_xll.SNL.Clients.Office.Excel.Functions.SPG(A60,"IQ_AVG_DILUT_SHARES_OUT","CY2023")</f>
        <v>506000000</v>
      </c>
      <c r="D60" s="5">
        <f>_xll.SNL.Clients.Office.Excel.Functions.SPG(A60, "IQ_DILUT_EPS_NORM", "CY2023")</f>
        <v>1.2509999999999999</v>
      </c>
      <c r="E60">
        <f t="shared" si="0"/>
        <v>633006</v>
      </c>
      <c r="F60">
        <f t="shared" si="1"/>
        <v>4.2733139809626682E-2</v>
      </c>
      <c r="G60" t="s">
        <v>62</v>
      </c>
      <c r="H60" s="4" cm="1">
        <f t="array" ref="H60">_xll.SNL.Clients.Office.Excel.Functions.SPG(G60, "SP_TOTAL_REV", "CY2023")</f>
        <v>14813000</v>
      </c>
      <c r="I60" s="4">
        <f>_xll.SNL.Clients.Office.Excel.Functions.SPG(G60,"IQ_AVG_DILUT_SHARES_OUT","CY2023")</f>
        <v>506000000</v>
      </c>
      <c r="J60" s="5">
        <f>_xll.SNL.Clients.Office.Excel.Functions.SPG(G60, "IQ_DILUT_EPS_NORM", "CY2023")</f>
        <v>1.2509999999999999</v>
      </c>
      <c r="K60">
        <f t="shared" si="2"/>
        <v>633006</v>
      </c>
      <c r="L60">
        <f t="shared" si="3"/>
        <v>4.2733139809626682E-2</v>
      </c>
    </row>
    <row r="61" spans="1:12" x14ac:dyDescent="0.3">
      <c r="A61" t="s">
        <v>63</v>
      </c>
      <c r="B61" s="4" cm="1">
        <f t="array" ref="B61">_xll.SNL.Clients.Office.Excel.Functions.SPG(A61, "SP_TOTAL_REV", "CY2023")</f>
        <v>19492000</v>
      </c>
      <c r="C61" s="4">
        <f>_xll.SNL.Clients.Office.Excel.Functions.SPG(A61,"IQ_AVG_DILUT_SHARES_OUT","CY2023")</f>
        <v>289906500</v>
      </c>
      <c r="D61" s="5">
        <f>_xll.SNL.Clients.Office.Excel.Functions.SPG(A61, "IQ_DILUT_EPS_NORM", "CY2023")</f>
        <v>4.8460000000000001</v>
      </c>
      <c r="E61">
        <f t="shared" si="0"/>
        <v>1404886.899</v>
      </c>
      <c r="F61">
        <f t="shared" si="1"/>
        <v>7.2075051251795613E-2</v>
      </c>
      <c r="G61" t="s">
        <v>63</v>
      </c>
      <c r="H61" s="4" cm="1">
        <f t="array" ref="H61">_xll.SNL.Clients.Office.Excel.Functions.SPG(G61, "SP_TOTAL_REV", "CY2023")</f>
        <v>19492000</v>
      </c>
      <c r="I61" s="4">
        <f>_xll.SNL.Clients.Office.Excel.Functions.SPG(G61,"IQ_AVG_DILUT_SHARES_OUT","CY2023")</f>
        <v>289906500</v>
      </c>
      <c r="J61" s="5">
        <f>_xll.SNL.Clients.Office.Excel.Functions.SPG(G61, "IQ_DILUT_EPS_NORM", "CY2023")</f>
        <v>4.8460000000000001</v>
      </c>
      <c r="K61">
        <f t="shared" si="2"/>
        <v>1404886.899</v>
      </c>
      <c r="L61">
        <f t="shared" si="3"/>
        <v>7.2075051251795613E-2</v>
      </c>
    </row>
    <row r="62" spans="1:12" x14ac:dyDescent="0.3">
      <c r="A62" t="s">
        <v>64</v>
      </c>
      <c r="B62" s="4" cm="1">
        <f t="array" ref="B62">_xll.SNL.Clients.Office.Excel.Functions.SPG(A62, "SP_TOTAL_REV", "CY2023")</f>
        <v>364482000</v>
      </c>
      <c r="C62" s="4">
        <f>_xll.SNL.Clients.Office.Excel.Functions.SPG(A62,"IQ_AVG_DILUT_SHARES_OUT","CY2023")</f>
        <v>1448880</v>
      </c>
      <c r="D62" s="5">
        <f>_xll.SNL.Clients.Office.Excel.Functions.SPG(A62, "IQ_DILUT_EPS_NORM", "CY2023")</f>
        <v>51197.993999999999</v>
      </c>
      <c r="E62">
        <f t="shared" si="0"/>
        <v>74179749.546719998</v>
      </c>
      <c r="F62">
        <f t="shared" si="1"/>
        <v>0.20352102311422784</v>
      </c>
      <c r="G62" t="s">
        <v>64</v>
      </c>
      <c r="H62" s="4" cm="1">
        <f t="array" ref="H62">_xll.SNL.Clients.Office.Excel.Functions.SPG(G62, "SP_TOTAL_REV", "CY2023")</f>
        <v>364482000</v>
      </c>
      <c r="I62" s="4">
        <f>_xll.SNL.Clients.Office.Excel.Functions.SPG(G62,"IQ_AVG_DILUT_SHARES_OUT","CY2023")</f>
        <v>1448880</v>
      </c>
      <c r="J62" s="5">
        <f>_xll.SNL.Clients.Office.Excel.Functions.SPG(G62, "IQ_DILUT_EPS_NORM", "CY2023")</f>
        <v>51197.993999999999</v>
      </c>
      <c r="K62">
        <f t="shared" si="2"/>
        <v>74179749.546719998</v>
      </c>
      <c r="L62">
        <f t="shared" si="3"/>
        <v>0.20352102311422784</v>
      </c>
    </row>
    <row r="63" spans="1:12" x14ac:dyDescent="0.3">
      <c r="A63" t="s">
        <v>65</v>
      </c>
      <c r="B63" s="4" cm="1">
        <f t="array" ref="B63">_xll.SNL.Clients.Office.Excel.Functions.SPG(A63, "SP_TOTAL_REV", "CY2023")</f>
        <v>43452000</v>
      </c>
      <c r="C63" s="4">
        <f>_xll.SNL.Clients.Office.Excel.Functions.SPG(A63,"IQ_AVG_DILUT_SHARES_OUT","CY2023")</f>
        <v>218500000</v>
      </c>
      <c r="D63" s="5">
        <f>_xll.SNL.Clients.Office.Excel.Functions.SPG(A63, "IQ_DILUT_EPS_NORM", "CY2023")</f>
        <v>5.0170000000000003</v>
      </c>
      <c r="E63">
        <f t="shared" si="0"/>
        <v>1096214.5</v>
      </c>
      <c r="F63">
        <f t="shared" si="1"/>
        <v>2.5228171315474546E-2</v>
      </c>
      <c r="G63" t="s">
        <v>65</v>
      </c>
      <c r="H63" s="4" cm="1">
        <f t="array" ref="H63">_xll.SNL.Clients.Office.Excel.Functions.SPG(G63, "SP_TOTAL_REV", "CY2023")</f>
        <v>43452000</v>
      </c>
      <c r="I63" s="4">
        <f>_xll.SNL.Clients.Office.Excel.Functions.SPG(G63,"IQ_AVG_DILUT_SHARES_OUT","CY2023")</f>
        <v>218500000</v>
      </c>
      <c r="J63" s="5">
        <f>_xll.SNL.Clients.Office.Excel.Functions.SPG(G63, "IQ_DILUT_EPS_NORM", "CY2023")</f>
        <v>5.0170000000000003</v>
      </c>
      <c r="K63">
        <f t="shared" si="2"/>
        <v>1096214.5</v>
      </c>
      <c r="L63">
        <f t="shared" si="3"/>
        <v>2.5228171315474546E-2</v>
      </c>
    </row>
    <row r="64" spans="1:12" x14ac:dyDescent="0.3">
      <c r="A64" t="s">
        <v>66</v>
      </c>
      <c r="B64" s="4" cm="1">
        <f t="array" ref="B64">_xll.SNL.Clients.Office.Excel.Functions.SPG(A64, "SP_TOTAL_REV", "CY2023")</f>
        <v>1144999</v>
      </c>
      <c r="C64" s="4">
        <f>_xll.SNL.Clients.Office.Excel.Functions.SPG(A64,"IQ_AVG_DILUT_SHARES_OUT","CY2023")</f>
        <v>161472000</v>
      </c>
      <c r="D64" s="5">
        <f>_xll.SNL.Clients.Office.Excel.Functions.SPG(A64, "IQ_DILUT_EPS_NORM", "CY2023")</f>
        <v>0.90600000000000003</v>
      </c>
      <c r="E64">
        <f t="shared" si="0"/>
        <v>146293.63200000001</v>
      </c>
      <c r="F64">
        <f t="shared" si="1"/>
        <v>0.12776747577945485</v>
      </c>
      <c r="G64" t="s">
        <v>66</v>
      </c>
      <c r="H64" s="4" cm="1">
        <f t="array" ref="H64">_xll.SNL.Clients.Office.Excel.Functions.SPG(G64, "SP_TOTAL_REV", "CY2023")</f>
        <v>1144999</v>
      </c>
      <c r="I64" s="4">
        <f>_xll.SNL.Clients.Office.Excel.Functions.SPG(G64,"IQ_AVG_DILUT_SHARES_OUT","CY2023")</f>
        <v>161472000</v>
      </c>
      <c r="J64" s="5">
        <f>_xll.SNL.Clients.Office.Excel.Functions.SPG(G64, "IQ_DILUT_EPS_NORM", "CY2023")</f>
        <v>0.90600000000000003</v>
      </c>
      <c r="K64">
        <f t="shared" si="2"/>
        <v>146293.63200000001</v>
      </c>
      <c r="L64">
        <f t="shared" si="3"/>
        <v>0.12776747577945485</v>
      </c>
    </row>
    <row r="65" spans="1:12" x14ac:dyDescent="0.3">
      <c r="A65" t="s">
        <v>67</v>
      </c>
      <c r="B65" s="4" cm="1">
        <f t="array" ref="B65">_xll.SNL.Clients.Office.Excel.Functions.SPG(A65, "SP_TOTAL_REV", "CY2023")</f>
        <v>9835600</v>
      </c>
      <c r="C65" s="4">
        <f>_xll.SNL.Clients.Office.Excel.Functions.SPG(A65,"IQ_AVG_DILUT_SHARES_OUT","CY2023")</f>
        <v>145600000</v>
      </c>
      <c r="D65" s="5">
        <f>_xll.SNL.Clients.Office.Excel.Functions.SPG(A65, "IQ_DILUT_EPS_NORM", "CY2023")</f>
        <v>7.98</v>
      </c>
      <c r="E65">
        <f t="shared" si="0"/>
        <v>1161888</v>
      </c>
      <c r="F65">
        <f t="shared" si="1"/>
        <v>0.11813087152791898</v>
      </c>
      <c r="G65" t="s">
        <v>67</v>
      </c>
      <c r="H65" s="4" cm="1">
        <f t="array" ref="H65">_xll.SNL.Clients.Office.Excel.Functions.SPG(G65, "SP_TOTAL_REV", "CY2023")</f>
        <v>9835600</v>
      </c>
      <c r="I65" s="4">
        <f>_xll.SNL.Clients.Office.Excel.Functions.SPG(G65,"IQ_AVG_DILUT_SHARES_OUT","CY2023")</f>
        <v>145600000</v>
      </c>
      <c r="J65" s="5">
        <f>_xll.SNL.Clients.Office.Excel.Functions.SPG(G65, "IQ_DILUT_EPS_NORM", "CY2023")</f>
        <v>7.98</v>
      </c>
      <c r="K65">
        <f t="shared" si="2"/>
        <v>1161888</v>
      </c>
      <c r="L65">
        <f t="shared" si="3"/>
        <v>0.11813087152791898</v>
      </c>
    </row>
    <row r="66" spans="1:12" x14ac:dyDescent="0.3">
      <c r="A66" t="s">
        <v>68</v>
      </c>
      <c r="B66" s="4" cm="1">
        <f t="array" ref="B66">_xll.SNL.Clients.Office.Excel.Functions.SPG(A66, "SP_TOTAL_REV", "CY2023")</f>
        <v>17859000</v>
      </c>
      <c r="C66" s="4">
        <f>_xll.SNL.Clients.Office.Excel.Functions.SPG(A66,"IQ_AVG_DILUT_SHARES_OUT","CY2023")</f>
        <v>150706451</v>
      </c>
      <c r="D66" s="5">
        <f>_xll.SNL.Clients.Office.Excel.Functions.SPG(A66, "IQ_DILUT_EPS_NORM", "CY2023")</f>
        <v>25.885000000000002</v>
      </c>
      <c r="E66">
        <f t="shared" si="0"/>
        <v>3901036.484135</v>
      </c>
      <c r="F66">
        <f t="shared" si="1"/>
        <v>0.21843532583767289</v>
      </c>
      <c r="G66" t="s">
        <v>68</v>
      </c>
      <c r="H66" s="4" cm="1">
        <f t="array" ref="H66">_xll.SNL.Clients.Office.Excel.Functions.SPG(G66, "SP_TOTAL_REV", "CY2023")</f>
        <v>17859000</v>
      </c>
      <c r="I66" s="4">
        <f>_xll.SNL.Clients.Office.Excel.Functions.SPG(G66,"IQ_AVG_DILUT_SHARES_OUT","CY2023")</f>
        <v>150706451</v>
      </c>
      <c r="J66" s="5">
        <f>_xll.SNL.Clients.Office.Excel.Functions.SPG(G66, "IQ_DILUT_EPS_NORM", "CY2023")</f>
        <v>25.885000000000002</v>
      </c>
      <c r="K66">
        <f t="shared" si="2"/>
        <v>3901036.484135</v>
      </c>
      <c r="L66">
        <f t="shared" si="3"/>
        <v>0.21843532583767289</v>
      </c>
    </row>
    <row r="67" spans="1:12" x14ac:dyDescent="0.3">
      <c r="A67" t="s">
        <v>69</v>
      </c>
      <c r="B67" s="4" cm="1">
        <f t="array" ref="B67">_xll.SNL.Clients.Office.Excel.Functions.SPG(A67, "SP_TOTAL_REV", "CY2023")</f>
        <v>7683902</v>
      </c>
      <c r="C67" s="4">
        <f>_xll.SNL.Clients.Office.Excel.Functions.SPG(A67,"IQ_AVG_DILUT_SHARES_OUT","CY2023")</f>
        <v>758039099</v>
      </c>
      <c r="D67" s="5">
        <f>_xll.SNL.Clients.Office.Excel.Functions.SPG(A67, "IQ_DILUT_EPS_NORM", "CY2023")</f>
        <v>1.0960000000000001</v>
      </c>
      <c r="E67">
        <f t="shared" si="0"/>
        <v>830810.85250400007</v>
      </c>
      <c r="F67">
        <f t="shared" si="1"/>
        <v>0.10812356176640463</v>
      </c>
      <c r="G67" t="s">
        <v>69</v>
      </c>
      <c r="H67" s="4" cm="1">
        <f t="array" ref="H67">_xll.SNL.Clients.Office.Excel.Functions.SPG(G67, "SP_TOTAL_REV", "CY2023")</f>
        <v>7683902</v>
      </c>
      <c r="I67" s="4">
        <f>_xll.SNL.Clients.Office.Excel.Functions.SPG(G67,"IQ_AVG_DILUT_SHARES_OUT","CY2023")</f>
        <v>758039099</v>
      </c>
      <c r="J67" s="5">
        <f>_xll.SNL.Clients.Office.Excel.Functions.SPG(G67, "IQ_DILUT_EPS_NORM", "CY2023")</f>
        <v>1.0960000000000001</v>
      </c>
      <c r="K67">
        <f t="shared" si="2"/>
        <v>830810.85250400007</v>
      </c>
      <c r="L67">
        <f t="shared" si="3"/>
        <v>0.10812356176640463</v>
      </c>
    </row>
    <row r="68" spans="1:12" x14ac:dyDescent="0.3">
      <c r="A68" t="s">
        <v>70</v>
      </c>
      <c r="B68" s="4" cm="1">
        <f t="array" ref="B68">_xll.SNL.Clients.Office.Excel.Functions.SPG(A68, "SP_TOTAL_REV", "CY2023")</f>
        <v>21365000</v>
      </c>
      <c r="C68" s="4">
        <f>_xll.SNL.Clients.Office.Excel.Functions.SPG(A68,"IQ_AVG_DILUT_SHARES_OUT","CY2023")</f>
        <v>36530000</v>
      </c>
      <c r="D68" s="5">
        <f>_xll.SNL.Clients.Office.Excel.Functions.SPG(A68, "IQ_DILUT_EPS_NORM", "CY2023")</f>
        <v>97.557000000000002</v>
      </c>
      <c r="E68">
        <f t="shared" si="0"/>
        <v>3563757.21</v>
      </c>
      <c r="F68">
        <f t="shared" si="1"/>
        <v>0.16680352024338871</v>
      </c>
      <c r="G68" t="s">
        <v>70</v>
      </c>
      <c r="H68" s="4" cm="1">
        <f t="array" ref="H68">_xll.SNL.Clients.Office.Excel.Functions.SPG(G68, "SP_TOTAL_REV", "CY2023")</f>
        <v>21365000</v>
      </c>
      <c r="I68" s="4">
        <f>_xll.SNL.Clients.Office.Excel.Functions.SPG(G68,"IQ_AVG_DILUT_SHARES_OUT","CY2023")</f>
        <v>36530000</v>
      </c>
      <c r="J68" s="5">
        <f>_xll.SNL.Clients.Office.Excel.Functions.SPG(G68, "IQ_DILUT_EPS_NORM", "CY2023")</f>
        <v>97.557000000000002</v>
      </c>
      <c r="K68">
        <f t="shared" si="2"/>
        <v>3563757.21</v>
      </c>
      <c r="L68">
        <f t="shared" si="3"/>
        <v>0.16680352024338871</v>
      </c>
    </row>
    <row r="69" spans="1:12" x14ac:dyDescent="0.3">
      <c r="A69" t="s">
        <v>71</v>
      </c>
      <c r="B69" s="4" cm="1">
        <f t="array" ref="B69">_xll.SNL.Clients.Office.Excel.Functions.SPG(A69, "SP_TOTAL_REV", "CY2023")</f>
        <v>14198000</v>
      </c>
      <c r="C69" s="4">
        <f>_xll.SNL.Clients.Office.Excel.Functions.SPG(A69,"IQ_AVG_DILUT_SHARES_OUT","CY2023")</f>
        <v>234400000</v>
      </c>
      <c r="D69" s="5">
        <f>_xll.SNL.Clients.Office.Excel.Functions.SPG(A69, "IQ_DILUT_EPS_NORM", "CY2023")</f>
        <v>3.008</v>
      </c>
      <c r="E69">
        <f t="shared" ref="E69:E132" si="4">C69*D69/1000</f>
        <v>705075.19999999995</v>
      </c>
      <c r="F69">
        <f t="shared" ref="F69:F132" si="5">E69/B69</f>
        <v>4.9660177489787294E-2</v>
      </c>
      <c r="G69" t="s">
        <v>71</v>
      </c>
      <c r="H69" s="4" cm="1">
        <f t="array" ref="H69">_xll.SNL.Clients.Office.Excel.Functions.SPG(G69, "SP_TOTAL_REV", "CY2023")</f>
        <v>14198000</v>
      </c>
      <c r="I69" s="4">
        <f>_xll.SNL.Clients.Office.Excel.Functions.SPG(G69,"IQ_AVG_DILUT_SHARES_OUT","CY2023")</f>
        <v>234400000</v>
      </c>
      <c r="J69" s="5">
        <f>_xll.SNL.Clients.Office.Excel.Functions.SPG(G69, "IQ_DILUT_EPS_NORM", "CY2023")</f>
        <v>3.008</v>
      </c>
      <c r="K69">
        <f t="shared" ref="K69:K132" si="6">I69*J69/1000</f>
        <v>705075.19999999995</v>
      </c>
      <c r="L69">
        <f t="shared" ref="L69:L132" si="7">K69/H69</f>
        <v>4.9660177489787294E-2</v>
      </c>
    </row>
    <row r="70" spans="1:12" x14ac:dyDescent="0.3">
      <c r="A70" t="s">
        <v>72</v>
      </c>
      <c r="B70" s="4" cm="1">
        <f t="array" ref="B70">_xll.SNL.Clients.Office.Excel.Functions.SPG(A70, "SP_TOTAL_REV", "CY2023")</f>
        <v>14240000</v>
      </c>
      <c r="C70" s="4">
        <f>_xll.SNL.Clients.Office.Excel.Functions.SPG(A70,"IQ_AVG_DILUT_SHARES_OUT","CY2023")</f>
        <v>1463500000</v>
      </c>
      <c r="D70" s="5">
        <f>_xll.SNL.Clients.Office.Excel.Functions.SPG(A70, "IQ_DILUT_EPS_NORM", "CY2023")</f>
        <v>0.90500000000000003</v>
      </c>
      <c r="E70">
        <f t="shared" si="4"/>
        <v>1324467.5</v>
      </c>
      <c r="F70">
        <f t="shared" si="5"/>
        <v>9.3010358146067409E-2</v>
      </c>
      <c r="G70" t="s">
        <v>72</v>
      </c>
      <c r="H70" s="4" cm="1">
        <f t="array" ref="H70">_xll.SNL.Clients.Office.Excel.Functions.SPG(G70, "SP_TOTAL_REV", "CY2023")</f>
        <v>14240000</v>
      </c>
      <c r="I70" s="4">
        <f>_xll.SNL.Clients.Office.Excel.Functions.SPG(G70,"IQ_AVG_DILUT_SHARES_OUT","CY2023")</f>
        <v>1463500000</v>
      </c>
      <c r="J70" s="5">
        <f>_xll.SNL.Clients.Office.Excel.Functions.SPG(G70, "IQ_DILUT_EPS_NORM", "CY2023")</f>
        <v>0.90500000000000003</v>
      </c>
      <c r="K70">
        <f t="shared" si="6"/>
        <v>1324467.5</v>
      </c>
      <c r="L70">
        <f t="shared" si="7"/>
        <v>9.3010358146067409E-2</v>
      </c>
    </row>
    <row r="71" spans="1:12" x14ac:dyDescent="0.3">
      <c r="A71" t="s">
        <v>73</v>
      </c>
      <c r="B71" s="4" cm="1">
        <f t="array" ref="B71">_xll.SNL.Clients.Office.Excel.Functions.SPG(A71, "SP_TOTAL_REV", "CY2023")</f>
        <v>45006000</v>
      </c>
      <c r="C71" s="4">
        <f>_xll.SNL.Clients.Office.Excel.Functions.SPG(A71,"IQ_AVG_DILUT_SHARES_OUT","CY2023")</f>
        <v>2078000000</v>
      </c>
      <c r="D71" s="5">
        <f>_xll.SNL.Clients.Office.Excel.Functions.SPG(A71, "IQ_DILUT_EPS_NORM", "CY2023")</f>
        <v>3.0430000000000001</v>
      </c>
      <c r="E71">
        <f t="shared" si="4"/>
        <v>6323354</v>
      </c>
      <c r="F71">
        <f t="shared" si="5"/>
        <v>0.14050024441185618</v>
      </c>
      <c r="G71" t="s">
        <v>73</v>
      </c>
      <c r="H71" s="4" cm="1">
        <f t="array" ref="H71">_xll.SNL.Clients.Office.Excel.Functions.SPG(G71, "SP_TOTAL_REV", "CY2023")</f>
        <v>45006000</v>
      </c>
      <c r="I71" s="4">
        <f>_xll.SNL.Clients.Office.Excel.Functions.SPG(G71,"IQ_AVG_DILUT_SHARES_OUT","CY2023")</f>
        <v>2078000000</v>
      </c>
      <c r="J71" s="5">
        <f>_xll.SNL.Clients.Office.Excel.Functions.SPG(G71, "IQ_DILUT_EPS_NORM", "CY2023")</f>
        <v>3.0430000000000001</v>
      </c>
      <c r="K71">
        <f t="shared" si="6"/>
        <v>6323354</v>
      </c>
      <c r="L71">
        <f t="shared" si="7"/>
        <v>0.14050024441185618</v>
      </c>
    </row>
    <row r="72" spans="1:12" x14ac:dyDescent="0.3">
      <c r="A72" t="s">
        <v>74</v>
      </c>
      <c r="B72" s="4" cm="1">
        <f t="array" ref="B72">_xll.SNL.Clients.Office.Excel.Functions.SPG(A72, "SP_TOTAL_REV", "CY2023")</f>
        <v>38865000</v>
      </c>
      <c r="C72" s="4">
        <f>_xll.SNL.Clients.Office.Excel.Functions.SPG(A72,"IQ_AVG_DILUT_SHARES_OUT","CY2023")</f>
        <v>4365000000</v>
      </c>
      <c r="D72" s="5">
        <f>_xll.SNL.Clients.Office.Excel.Functions.SPG(A72, "IQ_DILUT_EPS_NORM", "CY2023")</f>
        <v>1.97</v>
      </c>
      <c r="E72">
        <f t="shared" si="4"/>
        <v>8599050</v>
      </c>
      <c r="F72">
        <f t="shared" si="5"/>
        <v>0.22125434195291394</v>
      </c>
      <c r="G72" t="s">
        <v>74</v>
      </c>
      <c r="H72" s="4" cm="1">
        <f t="array" ref="H72">_xll.SNL.Clients.Office.Excel.Functions.SPG(G72, "SP_TOTAL_REV", "CY2023")</f>
        <v>38865000</v>
      </c>
      <c r="I72" s="4">
        <f>_xll.SNL.Clients.Office.Excel.Functions.SPG(G72,"IQ_AVG_DILUT_SHARES_OUT","CY2023")</f>
        <v>4365000000</v>
      </c>
      <c r="J72" s="5">
        <f>_xll.SNL.Clients.Office.Excel.Functions.SPG(G72, "IQ_DILUT_EPS_NORM", "CY2023")</f>
        <v>1.97</v>
      </c>
      <c r="K72">
        <f t="shared" si="6"/>
        <v>8599050</v>
      </c>
      <c r="L72">
        <f t="shared" si="7"/>
        <v>0.22125434195291394</v>
      </c>
    </row>
    <row r="73" spans="1:12" x14ac:dyDescent="0.3">
      <c r="A73" t="s">
        <v>75</v>
      </c>
      <c r="B73" s="4" cm="1">
        <f t="array" ref="B73">_xll.SNL.Clients.Office.Excel.Functions.SPG(A73, "SP_TOTAL_REV", "CY2023")</f>
        <v>6320700</v>
      </c>
      <c r="C73" s="4">
        <f>_xll.SNL.Clients.Office.Excel.Functions.SPG(A73,"IQ_AVG_DILUT_SHARES_OUT","CY2023")</f>
        <v>119100000</v>
      </c>
      <c r="D73" s="5">
        <f>_xll.SNL.Clients.Office.Excel.Functions.SPG(A73, "IQ_DILUT_EPS_NORM", "CY2023")</f>
        <v>4.556</v>
      </c>
      <c r="E73">
        <f t="shared" si="4"/>
        <v>542619.6</v>
      </c>
      <c r="F73">
        <f t="shared" si="5"/>
        <v>8.5848023161991555E-2</v>
      </c>
      <c r="G73" t="s">
        <v>75</v>
      </c>
      <c r="H73" s="4" cm="1">
        <f t="array" ref="H73">_xll.SNL.Clients.Office.Excel.Functions.SPG(G73, "SP_TOTAL_REV", "CY2023")</f>
        <v>6320700</v>
      </c>
      <c r="I73" s="4">
        <f>_xll.SNL.Clients.Office.Excel.Functions.SPG(G73,"IQ_AVG_DILUT_SHARES_OUT","CY2023")</f>
        <v>119100000</v>
      </c>
      <c r="J73" s="5">
        <f>_xll.SNL.Clients.Office.Excel.Functions.SPG(G73, "IQ_DILUT_EPS_NORM", "CY2023")</f>
        <v>4.556</v>
      </c>
      <c r="K73">
        <f t="shared" si="6"/>
        <v>542619.6</v>
      </c>
      <c r="L73">
        <f t="shared" si="7"/>
        <v>8.5848023161991555E-2</v>
      </c>
    </row>
    <row r="74" spans="1:12" x14ac:dyDescent="0.3">
      <c r="A74" t="s">
        <v>76</v>
      </c>
      <c r="B74" s="4" cm="1">
        <f t="array" ref="B74">_xll.SNL.Clients.Office.Excel.Functions.SPG(A74, "SP_TOTAL_REV", "CY2023")</f>
        <v>4257100</v>
      </c>
      <c r="C74" s="4">
        <f>_xll.SNL.Clients.Office.Excel.Functions.SPG(A74,"IQ_AVG_DILUT_SHARES_OUT","CY2023")</f>
        <v>280800000</v>
      </c>
      <c r="D74" s="5">
        <f>_xll.SNL.Clients.Office.Excel.Functions.SPG(A74, "IQ_DILUT_EPS_NORM", "CY2023")</f>
        <v>2.31</v>
      </c>
      <c r="E74">
        <f t="shared" si="4"/>
        <v>648648</v>
      </c>
      <c r="F74">
        <f t="shared" si="5"/>
        <v>0.15236851377698432</v>
      </c>
      <c r="G74" t="s">
        <v>76</v>
      </c>
      <c r="H74" s="4" cm="1">
        <f t="array" ref="H74">_xll.SNL.Clients.Office.Excel.Functions.SPG(G74, "SP_TOTAL_REV", "CY2023")</f>
        <v>4257100</v>
      </c>
      <c r="I74" s="4">
        <f>_xll.SNL.Clients.Office.Excel.Functions.SPG(G74,"IQ_AVG_DILUT_SHARES_OUT","CY2023")</f>
        <v>280800000</v>
      </c>
      <c r="J74" s="5">
        <f>_xll.SNL.Clients.Office.Excel.Functions.SPG(G74, "IQ_DILUT_EPS_NORM", "CY2023")</f>
        <v>2.31</v>
      </c>
      <c r="K74">
        <f t="shared" si="6"/>
        <v>648648</v>
      </c>
      <c r="L74">
        <f t="shared" si="7"/>
        <v>0.15236851377698432</v>
      </c>
    </row>
    <row r="75" spans="1:12" x14ac:dyDescent="0.3">
      <c r="A75" t="s">
        <v>77</v>
      </c>
      <c r="B75" s="4" cm="1">
        <f t="array" ref="B75">_xll.SNL.Clients.Office.Excel.Functions.SPG(A75, "SP_TOTAL_REV", "CY2023")</f>
        <v>4260000</v>
      </c>
      <c r="C75" s="4">
        <f>_xll.SNL.Clients.Office.Excel.Functions.SPG(A75,"IQ_AVG_DILUT_SHARES_OUT","CY2023")</f>
        <v>479111641</v>
      </c>
      <c r="D75" s="5">
        <f>_xll.SNL.Clients.Office.Excel.Functions.SPG(A75, "IQ_DILUT_EPS_NORM", "CY2023")</f>
        <v>1.4710000000000001</v>
      </c>
      <c r="E75">
        <f t="shared" si="4"/>
        <v>704773.22391100007</v>
      </c>
      <c r="F75">
        <f t="shared" si="5"/>
        <v>0.16543972392276998</v>
      </c>
      <c r="G75" t="s">
        <v>77</v>
      </c>
      <c r="H75" s="4" cm="1">
        <f t="array" ref="H75">_xll.SNL.Clients.Office.Excel.Functions.SPG(G75, "SP_TOTAL_REV", "CY2023")</f>
        <v>4260000</v>
      </c>
      <c r="I75" s="4">
        <f>_xll.SNL.Clients.Office.Excel.Functions.SPG(G75,"IQ_AVG_DILUT_SHARES_OUT","CY2023")</f>
        <v>479111641</v>
      </c>
      <c r="J75" s="5">
        <f>_xll.SNL.Clients.Office.Excel.Functions.SPG(G75, "IQ_DILUT_EPS_NORM", "CY2023")</f>
        <v>1.4710000000000001</v>
      </c>
      <c r="K75">
        <f t="shared" si="6"/>
        <v>704773.22391100007</v>
      </c>
      <c r="L75">
        <f t="shared" si="7"/>
        <v>0.16543972392276998</v>
      </c>
    </row>
    <row r="76" spans="1:12" x14ac:dyDescent="0.3">
      <c r="A76" t="s">
        <v>78</v>
      </c>
      <c r="B76" s="4" cm="1">
        <f t="array" ref="B76">_xll.SNL.Clients.Office.Excel.Functions.SPG(A76, "SP_TOTAL_REV", "CY2023")</f>
        <v>17097330</v>
      </c>
      <c r="C76" s="4">
        <f>_xll.SNL.Clients.Office.Excel.Functions.SPG(A76,"IQ_AVG_DILUT_SHARES_OUT","CY2023")</f>
        <v>128998000</v>
      </c>
      <c r="D76" s="5">
        <f>_xll.SNL.Clients.Office.Excel.Functions.SPG(A76, "IQ_DILUT_EPS_NORM", "CY2023")</f>
        <v>9.6140000000000008</v>
      </c>
      <c r="E76">
        <f t="shared" si="4"/>
        <v>1240186.7720000001</v>
      </c>
      <c r="F76">
        <f t="shared" si="5"/>
        <v>7.2536868154267367E-2</v>
      </c>
      <c r="G76" t="s">
        <v>78</v>
      </c>
      <c r="H76" s="4" cm="1">
        <f t="array" ref="H76">_xll.SNL.Clients.Office.Excel.Functions.SPG(G76, "SP_TOTAL_REV", "CY2023")</f>
        <v>17097330</v>
      </c>
      <c r="I76" s="4">
        <f>_xll.SNL.Clients.Office.Excel.Functions.SPG(G76,"IQ_AVG_DILUT_SHARES_OUT","CY2023")</f>
        <v>128998000</v>
      </c>
      <c r="J76" s="5">
        <f>_xll.SNL.Clients.Office.Excel.Functions.SPG(G76, "IQ_DILUT_EPS_NORM", "CY2023")</f>
        <v>9.6140000000000008</v>
      </c>
      <c r="K76">
        <f t="shared" si="6"/>
        <v>1240186.7720000001</v>
      </c>
      <c r="L76">
        <f t="shared" si="7"/>
        <v>7.2536868154267367E-2</v>
      </c>
    </row>
    <row r="77" spans="1:12" x14ac:dyDescent="0.3">
      <c r="A77" t="s">
        <v>79</v>
      </c>
      <c r="B77" s="4" cm="1">
        <f t="array" ref="B77">_xll.SNL.Clients.Office.Excel.Functions.SPG(A77, "SP_TOTAL_REV", "CY2023")</f>
        <v>59540000</v>
      </c>
      <c r="C77" s="4">
        <f>_xll.SNL.Clients.Office.Excel.Functions.SPG(A77,"IQ_AVG_DILUT_SHARES_OUT","CY2023")</f>
        <v>150787917</v>
      </c>
      <c r="D77" s="5">
        <f>_xll.SNL.Clients.Office.Excel.Functions.SPG(A77, "IQ_DILUT_EPS_NORM", "CY2023")</f>
        <v>12.698</v>
      </c>
      <c r="E77">
        <f t="shared" si="4"/>
        <v>1914704.970066</v>
      </c>
      <c r="F77">
        <f t="shared" si="5"/>
        <v>3.2158296440476991E-2</v>
      </c>
      <c r="G77" t="s">
        <v>79</v>
      </c>
      <c r="H77" s="4" cm="1">
        <f t="array" ref="H77">_xll.SNL.Clients.Office.Excel.Functions.SPG(G77, "SP_TOTAL_REV", "CY2023")</f>
        <v>59540000</v>
      </c>
      <c r="I77" s="4">
        <f>_xll.SNL.Clients.Office.Excel.Functions.SPG(G77,"IQ_AVG_DILUT_SHARES_OUT","CY2023")</f>
        <v>150787917</v>
      </c>
      <c r="J77" s="5">
        <f>_xll.SNL.Clients.Office.Excel.Functions.SPG(G77, "IQ_DILUT_EPS_NORM", "CY2023")</f>
        <v>12.698</v>
      </c>
      <c r="K77">
        <f t="shared" si="6"/>
        <v>1914704.970066</v>
      </c>
      <c r="L77">
        <f t="shared" si="7"/>
        <v>3.2158296440476991E-2</v>
      </c>
    </row>
    <row r="78" spans="1:12" x14ac:dyDescent="0.3">
      <c r="A78" t="s">
        <v>80</v>
      </c>
      <c r="B78" s="4" cm="1">
        <f t="array" ref="B78">_xll.SNL.Clients.Office.Excel.Functions.SPG(A78, "SP_TOTAL_REV", "CY2023")</f>
        <v>3373491</v>
      </c>
      <c r="C78" s="4">
        <f>_xll.SNL.Clients.Office.Excel.Functions.SPG(A78,"IQ_AVG_DILUT_SHARES_OUT","CY2023")</f>
        <v>157201000</v>
      </c>
      <c r="D78" s="5">
        <f>_xll.SNL.Clients.Office.Excel.Functions.SPG(A78, "IQ_DILUT_EPS_NORM", "CY2023")</f>
        <v>1.389</v>
      </c>
      <c r="E78">
        <f t="shared" si="4"/>
        <v>218352.18900000001</v>
      </c>
      <c r="F78">
        <f t="shared" si="5"/>
        <v>6.4725884551048163E-2</v>
      </c>
      <c r="G78" t="s">
        <v>80</v>
      </c>
      <c r="H78" s="4" cm="1">
        <f t="array" ref="H78">_xll.SNL.Clients.Office.Excel.Functions.SPG(G78, "SP_TOTAL_REV", "CY2023")</f>
        <v>3373491</v>
      </c>
      <c r="I78" s="4">
        <f>_xll.SNL.Clients.Office.Excel.Functions.SPG(G78,"IQ_AVG_DILUT_SHARES_OUT","CY2023")</f>
        <v>157201000</v>
      </c>
      <c r="J78" s="5">
        <f>_xll.SNL.Clients.Office.Excel.Functions.SPG(G78, "IQ_DILUT_EPS_NORM", "CY2023")</f>
        <v>1.389</v>
      </c>
      <c r="K78">
        <f t="shared" si="6"/>
        <v>218352.18900000001</v>
      </c>
      <c r="L78">
        <f t="shared" si="7"/>
        <v>6.4725884551048163E-2</v>
      </c>
    </row>
    <row r="79" spans="1:12" x14ac:dyDescent="0.3">
      <c r="A79" t="s">
        <v>81</v>
      </c>
      <c r="B79" s="4" cm="1">
        <f t="array" ref="B79">_xll.SNL.Clients.Office.Excel.Functions.SPG(A79, "SP_TOTAL_REV", "CY2023")</f>
        <v>17596443</v>
      </c>
      <c r="C79" s="4">
        <f>_xll.SNL.Clients.Office.Excel.Functions.SPG(A79,"IQ_AVG_DILUT_SHARES_OUT","CY2023")</f>
        <v>119677000</v>
      </c>
      <c r="D79" s="5">
        <f>_xll.SNL.Clients.Office.Excel.Functions.SPG(A79, "IQ_DILUT_EPS_NORM", "CY2023")</f>
        <v>2.2280000000000002</v>
      </c>
      <c r="E79">
        <f t="shared" si="4"/>
        <v>266640.35600000003</v>
      </c>
      <c r="F79">
        <f t="shared" si="5"/>
        <v>1.5153082699725168E-2</v>
      </c>
      <c r="G79" t="s">
        <v>81</v>
      </c>
      <c r="H79" s="4" cm="1">
        <f t="array" ref="H79">_xll.SNL.Clients.Office.Excel.Functions.SPG(G79, "SP_TOTAL_REV", "CY2023")</f>
        <v>17596443</v>
      </c>
      <c r="I79" s="4">
        <f>_xll.SNL.Clients.Office.Excel.Functions.SPG(G79,"IQ_AVG_DILUT_SHARES_OUT","CY2023")</f>
        <v>119677000</v>
      </c>
      <c r="J79" s="5">
        <f>_xll.SNL.Clients.Office.Excel.Functions.SPG(G79, "IQ_DILUT_EPS_NORM", "CY2023")</f>
        <v>2.2280000000000002</v>
      </c>
      <c r="K79">
        <f t="shared" si="6"/>
        <v>266640.35600000003</v>
      </c>
      <c r="L79">
        <f t="shared" si="7"/>
        <v>1.5153082699725168E-2</v>
      </c>
    </row>
    <row r="80" spans="1:12" x14ac:dyDescent="0.3">
      <c r="A80" t="s">
        <v>82</v>
      </c>
      <c r="B80" s="4" cm="1">
        <f t="array" ref="B80">_xll.SNL.Clients.Office.Excel.Functions.SPG(A80, "SP_TOTAL_REV", "CY2023")</f>
        <v>4089986</v>
      </c>
      <c r="C80" s="4">
        <f>_xll.SNL.Clients.Office.Excel.Functions.SPG(A80,"IQ_AVG_DILUT_SHARES_OUT","CY2023")</f>
        <v>272748000</v>
      </c>
      <c r="D80" s="5">
        <f>_xll.SNL.Clients.Office.Excel.Functions.SPG(A80, "IQ_DILUT_EPS_NORM", "CY2023")</f>
        <v>2.911</v>
      </c>
      <c r="E80">
        <f t="shared" si="4"/>
        <v>793969.42799999996</v>
      </c>
      <c r="F80">
        <f t="shared" si="5"/>
        <v>0.19412521901052962</v>
      </c>
      <c r="G80" t="s">
        <v>82</v>
      </c>
      <c r="H80" s="4" cm="1">
        <f t="array" ref="H80">_xll.SNL.Clients.Office.Excel.Functions.SPG(G80, "SP_TOTAL_REV", "CY2023")</f>
        <v>4089986</v>
      </c>
      <c r="I80" s="4">
        <f>_xll.SNL.Clients.Office.Excel.Functions.SPG(G80,"IQ_AVG_DILUT_SHARES_OUT","CY2023")</f>
        <v>272748000</v>
      </c>
      <c r="J80" s="5">
        <f>_xll.SNL.Clients.Office.Excel.Functions.SPG(G80, "IQ_DILUT_EPS_NORM", "CY2023")</f>
        <v>2.911</v>
      </c>
      <c r="K80">
        <f t="shared" si="6"/>
        <v>793969.42799999996</v>
      </c>
      <c r="L80">
        <f t="shared" si="7"/>
        <v>0.19412521901052962</v>
      </c>
    </row>
    <row r="81" spans="1:12" x14ac:dyDescent="0.3">
      <c r="A81" t="s">
        <v>83</v>
      </c>
      <c r="B81" s="4" cm="1">
        <f t="array" ref="B81">_xll.SNL.Clients.Office.Excel.Functions.SPG(A81, "SP_TOTAL_REV", "CY2023")</f>
        <v>11528000</v>
      </c>
      <c r="C81" s="4">
        <f>_xll.SNL.Clients.Office.Excel.Functions.SPG(A81,"IQ_AVG_DILUT_SHARES_OUT","CY2023")</f>
        <v>216000000</v>
      </c>
      <c r="D81" s="5">
        <f>_xll.SNL.Clients.Office.Excel.Functions.SPG(A81, "IQ_DILUT_EPS_NORM", "CY2023")</f>
        <v>0.44800000000000001</v>
      </c>
      <c r="E81">
        <f t="shared" si="4"/>
        <v>96768</v>
      </c>
      <c r="F81">
        <f t="shared" si="5"/>
        <v>8.3941707147814019E-3</v>
      </c>
      <c r="G81" t="s">
        <v>83</v>
      </c>
      <c r="H81" s="4" cm="1">
        <f t="array" ref="H81">_xll.SNL.Clients.Office.Excel.Functions.SPG(G81, "SP_TOTAL_REV", "CY2023")</f>
        <v>11528000</v>
      </c>
      <c r="I81" s="4">
        <f>_xll.SNL.Clients.Office.Excel.Functions.SPG(G81,"IQ_AVG_DILUT_SHARES_OUT","CY2023")</f>
        <v>216000000</v>
      </c>
      <c r="J81" s="5">
        <f>_xll.SNL.Clients.Office.Excel.Functions.SPG(G81, "IQ_DILUT_EPS_NORM", "CY2023")</f>
        <v>0.44800000000000001</v>
      </c>
      <c r="K81">
        <f t="shared" si="6"/>
        <v>96768</v>
      </c>
      <c r="L81">
        <f t="shared" si="7"/>
        <v>8.3941707147814019E-3</v>
      </c>
    </row>
    <row r="82" spans="1:12" x14ac:dyDescent="0.3">
      <c r="A82" t="s">
        <v>84</v>
      </c>
      <c r="B82" s="4" cm="1">
        <f t="array" ref="B82">_xll.SNL.Clients.Office.Excel.Functions.SPG(A82, "SP_TOTAL_REV", "CY2023")</f>
        <v>1561755</v>
      </c>
      <c r="C82" s="4">
        <f>_xll.SNL.Clients.Office.Excel.Functions.SPG(A82,"IQ_AVG_DILUT_SHARES_OUT","CY2023")</f>
        <v>109399000</v>
      </c>
      <c r="D82" s="5">
        <f>_xll.SNL.Clients.Office.Excel.Functions.SPG(A82, "IQ_DILUT_EPS_NORM", "CY2023")</f>
        <v>1.0269999999999999</v>
      </c>
      <c r="E82">
        <f t="shared" si="4"/>
        <v>112352.77299999999</v>
      </c>
      <c r="F82">
        <f t="shared" si="5"/>
        <v>7.19400757481167E-2</v>
      </c>
      <c r="G82" t="s">
        <v>84</v>
      </c>
      <c r="H82" s="4" cm="1">
        <f t="array" ref="H82">_xll.SNL.Clients.Office.Excel.Functions.SPG(G82, "SP_TOTAL_REV", "CY2023")</f>
        <v>1561755</v>
      </c>
      <c r="I82" s="4">
        <f>_xll.SNL.Clients.Office.Excel.Functions.SPG(G82,"IQ_AVG_DILUT_SHARES_OUT","CY2023")</f>
        <v>109399000</v>
      </c>
      <c r="J82" s="5">
        <f>_xll.SNL.Clients.Office.Excel.Functions.SPG(G82, "IQ_DILUT_EPS_NORM", "CY2023")</f>
        <v>1.0269999999999999</v>
      </c>
      <c r="K82">
        <f t="shared" si="6"/>
        <v>112352.77299999999</v>
      </c>
      <c r="L82">
        <f t="shared" si="7"/>
        <v>7.19400757481167E-2</v>
      </c>
    </row>
    <row r="83" spans="1:12" x14ac:dyDescent="0.3">
      <c r="A83" t="s">
        <v>85</v>
      </c>
      <c r="B83" s="4" cm="1">
        <f t="array" ref="B83">_xll.SNL.Clients.Office.Excel.Functions.SPG(A83, "SP_TOTAL_REV", "CY2023")</f>
        <v>26361000</v>
      </c>
      <c r="C83" s="4">
        <f>_xll.SNL.Clients.Office.Excel.Functions.SPG(A83,"IQ_AVG_DILUT_SHARES_OUT","CY2023")</f>
        <v>383400000</v>
      </c>
      <c r="D83" s="5">
        <f>_xll.SNL.Clients.Office.Excel.Functions.SPG(A83, "IQ_DILUT_EPS_NORM", "CY2023")</f>
        <v>9.8539999999999992</v>
      </c>
      <c r="E83">
        <f t="shared" si="4"/>
        <v>3778023.5999999996</v>
      </c>
      <c r="F83">
        <f t="shared" si="5"/>
        <v>0.14331867531580744</v>
      </c>
      <c r="G83" t="s">
        <v>85</v>
      </c>
      <c r="H83" s="4" cm="1">
        <f t="array" ref="H83">_xll.SNL.Clients.Office.Excel.Functions.SPG(G83, "SP_TOTAL_REV", "CY2023")</f>
        <v>26361000</v>
      </c>
      <c r="I83" s="4">
        <f>_xll.SNL.Clients.Office.Excel.Functions.SPG(G83,"IQ_AVG_DILUT_SHARES_OUT","CY2023")</f>
        <v>383400000</v>
      </c>
      <c r="J83" s="5">
        <f>_xll.SNL.Clients.Office.Excel.Functions.SPG(G83, "IQ_DILUT_EPS_NORM", "CY2023")</f>
        <v>9.8539999999999992</v>
      </c>
      <c r="K83">
        <f t="shared" si="6"/>
        <v>3778023.5999999996</v>
      </c>
      <c r="L83">
        <f t="shared" si="7"/>
        <v>0.14331867531580744</v>
      </c>
    </row>
    <row r="84" spans="1:12" x14ac:dyDescent="0.3">
      <c r="A84" t="s">
        <v>86</v>
      </c>
      <c r="B84" s="4" cm="1">
        <f t="array" ref="B84">_xll.SNL.Clients.Office.Excel.Functions.SPG(A84, "SP_TOTAL_REV", "CY2023")</f>
        <v>216002000</v>
      </c>
      <c r="C84" s="4">
        <f>_xll.SNL.Clients.Office.Excel.Functions.SPG(A84,"IQ_AVG_DILUT_SHARES_OUT","CY2023")</f>
        <v>252750000</v>
      </c>
      <c r="D84" s="5">
        <f>_xll.SNL.Clients.Office.Excel.Functions.SPG(A84, "IQ_DILUT_EPS_NORM", "CY2023")</f>
        <v>4.9059999999999997</v>
      </c>
      <c r="E84">
        <f t="shared" si="4"/>
        <v>1239991.5</v>
      </c>
      <c r="F84">
        <f t="shared" si="5"/>
        <v>5.7406482347385672E-3</v>
      </c>
      <c r="G84" t="s">
        <v>86</v>
      </c>
      <c r="H84" s="4" cm="1">
        <f t="array" ref="H84">_xll.SNL.Clients.Office.Excel.Functions.SPG(G84, "SP_TOTAL_REV", "CY2023")</f>
        <v>216002000</v>
      </c>
      <c r="I84" s="4">
        <f>_xll.SNL.Clients.Office.Excel.Functions.SPG(G84,"IQ_AVG_DILUT_SHARES_OUT","CY2023")</f>
        <v>252750000</v>
      </c>
      <c r="J84" s="5">
        <f>_xll.SNL.Clients.Office.Excel.Functions.SPG(G84, "IQ_DILUT_EPS_NORM", "CY2023")</f>
        <v>4.9059999999999997</v>
      </c>
      <c r="K84">
        <f t="shared" si="6"/>
        <v>1239991.5</v>
      </c>
      <c r="L84">
        <f t="shared" si="7"/>
        <v>5.7406482347385672E-3</v>
      </c>
    </row>
    <row r="85" spans="1:12" x14ac:dyDescent="0.3">
      <c r="A85" t="s">
        <v>87</v>
      </c>
      <c r="B85" s="4" cm="1">
        <f t="array" ref="B85">_xll.SNL.Clients.Office.Excel.Functions.SPG(A85, "SP_TOTAL_REV", "CY2023")</f>
        <v>28248430</v>
      </c>
      <c r="C85" s="4">
        <f>_xll.SNL.Clients.Office.Excel.Functions.SPG(A85,"IQ_AVG_DILUT_SHARES_OUT","CY2023")</f>
        <v>158774250</v>
      </c>
      <c r="D85" s="5">
        <f>_xll.SNL.Clients.Office.Excel.Functions.SPG(A85, "IQ_DILUT_EPS_NORM", "CY2023")</f>
        <v>2.593</v>
      </c>
      <c r="E85">
        <f t="shared" si="4"/>
        <v>411701.63024999999</v>
      </c>
      <c r="F85">
        <f t="shared" si="5"/>
        <v>1.4574319006401418E-2</v>
      </c>
      <c r="G85" t="s">
        <v>87</v>
      </c>
      <c r="H85" s="4" cm="1">
        <f t="array" ref="H85">_xll.SNL.Clients.Office.Excel.Functions.SPG(G85, "SP_TOTAL_REV", "CY2023")</f>
        <v>28248430</v>
      </c>
      <c r="I85" s="4">
        <f>_xll.SNL.Clients.Office.Excel.Functions.SPG(G85,"IQ_AVG_DILUT_SHARES_OUT","CY2023")</f>
        <v>158774250</v>
      </c>
      <c r="J85" s="5">
        <f>_xll.SNL.Clients.Office.Excel.Functions.SPG(G85, "IQ_DILUT_EPS_NORM", "CY2023")</f>
        <v>2.593</v>
      </c>
      <c r="K85">
        <f t="shared" si="6"/>
        <v>411701.63024999999</v>
      </c>
      <c r="L85">
        <f t="shared" si="7"/>
        <v>1.4574319006401418E-2</v>
      </c>
    </row>
    <row r="86" spans="1:12" x14ac:dyDescent="0.3">
      <c r="A86" t="s">
        <v>88</v>
      </c>
      <c r="B86" s="4" cm="1">
        <f t="array" ref="B86">_xll.SNL.Clients.Office.Excel.Functions.SPG(A86, "SP_TOTAL_REV", "CY2023")</f>
        <v>21593000</v>
      </c>
      <c r="C86" s="4">
        <f>_xll.SNL.Clients.Office.Excel.Functions.SPG(A86,"IQ_AVG_DILUT_SHARES_OUT","CY2023")</f>
        <v>1262000000</v>
      </c>
      <c r="D86" s="5">
        <f>_xll.SNL.Clients.Office.Excel.Functions.SPG(A86, "IQ_DILUT_EPS_NORM", "CY2023")</f>
        <v>3.5000000000000003E-2</v>
      </c>
      <c r="E86">
        <f t="shared" si="4"/>
        <v>44170.000000000007</v>
      </c>
      <c r="F86">
        <f t="shared" si="5"/>
        <v>2.0455703237160193E-3</v>
      </c>
      <c r="G86" t="s">
        <v>88</v>
      </c>
      <c r="H86" s="4" cm="1">
        <f t="array" ref="H86">_xll.SNL.Clients.Office.Excel.Functions.SPG(G86, "SP_TOTAL_REV", "CY2023")</f>
        <v>21593000</v>
      </c>
      <c r="I86" s="4">
        <f>_xll.SNL.Clients.Office.Excel.Functions.SPG(G86,"IQ_AVG_DILUT_SHARES_OUT","CY2023")</f>
        <v>1262000000</v>
      </c>
      <c r="J86" s="5">
        <f>_xll.SNL.Clients.Office.Excel.Functions.SPG(G86, "IQ_DILUT_EPS_NORM", "CY2023")</f>
        <v>3.5000000000000003E-2</v>
      </c>
      <c r="K86">
        <f t="shared" si="6"/>
        <v>44170.000000000007</v>
      </c>
      <c r="L86">
        <f t="shared" si="7"/>
        <v>2.0455703237160193E-3</v>
      </c>
    </row>
    <row r="87" spans="1:12" x14ac:dyDescent="0.3">
      <c r="A87" t="s">
        <v>89</v>
      </c>
      <c r="B87" s="4" cm="1">
        <f t="array" ref="B87">_xll.SNL.Clients.Office.Excel.Functions.SPG(A87, "SP_TOTAL_REV", "CY2023")</f>
        <v>22098000</v>
      </c>
      <c r="C87" s="4">
        <f>_xll.SNL.Clients.Office.Excel.Functions.SPG(A87,"IQ_AVG_DILUT_SHARES_OUT","CY2023")</f>
        <v>853000000</v>
      </c>
      <c r="D87" s="5">
        <f>_xll.SNL.Clients.Office.Excel.Functions.SPG(A87, "IQ_DILUT_EPS_NORM", "CY2023")</f>
        <v>1.556</v>
      </c>
      <c r="E87">
        <f t="shared" si="4"/>
        <v>1327268</v>
      </c>
      <c r="F87">
        <f t="shared" si="5"/>
        <v>6.0062811114127979E-2</v>
      </c>
      <c r="G87" t="s">
        <v>89</v>
      </c>
      <c r="H87" s="4" cm="1">
        <f t="array" ref="H87">_xll.SNL.Clients.Office.Excel.Functions.SPG(G87, "SP_TOTAL_REV", "CY2023")</f>
        <v>22098000</v>
      </c>
      <c r="I87" s="4">
        <f>_xll.SNL.Clients.Office.Excel.Functions.SPG(G87,"IQ_AVG_DILUT_SHARES_OUT","CY2023")</f>
        <v>853000000</v>
      </c>
      <c r="J87" s="5">
        <f>_xll.SNL.Clients.Office.Excel.Functions.SPG(G87, "IQ_DILUT_EPS_NORM", "CY2023")</f>
        <v>1.556</v>
      </c>
      <c r="K87">
        <f t="shared" si="6"/>
        <v>1327268</v>
      </c>
      <c r="L87">
        <f t="shared" si="7"/>
        <v>6.0062811114127979E-2</v>
      </c>
    </row>
    <row r="88" spans="1:12" x14ac:dyDescent="0.3">
      <c r="A88" t="s">
        <v>90</v>
      </c>
      <c r="B88" s="4" cm="1">
        <f t="array" ref="B88">_xll.SNL.Clients.Office.Excel.Functions.SPG(A88, "SP_TOTAL_REV", "CY2023")</f>
        <v>67060000</v>
      </c>
      <c r="C88" s="4">
        <f>_xll.SNL.Clients.Office.Excel.Functions.SPG(A88,"IQ_AVG_DILUT_SHARES_OUT","CY2023")</f>
        <v>513600000</v>
      </c>
      <c r="D88" s="5">
        <f>_xll.SNL.Clients.Office.Excel.Functions.SPG(A88, "IQ_DILUT_EPS_NORM", "CY2023")</f>
        <v>16.765999999999998</v>
      </c>
      <c r="E88">
        <f t="shared" si="4"/>
        <v>8611017.5999999996</v>
      </c>
      <c r="F88">
        <f t="shared" si="5"/>
        <v>0.12840765881300328</v>
      </c>
      <c r="G88" t="s">
        <v>90</v>
      </c>
      <c r="H88" s="4" cm="1">
        <f t="array" ref="H88">_xll.SNL.Clients.Office.Excel.Functions.SPG(G88, "SP_TOTAL_REV", "CY2023")</f>
        <v>67060000</v>
      </c>
      <c r="I88" s="4">
        <f>_xll.SNL.Clients.Office.Excel.Functions.SPG(G88,"IQ_AVG_DILUT_SHARES_OUT","CY2023")</f>
        <v>513600000</v>
      </c>
      <c r="J88" s="5">
        <f>_xll.SNL.Clients.Office.Excel.Functions.SPG(G88, "IQ_DILUT_EPS_NORM", "CY2023")</f>
        <v>16.765999999999998</v>
      </c>
      <c r="K88">
        <f t="shared" si="6"/>
        <v>8611017.5999999996</v>
      </c>
      <c r="L88">
        <f t="shared" si="7"/>
        <v>0.12840765881300328</v>
      </c>
    </row>
    <row r="89" spans="1:12" x14ac:dyDescent="0.3">
      <c r="A89" t="s">
        <v>91</v>
      </c>
      <c r="B89" s="4" cm="1">
        <f t="array" ref="B89">_xll.SNL.Clients.Office.Excel.Functions.SPG(A89, "SP_TOTAL_REV", "CY2023")</f>
        <v>3773500</v>
      </c>
      <c r="C89" s="4">
        <f>_xll.SNL.Clients.Office.Excel.Functions.SPG(A89,"IQ_AVG_DILUT_SHARES_OUT","CY2023")</f>
        <v>106200000</v>
      </c>
      <c r="D89" s="5">
        <f>_xll.SNL.Clients.Office.Excel.Functions.SPG(A89, "IQ_DILUT_EPS_NORM", "CY2023")</f>
        <v>6.1349999999999998</v>
      </c>
      <c r="E89">
        <f t="shared" si="4"/>
        <v>651537</v>
      </c>
      <c r="F89">
        <f t="shared" si="5"/>
        <v>0.17266118987677223</v>
      </c>
      <c r="G89" t="s">
        <v>91</v>
      </c>
      <c r="H89" s="4" cm="1">
        <f t="array" ref="H89">_xll.SNL.Clients.Office.Excel.Functions.SPG(G89, "SP_TOTAL_REV", "CY2023")</f>
        <v>3773500</v>
      </c>
      <c r="I89" s="4">
        <f>_xll.SNL.Clients.Office.Excel.Functions.SPG(G89,"IQ_AVG_DILUT_SHARES_OUT","CY2023")</f>
        <v>106200000</v>
      </c>
      <c r="J89" s="5">
        <f>_xll.SNL.Clients.Office.Excel.Functions.SPG(G89, "IQ_DILUT_EPS_NORM", "CY2023")</f>
        <v>6.1349999999999998</v>
      </c>
      <c r="K89">
        <f t="shared" si="6"/>
        <v>651537</v>
      </c>
      <c r="L89">
        <f t="shared" si="7"/>
        <v>0.17266118987677223</v>
      </c>
    </row>
    <row r="90" spans="1:12" x14ac:dyDescent="0.3">
      <c r="A90" t="s">
        <v>92</v>
      </c>
      <c r="B90" s="4" cm="1">
        <f t="array" ref="B90">_xll.SNL.Clients.Office.Excel.Functions.SPG(A90, "SP_TOTAL_REV", "CY2023")</f>
        <v>32252000</v>
      </c>
      <c r="C90" s="4">
        <f>_xll.SNL.Clients.Office.Excel.Functions.SPG(A90,"IQ_AVG_DILUT_SHARES_OUT","CY2023")</f>
        <v>312550942</v>
      </c>
      <c r="D90" s="5">
        <f>_xll.SNL.Clients.Office.Excel.Functions.SPG(A90, "IQ_DILUT_EPS_NORM", "CY2023")</f>
        <v>2.6070000000000002</v>
      </c>
      <c r="E90">
        <f t="shared" si="4"/>
        <v>814820.30579400004</v>
      </c>
      <c r="F90">
        <f t="shared" si="5"/>
        <v>2.5264179145293317E-2</v>
      </c>
      <c r="G90" t="s">
        <v>92</v>
      </c>
      <c r="H90" s="4" cm="1">
        <f t="array" ref="H90">_xll.SNL.Clients.Office.Excel.Functions.SPG(G90, "SP_TOTAL_REV", "CY2023")</f>
        <v>32252000</v>
      </c>
      <c r="I90" s="4">
        <f>_xll.SNL.Clients.Office.Excel.Functions.SPG(G90,"IQ_AVG_DILUT_SHARES_OUT","CY2023")</f>
        <v>312550942</v>
      </c>
      <c r="J90" s="5">
        <f>_xll.SNL.Clients.Office.Excel.Functions.SPG(G90, "IQ_DILUT_EPS_NORM", "CY2023")</f>
        <v>2.6070000000000002</v>
      </c>
      <c r="K90">
        <f t="shared" si="6"/>
        <v>814820.30579400004</v>
      </c>
      <c r="L90">
        <f t="shared" si="7"/>
        <v>2.5264179145293317E-2</v>
      </c>
    </row>
    <row r="91" spans="1:12" x14ac:dyDescent="0.3">
      <c r="A91" t="s">
        <v>93</v>
      </c>
      <c r="B91" s="4" cm="1">
        <f t="array" ref="B91">_xll.SNL.Clients.Office.Excel.Functions.SPG(A91, "SP_TOTAL_REV", "CY2023")</f>
        <v>21376000</v>
      </c>
      <c r="C91" s="4">
        <f>_xll.SNL.Clients.Office.Excel.Functions.SPG(A91,"IQ_AVG_DILUT_SHARES_OUT","CY2023")</f>
        <v>136300000</v>
      </c>
      <c r="D91" s="5">
        <f>_xll.SNL.Clients.Office.Excel.Functions.SPG(A91, "IQ_DILUT_EPS_NORM", "CY2023")</f>
        <v>7.0060000000000002</v>
      </c>
      <c r="E91">
        <f t="shared" si="4"/>
        <v>954917.8</v>
      </c>
      <c r="F91">
        <f t="shared" si="5"/>
        <v>4.4672427020958083E-2</v>
      </c>
      <c r="G91" t="s">
        <v>93</v>
      </c>
      <c r="H91" s="4" cm="1">
        <f t="array" ref="H91">_xll.SNL.Clients.Office.Excel.Functions.SPG(G91, "SP_TOTAL_REV", "CY2023")</f>
        <v>21376000</v>
      </c>
      <c r="I91" s="4">
        <f>_xll.SNL.Clients.Office.Excel.Functions.SPG(G91,"IQ_AVG_DILUT_SHARES_OUT","CY2023")</f>
        <v>136300000</v>
      </c>
      <c r="J91" s="5">
        <f>_xll.SNL.Clients.Office.Excel.Functions.SPG(G91, "IQ_DILUT_EPS_NORM", "CY2023")</f>
        <v>7.0060000000000002</v>
      </c>
      <c r="K91">
        <f t="shared" si="6"/>
        <v>954917.8</v>
      </c>
      <c r="L91">
        <f t="shared" si="7"/>
        <v>4.4672427020958083E-2</v>
      </c>
    </row>
    <row r="92" spans="1:12" x14ac:dyDescent="0.3">
      <c r="A92" t="s">
        <v>94</v>
      </c>
      <c r="B92" s="4" cm="1">
        <f t="array" ref="B92">_xll.SNL.Clients.Office.Excel.Functions.SPG(A92, "SP_TOTAL_REV", "CY2023")</f>
        <v>10940000</v>
      </c>
      <c r="C92" s="4">
        <f>_xll.SNL.Clients.Office.Excel.Functions.SPG(A92,"IQ_AVG_DILUT_SHARES_OUT","CY2023")</f>
        <v>109379664</v>
      </c>
      <c r="D92" s="5">
        <f>_xll.SNL.Clients.Office.Excel.Functions.SPG(A92, "IQ_DILUT_EPS_NORM", "CY2023")</f>
        <v>4.266</v>
      </c>
      <c r="E92">
        <f t="shared" si="4"/>
        <v>466613.64662399999</v>
      </c>
      <c r="F92">
        <f t="shared" si="5"/>
        <v>4.2652070075319924E-2</v>
      </c>
      <c r="G92" t="s">
        <v>94</v>
      </c>
      <c r="H92" s="4" cm="1">
        <f t="array" ref="H92">_xll.SNL.Clients.Office.Excel.Functions.SPG(G92, "SP_TOTAL_REV", "CY2023")</f>
        <v>10940000</v>
      </c>
      <c r="I92" s="4">
        <f>_xll.SNL.Clients.Office.Excel.Functions.SPG(G92,"IQ_AVG_DILUT_SHARES_OUT","CY2023")</f>
        <v>109379664</v>
      </c>
      <c r="J92" s="5">
        <f>_xll.SNL.Clients.Office.Excel.Functions.SPG(G92, "IQ_DILUT_EPS_NORM", "CY2023")</f>
        <v>4.266</v>
      </c>
      <c r="K92">
        <f t="shared" si="6"/>
        <v>466613.64662399999</v>
      </c>
      <c r="L92">
        <f t="shared" si="7"/>
        <v>4.2652070075319924E-2</v>
      </c>
    </row>
    <row r="93" spans="1:12" x14ac:dyDescent="0.3">
      <c r="A93" t="s">
        <v>95</v>
      </c>
      <c r="B93" s="4" cm="1">
        <f t="array" ref="B93">_xll.SNL.Clients.Office.Excel.Functions.SPG(A93, "SP_TOTAL_REV", "CY2023")</f>
        <v>271579412</v>
      </c>
      <c r="C93" s="4">
        <f>_xll.SNL.Clients.Office.Excel.Functions.SPG(A93,"IQ_AVG_DILUT_SHARES_OUT","CY2023")</f>
        <v>203468500</v>
      </c>
      <c r="D93" s="5">
        <f>_xll.SNL.Clients.Office.Excel.Functions.SPG(A93, "IQ_DILUT_EPS_NORM", "CY2023")</f>
        <v>7.5510000000000002</v>
      </c>
      <c r="E93">
        <f t="shared" si="4"/>
        <v>1536390.6435</v>
      </c>
      <c r="F93">
        <f t="shared" si="5"/>
        <v>5.657242690767738E-3</v>
      </c>
      <c r="G93" t="s">
        <v>95</v>
      </c>
      <c r="H93" s="4" cm="1">
        <f t="array" ref="H93">_xll.SNL.Clients.Office.Excel.Functions.SPG(G93, "SP_TOTAL_REV", "CY2023")</f>
        <v>271579412</v>
      </c>
      <c r="I93" s="4">
        <f>_xll.SNL.Clients.Office.Excel.Functions.SPG(G93,"IQ_AVG_DILUT_SHARES_OUT","CY2023")</f>
        <v>203468500</v>
      </c>
      <c r="J93" s="5">
        <f>_xll.SNL.Clients.Office.Excel.Functions.SPG(G93, "IQ_DILUT_EPS_NORM", "CY2023")</f>
        <v>7.5510000000000002</v>
      </c>
      <c r="K93">
        <f t="shared" si="6"/>
        <v>1536390.6435</v>
      </c>
      <c r="L93">
        <f t="shared" si="7"/>
        <v>5.657242690767738E-3</v>
      </c>
    </row>
    <row r="94" spans="1:12" x14ac:dyDescent="0.3">
      <c r="A94" t="s">
        <v>96</v>
      </c>
      <c r="B94" s="4" cm="1">
        <f t="array" ref="B94">_xll.SNL.Clients.Office.Excel.Functions.SPG(A94, "SP_TOTAL_REV", "CY2023")</f>
        <v>155392000</v>
      </c>
      <c r="C94" s="4">
        <f>_xll.SNL.Clients.Office.Excel.Functions.SPG(A94,"IQ_AVG_DILUT_SHARES_OUT","CY2023")</f>
        <v>545704000</v>
      </c>
      <c r="D94" s="5">
        <f>_xll.SNL.Clients.Office.Excel.Functions.SPG(A94, "IQ_DILUT_EPS_NORM", "CY2023")</f>
        <v>4.657</v>
      </c>
      <c r="E94">
        <f t="shared" si="4"/>
        <v>2541343.5279999999</v>
      </c>
      <c r="F94">
        <f t="shared" si="5"/>
        <v>1.6354403881795716E-2</v>
      </c>
      <c r="G94" t="s">
        <v>96</v>
      </c>
      <c r="H94" s="4" cm="1">
        <f t="array" ref="H94">_xll.SNL.Clients.Office.Excel.Functions.SPG(G94, "SP_TOTAL_REV", "CY2023")</f>
        <v>155392000</v>
      </c>
      <c r="I94" s="4">
        <f>_xll.SNL.Clients.Office.Excel.Functions.SPG(G94,"IQ_AVG_DILUT_SHARES_OUT","CY2023")</f>
        <v>545704000</v>
      </c>
      <c r="J94" s="5">
        <f>_xll.SNL.Clients.Office.Excel.Functions.SPG(G94, "IQ_DILUT_EPS_NORM", "CY2023")</f>
        <v>4.657</v>
      </c>
      <c r="K94">
        <f t="shared" si="6"/>
        <v>2541343.5279999999</v>
      </c>
      <c r="L94">
        <f t="shared" si="7"/>
        <v>1.6354403881795716E-2</v>
      </c>
    </row>
    <row r="95" spans="1:12" x14ac:dyDescent="0.3">
      <c r="A95" t="s">
        <v>97</v>
      </c>
      <c r="B95" s="4" cm="1">
        <f t="array" ref="B95">_xll.SNL.Clients.Office.Excel.Functions.SPG(A95, "SP_TOTAL_REV", "CY2023")</f>
        <v>8696000</v>
      </c>
      <c r="C95" s="4">
        <f>_xll.SNL.Clients.Office.Excel.Functions.SPG(A95,"IQ_AVG_DILUT_SHARES_OUT","CY2023")</f>
        <v>633179000</v>
      </c>
      <c r="D95" s="5">
        <f>_xll.SNL.Clients.Office.Excel.Functions.SPG(A95, "IQ_DILUT_EPS_NORM", "CY2023")</f>
        <v>1.0820000000000001</v>
      </c>
      <c r="E95">
        <f t="shared" si="4"/>
        <v>685099.67799999996</v>
      </c>
      <c r="F95">
        <f t="shared" si="5"/>
        <v>7.8783311637534492E-2</v>
      </c>
      <c r="G95" t="s">
        <v>97</v>
      </c>
      <c r="H95" s="4" cm="1">
        <f t="array" ref="H95">_xll.SNL.Clients.Office.Excel.Functions.SPG(G95, "SP_TOTAL_REV", "CY2023")</f>
        <v>8696000</v>
      </c>
      <c r="I95" s="4">
        <f>_xll.SNL.Clients.Office.Excel.Functions.SPG(G95,"IQ_AVG_DILUT_SHARES_OUT","CY2023")</f>
        <v>633179000</v>
      </c>
      <c r="J95" s="5">
        <f>_xll.SNL.Clients.Office.Excel.Functions.SPG(G95, "IQ_DILUT_EPS_NORM", "CY2023")</f>
        <v>1.0820000000000001</v>
      </c>
      <c r="K95">
        <f t="shared" si="6"/>
        <v>685099.67799999996</v>
      </c>
      <c r="L95">
        <f t="shared" si="7"/>
        <v>7.8783311637534492E-2</v>
      </c>
    </row>
    <row r="96" spans="1:12" x14ac:dyDescent="0.3">
      <c r="A96" t="s">
        <v>98</v>
      </c>
      <c r="B96" s="4" cm="1">
        <f t="array" ref="B96">_xll.SNL.Clients.Office.Excel.Functions.SPG(A96, "SP_TOTAL_REV", "CY2023")</f>
        <v>6631000</v>
      </c>
      <c r="C96" s="4">
        <f>_xll.SNL.Clients.Office.Excel.Functions.SPG(A96,"IQ_AVG_DILUT_SHARES_OUT","CY2023")</f>
        <v>193800000</v>
      </c>
      <c r="D96" s="5">
        <f>_xll.SNL.Clients.Office.Excel.Functions.SPG(A96, "IQ_DILUT_EPS_NORM", "CY2023")</f>
        <v>5.68</v>
      </c>
      <c r="E96">
        <f t="shared" si="4"/>
        <v>1100784</v>
      </c>
      <c r="F96">
        <f t="shared" si="5"/>
        <v>0.1660057306590258</v>
      </c>
      <c r="G96" t="s">
        <v>98</v>
      </c>
      <c r="H96" s="4" cm="1">
        <f t="array" ref="H96">_xll.SNL.Clients.Office.Excel.Functions.SPG(G96, "SP_TOTAL_REV", "CY2023")</f>
        <v>6631000</v>
      </c>
      <c r="I96" s="4">
        <f>_xll.SNL.Clients.Office.Excel.Functions.SPG(G96,"IQ_AVG_DILUT_SHARES_OUT","CY2023")</f>
        <v>193800000</v>
      </c>
      <c r="J96" s="5">
        <f>_xll.SNL.Clients.Office.Excel.Functions.SPG(G96, "IQ_DILUT_EPS_NORM", "CY2023")</f>
        <v>5.68</v>
      </c>
      <c r="K96">
        <f t="shared" si="6"/>
        <v>1100784</v>
      </c>
      <c r="L96">
        <f t="shared" si="7"/>
        <v>0.1660057306590258</v>
      </c>
    </row>
    <row r="97" spans="1:12" x14ac:dyDescent="0.3">
      <c r="A97" t="s">
        <v>99</v>
      </c>
      <c r="B97" s="4" cm="1">
        <f t="array" ref="B97">_xll.SNL.Clients.Office.Excel.Functions.SPG(A97, "SP_TOTAL_REV", "CY2023")</f>
        <v>4129409</v>
      </c>
      <c r="C97" s="4">
        <f>_xll.SNL.Clients.Office.Excel.Functions.SPG(A97,"IQ_AVG_DILUT_SHARES_OUT","CY2023")</f>
        <v>51451000</v>
      </c>
      <c r="D97" s="5">
        <f>_xll.SNL.Clients.Office.Excel.Functions.SPG(A97, "IQ_DILUT_EPS_NORM", "CY2023")</f>
        <v>6.2759999999999998</v>
      </c>
      <c r="E97">
        <f t="shared" si="4"/>
        <v>322906.47600000002</v>
      </c>
      <c r="F97">
        <f t="shared" si="5"/>
        <v>7.8196777311232674E-2</v>
      </c>
      <c r="G97" t="s">
        <v>99</v>
      </c>
      <c r="H97" s="4" cm="1">
        <f t="array" ref="H97">_xll.SNL.Clients.Office.Excel.Functions.SPG(G97, "SP_TOTAL_REV", "CY2023")</f>
        <v>4129409</v>
      </c>
      <c r="I97" s="4">
        <f>_xll.SNL.Clients.Office.Excel.Functions.SPG(G97,"IQ_AVG_DILUT_SHARES_OUT","CY2023")</f>
        <v>51451000</v>
      </c>
      <c r="J97" s="5">
        <f>_xll.SNL.Clients.Office.Excel.Functions.SPG(G97, "IQ_DILUT_EPS_NORM", "CY2023")</f>
        <v>6.2759999999999998</v>
      </c>
      <c r="K97">
        <f t="shared" si="6"/>
        <v>322906.47600000002</v>
      </c>
      <c r="L97">
        <f t="shared" si="7"/>
        <v>7.8196777311232674E-2</v>
      </c>
    </row>
    <row r="98" spans="1:12" x14ac:dyDescent="0.3">
      <c r="A98" t="s">
        <v>100</v>
      </c>
      <c r="B98" s="4" cm="1">
        <f t="array" ref="B98">_xll.SNL.Clients.Office.Excel.Functions.SPG(A98, "SP_TOTAL_REV", "CY2023")</f>
        <v>54607000</v>
      </c>
      <c r="C98" s="4">
        <f>_xll.SNL.Clients.Office.Excel.Functions.SPG(A98,"IQ_AVG_DILUT_SHARES_OUT","CY2023")</f>
        <v>151966313</v>
      </c>
      <c r="D98" s="5">
        <f>_xll.SNL.Clients.Office.Excel.Functions.SPG(A98, "IQ_DILUT_EPS_NORM", "CY2023")</f>
        <v>23.350999999999999</v>
      </c>
      <c r="E98">
        <f t="shared" si="4"/>
        <v>3548565.3748630001</v>
      </c>
      <c r="F98">
        <f t="shared" si="5"/>
        <v>6.4983708587964914E-2</v>
      </c>
      <c r="G98" t="s">
        <v>100</v>
      </c>
      <c r="H98" s="4" cm="1">
        <f t="array" ref="H98">_xll.SNL.Clients.Office.Excel.Functions.SPG(G98, "SP_TOTAL_REV", "CY2023")</f>
        <v>54607000</v>
      </c>
      <c r="I98" s="4">
        <f>_xll.SNL.Clients.Office.Excel.Functions.SPG(G98,"IQ_AVG_DILUT_SHARES_OUT","CY2023")</f>
        <v>151966313</v>
      </c>
      <c r="J98" s="5">
        <f>_xll.SNL.Clients.Office.Excel.Functions.SPG(G98, "IQ_DILUT_EPS_NORM", "CY2023")</f>
        <v>23.350999999999999</v>
      </c>
      <c r="K98">
        <f t="shared" si="6"/>
        <v>3548565.3748630001</v>
      </c>
      <c r="L98">
        <f t="shared" si="7"/>
        <v>6.4983708587964914E-2</v>
      </c>
    </row>
    <row r="99" spans="1:12" x14ac:dyDescent="0.3">
      <c r="A99" t="s">
        <v>101</v>
      </c>
      <c r="B99" s="4" cm="1">
        <f t="array" ref="B99">_xll.SNL.Clients.Office.Excel.Functions.SPG(A99, "SP_TOTAL_REV", "CY2023")</f>
        <v>194799000</v>
      </c>
      <c r="C99" s="4">
        <f>_xll.SNL.Clients.Office.Excel.Functions.SPG(A99,"IQ_AVG_DILUT_SHARES_OUT","CY2023")</f>
        <v>1880000000</v>
      </c>
      <c r="D99" s="5">
        <f>_xll.SNL.Clients.Office.Excel.Functions.SPG(A99, "IQ_DILUT_EPS_NORM", "CY2023")</f>
        <v>10.492000000000001</v>
      </c>
      <c r="E99">
        <f t="shared" si="4"/>
        <v>19724960</v>
      </c>
      <c r="F99">
        <f t="shared" si="5"/>
        <v>0.10125801467153323</v>
      </c>
      <c r="G99" t="s">
        <v>101</v>
      </c>
      <c r="H99" s="4" cm="1">
        <f t="array" ref="H99">_xll.SNL.Clients.Office.Excel.Functions.SPG(G99, "SP_TOTAL_REV", "CY2023")</f>
        <v>194799000</v>
      </c>
      <c r="I99" s="4">
        <f>_xll.SNL.Clients.Office.Excel.Functions.SPG(G99,"IQ_AVG_DILUT_SHARES_OUT","CY2023")</f>
        <v>1880000000</v>
      </c>
      <c r="J99" s="5">
        <f>_xll.SNL.Clients.Office.Excel.Functions.SPG(G99, "IQ_DILUT_EPS_NORM", "CY2023")</f>
        <v>10.492000000000001</v>
      </c>
      <c r="K99">
        <f t="shared" si="6"/>
        <v>19724960</v>
      </c>
      <c r="L99">
        <f t="shared" si="7"/>
        <v>0.10125801467153323</v>
      </c>
    </row>
    <row r="100" spans="1:12" x14ac:dyDescent="0.3">
      <c r="A100" t="s">
        <v>102</v>
      </c>
      <c r="B100" s="4" cm="1">
        <f t="array" ref="B100">_xll.SNL.Clients.Office.Excel.Functions.SPG(A100, "SP_TOTAL_REV", "CY2023")</f>
        <v>9871649</v>
      </c>
      <c r="C100" s="4">
        <f>_xll.SNL.Clients.Office.Excel.Functions.SPG(A100,"IQ_AVG_DILUT_SHARES_OUT","CY2023")</f>
        <v>1385500000</v>
      </c>
      <c r="D100" s="5">
        <f>_xll.SNL.Clients.Office.Excel.Functions.SPG(A100, "IQ_DILUT_EPS_NORM", "CY2023")</f>
        <v>0.748</v>
      </c>
      <c r="E100">
        <f t="shared" si="4"/>
        <v>1036354</v>
      </c>
      <c r="F100">
        <f t="shared" si="5"/>
        <v>0.10498286557797994</v>
      </c>
      <c r="G100" t="s">
        <v>102</v>
      </c>
      <c r="H100" s="4" cm="1">
        <f t="array" ref="H100">_xll.SNL.Clients.Office.Excel.Functions.SPG(G100, "SP_TOTAL_REV", "CY2023")</f>
        <v>9871649</v>
      </c>
      <c r="I100" s="4">
        <f>_xll.SNL.Clients.Office.Excel.Functions.SPG(G100,"IQ_AVG_DILUT_SHARES_OUT","CY2023")</f>
        <v>1385500000</v>
      </c>
      <c r="J100" s="5">
        <f>_xll.SNL.Clients.Office.Excel.Functions.SPG(G100, "IQ_DILUT_EPS_NORM", "CY2023")</f>
        <v>0.748</v>
      </c>
      <c r="K100">
        <f t="shared" si="6"/>
        <v>1036354</v>
      </c>
      <c r="L100">
        <f t="shared" si="7"/>
        <v>0.10498286557797994</v>
      </c>
    </row>
    <row r="101" spans="1:12" x14ac:dyDescent="0.3">
      <c r="A101" t="s">
        <v>103</v>
      </c>
      <c r="B101" s="4" cm="1">
        <f t="array" ref="B101">_xll.SNL.Clients.Office.Excel.Functions.SPG(A101, "SP_TOTAL_REV", "CY2023")</f>
        <v>51000000</v>
      </c>
      <c r="C101" s="4">
        <f>_xll.SNL.Clients.Office.Excel.Functions.SPG(A101,"IQ_AVG_DILUT_SHARES_OUT","CY2023")</f>
        <v>414202568</v>
      </c>
      <c r="D101" s="5">
        <f>_xll.SNL.Clients.Office.Excel.Functions.SPG(A101, "IQ_DILUT_EPS_NORM", "CY2023")</f>
        <v>14.305999999999999</v>
      </c>
      <c r="E101">
        <f t="shared" si="4"/>
        <v>5925581.9378079996</v>
      </c>
      <c r="F101">
        <f t="shared" si="5"/>
        <v>0.11618788113349018</v>
      </c>
      <c r="G101" t="s">
        <v>103</v>
      </c>
      <c r="H101" s="4" cm="1">
        <f t="array" ref="H101">_xll.SNL.Clients.Office.Excel.Functions.SPG(G101, "SP_TOTAL_REV", "CY2023")</f>
        <v>51000000</v>
      </c>
      <c r="I101" s="4">
        <f>_xll.SNL.Clients.Office.Excel.Functions.SPG(G101,"IQ_AVG_DILUT_SHARES_OUT","CY2023")</f>
        <v>414202568</v>
      </c>
      <c r="J101" s="5">
        <f>_xll.SNL.Clients.Office.Excel.Functions.SPG(G101, "IQ_DILUT_EPS_NORM", "CY2023")</f>
        <v>14.305999999999999</v>
      </c>
      <c r="K101">
        <f t="shared" si="6"/>
        <v>5925581.9378079996</v>
      </c>
      <c r="L101">
        <f t="shared" si="7"/>
        <v>0.11618788113349018</v>
      </c>
    </row>
    <row r="102" spans="1:12" x14ac:dyDescent="0.3">
      <c r="A102" t="s">
        <v>104</v>
      </c>
      <c r="B102" s="4" cm="1">
        <f t="array" ref="B102">_xll.SNL.Clients.Office.Excel.Functions.SPG(A102, "SP_TOTAL_REV", "CY2023")</f>
        <v>5867900</v>
      </c>
      <c r="C102" s="4">
        <f>_xll.SNL.Clients.Office.Excel.Functions.SPG(A102,"IQ_AVG_DILUT_SHARES_OUT","CY2023")</f>
        <v>247600000</v>
      </c>
      <c r="D102" s="5">
        <f>_xll.SNL.Clients.Office.Excel.Functions.SPG(A102, "IQ_DILUT_EPS_NORM", "CY2023")</f>
        <v>2.4420000000000002</v>
      </c>
      <c r="E102">
        <f t="shared" si="4"/>
        <v>604639.19999999995</v>
      </c>
      <c r="F102">
        <f t="shared" si="5"/>
        <v>0.10304183779546344</v>
      </c>
      <c r="G102" t="s">
        <v>104</v>
      </c>
      <c r="H102" s="4" cm="1">
        <f t="array" ref="H102">_xll.SNL.Clients.Office.Excel.Functions.SPG(G102, "SP_TOTAL_REV", "CY2023")</f>
        <v>5867900</v>
      </c>
      <c r="I102" s="4">
        <f>_xll.SNL.Clients.Office.Excel.Functions.SPG(G102,"IQ_AVG_DILUT_SHARES_OUT","CY2023")</f>
        <v>247600000</v>
      </c>
      <c r="J102" s="5">
        <f>_xll.SNL.Clients.Office.Excel.Functions.SPG(G102, "IQ_DILUT_EPS_NORM", "CY2023")</f>
        <v>2.4420000000000002</v>
      </c>
      <c r="K102">
        <f t="shared" si="6"/>
        <v>604639.19999999995</v>
      </c>
      <c r="L102">
        <f t="shared" si="7"/>
        <v>0.10304183779546344</v>
      </c>
    </row>
    <row r="103" spans="1:12" x14ac:dyDescent="0.3">
      <c r="A103" t="s">
        <v>105</v>
      </c>
      <c r="B103" s="4" cm="1">
        <f t="array" ref="B103">_xll.SNL.Clients.Office.Excel.Functions.SPG(A103, "SP_TOTAL_REV", "CY2023")</f>
        <v>10013000</v>
      </c>
      <c r="C103" s="4">
        <f>_xll.SNL.Clients.Office.Excel.Functions.SPG(A103,"IQ_AVG_DILUT_SHARES_OUT","CY2023")</f>
        <v>158100000</v>
      </c>
      <c r="D103" s="5">
        <f>_xll.SNL.Clients.Office.Excel.Functions.SPG(A103, "IQ_DILUT_EPS_NORM", "CY2023")</f>
        <v>8.9969999999999999</v>
      </c>
      <c r="E103">
        <f t="shared" si="4"/>
        <v>1422425.7</v>
      </c>
      <c r="F103">
        <f t="shared" si="5"/>
        <v>0.14205789473684211</v>
      </c>
      <c r="G103" t="s">
        <v>105</v>
      </c>
      <c r="H103" s="4" cm="1">
        <f t="array" ref="H103">_xll.SNL.Clients.Office.Excel.Functions.SPG(G103, "SP_TOTAL_REV", "CY2023")</f>
        <v>10013000</v>
      </c>
      <c r="I103" s="4">
        <f>_xll.SNL.Clients.Office.Excel.Functions.SPG(G103,"IQ_AVG_DILUT_SHARES_OUT","CY2023")</f>
        <v>158100000</v>
      </c>
      <c r="J103" s="5">
        <f>_xll.SNL.Clients.Office.Excel.Functions.SPG(G103, "IQ_DILUT_EPS_NORM", "CY2023")</f>
        <v>8.9969999999999999</v>
      </c>
      <c r="K103">
        <f t="shared" si="6"/>
        <v>1422425.7</v>
      </c>
      <c r="L103">
        <f t="shared" si="7"/>
        <v>0.14205789473684211</v>
      </c>
    </row>
    <row r="104" spans="1:12" x14ac:dyDescent="0.3">
      <c r="A104" t="s">
        <v>106</v>
      </c>
      <c r="B104" s="4" cm="1">
        <f t="array" ref="B104">_xll.SNL.Clients.Office.Excel.Functions.SPG(A104, "SP_TOTAL_REV", "CY2023")</f>
        <v>9193964</v>
      </c>
      <c r="C104" s="4">
        <f>_xll.SNL.Clients.Office.Excel.Functions.SPG(A104,"IQ_AVG_DILUT_SHARES_OUT","CY2023")</f>
        <v>413658000</v>
      </c>
      <c r="D104" s="5">
        <f>_xll.SNL.Clients.Office.Excel.Functions.SPG(A104, "IQ_DILUT_EPS_NORM", "CY2023")</f>
        <v>2.742</v>
      </c>
      <c r="E104">
        <f t="shared" si="4"/>
        <v>1134250.236</v>
      </c>
      <c r="F104">
        <f t="shared" si="5"/>
        <v>0.123369009928688</v>
      </c>
      <c r="G104" t="s">
        <v>106</v>
      </c>
      <c r="H104" s="4" cm="1">
        <f t="array" ref="H104">_xll.SNL.Clients.Office.Excel.Functions.SPG(G104, "SP_TOTAL_REV", "CY2023")</f>
        <v>9193964</v>
      </c>
      <c r="I104" s="4">
        <f>_xll.SNL.Clients.Office.Excel.Functions.SPG(G104,"IQ_AVG_DILUT_SHARES_OUT","CY2023")</f>
        <v>413658000</v>
      </c>
      <c r="J104" s="5">
        <f>_xll.SNL.Clients.Office.Excel.Functions.SPG(G104, "IQ_DILUT_EPS_NORM", "CY2023")</f>
        <v>2.742</v>
      </c>
      <c r="K104">
        <f t="shared" si="6"/>
        <v>1134250.236</v>
      </c>
      <c r="L104">
        <f t="shared" si="7"/>
        <v>0.123369009928688</v>
      </c>
    </row>
    <row r="105" spans="1:12" x14ac:dyDescent="0.3">
      <c r="A105" t="s">
        <v>107</v>
      </c>
      <c r="B105" s="4" cm="1">
        <f t="array" ref="B105">_xll.SNL.Clients.Office.Excel.Functions.SPG(A105, "SP_TOTAL_REV", "CY2023")</f>
        <v>57233000</v>
      </c>
      <c r="C105" s="4">
        <f>_xll.SNL.Clients.Office.Excel.Functions.SPG(A105,"IQ_AVG_DILUT_SHARES_OUT","CY2023")</f>
        <v>4087000000</v>
      </c>
      <c r="D105" s="5">
        <f>_xll.SNL.Clients.Office.Excel.Functions.SPG(A105, "IQ_DILUT_EPS_NORM", "CY2023")</f>
        <v>2.5680000000000001</v>
      </c>
      <c r="E105">
        <f t="shared" si="4"/>
        <v>10495416</v>
      </c>
      <c r="F105">
        <f t="shared" si="5"/>
        <v>0.18338049726556357</v>
      </c>
      <c r="G105" t="s">
        <v>107</v>
      </c>
      <c r="H105" s="4" cm="1">
        <f t="array" ref="H105">_xll.SNL.Clients.Office.Excel.Functions.SPG(G105, "SP_TOTAL_REV", "CY2023")</f>
        <v>57233000</v>
      </c>
      <c r="I105" s="4">
        <f>_xll.SNL.Clients.Office.Excel.Functions.SPG(G105,"IQ_AVG_DILUT_SHARES_OUT","CY2023")</f>
        <v>4087000000</v>
      </c>
      <c r="J105" s="5">
        <f>_xll.SNL.Clients.Office.Excel.Functions.SPG(G105, "IQ_DILUT_EPS_NORM", "CY2023")</f>
        <v>2.5680000000000001</v>
      </c>
      <c r="K105">
        <f t="shared" si="6"/>
        <v>10495416</v>
      </c>
      <c r="L105">
        <f t="shared" si="7"/>
        <v>0.18338049726556357</v>
      </c>
    </row>
    <row r="106" spans="1:12" x14ac:dyDescent="0.3">
      <c r="A106" t="s">
        <v>108</v>
      </c>
      <c r="B106" s="4" cm="1">
        <f t="array" ref="B106">_xll.SNL.Clients.Office.Excel.Functions.SPG(A106, "SP_TOTAL_REV", "CY2023")</f>
        <v>77116000</v>
      </c>
      <c r="C106" s="4">
        <f>_xll.SNL.Clients.Office.Excel.Functions.SPG(A106,"IQ_AVG_DILUT_SHARES_OUT","CY2023")</f>
        <v>1955800000</v>
      </c>
      <c r="D106" s="5">
        <f>_xll.SNL.Clients.Office.Excel.Functions.SPG(A106, "IQ_DILUT_EPS_NORM", "CY2023")</f>
        <v>4.2969999999999997</v>
      </c>
      <c r="E106">
        <f t="shared" si="4"/>
        <v>8404072.5999999996</v>
      </c>
      <c r="F106">
        <f t="shared" si="5"/>
        <v>0.10897962290575237</v>
      </c>
      <c r="G106" t="s">
        <v>108</v>
      </c>
      <c r="H106" s="4" cm="1">
        <f t="array" ref="H106">_xll.SNL.Clients.Office.Excel.Functions.SPG(G106, "SP_TOTAL_REV", "CY2023")</f>
        <v>77116000</v>
      </c>
      <c r="I106" s="4">
        <f>_xll.SNL.Clients.Office.Excel.Functions.SPG(G106,"IQ_AVG_DILUT_SHARES_OUT","CY2023")</f>
        <v>1955800000</v>
      </c>
      <c r="J106" s="5">
        <f>_xll.SNL.Clients.Office.Excel.Functions.SPG(G106, "IQ_DILUT_EPS_NORM", "CY2023")</f>
        <v>4.2969999999999997</v>
      </c>
      <c r="K106">
        <f t="shared" si="6"/>
        <v>8404072.5999999996</v>
      </c>
      <c r="L106">
        <f t="shared" si="7"/>
        <v>0.10897962290575237</v>
      </c>
    </row>
    <row r="107" spans="1:12" x14ac:dyDescent="0.3">
      <c r="A107" t="s">
        <v>109</v>
      </c>
      <c r="B107" s="4" cm="1">
        <f t="array" ref="B107">_xll.SNL.Clients.Office.Excel.Functions.SPG(A107, "SP_TOTAL_REV", "CY2023")</f>
        <v>8224000</v>
      </c>
      <c r="C107" s="4">
        <f>_xll.SNL.Clients.Office.Excel.Functions.SPG(A107,"IQ_AVG_DILUT_SHARES_OUT","CY2023")</f>
        <v>476693148</v>
      </c>
      <c r="D107" s="5">
        <f>_xll.SNL.Clients.Office.Excel.Functions.SPG(A107, "IQ_DILUT_EPS_NORM", "CY2023")</f>
        <v>2.6619999999999999</v>
      </c>
      <c r="E107">
        <f t="shared" si="4"/>
        <v>1268957.159976</v>
      </c>
      <c r="F107">
        <f t="shared" si="5"/>
        <v>0.15429926556128404</v>
      </c>
      <c r="G107" t="s">
        <v>109</v>
      </c>
      <c r="H107" s="4" cm="1">
        <f t="array" ref="H107">_xll.SNL.Clients.Office.Excel.Functions.SPG(G107, "SP_TOTAL_REV", "CY2023")</f>
        <v>8224000</v>
      </c>
      <c r="I107" s="4">
        <f>_xll.SNL.Clients.Office.Excel.Functions.SPG(G107,"IQ_AVG_DILUT_SHARES_OUT","CY2023")</f>
        <v>476693148</v>
      </c>
      <c r="J107" s="5">
        <f>_xll.SNL.Clients.Office.Excel.Functions.SPG(G107, "IQ_DILUT_EPS_NORM", "CY2023")</f>
        <v>2.6619999999999999</v>
      </c>
      <c r="K107">
        <f t="shared" si="6"/>
        <v>1268957.159976</v>
      </c>
      <c r="L107">
        <f t="shared" si="7"/>
        <v>0.15429926556128404</v>
      </c>
    </row>
    <row r="108" spans="1:12" x14ac:dyDescent="0.3">
      <c r="A108" t="s">
        <v>110</v>
      </c>
      <c r="B108" s="4" cm="1">
        <f t="array" ref="B108">_xll.SNL.Clients.Office.Excel.Functions.SPG(A108, "SP_TOTAL_REV", "CY2023")</f>
        <v>5569100</v>
      </c>
      <c r="C108" s="4">
        <f>_xll.SNL.Clients.Office.Excel.Functions.SPG(A108,"IQ_AVG_DILUT_SHARES_OUT","CY2023")</f>
        <v>359500000</v>
      </c>
      <c r="D108" s="5">
        <f>_xll.SNL.Clients.Office.Excel.Functions.SPG(A108, "IQ_DILUT_EPS_NORM", "CY2023")</f>
        <v>7.2210000000000001</v>
      </c>
      <c r="E108">
        <f t="shared" si="4"/>
        <v>2595949.5</v>
      </c>
      <c r="F108">
        <f t="shared" si="5"/>
        <v>0.46613447415201736</v>
      </c>
      <c r="G108" t="s">
        <v>110</v>
      </c>
      <c r="H108" s="4" cm="1">
        <f t="array" ref="H108">_xll.SNL.Clients.Office.Excel.Functions.SPG(G108, "SP_TOTAL_REV", "CY2023")</f>
        <v>5569100</v>
      </c>
      <c r="I108" s="4">
        <f>_xll.SNL.Clients.Office.Excel.Functions.SPG(G108,"IQ_AVG_DILUT_SHARES_OUT","CY2023")</f>
        <v>359500000</v>
      </c>
      <c r="J108" s="5">
        <f>_xll.SNL.Clients.Office.Excel.Functions.SPG(G108, "IQ_DILUT_EPS_NORM", "CY2023")</f>
        <v>7.2210000000000001</v>
      </c>
      <c r="K108">
        <f t="shared" si="6"/>
        <v>2595949.5</v>
      </c>
      <c r="L108">
        <f t="shared" si="7"/>
        <v>0.46613447415201736</v>
      </c>
    </row>
    <row r="109" spans="1:12" x14ac:dyDescent="0.3">
      <c r="A109" t="s">
        <v>111</v>
      </c>
      <c r="B109" s="4" cm="1">
        <f t="array" ref="B109">_xll.SNL.Clients.Office.Excel.Functions.SPG(A109, "SP_TOTAL_REV", "CY2023")</f>
        <v>7462000</v>
      </c>
      <c r="C109" s="4">
        <f>_xll.SNL.Clients.Office.Excel.Functions.SPG(A109,"IQ_AVG_DILUT_SHARES_OUT","CY2023")</f>
        <v>291700000</v>
      </c>
      <c r="D109" s="5">
        <f>_xll.SNL.Clients.Office.Excel.Functions.SPG(A109, "IQ_DILUT_EPS_NORM", "CY2023")</f>
        <v>2.0339999999999998</v>
      </c>
      <c r="E109">
        <f t="shared" si="4"/>
        <v>593317.80000000005</v>
      </c>
      <c r="F109">
        <f t="shared" si="5"/>
        <v>7.9511900294827131E-2</v>
      </c>
      <c r="G109" t="s">
        <v>111</v>
      </c>
      <c r="H109" s="4" cm="1">
        <f t="array" ref="H109">_xll.SNL.Clients.Office.Excel.Functions.SPG(G109, "SP_TOTAL_REV", "CY2023")</f>
        <v>7462000</v>
      </c>
      <c r="I109" s="4">
        <f>_xll.SNL.Clients.Office.Excel.Functions.SPG(G109,"IQ_AVG_DILUT_SHARES_OUT","CY2023")</f>
        <v>291700000</v>
      </c>
      <c r="J109" s="5">
        <f>_xll.SNL.Clients.Office.Excel.Functions.SPG(G109, "IQ_DILUT_EPS_NORM", "CY2023")</f>
        <v>2.0339999999999998</v>
      </c>
      <c r="K109">
        <f t="shared" si="6"/>
        <v>593317.80000000005</v>
      </c>
      <c r="L109">
        <f t="shared" si="7"/>
        <v>7.9511900294827131E-2</v>
      </c>
    </row>
    <row r="110" spans="1:12" x14ac:dyDescent="0.3">
      <c r="A110" t="s">
        <v>112</v>
      </c>
      <c r="B110" s="4" cm="1">
        <f t="array" ref="B110">_xll.SNL.Clients.Office.Excel.Functions.SPG(A110, "SP_TOTAL_REV", "CY2023")</f>
        <v>19353000</v>
      </c>
      <c r="C110" s="4">
        <f>_xll.SNL.Clients.Office.Excel.Functions.SPG(A110,"IQ_AVG_DILUT_SHARES_OUT","CY2023")</f>
        <v>505000000</v>
      </c>
      <c r="D110" s="5">
        <f>_xll.SNL.Clients.Office.Excel.Functions.SPG(A110, "IQ_DILUT_EPS_NORM", "CY2023")</f>
        <v>3.762</v>
      </c>
      <c r="E110">
        <f t="shared" si="4"/>
        <v>1899810</v>
      </c>
      <c r="F110">
        <f t="shared" si="5"/>
        <v>9.8166175786699741E-2</v>
      </c>
      <c r="G110" t="s">
        <v>112</v>
      </c>
      <c r="H110" s="4" cm="1">
        <f t="array" ref="H110">_xll.SNL.Clients.Office.Excel.Functions.SPG(G110, "SP_TOTAL_REV", "CY2023")</f>
        <v>19353000</v>
      </c>
      <c r="I110" s="4">
        <f>_xll.SNL.Clients.Office.Excel.Functions.SPG(G110,"IQ_AVG_DILUT_SHARES_OUT","CY2023")</f>
        <v>505000000</v>
      </c>
      <c r="J110" s="5">
        <f>_xll.SNL.Clients.Office.Excel.Functions.SPG(G110, "IQ_DILUT_EPS_NORM", "CY2023")</f>
        <v>3.762</v>
      </c>
      <c r="K110">
        <f t="shared" si="6"/>
        <v>1899810</v>
      </c>
      <c r="L110">
        <f t="shared" si="7"/>
        <v>9.8166175786699741E-2</v>
      </c>
    </row>
    <row r="111" spans="1:12" x14ac:dyDescent="0.3">
      <c r="A111" t="s">
        <v>113</v>
      </c>
      <c r="B111" s="4" cm="1">
        <f t="array" ref="B111">_xll.SNL.Clients.Office.Excel.Functions.SPG(A111, "SP_TOTAL_REV", "CY2023")</f>
        <v>19457000</v>
      </c>
      <c r="C111" s="4">
        <f>_xll.SNL.Clients.Office.Excel.Functions.SPG(A111,"IQ_AVG_DILUT_SHARES_OUT","CY2023")</f>
        <v>829200000</v>
      </c>
      <c r="D111" s="5">
        <f>_xll.SNL.Clients.Office.Excel.Functions.SPG(A111, "IQ_DILUT_EPS_NORM", "CY2023")</f>
        <v>2.6219999999999999</v>
      </c>
      <c r="E111">
        <f t="shared" si="4"/>
        <v>2174162.4</v>
      </c>
      <c r="F111">
        <f t="shared" si="5"/>
        <v>0.11174191293621832</v>
      </c>
      <c r="G111" t="s">
        <v>113</v>
      </c>
      <c r="H111" s="4" cm="1">
        <f t="array" ref="H111">_xll.SNL.Clients.Office.Excel.Functions.SPG(G111, "SP_TOTAL_REV", "CY2023")</f>
        <v>19457000</v>
      </c>
      <c r="I111" s="4">
        <f>_xll.SNL.Clients.Office.Excel.Functions.SPG(G111,"IQ_AVG_DILUT_SHARES_OUT","CY2023")</f>
        <v>829200000</v>
      </c>
      <c r="J111" s="5">
        <f>_xll.SNL.Clients.Office.Excel.Functions.SPG(G111, "IQ_DILUT_EPS_NORM", "CY2023")</f>
        <v>2.6219999999999999</v>
      </c>
      <c r="K111">
        <f t="shared" si="6"/>
        <v>2174162.4</v>
      </c>
      <c r="L111">
        <f t="shared" si="7"/>
        <v>0.11174191293621832</v>
      </c>
    </row>
    <row r="112" spans="1:12" x14ac:dyDescent="0.3">
      <c r="A112" t="s">
        <v>114</v>
      </c>
      <c r="B112" s="4" cm="1">
        <f t="array" ref="B112">_xll.SNL.Clients.Office.Excel.Functions.SPG(A112, "SP_TOTAL_REV", "CY2023")</f>
        <v>121572000</v>
      </c>
      <c r="C112" s="4">
        <f>_xll.SNL.Clients.Office.Excel.Functions.SPG(A112,"IQ_AVG_DILUT_SHARES_OUT","CY2023")</f>
        <v>4148000000</v>
      </c>
      <c r="D112" s="5">
        <f>_xll.SNL.Clients.Office.Excel.Functions.SPG(A112, "IQ_DILUT_EPS_NORM", "CY2023")</f>
        <v>3.173</v>
      </c>
      <c r="E112">
        <f t="shared" si="4"/>
        <v>13161604</v>
      </c>
      <c r="F112">
        <f t="shared" si="5"/>
        <v>0.10826180370480044</v>
      </c>
      <c r="G112" t="s">
        <v>114</v>
      </c>
      <c r="H112" s="4" cm="1">
        <f t="array" ref="H112">_xll.SNL.Clients.Office.Excel.Functions.SPG(G112, "SP_TOTAL_REV", "CY2023")</f>
        <v>121572000</v>
      </c>
      <c r="I112" s="4">
        <f>_xll.SNL.Clients.Office.Excel.Functions.SPG(G112,"IQ_AVG_DILUT_SHARES_OUT","CY2023")</f>
        <v>4148000000</v>
      </c>
      <c r="J112" s="5">
        <f>_xll.SNL.Clients.Office.Excel.Functions.SPG(G112, "IQ_DILUT_EPS_NORM", "CY2023")</f>
        <v>3.173</v>
      </c>
      <c r="K112">
        <f t="shared" si="6"/>
        <v>13161604</v>
      </c>
      <c r="L112">
        <f t="shared" si="7"/>
        <v>0.10826180370480044</v>
      </c>
    </row>
    <row r="113" spans="1:12" x14ac:dyDescent="0.3">
      <c r="A113" t="s">
        <v>115</v>
      </c>
      <c r="B113" s="4" cm="1">
        <f t="array" ref="B113">_xll.SNL.Clients.Office.Excel.Functions.SPG(A113, "SP_TOTAL_REV", "CY2023")</f>
        <v>12171900</v>
      </c>
      <c r="C113" s="4">
        <f>_xll.SNL.Clients.Office.Excel.Functions.SPG(A113,"IQ_AVG_DILUT_SHARES_OUT","CY2023")</f>
        <v>479800000</v>
      </c>
      <c r="D113" s="5">
        <f>_xll.SNL.Clients.Office.Excel.Functions.SPG(A113, "IQ_DILUT_EPS_NORM", "CY2023")</f>
        <v>2.1760000000000002</v>
      </c>
      <c r="E113">
        <f t="shared" si="4"/>
        <v>1044044.8000000002</v>
      </c>
      <c r="F113">
        <f t="shared" si="5"/>
        <v>8.577500636712429E-2</v>
      </c>
      <c r="G113" t="s">
        <v>115</v>
      </c>
      <c r="H113" s="4" cm="1">
        <f t="array" ref="H113">_xll.SNL.Clients.Office.Excel.Functions.SPG(G113, "SP_TOTAL_REV", "CY2023")</f>
        <v>12171900</v>
      </c>
      <c r="I113" s="4">
        <f>_xll.SNL.Clients.Office.Excel.Functions.SPG(G113,"IQ_AVG_DILUT_SHARES_OUT","CY2023")</f>
        <v>479800000</v>
      </c>
      <c r="J113" s="5">
        <f>_xll.SNL.Clients.Office.Excel.Functions.SPG(G113, "IQ_DILUT_EPS_NORM", "CY2023")</f>
        <v>2.1760000000000002</v>
      </c>
      <c r="K113">
        <f t="shared" si="6"/>
        <v>1044044.8000000002</v>
      </c>
      <c r="L113">
        <f t="shared" si="7"/>
        <v>8.577500636712429E-2</v>
      </c>
    </row>
    <row r="114" spans="1:12" x14ac:dyDescent="0.3">
      <c r="A114" t="s">
        <v>116</v>
      </c>
      <c r="B114" s="4" cm="1">
        <f t="array" ref="B114">_xll.SNL.Clients.Office.Excel.Functions.SPG(A114, "SP_TOTAL_REV", "CY2023")</f>
        <v>57861000</v>
      </c>
      <c r="C114" s="4">
        <f>_xll.SNL.Clients.Office.Excel.Functions.SPG(A114,"IQ_AVG_DILUT_SHARES_OUT","CY2023")</f>
        <v>1205675000</v>
      </c>
      <c r="D114" s="5">
        <f>_xll.SNL.Clients.Office.Excel.Functions.SPG(A114, "IQ_DILUT_EPS_NORM", "CY2023")</f>
        <v>8.3360000000000003</v>
      </c>
      <c r="E114">
        <f t="shared" si="4"/>
        <v>10050506.800000001</v>
      </c>
      <c r="F114">
        <f t="shared" si="5"/>
        <v>0.17370088315099982</v>
      </c>
      <c r="G114" t="s">
        <v>116</v>
      </c>
      <c r="H114" s="4" cm="1">
        <f t="array" ref="H114">_xll.SNL.Clients.Office.Excel.Functions.SPG(G114, "SP_TOTAL_REV", "CY2023")</f>
        <v>57861000</v>
      </c>
      <c r="I114" s="4">
        <f>_xll.SNL.Clients.Office.Excel.Functions.SPG(G114,"IQ_AVG_DILUT_SHARES_OUT","CY2023")</f>
        <v>1205675000</v>
      </c>
      <c r="J114" s="5">
        <f>_xll.SNL.Clients.Office.Excel.Functions.SPG(G114, "IQ_DILUT_EPS_NORM", "CY2023")</f>
        <v>8.3360000000000003</v>
      </c>
      <c r="K114">
        <f t="shared" si="6"/>
        <v>10050506.800000001</v>
      </c>
      <c r="L114">
        <f t="shared" si="7"/>
        <v>0.17370088315099982</v>
      </c>
    </row>
    <row r="115" spans="1:12" x14ac:dyDescent="0.3">
      <c r="A115" t="s">
        <v>117</v>
      </c>
      <c r="B115" s="4" cm="1">
        <f t="array" ref="B115">_xll.SNL.Clients.Office.Excel.Functions.SPG(A115, "SP_TOTAL_REV", "CY2023")</f>
        <v>14663000</v>
      </c>
      <c r="C115" s="4">
        <f>_xll.SNL.Clients.Office.Excel.Functions.SPG(A115,"IQ_AVG_DILUT_SHARES_OUT","CY2023")</f>
        <v>349300000</v>
      </c>
      <c r="D115" s="5">
        <f>_xll.SNL.Clients.Office.Excel.Functions.SPG(A115, "IQ_DILUT_EPS_NORM", "CY2023")</f>
        <v>3.8340000000000001</v>
      </c>
      <c r="E115">
        <f t="shared" si="4"/>
        <v>1339216.2</v>
      </c>
      <c r="F115">
        <f t="shared" si="5"/>
        <v>9.1333028711723385E-2</v>
      </c>
      <c r="G115" t="s">
        <v>117</v>
      </c>
      <c r="H115" s="4" cm="1">
        <f t="array" ref="H115">_xll.SNL.Clients.Office.Excel.Functions.SPG(G115, "SP_TOTAL_REV", "CY2023")</f>
        <v>14663000</v>
      </c>
      <c r="I115" s="4">
        <f>_xll.SNL.Clients.Office.Excel.Functions.SPG(G115,"IQ_AVG_DILUT_SHARES_OUT","CY2023")</f>
        <v>349300000</v>
      </c>
      <c r="J115" s="5">
        <f>_xll.SNL.Clients.Office.Excel.Functions.SPG(G115, "IQ_DILUT_EPS_NORM", "CY2023")</f>
        <v>3.8340000000000001</v>
      </c>
      <c r="K115">
        <f t="shared" si="6"/>
        <v>1339216.2</v>
      </c>
      <c r="L115">
        <f t="shared" si="7"/>
        <v>9.1333028711723385E-2</v>
      </c>
    </row>
    <row r="116" spans="1:12" x14ac:dyDescent="0.3">
      <c r="A116" t="s">
        <v>118</v>
      </c>
      <c r="B116" s="4" cm="1">
        <f t="array" ref="B116">_xll.SNL.Clients.Office.Excel.Functions.SPG(A116, "SP_TOTAL_REV", "CY2023")</f>
        <v>9820400</v>
      </c>
      <c r="C116" s="4">
        <f>_xll.SNL.Clients.Office.Excel.Functions.SPG(A116,"IQ_AVG_DILUT_SHARES_OUT","CY2023")</f>
        <v>166582112</v>
      </c>
      <c r="D116" s="5">
        <f>_xll.SNL.Clients.Office.Excel.Functions.SPG(A116, "IQ_DILUT_EPS_NORM", "CY2023")</f>
        <v>7.8440000000000003</v>
      </c>
      <c r="E116">
        <f t="shared" si="4"/>
        <v>1306670.0865280002</v>
      </c>
      <c r="F116">
        <f t="shared" si="5"/>
        <v>0.13305670711254125</v>
      </c>
      <c r="G116" t="s">
        <v>118</v>
      </c>
      <c r="H116" s="4" cm="1">
        <f t="array" ref="H116">_xll.SNL.Clients.Office.Excel.Functions.SPG(G116, "SP_TOTAL_REV", "CY2023")</f>
        <v>9820400</v>
      </c>
      <c r="I116" s="4">
        <f>_xll.SNL.Clients.Office.Excel.Functions.SPG(G116,"IQ_AVG_DILUT_SHARES_OUT","CY2023")</f>
        <v>166582112</v>
      </c>
      <c r="J116" s="5">
        <f>_xll.SNL.Clients.Office.Excel.Functions.SPG(G116, "IQ_DILUT_EPS_NORM", "CY2023")</f>
        <v>7.8440000000000003</v>
      </c>
      <c r="K116">
        <f t="shared" si="6"/>
        <v>1306670.0865280002</v>
      </c>
      <c r="L116">
        <f t="shared" si="7"/>
        <v>0.13305670711254125</v>
      </c>
    </row>
    <row r="117" spans="1:12" x14ac:dyDescent="0.3">
      <c r="A117" t="s">
        <v>119</v>
      </c>
      <c r="B117" s="4" cm="1">
        <f t="array" ref="B117">_xll.SNL.Clients.Office.Excel.Functions.SPG(A117, "SP_TOTAL_REV", "CY2023")</f>
        <v>24918000</v>
      </c>
      <c r="C117" s="4">
        <f>_xll.SNL.Clients.Office.Excel.Functions.SPG(A117,"IQ_AVG_DILUT_SHARES_OUT","CY2023")</f>
        <v>324000000</v>
      </c>
      <c r="D117" s="5">
        <f>_xll.SNL.Clients.Office.Excel.Functions.SPG(A117, "IQ_DILUT_EPS_NORM", "CY2023")</f>
        <v>4.3920000000000003</v>
      </c>
      <c r="E117">
        <f t="shared" si="4"/>
        <v>1423008</v>
      </c>
      <c r="F117">
        <f t="shared" si="5"/>
        <v>5.7107633036359261E-2</v>
      </c>
      <c r="G117" t="s">
        <v>119</v>
      </c>
      <c r="H117" s="4" cm="1">
        <f t="array" ref="H117">_xll.SNL.Clients.Office.Excel.Functions.SPG(G117, "SP_TOTAL_REV", "CY2023")</f>
        <v>24918000</v>
      </c>
      <c r="I117" s="4">
        <f>_xll.SNL.Clients.Office.Excel.Functions.SPG(G117,"IQ_AVG_DILUT_SHARES_OUT","CY2023")</f>
        <v>324000000</v>
      </c>
      <c r="J117" s="5">
        <f>_xll.SNL.Clients.Office.Excel.Functions.SPG(G117, "IQ_DILUT_EPS_NORM", "CY2023")</f>
        <v>4.3920000000000003</v>
      </c>
      <c r="K117">
        <f t="shared" si="6"/>
        <v>1423008</v>
      </c>
      <c r="L117">
        <f t="shared" si="7"/>
        <v>5.7107633036359261E-2</v>
      </c>
    </row>
    <row r="118" spans="1:12" x14ac:dyDescent="0.3">
      <c r="A118" t="s">
        <v>120</v>
      </c>
      <c r="B118" s="4" cm="1">
        <f t="array" ref="B118">_xll.SNL.Clients.Office.Excel.Functions.SPG(A118, "SP_TOTAL_REV", "CY2023")</f>
        <v>4059987</v>
      </c>
      <c r="C118" s="4">
        <f>_xll.SNL.Clients.Office.Excel.Functions.SPG(A118,"IQ_AVG_DILUT_SHARES_OUT","CY2023")</f>
        <v>970976500</v>
      </c>
      <c r="D118" s="5">
        <f>_xll.SNL.Clients.Office.Excel.Functions.SPG(A118, "IQ_DILUT_EPS_NORM", "CY2023")</f>
        <v>1.093</v>
      </c>
      <c r="E118">
        <f t="shared" si="4"/>
        <v>1061277.3145000001</v>
      </c>
      <c r="F118">
        <f t="shared" si="5"/>
        <v>0.2613991903176045</v>
      </c>
      <c r="G118" t="s">
        <v>120</v>
      </c>
      <c r="H118" s="4" cm="1">
        <f t="array" ref="H118">_xll.SNL.Clients.Office.Excel.Functions.SPG(G118, "SP_TOTAL_REV", "CY2023")</f>
        <v>4059987</v>
      </c>
      <c r="I118" s="4">
        <f>_xll.SNL.Clients.Office.Excel.Functions.SPG(G118,"IQ_AVG_DILUT_SHARES_OUT","CY2023")</f>
        <v>970976500</v>
      </c>
      <c r="J118" s="5">
        <f>_xll.SNL.Clients.Office.Excel.Functions.SPG(G118, "IQ_DILUT_EPS_NORM", "CY2023")</f>
        <v>1.093</v>
      </c>
      <c r="K118">
        <f t="shared" si="6"/>
        <v>1061277.3145000001</v>
      </c>
      <c r="L118">
        <f t="shared" si="7"/>
        <v>0.2613991903176045</v>
      </c>
    </row>
    <row r="119" spans="1:12" x14ac:dyDescent="0.3">
      <c r="A119" t="s">
        <v>121</v>
      </c>
      <c r="B119" s="4" cm="1">
        <f t="array" ref="B119">_xll.SNL.Clients.Office.Excel.Functions.SPG(A119, "SP_TOTAL_REV", "CY2023")</f>
        <v>12588000</v>
      </c>
      <c r="C119" s="4">
        <f>_xll.SNL.Clients.Office.Excel.Functions.SPG(A119,"IQ_AVG_DILUT_SHARES_OUT","CY2023")</f>
        <v>859000000</v>
      </c>
      <c r="D119" s="5">
        <f>_xll.SNL.Clients.Office.Excel.Functions.SPG(A119, "IQ_DILUT_EPS_NORM", "CY2023")</f>
        <v>0.85899999999999999</v>
      </c>
      <c r="E119">
        <f t="shared" si="4"/>
        <v>737881</v>
      </c>
      <c r="F119">
        <f t="shared" si="5"/>
        <v>5.8617810613282494E-2</v>
      </c>
      <c r="G119" t="s">
        <v>121</v>
      </c>
      <c r="H119" s="4" cm="1">
        <f t="array" ref="H119">_xll.SNL.Clients.Office.Excel.Functions.SPG(G119, "SP_TOTAL_REV", "CY2023")</f>
        <v>12588000</v>
      </c>
      <c r="I119" s="4">
        <f>_xll.SNL.Clients.Office.Excel.Functions.SPG(G119,"IQ_AVG_DILUT_SHARES_OUT","CY2023")</f>
        <v>859000000</v>
      </c>
      <c r="J119" s="5">
        <f>_xll.SNL.Clients.Office.Excel.Functions.SPG(G119, "IQ_DILUT_EPS_NORM", "CY2023")</f>
        <v>0.85899999999999999</v>
      </c>
      <c r="K119">
        <f t="shared" si="6"/>
        <v>737881</v>
      </c>
      <c r="L119">
        <f t="shared" si="7"/>
        <v>5.8617810613282494E-2</v>
      </c>
    </row>
    <row r="120" spans="1:12" x14ac:dyDescent="0.3">
      <c r="A120" t="s">
        <v>122</v>
      </c>
      <c r="B120" s="4" cm="1">
        <f t="array" ref="B120">_xll.SNL.Clients.Office.Excel.Functions.SPG(A120, "SP_TOTAL_REV", "CY2023")</f>
        <v>3757719</v>
      </c>
      <c r="C120" s="4">
        <f>_xll.SNL.Clients.Office.Excel.Functions.SPG(A120,"IQ_AVG_DILUT_SHARES_OUT","CY2023")</f>
        <v>74387000</v>
      </c>
      <c r="D120" s="5">
        <f>_xll.SNL.Clients.Office.Excel.Functions.SPG(A120, "IQ_DILUT_EPS_NORM", "CY2023")</f>
        <v>11.016999999999999</v>
      </c>
      <c r="E120">
        <f t="shared" si="4"/>
        <v>819521.57900000003</v>
      </c>
      <c r="F120">
        <f t="shared" si="5"/>
        <v>0.21809017092550029</v>
      </c>
      <c r="G120" t="s">
        <v>122</v>
      </c>
      <c r="H120" s="4" cm="1">
        <f t="array" ref="H120">_xll.SNL.Clients.Office.Excel.Functions.SPG(G120, "SP_TOTAL_REV", "CY2023")</f>
        <v>3757719</v>
      </c>
      <c r="I120" s="4">
        <f>_xll.SNL.Clients.Office.Excel.Functions.SPG(G120,"IQ_AVG_DILUT_SHARES_OUT","CY2023")</f>
        <v>74387000</v>
      </c>
      <c r="J120" s="5">
        <f>_xll.SNL.Clients.Office.Excel.Functions.SPG(G120, "IQ_DILUT_EPS_NORM", "CY2023")</f>
        <v>11.016999999999999</v>
      </c>
      <c r="K120">
        <f t="shared" si="6"/>
        <v>819521.57900000003</v>
      </c>
      <c r="L120">
        <f t="shared" si="7"/>
        <v>0.21809017092550029</v>
      </c>
    </row>
    <row r="121" spans="1:12" x14ac:dyDescent="0.3">
      <c r="A121" t="s">
        <v>123</v>
      </c>
      <c r="B121" s="4" cm="1">
        <f t="array" ref="B121">_xll.SNL.Clients.Office.Excel.Functions.SPG(A121, "SP_TOTAL_REV", "CY2023")</f>
        <v>17226000</v>
      </c>
      <c r="C121" s="4">
        <f>_xll.SNL.Clients.Office.Excel.Functions.SPG(A121,"IQ_AVG_DILUT_SHARES_OUT","CY2023")</f>
        <v>711900000</v>
      </c>
      <c r="D121" s="5">
        <f>_xll.SNL.Clients.Office.Excel.Functions.SPG(A121, "IQ_DILUT_EPS_NORM", "CY2023")</f>
        <v>1.4119999999999999</v>
      </c>
      <c r="E121">
        <f t="shared" si="4"/>
        <v>1005202.8</v>
      </c>
      <c r="F121">
        <f t="shared" si="5"/>
        <v>5.8353814002089867E-2</v>
      </c>
      <c r="G121" t="s">
        <v>123</v>
      </c>
      <c r="H121" s="4" cm="1">
        <f t="array" ref="H121">_xll.SNL.Clients.Office.Excel.Functions.SPG(G121, "SP_TOTAL_REV", "CY2023")</f>
        <v>17226000</v>
      </c>
      <c r="I121" s="4">
        <f>_xll.SNL.Clients.Office.Excel.Functions.SPG(G121,"IQ_AVG_DILUT_SHARES_OUT","CY2023")</f>
        <v>711900000</v>
      </c>
      <c r="J121" s="5">
        <f>_xll.SNL.Clients.Office.Excel.Functions.SPG(G121, "IQ_DILUT_EPS_NORM", "CY2023")</f>
        <v>1.4119999999999999</v>
      </c>
      <c r="K121">
        <f t="shared" si="6"/>
        <v>1005202.8</v>
      </c>
      <c r="L121">
        <f t="shared" si="7"/>
        <v>5.8353814002089867E-2</v>
      </c>
    </row>
    <row r="122" spans="1:12" x14ac:dyDescent="0.3">
      <c r="A122" t="s">
        <v>124</v>
      </c>
      <c r="B122" s="4" cm="1">
        <f t="array" ref="B122">_xll.SNL.Clients.Office.Excel.Functions.SPG(A122, "SP_TOTAL_REV", "CY2023")</f>
        <v>2455000</v>
      </c>
      <c r="C122" s="4">
        <f>_xll.SNL.Clients.Office.Excel.Functions.SPG(A122,"IQ_AVG_DILUT_SHARES_OUT","CY2023")</f>
        <v>406900000</v>
      </c>
      <c r="D122" s="5">
        <f>_xll.SNL.Clients.Office.Excel.Functions.SPG(A122, "IQ_DILUT_EPS_NORM", "CY2023")</f>
        <v>0.77</v>
      </c>
      <c r="E122">
        <f t="shared" si="4"/>
        <v>313313</v>
      </c>
      <c r="F122">
        <f t="shared" si="5"/>
        <v>0.12762240325865581</v>
      </c>
      <c r="G122" t="s">
        <v>124</v>
      </c>
      <c r="H122" s="4" cm="1">
        <f t="array" ref="H122">_xll.SNL.Clients.Office.Excel.Functions.SPG(G122, "SP_TOTAL_REV", "CY2023")</f>
        <v>2455000</v>
      </c>
      <c r="I122" s="4">
        <f>_xll.SNL.Clients.Office.Excel.Functions.SPG(G122,"IQ_AVG_DILUT_SHARES_OUT","CY2023")</f>
        <v>406900000</v>
      </c>
      <c r="J122" s="5">
        <f>_xll.SNL.Clients.Office.Excel.Functions.SPG(G122, "IQ_DILUT_EPS_NORM", "CY2023")</f>
        <v>0.77</v>
      </c>
      <c r="K122">
        <f t="shared" si="6"/>
        <v>313313</v>
      </c>
      <c r="L122">
        <f t="shared" si="7"/>
        <v>0.12762240325865581</v>
      </c>
    </row>
    <row r="123" spans="1:12" x14ac:dyDescent="0.3">
      <c r="A123" t="s">
        <v>125</v>
      </c>
      <c r="B123" s="4" cm="1">
        <f t="array" ref="B123">_xll.SNL.Clients.Office.Excel.Functions.SPG(A123, "SP_TOTAL_REV", "CY2023")</f>
        <v>245652000</v>
      </c>
      <c r="C123" s="4">
        <f>_xll.SNL.Clients.Office.Excel.Functions.SPG(A123,"IQ_AVG_DILUT_SHARES_OUT","CY2023")</f>
        <v>444420000</v>
      </c>
      <c r="D123" s="5">
        <f>_xll.SNL.Clients.Office.Excel.Functions.SPG(A123, "IQ_DILUT_EPS_NORM", "CY2023")</f>
        <v>12.958</v>
      </c>
      <c r="E123">
        <f t="shared" si="4"/>
        <v>5758794.3600000003</v>
      </c>
      <c r="F123">
        <f t="shared" si="5"/>
        <v>2.3442896292315961E-2</v>
      </c>
      <c r="G123" t="s">
        <v>125</v>
      </c>
      <c r="H123" s="4" cm="1">
        <f t="array" ref="H123">_xll.SNL.Clients.Office.Excel.Functions.SPG(G123, "SP_TOTAL_REV", "CY2023")</f>
        <v>245652000</v>
      </c>
      <c r="I123" s="4">
        <f>_xll.SNL.Clients.Office.Excel.Functions.SPG(G123,"IQ_AVG_DILUT_SHARES_OUT","CY2023")</f>
        <v>444420000</v>
      </c>
      <c r="J123" s="5">
        <f>_xll.SNL.Clients.Office.Excel.Functions.SPG(G123, "IQ_DILUT_EPS_NORM", "CY2023")</f>
        <v>12.958</v>
      </c>
      <c r="K123">
        <f t="shared" si="6"/>
        <v>5758794.3600000003</v>
      </c>
      <c r="L123">
        <f t="shared" si="7"/>
        <v>2.3442896292315961E-2</v>
      </c>
    </row>
    <row r="124" spans="1:12" x14ac:dyDescent="0.3">
      <c r="A124" t="s">
        <v>126</v>
      </c>
      <c r="B124" s="4" cm="1">
        <f t="array" ref="B124">_xll.SNL.Clients.Office.Excel.Functions.SPG(A124, "SP_TOTAL_REV", "CY2023")</f>
        <v>5684000</v>
      </c>
      <c r="C124" s="4">
        <f>_xll.SNL.Clients.Office.Excel.Functions.SPG(A124,"IQ_AVG_DILUT_SHARES_OUT","CY2023")</f>
        <v>760000000</v>
      </c>
      <c r="D124" s="5">
        <f>_xll.SNL.Clients.Office.Excel.Functions.SPG(A124, "IQ_DILUT_EPS_NORM", "CY2023")</f>
        <v>1.75</v>
      </c>
      <c r="E124">
        <f t="shared" si="4"/>
        <v>1330000</v>
      </c>
      <c r="F124">
        <f t="shared" si="5"/>
        <v>0.23399014778325122</v>
      </c>
      <c r="G124" t="s">
        <v>126</v>
      </c>
      <c r="H124" s="4" cm="1">
        <f t="array" ref="H124">_xll.SNL.Clients.Office.Excel.Functions.SPG(G124, "SP_TOTAL_REV", "CY2023")</f>
        <v>5684000</v>
      </c>
      <c r="I124" s="4">
        <f>_xll.SNL.Clients.Office.Excel.Functions.SPG(G124,"IQ_AVG_DILUT_SHARES_OUT","CY2023")</f>
        <v>760000000</v>
      </c>
      <c r="J124" s="5">
        <f>_xll.SNL.Clients.Office.Excel.Functions.SPG(G124, "IQ_DILUT_EPS_NORM", "CY2023")</f>
        <v>1.75</v>
      </c>
      <c r="K124">
        <f t="shared" si="6"/>
        <v>1330000</v>
      </c>
      <c r="L124">
        <f t="shared" si="7"/>
        <v>0.23399014778325122</v>
      </c>
    </row>
    <row r="125" spans="1:12" x14ac:dyDescent="0.3">
      <c r="A125" t="s">
        <v>127</v>
      </c>
      <c r="B125" s="4" cm="1">
        <f t="array" ref="B125">_xll.SNL.Clients.Office.Excel.Functions.SPG(A125, "SP_TOTAL_REV", "CY2023")</f>
        <v>3055555</v>
      </c>
      <c r="C125" s="4">
        <f>_xll.SNL.Clients.Office.Excel.Functions.SPG(A125,"IQ_AVG_DILUT_SHARES_OUT","CY2023")</f>
        <v>243635000</v>
      </c>
      <c r="D125" s="5">
        <f>_xll.SNL.Clients.Office.Excel.Functions.SPG(A125, "IQ_DILUT_EPS_NORM", "CY2023")</f>
        <v>0.314</v>
      </c>
      <c r="E125">
        <f t="shared" si="4"/>
        <v>76501.39</v>
      </c>
      <c r="F125">
        <f t="shared" si="5"/>
        <v>2.5036823097604199E-2</v>
      </c>
      <c r="G125" t="s">
        <v>127</v>
      </c>
      <c r="H125" s="4" cm="1">
        <f t="array" ref="H125">_xll.SNL.Clients.Office.Excel.Functions.SPG(G125, "SP_TOTAL_REV", "CY2023")</f>
        <v>3055555</v>
      </c>
      <c r="I125" s="4">
        <f>_xll.SNL.Clients.Office.Excel.Functions.SPG(G125,"IQ_AVG_DILUT_SHARES_OUT","CY2023")</f>
        <v>243635000</v>
      </c>
      <c r="J125" s="5">
        <f>_xll.SNL.Clients.Office.Excel.Functions.SPG(G125, "IQ_DILUT_EPS_NORM", "CY2023")</f>
        <v>0.314</v>
      </c>
      <c r="K125">
        <f t="shared" si="6"/>
        <v>76501.39</v>
      </c>
      <c r="L125">
        <f t="shared" si="7"/>
        <v>2.5036823097604199E-2</v>
      </c>
    </row>
    <row r="126" spans="1:12" x14ac:dyDescent="0.3">
      <c r="A126" t="s">
        <v>128</v>
      </c>
      <c r="B126" s="4" cm="1">
        <f t="array" ref="B126">_xll.SNL.Clients.Office.Excel.Functions.SPG(A126, "SP_TOTAL_REV", "CY2023")</f>
        <v>6996000</v>
      </c>
      <c r="C126" s="4">
        <f>_xll.SNL.Clients.Office.Excel.Functions.SPG(A126,"IQ_AVG_DILUT_SHARES_OUT","CY2023")</f>
        <v>434000000</v>
      </c>
      <c r="D126" s="5">
        <f>_xll.SNL.Clients.Office.Excel.Functions.SPG(A126, "IQ_DILUT_EPS_NORM", "CY2023")</f>
        <v>2.3719999999999999</v>
      </c>
      <c r="E126">
        <f t="shared" si="4"/>
        <v>1029448</v>
      </c>
      <c r="F126">
        <f t="shared" si="5"/>
        <v>0.14714808461978274</v>
      </c>
      <c r="G126" t="s">
        <v>128</v>
      </c>
      <c r="H126" s="4" cm="1">
        <f t="array" ref="H126">_xll.SNL.Clients.Office.Excel.Functions.SPG(G126, "SP_TOTAL_REV", "CY2023")</f>
        <v>6996000</v>
      </c>
      <c r="I126" s="4">
        <f>_xll.SNL.Clients.Office.Excel.Functions.SPG(G126,"IQ_AVG_DILUT_SHARES_OUT","CY2023")</f>
        <v>434000000</v>
      </c>
      <c r="J126" s="5">
        <f>_xll.SNL.Clients.Office.Excel.Functions.SPG(G126, "IQ_DILUT_EPS_NORM", "CY2023")</f>
        <v>2.3719999999999999</v>
      </c>
      <c r="K126">
        <f t="shared" si="6"/>
        <v>1029448</v>
      </c>
      <c r="L126">
        <f t="shared" si="7"/>
        <v>0.14714808461978274</v>
      </c>
    </row>
    <row r="127" spans="1:12" x14ac:dyDescent="0.3">
      <c r="A127" t="s">
        <v>129</v>
      </c>
      <c r="B127" s="4" cm="1">
        <f t="array" ref="B127">_xll.SNL.Clients.Office.Excel.Functions.SPG(A127, "SP_TOTAL_REV", "CY2023")</f>
        <v>14657000</v>
      </c>
      <c r="C127" s="4">
        <f>_xll.SNL.Clients.Office.Excel.Functions.SPG(A127,"IQ_AVG_DILUT_SHARES_OUT","CY2023")</f>
        <v>2013000000</v>
      </c>
      <c r="D127" s="5">
        <f>_xll.SNL.Clients.Office.Excel.Functions.SPG(A127, "IQ_DILUT_EPS_NORM", "CY2023")</f>
        <v>1.5089999999999999</v>
      </c>
      <c r="E127">
        <f t="shared" si="4"/>
        <v>3037617</v>
      </c>
      <c r="F127">
        <f t="shared" si="5"/>
        <v>0.20724684451115508</v>
      </c>
      <c r="G127" t="s">
        <v>129</v>
      </c>
      <c r="H127" s="4" cm="1">
        <f t="array" ref="H127">_xll.SNL.Clients.Office.Excel.Functions.SPG(G127, "SP_TOTAL_REV", "CY2023")</f>
        <v>14657000</v>
      </c>
      <c r="I127" s="4">
        <f>_xll.SNL.Clients.Office.Excel.Functions.SPG(G127,"IQ_AVG_DILUT_SHARES_OUT","CY2023")</f>
        <v>2013000000</v>
      </c>
      <c r="J127" s="5">
        <f>_xll.SNL.Clients.Office.Excel.Functions.SPG(G127, "IQ_DILUT_EPS_NORM", "CY2023")</f>
        <v>1.5089999999999999</v>
      </c>
      <c r="K127">
        <f t="shared" si="6"/>
        <v>3037617</v>
      </c>
      <c r="L127">
        <f t="shared" si="7"/>
        <v>0.20724684451115508</v>
      </c>
    </row>
    <row r="128" spans="1:12" x14ac:dyDescent="0.3">
      <c r="A128" t="s">
        <v>130</v>
      </c>
      <c r="B128" s="4" cm="1">
        <f t="array" ref="B128">_xll.SNL.Clients.Office.Excel.Functions.SPG(A128, "SP_TOTAL_REV", "CY2023")</f>
        <v>34065000</v>
      </c>
      <c r="C128" s="4">
        <f>_xll.SNL.Clients.Office.Excel.Functions.SPG(A128,"IQ_AVG_DILUT_SHARES_OUT","CY2023")</f>
        <v>142700000</v>
      </c>
      <c r="D128" s="5">
        <f>_xll.SNL.Clients.Office.Excel.Functions.SPG(A128, "IQ_DILUT_EPS_NORM", "CY2023")</f>
        <v>15.276999999999999</v>
      </c>
      <c r="E128">
        <f t="shared" si="4"/>
        <v>2180027.9</v>
      </c>
      <c r="F128">
        <f t="shared" si="5"/>
        <v>6.3996122119477472E-2</v>
      </c>
      <c r="G128" t="s">
        <v>130</v>
      </c>
      <c r="H128" s="4" cm="1">
        <f t="array" ref="H128">_xll.SNL.Clients.Office.Excel.Functions.SPG(G128, "SP_TOTAL_REV", "CY2023")</f>
        <v>34065000</v>
      </c>
      <c r="I128" s="4">
        <f>_xll.SNL.Clients.Office.Excel.Functions.SPG(G128,"IQ_AVG_DILUT_SHARES_OUT","CY2023")</f>
        <v>142700000</v>
      </c>
      <c r="J128" s="5">
        <f>_xll.SNL.Clients.Office.Excel.Functions.SPG(G128, "IQ_DILUT_EPS_NORM", "CY2023")</f>
        <v>15.276999999999999</v>
      </c>
      <c r="K128">
        <f t="shared" si="6"/>
        <v>2180027.9</v>
      </c>
      <c r="L128">
        <f t="shared" si="7"/>
        <v>6.3996122119477472E-2</v>
      </c>
    </row>
    <row r="129" spans="1:12" x14ac:dyDescent="0.3">
      <c r="A129" t="s">
        <v>131</v>
      </c>
      <c r="B129" s="4" cm="1">
        <f t="array" ref="B129">_xll.SNL.Clients.Office.Excel.Functions.SPG(A129, "SP_TOTAL_REV", "CY2023")</f>
        <v>356623000</v>
      </c>
      <c r="C129" s="4">
        <f>_xll.SNL.Clients.Office.Excel.Functions.SPG(A129,"IQ_AVG_DILUT_SHARES_OUT","CY2023")</f>
        <v>1290000000</v>
      </c>
      <c r="D129" s="5">
        <f>_xll.SNL.Clients.Office.Excel.Functions.SPG(A129, "IQ_DILUT_EPS_NORM", "CY2023")</f>
        <v>6.0679999999999996</v>
      </c>
      <c r="E129">
        <f t="shared" si="4"/>
        <v>7827719.9999999991</v>
      </c>
      <c r="F129">
        <f t="shared" si="5"/>
        <v>2.1949565787960954E-2</v>
      </c>
      <c r="G129" t="s">
        <v>131</v>
      </c>
      <c r="H129" s="4" cm="1">
        <f t="array" ref="H129">_xll.SNL.Clients.Office.Excel.Functions.SPG(G129, "SP_TOTAL_REV", "CY2023")</f>
        <v>356623000</v>
      </c>
      <c r="I129" s="4">
        <f>_xll.SNL.Clients.Office.Excel.Functions.SPG(G129,"IQ_AVG_DILUT_SHARES_OUT","CY2023")</f>
        <v>1290000000</v>
      </c>
      <c r="J129" s="5">
        <f>_xll.SNL.Clients.Office.Excel.Functions.SPG(G129, "IQ_DILUT_EPS_NORM", "CY2023")</f>
        <v>6.0679999999999996</v>
      </c>
      <c r="K129">
        <f t="shared" si="6"/>
        <v>7827719.9999999991</v>
      </c>
      <c r="L129">
        <f t="shared" si="7"/>
        <v>2.1949565787960954E-2</v>
      </c>
    </row>
    <row r="130" spans="1:12" x14ac:dyDescent="0.3">
      <c r="A130" t="s">
        <v>132</v>
      </c>
      <c r="B130" s="4" cm="1">
        <f t="array" ref="B130">_xll.SNL.Clients.Office.Excel.Functions.SPG(A130, "SP_TOTAL_REV", "CY2023")</f>
        <v>35928600</v>
      </c>
      <c r="C130" s="4">
        <f>_xll.SNL.Clients.Office.Excel.Functions.SPG(A130,"IQ_AVG_DILUT_SHARES_OUT","CY2023")</f>
        <v>340500000</v>
      </c>
      <c r="D130" s="5">
        <f>_xll.SNL.Clients.Office.Excel.Functions.SPG(A130, "IQ_DILUT_EPS_NORM", "CY2023")</f>
        <v>11.53</v>
      </c>
      <c r="E130">
        <f t="shared" si="4"/>
        <v>3925965</v>
      </c>
      <c r="F130">
        <f t="shared" si="5"/>
        <v>0.10927130475442962</v>
      </c>
      <c r="G130" t="s">
        <v>132</v>
      </c>
      <c r="H130" s="4" cm="1">
        <f t="array" ref="H130">_xll.SNL.Clients.Office.Excel.Functions.SPG(G130, "SP_TOTAL_REV", "CY2023")</f>
        <v>35928600</v>
      </c>
      <c r="I130" s="4">
        <f>_xll.SNL.Clients.Office.Excel.Functions.SPG(G130,"IQ_AVG_DILUT_SHARES_OUT","CY2023")</f>
        <v>340500000</v>
      </c>
      <c r="J130" s="5">
        <f>_xll.SNL.Clients.Office.Excel.Functions.SPG(G130, "IQ_DILUT_EPS_NORM", "CY2023")</f>
        <v>11.53</v>
      </c>
      <c r="K130">
        <f t="shared" si="6"/>
        <v>3925965</v>
      </c>
      <c r="L130">
        <f t="shared" si="7"/>
        <v>0.10927130475442962</v>
      </c>
    </row>
    <row r="131" spans="1:12" x14ac:dyDescent="0.3">
      <c r="A131" t="s">
        <v>133</v>
      </c>
      <c r="B131" s="4" cm="1">
        <f t="array" ref="B131">_xll.SNL.Clients.Office.Excel.Functions.SPG(A131, "SP_TOTAL_REV", "CY2023")</f>
        <v>23890000</v>
      </c>
      <c r="C131" s="4">
        <f>_xll.SNL.Clients.Office.Excel.Functions.SPG(A131,"IQ_AVG_DILUT_SHARES_OUT","CY2023")</f>
        <v>743100000</v>
      </c>
      <c r="D131" s="5">
        <f>_xll.SNL.Clients.Office.Excel.Functions.SPG(A131, "IQ_DILUT_EPS_NORM", "CY2023")</f>
        <v>4.54</v>
      </c>
      <c r="E131">
        <f t="shared" si="4"/>
        <v>3373674</v>
      </c>
      <c r="F131">
        <f t="shared" si="5"/>
        <v>0.14121699455839262</v>
      </c>
      <c r="G131" t="s">
        <v>133</v>
      </c>
      <c r="H131" s="4" cm="1">
        <f t="array" ref="H131">_xll.SNL.Clients.Office.Excel.Functions.SPG(G131, "SP_TOTAL_REV", "CY2023")</f>
        <v>23890000</v>
      </c>
      <c r="I131" s="4">
        <f>_xll.SNL.Clients.Office.Excel.Functions.SPG(G131,"IQ_AVG_DILUT_SHARES_OUT","CY2023")</f>
        <v>743100000</v>
      </c>
      <c r="J131" s="5">
        <f>_xll.SNL.Clients.Office.Excel.Functions.SPG(G131, "IQ_DILUT_EPS_NORM", "CY2023")</f>
        <v>4.54</v>
      </c>
      <c r="K131">
        <f t="shared" si="6"/>
        <v>3373674</v>
      </c>
      <c r="L131">
        <f t="shared" si="7"/>
        <v>0.14121699455839262</v>
      </c>
    </row>
    <row r="132" spans="1:12" x14ac:dyDescent="0.3">
      <c r="A132" t="s">
        <v>134</v>
      </c>
      <c r="B132" s="4" cm="1">
        <f t="array" ref="B132">_xll.SNL.Clients.Office.Excel.Functions.SPG(A132, "SP_TOTAL_REV", "CY2023")</f>
        <v>11013100</v>
      </c>
      <c r="C132" s="4">
        <f>_xll.SNL.Clients.Office.Excel.Functions.SPG(A132,"IQ_AVG_DILUT_SHARES_OUT","CY2023")</f>
        <v>121850000</v>
      </c>
      <c r="D132" s="5">
        <f>_xll.SNL.Clients.Office.Excel.Functions.SPG(A132, "IQ_DILUT_EPS_NORM", "CY2023")</f>
        <v>5.9550000000000001</v>
      </c>
      <c r="E132">
        <f t="shared" si="4"/>
        <v>725616.75</v>
      </c>
      <c r="F132">
        <f t="shared" si="5"/>
        <v>6.5886694028021178E-2</v>
      </c>
      <c r="G132" t="s">
        <v>134</v>
      </c>
      <c r="H132" s="4" cm="1">
        <f t="array" ref="H132">_xll.SNL.Clients.Office.Excel.Functions.SPG(G132, "SP_TOTAL_REV", "CY2023")</f>
        <v>11013100</v>
      </c>
      <c r="I132" s="4">
        <f>_xll.SNL.Clients.Office.Excel.Functions.SPG(G132,"IQ_AVG_DILUT_SHARES_OUT","CY2023")</f>
        <v>121850000</v>
      </c>
      <c r="J132" s="5">
        <f>_xll.SNL.Clients.Office.Excel.Functions.SPG(G132, "IQ_DILUT_EPS_NORM", "CY2023")</f>
        <v>5.9550000000000001</v>
      </c>
      <c r="K132">
        <f t="shared" si="6"/>
        <v>725616.75</v>
      </c>
      <c r="L132">
        <f t="shared" si="7"/>
        <v>6.5886694028021178E-2</v>
      </c>
    </row>
    <row r="133" spans="1:12" x14ac:dyDescent="0.3">
      <c r="A133" t="s">
        <v>135</v>
      </c>
      <c r="B133" s="4" cm="1">
        <f t="array" ref="B133">_xll.SNL.Clients.Office.Excel.Functions.SPG(A133, "SP_TOTAL_REV", "CY2023")</f>
        <v>12140147</v>
      </c>
      <c r="C133" s="4">
        <f>_xll.SNL.Clients.Office.Excel.Functions.SPG(A133,"IQ_AVG_DILUT_SHARES_OUT","CY2023")</f>
        <v>93182000</v>
      </c>
      <c r="D133" s="5">
        <f>_xll.SNL.Clients.Office.Excel.Functions.SPG(A133, "IQ_DILUT_EPS_NORM", "CY2023")</f>
        <v>5.2750000000000004</v>
      </c>
      <c r="E133">
        <f t="shared" ref="E133:E196" si="8">C133*D133/1000</f>
        <v>491535.05000000005</v>
      </c>
      <c r="F133">
        <f t="shared" ref="F133:F196" si="9">E133/B133</f>
        <v>4.048839359193921E-2</v>
      </c>
      <c r="G133" t="s">
        <v>135</v>
      </c>
      <c r="H133" s="4" cm="1">
        <f t="array" ref="H133">_xll.SNL.Clients.Office.Excel.Functions.SPG(G133, "SP_TOTAL_REV", "CY2023")</f>
        <v>12140147</v>
      </c>
      <c r="I133" s="4">
        <f>_xll.SNL.Clients.Office.Excel.Functions.SPG(G133,"IQ_AVG_DILUT_SHARES_OUT","CY2023")</f>
        <v>93182000</v>
      </c>
      <c r="J133" s="5">
        <f>_xll.SNL.Clients.Office.Excel.Functions.SPG(G133, "IQ_DILUT_EPS_NORM", "CY2023")</f>
        <v>5.2750000000000004</v>
      </c>
      <c r="K133">
        <f t="shared" ref="K133:K196" si="10">I133*J133/1000</f>
        <v>491535.05000000005</v>
      </c>
      <c r="L133">
        <f t="shared" ref="L133:L196" si="11">K133/H133</f>
        <v>4.048839359193921E-2</v>
      </c>
    </row>
    <row r="134" spans="1:12" x14ac:dyDescent="0.3">
      <c r="A134" t="s">
        <v>136</v>
      </c>
      <c r="B134" s="4" cm="1">
        <f t="array" ref="B134">_xll.SNL.Clients.Office.Excel.Functions.SPG(A134, "SP_TOTAL_REV", "CY2023")</f>
        <v>1513700</v>
      </c>
      <c r="C134" s="4">
        <f>_xll.SNL.Clients.Office.Excel.Functions.SPG(A134,"IQ_AVG_DILUT_SHARES_OUT","CY2023")</f>
        <v>158500000</v>
      </c>
      <c r="D134" s="5">
        <f>_xll.SNL.Clients.Office.Excel.Functions.SPG(A134, "IQ_DILUT_EPS_NORM", "CY2023")</f>
        <v>0.39600000000000002</v>
      </c>
      <c r="E134">
        <f t="shared" si="8"/>
        <v>62766</v>
      </c>
      <c r="F134">
        <f t="shared" si="9"/>
        <v>4.146528374182467E-2</v>
      </c>
      <c r="G134" t="s">
        <v>136</v>
      </c>
      <c r="H134" s="4" cm="1">
        <f t="array" ref="H134">_xll.SNL.Clients.Office.Excel.Functions.SPG(G134, "SP_TOTAL_REV", "CY2023")</f>
        <v>1513700</v>
      </c>
      <c r="I134" s="4">
        <f>_xll.SNL.Clients.Office.Excel.Functions.SPG(G134,"IQ_AVG_DILUT_SHARES_OUT","CY2023")</f>
        <v>158500000</v>
      </c>
      <c r="J134" s="5">
        <f>_xll.SNL.Clients.Office.Excel.Functions.SPG(G134, "IQ_DILUT_EPS_NORM", "CY2023")</f>
        <v>0.39600000000000002</v>
      </c>
      <c r="K134">
        <f t="shared" si="10"/>
        <v>62766</v>
      </c>
      <c r="L134">
        <f t="shared" si="11"/>
        <v>4.146528374182467E-2</v>
      </c>
    </row>
    <row r="135" spans="1:12" x14ac:dyDescent="0.3">
      <c r="A135" t="s">
        <v>137</v>
      </c>
      <c r="B135" s="4" cm="1">
        <f t="array" ref="B135">_xll.SNL.Clients.Office.Excel.Functions.SPG(A135, "SP_TOTAL_REV", "CY2023")</f>
        <v>4119576</v>
      </c>
      <c r="C135" s="4">
        <f>_xll.SNL.Clients.Office.Excel.Functions.SPG(A135,"IQ_AVG_DILUT_SHARES_OUT","CY2023")</f>
        <v>157299000</v>
      </c>
      <c r="D135" s="5">
        <f>_xll.SNL.Clients.Office.Excel.Functions.SPG(A135, "IQ_DILUT_EPS_NORM", "CY2023")</f>
        <v>3.7050000000000001</v>
      </c>
      <c r="E135">
        <f t="shared" si="8"/>
        <v>582792.79500000004</v>
      </c>
      <c r="F135">
        <f t="shared" si="9"/>
        <v>0.14146912085127208</v>
      </c>
      <c r="G135" t="s">
        <v>137</v>
      </c>
      <c r="H135" s="4" cm="1">
        <f t="array" ref="H135">_xll.SNL.Clients.Office.Excel.Functions.SPG(G135, "SP_TOTAL_REV", "CY2023")</f>
        <v>4119576</v>
      </c>
      <c r="I135" s="4">
        <f>_xll.SNL.Clients.Office.Excel.Functions.SPG(G135,"IQ_AVG_DILUT_SHARES_OUT","CY2023")</f>
        <v>157299000</v>
      </c>
      <c r="J135" s="5">
        <f>_xll.SNL.Clients.Office.Excel.Functions.SPG(G135, "IQ_DILUT_EPS_NORM", "CY2023")</f>
        <v>3.7050000000000001</v>
      </c>
      <c r="K135">
        <f t="shared" si="10"/>
        <v>582792.79500000004</v>
      </c>
      <c r="L135">
        <f t="shared" si="11"/>
        <v>0.14146912085127208</v>
      </c>
    </row>
    <row r="136" spans="1:12" x14ac:dyDescent="0.3">
      <c r="A136" t="s">
        <v>138</v>
      </c>
      <c r="B136" s="4" cm="1">
        <f t="array" ref="B136">_xll.SNL.Clients.Office.Excel.Functions.SPG(A136, "SP_TOTAL_REV", "CY2023")</f>
        <v>60755000</v>
      </c>
      <c r="C136" s="4">
        <f>_xll.SNL.Clients.Office.Excel.Functions.SPG(A136,"IQ_AVG_DILUT_SHARES_OUT","CY2023")</f>
        <v>289100000</v>
      </c>
      <c r="D136" s="5">
        <f>_xll.SNL.Clients.Office.Excel.Functions.SPG(A136, "IQ_DILUT_EPS_NORM", "CY2023")</f>
        <v>27.603000000000002</v>
      </c>
      <c r="E136">
        <f t="shared" si="8"/>
        <v>7980027.2999999998</v>
      </c>
      <c r="F136">
        <f t="shared" si="9"/>
        <v>0.13134766356678462</v>
      </c>
      <c r="G136" t="s">
        <v>138</v>
      </c>
      <c r="H136" s="4" cm="1">
        <f t="array" ref="H136">_xll.SNL.Clients.Office.Excel.Functions.SPG(G136, "SP_TOTAL_REV", "CY2023")</f>
        <v>60755000</v>
      </c>
      <c r="I136" s="4">
        <f>_xll.SNL.Clients.Office.Excel.Functions.SPG(G136,"IQ_AVG_DILUT_SHARES_OUT","CY2023")</f>
        <v>289100000</v>
      </c>
      <c r="J136" s="5">
        <f>_xll.SNL.Clients.Office.Excel.Functions.SPG(G136, "IQ_DILUT_EPS_NORM", "CY2023")</f>
        <v>27.603000000000002</v>
      </c>
      <c r="K136">
        <f t="shared" si="10"/>
        <v>7980027.2999999998</v>
      </c>
      <c r="L136">
        <f t="shared" si="11"/>
        <v>0.13134766356678462</v>
      </c>
    </row>
    <row r="137" spans="1:12" x14ac:dyDescent="0.3">
      <c r="A137" t="s">
        <v>139</v>
      </c>
      <c r="B137" s="4" cm="1">
        <f t="array" ref="B137">_xll.SNL.Clients.Office.Excel.Functions.SPG(A137, "SP_TOTAL_REV", "CY2023")</f>
        <v>88425000</v>
      </c>
      <c r="C137" s="4">
        <f>_xll.SNL.Clients.Office.Excel.Functions.SPG(A137,"IQ_AVG_DILUT_SHARES_OUT","CY2023")</f>
        <v>736000000</v>
      </c>
      <c r="D137" s="5">
        <f>_xll.SNL.Clients.Office.Excel.Functions.SPG(A137, "IQ_DILUT_EPS_NORM", "CY2023")</f>
        <v>3.7749999999999999</v>
      </c>
      <c r="E137">
        <f t="shared" si="8"/>
        <v>2778400</v>
      </c>
      <c r="F137">
        <f t="shared" si="9"/>
        <v>3.1420978230138535E-2</v>
      </c>
      <c r="G137" t="s">
        <v>139</v>
      </c>
      <c r="H137" s="4" cm="1">
        <f t="array" ref="H137">_xll.SNL.Clients.Office.Excel.Functions.SPG(G137, "SP_TOTAL_REV", "CY2023")</f>
        <v>88425000</v>
      </c>
      <c r="I137" s="4">
        <f>_xll.SNL.Clients.Office.Excel.Functions.SPG(G137,"IQ_AVG_DILUT_SHARES_OUT","CY2023")</f>
        <v>736000000</v>
      </c>
      <c r="J137" s="5">
        <f>_xll.SNL.Clients.Office.Excel.Functions.SPG(G137, "IQ_DILUT_EPS_NORM", "CY2023")</f>
        <v>3.7749999999999999</v>
      </c>
      <c r="K137">
        <f t="shared" si="10"/>
        <v>2778400</v>
      </c>
      <c r="L137">
        <f t="shared" si="11"/>
        <v>3.1420978230138535E-2</v>
      </c>
    </row>
    <row r="138" spans="1:12" x14ac:dyDescent="0.3">
      <c r="A138" t="s">
        <v>140</v>
      </c>
      <c r="B138" s="4" cm="1">
        <f t="array" ref="B138">_xll.SNL.Clients.Office.Excel.Functions.SPG(A138, "SP_TOTAL_REV", "CY2023")</f>
        <v>58048000</v>
      </c>
      <c r="C138" s="4">
        <f>_xll.SNL.Clients.Office.Excel.Functions.SPG(A138,"IQ_AVG_DILUT_SHARES_OUT","CY2023")</f>
        <v>643000000</v>
      </c>
      <c r="D138" s="5">
        <f>_xll.SNL.Clients.Office.Excel.Functions.SPG(A138, "IQ_DILUT_EPS_NORM", "CY2023")</f>
        <v>5.0739999999999998</v>
      </c>
      <c r="E138">
        <f t="shared" si="8"/>
        <v>3262582</v>
      </c>
      <c r="F138">
        <f t="shared" si="9"/>
        <v>5.620489939360529E-2</v>
      </c>
      <c r="G138" t="s">
        <v>140</v>
      </c>
      <c r="H138" s="4" cm="1">
        <f t="array" ref="H138">_xll.SNL.Clients.Office.Excel.Functions.SPG(G138, "SP_TOTAL_REV", "CY2023")</f>
        <v>58048000</v>
      </c>
      <c r="I138" s="4">
        <f>_xll.SNL.Clients.Office.Excel.Functions.SPG(G138,"IQ_AVG_DILUT_SHARES_OUT","CY2023")</f>
        <v>643000000</v>
      </c>
      <c r="J138" s="5">
        <f>_xll.SNL.Clients.Office.Excel.Functions.SPG(G138, "IQ_DILUT_EPS_NORM", "CY2023")</f>
        <v>5.0739999999999998</v>
      </c>
      <c r="K138">
        <f t="shared" si="10"/>
        <v>3262582</v>
      </c>
      <c r="L138">
        <f t="shared" si="11"/>
        <v>5.620489939360529E-2</v>
      </c>
    </row>
    <row r="139" spans="1:12" x14ac:dyDescent="0.3">
      <c r="A139" t="s">
        <v>141</v>
      </c>
      <c r="B139" s="4" cm="1">
        <f t="array" ref="B139">_xll.SNL.Clients.Office.Excel.Functions.SPG(A139, "SP_TOTAL_REV", "CY2023")</f>
        <v>14427000</v>
      </c>
      <c r="C139" s="4">
        <f>_xll.SNL.Clients.Office.Excel.Functions.SPG(A139,"IQ_AVG_DILUT_SHARES_OUT","CY2023")</f>
        <v>642000000</v>
      </c>
      <c r="D139" s="5">
        <f>_xll.SNL.Clients.Office.Excel.Functions.SPG(A139, "IQ_DILUT_EPS_NORM", "CY2023")</f>
        <v>4.4169999999999998</v>
      </c>
      <c r="E139">
        <f t="shared" si="8"/>
        <v>2835714</v>
      </c>
      <c r="F139">
        <f t="shared" si="9"/>
        <v>0.19655604075691413</v>
      </c>
      <c r="G139" t="s">
        <v>141</v>
      </c>
      <c r="H139" s="4" cm="1">
        <f t="array" ref="H139">_xll.SNL.Clients.Office.Excel.Functions.SPG(G139, "SP_TOTAL_REV", "CY2023")</f>
        <v>14427000</v>
      </c>
      <c r="I139" s="4">
        <f>_xll.SNL.Clients.Office.Excel.Functions.SPG(G139,"IQ_AVG_DILUT_SHARES_OUT","CY2023")</f>
        <v>642000000</v>
      </c>
      <c r="J139" s="5">
        <f>_xll.SNL.Clients.Office.Excel.Functions.SPG(G139, "IQ_DILUT_EPS_NORM", "CY2023")</f>
        <v>4.4169999999999998</v>
      </c>
      <c r="K139">
        <f t="shared" si="10"/>
        <v>2835714</v>
      </c>
      <c r="L139">
        <f t="shared" si="11"/>
        <v>0.19655604075691413</v>
      </c>
    </row>
    <row r="140" spans="1:12" x14ac:dyDescent="0.3">
      <c r="A140" t="s">
        <v>142</v>
      </c>
      <c r="B140" s="4" cm="1">
        <f t="array" ref="B140">_xll.SNL.Clients.Office.Excel.Functions.SPG(A140, "SP_TOTAL_REV", "CY2023")</f>
        <v>3622300</v>
      </c>
      <c r="C140" s="4">
        <f>_xll.SNL.Clients.Office.Excel.Functions.SPG(A140,"IQ_AVG_DILUT_SHARES_OUT","CY2023")</f>
        <v>425500000</v>
      </c>
      <c r="D140" s="5">
        <f>_xll.SNL.Clients.Office.Excel.Functions.SPG(A140, "IQ_DILUT_EPS_NORM", "CY2023")</f>
        <v>1.0409999999999999</v>
      </c>
      <c r="E140">
        <f t="shared" si="8"/>
        <v>442945.49999999994</v>
      </c>
      <c r="F140">
        <f t="shared" si="9"/>
        <v>0.12228294177732378</v>
      </c>
      <c r="G140" t="s">
        <v>142</v>
      </c>
      <c r="H140" s="4" cm="1">
        <f t="array" ref="H140">_xll.SNL.Clients.Office.Excel.Functions.SPG(G140, "SP_TOTAL_REV", "CY2023")</f>
        <v>3622300</v>
      </c>
      <c r="I140" s="4">
        <f>_xll.SNL.Clients.Office.Excel.Functions.SPG(G140,"IQ_AVG_DILUT_SHARES_OUT","CY2023")</f>
        <v>425500000</v>
      </c>
      <c r="J140" s="5">
        <f>_xll.SNL.Clients.Office.Excel.Functions.SPG(G140, "IQ_DILUT_EPS_NORM", "CY2023")</f>
        <v>1.0409999999999999</v>
      </c>
      <c r="K140">
        <f t="shared" si="10"/>
        <v>442945.49999999994</v>
      </c>
      <c r="L140">
        <f t="shared" si="11"/>
        <v>0.12228294177732378</v>
      </c>
    </row>
    <row r="141" spans="1:12" x14ac:dyDescent="0.3">
      <c r="A141" t="s">
        <v>143</v>
      </c>
      <c r="B141" s="4" cm="1">
        <f t="array" ref="B141">_xll.SNL.Clients.Office.Excel.Functions.SPG(A141, "SP_TOTAL_REV", "CY2023")</f>
        <v>7959000</v>
      </c>
      <c r="C141" s="4">
        <f>_xll.SNL.Clients.Office.Excel.Functions.SPG(A141,"IQ_AVG_DILUT_SHARES_OUT","CY2023")</f>
        <v>179999000</v>
      </c>
      <c r="D141" s="5">
        <f>_xll.SNL.Clients.Office.Excel.Functions.SPG(A141, "IQ_DILUT_EPS_NORM", "CY2023")</f>
        <v>13.423999999999999</v>
      </c>
      <c r="E141">
        <f t="shared" si="8"/>
        <v>2416306.5759999999</v>
      </c>
      <c r="F141">
        <f t="shared" si="9"/>
        <v>0.30359424249277545</v>
      </c>
      <c r="G141" t="s">
        <v>143</v>
      </c>
      <c r="H141" s="4" cm="1">
        <f t="array" ref="H141">_xll.SNL.Clients.Office.Excel.Functions.SPG(G141, "SP_TOTAL_REV", "CY2023")</f>
        <v>7959000</v>
      </c>
      <c r="I141" s="4">
        <f>_xll.SNL.Clients.Office.Excel.Functions.SPG(G141,"IQ_AVG_DILUT_SHARES_OUT","CY2023")</f>
        <v>179999000</v>
      </c>
      <c r="J141" s="5">
        <f>_xll.SNL.Clients.Office.Excel.Functions.SPG(G141, "IQ_DILUT_EPS_NORM", "CY2023")</f>
        <v>13.423999999999999</v>
      </c>
      <c r="K141">
        <f t="shared" si="10"/>
        <v>2416306.5759999999</v>
      </c>
      <c r="L141">
        <f t="shared" si="11"/>
        <v>0.30359424249277545</v>
      </c>
    </row>
    <row r="142" spans="1:12" x14ac:dyDescent="0.3">
      <c r="A142" t="s">
        <v>144</v>
      </c>
      <c r="B142" s="4" cm="1">
        <f t="array" ref="B142">_xll.SNL.Clients.Office.Excel.Functions.SPG(A142, "SP_TOTAL_REV", "CY2023")</f>
        <v>5515702</v>
      </c>
      <c r="C142" s="4">
        <f>_xll.SNL.Clients.Office.Excel.Functions.SPG(A142,"IQ_AVG_DILUT_SHARES_OUT","CY2023")</f>
        <v>309065000</v>
      </c>
      <c r="D142" s="5">
        <f>_xll.SNL.Clients.Office.Excel.Functions.SPG(A142, "IQ_DILUT_EPS_NORM", "CY2023")</f>
        <v>0.65900000000000003</v>
      </c>
      <c r="E142">
        <f t="shared" si="8"/>
        <v>203673.83499999999</v>
      </c>
      <c r="F142">
        <f t="shared" si="9"/>
        <v>3.6926185461070953E-2</v>
      </c>
      <c r="G142" t="s">
        <v>144</v>
      </c>
      <c r="H142" s="4" cm="1">
        <f t="array" ref="H142">_xll.SNL.Clients.Office.Excel.Functions.SPG(G142, "SP_TOTAL_REV", "CY2023")</f>
        <v>5515702</v>
      </c>
      <c r="I142" s="4">
        <f>_xll.SNL.Clients.Office.Excel.Functions.SPG(G142,"IQ_AVG_DILUT_SHARES_OUT","CY2023")</f>
        <v>309065000</v>
      </c>
      <c r="J142" s="5">
        <f>_xll.SNL.Clients.Office.Excel.Functions.SPG(G142, "IQ_DILUT_EPS_NORM", "CY2023")</f>
        <v>0.65900000000000003</v>
      </c>
      <c r="K142">
        <f t="shared" si="10"/>
        <v>203673.83499999999</v>
      </c>
      <c r="L142">
        <f t="shared" si="11"/>
        <v>3.6926185461070953E-2</v>
      </c>
    </row>
    <row r="143" spans="1:12" x14ac:dyDescent="0.3">
      <c r="A143" t="s">
        <v>145</v>
      </c>
      <c r="B143" s="4" cm="1">
        <f t="array" ref="B143">_xll.SNL.Clients.Office.Excel.Functions.SPG(A143, "SP_TOTAL_REV", "CY2023")</f>
        <v>9776000</v>
      </c>
      <c r="C143" s="4">
        <f>_xll.SNL.Clients.Office.Excel.Functions.SPG(A143,"IQ_AVG_DILUT_SHARES_OUT","CY2023")</f>
        <v>254000000</v>
      </c>
      <c r="D143" s="5">
        <f>_xll.SNL.Clients.Office.Excel.Functions.SPG(A143, "IQ_DILUT_EPS_NORM", "CY2023")</f>
        <v>9.2720000000000002</v>
      </c>
      <c r="E143">
        <f t="shared" si="8"/>
        <v>2355088</v>
      </c>
      <c r="F143">
        <f t="shared" si="9"/>
        <v>0.2409050736497545</v>
      </c>
      <c r="G143" t="s">
        <v>145</v>
      </c>
      <c r="H143" s="4" cm="1">
        <f t="array" ref="H143">_xll.SNL.Clients.Office.Excel.Functions.SPG(G143, "SP_TOTAL_REV", "CY2023")</f>
        <v>9776000</v>
      </c>
      <c r="I143" s="4">
        <f>_xll.SNL.Clients.Office.Excel.Functions.SPG(G143,"IQ_AVG_DILUT_SHARES_OUT","CY2023")</f>
        <v>254000000</v>
      </c>
      <c r="J143" s="5">
        <f>_xll.SNL.Clients.Office.Excel.Functions.SPG(G143, "IQ_DILUT_EPS_NORM", "CY2023")</f>
        <v>9.2720000000000002</v>
      </c>
      <c r="K143">
        <f t="shared" si="10"/>
        <v>2355088</v>
      </c>
      <c r="L143">
        <f t="shared" si="11"/>
        <v>0.2409050736497545</v>
      </c>
    </row>
    <row r="144" spans="1:12" x14ac:dyDescent="0.3">
      <c r="A144" t="s">
        <v>146</v>
      </c>
      <c r="B144" s="4" cm="1">
        <f t="array" ref="B144">_xll.SNL.Clients.Office.Excel.Functions.SPG(A144, "SP_TOTAL_REV", "CY2023")</f>
        <v>38691609</v>
      </c>
      <c r="C144" s="4">
        <f>_xll.SNL.Clients.Office.Excel.Functions.SPG(A144,"IQ_AVG_DILUT_SHARES_OUT","CY2023")</f>
        <v>219938000</v>
      </c>
      <c r="D144" s="5">
        <f>_xll.SNL.Clients.Office.Excel.Functions.SPG(A144, "IQ_DILUT_EPS_NORM", "CY2023")</f>
        <v>6.0419999999999998</v>
      </c>
      <c r="E144">
        <f t="shared" si="8"/>
        <v>1328865.3959999999</v>
      </c>
      <c r="F144">
        <f t="shared" si="9"/>
        <v>3.434505388493924E-2</v>
      </c>
      <c r="G144" t="s">
        <v>146</v>
      </c>
      <c r="H144" s="4" cm="1">
        <f t="array" ref="H144">_xll.SNL.Clients.Office.Excel.Functions.SPG(G144, "SP_TOTAL_REV", "CY2023")</f>
        <v>38691609</v>
      </c>
      <c r="I144" s="4">
        <f>_xll.SNL.Clients.Office.Excel.Functions.SPG(G144,"IQ_AVG_DILUT_SHARES_OUT","CY2023")</f>
        <v>219938000</v>
      </c>
      <c r="J144" s="5">
        <f>_xll.SNL.Clients.Office.Excel.Functions.SPG(G144, "IQ_DILUT_EPS_NORM", "CY2023")</f>
        <v>6.0419999999999998</v>
      </c>
      <c r="K144">
        <f t="shared" si="10"/>
        <v>1328865.3959999999</v>
      </c>
      <c r="L144">
        <f t="shared" si="11"/>
        <v>3.434505388493924E-2</v>
      </c>
    </row>
    <row r="145" spans="1:12" x14ac:dyDescent="0.3">
      <c r="A145" t="s">
        <v>147</v>
      </c>
      <c r="B145" s="4" cm="1">
        <f t="array" ref="B145">_xll.SNL.Clients.Office.Excel.Functions.SPG(A145, "SP_TOTAL_REV", "CY2023")</f>
        <v>30603800</v>
      </c>
      <c r="C145" s="4">
        <f>_xll.SNL.Clients.Office.Excel.Functions.SPG(A145,"IQ_AVG_DILUT_SHARES_OUT","CY2023")</f>
        <v>219500000</v>
      </c>
      <c r="D145" s="5">
        <f>_xll.SNL.Clients.Office.Excel.Functions.SPG(A145, "IQ_DILUT_EPS_NORM", "CY2023")</f>
        <v>4.8090000000000002</v>
      </c>
      <c r="E145">
        <f t="shared" si="8"/>
        <v>1055575.5</v>
      </c>
      <c r="F145">
        <f t="shared" si="9"/>
        <v>3.4491648095988078E-2</v>
      </c>
      <c r="G145" t="s">
        <v>147</v>
      </c>
      <c r="H145" s="4" cm="1">
        <f t="array" ref="H145">_xll.SNL.Clients.Office.Excel.Functions.SPG(G145, "SP_TOTAL_REV", "CY2023")</f>
        <v>30603800</v>
      </c>
      <c r="I145" s="4">
        <f>_xll.SNL.Clients.Office.Excel.Functions.SPG(G145,"IQ_AVG_DILUT_SHARES_OUT","CY2023")</f>
        <v>219500000</v>
      </c>
      <c r="J145" s="5">
        <f>_xll.SNL.Clients.Office.Excel.Functions.SPG(G145, "IQ_DILUT_EPS_NORM", "CY2023")</f>
        <v>4.8090000000000002</v>
      </c>
      <c r="K145">
        <f t="shared" si="10"/>
        <v>1055575.5</v>
      </c>
      <c r="L145">
        <f t="shared" si="11"/>
        <v>3.4491648095988078E-2</v>
      </c>
    </row>
    <row r="146" spans="1:12" x14ac:dyDescent="0.3">
      <c r="A146" t="s">
        <v>148</v>
      </c>
      <c r="B146" s="4" cm="1">
        <f t="array" ref="B146">_xll.SNL.Clients.Office.Excel.Functions.SPG(A146, "SP_TOTAL_REV", "CY2023")</f>
        <v>14393000</v>
      </c>
      <c r="C146" s="4">
        <f>_xll.SNL.Clients.Office.Excel.Functions.SPG(A146,"IQ_AVG_DILUT_SHARES_OUT","CY2023")</f>
        <v>836500000</v>
      </c>
      <c r="D146" s="5">
        <f>_xll.SNL.Clients.Office.Excel.Functions.SPG(A146, "IQ_DILUT_EPS_NORM", "CY2023")</f>
        <v>1.782</v>
      </c>
      <c r="E146">
        <f t="shared" si="8"/>
        <v>1490643</v>
      </c>
      <c r="F146">
        <f t="shared" si="9"/>
        <v>0.10356722017647467</v>
      </c>
      <c r="G146" t="s">
        <v>148</v>
      </c>
      <c r="H146" s="4" cm="1">
        <f t="array" ref="H146">_xll.SNL.Clients.Office.Excel.Functions.SPG(G146, "SP_TOTAL_REV", "CY2023")</f>
        <v>14393000</v>
      </c>
      <c r="I146" s="4">
        <f>_xll.SNL.Clients.Office.Excel.Functions.SPG(G146,"IQ_AVG_DILUT_SHARES_OUT","CY2023")</f>
        <v>836500000</v>
      </c>
      <c r="J146" s="5">
        <f>_xll.SNL.Clients.Office.Excel.Functions.SPG(G146, "IQ_DILUT_EPS_NORM", "CY2023")</f>
        <v>1.782</v>
      </c>
      <c r="K146">
        <f t="shared" si="10"/>
        <v>1490643</v>
      </c>
      <c r="L146">
        <f t="shared" si="11"/>
        <v>0.10356722017647467</v>
      </c>
    </row>
    <row r="147" spans="1:12" x14ac:dyDescent="0.3">
      <c r="A147" t="s">
        <v>149</v>
      </c>
      <c r="B147" s="4" cm="1">
        <f t="array" ref="B147">_xll.SNL.Clients.Office.Excel.Functions.SPG(A147, "SP_TOTAL_REV", "CY2023")</f>
        <v>4479358</v>
      </c>
      <c r="C147" s="4">
        <f>_xll.SNL.Clients.Office.Excel.Functions.SPG(A147,"IQ_AVG_DILUT_SHARES_OUT","CY2023")</f>
        <v>35401313</v>
      </c>
      <c r="D147" s="5">
        <f>_xll.SNL.Clients.Office.Excel.Functions.SPG(A147, "IQ_DILUT_EPS_NORM", "CY2023")</f>
        <v>11.209</v>
      </c>
      <c r="E147">
        <f t="shared" si="8"/>
        <v>396813.31741700001</v>
      </c>
      <c r="F147">
        <f t="shared" si="9"/>
        <v>8.8587096056399153E-2</v>
      </c>
      <c r="G147" t="s">
        <v>149</v>
      </c>
      <c r="H147" s="4" cm="1">
        <f t="array" ref="H147">_xll.SNL.Clients.Office.Excel.Functions.SPG(G147, "SP_TOTAL_REV", "CY2023")</f>
        <v>4479358</v>
      </c>
      <c r="I147" s="4">
        <f>_xll.SNL.Clients.Office.Excel.Functions.SPG(G147,"IQ_AVG_DILUT_SHARES_OUT","CY2023")</f>
        <v>35401313</v>
      </c>
      <c r="J147" s="5">
        <f>_xll.SNL.Clients.Office.Excel.Functions.SPG(G147, "IQ_DILUT_EPS_NORM", "CY2023")</f>
        <v>11.209</v>
      </c>
      <c r="K147">
        <f t="shared" si="10"/>
        <v>396813.31741700001</v>
      </c>
      <c r="L147">
        <f t="shared" si="11"/>
        <v>8.8587096056399153E-2</v>
      </c>
    </row>
    <row r="148" spans="1:12" x14ac:dyDescent="0.3">
      <c r="A148" t="s">
        <v>150</v>
      </c>
      <c r="B148" s="4" cm="1">
        <f t="array" ref="B148">_xll.SNL.Clients.Office.Excel.Functions.SPG(A148, "SP_TOTAL_REV", "CY2023")</f>
        <v>8438134</v>
      </c>
      <c r="C148" s="4">
        <f>_xll.SNL.Clients.Office.Excel.Functions.SPG(A148,"IQ_AVG_DILUT_SHARES_OUT","CY2023")</f>
        <v>140599000</v>
      </c>
      <c r="D148" s="5">
        <f>_xll.SNL.Clients.Office.Excel.Functions.SPG(A148, "IQ_DILUT_EPS_NORM", "CY2023")</f>
        <v>5.87</v>
      </c>
      <c r="E148">
        <f t="shared" si="8"/>
        <v>825316.13</v>
      </c>
      <c r="F148">
        <f t="shared" si="9"/>
        <v>9.7807895679305396E-2</v>
      </c>
      <c r="G148" t="s">
        <v>150</v>
      </c>
      <c r="H148" s="4" cm="1">
        <f t="array" ref="H148">_xll.SNL.Clients.Office.Excel.Functions.SPG(G148, "SP_TOTAL_REV", "CY2023")</f>
        <v>8438134</v>
      </c>
      <c r="I148" s="4">
        <f>_xll.SNL.Clients.Office.Excel.Functions.SPG(G148,"IQ_AVG_DILUT_SHARES_OUT","CY2023")</f>
        <v>140599000</v>
      </c>
      <c r="J148" s="5">
        <f>_xll.SNL.Clients.Office.Excel.Functions.SPG(G148, "IQ_DILUT_EPS_NORM", "CY2023")</f>
        <v>5.87</v>
      </c>
      <c r="K148">
        <f t="shared" si="10"/>
        <v>825316.13</v>
      </c>
      <c r="L148">
        <f t="shared" si="11"/>
        <v>9.7807895679305396E-2</v>
      </c>
    </row>
    <row r="149" spans="1:12" x14ac:dyDescent="0.3">
      <c r="A149" t="s">
        <v>151</v>
      </c>
      <c r="B149" s="4" cm="1">
        <f t="array" ref="B149">_xll.SNL.Clients.Office.Excel.Functions.SPG(A149, "SP_TOTAL_REV", "CY2023")</f>
        <v>44622000</v>
      </c>
      <c r="C149" s="4">
        <f>_xll.SNL.Clients.Office.Excel.Functions.SPG(A149,"IQ_AVG_DILUT_SHARES_OUT","CY2023")</f>
        <v>709000000</v>
      </c>
      <c r="D149" s="5">
        <f>_xll.SNL.Clients.Office.Excel.Functions.SPG(A149, "IQ_DILUT_EPS_NORM", "CY2023")</f>
        <v>1.472</v>
      </c>
      <c r="E149">
        <f t="shared" si="8"/>
        <v>1043648</v>
      </c>
      <c r="F149">
        <f t="shared" si="9"/>
        <v>2.3388642373716999E-2</v>
      </c>
      <c r="G149" t="s">
        <v>151</v>
      </c>
      <c r="H149" s="4" cm="1">
        <f t="array" ref="H149">_xll.SNL.Clients.Office.Excel.Functions.SPG(G149, "SP_TOTAL_REV", "CY2023")</f>
        <v>44622000</v>
      </c>
      <c r="I149" s="4">
        <f>_xll.SNL.Clients.Office.Excel.Functions.SPG(G149,"IQ_AVG_DILUT_SHARES_OUT","CY2023")</f>
        <v>709000000</v>
      </c>
      <c r="J149" s="5">
        <f>_xll.SNL.Clients.Office.Excel.Functions.SPG(G149, "IQ_DILUT_EPS_NORM", "CY2023")</f>
        <v>1.472</v>
      </c>
      <c r="K149">
        <f t="shared" si="10"/>
        <v>1043648</v>
      </c>
      <c r="L149">
        <f t="shared" si="11"/>
        <v>2.3388642373716999E-2</v>
      </c>
    </row>
    <row r="150" spans="1:12" x14ac:dyDescent="0.3">
      <c r="A150" t="s">
        <v>152</v>
      </c>
      <c r="B150" s="4" cm="1">
        <f t="array" ref="B150">_xll.SNL.Clients.Office.Excel.Functions.SPG(A150, "SP_TOTAL_REV", "CY2023")</f>
        <v>12745000</v>
      </c>
      <c r="C150" s="4">
        <f>_xll.SNL.Clients.Office.Excel.Functions.SPG(A150,"IQ_AVG_DILUT_SHARES_OUT","CY2023")</f>
        <v>206000000</v>
      </c>
      <c r="D150" s="5">
        <f>_xll.SNL.Clients.Office.Excel.Functions.SPG(A150, "IQ_DILUT_EPS_NORM", "CY2023")</f>
        <v>4.8</v>
      </c>
      <c r="E150">
        <f t="shared" si="8"/>
        <v>988800</v>
      </c>
      <c r="F150">
        <f t="shared" si="9"/>
        <v>7.7583366025892511E-2</v>
      </c>
      <c r="G150" t="s">
        <v>152</v>
      </c>
      <c r="H150" s="4" cm="1">
        <f t="array" ref="H150">_xll.SNL.Clients.Office.Excel.Functions.SPG(G150, "SP_TOTAL_REV", "CY2023")</f>
        <v>12745000</v>
      </c>
      <c r="I150" s="4">
        <f>_xll.SNL.Clients.Office.Excel.Functions.SPG(G150,"IQ_AVG_DILUT_SHARES_OUT","CY2023")</f>
        <v>206000000</v>
      </c>
      <c r="J150" s="5">
        <f>_xll.SNL.Clients.Office.Excel.Functions.SPG(G150, "IQ_DILUT_EPS_NORM", "CY2023")</f>
        <v>4.8</v>
      </c>
      <c r="K150">
        <f t="shared" si="10"/>
        <v>988800</v>
      </c>
      <c r="L150">
        <f t="shared" si="11"/>
        <v>7.7583366025892511E-2</v>
      </c>
    </row>
    <row r="151" spans="1:12" x14ac:dyDescent="0.3">
      <c r="A151" t="s">
        <v>153</v>
      </c>
      <c r="B151" s="4" cm="1">
        <f t="array" ref="B151">_xll.SNL.Clients.Office.Excel.Functions.SPG(A151, "SP_TOTAL_REV", "CY2023")</f>
        <v>28602000</v>
      </c>
      <c r="C151" s="4">
        <f>_xll.SNL.Clients.Office.Excel.Functions.SPG(A151,"IQ_AVG_DILUT_SHARES_OUT","CY2023")</f>
        <v>771000000</v>
      </c>
      <c r="D151" s="5">
        <f>_xll.SNL.Clients.Office.Excel.Functions.SPG(A151, "IQ_DILUT_EPS_NORM", "CY2023")</f>
        <v>3.931</v>
      </c>
      <c r="E151">
        <f t="shared" si="8"/>
        <v>3030801</v>
      </c>
      <c r="F151">
        <f t="shared" si="9"/>
        <v>0.10596465282148101</v>
      </c>
      <c r="G151" t="s">
        <v>153</v>
      </c>
      <c r="H151" s="4" cm="1">
        <f t="array" ref="H151">_xll.SNL.Clients.Office.Excel.Functions.SPG(G151, "SP_TOTAL_REV", "CY2023")</f>
        <v>28602000</v>
      </c>
      <c r="I151" s="4">
        <f>_xll.SNL.Clients.Office.Excel.Functions.SPG(G151,"IQ_AVG_DILUT_SHARES_OUT","CY2023")</f>
        <v>771000000</v>
      </c>
      <c r="J151" s="5">
        <f>_xll.SNL.Clients.Office.Excel.Functions.SPG(G151, "IQ_DILUT_EPS_NORM", "CY2023")</f>
        <v>3.931</v>
      </c>
      <c r="K151">
        <f t="shared" si="10"/>
        <v>3030801</v>
      </c>
      <c r="L151">
        <f t="shared" si="11"/>
        <v>0.10596465282148101</v>
      </c>
    </row>
    <row r="152" spans="1:12" x14ac:dyDescent="0.3">
      <c r="A152" t="s">
        <v>154</v>
      </c>
      <c r="B152" s="4" cm="1">
        <f t="array" ref="B152">_xll.SNL.Clients.Office.Excel.Functions.SPG(A152, "SP_TOTAL_REV", "CY2023")</f>
        <v>12068000</v>
      </c>
      <c r="C152" s="4">
        <f>_xll.SNL.Clients.Office.Excel.Functions.SPG(A152,"IQ_AVG_DILUT_SHARES_OUT","CY2023")</f>
        <v>451200000</v>
      </c>
      <c r="D152" s="5">
        <f>_xll.SNL.Clients.Office.Excel.Functions.SPG(A152, "IQ_DILUT_EPS_NORM", "CY2023")</f>
        <v>1.929</v>
      </c>
      <c r="E152">
        <f t="shared" si="8"/>
        <v>870364.8</v>
      </c>
      <c r="F152">
        <f t="shared" si="9"/>
        <v>7.2121710308253234E-2</v>
      </c>
      <c r="G152" t="s">
        <v>154</v>
      </c>
      <c r="H152" s="4" cm="1">
        <f t="array" ref="H152">_xll.SNL.Clients.Office.Excel.Functions.SPG(G152, "SP_TOTAL_REV", "CY2023")</f>
        <v>12068000</v>
      </c>
      <c r="I152" s="4">
        <f>_xll.SNL.Clients.Office.Excel.Functions.SPG(G152,"IQ_AVG_DILUT_SHARES_OUT","CY2023")</f>
        <v>451200000</v>
      </c>
      <c r="J152" s="5">
        <f>_xll.SNL.Clients.Office.Excel.Functions.SPG(G152, "IQ_DILUT_EPS_NORM", "CY2023")</f>
        <v>1.929</v>
      </c>
      <c r="K152">
        <f t="shared" si="10"/>
        <v>870364.8</v>
      </c>
      <c r="L152">
        <f t="shared" si="11"/>
        <v>7.2121710308253234E-2</v>
      </c>
    </row>
    <row r="153" spans="1:12" x14ac:dyDescent="0.3">
      <c r="A153" t="s">
        <v>155</v>
      </c>
      <c r="B153" s="4" cm="1">
        <f t="array" ref="B153">_xll.SNL.Clients.Office.Excel.Functions.SPG(A153, "SP_TOTAL_REV", "CY2023")</f>
        <v>9210000</v>
      </c>
      <c r="C153" s="4">
        <f>_xll.SNL.Clients.Office.Excel.Functions.SPG(A153,"IQ_AVG_DILUT_SHARES_OUT","CY2023")</f>
        <v>119400000</v>
      </c>
      <c r="D153" s="5">
        <f>_xll.SNL.Clients.Office.Excel.Functions.SPG(A153, "IQ_DILUT_EPS_NORM", "CY2023")</f>
        <v>4.2549999999999999</v>
      </c>
      <c r="E153">
        <f t="shared" si="8"/>
        <v>508047</v>
      </c>
      <c r="F153">
        <f t="shared" si="9"/>
        <v>5.5162540716612377E-2</v>
      </c>
      <c r="G153" t="s">
        <v>155</v>
      </c>
      <c r="H153" s="4" cm="1">
        <f t="array" ref="H153">_xll.SNL.Clients.Office.Excel.Functions.SPG(G153, "SP_TOTAL_REV", "CY2023")</f>
        <v>9210000</v>
      </c>
      <c r="I153" s="4">
        <f>_xll.SNL.Clients.Office.Excel.Functions.SPG(G153,"IQ_AVG_DILUT_SHARES_OUT","CY2023")</f>
        <v>119400000</v>
      </c>
      <c r="J153" s="5">
        <f>_xll.SNL.Clients.Office.Excel.Functions.SPG(G153, "IQ_DILUT_EPS_NORM", "CY2023")</f>
        <v>4.2549999999999999</v>
      </c>
      <c r="K153">
        <f t="shared" si="10"/>
        <v>508047</v>
      </c>
      <c r="L153">
        <f t="shared" si="11"/>
        <v>5.5162540716612377E-2</v>
      </c>
    </row>
    <row r="154" spans="1:12" x14ac:dyDescent="0.3">
      <c r="A154" t="s">
        <v>156</v>
      </c>
      <c r="B154" s="4" cm="1">
        <f t="array" ref="B154">_xll.SNL.Clients.Office.Excel.Functions.SPG(A154, "SP_TOTAL_REV", "CY2023")</f>
        <v>23196000</v>
      </c>
      <c r="C154" s="4">
        <f>_xll.SNL.Clients.Office.Excel.Functions.SPG(A154,"IQ_AVG_DILUT_SHARES_OUT","CY2023")</f>
        <v>401100000</v>
      </c>
      <c r="D154" s="5">
        <f>_xll.SNL.Clients.Office.Excel.Functions.SPG(A154, "IQ_DILUT_EPS_NORM", "CY2023")</f>
        <v>5.9509999999999996</v>
      </c>
      <c r="E154">
        <f t="shared" si="8"/>
        <v>2386946.1</v>
      </c>
      <c r="F154">
        <f t="shared" si="9"/>
        <v>0.10290334971546819</v>
      </c>
      <c r="G154" t="s">
        <v>156</v>
      </c>
      <c r="H154" s="4" cm="1">
        <f t="array" ref="H154">_xll.SNL.Clients.Office.Excel.Functions.SPG(G154, "SP_TOTAL_REV", "CY2023")</f>
        <v>23196000</v>
      </c>
      <c r="I154" s="4">
        <f>_xll.SNL.Clients.Office.Excel.Functions.SPG(G154,"IQ_AVG_DILUT_SHARES_OUT","CY2023")</f>
        <v>401100000</v>
      </c>
      <c r="J154" s="5">
        <f>_xll.SNL.Clients.Office.Excel.Functions.SPG(G154, "IQ_DILUT_EPS_NORM", "CY2023")</f>
        <v>5.9509999999999996</v>
      </c>
      <c r="K154">
        <f t="shared" si="10"/>
        <v>2386946.1</v>
      </c>
      <c r="L154">
        <f t="shared" si="11"/>
        <v>0.10290334971546819</v>
      </c>
    </row>
    <row r="155" spans="1:12" x14ac:dyDescent="0.3">
      <c r="A155" t="s">
        <v>157</v>
      </c>
      <c r="B155" s="4" cm="1">
        <f t="array" ref="B155">_xll.SNL.Clients.Office.Excel.Functions.SPG(A155, "SP_TOTAL_REV", "CY2023")</f>
        <v>10112000</v>
      </c>
      <c r="C155" s="4">
        <f>_xll.SNL.Clients.Office.Excel.Functions.SPG(A155,"IQ_AVG_DILUT_SHARES_OUT","CY2023")</f>
        <v>533000000</v>
      </c>
      <c r="D155" s="5">
        <f>_xll.SNL.Clients.Office.Excel.Functions.SPG(A155, "IQ_DILUT_EPS_NORM", "CY2023")</f>
        <v>2.3639999999999999</v>
      </c>
      <c r="E155">
        <f t="shared" si="8"/>
        <v>1260012</v>
      </c>
      <c r="F155">
        <f t="shared" si="9"/>
        <v>0.1246056170886076</v>
      </c>
      <c r="G155" t="s">
        <v>157</v>
      </c>
      <c r="H155" s="4" cm="1">
        <f t="array" ref="H155">_xll.SNL.Clients.Office.Excel.Functions.SPG(G155, "SP_TOTAL_REV", "CY2023")</f>
        <v>10112000</v>
      </c>
      <c r="I155" s="4">
        <f>_xll.SNL.Clients.Office.Excel.Functions.SPG(G155,"IQ_AVG_DILUT_SHARES_OUT","CY2023")</f>
        <v>533000000</v>
      </c>
      <c r="J155" s="5">
        <f>_xll.SNL.Clients.Office.Excel.Functions.SPG(G155, "IQ_DILUT_EPS_NORM", "CY2023")</f>
        <v>2.3639999999999999</v>
      </c>
      <c r="K155">
        <f t="shared" si="10"/>
        <v>1260012</v>
      </c>
      <c r="L155">
        <f t="shared" si="11"/>
        <v>0.1246056170886076</v>
      </c>
    </row>
    <row r="156" spans="1:12" x14ac:dyDescent="0.3">
      <c r="A156" t="s">
        <v>158</v>
      </c>
      <c r="B156" s="4" cm="1">
        <f t="array" ref="B156">_xll.SNL.Clients.Office.Excel.Functions.SPG(A156, "SP_TOTAL_REV", "CY2023")</f>
        <v>15320200</v>
      </c>
      <c r="C156" s="4">
        <f>_xll.SNL.Clients.Office.Excel.Functions.SPG(A156,"IQ_AVG_DILUT_SHARES_OUT","CY2023")</f>
        <v>286500000</v>
      </c>
      <c r="D156" s="5">
        <f>_xll.SNL.Clients.Office.Excel.Functions.SPG(A156, "IQ_DILUT_EPS_NORM", "CY2023")</f>
        <v>4.0490000000000004</v>
      </c>
      <c r="E156">
        <f t="shared" si="8"/>
        <v>1160038.5</v>
      </c>
      <c r="F156">
        <f t="shared" si="9"/>
        <v>7.5719540214879699E-2</v>
      </c>
      <c r="G156" t="s">
        <v>158</v>
      </c>
      <c r="H156" s="4" cm="1">
        <f t="array" ref="H156">_xll.SNL.Clients.Office.Excel.Functions.SPG(G156, "SP_TOTAL_REV", "CY2023")</f>
        <v>15320200</v>
      </c>
      <c r="I156" s="4">
        <f>_xll.SNL.Clients.Office.Excel.Functions.SPG(G156,"IQ_AVG_DILUT_SHARES_OUT","CY2023")</f>
        <v>286500000</v>
      </c>
      <c r="J156" s="5">
        <f>_xll.SNL.Clients.Office.Excel.Functions.SPG(G156, "IQ_DILUT_EPS_NORM", "CY2023")</f>
        <v>4.0490000000000004</v>
      </c>
      <c r="K156">
        <f t="shared" si="10"/>
        <v>1160038.5</v>
      </c>
      <c r="L156">
        <f t="shared" si="11"/>
        <v>7.5719540214879699E-2</v>
      </c>
    </row>
    <row r="157" spans="1:12" x14ac:dyDescent="0.3">
      <c r="A157" t="s">
        <v>159</v>
      </c>
      <c r="B157" s="4" cm="1">
        <f t="array" ref="B157">_xll.SNL.Clients.Office.Excel.Functions.SPG(A157, "SP_TOTAL_REV", "CY2023")</f>
        <v>16338000</v>
      </c>
      <c r="C157" s="4">
        <f>_xll.SNL.Clients.Office.Excel.Functions.SPG(A157,"IQ_AVG_DILUT_SHARES_OUT","CY2023")</f>
        <v>385000000</v>
      </c>
      <c r="D157" s="5">
        <f>_xll.SNL.Clients.Office.Excel.Functions.SPG(A157, "IQ_DILUT_EPS_NORM", "CY2023")</f>
        <v>3.5470000000000002</v>
      </c>
      <c r="E157">
        <f t="shared" si="8"/>
        <v>1365595</v>
      </c>
      <c r="F157">
        <f t="shared" si="9"/>
        <v>8.3583976006855187E-2</v>
      </c>
      <c r="G157" t="s">
        <v>159</v>
      </c>
      <c r="H157" s="4" cm="1">
        <f t="array" ref="H157">_xll.SNL.Clients.Office.Excel.Functions.SPG(G157, "SP_TOTAL_REV", "CY2023")</f>
        <v>16338000</v>
      </c>
      <c r="I157" s="4">
        <f>_xll.SNL.Clients.Office.Excel.Functions.SPG(G157,"IQ_AVG_DILUT_SHARES_OUT","CY2023")</f>
        <v>385000000</v>
      </c>
      <c r="J157" s="5">
        <f>_xll.SNL.Clients.Office.Excel.Functions.SPG(G157, "IQ_DILUT_EPS_NORM", "CY2023")</f>
        <v>3.5470000000000002</v>
      </c>
      <c r="K157">
        <f t="shared" si="10"/>
        <v>1365595</v>
      </c>
      <c r="L157">
        <f t="shared" si="11"/>
        <v>8.3583976006855187E-2</v>
      </c>
    </row>
    <row r="158" spans="1:12" x14ac:dyDescent="0.3">
      <c r="A158" t="s">
        <v>160</v>
      </c>
      <c r="B158" s="4" cm="1">
        <f t="array" ref="B158">_xll.SNL.Clients.Office.Excel.Functions.SPG(A158, "SP_TOTAL_REV", "CY2023")</f>
        <v>6004800</v>
      </c>
      <c r="C158" s="4">
        <f>_xll.SNL.Clients.Office.Excel.Functions.SPG(A158,"IQ_AVG_DILUT_SHARES_OUT","CY2023")</f>
        <v>609400000</v>
      </c>
      <c r="D158" s="5">
        <f>_xll.SNL.Clients.Office.Excel.Functions.SPG(A158, "IQ_DILUT_EPS_NORM", "CY2023")</f>
        <v>1.8520000000000001</v>
      </c>
      <c r="E158">
        <f t="shared" si="8"/>
        <v>1128608.8</v>
      </c>
      <c r="F158">
        <f t="shared" si="9"/>
        <v>0.18795110578204105</v>
      </c>
      <c r="G158" t="s">
        <v>160</v>
      </c>
      <c r="H158" s="4" cm="1">
        <f t="array" ref="H158">_xll.SNL.Clients.Office.Excel.Functions.SPG(G158, "SP_TOTAL_REV", "CY2023")</f>
        <v>6004800</v>
      </c>
      <c r="I158" s="4">
        <f>_xll.SNL.Clients.Office.Excel.Functions.SPG(G158,"IQ_AVG_DILUT_SHARES_OUT","CY2023")</f>
        <v>609400000</v>
      </c>
      <c r="J158" s="5">
        <f>_xll.SNL.Clients.Office.Excel.Functions.SPG(G158, "IQ_DILUT_EPS_NORM", "CY2023")</f>
        <v>1.8520000000000001</v>
      </c>
      <c r="K158">
        <f t="shared" si="10"/>
        <v>1128608.8</v>
      </c>
      <c r="L158">
        <f t="shared" si="11"/>
        <v>0.18795110578204105</v>
      </c>
    </row>
    <row r="159" spans="1:12" x14ac:dyDescent="0.3">
      <c r="A159" t="s">
        <v>161</v>
      </c>
      <c r="B159" s="4" cm="1">
        <f t="array" ref="B159">_xll.SNL.Clients.Office.Excel.Functions.SPG(A159, "SP_TOTAL_REV", "CY2023")</f>
        <v>7657000</v>
      </c>
      <c r="C159" s="4">
        <f>_xll.SNL.Clients.Office.Excel.Functions.SPG(A159,"IQ_AVG_DILUT_SHARES_OUT","CY2023")</f>
        <v>272750000</v>
      </c>
      <c r="D159" s="5">
        <f>_xll.SNL.Clients.Office.Excel.Functions.SPG(A159, "IQ_DILUT_EPS_NORM", "CY2023")</f>
        <v>3.7210000000000001</v>
      </c>
      <c r="E159">
        <f t="shared" si="8"/>
        <v>1014902.75</v>
      </c>
      <c r="F159">
        <f t="shared" si="9"/>
        <v>0.13254574245788167</v>
      </c>
      <c r="G159" t="s">
        <v>161</v>
      </c>
      <c r="H159" s="4" cm="1">
        <f t="array" ref="H159">_xll.SNL.Clients.Office.Excel.Functions.SPG(G159, "SP_TOTAL_REV", "CY2023")</f>
        <v>7657000</v>
      </c>
      <c r="I159" s="4">
        <f>_xll.SNL.Clients.Office.Excel.Functions.SPG(G159,"IQ_AVG_DILUT_SHARES_OUT","CY2023")</f>
        <v>272750000</v>
      </c>
      <c r="J159" s="5">
        <f>_xll.SNL.Clients.Office.Excel.Functions.SPG(G159, "IQ_DILUT_EPS_NORM", "CY2023")</f>
        <v>3.7210000000000001</v>
      </c>
      <c r="K159">
        <f t="shared" si="10"/>
        <v>1014902.75</v>
      </c>
      <c r="L159">
        <f t="shared" si="11"/>
        <v>0.13254574245788167</v>
      </c>
    </row>
    <row r="160" spans="1:12" x14ac:dyDescent="0.3">
      <c r="A160" t="s">
        <v>162</v>
      </c>
      <c r="B160" s="4" cm="1">
        <f t="array" ref="B160">_xll.SNL.Clients.Office.Excel.Functions.SPG(A160, "SP_TOTAL_REV", "CY2023")</f>
        <v>171340000</v>
      </c>
      <c r="C160" s="4">
        <f>_xll.SNL.Clients.Office.Excel.Functions.SPG(A160,"IQ_AVG_DILUT_SHARES_OUT","CY2023")</f>
        <v>237400000</v>
      </c>
      <c r="D160" s="5">
        <f>_xll.SNL.Clients.Office.Excel.Functions.SPG(A160, "IQ_DILUT_EPS_NORM", "CY2023")</f>
        <v>23.306000000000001</v>
      </c>
      <c r="E160">
        <f t="shared" si="8"/>
        <v>5532844.4000000004</v>
      </c>
      <c r="F160">
        <f t="shared" si="9"/>
        <v>3.229160966499358E-2</v>
      </c>
      <c r="G160" t="s">
        <v>162</v>
      </c>
      <c r="H160" s="4" cm="1">
        <f t="array" ref="H160">_xll.SNL.Clients.Office.Excel.Functions.SPG(G160, "SP_TOTAL_REV", "CY2023")</f>
        <v>171340000</v>
      </c>
      <c r="I160" s="4">
        <f>_xll.SNL.Clients.Office.Excel.Functions.SPG(G160,"IQ_AVG_DILUT_SHARES_OUT","CY2023")</f>
        <v>237400000</v>
      </c>
      <c r="J160" s="5">
        <f>_xll.SNL.Clients.Office.Excel.Functions.SPG(G160, "IQ_DILUT_EPS_NORM", "CY2023")</f>
        <v>23.306000000000001</v>
      </c>
      <c r="K160">
        <f t="shared" si="10"/>
        <v>5532844.4000000004</v>
      </c>
      <c r="L160">
        <f t="shared" si="11"/>
        <v>3.229160966499358E-2</v>
      </c>
    </row>
    <row r="161" spans="1:12" x14ac:dyDescent="0.3">
      <c r="A161" t="s">
        <v>163</v>
      </c>
      <c r="B161" s="4" cm="1">
        <f t="array" ref="B161">_xll.SNL.Clients.Office.Excel.Functions.SPG(A161, "SP_TOTAL_REV", "CY2023")</f>
        <v>34124100</v>
      </c>
      <c r="C161" s="4">
        <f>_xll.SNL.Clients.Office.Excel.Functions.SPG(A161,"IQ_AVG_DILUT_SHARES_OUT","CY2023")</f>
        <v>903284000</v>
      </c>
      <c r="D161" s="5">
        <f>_xll.SNL.Clients.Office.Excel.Functions.SPG(A161, "IQ_DILUT_EPS_NORM", "CY2023")</f>
        <v>7.2249999999999996</v>
      </c>
      <c r="E161">
        <f t="shared" si="8"/>
        <v>6526226.9000000004</v>
      </c>
      <c r="F161">
        <f t="shared" si="9"/>
        <v>0.19124978827280428</v>
      </c>
      <c r="G161" t="s">
        <v>163</v>
      </c>
      <c r="H161" s="4" cm="1">
        <f t="array" ref="H161">_xll.SNL.Clients.Office.Excel.Functions.SPG(G161, "SP_TOTAL_REV", "CY2023")</f>
        <v>34124100</v>
      </c>
      <c r="I161" s="4">
        <f>_xll.SNL.Clients.Office.Excel.Functions.SPG(G161,"IQ_AVG_DILUT_SHARES_OUT","CY2023")</f>
        <v>903284000</v>
      </c>
      <c r="J161" s="5">
        <f>_xll.SNL.Clients.Office.Excel.Functions.SPG(G161, "IQ_DILUT_EPS_NORM", "CY2023")</f>
        <v>7.2249999999999996</v>
      </c>
      <c r="K161">
        <f t="shared" si="10"/>
        <v>6526226.9000000004</v>
      </c>
      <c r="L161">
        <f t="shared" si="11"/>
        <v>0.19124978827280428</v>
      </c>
    </row>
    <row r="162" spans="1:12" x14ac:dyDescent="0.3">
      <c r="A162" t="s">
        <v>164</v>
      </c>
      <c r="B162" s="4" cm="1">
        <f t="array" ref="B162">_xll.SNL.Clients.Office.Excel.Functions.SPG(A162, "SP_TOTAL_REV", "CY2023")</f>
        <v>15909000</v>
      </c>
      <c r="C162" s="4">
        <f>_xll.SNL.Clients.Office.Excel.Functions.SPG(A162,"IQ_AVG_DILUT_SHARES_OUT","CY2023")</f>
        <v>573950000</v>
      </c>
      <c r="D162" s="5">
        <f>_xll.SNL.Clients.Office.Excel.Functions.SPG(A162, "IQ_DILUT_EPS_NORM", "CY2023")</f>
        <v>3.0270000000000001</v>
      </c>
      <c r="E162">
        <f t="shared" si="8"/>
        <v>1737346.65</v>
      </c>
      <c r="F162">
        <f t="shared" si="9"/>
        <v>0.10920527060154629</v>
      </c>
      <c r="G162" t="s">
        <v>164</v>
      </c>
      <c r="H162" s="4" cm="1">
        <f t="array" ref="H162">_xll.SNL.Clients.Office.Excel.Functions.SPG(G162, "SP_TOTAL_REV", "CY2023")</f>
        <v>15909000</v>
      </c>
      <c r="I162" s="4">
        <f>_xll.SNL.Clients.Office.Excel.Functions.SPG(G162,"IQ_AVG_DILUT_SHARES_OUT","CY2023")</f>
        <v>573950000</v>
      </c>
      <c r="J162" s="5">
        <f>_xll.SNL.Clients.Office.Excel.Functions.SPG(G162, "IQ_DILUT_EPS_NORM", "CY2023")</f>
        <v>3.0270000000000001</v>
      </c>
      <c r="K162">
        <f t="shared" si="10"/>
        <v>1737346.65</v>
      </c>
      <c r="L162">
        <f t="shared" si="11"/>
        <v>0.10920527060154629</v>
      </c>
    </row>
    <row r="163" spans="1:12" x14ac:dyDescent="0.3">
      <c r="A163" t="s">
        <v>165</v>
      </c>
      <c r="B163" s="4" cm="1">
        <f t="array" ref="B163">_xll.SNL.Clients.Office.Excel.Functions.SPG(A163, "SP_TOTAL_REV", "CY2023")</f>
        <v>2290786</v>
      </c>
      <c r="C163" s="4">
        <f>_xll.SNL.Clients.Office.Excel.Functions.SPG(A163,"IQ_AVG_DILUT_SHARES_OUT","CY2023")</f>
        <v>143290000</v>
      </c>
      <c r="D163" s="5">
        <f>_xll.SNL.Clients.Office.Excel.Functions.SPG(A163, "IQ_DILUT_EPS_NORM", "CY2023")</f>
        <v>2.2719999999999998</v>
      </c>
      <c r="E163">
        <f t="shared" si="8"/>
        <v>325554.88</v>
      </c>
      <c r="F163">
        <f t="shared" si="9"/>
        <v>0.14211492474635343</v>
      </c>
      <c r="G163" t="s">
        <v>165</v>
      </c>
      <c r="H163" s="4" cm="1">
        <f t="array" ref="H163">_xll.SNL.Clients.Office.Excel.Functions.SPG(G163, "SP_TOTAL_REV", "CY2023")</f>
        <v>2290786</v>
      </c>
      <c r="I163" s="4">
        <f>_xll.SNL.Clients.Office.Excel.Functions.SPG(G163,"IQ_AVG_DILUT_SHARES_OUT","CY2023")</f>
        <v>143290000</v>
      </c>
      <c r="J163" s="5">
        <f>_xll.SNL.Clients.Office.Excel.Functions.SPG(G163, "IQ_DILUT_EPS_NORM", "CY2023")</f>
        <v>2.2719999999999998</v>
      </c>
      <c r="K163">
        <f t="shared" si="10"/>
        <v>325554.88</v>
      </c>
      <c r="L163">
        <f t="shared" si="11"/>
        <v>0.14211492474635343</v>
      </c>
    </row>
    <row r="164" spans="1:12" x14ac:dyDescent="0.3">
      <c r="A164" t="s">
        <v>166</v>
      </c>
      <c r="B164" s="4" cm="1">
        <f t="array" ref="B164">_xll.SNL.Clients.Office.Excel.Functions.SPG(A164, "SP_TOTAL_REV", "CY2023")</f>
        <v>12147412</v>
      </c>
      <c r="C164" s="4">
        <f>_xll.SNL.Clients.Office.Excel.Functions.SPG(A164,"IQ_AVG_DILUT_SHARES_OUT","CY2023")</f>
        <v>212376495</v>
      </c>
      <c r="D164" s="5">
        <f>_xll.SNL.Clients.Office.Excel.Functions.SPG(A164, "IQ_DILUT_EPS_NORM", "CY2023")</f>
        <v>5.5</v>
      </c>
      <c r="E164">
        <f t="shared" si="8"/>
        <v>1168070.7224999999</v>
      </c>
      <c r="F164">
        <f t="shared" si="9"/>
        <v>9.6157990072288646E-2</v>
      </c>
      <c r="G164" t="s">
        <v>166</v>
      </c>
      <c r="H164" s="4" cm="1">
        <f t="array" ref="H164">_xll.SNL.Clients.Office.Excel.Functions.SPG(G164, "SP_TOTAL_REV", "CY2023")</f>
        <v>12147412</v>
      </c>
      <c r="I164" s="4">
        <f>_xll.SNL.Clients.Office.Excel.Functions.SPG(G164,"IQ_AVG_DILUT_SHARES_OUT","CY2023")</f>
        <v>212376495</v>
      </c>
      <c r="J164" s="5">
        <f>_xll.SNL.Clients.Office.Excel.Functions.SPG(G164, "IQ_DILUT_EPS_NORM", "CY2023")</f>
        <v>5.5</v>
      </c>
      <c r="K164">
        <f t="shared" si="10"/>
        <v>1168070.7224999999</v>
      </c>
      <c r="L164">
        <f t="shared" si="11"/>
        <v>9.6157990072288646E-2</v>
      </c>
    </row>
    <row r="165" spans="1:12" x14ac:dyDescent="0.3">
      <c r="A165" t="s">
        <v>167</v>
      </c>
      <c r="B165" s="4" cm="1">
        <f t="array" ref="B165">_xll.SNL.Clients.Office.Excel.Functions.SPG(A165, "SP_TOTAL_REV", "CY2023")</f>
        <v>23273000</v>
      </c>
      <c r="C165" s="4">
        <f>_xll.SNL.Clients.Office.Excel.Functions.SPG(A165,"IQ_AVG_DILUT_SHARES_OUT","CY2023")</f>
        <v>584000000</v>
      </c>
      <c r="D165" s="5">
        <f>_xll.SNL.Clients.Office.Excel.Functions.SPG(A165, "IQ_DILUT_EPS_NORM", "CY2023")</f>
        <v>10.303000000000001</v>
      </c>
      <c r="E165">
        <f t="shared" si="8"/>
        <v>6016952.0000000009</v>
      </c>
      <c r="F165">
        <f t="shared" si="9"/>
        <v>0.25853787650925969</v>
      </c>
      <c r="G165" t="s">
        <v>167</v>
      </c>
      <c r="H165" s="4" cm="1">
        <f t="array" ref="H165">_xll.SNL.Clients.Office.Excel.Functions.SPG(G165, "SP_TOTAL_REV", "CY2023")</f>
        <v>23273000</v>
      </c>
      <c r="I165" s="4">
        <f>_xll.SNL.Clients.Office.Excel.Functions.SPG(G165,"IQ_AVG_DILUT_SHARES_OUT","CY2023")</f>
        <v>584000000</v>
      </c>
      <c r="J165" s="5">
        <f>_xll.SNL.Clients.Office.Excel.Functions.SPG(G165, "IQ_DILUT_EPS_NORM", "CY2023")</f>
        <v>10.303000000000001</v>
      </c>
      <c r="K165">
        <f t="shared" si="10"/>
        <v>6016952.0000000009</v>
      </c>
      <c r="L165">
        <f t="shared" si="11"/>
        <v>0.25853787650925969</v>
      </c>
    </row>
    <row r="166" spans="1:12" x14ac:dyDescent="0.3">
      <c r="A166" t="s">
        <v>168</v>
      </c>
      <c r="B166" s="4" cm="1">
        <f t="array" ref="B166">_xll.SNL.Clients.Office.Excel.Functions.SPG(A166, "SP_TOTAL_REV", "CY2023")</f>
        <v>4690540</v>
      </c>
      <c r="C166" s="4">
        <f>_xll.SNL.Clients.Office.Excel.Functions.SPG(A166,"IQ_AVG_DILUT_SHARES_OUT","CY2023")</f>
        <v>59085000</v>
      </c>
      <c r="D166" s="5">
        <f>_xll.SNL.Clients.Office.Excel.Functions.SPG(A166, "IQ_DILUT_EPS_NORM", "CY2023")</f>
        <v>6.5890000000000004</v>
      </c>
      <c r="E166">
        <f t="shared" si="8"/>
        <v>389311.065</v>
      </c>
      <c r="F166">
        <f t="shared" si="9"/>
        <v>8.2999199452515063E-2</v>
      </c>
      <c r="G166" t="s">
        <v>168</v>
      </c>
      <c r="H166" s="4" cm="1">
        <f t="array" ref="H166">_xll.SNL.Clients.Office.Excel.Functions.SPG(G166, "SP_TOTAL_REV", "CY2023")</f>
        <v>4690540</v>
      </c>
      <c r="I166" s="4">
        <f>_xll.SNL.Clients.Office.Excel.Functions.SPG(G166,"IQ_AVG_DILUT_SHARES_OUT","CY2023")</f>
        <v>59085000</v>
      </c>
      <c r="J166" s="5">
        <f>_xll.SNL.Clients.Office.Excel.Functions.SPG(G166, "IQ_DILUT_EPS_NORM", "CY2023")</f>
        <v>6.5890000000000004</v>
      </c>
      <c r="K166">
        <f t="shared" si="10"/>
        <v>389311.065</v>
      </c>
      <c r="L166">
        <f t="shared" si="11"/>
        <v>8.2999199452515063E-2</v>
      </c>
    </row>
    <row r="167" spans="1:12" x14ac:dyDescent="0.3">
      <c r="A167" t="s">
        <v>169</v>
      </c>
      <c r="B167" s="4" cm="1">
        <f t="array" ref="B167">_xll.SNL.Clients.Office.Excel.Functions.SPG(A167, "SP_TOTAL_REV", "CY2023")</f>
        <v>4974255</v>
      </c>
      <c r="C167" s="4">
        <f>_xll.SNL.Clients.Office.Excel.Functions.SPG(A167,"IQ_AVG_DILUT_SHARES_OUT","CY2023")</f>
        <v>413224000</v>
      </c>
      <c r="D167" s="5">
        <f>_xll.SNL.Clients.Office.Excel.Functions.SPG(A167, "IQ_DILUT_EPS_NORM", "CY2023")</f>
        <v>3.4929999999999999</v>
      </c>
      <c r="E167">
        <f t="shared" si="8"/>
        <v>1443391.432</v>
      </c>
      <c r="F167">
        <f t="shared" si="9"/>
        <v>0.29017238400524298</v>
      </c>
      <c r="G167" t="s">
        <v>169</v>
      </c>
      <c r="H167" s="4" cm="1">
        <f t="array" ref="H167">_xll.SNL.Clients.Office.Excel.Functions.SPG(G167, "SP_TOTAL_REV", "CY2023")</f>
        <v>4974255</v>
      </c>
      <c r="I167" s="4">
        <f>_xll.SNL.Clients.Office.Excel.Functions.SPG(G167,"IQ_AVG_DILUT_SHARES_OUT","CY2023")</f>
        <v>413224000</v>
      </c>
      <c r="J167" s="5">
        <f>_xll.SNL.Clients.Office.Excel.Functions.SPG(G167, "IQ_DILUT_EPS_NORM", "CY2023")</f>
        <v>3.4929999999999999</v>
      </c>
      <c r="K167">
        <f t="shared" si="10"/>
        <v>1443391.432</v>
      </c>
      <c r="L167">
        <f t="shared" si="11"/>
        <v>0.29017238400524298</v>
      </c>
    </row>
    <row r="168" spans="1:12" x14ac:dyDescent="0.3">
      <c r="A168" t="s">
        <v>170</v>
      </c>
      <c r="B168" s="4" cm="1">
        <f t="array" ref="B168">_xll.SNL.Clients.Office.Excel.Functions.SPG(A168, "SP_TOTAL_REV", "CY2023")</f>
        <v>5265200</v>
      </c>
      <c r="C168" s="4">
        <f>_xll.SNL.Clients.Office.Excel.Functions.SPG(A168,"IQ_AVG_DILUT_SHARES_OUT","CY2023")</f>
        <v>123900000</v>
      </c>
      <c r="D168" s="5">
        <f>_xll.SNL.Clients.Office.Excel.Functions.SPG(A168, "IQ_DILUT_EPS_NORM", "CY2023")</f>
        <v>3.7429999999999999</v>
      </c>
      <c r="E168">
        <f t="shared" si="8"/>
        <v>463757.7</v>
      </c>
      <c r="F168">
        <f t="shared" si="9"/>
        <v>8.8079788042239607E-2</v>
      </c>
      <c r="G168" t="s">
        <v>170</v>
      </c>
      <c r="H168" s="4" cm="1">
        <f t="array" ref="H168">_xll.SNL.Clients.Office.Excel.Functions.SPG(G168, "SP_TOTAL_REV", "CY2023")</f>
        <v>5265200</v>
      </c>
      <c r="I168" s="4">
        <f>_xll.SNL.Clients.Office.Excel.Functions.SPG(G168,"IQ_AVG_DILUT_SHARES_OUT","CY2023")</f>
        <v>123900000</v>
      </c>
      <c r="J168" s="5">
        <f>_xll.SNL.Clients.Office.Excel.Functions.SPG(G168, "IQ_DILUT_EPS_NORM", "CY2023")</f>
        <v>3.7429999999999999</v>
      </c>
      <c r="K168">
        <f t="shared" si="10"/>
        <v>463757.7</v>
      </c>
      <c r="L168">
        <f t="shared" si="11"/>
        <v>8.8079788042239607E-2</v>
      </c>
    </row>
    <row r="169" spans="1:12" x14ac:dyDescent="0.3">
      <c r="A169" t="s">
        <v>171</v>
      </c>
      <c r="B169" s="4" cm="1">
        <f t="array" ref="B169">_xll.SNL.Clients.Office.Excel.Functions.SPG(A169, "SP_TOTAL_REV", "CY2023")</f>
        <v>8272667</v>
      </c>
      <c r="C169" s="4">
        <f>_xll.SNL.Clients.Office.Excel.Functions.SPG(A169,"IQ_AVG_DILUT_SHARES_OUT","CY2023")</f>
        <v>94009000</v>
      </c>
      <c r="D169" s="5">
        <f>_xll.SNL.Clients.Office.Excel.Functions.SPG(A169, "IQ_DILUT_EPS_NORM", "CY2023")</f>
        <v>4.5780000000000003</v>
      </c>
      <c r="E169">
        <f t="shared" si="8"/>
        <v>430373.20199999999</v>
      </c>
      <c r="F169">
        <f t="shared" si="9"/>
        <v>5.2023513336146611E-2</v>
      </c>
      <c r="G169" t="s">
        <v>171</v>
      </c>
      <c r="H169" s="4" cm="1">
        <f t="array" ref="H169">_xll.SNL.Clients.Office.Excel.Functions.SPG(G169, "SP_TOTAL_REV", "CY2023")</f>
        <v>8272667</v>
      </c>
      <c r="I169" s="4">
        <f>_xll.SNL.Clients.Office.Excel.Functions.SPG(G169,"IQ_AVG_DILUT_SHARES_OUT","CY2023")</f>
        <v>94009000</v>
      </c>
      <c r="J169" s="5">
        <f>_xll.SNL.Clients.Office.Excel.Functions.SPG(G169, "IQ_DILUT_EPS_NORM", "CY2023")</f>
        <v>4.5780000000000003</v>
      </c>
      <c r="K169">
        <f t="shared" si="10"/>
        <v>430373.20199999999</v>
      </c>
      <c r="L169">
        <f t="shared" si="11"/>
        <v>5.2023513336146611E-2</v>
      </c>
    </row>
    <row r="170" spans="1:12" x14ac:dyDescent="0.3">
      <c r="A170" t="s">
        <v>172</v>
      </c>
      <c r="B170" s="4" cm="1">
        <f t="array" ref="B170">_xll.SNL.Clients.Office.Excel.Functions.SPG(A170, "SP_TOTAL_REV", "CY2023")</f>
        <v>2874906</v>
      </c>
      <c r="C170" s="4">
        <f>_xll.SNL.Clients.Office.Excel.Functions.SPG(A170,"IQ_AVG_DILUT_SHARES_OUT","CY2023")</f>
        <v>390897000</v>
      </c>
      <c r="D170" s="5">
        <f>_xll.SNL.Clients.Office.Excel.Functions.SPG(A170, "IQ_DILUT_EPS_NORM", "CY2023")</f>
        <v>0.83</v>
      </c>
      <c r="E170">
        <f t="shared" si="8"/>
        <v>324444.51</v>
      </c>
      <c r="F170">
        <f t="shared" si="9"/>
        <v>0.11285395418145845</v>
      </c>
      <c r="G170" t="s">
        <v>172</v>
      </c>
      <c r="H170" s="4" cm="1">
        <f t="array" ref="H170">_xll.SNL.Clients.Office.Excel.Functions.SPG(G170, "SP_TOTAL_REV", "CY2023")</f>
        <v>2874906</v>
      </c>
      <c r="I170" s="4">
        <f>_xll.SNL.Clients.Office.Excel.Functions.SPG(G170,"IQ_AVG_DILUT_SHARES_OUT","CY2023")</f>
        <v>390897000</v>
      </c>
      <c r="J170" s="5">
        <f>_xll.SNL.Clients.Office.Excel.Functions.SPG(G170, "IQ_DILUT_EPS_NORM", "CY2023")</f>
        <v>0.83</v>
      </c>
      <c r="K170">
        <f t="shared" si="10"/>
        <v>324444.51</v>
      </c>
      <c r="L170">
        <f t="shared" si="11"/>
        <v>0.11285395418145845</v>
      </c>
    </row>
    <row r="171" spans="1:12" x14ac:dyDescent="0.3">
      <c r="A171" t="s">
        <v>173</v>
      </c>
      <c r="B171" s="4" cm="1">
        <f t="array" ref="B171">_xll.SNL.Clients.Office.Excel.Functions.SPG(A171, "SP_TOTAL_REV", "CY2023")</f>
        <v>3310620</v>
      </c>
      <c r="C171" s="4">
        <f>_xll.SNL.Clients.Office.Excel.Functions.SPG(A171,"IQ_AVG_DILUT_SHARES_OUT","CY2023")</f>
        <v>46188981</v>
      </c>
      <c r="D171" s="5">
        <f>_xll.SNL.Clients.Office.Excel.Functions.SPG(A171, "IQ_DILUT_EPS_NORM", "CY2023")</f>
        <v>7.8150000000000004</v>
      </c>
      <c r="E171">
        <f t="shared" si="8"/>
        <v>360966.88651500002</v>
      </c>
      <c r="F171">
        <f t="shared" si="9"/>
        <v>0.1090330169318738</v>
      </c>
      <c r="G171" t="s">
        <v>173</v>
      </c>
      <c r="H171" s="4" cm="1">
        <f t="array" ref="H171">_xll.SNL.Clients.Office.Excel.Functions.SPG(G171, "SP_TOTAL_REV", "CY2023")</f>
        <v>3310620</v>
      </c>
      <c r="I171" s="4">
        <f>_xll.SNL.Clients.Office.Excel.Functions.SPG(G171,"IQ_AVG_DILUT_SHARES_OUT","CY2023")</f>
        <v>46188981</v>
      </c>
      <c r="J171" s="5">
        <f>_xll.SNL.Clients.Office.Excel.Functions.SPG(G171, "IQ_DILUT_EPS_NORM", "CY2023")</f>
        <v>7.8150000000000004</v>
      </c>
      <c r="K171">
        <f t="shared" si="10"/>
        <v>360966.88651500002</v>
      </c>
      <c r="L171">
        <f t="shared" si="11"/>
        <v>0.1090330169318738</v>
      </c>
    </row>
    <row r="172" spans="1:12" x14ac:dyDescent="0.3">
      <c r="A172" t="s">
        <v>174</v>
      </c>
      <c r="B172" s="4" cm="1">
        <f t="array" ref="B172">_xll.SNL.Clients.Office.Excel.Functions.SPG(A172, "SP_TOTAL_REV", "CY2023")</f>
        <v>1744220</v>
      </c>
      <c r="C172" s="4">
        <f>_xll.SNL.Clients.Office.Excel.Functions.SPG(A172,"IQ_AVG_DILUT_SHARES_OUT","CY2023")</f>
        <v>64253385</v>
      </c>
      <c r="D172" s="5">
        <f>_xll.SNL.Clients.Office.Excel.Functions.SPG(A172, "IQ_DILUT_EPS_NORM", "CY2023")</f>
        <v>3.14</v>
      </c>
      <c r="E172">
        <f t="shared" si="8"/>
        <v>201755.62890000001</v>
      </c>
      <c r="F172">
        <f t="shared" si="9"/>
        <v>0.11567097550767678</v>
      </c>
      <c r="G172" t="s">
        <v>174</v>
      </c>
      <c r="H172" s="4" cm="1">
        <f t="array" ref="H172">_xll.SNL.Clients.Office.Excel.Functions.SPG(G172, "SP_TOTAL_REV", "CY2023")</f>
        <v>1744220</v>
      </c>
      <c r="I172" s="4">
        <f>_xll.SNL.Clients.Office.Excel.Functions.SPG(G172,"IQ_AVG_DILUT_SHARES_OUT","CY2023")</f>
        <v>64253385</v>
      </c>
      <c r="J172" s="5">
        <f>_xll.SNL.Clients.Office.Excel.Functions.SPG(G172, "IQ_DILUT_EPS_NORM", "CY2023")</f>
        <v>3.14</v>
      </c>
      <c r="K172">
        <f t="shared" si="10"/>
        <v>201755.62890000001</v>
      </c>
      <c r="L172">
        <f t="shared" si="11"/>
        <v>0.11567097550767678</v>
      </c>
    </row>
    <row r="173" spans="1:12" x14ac:dyDescent="0.3">
      <c r="A173" t="s">
        <v>175</v>
      </c>
      <c r="B173" s="4" cm="1">
        <f t="array" ref="B173">_xll.SNL.Clients.Office.Excel.Functions.SPG(A173, "SP_TOTAL_REV", "CY2023")</f>
        <v>14586000</v>
      </c>
      <c r="C173" s="4">
        <f>_xll.SNL.Clients.Office.Excel.Functions.SPG(A173,"IQ_AVG_DILUT_SHARES_OUT","CY2023")</f>
        <v>41300000</v>
      </c>
      <c r="D173" s="5">
        <f>_xll.SNL.Clients.Office.Excel.Functions.SPG(A173, "IQ_DILUT_EPS_NORM", "CY2023")</f>
        <v>32.597000000000001</v>
      </c>
      <c r="E173">
        <f t="shared" si="8"/>
        <v>1346256.1</v>
      </c>
      <c r="F173">
        <f t="shared" si="9"/>
        <v>9.2297826683120809E-2</v>
      </c>
      <c r="G173" t="s">
        <v>175</v>
      </c>
      <c r="H173" s="4" cm="1">
        <f t="array" ref="H173">_xll.SNL.Clients.Office.Excel.Functions.SPG(G173, "SP_TOTAL_REV", "CY2023")</f>
        <v>14586000</v>
      </c>
      <c r="I173" s="4">
        <f>_xll.SNL.Clients.Office.Excel.Functions.SPG(G173,"IQ_AVG_DILUT_SHARES_OUT","CY2023")</f>
        <v>41300000</v>
      </c>
      <c r="J173" s="5">
        <f>_xll.SNL.Clients.Office.Excel.Functions.SPG(G173, "IQ_DILUT_EPS_NORM", "CY2023")</f>
        <v>32.597000000000001</v>
      </c>
      <c r="K173">
        <f t="shared" si="10"/>
        <v>1346256.1</v>
      </c>
      <c r="L173">
        <f t="shared" si="11"/>
        <v>9.2297826683120809E-2</v>
      </c>
    </row>
    <row r="174" spans="1:12" x14ac:dyDescent="0.3">
      <c r="A174" t="s">
        <v>176</v>
      </c>
      <c r="B174" s="4" cm="1">
        <f t="array" ref="B174">_xll.SNL.Clients.Office.Excel.Functions.SPG(A174, "SP_TOTAL_REV", "CY2023")</f>
        <v>5508200</v>
      </c>
      <c r="C174" s="4">
        <f>_xll.SNL.Clients.Office.Excel.Functions.SPG(A174,"IQ_AVG_DILUT_SHARES_OUT","CY2023")</f>
        <v>230500000</v>
      </c>
      <c r="D174" s="5">
        <f>_xll.SNL.Clients.Office.Excel.Functions.SPG(A174, "IQ_DILUT_EPS_NORM", "CY2023")</f>
        <v>2.0049999999999999</v>
      </c>
      <c r="E174">
        <f t="shared" si="8"/>
        <v>462152.5</v>
      </c>
      <c r="F174">
        <f t="shared" si="9"/>
        <v>8.3902636069859482E-2</v>
      </c>
      <c r="G174" t="s">
        <v>176</v>
      </c>
      <c r="H174" s="4" cm="1">
        <f t="array" ref="H174">_xll.SNL.Clients.Office.Excel.Functions.SPG(G174, "SP_TOTAL_REV", "CY2023")</f>
        <v>5508200</v>
      </c>
      <c r="I174" s="4">
        <f>_xll.SNL.Clients.Office.Excel.Functions.SPG(G174,"IQ_AVG_DILUT_SHARES_OUT","CY2023")</f>
        <v>230500000</v>
      </c>
      <c r="J174" s="5">
        <f>_xll.SNL.Clients.Office.Excel.Functions.SPG(G174, "IQ_DILUT_EPS_NORM", "CY2023")</f>
        <v>2.0049999999999999</v>
      </c>
      <c r="K174">
        <f t="shared" si="10"/>
        <v>462152.5</v>
      </c>
      <c r="L174">
        <f t="shared" si="11"/>
        <v>8.3902636069859482E-2</v>
      </c>
    </row>
    <row r="175" spans="1:12" x14ac:dyDescent="0.3">
      <c r="A175" t="s">
        <v>177</v>
      </c>
      <c r="B175" s="4" cm="1">
        <f t="array" ref="B175">_xll.SNL.Clients.Office.Excel.Functions.SPG(A175, "SP_TOTAL_REV", "CY2023")</f>
        <v>11910705</v>
      </c>
      <c r="C175" s="4">
        <f>_xll.SNL.Clients.Office.Excel.Functions.SPG(A175,"IQ_AVG_DILUT_SHARES_OUT","CY2023")</f>
        <v>349580638</v>
      </c>
      <c r="D175" s="5">
        <f>_xll.SNL.Clients.Office.Excel.Functions.SPG(A175, "IQ_DILUT_EPS_NORM", "CY2023")</f>
        <v>3.37</v>
      </c>
      <c r="E175">
        <f t="shared" si="8"/>
        <v>1178086.75006</v>
      </c>
      <c r="F175">
        <f t="shared" si="9"/>
        <v>9.8909909200169094E-2</v>
      </c>
      <c r="G175" t="s">
        <v>177</v>
      </c>
      <c r="H175" s="4" cm="1">
        <f t="array" ref="H175">_xll.SNL.Clients.Office.Excel.Functions.SPG(G175, "SP_TOTAL_REV", "CY2023")</f>
        <v>11910705</v>
      </c>
      <c r="I175" s="4">
        <f>_xll.SNL.Clients.Office.Excel.Functions.SPG(G175,"IQ_AVG_DILUT_SHARES_OUT","CY2023")</f>
        <v>349580638</v>
      </c>
      <c r="J175" s="5">
        <f>_xll.SNL.Clients.Office.Excel.Functions.SPG(G175, "IQ_DILUT_EPS_NORM", "CY2023")</f>
        <v>3.37</v>
      </c>
      <c r="K175">
        <f t="shared" si="10"/>
        <v>1178086.75006</v>
      </c>
      <c r="L175">
        <f t="shared" si="11"/>
        <v>9.8909909200169094E-2</v>
      </c>
    </row>
    <row r="176" spans="1:12" x14ac:dyDescent="0.3">
      <c r="A176" t="s">
        <v>178</v>
      </c>
      <c r="B176" s="4" cm="1">
        <f t="array" ref="B176">_xll.SNL.Clients.Office.Excel.Functions.SPG(A176, "SP_TOTAL_REV", "CY2023")</f>
        <v>21727000</v>
      </c>
      <c r="C176" s="4">
        <f>_xll.SNL.Clients.Office.Excel.Functions.SPG(A176,"IQ_AVG_DILUT_SHARES_OUT","CY2023")</f>
        <v>997000000</v>
      </c>
      <c r="D176" s="5">
        <f>_xll.SNL.Clients.Office.Excel.Functions.SPG(A176, "IQ_DILUT_EPS_NORM", "CY2023")</f>
        <v>1.706</v>
      </c>
      <c r="E176">
        <f t="shared" si="8"/>
        <v>1700882</v>
      </c>
      <c r="F176">
        <f t="shared" si="9"/>
        <v>7.828425461407465E-2</v>
      </c>
      <c r="G176" t="s">
        <v>178</v>
      </c>
      <c r="H176" s="4" cm="1">
        <f t="array" ref="H176">_xll.SNL.Clients.Office.Excel.Functions.SPG(G176, "SP_TOTAL_REV", "CY2023")</f>
        <v>21727000</v>
      </c>
      <c r="I176" s="4">
        <f>_xll.SNL.Clients.Office.Excel.Functions.SPG(G176,"IQ_AVG_DILUT_SHARES_OUT","CY2023")</f>
        <v>997000000</v>
      </c>
      <c r="J176" s="5">
        <f>_xll.SNL.Clients.Office.Excel.Functions.SPG(G176, "IQ_DILUT_EPS_NORM", "CY2023")</f>
        <v>1.706</v>
      </c>
      <c r="K176">
        <f t="shared" si="10"/>
        <v>1700882</v>
      </c>
      <c r="L176">
        <f t="shared" si="11"/>
        <v>7.828425461407465E-2</v>
      </c>
    </row>
    <row r="177" spans="1:12" x14ac:dyDescent="0.3">
      <c r="A177" t="s">
        <v>179</v>
      </c>
      <c r="B177" s="4" cm="1">
        <f t="array" ref="B177">_xll.SNL.Clients.Office.Excel.Functions.SPG(A177, "SP_TOTAL_REV", "CY2023")</f>
        <v>12839000</v>
      </c>
      <c r="C177" s="4">
        <f>_xll.SNL.Clients.Office.Excel.Functions.SPG(A177,"IQ_AVG_DILUT_SHARES_OUT","CY2023")</f>
        <v>150228000</v>
      </c>
      <c r="D177" s="5">
        <f>_xll.SNL.Clients.Office.Excel.Functions.SPG(A177, "IQ_DILUT_EPS_NORM", "CY2023")</f>
        <v>6.5960000000000001</v>
      </c>
      <c r="E177">
        <f t="shared" si="8"/>
        <v>990903.88800000004</v>
      </c>
      <c r="F177">
        <f t="shared" si="9"/>
        <v>7.7179210841965884E-2</v>
      </c>
      <c r="G177" t="s">
        <v>179</v>
      </c>
      <c r="H177" s="4" cm="1">
        <f t="array" ref="H177">_xll.SNL.Clients.Office.Excel.Functions.SPG(G177, "SP_TOTAL_REV", "CY2023")</f>
        <v>12839000</v>
      </c>
      <c r="I177" s="4">
        <f>_xll.SNL.Clients.Office.Excel.Functions.SPG(G177,"IQ_AVG_DILUT_SHARES_OUT","CY2023")</f>
        <v>150228000</v>
      </c>
      <c r="J177" s="5">
        <f>_xll.SNL.Clients.Office.Excel.Functions.SPG(G177, "IQ_DILUT_EPS_NORM", "CY2023")</f>
        <v>6.5960000000000001</v>
      </c>
      <c r="K177">
        <f t="shared" si="10"/>
        <v>990903.88800000004</v>
      </c>
      <c r="L177">
        <f t="shared" si="11"/>
        <v>7.7179210841965884E-2</v>
      </c>
    </row>
    <row r="178" spans="1:12" x14ac:dyDescent="0.3">
      <c r="A178" t="s">
        <v>180</v>
      </c>
      <c r="B178" s="4" cm="1">
        <f t="array" ref="B178">_xll.SNL.Clients.Office.Excel.Functions.SPG(A178, "SP_TOTAL_REV", "CY2023")</f>
        <v>9300110</v>
      </c>
      <c r="C178" s="4">
        <f>_xll.SNL.Clients.Office.Excel.Functions.SPG(A178,"IQ_AVG_DILUT_SHARES_OUT","CY2023")</f>
        <v>150186000</v>
      </c>
      <c r="D178" s="5">
        <f>_xll.SNL.Clients.Office.Excel.Functions.SPG(A178, "IQ_DILUT_EPS_NORM", "CY2023")</f>
        <v>4.2309999999999999</v>
      </c>
      <c r="E178">
        <f t="shared" si="8"/>
        <v>635436.96600000001</v>
      </c>
      <c r="F178">
        <f t="shared" si="9"/>
        <v>6.832574732987029E-2</v>
      </c>
      <c r="G178" t="s">
        <v>180</v>
      </c>
      <c r="H178" s="4" cm="1">
        <f t="array" ref="H178">_xll.SNL.Clients.Office.Excel.Functions.SPG(G178, "SP_TOTAL_REV", "CY2023")</f>
        <v>9300110</v>
      </c>
      <c r="I178" s="4">
        <f>_xll.SNL.Clients.Office.Excel.Functions.SPG(G178,"IQ_AVG_DILUT_SHARES_OUT","CY2023")</f>
        <v>150186000</v>
      </c>
      <c r="J178" s="5">
        <f>_xll.SNL.Clients.Office.Excel.Functions.SPG(G178, "IQ_DILUT_EPS_NORM", "CY2023")</f>
        <v>4.2309999999999999</v>
      </c>
      <c r="K178">
        <f t="shared" si="10"/>
        <v>635436.96600000001</v>
      </c>
      <c r="L178">
        <f t="shared" si="11"/>
        <v>6.832574732987029E-2</v>
      </c>
    </row>
    <row r="179" spans="1:12" x14ac:dyDescent="0.3">
      <c r="A179" t="s">
        <v>181</v>
      </c>
      <c r="B179" s="4" cm="1">
        <f t="array" ref="B179">_xll.SNL.Clients.Office.Excel.Functions.SPG(A179, "SP_TOTAL_REV", "CY2023")</f>
        <v>2699936</v>
      </c>
      <c r="C179" s="4">
        <f>_xll.SNL.Clients.Office.Excel.Functions.SPG(A179,"IQ_AVG_DILUT_SHARES_OUT","CY2023")</f>
        <v>169220882</v>
      </c>
      <c r="D179" s="5">
        <f>_xll.SNL.Clients.Office.Excel.Functions.SPG(A179, "IQ_DILUT_EPS_NORM", "CY2023")</f>
        <v>3.1880000000000002</v>
      </c>
      <c r="E179">
        <f t="shared" si="8"/>
        <v>539476.17181600002</v>
      </c>
      <c r="F179">
        <f t="shared" si="9"/>
        <v>0.19981072581572304</v>
      </c>
      <c r="G179" t="s">
        <v>181</v>
      </c>
      <c r="H179" s="4" cm="1">
        <f t="array" ref="H179">_xll.SNL.Clients.Office.Excel.Functions.SPG(G179, "SP_TOTAL_REV", "CY2023")</f>
        <v>2699936</v>
      </c>
      <c r="I179" s="4">
        <f>_xll.SNL.Clients.Office.Excel.Functions.SPG(G179,"IQ_AVG_DILUT_SHARES_OUT","CY2023")</f>
        <v>169220882</v>
      </c>
      <c r="J179" s="5">
        <f>_xll.SNL.Clients.Office.Excel.Functions.SPG(G179, "IQ_DILUT_EPS_NORM", "CY2023")</f>
        <v>3.1880000000000002</v>
      </c>
      <c r="K179">
        <f t="shared" si="10"/>
        <v>539476.17181600002</v>
      </c>
      <c r="L179">
        <f t="shared" si="11"/>
        <v>0.19981072581572304</v>
      </c>
    </row>
    <row r="180" spans="1:12" x14ac:dyDescent="0.3">
      <c r="A180" t="s">
        <v>182</v>
      </c>
      <c r="B180" s="4" cm="1">
        <f t="array" ref="B180">_xll.SNL.Clients.Office.Excel.Functions.SPG(A180, "SP_TOTAL_REV", "CY2023")</f>
        <v>338293000</v>
      </c>
      <c r="C180" s="4">
        <f>_xll.SNL.Clients.Office.Excel.Functions.SPG(A180,"IQ_AVG_DILUT_SHARES_OUT","CY2023")</f>
        <v>4052000000</v>
      </c>
      <c r="D180" s="5">
        <f>_xll.SNL.Clients.Office.Excel.Functions.SPG(A180, "IQ_DILUT_EPS_NORM", "CY2023")</f>
        <v>8.24</v>
      </c>
      <c r="E180">
        <f t="shared" si="8"/>
        <v>33388480</v>
      </c>
      <c r="F180">
        <f t="shared" si="9"/>
        <v>9.8696928402302153E-2</v>
      </c>
      <c r="G180" t="s">
        <v>182</v>
      </c>
      <c r="H180" s="4" cm="1">
        <f t="array" ref="H180">_xll.SNL.Clients.Office.Excel.Functions.SPG(G180, "SP_TOTAL_REV", "CY2023")</f>
        <v>338293000</v>
      </c>
      <c r="I180" s="4">
        <f>_xll.SNL.Clients.Office.Excel.Functions.SPG(G180,"IQ_AVG_DILUT_SHARES_OUT","CY2023")</f>
        <v>4052000000</v>
      </c>
      <c r="J180" s="5">
        <f>_xll.SNL.Clients.Office.Excel.Functions.SPG(G180, "IQ_DILUT_EPS_NORM", "CY2023")</f>
        <v>8.24</v>
      </c>
      <c r="K180">
        <f t="shared" si="10"/>
        <v>33388480</v>
      </c>
      <c r="L180">
        <f t="shared" si="11"/>
        <v>9.8696928402302153E-2</v>
      </c>
    </row>
    <row r="181" spans="1:12" x14ac:dyDescent="0.3">
      <c r="A181" t="s">
        <v>183</v>
      </c>
      <c r="B181" s="4" cm="1">
        <f t="array" ref="B181">_xll.SNL.Clients.Office.Excel.Functions.SPG(A181, "SP_TOTAL_REV", "CY2023")</f>
        <v>2805388</v>
      </c>
      <c r="C181" s="4">
        <f>_xll.SNL.Clients.Office.Excel.Functions.SPG(A181,"IQ_AVG_DILUT_SHARES_OUT","CY2023")</f>
        <v>60086500</v>
      </c>
      <c r="D181" s="5">
        <f>_xll.SNL.Clients.Office.Excel.Functions.SPG(A181, "IQ_DILUT_EPS_NORM", "CY2023")</f>
        <v>6.5490000000000004</v>
      </c>
      <c r="E181">
        <f t="shared" si="8"/>
        <v>393506.48849999998</v>
      </c>
      <c r="F181">
        <f t="shared" si="9"/>
        <v>0.1402681156759778</v>
      </c>
      <c r="G181" t="s">
        <v>183</v>
      </c>
      <c r="H181" s="4" cm="1">
        <f t="array" ref="H181">_xll.SNL.Clients.Office.Excel.Functions.SPG(G181, "SP_TOTAL_REV", "CY2023")</f>
        <v>2805388</v>
      </c>
      <c r="I181" s="4">
        <f>_xll.SNL.Clients.Office.Excel.Functions.SPG(G181,"IQ_AVG_DILUT_SHARES_OUT","CY2023")</f>
        <v>60086500</v>
      </c>
      <c r="J181" s="5">
        <f>_xll.SNL.Clients.Office.Excel.Functions.SPG(G181, "IQ_DILUT_EPS_NORM", "CY2023")</f>
        <v>6.5490000000000004</v>
      </c>
      <c r="K181">
        <f t="shared" si="10"/>
        <v>393506.48849999998</v>
      </c>
      <c r="L181">
        <f t="shared" si="11"/>
        <v>0.1402681156759778</v>
      </c>
    </row>
    <row r="182" spans="1:12" x14ac:dyDescent="0.3">
      <c r="A182" t="s">
        <v>184</v>
      </c>
      <c r="B182" s="4" cm="1">
        <f t="array" ref="B182">_xll.SNL.Clients.Office.Excel.Functions.SPG(A182, "SP_TOTAL_REV", "CY2023")</f>
        <v>2122909</v>
      </c>
      <c r="C182" s="4">
        <f>_xll.SNL.Clients.Office.Excel.Functions.SPG(A182,"IQ_AVG_DILUT_SHARES_OUT","CY2023")</f>
        <v>38830250</v>
      </c>
      <c r="D182" s="5">
        <f>_xll.SNL.Clients.Office.Excel.Functions.SPG(A182, "IQ_DILUT_EPS_NORM", "CY2023")</f>
        <v>10.103999999999999</v>
      </c>
      <c r="E182">
        <f t="shared" si="8"/>
        <v>392340.84599999996</v>
      </c>
      <c r="F182">
        <f t="shared" si="9"/>
        <v>0.18481284218965577</v>
      </c>
      <c r="G182" t="s">
        <v>184</v>
      </c>
      <c r="H182" s="4" cm="1">
        <f t="array" ref="H182">_xll.SNL.Clients.Office.Excel.Functions.SPG(G182, "SP_TOTAL_REV", "CY2023")</f>
        <v>2122909</v>
      </c>
      <c r="I182" s="4">
        <f>_xll.SNL.Clients.Office.Excel.Functions.SPG(G182,"IQ_AVG_DILUT_SHARES_OUT","CY2023")</f>
        <v>38830250</v>
      </c>
      <c r="J182" s="5">
        <f>_xll.SNL.Clients.Office.Excel.Functions.SPG(G182, "IQ_DILUT_EPS_NORM", "CY2023")</f>
        <v>10.103999999999999</v>
      </c>
      <c r="K182">
        <f t="shared" si="10"/>
        <v>392340.84599999996</v>
      </c>
      <c r="L182">
        <f t="shared" si="11"/>
        <v>0.18481284218965577</v>
      </c>
    </row>
    <row r="183" spans="1:12" x14ac:dyDescent="0.3">
      <c r="A183" t="s">
        <v>185</v>
      </c>
      <c r="B183" s="4" cm="1">
        <f t="array" ref="B183">_xll.SNL.Clients.Office.Excel.Functions.SPG(A183, "SP_TOTAL_REV", "CY2023")</f>
        <v>1550746</v>
      </c>
      <c r="C183" s="4">
        <f>_xll.SNL.Clients.Office.Excel.Functions.SPG(A183,"IQ_AVG_DILUT_SHARES_OUT","CY2023")</f>
        <v>25311000</v>
      </c>
      <c r="D183" s="5">
        <f>_xll.SNL.Clients.Office.Excel.Functions.SPG(A183, "IQ_DILUT_EPS_NORM", "CY2023")</f>
        <v>13.832000000000001</v>
      </c>
      <c r="E183">
        <f t="shared" si="8"/>
        <v>350101.75199999998</v>
      </c>
      <c r="F183">
        <f t="shared" si="9"/>
        <v>0.22576344030550458</v>
      </c>
      <c r="G183" t="s">
        <v>185</v>
      </c>
      <c r="H183" s="4" cm="1">
        <f t="array" ref="H183">_xll.SNL.Clients.Office.Excel.Functions.SPG(G183, "SP_TOTAL_REV", "CY2023")</f>
        <v>1550746</v>
      </c>
      <c r="I183" s="4">
        <f>_xll.SNL.Clients.Office.Excel.Functions.SPG(G183,"IQ_AVG_DILUT_SHARES_OUT","CY2023")</f>
        <v>25311000</v>
      </c>
      <c r="J183" s="5">
        <f>_xll.SNL.Clients.Office.Excel.Functions.SPG(G183, "IQ_DILUT_EPS_NORM", "CY2023")</f>
        <v>13.832000000000001</v>
      </c>
      <c r="K183">
        <f t="shared" si="10"/>
        <v>350101.75199999998</v>
      </c>
      <c r="L183">
        <f t="shared" si="11"/>
        <v>0.22576344030550458</v>
      </c>
    </row>
    <row r="184" spans="1:12" x14ac:dyDescent="0.3">
      <c r="A184" t="s">
        <v>186</v>
      </c>
      <c r="B184" s="4" cm="1">
        <f t="array" ref="B184">_xll.SNL.Clients.Office.Excel.Functions.SPG(A184, "SP_TOTAL_REV", "CY2023")</f>
        <v>7346700</v>
      </c>
      <c r="C184" s="4">
        <f>_xll.SNL.Clients.Office.Excel.Functions.SPG(A184,"IQ_AVG_DILUT_SHARES_OUT","CY2023")</f>
        <v>573008608</v>
      </c>
      <c r="D184" s="5">
        <f>_xll.SNL.Clients.Office.Excel.Functions.SPG(A184, "IQ_DILUT_EPS_NORM", "CY2023")</f>
        <v>1.66</v>
      </c>
      <c r="E184">
        <f t="shared" si="8"/>
        <v>951194.28928000003</v>
      </c>
      <c r="F184">
        <f t="shared" si="9"/>
        <v>0.12947231944682647</v>
      </c>
      <c r="G184" t="s">
        <v>186</v>
      </c>
      <c r="H184" s="4" cm="1">
        <f t="array" ref="H184">_xll.SNL.Clients.Office.Excel.Functions.SPG(G184, "SP_TOTAL_REV", "CY2023")</f>
        <v>7346700</v>
      </c>
      <c r="I184" s="4">
        <f>_xll.SNL.Clients.Office.Excel.Functions.SPG(G184,"IQ_AVG_DILUT_SHARES_OUT","CY2023")</f>
        <v>573008608</v>
      </c>
      <c r="J184" s="5">
        <f>_xll.SNL.Clients.Office.Excel.Functions.SPG(G184, "IQ_DILUT_EPS_NORM", "CY2023")</f>
        <v>1.66</v>
      </c>
      <c r="K184">
        <f t="shared" si="10"/>
        <v>951194.28928000003</v>
      </c>
      <c r="L184">
        <f t="shared" si="11"/>
        <v>0.12947231944682647</v>
      </c>
    </row>
    <row r="185" spans="1:12" x14ac:dyDescent="0.3">
      <c r="A185" t="s">
        <v>187</v>
      </c>
      <c r="B185" s="4" cm="1">
        <f t="array" ref="B185">_xll.SNL.Clients.Office.Excel.Functions.SPG(A185, "SP_TOTAL_REV", "CY2023")</f>
        <v>1140710</v>
      </c>
      <c r="C185" s="4">
        <f>_xll.SNL.Clients.Office.Excel.Functions.SPG(A185,"IQ_AVG_DILUT_SHARES_OUT","CY2023")</f>
        <v>81313000</v>
      </c>
      <c r="D185" s="5">
        <f>_xll.SNL.Clients.Office.Excel.Functions.SPG(A185, "IQ_DILUT_EPS_NORM", "CY2023")</f>
        <v>1.698</v>
      </c>
      <c r="E185">
        <f t="shared" si="8"/>
        <v>138069.47399999999</v>
      </c>
      <c r="F185">
        <f t="shared" si="9"/>
        <v>0.12103819024993205</v>
      </c>
      <c r="G185" t="s">
        <v>187</v>
      </c>
      <c r="H185" s="4" cm="1">
        <f t="array" ref="H185">_xll.SNL.Clients.Office.Excel.Functions.SPG(G185, "SP_TOTAL_REV", "CY2023")</f>
        <v>1140710</v>
      </c>
      <c r="I185" s="4">
        <f>_xll.SNL.Clients.Office.Excel.Functions.SPG(G185,"IQ_AVG_DILUT_SHARES_OUT","CY2023")</f>
        <v>81313000</v>
      </c>
      <c r="J185" s="5">
        <f>_xll.SNL.Clients.Office.Excel.Functions.SPG(G185, "IQ_DILUT_EPS_NORM", "CY2023")</f>
        <v>1.698</v>
      </c>
      <c r="K185">
        <f t="shared" si="10"/>
        <v>138069.47399999999</v>
      </c>
      <c r="L185">
        <f t="shared" si="11"/>
        <v>0.12103819024993205</v>
      </c>
    </row>
    <row r="186" spans="1:12" x14ac:dyDescent="0.3">
      <c r="A186" t="s">
        <v>188</v>
      </c>
      <c r="B186" s="4" cm="1">
        <f t="array" ref="B186">_xll.SNL.Clients.Office.Excel.Functions.SPG(A186, "SP_TOTAL_REV", "CY2023")</f>
        <v>87945000</v>
      </c>
      <c r="C186" s="4">
        <f>_xll.SNL.Clients.Office.Excel.Functions.SPG(A186,"IQ_AVG_DILUT_SHARES_OUT","CY2023")</f>
        <v>253500000</v>
      </c>
      <c r="D186" s="5">
        <f>_xll.SNL.Clients.Office.Excel.Functions.SPG(A186, "IQ_DILUT_EPS_NORM", "CY2023")</f>
        <v>15.808999999999999</v>
      </c>
      <c r="E186">
        <f t="shared" si="8"/>
        <v>4007581.5</v>
      </c>
      <c r="F186">
        <f t="shared" si="9"/>
        <v>4.5569179600886918E-2</v>
      </c>
      <c r="G186" t="s">
        <v>188</v>
      </c>
      <c r="H186" s="4" cm="1">
        <f t="array" ref="H186">_xll.SNL.Clients.Office.Excel.Functions.SPG(G186, "SP_TOTAL_REV", "CY2023")</f>
        <v>87945000</v>
      </c>
      <c r="I186" s="4">
        <f>_xll.SNL.Clients.Office.Excel.Functions.SPG(G186,"IQ_AVG_DILUT_SHARES_OUT","CY2023")</f>
        <v>253500000</v>
      </c>
      <c r="J186" s="5">
        <f>_xll.SNL.Clients.Office.Excel.Functions.SPG(G186, "IQ_DILUT_EPS_NORM", "CY2023")</f>
        <v>15.808999999999999</v>
      </c>
      <c r="K186">
        <f t="shared" si="10"/>
        <v>4007581.5</v>
      </c>
      <c r="L186">
        <f t="shared" si="11"/>
        <v>4.5569179600886918E-2</v>
      </c>
    </row>
    <row r="187" spans="1:12" x14ac:dyDescent="0.3">
      <c r="A187" t="s">
        <v>189</v>
      </c>
      <c r="B187" s="4" cm="1">
        <f t="array" ref="B187">_xll.SNL.Clients.Office.Excel.Functions.SPG(A187, "SP_TOTAL_REV", "CY2023")</f>
        <v>9821000</v>
      </c>
      <c r="C187" s="4">
        <f>_xll.SNL.Clients.Office.Excel.Functions.SPG(A187,"IQ_AVG_DILUT_SHARES_OUT","CY2023")</f>
        <v>591000000</v>
      </c>
      <c r="D187" s="5">
        <f>_xll.SNL.Clients.Office.Excel.Functions.SPG(A187, "IQ_DILUT_EPS_NORM", "CY2023")</f>
        <v>0.86599999999999999</v>
      </c>
      <c r="E187">
        <f t="shared" si="8"/>
        <v>511806</v>
      </c>
      <c r="F187">
        <f t="shared" si="9"/>
        <v>5.2113430404235821E-2</v>
      </c>
      <c r="G187" t="s">
        <v>189</v>
      </c>
      <c r="H187" s="4" cm="1">
        <f t="array" ref="H187">_xll.SNL.Clients.Office.Excel.Functions.SPG(G187, "SP_TOTAL_REV", "CY2023")</f>
        <v>9821000</v>
      </c>
      <c r="I187" s="4">
        <f>_xll.SNL.Clients.Office.Excel.Functions.SPG(G187,"IQ_AVG_DILUT_SHARES_OUT","CY2023")</f>
        <v>591000000</v>
      </c>
      <c r="J187" s="5">
        <f>_xll.SNL.Clients.Office.Excel.Functions.SPG(G187, "IQ_DILUT_EPS_NORM", "CY2023")</f>
        <v>0.86599999999999999</v>
      </c>
      <c r="K187">
        <f t="shared" si="10"/>
        <v>511806</v>
      </c>
      <c r="L187">
        <f t="shared" si="11"/>
        <v>5.2113430404235821E-2</v>
      </c>
    </row>
    <row r="188" spans="1:12" x14ac:dyDescent="0.3">
      <c r="A188" t="s">
        <v>190</v>
      </c>
      <c r="B188" s="4" cm="1">
        <f t="array" ref="B188">_xll.SNL.Clients.Office.Excel.Functions.SPG(A188, "SP_TOTAL_REV", "CY2023")</f>
        <v>8708000</v>
      </c>
      <c r="C188" s="4">
        <f>_xll.SNL.Clients.Office.Excel.Functions.SPG(A188,"IQ_AVG_DILUT_SHARES_OUT","CY2023")</f>
        <v>687678291</v>
      </c>
      <c r="D188" s="5">
        <f>_xll.SNL.Clients.Office.Excel.Functions.SPG(A188, "IQ_DILUT_EPS_NORM", "CY2023")</f>
        <v>2.7189999999999999</v>
      </c>
      <c r="E188">
        <f t="shared" si="8"/>
        <v>1869797.2732289999</v>
      </c>
      <c r="F188">
        <f t="shared" si="9"/>
        <v>0.21472178149161689</v>
      </c>
      <c r="G188" t="s">
        <v>190</v>
      </c>
      <c r="H188" s="4" cm="1">
        <f t="array" ref="H188">_xll.SNL.Clients.Office.Excel.Functions.SPG(G188, "SP_TOTAL_REV", "CY2023")</f>
        <v>8708000</v>
      </c>
      <c r="I188" s="4">
        <f>_xll.SNL.Clients.Office.Excel.Functions.SPG(G188,"IQ_AVG_DILUT_SHARES_OUT","CY2023")</f>
        <v>687678291</v>
      </c>
      <c r="J188" s="5">
        <f>_xll.SNL.Clients.Office.Excel.Functions.SPG(G188, "IQ_DILUT_EPS_NORM", "CY2023")</f>
        <v>2.7189999999999999</v>
      </c>
      <c r="K188">
        <f t="shared" si="10"/>
        <v>1869797.2732289999</v>
      </c>
      <c r="L188">
        <f t="shared" si="11"/>
        <v>0.21472178149161689</v>
      </c>
    </row>
    <row r="189" spans="1:12" x14ac:dyDescent="0.3">
      <c r="A189" t="s">
        <v>191</v>
      </c>
      <c r="B189" s="4" cm="1">
        <f t="array" ref="B189">_xll.SNL.Clients.Office.Excel.Functions.SPG(A189, "SP_TOTAL_REV", "CY2023")</f>
        <v>3318602</v>
      </c>
      <c r="C189" s="4">
        <f>_xll.SNL.Clients.Office.Excel.Functions.SPG(A189,"IQ_AVG_DILUT_SHARES_OUT","CY2023")</f>
        <v>107372000</v>
      </c>
      <c r="D189" s="5">
        <f>_xll.SNL.Clients.Office.Excel.Functions.SPG(A189, "IQ_DILUT_EPS_NORM", "CY2023")</f>
        <v>5.3550000000000004</v>
      </c>
      <c r="E189">
        <f t="shared" si="8"/>
        <v>574977.06000000006</v>
      </c>
      <c r="F189">
        <f t="shared" si="9"/>
        <v>0.1732588180203592</v>
      </c>
      <c r="G189" t="s">
        <v>191</v>
      </c>
      <c r="H189" s="4" cm="1">
        <f t="array" ref="H189">_xll.SNL.Clients.Office.Excel.Functions.SPG(G189, "SP_TOTAL_REV", "CY2023")</f>
        <v>3318602</v>
      </c>
      <c r="I189" s="4">
        <f>_xll.SNL.Clients.Office.Excel.Functions.SPG(G189,"IQ_AVG_DILUT_SHARES_OUT","CY2023")</f>
        <v>107372000</v>
      </c>
      <c r="J189" s="5">
        <f>_xll.SNL.Clients.Office.Excel.Functions.SPG(G189, "IQ_DILUT_EPS_NORM", "CY2023")</f>
        <v>5.3550000000000004</v>
      </c>
      <c r="K189">
        <f t="shared" si="10"/>
        <v>574977.06000000006</v>
      </c>
      <c r="L189">
        <f t="shared" si="11"/>
        <v>0.1732588180203592</v>
      </c>
    </row>
    <row r="190" spans="1:12" x14ac:dyDescent="0.3">
      <c r="A190" t="s">
        <v>192</v>
      </c>
      <c r="B190" s="4" cm="1">
        <f t="array" ref="B190">_xll.SNL.Clients.Office.Excel.Functions.SPG(A190, "SP_TOTAL_REV", "CY2023")</f>
        <v>12685000</v>
      </c>
      <c r="C190" s="4">
        <f>_xll.SNL.Clients.Office.Excel.Functions.SPG(A190,"IQ_AVG_DILUT_SHARES_OUT","CY2023")</f>
        <v>574000000</v>
      </c>
      <c r="D190" s="5">
        <f>_xll.SNL.Clients.Office.Excel.Functions.SPG(A190, "IQ_DILUT_EPS_NORM", "CY2023")</f>
        <v>1.504</v>
      </c>
      <c r="E190">
        <f t="shared" si="8"/>
        <v>863296</v>
      </c>
      <c r="F190">
        <f t="shared" si="9"/>
        <v>6.805644461962948E-2</v>
      </c>
      <c r="G190" t="s">
        <v>192</v>
      </c>
      <c r="H190" s="4" cm="1">
        <f t="array" ref="H190">_xll.SNL.Clients.Office.Excel.Functions.SPG(G190, "SP_TOTAL_REV", "CY2023")</f>
        <v>12685000</v>
      </c>
      <c r="I190" s="4">
        <f>_xll.SNL.Clients.Office.Excel.Functions.SPG(G190,"IQ_AVG_DILUT_SHARES_OUT","CY2023")</f>
        <v>574000000</v>
      </c>
      <c r="J190" s="5">
        <f>_xll.SNL.Clients.Office.Excel.Functions.SPG(G190, "IQ_DILUT_EPS_NORM", "CY2023")</f>
        <v>1.504</v>
      </c>
      <c r="K190">
        <f t="shared" si="10"/>
        <v>863296</v>
      </c>
      <c r="L190">
        <f t="shared" si="11"/>
        <v>6.805644461962948E-2</v>
      </c>
    </row>
    <row r="191" spans="1:12" x14ac:dyDescent="0.3">
      <c r="A191" t="s">
        <v>193</v>
      </c>
      <c r="B191" s="4" cm="1">
        <f t="array" ref="B191">_xll.SNL.Clients.Office.Excel.Functions.SPG(A191, "SP_TOTAL_REV", "CY2023")</f>
        <v>19093000</v>
      </c>
      <c r="C191" s="4">
        <f>_xll.SNL.Clients.Office.Excel.Functions.SPG(A191,"IQ_AVG_DILUT_SHARES_OUT","CY2023")</f>
        <v>615900000</v>
      </c>
      <c r="D191" s="5">
        <f>_xll.SNL.Clients.Office.Excel.Functions.SPG(A191, "IQ_DILUT_EPS_NORM", "CY2023")</f>
        <v>3.6720000000000002</v>
      </c>
      <c r="E191">
        <f t="shared" si="8"/>
        <v>2261584.7999999998</v>
      </c>
      <c r="F191">
        <f t="shared" si="9"/>
        <v>0.11845099251034409</v>
      </c>
      <c r="G191" t="s">
        <v>193</v>
      </c>
      <c r="H191" s="4" cm="1">
        <f t="array" ref="H191">_xll.SNL.Clients.Office.Excel.Functions.SPG(G191, "SP_TOTAL_REV", "CY2023")</f>
        <v>19093000</v>
      </c>
      <c r="I191" s="4">
        <f>_xll.SNL.Clients.Office.Excel.Functions.SPG(G191,"IQ_AVG_DILUT_SHARES_OUT","CY2023")</f>
        <v>615900000</v>
      </c>
      <c r="J191" s="5">
        <f>_xll.SNL.Clients.Office.Excel.Functions.SPG(G191, "IQ_DILUT_EPS_NORM", "CY2023")</f>
        <v>3.6720000000000002</v>
      </c>
      <c r="K191">
        <f t="shared" si="10"/>
        <v>2261584.7999999998</v>
      </c>
      <c r="L191">
        <f t="shared" si="11"/>
        <v>0.11845099251034409</v>
      </c>
    </row>
    <row r="192" spans="1:12" x14ac:dyDescent="0.3">
      <c r="A192" t="s">
        <v>194</v>
      </c>
      <c r="B192" s="4" cm="1">
        <f t="array" ref="B192">_xll.SNL.Clients.Office.Excel.Functions.SPG(A192, "SP_TOTAL_REV", "CY2023")</f>
        <v>4486800</v>
      </c>
      <c r="C192" s="4">
        <f>_xll.SNL.Clients.Office.Excel.Functions.SPG(A192,"IQ_AVG_DILUT_SHARES_OUT","CY2023")</f>
        <v>125533000</v>
      </c>
      <c r="D192" s="5">
        <f>_xll.SNL.Clients.Office.Excel.Functions.SPG(A192, "IQ_DILUT_EPS_NORM", "CY2023")</f>
        <v>1.83</v>
      </c>
      <c r="E192">
        <f t="shared" si="8"/>
        <v>229725.39</v>
      </c>
      <c r="F192">
        <f t="shared" si="9"/>
        <v>5.1200274137469914E-2</v>
      </c>
      <c r="G192" t="s">
        <v>194</v>
      </c>
      <c r="H192" s="4" cm="1">
        <f t="array" ref="H192">_xll.SNL.Clients.Office.Excel.Functions.SPG(G192, "SP_TOTAL_REV", "CY2023")</f>
        <v>4486800</v>
      </c>
      <c r="I192" s="4">
        <f>_xll.SNL.Clients.Office.Excel.Functions.SPG(G192,"IQ_AVG_DILUT_SHARES_OUT","CY2023")</f>
        <v>125533000</v>
      </c>
      <c r="J192" s="5">
        <f>_xll.SNL.Clients.Office.Excel.Functions.SPG(G192, "IQ_DILUT_EPS_NORM", "CY2023")</f>
        <v>1.83</v>
      </c>
      <c r="K192">
        <f t="shared" si="10"/>
        <v>229725.39</v>
      </c>
      <c r="L192">
        <f t="shared" si="11"/>
        <v>5.1200274137469914E-2</v>
      </c>
    </row>
    <row r="193" spans="1:12" x14ac:dyDescent="0.3">
      <c r="A193" t="s">
        <v>195</v>
      </c>
      <c r="B193" s="4" cm="1">
        <f t="array" ref="B193">_xll.SNL.Clients.Office.Excel.Functions.SPG(A193, "SP_TOTAL_REV", "CY2023")</f>
        <v>176191000</v>
      </c>
      <c r="C193" s="4">
        <f>_xll.SNL.Clients.Office.Excel.Functions.SPG(A193,"IQ_AVG_DILUT_SHARES_OUT","CY2023")</f>
        <v>4041000000</v>
      </c>
      <c r="D193" s="5">
        <f>_xll.SNL.Clients.Office.Excel.Functions.SPG(A193, "IQ_DILUT_EPS_NORM", "CY2023")</f>
        <v>1.0189999999999999</v>
      </c>
      <c r="E193">
        <f t="shared" si="8"/>
        <v>4117778.9999999995</v>
      </c>
      <c r="F193">
        <f t="shared" si="9"/>
        <v>2.3371108626433809E-2</v>
      </c>
      <c r="G193" t="s">
        <v>195</v>
      </c>
      <c r="H193" s="4" cm="1">
        <f t="array" ref="H193">_xll.SNL.Clients.Office.Excel.Functions.SPG(G193, "SP_TOTAL_REV", "CY2023")</f>
        <v>176191000</v>
      </c>
      <c r="I193" s="4">
        <f>_xll.SNL.Clients.Office.Excel.Functions.SPG(G193,"IQ_AVG_DILUT_SHARES_OUT","CY2023")</f>
        <v>4041000000</v>
      </c>
      <c r="J193" s="5">
        <f>_xll.SNL.Clients.Office.Excel.Functions.SPG(G193, "IQ_DILUT_EPS_NORM", "CY2023")</f>
        <v>1.0189999999999999</v>
      </c>
      <c r="K193">
        <f t="shared" si="10"/>
        <v>4117778.9999999995</v>
      </c>
      <c r="L193">
        <f t="shared" si="11"/>
        <v>2.3371108626433809E-2</v>
      </c>
    </row>
    <row r="194" spans="1:12" x14ac:dyDescent="0.3">
      <c r="A194" t="s">
        <v>196</v>
      </c>
      <c r="B194" s="4" cm="1">
        <f t="array" ref="B194">_xll.SNL.Clients.Office.Excel.Functions.SPG(A194, "SP_TOTAL_REV", "CY2023")</f>
        <v>5304800</v>
      </c>
      <c r="C194" s="4">
        <f>_xll.SNL.Clients.Office.Excel.Functions.SPG(A194,"IQ_AVG_DILUT_SHARES_OUT","CY2023")</f>
        <v>788200000</v>
      </c>
      <c r="D194" s="5">
        <f>_xll.SNL.Clients.Office.Excel.Functions.SPG(A194, "IQ_DILUT_EPS_NORM", "CY2023")</f>
        <v>1.024</v>
      </c>
      <c r="E194">
        <f t="shared" si="8"/>
        <v>807116.80000000005</v>
      </c>
      <c r="F194">
        <f t="shared" si="9"/>
        <v>0.15214839390740462</v>
      </c>
      <c r="G194" t="s">
        <v>196</v>
      </c>
      <c r="H194" s="4" cm="1">
        <f t="array" ref="H194">_xll.SNL.Clients.Office.Excel.Functions.SPG(G194, "SP_TOTAL_REV", "CY2023")</f>
        <v>5304800</v>
      </c>
      <c r="I194" s="4">
        <f>_xll.SNL.Clients.Office.Excel.Functions.SPG(G194,"IQ_AVG_DILUT_SHARES_OUT","CY2023")</f>
        <v>788200000</v>
      </c>
      <c r="J194" s="5">
        <f>_xll.SNL.Clients.Office.Excel.Functions.SPG(G194, "IQ_DILUT_EPS_NORM", "CY2023")</f>
        <v>1.024</v>
      </c>
      <c r="K194">
        <f t="shared" si="10"/>
        <v>807116.80000000005</v>
      </c>
      <c r="L194">
        <f t="shared" si="11"/>
        <v>0.15214839390740462</v>
      </c>
    </row>
    <row r="195" spans="1:12" x14ac:dyDescent="0.3">
      <c r="A195" t="s">
        <v>197</v>
      </c>
      <c r="B195" s="4" cm="1">
        <f t="array" ref="B195">_xll.SNL.Clients.Office.Excel.Functions.SPG(A195, "SP_TOTAL_REV", "CY2023")</f>
        <v>6065300</v>
      </c>
      <c r="C195" s="4">
        <f>_xll.SNL.Clients.Office.Excel.Functions.SPG(A195,"IQ_AVG_DILUT_SHARES_OUT","CY2023")</f>
        <v>355600000</v>
      </c>
      <c r="D195" s="5">
        <f>_xll.SNL.Clients.Office.Excel.Functions.SPG(A195, "IQ_DILUT_EPS_NORM", "CY2023")</f>
        <v>1.7410000000000001</v>
      </c>
      <c r="E195">
        <f t="shared" si="8"/>
        <v>619099.6</v>
      </c>
      <c r="F195">
        <f t="shared" si="9"/>
        <v>0.10207237894250902</v>
      </c>
      <c r="G195" t="s">
        <v>197</v>
      </c>
      <c r="H195" s="4" cm="1">
        <f t="array" ref="H195">_xll.SNL.Clients.Office.Excel.Functions.SPG(G195, "SP_TOTAL_REV", "CY2023")</f>
        <v>6065300</v>
      </c>
      <c r="I195" s="4">
        <f>_xll.SNL.Clients.Office.Excel.Functions.SPG(G195,"IQ_AVG_DILUT_SHARES_OUT","CY2023")</f>
        <v>355600000</v>
      </c>
      <c r="J195" s="5">
        <f>_xll.SNL.Clients.Office.Excel.Functions.SPG(G195, "IQ_DILUT_EPS_NORM", "CY2023")</f>
        <v>1.7410000000000001</v>
      </c>
      <c r="K195">
        <f t="shared" si="10"/>
        <v>619099.6</v>
      </c>
      <c r="L195">
        <f t="shared" si="11"/>
        <v>0.10207237894250902</v>
      </c>
    </row>
    <row r="196" spans="1:12" x14ac:dyDescent="0.3">
      <c r="A196" t="s">
        <v>198</v>
      </c>
      <c r="B196" s="4" cm="1">
        <f t="array" ref="B196">_xll.SNL.Clients.Office.Excel.Functions.SPG(A196, "SP_TOTAL_REV", "CY2023")</f>
        <v>14557000</v>
      </c>
      <c r="C196" s="4">
        <f>_xll.SNL.Clients.Office.Excel.Functions.SPG(A196,"IQ_AVG_DILUT_SHARES_OUT","CY2023")</f>
        <v>501500000</v>
      </c>
      <c r="D196" s="5">
        <f>_xll.SNL.Clients.Office.Excel.Functions.SPG(A196, "IQ_DILUT_EPS_NORM", "CY2023")</f>
        <v>2.6219999999999999</v>
      </c>
      <c r="E196">
        <f t="shared" si="8"/>
        <v>1314933</v>
      </c>
      <c r="F196">
        <f t="shared" si="9"/>
        <v>9.03299443566669E-2</v>
      </c>
      <c r="G196" t="s">
        <v>198</v>
      </c>
      <c r="H196" s="4" cm="1">
        <f t="array" ref="H196">_xll.SNL.Clients.Office.Excel.Functions.SPG(G196, "SP_TOTAL_REV", "CY2023")</f>
        <v>14557000</v>
      </c>
      <c r="I196" s="4">
        <f>_xll.SNL.Clients.Office.Excel.Functions.SPG(G196,"IQ_AVG_DILUT_SHARES_OUT","CY2023")</f>
        <v>501500000</v>
      </c>
      <c r="J196" s="5">
        <f>_xll.SNL.Clients.Office.Excel.Functions.SPG(G196, "IQ_DILUT_EPS_NORM", "CY2023")</f>
        <v>2.6219999999999999</v>
      </c>
      <c r="K196">
        <f t="shared" si="10"/>
        <v>1314933</v>
      </c>
      <c r="L196">
        <f t="shared" si="11"/>
        <v>9.03299443566669E-2</v>
      </c>
    </row>
    <row r="197" spans="1:12" x14ac:dyDescent="0.3">
      <c r="A197" t="s">
        <v>199</v>
      </c>
      <c r="B197" s="4" cm="1">
        <f t="array" ref="B197">_xll.SNL.Clients.Office.Excel.Functions.SPG(A197, "SP_TOTAL_REV", "CY2023")</f>
        <v>14557000</v>
      </c>
      <c r="C197" s="4">
        <f>_xll.SNL.Clients.Office.Excel.Functions.SPG(A197,"IQ_AVG_DILUT_SHARES_OUT","CY2023")</f>
        <v>501500000</v>
      </c>
      <c r="D197" s="5">
        <f>_xll.SNL.Clients.Office.Excel.Functions.SPG(A197, "IQ_DILUT_EPS_NORM", "CY2023")</f>
        <v>2.6219999999999999</v>
      </c>
      <c r="E197">
        <f t="shared" ref="E197:E260" si="12">C197*D197/1000</f>
        <v>1314933</v>
      </c>
      <c r="F197">
        <f t="shared" ref="F197:F260" si="13">E197/B197</f>
        <v>9.03299443566669E-2</v>
      </c>
      <c r="G197" t="s">
        <v>199</v>
      </c>
      <c r="H197" s="4" cm="1">
        <f t="array" ref="H197">_xll.SNL.Clients.Office.Excel.Functions.SPG(G197, "SP_TOTAL_REV", "CY2023")</f>
        <v>14557000</v>
      </c>
      <c r="I197" s="4">
        <f>_xll.SNL.Clients.Office.Excel.Functions.SPG(G197,"IQ_AVG_DILUT_SHARES_OUT","CY2023")</f>
        <v>501500000</v>
      </c>
      <c r="J197" s="5">
        <f>_xll.SNL.Clients.Office.Excel.Functions.SPG(G197, "IQ_DILUT_EPS_NORM", "CY2023")</f>
        <v>2.6219999999999999</v>
      </c>
      <c r="K197">
        <f t="shared" ref="K197:K260" si="14">I197*J197/1000</f>
        <v>1314933</v>
      </c>
      <c r="L197">
        <f t="shared" ref="L197:L260" si="15">K197/H197</f>
        <v>9.03299443566669E-2</v>
      </c>
    </row>
    <row r="198" spans="1:12" x14ac:dyDescent="0.3">
      <c r="A198" t="s">
        <v>200</v>
      </c>
      <c r="B198" s="4" cm="1">
        <f t="array" ref="B198">_xll.SNL.Clients.Office.Excel.Functions.SPG(A198, "SP_TOTAL_REV", "CY2023")</f>
        <v>7873400</v>
      </c>
      <c r="C198" s="4">
        <f>_xll.SNL.Clients.Office.Excel.Functions.SPG(A198,"IQ_AVG_DILUT_SHARES_OUT","CY2023")</f>
        <v>490225000</v>
      </c>
      <c r="D198" s="5">
        <f>_xll.SNL.Clients.Office.Excel.Functions.SPG(A198, "IQ_DILUT_EPS_NORM", "CY2023")</f>
        <v>1.859</v>
      </c>
      <c r="E198">
        <f t="shared" si="12"/>
        <v>911328.27500000002</v>
      </c>
      <c r="F198">
        <f t="shared" si="13"/>
        <v>0.11574774239845556</v>
      </c>
      <c r="G198" t="s">
        <v>200</v>
      </c>
      <c r="H198" s="4" cm="1">
        <f t="array" ref="H198">_xll.SNL.Clients.Office.Excel.Functions.SPG(G198, "SP_TOTAL_REV", "CY2023")</f>
        <v>7873400</v>
      </c>
      <c r="I198" s="4">
        <f>_xll.SNL.Clients.Office.Excel.Functions.SPG(G198,"IQ_AVG_DILUT_SHARES_OUT","CY2023")</f>
        <v>490225000</v>
      </c>
      <c r="J198" s="5">
        <f>_xll.SNL.Clients.Office.Excel.Functions.SPG(G198, "IQ_DILUT_EPS_NORM", "CY2023")</f>
        <v>1.859</v>
      </c>
      <c r="K198">
        <f t="shared" si="14"/>
        <v>911328.27500000002</v>
      </c>
      <c r="L198">
        <f t="shared" si="15"/>
        <v>0.11574774239845556</v>
      </c>
    </row>
    <row r="199" spans="1:12" x14ac:dyDescent="0.3">
      <c r="A199" t="s">
        <v>201</v>
      </c>
      <c r="B199" s="4" cm="1">
        <f t="array" ref="B199">_xll.SNL.Clients.Office.Excel.Functions.SPG(A199, "SP_TOTAL_REV", "CY2023")</f>
        <v>22855000</v>
      </c>
      <c r="C199" s="4">
        <f>_xll.SNL.Clients.Office.Excel.Functions.SPG(A199,"IQ_AVG_DILUT_SHARES_OUT","CY2023")</f>
        <v>1443000000</v>
      </c>
      <c r="D199" s="5">
        <f>_xll.SNL.Clients.Office.Excel.Functions.SPG(A199, "IQ_DILUT_EPS_NORM", "CY2023")</f>
        <v>1.2849999999999999</v>
      </c>
      <c r="E199">
        <f t="shared" si="12"/>
        <v>1854255</v>
      </c>
      <c r="F199">
        <f t="shared" si="13"/>
        <v>8.1131262305841167E-2</v>
      </c>
      <c r="G199" t="s">
        <v>201</v>
      </c>
      <c r="H199" s="4" cm="1">
        <f t="array" ref="H199">_xll.SNL.Clients.Office.Excel.Functions.SPG(G199, "SP_TOTAL_REV", "CY2023")</f>
        <v>22855000</v>
      </c>
      <c r="I199" s="4">
        <f>_xll.SNL.Clients.Office.Excel.Functions.SPG(G199,"IQ_AVG_DILUT_SHARES_OUT","CY2023")</f>
        <v>1443000000</v>
      </c>
      <c r="J199" s="5">
        <f>_xll.SNL.Clients.Office.Excel.Functions.SPG(G199, "IQ_DILUT_EPS_NORM", "CY2023")</f>
        <v>1.2849999999999999</v>
      </c>
      <c r="K199">
        <f t="shared" si="14"/>
        <v>1854255</v>
      </c>
      <c r="L199">
        <f t="shared" si="15"/>
        <v>8.1131262305841167E-2</v>
      </c>
    </row>
    <row r="200" spans="1:12" x14ac:dyDescent="0.3">
      <c r="A200" t="s">
        <v>202</v>
      </c>
      <c r="B200" s="4" cm="1">
        <f t="array" ref="B200">_xll.SNL.Clients.Office.Excel.Functions.SPG(A200, "SP_TOTAL_REV", "CY2023")</f>
        <v>5228252</v>
      </c>
      <c r="C200" s="4">
        <f>_xll.SNL.Clients.Office.Excel.Functions.SPG(A200,"IQ_AVG_DILUT_SHARES_OUT","CY2023")</f>
        <v>192058000</v>
      </c>
      <c r="D200" s="5">
        <f>_xll.SNL.Clients.Office.Excel.Functions.SPG(A200, "IQ_DILUT_EPS_NORM", "CY2023")</f>
        <v>3.9060000000000001</v>
      </c>
      <c r="E200">
        <f t="shared" si="12"/>
        <v>750178.54799999995</v>
      </c>
      <c r="F200">
        <f t="shared" si="13"/>
        <v>0.14348553742245018</v>
      </c>
      <c r="G200" t="s">
        <v>202</v>
      </c>
      <c r="H200" s="4" cm="1">
        <f t="array" ref="H200">_xll.SNL.Clients.Office.Excel.Functions.SPG(G200, "SP_TOTAL_REV", "CY2023")</f>
        <v>5228252</v>
      </c>
      <c r="I200" s="4">
        <f>_xll.SNL.Clients.Office.Excel.Functions.SPG(G200,"IQ_AVG_DILUT_SHARES_OUT","CY2023")</f>
        <v>192058000</v>
      </c>
      <c r="J200" s="5">
        <f>_xll.SNL.Clients.Office.Excel.Functions.SPG(G200, "IQ_DILUT_EPS_NORM", "CY2023")</f>
        <v>3.9060000000000001</v>
      </c>
      <c r="K200">
        <f t="shared" si="14"/>
        <v>750178.54799999995</v>
      </c>
      <c r="L200">
        <f t="shared" si="15"/>
        <v>0.14348553742245018</v>
      </c>
    </row>
    <row r="201" spans="1:12" x14ac:dyDescent="0.3">
      <c r="A201" t="s">
        <v>203</v>
      </c>
      <c r="B201" s="4" cm="1">
        <f t="array" ref="B201">_xll.SNL.Clients.Office.Excel.Functions.SPG(A201, "SP_TOTAL_REV", "CY2023")</f>
        <v>5906956</v>
      </c>
      <c r="C201" s="4">
        <f>_xll.SNL.Clients.Office.Excel.Functions.SPG(A201,"IQ_AVG_DILUT_SHARES_OUT","CY2023")</f>
        <v>79680000</v>
      </c>
      <c r="D201" s="5">
        <f>_xll.SNL.Clients.Office.Excel.Functions.SPG(A201, "IQ_DILUT_EPS_NORM", "CY2023")</f>
        <v>8.1470000000000002</v>
      </c>
      <c r="E201">
        <f t="shared" si="12"/>
        <v>649152.96</v>
      </c>
      <c r="F201">
        <f t="shared" si="13"/>
        <v>0.10989635947855375</v>
      </c>
      <c r="G201" t="s">
        <v>203</v>
      </c>
      <c r="H201" s="4" cm="1">
        <f t="array" ref="H201">_xll.SNL.Clients.Office.Excel.Functions.SPG(G201, "SP_TOTAL_REV", "CY2023")</f>
        <v>5906956</v>
      </c>
      <c r="I201" s="4">
        <f>_xll.SNL.Clients.Office.Excel.Functions.SPG(G201,"IQ_AVG_DILUT_SHARES_OUT","CY2023")</f>
        <v>79680000</v>
      </c>
      <c r="J201" s="5">
        <f>_xll.SNL.Clients.Office.Excel.Functions.SPG(G201, "IQ_DILUT_EPS_NORM", "CY2023")</f>
        <v>8.1470000000000002</v>
      </c>
      <c r="K201">
        <f t="shared" si="14"/>
        <v>649152.96</v>
      </c>
      <c r="L201">
        <f t="shared" si="15"/>
        <v>0.10989635947855375</v>
      </c>
    </row>
    <row r="202" spans="1:12" x14ac:dyDescent="0.3">
      <c r="A202" t="s">
        <v>204</v>
      </c>
      <c r="B202" s="4" cm="1">
        <f t="array" ref="B202">_xll.SNL.Clients.Office.Excel.Functions.SPG(A202, "SP_TOTAL_REV", "CY2023")</f>
        <v>19552000</v>
      </c>
      <c r="C202" s="4">
        <f>_xll.SNL.Clients.Office.Excel.Functions.SPG(A202,"IQ_AVG_DILUT_SHARES_OUT","CY2023")</f>
        <v>458000000</v>
      </c>
      <c r="D202" s="5">
        <f>_xll.SNL.Clients.Office.Excel.Functions.SPG(A202, "IQ_DILUT_EPS_NORM", "CY2023")</f>
        <v>2.722</v>
      </c>
      <c r="E202">
        <f t="shared" si="12"/>
        <v>1246676</v>
      </c>
      <c r="F202">
        <f t="shared" si="13"/>
        <v>6.3762070376432084E-2</v>
      </c>
      <c r="G202" t="s">
        <v>204</v>
      </c>
      <c r="H202" s="4" cm="1">
        <f t="array" ref="H202">_xll.SNL.Clients.Office.Excel.Functions.SPG(G202, "SP_TOTAL_REV", "CY2023")</f>
        <v>19552000</v>
      </c>
      <c r="I202" s="4">
        <f>_xll.SNL.Clients.Office.Excel.Functions.SPG(G202,"IQ_AVG_DILUT_SHARES_OUT","CY2023")</f>
        <v>458000000</v>
      </c>
      <c r="J202" s="5">
        <f>_xll.SNL.Clients.Office.Excel.Functions.SPG(G202, "IQ_DILUT_EPS_NORM", "CY2023")</f>
        <v>2.722</v>
      </c>
      <c r="K202">
        <f t="shared" si="14"/>
        <v>1246676</v>
      </c>
      <c r="L202">
        <f t="shared" si="15"/>
        <v>6.3762070376432084E-2</v>
      </c>
    </row>
    <row r="203" spans="1:12" x14ac:dyDescent="0.3">
      <c r="A203" t="s">
        <v>205</v>
      </c>
      <c r="B203" s="4" cm="1">
        <f t="array" ref="B203">_xll.SNL.Clients.Office.Excel.Functions.SPG(A203, "SP_TOTAL_REV", "CY2023")</f>
        <v>33239000</v>
      </c>
      <c r="C203" s="4" t="str">
        <f>_xll.SNL.Clients.Office.Excel.Functions.SPG(A203,"IQ_AVG_DILUT_SHARES_OUT","CY2023")</f>
        <v>NA</v>
      </c>
      <c r="D203" s="5" t="str">
        <f>_xll.SNL.Clients.Office.Excel.Functions.SPG(A203, "IQ_DILUT_EPS_NORM", "CY2023")</f>
        <v>NA</v>
      </c>
      <c r="E203" t="e">
        <f t="shared" si="12"/>
        <v>#VALUE!</v>
      </c>
      <c r="F203" t="e">
        <f t="shared" si="13"/>
        <v>#VALUE!</v>
      </c>
      <c r="G203" t="s">
        <v>205</v>
      </c>
      <c r="H203" s="4" cm="1">
        <f t="array" ref="H203">_xll.SNL.Clients.Office.Excel.Functions.SPG(G203, "SP_TOTAL_REV", "CY2023")</f>
        <v>33239000</v>
      </c>
      <c r="I203" s="4" t="str">
        <f>_xll.SNL.Clients.Office.Excel.Functions.SPG(G203,"IQ_AVG_DILUT_SHARES_OUT","CY2023")</f>
        <v>NA</v>
      </c>
      <c r="J203" s="5" t="str">
        <f>_xll.SNL.Clients.Office.Excel.Functions.SPG(G203, "IQ_DILUT_EPS_NORM", "CY2023")</f>
        <v>NA</v>
      </c>
      <c r="K203" t="e">
        <f t="shared" si="14"/>
        <v>#VALUE!</v>
      </c>
      <c r="L203" t="e">
        <f t="shared" si="15"/>
        <v>#VALUE!</v>
      </c>
    </row>
    <row r="204" spans="1:12" x14ac:dyDescent="0.3">
      <c r="A204" t="s">
        <v>206</v>
      </c>
      <c r="B204" s="4" cm="1">
        <f t="array" ref="B204">_xll.SNL.Clients.Office.Excel.Functions.SPG(A204, "SP_TOTAL_REV", "CY2023")</f>
        <v>3786000</v>
      </c>
      <c r="C204" s="4">
        <f>_xll.SNL.Clients.Office.Excel.Functions.SPG(A204,"IQ_AVG_DILUT_SHARES_OUT","CY2023")</f>
        <v>644499517</v>
      </c>
      <c r="D204" s="5">
        <f>_xll.SNL.Clients.Office.Excel.Functions.SPG(A204, "IQ_DILUT_EPS_NORM", "CY2023")</f>
        <v>0.71099999999999997</v>
      </c>
      <c r="E204">
        <f t="shared" si="12"/>
        <v>458239.15658699995</v>
      </c>
      <c r="F204">
        <f t="shared" si="13"/>
        <v>0.12103517078367669</v>
      </c>
      <c r="G204" t="s">
        <v>206</v>
      </c>
      <c r="H204" s="4" cm="1">
        <f t="array" ref="H204">_xll.SNL.Clients.Office.Excel.Functions.SPG(G204, "SP_TOTAL_REV", "CY2023")</f>
        <v>3786000</v>
      </c>
      <c r="I204" s="4">
        <f>_xll.SNL.Clients.Office.Excel.Functions.SPG(G204,"IQ_AVG_DILUT_SHARES_OUT","CY2023")</f>
        <v>644499517</v>
      </c>
      <c r="J204" s="5">
        <f>_xll.SNL.Clients.Office.Excel.Functions.SPG(G204, "IQ_DILUT_EPS_NORM", "CY2023")</f>
        <v>0.71099999999999997</v>
      </c>
      <c r="K204">
        <f t="shared" si="14"/>
        <v>458239.15658699995</v>
      </c>
      <c r="L204">
        <f t="shared" si="15"/>
        <v>0.12103517078367669</v>
      </c>
    </row>
    <row r="205" spans="1:12" x14ac:dyDescent="0.3">
      <c r="A205" t="s">
        <v>207</v>
      </c>
      <c r="B205" s="4" cm="1">
        <f t="array" ref="B205">_xll.SNL.Clients.Office.Excel.Functions.SPG(A205, "SP_TOTAL_REV", "CY2023")</f>
        <v>4022667</v>
      </c>
      <c r="C205" s="4">
        <f>_xll.SNL.Clients.Office.Excel.Functions.SPG(A205,"IQ_AVG_DILUT_SHARES_OUT","CY2023")</f>
        <v>62058387</v>
      </c>
      <c r="D205" s="5">
        <f>_xll.SNL.Clients.Office.Excel.Functions.SPG(A205, "IQ_DILUT_EPS_NORM", "CY2023")</f>
        <v>2.8879999999999999</v>
      </c>
      <c r="E205">
        <f t="shared" si="12"/>
        <v>179224.62165599997</v>
      </c>
      <c r="F205">
        <f t="shared" si="13"/>
        <v>4.4553680843082456E-2</v>
      </c>
      <c r="G205" t="s">
        <v>207</v>
      </c>
      <c r="H205" s="4" cm="1">
        <f t="array" ref="H205">_xll.SNL.Clients.Office.Excel.Functions.SPG(G205, "SP_TOTAL_REV", "CY2023")</f>
        <v>4022667</v>
      </c>
      <c r="I205" s="4">
        <f>_xll.SNL.Clients.Office.Excel.Functions.SPG(G205,"IQ_AVG_DILUT_SHARES_OUT","CY2023")</f>
        <v>62058387</v>
      </c>
      <c r="J205" s="5">
        <f>_xll.SNL.Clients.Office.Excel.Functions.SPG(G205, "IQ_DILUT_EPS_NORM", "CY2023")</f>
        <v>2.8879999999999999</v>
      </c>
      <c r="K205">
        <f t="shared" si="14"/>
        <v>179224.62165599997</v>
      </c>
      <c r="L205">
        <f t="shared" si="15"/>
        <v>4.4553680843082456E-2</v>
      </c>
    </row>
    <row r="206" spans="1:12" x14ac:dyDescent="0.3">
      <c r="A206" t="s">
        <v>208</v>
      </c>
      <c r="B206" s="4" cm="1">
        <f t="array" ref="B206">_xll.SNL.Clients.Office.Excel.Functions.SPG(A206, "SP_TOTAL_REV", "CY2023")</f>
        <v>42272000</v>
      </c>
      <c r="C206" s="4">
        <f>_xll.SNL.Clients.Office.Excel.Functions.SPG(A206,"IQ_AVG_DILUT_SHARES_OUT","CY2023")</f>
        <v>275725000</v>
      </c>
      <c r="D206" s="5">
        <f>_xll.SNL.Clients.Office.Excel.Functions.SPG(A206, "IQ_DILUT_EPS_NORM", "CY2023")</f>
        <v>9.0310000000000006</v>
      </c>
      <c r="E206">
        <f t="shared" si="12"/>
        <v>2490072.4750000001</v>
      </c>
      <c r="F206">
        <f t="shared" si="13"/>
        <v>5.8905953704579864E-2</v>
      </c>
      <c r="G206" t="s">
        <v>208</v>
      </c>
      <c r="H206" s="4" cm="1">
        <f t="array" ref="H206">_xll.SNL.Clients.Office.Excel.Functions.SPG(G206, "SP_TOTAL_REV", "CY2023")</f>
        <v>42272000</v>
      </c>
      <c r="I206" s="4">
        <f>_xll.SNL.Clients.Office.Excel.Functions.SPG(G206,"IQ_AVG_DILUT_SHARES_OUT","CY2023")</f>
        <v>275725000</v>
      </c>
      <c r="J206" s="5">
        <f>_xll.SNL.Clients.Office.Excel.Functions.SPG(G206, "IQ_DILUT_EPS_NORM", "CY2023")</f>
        <v>9.0310000000000006</v>
      </c>
      <c r="K206">
        <f t="shared" si="14"/>
        <v>2490072.4750000001</v>
      </c>
      <c r="L206">
        <f t="shared" si="15"/>
        <v>5.8905953704579864E-2</v>
      </c>
    </row>
    <row r="207" spans="1:12" x14ac:dyDescent="0.3">
      <c r="A207" t="s">
        <v>209</v>
      </c>
      <c r="B207" s="4" cm="1">
        <f t="array" ref="B207">_xll.SNL.Clients.Office.Excel.Functions.SPG(A207, "SP_TOTAL_REV", "CY2023")</f>
        <v>67954000</v>
      </c>
      <c r="C207" s="4">
        <f>_xll.SNL.Clients.Office.Excel.Functions.SPG(A207,"IQ_AVG_DILUT_SHARES_OUT","CY2023")</f>
        <v>1099000000</v>
      </c>
      <c r="D207" s="5">
        <f>_xll.SNL.Clients.Office.Excel.Functions.SPG(A207, "IQ_DILUT_EPS_NORM", "CY2023")</f>
        <v>3.4420000000000002</v>
      </c>
      <c r="E207">
        <f t="shared" si="12"/>
        <v>3782758</v>
      </c>
      <c r="F207">
        <f t="shared" si="13"/>
        <v>5.5666450834387968E-2</v>
      </c>
      <c r="G207" t="s">
        <v>209</v>
      </c>
      <c r="H207" s="4" cm="1">
        <f t="array" ref="H207">_xll.SNL.Clients.Office.Excel.Functions.SPG(G207, "SP_TOTAL_REV", "CY2023")</f>
        <v>67954000</v>
      </c>
      <c r="I207" s="4">
        <f>_xll.SNL.Clients.Office.Excel.Functions.SPG(G207,"IQ_AVG_DILUT_SHARES_OUT","CY2023")</f>
        <v>1099000000</v>
      </c>
      <c r="J207" s="5">
        <f>_xll.SNL.Clients.Office.Excel.Functions.SPG(G207, "IQ_DILUT_EPS_NORM", "CY2023")</f>
        <v>3.4420000000000002</v>
      </c>
      <c r="K207">
        <f t="shared" si="14"/>
        <v>3782758</v>
      </c>
      <c r="L207">
        <f t="shared" si="15"/>
        <v>5.5666450834387968E-2</v>
      </c>
    </row>
    <row r="208" spans="1:12" x14ac:dyDescent="0.3">
      <c r="A208" t="s">
        <v>210</v>
      </c>
      <c r="B208" s="4" cm="1">
        <f t="array" ref="B208">_xll.SNL.Clients.Office.Excel.Functions.SPG(A208, "SP_TOTAL_REV", "CY2023")</f>
        <v>20200000</v>
      </c>
      <c r="C208" s="4">
        <f>_xll.SNL.Clients.Office.Excel.Functions.SPG(A208,"IQ_AVG_DILUT_SHARES_OUT","CY2023")</f>
        <v>592900000</v>
      </c>
      <c r="D208" s="5">
        <f>_xll.SNL.Clients.Office.Excel.Functions.SPG(A208, "IQ_DILUT_EPS_NORM", "CY2023")</f>
        <v>3.3319999999999999</v>
      </c>
      <c r="E208">
        <f t="shared" si="12"/>
        <v>1975542.8</v>
      </c>
      <c r="F208">
        <f t="shared" si="13"/>
        <v>9.7799148514851483E-2</v>
      </c>
      <c r="G208" t="s">
        <v>210</v>
      </c>
      <c r="H208" s="4" cm="1">
        <f t="array" ref="H208">_xll.SNL.Clients.Office.Excel.Functions.SPG(G208, "SP_TOTAL_REV", "CY2023")</f>
        <v>20200000</v>
      </c>
      <c r="I208" s="4">
        <f>_xll.SNL.Clients.Office.Excel.Functions.SPG(G208,"IQ_AVG_DILUT_SHARES_OUT","CY2023")</f>
        <v>592900000</v>
      </c>
      <c r="J208" s="5">
        <f>_xll.SNL.Clients.Office.Excel.Functions.SPG(G208, "IQ_DILUT_EPS_NORM", "CY2023")</f>
        <v>3.3319999999999999</v>
      </c>
      <c r="K208">
        <f t="shared" si="14"/>
        <v>1975542.8</v>
      </c>
      <c r="L208">
        <f t="shared" si="15"/>
        <v>9.7799148514851483E-2</v>
      </c>
    </row>
    <row r="209" spans="1:12" x14ac:dyDescent="0.3">
      <c r="A209" t="s">
        <v>211</v>
      </c>
      <c r="B209" s="4" cm="1">
        <f t="array" ref="B209">_xll.SNL.Clients.Office.Excel.Functions.SPG(A209, "SP_TOTAL_REV", "CY2023")</f>
        <v>171842000</v>
      </c>
      <c r="C209" s="4">
        <f>_xll.SNL.Clients.Office.Excel.Functions.SPG(A209,"IQ_AVG_DILUT_SHARES_OUT","CY2023")</f>
        <v>1369000000</v>
      </c>
      <c r="D209" s="5">
        <f>_xll.SNL.Clients.Office.Excel.Functions.SPG(A209, "IQ_DILUT_EPS_NORM", "CY2023")</f>
        <v>4.9939999999999998</v>
      </c>
      <c r="E209">
        <f t="shared" si="12"/>
        <v>6836786</v>
      </c>
      <c r="F209">
        <f t="shared" si="13"/>
        <v>3.97853027781334E-2</v>
      </c>
      <c r="G209" t="s">
        <v>211</v>
      </c>
      <c r="H209" s="4" cm="1">
        <f t="array" ref="H209">_xll.SNL.Clients.Office.Excel.Functions.SPG(G209, "SP_TOTAL_REV", "CY2023")</f>
        <v>171842000</v>
      </c>
      <c r="I209" s="4">
        <f>_xll.SNL.Clients.Office.Excel.Functions.SPG(G209,"IQ_AVG_DILUT_SHARES_OUT","CY2023")</f>
        <v>1369000000</v>
      </c>
      <c r="J209" s="5">
        <f>_xll.SNL.Clients.Office.Excel.Functions.SPG(G209, "IQ_DILUT_EPS_NORM", "CY2023")</f>
        <v>4.9939999999999998</v>
      </c>
      <c r="K209">
        <f t="shared" si="14"/>
        <v>6836786</v>
      </c>
      <c r="L209">
        <f t="shared" si="15"/>
        <v>3.97853027781334E-2</v>
      </c>
    </row>
    <row r="210" spans="1:12" x14ac:dyDescent="0.3">
      <c r="A210" t="s">
        <v>212</v>
      </c>
      <c r="B210" s="4" cm="1">
        <f t="array" ref="B210">_xll.SNL.Clients.Office.Excel.Functions.SPG(A210, "SP_TOTAL_REV", "CY2023")</f>
        <v>23090610</v>
      </c>
      <c r="C210" s="4">
        <f>_xll.SNL.Clients.Office.Excel.Functions.SPG(A210,"IQ_AVG_DILUT_SHARES_OUT","CY2023")</f>
        <v>141034000</v>
      </c>
      <c r="D210" s="5">
        <f>_xll.SNL.Clients.Office.Excel.Functions.SPG(A210, "IQ_DILUT_EPS_NORM", "CY2023")</f>
        <v>7.7210000000000001</v>
      </c>
      <c r="E210">
        <f t="shared" si="12"/>
        <v>1088923.514</v>
      </c>
      <c r="F210">
        <f t="shared" si="13"/>
        <v>4.715871577234209E-2</v>
      </c>
      <c r="G210" t="s">
        <v>212</v>
      </c>
      <c r="H210" s="4" cm="1">
        <f t="array" ref="H210">_xll.SNL.Clients.Office.Excel.Functions.SPG(G210, "SP_TOTAL_REV", "CY2023")</f>
        <v>23090610</v>
      </c>
      <c r="I210" s="4">
        <f>_xll.SNL.Clients.Office.Excel.Functions.SPG(G210,"IQ_AVG_DILUT_SHARES_OUT","CY2023")</f>
        <v>141034000</v>
      </c>
      <c r="J210" s="5">
        <f>_xll.SNL.Clients.Office.Excel.Functions.SPG(G210, "IQ_DILUT_EPS_NORM", "CY2023")</f>
        <v>7.7210000000000001</v>
      </c>
      <c r="K210">
        <f t="shared" si="14"/>
        <v>1088923.514</v>
      </c>
      <c r="L210">
        <f t="shared" si="15"/>
        <v>4.715871577234209E-2</v>
      </c>
    </row>
    <row r="211" spans="1:12" x14ac:dyDescent="0.3">
      <c r="A211" t="s">
        <v>213</v>
      </c>
      <c r="B211" s="4" cm="1">
        <f t="array" ref="B211">_xll.SNL.Clients.Office.Excel.Functions.SPG(A211, "SP_TOTAL_REV", "CY2023")</f>
        <v>27116000</v>
      </c>
      <c r="C211" s="4">
        <f>_xll.SNL.Clients.Office.Excel.Functions.SPG(A211,"IQ_AVG_DILUT_SHARES_OUT","CY2023")</f>
        <v>1258000000</v>
      </c>
      <c r="D211" s="5">
        <f>_xll.SNL.Clients.Office.Excel.Functions.SPG(A211, "IQ_DILUT_EPS_NORM", "CY2023")</f>
        <v>4.6239999999999997</v>
      </c>
      <c r="E211">
        <f t="shared" si="12"/>
        <v>5816992</v>
      </c>
      <c r="F211">
        <f t="shared" si="13"/>
        <v>0.21452249594335449</v>
      </c>
      <c r="G211" t="s">
        <v>213</v>
      </c>
      <c r="H211" s="4" cm="1">
        <f t="array" ref="H211">_xll.SNL.Clients.Office.Excel.Functions.SPG(G211, "SP_TOTAL_REV", "CY2023")</f>
        <v>27116000</v>
      </c>
      <c r="I211" s="4">
        <f>_xll.SNL.Clients.Office.Excel.Functions.SPG(G211,"IQ_AVG_DILUT_SHARES_OUT","CY2023")</f>
        <v>1258000000</v>
      </c>
      <c r="J211" s="5">
        <f>_xll.SNL.Clients.Office.Excel.Functions.SPG(G211, "IQ_DILUT_EPS_NORM", "CY2023")</f>
        <v>4.6239999999999997</v>
      </c>
      <c r="K211">
        <f t="shared" si="14"/>
        <v>5816992</v>
      </c>
      <c r="L211">
        <f t="shared" si="15"/>
        <v>0.21452249594335449</v>
      </c>
    </row>
    <row r="212" spans="1:12" x14ac:dyDescent="0.3">
      <c r="A212" t="s">
        <v>214</v>
      </c>
      <c r="B212" s="4" cm="1">
        <f t="array" ref="B212">_xll.SNL.Clients.Office.Excel.Functions.SPG(A212, "SP_TOTAL_REV", "CY2023")</f>
        <v>9654419</v>
      </c>
      <c r="C212" s="4">
        <f>_xll.SNL.Clients.Office.Excel.Functions.SPG(A212,"IQ_AVG_DILUT_SHARES_OUT","CY2023")</f>
        <v>261698000</v>
      </c>
      <c r="D212" s="5">
        <f>_xll.SNL.Clients.Office.Excel.Functions.SPG(A212, "IQ_DILUT_EPS_NORM", "CY2023")</f>
        <v>3.98</v>
      </c>
      <c r="E212">
        <f t="shared" si="12"/>
        <v>1041558.04</v>
      </c>
      <c r="F212">
        <f t="shared" si="13"/>
        <v>0.1078840725682198</v>
      </c>
      <c r="G212" t="s">
        <v>214</v>
      </c>
      <c r="H212" s="4" cm="1">
        <f t="array" ref="H212">_xll.SNL.Clients.Office.Excel.Functions.SPG(G212, "SP_TOTAL_REV", "CY2023")</f>
        <v>9654419</v>
      </c>
      <c r="I212" s="4">
        <f>_xll.SNL.Clients.Office.Excel.Functions.SPG(G212,"IQ_AVG_DILUT_SHARES_OUT","CY2023")</f>
        <v>261698000</v>
      </c>
      <c r="J212" s="5">
        <f>_xll.SNL.Clients.Office.Excel.Functions.SPG(G212, "IQ_DILUT_EPS_NORM", "CY2023")</f>
        <v>3.98</v>
      </c>
      <c r="K212">
        <f t="shared" si="14"/>
        <v>1041558.04</v>
      </c>
      <c r="L212">
        <f t="shared" si="15"/>
        <v>0.1078840725682198</v>
      </c>
    </row>
    <row r="213" spans="1:12" x14ac:dyDescent="0.3">
      <c r="A213" t="s">
        <v>215</v>
      </c>
      <c r="B213" s="4" cm="1">
        <f t="array" ref="B213">_xll.SNL.Clients.Office.Excel.Functions.SPG(A213, "SP_TOTAL_REV", "CY2023")</f>
        <v>5447533</v>
      </c>
      <c r="C213" s="4">
        <f>_xll.SNL.Clients.Office.Excel.Functions.SPG(A213,"IQ_AVG_DILUT_SHARES_OUT","CY2023")</f>
        <v>96363841</v>
      </c>
      <c r="D213" s="5">
        <f>_xll.SNL.Clients.Office.Excel.Functions.SPG(A213, "IQ_DILUT_EPS_NORM", "CY2023")</f>
        <v>7.7519999999999998</v>
      </c>
      <c r="E213">
        <f t="shared" si="12"/>
        <v>747012.49543199991</v>
      </c>
      <c r="F213">
        <f t="shared" si="13"/>
        <v>0.13712858562435509</v>
      </c>
      <c r="G213" t="s">
        <v>215</v>
      </c>
      <c r="H213" s="4" cm="1">
        <f t="array" ref="H213">_xll.SNL.Clients.Office.Excel.Functions.SPG(G213, "SP_TOTAL_REV", "CY2023")</f>
        <v>5447533</v>
      </c>
      <c r="I213" s="4">
        <f>_xll.SNL.Clients.Office.Excel.Functions.SPG(G213,"IQ_AVG_DILUT_SHARES_OUT","CY2023")</f>
        <v>96363841</v>
      </c>
      <c r="J213" s="5">
        <f>_xll.SNL.Clients.Office.Excel.Functions.SPG(G213, "IQ_DILUT_EPS_NORM", "CY2023")</f>
        <v>7.7519999999999998</v>
      </c>
      <c r="K213">
        <f t="shared" si="14"/>
        <v>747012.49543199991</v>
      </c>
      <c r="L213">
        <f t="shared" si="15"/>
        <v>0.13712858562435509</v>
      </c>
    </row>
    <row r="214" spans="1:12" x14ac:dyDescent="0.3">
      <c r="A214" t="s">
        <v>216</v>
      </c>
      <c r="B214" s="4" cm="1">
        <f t="array" ref="B214">_xll.SNL.Clients.Office.Excel.Functions.SPG(A214, "SP_TOTAL_REV", "CY2023")</f>
        <v>4254100</v>
      </c>
      <c r="C214" s="4">
        <f>_xll.SNL.Clients.Office.Excel.Functions.SPG(A214,"IQ_AVG_DILUT_SHARES_OUT","CY2023")</f>
        <v>151452000</v>
      </c>
      <c r="D214" s="5">
        <f>_xll.SNL.Clients.Office.Excel.Functions.SPG(A214, "IQ_DILUT_EPS_NORM", "CY2023")</f>
        <v>2.0920000000000001</v>
      </c>
      <c r="E214">
        <f t="shared" si="12"/>
        <v>316837.58399999997</v>
      </c>
      <c r="F214">
        <f t="shared" si="13"/>
        <v>7.4478170235772537E-2</v>
      </c>
      <c r="G214" t="s">
        <v>216</v>
      </c>
      <c r="H214" s="4" cm="1">
        <f t="array" ref="H214">_xll.SNL.Clients.Office.Excel.Functions.SPG(G214, "SP_TOTAL_REV", "CY2023")</f>
        <v>4254100</v>
      </c>
      <c r="I214" s="4">
        <f>_xll.SNL.Clients.Office.Excel.Functions.SPG(G214,"IQ_AVG_DILUT_SHARES_OUT","CY2023")</f>
        <v>151452000</v>
      </c>
      <c r="J214" s="5">
        <f>_xll.SNL.Clients.Office.Excel.Functions.SPG(G214, "IQ_DILUT_EPS_NORM", "CY2023")</f>
        <v>2.0920000000000001</v>
      </c>
      <c r="K214">
        <f t="shared" si="14"/>
        <v>316837.58399999997</v>
      </c>
      <c r="L214">
        <f t="shared" si="15"/>
        <v>7.4478170235772537E-2</v>
      </c>
    </row>
    <row r="215" spans="1:12" x14ac:dyDescent="0.3">
      <c r="A215" t="s">
        <v>217</v>
      </c>
      <c r="B215" s="4" cm="1">
        <f t="array" ref="B215">_xll.SNL.Clients.Office.Excel.Functions.SPG(A215, "SP_TOTAL_REV", "CY2023")</f>
        <v>23018000</v>
      </c>
      <c r="C215" s="4">
        <f>_xll.SNL.Clients.Office.Excel.Functions.SPG(A215,"IQ_AVG_DILUT_SHARES_OUT","CY2023")</f>
        <v>902000000</v>
      </c>
      <c r="D215" s="5">
        <f>_xll.SNL.Clients.Office.Excel.Functions.SPG(A215, "IQ_DILUT_EPS_NORM", "CY2023")</f>
        <v>2.38</v>
      </c>
      <c r="E215">
        <f t="shared" si="12"/>
        <v>2146760</v>
      </c>
      <c r="F215">
        <f t="shared" si="13"/>
        <v>9.3264401772525846E-2</v>
      </c>
      <c r="G215" t="s">
        <v>217</v>
      </c>
      <c r="H215" s="4" cm="1">
        <f t="array" ref="H215">_xll.SNL.Clients.Office.Excel.Functions.SPG(G215, "SP_TOTAL_REV", "CY2023")</f>
        <v>23018000</v>
      </c>
      <c r="I215" s="4">
        <f>_xll.SNL.Clients.Office.Excel.Functions.SPG(G215,"IQ_AVG_DILUT_SHARES_OUT","CY2023")</f>
        <v>902000000</v>
      </c>
      <c r="J215" s="5">
        <f>_xll.SNL.Clients.Office.Excel.Functions.SPG(G215, "IQ_DILUT_EPS_NORM", "CY2023")</f>
        <v>2.38</v>
      </c>
      <c r="K215">
        <f t="shared" si="14"/>
        <v>2146760</v>
      </c>
      <c r="L215">
        <f t="shared" si="15"/>
        <v>9.3264401772525846E-2</v>
      </c>
    </row>
    <row r="216" spans="1:12" x14ac:dyDescent="0.3">
      <c r="A216" t="s">
        <v>218</v>
      </c>
      <c r="B216" s="4" cm="1">
        <f t="array" ref="B216">_xll.SNL.Clients.Office.Excel.Functions.SPG(A216, "SP_TOTAL_REV", "CY2023")</f>
        <v>5003300</v>
      </c>
      <c r="C216" s="4">
        <f>_xll.SNL.Clients.Office.Excel.Functions.SPG(A216,"IQ_AVG_DILUT_SHARES_OUT","CY2023")</f>
        <v>138800000</v>
      </c>
      <c r="D216" s="5">
        <f>_xll.SNL.Clients.Office.Excel.Functions.SPG(A216, "IQ_DILUT_EPS_NORM", "CY2023")</f>
        <v>0.88800000000000001</v>
      </c>
      <c r="E216">
        <f t="shared" si="12"/>
        <v>123254.39999999999</v>
      </c>
      <c r="F216">
        <f t="shared" si="13"/>
        <v>2.4634621150040972E-2</v>
      </c>
      <c r="G216" t="s">
        <v>218</v>
      </c>
      <c r="H216" s="4" cm="1">
        <f t="array" ref="H216">_xll.SNL.Clients.Office.Excel.Functions.SPG(G216, "SP_TOTAL_REV", "CY2023")</f>
        <v>5003300</v>
      </c>
      <c r="I216" s="4">
        <f>_xll.SNL.Clients.Office.Excel.Functions.SPG(G216,"IQ_AVG_DILUT_SHARES_OUT","CY2023")</f>
        <v>138800000</v>
      </c>
      <c r="J216" s="5">
        <f>_xll.SNL.Clients.Office.Excel.Functions.SPG(G216, "IQ_DILUT_EPS_NORM", "CY2023")</f>
        <v>0.88800000000000001</v>
      </c>
      <c r="K216">
        <f t="shared" si="14"/>
        <v>123254.39999999999</v>
      </c>
      <c r="L216">
        <f t="shared" si="15"/>
        <v>2.4634621150040972E-2</v>
      </c>
    </row>
    <row r="217" spans="1:12" x14ac:dyDescent="0.3">
      <c r="A217" t="s">
        <v>219</v>
      </c>
      <c r="B217" s="4" cm="1">
        <f t="array" ref="B217">_xll.SNL.Clients.Office.Excel.Functions.SPG(A217, "SP_TOTAL_REV", "CY2023")</f>
        <v>64968000</v>
      </c>
      <c r="C217" s="4">
        <f>_xll.SNL.Clients.Office.Excel.Functions.SPG(A217,"IQ_AVG_DILUT_SHARES_OUT","CY2023")</f>
        <v>276412000</v>
      </c>
      <c r="D217" s="5">
        <f>_xll.SNL.Clients.Office.Excel.Functions.SPG(A217, "IQ_DILUT_EPS_NORM", "CY2023")</f>
        <v>14.364000000000001</v>
      </c>
      <c r="E217">
        <f t="shared" si="12"/>
        <v>3970381.9679999999</v>
      </c>
      <c r="F217">
        <f t="shared" si="13"/>
        <v>6.1112885851496122E-2</v>
      </c>
      <c r="G217" t="s">
        <v>219</v>
      </c>
      <c r="H217" s="4" cm="1">
        <f t="array" ref="H217">_xll.SNL.Clients.Office.Excel.Functions.SPG(G217, "SP_TOTAL_REV", "CY2023")</f>
        <v>64968000</v>
      </c>
      <c r="I217" s="4">
        <f>_xll.SNL.Clients.Office.Excel.Functions.SPG(G217,"IQ_AVG_DILUT_SHARES_OUT","CY2023")</f>
        <v>276412000</v>
      </c>
      <c r="J217" s="5">
        <f>_xll.SNL.Clients.Office.Excel.Functions.SPG(G217, "IQ_DILUT_EPS_NORM", "CY2023")</f>
        <v>14.364000000000001</v>
      </c>
      <c r="K217">
        <f t="shared" si="14"/>
        <v>3970381.9679999999</v>
      </c>
      <c r="L217">
        <f t="shared" si="15"/>
        <v>6.1112885851496122E-2</v>
      </c>
    </row>
    <row r="218" spans="1:12" x14ac:dyDescent="0.3">
      <c r="A218" t="s">
        <v>220</v>
      </c>
      <c r="B218" s="4" cm="1">
        <f t="array" ref="B218">_xll.SNL.Clients.Office.Excel.Functions.SPG(A218, "SP_TOTAL_REV", "CY2023")</f>
        <v>2193748</v>
      </c>
      <c r="C218" s="4">
        <f>_xll.SNL.Clients.Office.Excel.Functions.SPG(A218,"IQ_AVG_DILUT_SHARES_OUT","CY2023")</f>
        <v>547275000</v>
      </c>
      <c r="D218" s="5">
        <f>_xll.SNL.Clients.Office.Excel.Functions.SPG(A218, "IQ_DILUT_EPS_NORM", "CY2023")</f>
        <v>0.22</v>
      </c>
      <c r="E218">
        <f t="shared" si="12"/>
        <v>120400.5</v>
      </c>
      <c r="F218">
        <f t="shared" si="13"/>
        <v>5.4883468839629711E-2</v>
      </c>
      <c r="G218" t="s">
        <v>220</v>
      </c>
      <c r="H218" s="4" cm="1">
        <f t="array" ref="H218">_xll.SNL.Clients.Office.Excel.Functions.SPG(G218, "SP_TOTAL_REV", "CY2023")</f>
        <v>2193748</v>
      </c>
      <c r="I218" s="4">
        <f>_xll.SNL.Clients.Office.Excel.Functions.SPG(G218,"IQ_AVG_DILUT_SHARES_OUT","CY2023")</f>
        <v>547275000</v>
      </c>
      <c r="J218" s="5">
        <f>_xll.SNL.Clients.Office.Excel.Functions.SPG(G218, "IQ_DILUT_EPS_NORM", "CY2023")</f>
        <v>0.22</v>
      </c>
      <c r="K218">
        <f t="shared" si="14"/>
        <v>120400.5</v>
      </c>
      <c r="L218">
        <f t="shared" si="15"/>
        <v>5.4883468839629711E-2</v>
      </c>
    </row>
    <row r="219" spans="1:12" x14ac:dyDescent="0.3">
      <c r="A219" t="s">
        <v>221</v>
      </c>
      <c r="B219" s="4" cm="1">
        <f t="array" ref="B219">_xll.SNL.Clients.Office.Excel.Functions.SPG(A219, "SP_TOTAL_REV", "CY2023")</f>
        <v>12339000</v>
      </c>
      <c r="C219" s="4">
        <f>_xll.SNL.Clients.Office.Excel.Functions.SPG(A219,"IQ_AVG_DILUT_SHARES_OUT","CY2023")</f>
        <v>131748171</v>
      </c>
      <c r="D219" s="5">
        <f>_xll.SNL.Clients.Office.Excel.Functions.SPG(A219, "IQ_DILUT_EPS_NORM", "CY2023")</f>
        <v>2.8650000000000002</v>
      </c>
      <c r="E219">
        <f t="shared" si="12"/>
        <v>377458.509915</v>
      </c>
      <c r="F219">
        <f t="shared" si="13"/>
        <v>3.0590688865791395E-2</v>
      </c>
      <c r="G219" t="s">
        <v>221</v>
      </c>
      <c r="H219" s="4" cm="1">
        <f t="array" ref="H219">_xll.SNL.Clients.Office.Excel.Functions.SPG(G219, "SP_TOTAL_REV", "CY2023")</f>
        <v>12339000</v>
      </c>
      <c r="I219" s="4">
        <f>_xll.SNL.Clients.Office.Excel.Functions.SPG(G219,"IQ_AVG_DILUT_SHARES_OUT","CY2023")</f>
        <v>131748171</v>
      </c>
      <c r="J219" s="5">
        <f>_xll.SNL.Clients.Office.Excel.Functions.SPG(G219, "IQ_DILUT_EPS_NORM", "CY2023")</f>
        <v>2.8650000000000002</v>
      </c>
      <c r="K219">
        <f t="shared" si="14"/>
        <v>377458.509915</v>
      </c>
      <c r="L219">
        <f t="shared" si="15"/>
        <v>3.0590688865791395E-2</v>
      </c>
    </row>
    <row r="220" spans="1:12" x14ac:dyDescent="0.3">
      <c r="A220" t="s">
        <v>222</v>
      </c>
      <c r="B220" s="4" cm="1">
        <f t="array" ref="B220">_xll.SNL.Clients.Office.Excel.Functions.SPG(A220, "SP_TOTAL_REV", "CY2023")</f>
        <v>10295000</v>
      </c>
      <c r="C220" s="4">
        <f>_xll.SNL.Clients.Office.Excel.Functions.SPG(A220,"IQ_AVG_DILUT_SHARES_OUT","CY2023")</f>
        <v>307600000</v>
      </c>
      <c r="D220" s="5">
        <f>_xll.SNL.Clients.Office.Excel.Functions.SPG(A220, "IQ_DILUT_EPS_NORM", "CY2023")</f>
        <v>4.0259999999999998</v>
      </c>
      <c r="E220">
        <f t="shared" si="12"/>
        <v>1238397.6000000001</v>
      </c>
      <c r="F220">
        <f t="shared" si="13"/>
        <v>0.12029117047110248</v>
      </c>
      <c r="G220" t="s">
        <v>222</v>
      </c>
      <c r="H220" s="4" cm="1">
        <f t="array" ref="H220">_xll.SNL.Clients.Office.Excel.Functions.SPG(G220, "SP_TOTAL_REV", "CY2023")</f>
        <v>10295000</v>
      </c>
      <c r="I220" s="4">
        <f>_xll.SNL.Clients.Office.Excel.Functions.SPG(G220,"IQ_AVG_DILUT_SHARES_OUT","CY2023")</f>
        <v>307600000</v>
      </c>
      <c r="J220" s="5">
        <f>_xll.SNL.Clients.Office.Excel.Functions.SPG(G220, "IQ_DILUT_EPS_NORM", "CY2023")</f>
        <v>4.0259999999999998</v>
      </c>
      <c r="K220">
        <f t="shared" si="14"/>
        <v>1238397.6000000001</v>
      </c>
      <c r="L220">
        <f t="shared" si="15"/>
        <v>0.12029117047110248</v>
      </c>
    </row>
    <row r="221" spans="1:12" x14ac:dyDescent="0.3">
      <c r="A221" t="s">
        <v>223</v>
      </c>
      <c r="B221" s="4" cm="1">
        <f t="array" ref="B221">_xll.SNL.Clients.Office.Excel.Functions.SPG(A221, "SP_TOTAL_REV", "CY2023")</f>
        <v>28081000</v>
      </c>
      <c r="C221" s="4">
        <f>_xll.SNL.Clients.Office.Excel.Functions.SPG(A221,"IQ_AVG_DILUT_SHARES_OUT","CY2023")</f>
        <v>1316250000</v>
      </c>
      <c r="D221" s="5">
        <f>_xll.SNL.Clients.Office.Excel.Functions.SPG(A221, "IQ_DILUT_EPS_NORM", "CY2023")</f>
        <v>1.163</v>
      </c>
      <c r="E221">
        <f t="shared" si="12"/>
        <v>1530798.75</v>
      </c>
      <c r="F221">
        <f t="shared" si="13"/>
        <v>5.4513683629500376E-2</v>
      </c>
      <c r="G221" t="s">
        <v>223</v>
      </c>
      <c r="H221" s="4" cm="1">
        <f t="array" ref="H221">_xll.SNL.Clients.Office.Excel.Functions.SPG(G221, "SP_TOTAL_REV", "CY2023")</f>
        <v>28081000</v>
      </c>
      <c r="I221" s="4">
        <f>_xll.SNL.Clients.Office.Excel.Functions.SPG(G221,"IQ_AVG_DILUT_SHARES_OUT","CY2023")</f>
        <v>1316250000</v>
      </c>
      <c r="J221" s="5">
        <f>_xll.SNL.Clients.Office.Excel.Functions.SPG(G221, "IQ_DILUT_EPS_NORM", "CY2023")</f>
        <v>1.163</v>
      </c>
      <c r="K221">
        <f t="shared" si="14"/>
        <v>1530798.75</v>
      </c>
      <c r="L221">
        <f t="shared" si="15"/>
        <v>5.4513683629500376E-2</v>
      </c>
    </row>
    <row r="222" spans="1:12" x14ac:dyDescent="0.3">
      <c r="A222" t="s">
        <v>224</v>
      </c>
      <c r="B222" s="4" cm="1">
        <f t="array" ref="B222">_xll.SNL.Clients.Office.Excel.Functions.SPG(A222, "SP_TOTAL_REV", "CY2023")</f>
        <v>4408000</v>
      </c>
      <c r="C222" s="4">
        <f>_xll.SNL.Clients.Office.Excel.Functions.SPG(A222,"IQ_AVG_DILUT_SHARES_OUT","CY2023")</f>
        <v>264000000</v>
      </c>
      <c r="D222" s="5">
        <f>_xll.SNL.Clients.Office.Excel.Functions.SPG(A222, "IQ_DILUT_EPS_NORM", "CY2023")</f>
        <v>4.2759999999999998</v>
      </c>
      <c r="E222">
        <f t="shared" si="12"/>
        <v>1128864</v>
      </c>
      <c r="F222">
        <f t="shared" si="13"/>
        <v>0.25609437386569872</v>
      </c>
      <c r="G222" t="s">
        <v>224</v>
      </c>
      <c r="H222" s="4" cm="1">
        <f t="array" ref="H222">_xll.SNL.Clients.Office.Excel.Functions.SPG(G222, "SP_TOTAL_REV", "CY2023")</f>
        <v>4408000</v>
      </c>
      <c r="I222" s="4">
        <f>_xll.SNL.Clients.Office.Excel.Functions.SPG(G222,"IQ_AVG_DILUT_SHARES_OUT","CY2023")</f>
        <v>264000000</v>
      </c>
      <c r="J222" s="5">
        <f>_xll.SNL.Clients.Office.Excel.Functions.SPG(G222, "IQ_DILUT_EPS_NORM", "CY2023")</f>
        <v>4.2759999999999998</v>
      </c>
      <c r="K222">
        <f t="shared" si="14"/>
        <v>1128864</v>
      </c>
      <c r="L222">
        <f t="shared" si="15"/>
        <v>0.25609437386569872</v>
      </c>
    </row>
    <row r="223" spans="1:12" x14ac:dyDescent="0.3">
      <c r="A223" t="s">
        <v>225</v>
      </c>
      <c r="B223" s="4" cm="1">
        <f t="array" ref="B223">_xll.SNL.Clients.Office.Excel.Functions.SPG(A223, "SP_TOTAL_REV", "CY2023")</f>
        <v>3969300</v>
      </c>
      <c r="C223" s="4">
        <f>_xll.SNL.Clients.Office.Excel.Functions.SPG(A223,"IQ_AVG_DILUT_SHARES_OUT","CY2023")</f>
        <v>246564250</v>
      </c>
      <c r="D223" s="5">
        <f>_xll.SNL.Clients.Office.Excel.Functions.SPG(A223, "IQ_DILUT_EPS_NORM", "CY2023")</f>
        <v>2.3969999999999998</v>
      </c>
      <c r="E223">
        <f t="shared" si="12"/>
        <v>591014.50725000002</v>
      </c>
      <c r="F223">
        <f t="shared" si="13"/>
        <v>0.14889640673418489</v>
      </c>
      <c r="G223" t="s">
        <v>225</v>
      </c>
      <c r="H223" s="4" cm="1">
        <f t="array" ref="H223">_xll.SNL.Clients.Office.Excel.Functions.SPG(G223, "SP_TOTAL_REV", "CY2023")</f>
        <v>3969300</v>
      </c>
      <c r="I223" s="4">
        <f>_xll.SNL.Clients.Office.Excel.Functions.SPG(G223,"IQ_AVG_DILUT_SHARES_OUT","CY2023")</f>
        <v>246564250</v>
      </c>
      <c r="J223" s="5">
        <f>_xll.SNL.Clients.Office.Excel.Functions.SPG(G223, "IQ_DILUT_EPS_NORM", "CY2023")</f>
        <v>2.3969999999999998</v>
      </c>
      <c r="K223">
        <f t="shared" si="14"/>
        <v>591014.50725000002</v>
      </c>
      <c r="L223">
        <f t="shared" si="15"/>
        <v>0.14889640673418489</v>
      </c>
    </row>
    <row r="224" spans="1:12" x14ac:dyDescent="0.3">
      <c r="A224" t="s">
        <v>226</v>
      </c>
      <c r="B224" s="4" cm="1">
        <f t="array" ref="B224">_xll.SNL.Clients.Office.Excel.Functions.SPG(A224, "SP_TOTAL_REV", "CY2023")</f>
        <v>36662000</v>
      </c>
      <c r="C224" s="4">
        <f>_xll.SNL.Clients.Office.Excel.Functions.SPG(A224,"IQ_AVG_DILUT_SHARES_OUT","CY2023")</f>
        <v>668200000</v>
      </c>
      <c r="D224" s="5" t="str">
        <f>_xll.SNL.Clients.Office.Excel.Functions.SPG(A224, "IQ_DILUT_EPS_NORM", "CY2023")</f>
        <v>NA</v>
      </c>
      <c r="E224" t="e">
        <f t="shared" si="12"/>
        <v>#VALUE!</v>
      </c>
      <c r="F224" t="e">
        <f t="shared" si="13"/>
        <v>#VALUE!</v>
      </c>
      <c r="G224" t="s">
        <v>226</v>
      </c>
      <c r="H224" s="4" cm="1">
        <f t="array" ref="H224">_xll.SNL.Clients.Office.Excel.Functions.SPG(G224, "SP_TOTAL_REV", "CY2023")</f>
        <v>36662000</v>
      </c>
      <c r="I224" s="4">
        <f>_xll.SNL.Clients.Office.Excel.Functions.SPG(G224,"IQ_AVG_DILUT_SHARES_OUT","CY2023")</f>
        <v>668200000</v>
      </c>
      <c r="J224" s="5" t="str">
        <f>_xll.SNL.Clients.Office.Excel.Functions.SPG(G224, "IQ_DILUT_EPS_NORM", "CY2023")</f>
        <v>NA</v>
      </c>
      <c r="K224" t="e">
        <f t="shared" si="14"/>
        <v>#VALUE!</v>
      </c>
      <c r="L224" t="e">
        <f t="shared" si="15"/>
        <v>#VALUE!</v>
      </c>
    </row>
    <row r="225" spans="1:12" x14ac:dyDescent="0.3">
      <c r="A225" t="s">
        <v>227</v>
      </c>
      <c r="B225" s="4" cm="1">
        <f t="array" ref="B225">_xll.SNL.Clients.Office.Excel.Functions.SPG(A225, "SP_TOTAL_REV", "CY2023")</f>
        <v>12135929</v>
      </c>
      <c r="C225" s="4">
        <f>_xll.SNL.Clients.Office.Excel.Functions.SPG(A225,"IQ_AVG_DILUT_SHARES_OUT","CY2023")</f>
        <v>548454250</v>
      </c>
      <c r="D225" s="5">
        <f>_xll.SNL.Clients.Office.Excel.Functions.SPG(A225, "IQ_DILUT_EPS_NORM", "CY2023")</f>
        <v>1.194</v>
      </c>
      <c r="E225">
        <f t="shared" si="12"/>
        <v>654854.37450000003</v>
      </c>
      <c r="F225">
        <f t="shared" si="13"/>
        <v>5.3959970802400052E-2</v>
      </c>
      <c r="G225" t="s">
        <v>227</v>
      </c>
      <c r="H225" s="4" cm="1">
        <f t="array" ref="H225">_xll.SNL.Clients.Office.Excel.Functions.SPG(G225, "SP_TOTAL_REV", "CY2023")</f>
        <v>12135929</v>
      </c>
      <c r="I225" s="4">
        <f>_xll.SNL.Clients.Office.Excel.Functions.SPG(G225,"IQ_AVG_DILUT_SHARES_OUT","CY2023")</f>
        <v>548454250</v>
      </c>
      <c r="J225" s="5">
        <f>_xll.SNL.Clients.Office.Excel.Functions.SPG(G225, "IQ_DILUT_EPS_NORM", "CY2023")</f>
        <v>1.194</v>
      </c>
      <c r="K225">
        <f t="shared" si="14"/>
        <v>654854.37450000003</v>
      </c>
      <c r="L225">
        <f t="shared" si="15"/>
        <v>5.3959970802400052E-2</v>
      </c>
    </row>
    <row r="226" spans="1:12" x14ac:dyDescent="0.3">
      <c r="A226" t="s">
        <v>228</v>
      </c>
      <c r="B226" s="4" cm="1">
        <f t="array" ref="B226">_xll.SNL.Clients.Office.Excel.Functions.SPG(A226, "SP_TOTAL_REV", "CY2023")</f>
        <v>5392000</v>
      </c>
      <c r="C226" s="4">
        <f>_xll.SNL.Clients.Office.Excel.Functions.SPG(A226,"IQ_AVG_DILUT_SHARES_OUT","CY2023")</f>
        <v>712800000</v>
      </c>
      <c r="D226" s="5">
        <f>_xll.SNL.Clients.Office.Excel.Functions.SPG(A226, "IQ_DILUT_EPS_NORM", "CY2023")</f>
        <v>0.61299999999999999</v>
      </c>
      <c r="E226">
        <f t="shared" si="12"/>
        <v>436946.4</v>
      </c>
      <c r="F226">
        <f t="shared" si="13"/>
        <v>8.1036053412462908E-2</v>
      </c>
      <c r="G226" t="s">
        <v>228</v>
      </c>
      <c r="H226" s="4" cm="1">
        <f t="array" ref="H226">_xll.SNL.Clients.Office.Excel.Functions.SPG(G226, "SP_TOTAL_REV", "CY2023")</f>
        <v>5392000</v>
      </c>
      <c r="I226" s="4">
        <f>_xll.SNL.Clients.Office.Excel.Functions.SPG(G226,"IQ_AVG_DILUT_SHARES_OUT","CY2023")</f>
        <v>712800000</v>
      </c>
      <c r="J226" s="5">
        <f>_xll.SNL.Clients.Office.Excel.Functions.SPG(G226, "IQ_DILUT_EPS_NORM", "CY2023")</f>
        <v>0.61299999999999999</v>
      </c>
      <c r="K226">
        <f t="shared" si="14"/>
        <v>436946.4</v>
      </c>
      <c r="L226">
        <f t="shared" si="15"/>
        <v>8.1036053412462908E-2</v>
      </c>
    </row>
    <row r="227" spans="1:12" x14ac:dyDescent="0.3">
      <c r="A227" t="s">
        <v>229</v>
      </c>
      <c r="B227" s="4" cm="1">
        <f t="array" ref="B227">_xll.SNL.Clients.Office.Excel.Functions.SPG(A227, "SP_TOTAL_REV", "CY2023")</f>
        <v>6640000</v>
      </c>
      <c r="C227" s="4">
        <f>_xll.SNL.Clients.Office.Excel.Functions.SPG(A227,"IQ_AVG_DILUT_SHARES_OUT","CY2023")</f>
        <v>416000000</v>
      </c>
      <c r="D227" s="5">
        <f>_xll.SNL.Clients.Office.Excel.Functions.SPG(A227, "IQ_DILUT_EPS_NORM", "CY2023")</f>
        <v>1.48</v>
      </c>
      <c r="E227">
        <f t="shared" si="12"/>
        <v>615680</v>
      </c>
      <c r="F227">
        <f t="shared" si="13"/>
        <v>9.2722891566265064E-2</v>
      </c>
      <c r="G227" t="s">
        <v>229</v>
      </c>
      <c r="H227" s="4" cm="1">
        <f t="array" ref="H227">_xll.SNL.Clients.Office.Excel.Functions.SPG(G227, "SP_TOTAL_REV", "CY2023")</f>
        <v>6640000</v>
      </c>
      <c r="I227" s="4">
        <f>_xll.SNL.Clients.Office.Excel.Functions.SPG(G227,"IQ_AVG_DILUT_SHARES_OUT","CY2023")</f>
        <v>416000000</v>
      </c>
      <c r="J227" s="5">
        <f>_xll.SNL.Clients.Office.Excel.Functions.SPG(G227, "IQ_DILUT_EPS_NORM", "CY2023")</f>
        <v>1.48</v>
      </c>
      <c r="K227">
        <f t="shared" si="14"/>
        <v>615680</v>
      </c>
      <c r="L227">
        <f t="shared" si="15"/>
        <v>9.2722891566265064E-2</v>
      </c>
    </row>
    <row r="228" spans="1:12" x14ac:dyDescent="0.3">
      <c r="A228" t="s">
        <v>230</v>
      </c>
      <c r="B228" s="4" cm="1">
        <f t="array" ref="B228">_xll.SNL.Clients.Office.Excel.Functions.SPG(A228, "SP_TOTAL_REV", "CY2023")</f>
        <v>53105000</v>
      </c>
      <c r="C228" s="4">
        <f>_xll.SNL.Clients.Office.Excel.Functions.SPG(A228,"IQ_AVG_DILUT_SHARES_OUT","CY2023")</f>
        <v>1001500000</v>
      </c>
      <c r="D228" s="5">
        <f>_xll.SNL.Clients.Office.Excel.Functions.SPG(A228, "IQ_DILUT_EPS_NORM", "CY2023")</f>
        <v>2.3860000000000001</v>
      </c>
      <c r="E228">
        <f t="shared" si="12"/>
        <v>2389579</v>
      </c>
      <c r="F228">
        <f t="shared" si="13"/>
        <v>4.4997250729686473E-2</v>
      </c>
      <c r="G228" t="s">
        <v>230</v>
      </c>
      <c r="H228" s="4" cm="1">
        <f t="array" ref="H228">_xll.SNL.Clients.Office.Excel.Functions.SPG(G228, "SP_TOTAL_REV", "CY2023")</f>
        <v>53105000</v>
      </c>
      <c r="I228" s="4">
        <f>_xll.SNL.Clients.Office.Excel.Functions.SPG(G228,"IQ_AVG_DILUT_SHARES_OUT","CY2023")</f>
        <v>1001500000</v>
      </c>
      <c r="J228" s="5">
        <f>_xll.SNL.Clients.Office.Excel.Functions.SPG(G228, "IQ_DILUT_EPS_NORM", "CY2023")</f>
        <v>2.3860000000000001</v>
      </c>
      <c r="K228">
        <f t="shared" si="14"/>
        <v>2389579</v>
      </c>
      <c r="L228">
        <f t="shared" si="15"/>
        <v>4.4997250729686473E-2</v>
      </c>
    </row>
    <row r="229" spans="1:12" x14ac:dyDescent="0.3">
      <c r="A229" t="s">
        <v>231</v>
      </c>
      <c r="B229" s="4" cm="1">
        <f t="array" ref="B229">_xll.SNL.Clients.Office.Excel.Functions.SPG(A229, "SP_TOTAL_REV", "CY2023")</f>
        <v>5372900</v>
      </c>
      <c r="C229" s="4">
        <f>_xll.SNL.Clients.Office.Excel.Functions.SPG(A229,"IQ_AVG_DILUT_SHARES_OUT","CY2023")</f>
        <v>54000000</v>
      </c>
      <c r="D229" s="5">
        <f>_xll.SNL.Clients.Office.Excel.Functions.SPG(A229, "IQ_DILUT_EPS_NORM", "CY2023")</f>
        <v>11.327999999999999</v>
      </c>
      <c r="E229">
        <f t="shared" si="12"/>
        <v>611712</v>
      </c>
      <c r="F229">
        <f t="shared" si="13"/>
        <v>0.11385136518453721</v>
      </c>
      <c r="G229" t="s">
        <v>231</v>
      </c>
      <c r="H229" s="4" cm="1">
        <f t="array" ref="H229">_xll.SNL.Clients.Office.Excel.Functions.SPG(G229, "SP_TOTAL_REV", "CY2023")</f>
        <v>5372900</v>
      </c>
      <c r="I229" s="4">
        <f>_xll.SNL.Clients.Office.Excel.Functions.SPG(G229,"IQ_AVG_DILUT_SHARES_OUT","CY2023")</f>
        <v>54000000</v>
      </c>
      <c r="J229" s="5">
        <f>_xll.SNL.Clients.Office.Excel.Functions.SPG(G229, "IQ_DILUT_EPS_NORM", "CY2023")</f>
        <v>11.327999999999999</v>
      </c>
      <c r="K229">
        <f t="shared" si="14"/>
        <v>611712</v>
      </c>
      <c r="L229">
        <f t="shared" si="15"/>
        <v>0.11385136518453721</v>
      </c>
    </row>
    <row r="230" spans="1:12" x14ac:dyDescent="0.3">
      <c r="A230" t="s">
        <v>232</v>
      </c>
      <c r="B230" s="4" cm="1">
        <f t="array" ref="B230">_xll.SNL.Clients.Office.Excel.Functions.SPG(A230, "SP_TOTAL_REV", "CY2023")</f>
        <v>106374000</v>
      </c>
      <c r="C230" s="4">
        <f>_xll.SNL.Clients.Office.Excel.Functions.SPG(A230,"IQ_AVG_DILUT_SHARES_OUT","CY2023")</f>
        <v>124441000</v>
      </c>
      <c r="D230" s="5">
        <f>_xll.SNL.Clients.Office.Excel.Functions.SPG(A230, "IQ_DILUT_EPS_NORM", "CY2023")</f>
        <v>19.532</v>
      </c>
      <c r="E230">
        <f t="shared" si="12"/>
        <v>2430581.6120000002</v>
      </c>
      <c r="F230">
        <f t="shared" si="13"/>
        <v>2.284939564179217E-2</v>
      </c>
      <c r="G230" t="s">
        <v>232</v>
      </c>
      <c r="H230" s="4" cm="1">
        <f t="array" ref="H230">_xll.SNL.Clients.Office.Excel.Functions.SPG(G230, "SP_TOTAL_REV", "CY2023")</f>
        <v>106374000</v>
      </c>
      <c r="I230" s="4">
        <f>_xll.SNL.Clients.Office.Excel.Functions.SPG(G230,"IQ_AVG_DILUT_SHARES_OUT","CY2023")</f>
        <v>124441000</v>
      </c>
      <c r="J230" s="5">
        <f>_xll.SNL.Clients.Office.Excel.Functions.SPG(G230, "IQ_DILUT_EPS_NORM", "CY2023")</f>
        <v>19.532</v>
      </c>
      <c r="K230">
        <f t="shared" si="14"/>
        <v>2430581.6120000002</v>
      </c>
      <c r="L230">
        <f t="shared" si="15"/>
        <v>2.284939564179217E-2</v>
      </c>
    </row>
    <row r="231" spans="1:12" x14ac:dyDescent="0.3">
      <c r="A231" t="s">
        <v>233</v>
      </c>
      <c r="B231" s="4" cm="1">
        <f t="array" ref="B231">_xll.SNL.Clients.Office.Excel.Functions.SPG(A231, "SP_TOTAL_REV", "CY2023")</f>
        <v>7303000</v>
      </c>
      <c r="C231" s="4">
        <f>_xll.SNL.Clients.Office.Excel.Functions.SPG(A231,"IQ_AVG_DILUT_SHARES_OUT","CY2023")</f>
        <v>1468016000</v>
      </c>
      <c r="D231" s="5">
        <f>_xll.SNL.Clients.Office.Excel.Functions.SPG(A231, "IQ_DILUT_EPS_NORM", "CY2023")</f>
        <v>1.0009999999999999</v>
      </c>
      <c r="E231">
        <f t="shared" si="12"/>
        <v>1469484.0159999998</v>
      </c>
      <c r="F231">
        <f t="shared" si="13"/>
        <v>0.20121648856634258</v>
      </c>
      <c r="G231" t="s">
        <v>233</v>
      </c>
      <c r="H231" s="4" cm="1">
        <f t="array" ref="H231">_xll.SNL.Clients.Office.Excel.Functions.SPG(G231, "SP_TOTAL_REV", "CY2023")</f>
        <v>7303000</v>
      </c>
      <c r="I231" s="4">
        <f>_xll.SNL.Clients.Office.Excel.Functions.SPG(G231,"IQ_AVG_DILUT_SHARES_OUT","CY2023")</f>
        <v>1468016000</v>
      </c>
      <c r="J231" s="5">
        <f>_xll.SNL.Clients.Office.Excel.Functions.SPG(G231, "IQ_DILUT_EPS_NORM", "CY2023")</f>
        <v>1.0009999999999999</v>
      </c>
      <c r="K231">
        <f t="shared" si="14"/>
        <v>1469484.0159999998</v>
      </c>
      <c r="L231">
        <f t="shared" si="15"/>
        <v>0.20121648856634258</v>
      </c>
    </row>
    <row r="232" spans="1:12" x14ac:dyDescent="0.3">
      <c r="A232" t="s">
        <v>234</v>
      </c>
      <c r="B232" s="4" cm="1">
        <f t="array" ref="B232">_xll.SNL.Clients.Office.Excel.Functions.SPG(A232, "SP_TOTAL_REV", "CY2023")</f>
        <v>11454000</v>
      </c>
      <c r="C232" s="4">
        <f>_xll.SNL.Clients.Office.Excel.Functions.SPG(A232,"IQ_AVG_DILUT_SHARES_OUT","CY2023")</f>
        <v>39900000</v>
      </c>
      <c r="D232" s="5">
        <f>_xll.SNL.Clients.Office.Excel.Functions.SPG(A232, "IQ_DILUT_EPS_NORM", "CY2023")</f>
        <v>11.122</v>
      </c>
      <c r="E232">
        <f t="shared" si="12"/>
        <v>443767.8</v>
      </c>
      <c r="F232">
        <f t="shared" si="13"/>
        <v>3.8743478260869567E-2</v>
      </c>
      <c r="G232" t="s">
        <v>234</v>
      </c>
      <c r="H232" s="4" cm="1">
        <f t="array" ref="H232">_xll.SNL.Clients.Office.Excel.Functions.SPG(G232, "SP_TOTAL_REV", "CY2023")</f>
        <v>11454000</v>
      </c>
      <c r="I232" s="4">
        <f>_xll.SNL.Clients.Office.Excel.Functions.SPG(G232,"IQ_AVG_DILUT_SHARES_OUT","CY2023")</f>
        <v>39900000</v>
      </c>
      <c r="J232" s="5">
        <f>_xll.SNL.Clients.Office.Excel.Functions.SPG(G232, "IQ_DILUT_EPS_NORM", "CY2023")</f>
        <v>11.122</v>
      </c>
      <c r="K232">
        <f t="shared" si="14"/>
        <v>443767.8</v>
      </c>
      <c r="L232">
        <f t="shared" si="15"/>
        <v>3.8743478260869567E-2</v>
      </c>
    </row>
    <row r="233" spans="1:12" x14ac:dyDescent="0.3">
      <c r="A233" t="s">
        <v>235</v>
      </c>
      <c r="B233" s="4" cm="1">
        <f t="array" ref="B233">_xll.SNL.Clients.Office.Excel.Functions.SPG(A233, "SP_TOTAL_REV", "CY2023")</f>
        <v>3273900</v>
      </c>
      <c r="C233" s="4">
        <f>_xll.SNL.Clients.Office.Excel.Functions.SPG(A233,"IQ_AVG_DILUT_SHARES_OUT","CY2023")</f>
        <v>75900000</v>
      </c>
      <c r="D233" s="5">
        <f>_xll.SNL.Clients.Office.Excel.Functions.SPG(A233, "IQ_DILUT_EPS_NORM", "CY2023")</f>
        <v>5.7329999999999997</v>
      </c>
      <c r="E233">
        <f t="shared" si="12"/>
        <v>435134.7</v>
      </c>
      <c r="F233">
        <f t="shared" si="13"/>
        <v>0.13291019884541372</v>
      </c>
      <c r="G233" t="s">
        <v>235</v>
      </c>
      <c r="H233" s="4" cm="1">
        <f t="array" ref="H233">_xll.SNL.Clients.Office.Excel.Functions.SPG(G233, "SP_TOTAL_REV", "CY2023")</f>
        <v>3273900</v>
      </c>
      <c r="I233" s="4">
        <f>_xll.SNL.Clients.Office.Excel.Functions.SPG(G233,"IQ_AVG_DILUT_SHARES_OUT","CY2023")</f>
        <v>75900000</v>
      </c>
      <c r="J233" s="5">
        <f>_xll.SNL.Clients.Office.Excel.Functions.SPG(G233, "IQ_DILUT_EPS_NORM", "CY2023")</f>
        <v>5.7329999999999997</v>
      </c>
      <c r="K233">
        <f t="shared" si="14"/>
        <v>435134.7</v>
      </c>
      <c r="L233">
        <f t="shared" si="15"/>
        <v>0.13291019884541372</v>
      </c>
    </row>
    <row r="234" spans="1:12" x14ac:dyDescent="0.3">
      <c r="A234" t="s">
        <v>236</v>
      </c>
      <c r="B234" s="4" cm="1">
        <f t="array" ref="B234">_xll.SNL.Clients.Office.Excel.Functions.SPG(A234, "SP_TOTAL_REV", "CY2023")</f>
        <v>3660953</v>
      </c>
      <c r="C234" s="4">
        <f>_xll.SNL.Clients.Office.Excel.Functions.SPG(A234,"IQ_AVG_DILUT_SHARES_OUT","CY2023")</f>
        <v>83978000</v>
      </c>
      <c r="D234" s="5">
        <f>_xll.SNL.Clients.Office.Excel.Functions.SPG(A234, "IQ_DILUT_EPS_NORM", "CY2023")</f>
        <v>7.8979999999999997</v>
      </c>
      <c r="E234">
        <f t="shared" si="12"/>
        <v>663258.24399999995</v>
      </c>
      <c r="F234">
        <f t="shared" si="13"/>
        <v>0.18117092571251256</v>
      </c>
      <c r="G234" t="s">
        <v>236</v>
      </c>
      <c r="H234" s="4" cm="1">
        <f t="array" ref="H234">_xll.SNL.Clients.Office.Excel.Functions.SPG(G234, "SP_TOTAL_REV", "CY2023")</f>
        <v>3660953</v>
      </c>
      <c r="I234" s="4">
        <f>_xll.SNL.Clients.Office.Excel.Functions.SPG(G234,"IQ_AVG_DILUT_SHARES_OUT","CY2023")</f>
        <v>83978000</v>
      </c>
      <c r="J234" s="5">
        <f>_xll.SNL.Clients.Office.Excel.Functions.SPG(G234, "IQ_DILUT_EPS_NORM", "CY2023")</f>
        <v>7.8979999999999997</v>
      </c>
      <c r="K234">
        <f t="shared" si="14"/>
        <v>663258.24399999995</v>
      </c>
      <c r="L234">
        <f t="shared" si="15"/>
        <v>0.18117092571251256</v>
      </c>
    </row>
    <row r="235" spans="1:12" x14ac:dyDescent="0.3">
      <c r="A235" t="s">
        <v>237</v>
      </c>
      <c r="B235" s="4" cm="1">
        <f t="array" ref="B235">_xll.SNL.Clients.Office.Excel.Functions.SPG(A235, "SP_TOTAL_REV", "CY2023")</f>
        <v>16107000</v>
      </c>
      <c r="C235" s="4">
        <f>_xll.SNL.Clients.Office.Excel.Functions.SPG(A235,"IQ_AVG_DILUT_SHARES_OUT","CY2023")</f>
        <v>303600000</v>
      </c>
      <c r="D235" s="5">
        <f>_xll.SNL.Clients.Office.Excel.Functions.SPG(A235, "IQ_DILUT_EPS_NORM", "CY2023")</f>
        <v>7.8639999999999999</v>
      </c>
      <c r="E235">
        <f t="shared" si="12"/>
        <v>2387510.4</v>
      </c>
      <c r="F235">
        <f t="shared" si="13"/>
        <v>0.14822812441795491</v>
      </c>
      <c r="G235" t="s">
        <v>237</v>
      </c>
      <c r="H235" s="4" cm="1">
        <f t="array" ref="H235">_xll.SNL.Clients.Office.Excel.Functions.SPG(G235, "SP_TOTAL_REV", "CY2023")</f>
        <v>16107000</v>
      </c>
      <c r="I235" s="4">
        <f>_xll.SNL.Clients.Office.Excel.Functions.SPG(G235,"IQ_AVG_DILUT_SHARES_OUT","CY2023")</f>
        <v>303600000</v>
      </c>
      <c r="J235" s="5">
        <f>_xll.SNL.Clients.Office.Excel.Functions.SPG(G235, "IQ_DILUT_EPS_NORM", "CY2023")</f>
        <v>7.8639999999999999</v>
      </c>
      <c r="K235">
        <f t="shared" si="14"/>
        <v>2387510.4</v>
      </c>
      <c r="L235">
        <f t="shared" si="15"/>
        <v>0.14822812441795491</v>
      </c>
    </row>
    <row r="236" spans="1:12" x14ac:dyDescent="0.3">
      <c r="A236" t="s">
        <v>238</v>
      </c>
      <c r="B236" s="4" cm="1">
        <f t="array" ref="B236">_xll.SNL.Clients.Office.Excel.Functions.SPG(A236, "SP_TOTAL_REV", "CY2023")</f>
        <v>3695649</v>
      </c>
      <c r="C236" s="4">
        <f>_xll.SNL.Clients.Office.Excel.Functions.SPG(A236,"IQ_AVG_DILUT_SHARES_OUT","CY2023")</f>
        <v>225928000</v>
      </c>
      <c r="D236" s="5">
        <f>_xll.SNL.Clients.Office.Excel.Functions.SPG(A236, "IQ_DILUT_EPS_NORM", "CY2023")</f>
        <v>2.2669999999999999</v>
      </c>
      <c r="E236">
        <f t="shared" si="12"/>
        <v>512178.77600000001</v>
      </c>
      <c r="F236">
        <f t="shared" si="13"/>
        <v>0.13858967017701085</v>
      </c>
      <c r="G236" t="s">
        <v>238</v>
      </c>
      <c r="H236" s="4" cm="1">
        <f t="array" ref="H236">_xll.SNL.Clients.Office.Excel.Functions.SPG(G236, "SP_TOTAL_REV", "CY2023")</f>
        <v>3695649</v>
      </c>
      <c r="I236" s="4">
        <f>_xll.SNL.Clients.Office.Excel.Functions.SPG(G236,"IQ_AVG_DILUT_SHARES_OUT","CY2023")</f>
        <v>225928000</v>
      </c>
      <c r="J236" s="5">
        <f>_xll.SNL.Clients.Office.Excel.Functions.SPG(G236, "IQ_DILUT_EPS_NORM", "CY2023")</f>
        <v>2.2669999999999999</v>
      </c>
      <c r="K236">
        <f t="shared" si="14"/>
        <v>512178.77600000001</v>
      </c>
      <c r="L236">
        <f t="shared" si="15"/>
        <v>0.13858967017701085</v>
      </c>
    </row>
    <row r="237" spans="1:12" x14ac:dyDescent="0.3">
      <c r="A237" t="s">
        <v>239</v>
      </c>
      <c r="B237" s="4" cm="1">
        <f t="array" ref="B237">_xll.SNL.Clients.Office.Excel.Functions.SPG(A237, "SP_TOTAL_REV", "CY2023")</f>
        <v>6876100</v>
      </c>
      <c r="C237" s="4">
        <f>_xll.SNL.Clients.Office.Excel.Functions.SPG(A237,"IQ_AVG_DILUT_SHARES_OUT","CY2023")</f>
        <v>409000000</v>
      </c>
      <c r="D237" s="5">
        <f>_xll.SNL.Clients.Office.Excel.Functions.SPG(A237, "IQ_DILUT_EPS_NORM", "CY2023")</f>
        <v>1.6819999999999999</v>
      </c>
      <c r="E237">
        <f t="shared" si="12"/>
        <v>687938</v>
      </c>
      <c r="F237">
        <f t="shared" si="13"/>
        <v>0.1000477014586757</v>
      </c>
      <c r="G237" t="s">
        <v>239</v>
      </c>
      <c r="H237" s="4" cm="1">
        <f t="array" ref="H237">_xll.SNL.Clients.Office.Excel.Functions.SPG(G237, "SP_TOTAL_REV", "CY2023")</f>
        <v>6876100</v>
      </c>
      <c r="I237" s="4">
        <f>_xll.SNL.Clients.Office.Excel.Functions.SPG(G237,"IQ_AVG_DILUT_SHARES_OUT","CY2023")</f>
        <v>409000000</v>
      </c>
      <c r="J237" s="5">
        <f>_xll.SNL.Clients.Office.Excel.Functions.SPG(G237, "IQ_DILUT_EPS_NORM", "CY2023")</f>
        <v>1.6819999999999999</v>
      </c>
      <c r="K237">
        <f t="shared" si="14"/>
        <v>687938</v>
      </c>
      <c r="L237">
        <f t="shared" si="15"/>
        <v>0.1000477014586757</v>
      </c>
    </row>
    <row r="238" spans="1:12" x14ac:dyDescent="0.3">
      <c r="A238" t="s">
        <v>240</v>
      </c>
      <c r="B238" s="4" cm="1">
        <f t="array" ref="B238">_xll.SNL.Clients.Office.Excel.Functions.SPG(A238, "SP_TOTAL_REV", "CY2023")</f>
        <v>1697100</v>
      </c>
      <c r="C238" s="4">
        <f>_xll.SNL.Clients.Office.Excel.Functions.SPG(A238,"IQ_AVG_DILUT_SHARES_OUT","CY2023")</f>
        <v>73633000</v>
      </c>
      <c r="D238" s="5">
        <f>_xll.SNL.Clients.Office.Excel.Functions.SPG(A238, "IQ_DILUT_EPS_NORM", "CY2023")</f>
        <v>1.956</v>
      </c>
      <c r="E238">
        <f t="shared" si="12"/>
        <v>144026.14799999999</v>
      </c>
      <c r="F238">
        <f t="shared" si="13"/>
        <v>8.4866035000883855E-2</v>
      </c>
      <c r="G238" t="s">
        <v>240</v>
      </c>
      <c r="H238" s="4" cm="1">
        <f t="array" ref="H238">_xll.SNL.Clients.Office.Excel.Functions.SPG(G238, "SP_TOTAL_REV", "CY2023")</f>
        <v>1697100</v>
      </c>
      <c r="I238" s="4">
        <f>_xll.SNL.Clients.Office.Excel.Functions.SPG(G238,"IQ_AVG_DILUT_SHARES_OUT","CY2023")</f>
        <v>73633000</v>
      </c>
      <c r="J238" s="5">
        <f>_xll.SNL.Clients.Office.Excel.Functions.SPG(G238, "IQ_DILUT_EPS_NORM", "CY2023")</f>
        <v>1.956</v>
      </c>
      <c r="K238">
        <f t="shared" si="14"/>
        <v>144026.14799999999</v>
      </c>
      <c r="L238">
        <f t="shared" si="15"/>
        <v>8.4866035000883855E-2</v>
      </c>
    </row>
    <row r="239" spans="1:12" x14ac:dyDescent="0.3">
      <c r="A239" t="s">
        <v>241</v>
      </c>
      <c r="B239" s="4" cm="1">
        <f t="array" ref="B239">_xll.SNL.Clients.Office.Excel.Functions.SPG(A239, "SP_TOTAL_REV", "CY2023")</f>
        <v>54228000</v>
      </c>
      <c r="C239" s="4">
        <f>_xll.SNL.Clients.Office.Excel.Functions.SPG(A239,"IQ_AVG_DILUT_SHARES_OUT","CY2023")</f>
        <v>4212000000</v>
      </c>
      <c r="D239" s="5" t="str">
        <f>_xll.SNL.Clients.Office.Excel.Functions.SPG(A239, "IQ_DILUT_EPS_NORM", "CY2023")</f>
        <v>NA</v>
      </c>
      <c r="E239" t="e">
        <f t="shared" si="12"/>
        <v>#VALUE!</v>
      </c>
      <c r="F239" t="e">
        <f t="shared" si="13"/>
        <v>#VALUE!</v>
      </c>
      <c r="G239" t="s">
        <v>241</v>
      </c>
      <c r="H239" s="4" cm="1">
        <f t="array" ref="H239">_xll.SNL.Clients.Office.Excel.Functions.SPG(G239, "SP_TOTAL_REV", "CY2023")</f>
        <v>54228000</v>
      </c>
      <c r="I239" s="4">
        <f>_xll.SNL.Clients.Office.Excel.Functions.SPG(G239,"IQ_AVG_DILUT_SHARES_OUT","CY2023")</f>
        <v>4212000000</v>
      </c>
      <c r="J239" s="5" t="str">
        <f>_xll.SNL.Clients.Office.Excel.Functions.SPG(G239, "IQ_DILUT_EPS_NORM", "CY2023")</f>
        <v>NA</v>
      </c>
      <c r="K239" t="e">
        <f t="shared" si="14"/>
        <v>#VALUE!</v>
      </c>
      <c r="L239" t="e">
        <f t="shared" si="15"/>
        <v>#VALUE!</v>
      </c>
    </row>
    <row r="240" spans="1:12" x14ac:dyDescent="0.3">
      <c r="A240" t="s">
        <v>242</v>
      </c>
      <c r="B240" s="4" cm="1">
        <f t="array" ref="B240">_xll.SNL.Clients.Office.Excel.Functions.SPG(A240, "SP_TOTAL_REV", "CY2023")</f>
        <v>7988000</v>
      </c>
      <c r="C240" s="4">
        <f>_xll.SNL.Clients.Office.Excel.Functions.SPG(A240,"IQ_AVG_DILUT_SHARES_OUT","CY2023")</f>
        <v>565000000</v>
      </c>
      <c r="D240" s="5">
        <f>_xll.SNL.Clients.Office.Excel.Functions.SPG(A240, "IQ_DILUT_EPS_NORM", "CY2023")</f>
        <v>3.3780000000000001</v>
      </c>
      <c r="E240">
        <f t="shared" si="12"/>
        <v>1908570</v>
      </c>
      <c r="F240">
        <f t="shared" si="13"/>
        <v>0.23892964446670004</v>
      </c>
      <c r="G240" t="s">
        <v>242</v>
      </c>
      <c r="H240" s="4" cm="1">
        <f t="array" ref="H240">_xll.SNL.Clients.Office.Excel.Functions.SPG(G240, "SP_TOTAL_REV", "CY2023")</f>
        <v>7988000</v>
      </c>
      <c r="I240" s="4">
        <f>_xll.SNL.Clients.Office.Excel.Functions.SPG(G240,"IQ_AVG_DILUT_SHARES_OUT","CY2023")</f>
        <v>565000000</v>
      </c>
      <c r="J240" s="5">
        <f>_xll.SNL.Clients.Office.Excel.Functions.SPG(G240, "IQ_DILUT_EPS_NORM", "CY2023")</f>
        <v>3.3780000000000001</v>
      </c>
      <c r="K240">
        <f t="shared" si="14"/>
        <v>1908570</v>
      </c>
      <c r="L240">
        <f t="shared" si="15"/>
        <v>0.23892964446670004</v>
      </c>
    </row>
    <row r="241" spans="1:12" x14ac:dyDescent="0.3">
      <c r="A241" t="s">
        <v>243</v>
      </c>
      <c r="B241" s="4" cm="1">
        <f t="array" ref="B241">_xll.SNL.Clients.Office.Excel.Functions.SPG(A241, "SP_TOTAL_REV", "CY2023")</f>
        <v>61860000</v>
      </c>
      <c r="C241" s="4">
        <f>_xll.SNL.Clients.Office.Excel.Functions.SPG(A241,"IQ_AVG_DILUT_SHARES_OUT","CY2023")</f>
        <v>922073828</v>
      </c>
      <c r="D241" s="5">
        <f>_xll.SNL.Clients.Office.Excel.Functions.SPG(A241, "IQ_DILUT_EPS_NORM", "CY2023")</f>
        <v>6.1779999999999999</v>
      </c>
      <c r="E241">
        <f t="shared" si="12"/>
        <v>5696572.1093839994</v>
      </c>
      <c r="F241">
        <f t="shared" si="13"/>
        <v>9.2088136265502732E-2</v>
      </c>
      <c r="G241" t="s">
        <v>243</v>
      </c>
      <c r="H241" s="4" cm="1">
        <f t="array" ref="H241">_xll.SNL.Clients.Office.Excel.Functions.SPG(G241, "SP_TOTAL_REV", "CY2023")</f>
        <v>61860000</v>
      </c>
      <c r="I241" s="4">
        <f>_xll.SNL.Clients.Office.Excel.Functions.SPG(G241,"IQ_AVG_DILUT_SHARES_OUT","CY2023")</f>
        <v>922073828</v>
      </c>
      <c r="J241" s="5">
        <f>_xll.SNL.Clients.Office.Excel.Functions.SPG(G241, "IQ_DILUT_EPS_NORM", "CY2023")</f>
        <v>6.1779999999999999</v>
      </c>
      <c r="K241">
        <f t="shared" si="14"/>
        <v>5696572.1093839994</v>
      </c>
      <c r="L241">
        <f t="shared" si="15"/>
        <v>9.2088136265502732E-2</v>
      </c>
    </row>
    <row r="242" spans="1:12" x14ac:dyDescent="0.3">
      <c r="A242" t="s">
        <v>244</v>
      </c>
      <c r="B242" s="4" cm="1">
        <f t="array" ref="B242">_xll.SNL.Clients.Office.Excel.Functions.SPG(A242, "SP_TOTAL_REV", "CY2023")</f>
        <v>11479000</v>
      </c>
      <c r="C242" s="4">
        <f>_xll.SNL.Clients.Office.Excel.Functions.SPG(A242,"IQ_AVG_DILUT_SHARES_OUT","CY2023")</f>
        <v>255000000</v>
      </c>
      <c r="D242" s="5">
        <f>_xll.SNL.Clients.Office.Excel.Functions.SPG(A242, "IQ_DILUT_EPS_NORM", "CY2023")</f>
        <v>0.41799999999999998</v>
      </c>
      <c r="E242">
        <f t="shared" si="12"/>
        <v>106590</v>
      </c>
      <c r="F242">
        <f t="shared" si="13"/>
        <v>9.2856520602839967E-3</v>
      </c>
      <c r="G242" t="s">
        <v>244</v>
      </c>
      <c r="H242" s="4" cm="1">
        <f t="array" ref="H242">_xll.SNL.Clients.Office.Excel.Functions.SPG(G242, "SP_TOTAL_REV", "CY2023")</f>
        <v>11479000</v>
      </c>
      <c r="I242" s="4">
        <f>_xll.SNL.Clients.Office.Excel.Functions.SPG(G242,"IQ_AVG_DILUT_SHARES_OUT","CY2023")</f>
        <v>255000000</v>
      </c>
      <c r="J242" s="5">
        <f>_xll.SNL.Clients.Office.Excel.Functions.SPG(G242, "IQ_DILUT_EPS_NORM", "CY2023")</f>
        <v>0.41799999999999998</v>
      </c>
      <c r="K242">
        <f t="shared" si="14"/>
        <v>106590</v>
      </c>
      <c r="L242">
        <f t="shared" si="15"/>
        <v>9.2856520602839967E-3</v>
      </c>
    </row>
    <row r="243" spans="1:12" x14ac:dyDescent="0.3">
      <c r="A243" t="s">
        <v>245</v>
      </c>
      <c r="B243" s="4" cm="1">
        <f t="array" ref="B243">_xll.SNL.Clients.Office.Excel.Functions.SPG(A243, "SP_TOTAL_REV", "CY2023")</f>
        <v>18916000</v>
      </c>
      <c r="C243" s="4">
        <f>_xll.SNL.Clients.Office.Excel.Functions.SPG(A243,"IQ_AVG_DILUT_SHARES_OUT","CY2023")</f>
        <v>349100000</v>
      </c>
      <c r="D243" s="5">
        <f>_xll.SNL.Clients.Office.Excel.Functions.SPG(A243, "IQ_DILUT_EPS_NORM", "CY2023")</f>
        <v>1.5840000000000001</v>
      </c>
      <c r="E243">
        <f t="shared" si="12"/>
        <v>552974.4</v>
      </c>
      <c r="F243">
        <f t="shared" si="13"/>
        <v>2.9233157115669275E-2</v>
      </c>
      <c r="G243" t="s">
        <v>245</v>
      </c>
      <c r="H243" s="4" cm="1">
        <f t="array" ref="H243">_xll.SNL.Clients.Office.Excel.Functions.SPG(G243, "SP_TOTAL_REV", "CY2023")</f>
        <v>18916000</v>
      </c>
      <c r="I243" s="4">
        <f>_xll.SNL.Clients.Office.Excel.Functions.SPG(G243,"IQ_AVG_DILUT_SHARES_OUT","CY2023")</f>
        <v>349100000</v>
      </c>
      <c r="J243" s="5">
        <f>_xll.SNL.Clients.Office.Excel.Functions.SPG(G243, "IQ_DILUT_EPS_NORM", "CY2023")</f>
        <v>1.5840000000000001</v>
      </c>
      <c r="K243">
        <f t="shared" si="14"/>
        <v>552974.4</v>
      </c>
      <c r="L243">
        <f t="shared" si="15"/>
        <v>2.9233157115669275E-2</v>
      </c>
    </row>
    <row r="244" spans="1:12" x14ac:dyDescent="0.3">
      <c r="A244" t="s">
        <v>246</v>
      </c>
      <c r="B244" s="4" cm="1">
        <f t="array" ref="B244">_xll.SNL.Clients.Office.Excel.Functions.SPG(A244, "SP_TOTAL_REV", "CY2023")</f>
        <v>15094000</v>
      </c>
      <c r="C244" s="4">
        <f>_xll.SNL.Clients.Office.Excel.Functions.SPG(A244,"IQ_AVG_DILUT_SHARES_OUT","CY2023")</f>
        <v>283500000</v>
      </c>
      <c r="D244" s="5">
        <f>_xll.SNL.Clients.Office.Excel.Functions.SPG(A244, "IQ_DILUT_EPS_NORM", "CY2023")</f>
        <v>7.3920000000000003</v>
      </c>
      <c r="E244">
        <f t="shared" si="12"/>
        <v>2095632</v>
      </c>
      <c r="F244">
        <f t="shared" si="13"/>
        <v>0.13883874387173711</v>
      </c>
      <c r="G244" t="s">
        <v>246</v>
      </c>
      <c r="H244" s="4" cm="1">
        <f t="array" ref="H244">_xll.SNL.Clients.Office.Excel.Functions.SPG(G244, "SP_TOTAL_REV", "CY2023")</f>
        <v>15094000</v>
      </c>
      <c r="I244" s="4">
        <f>_xll.SNL.Clients.Office.Excel.Functions.SPG(G244,"IQ_AVG_DILUT_SHARES_OUT","CY2023")</f>
        <v>283500000</v>
      </c>
      <c r="J244" s="5">
        <f>_xll.SNL.Clients.Office.Excel.Functions.SPG(G244, "IQ_DILUT_EPS_NORM", "CY2023")</f>
        <v>7.3920000000000003</v>
      </c>
      <c r="K244">
        <f t="shared" si="14"/>
        <v>2095632</v>
      </c>
      <c r="L244">
        <f t="shared" si="15"/>
        <v>0.13883874387173711</v>
      </c>
    </row>
    <row r="245" spans="1:12" x14ac:dyDescent="0.3">
      <c r="A245" t="s">
        <v>247</v>
      </c>
      <c r="B245" s="4" cm="1">
        <f t="array" ref="B245">_xll.SNL.Clients.Office.Excel.Functions.SPG(A245, "SP_TOTAL_REV", "CY2023")</f>
        <v>7124100</v>
      </c>
      <c r="C245" s="4">
        <f>_xll.SNL.Clients.Office.Excel.Functions.SPG(A245,"IQ_AVG_DILUT_SHARES_OUT","CY2023")</f>
        <v>357400000</v>
      </c>
      <c r="D245" s="5">
        <f>_xll.SNL.Clients.Office.Excel.Functions.SPG(A245, "IQ_DILUT_EPS_NORM", "CY2023")</f>
        <v>3.3839999999999999</v>
      </c>
      <c r="E245">
        <f t="shared" si="12"/>
        <v>1209441.6000000001</v>
      </c>
      <c r="F245">
        <f t="shared" si="13"/>
        <v>0.16976763380637555</v>
      </c>
      <c r="G245" t="s">
        <v>247</v>
      </c>
      <c r="H245" s="4" cm="1">
        <f t="array" ref="H245">_xll.SNL.Clients.Office.Excel.Functions.SPG(G245, "SP_TOTAL_REV", "CY2023")</f>
        <v>7124100</v>
      </c>
      <c r="I245" s="4">
        <f>_xll.SNL.Clients.Office.Excel.Functions.SPG(G245,"IQ_AVG_DILUT_SHARES_OUT","CY2023")</f>
        <v>357400000</v>
      </c>
      <c r="J245" s="5">
        <f>_xll.SNL.Clients.Office.Excel.Functions.SPG(G245, "IQ_DILUT_EPS_NORM", "CY2023")</f>
        <v>3.3839999999999999</v>
      </c>
      <c r="K245">
        <f t="shared" si="14"/>
        <v>1209441.6000000001</v>
      </c>
      <c r="L245">
        <f t="shared" si="15"/>
        <v>0.16976763380637555</v>
      </c>
    </row>
    <row r="246" spans="1:12" x14ac:dyDescent="0.3">
      <c r="A246" t="s">
        <v>248</v>
      </c>
      <c r="B246" s="4" cm="1">
        <f t="array" ref="B246">_xll.SNL.Clients.Office.Excel.Functions.SPG(A246, "SP_TOTAL_REV", "CY2023")</f>
        <v>5716400</v>
      </c>
      <c r="C246" s="4">
        <f>_xll.SNL.Clients.Office.Excel.Functions.SPG(A246,"IQ_AVG_DILUT_SHARES_OUT","CY2023")</f>
        <v>456200000</v>
      </c>
      <c r="D246" s="5">
        <f>_xll.SNL.Clients.Office.Excel.Functions.SPG(A246, "IQ_DILUT_EPS_NORM", "CY2023")</f>
        <v>1.7509999999999999</v>
      </c>
      <c r="E246">
        <f t="shared" si="12"/>
        <v>798806.2</v>
      </c>
      <c r="F246">
        <f t="shared" si="13"/>
        <v>0.13973938142887132</v>
      </c>
      <c r="G246" t="s">
        <v>248</v>
      </c>
      <c r="H246" s="4" cm="1">
        <f t="array" ref="H246">_xll.SNL.Clients.Office.Excel.Functions.SPG(G246, "SP_TOTAL_REV", "CY2023")</f>
        <v>5716400</v>
      </c>
      <c r="I246" s="4">
        <f>_xll.SNL.Clients.Office.Excel.Functions.SPG(G246,"IQ_AVG_DILUT_SHARES_OUT","CY2023")</f>
        <v>456200000</v>
      </c>
      <c r="J246" s="5">
        <f>_xll.SNL.Clients.Office.Excel.Functions.SPG(G246, "IQ_DILUT_EPS_NORM", "CY2023")</f>
        <v>1.7509999999999999</v>
      </c>
      <c r="K246">
        <f t="shared" si="14"/>
        <v>798806.2</v>
      </c>
      <c r="L246">
        <f t="shared" si="15"/>
        <v>0.13973938142887132</v>
      </c>
    </row>
    <row r="247" spans="1:12" x14ac:dyDescent="0.3">
      <c r="A247" t="s">
        <v>249</v>
      </c>
      <c r="B247" s="4" cm="1">
        <f t="array" ref="B247">_xll.SNL.Clients.Office.Excel.Functions.SPG(A247, "SP_TOTAL_REV", "CY2023")</f>
        <v>2412733</v>
      </c>
      <c r="C247" s="4">
        <f>_xll.SNL.Clients.Office.Excel.Functions.SPG(A247,"IQ_AVG_DILUT_SHARES_OUT","CY2023")</f>
        <v>613288708</v>
      </c>
      <c r="D247" s="5">
        <f>_xll.SNL.Clients.Office.Excel.Functions.SPG(A247, "IQ_DILUT_EPS_NORM", "CY2023")</f>
        <v>0.35099999999999998</v>
      </c>
      <c r="E247">
        <f t="shared" si="12"/>
        <v>215264.33650799998</v>
      </c>
      <c r="F247">
        <f t="shared" si="13"/>
        <v>8.9220123614175278E-2</v>
      </c>
      <c r="G247" t="s">
        <v>249</v>
      </c>
      <c r="H247" s="4" cm="1">
        <f t="array" ref="H247">_xll.SNL.Clients.Office.Excel.Functions.SPG(G247, "SP_TOTAL_REV", "CY2023")</f>
        <v>2412733</v>
      </c>
      <c r="I247" s="4">
        <f>_xll.SNL.Clients.Office.Excel.Functions.SPG(G247,"IQ_AVG_DILUT_SHARES_OUT","CY2023")</f>
        <v>613288708</v>
      </c>
      <c r="J247" s="5">
        <f>_xll.SNL.Clients.Office.Excel.Functions.SPG(G247, "IQ_DILUT_EPS_NORM", "CY2023")</f>
        <v>0.35099999999999998</v>
      </c>
      <c r="K247">
        <f t="shared" si="14"/>
        <v>215264.33650799998</v>
      </c>
      <c r="L247">
        <f t="shared" si="15"/>
        <v>8.9220123614175278E-2</v>
      </c>
    </row>
    <row r="248" spans="1:12" x14ac:dyDescent="0.3">
      <c r="A248" t="s">
        <v>250</v>
      </c>
      <c r="B248" s="4" cm="1">
        <f t="array" ref="B248">_xll.SNL.Clients.Office.Excel.Functions.SPG(A248, "SP_TOTAL_REV", "CY2023")</f>
        <v>14984000</v>
      </c>
      <c r="C248" s="4">
        <f>_xll.SNL.Clients.Office.Excel.Functions.SPG(A248,"IQ_AVG_DILUT_SHARES_OUT","CY2023")</f>
        <v>186300000</v>
      </c>
      <c r="D248" s="5">
        <f>_xll.SNL.Clients.Office.Excel.Functions.SPG(A248, "IQ_DILUT_EPS_NORM", "CY2023")</f>
        <v>4.9349999999999996</v>
      </c>
      <c r="E248">
        <f t="shared" si="12"/>
        <v>919390.49999999988</v>
      </c>
      <c r="F248">
        <f t="shared" si="13"/>
        <v>6.1358148691938057E-2</v>
      </c>
      <c r="G248" t="s">
        <v>250</v>
      </c>
      <c r="H248" s="4" cm="1">
        <f t="array" ref="H248">_xll.SNL.Clients.Office.Excel.Functions.SPG(G248, "SP_TOTAL_REV", "CY2023")</f>
        <v>14984000</v>
      </c>
      <c r="I248" s="4">
        <f>_xll.SNL.Clients.Office.Excel.Functions.SPG(G248,"IQ_AVG_DILUT_SHARES_OUT","CY2023")</f>
        <v>186300000</v>
      </c>
      <c r="J248" s="5">
        <f>_xll.SNL.Clients.Office.Excel.Functions.SPG(G248, "IQ_DILUT_EPS_NORM", "CY2023")</f>
        <v>4.9349999999999996</v>
      </c>
      <c r="K248">
        <f t="shared" si="14"/>
        <v>919390.49999999988</v>
      </c>
      <c r="L248">
        <f t="shared" si="15"/>
        <v>6.1358148691938057E-2</v>
      </c>
    </row>
    <row r="249" spans="1:12" x14ac:dyDescent="0.3">
      <c r="A249" t="s">
        <v>251</v>
      </c>
      <c r="B249" s="4" cm="1">
        <f t="array" ref="B249">_xll.SNL.Clients.Office.Excel.Functions.SPG(A249, "SP_TOTAL_REV", "CY2023")</f>
        <v>5492760</v>
      </c>
      <c r="C249" s="4">
        <f>_xll.SNL.Clients.Office.Excel.Functions.SPG(A249,"IQ_AVG_DILUT_SHARES_OUT","CY2023")</f>
        <v>293965000</v>
      </c>
      <c r="D249" s="5">
        <f>_xll.SNL.Clients.Office.Excel.Functions.SPG(A249, "IQ_DILUT_EPS_NORM", "CY2023")</f>
        <v>0.95399999999999996</v>
      </c>
      <c r="E249">
        <f t="shared" si="12"/>
        <v>280442.61</v>
      </c>
      <c r="F249">
        <f t="shared" si="13"/>
        <v>5.1056774736198192E-2</v>
      </c>
      <c r="G249" t="s">
        <v>251</v>
      </c>
      <c r="H249" s="4" cm="1">
        <f t="array" ref="H249">_xll.SNL.Clients.Office.Excel.Functions.SPG(G249, "SP_TOTAL_REV", "CY2023")</f>
        <v>5492760</v>
      </c>
      <c r="I249" s="4">
        <f>_xll.SNL.Clients.Office.Excel.Functions.SPG(G249,"IQ_AVG_DILUT_SHARES_OUT","CY2023")</f>
        <v>293965000</v>
      </c>
      <c r="J249" s="5">
        <f>_xll.SNL.Clients.Office.Excel.Functions.SPG(G249, "IQ_DILUT_EPS_NORM", "CY2023")</f>
        <v>0.95399999999999996</v>
      </c>
      <c r="K249">
        <f t="shared" si="14"/>
        <v>280442.61</v>
      </c>
      <c r="L249">
        <f t="shared" si="15"/>
        <v>5.1056774736198192E-2</v>
      </c>
    </row>
    <row r="250" spans="1:12" x14ac:dyDescent="0.3">
      <c r="A250" t="s">
        <v>252</v>
      </c>
      <c r="B250" s="4" cm="1">
        <f t="array" ref="B250">_xll.SNL.Clients.Office.Excel.Functions.SPG(A250, "SP_TOTAL_REV", "CY2023")</f>
        <v>12829665</v>
      </c>
      <c r="C250" s="4">
        <f>_xll.SNL.Clients.Office.Excel.Functions.SPG(A250,"IQ_AVG_DILUT_SHARES_OUT","CY2023")</f>
        <v>104451000</v>
      </c>
      <c r="D250" s="5">
        <f>_xll.SNL.Clients.Office.Excel.Functions.SPG(A250, "IQ_DILUT_EPS_NORM", "CY2023")</f>
        <v>5.5940000000000003</v>
      </c>
      <c r="E250">
        <f t="shared" si="12"/>
        <v>584298.89399999997</v>
      </c>
      <c r="F250">
        <f t="shared" si="13"/>
        <v>4.5542802091870671E-2</v>
      </c>
      <c r="G250" t="s">
        <v>252</v>
      </c>
      <c r="H250" s="4" cm="1">
        <f t="array" ref="H250">_xll.SNL.Clients.Office.Excel.Functions.SPG(G250, "SP_TOTAL_REV", "CY2023")</f>
        <v>12829665</v>
      </c>
      <c r="I250" s="4">
        <f>_xll.SNL.Clients.Office.Excel.Functions.SPG(G250,"IQ_AVG_DILUT_SHARES_OUT","CY2023")</f>
        <v>104451000</v>
      </c>
      <c r="J250" s="5">
        <f>_xll.SNL.Clients.Office.Excel.Functions.SPG(G250, "IQ_DILUT_EPS_NORM", "CY2023")</f>
        <v>5.5940000000000003</v>
      </c>
      <c r="K250">
        <f t="shared" si="14"/>
        <v>584298.89399999997</v>
      </c>
      <c r="L250">
        <f t="shared" si="15"/>
        <v>4.5542802091870671E-2</v>
      </c>
    </row>
    <row r="251" spans="1:12" x14ac:dyDescent="0.3">
      <c r="A251" t="s">
        <v>253</v>
      </c>
      <c r="B251" s="4" cm="1">
        <f t="array" ref="B251">_xll.SNL.Clients.Office.Excel.Functions.SPG(A251, "SP_TOTAL_REV", "CY2023")</f>
        <v>33454000</v>
      </c>
      <c r="C251" s="4">
        <f>_xll.SNL.Clients.Office.Excel.Functions.SPG(A251,"IQ_AVG_DILUT_SHARES_OUT","CY2023")</f>
        <v>134425000</v>
      </c>
      <c r="D251" s="5">
        <f>_xll.SNL.Clients.Office.Excel.Functions.SPG(A251, "IQ_DILUT_EPS_NORM", "CY2023")</f>
        <v>6.2859999999999996</v>
      </c>
      <c r="E251">
        <f t="shared" si="12"/>
        <v>844995.55</v>
      </c>
      <c r="F251">
        <f t="shared" si="13"/>
        <v>2.5258430979852933E-2</v>
      </c>
      <c r="G251" t="s">
        <v>253</v>
      </c>
      <c r="H251" s="4" cm="1">
        <f t="array" ref="H251">_xll.SNL.Clients.Office.Excel.Functions.SPG(G251, "SP_TOTAL_REV", "CY2023")</f>
        <v>33454000</v>
      </c>
      <c r="I251" s="4">
        <f>_xll.SNL.Clients.Office.Excel.Functions.SPG(G251,"IQ_AVG_DILUT_SHARES_OUT","CY2023")</f>
        <v>134425000</v>
      </c>
      <c r="J251" s="5">
        <f>_xll.SNL.Clients.Office.Excel.Functions.SPG(G251, "IQ_DILUT_EPS_NORM", "CY2023")</f>
        <v>6.2859999999999996</v>
      </c>
      <c r="K251">
        <f t="shared" si="14"/>
        <v>844995.55</v>
      </c>
      <c r="L251">
        <f t="shared" si="15"/>
        <v>2.5258430979852933E-2</v>
      </c>
    </row>
    <row r="252" spans="1:12" x14ac:dyDescent="0.3">
      <c r="A252" t="s">
        <v>254</v>
      </c>
      <c r="B252" s="4" cm="1">
        <f t="array" ref="B252">_xll.SNL.Clients.Office.Excel.Functions.SPG(A252, "SP_TOTAL_REV", "CY2023")</f>
        <v>2160255</v>
      </c>
      <c r="C252" s="4">
        <f>_xll.SNL.Clients.Office.Excel.Functions.SPG(A252,"IQ_AVG_DILUT_SHARES_OUT","CY2023")</f>
        <v>73025000</v>
      </c>
      <c r="D252" s="5">
        <f>_xll.SNL.Clients.Office.Excel.Functions.SPG(A252, "IQ_DILUT_EPS_NORM", "CY2023")</f>
        <v>4.1379999999999999</v>
      </c>
      <c r="E252">
        <f t="shared" si="12"/>
        <v>302177.45</v>
      </c>
      <c r="F252">
        <f t="shared" si="13"/>
        <v>0.13988045392789278</v>
      </c>
      <c r="G252" t="s">
        <v>254</v>
      </c>
      <c r="H252" s="4" cm="1">
        <f t="array" ref="H252">_xll.SNL.Clients.Office.Excel.Functions.SPG(G252, "SP_TOTAL_REV", "CY2023")</f>
        <v>2160255</v>
      </c>
      <c r="I252" s="4">
        <f>_xll.SNL.Clients.Office.Excel.Functions.SPG(G252,"IQ_AVG_DILUT_SHARES_OUT","CY2023")</f>
        <v>73025000</v>
      </c>
      <c r="J252" s="5">
        <f>_xll.SNL.Clients.Office.Excel.Functions.SPG(G252, "IQ_DILUT_EPS_NORM", "CY2023")</f>
        <v>4.1379999999999999</v>
      </c>
      <c r="K252">
        <f t="shared" si="14"/>
        <v>302177.45</v>
      </c>
      <c r="L252">
        <f t="shared" si="15"/>
        <v>0.13988045392789278</v>
      </c>
    </row>
    <row r="253" spans="1:12" x14ac:dyDescent="0.3">
      <c r="A253" t="s">
        <v>255</v>
      </c>
      <c r="B253" s="4" cm="1">
        <f t="array" ref="B253">_xll.SNL.Clients.Office.Excel.Functions.SPG(A253, "SP_TOTAL_REV", "CY2023")</f>
        <v>16712971</v>
      </c>
      <c r="C253" s="4">
        <f>_xll.SNL.Clients.Office.Excel.Functions.SPG(A253,"IQ_AVG_DILUT_SHARES_OUT","CY2023")</f>
        <v>127043250</v>
      </c>
      <c r="D253" s="5">
        <f>_xll.SNL.Clients.Office.Excel.Functions.SPG(A253, "IQ_DILUT_EPS_NORM", "CY2023")</f>
        <v>4.88</v>
      </c>
      <c r="E253">
        <f t="shared" si="12"/>
        <v>619971.06000000006</v>
      </c>
      <c r="F253">
        <f t="shared" si="13"/>
        <v>3.7095203479979716E-2</v>
      </c>
      <c r="G253" t="s">
        <v>255</v>
      </c>
      <c r="H253" s="4" cm="1">
        <f t="array" ref="H253">_xll.SNL.Clients.Office.Excel.Functions.SPG(G253, "SP_TOTAL_REV", "CY2023")</f>
        <v>16712971</v>
      </c>
      <c r="I253" s="4">
        <f>_xll.SNL.Clients.Office.Excel.Functions.SPG(G253,"IQ_AVG_DILUT_SHARES_OUT","CY2023")</f>
        <v>127043250</v>
      </c>
      <c r="J253" s="5">
        <f>_xll.SNL.Clients.Office.Excel.Functions.SPG(G253, "IQ_DILUT_EPS_NORM", "CY2023")</f>
        <v>4.88</v>
      </c>
      <c r="K253">
        <f t="shared" si="14"/>
        <v>619971.06000000006</v>
      </c>
      <c r="L253">
        <f t="shared" si="15"/>
        <v>3.7095203479979716E-2</v>
      </c>
    </row>
    <row r="254" spans="1:12" x14ac:dyDescent="0.3">
      <c r="A254" t="s">
        <v>256</v>
      </c>
      <c r="B254" s="4" cm="1">
        <f t="array" ref="B254">_xll.SNL.Clients.Office.Excel.Functions.SPG(A254, "SP_TOTAL_REV", "CY2023")</f>
        <v>85159000</v>
      </c>
      <c r="C254" s="4">
        <f>_xll.SNL.Clients.Office.Excel.Functions.SPG(A254,"IQ_AVG_DILUT_SHARES_OUT","CY2023")</f>
        <v>2560400000</v>
      </c>
      <c r="D254" s="5">
        <f>_xll.SNL.Clients.Office.Excel.Functions.SPG(A254, "IQ_DILUT_EPS_NORM", "CY2023")</f>
        <v>6.2130000000000001</v>
      </c>
      <c r="E254">
        <f t="shared" si="12"/>
        <v>15907765.199999999</v>
      </c>
      <c r="F254">
        <f t="shared" si="13"/>
        <v>0.18680075153536324</v>
      </c>
      <c r="G254" t="s">
        <v>256</v>
      </c>
      <c r="H254" s="4" cm="1">
        <f t="array" ref="H254">_xll.SNL.Clients.Office.Excel.Functions.SPG(G254, "SP_TOTAL_REV", "CY2023")</f>
        <v>85159000</v>
      </c>
      <c r="I254" s="4">
        <f>_xll.SNL.Clients.Office.Excel.Functions.SPG(G254,"IQ_AVG_DILUT_SHARES_OUT","CY2023")</f>
        <v>2560400000</v>
      </c>
      <c r="J254" s="5">
        <f>_xll.SNL.Clients.Office.Excel.Functions.SPG(G254, "IQ_DILUT_EPS_NORM", "CY2023")</f>
        <v>6.2130000000000001</v>
      </c>
      <c r="K254">
        <f t="shared" si="14"/>
        <v>15907765.199999999</v>
      </c>
      <c r="L254">
        <f t="shared" si="15"/>
        <v>0.18680075153536324</v>
      </c>
    </row>
    <row r="255" spans="1:12" x14ac:dyDescent="0.3">
      <c r="A255" t="s">
        <v>257</v>
      </c>
      <c r="B255" s="4" cm="1">
        <f t="array" ref="B255">_xll.SNL.Clients.Office.Excel.Functions.SPG(A255, "SP_TOTAL_REV", "CY2023")</f>
        <v>26819000</v>
      </c>
      <c r="C255" s="4">
        <f>_xll.SNL.Clients.Office.Excel.Functions.SPG(A255,"IQ_AVG_DILUT_SHARES_OUT","CY2023")</f>
        <v>685425000</v>
      </c>
      <c r="D255" s="5">
        <f>_xll.SNL.Clients.Office.Excel.Functions.SPG(A255, "IQ_DILUT_EPS_NORM", "CY2023")</f>
        <v>2.2200000000000002</v>
      </c>
      <c r="E255">
        <f t="shared" si="12"/>
        <v>1521643.5000000002</v>
      </c>
      <c r="F255">
        <f t="shared" si="13"/>
        <v>5.6737518177411544E-2</v>
      </c>
      <c r="G255" t="s">
        <v>257</v>
      </c>
      <c r="H255" s="4" cm="1">
        <f t="array" ref="H255">_xll.SNL.Clients.Office.Excel.Functions.SPG(G255, "SP_TOTAL_REV", "CY2023")</f>
        <v>26819000</v>
      </c>
      <c r="I255" s="4">
        <f>_xll.SNL.Clients.Office.Excel.Functions.SPG(G255,"IQ_AVG_DILUT_SHARES_OUT","CY2023")</f>
        <v>685425000</v>
      </c>
      <c r="J255" s="5">
        <f>_xll.SNL.Clients.Office.Excel.Functions.SPG(G255, "IQ_DILUT_EPS_NORM", "CY2023")</f>
        <v>2.2200000000000002</v>
      </c>
      <c r="K255">
        <f t="shared" si="14"/>
        <v>1521643.5000000002</v>
      </c>
      <c r="L255">
        <f t="shared" si="15"/>
        <v>5.6737518177411544E-2</v>
      </c>
    </row>
    <row r="256" spans="1:12" x14ac:dyDescent="0.3">
      <c r="A256" t="s">
        <v>258</v>
      </c>
      <c r="B256" s="4" cm="1">
        <f t="array" ref="B256">_xll.SNL.Clients.Office.Excel.Functions.SPG(A256, "SP_TOTAL_REV", "CY2023")</f>
        <v>154990000</v>
      </c>
      <c r="C256" s="4">
        <f>_xll.SNL.Clients.Office.Excel.Functions.SPG(A256,"IQ_AVG_DILUT_SHARES_OUT","CY2023")</f>
        <v>2943100000</v>
      </c>
      <c r="D256" s="5">
        <f>_xll.SNL.Clients.Office.Excel.Functions.SPG(A256, "IQ_DILUT_EPS_NORM", "CY2023")</f>
        <v>13.263999999999999</v>
      </c>
      <c r="E256">
        <f t="shared" si="12"/>
        <v>39037278.399999999</v>
      </c>
      <c r="F256">
        <f t="shared" si="13"/>
        <v>0.25186965868765726</v>
      </c>
      <c r="G256" t="s">
        <v>258</v>
      </c>
      <c r="H256" s="4" cm="1">
        <f t="array" ref="H256">_xll.SNL.Clients.Office.Excel.Functions.SPG(G256, "SP_TOTAL_REV", "CY2023")</f>
        <v>154990000</v>
      </c>
      <c r="I256" s="4">
        <f>_xll.SNL.Clients.Office.Excel.Functions.SPG(G256,"IQ_AVG_DILUT_SHARES_OUT","CY2023")</f>
        <v>2943100000</v>
      </c>
      <c r="J256" s="5">
        <f>_xll.SNL.Clients.Office.Excel.Functions.SPG(G256, "IQ_DILUT_EPS_NORM", "CY2023")</f>
        <v>13.263999999999999</v>
      </c>
      <c r="K256">
        <f t="shared" si="14"/>
        <v>39037278.399999999</v>
      </c>
      <c r="L256">
        <f t="shared" si="15"/>
        <v>0.25186965868765726</v>
      </c>
    </row>
    <row r="257" spans="1:12" x14ac:dyDescent="0.3">
      <c r="A257" t="s">
        <v>259</v>
      </c>
      <c r="B257" s="4" cm="1">
        <f t="array" ref="B257">_xll.SNL.Clients.Office.Excel.Functions.SPG(A257, "SP_TOTAL_REV", "CY2023")</f>
        <v>5564500</v>
      </c>
      <c r="C257" s="4">
        <f>_xll.SNL.Clients.Office.Excel.Functions.SPG(A257,"IQ_AVG_DILUT_SHARES_OUT","CY2023")</f>
        <v>325900000</v>
      </c>
      <c r="D257" s="5">
        <f>_xll.SNL.Clients.Office.Excel.Functions.SPG(A257, "IQ_DILUT_EPS_NORM", "CY2023")</f>
        <v>1.014</v>
      </c>
      <c r="E257">
        <f t="shared" si="12"/>
        <v>330462.59999999998</v>
      </c>
      <c r="F257">
        <f t="shared" si="13"/>
        <v>5.9387653877257612E-2</v>
      </c>
      <c r="G257" t="s">
        <v>259</v>
      </c>
      <c r="H257" s="4" cm="1">
        <f t="array" ref="H257">_xll.SNL.Clients.Office.Excel.Functions.SPG(G257, "SP_TOTAL_REV", "CY2023")</f>
        <v>5564500</v>
      </c>
      <c r="I257" s="4">
        <f>_xll.SNL.Clients.Office.Excel.Functions.SPG(G257,"IQ_AVG_DILUT_SHARES_OUT","CY2023")</f>
        <v>325900000</v>
      </c>
      <c r="J257" s="5">
        <f>_xll.SNL.Clients.Office.Excel.Functions.SPG(G257, "IQ_DILUT_EPS_NORM", "CY2023")</f>
        <v>1.014</v>
      </c>
      <c r="K257">
        <f t="shared" si="14"/>
        <v>330462.59999999998</v>
      </c>
      <c r="L257">
        <f t="shared" si="15"/>
        <v>5.9387653877257612E-2</v>
      </c>
    </row>
    <row r="258" spans="1:12" x14ac:dyDescent="0.3">
      <c r="A258" t="s">
        <v>260</v>
      </c>
      <c r="B258" s="4" cm="1">
        <f t="array" ref="B258">_xll.SNL.Clients.Office.Excel.Functions.SPG(A258, "SP_TOTAL_REV", "CY2023")</f>
        <v>13122000</v>
      </c>
      <c r="C258" s="4">
        <f>_xll.SNL.Clients.Office.Excel.Functions.SPG(A258,"IQ_AVG_DILUT_SHARES_OUT","CY2023")</f>
        <v>344565217</v>
      </c>
      <c r="D258" s="5">
        <f>_xll.SNL.Clients.Office.Excel.Functions.SPG(A258, "IQ_DILUT_EPS_NORM", "CY2023")</f>
        <v>1.9359999999999999</v>
      </c>
      <c r="E258">
        <f t="shared" si="12"/>
        <v>667078.26011199993</v>
      </c>
      <c r="F258">
        <f t="shared" si="13"/>
        <v>5.0836630095412276E-2</v>
      </c>
      <c r="G258" t="s">
        <v>260</v>
      </c>
      <c r="H258" s="4" cm="1">
        <f t="array" ref="H258">_xll.SNL.Clients.Office.Excel.Functions.SPG(G258, "SP_TOTAL_REV", "CY2023")</f>
        <v>13122000</v>
      </c>
      <c r="I258" s="4">
        <f>_xll.SNL.Clients.Office.Excel.Functions.SPG(G258,"IQ_AVG_DILUT_SHARES_OUT","CY2023")</f>
        <v>344565217</v>
      </c>
      <c r="J258" s="5">
        <f>_xll.SNL.Clients.Office.Excel.Functions.SPG(G258, "IQ_DILUT_EPS_NORM", "CY2023")</f>
        <v>1.9359999999999999</v>
      </c>
      <c r="K258">
        <f t="shared" si="14"/>
        <v>667078.26011199993</v>
      </c>
      <c r="L258">
        <f t="shared" si="15"/>
        <v>5.0836630095412276E-2</v>
      </c>
    </row>
    <row r="259" spans="1:12" x14ac:dyDescent="0.3">
      <c r="A259" t="s">
        <v>261</v>
      </c>
      <c r="B259" s="4" cm="1">
        <f t="array" ref="B259">_xll.SNL.Clients.Office.Excel.Functions.SPG(A259, "SP_TOTAL_REV", "CY2023")</f>
        <v>15444000</v>
      </c>
      <c r="C259" s="4">
        <f>_xll.SNL.Clients.Office.Excel.Functions.SPG(A259,"IQ_AVG_DILUT_SHARES_OUT","CY2023")</f>
        <v>1850325000</v>
      </c>
      <c r="D259" s="5">
        <f>_xll.SNL.Clients.Office.Excel.Functions.SPG(A259, "IQ_DILUT_EPS_NORM", "CY2023")</f>
        <v>0.88800000000000001</v>
      </c>
      <c r="E259">
        <f t="shared" si="12"/>
        <v>1643088.6</v>
      </c>
      <c r="F259">
        <f t="shared" si="13"/>
        <v>0.10639009324009324</v>
      </c>
      <c r="G259" t="s">
        <v>261</v>
      </c>
      <c r="H259" s="4" cm="1">
        <f t="array" ref="H259">_xll.SNL.Clients.Office.Excel.Functions.SPG(G259, "SP_TOTAL_REV", "CY2023")</f>
        <v>15444000</v>
      </c>
      <c r="I259" s="4">
        <f>_xll.SNL.Clients.Office.Excel.Functions.SPG(G259,"IQ_AVG_DILUT_SHARES_OUT","CY2023")</f>
        <v>1850325000</v>
      </c>
      <c r="J259" s="5">
        <f>_xll.SNL.Clients.Office.Excel.Functions.SPG(G259, "IQ_DILUT_EPS_NORM", "CY2023")</f>
        <v>0.88800000000000001</v>
      </c>
      <c r="K259">
        <f t="shared" si="14"/>
        <v>1643088.6</v>
      </c>
      <c r="L259">
        <f t="shared" si="15"/>
        <v>0.10639009324009324</v>
      </c>
    </row>
    <row r="260" spans="1:12" x14ac:dyDescent="0.3">
      <c r="A260" t="s">
        <v>262</v>
      </c>
      <c r="B260" s="4" cm="1">
        <f t="array" ref="B260">_xll.SNL.Clients.Office.Excel.Functions.SPG(A260, "SP_TOTAL_REV", "CY2023")</f>
        <v>14814000</v>
      </c>
      <c r="C260" s="4">
        <f>_xll.SNL.Clients.Office.Excel.Functions.SPG(A260,"IQ_AVG_DILUT_SHARES_OUT","CY2023")</f>
        <v>1408400000</v>
      </c>
      <c r="D260" s="5">
        <f>_xll.SNL.Clients.Office.Excel.Functions.SPG(A260, "IQ_DILUT_EPS_NORM", "CY2023")</f>
        <v>1.2370000000000001</v>
      </c>
      <c r="E260">
        <f t="shared" si="12"/>
        <v>1742190.8000000003</v>
      </c>
      <c r="F260">
        <f t="shared" si="13"/>
        <v>0.11760434723909817</v>
      </c>
      <c r="G260" t="s">
        <v>262</v>
      </c>
      <c r="H260" s="4" cm="1">
        <f t="array" ref="H260">_xll.SNL.Clients.Office.Excel.Functions.SPG(G260, "SP_TOTAL_REV", "CY2023")</f>
        <v>14814000</v>
      </c>
      <c r="I260" s="4">
        <f>_xll.SNL.Clients.Office.Excel.Functions.SPG(G260,"IQ_AVG_DILUT_SHARES_OUT","CY2023")</f>
        <v>1408400000</v>
      </c>
      <c r="J260" s="5">
        <f>_xll.SNL.Clients.Office.Excel.Functions.SPG(G260, "IQ_DILUT_EPS_NORM", "CY2023")</f>
        <v>1.2370000000000001</v>
      </c>
      <c r="K260">
        <f t="shared" si="14"/>
        <v>1742190.8000000003</v>
      </c>
      <c r="L260">
        <f t="shared" si="15"/>
        <v>0.11760434723909817</v>
      </c>
    </row>
    <row r="261" spans="1:12" x14ac:dyDescent="0.3">
      <c r="A261" t="s">
        <v>263</v>
      </c>
      <c r="B261" s="4" cm="1">
        <f t="array" ref="B261">_xll.SNL.Clients.Office.Excel.Functions.SPG(A261, "SP_TOTAL_REV", "CY2023")</f>
        <v>6383000</v>
      </c>
      <c r="C261" s="4">
        <f>_xll.SNL.Clients.Office.Excel.Functions.SPG(A261,"IQ_AVG_DILUT_SHARES_OUT","CY2023")</f>
        <v>932759000</v>
      </c>
      <c r="D261" s="5">
        <f>_xll.SNL.Clients.Office.Excel.Functions.SPG(A261, "IQ_DILUT_EPS_NORM", "CY2023")</f>
        <v>0.83199999999999996</v>
      </c>
      <c r="E261">
        <f t="shared" ref="E261:E324" si="16">C261*D261/1000</f>
        <v>776055.48800000001</v>
      </c>
      <c r="F261">
        <f t="shared" ref="F261:F324" si="17">E261/B261</f>
        <v>0.12158162118126273</v>
      </c>
      <c r="G261" t="s">
        <v>263</v>
      </c>
      <c r="H261" s="4" cm="1">
        <f t="array" ref="H261">_xll.SNL.Clients.Office.Excel.Functions.SPG(G261, "SP_TOTAL_REV", "CY2023")</f>
        <v>6383000</v>
      </c>
      <c r="I261" s="4">
        <f>_xll.SNL.Clients.Office.Excel.Functions.SPG(G261,"IQ_AVG_DILUT_SHARES_OUT","CY2023")</f>
        <v>932759000</v>
      </c>
      <c r="J261" s="5">
        <f>_xll.SNL.Clients.Office.Excel.Functions.SPG(G261, "IQ_DILUT_EPS_NORM", "CY2023")</f>
        <v>0.83199999999999996</v>
      </c>
      <c r="K261">
        <f t="shared" ref="K261:K324" si="18">I261*J261/1000</f>
        <v>776055.48800000001</v>
      </c>
      <c r="L261">
        <f t="shared" ref="L261:L324" si="19">K261/H261</f>
        <v>0.12158162118126273</v>
      </c>
    </row>
    <row r="262" spans="1:12" x14ac:dyDescent="0.3">
      <c r="A262" t="s">
        <v>264</v>
      </c>
      <c r="B262" s="4" cm="1">
        <f t="array" ref="B262">_xll.SNL.Clients.Office.Excel.Functions.SPG(A262, "SP_TOTAL_REV", "CY2023")</f>
        <v>5342000</v>
      </c>
      <c r="C262" s="4">
        <f>_xll.SNL.Clients.Office.Excel.Functions.SPG(A262,"IQ_AVG_DILUT_SHARES_OUT","CY2023")</f>
        <v>178000000</v>
      </c>
      <c r="D262" s="5">
        <f>_xll.SNL.Clients.Office.Excel.Functions.SPG(A262, "IQ_DILUT_EPS_NORM", "CY2023")</f>
        <v>4.3860000000000001</v>
      </c>
      <c r="E262">
        <f t="shared" si="16"/>
        <v>780708</v>
      </c>
      <c r="F262">
        <f t="shared" si="17"/>
        <v>0.14614526394608759</v>
      </c>
      <c r="G262" t="s">
        <v>264</v>
      </c>
      <c r="H262" s="4" cm="1">
        <f t="array" ref="H262">_xll.SNL.Clients.Office.Excel.Functions.SPG(G262, "SP_TOTAL_REV", "CY2023")</f>
        <v>5342000</v>
      </c>
      <c r="I262" s="4">
        <f>_xll.SNL.Clients.Office.Excel.Functions.SPG(G262,"IQ_AVG_DILUT_SHARES_OUT","CY2023")</f>
        <v>178000000</v>
      </c>
      <c r="J262" s="5">
        <f>_xll.SNL.Clients.Office.Excel.Functions.SPG(G262, "IQ_DILUT_EPS_NORM", "CY2023")</f>
        <v>4.3860000000000001</v>
      </c>
      <c r="K262">
        <f t="shared" si="18"/>
        <v>780708</v>
      </c>
      <c r="L262">
        <f t="shared" si="19"/>
        <v>0.14614526394608759</v>
      </c>
    </row>
    <row r="263" spans="1:12" x14ac:dyDescent="0.3">
      <c r="A263" t="s">
        <v>265</v>
      </c>
      <c r="B263" s="4" cm="1">
        <f t="array" ref="B263">_xll.SNL.Clients.Office.Excel.Functions.SPG(A263, "SP_TOTAL_REV", "CY2023")</f>
        <v>20431000</v>
      </c>
      <c r="C263" s="4">
        <f>_xll.SNL.Clients.Office.Excel.Functions.SPG(A263,"IQ_AVG_DILUT_SHARES_OUT","CY2023")</f>
        <v>338800000</v>
      </c>
      <c r="D263" s="5">
        <f>_xll.SNL.Clients.Office.Excel.Functions.SPG(A263, "IQ_DILUT_EPS_NORM", "CY2023")</f>
        <v>5.2320000000000002</v>
      </c>
      <c r="E263">
        <f t="shared" si="16"/>
        <v>1772601.6</v>
      </c>
      <c r="F263">
        <f t="shared" si="17"/>
        <v>8.6760393519651521E-2</v>
      </c>
      <c r="G263" t="s">
        <v>265</v>
      </c>
      <c r="H263" s="4" cm="1">
        <f t="array" ref="H263">_xll.SNL.Clients.Office.Excel.Functions.SPG(G263, "SP_TOTAL_REV", "CY2023")</f>
        <v>20431000</v>
      </c>
      <c r="I263" s="4">
        <f>_xll.SNL.Clients.Office.Excel.Functions.SPG(G263,"IQ_AVG_DILUT_SHARES_OUT","CY2023")</f>
        <v>338800000</v>
      </c>
      <c r="J263" s="5">
        <f>_xll.SNL.Clients.Office.Excel.Functions.SPG(G263, "IQ_DILUT_EPS_NORM", "CY2023")</f>
        <v>5.2320000000000002</v>
      </c>
      <c r="K263">
        <f t="shared" si="18"/>
        <v>1772601.6</v>
      </c>
      <c r="L263">
        <f t="shared" si="19"/>
        <v>8.6760393519651521E-2</v>
      </c>
    </row>
    <row r="264" spans="1:12" x14ac:dyDescent="0.3">
      <c r="A264" t="s">
        <v>266</v>
      </c>
      <c r="B264" s="4" cm="1">
        <f t="array" ref="B264">_xll.SNL.Clients.Office.Excel.Functions.SPG(A264, "SP_TOTAL_REV", "CY2023")</f>
        <v>2087463</v>
      </c>
      <c r="C264" s="4">
        <f>_xll.SNL.Clients.Office.Excel.Functions.SPG(A264,"IQ_AVG_DILUT_SHARES_OUT","CY2023")</f>
        <v>618199000</v>
      </c>
      <c r="D264" s="5">
        <f>_xll.SNL.Clients.Office.Excel.Functions.SPG(A264, "IQ_DILUT_EPS_NORM", "CY2023")</f>
        <v>0.63800000000000001</v>
      </c>
      <c r="E264">
        <f t="shared" si="16"/>
        <v>394410.962</v>
      </c>
      <c r="F264">
        <f t="shared" si="17"/>
        <v>0.18894273191908073</v>
      </c>
      <c r="G264" t="s">
        <v>266</v>
      </c>
      <c r="H264" s="4" cm="1">
        <f t="array" ref="H264">_xll.SNL.Clients.Office.Excel.Functions.SPG(G264, "SP_TOTAL_REV", "CY2023")</f>
        <v>2087463</v>
      </c>
      <c r="I264" s="4">
        <f>_xll.SNL.Clients.Office.Excel.Functions.SPG(G264,"IQ_AVG_DILUT_SHARES_OUT","CY2023")</f>
        <v>618199000</v>
      </c>
      <c r="J264" s="5">
        <f>_xll.SNL.Clients.Office.Excel.Functions.SPG(G264, "IQ_DILUT_EPS_NORM", "CY2023")</f>
        <v>0.63800000000000001</v>
      </c>
      <c r="K264">
        <f t="shared" si="18"/>
        <v>394410.962</v>
      </c>
      <c r="L264">
        <f t="shared" si="19"/>
        <v>0.18894273191908073</v>
      </c>
    </row>
    <row r="265" spans="1:12" x14ac:dyDescent="0.3">
      <c r="A265" t="s">
        <v>267</v>
      </c>
      <c r="B265" s="4" cm="1">
        <f t="array" ref="B265">_xll.SNL.Clients.Office.Excel.Functions.SPG(A265, "SP_TOTAL_REV", "CY2023")</f>
        <v>15334000</v>
      </c>
      <c r="C265" s="4">
        <f>_xll.SNL.Clients.Office.Excel.Functions.SPG(A265,"IQ_AVG_DILUT_SHARES_OUT","CY2023")</f>
        <v>2234000000</v>
      </c>
      <c r="D265" s="5">
        <f>_xll.SNL.Clients.Office.Excel.Functions.SPG(A265, "IQ_DILUT_EPS_NORM", "CY2023")</f>
        <v>0.86699999999999999</v>
      </c>
      <c r="E265">
        <f t="shared" si="16"/>
        <v>1936878</v>
      </c>
      <c r="F265">
        <f t="shared" si="17"/>
        <v>0.12631263858093125</v>
      </c>
      <c r="G265" t="s">
        <v>267</v>
      </c>
      <c r="H265" s="4" cm="1">
        <f t="array" ref="H265">_xll.SNL.Clients.Office.Excel.Functions.SPG(G265, "SP_TOTAL_REV", "CY2023")</f>
        <v>15334000</v>
      </c>
      <c r="I265" s="4">
        <f>_xll.SNL.Clients.Office.Excel.Functions.SPG(G265,"IQ_AVG_DILUT_SHARES_OUT","CY2023")</f>
        <v>2234000000</v>
      </c>
      <c r="J265" s="5">
        <f>_xll.SNL.Clients.Office.Excel.Functions.SPG(G265, "IQ_DILUT_EPS_NORM", "CY2023")</f>
        <v>0.86699999999999999</v>
      </c>
      <c r="K265">
        <f t="shared" si="18"/>
        <v>1936878</v>
      </c>
      <c r="L265">
        <f t="shared" si="19"/>
        <v>0.12631263858093125</v>
      </c>
    </row>
    <row r="266" spans="1:12" x14ac:dyDescent="0.3">
      <c r="A266" t="s">
        <v>268</v>
      </c>
      <c r="B266" s="4" cm="1">
        <f t="array" ref="B266">_xll.SNL.Clients.Office.Excel.Functions.SPG(A266, "SP_TOTAL_REV", "CY2023")</f>
        <v>18663644</v>
      </c>
      <c r="C266" s="4">
        <f>_xll.SNL.Clients.Office.Excel.Functions.SPG(A266,"IQ_AVG_DILUT_SHARES_OUT","CY2023")</f>
        <v>911787433</v>
      </c>
      <c r="D266" s="5">
        <f>_xll.SNL.Clients.Office.Excel.Functions.SPG(A266, "IQ_DILUT_EPS_NORM", "CY2023")</f>
        <v>2.7109999999999999</v>
      </c>
      <c r="E266">
        <f t="shared" si="16"/>
        <v>2471855.7308629998</v>
      </c>
      <c r="F266">
        <f t="shared" si="17"/>
        <v>0.13244228891544438</v>
      </c>
      <c r="G266" t="s">
        <v>268</v>
      </c>
      <c r="H266" s="4" cm="1">
        <f t="array" ref="H266">_xll.SNL.Clients.Office.Excel.Functions.SPG(G266, "SP_TOTAL_REV", "CY2023")</f>
        <v>18663644</v>
      </c>
      <c r="I266" s="4">
        <f>_xll.SNL.Clients.Office.Excel.Functions.SPG(G266,"IQ_AVG_DILUT_SHARES_OUT","CY2023")</f>
        <v>911787433</v>
      </c>
      <c r="J266" s="5">
        <f>_xll.SNL.Clients.Office.Excel.Functions.SPG(G266, "IQ_DILUT_EPS_NORM", "CY2023")</f>
        <v>2.7109999999999999</v>
      </c>
      <c r="K266">
        <f t="shared" si="18"/>
        <v>2471855.7308629998</v>
      </c>
      <c r="L266">
        <f t="shared" si="19"/>
        <v>0.13244228891544438</v>
      </c>
    </row>
    <row r="267" spans="1:12" x14ac:dyDescent="0.3">
      <c r="A267" t="s">
        <v>269</v>
      </c>
      <c r="B267" s="4" cm="1">
        <f t="array" ref="B267">_xll.SNL.Clients.Office.Excel.Functions.SPG(A267, "SP_TOTAL_REV", "CY2023")</f>
        <v>9671427</v>
      </c>
      <c r="C267" s="4">
        <f>_xll.SNL.Clients.Office.Excel.Functions.SPG(A267,"IQ_AVG_DILUT_SHARES_OUT","CY2023")</f>
        <v>137443000</v>
      </c>
      <c r="D267" s="5">
        <f>_xll.SNL.Clients.Office.Excel.Functions.SPG(A267, "IQ_DILUT_EPS_NORM", "CY2023")</f>
        <v>15.047000000000001</v>
      </c>
      <c r="E267">
        <f t="shared" si="16"/>
        <v>2068104.821</v>
      </c>
      <c r="F267">
        <f t="shared" si="17"/>
        <v>0.21383657458201361</v>
      </c>
      <c r="G267" t="s">
        <v>269</v>
      </c>
      <c r="H267" s="4" cm="1">
        <f t="array" ref="H267">_xll.SNL.Clients.Office.Excel.Functions.SPG(G267, "SP_TOTAL_REV", "CY2023")</f>
        <v>9671427</v>
      </c>
      <c r="I267" s="4">
        <f>_xll.SNL.Clients.Office.Excel.Functions.SPG(G267,"IQ_AVG_DILUT_SHARES_OUT","CY2023")</f>
        <v>137443000</v>
      </c>
      <c r="J267" s="5">
        <f>_xll.SNL.Clients.Office.Excel.Functions.SPG(G267, "IQ_DILUT_EPS_NORM", "CY2023")</f>
        <v>15.047000000000001</v>
      </c>
      <c r="K267">
        <f t="shared" si="18"/>
        <v>2068104.821</v>
      </c>
      <c r="L267">
        <f t="shared" si="19"/>
        <v>0.21383657458201361</v>
      </c>
    </row>
    <row r="268" spans="1:12" x14ac:dyDescent="0.3">
      <c r="A268" t="s">
        <v>270</v>
      </c>
      <c r="B268" s="4" cm="1">
        <f t="array" ref="B268">_xll.SNL.Clients.Office.Excel.Functions.SPG(A268, "SP_TOTAL_REV", "CY2023")</f>
        <v>19419000</v>
      </c>
      <c r="C268" s="4">
        <f>_xll.SNL.Clients.Office.Excel.Functions.SPG(A268,"IQ_AVG_DILUT_SHARES_OUT","CY2023")</f>
        <v>190600000</v>
      </c>
      <c r="D268" s="5">
        <f>_xll.SNL.Clients.Office.Excel.Functions.SPG(A268, "IQ_DILUT_EPS_NORM", "CY2023")</f>
        <v>6.0449999999999999</v>
      </c>
      <c r="E268">
        <f t="shared" si="16"/>
        <v>1152177</v>
      </c>
      <c r="F268">
        <f t="shared" si="17"/>
        <v>5.9332457902054686E-2</v>
      </c>
      <c r="G268" t="s">
        <v>270</v>
      </c>
      <c r="H268" s="4" cm="1">
        <f t="array" ref="H268">_xll.SNL.Clients.Office.Excel.Functions.SPG(G268, "SP_TOTAL_REV", "CY2023")</f>
        <v>19419000</v>
      </c>
      <c r="I268" s="4">
        <f>_xll.SNL.Clients.Office.Excel.Functions.SPG(G268,"IQ_AVG_DILUT_SHARES_OUT","CY2023")</f>
        <v>190600000</v>
      </c>
      <c r="J268" s="5">
        <f>_xll.SNL.Clients.Office.Excel.Functions.SPG(G268, "IQ_DILUT_EPS_NORM", "CY2023")</f>
        <v>6.0449999999999999</v>
      </c>
      <c r="K268">
        <f t="shared" si="18"/>
        <v>1152177</v>
      </c>
      <c r="L268">
        <f t="shared" si="19"/>
        <v>5.9332457902054686E-2</v>
      </c>
    </row>
    <row r="269" spans="1:12" x14ac:dyDescent="0.3">
      <c r="A269" t="s">
        <v>271</v>
      </c>
      <c r="B269" s="4" cm="1">
        <f t="array" ref="B269">_xll.SNL.Clients.Office.Excel.Functions.SPG(A269, "SP_TOTAL_REV", "CY2023")</f>
        <v>12161600</v>
      </c>
      <c r="C269" s="4">
        <f>_xll.SNL.Clients.Office.Excel.Functions.SPG(A269,"IQ_AVG_DILUT_SHARES_OUT","CY2023")</f>
        <v>87600000</v>
      </c>
      <c r="D269" s="5">
        <f>_xll.SNL.Clients.Office.Excel.Functions.SPG(A269, "IQ_DILUT_EPS_NORM", "CY2023")</f>
        <v>7.2140000000000004</v>
      </c>
      <c r="E269">
        <f t="shared" si="16"/>
        <v>631946.4</v>
      </c>
      <c r="F269">
        <f t="shared" si="17"/>
        <v>5.196243915274306E-2</v>
      </c>
      <c r="G269" t="s">
        <v>271</v>
      </c>
      <c r="H269" s="4" cm="1">
        <f t="array" ref="H269">_xll.SNL.Clients.Office.Excel.Functions.SPG(G269, "SP_TOTAL_REV", "CY2023")</f>
        <v>12161600</v>
      </c>
      <c r="I269" s="4">
        <f>_xll.SNL.Clients.Office.Excel.Functions.SPG(G269,"IQ_AVG_DILUT_SHARES_OUT","CY2023")</f>
        <v>87600000</v>
      </c>
      <c r="J269" s="5">
        <f>_xll.SNL.Clients.Office.Excel.Functions.SPG(G269, "IQ_DILUT_EPS_NORM", "CY2023")</f>
        <v>7.2140000000000004</v>
      </c>
      <c r="K269">
        <f t="shared" si="18"/>
        <v>631946.4</v>
      </c>
      <c r="L269">
        <f t="shared" si="19"/>
        <v>5.196243915274306E-2</v>
      </c>
    </row>
    <row r="270" spans="1:12" x14ac:dyDescent="0.3">
      <c r="A270" t="s">
        <v>272</v>
      </c>
      <c r="B270" s="4" cm="1">
        <f t="array" ref="B270">_xll.SNL.Clients.Office.Excel.Functions.SPG(A270, "SP_TOTAL_REV", "CY2023")</f>
        <v>14317147</v>
      </c>
      <c r="C270" s="4">
        <f>_xll.SNL.Clients.Office.Excel.Functions.SPG(A270,"IQ_AVG_DILUT_SHARES_OUT","CY2023")</f>
        <v>1337935000</v>
      </c>
      <c r="D270" s="5">
        <f>_xll.SNL.Clients.Office.Excel.Functions.SPG(A270, "IQ_DILUT_EPS_NORM", "CY2023")</f>
        <v>1.8979999999999999</v>
      </c>
      <c r="E270">
        <f t="shared" si="16"/>
        <v>2539400.63</v>
      </c>
      <c r="F270">
        <f t="shared" si="17"/>
        <v>0.17736778353955573</v>
      </c>
      <c r="G270" t="s">
        <v>272</v>
      </c>
      <c r="H270" s="4" cm="1">
        <f t="array" ref="H270">_xll.SNL.Clients.Office.Excel.Functions.SPG(G270, "SP_TOTAL_REV", "CY2023")</f>
        <v>14317147</v>
      </c>
      <c r="I270" s="4">
        <f>_xll.SNL.Clients.Office.Excel.Functions.SPG(G270,"IQ_AVG_DILUT_SHARES_OUT","CY2023")</f>
        <v>1337935000</v>
      </c>
      <c r="J270" s="5">
        <f>_xll.SNL.Clients.Office.Excel.Functions.SPG(G270, "IQ_DILUT_EPS_NORM", "CY2023")</f>
        <v>1.8979999999999999</v>
      </c>
      <c r="K270">
        <f t="shared" si="18"/>
        <v>2539400.63</v>
      </c>
      <c r="L270">
        <f t="shared" si="19"/>
        <v>0.17736778353955573</v>
      </c>
    </row>
    <row r="271" spans="1:12" x14ac:dyDescent="0.3">
      <c r="A271" t="s">
        <v>273</v>
      </c>
      <c r="B271" s="4" cm="1">
        <f t="array" ref="B271">_xll.SNL.Clients.Office.Excel.Functions.SPG(A271, "SP_TOTAL_REV", "CY2023")</f>
        <v>6345900</v>
      </c>
      <c r="C271" s="4">
        <f>_xll.SNL.Clients.Office.Excel.Functions.SPG(A271,"IQ_AVG_DILUT_SHARES_OUT","CY2023")</f>
        <v>145900000</v>
      </c>
      <c r="D271" s="5">
        <f>_xll.SNL.Clients.Office.Excel.Functions.SPG(A271, "IQ_DILUT_EPS_NORM", "CY2023")</f>
        <v>6.1479999999999997</v>
      </c>
      <c r="E271">
        <f t="shared" si="16"/>
        <v>896993.2</v>
      </c>
      <c r="F271">
        <f t="shared" si="17"/>
        <v>0.14135003703178428</v>
      </c>
      <c r="G271" t="s">
        <v>273</v>
      </c>
      <c r="H271" s="4" cm="1">
        <f t="array" ref="H271">_xll.SNL.Clients.Office.Excel.Functions.SPG(G271, "SP_TOTAL_REV", "CY2023")</f>
        <v>6345900</v>
      </c>
      <c r="I271" s="4">
        <f>_xll.SNL.Clients.Office.Excel.Functions.SPG(G271,"IQ_AVG_DILUT_SHARES_OUT","CY2023")</f>
        <v>145900000</v>
      </c>
      <c r="J271" s="5">
        <f>_xll.SNL.Clients.Office.Excel.Functions.SPG(G271, "IQ_DILUT_EPS_NORM", "CY2023")</f>
        <v>6.1479999999999997</v>
      </c>
      <c r="K271">
        <f t="shared" si="18"/>
        <v>896993.2</v>
      </c>
      <c r="L271">
        <f t="shared" si="19"/>
        <v>0.14135003703178428</v>
      </c>
    </row>
    <row r="272" spans="1:12" x14ac:dyDescent="0.3">
      <c r="A272" t="s">
        <v>274</v>
      </c>
      <c r="B272" s="4" cm="1">
        <f t="array" ref="B272">_xll.SNL.Clients.Office.Excel.Functions.SPG(A272, "SP_TOTAL_REV", "CY2023")</f>
        <v>10372000</v>
      </c>
      <c r="C272" s="4">
        <f>_xll.SNL.Clients.Office.Excel.Functions.SPG(A272,"IQ_AVG_DILUT_SHARES_OUT","CY2023")</f>
        <v>765000000</v>
      </c>
      <c r="D272" s="5">
        <f>_xll.SNL.Clients.Office.Excel.Functions.SPG(A272, "IQ_DILUT_EPS_NORM", "CY2023")</f>
        <v>1.198</v>
      </c>
      <c r="E272">
        <f t="shared" si="16"/>
        <v>916470</v>
      </c>
      <c r="F272">
        <f t="shared" si="17"/>
        <v>8.836000771307366E-2</v>
      </c>
      <c r="G272" t="s">
        <v>274</v>
      </c>
      <c r="H272" s="4" cm="1">
        <f t="array" ref="H272">_xll.SNL.Clients.Office.Excel.Functions.SPG(G272, "SP_TOTAL_REV", "CY2023")</f>
        <v>10372000</v>
      </c>
      <c r="I272" s="4">
        <f>_xll.SNL.Clients.Office.Excel.Functions.SPG(G272,"IQ_AVG_DILUT_SHARES_OUT","CY2023")</f>
        <v>765000000</v>
      </c>
      <c r="J272" s="5">
        <f>_xll.SNL.Clients.Office.Excel.Functions.SPG(G272, "IQ_DILUT_EPS_NORM", "CY2023")</f>
        <v>1.198</v>
      </c>
      <c r="K272">
        <f t="shared" si="18"/>
        <v>916470</v>
      </c>
      <c r="L272">
        <f t="shared" si="19"/>
        <v>8.836000771307366E-2</v>
      </c>
    </row>
    <row r="273" spans="1:12" x14ac:dyDescent="0.3">
      <c r="A273" t="s">
        <v>275</v>
      </c>
      <c r="B273" s="4" cm="1">
        <f t="array" ref="B273">_xll.SNL.Clients.Office.Excel.Functions.SPG(A273, "SP_TOTAL_REV", "CY2023")</f>
        <v>15438000</v>
      </c>
      <c r="C273" s="4">
        <f>_xll.SNL.Clients.Office.Excel.Functions.SPG(A273,"IQ_AVG_DILUT_SHARES_OUT","CY2023")</f>
        <v>138000000</v>
      </c>
      <c r="D273" s="5">
        <f>_xll.SNL.Clients.Office.Excel.Functions.SPG(A273, "IQ_DILUT_EPS_NORM", "CY2023")</f>
        <v>4.9800000000000004</v>
      </c>
      <c r="E273">
        <f t="shared" si="16"/>
        <v>687240</v>
      </c>
      <c r="F273">
        <f t="shared" si="17"/>
        <v>4.4516129032258066E-2</v>
      </c>
      <c r="G273" t="s">
        <v>275</v>
      </c>
      <c r="H273" s="4" cm="1">
        <f t="array" ref="H273">_xll.SNL.Clients.Office.Excel.Functions.SPG(G273, "SP_TOTAL_REV", "CY2023")</f>
        <v>15438000</v>
      </c>
      <c r="I273" s="4">
        <f>_xll.SNL.Clients.Office.Excel.Functions.SPG(G273,"IQ_AVG_DILUT_SHARES_OUT","CY2023")</f>
        <v>138000000</v>
      </c>
      <c r="J273" s="5">
        <f>_xll.SNL.Clients.Office.Excel.Functions.SPG(G273, "IQ_DILUT_EPS_NORM", "CY2023")</f>
        <v>4.9800000000000004</v>
      </c>
      <c r="K273">
        <f t="shared" si="18"/>
        <v>687240</v>
      </c>
      <c r="L273">
        <f t="shared" si="19"/>
        <v>4.4516129032258066E-2</v>
      </c>
    </row>
    <row r="274" spans="1:12" x14ac:dyDescent="0.3">
      <c r="A274" t="s">
        <v>276</v>
      </c>
      <c r="B274" s="4" cm="1">
        <f t="array" ref="B274">_xll.SNL.Clients.Office.Excel.Functions.SPG(A274, "SP_TOTAL_REV", "CY2023")</f>
        <v>34233366</v>
      </c>
      <c r="C274" s="4">
        <f>_xll.SNL.Clients.Office.Excel.Functions.SPG(A274,"IQ_AVG_DILUT_SHARES_OUT","CY2023")</f>
        <v>283319000</v>
      </c>
      <c r="D274" s="5">
        <f>_xll.SNL.Clients.Office.Excel.Functions.SPG(A274, "IQ_DILUT_EPS_NORM", "CY2023")</f>
        <v>11.507</v>
      </c>
      <c r="E274">
        <f t="shared" si="16"/>
        <v>3260151.733</v>
      </c>
      <c r="F274">
        <f t="shared" si="17"/>
        <v>9.5233163253651429E-2</v>
      </c>
      <c r="G274" t="s">
        <v>276</v>
      </c>
      <c r="H274" s="4" cm="1">
        <f t="array" ref="H274">_xll.SNL.Clients.Office.Excel.Functions.SPG(G274, "SP_TOTAL_REV", "CY2023")</f>
        <v>34233366</v>
      </c>
      <c r="I274" s="4">
        <f>_xll.SNL.Clients.Office.Excel.Functions.SPG(G274,"IQ_AVG_DILUT_SHARES_OUT","CY2023")</f>
        <v>283319000</v>
      </c>
      <c r="J274" s="5">
        <f>_xll.SNL.Clients.Office.Excel.Functions.SPG(G274, "IQ_DILUT_EPS_NORM", "CY2023")</f>
        <v>11.507</v>
      </c>
      <c r="K274">
        <f t="shared" si="18"/>
        <v>3260151.733</v>
      </c>
      <c r="L274">
        <f t="shared" si="19"/>
        <v>9.5233163253651429E-2</v>
      </c>
    </row>
    <row r="275" spans="1:12" x14ac:dyDescent="0.3">
      <c r="A275" t="s">
        <v>277</v>
      </c>
      <c r="B275" s="4" cm="1">
        <f t="array" ref="B275">_xll.SNL.Clients.Office.Excel.Functions.SPG(A275, "SP_TOTAL_REV", "CY2023")</f>
        <v>4981900</v>
      </c>
      <c r="C275" s="4">
        <f>_xll.SNL.Clients.Office.Excel.Functions.SPG(A275,"IQ_AVG_DILUT_SHARES_OUT","CY2023")</f>
        <v>35700000</v>
      </c>
      <c r="D275" s="5">
        <f>_xll.SNL.Clients.Office.Excel.Functions.SPG(A275, "IQ_DILUT_EPS_NORM", "CY2023")</f>
        <v>13.831</v>
      </c>
      <c r="E275">
        <f t="shared" si="16"/>
        <v>493766.7</v>
      </c>
      <c r="F275">
        <f t="shared" si="17"/>
        <v>9.9112125895742587E-2</v>
      </c>
      <c r="G275" t="s">
        <v>277</v>
      </c>
      <c r="H275" s="4" cm="1">
        <f t="array" ref="H275">_xll.SNL.Clients.Office.Excel.Functions.SPG(G275, "SP_TOTAL_REV", "CY2023")</f>
        <v>4981900</v>
      </c>
      <c r="I275" s="4">
        <f>_xll.SNL.Clients.Office.Excel.Functions.SPG(G275,"IQ_AVG_DILUT_SHARES_OUT","CY2023")</f>
        <v>35700000</v>
      </c>
      <c r="J275" s="5">
        <f>_xll.SNL.Clients.Office.Excel.Functions.SPG(G275, "IQ_DILUT_EPS_NORM", "CY2023")</f>
        <v>13.831</v>
      </c>
      <c r="K275">
        <f t="shared" si="18"/>
        <v>493766.7</v>
      </c>
      <c r="L275">
        <f t="shared" si="19"/>
        <v>9.9112125895742587E-2</v>
      </c>
    </row>
    <row r="276" spans="1:12" x14ac:dyDescent="0.3">
      <c r="A276" t="s">
        <v>278</v>
      </c>
      <c r="B276" s="4" cm="1">
        <f t="array" ref="B276">_xll.SNL.Clients.Office.Excel.Functions.SPG(A276, "SP_TOTAL_REV", "CY2023")</f>
        <v>32854000</v>
      </c>
      <c r="C276" s="4">
        <f>_xll.SNL.Clients.Office.Excel.Functions.SPG(A276,"IQ_AVG_DILUT_SHARES_OUT","CY2023")</f>
        <v>492290000</v>
      </c>
      <c r="D276" s="5">
        <f>_xll.SNL.Clients.Office.Excel.Functions.SPG(A276, "IQ_DILUT_EPS_NORM", "CY2023")</f>
        <v>10.122999999999999</v>
      </c>
      <c r="E276">
        <f t="shared" si="16"/>
        <v>4983451.67</v>
      </c>
      <c r="F276">
        <f t="shared" si="17"/>
        <v>0.15168477719607962</v>
      </c>
      <c r="G276" t="s">
        <v>278</v>
      </c>
      <c r="H276" s="4" cm="1">
        <f t="array" ref="H276">_xll.SNL.Clients.Office.Excel.Functions.SPG(G276, "SP_TOTAL_REV", "CY2023")</f>
        <v>32854000</v>
      </c>
      <c r="I276" s="4">
        <f>_xll.SNL.Clients.Office.Excel.Functions.SPG(G276,"IQ_AVG_DILUT_SHARES_OUT","CY2023")</f>
        <v>492290000</v>
      </c>
      <c r="J276" s="5">
        <f>_xll.SNL.Clients.Office.Excel.Functions.SPG(G276, "IQ_DILUT_EPS_NORM", "CY2023")</f>
        <v>10.122999999999999</v>
      </c>
      <c r="K276">
        <f t="shared" si="18"/>
        <v>4983451.67</v>
      </c>
      <c r="L276">
        <f t="shared" si="19"/>
        <v>0.15168477719607962</v>
      </c>
    </row>
    <row r="277" spans="1:12" x14ac:dyDescent="0.3">
      <c r="A277" t="s">
        <v>279</v>
      </c>
      <c r="B277" s="4" cm="1">
        <f t="array" ref="B277">_xll.SNL.Clients.Office.Excel.Functions.SPG(A277, "SP_TOTAL_REV", "CY2023")</f>
        <v>22749073</v>
      </c>
      <c r="C277" s="4">
        <f>_xll.SNL.Clients.Office.Excel.Functions.SPG(A277,"IQ_AVG_DILUT_SHARES_OUT","CY2023")</f>
        <v>230977326</v>
      </c>
      <c r="D277" s="5">
        <f>_xll.SNL.Clients.Office.Excel.Functions.SPG(A277, "IQ_DILUT_EPS_NORM", "CY2023")</f>
        <v>1.8029999999999999</v>
      </c>
      <c r="E277">
        <f t="shared" si="16"/>
        <v>416452.118778</v>
      </c>
      <c r="F277">
        <f t="shared" si="17"/>
        <v>1.8306333571394315E-2</v>
      </c>
      <c r="G277" t="s">
        <v>279</v>
      </c>
      <c r="H277" s="4" cm="1">
        <f t="array" ref="H277">_xll.SNL.Clients.Office.Excel.Functions.SPG(G277, "SP_TOTAL_REV", "CY2023")</f>
        <v>22749073</v>
      </c>
      <c r="I277" s="4">
        <f>_xll.SNL.Clients.Office.Excel.Functions.SPG(G277,"IQ_AVG_DILUT_SHARES_OUT","CY2023")</f>
        <v>230977326</v>
      </c>
      <c r="J277" s="5">
        <f>_xll.SNL.Clients.Office.Excel.Functions.SPG(G277, "IQ_DILUT_EPS_NORM", "CY2023")</f>
        <v>1.8029999999999999</v>
      </c>
      <c r="K277">
        <f t="shared" si="18"/>
        <v>416452.118778</v>
      </c>
      <c r="L277">
        <f t="shared" si="19"/>
        <v>1.8306333571394315E-2</v>
      </c>
    </row>
    <row r="278" spans="1:12" x14ac:dyDescent="0.3">
      <c r="A278" t="s">
        <v>280</v>
      </c>
      <c r="B278" s="4" cm="1">
        <f t="array" ref="B278">_xll.SNL.Clients.Office.Excel.Functions.SPG(A278, "SP_TOTAL_REV", "CY2023")</f>
        <v>13866000</v>
      </c>
      <c r="C278" s="4">
        <f>_xll.SNL.Clients.Office.Excel.Functions.SPG(A278,"IQ_AVG_DILUT_SHARES_OUT","CY2023")</f>
        <v>268300000</v>
      </c>
      <c r="D278" s="5">
        <f>_xll.SNL.Clients.Office.Excel.Functions.SPG(A278, "IQ_DILUT_EPS_NORM", "CY2023")</f>
        <v>2.9529999999999998</v>
      </c>
      <c r="E278">
        <f t="shared" si="16"/>
        <v>792289.9</v>
      </c>
      <c r="F278">
        <f t="shared" si="17"/>
        <v>5.7139037934516086E-2</v>
      </c>
      <c r="G278" t="s">
        <v>280</v>
      </c>
      <c r="H278" s="4" cm="1">
        <f t="array" ref="H278">_xll.SNL.Clients.Office.Excel.Functions.SPG(G278, "SP_TOTAL_REV", "CY2023")</f>
        <v>13866000</v>
      </c>
      <c r="I278" s="4">
        <f>_xll.SNL.Clients.Office.Excel.Functions.SPG(G278,"IQ_AVG_DILUT_SHARES_OUT","CY2023")</f>
        <v>268300000</v>
      </c>
      <c r="J278" s="5">
        <f>_xll.SNL.Clients.Office.Excel.Functions.SPG(G278, "IQ_DILUT_EPS_NORM", "CY2023")</f>
        <v>2.9529999999999998</v>
      </c>
      <c r="K278">
        <f t="shared" si="18"/>
        <v>792289.9</v>
      </c>
      <c r="L278">
        <f t="shared" si="19"/>
        <v>5.7139037934516086E-2</v>
      </c>
    </row>
    <row r="279" spans="1:12" x14ac:dyDescent="0.3">
      <c r="A279" t="s">
        <v>281</v>
      </c>
      <c r="B279" s="4" cm="1">
        <f t="array" ref="B279">_xll.SNL.Clients.Office.Excel.Functions.SPG(A279, "SP_TOTAL_REV", "CY2023")</f>
        <v>67571000</v>
      </c>
      <c r="C279" s="4">
        <f>_xll.SNL.Clients.Office.Excel.Functions.SPG(A279,"IQ_AVG_DILUT_SHARES_OUT","CY2023")</f>
        <v>251200000</v>
      </c>
      <c r="D279" s="5">
        <f>_xll.SNL.Clients.Office.Excel.Functions.SPG(A279, "IQ_DILUT_EPS_NORM", "CY2023")</f>
        <v>20.536000000000001</v>
      </c>
      <c r="E279">
        <f t="shared" si="16"/>
        <v>5158643.2</v>
      </c>
      <c r="F279">
        <f t="shared" si="17"/>
        <v>7.6344041082713004E-2</v>
      </c>
      <c r="G279" t="s">
        <v>281</v>
      </c>
      <c r="H279" s="4" cm="1">
        <f t="array" ref="H279">_xll.SNL.Clients.Office.Excel.Functions.SPG(G279, "SP_TOTAL_REV", "CY2023")</f>
        <v>67571000</v>
      </c>
      <c r="I279" s="4">
        <f>_xll.SNL.Clients.Office.Excel.Functions.SPG(G279,"IQ_AVG_DILUT_SHARES_OUT","CY2023")</f>
        <v>251200000</v>
      </c>
      <c r="J279" s="5">
        <f>_xll.SNL.Clients.Office.Excel.Functions.SPG(G279, "IQ_DILUT_EPS_NORM", "CY2023")</f>
        <v>20.536000000000001</v>
      </c>
      <c r="K279">
        <f t="shared" si="18"/>
        <v>5158643.2</v>
      </c>
      <c r="L279">
        <f t="shared" si="19"/>
        <v>7.6344041082713004E-2</v>
      </c>
    </row>
    <row r="280" spans="1:12" x14ac:dyDescent="0.3">
      <c r="A280" t="s">
        <v>282</v>
      </c>
      <c r="B280" s="4" cm="1">
        <f t="array" ref="B280">_xll.SNL.Clients.Office.Excel.Functions.SPG(A280, "SP_TOTAL_REV", "CY2023")</f>
        <v>15855000</v>
      </c>
      <c r="C280" s="4">
        <f>_xll.SNL.Clients.Office.Excel.Functions.SPG(A280,"IQ_AVG_DILUT_SHARES_OUT","CY2023")</f>
        <v>227810000</v>
      </c>
      <c r="D280" s="5">
        <f>_xll.SNL.Clients.Office.Excel.Functions.SPG(A280, "IQ_DILUT_EPS_NORM", "CY2023")</f>
        <v>5.0220000000000002</v>
      </c>
      <c r="E280">
        <f t="shared" si="16"/>
        <v>1144061.82</v>
      </c>
      <c r="F280">
        <f t="shared" si="17"/>
        <v>7.2157793755912969E-2</v>
      </c>
      <c r="G280" t="s">
        <v>282</v>
      </c>
      <c r="H280" s="4" cm="1">
        <f t="array" ref="H280">_xll.SNL.Clients.Office.Excel.Functions.SPG(G280, "SP_TOTAL_REV", "CY2023")</f>
        <v>15855000</v>
      </c>
      <c r="I280" s="4">
        <f>_xll.SNL.Clients.Office.Excel.Functions.SPG(G280,"IQ_AVG_DILUT_SHARES_OUT","CY2023")</f>
        <v>227810000</v>
      </c>
      <c r="J280" s="5">
        <f>_xll.SNL.Clients.Office.Excel.Functions.SPG(G280, "IQ_DILUT_EPS_NORM", "CY2023")</f>
        <v>5.0220000000000002</v>
      </c>
      <c r="K280">
        <f t="shared" si="18"/>
        <v>1144061.82</v>
      </c>
      <c r="L280">
        <f t="shared" si="19"/>
        <v>7.2157793755912969E-2</v>
      </c>
    </row>
    <row r="281" spans="1:12" x14ac:dyDescent="0.3">
      <c r="A281" t="s">
        <v>283</v>
      </c>
      <c r="B281" s="4" cm="1">
        <f t="array" ref="B281">_xll.SNL.Clients.Office.Excel.Functions.SPG(A281, "SP_TOTAL_REV", "CY2023")</f>
        <v>86377000</v>
      </c>
      <c r="C281" s="4">
        <f>_xll.SNL.Clients.Office.Excel.Functions.SPG(A281,"IQ_AVG_DILUT_SHARES_OUT","CY2023")</f>
        <v>584000000</v>
      </c>
      <c r="D281" s="5">
        <f>_xll.SNL.Clients.Office.Excel.Functions.SPG(A281, "IQ_DILUT_EPS_NORM", "CY2023")</f>
        <v>10.888999999999999</v>
      </c>
      <c r="E281">
        <f t="shared" si="16"/>
        <v>6359176</v>
      </c>
      <c r="F281">
        <f t="shared" si="17"/>
        <v>7.3621172302812093E-2</v>
      </c>
      <c r="G281" t="s">
        <v>283</v>
      </c>
      <c r="H281" s="4" cm="1">
        <f t="array" ref="H281">_xll.SNL.Clients.Office.Excel.Functions.SPG(G281, "SP_TOTAL_REV", "CY2023")</f>
        <v>86377000</v>
      </c>
      <c r="I281" s="4">
        <f>_xll.SNL.Clients.Office.Excel.Functions.SPG(G281,"IQ_AVG_DILUT_SHARES_OUT","CY2023")</f>
        <v>584000000</v>
      </c>
      <c r="J281" s="5">
        <f>_xll.SNL.Clients.Office.Excel.Functions.SPG(G281, "IQ_DILUT_EPS_NORM", "CY2023")</f>
        <v>10.888999999999999</v>
      </c>
      <c r="K281">
        <f t="shared" si="18"/>
        <v>6359176</v>
      </c>
      <c r="L281">
        <f t="shared" si="19"/>
        <v>7.3621172302812093E-2</v>
      </c>
    </row>
    <row r="282" spans="1:12" x14ac:dyDescent="0.3">
      <c r="A282" t="s">
        <v>284</v>
      </c>
      <c r="B282" s="4" cm="1">
        <f t="array" ref="B282">_xll.SNL.Clients.Office.Excel.Functions.SPG(A282, "SP_TOTAL_REV", "CY2023")</f>
        <v>9619278</v>
      </c>
      <c r="C282" s="4">
        <f>_xll.SNL.Clients.Office.Excel.Functions.SPG(A282,"IQ_AVG_DILUT_SHARES_OUT","CY2023")</f>
        <v>127060000</v>
      </c>
      <c r="D282" s="5">
        <f>_xll.SNL.Clients.Office.Excel.Functions.SPG(A282, "IQ_DILUT_EPS_NORM", "CY2023")</f>
        <v>11.069000000000001</v>
      </c>
      <c r="E282">
        <f t="shared" si="16"/>
        <v>1406427.14</v>
      </c>
      <c r="F282">
        <f t="shared" si="17"/>
        <v>0.14620922069203113</v>
      </c>
      <c r="G282" t="s">
        <v>284</v>
      </c>
      <c r="H282" s="4" cm="1">
        <f t="array" ref="H282">_xll.SNL.Clients.Office.Excel.Functions.SPG(G282, "SP_TOTAL_REV", "CY2023")</f>
        <v>9619278</v>
      </c>
      <c r="I282" s="4">
        <f>_xll.SNL.Clients.Office.Excel.Functions.SPG(G282,"IQ_AVG_DILUT_SHARES_OUT","CY2023")</f>
        <v>127060000</v>
      </c>
      <c r="J282" s="5">
        <f>_xll.SNL.Clients.Office.Excel.Functions.SPG(G282, "IQ_DILUT_EPS_NORM", "CY2023")</f>
        <v>11.069000000000001</v>
      </c>
      <c r="K282">
        <f t="shared" si="18"/>
        <v>1406427.14</v>
      </c>
      <c r="L282">
        <f t="shared" si="19"/>
        <v>0.14620922069203113</v>
      </c>
    </row>
    <row r="283" spans="1:12" x14ac:dyDescent="0.3">
      <c r="A283" t="s">
        <v>285</v>
      </c>
      <c r="B283" s="4" cm="1">
        <f t="array" ref="B283">_xll.SNL.Clients.Office.Excel.Functions.SPG(A283, "SP_TOTAL_REV", "CY2023")</f>
        <v>41107000</v>
      </c>
      <c r="C283" s="4">
        <f>_xll.SNL.Clients.Office.Excel.Functions.SPG(A283,"IQ_AVG_DILUT_SHARES_OUT","CY2023")</f>
        <v>326000000</v>
      </c>
      <c r="D283" s="5">
        <f>_xll.SNL.Clients.Office.Excel.Functions.SPG(A283, "IQ_DILUT_EPS_NORM", "CY2023")</f>
        <v>6.016</v>
      </c>
      <c r="E283">
        <f t="shared" si="16"/>
        <v>1961216</v>
      </c>
      <c r="F283">
        <f t="shared" si="17"/>
        <v>4.7710025056559711E-2</v>
      </c>
      <c r="G283" t="s">
        <v>285</v>
      </c>
      <c r="H283" s="4" cm="1">
        <f t="array" ref="H283">_xll.SNL.Clients.Office.Excel.Functions.SPG(G283, "SP_TOTAL_REV", "CY2023")</f>
        <v>41107000</v>
      </c>
      <c r="I283" s="4">
        <f>_xll.SNL.Clients.Office.Excel.Functions.SPG(G283,"IQ_AVG_DILUT_SHARES_OUT","CY2023")</f>
        <v>326000000</v>
      </c>
      <c r="J283" s="5">
        <f>_xll.SNL.Clients.Office.Excel.Functions.SPG(G283, "IQ_DILUT_EPS_NORM", "CY2023")</f>
        <v>6.016</v>
      </c>
      <c r="K283">
        <f t="shared" si="18"/>
        <v>1961216</v>
      </c>
      <c r="L283">
        <f t="shared" si="19"/>
        <v>4.7710025056559711E-2</v>
      </c>
    </row>
    <row r="284" spans="1:12" x14ac:dyDescent="0.3">
      <c r="A284" t="s">
        <v>286</v>
      </c>
      <c r="B284" s="4" cm="1">
        <f t="array" ref="B284">_xll.SNL.Clients.Office.Excel.Functions.SPG(A284, "SP_TOTAL_REV", "CY2023")</f>
        <v>9418362</v>
      </c>
      <c r="C284" s="4">
        <f>_xll.SNL.Clients.Office.Excel.Functions.SPG(A284,"IQ_AVG_DILUT_SHARES_OUT","CY2023")</f>
        <v>167002000</v>
      </c>
      <c r="D284" s="5">
        <f>_xll.SNL.Clients.Office.Excel.Functions.SPG(A284, "IQ_DILUT_EPS_NORM", "CY2023")</f>
        <v>13.544</v>
      </c>
      <c r="E284">
        <f t="shared" si="16"/>
        <v>2261875.088</v>
      </c>
      <c r="F284">
        <f t="shared" si="17"/>
        <v>0.24015588782847802</v>
      </c>
      <c r="G284" t="s">
        <v>286</v>
      </c>
      <c r="H284" s="4" cm="1">
        <f t="array" ref="H284">_xll.SNL.Clients.Office.Excel.Functions.SPG(G284, "SP_TOTAL_REV", "CY2023")</f>
        <v>9418362</v>
      </c>
      <c r="I284" s="4">
        <f>_xll.SNL.Clients.Office.Excel.Functions.SPG(G284,"IQ_AVG_DILUT_SHARES_OUT","CY2023")</f>
        <v>167002000</v>
      </c>
      <c r="J284" s="5">
        <f>_xll.SNL.Clients.Office.Excel.Functions.SPG(G284, "IQ_DILUT_EPS_NORM", "CY2023")</f>
        <v>13.544</v>
      </c>
      <c r="K284">
        <f t="shared" si="18"/>
        <v>2261875.088</v>
      </c>
      <c r="L284">
        <f t="shared" si="19"/>
        <v>0.24015588782847802</v>
      </c>
    </row>
    <row r="285" spans="1:12" x14ac:dyDescent="0.3">
      <c r="A285" t="s">
        <v>287</v>
      </c>
      <c r="B285" s="4" cm="1">
        <f t="array" ref="B285">_xll.SNL.Clients.Office.Excel.Functions.SPG(A285, "SP_TOTAL_REV", "CY2023")</f>
        <v>149348000</v>
      </c>
      <c r="C285" s="4">
        <f>_xll.SNL.Clients.Office.Excel.Functions.SPG(A285,"IQ_AVG_DILUT_SHARES_OUT","CY2023")</f>
        <v>409000000</v>
      </c>
      <c r="D285" s="5">
        <f>_xll.SNL.Clients.Office.Excel.Functions.SPG(A285, "IQ_DILUT_EPS_NORM", "CY2023")</f>
        <v>17.196999999999999</v>
      </c>
      <c r="E285">
        <f t="shared" si="16"/>
        <v>7033573</v>
      </c>
      <c r="F285">
        <f t="shared" si="17"/>
        <v>4.7095193775611326E-2</v>
      </c>
      <c r="G285" t="s">
        <v>287</v>
      </c>
      <c r="H285" s="4" cm="1">
        <f t="array" ref="H285">_xll.SNL.Clients.Office.Excel.Functions.SPG(G285, "SP_TOTAL_REV", "CY2023")</f>
        <v>149348000</v>
      </c>
      <c r="I285" s="4">
        <f>_xll.SNL.Clients.Office.Excel.Functions.SPG(G285,"IQ_AVG_DILUT_SHARES_OUT","CY2023")</f>
        <v>409000000</v>
      </c>
      <c r="J285" s="5">
        <f>_xll.SNL.Clients.Office.Excel.Functions.SPG(G285, "IQ_DILUT_EPS_NORM", "CY2023")</f>
        <v>17.196999999999999</v>
      </c>
      <c r="K285">
        <f t="shared" si="18"/>
        <v>7033573</v>
      </c>
      <c r="L285">
        <f t="shared" si="19"/>
        <v>4.7095193775611326E-2</v>
      </c>
    </row>
    <row r="286" spans="1:12" x14ac:dyDescent="0.3">
      <c r="A286" t="s">
        <v>288</v>
      </c>
      <c r="B286" s="4" cm="1">
        <f t="array" ref="B286">_xll.SNL.Clients.Office.Excel.Functions.SPG(A286, "SP_TOTAL_REV", "CY2023")</f>
        <v>752547</v>
      </c>
      <c r="C286" s="4">
        <f>_xll.SNL.Clients.Office.Excel.Functions.SPG(A286,"IQ_AVG_DILUT_SHARES_OUT","CY2023")</f>
        <v>37654000</v>
      </c>
      <c r="D286" s="5">
        <f>_xll.SNL.Clients.Office.Excel.Functions.SPG(A286, "IQ_DILUT_EPS_NORM", "CY2023")</f>
        <v>5.5250000000000004</v>
      </c>
      <c r="E286">
        <f t="shared" si="16"/>
        <v>208038.35</v>
      </c>
      <c r="F286">
        <f t="shared" si="17"/>
        <v>0.27644565721476533</v>
      </c>
      <c r="G286" t="s">
        <v>288</v>
      </c>
      <c r="H286" s="4" cm="1">
        <f t="array" ref="H286">_xll.SNL.Clients.Office.Excel.Functions.SPG(G286, "SP_TOTAL_REV", "CY2023")</f>
        <v>752547</v>
      </c>
      <c r="I286" s="4">
        <f>_xll.SNL.Clients.Office.Excel.Functions.SPG(G286,"IQ_AVG_DILUT_SHARES_OUT","CY2023")</f>
        <v>37654000</v>
      </c>
      <c r="J286" s="5">
        <f>_xll.SNL.Clients.Office.Excel.Functions.SPG(G286, "IQ_DILUT_EPS_NORM", "CY2023")</f>
        <v>5.5250000000000004</v>
      </c>
      <c r="K286">
        <f t="shared" si="18"/>
        <v>208038.35</v>
      </c>
      <c r="L286">
        <f t="shared" si="19"/>
        <v>0.27644565721476533</v>
      </c>
    </row>
    <row r="287" spans="1:12" x14ac:dyDescent="0.3">
      <c r="A287" t="s">
        <v>289</v>
      </c>
      <c r="B287" s="4" cm="1">
        <f t="array" ref="B287">_xll.SNL.Clients.Office.Excel.Functions.SPG(A287, "SP_TOTAL_REV", "CY2023")</f>
        <v>6300000</v>
      </c>
      <c r="C287" s="4">
        <f>_xll.SNL.Clients.Office.Excel.Functions.SPG(A287,"IQ_AVG_DILUT_SHARES_OUT","CY2023")</f>
        <v>302900000</v>
      </c>
      <c r="D287" s="5">
        <f>_xll.SNL.Clients.Office.Excel.Functions.SPG(A287, "IQ_DILUT_EPS_NORM", "CY2023")</f>
        <v>7.0940000000000003</v>
      </c>
      <c r="E287">
        <f t="shared" si="16"/>
        <v>2148772.6</v>
      </c>
      <c r="F287">
        <f t="shared" si="17"/>
        <v>0.34107501587301586</v>
      </c>
      <c r="G287" t="s">
        <v>289</v>
      </c>
      <c r="H287" s="4" cm="1">
        <f t="array" ref="H287">_xll.SNL.Clients.Office.Excel.Functions.SPG(G287, "SP_TOTAL_REV", "CY2023")</f>
        <v>6300000</v>
      </c>
      <c r="I287" s="4">
        <f>_xll.SNL.Clients.Office.Excel.Functions.SPG(G287,"IQ_AVG_DILUT_SHARES_OUT","CY2023")</f>
        <v>302900000</v>
      </c>
      <c r="J287" s="5">
        <f>_xll.SNL.Clients.Office.Excel.Functions.SPG(G287, "IQ_DILUT_EPS_NORM", "CY2023")</f>
        <v>7.0940000000000003</v>
      </c>
      <c r="K287">
        <f t="shared" si="18"/>
        <v>2148772.6</v>
      </c>
      <c r="L287">
        <f t="shared" si="19"/>
        <v>0.34107501587301586</v>
      </c>
    </row>
    <row r="288" spans="1:12" x14ac:dyDescent="0.3">
      <c r="A288" t="s">
        <v>290</v>
      </c>
      <c r="B288" s="4" cm="1">
        <f t="array" ref="B288">_xll.SNL.Clients.Office.Excel.Functions.SPG(A288, "SP_TOTAL_REV", "CY2023")</f>
        <v>22819000</v>
      </c>
      <c r="C288" s="4">
        <f>_xll.SNL.Clients.Office.Excel.Functions.SPG(A288,"IQ_AVG_DILUT_SHARES_OUT","CY2023")</f>
        <v>499000000</v>
      </c>
      <c r="D288" s="5">
        <f>_xll.SNL.Clients.Office.Excel.Functions.SPG(A288, "IQ_DILUT_EPS_NORM", "CY2023")</f>
        <v>6.6360000000000001</v>
      </c>
      <c r="E288">
        <f t="shared" si="16"/>
        <v>3311364</v>
      </c>
      <c r="F288">
        <f t="shared" si="17"/>
        <v>0.14511433454577327</v>
      </c>
      <c r="G288" t="s">
        <v>290</v>
      </c>
      <c r="H288" s="4" cm="1">
        <f t="array" ref="H288">_xll.SNL.Clients.Office.Excel.Functions.SPG(G288, "SP_TOTAL_REV", "CY2023")</f>
        <v>22819000</v>
      </c>
      <c r="I288" s="4">
        <f>_xll.SNL.Clients.Office.Excel.Functions.SPG(G288,"IQ_AVG_DILUT_SHARES_OUT","CY2023")</f>
        <v>499000000</v>
      </c>
      <c r="J288" s="5">
        <f>_xll.SNL.Clients.Office.Excel.Functions.SPG(G288, "IQ_DILUT_EPS_NORM", "CY2023")</f>
        <v>6.6360000000000001</v>
      </c>
      <c r="K288">
        <f t="shared" si="18"/>
        <v>3311364</v>
      </c>
      <c r="L288">
        <f t="shared" si="19"/>
        <v>0.14511433454577327</v>
      </c>
    </row>
    <row r="289" spans="1:12" x14ac:dyDescent="0.3">
      <c r="A289" t="s">
        <v>291</v>
      </c>
      <c r="B289" s="4" cm="1">
        <f t="array" ref="B289">_xll.SNL.Clients.Office.Excel.Functions.SPG(A289, "SP_TOTAL_REV", "CY2023")</f>
        <v>6777200</v>
      </c>
      <c r="C289" s="4">
        <f>_xll.SNL.Clients.Office.Excel.Functions.SPG(A289,"IQ_AVG_DILUT_SHARES_OUT","CY2023")</f>
        <v>62100000</v>
      </c>
      <c r="D289" s="5">
        <f>_xll.SNL.Clients.Office.Excel.Functions.SPG(A289, "IQ_DILUT_EPS_NORM", "CY2023")</f>
        <v>14.943</v>
      </c>
      <c r="E289">
        <f t="shared" si="16"/>
        <v>927960.3</v>
      </c>
      <c r="F289">
        <f t="shared" si="17"/>
        <v>0.13692384760668122</v>
      </c>
      <c r="G289" t="s">
        <v>291</v>
      </c>
      <c r="H289" s="4" cm="1">
        <f t="array" ref="H289">_xll.SNL.Clients.Office.Excel.Functions.SPG(G289, "SP_TOTAL_REV", "CY2023")</f>
        <v>6777200</v>
      </c>
      <c r="I289" s="4">
        <f>_xll.SNL.Clients.Office.Excel.Functions.SPG(G289,"IQ_AVG_DILUT_SHARES_OUT","CY2023")</f>
        <v>62100000</v>
      </c>
      <c r="J289" s="5">
        <f>_xll.SNL.Clients.Office.Excel.Functions.SPG(G289, "IQ_DILUT_EPS_NORM", "CY2023")</f>
        <v>14.943</v>
      </c>
      <c r="K289">
        <f t="shared" si="18"/>
        <v>927960.3</v>
      </c>
      <c r="L289">
        <f t="shared" si="19"/>
        <v>0.13692384760668122</v>
      </c>
    </row>
    <row r="290" spans="1:12" x14ac:dyDescent="0.3">
      <c r="A290" t="s">
        <v>292</v>
      </c>
      <c r="B290" s="4" cm="1">
        <f t="array" ref="B290">_xll.SNL.Clients.Office.Excel.Functions.SPG(A290, "SP_TOTAL_REV", "CY2023")</f>
        <v>7967000</v>
      </c>
      <c r="C290" s="4">
        <f>_xll.SNL.Clients.Office.Excel.Functions.SPG(A290,"IQ_AVG_DILUT_SHARES_OUT","CY2023")</f>
        <v>226000000</v>
      </c>
      <c r="D290" s="5">
        <f>_xll.SNL.Clients.Office.Excel.Functions.SPG(A290, "IQ_DILUT_EPS_NORM", "CY2023")</f>
        <v>3.2679999999999998</v>
      </c>
      <c r="E290">
        <f t="shared" si="16"/>
        <v>738568</v>
      </c>
      <c r="F290">
        <f t="shared" si="17"/>
        <v>9.2703401531316676E-2</v>
      </c>
      <c r="G290" t="s">
        <v>292</v>
      </c>
      <c r="H290" s="4" cm="1">
        <f t="array" ref="H290">_xll.SNL.Clients.Office.Excel.Functions.SPG(G290, "SP_TOTAL_REV", "CY2023")</f>
        <v>7967000</v>
      </c>
      <c r="I290" s="4">
        <f>_xll.SNL.Clients.Office.Excel.Functions.SPG(G290,"IQ_AVG_DILUT_SHARES_OUT","CY2023")</f>
        <v>226000000</v>
      </c>
      <c r="J290" s="5">
        <f>_xll.SNL.Clients.Office.Excel.Functions.SPG(G290, "IQ_DILUT_EPS_NORM", "CY2023")</f>
        <v>3.2679999999999998</v>
      </c>
      <c r="K290">
        <f t="shared" si="18"/>
        <v>738568</v>
      </c>
      <c r="L290">
        <f t="shared" si="19"/>
        <v>9.2703401531316676E-2</v>
      </c>
    </row>
    <row r="291" spans="1:12" x14ac:dyDescent="0.3">
      <c r="A291" t="s">
        <v>293</v>
      </c>
      <c r="B291" s="4" cm="1">
        <f t="array" ref="B291">_xll.SNL.Clients.Office.Excel.Functions.SPG(A291, "SP_TOTAL_REV", "CY2023")</f>
        <v>25098000</v>
      </c>
      <c r="C291" s="4">
        <f>_xll.SNL.Clients.Office.Excel.Functions.SPG(A291,"IQ_AVG_DILUT_SHARES_OUT","CY2023")</f>
        <v>946000000</v>
      </c>
      <c r="D291" s="5">
        <f>_xll.SNL.Clients.Office.Excel.Functions.SPG(A291, "IQ_DILUT_EPS_NORM", "CY2023")</f>
        <v>9.407</v>
      </c>
      <c r="E291">
        <f t="shared" si="16"/>
        <v>8899022</v>
      </c>
      <c r="F291">
        <f t="shared" si="17"/>
        <v>0.35457096182962788</v>
      </c>
      <c r="G291" t="s">
        <v>293</v>
      </c>
      <c r="H291" s="4" cm="1">
        <f t="array" ref="H291">_xll.SNL.Clients.Office.Excel.Functions.SPG(G291, "SP_TOTAL_REV", "CY2023")</f>
        <v>25098000</v>
      </c>
      <c r="I291" s="4">
        <f>_xll.SNL.Clients.Office.Excel.Functions.SPG(G291,"IQ_AVG_DILUT_SHARES_OUT","CY2023")</f>
        <v>946000000</v>
      </c>
      <c r="J291" s="5">
        <f>_xll.SNL.Clients.Office.Excel.Functions.SPG(G291, "IQ_DILUT_EPS_NORM", "CY2023")</f>
        <v>9.407</v>
      </c>
      <c r="K291">
        <f t="shared" si="18"/>
        <v>8899022</v>
      </c>
      <c r="L291">
        <f t="shared" si="19"/>
        <v>0.35457096182962788</v>
      </c>
    </row>
    <row r="292" spans="1:12" x14ac:dyDescent="0.3">
      <c r="A292" t="s">
        <v>294</v>
      </c>
      <c r="B292" s="4" cm="1">
        <f t="array" ref="B292">_xll.SNL.Clients.Office.Excel.Functions.SPG(A292, "SP_TOTAL_REV", "CY2023")</f>
        <v>3364504</v>
      </c>
      <c r="C292" s="4">
        <f>_xll.SNL.Clients.Office.Excel.Functions.SPG(A292,"IQ_AVG_DILUT_SHARES_OUT","CY2023")</f>
        <v>293284000</v>
      </c>
      <c r="D292" s="5">
        <f>_xll.SNL.Clients.Office.Excel.Functions.SPG(A292, "IQ_DILUT_EPS_NORM", "CY2023")</f>
        <v>1.6559999999999999</v>
      </c>
      <c r="E292">
        <f t="shared" si="16"/>
        <v>485678.304</v>
      </c>
      <c r="F292">
        <f t="shared" si="17"/>
        <v>0.14435361170621286</v>
      </c>
      <c r="G292" t="s">
        <v>294</v>
      </c>
      <c r="H292" s="4" cm="1">
        <f t="array" ref="H292">_xll.SNL.Clients.Office.Excel.Functions.SPG(G292, "SP_TOTAL_REV", "CY2023")</f>
        <v>3364504</v>
      </c>
      <c r="I292" s="4">
        <f>_xll.SNL.Clients.Office.Excel.Functions.SPG(G292,"IQ_AVG_DILUT_SHARES_OUT","CY2023")</f>
        <v>293284000</v>
      </c>
      <c r="J292" s="5">
        <f>_xll.SNL.Clients.Office.Excel.Functions.SPG(G292, "IQ_DILUT_EPS_NORM", "CY2023")</f>
        <v>1.6559999999999999</v>
      </c>
      <c r="K292">
        <f t="shared" si="18"/>
        <v>485678.304</v>
      </c>
      <c r="L292">
        <f t="shared" si="19"/>
        <v>0.14435361170621286</v>
      </c>
    </row>
    <row r="293" spans="1:12" x14ac:dyDescent="0.3">
      <c r="A293" t="s">
        <v>295</v>
      </c>
      <c r="B293" s="4" cm="1">
        <f t="array" ref="B293">_xll.SNL.Clients.Office.Excel.Functions.SPG(A293, "SP_TOTAL_REV", "CY2023")</f>
        <v>6662200</v>
      </c>
      <c r="C293" s="4">
        <f>_xll.SNL.Clients.Office.Excel.Functions.SPG(A293,"IQ_AVG_DILUT_SHARES_OUT","CY2023")</f>
        <v>269800000</v>
      </c>
      <c r="D293" s="5">
        <f>_xll.SNL.Clients.Office.Excel.Functions.SPG(A293, "IQ_DILUT_EPS_NORM", "CY2023")</f>
        <v>2.125</v>
      </c>
      <c r="E293">
        <f t="shared" si="16"/>
        <v>573325</v>
      </c>
      <c r="F293">
        <f t="shared" si="17"/>
        <v>8.6056407793221462E-2</v>
      </c>
      <c r="G293" t="s">
        <v>295</v>
      </c>
      <c r="H293" s="4" cm="1">
        <f t="array" ref="H293">_xll.SNL.Clients.Office.Excel.Functions.SPG(G293, "SP_TOTAL_REV", "CY2023")</f>
        <v>6662200</v>
      </c>
      <c r="I293" s="4">
        <f>_xll.SNL.Clients.Office.Excel.Functions.SPG(G293,"IQ_AVG_DILUT_SHARES_OUT","CY2023")</f>
        <v>269800000</v>
      </c>
      <c r="J293" s="5">
        <f>_xll.SNL.Clients.Office.Excel.Functions.SPG(G293, "IQ_DILUT_EPS_NORM", "CY2023")</f>
        <v>2.125</v>
      </c>
      <c r="K293">
        <f t="shared" si="18"/>
        <v>573325</v>
      </c>
      <c r="L293">
        <f t="shared" si="19"/>
        <v>8.6056407793221462E-2</v>
      </c>
    </row>
    <row r="294" spans="1:12" x14ac:dyDescent="0.3">
      <c r="A294" t="s">
        <v>296</v>
      </c>
      <c r="B294" s="4" cm="1">
        <f t="array" ref="B294">_xll.SNL.Clients.Office.Excel.Functions.SPG(A294, "SP_TOTAL_REV", "CY2023")</f>
        <v>25493700</v>
      </c>
      <c r="C294" s="4">
        <f>_xll.SNL.Clients.Office.Excel.Functions.SPG(A294,"IQ_AVG_DILUT_SHARES_OUT","CY2023")</f>
        <v>732300000</v>
      </c>
      <c r="D294" s="5">
        <f>_xll.SNL.Clients.Office.Excel.Functions.SPG(A294, "IQ_DILUT_EPS_NORM", "CY2023")</f>
        <v>9.1959999999999997</v>
      </c>
      <c r="E294">
        <f t="shared" si="16"/>
        <v>6734230.7999999998</v>
      </c>
      <c r="F294">
        <f t="shared" si="17"/>
        <v>0.26415274361901175</v>
      </c>
      <c r="G294" t="s">
        <v>296</v>
      </c>
      <c r="H294" s="4" cm="1">
        <f t="array" ref="H294">_xll.SNL.Clients.Office.Excel.Functions.SPG(G294, "SP_TOTAL_REV", "CY2023")</f>
        <v>25493700</v>
      </c>
      <c r="I294" s="4">
        <f>_xll.SNL.Clients.Office.Excel.Functions.SPG(G294,"IQ_AVG_DILUT_SHARES_OUT","CY2023")</f>
        <v>732300000</v>
      </c>
      <c r="J294" s="5">
        <f>_xll.SNL.Clients.Office.Excel.Functions.SPG(G294, "IQ_DILUT_EPS_NORM", "CY2023")</f>
        <v>9.1959999999999997</v>
      </c>
      <c r="K294">
        <f t="shared" si="18"/>
        <v>6734230.7999999998</v>
      </c>
      <c r="L294">
        <f t="shared" si="19"/>
        <v>0.26415274361901175</v>
      </c>
    </row>
    <row r="295" spans="1:12" x14ac:dyDescent="0.3">
      <c r="A295" t="s">
        <v>297</v>
      </c>
      <c r="B295" s="4" cm="1">
        <f t="array" ref="B295">_xll.SNL.Clients.Office.Excel.Functions.SPG(A295, "SP_TOTAL_REV", "CY2023")</f>
        <v>301506000</v>
      </c>
      <c r="C295" s="4">
        <f>_xll.SNL.Clients.Office.Excel.Functions.SPG(A295,"IQ_AVG_DILUT_SHARES_OUT","CY2023")</f>
        <v>135599899</v>
      </c>
      <c r="D295" s="5">
        <f>_xll.SNL.Clients.Office.Excel.Functions.SPG(A295, "IQ_DILUT_EPS_NORM", "CY2023")</f>
        <v>16.843</v>
      </c>
      <c r="E295">
        <f t="shared" si="16"/>
        <v>2283909.098857</v>
      </c>
      <c r="F295">
        <f t="shared" si="17"/>
        <v>7.5750038103951497E-3</v>
      </c>
      <c r="G295" t="s">
        <v>297</v>
      </c>
      <c r="H295" s="4" cm="1">
        <f t="array" ref="H295">_xll.SNL.Clients.Office.Excel.Functions.SPG(G295, "SP_TOTAL_REV", "CY2023")</f>
        <v>301506000</v>
      </c>
      <c r="I295" s="4">
        <f>_xll.SNL.Clients.Office.Excel.Functions.SPG(G295,"IQ_AVG_DILUT_SHARES_OUT","CY2023")</f>
        <v>135599899</v>
      </c>
      <c r="J295" s="5">
        <f>_xll.SNL.Clients.Office.Excel.Functions.SPG(G295, "IQ_DILUT_EPS_NORM", "CY2023")</f>
        <v>16.843</v>
      </c>
      <c r="K295">
        <f t="shared" si="18"/>
        <v>2283909.098857</v>
      </c>
      <c r="L295">
        <f t="shared" si="19"/>
        <v>7.5750038103951497E-3</v>
      </c>
    </row>
    <row r="296" spans="1:12" x14ac:dyDescent="0.3">
      <c r="A296" t="s">
        <v>298</v>
      </c>
      <c r="B296" s="4" cm="1">
        <f t="array" ref="B296">_xll.SNL.Clients.Office.Excel.Functions.SPG(A296, "SP_TOTAL_REV", "CY2023")</f>
        <v>32320000</v>
      </c>
      <c r="C296" s="4">
        <f>_xll.SNL.Clients.Office.Excel.Functions.SPG(A296,"IQ_AVG_DILUT_SHARES_OUT","CY2023")</f>
        <v>1332524001</v>
      </c>
      <c r="D296" s="5">
        <f>_xll.SNL.Clients.Office.Excel.Functions.SPG(A296, "IQ_DILUT_EPS_NORM", "CY2023")</f>
        <v>3.1030000000000002</v>
      </c>
      <c r="E296">
        <f t="shared" si="16"/>
        <v>4134821.9751030002</v>
      </c>
      <c r="F296">
        <f t="shared" si="17"/>
        <v>0.12793384823957302</v>
      </c>
      <c r="G296" t="s">
        <v>298</v>
      </c>
      <c r="H296" s="4" cm="1">
        <f t="array" ref="H296">_xll.SNL.Clients.Office.Excel.Functions.SPG(G296, "SP_TOTAL_REV", "CY2023")</f>
        <v>32320000</v>
      </c>
      <c r="I296" s="4">
        <f>_xll.SNL.Clients.Office.Excel.Functions.SPG(G296,"IQ_AVG_DILUT_SHARES_OUT","CY2023")</f>
        <v>1332524001</v>
      </c>
      <c r="J296" s="5">
        <f>_xll.SNL.Clients.Office.Excel.Functions.SPG(G296, "IQ_DILUT_EPS_NORM", "CY2023")</f>
        <v>3.1030000000000002</v>
      </c>
      <c r="K296">
        <f t="shared" si="18"/>
        <v>4134821.9751030002</v>
      </c>
      <c r="L296">
        <f t="shared" si="19"/>
        <v>0.12793384823957302</v>
      </c>
    </row>
    <row r="297" spans="1:12" x14ac:dyDescent="0.3">
      <c r="A297" t="s">
        <v>299</v>
      </c>
      <c r="B297" s="4" cm="1">
        <f t="array" ref="B297">_xll.SNL.Clients.Office.Excel.Functions.SPG(A297, "SP_TOTAL_REV", "CY2023")</f>
        <v>60115000</v>
      </c>
      <c r="C297" s="4">
        <f>_xll.SNL.Clients.Office.Excel.Functions.SPG(A297,"IQ_AVG_DILUT_SHARES_OUT","CY2023")</f>
        <v>2547000000</v>
      </c>
      <c r="D297" s="5">
        <f>_xll.SNL.Clients.Office.Excel.Functions.SPG(A297, "IQ_DILUT_EPS_NORM", "CY2023")</f>
        <v>3.7360000000000002</v>
      </c>
      <c r="E297">
        <f t="shared" si="16"/>
        <v>9515592</v>
      </c>
      <c r="F297">
        <f t="shared" si="17"/>
        <v>0.15828981119520918</v>
      </c>
      <c r="G297" t="s">
        <v>299</v>
      </c>
      <c r="H297" s="4" cm="1">
        <f t="array" ref="H297">_xll.SNL.Clients.Office.Excel.Functions.SPG(G297, "SP_TOTAL_REV", "CY2023")</f>
        <v>60115000</v>
      </c>
      <c r="I297" s="4">
        <f>_xll.SNL.Clients.Office.Excel.Functions.SPG(G297,"IQ_AVG_DILUT_SHARES_OUT","CY2023")</f>
        <v>2547000000</v>
      </c>
      <c r="J297" s="5">
        <f>_xll.SNL.Clients.Office.Excel.Functions.SPG(G297, "IQ_DILUT_EPS_NORM", "CY2023")</f>
        <v>3.7360000000000002</v>
      </c>
      <c r="K297">
        <f t="shared" si="18"/>
        <v>9515592</v>
      </c>
      <c r="L297">
        <f t="shared" si="19"/>
        <v>0.15828981119520918</v>
      </c>
    </row>
    <row r="298" spans="1:12" x14ac:dyDescent="0.3">
      <c r="A298" t="s">
        <v>300</v>
      </c>
      <c r="B298" s="4" cm="1">
        <f t="array" ref="B298">_xll.SNL.Clients.Office.Excel.Functions.SPG(A298, "SP_TOTAL_REV", "CY2023")</f>
        <v>134902000</v>
      </c>
      <c r="C298" s="4">
        <f>_xll.SNL.Clients.Office.Excel.Functions.SPG(A298,"IQ_AVG_DILUT_SHARES_OUT","CY2023")</f>
        <v>2629000000</v>
      </c>
      <c r="D298" s="5" t="str">
        <f>_xll.SNL.Clients.Office.Excel.Functions.SPG(A298, "IQ_DILUT_EPS_NORM", "CY2023")</f>
        <v>NA</v>
      </c>
      <c r="E298" t="e">
        <f t="shared" si="16"/>
        <v>#VALUE!</v>
      </c>
      <c r="F298" t="e">
        <f t="shared" si="17"/>
        <v>#VALUE!</v>
      </c>
      <c r="G298" t="s">
        <v>300</v>
      </c>
      <c r="H298" s="4" cm="1">
        <f t="array" ref="H298">_xll.SNL.Clients.Office.Excel.Functions.SPG(G298, "SP_TOTAL_REV", "CY2023")</f>
        <v>134902000</v>
      </c>
      <c r="I298" s="4">
        <f>_xll.SNL.Clients.Office.Excel.Functions.SPG(G298,"IQ_AVG_DILUT_SHARES_OUT","CY2023")</f>
        <v>2629000000</v>
      </c>
      <c r="J298" s="5" t="str">
        <f>_xll.SNL.Clients.Office.Excel.Functions.SPG(G298, "IQ_DILUT_EPS_NORM", "CY2023")</f>
        <v>NA</v>
      </c>
      <c r="K298" t="e">
        <f t="shared" si="18"/>
        <v>#VALUE!</v>
      </c>
      <c r="L298" t="e">
        <f t="shared" si="19"/>
        <v>#VALUE!</v>
      </c>
    </row>
    <row r="299" spans="1:12" x14ac:dyDescent="0.3">
      <c r="A299" t="s">
        <v>301</v>
      </c>
      <c r="B299" s="4" cm="1">
        <f t="array" ref="B299">_xll.SNL.Clients.Office.Excel.Functions.SPG(A299, "SP_TOTAL_REV", "CY2023")</f>
        <v>66905000</v>
      </c>
      <c r="C299" s="4">
        <f>_xll.SNL.Clients.Office.Excel.Functions.SPG(A299,"IQ_AVG_DILUT_SHARES_OUT","CY2023")</f>
        <v>762300000</v>
      </c>
      <c r="D299" s="5">
        <f>_xll.SNL.Clients.Office.Excel.Functions.SPG(A299, "IQ_DILUT_EPS_NORM", "CY2023")</f>
        <v>1.7410000000000001</v>
      </c>
      <c r="E299">
        <f t="shared" si="16"/>
        <v>1327164.3</v>
      </c>
      <c r="F299">
        <f t="shared" si="17"/>
        <v>1.9836548837904491E-2</v>
      </c>
      <c r="G299" t="s">
        <v>301</v>
      </c>
      <c r="H299" s="4" cm="1">
        <f t="array" ref="H299">_xll.SNL.Clients.Office.Excel.Functions.SPG(G299, "SP_TOTAL_REV", "CY2023")</f>
        <v>66905000</v>
      </c>
      <c r="I299" s="4">
        <f>_xll.SNL.Clients.Office.Excel.Functions.SPG(G299,"IQ_AVG_DILUT_SHARES_OUT","CY2023")</f>
        <v>762300000</v>
      </c>
      <c r="J299" s="5">
        <f>_xll.SNL.Clients.Office.Excel.Functions.SPG(G299, "IQ_DILUT_EPS_NORM", "CY2023")</f>
        <v>1.7410000000000001</v>
      </c>
      <c r="K299">
        <f t="shared" si="18"/>
        <v>1327164.3</v>
      </c>
      <c r="L299">
        <f t="shared" si="19"/>
        <v>1.9836548837904491E-2</v>
      </c>
    </row>
    <row r="300" spans="1:12" x14ac:dyDescent="0.3">
      <c r="A300" t="s">
        <v>302</v>
      </c>
      <c r="B300" s="4" cm="1">
        <f t="array" ref="B300">_xll.SNL.Clients.Office.Excel.Functions.SPG(A300, "SP_TOTAL_REV", "CY2023")</f>
        <v>3788309</v>
      </c>
      <c r="C300" s="4">
        <f>_xll.SNL.Clients.Office.Excel.Functions.SPG(A300,"IQ_AVG_DILUT_SHARES_OUT","CY2023")</f>
        <v>21971528</v>
      </c>
      <c r="D300" s="5">
        <f>_xll.SNL.Clients.Office.Excel.Functions.SPG(A300, "IQ_DILUT_EPS_NORM", "CY2023")</f>
        <v>28.63</v>
      </c>
      <c r="E300">
        <f t="shared" si="16"/>
        <v>629044.84664</v>
      </c>
      <c r="F300">
        <f t="shared" si="17"/>
        <v>0.16604898033396959</v>
      </c>
      <c r="G300" t="s">
        <v>302</v>
      </c>
      <c r="H300" s="4" cm="1">
        <f t="array" ref="H300">_xll.SNL.Clients.Office.Excel.Functions.SPG(G300, "SP_TOTAL_REV", "CY2023")</f>
        <v>3788309</v>
      </c>
      <c r="I300" s="4">
        <f>_xll.SNL.Clients.Office.Excel.Functions.SPG(G300,"IQ_AVG_DILUT_SHARES_OUT","CY2023")</f>
        <v>21971528</v>
      </c>
      <c r="J300" s="5">
        <f>_xll.SNL.Clients.Office.Excel.Functions.SPG(G300, "IQ_DILUT_EPS_NORM", "CY2023")</f>
        <v>28.63</v>
      </c>
      <c r="K300">
        <f t="shared" si="18"/>
        <v>629044.84664</v>
      </c>
      <c r="L300">
        <f t="shared" si="19"/>
        <v>0.16604898033396959</v>
      </c>
    </row>
    <row r="301" spans="1:12" x14ac:dyDescent="0.3">
      <c r="A301" t="s">
        <v>303</v>
      </c>
      <c r="B301" s="4" cm="1">
        <f t="array" ref="B301">_xll.SNL.Clients.Office.Excel.Functions.SPG(A301, "SP_TOTAL_REV", "CY2023")</f>
        <v>16118509</v>
      </c>
      <c r="C301" s="4">
        <f>_xll.SNL.Clients.Office.Excel.Functions.SPG(A301,"IQ_AVG_DILUT_SHARES_OUT","CY2023")</f>
        <v>358627000</v>
      </c>
      <c r="D301" s="5">
        <f>_xll.SNL.Clients.Office.Excel.Functions.SPG(A301, "IQ_DILUT_EPS_NORM", "CY2023")</f>
        <v>1.4350000000000001</v>
      </c>
      <c r="E301">
        <f t="shared" si="16"/>
        <v>514629.745</v>
      </c>
      <c r="F301">
        <f t="shared" si="17"/>
        <v>3.1927875276801347E-2</v>
      </c>
      <c r="G301" t="s">
        <v>303</v>
      </c>
      <c r="H301" s="4" cm="1">
        <f t="array" ref="H301">_xll.SNL.Clients.Office.Excel.Functions.SPG(G301, "SP_TOTAL_REV", "CY2023")</f>
        <v>16118509</v>
      </c>
      <c r="I301" s="4">
        <f>_xll.SNL.Clients.Office.Excel.Functions.SPG(G301,"IQ_AVG_DILUT_SHARES_OUT","CY2023")</f>
        <v>358627000</v>
      </c>
      <c r="J301" s="5">
        <f>_xll.SNL.Clients.Office.Excel.Functions.SPG(G301, "IQ_DILUT_EPS_NORM", "CY2023")</f>
        <v>1.4350000000000001</v>
      </c>
      <c r="K301">
        <f t="shared" si="18"/>
        <v>514629.745</v>
      </c>
      <c r="L301">
        <f t="shared" si="19"/>
        <v>3.1927875276801347E-2</v>
      </c>
    </row>
    <row r="302" spans="1:12" x14ac:dyDescent="0.3">
      <c r="A302" t="s">
        <v>304</v>
      </c>
      <c r="B302" s="4" cm="1">
        <f t="array" ref="B302">_xll.SNL.Clients.Office.Excel.Functions.SPG(A302, "SP_TOTAL_REV", "CY2023")</f>
        <v>8541300</v>
      </c>
      <c r="C302" s="4">
        <f>_xll.SNL.Clients.Office.Excel.Functions.SPG(A302,"IQ_AVG_DILUT_SHARES_OUT","CY2023")</f>
        <v>550250000</v>
      </c>
      <c r="D302" s="5">
        <f>_xll.SNL.Clients.Office.Excel.Functions.SPG(A302, "IQ_DILUT_EPS_NORM", "CY2023")</f>
        <v>3.3929999999999998</v>
      </c>
      <c r="E302">
        <f t="shared" si="16"/>
        <v>1866998.25</v>
      </c>
      <c r="F302">
        <f t="shared" si="17"/>
        <v>0.21858478802992518</v>
      </c>
      <c r="G302" t="s">
        <v>304</v>
      </c>
      <c r="H302" s="4" cm="1">
        <f t="array" ref="H302">_xll.SNL.Clients.Office.Excel.Functions.SPG(G302, "SP_TOTAL_REV", "CY2023")</f>
        <v>8541300</v>
      </c>
      <c r="I302" s="4">
        <f>_xll.SNL.Clients.Office.Excel.Functions.SPG(G302,"IQ_AVG_DILUT_SHARES_OUT","CY2023")</f>
        <v>550250000</v>
      </c>
      <c r="J302" s="5">
        <f>_xll.SNL.Clients.Office.Excel.Functions.SPG(G302, "IQ_DILUT_EPS_NORM", "CY2023")</f>
        <v>3.3929999999999998</v>
      </c>
      <c r="K302">
        <f t="shared" si="18"/>
        <v>1866998.25</v>
      </c>
      <c r="L302">
        <f t="shared" si="19"/>
        <v>0.21858478802992518</v>
      </c>
    </row>
    <row r="303" spans="1:12" x14ac:dyDescent="0.3">
      <c r="A303" t="s">
        <v>305</v>
      </c>
      <c r="B303" s="4" cm="1">
        <f t="array" ref="B303">_xll.SNL.Clients.Office.Excel.Functions.SPG(A303, "SP_TOTAL_REV", "CY2023")</f>
        <v>16181000</v>
      </c>
      <c r="C303" s="4">
        <f>_xll.SNL.Clients.Office.Excel.Functions.SPG(A303,"IQ_AVG_DILUT_SHARES_OUT","CY2023")</f>
        <v>1095500000</v>
      </c>
      <c r="D303" s="5">
        <f>_xll.SNL.Clients.Office.Excel.Functions.SPG(A303, "IQ_DILUT_EPS_NORM", "CY2023")</f>
        <v>-3.609</v>
      </c>
      <c r="E303">
        <f t="shared" si="16"/>
        <v>-3953659.5</v>
      </c>
      <c r="F303">
        <f t="shared" si="17"/>
        <v>-0.24433962672269946</v>
      </c>
      <c r="G303" t="s">
        <v>305</v>
      </c>
      <c r="H303" s="4" cm="1">
        <f t="array" ref="H303">_xll.SNL.Clients.Office.Excel.Functions.SPG(G303, "SP_TOTAL_REV", "CY2023")</f>
        <v>16181000</v>
      </c>
      <c r="I303" s="4">
        <f>_xll.SNL.Clients.Office.Excel.Functions.SPG(G303,"IQ_AVG_DILUT_SHARES_OUT","CY2023")</f>
        <v>1095500000</v>
      </c>
      <c r="J303" s="5">
        <f>_xll.SNL.Clients.Office.Excel.Functions.SPG(G303, "IQ_DILUT_EPS_NORM", "CY2023")</f>
        <v>-3.609</v>
      </c>
      <c r="K303">
        <f t="shared" si="18"/>
        <v>-3953659.5</v>
      </c>
      <c r="L303">
        <f t="shared" si="19"/>
        <v>-0.24433962672269946</v>
      </c>
    </row>
    <row r="304" spans="1:12" x14ac:dyDescent="0.3">
      <c r="A304" t="s">
        <v>306</v>
      </c>
      <c r="B304" s="4" cm="1">
        <f t="array" ref="B304">_xll.SNL.Clients.Office.Excel.Functions.SPG(A304, "SP_TOTAL_REV", "CY2023")</f>
        <v>227583000</v>
      </c>
      <c r="C304" s="4">
        <f>_xll.SNL.Clients.Office.Excel.Functions.SPG(A304,"IQ_AVG_DILUT_SHARES_OUT","CY2023")</f>
        <v>7465000000</v>
      </c>
      <c r="D304" s="5" t="str">
        <f>_xll.SNL.Clients.Office.Excel.Functions.SPG(A304, "IQ_DILUT_EPS_NORM", "CY2023")</f>
        <v>NA</v>
      </c>
      <c r="E304" t="e">
        <f t="shared" si="16"/>
        <v>#VALUE!</v>
      </c>
      <c r="F304" t="e">
        <f t="shared" si="17"/>
        <v>#VALUE!</v>
      </c>
      <c r="G304" t="s">
        <v>306</v>
      </c>
      <c r="H304" s="4" cm="1">
        <f t="array" ref="H304">_xll.SNL.Clients.Office.Excel.Functions.SPG(G304, "SP_TOTAL_REV", "CY2023")</f>
        <v>227583000</v>
      </c>
      <c r="I304" s="4">
        <f>_xll.SNL.Clients.Office.Excel.Functions.SPG(G304,"IQ_AVG_DILUT_SHARES_OUT","CY2023")</f>
        <v>7465000000</v>
      </c>
      <c r="J304" s="5" t="str">
        <f>_xll.SNL.Clients.Office.Excel.Functions.SPG(G304, "IQ_DILUT_EPS_NORM", "CY2023")</f>
        <v>NA</v>
      </c>
      <c r="K304" t="e">
        <f t="shared" si="18"/>
        <v>#VALUE!</v>
      </c>
      <c r="L304" t="e">
        <f t="shared" si="19"/>
        <v>#VALUE!</v>
      </c>
    </row>
    <row r="305" spans="1:12" x14ac:dyDescent="0.3">
      <c r="A305" t="s">
        <v>307</v>
      </c>
      <c r="B305" s="4" cm="1">
        <f t="array" ref="B305">_xll.SNL.Clients.Office.Excel.Functions.SPG(A305, "SP_TOTAL_REV", "CY2023")</f>
        <v>2174952</v>
      </c>
      <c r="C305" s="4">
        <f>_xll.SNL.Clients.Office.Excel.Functions.SPG(A305,"IQ_AVG_DILUT_SHARES_OUT","CY2023")</f>
        <v>116645000</v>
      </c>
      <c r="D305" s="5">
        <f>_xll.SNL.Clients.Office.Excel.Functions.SPG(A305, "IQ_DILUT_EPS_NORM", "CY2023")</f>
        <v>2.8959999999999999</v>
      </c>
      <c r="E305">
        <f t="shared" si="16"/>
        <v>337803.92</v>
      </c>
      <c r="F305">
        <f t="shared" si="17"/>
        <v>0.1553155747805009</v>
      </c>
      <c r="G305" t="s">
        <v>307</v>
      </c>
      <c r="H305" s="4" cm="1">
        <f t="array" ref="H305">_xll.SNL.Clients.Office.Excel.Functions.SPG(G305, "SP_TOTAL_REV", "CY2023")</f>
        <v>2174952</v>
      </c>
      <c r="I305" s="4">
        <f>_xll.SNL.Clients.Office.Excel.Functions.SPG(G305,"IQ_AVG_DILUT_SHARES_OUT","CY2023")</f>
        <v>116645000</v>
      </c>
      <c r="J305" s="5">
        <f>_xll.SNL.Clients.Office.Excel.Functions.SPG(G305, "IQ_DILUT_EPS_NORM", "CY2023")</f>
        <v>2.8959999999999999</v>
      </c>
      <c r="K305">
        <f t="shared" si="18"/>
        <v>337803.92</v>
      </c>
      <c r="L305">
        <f t="shared" si="19"/>
        <v>0.1553155747805009</v>
      </c>
    </row>
    <row r="306" spans="1:12" x14ac:dyDescent="0.3">
      <c r="A306" t="s">
        <v>308</v>
      </c>
      <c r="B306" s="4" cm="1">
        <f t="array" ref="B306">_xll.SNL.Clients.Office.Excel.Functions.SPG(A306, "SP_TOTAL_REV", "CY2023")</f>
        <v>6848000</v>
      </c>
      <c r="C306" s="4">
        <f>_xll.SNL.Clients.Office.Excel.Functions.SPG(A306,"IQ_AVG_DILUT_SHARES_OUT","CY2023")</f>
        <v>382000000</v>
      </c>
      <c r="D306" s="5">
        <f>_xll.SNL.Clients.Office.Excel.Functions.SPG(A306, "IQ_DILUT_EPS_NORM", "CY2023")</f>
        <v>-6.3319999999999999</v>
      </c>
      <c r="E306">
        <f t="shared" si="16"/>
        <v>-2418824</v>
      </c>
      <c r="F306">
        <f t="shared" si="17"/>
        <v>-0.35321612149532711</v>
      </c>
      <c r="G306" t="s">
        <v>308</v>
      </c>
      <c r="H306" s="4" cm="1">
        <f t="array" ref="H306">_xll.SNL.Clients.Office.Excel.Functions.SPG(G306, "SP_TOTAL_REV", "CY2023")</f>
        <v>6848000</v>
      </c>
      <c r="I306" s="4">
        <f>_xll.SNL.Clients.Office.Excel.Functions.SPG(G306,"IQ_AVG_DILUT_SHARES_OUT","CY2023")</f>
        <v>382000000</v>
      </c>
      <c r="J306" s="5">
        <f>_xll.SNL.Clients.Office.Excel.Functions.SPG(G306, "IQ_DILUT_EPS_NORM", "CY2023")</f>
        <v>-6.3319999999999999</v>
      </c>
      <c r="K306">
        <f t="shared" si="18"/>
        <v>-2418824</v>
      </c>
      <c r="L306">
        <f t="shared" si="19"/>
        <v>-0.35321612149532711</v>
      </c>
    </row>
    <row r="307" spans="1:12" x14ac:dyDescent="0.3">
      <c r="A307" t="s">
        <v>309</v>
      </c>
      <c r="B307" s="4" cm="1">
        <f t="array" ref="B307">_xll.SNL.Clients.Office.Excel.Functions.SPG(A307, "SP_TOTAL_REV", "CY2023")</f>
        <v>11135115</v>
      </c>
      <c r="C307" s="4">
        <f>_xll.SNL.Clients.Office.Excel.Functions.SPG(A307,"IQ_AVG_DILUT_SHARES_OUT","CY2023")</f>
        <v>63657000</v>
      </c>
      <c r="D307" s="5">
        <f>_xll.SNL.Clients.Office.Excel.Functions.SPG(A307, "IQ_DILUT_EPS_NORM", "CY2023")</f>
        <v>7.3330000000000002</v>
      </c>
      <c r="E307">
        <f t="shared" si="16"/>
        <v>466796.78100000002</v>
      </c>
      <c r="F307">
        <f t="shared" si="17"/>
        <v>4.1921145942363416E-2</v>
      </c>
      <c r="G307" t="s">
        <v>309</v>
      </c>
      <c r="H307" s="4" cm="1">
        <f t="array" ref="H307">_xll.SNL.Clients.Office.Excel.Functions.SPG(G307, "SP_TOTAL_REV", "CY2023")</f>
        <v>11135115</v>
      </c>
      <c r="I307" s="4">
        <f>_xll.SNL.Clients.Office.Excel.Functions.SPG(G307,"IQ_AVG_DILUT_SHARES_OUT","CY2023")</f>
        <v>63657000</v>
      </c>
      <c r="J307" s="5">
        <f>_xll.SNL.Clients.Office.Excel.Functions.SPG(G307, "IQ_DILUT_EPS_NORM", "CY2023")</f>
        <v>7.3330000000000002</v>
      </c>
      <c r="K307">
        <f t="shared" si="18"/>
        <v>466796.78100000002</v>
      </c>
      <c r="L307">
        <f t="shared" si="19"/>
        <v>4.1921145942363416E-2</v>
      </c>
    </row>
    <row r="308" spans="1:12" x14ac:dyDescent="0.3">
      <c r="A308" t="s">
        <v>310</v>
      </c>
      <c r="B308" s="4" cm="1">
        <f t="array" ref="B308">_xll.SNL.Clients.Office.Excel.Functions.SPG(A308, "SP_TOTAL_REV", "CY2023")</f>
        <v>34072000</v>
      </c>
      <c r="C308" s="4">
        <f>_xll.SNL.Clients.Office.Excel.Functions.SPG(A308,"IQ_AVG_DILUT_SHARES_OUT","CY2023")</f>
        <v>58100000</v>
      </c>
      <c r="D308" s="5">
        <f>_xll.SNL.Clients.Office.Excel.Functions.SPG(A308, "IQ_DILUT_EPS_NORM", "CY2023")</f>
        <v>16.233000000000001</v>
      </c>
      <c r="E308">
        <f t="shared" si="16"/>
        <v>943137.3</v>
      </c>
      <c r="F308">
        <f t="shared" si="17"/>
        <v>2.7680714369570324E-2</v>
      </c>
      <c r="G308" t="s">
        <v>310</v>
      </c>
      <c r="H308" s="4" cm="1">
        <f t="array" ref="H308">_xll.SNL.Clients.Office.Excel.Functions.SPG(G308, "SP_TOTAL_REV", "CY2023")</f>
        <v>34072000</v>
      </c>
      <c r="I308" s="4">
        <f>_xll.SNL.Clients.Office.Excel.Functions.SPG(G308,"IQ_AVG_DILUT_SHARES_OUT","CY2023")</f>
        <v>58100000</v>
      </c>
      <c r="J308" s="5">
        <f>_xll.SNL.Clients.Office.Excel.Functions.SPG(G308, "IQ_DILUT_EPS_NORM", "CY2023")</f>
        <v>16.233000000000001</v>
      </c>
      <c r="K308">
        <f t="shared" si="18"/>
        <v>943137.3</v>
      </c>
      <c r="L308">
        <f t="shared" si="19"/>
        <v>2.7680714369570324E-2</v>
      </c>
    </row>
    <row r="309" spans="1:12" x14ac:dyDescent="0.3">
      <c r="A309" t="s">
        <v>311</v>
      </c>
      <c r="B309" s="4" cm="1">
        <f t="array" ref="B309">_xll.SNL.Clients.Office.Excel.Functions.SPG(A309, "SP_TOTAL_REV", "CY2023")</f>
        <v>11702100</v>
      </c>
      <c r="C309" s="4">
        <f>_xll.SNL.Clients.Office.Excel.Functions.SPG(A309,"IQ_AVG_DILUT_SHARES_OUT","CY2023")</f>
        <v>217300000</v>
      </c>
      <c r="D309" s="5">
        <f>_xll.SNL.Clients.Office.Excel.Functions.SPG(A309, "IQ_DILUT_EPS_NORM", "CY2023")</f>
        <v>4.0359999999999996</v>
      </c>
      <c r="E309">
        <f t="shared" si="16"/>
        <v>877022.79999999993</v>
      </c>
      <c r="F309">
        <f t="shared" si="17"/>
        <v>7.4945761871800784E-2</v>
      </c>
      <c r="G309" t="s">
        <v>311</v>
      </c>
      <c r="H309" s="4" cm="1">
        <f t="array" ref="H309">_xll.SNL.Clients.Office.Excel.Functions.SPG(G309, "SP_TOTAL_REV", "CY2023")</f>
        <v>11702100</v>
      </c>
      <c r="I309" s="4">
        <f>_xll.SNL.Clients.Office.Excel.Functions.SPG(G309,"IQ_AVG_DILUT_SHARES_OUT","CY2023")</f>
        <v>217300000</v>
      </c>
      <c r="J309" s="5">
        <f>_xll.SNL.Clients.Office.Excel.Functions.SPG(G309, "IQ_DILUT_EPS_NORM", "CY2023")</f>
        <v>4.0359999999999996</v>
      </c>
      <c r="K309">
        <f t="shared" si="18"/>
        <v>877022.79999999993</v>
      </c>
      <c r="L309">
        <f t="shared" si="19"/>
        <v>7.4945761871800784E-2</v>
      </c>
    </row>
    <row r="310" spans="1:12" x14ac:dyDescent="0.3">
      <c r="A310" t="s">
        <v>312</v>
      </c>
      <c r="B310" s="4" cm="1">
        <f t="array" ref="B310">_xll.SNL.Clients.Office.Excel.Functions.SPG(A310, "SP_TOTAL_REV", "CY2023")</f>
        <v>36016000</v>
      </c>
      <c r="C310" s="4">
        <f>_xll.SNL.Clients.Office.Excel.Functions.SPG(A310,"IQ_AVG_DILUT_SHARES_OUT","CY2023")</f>
        <v>1370000000</v>
      </c>
      <c r="D310" s="5">
        <f>_xll.SNL.Clients.Office.Excel.Functions.SPG(A310, "IQ_DILUT_EPS_NORM", "CY2023")</f>
        <v>2.6539999999999999</v>
      </c>
      <c r="E310">
        <f t="shared" si="16"/>
        <v>3635980</v>
      </c>
      <c r="F310">
        <f t="shared" si="17"/>
        <v>0.10095457574411373</v>
      </c>
      <c r="G310" t="s">
        <v>312</v>
      </c>
      <c r="H310" s="4" cm="1">
        <f t="array" ref="H310">_xll.SNL.Clients.Office.Excel.Functions.SPG(G310, "SP_TOTAL_REV", "CY2023")</f>
        <v>36016000</v>
      </c>
      <c r="I310" s="4">
        <f>_xll.SNL.Clients.Office.Excel.Functions.SPG(G310,"IQ_AVG_DILUT_SHARES_OUT","CY2023")</f>
        <v>1370000000</v>
      </c>
      <c r="J310" s="5">
        <f>_xll.SNL.Clients.Office.Excel.Functions.SPG(G310, "IQ_DILUT_EPS_NORM", "CY2023")</f>
        <v>2.6539999999999999</v>
      </c>
      <c r="K310">
        <f t="shared" si="18"/>
        <v>3635980</v>
      </c>
      <c r="L310">
        <f t="shared" si="19"/>
        <v>0.10095457574411373</v>
      </c>
    </row>
    <row r="311" spans="1:12" x14ac:dyDescent="0.3">
      <c r="A311" t="s">
        <v>313</v>
      </c>
      <c r="B311" s="4" cm="1">
        <f t="array" ref="B311">_xll.SNL.Clients.Office.Excel.Functions.SPG(A311, "SP_TOTAL_REV", "CY2023")</f>
        <v>1821072</v>
      </c>
      <c r="C311" s="4">
        <f>_xll.SNL.Clients.Office.Excel.Functions.SPG(A311,"IQ_AVG_DILUT_SHARES_OUT","CY2023")</f>
        <v>48771000</v>
      </c>
      <c r="D311" s="5">
        <f>_xll.SNL.Clients.Office.Excel.Functions.SPG(A311, "IQ_DILUT_EPS_NORM", "CY2023")</f>
        <v>6.3959999999999999</v>
      </c>
      <c r="E311">
        <f t="shared" si="16"/>
        <v>311939.31599999999</v>
      </c>
      <c r="F311">
        <f t="shared" si="17"/>
        <v>0.17129433432615515</v>
      </c>
      <c r="G311" t="s">
        <v>313</v>
      </c>
      <c r="H311" s="4" cm="1">
        <f t="array" ref="H311">_xll.SNL.Clients.Office.Excel.Functions.SPG(G311, "SP_TOTAL_REV", "CY2023")</f>
        <v>1821072</v>
      </c>
      <c r="I311" s="4">
        <f>_xll.SNL.Clients.Office.Excel.Functions.SPG(G311,"IQ_AVG_DILUT_SHARES_OUT","CY2023")</f>
        <v>48771000</v>
      </c>
      <c r="J311" s="5">
        <f>_xll.SNL.Clients.Office.Excel.Functions.SPG(G311, "IQ_DILUT_EPS_NORM", "CY2023")</f>
        <v>6.3959999999999999</v>
      </c>
      <c r="K311">
        <f t="shared" si="18"/>
        <v>311939.31599999999</v>
      </c>
      <c r="L311">
        <f t="shared" si="19"/>
        <v>0.17129433432615515</v>
      </c>
    </row>
    <row r="312" spans="1:12" x14ac:dyDescent="0.3">
      <c r="A312" t="s">
        <v>314</v>
      </c>
      <c r="B312" s="4" cm="1">
        <f t="array" ref="B312">_xll.SNL.Clients.Office.Excel.Functions.SPG(A312, "SP_TOTAL_REV", "CY2023")</f>
        <v>7140027</v>
      </c>
      <c r="C312" s="4">
        <f>_xll.SNL.Clients.Office.Excel.Functions.SPG(A312,"IQ_AVG_DILUT_SHARES_OUT","CY2023")</f>
        <v>1057981000</v>
      </c>
      <c r="D312" s="5">
        <f>_xll.SNL.Clients.Office.Excel.Functions.SPG(A312, "IQ_DILUT_EPS_NORM", "CY2023")</f>
        <v>1.23</v>
      </c>
      <c r="E312">
        <f t="shared" si="16"/>
        <v>1301316.6299999999</v>
      </c>
      <c r="F312">
        <f t="shared" si="17"/>
        <v>0.18225654188702647</v>
      </c>
      <c r="G312" t="s">
        <v>314</v>
      </c>
      <c r="H312" s="4" cm="1">
        <f t="array" ref="H312">_xll.SNL.Clients.Office.Excel.Functions.SPG(G312, "SP_TOTAL_REV", "CY2023")</f>
        <v>7140027</v>
      </c>
      <c r="I312" s="4">
        <f>_xll.SNL.Clients.Office.Excel.Functions.SPG(G312,"IQ_AVG_DILUT_SHARES_OUT","CY2023")</f>
        <v>1057981000</v>
      </c>
      <c r="J312" s="5">
        <f>_xll.SNL.Clients.Office.Excel.Functions.SPG(G312, "IQ_DILUT_EPS_NORM", "CY2023")</f>
        <v>1.23</v>
      </c>
      <c r="K312">
        <f t="shared" si="18"/>
        <v>1301316.6299999999</v>
      </c>
      <c r="L312">
        <f t="shared" si="19"/>
        <v>0.18225654188702647</v>
      </c>
    </row>
    <row r="313" spans="1:12" x14ac:dyDescent="0.3">
      <c r="A313" t="s">
        <v>315</v>
      </c>
      <c r="B313" s="4" cm="1">
        <f t="array" ref="B313">_xll.SNL.Clients.Office.Excel.Functions.SPG(A313, "SP_TOTAL_REV", "CY2023")</f>
        <v>5916000</v>
      </c>
      <c r="C313" s="4">
        <f>_xll.SNL.Clients.Office.Excel.Functions.SPG(A313,"IQ_AVG_DILUT_SHARES_OUT","CY2023")</f>
        <v>184000000</v>
      </c>
      <c r="D313" s="5">
        <f>_xll.SNL.Clients.Office.Excel.Functions.SPG(A313, "IQ_DILUT_EPS_NORM", "CY2023")</f>
        <v>6.8150000000000004</v>
      </c>
      <c r="E313">
        <f t="shared" si="16"/>
        <v>1253960</v>
      </c>
      <c r="F313">
        <f t="shared" si="17"/>
        <v>0.2119607843137255</v>
      </c>
      <c r="G313" t="s">
        <v>315</v>
      </c>
      <c r="H313" s="4" cm="1">
        <f t="array" ref="H313">_xll.SNL.Clients.Office.Excel.Functions.SPG(G313, "SP_TOTAL_REV", "CY2023")</f>
        <v>5916000</v>
      </c>
      <c r="I313" s="4">
        <f>_xll.SNL.Clients.Office.Excel.Functions.SPG(G313,"IQ_AVG_DILUT_SHARES_OUT","CY2023")</f>
        <v>184000000</v>
      </c>
      <c r="J313" s="5">
        <f>_xll.SNL.Clients.Office.Excel.Functions.SPG(G313, "IQ_DILUT_EPS_NORM", "CY2023")</f>
        <v>6.8150000000000004</v>
      </c>
      <c r="K313">
        <f t="shared" si="18"/>
        <v>1253960</v>
      </c>
      <c r="L313">
        <f t="shared" si="19"/>
        <v>0.2119607843137255</v>
      </c>
    </row>
    <row r="314" spans="1:12" x14ac:dyDescent="0.3">
      <c r="A314" t="s">
        <v>316</v>
      </c>
      <c r="B314" s="4" cm="1">
        <f t="array" ref="B314">_xll.SNL.Clients.Office.Excel.Functions.SPG(A314, "SP_TOTAL_REV", "CY2023")</f>
        <v>54143000</v>
      </c>
      <c r="C314" s="4">
        <f>_xll.SNL.Clients.Office.Excel.Functions.SPG(A314,"IQ_AVG_DILUT_SHARES_OUT","CY2023")</f>
        <v>1646000000</v>
      </c>
      <c r="D314" s="5">
        <f>_xll.SNL.Clients.Office.Excel.Functions.SPG(A314, "IQ_DILUT_EPS_NORM", "CY2023")</f>
        <v>4.6440000000000001</v>
      </c>
      <c r="E314">
        <f t="shared" si="16"/>
        <v>7644024</v>
      </c>
      <c r="F314">
        <f t="shared" si="17"/>
        <v>0.141182128807048</v>
      </c>
      <c r="G314" t="s">
        <v>316</v>
      </c>
      <c r="H314" s="4" cm="1">
        <f t="array" ref="H314">_xll.SNL.Clients.Office.Excel.Functions.SPG(G314, "SP_TOTAL_REV", "CY2023")</f>
        <v>54143000</v>
      </c>
      <c r="I314" s="4">
        <f>_xll.SNL.Clients.Office.Excel.Functions.SPG(G314,"IQ_AVG_DILUT_SHARES_OUT","CY2023")</f>
        <v>1646000000</v>
      </c>
      <c r="J314" s="5">
        <f>_xll.SNL.Clients.Office.Excel.Functions.SPG(G314, "IQ_DILUT_EPS_NORM", "CY2023")</f>
        <v>4.6440000000000001</v>
      </c>
      <c r="K314">
        <f t="shared" si="18"/>
        <v>7644024</v>
      </c>
      <c r="L314">
        <f t="shared" si="19"/>
        <v>0.141182128807048</v>
      </c>
    </row>
    <row r="315" spans="1:12" x14ac:dyDescent="0.3">
      <c r="A315" t="s">
        <v>317</v>
      </c>
      <c r="B315" s="4" cm="1">
        <f t="array" ref="B315">_xll.SNL.Clients.Office.Excel.Functions.SPG(A315, "SP_TOTAL_REV", "CY2023")</f>
        <v>9978000</v>
      </c>
      <c r="C315" s="4">
        <f>_xll.SNL.Clients.Office.Excel.Functions.SPG(A315,"IQ_AVG_DILUT_SHARES_OUT","CY2023")</f>
        <v>172100000</v>
      </c>
      <c r="D315" s="5">
        <f>_xll.SNL.Clients.Office.Excel.Functions.SPG(A315, "IQ_DILUT_EPS_NORM", "CY2023")</f>
        <v>8.0399999999999991</v>
      </c>
      <c r="E315">
        <f t="shared" si="16"/>
        <v>1383683.9999999998</v>
      </c>
      <c r="F315">
        <f t="shared" si="17"/>
        <v>0.13867348165965121</v>
      </c>
      <c r="G315" t="s">
        <v>317</v>
      </c>
      <c r="H315" s="4" cm="1">
        <f t="array" ref="H315">_xll.SNL.Clients.Office.Excel.Functions.SPG(G315, "SP_TOTAL_REV", "CY2023")</f>
        <v>9978000</v>
      </c>
      <c r="I315" s="4">
        <f>_xll.SNL.Clients.Office.Excel.Functions.SPG(G315,"IQ_AVG_DILUT_SHARES_OUT","CY2023")</f>
        <v>172100000</v>
      </c>
      <c r="J315" s="5">
        <f>_xll.SNL.Clients.Office.Excel.Functions.SPG(G315, "IQ_DILUT_EPS_NORM", "CY2023")</f>
        <v>8.0399999999999991</v>
      </c>
      <c r="K315">
        <f t="shared" si="18"/>
        <v>1383683.9999999998</v>
      </c>
      <c r="L315">
        <f t="shared" si="19"/>
        <v>0.13867348165965121</v>
      </c>
    </row>
    <row r="316" spans="1:12" x14ac:dyDescent="0.3">
      <c r="A316" t="s">
        <v>318</v>
      </c>
      <c r="B316" s="4" cm="1">
        <f t="array" ref="B316">_xll.SNL.Clients.Office.Excel.Functions.SPG(A316, "SP_TOTAL_REV", "CY2023")</f>
        <v>2528920</v>
      </c>
      <c r="C316" s="4">
        <f>_xll.SNL.Clients.Office.Excel.Functions.SPG(A316,"IQ_AVG_DILUT_SHARES_OUT","CY2023")</f>
        <v>79843000</v>
      </c>
      <c r="D316" s="5">
        <f>_xll.SNL.Clients.Office.Excel.Functions.SPG(A316, "IQ_DILUT_EPS_NORM", "CY2023")</f>
        <v>9.6199999999999992</v>
      </c>
      <c r="E316">
        <f t="shared" si="16"/>
        <v>768089.65999999992</v>
      </c>
      <c r="F316">
        <f t="shared" si="17"/>
        <v>0.30372240323932742</v>
      </c>
      <c r="G316" t="s">
        <v>318</v>
      </c>
      <c r="H316" s="4" cm="1">
        <f t="array" ref="H316">_xll.SNL.Clients.Office.Excel.Functions.SPG(G316, "SP_TOTAL_REV", "CY2023")</f>
        <v>2528920</v>
      </c>
      <c r="I316" s="4">
        <f>_xll.SNL.Clients.Office.Excel.Functions.SPG(G316,"IQ_AVG_DILUT_SHARES_OUT","CY2023")</f>
        <v>79843000</v>
      </c>
      <c r="J316" s="5">
        <f>_xll.SNL.Clients.Office.Excel.Functions.SPG(G316, "IQ_DILUT_EPS_NORM", "CY2023")</f>
        <v>9.6199999999999992</v>
      </c>
      <c r="K316">
        <f t="shared" si="18"/>
        <v>768089.65999999992</v>
      </c>
      <c r="L316">
        <f t="shared" si="19"/>
        <v>0.30372240323932742</v>
      </c>
    </row>
    <row r="317" spans="1:12" x14ac:dyDescent="0.3">
      <c r="A317" t="s">
        <v>319</v>
      </c>
      <c r="B317" s="4" cm="1">
        <f t="array" ref="B317">_xll.SNL.Clients.Office.Excel.Functions.SPG(A317, "SP_TOTAL_REV", "CY2023")</f>
        <v>6064000</v>
      </c>
      <c r="C317" s="4">
        <f>_xll.SNL.Clients.Office.Excel.Functions.SPG(A317,"IQ_AVG_DILUT_SHARES_OUT","CY2023")</f>
        <v>508392982</v>
      </c>
      <c r="D317" s="5">
        <f>_xll.SNL.Clients.Office.Excel.Functions.SPG(A317, "IQ_DILUT_EPS_NORM", "CY2023")</f>
        <v>2.008</v>
      </c>
      <c r="E317">
        <f t="shared" si="16"/>
        <v>1020853.107856</v>
      </c>
      <c r="F317">
        <f t="shared" si="17"/>
        <v>0.16834648876253297</v>
      </c>
      <c r="G317" t="s">
        <v>319</v>
      </c>
      <c r="H317" s="4" cm="1">
        <f t="array" ref="H317">_xll.SNL.Clients.Office.Excel.Functions.SPG(G317, "SP_TOTAL_REV", "CY2023")</f>
        <v>6064000</v>
      </c>
      <c r="I317" s="4">
        <f>_xll.SNL.Clients.Office.Excel.Functions.SPG(G317,"IQ_AVG_DILUT_SHARES_OUT","CY2023")</f>
        <v>508392982</v>
      </c>
      <c r="J317" s="5">
        <f>_xll.SNL.Clients.Office.Excel.Functions.SPG(G317, "IQ_DILUT_EPS_NORM", "CY2023")</f>
        <v>2.008</v>
      </c>
      <c r="K317">
        <f t="shared" si="18"/>
        <v>1020853.107856</v>
      </c>
      <c r="L317">
        <f t="shared" si="19"/>
        <v>0.16834648876253297</v>
      </c>
    </row>
    <row r="318" spans="1:12" x14ac:dyDescent="0.3">
      <c r="A318" t="s">
        <v>320</v>
      </c>
      <c r="B318" s="4" cm="1">
        <f t="array" ref="B318">_xll.SNL.Clients.Office.Excel.Functions.SPG(A318, "SP_TOTAL_REV", "CY2023")</f>
        <v>6181000</v>
      </c>
      <c r="C318" s="4">
        <f>_xll.SNL.Clients.Office.Excel.Functions.SPG(A318,"IQ_AVG_DILUT_SHARES_OUT","CY2023")</f>
        <v>214000000</v>
      </c>
      <c r="D318" s="5">
        <f>_xll.SNL.Clients.Office.Excel.Functions.SPG(A318, "IQ_DILUT_EPS_NORM", "CY2023")</f>
        <v>3.63</v>
      </c>
      <c r="E318">
        <f t="shared" si="16"/>
        <v>776820</v>
      </c>
      <c r="F318">
        <f t="shared" si="17"/>
        <v>0.12567869276816049</v>
      </c>
      <c r="G318" t="s">
        <v>320</v>
      </c>
      <c r="H318" s="4" cm="1">
        <f t="array" ref="H318">_xll.SNL.Clients.Office.Excel.Functions.SPG(G318, "SP_TOTAL_REV", "CY2023")</f>
        <v>6181000</v>
      </c>
      <c r="I318" s="4">
        <f>_xll.SNL.Clients.Office.Excel.Functions.SPG(G318,"IQ_AVG_DILUT_SHARES_OUT","CY2023")</f>
        <v>214000000</v>
      </c>
      <c r="J318" s="5">
        <f>_xll.SNL.Clients.Office.Excel.Functions.SPG(G318, "IQ_DILUT_EPS_NORM", "CY2023")</f>
        <v>3.63</v>
      </c>
      <c r="K318">
        <f t="shared" si="18"/>
        <v>776820</v>
      </c>
      <c r="L318">
        <f t="shared" si="19"/>
        <v>0.12567869276816049</v>
      </c>
    </row>
    <row r="319" spans="1:12" x14ac:dyDescent="0.3">
      <c r="A319" t="s">
        <v>321</v>
      </c>
      <c r="B319" s="4" cm="1">
        <f t="array" ref="B319">_xll.SNL.Clients.Office.Excel.Functions.SPG(A319, "SP_TOTAL_REV", "CY2023")</f>
        <v>33723297</v>
      </c>
      <c r="C319" s="4">
        <f>_xll.SNL.Clients.Office.Excel.Functions.SPG(A319,"IQ_AVG_DILUT_SHARES_OUT","CY2023")</f>
        <v>449498000</v>
      </c>
      <c r="D319" s="5">
        <f>_xll.SNL.Clients.Office.Excel.Functions.SPG(A319, "IQ_DILUT_EPS_NORM", "CY2023")</f>
        <v>8.6280000000000001</v>
      </c>
      <c r="E319">
        <f t="shared" si="16"/>
        <v>3878268.7439999999</v>
      </c>
      <c r="F319">
        <f t="shared" si="17"/>
        <v>0.11500265659078351</v>
      </c>
      <c r="G319" t="s">
        <v>321</v>
      </c>
      <c r="H319" s="4" cm="1">
        <f t="array" ref="H319">_xll.SNL.Clients.Office.Excel.Functions.SPG(G319, "SP_TOTAL_REV", "CY2023")</f>
        <v>33723297</v>
      </c>
      <c r="I319" s="4">
        <f>_xll.SNL.Clients.Office.Excel.Functions.SPG(G319,"IQ_AVG_DILUT_SHARES_OUT","CY2023")</f>
        <v>449498000</v>
      </c>
      <c r="J319" s="5">
        <f>_xll.SNL.Clients.Office.Excel.Functions.SPG(G319, "IQ_DILUT_EPS_NORM", "CY2023")</f>
        <v>8.6280000000000001</v>
      </c>
      <c r="K319">
        <f t="shared" si="18"/>
        <v>3878268.7439999999</v>
      </c>
      <c r="L319">
        <f t="shared" si="19"/>
        <v>0.11500265659078351</v>
      </c>
    </row>
    <row r="320" spans="1:12" x14ac:dyDescent="0.3">
      <c r="A320" t="s">
        <v>322</v>
      </c>
      <c r="B320" s="4" cm="1">
        <f t="array" ref="B320">_xll.SNL.Clients.Office.Excel.Functions.SPG(A320, "SP_TOTAL_REV", "CY2023")</f>
        <v>11812000</v>
      </c>
      <c r="C320" s="4">
        <f>_xll.SNL.Clients.Office.Excel.Functions.SPG(A320,"IQ_AVG_DILUT_SHARES_OUT","CY2023")</f>
        <v>841000000</v>
      </c>
      <c r="D320" s="5">
        <f>_xll.SNL.Clients.Office.Excel.Functions.SPG(A320, "IQ_DILUT_EPS_NORM", "CY2023")</f>
        <v>0.44</v>
      </c>
      <c r="E320">
        <f t="shared" si="16"/>
        <v>370040</v>
      </c>
      <c r="F320">
        <f t="shared" si="17"/>
        <v>3.1327463596342704E-2</v>
      </c>
      <c r="G320" t="s">
        <v>322</v>
      </c>
      <c r="H320" s="4" cm="1">
        <f t="array" ref="H320">_xll.SNL.Clients.Office.Excel.Functions.SPG(G320, "SP_TOTAL_REV", "CY2023")</f>
        <v>11812000</v>
      </c>
      <c r="I320" s="4">
        <f>_xll.SNL.Clients.Office.Excel.Functions.SPG(G320,"IQ_AVG_DILUT_SHARES_OUT","CY2023")</f>
        <v>841000000</v>
      </c>
      <c r="J320" s="5">
        <f>_xll.SNL.Clients.Office.Excel.Functions.SPG(G320, "IQ_DILUT_EPS_NORM", "CY2023")</f>
        <v>0.44</v>
      </c>
      <c r="K320">
        <f t="shared" si="18"/>
        <v>370040</v>
      </c>
      <c r="L320">
        <f t="shared" si="19"/>
        <v>3.1327463596342704E-2</v>
      </c>
    </row>
    <row r="321" spans="1:12" x14ac:dyDescent="0.3">
      <c r="A321" t="s">
        <v>323</v>
      </c>
      <c r="B321" s="4" cm="1">
        <f t="array" ref="B321">_xll.SNL.Clients.Office.Excel.Functions.SPG(A321, "SP_TOTAL_REV", "CY2023")</f>
        <v>9965000</v>
      </c>
      <c r="C321" s="4">
        <f>_xll.SNL.Clients.Office.Excel.Functions.SPG(A321,"IQ_AVG_DILUT_SHARES_OUT","CY2023")</f>
        <v>575300000</v>
      </c>
      <c r="D321" s="5">
        <f>_xll.SNL.Clients.Office.Excel.Functions.SPG(A321, "IQ_DILUT_EPS_NORM", "CY2023")</f>
        <v>0.61699999999999999</v>
      </c>
      <c r="E321">
        <f t="shared" si="16"/>
        <v>354960.1</v>
      </c>
      <c r="F321">
        <f t="shared" si="17"/>
        <v>3.5620682388359255E-2</v>
      </c>
      <c r="G321" t="s">
        <v>323</v>
      </c>
      <c r="H321" s="4" cm="1">
        <f t="array" ref="H321">_xll.SNL.Clients.Office.Excel.Functions.SPG(G321, "SP_TOTAL_REV", "CY2023")</f>
        <v>9965000</v>
      </c>
      <c r="I321" s="4">
        <f>_xll.SNL.Clients.Office.Excel.Functions.SPG(G321,"IQ_AVG_DILUT_SHARES_OUT","CY2023")</f>
        <v>575300000</v>
      </c>
      <c r="J321" s="5">
        <f>_xll.SNL.Clients.Office.Excel.Functions.SPG(G321, "IQ_DILUT_EPS_NORM", "CY2023")</f>
        <v>0.61699999999999999</v>
      </c>
      <c r="K321">
        <f t="shared" si="18"/>
        <v>354960.1</v>
      </c>
      <c r="L321">
        <f t="shared" si="19"/>
        <v>3.5620682388359255E-2</v>
      </c>
    </row>
    <row r="322" spans="1:12" x14ac:dyDescent="0.3">
      <c r="A322" t="s">
        <v>324</v>
      </c>
      <c r="B322" s="4" cm="1">
        <f t="array" ref="B322">_xll.SNL.Clients.Office.Excel.Functions.SPG(A322, "SP_TOTAL_REV", "CY2023")</f>
        <v>9965000</v>
      </c>
      <c r="C322" s="4">
        <f>_xll.SNL.Clients.Office.Excel.Functions.SPG(A322,"IQ_AVG_DILUT_SHARES_OUT","CY2023")</f>
        <v>575300000</v>
      </c>
      <c r="D322" s="5">
        <f>_xll.SNL.Clients.Office.Excel.Functions.SPG(A322, "IQ_DILUT_EPS_NORM", "CY2023")</f>
        <v>0.61699999999999999</v>
      </c>
      <c r="E322">
        <f t="shared" si="16"/>
        <v>354960.1</v>
      </c>
      <c r="F322">
        <f t="shared" si="17"/>
        <v>3.5620682388359255E-2</v>
      </c>
      <c r="G322" t="s">
        <v>324</v>
      </c>
      <c r="H322" s="4" cm="1">
        <f t="array" ref="H322">_xll.SNL.Clients.Office.Excel.Functions.SPG(G322, "SP_TOTAL_REV", "CY2023")</f>
        <v>9965000</v>
      </c>
      <c r="I322" s="4">
        <f>_xll.SNL.Clients.Office.Excel.Functions.SPG(G322,"IQ_AVG_DILUT_SHARES_OUT","CY2023")</f>
        <v>575300000</v>
      </c>
      <c r="J322" s="5">
        <f>_xll.SNL.Clients.Office.Excel.Functions.SPG(G322, "IQ_DILUT_EPS_NORM", "CY2023")</f>
        <v>0.61699999999999999</v>
      </c>
      <c r="K322">
        <f t="shared" si="18"/>
        <v>354960.1</v>
      </c>
      <c r="L322">
        <f t="shared" si="19"/>
        <v>3.5620682388359255E-2</v>
      </c>
    </row>
    <row r="323" spans="1:12" x14ac:dyDescent="0.3">
      <c r="A323" t="s">
        <v>325</v>
      </c>
      <c r="B323" s="4" cm="1">
        <f t="array" ref="B323">_xll.SNL.Clients.Office.Excel.Functions.SPG(A323, "SP_TOTAL_REV", "CY2023")</f>
        <v>28114000</v>
      </c>
      <c r="C323" s="4">
        <f>_xll.SNL.Clients.Office.Excel.Functions.SPG(A323,"IQ_AVG_DILUT_SHARES_OUT","CY2023")</f>
        <v>2030800000</v>
      </c>
      <c r="D323" s="5">
        <f>_xll.SNL.Clients.Office.Excel.Functions.SPG(A323, "IQ_DILUT_EPS_NORM", "CY2023")</f>
        <v>2.5369999999999999</v>
      </c>
      <c r="E323">
        <f t="shared" si="16"/>
        <v>5152139.5999999996</v>
      </c>
      <c r="F323">
        <f t="shared" si="17"/>
        <v>0.18325886035427189</v>
      </c>
      <c r="G323" t="s">
        <v>325</v>
      </c>
      <c r="H323" s="4" cm="1">
        <f t="array" ref="H323">_xll.SNL.Clients.Office.Excel.Functions.SPG(G323, "SP_TOTAL_REV", "CY2023")</f>
        <v>28114000</v>
      </c>
      <c r="I323" s="4">
        <f>_xll.SNL.Clients.Office.Excel.Functions.SPG(G323,"IQ_AVG_DILUT_SHARES_OUT","CY2023")</f>
        <v>2030800000</v>
      </c>
      <c r="J323" s="5">
        <f>_xll.SNL.Clients.Office.Excel.Functions.SPG(G323, "IQ_DILUT_EPS_NORM", "CY2023")</f>
        <v>2.5369999999999999</v>
      </c>
      <c r="K323">
        <f t="shared" si="18"/>
        <v>5152139.5999999996</v>
      </c>
      <c r="L323">
        <f t="shared" si="19"/>
        <v>0.18325886035427189</v>
      </c>
    </row>
    <row r="324" spans="1:12" x14ac:dyDescent="0.3">
      <c r="A324" t="s">
        <v>326</v>
      </c>
      <c r="B324" s="4" cm="1">
        <f t="array" ref="B324">_xll.SNL.Clients.Office.Excel.Functions.SPG(A324, "SP_TOTAL_REV", "CY2023")</f>
        <v>51542000</v>
      </c>
      <c r="C324" s="4">
        <f>_xll.SNL.Clients.Office.Excel.Functions.SPG(A324,"IQ_AVG_DILUT_SHARES_OUT","CY2023")</f>
        <v>1549100000</v>
      </c>
      <c r="D324" s="5">
        <f>_xll.SNL.Clients.Office.Excel.Functions.SPG(A324, "IQ_DILUT_EPS_NORM", "CY2023")</f>
        <v>2.5390000000000001</v>
      </c>
      <c r="E324">
        <f t="shared" si="16"/>
        <v>3933164.9</v>
      </c>
      <c r="F324">
        <f t="shared" si="17"/>
        <v>7.6309900663536531E-2</v>
      </c>
      <c r="G324" t="s">
        <v>326</v>
      </c>
      <c r="H324" s="4" cm="1">
        <f t="array" ref="H324">_xll.SNL.Clients.Office.Excel.Functions.SPG(G324, "SP_TOTAL_REV", "CY2023")</f>
        <v>51542000</v>
      </c>
      <c r="I324" s="4">
        <f>_xll.SNL.Clients.Office.Excel.Functions.SPG(G324,"IQ_AVG_DILUT_SHARES_OUT","CY2023")</f>
        <v>1549100000</v>
      </c>
      <c r="J324" s="5">
        <f>_xll.SNL.Clients.Office.Excel.Functions.SPG(G324, "IQ_DILUT_EPS_NORM", "CY2023")</f>
        <v>2.5390000000000001</v>
      </c>
      <c r="K324">
        <f t="shared" si="18"/>
        <v>3933164.9</v>
      </c>
      <c r="L324">
        <f t="shared" si="19"/>
        <v>7.6309900663536531E-2</v>
      </c>
    </row>
    <row r="325" spans="1:12" x14ac:dyDescent="0.3">
      <c r="A325" t="s">
        <v>327</v>
      </c>
      <c r="B325" s="4" cm="1">
        <f t="array" ref="B325">_xll.SNL.Clients.Office.Excel.Functions.SPG(A325, "SP_TOTAL_REV", "CY2023")</f>
        <v>5505400</v>
      </c>
      <c r="C325" s="4">
        <f>_xll.SNL.Clients.Office.Excel.Functions.SPG(A325,"IQ_AVG_DILUT_SHARES_OUT","CY2023")</f>
        <v>447900000</v>
      </c>
      <c r="D325" s="5">
        <f>_xll.SNL.Clients.Office.Excel.Functions.SPG(A325, "IQ_DILUT_EPS_NORM", "CY2023")</f>
        <v>1.2290000000000001</v>
      </c>
      <c r="E325">
        <f t="shared" ref="E325:E388" si="20">C325*D325/1000</f>
        <v>550469.1</v>
      </c>
      <c r="F325">
        <f t="shared" ref="F325:F388" si="21">E325/B325</f>
        <v>9.998712173502379E-2</v>
      </c>
      <c r="G325" t="s">
        <v>327</v>
      </c>
      <c r="H325" s="4" cm="1">
        <f t="array" ref="H325">_xll.SNL.Clients.Office.Excel.Functions.SPG(G325, "SP_TOTAL_REV", "CY2023")</f>
        <v>5505400</v>
      </c>
      <c r="I325" s="4">
        <f>_xll.SNL.Clients.Office.Excel.Functions.SPG(G325,"IQ_AVG_DILUT_SHARES_OUT","CY2023")</f>
        <v>447900000</v>
      </c>
      <c r="J325" s="5">
        <f>_xll.SNL.Clients.Office.Excel.Functions.SPG(G325, "IQ_DILUT_EPS_NORM", "CY2023")</f>
        <v>1.2290000000000001</v>
      </c>
      <c r="K325">
        <f t="shared" ref="K325:K388" si="22">I325*J325/1000</f>
        <v>550469.1</v>
      </c>
      <c r="L325">
        <f t="shared" ref="L325:L388" si="23">K325/H325</f>
        <v>9.998712173502379E-2</v>
      </c>
    </row>
    <row r="326" spans="1:12" x14ac:dyDescent="0.3">
      <c r="A326" t="s">
        <v>328</v>
      </c>
      <c r="B326" s="4" cm="1">
        <f t="array" ref="B326">_xll.SNL.Clients.Office.Excel.Functions.SPG(A326, "SP_TOTAL_REV", "CY2023")</f>
        <v>2651348</v>
      </c>
      <c r="C326" s="4">
        <f>_xll.SNL.Clients.Office.Excel.Functions.SPG(A326,"IQ_AVG_DILUT_SHARES_OUT","CY2023")</f>
        <v>57579250</v>
      </c>
      <c r="D326" s="5">
        <f>_xll.SNL.Clients.Office.Excel.Functions.SPG(A326, "IQ_DILUT_EPS_NORM", "CY2023")</f>
        <v>6.7619999999999996</v>
      </c>
      <c r="E326">
        <f t="shared" si="20"/>
        <v>389350.8885</v>
      </c>
      <c r="F326">
        <f t="shared" si="21"/>
        <v>0.14685016395433567</v>
      </c>
      <c r="G326" t="s">
        <v>328</v>
      </c>
      <c r="H326" s="4" cm="1">
        <f t="array" ref="H326">_xll.SNL.Clients.Office.Excel.Functions.SPG(G326, "SP_TOTAL_REV", "CY2023")</f>
        <v>2651348</v>
      </c>
      <c r="I326" s="4">
        <f>_xll.SNL.Clients.Office.Excel.Functions.SPG(G326,"IQ_AVG_DILUT_SHARES_OUT","CY2023")</f>
        <v>57579250</v>
      </c>
      <c r="J326" s="5">
        <f>_xll.SNL.Clients.Office.Excel.Functions.SPG(G326, "IQ_DILUT_EPS_NORM", "CY2023")</f>
        <v>6.7619999999999996</v>
      </c>
      <c r="K326">
        <f t="shared" si="22"/>
        <v>389350.8885</v>
      </c>
      <c r="L326">
        <f t="shared" si="23"/>
        <v>0.14685016395433567</v>
      </c>
    </row>
    <row r="327" spans="1:12" x14ac:dyDescent="0.3">
      <c r="A327" t="s">
        <v>329</v>
      </c>
      <c r="B327" s="4" cm="1">
        <f t="array" ref="B327">_xll.SNL.Clients.Office.Excel.Functions.SPG(A327, "SP_TOTAL_REV", "CY2023")</f>
        <v>12156000</v>
      </c>
      <c r="C327" s="4">
        <f>_xll.SNL.Clients.Office.Excel.Functions.SPG(A327,"IQ_AVG_DILUT_SHARES_OUT","CY2023")</f>
        <v>227400000</v>
      </c>
      <c r="D327" s="5">
        <f>_xll.SNL.Clients.Office.Excel.Functions.SPG(A327, "IQ_DILUT_EPS_NORM", "CY2023")</f>
        <v>9.4440000000000008</v>
      </c>
      <c r="E327">
        <f t="shared" si="20"/>
        <v>2147565.6</v>
      </c>
      <c r="F327">
        <f t="shared" si="21"/>
        <v>0.17666712734452122</v>
      </c>
      <c r="G327" t="s">
        <v>329</v>
      </c>
      <c r="H327" s="4" cm="1">
        <f t="array" ref="H327">_xll.SNL.Clients.Office.Excel.Functions.SPG(G327, "SP_TOTAL_REV", "CY2023")</f>
        <v>12156000</v>
      </c>
      <c r="I327" s="4">
        <f>_xll.SNL.Clients.Office.Excel.Functions.SPG(G327,"IQ_AVG_DILUT_SHARES_OUT","CY2023")</f>
        <v>227400000</v>
      </c>
      <c r="J327" s="5">
        <f>_xll.SNL.Clients.Office.Excel.Functions.SPG(G327, "IQ_DILUT_EPS_NORM", "CY2023")</f>
        <v>9.4440000000000008</v>
      </c>
      <c r="K327">
        <f t="shared" si="22"/>
        <v>2147565.6</v>
      </c>
      <c r="L327">
        <f t="shared" si="23"/>
        <v>0.17666712734452122</v>
      </c>
    </row>
    <row r="328" spans="1:12" x14ac:dyDescent="0.3">
      <c r="A328" t="s">
        <v>330</v>
      </c>
      <c r="B328" s="4" cm="1">
        <f t="array" ref="B328">_xll.SNL.Clients.Office.Excel.Functions.SPG(A328, "SP_TOTAL_REV", "CY2023")</f>
        <v>6749000</v>
      </c>
      <c r="C328" s="4">
        <f>_xll.SNL.Clients.Office.Excel.Functions.SPG(A328,"IQ_AVG_DILUT_SHARES_OUT","CY2023")</f>
        <v>207563746</v>
      </c>
      <c r="D328" s="5">
        <f>_xll.SNL.Clients.Office.Excel.Functions.SPG(A328, "IQ_DILUT_EPS_NORM", "CY2023")</f>
        <v>4.5209999999999999</v>
      </c>
      <c r="E328">
        <f t="shared" si="20"/>
        <v>938395.69566600001</v>
      </c>
      <c r="F328">
        <f t="shared" si="21"/>
        <v>0.13904218338509408</v>
      </c>
      <c r="G328" t="s">
        <v>330</v>
      </c>
      <c r="H328" s="4" cm="1">
        <f t="array" ref="H328">_xll.SNL.Clients.Office.Excel.Functions.SPG(G328, "SP_TOTAL_REV", "CY2023")</f>
        <v>6749000</v>
      </c>
      <c r="I328" s="4">
        <f>_xll.SNL.Clients.Office.Excel.Functions.SPG(G328,"IQ_AVG_DILUT_SHARES_OUT","CY2023")</f>
        <v>207563746</v>
      </c>
      <c r="J328" s="5">
        <f>_xll.SNL.Clients.Office.Excel.Functions.SPG(G328, "IQ_DILUT_EPS_NORM", "CY2023")</f>
        <v>4.5209999999999999</v>
      </c>
      <c r="K328">
        <f t="shared" si="22"/>
        <v>938395.69566600001</v>
      </c>
      <c r="L328">
        <f t="shared" si="23"/>
        <v>0.13904218338509408</v>
      </c>
    </row>
    <row r="329" spans="1:12" x14ac:dyDescent="0.3">
      <c r="A329" t="s">
        <v>331</v>
      </c>
      <c r="B329" s="4" cm="1">
        <f t="array" ref="B329">_xll.SNL.Clients.Office.Excel.Functions.SPG(A329, "SP_TOTAL_REV", "CY2023")</f>
        <v>39290000</v>
      </c>
      <c r="C329" s="4">
        <f>_xll.SNL.Clients.Office.Excel.Functions.SPG(A329,"IQ_AVG_DILUT_SHARES_OUT","CY2023")</f>
        <v>152000000</v>
      </c>
      <c r="D329" s="5">
        <f>_xll.SNL.Clients.Office.Excel.Functions.SPG(A329, "IQ_DILUT_EPS_NORM", "CY2023")</f>
        <v>9.2479999999999993</v>
      </c>
      <c r="E329">
        <f t="shared" si="20"/>
        <v>1405696</v>
      </c>
      <c r="F329">
        <f t="shared" si="21"/>
        <v>3.5777449732756428E-2</v>
      </c>
      <c r="G329" t="s">
        <v>331</v>
      </c>
      <c r="H329" s="4" cm="1">
        <f t="array" ref="H329">_xll.SNL.Clients.Office.Excel.Functions.SPG(G329, "SP_TOTAL_REV", "CY2023")</f>
        <v>39290000</v>
      </c>
      <c r="I329" s="4">
        <f>_xll.SNL.Clients.Office.Excel.Functions.SPG(G329,"IQ_AVG_DILUT_SHARES_OUT","CY2023")</f>
        <v>152000000</v>
      </c>
      <c r="J329" s="5">
        <f>_xll.SNL.Clients.Office.Excel.Functions.SPG(G329, "IQ_DILUT_EPS_NORM", "CY2023")</f>
        <v>9.2479999999999993</v>
      </c>
      <c r="K329">
        <f t="shared" si="22"/>
        <v>1405696</v>
      </c>
      <c r="L329">
        <f t="shared" si="23"/>
        <v>3.5777449732756428E-2</v>
      </c>
    </row>
    <row r="330" spans="1:12" x14ac:dyDescent="0.3">
      <c r="A330" t="s">
        <v>332</v>
      </c>
      <c r="B330" s="4" cm="1">
        <f t="array" ref="B330">_xll.SNL.Clients.Office.Excel.Functions.SPG(A330, "SP_TOTAL_REV", "CY2023")</f>
        <v>8549924</v>
      </c>
      <c r="C330" s="4">
        <f>_xll.SNL.Clients.Office.Excel.Functions.SPG(A330,"IQ_AVG_DILUT_SHARES_OUT","CY2023")</f>
        <v>427400849</v>
      </c>
      <c r="D330" s="5">
        <f>_xll.SNL.Clients.Office.Excel.Functions.SPG(A330, "IQ_DILUT_EPS_NORM", "CY2023")</f>
        <v>0.252</v>
      </c>
      <c r="E330">
        <f t="shared" si="20"/>
        <v>107705.01394799999</v>
      </c>
      <c r="F330">
        <f t="shared" si="21"/>
        <v>1.2597189629755772E-2</v>
      </c>
      <c r="G330" t="s">
        <v>332</v>
      </c>
      <c r="H330" s="4" cm="1">
        <f t="array" ref="H330">_xll.SNL.Clients.Office.Excel.Functions.SPG(G330, "SP_TOTAL_REV", "CY2023")</f>
        <v>8549924</v>
      </c>
      <c r="I330" s="4">
        <f>_xll.SNL.Clients.Office.Excel.Functions.SPG(G330,"IQ_AVG_DILUT_SHARES_OUT","CY2023")</f>
        <v>427400849</v>
      </c>
      <c r="J330" s="5">
        <f>_xll.SNL.Clients.Office.Excel.Functions.SPG(G330, "IQ_DILUT_EPS_NORM", "CY2023")</f>
        <v>0.252</v>
      </c>
      <c r="K330">
        <f t="shared" si="22"/>
        <v>107705.01394799999</v>
      </c>
      <c r="L330">
        <f t="shared" si="23"/>
        <v>1.2597189629755772E-2</v>
      </c>
    </row>
    <row r="331" spans="1:12" x14ac:dyDescent="0.3">
      <c r="A331" t="s">
        <v>333</v>
      </c>
      <c r="B331" s="4" cm="1">
        <f t="array" ref="B331">_xll.SNL.Clients.Office.Excel.Functions.SPG(A331, "SP_TOTAL_REV", "CY2023")</f>
        <v>28823000</v>
      </c>
      <c r="C331" s="4">
        <f>_xll.SNL.Clients.Office.Excel.Functions.SPG(A331,"IQ_AVG_DILUT_SHARES_OUT","CY2023")</f>
        <v>228000000</v>
      </c>
      <c r="D331" s="5">
        <f>_xll.SNL.Clients.Office.Excel.Functions.SPG(A331, "IQ_DILUT_EPS_NORM", "CY2023")</f>
        <v>-4.55</v>
      </c>
      <c r="E331">
        <f t="shared" si="20"/>
        <v>-1037400</v>
      </c>
      <c r="F331">
        <f t="shared" si="21"/>
        <v>-3.5992089650626238E-2</v>
      </c>
      <c r="G331" t="s">
        <v>333</v>
      </c>
      <c r="H331" s="4" cm="1">
        <f t="array" ref="H331">_xll.SNL.Clients.Office.Excel.Functions.SPG(G331, "SP_TOTAL_REV", "CY2023")</f>
        <v>28823000</v>
      </c>
      <c r="I331" s="4">
        <f>_xll.SNL.Clients.Office.Excel.Functions.SPG(G331,"IQ_AVG_DILUT_SHARES_OUT","CY2023")</f>
        <v>228000000</v>
      </c>
      <c r="J331" s="5">
        <f>_xll.SNL.Clients.Office.Excel.Functions.SPG(G331, "IQ_DILUT_EPS_NORM", "CY2023")</f>
        <v>-4.55</v>
      </c>
      <c r="K331">
        <f t="shared" si="22"/>
        <v>-1037400</v>
      </c>
      <c r="L331">
        <f t="shared" si="23"/>
        <v>-3.5992089650626238E-2</v>
      </c>
    </row>
    <row r="332" spans="1:12" x14ac:dyDescent="0.3">
      <c r="A332" t="s">
        <v>334</v>
      </c>
      <c r="B332" s="4" cm="1">
        <f t="array" ref="B332">_xll.SNL.Clients.Office.Excel.Functions.SPG(A332, "SP_TOTAL_REV", "CY2023")</f>
        <v>34713501</v>
      </c>
      <c r="C332" s="4">
        <f>_xll.SNL.Clients.Office.Excel.Functions.SPG(A332,"IQ_AVG_DILUT_SHARES_OUT","CY2023")</f>
        <v>250412000</v>
      </c>
      <c r="D332" s="5">
        <f>_xll.SNL.Clients.Office.Excel.Functions.SPG(A332, "IQ_DILUT_EPS_NORM", "CY2023")</f>
        <v>14.106999999999999</v>
      </c>
      <c r="E332">
        <f t="shared" si="20"/>
        <v>3532562.0839999998</v>
      </c>
      <c r="F332">
        <f t="shared" si="21"/>
        <v>0.10176334804144359</v>
      </c>
      <c r="G332" t="s">
        <v>334</v>
      </c>
      <c r="H332" s="4" cm="1">
        <f t="array" ref="H332">_xll.SNL.Clients.Office.Excel.Functions.SPG(G332, "SP_TOTAL_REV", "CY2023")</f>
        <v>34713501</v>
      </c>
      <c r="I332" s="4">
        <f>_xll.SNL.Clients.Office.Excel.Functions.SPG(G332,"IQ_AVG_DILUT_SHARES_OUT","CY2023")</f>
        <v>250412000</v>
      </c>
      <c r="J332" s="5">
        <f>_xll.SNL.Clients.Office.Excel.Functions.SPG(G332, "IQ_DILUT_EPS_NORM", "CY2023")</f>
        <v>14.106999999999999</v>
      </c>
      <c r="K332">
        <f t="shared" si="22"/>
        <v>3532562.0839999998</v>
      </c>
      <c r="L332">
        <f t="shared" si="23"/>
        <v>0.10176334804144359</v>
      </c>
    </row>
    <row r="333" spans="1:12" x14ac:dyDescent="0.3">
      <c r="A333" t="s">
        <v>335</v>
      </c>
      <c r="B333" s="4" cm="1">
        <f t="array" ref="B333">_xll.SNL.Clients.Office.Excel.Functions.SPG(A333, "SP_TOTAL_REV", "CY2023")</f>
        <v>60922000</v>
      </c>
      <c r="C333" s="4">
        <f>_xll.SNL.Clients.Office.Excel.Functions.SPG(A333,"IQ_AVG_DILUT_SHARES_OUT","CY2023")</f>
        <v>24940000000</v>
      </c>
      <c r="D333" s="5">
        <f>_xll.SNL.Clients.Office.Excel.Functions.SPG(A333, "IQ_DILUT_EPS_NORM", "CY2023")</f>
        <v>0.84199999999999997</v>
      </c>
      <c r="E333">
        <f t="shared" si="20"/>
        <v>20999480</v>
      </c>
      <c r="F333">
        <f t="shared" si="21"/>
        <v>0.34469452742851514</v>
      </c>
      <c r="G333" t="s">
        <v>335</v>
      </c>
      <c r="H333" s="4" cm="1">
        <f t="array" ref="H333">_xll.SNL.Clients.Office.Excel.Functions.SPG(G333, "SP_TOTAL_REV", "CY2023")</f>
        <v>60922000</v>
      </c>
      <c r="I333" s="4">
        <f>_xll.SNL.Clients.Office.Excel.Functions.SPG(G333,"IQ_AVG_DILUT_SHARES_OUT","CY2023")</f>
        <v>24940000000</v>
      </c>
      <c r="J333" s="5">
        <f>_xll.SNL.Clients.Office.Excel.Functions.SPG(G333, "IQ_DILUT_EPS_NORM", "CY2023")</f>
        <v>0.84199999999999997</v>
      </c>
      <c r="K333">
        <f t="shared" si="22"/>
        <v>20999480</v>
      </c>
      <c r="L333">
        <f t="shared" si="23"/>
        <v>0.34469452742851514</v>
      </c>
    </row>
    <row r="334" spans="1:12" x14ac:dyDescent="0.3">
      <c r="A334" t="s">
        <v>336</v>
      </c>
      <c r="B334" s="4" cm="1">
        <f t="array" ref="B334">_xll.SNL.Clients.Office.Excel.Functions.SPG(A334, "SP_TOTAL_REV", "CY2023")</f>
        <v>9682899</v>
      </c>
      <c r="C334" s="4">
        <f>_xll.SNL.Clients.Office.Excel.Functions.SPG(A334,"IQ_AVG_DILUT_SHARES_OUT","CY2023")</f>
        <v>3435294</v>
      </c>
      <c r="D334" s="5">
        <f>_xll.SNL.Clients.Office.Excel.Functions.SPG(A334, "IQ_DILUT_EPS_NORM", "CY2023")</f>
        <v>350.83800000000002</v>
      </c>
      <c r="E334">
        <f t="shared" si="20"/>
        <v>1205231.676372</v>
      </c>
      <c r="F334">
        <f t="shared" si="21"/>
        <v>0.12447012783795432</v>
      </c>
      <c r="G334" t="s">
        <v>336</v>
      </c>
      <c r="H334" s="4" cm="1">
        <f t="array" ref="H334">_xll.SNL.Clients.Office.Excel.Functions.SPG(G334, "SP_TOTAL_REV", "CY2023")</f>
        <v>9682899</v>
      </c>
      <c r="I334" s="4">
        <f>_xll.SNL.Clients.Office.Excel.Functions.SPG(G334,"IQ_AVG_DILUT_SHARES_OUT","CY2023")</f>
        <v>3435294</v>
      </c>
      <c r="J334" s="5">
        <f>_xll.SNL.Clients.Office.Excel.Functions.SPG(G334, "IQ_DILUT_EPS_NORM", "CY2023")</f>
        <v>350.83800000000002</v>
      </c>
      <c r="K334">
        <f t="shared" si="22"/>
        <v>1205231.676372</v>
      </c>
      <c r="L334">
        <f t="shared" si="23"/>
        <v>0.12447012783795432</v>
      </c>
    </row>
    <row r="335" spans="1:12" x14ac:dyDescent="0.3">
      <c r="A335" t="s">
        <v>337</v>
      </c>
      <c r="B335" s="4" cm="1">
        <f t="array" ref="B335">_xll.SNL.Clients.Office.Excel.Functions.SPG(A335, "SP_TOTAL_REV", "CY2023")</f>
        <v>13276000</v>
      </c>
      <c r="C335" s="4">
        <f>_xll.SNL.Clients.Office.Excel.Functions.SPG(A335,"IQ_AVG_DILUT_SHARES_OUT","CY2023")</f>
        <v>261370000</v>
      </c>
      <c r="D335" s="5">
        <f>_xll.SNL.Clients.Office.Excel.Functions.SPG(A335, "IQ_DILUT_EPS_NORM", "CY2023")</f>
        <v>8.1349999999999998</v>
      </c>
      <c r="E335">
        <f t="shared" si="20"/>
        <v>2126244.9500000002</v>
      </c>
      <c r="F335">
        <f t="shared" si="21"/>
        <v>0.16015704655016572</v>
      </c>
      <c r="G335" t="s">
        <v>337</v>
      </c>
      <c r="H335" s="4" cm="1">
        <f t="array" ref="H335">_xll.SNL.Clients.Office.Excel.Functions.SPG(G335, "SP_TOTAL_REV", "CY2023")</f>
        <v>13276000</v>
      </c>
      <c r="I335" s="4">
        <f>_xll.SNL.Clients.Office.Excel.Functions.SPG(G335,"IQ_AVG_DILUT_SHARES_OUT","CY2023")</f>
        <v>261370000</v>
      </c>
      <c r="J335" s="5">
        <f>_xll.SNL.Clients.Office.Excel.Functions.SPG(G335, "IQ_DILUT_EPS_NORM", "CY2023")</f>
        <v>8.1349999999999998</v>
      </c>
      <c r="K335">
        <f t="shared" si="22"/>
        <v>2126244.9500000002</v>
      </c>
      <c r="L335">
        <f t="shared" si="23"/>
        <v>0.16015704655016572</v>
      </c>
    </row>
    <row r="336" spans="1:12" x14ac:dyDescent="0.3">
      <c r="A336" t="s">
        <v>338</v>
      </c>
      <c r="B336" s="4" cm="1">
        <f t="array" ref="B336">_xll.SNL.Clients.Office.Excel.Functions.SPG(A336, "SP_TOTAL_REV", "CY2023")</f>
        <v>15812250</v>
      </c>
      <c r="C336" s="4">
        <f>_xll.SNL.Clients.Office.Excel.Functions.SPG(A336,"IQ_AVG_DILUT_SHARES_OUT","CY2023")</f>
        <v>60998000</v>
      </c>
      <c r="D336" s="5">
        <f>_xll.SNL.Clients.Office.Excel.Functions.SPG(A336, "IQ_DILUT_EPS_NORM", "CY2023")</f>
        <v>30.724</v>
      </c>
      <c r="E336">
        <f t="shared" si="20"/>
        <v>1874102.5519999999</v>
      </c>
      <c r="F336">
        <f t="shared" si="21"/>
        <v>0.1185221933627409</v>
      </c>
      <c r="G336" t="s">
        <v>338</v>
      </c>
      <c r="H336" s="4" cm="1">
        <f t="array" ref="H336">_xll.SNL.Clients.Office.Excel.Functions.SPG(G336, "SP_TOTAL_REV", "CY2023")</f>
        <v>15812250</v>
      </c>
      <c r="I336" s="4">
        <f>_xll.SNL.Clients.Office.Excel.Functions.SPG(G336,"IQ_AVG_DILUT_SHARES_OUT","CY2023")</f>
        <v>60998000</v>
      </c>
      <c r="J336" s="5">
        <f>_xll.SNL.Clients.Office.Excel.Functions.SPG(G336, "IQ_DILUT_EPS_NORM", "CY2023")</f>
        <v>30.724</v>
      </c>
      <c r="K336">
        <f t="shared" si="22"/>
        <v>1874102.5519999999</v>
      </c>
      <c r="L336">
        <f t="shared" si="23"/>
        <v>0.1185221933627409</v>
      </c>
    </row>
    <row r="337" spans="1:12" x14ac:dyDescent="0.3">
      <c r="A337" t="s">
        <v>339</v>
      </c>
      <c r="B337" s="4" cm="1">
        <f t="array" ref="B337">_xll.SNL.Clients.Office.Excel.Functions.SPG(A337, "SP_TOTAL_REV", "CY2023")</f>
        <v>28257000</v>
      </c>
      <c r="C337" s="4">
        <f>_xll.SNL.Clients.Office.Excel.Functions.SPG(A337,"IQ_AVG_DILUT_SHARES_OUT","CY2023")</f>
        <v>960900000</v>
      </c>
      <c r="D337" s="5">
        <f>_xll.SNL.Clients.Office.Excel.Functions.SPG(A337, "IQ_DILUT_EPS_NORM", "CY2023")</f>
        <v>3.7090000000000001</v>
      </c>
      <c r="E337">
        <f t="shared" si="20"/>
        <v>3563978.1</v>
      </c>
      <c r="F337">
        <f t="shared" si="21"/>
        <v>0.12612726404076866</v>
      </c>
      <c r="G337" t="s">
        <v>339</v>
      </c>
      <c r="H337" s="4" cm="1">
        <f t="array" ref="H337">_xll.SNL.Clients.Office.Excel.Functions.SPG(G337, "SP_TOTAL_REV", "CY2023")</f>
        <v>28257000</v>
      </c>
      <c r="I337" s="4">
        <f>_xll.SNL.Clients.Office.Excel.Functions.SPG(G337,"IQ_AVG_DILUT_SHARES_OUT","CY2023")</f>
        <v>960900000</v>
      </c>
      <c r="J337" s="5">
        <f>_xll.SNL.Clients.Office.Excel.Functions.SPG(G337, "IQ_DILUT_EPS_NORM", "CY2023")</f>
        <v>3.7090000000000001</v>
      </c>
      <c r="K337">
        <f t="shared" si="22"/>
        <v>3563978.1</v>
      </c>
      <c r="L337">
        <f t="shared" si="23"/>
        <v>0.12612726404076866</v>
      </c>
    </row>
    <row r="338" spans="1:12" x14ac:dyDescent="0.3">
      <c r="A338" t="s">
        <v>340</v>
      </c>
      <c r="B338" s="4" cm="1">
        <f t="array" ref="B338">_xll.SNL.Clients.Office.Excel.Functions.SPG(A338, "SP_TOTAL_REV", "CY2023")</f>
        <v>5866152</v>
      </c>
      <c r="C338" s="4">
        <f>_xll.SNL.Clients.Office.Excel.Functions.SPG(A338,"IQ_AVG_DILUT_SHARES_OUT","CY2023")</f>
        <v>220180424</v>
      </c>
      <c r="D338" s="5">
        <f>_xll.SNL.Clients.Office.Excel.Functions.SPG(A338, "IQ_DILUT_EPS_NORM", "CY2023")</f>
        <v>4.6769999999999996</v>
      </c>
      <c r="E338">
        <f t="shared" si="20"/>
        <v>1029783.8430479999</v>
      </c>
      <c r="F338">
        <f t="shared" si="21"/>
        <v>0.17554673711966548</v>
      </c>
      <c r="G338" t="s">
        <v>340</v>
      </c>
      <c r="H338" s="4" cm="1">
        <f t="array" ref="H338">_xll.SNL.Clients.Office.Excel.Functions.SPG(G338, "SP_TOTAL_REV", "CY2023")</f>
        <v>5866152</v>
      </c>
      <c r="I338" s="4">
        <f>_xll.SNL.Clients.Office.Excel.Functions.SPG(G338,"IQ_AVG_DILUT_SHARES_OUT","CY2023")</f>
        <v>220180424</v>
      </c>
      <c r="J338" s="5">
        <f>_xll.SNL.Clients.Office.Excel.Functions.SPG(G338, "IQ_DILUT_EPS_NORM", "CY2023")</f>
        <v>4.6769999999999996</v>
      </c>
      <c r="K338">
        <f t="shared" si="22"/>
        <v>1029783.8430479999</v>
      </c>
      <c r="L338">
        <f t="shared" si="23"/>
        <v>0.17554673711966548</v>
      </c>
    </row>
    <row r="339" spans="1:12" x14ac:dyDescent="0.3">
      <c r="A339" t="s">
        <v>341</v>
      </c>
      <c r="B339" s="4" cm="1">
        <f t="array" ref="B339">_xll.SNL.Clients.Office.Excel.Functions.SPG(A339, "SP_TOTAL_REV", "CY2023")</f>
        <v>14692200</v>
      </c>
      <c r="C339" s="4">
        <f>_xll.SNL.Clients.Office.Excel.Functions.SPG(A339,"IQ_AVG_DILUT_SHARES_OUT","CY2023")</f>
        <v>201400000</v>
      </c>
      <c r="D339" s="5">
        <f>_xll.SNL.Clients.Office.Excel.Functions.SPG(A339, "IQ_DILUT_EPS_NORM", "CY2023")</f>
        <v>5.9649999999999999</v>
      </c>
      <c r="E339">
        <f t="shared" si="20"/>
        <v>1201351</v>
      </c>
      <c r="F339">
        <f t="shared" si="21"/>
        <v>8.1767944895931172E-2</v>
      </c>
      <c r="G339" t="s">
        <v>341</v>
      </c>
      <c r="H339" s="4" cm="1">
        <f t="array" ref="H339">_xll.SNL.Clients.Office.Excel.Functions.SPG(G339, "SP_TOTAL_REV", "CY2023")</f>
        <v>14692200</v>
      </c>
      <c r="I339" s="4">
        <f>_xll.SNL.Clients.Office.Excel.Functions.SPG(G339,"IQ_AVG_DILUT_SHARES_OUT","CY2023")</f>
        <v>201400000</v>
      </c>
      <c r="J339" s="5">
        <f>_xll.SNL.Clients.Office.Excel.Functions.SPG(G339, "IQ_DILUT_EPS_NORM", "CY2023")</f>
        <v>5.9649999999999999</v>
      </c>
      <c r="K339">
        <f t="shared" si="22"/>
        <v>1201351</v>
      </c>
      <c r="L339">
        <f t="shared" si="23"/>
        <v>8.1767944895931172E-2</v>
      </c>
    </row>
    <row r="340" spans="1:12" x14ac:dyDescent="0.3">
      <c r="A340" t="s">
        <v>342</v>
      </c>
      <c r="B340" s="4" cm="1">
        <f t="array" ref="B340">_xll.SNL.Clients.Office.Excel.Functions.SPG(A340, "SP_TOTAL_REV", "CY2023")</f>
        <v>8253000</v>
      </c>
      <c r="C340" s="4">
        <f>_xll.SNL.Clients.Office.Excel.Functions.SPG(A340,"IQ_AVG_DILUT_SHARES_OUT","CY2023")</f>
        <v>446800000</v>
      </c>
      <c r="D340" s="5">
        <f>_xll.SNL.Clients.Office.Excel.Functions.SPG(A340, "IQ_DILUT_EPS_NORM", "CY2023")</f>
        <v>3.6669999999999998</v>
      </c>
      <c r="E340">
        <f t="shared" si="20"/>
        <v>1638415.6</v>
      </c>
      <c r="F340">
        <f t="shared" si="21"/>
        <v>0.19852363988852539</v>
      </c>
      <c r="G340" t="s">
        <v>342</v>
      </c>
      <c r="H340" s="4" cm="1">
        <f t="array" ref="H340">_xll.SNL.Clients.Office.Excel.Functions.SPG(G340, "SP_TOTAL_REV", "CY2023")</f>
        <v>8253000</v>
      </c>
      <c r="I340" s="4">
        <f>_xll.SNL.Clients.Office.Excel.Functions.SPG(G340,"IQ_AVG_DILUT_SHARES_OUT","CY2023")</f>
        <v>446800000</v>
      </c>
      <c r="J340" s="5">
        <f>_xll.SNL.Clients.Office.Excel.Functions.SPG(G340, "IQ_DILUT_EPS_NORM", "CY2023")</f>
        <v>3.6669999999999998</v>
      </c>
      <c r="K340">
        <f t="shared" si="22"/>
        <v>1638415.6</v>
      </c>
      <c r="L340">
        <f t="shared" si="23"/>
        <v>0.19852363988852539</v>
      </c>
    </row>
    <row r="341" spans="1:12" x14ac:dyDescent="0.3">
      <c r="A341" t="s">
        <v>343</v>
      </c>
      <c r="B341" s="4" cm="1">
        <f t="array" ref="B341">_xll.SNL.Clients.Office.Excel.Functions.SPG(A341, "SP_TOTAL_REV", "CY2023")</f>
        <v>17677000</v>
      </c>
      <c r="C341" s="4">
        <f>_xll.SNL.Clients.Office.Excel.Functions.SPG(A341,"IQ_AVG_DILUT_SHARES_OUT","CY2023")</f>
        <v>485400000</v>
      </c>
      <c r="D341" s="5">
        <f>_xll.SNL.Clients.Office.Excel.Functions.SPG(A341, "IQ_DILUT_EPS_NORM", "CY2023")</f>
        <v>3.7029999999999998</v>
      </c>
      <c r="E341">
        <f t="shared" si="20"/>
        <v>1797436.2</v>
      </c>
      <c r="F341">
        <f t="shared" si="21"/>
        <v>0.10168219720540815</v>
      </c>
      <c r="G341" t="s">
        <v>343</v>
      </c>
      <c r="H341" s="4" cm="1">
        <f t="array" ref="H341">_xll.SNL.Clients.Office.Excel.Functions.SPG(G341, "SP_TOTAL_REV", "CY2023")</f>
        <v>17677000</v>
      </c>
      <c r="I341" s="4">
        <f>_xll.SNL.Clients.Office.Excel.Functions.SPG(G341,"IQ_AVG_DILUT_SHARES_OUT","CY2023")</f>
        <v>485400000</v>
      </c>
      <c r="J341" s="5">
        <f>_xll.SNL.Clients.Office.Excel.Functions.SPG(G341, "IQ_DILUT_EPS_NORM", "CY2023")</f>
        <v>3.7029999999999998</v>
      </c>
      <c r="K341">
        <f t="shared" si="22"/>
        <v>1797436.2</v>
      </c>
      <c r="L341">
        <f t="shared" si="23"/>
        <v>0.10168219720540815</v>
      </c>
    </row>
    <row r="342" spans="1:12" x14ac:dyDescent="0.3">
      <c r="A342" t="s">
        <v>344</v>
      </c>
      <c r="B342" s="4" cm="1">
        <f t="array" ref="B342">_xll.SNL.Clients.Office.Excel.Functions.SPG(A342, "SP_TOTAL_REV", "CY2023")</f>
        <v>51628000</v>
      </c>
      <c r="C342" s="4">
        <f>_xll.SNL.Clients.Office.Excel.Functions.SPG(A342,"IQ_AVG_DILUT_SHARES_OUT","CY2023")</f>
        <v>2802500000</v>
      </c>
      <c r="D342" s="5">
        <f>_xll.SNL.Clients.Office.Excel.Functions.SPG(A342, "IQ_DILUT_EPS_NORM", "CY2023")</f>
        <v>2.524</v>
      </c>
      <c r="E342">
        <f t="shared" si="20"/>
        <v>7073510</v>
      </c>
      <c r="F342">
        <f t="shared" si="21"/>
        <v>0.13700918106453863</v>
      </c>
      <c r="G342" t="s">
        <v>344</v>
      </c>
      <c r="H342" s="4" cm="1">
        <f t="array" ref="H342">_xll.SNL.Clients.Office.Excel.Functions.SPG(G342, "SP_TOTAL_REV", "CY2023")</f>
        <v>51628000</v>
      </c>
      <c r="I342" s="4">
        <f>_xll.SNL.Clients.Office.Excel.Functions.SPG(G342,"IQ_AVG_DILUT_SHARES_OUT","CY2023")</f>
        <v>2802500000</v>
      </c>
      <c r="J342" s="5">
        <f>_xll.SNL.Clients.Office.Excel.Functions.SPG(G342, "IQ_DILUT_EPS_NORM", "CY2023")</f>
        <v>2.524</v>
      </c>
      <c r="K342">
        <f t="shared" si="22"/>
        <v>7073510</v>
      </c>
      <c r="L342">
        <f t="shared" si="23"/>
        <v>0.13700918106453863</v>
      </c>
    </row>
    <row r="343" spans="1:12" x14ac:dyDescent="0.3">
      <c r="A343" t="s">
        <v>345</v>
      </c>
      <c r="B343" s="4" cm="1">
        <f t="array" ref="B343">_xll.SNL.Clients.Office.Excel.Functions.SPG(A343, "SP_TOTAL_REV", "CY2023")</f>
        <v>14209000</v>
      </c>
      <c r="C343" s="4">
        <f>_xll.SNL.Clients.Office.Excel.Functions.SPG(A343,"IQ_AVG_DILUT_SHARES_OUT","CY2023")</f>
        <v>414600000</v>
      </c>
      <c r="D343" s="5">
        <f>_xll.SNL.Clients.Office.Excel.Functions.SPG(A343, "IQ_DILUT_EPS_NORM", "CY2023")</f>
        <v>2.9649999999999999</v>
      </c>
      <c r="E343">
        <f t="shared" si="20"/>
        <v>1229289</v>
      </c>
      <c r="F343">
        <f t="shared" si="21"/>
        <v>8.6514814554155814E-2</v>
      </c>
      <c r="G343" t="s">
        <v>345</v>
      </c>
      <c r="H343" s="4" cm="1">
        <f t="array" ref="H343">_xll.SNL.Clients.Office.Excel.Functions.SPG(G343, "SP_TOTAL_REV", "CY2023")</f>
        <v>14209000</v>
      </c>
      <c r="I343" s="4">
        <f>_xll.SNL.Clients.Office.Excel.Functions.SPG(G343,"IQ_AVG_DILUT_SHARES_OUT","CY2023")</f>
        <v>414600000</v>
      </c>
      <c r="J343" s="5">
        <f>_xll.SNL.Clients.Office.Excel.Functions.SPG(G343, "IQ_DILUT_EPS_NORM", "CY2023")</f>
        <v>2.9649999999999999</v>
      </c>
      <c r="K343">
        <f t="shared" si="22"/>
        <v>1229289</v>
      </c>
      <c r="L343">
        <f t="shared" si="23"/>
        <v>8.6514814554155814E-2</v>
      </c>
    </row>
    <row r="344" spans="1:12" x14ac:dyDescent="0.3">
      <c r="A344" t="s">
        <v>346</v>
      </c>
      <c r="B344" s="4" cm="1">
        <f t="array" ref="B344">_xll.SNL.Clients.Office.Excel.Functions.SPG(A344, "SP_TOTAL_REV", "CY2023")</f>
        <v>35127400</v>
      </c>
      <c r="C344" s="4">
        <f>_xll.SNL.Clients.Office.Excel.Functions.SPG(A344,"IQ_AVG_DILUT_SHARES_OUT","CY2023")</f>
        <v>525000000</v>
      </c>
      <c r="D344" s="5">
        <f>_xll.SNL.Clients.Office.Excel.Functions.SPG(A344, "IQ_DILUT_EPS_NORM", "CY2023")</f>
        <v>7.5220000000000002</v>
      </c>
      <c r="E344">
        <f t="shared" si="20"/>
        <v>3949050</v>
      </c>
      <c r="F344">
        <f t="shared" si="21"/>
        <v>0.11242078833047707</v>
      </c>
      <c r="G344" t="s">
        <v>346</v>
      </c>
      <c r="H344" s="4" cm="1">
        <f t="array" ref="H344">_xll.SNL.Clients.Office.Excel.Functions.SPG(G344, "SP_TOTAL_REV", "CY2023")</f>
        <v>35127400</v>
      </c>
      <c r="I344" s="4">
        <f>_xll.SNL.Clients.Office.Excel.Functions.SPG(G344,"IQ_AVG_DILUT_SHARES_OUT","CY2023")</f>
        <v>525000000</v>
      </c>
      <c r="J344" s="5">
        <f>_xll.SNL.Clients.Office.Excel.Functions.SPG(G344, "IQ_DILUT_EPS_NORM", "CY2023")</f>
        <v>7.5220000000000002</v>
      </c>
      <c r="K344">
        <f t="shared" si="22"/>
        <v>3949050</v>
      </c>
      <c r="L344">
        <f t="shared" si="23"/>
        <v>0.11242078833047707</v>
      </c>
    </row>
    <row r="345" spans="1:12" x14ac:dyDescent="0.3">
      <c r="A345" t="s">
        <v>347</v>
      </c>
      <c r="B345" s="4" cm="1">
        <f t="array" ref="B345">_xll.SNL.Clients.Office.Excel.Functions.SPG(A345, "SP_TOTAL_REV", "CY2023")</f>
        <v>7802400</v>
      </c>
      <c r="C345" s="4">
        <f>_xll.SNL.Clients.Office.Excel.Functions.SPG(A345,"IQ_AVG_DILUT_SHARES_OUT","CY2023")</f>
        <v>89500000</v>
      </c>
      <c r="D345" s="5">
        <f>_xll.SNL.Clients.Office.Excel.Functions.SPG(A345, "IQ_DILUT_EPS_NORM", "CY2023")</f>
        <v>7.476</v>
      </c>
      <c r="E345">
        <f t="shared" si="20"/>
        <v>669102</v>
      </c>
      <c r="F345">
        <f t="shared" si="21"/>
        <v>8.5755921254998466E-2</v>
      </c>
      <c r="G345" t="s">
        <v>347</v>
      </c>
      <c r="H345" s="4" cm="1">
        <f t="array" ref="H345">_xll.SNL.Clients.Office.Excel.Functions.SPG(G345, "SP_TOTAL_REV", "CY2023")</f>
        <v>7802400</v>
      </c>
      <c r="I345" s="4">
        <f>_xll.SNL.Clients.Office.Excel.Functions.SPG(G345,"IQ_AVG_DILUT_SHARES_OUT","CY2023")</f>
        <v>89500000</v>
      </c>
      <c r="J345" s="5">
        <f>_xll.SNL.Clients.Office.Excel.Functions.SPG(G345, "IQ_DILUT_EPS_NORM", "CY2023")</f>
        <v>7.476</v>
      </c>
      <c r="K345">
        <f t="shared" si="22"/>
        <v>669102</v>
      </c>
      <c r="L345">
        <f t="shared" si="23"/>
        <v>8.5755921254998466E-2</v>
      </c>
    </row>
    <row r="346" spans="1:12" x14ac:dyDescent="0.3">
      <c r="A346" t="s">
        <v>348</v>
      </c>
      <c r="B346" s="4" cm="1">
        <f t="array" ref="B346">_xll.SNL.Clients.Office.Excel.Functions.SPG(A346, "SP_TOTAL_REV", "CY2023")</f>
        <v>2225012</v>
      </c>
      <c r="C346" s="4">
        <f>_xll.SNL.Clients.Office.Excel.Functions.SPG(A346,"IQ_AVG_DILUT_SHARES_OUT","CY2023")</f>
        <v>2297927000</v>
      </c>
      <c r="D346" s="5">
        <f>_xll.SNL.Clients.Office.Excel.Functions.SPG(A346, "IQ_DILUT_EPS_NORM", "CY2023")</f>
        <v>6.0999999999999999E-2</v>
      </c>
      <c r="E346">
        <f t="shared" si="20"/>
        <v>140173.54699999999</v>
      </c>
      <c r="F346">
        <f t="shared" si="21"/>
        <v>6.2999007196365683E-2</v>
      </c>
      <c r="G346" t="s">
        <v>348</v>
      </c>
      <c r="H346" s="4" cm="1">
        <f t="array" ref="H346">_xll.SNL.Clients.Office.Excel.Functions.SPG(G346, "SP_TOTAL_REV", "CY2023")</f>
        <v>2225012</v>
      </c>
      <c r="I346" s="4">
        <f>_xll.SNL.Clients.Office.Excel.Functions.SPG(G346,"IQ_AVG_DILUT_SHARES_OUT","CY2023")</f>
        <v>2297927000</v>
      </c>
      <c r="J346" s="5">
        <f>_xll.SNL.Clients.Office.Excel.Functions.SPG(G346, "IQ_DILUT_EPS_NORM", "CY2023")</f>
        <v>6.0999999999999999E-2</v>
      </c>
      <c r="K346">
        <f t="shared" si="22"/>
        <v>140173.54699999999</v>
      </c>
      <c r="L346">
        <f t="shared" si="23"/>
        <v>6.2999007196365683E-2</v>
      </c>
    </row>
    <row r="347" spans="1:12" x14ac:dyDescent="0.3">
      <c r="A347" t="s">
        <v>349</v>
      </c>
      <c r="B347" s="4" cm="1">
        <f t="array" ref="B347">_xll.SNL.Clients.Office.Excel.Functions.SPG(A347, "SP_TOTAL_REV", "CY2023")</f>
        <v>7527400</v>
      </c>
      <c r="C347" s="4">
        <f>_xll.SNL.Clients.Office.Excel.Functions.SPG(A347,"IQ_AVG_DILUT_SHARES_OUT","CY2023")</f>
        <v>703300000</v>
      </c>
      <c r="D347" s="5">
        <f>_xll.SNL.Clients.Office.Excel.Functions.SPG(A347, "IQ_DILUT_EPS_NORM", "CY2023")</f>
        <v>0.92600000000000005</v>
      </c>
      <c r="E347">
        <f t="shared" si="20"/>
        <v>651255.80000000005</v>
      </c>
      <c r="F347">
        <f t="shared" si="21"/>
        <v>8.6518027472965442E-2</v>
      </c>
      <c r="G347" t="s">
        <v>349</v>
      </c>
      <c r="H347" s="4" cm="1">
        <f t="array" ref="H347">_xll.SNL.Clients.Office.Excel.Functions.SPG(G347, "SP_TOTAL_REV", "CY2023")</f>
        <v>7527400</v>
      </c>
      <c r="I347" s="4">
        <f>_xll.SNL.Clients.Office.Excel.Functions.SPG(G347,"IQ_AVG_DILUT_SHARES_OUT","CY2023")</f>
        <v>703300000</v>
      </c>
      <c r="J347" s="5">
        <f>_xll.SNL.Clients.Office.Excel.Functions.SPG(G347, "IQ_DILUT_EPS_NORM", "CY2023")</f>
        <v>0.92600000000000005</v>
      </c>
      <c r="K347">
        <f t="shared" si="22"/>
        <v>651255.80000000005</v>
      </c>
      <c r="L347">
        <f t="shared" si="23"/>
        <v>8.6518027472965442E-2</v>
      </c>
    </row>
    <row r="348" spans="1:12" x14ac:dyDescent="0.3">
      <c r="A348" t="s">
        <v>350</v>
      </c>
      <c r="B348" s="4" cm="1">
        <f t="array" ref="B348">_xll.SNL.Clients.Office.Excel.Functions.SPG(A348, "SP_TOTAL_REV", "CY2023")</f>
        <v>29652000</v>
      </c>
      <c r="C348" s="4">
        <f>_xll.SNL.Clients.Office.Excel.Functions.SPG(A348,"IQ_AVG_DILUT_SHARES_OUT","CY2023")</f>
        <v>652000000</v>
      </c>
      <c r="D348" s="5">
        <f>_xll.SNL.Clients.Office.Excel.Functions.SPG(A348, "IQ_DILUT_EPS_NORM", "CY2023")</f>
        <v>0.57299999999999995</v>
      </c>
      <c r="E348">
        <f t="shared" si="20"/>
        <v>373595.99999999994</v>
      </c>
      <c r="F348">
        <f t="shared" si="21"/>
        <v>1.25993524888709E-2</v>
      </c>
      <c r="G348" t="s">
        <v>350</v>
      </c>
      <c r="H348" s="4" cm="1">
        <f t="array" ref="H348">_xll.SNL.Clients.Office.Excel.Functions.SPG(G348, "SP_TOTAL_REV", "CY2023")</f>
        <v>29652000</v>
      </c>
      <c r="I348" s="4">
        <f>_xll.SNL.Clients.Office.Excel.Functions.SPG(G348,"IQ_AVG_DILUT_SHARES_OUT","CY2023")</f>
        <v>652000000</v>
      </c>
      <c r="J348" s="5">
        <f>_xll.SNL.Clients.Office.Excel.Functions.SPG(G348, "IQ_DILUT_EPS_NORM", "CY2023")</f>
        <v>0.57299999999999995</v>
      </c>
      <c r="K348">
        <f t="shared" si="22"/>
        <v>373595.99999999994</v>
      </c>
      <c r="L348">
        <f t="shared" si="23"/>
        <v>1.25993524888709E-2</v>
      </c>
    </row>
    <row r="349" spans="1:12" x14ac:dyDescent="0.3">
      <c r="A349" t="s">
        <v>351</v>
      </c>
      <c r="B349" s="4" cm="1">
        <f t="array" ref="B349">_xll.SNL.Clients.Office.Excel.Functions.SPG(A349, "SP_TOTAL_REV", "CY2023")</f>
        <v>19826043</v>
      </c>
      <c r="C349" s="4">
        <f>_xll.SNL.Clients.Office.Excel.Functions.SPG(A349,"IQ_AVG_DILUT_SHARES_OUT","CY2023")</f>
        <v>130023935</v>
      </c>
      <c r="D349" s="5">
        <f>_xll.SNL.Clients.Office.Excel.Functions.SPG(A349, "IQ_DILUT_EPS_NORM", "CY2023")</f>
        <v>17.509</v>
      </c>
      <c r="E349">
        <f t="shared" si="20"/>
        <v>2276589.0779149998</v>
      </c>
      <c r="F349">
        <f t="shared" si="21"/>
        <v>0.11482821246352587</v>
      </c>
      <c r="G349" t="s">
        <v>351</v>
      </c>
      <c r="H349" s="4" cm="1">
        <f t="array" ref="H349">_xll.SNL.Clients.Office.Excel.Functions.SPG(G349, "SP_TOTAL_REV", "CY2023")</f>
        <v>19826043</v>
      </c>
      <c r="I349" s="4">
        <f>_xll.SNL.Clients.Office.Excel.Functions.SPG(G349,"IQ_AVG_DILUT_SHARES_OUT","CY2023")</f>
        <v>130023935</v>
      </c>
      <c r="J349" s="5">
        <f>_xll.SNL.Clients.Office.Excel.Functions.SPG(G349, "IQ_DILUT_EPS_NORM", "CY2023")</f>
        <v>17.509</v>
      </c>
      <c r="K349">
        <f t="shared" si="22"/>
        <v>2276589.0779149998</v>
      </c>
      <c r="L349">
        <f t="shared" si="23"/>
        <v>0.11482821246352587</v>
      </c>
    </row>
    <row r="350" spans="1:12" x14ac:dyDescent="0.3">
      <c r="A350" t="s">
        <v>352</v>
      </c>
      <c r="B350" s="4" cm="1">
        <f t="array" ref="B350">_xll.SNL.Clients.Office.Excel.Functions.SPG(A350, "SP_TOTAL_REV", "CY2023")</f>
        <v>5154500</v>
      </c>
      <c r="C350" s="4">
        <f>_xll.SNL.Clients.Office.Excel.Functions.SPG(A350,"IQ_AVG_DILUT_SHARES_OUT","CY2023")</f>
        <v>362350000</v>
      </c>
      <c r="D350" s="5">
        <f>_xll.SNL.Clients.Office.Excel.Functions.SPG(A350, "IQ_DILUT_EPS_NORM", "CY2023")</f>
        <v>3.722</v>
      </c>
      <c r="E350">
        <f t="shared" si="20"/>
        <v>1348666.7</v>
      </c>
      <c r="F350">
        <f t="shared" si="21"/>
        <v>0.26164840430691627</v>
      </c>
      <c r="G350" t="s">
        <v>352</v>
      </c>
      <c r="H350" s="4" cm="1">
        <f t="array" ref="H350">_xll.SNL.Clients.Office.Excel.Functions.SPG(G350, "SP_TOTAL_REV", "CY2023")</f>
        <v>5154500</v>
      </c>
      <c r="I350" s="4">
        <f>_xll.SNL.Clients.Office.Excel.Functions.SPG(G350,"IQ_AVG_DILUT_SHARES_OUT","CY2023")</f>
        <v>362350000</v>
      </c>
      <c r="J350" s="5">
        <f>_xll.SNL.Clients.Office.Excel.Functions.SPG(G350, "IQ_DILUT_EPS_NORM", "CY2023")</f>
        <v>3.722</v>
      </c>
      <c r="K350">
        <f t="shared" si="22"/>
        <v>1348666.7</v>
      </c>
      <c r="L350">
        <f t="shared" si="23"/>
        <v>0.26164840430691627</v>
      </c>
    </row>
    <row r="351" spans="1:12" x14ac:dyDescent="0.3">
      <c r="A351" t="s">
        <v>353</v>
      </c>
      <c r="B351" s="4" cm="1">
        <f t="array" ref="B351">_xll.SNL.Clients.Office.Excel.Functions.SPG(A351, "SP_TOTAL_REV", "CY2023")</f>
        <v>1693674</v>
      </c>
      <c r="C351" s="4">
        <f>_xll.SNL.Clients.Office.Excel.Functions.SPG(A351,"IQ_AVG_DILUT_SHARES_OUT","CY2023")</f>
        <v>57974000</v>
      </c>
      <c r="D351" s="5">
        <f>_xll.SNL.Clients.Office.Excel.Functions.SPG(A351, "IQ_DILUT_EPS_NORM", "CY2023")</f>
        <v>5.093</v>
      </c>
      <c r="E351">
        <f t="shared" si="20"/>
        <v>295261.58199999999</v>
      </c>
      <c r="F351">
        <f t="shared" si="21"/>
        <v>0.17433200367957469</v>
      </c>
      <c r="G351" t="s">
        <v>353</v>
      </c>
      <c r="H351" s="4" cm="1">
        <f t="array" ref="H351">_xll.SNL.Clients.Office.Excel.Functions.SPG(G351, "SP_TOTAL_REV", "CY2023")</f>
        <v>1693674</v>
      </c>
      <c r="I351" s="4">
        <f>_xll.SNL.Clients.Office.Excel.Functions.SPG(G351,"IQ_AVG_DILUT_SHARES_OUT","CY2023")</f>
        <v>57974000</v>
      </c>
      <c r="J351" s="5">
        <f>_xll.SNL.Clients.Office.Excel.Functions.SPG(G351, "IQ_DILUT_EPS_NORM", "CY2023")</f>
        <v>5.093</v>
      </c>
      <c r="K351">
        <f t="shared" si="22"/>
        <v>295261.58199999999</v>
      </c>
      <c r="L351">
        <f t="shared" si="23"/>
        <v>0.17433200367957469</v>
      </c>
    </row>
    <row r="352" spans="1:12" x14ac:dyDescent="0.3">
      <c r="A352" t="s">
        <v>354</v>
      </c>
      <c r="B352" s="4" cm="1">
        <f t="array" ref="B352">_xll.SNL.Clients.Office.Excel.Functions.SPG(A352, "SP_TOTAL_REV", "CY2023")</f>
        <v>29771000</v>
      </c>
      <c r="C352" s="4">
        <f>_xll.SNL.Clients.Office.Excel.Functions.SPG(A352,"IQ_AVG_DILUT_SHARES_OUT","CY2023")</f>
        <v>1107000000</v>
      </c>
      <c r="D352" s="5">
        <f>_xll.SNL.Clients.Office.Excel.Functions.SPG(A352, "IQ_DILUT_EPS_NORM", "CY2023")</f>
        <v>2.8119999999999998</v>
      </c>
      <c r="E352">
        <f t="shared" si="20"/>
        <v>3112884</v>
      </c>
      <c r="F352">
        <f t="shared" si="21"/>
        <v>0.10456094857411576</v>
      </c>
      <c r="G352" t="s">
        <v>354</v>
      </c>
      <c r="H352" s="4" cm="1">
        <f t="array" ref="H352">_xll.SNL.Clients.Office.Excel.Functions.SPG(G352, "SP_TOTAL_REV", "CY2023")</f>
        <v>29771000</v>
      </c>
      <c r="I352" s="4">
        <f>_xll.SNL.Clients.Office.Excel.Functions.SPG(G352,"IQ_AVG_DILUT_SHARES_OUT","CY2023")</f>
        <v>1107000000</v>
      </c>
      <c r="J352" s="5">
        <f>_xll.SNL.Clients.Office.Excel.Functions.SPG(G352, "IQ_DILUT_EPS_NORM", "CY2023")</f>
        <v>2.8119999999999998</v>
      </c>
      <c r="K352">
        <f t="shared" si="22"/>
        <v>3112884</v>
      </c>
      <c r="L352">
        <f t="shared" si="23"/>
        <v>0.10456094857411576</v>
      </c>
    </row>
    <row r="353" spans="1:12" x14ac:dyDescent="0.3">
      <c r="A353" t="s">
        <v>355</v>
      </c>
      <c r="B353" s="4" cm="1">
        <f t="array" ref="B353">_xll.SNL.Clients.Office.Excel.Functions.SPG(A353, "SP_TOTAL_REV", "CY2023")</f>
        <v>4104500</v>
      </c>
      <c r="C353" s="4">
        <f>_xll.SNL.Clients.Office.Excel.Functions.SPG(A353,"IQ_AVG_DILUT_SHARES_OUT","CY2023")</f>
        <v>166300000</v>
      </c>
      <c r="D353" s="5">
        <f>_xll.SNL.Clients.Office.Excel.Functions.SPG(A353, "IQ_DILUT_EPS_NORM", "CY2023")</f>
        <v>2.5270000000000001</v>
      </c>
      <c r="E353">
        <f t="shared" si="20"/>
        <v>420240.1</v>
      </c>
      <c r="F353">
        <f t="shared" si="21"/>
        <v>0.10238521135339261</v>
      </c>
      <c r="G353" t="s">
        <v>355</v>
      </c>
      <c r="H353" s="4" cm="1">
        <f t="array" ref="H353">_xll.SNL.Clients.Office.Excel.Functions.SPG(G353, "SP_TOTAL_REV", "CY2023")</f>
        <v>4104500</v>
      </c>
      <c r="I353" s="4">
        <f>_xll.SNL.Clients.Office.Excel.Functions.SPG(G353,"IQ_AVG_DILUT_SHARES_OUT","CY2023")</f>
        <v>166300000</v>
      </c>
      <c r="J353" s="5">
        <f>_xll.SNL.Clients.Office.Excel.Functions.SPG(G353, "IQ_DILUT_EPS_NORM", "CY2023")</f>
        <v>2.5270000000000001</v>
      </c>
      <c r="K353">
        <f t="shared" si="22"/>
        <v>420240.1</v>
      </c>
      <c r="L353">
        <f t="shared" si="23"/>
        <v>0.10238521135339261</v>
      </c>
    </row>
    <row r="354" spans="1:12" x14ac:dyDescent="0.3">
      <c r="A354" t="s">
        <v>356</v>
      </c>
      <c r="B354" s="4" cm="1">
        <f t="array" ref="B354">_xll.SNL.Clients.Office.Excel.Functions.SPG(A354, "SP_TOTAL_REV", "CY2023")</f>
        <v>91471000</v>
      </c>
      <c r="C354" s="4">
        <f>_xll.SNL.Clients.Office.Excel.Functions.SPG(A354,"IQ_AVG_DILUT_SHARES_OUT","CY2023")</f>
        <v>1383000000</v>
      </c>
      <c r="D354" s="5">
        <f>_xll.SNL.Clients.Office.Excel.Functions.SPG(A354, "IQ_DILUT_EPS_NORM", "CY2023")</f>
        <v>5.69</v>
      </c>
      <c r="E354">
        <f t="shared" si="20"/>
        <v>7869270.0000000009</v>
      </c>
      <c r="F354">
        <f t="shared" si="21"/>
        <v>8.6030217227317962E-2</v>
      </c>
      <c r="G354" t="s">
        <v>356</v>
      </c>
      <c r="H354" s="4" cm="1">
        <f t="array" ref="H354">_xll.SNL.Clients.Office.Excel.Functions.SPG(G354, "SP_TOTAL_REV", "CY2023")</f>
        <v>91471000</v>
      </c>
      <c r="I354" s="4">
        <f>_xll.SNL.Clients.Office.Excel.Functions.SPG(G354,"IQ_AVG_DILUT_SHARES_OUT","CY2023")</f>
        <v>1383000000</v>
      </c>
      <c r="J354" s="5">
        <f>_xll.SNL.Clients.Office.Excel.Functions.SPG(G354, "IQ_DILUT_EPS_NORM", "CY2023")</f>
        <v>5.69</v>
      </c>
      <c r="K354">
        <f t="shared" si="22"/>
        <v>7869270.0000000009</v>
      </c>
      <c r="L354">
        <f t="shared" si="23"/>
        <v>8.6030217227317962E-2</v>
      </c>
    </row>
    <row r="355" spans="1:12" x14ac:dyDescent="0.3">
      <c r="A355" t="s">
        <v>357</v>
      </c>
      <c r="B355" s="4" cm="1">
        <f t="array" ref="B355">_xll.SNL.Clients.Office.Excel.Functions.SPG(A355, "SP_TOTAL_REV", "CY2023")</f>
        <v>58496000</v>
      </c>
      <c r="C355" s="4">
        <f>_xll.SNL.Clients.Office.Excel.Functions.SPG(A355,"IQ_AVG_DILUT_SHARES_OUT","CY2023")</f>
        <v>5709000000</v>
      </c>
      <c r="D355" s="5">
        <f>_xll.SNL.Clients.Office.Excel.Functions.SPG(A355, "IQ_DILUT_EPS_NORM", "CY2023")</f>
        <v>0.77</v>
      </c>
      <c r="E355">
        <f t="shared" si="20"/>
        <v>4395930</v>
      </c>
      <c r="F355">
        <f t="shared" si="21"/>
        <v>7.5149240973741788E-2</v>
      </c>
      <c r="G355" t="s">
        <v>357</v>
      </c>
      <c r="H355" s="4" cm="1">
        <f t="array" ref="H355">_xll.SNL.Clients.Office.Excel.Functions.SPG(G355, "SP_TOTAL_REV", "CY2023")</f>
        <v>58496000</v>
      </c>
      <c r="I355" s="4">
        <f>_xll.SNL.Clients.Office.Excel.Functions.SPG(G355,"IQ_AVG_DILUT_SHARES_OUT","CY2023")</f>
        <v>5709000000</v>
      </c>
      <c r="J355" s="5">
        <f>_xll.SNL.Clients.Office.Excel.Functions.SPG(G355, "IQ_DILUT_EPS_NORM", "CY2023")</f>
        <v>0.77</v>
      </c>
      <c r="K355">
        <f t="shared" si="22"/>
        <v>4395930</v>
      </c>
      <c r="L355">
        <f t="shared" si="23"/>
        <v>7.5149240973741788E-2</v>
      </c>
    </row>
    <row r="356" spans="1:12" x14ac:dyDescent="0.3">
      <c r="A356" t="s">
        <v>358</v>
      </c>
      <c r="B356" s="4" cm="1">
        <f t="array" ref="B356">_xll.SNL.Clients.Office.Excel.Functions.SPG(A356, "SP_TOTAL_REV", "CY2023")</f>
        <v>24428000</v>
      </c>
      <c r="C356" s="4">
        <f>_xll.SNL.Clients.Office.Excel.Functions.SPG(A356,"IQ_AVG_DILUT_SHARES_OUT","CY2023")</f>
        <v>2138000000</v>
      </c>
      <c r="D356" s="5">
        <f>_xll.SNL.Clients.Office.Excel.Functions.SPG(A356, "IQ_DILUT_EPS_NORM", "CY2023")</f>
        <v>0.38500000000000001</v>
      </c>
      <c r="E356">
        <f t="shared" si="20"/>
        <v>823130</v>
      </c>
      <c r="F356">
        <f t="shared" si="21"/>
        <v>3.3696168331422957E-2</v>
      </c>
      <c r="G356" t="s">
        <v>358</v>
      </c>
      <c r="H356" s="4" cm="1">
        <f t="array" ref="H356">_xll.SNL.Clients.Office.Excel.Functions.SPG(G356, "SP_TOTAL_REV", "CY2023")</f>
        <v>24428000</v>
      </c>
      <c r="I356" s="4">
        <f>_xll.SNL.Clients.Office.Excel.Functions.SPG(G356,"IQ_AVG_DILUT_SHARES_OUT","CY2023")</f>
        <v>2138000000</v>
      </c>
      <c r="J356" s="5">
        <f>_xll.SNL.Clients.Office.Excel.Functions.SPG(G356, "IQ_DILUT_EPS_NORM", "CY2023")</f>
        <v>0.38500000000000001</v>
      </c>
      <c r="K356">
        <f t="shared" si="22"/>
        <v>823130</v>
      </c>
      <c r="L356">
        <f t="shared" si="23"/>
        <v>3.3696168331422957E-2</v>
      </c>
    </row>
    <row r="357" spans="1:12" x14ac:dyDescent="0.3">
      <c r="A357" t="s">
        <v>359</v>
      </c>
      <c r="B357" s="4" cm="1">
        <f t="array" ref="B357">_xll.SNL.Clients.Office.Excel.Functions.SPG(A357, "SP_TOTAL_REV", "CY2023")</f>
        <v>35174000</v>
      </c>
      <c r="C357" s="4">
        <f>_xll.SNL.Clients.Office.Excel.Functions.SPG(A357,"IQ_AVG_DILUT_SHARES_OUT","CY2023")</f>
        <v>1553000000</v>
      </c>
      <c r="D357" s="5">
        <f>_xll.SNL.Clients.Office.Excel.Functions.SPG(A357, "IQ_DILUT_EPS_NORM", "CY2023")</f>
        <v>4.4530000000000003</v>
      </c>
      <c r="E357">
        <f t="shared" si="20"/>
        <v>6915509</v>
      </c>
      <c r="F357">
        <f t="shared" si="21"/>
        <v>0.19660854608517656</v>
      </c>
      <c r="G357" t="s">
        <v>359</v>
      </c>
      <c r="H357" s="4" cm="1">
        <f t="array" ref="H357">_xll.SNL.Clients.Office.Excel.Functions.SPG(G357, "SP_TOTAL_REV", "CY2023")</f>
        <v>35174000</v>
      </c>
      <c r="I357" s="4">
        <f>_xll.SNL.Clients.Office.Excel.Functions.SPG(G357,"IQ_AVG_DILUT_SHARES_OUT","CY2023")</f>
        <v>1553000000</v>
      </c>
      <c r="J357" s="5">
        <f>_xll.SNL.Clients.Office.Excel.Functions.SPG(G357, "IQ_DILUT_EPS_NORM", "CY2023")</f>
        <v>4.4530000000000003</v>
      </c>
      <c r="K357">
        <f t="shared" si="22"/>
        <v>6915509</v>
      </c>
      <c r="L357">
        <f t="shared" si="23"/>
        <v>0.19660854608517656</v>
      </c>
    </row>
    <row r="358" spans="1:12" x14ac:dyDescent="0.3">
      <c r="A358" t="s">
        <v>360</v>
      </c>
      <c r="B358" s="4" cm="1">
        <f t="array" ref="B358">_xll.SNL.Clients.Office.Excel.Functions.SPG(A358, "SP_TOTAL_REV", "CY2023")</f>
        <v>147399000</v>
      </c>
      <c r="C358" s="4">
        <f>_xll.SNL.Clients.Office.Excel.Functions.SPG(A358,"IQ_AVG_DILUT_SHARES_OUT","CY2023")</f>
        <v>453210000</v>
      </c>
      <c r="D358" s="5">
        <f>_xll.SNL.Clients.Office.Excel.Functions.SPG(A358, "IQ_DILUT_EPS_NORM", "CY2023")</f>
        <v>12.564</v>
      </c>
      <c r="E358">
        <f t="shared" si="20"/>
        <v>5694130.4400000004</v>
      </c>
      <c r="F358">
        <f t="shared" si="21"/>
        <v>3.8630726395701469E-2</v>
      </c>
      <c r="G358" t="s">
        <v>360</v>
      </c>
      <c r="H358" s="4" cm="1">
        <f t="array" ref="H358">_xll.SNL.Clients.Office.Excel.Functions.SPG(G358, "SP_TOTAL_REV", "CY2023")</f>
        <v>147399000</v>
      </c>
      <c r="I358" s="4">
        <f>_xll.SNL.Clients.Office.Excel.Functions.SPG(G358,"IQ_AVG_DILUT_SHARES_OUT","CY2023")</f>
        <v>453210000</v>
      </c>
      <c r="J358" s="5">
        <f>_xll.SNL.Clients.Office.Excel.Functions.SPG(G358, "IQ_DILUT_EPS_NORM", "CY2023")</f>
        <v>12.564</v>
      </c>
      <c r="K358">
        <f t="shared" si="22"/>
        <v>5694130.4400000004</v>
      </c>
      <c r="L358">
        <f t="shared" si="23"/>
        <v>3.8630726395701469E-2</v>
      </c>
    </row>
    <row r="359" spans="1:12" x14ac:dyDescent="0.3">
      <c r="A359" t="s">
        <v>361</v>
      </c>
      <c r="B359" s="4" cm="1">
        <f t="array" ref="B359">_xll.SNL.Clients.Office.Excel.Functions.SPG(A359, "SP_TOTAL_REV", "CY2023")</f>
        <v>4695991</v>
      </c>
      <c r="C359" s="4">
        <f>_xll.SNL.Clients.Office.Excel.Functions.SPG(A359,"IQ_AVG_DILUT_SHARES_OUT","CY2023")</f>
        <v>113804000</v>
      </c>
      <c r="D359" s="5">
        <f>_xll.SNL.Clients.Office.Excel.Functions.SPG(A359, "IQ_DILUT_EPS_NORM", "CY2023")</f>
        <v>3.105</v>
      </c>
      <c r="E359">
        <f t="shared" si="20"/>
        <v>353361.42</v>
      </c>
      <c r="F359">
        <f t="shared" si="21"/>
        <v>7.5247465337987235E-2</v>
      </c>
      <c r="G359" t="s">
        <v>361</v>
      </c>
      <c r="H359" s="4" cm="1">
        <f t="array" ref="H359">_xll.SNL.Clients.Office.Excel.Functions.SPG(G359, "SP_TOTAL_REV", "CY2023")</f>
        <v>4695991</v>
      </c>
      <c r="I359" s="4">
        <f>_xll.SNL.Clients.Office.Excel.Functions.SPG(G359,"IQ_AVG_DILUT_SHARES_OUT","CY2023")</f>
        <v>113804000</v>
      </c>
      <c r="J359" s="5">
        <f>_xll.SNL.Clients.Office.Excel.Functions.SPG(G359, "IQ_DILUT_EPS_NORM", "CY2023")</f>
        <v>3.105</v>
      </c>
      <c r="K359">
        <f t="shared" si="22"/>
        <v>353361.42</v>
      </c>
      <c r="L359">
        <f t="shared" si="23"/>
        <v>7.5247465337987235E-2</v>
      </c>
    </row>
    <row r="360" spans="1:12" x14ac:dyDescent="0.3">
      <c r="A360" t="s">
        <v>362</v>
      </c>
      <c r="B360" s="4" cm="1">
        <f t="array" ref="B360">_xll.SNL.Clients.Office.Excel.Functions.SPG(A360, "SP_TOTAL_REV", "CY2023")</f>
        <v>5541595</v>
      </c>
      <c r="C360" s="4">
        <f>_xll.SNL.Clients.Office.Excel.Functions.SPG(A360,"IQ_AVG_DILUT_SHARES_OUT","CY2023")</f>
        <v>38997000</v>
      </c>
      <c r="D360" s="5">
        <f>_xll.SNL.Clients.Office.Excel.Functions.SPG(A360, "IQ_DILUT_EPS_NORM", "CY2023")</f>
        <v>11.04</v>
      </c>
      <c r="E360">
        <f t="shared" si="20"/>
        <v>430526.87999999995</v>
      </c>
      <c r="F360">
        <f t="shared" si="21"/>
        <v>7.7690065766264041E-2</v>
      </c>
      <c r="G360" t="s">
        <v>362</v>
      </c>
      <c r="H360" s="4" cm="1">
        <f t="array" ref="H360">_xll.SNL.Clients.Office.Excel.Functions.SPG(G360, "SP_TOTAL_REV", "CY2023")</f>
        <v>5541595</v>
      </c>
      <c r="I360" s="4">
        <f>_xll.SNL.Clients.Office.Excel.Functions.SPG(G360,"IQ_AVG_DILUT_SHARES_OUT","CY2023")</f>
        <v>38997000</v>
      </c>
      <c r="J360" s="5">
        <f>_xll.SNL.Clients.Office.Excel.Functions.SPG(G360, "IQ_DILUT_EPS_NORM", "CY2023")</f>
        <v>11.04</v>
      </c>
      <c r="K360">
        <f t="shared" si="22"/>
        <v>430526.87999999995</v>
      </c>
      <c r="L360">
        <f t="shared" si="23"/>
        <v>7.7690065766264041E-2</v>
      </c>
    </row>
    <row r="361" spans="1:12" x14ac:dyDescent="0.3">
      <c r="A361" t="s">
        <v>363</v>
      </c>
      <c r="B361" s="4" cm="1">
        <f t="array" ref="B361">_xll.SNL.Clients.Office.Excel.Functions.SPG(A361, "SP_TOTAL_REV", "CY2023")</f>
        <v>18246000</v>
      </c>
      <c r="C361" s="4">
        <f>_xll.SNL.Clients.Office.Excel.Functions.SPG(A361,"IQ_AVG_DILUT_SHARES_OUT","CY2023")</f>
        <v>237200000</v>
      </c>
      <c r="D361" s="5">
        <f>_xll.SNL.Clients.Office.Excel.Functions.SPG(A361, "IQ_DILUT_EPS_NORM", "CY2023")</f>
        <v>5.4290000000000003</v>
      </c>
      <c r="E361">
        <f t="shared" si="20"/>
        <v>1287758.8</v>
      </c>
      <c r="F361">
        <f t="shared" si="21"/>
        <v>7.0577595089334658E-2</v>
      </c>
      <c r="G361" t="s">
        <v>363</v>
      </c>
      <c r="H361" s="4" cm="1">
        <f t="array" ref="H361">_xll.SNL.Clients.Office.Excel.Functions.SPG(G361, "SP_TOTAL_REV", "CY2023")</f>
        <v>18246000</v>
      </c>
      <c r="I361" s="4">
        <f>_xll.SNL.Clients.Office.Excel.Functions.SPG(G361,"IQ_AVG_DILUT_SHARES_OUT","CY2023")</f>
        <v>237200000</v>
      </c>
      <c r="J361" s="5">
        <f>_xll.SNL.Clients.Office.Excel.Functions.SPG(G361, "IQ_DILUT_EPS_NORM", "CY2023")</f>
        <v>5.4290000000000003</v>
      </c>
      <c r="K361">
        <f t="shared" si="22"/>
        <v>1287758.8</v>
      </c>
      <c r="L361">
        <f t="shared" si="23"/>
        <v>7.0577595089334658E-2</v>
      </c>
    </row>
    <row r="362" spans="1:12" x14ac:dyDescent="0.3">
      <c r="A362" t="s">
        <v>364</v>
      </c>
      <c r="B362" s="4" cm="1">
        <f t="array" ref="B362">_xll.SNL.Clients.Office.Excel.Functions.SPG(A362, "SP_TOTAL_REV", "CY2023")</f>
        <v>8312000</v>
      </c>
      <c r="C362" s="4">
        <f>_xll.SNL.Clients.Office.Excel.Functions.SPG(A362,"IQ_AVG_DILUT_SHARES_OUT","CY2023")</f>
        <v>738166000</v>
      </c>
      <c r="D362" s="5">
        <f>_xll.SNL.Clients.Office.Excel.Functions.SPG(A362, "IQ_DILUT_EPS_NORM", "CY2023")</f>
        <v>0.997</v>
      </c>
      <c r="E362">
        <f t="shared" si="20"/>
        <v>735951.50199999998</v>
      </c>
      <c r="F362">
        <f t="shared" si="21"/>
        <v>8.854084480269489E-2</v>
      </c>
      <c r="G362" t="s">
        <v>364</v>
      </c>
      <c r="H362" s="4" cm="1">
        <f t="array" ref="H362">_xll.SNL.Clients.Office.Excel.Functions.SPG(G362, "SP_TOTAL_REV", "CY2023")</f>
        <v>8312000</v>
      </c>
      <c r="I362" s="4">
        <f>_xll.SNL.Clients.Office.Excel.Functions.SPG(G362,"IQ_AVG_DILUT_SHARES_OUT","CY2023")</f>
        <v>738166000</v>
      </c>
      <c r="J362" s="5">
        <f>_xll.SNL.Clients.Office.Excel.Functions.SPG(G362, "IQ_DILUT_EPS_NORM", "CY2023")</f>
        <v>0.997</v>
      </c>
      <c r="K362">
        <f t="shared" si="22"/>
        <v>735951.50199999998</v>
      </c>
      <c r="L362">
        <f t="shared" si="23"/>
        <v>8.854084480269489E-2</v>
      </c>
    </row>
    <row r="363" spans="1:12" x14ac:dyDescent="0.3">
      <c r="A363" t="s">
        <v>365</v>
      </c>
      <c r="B363" s="4" cm="1">
        <f t="array" ref="B363">_xll.SNL.Clients.Office.Excel.Functions.SPG(A363, "SP_TOTAL_REV", "CY2023")</f>
        <v>13665800</v>
      </c>
      <c r="C363" s="4">
        <f>_xll.SNL.Clients.Office.Excel.Functions.SPG(A363,"IQ_AVG_DILUT_SHARES_OUT","CY2023")</f>
        <v>244600000</v>
      </c>
      <c r="D363" s="5">
        <f>_xll.SNL.Clients.Office.Excel.Functions.SPG(A363, "IQ_DILUT_EPS_NORM", "CY2023")</f>
        <v>1.696</v>
      </c>
      <c r="E363">
        <f t="shared" si="20"/>
        <v>414841.59999999998</v>
      </c>
      <c r="F363">
        <f t="shared" si="21"/>
        <v>3.0356188441218221E-2</v>
      </c>
      <c r="G363" t="s">
        <v>365</v>
      </c>
      <c r="H363" s="4" cm="1">
        <f t="array" ref="H363">_xll.SNL.Clients.Office.Excel.Functions.SPG(G363, "SP_TOTAL_REV", "CY2023")</f>
        <v>13665800</v>
      </c>
      <c r="I363" s="4">
        <f>_xll.SNL.Clients.Office.Excel.Functions.SPG(G363,"IQ_AVG_DILUT_SHARES_OUT","CY2023")</f>
        <v>244600000</v>
      </c>
      <c r="J363" s="5">
        <f>_xll.SNL.Clients.Office.Excel.Functions.SPG(G363, "IQ_DILUT_EPS_NORM", "CY2023")</f>
        <v>1.696</v>
      </c>
      <c r="K363">
        <f t="shared" si="22"/>
        <v>414841.59999999998</v>
      </c>
      <c r="L363">
        <f t="shared" si="23"/>
        <v>3.0356188441218221E-2</v>
      </c>
    </row>
    <row r="364" spans="1:12" x14ac:dyDescent="0.3">
      <c r="A364" t="s">
        <v>366</v>
      </c>
      <c r="B364" s="4" cm="1">
        <f t="array" ref="B364">_xll.SNL.Clients.Office.Excel.Functions.SPG(A364, "SP_TOTAL_REV", "CY2023")</f>
        <v>8028436</v>
      </c>
      <c r="C364" s="4">
        <f>_xll.SNL.Clients.Office.Excel.Functions.SPG(A364,"IQ_AVG_DILUT_SHARES_OUT","CY2023")</f>
        <v>951791000</v>
      </c>
      <c r="D364" s="5">
        <f>_xll.SNL.Clients.Office.Excel.Functions.SPG(A364, "IQ_DILUT_EPS_NORM", "CY2023")</f>
        <v>1.66</v>
      </c>
      <c r="E364">
        <f t="shared" si="20"/>
        <v>1579973.06</v>
      </c>
      <c r="F364">
        <f t="shared" si="21"/>
        <v>0.19679711714710063</v>
      </c>
      <c r="G364" t="s">
        <v>366</v>
      </c>
      <c r="H364" s="4" cm="1">
        <f t="array" ref="H364">_xll.SNL.Clients.Office.Excel.Functions.SPG(G364, "SP_TOTAL_REV", "CY2023")</f>
        <v>8028436</v>
      </c>
      <c r="I364" s="4">
        <f>_xll.SNL.Clients.Office.Excel.Functions.SPG(G364,"IQ_AVG_DILUT_SHARES_OUT","CY2023")</f>
        <v>951791000</v>
      </c>
      <c r="J364" s="5">
        <f>_xll.SNL.Clients.Office.Excel.Functions.SPG(G364, "IQ_DILUT_EPS_NORM", "CY2023")</f>
        <v>1.66</v>
      </c>
      <c r="K364">
        <f t="shared" si="22"/>
        <v>1579973.06</v>
      </c>
      <c r="L364">
        <f t="shared" si="23"/>
        <v>0.19679711714710063</v>
      </c>
    </row>
    <row r="365" spans="1:12" x14ac:dyDescent="0.3">
      <c r="A365" t="s">
        <v>367</v>
      </c>
      <c r="B365" s="4" cm="1">
        <f t="array" ref="B365">_xll.SNL.Clients.Office.Excel.Functions.SPG(A365, "SP_TOTAL_REV", "CY2023")</f>
        <v>53979000</v>
      </c>
      <c r="C365" s="4">
        <f>_xll.SNL.Clients.Office.Excel.Functions.SPG(A365,"IQ_AVG_DILUT_SHARES_OUT","CY2023")</f>
        <v>364600000</v>
      </c>
      <c r="D365" s="5">
        <f>_xll.SNL.Clients.Office.Excel.Functions.SPG(A365, "IQ_DILUT_EPS_NORM", "CY2023")</f>
        <v>5.65</v>
      </c>
      <c r="E365">
        <f t="shared" si="20"/>
        <v>2059990.0000000002</v>
      </c>
      <c r="F365">
        <f t="shared" si="21"/>
        <v>3.8162804053428187E-2</v>
      </c>
      <c r="G365" t="s">
        <v>367</v>
      </c>
      <c r="H365" s="4" cm="1">
        <f t="array" ref="H365">_xll.SNL.Clients.Office.Excel.Functions.SPG(G365, "SP_TOTAL_REV", "CY2023")</f>
        <v>53979000</v>
      </c>
      <c r="I365" s="4">
        <f>_xll.SNL.Clients.Office.Excel.Functions.SPG(G365,"IQ_AVG_DILUT_SHARES_OUT","CY2023")</f>
        <v>364600000</v>
      </c>
      <c r="J365" s="5">
        <f>_xll.SNL.Clients.Office.Excel.Functions.SPG(G365, "IQ_DILUT_EPS_NORM", "CY2023")</f>
        <v>5.65</v>
      </c>
      <c r="K365">
        <f t="shared" si="22"/>
        <v>2059990.0000000002</v>
      </c>
      <c r="L365">
        <f t="shared" si="23"/>
        <v>3.8162804053428187E-2</v>
      </c>
    </row>
    <row r="366" spans="1:12" x14ac:dyDescent="0.3">
      <c r="A366" t="s">
        <v>368</v>
      </c>
      <c r="B366" s="4" cm="1">
        <f t="array" ref="B366">_xll.SNL.Clients.Office.Excel.Functions.SPG(A366, "SP_TOTAL_REV", "CY2023")</f>
        <v>2181357</v>
      </c>
      <c r="C366" s="4">
        <f>_xll.SNL.Clients.Office.Excel.Functions.SPG(A366,"IQ_AVG_DILUT_SHARES_OUT","CY2023")</f>
        <v>119699500</v>
      </c>
      <c r="D366" s="5">
        <f>_xll.SNL.Clients.Office.Excel.Functions.SPG(A366, "IQ_DILUT_EPS_NORM", "CY2023")</f>
        <v>1.8080000000000001</v>
      </c>
      <c r="E366">
        <f t="shared" si="20"/>
        <v>216416.696</v>
      </c>
      <c r="F366">
        <f t="shared" si="21"/>
        <v>9.9211956593991721E-2</v>
      </c>
      <c r="G366" t="s">
        <v>368</v>
      </c>
      <c r="H366" s="4" cm="1">
        <f t="array" ref="H366">_xll.SNL.Clients.Office.Excel.Functions.SPG(G366, "SP_TOTAL_REV", "CY2023")</f>
        <v>2181357</v>
      </c>
      <c r="I366" s="4">
        <f>_xll.SNL.Clients.Office.Excel.Functions.SPG(G366,"IQ_AVG_DILUT_SHARES_OUT","CY2023")</f>
        <v>119699500</v>
      </c>
      <c r="J366" s="5">
        <f>_xll.SNL.Clients.Office.Excel.Functions.SPG(G366, "IQ_DILUT_EPS_NORM", "CY2023")</f>
        <v>1.8080000000000001</v>
      </c>
      <c r="K366">
        <f t="shared" si="22"/>
        <v>216416.696</v>
      </c>
      <c r="L366">
        <f t="shared" si="23"/>
        <v>9.9211956593991721E-2</v>
      </c>
    </row>
    <row r="367" spans="1:12" x14ac:dyDescent="0.3">
      <c r="A367" t="s">
        <v>369</v>
      </c>
      <c r="B367" s="4" cm="1">
        <f t="array" ref="B367">_xll.SNL.Clients.Office.Excel.Functions.SPG(A367, "SP_TOTAL_REV", "CY2023")</f>
        <v>11237000</v>
      </c>
      <c r="C367" s="4">
        <f>_xll.SNL.Clients.Office.Excel.Functions.SPG(A367,"IQ_AVG_DILUT_SHARES_OUT","CY2023")</f>
        <v>500000000</v>
      </c>
      <c r="D367" s="5">
        <f>_xll.SNL.Clients.Office.Excel.Functions.SPG(A367, "IQ_DILUT_EPS_NORM", "CY2023")</f>
        <v>3.6240000000000001</v>
      </c>
      <c r="E367">
        <f t="shared" si="20"/>
        <v>1812000</v>
      </c>
      <c r="F367">
        <f t="shared" si="21"/>
        <v>0.16125300347067723</v>
      </c>
      <c r="G367" t="s">
        <v>369</v>
      </c>
      <c r="H367" s="4" cm="1">
        <f t="array" ref="H367">_xll.SNL.Clients.Office.Excel.Functions.SPG(G367, "SP_TOTAL_REV", "CY2023")</f>
        <v>11237000</v>
      </c>
      <c r="I367" s="4">
        <f>_xll.SNL.Clients.Office.Excel.Functions.SPG(G367,"IQ_AVG_DILUT_SHARES_OUT","CY2023")</f>
        <v>500000000</v>
      </c>
      <c r="J367" s="5">
        <f>_xll.SNL.Clients.Office.Excel.Functions.SPG(G367, "IQ_DILUT_EPS_NORM", "CY2023")</f>
        <v>3.6240000000000001</v>
      </c>
      <c r="K367">
        <f t="shared" si="22"/>
        <v>1812000</v>
      </c>
      <c r="L367">
        <f t="shared" si="23"/>
        <v>0.16125300347067723</v>
      </c>
    </row>
    <row r="368" spans="1:12" x14ac:dyDescent="0.3">
      <c r="A368" t="s">
        <v>370</v>
      </c>
      <c r="B368" s="4" t="str" cm="1">
        <f t="array" ref="B368">_xll.SNL.Clients.Office.Excel.Functions.SPG(A368, "SP_TOTAL_REV", "CY2023")</f>
        <v>NA</v>
      </c>
      <c r="C368" s="4">
        <f>_xll.SNL.Clients.Office.Excel.Functions.SPG(A368,"IQ_AVG_DILUT_SHARES_OUT","CY2023")</f>
        <v>176143000</v>
      </c>
      <c r="D368" s="5">
        <f>_xll.SNL.Clients.Office.Excel.Functions.SPG(A368, "IQ_DILUT_EPS_NORM", "CY2023")</f>
        <v>7.6070000000000002</v>
      </c>
      <c r="E368">
        <f t="shared" si="20"/>
        <v>1339919.801</v>
      </c>
      <c r="F368" t="e">
        <f t="shared" si="21"/>
        <v>#VALUE!</v>
      </c>
      <c r="G368" t="s">
        <v>370</v>
      </c>
      <c r="H368" s="4" t="str" cm="1">
        <f t="array" ref="H368">_xll.SNL.Clients.Office.Excel.Functions.SPG(G368, "SP_TOTAL_REV", "CY2023")</f>
        <v>NA</v>
      </c>
      <c r="I368" s="4">
        <f>_xll.SNL.Clients.Office.Excel.Functions.SPG(G368,"IQ_AVG_DILUT_SHARES_OUT","CY2023")</f>
        <v>176143000</v>
      </c>
      <c r="J368" s="5">
        <f>_xll.SNL.Clients.Office.Excel.Functions.SPG(G368, "IQ_DILUT_EPS_NORM", "CY2023")</f>
        <v>7.6070000000000002</v>
      </c>
      <c r="K368">
        <f t="shared" si="22"/>
        <v>1339919.801</v>
      </c>
      <c r="L368" t="e">
        <f t="shared" si="23"/>
        <v>#VALUE!</v>
      </c>
    </row>
    <row r="369" spans="1:12" x14ac:dyDescent="0.3">
      <c r="A369" t="s">
        <v>371</v>
      </c>
      <c r="B369" s="4" cm="1">
        <f t="array" ref="B369">_xll.SNL.Clients.Office.Excel.Functions.SPG(A369, "SP_TOTAL_REV", "CY2023")</f>
        <v>16061578</v>
      </c>
      <c r="C369" s="4">
        <f>_xll.SNL.Clients.Office.Excel.Functions.SPG(A369,"IQ_AVG_DILUT_SHARES_OUT","CY2023")</f>
        <v>221163000</v>
      </c>
      <c r="D369" s="5">
        <f>_xll.SNL.Clients.Office.Excel.Functions.SPG(A369, "IQ_DILUT_EPS_NORM", "CY2023")</f>
        <v>9.8670000000000009</v>
      </c>
      <c r="E369">
        <f t="shared" si="20"/>
        <v>2182215.321</v>
      </c>
      <c r="F369">
        <f t="shared" si="21"/>
        <v>0.13586556196408597</v>
      </c>
      <c r="G369" t="s">
        <v>371</v>
      </c>
      <c r="H369" s="4" cm="1">
        <f t="array" ref="H369">_xll.SNL.Clients.Office.Excel.Functions.SPG(G369, "SP_TOTAL_REV", "CY2023")</f>
        <v>16061578</v>
      </c>
      <c r="I369" s="4">
        <f>_xll.SNL.Clients.Office.Excel.Functions.SPG(G369,"IQ_AVG_DILUT_SHARES_OUT","CY2023")</f>
        <v>221163000</v>
      </c>
      <c r="J369" s="5">
        <f>_xll.SNL.Clients.Office.Excel.Functions.SPG(G369, "IQ_DILUT_EPS_NORM", "CY2023")</f>
        <v>9.8670000000000009</v>
      </c>
      <c r="K369">
        <f t="shared" si="22"/>
        <v>2182215.321</v>
      </c>
      <c r="L369">
        <f t="shared" si="23"/>
        <v>0.13586556196408597</v>
      </c>
    </row>
    <row r="370" spans="1:12" x14ac:dyDescent="0.3">
      <c r="A370" t="s">
        <v>372</v>
      </c>
      <c r="B370" s="4" cm="1">
        <f t="array" ref="B370">_xll.SNL.Clients.Office.Excel.Functions.SPG(A370, "SP_TOTAL_REV", "CY2023")</f>
        <v>36292000</v>
      </c>
      <c r="C370" s="4">
        <f>_xll.SNL.Clients.Office.Excel.Functions.SPG(A370,"IQ_AVG_DILUT_SHARES_OUT","CY2023")</f>
        <v>1125000000</v>
      </c>
      <c r="D370" s="5">
        <f>_xll.SNL.Clients.Office.Excel.Functions.SPG(A370, "IQ_DILUT_EPS_NORM", "CY2023")</f>
        <v>4.8979999999999997</v>
      </c>
      <c r="E370">
        <f t="shared" si="20"/>
        <v>5510250</v>
      </c>
      <c r="F370">
        <f t="shared" si="21"/>
        <v>0.15183098203460818</v>
      </c>
      <c r="G370" t="s">
        <v>372</v>
      </c>
      <c r="H370" s="4" cm="1">
        <f t="array" ref="H370">_xll.SNL.Clients.Office.Excel.Functions.SPG(G370, "SP_TOTAL_REV", "CY2023")</f>
        <v>36292000</v>
      </c>
      <c r="I370" s="4">
        <f>_xll.SNL.Clients.Office.Excel.Functions.SPG(G370,"IQ_AVG_DILUT_SHARES_OUT","CY2023")</f>
        <v>1125000000</v>
      </c>
      <c r="J370" s="5">
        <f>_xll.SNL.Clients.Office.Excel.Functions.SPG(G370, "IQ_DILUT_EPS_NORM", "CY2023")</f>
        <v>4.8979999999999997</v>
      </c>
      <c r="K370">
        <f t="shared" si="22"/>
        <v>5510250</v>
      </c>
      <c r="L370">
        <f t="shared" si="23"/>
        <v>0.15183098203460818</v>
      </c>
    </row>
    <row r="371" spans="1:12" x14ac:dyDescent="0.3">
      <c r="A371" t="s">
        <v>373</v>
      </c>
      <c r="B371" s="4" cm="1">
        <f t="array" ref="B371">_xll.SNL.Clients.Office.Excel.Functions.SPG(A371, "SP_TOTAL_REV", "CY2023")</f>
        <v>20882206</v>
      </c>
      <c r="C371" s="4">
        <f>_xll.SNL.Clients.Office.Excel.Functions.SPG(A371,"IQ_AVG_DILUT_SHARES_OUT","CY2023")</f>
        <v>148823000</v>
      </c>
      <c r="D371" s="5">
        <f>_xll.SNL.Clients.Office.Excel.Functions.SPG(A371, "IQ_DILUT_EPS_NORM", "CY2023")</f>
        <v>4.0540000000000003</v>
      </c>
      <c r="E371">
        <f t="shared" si="20"/>
        <v>603328.44200000004</v>
      </c>
      <c r="F371">
        <f t="shared" si="21"/>
        <v>2.889198784841027E-2</v>
      </c>
      <c r="G371" t="s">
        <v>373</v>
      </c>
      <c r="H371" s="4" cm="1">
        <f t="array" ref="H371">_xll.SNL.Clients.Office.Excel.Functions.SPG(G371, "SP_TOTAL_REV", "CY2023")</f>
        <v>20882206</v>
      </c>
      <c r="I371" s="4">
        <f>_xll.SNL.Clients.Office.Excel.Functions.SPG(G371,"IQ_AVG_DILUT_SHARES_OUT","CY2023")</f>
        <v>148823000</v>
      </c>
      <c r="J371" s="5">
        <f>_xll.SNL.Clients.Office.Excel.Functions.SPG(G371, "IQ_DILUT_EPS_NORM", "CY2023")</f>
        <v>4.0540000000000003</v>
      </c>
      <c r="K371">
        <f t="shared" si="22"/>
        <v>603328.44200000004</v>
      </c>
      <c r="L371">
        <f t="shared" si="23"/>
        <v>2.889198784841027E-2</v>
      </c>
    </row>
    <row r="372" spans="1:12" x14ac:dyDescent="0.3">
      <c r="A372" t="s">
        <v>374</v>
      </c>
      <c r="B372" s="4" cm="1">
        <f t="array" ref="B372">_xll.SNL.Clients.Office.Excel.Functions.SPG(A372, "SP_TOTAL_REV", "CY2023")</f>
        <v>9252000</v>
      </c>
      <c r="C372" s="4">
        <f>_xll.SNL.Clients.Office.Excel.Functions.SPG(A372,"IQ_AVG_DILUT_SHARES_OUT","CY2023")</f>
        <v>113000000</v>
      </c>
      <c r="D372" s="5">
        <f>_xll.SNL.Clients.Office.Excel.Functions.SPG(A372, "IQ_DILUT_EPS_NORM", "CY2023")</f>
        <v>6.3140000000000001</v>
      </c>
      <c r="E372">
        <f t="shared" si="20"/>
        <v>713482</v>
      </c>
      <c r="F372">
        <f t="shared" si="21"/>
        <v>7.7116515348032863E-2</v>
      </c>
      <c r="G372" t="s">
        <v>374</v>
      </c>
      <c r="H372" s="4" cm="1">
        <f t="array" ref="H372">_xll.SNL.Clients.Office.Excel.Functions.SPG(G372, "SP_TOTAL_REV", "CY2023")</f>
        <v>9252000</v>
      </c>
      <c r="I372" s="4">
        <f>_xll.SNL.Clients.Office.Excel.Functions.SPG(G372,"IQ_AVG_DILUT_SHARES_OUT","CY2023")</f>
        <v>113000000</v>
      </c>
      <c r="J372" s="5">
        <f>_xll.SNL.Clients.Office.Excel.Functions.SPG(G372, "IQ_DILUT_EPS_NORM", "CY2023")</f>
        <v>6.3140000000000001</v>
      </c>
      <c r="K372">
        <f t="shared" si="22"/>
        <v>713482</v>
      </c>
      <c r="L372">
        <f t="shared" si="23"/>
        <v>7.7116515348032863E-2</v>
      </c>
    </row>
    <row r="373" spans="1:12" x14ac:dyDescent="0.3">
      <c r="A373" t="s">
        <v>375</v>
      </c>
      <c r="B373" s="4" cm="1">
        <f t="array" ref="B373">_xll.SNL.Clients.Office.Excel.Functions.SPG(A373, "SP_TOTAL_REV", "CY2023")</f>
        <v>6604300</v>
      </c>
      <c r="C373" s="4">
        <f>_xll.SNL.Clients.Office.Excel.Functions.SPG(A373,"IQ_AVG_DILUT_SHARES_OUT","CY2023")</f>
        <v>67099950</v>
      </c>
      <c r="D373" s="5">
        <f>_xll.SNL.Clients.Office.Excel.Functions.SPG(A373, "IQ_DILUT_EPS_NORM", "CY2023")</f>
        <v>7.2640000000000002</v>
      </c>
      <c r="E373">
        <f t="shared" si="20"/>
        <v>487414.0368</v>
      </c>
      <c r="F373">
        <f t="shared" si="21"/>
        <v>7.3802528171040077E-2</v>
      </c>
      <c r="G373" t="s">
        <v>375</v>
      </c>
      <c r="H373" s="4" cm="1">
        <f t="array" ref="H373">_xll.SNL.Clients.Office.Excel.Functions.SPG(G373, "SP_TOTAL_REV", "CY2023")</f>
        <v>6604300</v>
      </c>
      <c r="I373" s="4">
        <f>_xll.SNL.Clients.Office.Excel.Functions.SPG(G373,"IQ_AVG_DILUT_SHARES_OUT","CY2023")</f>
        <v>67099950</v>
      </c>
      <c r="J373" s="5">
        <f>_xll.SNL.Clients.Office.Excel.Functions.SPG(G373, "IQ_DILUT_EPS_NORM", "CY2023")</f>
        <v>7.2640000000000002</v>
      </c>
      <c r="K373">
        <f t="shared" si="22"/>
        <v>487414.0368</v>
      </c>
      <c r="L373">
        <f t="shared" si="23"/>
        <v>7.3802528171040077E-2</v>
      </c>
    </row>
    <row r="374" spans="1:12" x14ac:dyDescent="0.3">
      <c r="A374" t="s">
        <v>376</v>
      </c>
      <c r="B374" s="4" cm="1">
        <f t="array" ref="B374">_xll.SNL.Clients.Office.Excel.Functions.SPG(A374, "SP_TOTAL_REV", "CY2023")</f>
        <v>11846000</v>
      </c>
      <c r="C374" s="4">
        <f>_xll.SNL.Clients.Office.Excel.Functions.SPG(A374,"IQ_AVG_DILUT_SHARES_OUT","CY2023")</f>
        <v>215250000</v>
      </c>
      <c r="D374" s="5">
        <f>_xll.SNL.Clients.Office.Excel.Functions.SPG(A374, "IQ_DILUT_EPS_NORM", "CY2023")</f>
        <v>6.7859999999999996</v>
      </c>
      <c r="E374">
        <f t="shared" si="20"/>
        <v>1460686.5</v>
      </c>
      <c r="F374">
        <f t="shared" si="21"/>
        <v>0.12330630592605099</v>
      </c>
      <c r="G374" t="s">
        <v>376</v>
      </c>
      <c r="H374" s="4" cm="1">
        <f t="array" ref="H374">_xll.SNL.Clients.Office.Excel.Functions.SPG(G374, "SP_TOTAL_REV", "CY2023")</f>
        <v>11846000</v>
      </c>
      <c r="I374" s="4">
        <f>_xll.SNL.Clients.Office.Excel.Functions.SPG(G374,"IQ_AVG_DILUT_SHARES_OUT","CY2023")</f>
        <v>215250000</v>
      </c>
      <c r="J374" s="5">
        <f>_xll.SNL.Clients.Office.Excel.Functions.SPG(G374, "IQ_DILUT_EPS_NORM", "CY2023")</f>
        <v>6.7859999999999996</v>
      </c>
      <c r="K374">
        <f t="shared" si="22"/>
        <v>1460686.5</v>
      </c>
      <c r="L374">
        <f t="shared" si="23"/>
        <v>0.12330630592605099</v>
      </c>
    </row>
    <row r="375" spans="1:12" x14ac:dyDescent="0.3">
      <c r="A375" t="s">
        <v>377</v>
      </c>
      <c r="B375" s="4" cm="1">
        <f t="array" ref="B375">_xll.SNL.Clients.Office.Excel.Functions.SPG(A375, "SP_TOTAL_REV", "CY2023")</f>
        <v>4091914</v>
      </c>
      <c r="C375" s="4">
        <f>_xll.SNL.Clients.Office.Excel.Functions.SPG(A375,"IQ_AVG_DILUT_SHARES_OUT","CY2023")</f>
        <v>693024000</v>
      </c>
      <c r="D375" s="5">
        <f>_xll.SNL.Clients.Office.Excel.Functions.SPG(A375, "IQ_DILUT_EPS_NORM", "CY2023")</f>
        <v>0.9</v>
      </c>
      <c r="E375">
        <f t="shared" si="20"/>
        <v>623721.6</v>
      </c>
      <c r="F375">
        <f t="shared" si="21"/>
        <v>0.15242783694867487</v>
      </c>
      <c r="G375" t="s">
        <v>377</v>
      </c>
      <c r="H375" s="4" cm="1">
        <f t="array" ref="H375">_xll.SNL.Clients.Office.Excel.Functions.SPG(G375, "SP_TOTAL_REV", "CY2023")</f>
        <v>4091914</v>
      </c>
      <c r="I375" s="4">
        <f>_xll.SNL.Clients.Office.Excel.Functions.SPG(G375,"IQ_AVG_DILUT_SHARES_OUT","CY2023")</f>
        <v>693024000</v>
      </c>
      <c r="J375" s="5">
        <f>_xll.SNL.Clients.Office.Excel.Functions.SPG(G375, "IQ_DILUT_EPS_NORM", "CY2023")</f>
        <v>0.9</v>
      </c>
      <c r="K375">
        <f t="shared" si="22"/>
        <v>623721.6</v>
      </c>
      <c r="L375">
        <f t="shared" si="23"/>
        <v>0.15242783694867487</v>
      </c>
    </row>
    <row r="376" spans="1:12" x14ac:dyDescent="0.3">
      <c r="A376" t="s">
        <v>378</v>
      </c>
      <c r="B376" s="4" cm="1">
        <f t="array" ref="B376">_xll.SNL.Clients.Office.Excel.Functions.SPG(A376, "SP_TOTAL_REV", "CY2023")</f>
        <v>1371811</v>
      </c>
      <c r="C376" s="4">
        <f>_xll.SNL.Clients.Office.Excel.Functions.SPG(A376,"IQ_AVG_DILUT_SHARES_OUT","CY2023")</f>
        <v>176371000</v>
      </c>
      <c r="D376" s="5">
        <f>_xll.SNL.Clients.Office.Excel.Functions.SPG(A376, "IQ_DILUT_EPS_NORM", "CY2023")</f>
        <v>1.268</v>
      </c>
      <c r="E376">
        <f t="shared" si="20"/>
        <v>223638.42800000001</v>
      </c>
      <c r="F376">
        <f t="shared" si="21"/>
        <v>0.16302422709833936</v>
      </c>
      <c r="G376" t="s">
        <v>378</v>
      </c>
      <c r="H376" s="4" cm="1">
        <f t="array" ref="H376">_xll.SNL.Clients.Office.Excel.Functions.SPG(G376, "SP_TOTAL_REV", "CY2023")</f>
        <v>1371811</v>
      </c>
      <c r="I376" s="4">
        <f>_xll.SNL.Clients.Office.Excel.Functions.SPG(G376,"IQ_AVG_DILUT_SHARES_OUT","CY2023")</f>
        <v>176371000</v>
      </c>
      <c r="J376" s="5">
        <f>_xll.SNL.Clients.Office.Excel.Functions.SPG(G376, "IQ_DILUT_EPS_NORM", "CY2023")</f>
        <v>1.268</v>
      </c>
      <c r="K376">
        <f t="shared" si="22"/>
        <v>223638.42800000001</v>
      </c>
      <c r="L376">
        <f t="shared" si="23"/>
        <v>0.16302422709833936</v>
      </c>
    </row>
    <row r="377" spans="1:12" x14ac:dyDescent="0.3">
      <c r="A377" t="s">
        <v>379</v>
      </c>
      <c r="B377" s="4" cm="1">
        <f t="array" ref="B377">_xll.SNL.Clients.Office.Excel.Functions.SPG(A377, "SP_TOTAL_REV", "CY2023")</f>
        <v>13117200</v>
      </c>
      <c r="C377" s="4">
        <f>_xll.SNL.Clients.Office.Excel.Functions.SPG(A377,"IQ_AVG_DILUT_SHARES_OUT","CY2023")</f>
        <v>113700000</v>
      </c>
      <c r="D377" s="5">
        <f>_xll.SNL.Clients.Office.Excel.Functions.SPG(A377, "IQ_DILUT_EPS_NORM", "CY2023")</f>
        <v>25.413</v>
      </c>
      <c r="E377">
        <f t="shared" si="20"/>
        <v>2889458.1</v>
      </c>
      <c r="F377">
        <f t="shared" si="21"/>
        <v>0.22028009788674413</v>
      </c>
      <c r="G377" t="s">
        <v>379</v>
      </c>
      <c r="H377" s="4" cm="1">
        <f t="array" ref="H377">_xll.SNL.Clients.Office.Excel.Functions.SPG(G377, "SP_TOTAL_REV", "CY2023")</f>
        <v>13117200</v>
      </c>
      <c r="I377" s="4">
        <f>_xll.SNL.Clients.Office.Excel.Functions.SPG(G377,"IQ_AVG_DILUT_SHARES_OUT","CY2023")</f>
        <v>113700000</v>
      </c>
      <c r="J377" s="5">
        <f>_xll.SNL.Clients.Office.Excel.Functions.SPG(G377, "IQ_DILUT_EPS_NORM", "CY2023")</f>
        <v>25.413</v>
      </c>
      <c r="K377">
        <f t="shared" si="22"/>
        <v>2889458.1</v>
      </c>
      <c r="L377">
        <f t="shared" si="23"/>
        <v>0.22028009788674413</v>
      </c>
    </row>
    <row r="378" spans="1:12" x14ac:dyDescent="0.3">
      <c r="A378" t="s">
        <v>380</v>
      </c>
      <c r="B378" s="4" cm="1">
        <f t="array" ref="B378">_xll.SNL.Clients.Office.Excel.Functions.SPG(A378, "SP_TOTAL_REV", "CY2023")</f>
        <v>7574000</v>
      </c>
      <c r="C378" s="4">
        <f>_xll.SNL.Clients.Office.Excel.Functions.SPG(A378,"IQ_AVG_DILUT_SHARES_OUT","CY2023")</f>
        <v>938000000</v>
      </c>
      <c r="D378" s="5">
        <f>_xll.SNL.Clients.Office.Excel.Functions.SPG(A378, "IQ_DILUT_EPS_NORM", "CY2023")</f>
        <v>1.8380000000000001</v>
      </c>
      <c r="E378">
        <f t="shared" si="20"/>
        <v>1724044</v>
      </c>
      <c r="F378">
        <f t="shared" si="21"/>
        <v>0.22762661737523104</v>
      </c>
      <c r="G378" t="s">
        <v>380</v>
      </c>
      <c r="H378" s="4" cm="1">
        <f t="array" ref="H378">_xll.SNL.Clients.Office.Excel.Functions.SPG(G378, "SP_TOTAL_REV", "CY2023")</f>
        <v>7574000</v>
      </c>
      <c r="I378" s="4">
        <f>_xll.SNL.Clients.Office.Excel.Functions.SPG(G378,"IQ_AVG_DILUT_SHARES_OUT","CY2023")</f>
        <v>938000000</v>
      </c>
      <c r="J378" s="5">
        <f>_xll.SNL.Clients.Office.Excel.Functions.SPG(G378, "IQ_DILUT_EPS_NORM", "CY2023")</f>
        <v>1.8380000000000001</v>
      </c>
      <c r="K378">
        <f t="shared" si="22"/>
        <v>1724044</v>
      </c>
      <c r="L378">
        <f t="shared" si="23"/>
        <v>0.22762661737523104</v>
      </c>
    </row>
    <row r="379" spans="1:12" x14ac:dyDescent="0.3">
      <c r="A379" t="s">
        <v>381</v>
      </c>
      <c r="B379" s="4" cm="1">
        <f t="array" ref="B379">_xll.SNL.Clients.Office.Excel.Functions.SPG(A379, "SP_TOTAL_REV", "CY2023")</f>
        <v>14964500</v>
      </c>
      <c r="C379" s="4">
        <f>_xll.SNL.Clients.Office.Excel.Functions.SPG(A379,"IQ_AVG_DILUT_SHARES_OUT","CY2023")</f>
        <v>316665000</v>
      </c>
      <c r="D379" s="5">
        <f>_xll.SNL.Clients.Office.Excel.Functions.SPG(A379, "IQ_DILUT_EPS_NORM", "CY2023")</f>
        <v>4.4489999999999998</v>
      </c>
      <c r="E379">
        <f t="shared" si="20"/>
        <v>1408842.585</v>
      </c>
      <c r="F379">
        <f t="shared" si="21"/>
        <v>9.4145650372548365E-2</v>
      </c>
      <c r="G379" t="s">
        <v>381</v>
      </c>
      <c r="H379" s="4" cm="1">
        <f t="array" ref="H379">_xll.SNL.Clients.Office.Excel.Functions.SPG(G379, "SP_TOTAL_REV", "CY2023")</f>
        <v>14964500</v>
      </c>
      <c r="I379" s="4">
        <f>_xll.SNL.Clients.Office.Excel.Functions.SPG(G379,"IQ_AVG_DILUT_SHARES_OUT","CY2023")</f>
        <v>316665000</v>
      </c>
      <c r="J379" s="5">
        <f>_xll.SNL.Clients.Office.Excel.Functions.SPG(G379, "IQ_DILUT_EPS_NORM", "CY2023")</f>
        <v>4.4489999999999998</v>
      </c>
      <c r="K379">
        <f t="shared" si="22"/>
        <v>1408842.585</v>
      </c>
      <c r="L379">
        <f t="shared" si="23"/>
        <v>9.4145650372548365E-2</v>
      </c>
    </row>
    <row r="380" spans="1:12" x14ac:dyDescent="0.3">
      <c r="A380" t="s">
        <v>382</v>
      </c>
      <c r="B380" s="4" cm="1">
        <f t="array" ref="B380">_xll.SNL.Clients.Office.Excel.Functions.SPG(A380, "SP_TOTAL_REV", "CY2023")</f>
        <v>4504077</v>
      </c>
      <c r="C380" s="4">
        <f>_xll.SNL.Clients.Office.Excel.Functions.SPG(A380,"IQ_AVG_DILUT_SHARES_OUT","CY2023")</f>
        <v>147557500</v>
      </c>
      <c r="D380" s="5">
        <f>_xll.SNL.Clients.Office.Excel.Functions.SPG(A380, "IQ_DILUT_EPS_NORM", "CY2023")</f>
        <v>4.8730000000000002</v>
      </c>
      <c r="E380">
        <f t="shared" si="20"/>
        <v>719047.69750000001</v>
      </c>
      <c r="F380">
        <f t="shared" si="21"/>
        <v>0.15964373999378786</v>
      </c>
      <c r="G380" t="s">
        <v>382</v>
      </c>
      <c r="H380" s="4" cm="1">
        <f t="array" ref="H380">_xll.SNL.Clients.Office.Excel.Functions.SPG(G380, "SP_TOTAL_REV", "CY2023")</f>
        <v>4504077</v>
      </c>
      <c r="I380" s="4">
        <f>_xll.SNL.Clients.Office.Excel.Functions.SPG(G380,"IQ_AVG_DILUT_SHARES_OUT","CY2023")</f>
        <v>147557500</v>
      </c>
      <c r="J380" s="5">
        <f>_xll.SNL.Clients.Office.Excel.Functions.SPG(G380, "IQ_DILUT_EPS_NORM", "CY2023")</f>
        <v>4.8730000000000002</v>
      </c>
      <c r="K380">
        <f t="shared" si="22"/>
        <v>719047.69750000001</v>
      </c>
      <c r="L380">
        <f t="shared" si="23"/>
        <v>0.15964373999378786</v>
      </c>
    </row>
    <row r="381" spans="1:12" x14ac:dyDescent="0.3">
      <c r="A381" t="s">
        <v>383</v>
      </c>
      <c r="B381" s="4" cm="1">
        <f t="array" ref="B381">_xll.SNL.Clients.Office.Excel.Functions.SPG(A381, "SP_TOTAL_REV", "CY2023")</f>
        <v>2750571</v>
      </c>
      <c r="C381" s="4">
        <f>_xll.SNL.Clients.Office.Excel.Functions.SPG(A381,"IQ_AVG_DILUT_SHARES_OUT","CY2023")</f>
        <v>124812000</v>
      </c>
      <c r="D381" s="5">
        <f>_xll.SNL.Clients.Office.Excel.Functions.SPG(A381, "IQ_DILUT_EPS_NORM", "CY2023")</f>
        <v>1.7070000000000001</v>
      </c>
      <c r="E381">
        <f t="shared" si="20"/>
        <v>213054.084</v>
      </c>
      <c r="F381">
        <f t="shared" si="21"/>
        <v>7.7458129239347029E-2</v>
      </c>
      <c r="G381" t="s">
        <v>383</v>
      </c>
      <c r="H381" s="4" cm="1">
        <f t="array" ref="H381">_xll.SNL.Clients.Office.Excel.Functions.SPG(G381, "SP_TOTAL_REV", "CY2023")</f>
        <v>2750571</v>
      </c>
      <c r="I381" s="4">
        <f>_xll.SNL.Clients.Office.Excel.Functions.SPG(G381,"IQ_AVG_DILUT_SHARES_OUT","CY2023")</f>
        <v>124812000</v>
      </c>
      <c r="J381" s="5">
        <f>_xll.SNL.Clients.Office.Excel.Functions.SPG(G381, "IQ_DILUT_EPS_NORM", "CY2023")</f>
        <v>1.7070000000000001</v>
      </c>
      <c r="K381">
        <f t="shared" si="22"/>
        <v>213054.084</v>
      </c>
      <c r="L381">
        <f t="shared" si="23"/>
        <v>7.7458129239347029E-2</v>
      </c>
    </row>
    <row r="382" spans="1:12" x14ac:dyDescent="0.3">
      <c r="A382" t="s">
        <v>384</v>
      </c>
      <c r="B382" s="4" cm="1">
        <f t="array" ref="B382">_xll.SNL.Clients.Office.Excel.Functions.SPG(A382, "SP_TOTAL_REV", "CY2023")</f>
        <v>9129100</v>
      </c>
      <c r="C382" s="4">
        <f>_xll.SNL.Clients.Office.Excel.Functions.SPG(A382,"IQ_AVG_DILUT_SHARES_OUT","CY2023")</f>
        <v>115525000</v>
      </c>
      <c r="D382" s="5">
        <f>_xll.SNL.Clients.Office.Excel.Functions.SPG(A382, "IQ_DILUT_EPS_NORM", "CY2023")</f>
        <v>8.5830000000000002</v>
      </c>
      <c r="E382">
        <f t="shared" si="20"/>
        <v>991551.07499999995</v>
      </c>
      <c r="F382">
        <f t="shared" si="21"/>
        <v>0.10861432945197226</v>
      </c>
      <c r="G382" t="s">
        <v>384</v>
      </c>
      <c r="H382" s="4" cm="1">
        <f t="array" ref="H382">_xll.SNL.Clients.Office.Excel.Functions.SPG(G382, "SP_TOTAL_REV", "CY2023")</f>
        <v>9129100</v>
      </c>
      <c r="I382" s="4">
        <f>_xll.SNL.Clients.Office.Excel.Functions.SPG(G382,"IQ_AVG_DILUT_SHARES_OUT","CY2023")</f>
        <v>115525000</v>
      </c>
      <c r="J382" s="5">
        <f>_xll.SNL.Clients.Office.Excel.Functions.SPG(G382, "IQ_DILUT_EPS_NORM", "CY2023")</f>
        <v>8.5830000000000002</v>
      </c>
      <c r="K382">
        <f t="shared" si="22"/>
        <v>991551.07499999995</v>
      </c>
      <c r="L382">
        <f t="shared" si="23"/>
        <v>0.10861432945197226</v>
      </c>
    </row>
    <row r="383" spans="1:12" x14ac:dyDescent="0.3">
      <c r="A383" t="s">
        <v>385</v>
      </c>
      <c r="B383" s="4" cm="1">
        <f t="array" ref="B383">_xll.SNL.Clients.Office.Excel.Functions.SPG(A383, "SP_TOTAL_REV", "CY2023")</f>
        <v>3073278</v>
      </c>
      <c r="C383" s="4">
        <f>_xll.SNL.Clients.Office.Excel.Functions.SPG(A383,"IQ_AVG_DILUT_SHARES_OUT","CY2023")</f>
        <v>490130000</v>
      </c>
      <c r="D383" s="5">
        <f>_xll.SNL.Clients.Office.Excel.Functions.SPG(A383, "IQ_DILUT_EPS_NORM", "CY2023")</f>
        <v>0.73799999999999999</v>
      </c>
      <c r="E383">
        <f t="shared" si="20"/>
        <v>361715.94</v>
      </c>
      <c r="F383">
        <f t="shared" si="21"/>
        <v>0.11769711038181381</v>
      </c>
      <c r="G383" t="s">
        <v>385</v>
      </c>
      <c r="H383" s="4" cm="1">
        <f t="array" ref="H383">_xll.SNL.Clients.Office.Excel.Functions.SPG(G383, "SP_TOTAL_REV", "CY2023")</f>
        <v>3073278</v>
      </c>
      <c r="I383" s="4">
        <f>_xll.SNL.Clients.Office.Excel.Functions.SPG(G383,"IQ_AVG_DILUT_SHARES_OUT","CY2023")</f>
        <v>490130000</v>
      </c>
      <c r="J383" s="5">
        <f>_xll.SNL.Clients.Office.Excel.Functions.SPG(G383, "IQ_DILUT_EPS_NORM", "CY2023")</f>
        <v>0.73799999999999999</v>
      </c>
      <c r="K383">
        <f t="shared" si="22"/>
        <v>361715.94</v>
      </c>
      <c r="L383">
        <f t="shared" si="23"/>
        <v>0.11769711038181381</v>
      </c>
    </row>
    <row r="384" spans="1:12" x14ac:dyDescent="0.3">
      <c r="A384" t="s">
        <v>386</v>
      </c>
      <c r="B384" s="4" cm="1">
        <f t="array" ref="B384">_xll.SNL.Clients.Office.Excel.Functions.SPG(A384, "SP_TOTAL_REV", "CY2023")</f>
        <v>6177800</v>
      </c>
      <c r="C384" s="4">
        <f>_xll.SNL.Clients.Office.Excel.Functions.SPG(A384,"IQ_AVG_DILUT_SHARES_OUT","CY2023")</f>
        <v>107400000</v>
      </c>
      <c r="D384" s="5">
        <f>_xll.SNL.Clients.Office.Excel.Functions.SPG(A384, "IQ_DILUT_EPS_NORM", "CY2023")</f>
        <v>9.1809999999999992</v>
      </c>
      <c r="E384">
        <f t="shared" si="20"/>
        <v>986039.39999999991</v>
      </c>
      <c r="F384">
        <f t="shared" si="21"/>
        <v>0.1596101201074816</v>
      </c>
      <c r="G384" t="s">
        <v>386</v>
      </c>
      <c r="H384" s="4" cm="1">
        <f t="array" ref="H384">_xll.SNL.Clients.Office.Excel.Functions.SPG(G384, "SP_TOTAL_REV", "CY2023")</f>
        <v>6177800</v>
      </c>
      <c r="I384" s="4">
        <f>_xll.SNL.Clients.Office.Excel.Functions.SPG(G384,"IQ_AVG_DILUT_SHARES_OUT","CY2023")</f>
        <v>107400000</v>
      </c>
      <c r="J384" s="5">
        <f>_xll.SNL.Clients.Office.Excel.Functions.SPG(G384, "IQ_DILUT_EPS_NORM", "CY2023")</f>
        <v>9.1809999999999992</v>
      </c>
      <c r="K384">
        <f t="shared" si="22"/>
        <v>986039.39999999991</v>
      </c>
      <c r="L384">
        <f t="shared" si="23"/>
        <v>0.1596101201074816</v>
      </c>
    </row>
    <row r="385" spans="1:12" x14ac:dyDescent="0.3">
      <c r="A385" t="s">
        <v>387</v>
      </c>
      <c r="B385" s="4" cm="1">
        <f t="array" ref="B385">_xll.SNL.Clients.Office.Excel.Functions.SPG(A385, "SP_TOTAL_REV", "CY2023")</f>
        <v>20376941</v>
      </c>
      <c r="C385" s="4">
        <f>_xll.SNL.Clients.Office.Excel.Functions.SPG(A385,"IQ_AVG_DILUT_SHARES_OUT","CY2023")</f>
        <v>337433000</v>
      </c>
      <c r="D385" s="5">
        <f>_xll.SNL.Clients.Office.Excel.Functions.SPG(A385, "IQ_DILUT_EPS_NORM", "CY2023")</f>
        <v>4.5780000000000003</v>
      </c>
      <c r="E385">
        <f t="shared" si="20"/>
        <v>1544768.274</v>
      </c>
      <c r="F385">
        <f t="shared" si="21"/>
        <v>7.5809625890363039E-2</v>
      </c>
      <c r="G385" t="s">
        <v>387</v>
      </c>
      <c r="H385" s="4" cm="1">
        <f t="array" ref="H385">_xll.SNL.Clients.Office.Excel.Functions.SPG(G385, "SP_TOTAL_REV", "CY2023")</f>
        <v>20376941</v>
      </c>
      <c r="I385" s="4">
        <f>_xll.SNL.Clients.Office.Excel.Functions.SPG(G385,"IQ_AVG_DILUT_SHARES_OUT","CY2023")</f>
        <v>337433000</v>
      </c>
      <c r="J385" s="5">
        <f>_xll.SNL.Clients.Office.Excel.Functions.SPG(G385, "IQ_DILUT_EPS_NORM", "CY2023")</f>
        <v>4.5780000000000003</v>
      </c>
      <c r="K385">
        <f t="shared" si="22"/>
        <v>1544768.274</v>
      </c>
      <c r="L385">
        <f t="shared" si="23"/>
        <v>7.5809625890363039E-2</v>
      </c>
    </row>
    <row r="386" spans="1:12" x14ac:dyDescent="0.3">
      <c r="A386" t="s">
        <v>388</v>
      </c>
      <c r="B386" s="4" cm="1">
        <f t="array" ref="B386">_xll.SNL.Clients.Office.Excel.Functions.SPG(A386, "SP_TOTAL_REV", "CY2023")</f>
        <v>13900000</v>
      </c>
      <c r="C386" s="4">
        <f>_xll.SNL.Clients.Office.Excel.Functions.SPG(A386,"IQ_AVG_DILUT_SHARES_OUT","CY2023")</f>
        <v>283000000</v>
      </c>
      <c r="D386" s="5">
        <f>_xll.SNL.Clients.Office.Excel.Functions.SPG(A386, "IQ_DILUT_EPS_NORM", "CY2023")</f>
        <v>3.7869999999999999</v>
      </c>
      <c r="E386">
        <f t="shared" si="20"/>
        <v>1071721</v>
      </c>
      <c r="F386">
        <f t="shared" si="21"/>
        <v>7.7102230215827336E-2</v>
      </c>
      <c r="G386" t="s">
        <v>388</v>
      </c>
      <c r="H386" s="4" cm="1">
        <f t="array" ref="H386">_xll.SNL.Clients.Office.Excel.Functions.SPG(G386, "SP_TOTAL_REV", "CY2023")</f>
        <v>13900000</v>
      </c>
      <c r="I386" s="4">
        <f>_xll.SNL.Clients.Office.Excel.Functions.SPG(G386,"IQ_AVG_DILUT_SHARES_OUT","CY2023")</f>
        <v>283000000</v>
      </c>
      <c r="J386" s="5">
        <f>_xll.SNL.Clients.Office.Excel.Functions.SPG(G386, "IQ_DILUT_EPS_NORM", "CY2023")</f>
        <v>3.7869999999999999</v>
      </c>
      <c r="K386">
        <f t="shared" si="22"/>
        <v>1071721</v>
      </c>
      <c r="L386">
        <f t="shared" si="23"/>
        <v>7.7102230215827336E-2</v>
      </c>
    </row>
    <row r="387" spans="1:12" x14ac:dyDescent="0.3">
      <c r="A387" t="s">
        <v>389</v>
      </c>
      <c r="B387" s="4" cm="1">
        <f t="array" ref="B387">_xll.SNL.Clients.Office.Excel.Functions.SPG(A387, "SP_TOTAL_REV", "CY2023")</f>
        <v>68920000</v>
      </c>
      <c r="C387" s="4">
        <f>_xll.SNL.Clients.Office.Excel.Functions.SPG(A387,"IQ_AVG_DILUT_SHARES_OUT","CY2023")</f>
        <v>1435400000</v>
      </c>
      <c r="D387" s="5">
        <f>_xll.SNL.Clients.Office.Excel.Functions.SPG(A387, "IQ_DILUT_EPS_NORM", "CY2023")</f>
        <v>1.512</v>
      </c>
      <c r="E387">
        <f t="shared" si="20"/>
        <v>2170324.7999999998</v>
      </c>
      <c r="F387">
        <f t="shared" si="21"/>
        <v>3.1490493325594893E-2</v>
      </c>
      <c r="G387" t="s">
        <v>389</v>
      </c>
      <c r="H387" s="4" cm="1">
        <f t="array" ref="H387">_xll.SNL.Clients.Office.Excel.Functions.SPG(G387, "SP_TOTAL_REV", "CY2023")</f>
        <v>68920000</v>
      </c>
      <c r="I387" s="4">
        <f>_xll.SNL.Clients.Office.Excel.Functions.SPG(G387,"IQ_AVG_DILUT_SHARES_OUT","CY2023")</f>
        <v>1435400000</v>
      </c>
      <c r="J387" s="5">
        <f>_xll.SNL.Clients.Office.Excel.Functions.SPG(G387, "IQ_DILUT_EPS_NORM", "CY2023")</f>
        <v>1.512</v>
      </c>
      <c r="K387">
        <f t="shared" si="22"/>
        <v>2170324.7999999998</v>
      </c>
      <c r="L387">
        <f t="shared" si="23"/>
        <v>3.1490493325594893E-2</v>
      </c>
    </row>
    <row r="388" spans="1:12" x14ac:dyDescent="0.3">
      <c r="A388" t="s">
        <v>390</v>
      </c>
      <c r="B388" s="4" cm="1">
        <f t="array" ref="B388">_xll.SNL.Clients.Office.Excel.Functions.SPG(A388, "SP_TOTAL_REV", "CY2023")</f>
        <v>12497000</v>
      </c>
      <c r="C388" s="4">
        <f>_xll.SNL.Clients.Office.Excel.Functions.SPG(A388,"IQ_AVG_DILUT_SHARES_OUT","CY2023")</f>
        <v>318900000</v>
      </c>
      <c r="D388" s="5">
        <f>_xll.SNL.Clients.Office.Excel.Functions.SPG(A388, "IQ_DILUT_EPS_NORM", "CY2023")</f>
        <v>7.5410000000000004</v>
      </c>
      <c r="E388">
        <f t="shared" si="20"/>
        <v>2404824.9</v>
      </c>
      <c r="F388">
        <f t="shared" si="21"/>
        <v>0.1924321757221733</v>
      </c>
      <c r="G388" t="s">
        <v>390</v>
      </c>
      <c r="H388" s="4" cm="1">
        <f t="array" ref="H388">_xll.SNL.Clients.Office.Excel.Functions.SPG(G388, "SP_TOTAL_REV", "CY2023")</f>
        <v>12497000</v>
      </c>
      <c r="I388" s="4">
        <f>_xll.SNL.Clients.Office.Excel.Functions.SPG(G388,"IQ_AVG_DILUT_SHARES_OUT","CY2023")</f>
        <v>318900000</v>
      </c>
      <c r="J388" s="5">
        <f>_xll.SNL.Clients.Office.Excel.Functions.SPG(G388, "IQ_DILUT_EPS_NORM", "CY2023")</f>
        <v>7.5410000000000004</v>
      </c>
      <c r="K388">
        <f t="shared" si="22"/>
        <v>2404824.9</v>
      </c>
      <c r="L388">
        <f t="shared" si="23"/>
        <v>0.1924321757221733</v>
      </c>
    </row>
    <row r="389" spans="1:12" x14ac:dyDescent="0.3">
      <c r="A389" t="s">
        <v>391</v>
      </c>
      <c r="B389" s="4" cm="1">
        <f t="array" ref="B389">_xll.SNL.Clients.Office.Excel.Functions.SPG(A389, "SP_TOTAL_REV", "CY2023")</f>
        <v>34857000</v>
      </c>
      <c r="C389" s="4">
        <f>_xll.SNL.Clients.Office.Excel.Functions.SPG(A389,"IQ_AVG_DILUT_SHARES_OUT","CY2023")</f>
        <v>984000000</v>
      </c>
      <c r="D389" s="5" t="str">
        <f>_xll.SNL.Clients.Office.Excel.Functions.SPG(A389, "IQ_DILUT_EPS_NORM", "CY2023")</f>
        <v>NA</v>
      </c>
      <c r="E389" t="e">
        <f t="shared" ref="E389:E452" si="24">C389*D389/1000</f>
        <v>#VALUE!</v>
      </c>
      <c r="F389" t="e">
        <f t="shared" ref="F389:F452" si="25">E389/B389</f>
        <v>#VALUE!</v>
      </c>
      <c r="G389" t="s">
        <v>391</v>
      </c>
      <c r="H389" s="4" cm="1">
        <f t="array" ref="H389">_xll.SNL.Clients.Office.Excel.Functions.SPG(G389, "SP_TOTAL_REV", "CY2023")</f>
        <v>34857000</v>
      </c>
      <c r="I389" s="4">
        <f>_xll.SNL.Clients.Office.Excel.Functions.SPG(G389,"IQ_AVG_DILUT_SHARES_OUT","CY2023")</f>
        <v>984000000</v>
      </c>
      <c r="J389" s="5" t="str">
        <f>_xll.SNL.Clients.Office.Excel.Functions.SPG(G389, "IQ_DILUT_EPS_NORM", "CY2023")</f>
        <v>NA</v>
      </c>
      <c r="K389" t="e">
        <f t="shared" ref="K389:K452" si="26">I389*J389/1000</f>
        <v>#VALUE!</v>
      </c>
      <c r="L389" t="e">
        <f t="shared" ref="L389:L452" si="27">K389/H389</f>
        <v>#VALUE!</v>
      </c>
    </row>
    <row r="390" spans="1:12" x14ac:dyDescent="0.3">
      <c r="A390" t="s">
        <v>392</v>
      </c>
      <c r="B390" s="4" cm="1">
        <f t="array" ref="B390">_xll.SNL.Clients.Office.Excel.Functions.SPG(A390, "SP_TOTAL_REV", "CY2023")</f>
        <v>2729889</v>
      </c>
      <c r="C390" s="4">
        <f>_xll.SNL.Clients.Office.Excel.Functions.SPG(A390,"IQ_AVG_DILUT_SHARES_OUT","CY2023")</f>
        <v>108907000</v>
      </c>
      <c r="D390" s="5">
        <f>_xll.SNL.Clients.Office.Excel.Functions.SPG(A390, "IQ_DILUT_EPS_NORM", "CY2023")</f>
        <v>4.101</v>
      </c>
      <c r="E390">
        <f t="shared" si="24"/>
        <v>446627.60700000002</v>
      </c>
      <c r="F390">
        <f t="shared" si="25"/>
        <v>0.16360650817670611</v>
      </c>
      <c r="G390" t="s">
        <v>392</v>
      </c>
      <c r="H390" s="4" cm="1">
        <f t="array" ref="H390">_xll.SNL.Clients.Office.Excel.Functions.SPG(G390, "SP_TOTAL_REV", "CY2023")</f>
        <v>2729889</v>
      </c>
      <c r="I390" s="4">
        <f>_xll.SNL.Clients.Office.Excel.Functions.SPG(G390,"IQ_AVG_DILUT_SHARES_OUT","CY2023")</f>
        <v>108907000</v>
      </c>
      <c r="J390" s="5">
        <f>_xll.SNL.Clients.Office.Excel.Functions.SPG(G390, "IQ_DILUT_EPS_NORM", "CY2023")</f>
        <v>4.101</v>
      </c>
      <c r="K390">
        <f t="shared" si="26"/>
        <v>446627.60700000002</v>
      </c>
      <c r="L390">
        <f t="shared" si="27"/>
        <v>0.16360650817670611</v>
      </c>
    </row>
    <row r="391" spans="1:12" x14ac:dyDescent="0.3">
      <c r="A391" t="s">
        <v>393</v>
      </c>
      <c r="B391" s="4" cm="1">
        <f t="array" ref="B391">_xll.SNL.Clients.Office.Excel.Functions.SPG(A391, "SP_TOTAL_REV", "CY2023")</f>
        <v>33135000</v>
      </c>
      <c r="C391" s="4">
        <f>_xll.SNL.Clients.Office.Excel.Functions.SPG(A391,"IQ_AVG_DILUT_SHARES_OUT","CY2023")</f>
        <v>1443000000</v>
      </c>
      <c r="D391" s="5">
        <f>_xll.SNL.Clients.Office.Excel.Functions.SPG(A391, "IQ_DILUT_EPS_NORM", "CY2023")</f>
        <v>2.2469999999999999</v>
      </c>
      <c r="E391">
        <f t="shared" si="24"/>
        <v>3242421</v>
      </c>
      <c r="F391">
        <f t="shared" si="25"/>
        <v>9.7854866455409681E-2</v>
      </c>
      <c r="G391" t="s">
        <v>393</v>
      </c>
      <c r="H391" s="4" cm="1">
        <f t="array" ref="H391">_xll.SNL.Clients.Office.Excel.Functions.SPG(G391, "SP_TOTAL_REV", "CY2023")</f>
        <v>33135000</v>
      </c>
      <c r="I391" s="4">
        <f>_xll.SNL.Clients.Office.Excel.Functions.SPG(G391,"IQ_AVG_DILUT_SHARES_OUT","CY2023")</f>
        <v>1443000000</v>
      </c>
      <c r="J391" s="5">
        <f>_xll.SNL.Clients.Office.Excel.Functions.SPG(G391, "IQ_DILUT_EPS_NORM", "CY2023")</f>
        <v>2.2469999999999999</v>
      </c>
      <c r="K391">
        <f t="shared" si="26"/>
        <v>3242421</v>
      </c>
      <c r="L391">
        <f t="shared" si="27"/>
        <v>9.7854866455409681E-2</v>
      </c>
    </row>
    <row r="392" spans="1:12" x14ac:dyDescent="0.3">
      <c r="A392" t="s">
        <v>394</v>
      </c>
      <c r="B392" s="4" cm="1">
        <f t="array" ref="B392">_xll.SNL.Clients.Office.Excel.Functions.SPG(A392, "SP_TOTAL_REV", "CY2023")</f>
        <v>6471000</v>
      </c>
      <c r="C392" s="4">
        <f>_xll.SNL.Clients.Office.Excel.Functions.SPG(A392,"IQ_AVG_DILUT_SHARES_OUT","CY2023")</f>
        <v>208000000</v>
      </c>
      <c r="D392" s="5">
        <f>_xll.SNL.Clients.Office.Excel.Functions.SPG(A392, "IQ_DILUT_EPS_NORM", "CY2023")</f>
        <v>-1.07</v>
      </c>
      <c r="E392">
        <f t="shared" si="24"/>
        <v>-222560</v>
      </c>
      <c r="F392">
        <f t="shared" si="25"/>
        <v>-3.4393447689692477E-2</v>
      </c>
      <c r="G392" t="s">
        <v>394</v>
      </c>
      <c r="H392" s="4" cm="1">
        <f t="array" ref="H392">_xll.SNL.Clients.Office.Excel.Functions.SPG(G392, "SP_TOTAL_REV", "CY2023")</f>
        <v>6471000</v>
      </c>
      <c r="I392" s="4">
        <f>_xll.SNL.Clients.Office.Excel.Functions.SPG(G392,"IQ_AVG_DILUT_SHARES_OUT","CY2023")</f>
        <v>208000000</v>
      </c>
      <c r="J392" s="5">
        <f>_xll.SNL.Clients.Office.Excel.Functions.SPG(G392, "IQ_DILUT_EPS_NORM", "CY2023")</f>
        <v>-1.07</v>
      </c>
      <c r="K392">
        <f t="shared" si="26"/>
        <v>-222560</v>
      </c>
      <c r="L392">
        <f t="shared" si="27"/>
        <v>-3.4393447689692477E-2</v>
      </c>
    </row>
    <row r="393" spans="1:12" x14ac:dyDescent="0.3">
      <c r="A393" t="s">
        <v>395</v>
      </c>
      <c r="B393" s="4" cm="1">
        <f t="array" ref="B393">_xll.SNL.Clients.Office.Excel.Functions.SPG(A393, "SP_TOTAL_REV", "CY2023")</f>
        <v>16720000</v>
      </c>
      <c r="C393" s="4">
        <f>_xll.SNL.Clients.Office.Excel.Functions.SPG(A393,"IQ_AVG_DILUT_SHARES_OUT","CY2023")</f>
        <v>632733000</v>
      </c>
      <c r="D393" s="5">
        <f>_xll.SNL.Clients.Office.Excel.Functions.SPG(A393, "IQ_DILUT_EPS_NORM", "CY2023")</f>
        <v>3.198</v>
      </c>
      <c r="E393">
        <f t="shared" si="24"/>
        <v>2023480.1340000001</v>
      </c>
      <c r="F393">
        <f t="shared" si="25"/>
        <v>0.12102153911483254</v>
      </c>
      <c r="G393" t="s">
        <v>395</v>
      </c>
      <c r="H393" s="4" cm="1">
        <f t="array" ref="H393">_xll.SNL.Clients.Office.Excel.Functions.SPG(G393, "SP_TOTAL_REV", "CY2023")</f>
        <v>16720000</v>
      </c>
      <c r="I393" s="4">
        <f>_xll.SNL.Clients.Office.Excel.Functions.SPG(G393,"IQ_AVG_DILUT_SHARES_OUT","CY2023")</f>
        <v>632733000</v>
      </c>
      <c r="J393" s="5">
        <f>_xll.SNL.Clients.Office.Excel.Functions.SPG(G393, "IQ_DILUT_EPS_NORM", "CY2023")</f>
        <v>3.198</v>
      </c>
      <c r="K393">
        <f t="shared" si="26"/>
        <v>2023480.1340000001</v>
      </c>
      <c r="L393">
        <f t="shared" si="27"/>
        <v>0.12102153911483254</v>
      </c>
    </row>
    <row r="394" spans="1:12" x14ac:dyDescent="0.3">
      <c r="A394" t="s">
        <v>396</v>
      </c>
      <c r="B394" s="4" cm="1">
        <f t="array" ref="B394">_xll.SNL.Clients.Office.Excel.Functions.SPG(A394, "SP_TOTAL_REV", "CY2023")</f>
        <v>8971000</v>
      </c>
      <c r="C394" s="4">
        <f>_xll.SNL.Clients.Office.Excel.Functions.SPG(A394,"IQ_AVG_DILUT_SHARES_OUT","CY2023")</f>
        <v>205591000</v>
      </c>
      <c r="D394" s="5">
        <f>_xll.SNL.Clients.Office.Excel.Functions.SPG(A394, "IQ_DILUT_EPS_NORM", "CY2023")</f>
        <v>3.0640000000000001</v>
      </c>
      <c r="E394">
        <f t="shared" si="24"/>
        <v>629930.82400000002</v>
      </c>
      <c r="F394">
        <f t="shared" si="25"/>
        <v>7.0218573626128641E-2</v>
      </c>
      <c r="G394" t="s">
        <v>396</v>
      </c>
      <c r="H394" s="4" cm="1">
        <f t="array" ref="H394">_xll.SNL.Clients.Office.Excel.Functions.SPG(G394, "SP_TOTAL_REV", "CY2023")</f>
        <v>8971000</v>
      </c>
      <c r="I394" s="4">
        <f>_xll.SNL.Clients.Office.Excel.Functions.SPG(G394,"IQ_AVG_DILUT_SHARES_OUT","CY2023")</f>
        <v>205591000</v>
      </c>
      <c r="J394" s="5">
        <f>_xll.SNL.Clients.Office.Excel.Functions.SPG(G394, "IQ_DILUT_EPS_NORM", "CY2023")</f>
        <v>3.0640000000000001</v>
      </c>
      <c r="K394">
        <f t="shared" si="26"/>
        <v>629930.82400000002</v>
      </c>
      <c r="L394">
        <f t="shared" si="27"/>
        <v>7.0218573626128641E-2</v>
      </c>
    </row>
    <row r="395" spans="1:12" x14ac:dyDescent="0.3">
      <c r="A395" t="s">
        <v>397</v>
      </c>
      <c r="B395" s="4" cm="1">
        <f t="array" ref="B395">_xll.SNL.Clients.Office.Excel.Functions.SPG(A395, "SP_TOTAL_REV", "CY2023")</f>
        <v>6027849</v>
      </c>
      <c r="C395" s="4">
        <f>_xll.SNL.Clients.Office.Excel.Functions.SPG(A395,"IQ_AVG_DILUT_SHARES_OUT","CY2023")</f>
        <v>326807326</v>
      </c>
      <c r="D395" s="5">
        <f>_xll.SNL.Clients.Office.Excel.Functions.SPG(A395, "IQ_DILUT_EPS_NORM", "CY2023")</f>
        <v>3.431</v>
      </c>
      <c r="E395">
        <f t="shared" si="24"/>
        <v>1121275.935506</v>
      </c>
      <c r="F395">
        <f t="shared" si="25"/>
        <v>0.18601592964687735</v>
      </c>
      <c r="G395" t="s">
        <v>397</v>
      </c>
      <c r="H395" s="4" cm="1">
        <f t="array" ref="H395">_xll.SNL.Clients.Office.Excel.Functions.SPG(G395, "SP_TOTAL_REV", "CY2023")</f>
        <v>6027849</v>
      </c>
      <c r="I395" s="4">
        <f>_xll.SNL.Clients.Office.Excel.Functions.SPG(G395,"IQ_AVG_DILUT_SHARES_OUT","CY2023")</f>
        <v>326807326</v>
      </c>
      <c r="J395" s="5">
        <f>_xll.SNL.Clients.Office.Excel.Functions.SPG(G395, "IQ_DILUT_EPS_NORM", "CY2023")</f>
        <v>3.431</v>
      </c>
      <c r="K395">
        <f t="shared" si="26"/>
        <v>1121275.935506</v>
      </c>
      <c r="L395">
        <f t="shared" si="27"/>
        <v>0.18601592964687735</v>
      </c>
    </row>
    <row r="396" spans="1:12" x14ac:dyDescent="0.3">
      <c r="A396" t="s">
        <v>398</v>
      </c>
      <c r="B396" s="4" cm="1">
        <f t="array" ref="B396">_xll.SNL.Clients.Office.Excel.Functions.SPG(A396, "SP_TOTAL_REV", "CY2023")</f>
        <v>4644600</v>
      </c>
      <c r="C396" s="4">
        <f>_xll.SNL.Clients.Office.Excel.Functions.SPG(A396,"IQ_AVG_DILUT_SHARES_OUT","CY2023")</f>
        <v>160500000</v>
      </c>
      <c r="D396" s="5">
        <f>_xll.SNL.Clients.Office.Excel.Functions.SPG(A396, "IQ_DILUT_EPS_NORM", "CY2023")</f>
        <v>3.9870000000000001</v>
      </c>
      <c r="E396">
        <f t="shared" si="24"/>
        <v>639913.5</v>
      </c>
      <c r="F396">
        <f t="shared" si="25"/>
        <v>0.13777580415966928</v>
      </c>
      <c r="G396" t="s">
        <v>398</v>
      </c>
      <c r="H396" s="4" cm="1">
        <f t="array" ref="H396">_xll.SNL.Clients.Office.Excel.Functions.SPG(G396, "SP_TOTAL_REV", "CY2023")</f>
        <v>4644600</v>
      </c>
      <c r="I396" s="4">
        <f>_xll.SNL.Clients.Office.Excel.Functions.SPG(G396,"IQ_AVG_DILUT_SHARES_OUT","CY2023")</f>
        <v>160500000</v>
      </c>
      <c r="J396" s="5">
        <f>_xll.SNL.Clients.Office.Excel.Functions.SPG(G396, "IQ_DILUT_EPS_NORM", "CY2023")</f>
        <v>3.9870000000000001</v>
      </c>
      <c r="K396">
        <f t="shared" si="26"/>
        <v>639913.5</v>
      </c>
      <c r="L396">
        <f t="shared" si="27"/>
        <v>0.13777580415966928</v>
      </c>
    </row>
    <row r="397" spans="1:12" x14ac:dyDescent="0.3">
      <c r="A397" t="s">
        <v>399</v>
      </c>
      <c r="B397" s="4" cm="1">
        <f t="array" ref="B397">_xll.SNL.Clients.Office.Excel.Functions.SPG(A397, "SP_TOTAL_REV", "CY2023")</f>
        <v>12093000</v>
      </c>
      <c r="C397" s="4">
        <f>_xll.SNL.Clients.Office.Excel.Functions.SPG(A397,"IQ_AVG_DILUT_SHARES_OUT","CY2023")</f>
        <v>260342615</v>
      </c>
      <c r="D397" s="5">
        <f>_xll.SNL.Clients.Office.Excel.Functions.SPG(A397, "IQ_DILUT_EPS_NORM", "CY2023")</f>
        <v>3.052</v>
      </c>
      <c r="E397">
        <f t="shared" si="24"/>
        <v>794565.66098000004</v>
      </c>
      <c r="F397">
        <f t="shared" si="25"/>
        <v>6.5704594474489383E-2</v>
      </c>
      <c r="G397" t="s">
        <v>399</v>
      </c>
      <c r="H397" s="4" cm="1">
        <f t="array" ref="H397">_xll.SNL.Clients.Office.Excel.Functions.SPG(G397, "SP_TOTAL_REV", "CY2023")</f>
        <v>12093000</v>
      </c>
      <c r="I397" s="4">
        <f>_xll.SNL.Clients.Office.Excel.Functions.SPG(G397,"IQ_AVG_DILUT_SHARES_OUT","CY2023")</f>
        <v>260342615</v>
      </c>
      <c r="J397" s="5">
        <f>_xll.SNL.Clients.Office.Excel.Functions.SPG(G397, "IQ_DILUT_EPS_NORM", "CY2023")</f>
        <v>3.052</v>
      </c>
      <c r="K397">
        <f t="shared" si="26"/>
        <v>794565.66098000004</v>
      </c>
      <c r="L397">
        <f t="shared" si="27"/>
        <v>6.5704594474489383E-2</v>
      </c>
    </row>
    <row r="398" spans="1:12" x14ac:dyDescent="0.3">
      <c r="A398" t="s">
        <v>400</v>
      </c>
      <c r="B398" s="4" cm="1">
        <f t="array" ref="B398">_xll.SNL.Clients.Office.Excel.Functions.SPG(A398, "SP_TOTAL_REV", "CY2023")</f>
        <v>5108300</v>
      </c>
      <c r="C398" s="4">
        <f>_xll.SNL.Clients.Office.Excel.Functions.SPG(A398,"IQ_AVG_DILUT_SHARES_OUT","CY2023")</f>
        <v>53900000</v>
      </c>
      <c r="D398" s="5">
        <f>_xll.SNL.Clients.Office.Excel.Functions.SPG(A398, "IQ_DILUT_EPS_NORM", "CY2023")</f>
        <v>14.962999999999999</v>
      </c>
      <c r="E398">
        <f t="shared" si="24"/>
        <v>806505.7</v>
      </c>
      <c r="F398">
        <f t="shared" si="25"/>
        <v>0.15788142826380597</v>
      </c>
      <c r="G398" t="s">
        <v>400</v>
      </c>
      <c r="H398" s="4" cm="1">
        <f t="array" ref="H398">_xll.SNL.Clients.Office.Excel.Functions.SPG(G398, "SP_TOTAL_REV", "CY2023")</f>
        <v>5108300</v>
      </c>
      <c r="I398" s="4">
        <f>_xll.SNL.Clients.Office.Excel.Functions.SPG(G398,"IQ_AVG_DILUT_SHARES_OUT","CY2023")</f>
        <v>53900000</v>
      </c>
      <c r="J398" s="5">
        <f>_xll.SNL.Clients.Office.Excel.Functions.SPG(G398, "IQ_DILUT_EPS_NORM", "CY2023")</f>
        <v>14.962999999999999</v>
      </c>
      <c r="K398">
        <f t="shared" si="26"/>
        <v>806505.7</v>
      </c>
      <c r="L398">
        <f t="shared" si="27"/>
        <v>0.15788142826380597</v>
      </c>
    </row>
    <row r="399" spans="1:12" x14ac:dyDescent="0.3">
      <c r="A399" t="s">
        <v>401</v>
      </c>
      <c r="B399" s="4" cm="1">
        <f t="array" ref="B399">_xll.SNL.Clients.Office.Excel.Functions.SPG(A399, "SP_TOTAL_REV", "CY2023")</f>
        <v>8197000</v>
      </c>
      <c r="C399" s="4" t="str">
        <f>_xll.SNL.Clients.Office.Excel.Functions.SPG(A399,"IQ_AVG_DILUT_SHARES_OUT","CY2023")</f>
        <v>NA</v>
      </c>
      <c r="D399" s="5" t="str">
        <f>_xll.SNL.Clients.Office.Excel.Functions.SPG(A399, "IQ_DILUT_EPS_NORM", "CY2023")</f>
        <v>NA</v>
      </c>
      <c r="E399" t="e">
        <f t="shared" si="24"/>
        <v>#VALUE!</v>
      </c>
      <c r="F399" t="e">
        <f t="shared" si="25"/>
        <v>#VALUE!</v>
      </c>
      <c r="G399" t="s">
        <v>401</v>
      </c>
      <c r="H399" s="4" cm="1">
        <f t="array" ref="H399">_xll.SNL.Clients.Office.Excel.Functions.SPG(G399, "SP_TOTAL_REV", "CY2023")</f>
        <v>8197000</v>
      </c>
      <c r="I399" s="4" t="str">
        <f>_xll.SNL.Clients.Office.Excel.Functions.SPG(G399,"IQ_AVG_DILUT_SHARES_OUT","CY2023")</f>
        <v>NA</v>
      </c>
      <c r="J399" s="5" t="str">
        <f>_xll.SNL.Clients.Office.Excel.Functions.SPG(G399, "IQ_DILUT_EPS_NORM", "CY2023")</f>
        <v>NA</v>
      </c>
      <c r="K399" t="e">
        <f t="shared" si="26"/>
        <v>#VALUE!</v>
      </c>
      <c r="L399" t="e">
        <f t="shared" si="27"/>
        <v>#VALUE!</v>
      </c>
    </row>
    <row r="400" spans="1:12" x14ac:dyDescent="0.3">
      <c r="A400" t="s">
        <v>402</v>
      </c>
      <c r="B400" s="4" cm="1">
        <f t="array" ref="B400">_xll.SNL.Clients.Office.Excel.Functions.SPG(A400, "SP_TOTAL_REV", "CY2023")</f>
        <v>26091000</v>
      </c>
      <c r="C400" s="4">
        <f>_xll.SNL.Clients.Office.Excel.Functions.SPG(A400,"IQ_AVG_DILUT_SHARES_OUT","CY2023")</f>
        <v>640000000</v>
      </c>
      <c r="D400" s="5">
        <f>_xll.SNL.Clients.Office.Excel.Functions.SPG(A400, "IQ_DILUT_EPS_NORM", "CY2023")</f>
        <v>1.2390000000000001</v>
      </c>
      <c r="E400">
        <f t="shared" si="24"/>
        <v>792960.00000000012</v>
      </c>
      <c r="F400">
        <f t="shared" si="25"/>
        <v>3.0392089226169948E-2</v>
      </c>
      <c r="G400" t="s">
        <v>402</v>
      </c>
      <c r="H400" s="4" cm="1">
        <f t="array" ref="H400">_xll.SNL.Clients.Office.Excel.Functions.SPG(G400, "SP_TOTAL_REV", "CY2023")</f>
        <v>26091000</v>
      </c>
      <c r="I400" s="4">
        <f>_xll.SNL.Clients.Office.Excel.Functions.SPG(G400,"IQ_AVG_DILUT_SHARES_OUT","CY2023")</f>
        <v>640000000</v>
      </c>
      <c r="J400" s="5">
        <f>_xll.SNL.Clients.Office.Excel.Functions.SPG(G400, "IQ_DILUT_EPS_NORM", "CY2023")</f>
        <v>1.2390000000000001</v>
      </c>
      <c r="K400">
        <f t="shared" si="26"/>
        <v>792960.00000000012</v>
      </c>
      <c r="L400">
        <f t="shared" si="27"/>
        <v>3.0392089226169948E-2</v>
      </c>
    </row>
    <row r="401" spans="1:12" x14ac:dyDescent="0.3">
      <c r="A401" t="s">
        <v>403</v>
      </c>
      <c r="B401" s="4" cm="1">
        <f t="array" ref="B401">_xll.SNL.Clients.Office.Excel.Functions.SPG(A401, "SP_TOTAL_REV", "CY2023")</f>
        <v>15781100</v>
      </c>
      <c r="C401" s="4">
        <f>_xll.SNL.Clients.Office.Excel.Functions.SPG(A401,"IQ_AVG_DILUT_SHARES_OUT","CY2023")</f>
        <v>149751000</v>
      </c>
      <c r="D401" s="5">
        <f>_xll.SNL.Clients.Office.Excel.Functions.SPG(A401, "IQ_DILUT_EPS_NORM", "CY2023")</f>
        <v>0.89400000000000002</v>
      </c>
      <c r="E401">
        <f t="shared" si="24"/>
        <v>133877.394</v>
      </c>
      <c r="F401">
        <f t="shared" si="25"/>
        <v>8.4834006501447942E-3</v>
      </c>
      <c r="G401" t="s">
        <v>403</v>
      </c>
      <c r="H401" s="4" cm="1">
        <f t="array" ref="H401">_xll.SNL.Clients.Office.Excel.Functions.SPG(G401, "SP_TOTAL_REV", "CY2023")</f>
        <v>15781100</v>
      </c>
      <c r="I401" s="4">
        <f>_xll.SNL.Clients.Office.Excel.Functions.SPG(G401,"IQ_AVG_DILUT_SHARES_OUT","CY2023")</f>
        <v>149751000</v>
      </c>
      <c r="J401" s="5">
        <f>_xll.SNL.Clients.Office.Excel.Functions.SPG(G401, "IQ_DILUT_EPS_NORM", "CY2023")</f>
        <v>0.89400000000000002</v>
      </c>
      <c r="K401">
        <f t="shared" si="26"/>
        <v>133877.394</v>
      </c>
      <c r="L401">
        <f t="shared" si="27"/>
        <v>8.4834006501447942E-3</v>
      </c>
    </row>
    <row r="402" spans="1:12" x14ac:dyDescent="0.3">
      <c r="A402" t="s">
        <v>404</v>
      </c>
      <c r="B402" s="4" cm="1">
        <f t="array" ref="B402">_xll.SNL.Clients.Office.Excel.Functions.SPG(A402, "SP_TOTAL_REV", "CY2023")</f>
        <v>36687000</v>
      </c>
      <c r="C402" s="4">
        <f>_xll.SNL.Clients.Office.Excel.Functions.SPG(A402,"IQ_AVG_DILUT_SHARES_OUT","CY2023")</f>
        <v>1148225000</v>
      </c>
      <c r="D402" s="5">
        <f>_xll.SNL.Clients.Office.Excel.Functions.SPG(A402, "IQ_DILUT_EPS_NORM", "CY2023")</f>
        <v>3.0459999999999998</v>
      </c>
      <c r="E402">
        <f t="shared" si="24"/>
        <v>3497493.35</v>
      </c>
      <c r="F402">
        <f t="shared" si="25"/>
        <v>9.5333315615885733E-2</v>
      </c>
      <c r="G402" t="s">
        <v>404</v>
      </c>
      <c r="H402" s="4" cm="1">
        <f t="array" ref="H402">_xll.SNL.Clients.Office.Excel.Functions.SPG(G402, "SP_TOTAL_REV", "CY2023")</f>
        <v>36687000</v>
      </c>
      <c r="I402" s="4">
        <f>_xll.SNL.Clients.Office.Excel.Functions.SPG(G402,"IQ_AVG_DILUT_SHARES_OUT","CY2023")</f>
        <v>1148225000</v>
      </c>
      <c r="J402" s="5">
        <f>_xll.SNL.Clients.Office.Excel.Functions.SPG(G402, "IQ_DILUT_EPS_NORM", "CY2023")</f>
        <v>3.0459999999999998</v>
      </c>
      <c r="K402">
        <f t="shared" si="26"/>
        <v>3497493.35</v>
      </c>
      <c r="L402">
        <f t="shared" si="27"/>
        <v>9.5333315615885733E-2</v>
      </c>
    </row>
    <row r="403" spans="1:12" x14ac:dyDescent="0.3">
      <c r="A403" t="s">
        <v>405</v>
      </c>
      <c r="B403" s="4" cm="1">
        <f t="array" ref="B403">_xll.SNL.Clients.Office.Excel.Functions.SPG(A403, "SP_TOTAL_REV", "CY2023")</f>
        <v>11899000</v>
      </c>
      <c r="C403" s="4">
        <f>_xll.SNL.Clients.Office.Excel.Functions.SPG(A403,"IQ_AVG_DILUT_SHARES_OUT","CY2023")</f>
        <v>326568000</v>
      </c>
      <c r="D403" s="5">
        <f>_xll.SNL.Clients.Office.Excel.Functions.SPG(A403, "IQ_DILUT_EPS_NORM", "CY2023")</f>
        <v>4.7919999999999998</v>
      </c>
      <c r="E403">
        <f t="shared" si="24"/>
        <v>1564913.8559999999</v>
      </c>
      <c r="F403">
        <f t="shared" si="25"/>
        <v>0.13151641785023951</v>
      </c>
      <c r="G403" t="s">
        <v>405</v>
      </c>
      <c r="H403" s="4" cm="1">
        <f t="array" ref="H403">_xll.SNL.Clients.Office.Excel.Functions.SPG(G403, "SP_TOTAL_REV", "CY2023")</f>
        <v>11899000</v>
      </c>
      <c r="I403" s="4">
        <f>_xll.SNL.Clients.Office.Excel.Functions.SPG(G403,"IQ_AVG_DILUT_SHARES_OUT","CY2023")</f>
        <v>326568000</v>
      </c>
      <c r="J403" s="5">
        <f>_xll.SNL.Clients.Office.Excel.Functions.SPG(G403, "IQ_DILUT_EPS_NORM", "CY2023")</f>
        <v>4.7919999999999998</v>
      </c>
      <c r="K403">
        <f t="shared" si="26"/>
        <v>1564913.8559999999</v>
      </c>
      <c r="L403">
        <f t="shared" si="27"/>
        <v>0.13151641785023951</v>
      </c>
    </row>
    <row r="404" spans="1:12" x14ac:dyDescent="0.3">
      <c r="A404" t="s">
        <v>406</v>
      </c>
      <c r="B404" s="4" cm="1">
        <f t="array" ref="B404">_xll.SNL.Clients.Office.Excel.Functions.SPG(A404, "SP_TOTAL_REV", "CY2023")</f>
        <v>18795316</v>
      </c>
      <c r="C404" s="4">
        <f>_xll.SNL.Clients.Office.Excel.Functions.SPG(A404,"IQ_AVG_DILUT_SHARES_OUT","CY2023")</f>
        <v>167431000</v>
      </c>
      <c r="D404" s="5">
        <f>_xll.SNL.Clients.Office.Excel.Functions.SPG(A404, "IQ_DILUT_EPS_NORM", "CY2023")</f>
        <v>11.917999999999999</v>
      </c>
      <c r="E404">
        <f t="shared" si="24"/>
        <v>1995442.6579999998</v>
      </c>
      <c r="F404">
        <f t="shared" si="25"/>
        <v>0.10616701831456304</v>
      </c>
      <c r="G404" t="s">
        <v>406</v>
      </c>
      <c r="H404" s="4" cm="1">
        <f t="array" ref="H404">_xll.SNL.Clients.Office.Excel.Functions.SPG(G404, "SP_TOTAL_REV", "CY2023")</f>
        <v>18795316</v>
      </c>
      <c r="I404" s="4">
        <f>_xll.SNL.Clients.Office.Excel.Functions.SPG(G404,"IQ_AVG_DILUT_SHARES_OUT","CY2023")</f>
        <v>167431000</v>
      </c>
      <c r="J404" s="5">
        <f>_xll.SNL.Clients.Office.Excel.Functions.SPG(G404, "IQ_DILUT_EPS_NORM", "CY2023")</f>
        <v>11.917999999999999</v>
      </c>
      <c r="K404">
        <f t="shared" si="26"/>
        <v>1995442.6579999998</v>
      </c>
      <c r="L404">
        <f t="shared" si="27"/>
        <v>0.10616701831456304</v>
      </c>
    </row>
    <row r="405" spans="1:12" x14ac:dyDescent="0.3">
      <c r="A405" t="s">
        <v>407</v>
      </c>
      <c r="B405" s="4" cm="1">
        <f t="array" ref="B405">_xll.SNL.Clients.Office.Excel.Functions.SPG(A405, "SP_TOTAL_REV", "CY2023")</f>
        <v>4780499</v>
      </c>
      <c r="C405" s="4">
        <f>_xll.SNL.Clients.Office.Excel.Functions.SPG(A405,"IQ_AVG_DILUT_SHARES_OUT","CY2023")</f>
        <v>99804426</v>
      </c>
      <c r="D405" s="5">
        <f>_xll.SNL.Clients.Office.Excel.Functions.SPG(A405, "IQ_DILUT_EPS_NORM", "CY2023")</f>
        <v>4.7130000000000001</v>
      </c>
      <c r="E405">
        <f t="shared" si="24"/>
        <v>470378.25973800005</v>
      </c>
      <c r="F405">
        <f t="shared" si="25"/>
        <v>9.8395221866587584E-2</v>
      </c>
      <c r="G405" t="s">
        <v>407</v>
      </c>
      <c r="H405" s="4" cm="1">
        <f t="array" ref="H405">_xll.SNL.Clients.Office.Excel.Functions.SPG(G405, "SP_TOTAL_REV", "CY2023")</f>
        <v>4780499</v>
      </c>
      <c r="I405" s="4">
        <f>_xll.SNL.Clients.Office.Excel.Functions.SPG(G405,"IQ_AVG_DILUT_SHARES_OUT","CY2023")</f>
        <v>99804426</v>
      </c>
      <c r="J405" s="5">
        <f>_xll.SNL.Clients.Office.Excel.Functions.SPG(G405, "IQ_DILUT_EPS_NORM", "CY2023")</f>
        <v>4.7130000000000001</v>
      </c>
      <c r="K405">
        <f t="shared" si="26"/>
        <v>470378.25973800005</v>
      </c>
      <c r="L405">
        <f t="shared" si="27"/>
        <v>9.8395221866587584E-2</v>
      </c>
    </row>
    <row r="406" spans="1:12" x14ac:dyDescent="0.3">
      <c r="A406" t="s">
        <v>408</v>
      </c>
      <c r="B406" s="4" cm="1">
        <f t="array" ref="B406">_xll.SNL.Clients.Office.Excel.Functions.SPG(A406, "SP_TOTAL_REV", "CY2023")</f>
        <v>20498000</v>
      </c>
      <c r="C406" s="4">
        <f>_xll.SNL.Clients.Office.Excel.Functions.SPG(A406,"IQ_AVG_DILUT_SHARES_OUT","CY2023")</f>
        <v>383700000</v>
      </c>
      <c r="D406" s="5">
        <f>_xll.SNL.Clients.Office.Excel.Functions.SPG(A406, "IQ_DILUT_EPS_NORM", "CY2023")</f>
        <v>6.38</v>
      </c>
      <c r="E406">
        <f t="shared" si="24"/>
        <v>2448006</v>
      </c>
      <c r="F406">
        <f t="shared" si="25"/>
        <v>0.11942657820275149</v>
      </c>
      <c r="G406" t="s">
        <v>408</v>
      </c>
      <c r="H406" s="4" cm="1">
        <f t="array" ref="H406">_xll.SNL.Clients.Office.Excel.Functions.SPG(G406, "SP_TOTAL_REV", "CY2023")</f>
        <v>20498000</v>
      </c>
      <c r="I406" s="4">
        <f>_xll.SNL.Clients.Office.Excel.Functions.SPG(G406,"IQ_AVG_DILUT_SHARES_OUT","CY2023")</f>
        <v>383700000</v>
      </c>
      <c r="J406" s="5">
        <f>_xll.SNL.Clients.Office.Excel.Functions.SPG(G406, "IQ_DILUT_EPS_NORM", "CY2023")</f>
        <v>6.38</v>
      </c>
      <c r="K406">
        <f t="shared" si="26"/>
        <v>2448006</v>
      </c>
      <c r="L406">
        <f t="shared" si="27"/>
        <v>0.11942657820275149</v>
      </c>
    </row>
    <row r="407" spans="1:12" x14ac:dyDescent="0.3">
      <c r="A407" t="s">
        <v>409</v>
      </c>
      <c r="B407" s="4" cm="1">
        <f t="array" ref="B407">_xll.SNL.Clients.Office.Excel.Functions.SPG(A407, "SP_TOTAL_REV", "CY2023")</f>
        <v>9252753</v>
      </c>
      <c r="C407" s="4">
        <f>_xll.SNL.Clients.Office.Excel.Functions.SPG(A407,"IQ_AVG_DILUT_SHARES_OUT","CY2023")</f>
        <v>570725000</v>
      </c>
      <c r="D407" s="5">
        <f>_xll.SNL.Clients.Office.Excel.Functions.SPG(A407, "IQ_DILUT_EPS_NORM", "CY2023")</f>
        <v>0.94099999999999995</v>
      </c>
      <c r="E407">
        <f t="shared" si="24"/>
        <v>537052.22499999998</v>
      </c>
      <c r="F407">
        <f t="shared" si="25"/>
        <v>5.8042425319253632E-2</v>
      </c>
      <c r="G407" t="s">
        <v>409</v>
      </c>
      <c r="H407" s="4" cm="1">
        <f t="array" ref="H407">_xll.SNL.Clients.Office.Excel.Functions.SPG(G407, "SP_TOTAL_REV", "CY2023")</f>
        <v>9252753</v>
      </c>
      <c r="I407" s="4">
        <f>_xll.SNL.Clients.Office.Excel.Functions.SPG(G407,"IQ_AVG_DILUT_SHARES_OUT","CY2023")</f>
        <v>570725000</v>
      </c>
      <c r="J407" s="5">
        <f>_xll.SNL.Clients.Office.Excel.Functions.SPG(G407, "IQ_DILUT_EPS_NORM", "CY2023")</f>
        <v>0.94099999999999995</v>
      </c>
      <c r="K407">
        <f t="shared" si="26"/>
        <v>537052.22499999998</v>
      </c>
      <c r="L407">
        <f t="shared" si="27"/>
        <v>5.8042425319253632E-2</v>
      </c>
    </row>
    <row r="408" spans="1:12" x14ac:dyDescent="0.3">
      <c r="A408" t="s">
        <v>410</v>
      </c>
      <c r="B408" s="4" cm="1">
        <f t="array" ref="B408">_xll.SNL.Clients.Office.Excel.Functions.SPG(A408, "SP_TOTAL_REV", "CY2023")</f>
        <v>7662000</v>
      </c>
      <c r="C408" s="4">
        <f>_xll.SNL.Clients.Office.Excel.Functions.SPG(A408,"IQ_AVG_DILUT_SHARES_OUT","CY2023")</f>
        <v>423500000</v>
      </c>
      <c r="D408" s="5">
        <f>_xll.SNL.Clients.Office.Excel.Functions.SPG(A408, "IQ_DILUT_EPS_NORM", "CY2023")</f>
        <v>4.774</v>
      </c>
      <c r="E408">
        <f t="shared" si="24"/>
        <v>2021789</v>
      </c>
      <c r="F408">
        <f t="shared" si="25"/>
        <v>0.26387222657269643</v>
      </c>
      <c r="G408" t="s">
        <v>410</v>
      </c>
      <c r="H408" s="4" cm="1">
        <f t="array" ref="H408">_xll.SNL.Clients.Office.Excel.Functions.SPG(G408, "SP_TOTAL_REV", "CY2023")</f>
        <v>7662000</v>
      </c>
      <c r="I408" s="4">
        <f>_xll.SNL.Clients.Office.Excel.Functions.SPG(G408,"IQ_AVG_DILUT_SHARES_OUT","CY2023")</f>
        <v>423500000</v>
      </c>
      <c r="J408" s="5">
        <f>_xll.SNL.Clients.Office.Excel.Functions.SPG(G408, "IQ_DILUT_EPS_NORM", "CY2023")</f>
        <v>4.774</v>
      </c>
      <c r="K408">
        <f t="shared" si="26"/>
        <v>2021789</v>
      </c>
      <c r="L408">
        <f t="shared" si="27"/>
        <v>0.26387222657269643</v>
      </c>
    </row>
    <row r="409" spans="1:12" x14ac:dyDescent="0.3">
      <c r="A409" t="s">
        <v>411</v>
      </c>
      <c r="B409" s="4" cm="1">
        <f t="array" ref="B409">_xll.SNL.Clients.Office.Excel.Functions.SPG(A409, "SP_TOTAL_REV", "CY2023")</f>
        <v>6120111</v>
      </c>
      <c r="C409" s="4">
        <f>_xll.SNL.Clients.Office.Excel.Functions.SPG(A409,"IQ_AVG_DILUT_SHARES_OUT","CY2023")</f>
        <v>155218000</v>
      </c>
      <c r="D409" s="5">
        <f>_xll.SNL.Clients.Office.Excel.Functions.SPG(A409, "IQ_DILUT_EPS_NORM", "CY2023")</f>
        <v>5.9690000000000003</v>
      </c>
      <c r="E409">
        <f t="shared" si="24"/>
        <v>926496.24199999997</v>
      </c>
      <c r="F409">
        <f t="shared" si="25"/>
        <v>0.1513855291186712</v>
      </c>
      <c r="G409" t="s">
        <v>411</v>
      </c>
      <c r="H409" s="4" cm="1">
        <f t="array" ref="H409">_xll.SNL.Clients.Office.Excel.Functions.SPG(G409, "SP_TOTAL_REV", "CY2023")</f>
        <v>6120111</v>
      </c>
      <c r="I409" s="4">
        <f>_xll.SNL.Clients.Office.Excel.Functions.SPG(G409,"IQ_AVG_DILUT_SHARES_OUT","CY2023")</f>
        <v>155218000</v>
      </c>
      <c r="J409" s="5">
        <f>_xll.SNL.Clients.Office.Excel.Functions.SPG(G409, "IQ_DILUT_EPS_NORM", "CY2023")</f>
        <v>5.9690000000000003</v>
      </c>
      <c r="K409">
        <f t="shared" si="26"/>
        <v>926496.24199999997</v>
      </c>
      <c r="L409">
        <f t="shared" si="27"/>
        <v>0.1513855291186712</v>
      </c>
    </row>
    <row r="410" spans="1:12" x14ac:dyDescent="0.3">
      <c r="A410" t="s">
        <v>412</v>
      </c>
      <c r="B410" s="4" cm="1">
        <f t="array" ref="B410">_xll.SNL.Clients.Office.Excel.Functions.SPG(A410, "SP_TOTAL_REV", "CY2023")</f>
        <v>77512159</v>
      </c>
      <c r="C410" s="4">
        <f>_xll.SNL.Clients.Office.Excel.Functions.SPG(A410,"IQ_AVG_DILUT_SHARES_OUT","CY2023")</f>
        <v>507837214</v>
      </c>
      <c r="D410" s="5">
        <f>_xll.SNL.Clients.Office.Excel.Functions.SPG(A410, "IQ_DILUT_EPS_NORM", "CY2023")</f>
        <v>3.843</v>
      </c>
      <c r="E410">
        <f t="shared" si="24"/>
        <v>1951618.413402</v>
      </c>
      <c r="F410">
        <f t="shared" si="25"/>
        <v>2.5178222856648853E-2</v>
      </c>
      <c r="G410" t="s">
        <v>412</v>
      </c>
      <c r="H410" s="4" cm="1">
        <f t="array" ref="H410">_xll.SNL.Clients.Office.Excel.Functions.SPG(G410, "SP_TOTAL_REV", "CY2023")</f>
        <v>77512159</v>
      </c>
      <c r="I410" s="4">
        <f>_xll.SNL.Clients.Office.Excel.Functions.SPG(G410,"IQ_AVG_DILUT_SHARES_OUT","CY2023")</f>
        <v>507837214</v>
      </c>
      <c r="J410" s="5">
        <f>_xll.SNL.Clients.Office.Excel.Functions.SPG(G410, "IQ_DILUT_EPS_NORM", "CY2023")</f>
        <v>3.843</v>
      </c>
      <c r="K410">
        <f t="shared" si="26"/>
        <v>1951618.413402</v>
      </c>
      <c r="L410">
        <f t="shared" si="27"/>
        <v>2.5178222856648853E-2</v>
      </c>
    </row>
    <row r="411" spans="1:12" x14ac:dyDescent="0.3">
      <c r="A411" t="s">
        <v>413</v>
      </c>
      <c r="B411" s="4" cm="1">
        <f t="array" ref="B411">_xll.SNL.Clients.Office.Excel.Functions.SPG(A411, "SP_TOTAL_REV", "CY2023")</f>
        <v>78558000</v>
      </c>
      <c r="C411" s="4">
        <f>_xll.SNL.Clients.Office.Excel.Functions.SPG(A411,"IQ_AVG_DILUT_SHARES_OUT","CY2023")</f>
        <v>1200286264</v>
      </c>
      <c r="D411" s="5">
        <f>_xll.SNL.Clients.Office.Excel.Functions.SPG(A411, "IQ_DILUT_EPS_NORM", "CY2023")</f>
        <v>6.4930000000000003</v>
      </c>
      <c r="E411">
        <f t="shared" si="24"/>
        <v>7793458.7121520005</v>
      </c>
      <c r="F411">
        <f t="shared" si="25"/>
        <v>9.9206429799027482E-2</v>
      </c>
      <c r="G411" t="s">
        <v>413</v>
      </c>
      <c r="H411" s="4" cm="1">
        <f t="array" ref="H411">_xll.SNL.Clients.Office.Excel.Functions.SPG(G411, "SP_TOTAL_REV", "CY2023")</f>
        <v>78558000</v>
      </c>
      <c r="I411" s="4">
        <f>_xll.SNL.Clients.Office.Excel.Functions.SPG(G411,"IQ_AVG_DILUT_SHARES_OUT","CY2023")</f>
        <v>1200286264</v>
      </c>
      <c r="J411" s="5">
        <f>_xll.SNL.Clients.Office.Excel.Functions.SPG(G411, "IQ_DILUT_EPS_NORM", "CY2023")</f>
        <v>6.4930000000000003</v>
      </c>
      <c r="K411">
        <f t="shared" si="26"/>
        <v>7793458.7121520005</v>
      </c>
      <c r="L411">
        <f t="shared" si="27"/>
        <v>9.9206429799027482E-2</v>
      </c>
    </row>
    <row r="412" spans="1:12" x14ac:dyDescent="0.3">
      <c r="A412" t="s">
        <v>414</v>
      </c>
      <c r="B412" s="4" cm="1">
        <f t="array" ref="B412">_xll.SNL.Clients.Office.Excel.Functions.SPG(A412, "SP_TOTAL_REV", "CY2023")</f>
        <v>6460500</v>
      </c>
      <c r="C412" s="4">
        <f>_xll.SNL.Clients.Office.Excel.Functions.SPG(A412,"IQ_AVG_DILUT_SHARES_OUT","CY2023")</f>
        <v>224800000</v>
      </c>
      <c r="D412" s="5">
        <f>_xll.SNL.Clients.Office.Excel.Functions.SPG(A412, "IQ_DILUT_EPS_NORM", "CY2023")</f>
        <v>6.4850000000000003</v>
      </c>
      <c r="E412">
        <f t="shared" si="24"/>
        <v>1457828</v>
      </c>
      <c r="F412">
        <f t="shared" si="25"/>
        <v>0.22565250367618606</v>
      </c>
      <c r="G412" t="s">
        <v>414</v>
      </c>
      <c r="H412" s="4" cm="1">
        <f t="array" ref="H412">_xll.SNL.Clients.Office.Excel.Functions.SPG(G412, "SP_TOTAL_REV", "CY2023")</f>
        <v>6460500</v>
      </c>
      <c r="I412" s="4">
        <f>_xll.SNL.Clients.Office.Excel.Functions.SPG(G412,"IQ_AVG_DILUT_SHARES_OUT","CY2023")</f>
        <v>224800000</v>
      </c>
      <c r="J412" s="5">
        <f>_xll.SNL.Clients.Office.Excel.Functions.SPG(G412, "IQ_DILUT_EPS_NORM", "CY2023")</f>
        <v>6.4850000000000003</v>
      </c>
      <c r="K412">
        <f t="shared" si="26"/>
        <v>1457828</v>
      </c>
      <c r="L412">
        <f t="shared" si="27"/>
        <v>0.22565250367618606</v>
      </c>
    </row>
    <row r="413" spans="1:12" x14ac:dyDescent="0.3">
      <c r="A413" t="s">
        <v>415</v>
      </c>
      <c r="B413" s="4" cm="1">
        <f t="array" ref="B413">_xll.SNL.Clients.Office.Excel.Functions.SPG(A413, "SP_TOTAL_REV", "CY2023")</f>
        <v>5396400</v>
      </c>
      <c r="C413" s="4">
        <f>_xll.SNL.Clients.Office.Excel.Functions.SPG(A413,"IQ_AVG_DILUT_SHARES_OUT","CY2023")</f>
        <v>169374873</v>
      </c>
      <c r="D413" s="5">
        <f>_xll.SNL.Clients.Office.Excel.Functions.SPG(A413, "IQ_DILUT_EPS_NORM", "CY2023")</f>
        <v>-2.3439999999999999</v>
      </c>
      <c r="E413">
        <f t="shared" si="24"/>
        <v>-397014.70231199998</v>
      </c>
      <c r="F413">
        <f t="shared" si="25"/>
        <v>-7.3570288027573941E-2</v>
      </c>
      <c r="G413" t="s">
        <v>415</v>
      </c>
      <c r="H413" s="4" cm="1">
        <f t="array" ref="H413">_xll.SNL.Clients.Office.Excel.Functions.SPG(G413, "SP_TOTAL_REV", "CY2023")</f>
        <v>5396400</v>
      </c>
      <c r="I413" s="4">
        <f>_xll.SNL.Clients.Office.Excel.Functions.SPG(G413,"IQ_AVG_DILUT_SHARES_OUT","CY2023")</f>
        <v>169374873</v>
      </c>
      <c r="J413" s="5">
        <f>_xll.SNL.Clients.Office.Excel.Functions.SPG(G413, "IQ_DILUT_EPS_NORM", "CY2023")</f>
        <v>-2.3439999999999999</v>
      </c>
      <c r="K413">
        <f t="shared" si="26"/>
        <v>-397014.70231199998</v>
      </c>
      <c r="L413">
        <f t="shared" si="27"/>
        <v>-7.3570288027573941E-2</v>
      </c>
    </row>
    <row r="414" spans="1:12" x14ac:dyDescent="0.3">
      <c r="A414" t="s">
        <v>416</v>
      </c>
      <c r="B414" s="4" cm="1">
        <f t="array" ref="B414">_xll.SNL.Clients.Office.Excel.Functions.SPG(A414, "SP_TOTAL_REV", "CY2023")</f>
        <v>6726700</v>
      </c>
      <c r="C414" s="4">
        <f>_xll.SNL.Clients.Office.Excel.Functions.SPG(A414,"IQ_AVG_DILUT_SHARES_OUT","CY2023")</f>
        <v>234800000</v>
      </c>
      <c r="D414" s="5">
        <f>_xll.SNL.Clients.Office.Excel.Functions.SPG(A414, "IQ_DILUT_EPS_NORM", "CY2023")</f>
        <v>3.2749999999999999</v>
      </c>
      <c r="E414">
        <f t="shared" si="24"/>
        <v>768970</v>
      </c>
      <c r="F414">
        <f t="shared" si="25"/>
        <v>0.11431608366658243</v>
      </c>
      <c r="G414" t="s">
        <v>416</v>
      </c>
      <c r="H414" s="4" cm="1">
        <f t="array" ref="H414">_xll.SNL.Clients.Office.Excel.Functions.SPG(G414, "SP_TOTAL_REV", "CY2023")</f>
        <v>6726700</v>
      </c>
      <c r="I414" s="4">
        <f>_xll.SNL.Clients.Office.Excel.Functions.SPG(G414,"IQ_AVG_DILUT_SHARES_OUT","CY2023")</f>
        <v>234800000</v>
      </c>
      <c r="J414" s="5">
        <f>_xll.SNL.Clients.Office.Excel.Functions.SPG(G414, "IQ_DILUT_EPS_NORM", "CY2023")</f>
        <v>3.2749999999999999</v>
      </c>
      <c r="K414">
        <f t="shared" si="26"/>
        <v>768970</v>
      </c>
      <c r="L414">
        <f t="shared" si="27"/>
        <v>0.11431608366658243</v>
      </c>
    </row>
    <row r="415" spans="1:12" x14ac:dyDescent="0.3">
      <c r="A415" t="s">
        <v>417</v>
      </c>
      <c r="B415" s="4" cm="1">
        <f t="array" ref="B415">_xll.SNL.Clients.Office.Excel.Functions.SPG(A415, "SP_TOTAL_REV", "CY2023")</f>
        <v>16060300</v>
      </c>
      <c r="C415" s="4">
        <f>_xll.SNL.Clients.Office.Excel.Functions.SPG(A415,"IQ_AVG_DILUT_SHARES_OUT","CY2023")</f>
        <v>226000000</v>
      </c>
      <c r="D415" s="5">
        <f>_xll.SNL.Clients.Office.Excel.Functions.SPG(A415, "IQ_DILUT_EPS_NORM", "CY2023")</f>
        <v>4.3449999999999998</v>
      </c>
      <c r="E415">
        <f t="shared" si="24"/>
        <v>981970</v>
      </c>
      <c r="F415">
        <f t="shared" si="25"/>
        <v>6.1142693473969972E-2</v>
      </c>
      <c r="G415" t="s">
        <v>417</v>
      </c>
      <c r="H415" s="4" cm="1">
        <f t="array" ref="H415">_xll.SNL.Clients.Office.Excel.Functions.SPG(G415, "SP_TOTAL_REV", "CY2023")</f>
        <v>16060300</v>
      </c>
      <c r="I415" s="4">
        <f>_xll.SNL.Clients.Office.Excel.Functions.SPG(G415,"IQ_AVG_DILUT_SHARES_OUT","CY2023")</f>
        <v>226000000</v>
      </c>
      <c r="J415" s="5">
        <f>_xll.SNL.Clients.Office.Excel.Functions.SPG(G415, "IQ_DILUT_EPS_NORM", "CY2023")</f>
        <v>4.3449999999999998</v>
      </c>
      <c r="K415">
        <f t="shared" si="26"/>
        <v>981970</v>
      </c>
      <c r="L415">
        <f t="shared" si="27"/>
        <v>6.1142693473969972E-2</v>
      </c>
    </row>
    <row r="416" spans="1:12" x14ac:dyDescent="0.3">
      <c r="A416" t="s">
        <v>418</v>
      </c>
      <c r="B416" s="4" cm="1">
        <f t="array" ref="B416">_xll.SNL.Clients.Office.Excel.Functions.SPG(A416, "SP_TOTAL_REV", "CY2023")</f>
        <v>107412000</v>
      </c>
      <c r="C416" s="4">
        <f>_xll.SNL.Clients.Office.Excel.Functions.SPG(A416,"IQ_AVG_DILUT_SHARES_OUT","CY2023")</f>
        <v>462800000</v>
      </c>
      <c r="D416" s="5">
        <f>_xll.SNL.Clients.Office.Excel.Functions.SPG(A416, "IQ_DILUT_EPS_NORM", "CY2023")</f>
        <v>7.2910000000000004</v>
      </c>
      <c r="E416">
        <f t="shared" si="24"/>
        <v>3374274.8</v>
      </c>
      <c r="F416">
        <f t="shared" si="25"/>
        <v>3.1414318698097042E-2</v>
      </c>
      <c r="G416" t="s">
        <v>418</v>
      </c>
      <c r="H416" s="4" cm="1">
        <f t="array" ref="H416">_xll.SNL.Clients.Office.Excel.Functions.SPG(G416, "SP_TOTAL_REV", "CY2023")</f>
        <v>107412000</v>
      </c>
      <c r="I416" s="4">
        <f>_xll.SNL.Clients.Office.Excel.Functions.SPG(G416,"IQ_AVG_DILUT_SHARES_OUT","CY2023")</f>
        <v>462800000</v>
      </c>
      <c r="J416" s="5">
        <f>_xll.SNL.Clients.Office.Excel.Functions.SPG(G416, "IQ_DILUT_EPS_NORM", "CY2023")</f>
        <v>7.2910000000000004</v>
      </c>
      <c r="K416">
        <f t="shared" si="26"/>
        <v>3374274.8</v>
      </c>
      <c r="L416">
        <f t="shared" si="27"/>
        <v>3.1414318698097042E-2</v>
      </c>
    </row>
    <row r="417" spans="1:12" x14ac:dyDescent="0.3">
      <c r="A417" t="s">
        <v>419</v>
      </c>
      <c r="B417" s="4" cm="1">
        <f t="array" ref="B417">_xll.SNL.Clients.Office.Excel.Functions.SPG(A417, "SP_TOTAL_REV", "CY2023")</f>
        <v>16024000</v>
      </c>
      <c r="C417" s="4">
        <f>_xll.SNL.Clients.Office.Excel.Functions.SPG(A417,"IQ_AVG_DILUT_SHARES_OUT","CY2023")</f>
        <v>315500000</v>
      </c>
      <c r="D417" s="5">
        <f>_xll.SNL.Clients.Office.Excel.Functions.SPG(A417, "IQ_DILUT_EPS_NORM", "CY2023")</f>
        <v>5.4690000000000003</v>
      </c>
      <c r="E417">
        <f t="shared" si="24"/>
        <v>1725469.5</v>
      </c>
      <c r="F417">
        <f t="shared" si="25"/>
        <v>0.10768032326510235</v>
      </c>
      <c r="G417" t="s">
        <v>419</v>
      </c>
      <c r="H417" s="4" cm="1">
        <f t="array" ref="H417">_xll.SNL.Clients.Office.Excel.Functions.SPG(G417, "SP_TOTAL_REV", "CY2023")</f>
        <v>16024000</v>
      </c>
      <c r="I417" s="4">
        <f>_xll.SNL.Clients.Office.Excel.Functions.SPG(G417,"IQ_AVG_DILUT_SHARES_OUT","CY2023")</f>
        <v>315500000</v>
      </c>
      <c r="J417" s="5">
        <f>_xll.SNL.Clients.Office.Excel.Functions.SPG(G417, "IQ_DILUT_EPS_NORM", "CY2023")</f>
        <v>5.4690000000000003</v>
      </c>
      <c r="K417">
        <f t="shared" si="26"/>
        <v>1725469.5</v>
      </c>
      <c r="L417">
        <f t="shared" si="27"/>
        <v>0.10768032326510235</v>
      </c>
    </row>
    <row r="418" spans="1:12" x14ac:dyDescent="0.3">
      <c r="A418" t="s">
        <v>420</v>
      </c>
      <c r="B418" s="4" cm="1">
        <f t="array" ref="B418">_xll.SNL.Clients.Office.Excel.Functions.SPG(A418, "SP_TOTAL_REV", "CY2023")</f>
        <v>5635500</v>
      </c>
      <c r="C418" s="4">
        <f>_xll.SNL.Clients.Office.Excel.Functions.SPG(A418,"IQ_AVG_DILUT_SHARES_OUT","CY2023")</f>
        <v>47900000</v>
      </c>
      <c r="D418" s="5">
        <f>_xll.SNL.Clients.Office.Excel.Functions.SPG(A418, "IQ_DILUT_EPS_NORM", "CY2023")</f>
        <v>12.472</v>
      </c>
      <c r="E418">
        <f t="shared" si="24"/>
        <v>597408.80000000005</v>
      </c>
      <c r="F418">
        <f t="shared" si="25"/>
        <v>0.10600812705172567</v>
      </c>
      <c r="G418" t="s">
        <v>420</v>
      </c>
      <c r="H418" s="4" cm="1">
        <f t="array" ref="H418">_xll.SNL.Clients.Office.Excel.Functions.SPG(G418, "SP_TOTAL_REV", "CY2023")</f>
        <v>5635500</v>
      </c>
      <c r="I418" s="4">
        <f>_xll.SNL.Clients.Office.Excel.Functions.SPG(G418,"IQ_AVG_DILUT_SHARES_OUT","CY2023")</f>
        <v>47900000</v>
      </c>
      <c r="J418" s="5">
        <f>_xll.SNL.Clients.Office.Excel.Functions.SPG(G418, "IQ_DILUT_EPS_NORM", "CY2023")</f>
        <v>12.472</v>
      </c>
      <c r="K418">
        <f t="shared" si="26"/>
        <v>597408.80000000005</v>
      </c>
      <c r="L418">
        <f t="shared" si="27"/>
        <v>0.10600812705172567</v>
      </c>
    </row>
    <row r="419" spans="1:12" x14ac:dyDescent="0.3">
      <c r="A419" t="s">
        <v>421</v>
      </c>
      <c r="B419" s="4" cm="1">
        <f t="array" ref="B419">_xll.SNL.Clients.Office.Excel.Functions.SPG(A419, "SP_TOTAL_REV", "CY2023")</f>
        <v>2974489</v>
      </c>
      <c r="C419" s="4">
        <f>_xll.SNL.Clients.Office.Excel.Functions.SPG(A419,"IQ_AVG_DILUT_SHARES_OUT","CY2023")</f>
        <v>47304000</v>
      </c>
      <c r="D419" s="5">
        <f>_xll.SNL.Clients.Office.Excel.Functions.SPG(A419, "IQ_DILUT_EPS_NORM", "CY2023")</f>
        <v>5.6719999999999997</v>
      </c>
      <c r="E419">
        <f t="shared" si="24"/>
        <v>268308.288</v>
      </c>
      <c r="F419">
        <f t="shared" si="25"/>
        <v>9.0203153550071968E-2</v>
      </c>
      <c r="G419" t="s">
        <v>421</v>
      </c>
      <c r="H419" s="4" cm="1">
        <f t="array" ref="H419">_xll.SNL.Clients.Office.Excel.Functions.SPG(G419, "SP_TOTAL_REV", "CY2023")</f>
        <v>2974489</v>
      </c>
      <c r="I419" s="4">
        <f>_xll.SNL.Clients.Office.Excel.Functions.SPG(G419,"IQ_AVG_DILUT_SHARES_OUT","CY2023")</f>
        <v>47304000</v>
      </c>
      <c r="J419" s="5">
        <f>_xll.SNL.Clients.Office.Excel.Functions.SPG(G419, "IQ_DILUT_EPS_NORM", "CY2023")</f>
        <v>5.6719999999999997</v>
      </c>
      <c r="K419">
        <f t="shared" si="26"/>
        <v>268308.288</v>
      </c>
      <c r="L419">
        <f t="shared" si="27"/>
        <v>9.0203153550071968E-2</v>
      </c>
    </row>
    <row r="420" spans="1:12" x14ac:dyDescent="0.3">
      <c r="A420" t="s">
        <v>422</v>
      </c>
      <c r="B420" s="4" cm="1">
        <f t="array" ref="B420">_xll.SNL.Clients.Office.Excel.Functions.SPG(A420, "SP_TOTAL_REV", "CY2023")</f>
        <v>2676298</v>
      </c>
      <c r="C420" s="4">
        <f>_xll.SNL.Clients.Office.Excel.Functions.SPG(A420,"IQ_AVG_DILUT_SHARES_OUT","CY2023")</f>
        <v>164304000</v>
      </c>
      <c r="D420" s="5">
        <f>_xll.SNL.Clients.Office.Excel.Functions.SPG(A420, "IQ_DILUT_EPS_NORM", "CY2023")</f>
        <v>2.0499999999999998</v>
      </c>
      <c r="E420">
        <f t="shared" si="24"/>
        <v>336823.2</v>
      </c>
      <c r="F420">
        <f t="shared" si="25"/>
        <v>0.12585414628714739</v>
      </c>
      <c r="G420" t="s">
        <v>422</v>
      </c>
      <c r="H420" s="4" cm="1">
        <f t="array" ref="H420">_xll.SNL.Clients.Office.Excel.Functions.SPG(G420, "SP_TOTAL_REV", "CY2023")</f>
        <v>2676298</v>
      </c>
      <c r="I420" s="4">
        <f>_xll.SNL.Clients.Office.Excel.Functions.SPG(G420,"IQ_AVG_DILUT_SHARES_OUT","CY2023")</f>
        <v>164304000</v>
      </c>
      <c r="J420" s="5">
        <f>_xll.SNL.Clients.Office.Excel.Functions.SPG(G420, "IQ_DILUT_EPS_NORM", "CY2023")</f>
        <v>2.0499999999999998</v>
      </c>
      <c r="K420">
        <f t="shared" si="26"/>
        <v>336823.2</v>
      </c>
      <c r="L420">
        <f t="shared" si="27"/>
        <v>0.12585414628714739</v>
      </c>
    </row>
    <row r="421" spans="1:12" x14ac:dyDescent="0.3">
      <c r="A421" t="s">
        <v>423</v>
      </c>
      <c r="B421" s="4" cm="1">
        <f t="array" ref="B421">_xll.SNL.Clients.Office.Excel.Functions.SPG(A421, "SP_TOTAL_REV", "CY2023")</f>
        <v>96773000</v>
      </c>
      <c r="C421" s="4">
        <f>_xll.SNL.Clients.Office.Excel.Functions.SPG(A421,"IQ_AVG_DILUT_SHARES_OUT","CY2023")</f>
        <v>3485000000</v>
      </c>
      <c r="D421" s="5" t="str">
        <f>_xll.SNL.Clients.Office.Excel.Functions.SPG(A421, "IQ_DILUT_EPS_NORM", "CY2023")</f>
        <v>NA</v>
      </c>
      <c r="E421" t="e">
        <f t="shared" si="24"/>
        <v>#VALUE!</v>
      </c>
      <c r="F421" t="e">
        <f t="shared" si="25"/>
        <v>#VALUE!</v>
      </c>
      <c r="G421" t="s">
        <v>423</v>
      </c>
      <c r="H421" s="4" cm="1">
        <f t="array" ref="H421">_xll.SNL.Clients.Office.Excel.Functions.SPG(G421, "SP_TOTAL_REV", "CY2023")</f>
        <v>96773000</v>
      </c>
      <c r="I421" s="4">
        <f>_xll.SNL.Clients.Office.Excel.Functions.SPG(G421,"IQ_AVG_DILUT_SHARES_OUT","CY2023")</f>
        <v>3485000000</v>
      </c>
      <c r="J421" s="5" t="str">
        <f>_xll.SNL.Clients.Office.Excel.Functions.SPG(G421, "IQ_DILUT_EPS_NORM", "CY2023")</f>
        <v>NA</v>
      </c>
      <c r="K421" t="e">
        <f t="shared" si="26"/>
        <v>#VALUE!</v>
      </c>
      <c r="L421" t="e">
        <f t="shared" si="27"/>
        <v>#VALUE!</v>
      </c>
    </row>
    <row r="422" spans="1:12" x14ac:dyDescent="0.3">
      <c r="A422" t="s">
        <v>424</v>
      </c>
      <c r="B422" s="4" cm="1">
        <f t="array" ref="B422">_xll.SNL.Clients.Office.Excel.Functions.SPG(A422, "SP_TOTAL_REV", "CY2023")</f>
        <v>17519000</v>
      </c>
      <c r="C422" s="4">
        <f>_xll.SNL.Clients.Office.Excel.Functions.SPG(A422,"IQ_AVG_DILUT_SHARES_OUT","CY2023")</f>
        <v>916000000</v>
      </c>
      <c r="D422" s="5">
        <f>_xll.SNL.Clients.Office.Excel.Functions.SPG(A422, "IQ_DILUT_EPS_NORM", "CY2023")</f>
        <v>5.0609999999999999</v>
      </c>
      <c r="E422">
        <f t="shared" si="24"/>
        <v>4635876</v>
      </c>
      <c r="F422">
        <f t="shared" si="25"/>
        <v>0.26461989839602718</v>
      </c>
      <c r="G422" t="s">
        <v>424</v>
      </c>
      <c r="H422" s="4" cm="1">
        <f t="array" ref="H422">_xll.SNL.Clients.Office.Excel.Functions.SPG(G422, "SP_TOTAL_REV", "CY2023")</f>
        <v>17519000</v>
      </c>
      <c r="I422" s="4">
        <f>_xll.SNL.Clients.Office.Excel.Functions.SPG(G422,"IQ_AVG_DILUT_SHARES_OUT","CY2023")</f>
        <v>916000000</v>
      </c>
      <c r="J422" s="5">
        <f>_xll.SNL.Clients.Office.Excel.Functions.SPG(G422, "IQ_DILUT_EPS_NORM", "CY2023")</f>
        <v>5.0609999999999999</v>
      </c>
      <c r="K422">
        <f t="shared" si="26"/>
        <v>4635876</v>
      </c>
      <c r="L422">
        <f t="shared" si="27"/>
        <v>0.26461989839602718</v>
      </c>
    </row>
    <row r="423" spans="1:12" x14ac:dyDescent="0.3">
      <c r="A423" t="s">
        <v>425</v>
      </c>
      <c r="B423" s="4" cm="1">
        <f t="array" ref="B423">_xll.SNL.Clients.Office.Excel.Functions.SPG(A423, "SP_TOTAL_REV", "CY2023")</f>
        <v>631595</v>
      </c>
      <c r="C423" s="4">
        <f>_xll.SNL.Clients.Office.Excel.Functions.SPG(A423,"IQ_AVG_DILUT_SHARES_OUT","CY2023")</f>
        <v>23059845</v>
      </c>
      <c r="D423" s="5">
        <f>_xll.SNL.Clients.Office.Excel.Functions.SPG(A423, "IQ_DILUT_EPS_NORM", "CY2023")</f>
        <v>14.041</v>
      </c>
      <c r="E423">
        <f t="shared" si="24"/>
        <v>323783.28364499996</v>
      </c>
      <c r="F423">
        <f t="shared" si="25"/>
        <v>0.51264383607374975</v>
      </c>
      <c r="G423" t="s">
        <v>425</v>
      </c>
      <c r="H423" s="4" cm="1">
        <f t="array" ref="H423">_xll.SNL.Clients.Office.Excel.Functions.SPG(G423, "SP_TOTAL_REV", "CY2023")</f>
        <v>631595</v>
      </c>
      <c r="I423" s="4">
        <f>_xll.SNL.Clients.Office.Excel.Functions.SPG(G423,"IQ_AVG_DILUT_SHARES_OUT","CY2023")</f>
        <v>23059845</v>
      </c>
      <c r="J423" s="5">
        <f>_xll.SNL.Clients.Office.Excel.Functions.SPG(G423, "IQ_DILUT_EPS_NORM", "CY2023")</f>
        <v>14.041</v>
      </c>
      <c r="K423">
        <f t="shared" si="26"/>
        <v>323783.28364499996</v>
      </c>
      <c r="L423">
        <f t="shared" si="27"/>
        <v>0.51264383607374975</v>
      </c>
    </row>
    <row r="424" spans="1:12" x14ac:dyDescent="0.3">
      <c r="A424" t="s">
        <v>426</v>
      </c>
      <c r="B424" s="4" cm="1">
        <f t="array" ref="B424">_xll.SNL.Clients.Office.Excel.Functions.SPG(A424, "SP_TOTAL_REV", "CY2023")</f>
        <v>13683000</v>
      </c>
      <c r="C424" s="4">
        <f>_xll.SNL.Clients.Office.Excel.Functions.SPG(A424,"IQ_AVG_DILUT_SHARES_OUT","CY2023")</f>
        <v>201774000</v>
      </c>
      <c r="D424" s="5">
        <f>_xll.SNL.Clients.Office.Excel.Functions.SPG(A424, "IQ_DILUT_EPS_NORM", "CY2023")</f>
        <v>3.7570000000000001</v>
      </c>
      <c r="E424">
        <f t="shared" si="24"/>
        <v>758064.91799999995</v>
      </c>
      <c r="F424">
        <f t="shared" si="25"/>
        <v>5.5401952641964479E-2</v>
      </c>
      <c r="G424" t="s">
        <v>426</v>
      </c>
      <c r="H424" s="4" cm="1">
        <f t="array" ref="H424">_xll.SNL.Clients.Office.Excel.Functions.SPG(G424, "SP_TOTAL_REV", "CY2023")</f>
        <v>13683000</v>
      </c>
      <c r="I424" s="4">
        <f>_xll.SNL.Clients.Office.Excel.Functions.SPG(G424,"IQ_AVG_DILUT_SHARES_OUT","CY2023")</f>
        <v>201774000</v>
      </c>
      <c r="J424" s="5">
        <f>_xll.SNL.Clients.Office.Excel.Functions.SPG(G424, "IQ_DILUT_EPS_NORM", "CY2023")</f>
        <v>3.7570000000000001</v>
      </c>
      <c r="K424">
        <f t="shared" si="26"/>
        <v>758064.91799999995</v>
      </c>
      <c r="L424">
        <f t="shared" si="27"/>
        <v>5.5401952641964479E-2</v>
      </c>
    </row>
    <row r="425" spans="1:12" x14ac:dyDescent="0.3">
      <c r="A425" t="s">
        <v>427</v>
      </c>
      <c r="B425" s="4" cm="1">
        <f t="array" ref="B425">_xll.SNL.Clients.Office.Excel.Functions.SPG(A425, "SP_TOTAL_REV", "CY2023")</f>
        <v>12668000</v>
      </c>
      <c r="C425" s="4">
        <f>_xll.SNL.Clients.Office.Excel.Functions.SPG(A425,"IQ_AVG_DILUT_SHARES_OUT","CY2023")</f>
        <v>712000000</v>
      </c>
      <c r="D425" s="5">
        <f>_xll.SNL.Clients.Office.Excel.Functions.SPG(A425, "IQ_DILUT_EPS_NORM", "CY2023")</f>
        <v>1.5589999999999999</v>
      </c>
      <c r="E425">
        <f t="shared" si="24"/>
        <v>1110008</v>
      </c>
      <c r="F425">
        <f t="shared" si="25"/>
        <v>8.7622987053994322E-2</v>
      </c>
      <c r="G425" t="s">
        <v>427</v>
      </c>
      <c r="H425" s="4" cm="1">
        <f t="array" ref="H425">_xll.SNL.Clients.Office.Excel.Functions.SPG(G425, "SP_TOTAL_REV", "CY2023")</f>
        <v>12668000</v>
      </c>
      <c r="I425" s="4">
        <f>_xll.SNL.Clients.Office.Excel.Functions.SPG(G425,"IQ_AVG_DILUT_SHARES_OUT","CY2023")</f>
        <v>712000000</v>
      </c>
      <c r="J425" s="5">
        <f>_xll.SNL.Clients.Office.Excel.Functions.SPG(G425, "IQ_DILUT_EPS_NORM", "CY2023")</f>
        <v>1.5589999999999999</v>
      </c>
      <c r="K425">
        <f t="shared" si="26"/>
        <v>1110008</v>
      </c>
      <c r="L425">
        <f t="shared" si="27"/>
        <v>8.7622987053994322E-2</v>
      </c>
    </row>
    <row r="426" spans="1:12" x14ac:dyDescent="0.3">
      <c r="A426" t="s">
        <v>428</v>
      </c>
      <c r="B426" s="4" cm="1">
        <f t="array" ref="B426">_xll.SNL.Clients.Office.Excel.Functions.SPG(A426, "SP_TOTAL_REV", "CY2023")</f>
        <v>57094000</v>
      </c>
      <c r="C426" s="4">
        <f>_xll.SNL.Clients.Office.Excel.Functions.SPG(A426,"IQ_AVG_DILUT_SHARES_OUT","CY2023")</f>
        <v>262500000</v>
      </c>
      <c r="D426" s="5">
        <f>_xll.SNL.Clients.Office.Excel.Functions.SPG(A426, "IQ_DILUT_EPS_NORM", "CY2023")</f>
        <v>-0.33100000000000002</v>
      </c>
      <c r="E426">
        <f t="shared" si="24"/>
        <v>-86887.5</v>
      </c>
      <c r="F426">
        <f t="shared" si="25"/>
        <v>-1.5218324167162924E-3</v>
      </c>
      <c r="G426" t="s">
        <v>428</v>
      </c>
      <c r="H426" s="4" cm="1">
        <f t="array" ref="H426">_xll.SNL.Clients.Office.Excel.Functions.SPG(G426, "SP_TOTAL_REV", "CY2023")</f>
        <v>57094000</v>
      </c>
      <c r="I426" s="4">
        <f>_xll.SNL.Clients.Office.Excel.Functions.SPG(G426,"IQ_AVG_DILUT_SHARES_OUT","CY2023")</f>
        <v>262500000</v>
      </c>
      <c r="J426" s="5">
        <f>_xll.SNL.Clients.Office.Excel.Functions.SPG(G426, "IQ_DILUT_EPS_NORM", "CY2023")</f>
        <v>-0.33100000000000002</v>
      </c>
      <c r="K426">
        <f t="shared" si="26"/>
        <v>-86887.5</v>
      </c>
      <c r="L426">
        <f t="shared" si="27"/>
        <v>-1.5218324167162924E-3</v>
      </c>
    </row>
    <row r="427" spans="1:12" x14ac:dyDescent="0.3">
      <c r="A427" t="s">
        <v>429</v>
      </c>
      <c r="B427" s="4" cm="1">
        <f t="array" ref="B427">_xll.SNL.Clients.Office.Excel.Functions.SPG(A427, "SP_TOTAL_REV", "CY2023")</f>
        <v>17383000</v>
      </c>
      <c r="C427" s="4">
        <f>_xll.SNL.Clients.Office.Excel.Functions.SPG(A427,"IQ_AVG_DILUT_SHARES_OUT","CY2023")</f>
        <v>787798000</v>
      </c>
      <c r="D427" s="5">
        <f>_xll.SNL.Clients.Office.Excel.Functions.SPG(A427, "IQ_DILUT_EPS_NORM", "CY2023")</f>
        <v>4.0279999999999996</v>
      </c>
      <c r="E427">
        <f t="shared" si="24"/>
        <v>3173250.3439999996</v>
      </c>
      <c r="F427">
        <f t="shared" si="25"/>
        <v>0.18254906195708448</v>
      </c>
      <c r="G427" t="s">
        <v>429</v>
      </c>
      <c r="H427" s="4" cm="1">
        <f t="array" ref="H427">_xll.SNL.Clients.Office.Excel.Functions.SPG(G427, "SP_TOTAL_REV", "CY2023")</f>
        <v>17383000</v>
      </c>
      <c r="I427" s="4">
        <f>_xll.SNL.Clients.Office.Excel.Functions.SPG(G427,"IQ_AVG_DILUT_SHARES_OUT","CY2023")</f>
        <v>787798000</v>
      </c>
      <c r="J427" s="5">
        <f>_xll.SNL.Clients.Office.Excel.Functions.SPG(G427, "IQ_DILUT_EPS_NORM", "CY2023")</f>
        <v>4.0279999999999996</v>
      </c>
      <c r="K427">
        <f t="shared" si="26"/>
        <v>3173250.3439999996</v>
      </c>
      <c r="L427">
        <f t="shared" si="27"/>
        <v>0.18254906195708448</v>
      </c>
    </row>
    <row r="428" spans="1:12" x14ac:dyDescent="0.3">
      <c r="A428" t="s">
        <v>430</v>
      </c>
      <c r="B428" s="4" cm="1">
        <f t="array" ref="B428">_xll.SNL.Clients.Office.Excel.Functions.SPG(A428, "SP_TOTAL_REV", "CY2023")</f>
        <v>77794000</v>
      </c>
      <c r="C428" s="4">
        <f>_xll.SNL.Clients.Office.Excel.Functions.SPG(A428,"IQ_AVG_DILUT_SHARES_OUT","CY2023")</f>
        <v>605800000</v>
      </c>
      <c r="D428" s="5">
        <f>_xll.SNL.Clients.Office.Excel.Functions.SPG(A428, "IQ_DILUT_EPS_NORM", "CY2023")</f>
        <v>-0.46200000000000002</v>
      </c>
      <c r="E428">
        <f t="shared" si="24"/>
        <v>-279879.59999999998</v>
      </c>
      <c r="F428">
        <f t="shared" si="25"/>
        <v>-3.5977016222330767E-3</v>
      </c>
      <c r="G428" t="s">
        <v>430</v>
      </c>
      <c r="H428" s="4" cm="1">
        <f t="array" ref="H428">_xll.SNL.Clients.Office.Excel.Functions.SPG(G428, "SP_TOTAL_REV", "CY2023")</f>
        <v>77794000</v>
      </c>
      <c r="I428" s="4">
        <f>_xll.SNL.Clients.Office.Excel.Functions.SPG(G428,"IQ_AVG_DILUT_SHARES_OUT","CY2023")</f>
        <v>605800000</v>
      </c>
      <c r="J428" s="5">
        <f>_xll.SNL.Clients.Office.Excel.Functions.SPG(G428, "IQ_DILUT_EPS_NORM", "CY2023")</f>
        <v>-0.46200000000000002</v>
      </c>
      <c r="K428">
        <f t="shared" si="26"/>
        <v>-279879.59999999998</v>
      </c>
      <c r="L428">
        <f t="shared" si="27"/>
        <v>-3.5977016222330767E-3</v>
      </c>
    </row>
    <row r="429" spans="1:12" x14ac:dyDescent="0.3">
      <c r="A429" t="s">
        <v>431</v>
      </c>
      <c r="B429" s="4" cm="1">
        <f t="array" ref="B429">_xll.SNL.Clients.Office.Excel.Functions.SPG(A429, "SP_TOTAL_REV", "CY2023")</f>
        <v>9271000</v>
      </c>
      <c r="C429" s="4">
        <f>_xll.SNL.Clients.Office.Excel.Functions.SPG(A429,"IQ_AVG_DILUT_SHARES_OUT","CY2023")</f>
        <v>300000000</v>
      </c>
      <c r="D429" s="5">
        <f>_xll.SNL.Clients.Office.Excel.Functions.SPG(A429, "IQ_DILUT_EPS_NORM", "CY2023")</f>
        <v>2.444</v>
      </c>
      <c r="E429">
        <f t="shared" si="24"/>
        <v>733200</v>
      </c>
      <c r="F429">
        <f t="shared" si="25"/>
        <v>7.9085319814475252E-2</v>
      </c>
      <c r="G429" t="s">
        <v>431</v>
      </c>
      <c r="H429" s="4" cm="1">
        <f t="array" ref="H429">_xll.SNL.Clients.Office.Excel.Functions.SPG(G429, "SP_TOTAL_REV", "CY2023")</f>
        <v>9271000</v>
      </c>
      <c r="I429" s="4">
        <f>_xll.SNL.Clients.Office.Excel.Functions.SPG(G429,"IQ_AVG_DILUT_SHARES_OUT","CY2023")</f>
        <v>300000000</v>
      </c>
      <c r="J429" s="5">
        <f>_xll.SNL.Clients.Office.Excel.Functions.SPG(G429, "IQ_DILUT_EPS_NORM", "CY2023")</f>
        <v>2.444</v>
      </c>
      <c r="K429">
        <f t="shared" si="26"/>
        <v>733200</v>
      </c>
      <c r="L429">
        <f t="shared" si="27"/>
        <v>7.9085319814475252E-2</v>
      </c>
    </row>
    <row r="430" spans="1:12" x14ac:dyDescent="0.3">
      <c r="A430" t="s">
        <v>432</v>
      </c>
      <c r="B430" s="4" cm="1">
        <f t="array" ref="B430">_xll.SNL.Clients.Office.Excel.Functions.SPG(A430, "SP_TOTAL_REV", "CY2023")</f>
        <v>18837000</v>
      </c>
      <c r="C430" s="4">
        <f>_xll.SNL.Clients.Office.Excel.Functions.SPG(A430,"IQ_AVG_DILUT_SHARES_OUT","CY2023")</f>
        <v>1831000000</v>
      </c>
      <c r="D430" s="5">
        <f>_xll.SNL.Clients.Office.Excel.Functions.SPG(A430, "IQ_DILUT_EPS_NORM", "CY2023")</f>
        <v>2.4729999999999999</v>
      </c>
      <c r="E430">
        <f t="shared" si="24"/>
        <v>4528063</v>
      </c>
      <c r="F430">
        <f t="shared" si="25"/>
        <v>0.24038132399001963</v>
      </c>
      <c r="G430" t="s">
        <v>432</v>
      </c>
      <c r="H430" s="4" cm="1">
        <f t="array" ref="H430">_xll.SNL.Clients.Office.Excel.Functions.SPG(G430, "SP_TOTAL_REV", "CY2023")</f>
        <v>18837000</v>
      </c>
      <c r="I430" s="4">
        <f>_xll.SNL.Clients.Office.Excel.Functions.SPG(G430,"IQ_AVG_DILUT_SHARES_OUT","CY2023")</f>
        <v>1831000000</v>
      </c>
      <c r="J430" s="5">
        <f>_xll.SNL.Clients.Office.Excel.Functions.SPG(G430, "IQ_DILUT_EPS_NORM", "CY2023")</f>
        <v>2.4729999999999999</v>
      </c>
      <c r="K430">
        <f t="shared" si="26"/>
        <v>4528063</v>
      </c>
      <c r="L430">
        <f t="shared" si="27"/>
        <v>0.24038132399001963</v>
      </c>
    </row>
    <row r="431" spans="1:12" x14ac:dyDescent="0.3">
      <c r="A431" t="s">
        <v>433</v>
      </c>
      <c r="B431" s="4" cm="1">
        <f t="array" ref="B431">_xll.SNL.Clients.Office.Excel.Functions.SPG(A431, "SP_TOTAL_REV", "CY2023")</f>
        <v>195187000</v>
      </c>
      <c r="C431" s="4">
        <f>_xll.SNL.Clients.Office.Excel.Functions.SPG(A431,"IQ_AVG_DILUT_SHARES_OUT","CY2023")</f>
        <v>296882000</v>
      </c>
      <c r="D431" s="5">
        <f>_xll.SNL.Clients.Office.Excel.Functions.SPG(A431, "IQ_DILUT_EPS_NORM", "CY2023")</f>
        <v>15.11</v>
      </c>
      <c r="E431">
        <f t="shared" si="24"/>
        <v>4485887.0199999996</v>
      </c>
      <c r="F431">
        <f t="shared" si="25"/>
        <v>2.2982509183500949E-2</v>
      </c>
      <c r="G431" t="s">
        <v>433</v>
      </c>
      <c r="H431" s="4" cm="1">
        <f t="array" ref="H431">_xll.SNL.Clients.Office.Excel.Functions.SPG(G431, "SP_TOTAL_REV", "CY2023")</f>
        <v>195187000</v>
      </c>
      <c r="I431" s="4">
        <f>_xll.SNL.Clients.Office.Excel.Functions.SPG(G431,"IQ_AVG_DILUT_SHARES_OUT","CY2023")</f>
        <v>296882000</v>
      </c>
      <c r="J431" s="5">
        <f>_xll.SNL.Clients.Office.Excel.Functions.SPG(G431, "IQ_DILUT_EPS_NORM", "CY2023")</f>
        <v>15.11</v>
      </c>
      <c r="K431">
        <f t="shared" si="26"/>
        <v>4485887.0199999996</v>
      </c>
      <c r="L431">
        <f t="shared" si="27"/>
        <v>2.2982509183500949E-2</v>
      </c>
    </row>
    <row r="432" spans="1:12" x14ac:dyDescent="0.3">
      <c r="A432" t="s">
        <v>434</v>
      </c>
      <c r="B432" s="4" cm="1">
        <f t="array" ref="B432">_xll.SNL.Clients.Office.Excel.Functions.SPG(A432, "SP_TOTAL_REV", "CY2023")</f>
        <v>7310000</v>
      </c>
      <c r="C432" s="4">
        <f>_xll.SNL.Clients.Office.Excel.Functions.SPG(A432,"IQ_AVG_DILUT_SHARES_OUT","CY2023")</f>
        <v>124523000</v>
      </c>
      <c r="D432" s="5">
        <f>_xll.SNL.Clients.Office.Excel.Functions.SPG(A432, "IQ_DILUT_EPS_NORM", "CY2023")</f>
        <v>3.7050000000000001</v>
      </c>
      <c r="E432">
        <f t="shared" si="24"/>
        <v>461357.71500000003</v>
      </c>
      <c r="F432">
        <f t="shared" si="25"/>
        <v>6.3113230506155957E-2</v>
      </c>
      <c r="G432" t="s">
        <v>434</v>
      </c>
      <c r="H432" s="4" cm="1">
        <f t="array" ref="H432">_xll.SNL.Clients.Office.Excel.Functions.SPG(G432, "SP_TOTAL_REV", "CY2023")</f>
        <v>7310000</v>
      </c>
      <c r="I432" s="4">
        <f>_xll.SNL.Clients.Office.Excel.Functions.SPG(G432,"IQ_AVG_DILUT_SHARES_OUT","CY2023")</f>
        <v>124523000</v>
      </c>
      <c r="J432" s="5">
        <f>_xll.SNL.Clients.Office.Excel.Functions.SPG(G432, "IQ_DILUT_EPS_NORM", "CY2023")</f>
        <v>3.7050000000000001</v>
      </c>
      <c r="K432">
        <f t="shared" si="26"/>
        <v>461357.71500000003</v>
      </c>
      <c r="L432">
        <f t="shared" si="27"/>
        <v>6.3113230506155957E-2</v>
      </c>
    </row>
    <row r="433" spans="1:12" x14ac:dyDescent="0.3">
      <c r="A433" t="s">
        <v>435</v>
      </c>
      <c r="B433" s="4" cm="1">
        <f t="array" ref="B433">_xll.SNL.Clients.Office.Excel.Functions.SPG(A433, "SP_TOTAL_REV", "CY2023")</f>
        <v>45754000</v>
      </c>
      <c r="C433" s="4">
        <f>_xll.SNL.Clients.Office.Excel.Functions.SPG(A433,"IQ_AVG_DILUT_SHARES_OUT","CY2023")</f>
        <v>4339000000</v>
      </c>
      <c r="D433" s="5">
        <f>_xll.SNL.Clients.Office.Excel.Functions.SPG(A433, "IQ_DILUT_EPS_NORM", "CY2023")</f>
        <v>2.0510000000000002</v>
      </c>
      <c r="E433">
        <f t="shared" si="24"/>
        <v>8899289</v>
      </c>
      <c r="F433">
        <f t="shared" si="25"/>
        <v>0.19450297241771211</v>
      </c>
      <c r="G433" t="s">
        <v>435</v>
      </c>
      <c r="H433" s="4" cm="1">
        <f t="array" ref="H433">_xll.SNL.Clients.Office.Excel.Functions.SPG(G433, "SP_TOTAL_REV", "CY2023")</f>
        <v>45754000</v>
      </c>
      <c r="I433" s="4">
        <f>_xll.SNL.Clients.Office.Excel.Functions.SPG(G433,"IQ_AVG_DILUT_SHARES_OUT","CY2023")</f>
        <v>4339000000</v>
      </c>
      <c r="J433" s="5">
        <f>_xll.SNL.Clients.Office.Excel.Functions.SPG(G433, "IQ_DILUT_EPS_NORM", "CY2023")</f>
        <v>2.0510000000000002</v>
      </c>
      <c r="K433">
        <f t="shared" si="26"/>
        <v>8899289</v>
      </c>
      <c r="L433">
        <f t="shared" si="27"/>
        <v>0.19450297241771211</v>
      </c>
    </row>
    <row r="434" spans="1:12" x14ac:dyDescent="0.3">
      <c r="A434" t="s">
        <v>436</v>
      </c>
      <c r="B434" s="4" cm="1">
        <f t="array" ref="B434">_xll.SNL.Clients.Office.Excel.Functions.SPG(A434, "SP_TOTAL_REV", "CY2023")</f>
        <v>3666300</v>
      </c>
      <c r="C434" s="4">
        <f>_xll.SNL.Clients.Office.Excel.Functions.SPG(A434,"IQ_AVG_DILUT_SHARES_OUT","CY2023")</f>
        <v>199500000</v>
      </c>
      <c r="D434" s="5">
        <f>_xll.SNL.Clients.Office.Excel.Functions.SPG(A434, "IQ_DILUT_EPS_NORM", "CY2023")</f>
        <v>1.1870000000000001</v>
      </c>
      <c r="E434">
        <f t="shared" si="24"/>
        <v>236806.5</v>
      </c>
      <c r="F434">
        <f t="shared" si="25"/>
        <v>6.459004991408232E-2</v>
      </c>
      <c r="G434" t="s">
        <v>436</v>
      </c>
      <c r="H434" s="4" cm="1">
        <f t="array" ref="H434">_xll.SNL.Clients.Office.Excel.Functions.SPG(G434, "SP_TOTAL_REV", "CY2023")</f>
        <v>3666300</v>
      </c>
      <c r="I434" s="4">
        <f>_xll.SNL.Clients.Office.Excel.Functions.SPG(G434,"IQ_AVG_DILUT_SHARES_OUT","CY2023")</f>
        <v>199500000</v>
      </c>
      <c r="J434" s="5">
        <f>_xll.SNL.Clients.Office.Excel.Functions.SPG(G434, "IQ_DILUT_EPS_NORM", "CY2023")</f>
        <v>1.1870000000000001</v>
      </c>
      <c r="K434">
        <f t="shared" si="26"/>
        <v>236806.5</v>
      </c>
      <c r="L434">
        <f t="shared" si="27"/>
        <v>6.459004991408232E-2</v>
      </c>
    </row>
    <row r="435" spans="1:12" x14ac:dyDescent="0.3">
      <c r="A435" t="s">
        <v>437</v>
      </c>
      <c r="B435" s="4" cm="1">
        <f t="array" ref="B435">_xll.SNL.Clients.Office.Excel.Functions.SPG(A435, "SP_TOTAL_REV", "CY2023")</f>
        <v>15157000</v>
      </c>
      <c r="C435" s="4">
        <f>_xll.SNL.Clients.Office.Excel.Functions.SPG(A435,"IQ_AVG_DILUT_SHARES_OUT","CY2023")</f>
        <v>360600000</v>
      </c>
      <c r="D435" s="5">
        <f>_xll.SNL.Clients.Office.Excel.Functions.SPG(A435, "IQ_DILUT_EPS_NORM", "CY2023")</f>
        <v>1.413</v>
      </c>
      <c r="E435">
        <f t="shared" si="24"/>
        <v>509527.8</v>
      </c>
      <c r="F435">
        <f t="shared" si="25"/>
        <v>3.3616665567064719E-2</v>
      </c>
      <c r="G435" t="s">
        <v>437</v>
      </c>
      <c r="H435" s="4" cm="1">
        <f t="array" ref="H435">_xll.SNL.Clients.Office.Excel.Functions.SPG(G435, "SP_TOTAL_REV", "CY2023")</f>
        <v>15157000</v>
      </c>
      <c r="I435" s="4">
        <f>_xll.SNL.Clients.Office.Excel.Functions.SPG(G435,"IQ_AVG_DILUT_SHARES_OUT","CY2023")</f>
        <v>360600000</v>
      </c>
      <c r="J435" s="5">
        <f>_xll.SNL.Clients.Office.Excel.Functions.SPG(G435, "IQ_DILUT_EPS_NORM", "CY2023")</f>
        <v>1.413</v>
      </c>
      <c r="K435">
        <f t="shared" si="26"/>
        <v>509527.8</v>
      </c>
      <c r="L435">
        <f t="shared" si="27"/>
        <v>3.3616665567064719E-2</v>
      </c>
    </row>
    <row r="436" spans="1:12" x14ac:dyDescent="0.3">
      <c r="A436" t="s">
        <v>438</v>
      </c>
      <c r="B436" s="4" cm="1">
        <f t="array" ref="B436">_xll.SNL.Clients.Office.Excel.Functions.SPG(A436, "SP_TOTAL_REV", "CY2023")</f>
        <v>46254000</v>
      </c>
      <c r="C436" s="4">
        <f>_xll.SNL.Clients.Office.Excel.Functions.SPG(A436,"IQ_AVG_DILUT_SHARES_OUT","CY2023")</f>
        <v>345800000</v>
      </c>
      <c r="D436" s="5">
        <f>_xll.SNL.Clients.Office.Excel.Functions.SPG(A436, "IQ_DILUT_EPS_NORM", "CY2023")</f>
        <v>22.47</v>
      </c>
      <c r="E436">
        <f t="shared" si="24"/>
        <v>7770126</v>
      </c>
      <c r="F436">
        <f t="shared" si="25"/>
        <v>0.16798819561551434</v>
      </c>
      <c r="G436" t="s">
        <v>438</v>
      </c>
      <c r="H436" s="4" cm="1">
        <f t="array" ref="H436">_xll.SNL.Clients.Office.Excel.Functions.SPG(G436, "SP_TOTAL_REV", "CY2023")</f>
        <v>46254000</v>
      </c>
      <c r="I436" s="4">
        <f>_xll.SNL.Clients.Office.Excel.Functions.SPG(G436,"IQ_AVG_DILUT_SHARES_OUT","CY2023")</f>
        <v>345800000</v>
      </c>
      <c r="J436" s="5">
        <f>_xll.SNL.Clients.Office.Excel.Functions.SPG(G436, "IQ_DILUT_EPS_NORM", "CY2023")</f>
        <v>22.47</v>
      </c>
      <c r="K436">
        <f t="shared" si="26"/>
        <v>7770126</v>
      </c>
      <c r="L436">
        <f t="shared" si="27"/>
        <v>0.16798819561551434</v>
      </c>
    </row>
    <row r="437" spans="1:12" x14ac:dyDescent="0.3">
      <c r="A437" t="s">
        <v>439</v>
      </c>
      <c r="B437" s="4" cm="1">
        <f t="array" ref="B437">_xll.SNL.Clients.Office.Excel.Functions.SPG(A437, "SP_TOTAL_REV", "CY2023")</f>
        <v>24527000</v>
      </c>
      <c r="C437" s="4">
        <f>_xll.SNL.Clients.Office.Excel.Functions.SPG(A437,"IQ_AVG_DILUT_SHARES_OUT","CY2023")</f>
        <v>311500000</v>
      </c>
      <c r="D437" s="5">
        <f>_xll.SNL.Clients.Office.Excel.Functions.SPG(A437, "IQ_DILUT_EPS_NORM", "CY2023")</f>
        <v>6.1840000000000002</v>
      </c>
      <c r="E437">
        <f t="shared" si="24"/>
        <v>1926316</v>
      </c>
      <c r="F437">
        <f t="shared" si="25"/>
        <v>7.8538590125168187E-2</v>
      </c>
      <c r="G437" t="s">
        <v>439</v>
      </c>
      <c r="H437" s="4" cm="1">
        <f t="array" ref="H437">_xll.SNL.Clients.Office.Excel.Functions.SPG(G437, "SP_TOTAL_REV", "CY2023")</f>
        <v>24527000</v>
      </c>
      <c r="I437" s="4">
        <f>_xll.SNL.Clients.Office.Excel.Functions.SPG(G437,"IQ_AVG_DILUT_SHARES_OUT","CY2023")</f>
        <v>311500000</v>
      </c>
      <c r="J437" s="5">
        <f>_xll.SNL.Clients.Office.Excel.Functions.SPG(G437, "IQ_DILUT_EPS_NORM", "CY2023")</f>
        <v>6.1840000000000002</v>
      </c>
      <c r="K437">
        <f t="shared" si="26"/>
        <v>1926316</v>
      </c>
      <c r="L437">
        <f t="shared" si="27"/>
        <v>7.8538590125168187E-2</v>
      </c>
    </row>
    <row r="438" spans="1:12" x14ac:dyDescent="0.3">
      <c r="A438" t="s">
        <v>440</v>
      </c>
      <c r="B438" s="4" cm="1">
        <f t="array" ref="B438">_xll.SNL.Clients.Office.Excel.Functions.SPG(A438, "SP_TOTAL_REV", "CY2023")</f>
        <v>11164992</v>
      </c>
      <c r="C438" s="4">
        <f>_xll.SNL.Clients.Office.Excel.Functions.SPG(A438,"IQ_AVG_DILUT_SHARES_OUT","CY2023")</f>
        <v>205547000</v>
      </c>
      <c r="D438" s="5">
        <f>_xll.SNL.Clients.Office.Excel.Functions.SPG(A438, "IQ_DILUT_EPS_NORM", "CY2023")</f>
        <v>7.2539999999999996</v>
      </c>
      <c r="E438">
        <f t="shared" si="24"/>
        <v>1491037.9380000001</v>
      </c>
      <c r="F438">
        <f t="shared" si="25"/>
        <v>0.13354581337810184</v>
      </c>
      <c r="G438" t="s">
        <v>440</v>
      </c>
      <c r="H438" s="4" cm="1">
        <f t="array" ref="H438">_xll.SNL.Clients.Office.Excel.Functions.SPG(G438, "SP_TOTAL_REV", "CY2023")</f>
        <v>11164992</v>
      </c>
      <c r="I438" s="4">
        <f>_xll.SNL.Clients.Office.Excel.Functions.SPG(G438,"IQ_AVG_DILUT_SHARES_OUT","CY2023")</f>
        <v>205547000</v>
      </c>
      <c r="J438" s="5">
        <f>_xll.SNL.Clients.Office.Excel.Functions.SPG(G438, "IQ_DILUT_EPS_NORM", "CY2023")</f>
        <v>7.2539999999999996</v>
      </c>
      <c r="K438">
        <f t="shared" si="26"/>
        <v>1491037.9380000001</v>
      </c>
      <c r="L438">
        <f t="shared" si="27"/>
        <v>0.13354581337810184</v>
      </c>
    </row>
    <row r="439" spans="1:12" x14ac:dyDescent="0.3">
      <c r="A439" t="s">
        <v>441</v>
      </c>
      <c r="B439" s="4" cm="1">
        <f t="array" ref="B439">_xll.SNL.Clients.Office.Excel.Functions.SPG(A439, "SP_TOTAL_REV", "CY2023")</f>
        <v>152669000</v>
      </c>
      <c r="C439" s="4">
        <f>_xll.SNL.Clients.Office.Excel.Functions.SPG(A439,"IQ_AVG_DILUT_SHARES_OUT","CY2023")</f>
        <v>1002000000</v>
      </c>
      <c r="D439" s="5">
        <f>_xll.SNL.Clients.Office.Excel.Functions.SPG(A439, "IQ_DILUT_EPS_NORM", "CY2023")</f>
        <v>12.428000000000001</v>
      </c>
      <c r="E439">
        <f t="shared" si="24"/>
        <v>12452856</v>
      </c>
      <c r="F439">
        <f t="shared" si="25"/>
        <v>8.1567679096607698E-2</v>
      </c>
      <c r="G439" t="s">
        <v>441</v>
      </c>
      <c r="H439" s="4" cm="1">
        <f t="array" ref="H439">_xll.SNL.Clients.Office.Excel.Functions.SPG(G439, "SP_TOTAL_REV", "CY2023")</f>
        <v>152669000</v>
      </c>
      <c r="I439" s="4">
        <f>_xll.SNL.Clients.Office.Excel.Functions.SPG(G439,"IQ_AVG_DILUT_SHARES_OUT","CY2023")</f>
        <v>1002000000</v>
      </c>
      <c r="J439" s="5">
        <f>_xll.SNL.Clients.Office.Excel.Functions.SPG(G439, "IQ_DILUT_EPS_NORM", "CY2023")</f>
        <v>12.428000000000001</v>
      </c>
      <c r="K439">
        <f t="shared" si="26"/>
        <v>12452856</v>
      </c>
      <c r="L439">
        <f t="shared" si="27"/>
        <v>8.1567679096607698E-2</v>
      </c>
    </row>
    <row r="440" spans="1:12" x14ac:dyDescent="0.3">
      <c r="A440" t="s">
        <v>442</v>
      </c>
      <c r="B440" s="4" cm="1">
        <f t="array" ref="B440">_xll.SNL.Clients.Office.Excel.Functions.SPG(A440, "SP_TOTAL_REV", "CY2023")</f>
        <v>9400600</v>
      </c>
      <c r="C440" s="4">
        <f>_xll.SNL.Clients.Office.Excel.Functions.SPG(A440,"IQ_AVG_DILUT_SHARES_OUT","CY2023")</f>
        <v>385900000</v>
      </c>
      <c r="D440" s="5">
        <f>_xll.SNL.Clients.Office.Excel.Functions.SPG(A440, "IQ_DILUT_EPS_NORM", "CY2023")</f>
        <v>2.2069999999999999</v>
      </c>
      <c r="E440">
        <f t="shared" si="24"/>
        <v>851681.3</v>
      </c>
      <c r="F440">
        <f t="shared" si="25"/>
        <v>9.0598610726974879E-2</v>
      </c>
      <c r="G440" t="s">
        <v>442</v>
      </c>
      <c r="H440" s="4" cm="1">
        <f t="array" ref="H440">_xll.SNL.Clients.Office.Excel.Functions.SPG(G440, "SP_TOTAL_REV", "CY2023")</f>
        <v>9400600</v>
      </c>
      <c r="I440" s="4">
        <f>_xll.SNL.Clients.Office.Excel.Functions.SPG(G440,"IQ_AVG_DILUT_SHARES_OUT","CY2023")</f>
        <v>385900000</v>
      </c>
      <c r="J440" s="5">
        <f>_xll.SNL.Clients.Office.Excel.Functions.SPG(G440, "IQ_DILUT_EPS_NORM", "CY2023")</f>
        <v>2.2069999999999999</v>
      </c>
      <c r="K440">
        <f t="shared" si="26"/>
        <v>851681.3</v>
      </c>
      <c r="L440">
        <f t="shared" si="27"/>
        <v>9.0598610726974879E-2</v>
      </c>
    </row>
    <row r="441" spans="1:12" x14ac:dyDescent="0.3">
      <c r="A441" t="s">
        <v>443</v>
      </c>
      <c r="B441" s="4" cm="1">
        <f t="array" ref="B441">_xll.SNL.Clients.Office.Excel.Functions.SPG(A441, "SP_TOTAL_REV", "CY2023")</f>
        <v>8207800</v>
      </c>
      <c r="C441" s="4">
        <f>_xll.SNL.Clients.Office.Excel.Functions.SPG(A441,"IQ_AVG_DILUT_SHARES_OUT","CY2023")</f>
        <v>104024923</v>
      </c>
      <c r="D441" s="5">
        <f>_xll.SNL.Clients.Office.Excel.Functions.SPG(A441, "IQ_DILUT_EPS_NORM", "CY2023")</f>
        <v>6.8730000000000002</v>
      </c>
      <c r="E441">
        <f t="shared" si="24"/>
        <v>714963.29577900004</v>
      </c>
      <c r="F441">
        <f t="shared" si="25"/>
        <v>8.7107787199858677E-2</v>
      </c>
      <c r="G441" t="s">
        <v>443</v>
      </c>
      <c r="H441" s="4" cm="1">
        <f t="array" ref="H441">_xll.SNL.Clients.Office.Excel.Functions.SPG(G441, "SP_TOTAL_REV", "CY2023")</f>
        <v>8207800</v>
      </c>
      <c r="I441" s="4">
        <f>_xll.SNL.Clients.Office.Excel.Functions.SPG(G441,"IQ_AVG_DILUT_SHARES_OUT","CY2023")</f>
        <v>104024923</v>
      </c>
      <c r="J441" s="5">
        <f>_xll.SNL.Clients.Office.Excel.Functions.SPG(G441, "IQ_DILUT_EPS_NORM", "CY2023")</f>
        <v>6.8730000000000002</v>
      </c>
      <c r="K441">
        <f t="shared" si="26"/>
        <v>714963.29577900004</v>
      </c>
      <c r="L441">
        <f t="shared" si="27"/>
        <v>8.7107787199858677E-2</v>
      </c>
    </row>
    <row r="442" spans="1:12" x14ac:dyDescent="0.3">
      <c r="A442" t="s">
        <v>444</v>
      </c>
      <c r="B442" s="4" cm="1">
        <f t="array" ref="B442">_xll.SNL.Clients.Office.Excel.Functions.SPG(A442, "SP_TOTAL_REV", "CY2023")</f>
        <v>26640000</v>
      </c>
      <c r="C442" s="4">
        <f>_xll.SNL.Clients.Office.Excel.Functions.SPG(A442,"IQ_AVG_DILUT_SHARES_OUT","CY2023")</f>
        <v>1235000000</v>
      </c>
      <c r="D442" s="5">
        <f>_xll.SNL.Clients.Office.Excel.Functions.SPG(A442, "IQ_DILUT_EPS_NORM", "CY2023")</f>
        <v>2.294</v>
      </c>
      <c r="E442">
        <f t="shared" si="24"/>
        <v>2833090</v>
      </c>
      <c r="F442">
        <f t="shared" si="25"/>
        <v>0.10634722222222222</v>
      </c>
      <c r="G442" t="s">
        <v>444</v>
      </c>
      <c r="H442" s="4" cm="1">
        <f t="array" ref="H442">_xll.SNL.Clients.Office.Excel.Functions.SPG(G442, "SP_TOTAL_REV", "CY2023")</f>
        <v>26640000</v>
      </c>
      <c r="I442" s="4">
        <f>_xll.SNL.Clients.Office.Excel.Functions.SPG(G442,"IQ_AVG_DILUT_SHARES_OUT","CY2023")</f>
        <v>1235000000</v>
      </c>
      <c r="J442" s="5">
        <f>_xll.SNL.Clients.Office.Excel.Functions.SPG(G442, "IQ_DILUT_EPS_NORM", "CY2023")</f>
        <v>2.294</v>
      </c>
      <c r="K442">
        <f t="shared" si="26"/>
        <v>2833090</v>
      </c>
      <c r="L442">
        <f t="shared" si="27"/>
        <v>0.10634722222222222</v>
      </c>
    </row>
    <row r="443" spans="1:12" x14ac:dyDescent="0.3">
      <c r="A443" t="s">
        <v>445</v>
      </c>
      <c r="B443" s="4" cm="1">
        <f t="array" ref="B443">_xll.SNL.Clients.Office.Excel.Functions.SPG(A443, "SP_TOTAL_REV", "CY2023")</f>
        <v>150039000</v>
      </c>
      <c r="C443" s="4">
        <f>_xll.SNL.Clients.Office.Excel.Functions.SPG(A443,"IQ_AVG_DILUT_SHARES_OUT","CY2023")</f>
        <v>725000000</v>
      </c>
      <c r="D443" s="5">
        <f>_xll.SNL.Clients.Office.Excel.Functions.SPG(A443, "IQ_DILUT_EPS_NORM", "CY2023")</f>
        <v>3.911</v>
      </c>
      <c r="E443">
        <f t="shared" si="24"/>
        <v>2835475</v>
      </c>
      <c r="F443">
        <f t="shared" si="25"/>
        <v>1.8898253120855243E-2</v>
      </c>
      <c r="G443" t="s">
        <v>445</v>
      </c>
      <c r="H443" s="4" cm="1">
        <f t="array" ref="H443">_xll.SNL.Clients.Office.Excel.Functions.SPG(G443, "SP_TOTAL_REV", "CY2023")</f>
        <v>150039000</v>
      </c>
      <c r="I443" s="4">
        <f>_xll.SNL.Clients.Office.Excel.Functions.SPG(G443,"IQ_AVG_DILUT_SHARES_OUT","CY2023")</f>
        <v>725000000</v>
      </c>
      <c r="J443" s="5">
        <f>_xll.SNL.Clients.Office.Excel.Functions.SPG(G443, "IQ_DILUT_EPS_NORM", "CY2023")</f>
        <v>3.911</v>
      </c>
      <c r="K443">
        <f t="shared" si="26"/>
        <v>2835475</v>
      </c>
      <c r="L443">
        <f t="shared" si="27"/>
        <v>1.8898253120855243E-2</v>
      </c>
    </row>
    <row r="444" spans="1:12" x14ac:dyDescent="0.3">
      <c r="A444" t="s">
        <v>446</v>
      </c>
      <c r="B444" s="4" cm="1">
        <f t="array" ref="B444">_xll.SNL.Clients.Office.Excel.Functions.SPG(A444, "SP_TOTAL_REV", "CY2023")</f>
        <v>13696100</v>
      </c>
      <c r="C444" s="4">
        <f>_xll.SNL.Clients.Office.Excel.Functions.SPG(A444,"IQ_AVG_DILUT_SHARES_OUT","CY2023")</f>
        <v>333200000</v>
      </c>
      <c r="D444" s="5">
        <f>_xll.SNL.Clients.Office.Excel.Functions.SPG(A444, "IQ_DILUT_EPS_NORM", "CY2023")</f>
        <v>2.4750000000000001</v>
      </c>
      <c r="E444">
        <f t="shared" si="24"/>
        <v>824670</v>
      </c>
      <c r="F444">
        <f t="shared" si="25"/>
        <v>6.0212031162155649E-2</v>
      </c>
      <c r="G444" t="s">
        <v>446</v>
      </c>
      <c r="H444" s="4" cm="1">
        <f t="array" ref="H444">_xll.SNL.Clients.Office.Excel.Functions.SPG(G444, "SP_TOTAL_REV", "CY2023")</f>
        <v>13696100</v>
      </c>
      <c r="I444" s="4">
        <f>_xll.SNL.Clients.Office.Excel.Functions.SPG(G444,"IQ_AVG_DILUT_SHARES_OUT","CY2023")</f>
        <v>333200000</v>
      </c>
      <c r="J444" s="5">
        <f>_xll.SNL.Clients.Office.Excel.Functions.SPG(G444, "IQ_DILUT_EPS_NORM", "CY2023")</f>
        <v>2.4750000000000001</v>
      </c>
      <c r="K444">
        <f t="shared" si="26"/>
        <v>824670</v>
      </c>
      <c r="L444">
        <f t="shared" si="27"/>
        <v>6.0212031162155649E-2</v>
      </c>
    </row>
    <row r="445" spans="1:12" x14ac:dyDescent="0.3">
      <c r="A445" t="s">
        <v>447</v>
      </c>
      <c r="B445" s="4" cm="1">
        <f t="array" ref="B445">_xll.SNL.Clients.Office.Excel.Functions.SPG(A445, "SP_TOTAL_REV", "CY2023")</f>
        <v>21490000</v>
      </c>
      <c r="C445" s="4">
        <f>_xll.SNL.Clients.Office.Excel.Functions.SPG(A445,"IQ_AVG_DILUT_SHARES_OUT","CY2023")</f>
        <v>401000000</v>
      </c>
      <c r="D445" s="5">
        <f>_xll.SNL.Clients.Office.Excel.Functions.SPG(A445, "IQ_DILUT_EPS_NORM", "CY2023")</f>
        <v>10.327</v>
      </c>
      <c r="E445">
        <f t="shared" si="24"/>
        <v>4141127</v>
      </c>
      <c r="F445">
        <f t="shared" si="25"/>
        <v>0.19270018613308515</v>
      </c>
      <c r="G445" t="s">
        <v>447</v>
      </c>
      <c r="H445" s="4" cm="1">
        <f t="array" ref="H445">_xll.SNL.Clients.Office.Excel.Functions.SPG(G445, "SP_TOTAL_REV", "CY2023")</f>
        <v>21490000</v>
      </c>
      <c r="I445" s="4">
        <f>_xll.SNL.Clients.Office.Excel.Functions.SPG(G445,"IQ_AVG_DILUT_SHARES_OUT","CY2023")</f>
        <v>401000000</v>
      </c>
      <c r="J445" s="5">
        <f>_xll.SNL.Clients.Office.Excel.Functions.SPG(G445, "IQ_DILUT_EPS_NORM", "CY2023")</f>
        <v>10.327</v>
      </c>
      <c r="K445">
        <f t="shared" si="26"/>
        <v>4141127</v>
      </c>
      <c r="L445">
        <f t="shared" si="27"/>
        <v>0.19270018613308515</v>
      </c>
    </row>
    <row r="446" spans="1:12" x14ac:dyDescent="0.3">
      <c r="A446" t="s">
        <v>448</v>
      </c>
      <c r="B446" s="4" cm="1">
        <f t="array" ref="B446">_xll.SNL.Clients.Office.Excel.Functions.SPG(A446, "SP_TOTAL_REV", "CY2023")</f>
        <v>83933000</v>
      </c>
      <c r="C446" s="4">
        <f>_xll.SNL.Clients.Office.Excel.Functions.SPG(A446,"IQ_AVG_DILUT_SHARES_OUT","CY2023")</f>
        <v>2473600000</v>
      </c>
      <c r="D446" s="5">
        <f>_xll.SNL.Clients.Office.Excel.Functions.SPG(A446, "IQ_DILUT_EPS_NORM", "CY2023")</f>
        <v>5.141</v>
      </c>
      <c r="E446">
        <f t="shared" si="24"/>
        <v>12716777.6</v>
      </c>
      <c r="F446">
        <f t="shared" si="25"/>
        <v>0.15151105762929956</v>
      </c>
      <c r="G446" t="s">
        <v>448</v>
      </c>
      <c r="H446" s="4" cm="1">
        <f t="array" ref="H446">_xll.SNL.Clients.Office.Excel.Functions.SPG(G446, "SP_TOTAL_REV", "CY2023")</f>
        <v>83933000</v>
      </c>
      <c r="I446" s="4">
        <f>_xll.SNL.Clients.Office.Excel.Functions.SPG(G446,"IQ_AVG_DILUT_SHARES_OUT","CY2023")</f>
        <v>2473600000</v>
      </c>
      <c r="J446" s="5">
        <f>_xll.SNL.Clients.Office.Excel.Functions.SPG(G446, "IQ_DILUT_EPS_NORM", "CY2023")</f>
        <v>5.141</v>
      </c>
      <c r="K446">
        <f t="shared" si="26"/>
        <v>12716777.6</v>
      </c>
      <c r="L446">
        <f t="shared" si="27"/>
        <v>0.15151105762929956</v>
      </c>
    </row>
    <row r="447" spans="1:12" x14ac:dyDescent="0.3">
      <c r="A447" t="s">
        <v>449</v>
      </c>
      <c r="B447" s="4" cm="1">
        <f t="array" ref="B447">_xll.SNL.Clients.Office.Excel.Functions.SPG(A447, "SP_TOTAL_REV", "CY2023")</f>
        <v>62082300</v>
      </c>
      <c r="C447" s="4">
        <f>_xll.SNL.Clients.Office.Excel.Functions.SPG(A447,"IQ_AVG_DILUT_SHARES_OUT","CY2023")</f>
        <v>587500000</v>
      </c>
      <c r="D447" s="5">
        <f>_xll.SNL.Clients.Office.Excel.Functions.SPG(A447, "IQ_DILUT_EPS_NORM", "CY2023")</f>
        <v>5.2169999999999996</v>
      </c>
      <c r="E447">
        <f t="shared" si="24"/>
        <v>3064987.5</v>
      </c>
      <c r="F447">
        <f t="shared" si="25"/>
        <v>4.9369747899159662E-2</v>
      </c>
      <c r="G447" t="s">
        <v>449</v>
      </c>
      <c r="H447" s="4" cm="1">
        <f t="array" ref="H447">_xll.SNL.Clients.Office.Excel.Functions.SPG(G447, "SP_TOTAL_REV", "CY2023")</f>
        <v>62082300</v>
      </c>
      <c r="I447" s="4">
        <f>_xll.SNL.Clients.Office.Excel.Functions.SPG(G447,"IQ_AVG_DILUT_SHARES_OUT","CY2023")</f>
        <v>587500000</v>
      </c>
      <c r="J447" s="5">
        <f>_xll.SNL.Clients.Office.Excel.Functions.SPG(G447, "IQ_DILUT_EPS_NORM", "CY2023")</f>
        <v>5.2169999999999996</v>
      </c>
      <c r="K447">
        <f t="shared" si="26"/>
        <v>3064987.5</v>
      </c>
      <c r="L447">
        <f t="shared" si="27"/>
        <v>4.9369747899159662E-2</v>
      </c>
    </row>
    <row r="448" spans="1:12" x14ac:dyDescent="0.3">
      <c r="A448" t="s">
        <v>450</v>
      </c>
      <c r="B448" s="4" cm="1">
        <f t="array" ref="B448">_xll.SNL.Clients.Office.Excel.Functions.SPG(A448, "SP_TOTAL_REV", "CY2023")</f>
        <v>23051900</v>
      </c>
      <c r="C448" s="4">
        <f>_xll.SNL.Clients.Office.Excel.Functions.SPG(A448,"IQ_AVG_DILUT_SHARES_OUT","CY2023")</f>
        <v>258300000</v>
      </c>
      <c r="D448" s="5">
        <f>_xll.SNL.Clients.Office.Excel.Functions.SPG(A448, "IQ_DILUT_EPS_NORM", "CY2023")</f>
        <v>7.6950000000000003</v>
      </c>
      <c r="E448">
        <f t="shared" si="24"/>
        <v>1987618.5</v>
      </c>
      <c r="F448">
        <f t="shared" si="25"/>
        <v>8.6223630156299483E-2</v>
      </c>
      <c r="G448" t="s">
        <v>450</v>
      </c>
      <c r="H448" s="4" cm="1">
        <f t="array" ref="H448">_xll.SNL.Clients.Office.Excel.Functions.SPG(G448, "SP_TOTAL_REV", "CY2023")</f>
        <v>23051900</v>
      </c>
      <c r="I448" s="4">
        <f>_xll.SNL.Clients.Office.Excel.Functions.SPG(G448,"IQ_AVG_DILUT_SHARES_OUT","CY2023")</f>
        <v>258300000</v>
      </c>
      <c r="J448" s="5">
        <f>_xll.SNL.Clients.Office.Excel.Functions.SPG(G448, "IQ_DILUT_EPS_NORM", "CY2023")</f>
        <v>7.6950000000000003</v>
      </c>
      <c r="K448">
        <f t="shared" si="26"/>
        <v>1987618.5</v>
      </c>
      <c r="L448">
        <f t="shared" si="27"/>
        <v>8.6223630156299483E-2</v>
      </c>
    </row>
    <row r="449" spans="1:12" x14ac:dyDescent="0.3">
      <c r="A449" t="s">
        <v>451</v>
      </c>
      <c r="B449" s="4" cm="1">
        <f t="array" ref="B449">_xll.SNL.Clients.Office.Excel.Functions.SPG(A449, "SP_TOTAL_REV", "CY2023")</f>
        <v>25253000</v>
      </c>
      <c r="C449" s="4">
        <f>_xll.SNL.Clients.Office.Excel.Functions.SPG(A449,"IQ_AVG_DILUT_SHARES_OUT","CY2023")</f>
        <v>1098000000</v>
      </c>
      <c r="D449" s="5">
        <f>_xll.SNL.Clients.Office.Excel.Functions.SPG(A449, "IQ_DILUT_EPS_NORM", "CY2023")</f>
        <v>2.589</v>
      </c>
      <c r="E449">
        <f t="shared" si="24"/>
        <v>2842722</v>
      </c>
      <c r="F449">
        <f t="shared" si="25"/>
        <v>0.11256967489011206</v>
      </c>
      <c r="G449" t="s">
        <v>451</v>
      </c>
      <c r="H449" s="4" cm="1">
        <f t="array" ref="H449">_xll.SNL.Clients.Office.Excel.Functions.SPG(G449, "SP_TOTAL_REV", "CY2023")</f>
        <v>25253000</v>
      </c>
      <c r="I449" s="4">
        <f>_xll.SNL.Clients.Office.Excel.Functions.SPG(G449,"IQ_AVG_DILUT_SHARES_OUT","CY2023")</f>
        <v>1098000000</v>
      </c>
      <c r="J449" s="5">
        <f>_xll.SNL.Clients.Office.Excel.Functions.SPG(G449, "IQ_DILUT_EPS_NORM", "CY2023")</f>
        <v>2.589</v>
      </c>
      <c r="K449">
        <f t="shared" si="26"/>
        <v>2842722</v>
      </c>
      <c r="L449">
        <f t="shared" si="27"/>
        <v>0.11256967489011206</v>
      </c>
    </row>
    <row r="450" spans="1:12" x14ac:dyDescent="0.3">
      <c r="A450" t="s">
        <v>452</v>
      </c>
      <c r="B450" s="4" cm="1">
        <f t="array" ref="B450">_xll.SNL.Clients.Office.Excel.Functions.SPG(A450, "SP_TOTAL_REV", "CY2023")</f>
        <v>54217000</v>
      </c>
      <c r="C450" s="4">
        <f>_xll.SNL.Clients.Office.Excel.Functions.SPG(A450,"IQ_AVG_DILUT_SHARES_OUT","CY2023")</f>
        <v>1159000000</v>
      </c>
      <c r="D450" s="5">
        <f>_xll.SNL.Clients.Office.Excel.Functions.SPG(A450, "IQ_DILUT_EPS_NORM", "CY2023")</f>
        <v>3.218</v>
      </c>
      <c r="E450">
        <f t="shared" si="24"/>
        <v>3729662</v>
      </c>
      <c r="F450">
        <f t="shared" si="25"/>
        <v>6.8791375398860141E-2</v>
      </c>
      <c r="G450" t="s">
        <v>452</v>
      </c>
      <c r="H450" s="4" cm="1">
        <f t="array" ref="H450">_xll.SNL.Clients.Office.Excel.Functions.SPG(G450, "SP_TOTAL_REV", "CY2023")</f>
        <v>54217000</v>
      </c>
      <c r="I450" s="4">
        <f>_xll.SNL.Clients.Office.Excel.Functions.SPG(G450,"IQ_AVG_DILUT_SHARES_OUT","CY2023")</f>
        <v>1159000000</v>
      </c>
      <c r="J450" s="5">
        <f>_xll.SNL.Clients.Office.Excel.Functions.SPG(G450, "IQ_DILUT_EPS_NORM", "CY2023")</f>
        <v>3.218</v>
      </c>
      <c r="K450">
        <f t="shared" si="26"/>
        <v>3729662</v>
      </c>
      <c r="L450">
        <f t="shared" si="27"/>
        <v>6.8791375398860141E-2</v>
      </c>
    </row>
    <row r="451" spans="1:12" x14ac:dyDescent="0.3">
      <c r="A451" t="s">
        <v>453</v>
      </c>
      <c r="B451" s="4" cm="1">
        <f t="array" ref="B451">_xll.SNL.Clients.Office.Excel.Functions.SPG(A451, "SP_TOTAL_REV", "CY2023")</f>
        <v>41364000</v>
      </c>
      <c r="C451" s="4">
        <f>_xll.SNL.Clients.Office.Excel.Functions.SPG(A451,"IQ_AVG_DILUT_SHARES_OUT","CY2023")</f>
        <v>232200000</v>
      </c>
      <c r="D451" s="5">
        <f>_xll.SNL.Clients.Office.Excel.Functions.SPG(A451, "IQ_DILUT_EPS_NORM", "CY2023")</f>
        <v>9.0739999999999998</v>
      </c>
      <c r="E451">
        <f t="shared" si="24"/>
        <v>2106982.7999999998</v>
      </c>
      <c r="F451">
        <f t="shared" si="25"/>
        <v>5.093759791122715E-2</v>
      </c>
      <c r="G451" t="s">
        <v>453</v>
      </c>
      <c r="H451" s="4" cm="1">
        <f t="array" ref="H451">_xll.SNL.Clients.Office.Excel.Functions.SPG(G451, "SP_TOTAL_REV", "CY2023")</f>
        <v>41364000</v>
      </c>
      <c r="I451" s="4">
        <f>_xll.SNL.Clients.Office.Excel.Functions.SPG(G451,"IQ_AVG_DILUT_SHARES_OUT","CY2023")</f>
        <v>232200000</v>
      </c>
      <c r="J451" s="5">
        <f>_xll.SNL.Clients.Office.Excel.Functions.SPG(G451, "IQ_DILUT_EPS_NORM", "CY2023")</f>
        <v>9.0739999999999998</v>
      </c>
      <c r="K451">
        <f t="shared" si="26"/>
        <v>2106982.7999999998</v>
      </c>
      <c r="L451">
        <f t="shared" si="27"/>
        <v>5.093759791122715E-2</v>
      </c>
    </row>
    <row r="452" spans="1:12" x14ac:dyDescent="0.3">
      <c r="A452" t="s">
        <v>454</v>
      </c>
      <c r="B452" s="4" cm="1">
        <f t="array" ref="B452">_xll.SNL.Clients.Office.Excel.Functions.SPG(A452, "SP_TOTAL_REV", "CY2023")</f>
        <v>88935000</v>
      </c>
      <c r="C452" s="4">
        <f>_xll.SNL.Clients.Office.Excel.Functions.SPG(A452,"IQ_AVG_DILUT_SHARES_OUT","CY2023")</f>
        <v>1832000000</v>
      </c>
      <c r="D452" s="5">
        <f>_xll.SNL.Clients.Office.Excel.Functions.SPG(A452, "IQ_DILUT_EPS_NORM", "CY2023")</f>
        <v>2.5819999999999999</v>
      </c>
      <c r="E452">
        <f t="shared" si="24"/>
        <v>4730224</v>
      </c>
      <c r="F452">
        <f t="shared" si="25"/>
        <v>5.3187429021195255E-2</v>
      </c>
      <c r="G452" t="s">
        <v>454</v>
      </c>
      <c r="H452" s="4" cm="1">
        <f t="array" ref="H452">_xll.SNL.Clients.Office.Excel.Functions.SPG(G452, "SP_TOTAL_REV", "CY2023")</f>
        <v>88935000</v>
      </c>
      <c r="I452" s="4">
        <f>_xll.SNL.Clients.Office.Excel.Functions.SPG(G452,"IQ_AVG_DILUT_SHARES_OUT","CY2023")</f>
        <v>1832000000</v>
      </c>
      <c r="J452" s="5">
        <f>_xll.SNL.Clients.Office.Excel.Functions.SPG(G452, "IQ_DILUT_EPS_NORM", "CY2023")</f>
        <v>2.5819999999999999</v>
      </c>
      <c r="K452">
        <f t="shared" si="26"/>
        <v>4730224</v>
      </c>
      <c r="L452">
        <f t="shared" si="27"/>
        <v>5.3187429021195255E-2</v>
      </c>
    </row>
    <row r="453" spans="1:12" x14ac:dyDescent="0.3">
      <c r="A453" t="s">
        <v>455</v>
      </c>
      <c r="B453" s="4" cm="1">
        <f t="array" ref="B453">_xll.SNL.Clients.Office.Excel.Functions.SPG(A453, "SP_TOTAL_REV", "CY2023")</f>
        <v>9951000</v>
      </c>
      <c r="C453" s="4">
        <f>_xll.SNL.Clients.Office.Excel.Functions.SPG(A453,"IQ_AVG_DILUT_SHARES_OUT","CY2023")</f>
        <v>1222715000</v>
      </c>
      <c r="D453" s="5">
        <f>_xll.SNL.Clients.Office.Excel.Functions.SPG(A453, "IQ_DILUT_EPS_NORM", "CY2023")</f>
        <v>1.823</v>
      </c>
      <c r="E453">
        <f t="shared" ref="E453:E506" si="28">C453*D453/1000</f>
        <v>2229009.4449999998</v>
      </c>
      <c r="F453">
        <f t="shared" ref="F453:F506" si="29">E453/B453</f>
        <v>0.22399853733293135</v>
      </c>
      <c r="G453" t="s">
        <v>455</v>
      </c>
      <c r="H453" s="4" cm="1">
        <f t="array" ref="H453">_xll.SNL.Clients.Office.Excel.Functions.SPG(G453, "SP_TOTAL_REV", "CY2023")</f>
        <v>9951000</v>
      </c>
      <c r="I453" s="4">
        <f>_xll.SNL.Clients.Office.Excel.Functions.SPG(G453,"IQ_AVG_DILUT_SHARES_OUT","CY2023")</f>
        <v>1222715000</v>
      </c>
      <c r="J453" s="5">
        <f>_xll.SNL.Clients.Office.Excel.Functions.SPG(G453, "IQ_DILUT_EPS_NORM", "CY2023")</f>
        <v>1.823</v>
      </c>
      <c r="K453">
        <f t="shared" ref="K453:K506" si="30">I453*J453/1000</f>
        <v>2229009.4449999998</v>
      </c>
      <c r="L453">
        <f t="shared" ref="L453:L506" si="31">K453/H453</f>
        <v>0.22399853733293135</v>
      </c>
    </row>
    <row r="454" spans="1:12" x14ac:dyDescent="0.3">
      <c r="A454" t="s">
        <v>456</v>
      </c>
      <c r="B454" s="4" cm="1">
        <f t="array" ref="B454">_xll.SNL.Clients.Office.Excel.Functions.SPG(A454, "SP_TOTAL_REV", "CY2023")</f>
        <v>42857000</v>
      </c>
      <c r="C454" s="4">
        <f>_xll.SNL.Clients.Office.Excel.Functions.SPG(A454,"IQ_AVG_DILUT_SHARES_OUT","CY2023")</f>
        <v>388000000</v>
      </c>
      <c r="D454" s="5">
        <f>_xll.SNL.Clients.Office.Excel.Functions.SPG(A454, "IQ_DILUT_EPS_NORM", "CY2023")</f>
        <v>11.081</v>
      </c>
      <c r="E454">
        <f t="shared" si="28"/>
        <v>4299428</v>
      </c>
      <c r="F454">
        <f t="shared" si="29"/>
        <v>0.10032032106773689</v>
      </c>
      <c r="G454" t="s">
        <v>456</v>
      </c>
      <c r="H454" s="4" cm="1">
        <f t="array" ref="H454">_xll.SNL.Clients.Office.Excel.Functions.SPG(G454, "SP_TOTAL_REV", "CY2023")</f>
        <v>42857000</v>
      </c>
      <c r="I454" s="4">
        <f>_xll.SNL.Clients.Office.Excel.Functions.SPG(G454,"IQ_AVG_DILUT_SHARES_OUT","CY2023")</f>
        <v>388000000</v>
      </c>
      <c r="J454" s="5">
        <f>_xll.SNL.Clients.Office.Excel.Functions.SPG(G454, "IQ_DILUT_EPS_NORM", "CY2023")</f>
        <v>11.081</v>
      </c>
      <c r="K454">
        <f t="shared" si="30"/>
        <v>4299428</v>
      </c>
      <c r="L454">
        <f t="shared" si="31"/>
        <v>0.10032032106773689</v>
      </c>
    </row>
    <row r="455" spans="1:12" x14ac:dyDescent="0.3">
      <c r="A455" t="s">
        <v>457</v>
      </c>
      <c r="B455" s="4" cm="1">
        <f t="array" ref="B455">_xll.SNL.Clients.Office.Excel.Functions.SPG(A455, "SP_TOTAL_REV", "CY2023")</f>
        <v>14555741</v>
      </c>
      <c r="C455" s="4">
        <f>_xll.SNL.Clients.Office.Excel.Functions.SPG(A455,"IQ_AVG_DILUT_SHARES_OUT","CY2023")</f>
        <v>109746000</v>
      </c>
      <c r="D455" s="5">
        <f>_xll.SNL.Clients.Office.Excel.Functions.SPG(A455, "IQ_DILUT_EPS_NORM", "CY2023")</f>
        <v>8.157</v>
      </c>
      <c r="E455">
        <f t="shared" si="28"/>
        <v>895198.12199999997</v>
      </c>
      <c r="F455">
        <f t="shared" si="29"/>
        <v>6.1501377497717225E-2</v>
      </c>
      <c r="G455" t="s">
        <v>457</v>
      </c>
      <c r="H455" s="4" cm="1">
        <f t="array" ref="H455">_xll.SNL.Clients.Office.Excel.Functions.SPG(G455, "SP_TOTAL_REV", "CY2023")</f>
        <v>14555741</v>
      </c>
      <c r="I455" s="4">
        <f>_xll.SNL.Clients.Office.Excel.Functions.SPG(G455,"IQ_AVG_DILUT_SHARES_OUT","CY2023")</f>
        <v>109746000</v>
      </c>
      <c r="J455" s="5">
        <f>_xll.SNL.Clients.Office.Excel.Functions.SPG(G455, "IQ_DILUT_EPS_NORM", "CY2023")</f>
        <v>8.157</v>
      </c>
      <c r="K455">
        <f t="shared" si="30"/>
        <v>895198.12199999997</v>
      </c>
      <c r="L455">
        <f t="shared" si="31"/>
        <v>6.1501377497717225E-2</v>
      </c>
    </row>
    <row r="456" spans="1:12" x14ac:dyDescent="0.3">
      <c r="A456" t="s">
        <v>458</v>
      </c>
      <c r="B456" s="4" cm="1">
        <f t="array" ref="B456">_xll.SNL.Clients.Office.Excel.Functions.SPG(A456, "SP_TOTAL_REV", "CY2023")</f>
        <v>17677600</v>
      </c>
      <c r="C456" s="4">
        <f>_xll.SNL.Clients.Office.Excel.Functions.SPG(A456,"IQ_AVG_DILUT_SHARES_OUT","CY2023")</f>
        <v>230700000</v>
      </c>
      <c r="D456" s="5">
        <f>_xll.SNL.Clients.Office.Excel.Functions.SPG(A456, "IQ_DILUT_EPS_NORM", "CY2023")</f>
        <v>6.8860000000000001</v>
      </c>
      <c r="E456">
        <f t="shared" si="28"/>
        <v>1588600.2</v>
      </c>
      <c r="F456">
        <f t="shared" si="29"/>
        <v>8.986515137801511E-2</v>
      </c>
      <c r="G456" t="s">
        <v>458</v>
      </c>
      <c r="H456" s="4" cm="1">
        <f t="array" ref="H456">_xll.SNL.Clients.Office.Excel.Functions.SPG(G456, "SP_TOTAL_REV", "CY2023")</f>
        <v>17677600</v>
      </c>
      <c r="I456" s="4">
        <f>_xll.SNL.Clients.Office.Excel.Functions.SPG(G456,"IQ_AVG_DILUT_SHARES_OUT","CY2023")</f>
        <v>230700000</v>
      </c>
      <c r="J456" s="5">
        <f>_xll.SNL.Clients.Office.Excel.Functions.SPG(G456, "IQ_DILUT_EPS_NORM", "CY2023")</f>
        <v>6.8860000000000001</v>
      </c>
      <c r="K456">
        <f t="shared" si="30"/>
        <v>1588600.2</v>
      </c>
      <c r="L456">
        <f t="shared" si="31"/>
        <v>8.986515137801511E-2</v>
      </c>
    </row>
    <row r="457" spans="1:12" x14ac:dyDescent="0.3">
      <c r="A457" t="s">
        <v>459</v>
      </c>
      <c r="B457" s="4" cm="1">
        <f t="array" ref="B457">_xll.SNL.Clients.Office.Excel.Functions.SPG(A457, "SP_TOTAL_REV", "CY2023")</f>
        <v>6977000</v>
      </c>
      <c r="C457" s="4">
        <f>_xll.SNL.Clients.Office.Excel.Functions.SPG(A457,"IQ_AVG_DILUT_SHARES_OUT","CY2023")</f>
        <v>57350000</v>
      </c>
      <c r="D457" s="5">
        <f>_xll.SNL.Clients.Office.Excel.Functions.SPG(A457, "IQ_DILUT_EPS_NORM", "CY2023")</f>
        <v>21.446999999999999</v>
      </c>
      <c r="E457">
        <f t="shared" si="28"/>
        <v>1229985.45</v>
      </c>
      <c r="F457">
        <f t="shared" si="29"/>
        <v>0.17629145048014905</v>
      </c>
      <c r="G457" t="s">
        <v>459</v>
      </c>
      <c r="H457" s="4" cm="1">
        <f t="array" ref="H457">_xll.SNL.Clients.Office.Excel.Functions.SPG(G457, "SP_TOTAL_REV", "CY2023")</f>
        <v>6977000</v>
      </c>
      <c r="I457" s="4">
        <f>_xll.SNL.Clients.Office.Excel.Functions.SPG(G457,"IQ_AVG_DILUT_SHARES_OUT","CY2023")</f>
        <v>57350000</v>
      </c>
      <c r="J457" s="5">
        <f>_xll.SNL.Clients.Office.Excel.Functions.SPG(G457, "IQ_DILUT_EPS_NORM", "CY2023")</f>
        <v>21.446999999999999</v>
      </c>
      <c r="K457">
        <f t="shared" si="30"/>
        <v>1229985.45</v>
      </c>
      <c r="L457">
        <f t="shared" si="31"/>
        <v>0.17629145048014905</v>
      </c>
    </row>
    <row r="458" spans="1:12" x14ac:dyDescent="0.3">
      <c r="A458" t="s">
        <v>460</v>
      </c>
      <c r="B458" s="4" cm="1">
        <f t="array" ref="B458">_xll.SNL.Clients.Office.Excel.Functions.SPG(A458, "SP_TOTAL_REV", "CY2023")</f>
        <v>3798700</v>
      </c>
      <c r="C458" s="4">
        <f>_xll.SNL.Clients.Office.Excel.Functions.SPG(A458,"IQ_AVG_DILUT_SHARES_OUT","CY2023")</f>
        <v>249100000</v>
      </c>
      <c r="D458" s="5">
        <f>_xll.SNL.Clients.Office.Excel.Functions.SPG(A458, "IQ_DILUT_EPS_NORM", "CY2023")</f>
        <v>1.103</v>
      </c>
      <c r="E458">
        <f t="shared" si="28"/>
        <v>274757.3</v>
      </c>
      <c r="F458">
        <f t="shared" si="29"/>
        <v>7.2329296864716869E-2</v>
      </c>
      <c r="G458" t="s">
        <v>460</v>
      </c>
      <c r="H458" s="4" cm="1">
        <f t="array" ref="H458">_xll.SNL.Clients.Office.Excel.Functions.SPG(G458, "SP_TOTAL_REV", "CY2023")</f>
        <v>3798700</v>
      </c>
      <c r="I458" s="4">
        <f>_xll.SNL.Clients.Office.Excel.Functions.SPG(G458,"IQ_AVG_DILUT_SHARES_OUT","CY2023")</f>
        <v>249100000</v>
      </c>
      <c r="J458" s="5">
        <f>_xll.SNL.Clients.Office.Excel.Functions.SPG(G458, "IQ_DILUT_EPS_NORM", "CY2023")</f>
        <v>1.103</v>
      </c>
      <c r="K458">
        <f t="shared" si="30"/>
        <v>274757.3</v>
      </c>
      <c r="L458">
        <f t="shared" si="31"/>
        <v>7.2329296864716869E-2</v>
      </c>
    </row>
    <row r="459" spans="1:12" x14ac:dyDescent="0.3">
      <c r="A459" t="s">
        <v>461</v>
      </c>
      <c r="B459" s="4" cm="1">
        <f t="array" ref="B459">_xll.SNL.Clients.Office.Excel.Functions.SPG(A459, "SP_TOTAL_REV", "CY2023")</f>
        <v>20022000</v>
      </c>
      <c r="C459" s="4">
        <f>_xll.SNL.Clients.Office.Excel.Functions.SPG(A459,"IQ_AVG_DILUT_SHARES_OUT","CY2023")</f>
        <v>1331963000</v>
      </c>
      <c r="D459" s="5">
        <f>_xll.SNL.Clients.Office.Excel.Functions.SPG(A459, "IQ_DILUT_EPS_NORM", "CY2023")</f>
        <v>2.9079999999999999</v>
      </c>
      <c r="E459">
        <f t="shared" si="28"/>
        <v>3873348.4040000001</v>
      </c>
      <c r="F459">
        <f t="shared" si="29"/>
        <v>0.19345462011787035</v>
      </c>
      <c r="G459" t="s">
        <v>461</v>
      </c>
      <c r="H459" s="4" cm="1">
        <f t="array" ref="H459">_xll.SNL.Clients.Office.Excel.Functions.SPG(G459, "SP_TOTAL_REV", "CY2023")</f>
        <v>20022000</v>
      </c>
      <c r="I459" s="4">
        <f>_xll.SNL.Clients.Office.Excel.Functions.SPG(G459,"IQ_AVG_DILUT_SHARES_OUT","CY2023")</f>
        <v>1331963000</v>
      </c>
      <c r="J459" s="5">
        <f>_xll.SNL.Clients.Office.Excel.Functions.SPG(G459, "IQ_DILUT_EPS_NORM", "CY2023")</f>
        <v>2.9079999999999999</v>
      </c>
      <c r="K459">
        <f t="shared" si="30"/>
        <v>3873348.4040000001</v>
      </c>
      <c r="L459">
        <f t="shared" si="31"/>
        <v>0.19345462011787035</v>
      </c>
    </row>
    <row r="460" spans="1:12" x14ac:dyDescent="0.3">
      <c r="A460" t="s">
        <v>462</v>
      </c>
      <c r="B460" s="4" cm="1">
        <f t="array" ref="B460">_xll.SNL.Clients.Office.Excel.Functions.SPG(A460, "SP_TOTAL_REV", "CY2023")</f>
        <v>1951751</v>
      </c>
      <c r="C460" s="4">
        <f>_xll.SNL.Clients.Office.Excel.Functions.SPG(A460,"IQ_AVG_DILUT_SHARES_OUT","CY2023")</f>
        <v>42769000</v>
      </c>
      <c r="D460" s="5">
        <f>_xll.SNL.Clients.Office.Excel.Functions.SPG(A460, "IQ_DILUT_EPS_NORM", "CY2023")</f>
        <v>2.903</v>
      </c>
      <c r="E460">
        <f t="shared" si="28"/>
        <v>124158.40700000001</v>
      </c>
      <c r="F460">
        <f t="shared" si="29"/>
        <v>6.3613855968307431E-2</v>
      </c>
      <c r="G460" t="s">
        <v>462</v>
      </c>
      <c r="H460" s="4" cm="1">
        <f t="array" ref="H460">_xll.SNL.Clients.Office.Excel.Functions.SPG(G460, "SP_TOTAL_REV", "CY2023")</f>
        <v>1951751</v>
      </c>
      <c r="I460" s="4">
        <f>_xll.SNL.Clients.Office.Excel.Functions.SPG(G460,"IQ_AVG_DILUT_SHARES_OUT","CY2023")</f>
        <v>42769000</v>
      </c>
      <c r="J460" s="5">
        <f>_xll.SNL.Clients.Office.Excel.Functions.SPG(G460, "IQ_DILUT_EPS_NORM", "CY2023")</f>
        <v>2.903</v>
      </c>
      <c r="K460">
        <f t="shared" si="30"/>
        <v>124158.40700000001</v>
      </c>
      <c r="L460">
        <f t="shared" si="31"/>
        <v>6.3613855968307431E-2</v>
      </c>
    </row>
    <row r="461" spans="1:12" x14ac:dyDescent="0.3">
      <c r="A461" t="s">
        <v>463</v>
      </c>
      <c r="B461" s="4" cm="1">
        <f t="array" ref="B461">_xll.SNL.Clients.Office.Excel.Functions.SPG(A461, "SP_TOTAL_REV", "CY2023")</f>
        <v>52940000</v>
      </c>
      <c r="C461" s="4">
        <f>_xll.SNL.Clients.Office.Excel.Functions.SPG(A461,"IQ_AVG_DILUT_SHARES_OUT","CY2023")</f>
        <v>353500000</v>
      </c>
      <c r="D461" s="5">
        <f>_xll.SNL.Clients.Office.Excel.Functions.SPG(A461, "IQ_DILUT_EPS_NORM", "CY2023")</f>
        <v>0.60599999999999998</v>
      </c>
      <c r="E461">
        <f t="shared" si="28"/>
        <v>214221</v>
      </c>
      <c r="F461">
        <f t="shared" si="29"/>
        <v>4.0464865885908577E-3</v>
      </c>
      <c r="G461" t="s">
        <v>463</v>
      </c>
      <c r="H461" s="4" cm="1">
        <f t="array" ref="H461">_xll.SNL.Clients.Office.Excel.Functions.SPG(G461, "SP_TOTAL_REV", "CY2023")</f>
        <v>52940000</v>
      </c>
      <c r="I461" s="4">
        <f>_xll.SNL.Clients.Office.Excel.Functions.SPG(G461,"IQ_AVG_DILUT_SHARES_OUT","CY2023")</f>
        <v>353500000</v>
      </c>
      <c r="J461" s="5">
        <f>_xll.SNL.Clients.Office.Excel.Functions.SPG(G461, "IQ_DILUT_EPS_NORM", "CY2023")</f>
        <v>0.60599999999999998</v>
      </c>
      <c r="K461">
        <f t="shared" si="30"/>
        <v>214221</v>
      </c>
      <c r="L461">
        <f t="shared" si="31"/>
        <v>4.0464865885908577E-3</v>
      </c>
    </row>
    <row r="462" spans="1:12" x14ac:dyDescent="0.3">
      <c r="A462" t="s">
        <v>464</v>
      </c>
      <c r="B462" s="4" cm="1">
        <f t="array" ref="B462">_xll.SNL.Clients.Office.Excel.Functions.SPG(A462, "SP_TOTAL_REV", "CY2023")</f>
        <v>28153000</v>
      </c>
      <c r="C462" s="4">
        <f>_xll.SNL.Clients.Office.Excel.Functions.SPG(A462,"IQ_AVG_DILUT_SHARES_OUT","CY2023")</f>
        <v>1543000000</v>
      </c>
      <c r="D462" s="5">
        <f>_xll.SNL.Clients.Office.Excel.Functions.SPG(A462, "IQ_DILUT_EPS_NORM", "CY2023")</f>
        <v>3.1709999999999998</v>
      </c>
      <c r="E462">
        <f t="shared" si="28"/>
        <v>4892853</v>
      </c>
      <c r="F462">
        <f t="shared" si="29"/>
        <v>0.17379508400525698</v>
      </c>
      <c r="G462" t="s">
        <v>464</v>
      </c>
      <c r="H462" s="4" cm="1">
        <f t="array" ref="H462">_xll.SNL.Clients.Office.Excel.Functions.SPG(G462, "SP_TOTAL_REV", "CY2023")</f>
        <v>28153000</v>
      </c>
      <c r="I462" s="4">
        <f>_xll.SNL.Clients.Office.Excel.Functions.SPG(G462,"IQ_AVG_DILUT_SHARES_OUT","CY2023")</f>
        <v>1543000000</v>
      </c>
      <c r="J462" s="5">
        <f>_xll.SNL.Clients.Office.Excel.Functions.SPG(G462, "IQ_DILUT_EPS_NORM", "CY2023")</f>
        <v>3.1709999999999998</v>
      </c>
      <c r="K462">
        <f t="shared" si="30"/>
        <v>4892853</v>
      </c>
      <c r="L462">
        <f t="shared" si="31"/>
        <v>0.17379508400525698</v>
      </c>
    </row>
    <row r="463" spans="1:12" x14ac:dyDescent="0.3">
      <c r="A463" t="s">
        <v>465</v>
      </c>
      <c r="B463" s="4" cm="1">
        <f t="array" ref="B463">_xll.SNL.Clients.Office.Excel.Functions.SPG(A463, "SP_TOTAL_REV", "CY2023")</f>
        <v>37281000</v>
      </c>
      <c r="C463" s="4">
        <f>_xll.SNL.Clients.Office.Excel.Functions.SPG(A463,"IQ_AVG_DILUT_SHARES_OUT","CY2023")</f>
        <v>2091782000</v>
      </c>
      <c r="D463" s="5">
        <f>_xll.SNL.Clients.Office.Excel.Functions.SPG(A463, "IQ_DILUT_EPS_NORM", "CY2023")</f>
        <v>-7.0999999999999994E-2</v>
      </c>
      <c r="E463">
        <f t="shared" si="28"/>
        <v>-148516.522</v>
      </c>
      <c r="F463">
        <f t="shared" si="29"/>
        <v>-3.9837054263565895E-3</v>
      </c>
      <c r="G463" t="s">
        <v>465</v>
      </c>
      <c r="H463" s="4" cm="1">
        <f t="array" ref="H463">_xll.SNL.Clients.Office.Excel.Functions.SPG(G463, "SP_TOTAL_REV", "CY2023")</f>
        <v>37281000</v>
      </c>
      <c r="I463" s="4">
        <f>_xll.SNL.Clients.Office.Excel.Functions.SPG(G463,"IQ_AVG_DILUT_SHARES_OUT","CY2023")</f>
        <v>2091782000</v>
      </c>
      <c r="J463" s="5">
        <f>_xll.SNL.Clients.Office.Excel.Functions.SPG(G463, "IQ_DILUT_EPS_NORM", "CY2023")</f>
        <v>-7.0999999999999994E-2</v>
      </c>
      <c r="K463">
        <f t="shared" si="30"/>
        <v>-148516.522</v>
      </c>
      <c r="L463">
        <f t="shared" si="31"/>
        <v>-3.9837054263565895E-3</v>
      </c>
    </row>
    <row r="464" spans="1:12" x14ac:dyDescent="0.3">
      <c r="A464" t="s">
        <v>466</v>
      </c>
      <c r="B464" s="4" cm="1">
        <f t="array" ref="B464">_xll.SNL.Clients.Office.Excel.Functions.SPG(A464, "SP_TOTAL_REV", "CY2023")</f>
        <v>1650653</v>
      </c>
      <c r="C464" s="4">
        <f>_xll.SNL.Clients.Office.Excel.Functions.SPG(A464,"IQ_AVG_DILUT_SHARES_OUT","CY2023")</f>
        <v>329104000</v>
      </c>
      <c r="D464" s="5">
        <f>_xll.SNL.Clients.Office.Excel.Functions.SPG(A464, "IQ_DILUT_EPS_NORM", "CY2023")</f>
        <v>0.192</v>
      </c>
      <c r="E464">
        <f t="shared" si="28"/>
        <v>63187.968000000001</v>
      </c>
      <c r="F464">
        <f t="shared" si="29"/>
        <v>3.8280588348974617E-2</v>
      </c>
      <c r="G464" t="s">
        <v>466</v>
      </c>
      <c r="H464" s="4" cm="1">
        <f t="array" ref="H464">_xll.SNL.Clients.Office.Excel.Functions.SPG(G464, "SP_TOTAL_REV", "CY2023")</f>
        <v>1650653</v>
      </c>
      <c r="I464" s="4">
        <f>_xll.SNL.Clients.Office.Excel.Functions.SPG(G464,"IQ_AVG_DILUT_SHARES_OUT","CY2023")</f>
        <v>329104000</v>
      </c>
      <c r="J464" s="5">
        <f>_xll.SNL.Clients.Office.Excel.Functions.SPG(G464, "IQ_DILUT_EPS_NORM", "CY2023")</f>
        <v>0.192</v>
      </c>
      <c r="K464">
        <f t="shared" si="30"/>
        <v>63187.968000000001</v>
      </c>
      <c r="L464">
        <f t="shared" si="31"/>
        <v>3.8280588348974617E-2</v>
      </c>
    </row>
    <row r="465" spans="1:12" x14ac:dyDescent="0.3">
      <c r="A465" t="s">
        <v>467</v>
      </c>
      <c r="B465" s="4" cm="1">
        <f t="array" ref="B465">_xll.SNL.Clients.Office.Excel.Functions.SPG(A465, "SP_TOTAL_REV", "CY2023")</f>
        <v>11207303</v>
      </c>
      <c r="C465" s="4">
        <f>_xll.SNL.Clients.Office.Excel.Functions.SPG(A465,"IQ_AVG_DILUT_SHARES_OUT","CY2023")</f>
        <v>49596000</v>
      </c>
      <c r="D465" s="5">
        <f>_xll.SNL.Clients.Office.Excel.Functions.SPG(A465, "IQ_DILUT_EPS_NORM", "CY2023")</f>
        <v>21.367999999999999</v>
      </c>
      <c r="E465">
        <f t="shared" si="28"/>
        <v>1059767.328</v>
      </c>
      <c r="F465">
        <f t="shared" si="29"/>
        <v>9.4560424394700485E-2</v>
      </c>
      <c r="G465" t="s">
        <v>467</v>
      </c>
      <c r="H465" s="4" cm="1">
        <f t="array" ref="H465">_xll.SNL.Clients.Office.Excel.Functions.SPG(G465, "SP_TOTAL_REV", "CY2023")</f>
        <v>11207303</v>
      </c>
      <c r="I465" s="4">
        <f>_xll.SNL.Clients.Office.Excel.Functions.SPG(G465,"IQ_AVG_DILUT_SHARES_OUT","CY2023")</f>
        <v>49596000</v>
      </c>
      <c r="J465" s="5">
        <f>_xll.SNL.Clients.Office.Excel.Functions.SPG(G465, "IQ_DILUT_EPS_NORM", "CY2023")</f>
        <v>21.367999999999999</v>
      </c>
      <c r="K465">
        <f t="shared" si="30"/>
        <v>1059767.328</v>
      </c>
      <c r="L465">
        <f t="shared" si="31"/>
        <v>9.4560424394700485E-2</v>
      </c>
    </row>
    <row r="466" spans="1:12" x14ac:dyDescent="0.3">
      <c r="A466" t="s">
        <v>468</v>
      </c>
      <c r="B466" s="4" cm="1">
        <f t="array" ref="B466">_xll.SNL.Clients.Office.Excel.Functions.SPG(A466, "SP_TOTAL_REV", "CY2023")</f>
        <v>24119000</v>
      </c>
      <c r="C466" s="4">
        <f>_xll.SNL.Clients.Office.Excel.Functions.SPG(A466,"IQ_AVG_DILUT_SHARES_OUT","CY2023")</f>
        <v>610200000</v>
      </c>
      <c r="D466" s="5">
        <f>_xll.SNL.Clients.Office.Excel.Functions.SPG(A466, "IQ_DILUT_EPS_NORM", "CY2023")</f>
        <v>8.3230000000000004</v>
      </c>
      <c r="E466">
        <f t="shared" si="28"/>
        <v>5078694.5999999996</v>
      </c>
      <c r="F466">
        <f t="shared" si="29"/>
        <v>0.21056820763713255</v>
      </c>
      <c r="G466" t="s">
        <v>468</v>
      </c>
      <c r="H466" s="4" cm="1">
        <f t="array" ref="H466">_xll.SNL.Clients.Office.Excel.Functions.SPG(G466, "SP_TOTAL_REV", "CY2023")</f>
        <v>24119000</v>
      </c>
      <c r="I466" s="4">
        <f>_xll.SNL.Clients.Office.Excel.Functions.SPG(G466,"IQ_AVG_DILUT_SHARES_OUT","CY2023")</f>
        <v>610200000</v>
      </c>
      <c r="J466" s="5">
        <f>_xll.SNL.Clients.Office.Excel.Functions.SPG(G466, "IQ_DILUT_EPS_NORM", "CY2023")</f>
        <v>8.3230000000000004</v>
      </c>
      <c r="K466">
        <f t="shared" si="30"/>
        <v>5078694.5999999996</v>
      </c>
      <c r="L466">
        <f t="shared" si="31"/>
        <v>0.21056820763713255</v>
      </c>
    </row>
    <row r="467" spans="1:12" x14ac:dyDescent="0.3">
      <c r="A467" t="s">
        <v>469</v>
      </c>
      <c r="B467" s="4" cm="1">
        <f t="array" ref="B467">_xll.SNL.Clients.Office.Excel.Functions.SPG(A467, "SP_TOTAL_REV", "CY2023")</f>
        <v>53717000</v>
      </c>
      <c r="C467" s="4">
        <f>_xll.SNL.Clients.Office.Excel.Functions.SPG(A467,"IQ_AVG_DILUT_SHARES_OUT","CY2023")</f>
        <v>331900000</v>
      </c>
      <c r="D467" s="5">
        <f>_xll.SNL.Clients.Office.Excel.Functions.SPG(A467, "IQ_DILUT_EPS_NORM", "CY2023")</f>
        <v>8.1349999999999998</v>
      </c>
      <c r="E467">
        <f t="shared" si="28"/>
        <v>2700006.5</v>
      </c>
      <c r="F467">
        <f t="shared" si="29"/>
        <v>5.0263538544594824E-2</v>
      </c>
      <c r="G467" t="s">
        <v>469</v>
      </c>
      <c r="H467" s="4" cm="1">
        <f t="array" ref="H467">_xll.SNL.Clients.Office.Excel.Functions.SPG(G467, "SP_TOTAL_REV", "CY2023")</f>
        <v>53717000</v>
      </c>
      <c r="I467" s="4">
        <f>_xll.SNL.Clients.Office.Excel.Functions.SPG(G467,"IQ_AVG_DILUT_SHARES_OUT","CY2023")</f>
        <v>331900000</v>
      </c>
      <c r="J467" s="5">
        <f>_xll.SNL.Clients.Office.Excel.Functions.SPG(G467, "IQ_DILUT_EPS_NORM", "CY2023")</f>
        <v>8.1349999999999998</v>
      </c>
      <c r="K467">
        <f t="shared" si="30"/>
        <v>2700006.5</v>
      </c>
      <c r="L467">
        <f t="shared" si="31"/>
        <v>5.0263538544594824E-2</v>
      </c>
    </row>
    <row r="468" spans="1:12" x14ac:dyDescent="0.3">
      <c r="A468" t="s">
        <v>470</v>
      </c>
      <c r="B468" s="4" cm="1">
        <f t="array" ref="B468">_xll.SNL.Clients.Office.Excel.Functions.SPG(A468, "SP_TOTAL_REV", "CY2023")</f>
        <v>90958000</v>
      </c>
      <c r="C468" s="4">
        <f>_xll.SNL.Clients.Office.Excel.Functions.SPG(A468,"IQ_AVG_DILUT_SHARES_OUT","CY2023")</f>
        <v>860000000</v>
      </c>
      <c r="D468" s="5">
        <f>_xll.SNL.Clients.Office.Excel.Functions.SPG(A468, "IQ_DILUT_EPS_NORM", "CY2023")</f>
        <v>7.04</v>
      </c>
      <c r="E468">
        <f t="shared" si="28"/>
        <v>6054400</v>
      </c>
      <c r="F468">
        <f t="shared" si="29"/>
        <v>6.6562589326942104E-2</v>
      </c>
      <c r="G468" t="s">
        <v>470</v>
      </c>
      <c r="H468" s="4" cm="1">
        <f t="array" ref="H468">_xll.SNL.Clients.Office.Excel.Functions.SPG(G468, "SP_TOTAL_REV", "CY2023")</f>
        <v>90958000</v>
      </c>
      <c r="I468" s="4">
        <f>_xll.SNL.Clients.Office.Excel.Functions.SPG(G468,"IQ_AVG_DILUT_SHARES_OUT","CY2023")</f>
        <v>860000000</v>
      </c>
      <c r="J468" s="5">
        <f>_xll.SNL.Clients.Office.Excel.Functions.SPG(G468, "IQ_DILUT_EPS_NORM", "CY2023")</f>
        <v>7.04</v>
      </c>
      <c r="K468">
        <f t="shared" si="30"/>
        <v>6054400</v>
      </c>
      <c r="L468">
        <f t="shared" si="31"/>
        <v>6.6562589326942104E-2</v>
      </c>
    </row>
    <row r="469" spans="1:12" x14ac:dyDescent="0.3">
      <c r="A469" t="s">
        <v>471</v>
      </c>
      <c r="B469" s="4" cm="1">
        <f t="array" ref="B469">_xll.SNL.Clients.Office.Excel.Functions.SPG(A469, "SP_TOTAL_REV", "CY2023")</f>
        <v>14332000</v>
      </c>
      <c r="C469" s="4">
        <f>_xll.SNL.Clients.Office.Excel.Functions.SPG(A469,"IQ_AVG_DILUT_SHARES_OUT","CY2023")</f>
        <v>68710000</v>
      </c>
      <c r="D469" s="5">
        <f>_xll.SNL.Clients.Office.Excel.Functions.SPG(A469, "IQ_DILUT_EPS_NORM", "CY2023")</f>
        <v>30.445</v>
      </c>
      <c r="E469">
        <f t="shared" si="28"/>
        <v>2091875.95</v>
      </c>
      <c r="F469">
        <f t="shared" si="29"/>
        <v>0.1459584112475579</v>
      </c>
      <c r="G469" t="s">
        <v>471</v>
      </c>
      <c r="H469" s="4" cm="1">
        <f t="array" ref="H469">_xll.SNL.Clients.Office.Excel.Functions.SPG(G469, "SP_TOTAL_REV", "CY2023")</f>
        <v>14332000</v>
      </c>
      <c r="I469" s="4">
        <f>_xll.SNL.Clients.Office.Excel.Functions.SPG(G469,"IQ_AVG_DILUT_SHARES_OUT","CY2023")</f>
        <v>68710000</v>
      </c>
      <c r="J469" s="5">
        <f>_xll.SNL.Clients.Office.Excel.Functions.SPG(G469, "IQ_DILUT_EPS_NORM", "CY2023")</f>
        <v>30.445</v>
      </c>
      <c r="K469">
        <f t="shared" si="30"/>
        <v>2091875.95</v>
      </c>
      <c r="L469">
        <f t="shared" si="31"/>
        <v>0.1459584112475579</v>
      </c>
    </row>
    <row r="470" spans="1:12" x14ac:dyDescent="0.3">
      <c r="A470" t="s">
        <v>472</v>
      </c>
      <c r="B470" s="4" cm="1">
        <f t="array" ref="B470">_xll.SNL.Clients.Office.Excel.Functions.SPG(A470, "SP_TOTAL_REV", "CY2023")</f>
        <v>371622000</v>
      </c>
      <c r="C470" s="4">
        <f>_xll.SNL.Clients.Office.Excel.Functions.SPG(A470,"IQ_AVG_DILUT_SHARES_OUT","CY2023")</f>
        <v>938000000</v>
      </c>
      <c r="D470" s="5">
        <f>_xll.SNL.Clients.Office.Excel.Functions.SPG(A470, "IQ_DILUT_EPS_NORM", "CY2023")</f>
        <v>18.584</v>
      </c>
      <c r="E470">
        <f t="shared" si="28"/>
        <v>17431792</v>
      </c>
      <c r="F470">
        <f t="shared" si="29"/>
        <v>4.69073198034562E-2</v>
      </c>
      <c r="G470" t="s">
        <v>472</v>
      </c>
      <c r="H470" s="4" cm="1">
        <f t="array" ref="H470">_xll.SNL.Clients.Office.Excel.Functions.SPG(G470, "SP_TOTAL_REV", "CY2023")</f>
        <v>371622000</v>
      </c>
      <c r="I470" s="4">
        <f>_xll.SNL.Clients.Office.Excel.Functions.SPG(G470,"IQ_AVG_DILUT_SHARES_OUT","CY2023")</f>
        <v>938000000</v>
      </c>
      <c r="J470" s="5">
        <f>_xll.SNL.Clients.Office.Excel.Functions.SPG(G470, "IQ_DILUT_EPS_NORM", "CY2023")</f>
        <v>18.584</v>
      </c>
      <c r="K470">
        <f t="shared" si="30"/>
        <v>17431792</v>
      </c>
      <c r="L470">
        <f t="shared" si="31"/>
        <v>4.69073198034562E-2</v>
      </c>
    </row>
    <row r="471" spans="1:12" x14ac:dyDescent="0.3">
      <c r="A471" t="s">
        <v>473</v>
      </c>
      <c r="B471" s="4" cm="1">
        <f t="array" ref="B471">_xll.SNL.Clients.Office.Excel.Functions.SPG(A471, "SP_TOTAL_REV", "CY2023")</f>
        <v>14281976</v>
      </c>
      <c r="C471" s="4">
        <f>_xll.SNL.Clients.Office.Excel.Functions.SPG(A471,"IQ_AVG_DILUT_SHARES_OUT","CY2023")</f>
        <v>70125000</v>
      </c>
      <c r="D471" s="5">
        <f>_xll.SNL.Clients.Office.Excel.Functions.SPG(A471, "IQ_DILUT_EPS_NORM", "CY2023")</f>
        <v>8.36</v>
      </c>
      <c r="E471">
        <f t="shared" si="28"/>
        <v>586245</v>
      </c>
      <c r="F471">
        <f t="shared" si="29"/>
        <v>4.104789141222475E-2</v>
      </c>
      <c r="G471" t="s">
        <v>473</v>
      </c>
      <c r="H471" s="4" cm="1">
        <f t="array" ref="H471">_xll.SNL.Clients.Office.Excel.Functions.SPG(G471, "SP_TOTAL_REV", "CY2023")</f>
        <v>14281976</v>
      </c>
      <c r="I471" s="4">
        <f>_xll.SNL.Clients.Office.Excel.Functions.SPG(G471,"IQ_AVG_DILUT_SHARES_OUT","CY2023")</f>
        <v>70125000</v>
      </c>
      <c r="J471" s="5">
        <f>_xll.SNL.Clients.Office.Excel.Functions.SPG(G471, "IQ_DILUT_EPS_NORM", "CY2023")</f>
        <v>8.36</v>
      </c>
      <c r="K471">
        <f t="shared" si="30"/>
        <v>586245</v>
      </c>
      <c r="L471">
        <f t="shared" si="31"/>
        <v>4.104789141222475E-2</v>
      </c>
    </row>
    <row r="472" spans="1:12" x14ac:dyDescent="0.3">
      <c r="A472" t="s">
        <v>474</v>
      </c>
      <c r="B472" s="4" cm="1">
        <f t="array" ref="B472">_xll.SNL.Clients.Office.Excel.Functions.SPG(A472, "SP_TOTAL_REV", "CY2023")</f>
        <v>139001000</v>
      </c>
      <c r="C472" s="4">
        <f>_xll.SNL.Clients.Office.Excel.Functions.SPG(A472,"IQ_AVG_DILUT_SHARES_OUT","CY2023")</f>
        <v>353000000</v>
      </c>
      <c r="D472" s="5">
        <f>_xll.SNL.Clients.Office.Excel.Functions.SPG(A472, "IQ_DILUT_EPS_NORM", "CY2023")</f>
        <v>19.927</v>
      </c>
      <c r="E472">
        <f t="shared" si="28"/>
        <v>7034231</v>
      </c>
      <c r="F472">
        <f t="shared" si="29"/>
        <v>5.0605614348098217E-2</v>
      </c>
      <c r="G472" t="s">
        <v>474</v>
      </c>
      <c r="H472" s="4" cm="1">
        <f t="array" ref="H472">_xll.SNL.Clients.Office.Excel.Functions.SPG(G472, "SP_TOTAL_REV", "CY2023")</f>
        <v>139001000</v>
      </c>
      <c r="I472" s="4">
        <f>_xll.SNL.Clients.Office.Excel.Functions.SPG(G472,"IQ_AVG_DILUT_SHARES_OUT","CY2023")</f>
        <v>353000000</v>
      </c>
      <c r="J472" s="5">
        <f>_xll.SNL.Clients.Office.Excel.Functions.SPG(G472, "IQ_DILUT_EPS_NORM", "CY2023")</f>
        <v>19.927</v>
      </c>
      <c r="K472">
        <f t="shared" si="30"/>
        <v>7034231</v>
      </c>
      <c r="L472">
        <f t="shared" si="31"/>
        <v>5.0605614348098217E-2</v>
      </c>
    </row>
    <row r="473" spans="1:12" x14ac:dyDescent="0.3">
      <c r="A473" t="s">
        <v>475</v>
      </c>
      <c r="B473" s="4" cm="1">
        <f t="array" ref="B473">_xll.SNL.Clients.Office.Excel.Functions.SPG(A473, "SP_TOTAL_REV", "CY2023")</f>
        <v>4480722</v>
      </c>
      <c r="C473" s="4">
        <f>_xll.SNL.Clients.Office.Excel.Functions.SPG(A473,"IQ_AVG_DILUT_SHARES_OUT","CY2023")</f>
        <v>405670000</v>
      </c>
      <c r="D473" s="5">
        <f>_xll.SNL.Clients.Office.Excel.Functions.SPG(A473, "IQ_DILUT_EPS_NORM", "CY2023")</f>
        <v>0.17199999999999999</v>
      </c>
      <c r="E473">
        <f t="shared" si="28"/>
        <v>69775.240000000005</v>
      </c>
      <c r="F473">
        <f t="shared" si="29"/>
        <v>1.5572320710814018E-2</v>
      </c>
      <c r="G473" t="s">
        <v>475</v>
      </c>
      <c r="H473" s="4" cm="1">
        <f t="array" ref="H473">_xll.SNL.Clients.Office.Excel.Functions.SPG(G473, "SP_TOTAL_REV", "CY2023")</f>
        <v>4480722</v>
      </c>
      <c r="I473" s="4">
        <f>_xll.SNL.Clients.Office.Excel.Functions.SPG(G473,"IQ_AVG_DILUT_SHARES_OUT","CY2023")</f>
        <v>405670000</v>
      </c>
      <c r="J473" s="5">
        <f>_xll.SNL.Clients.Office.Excel.Functions.SPG(G473, "IQ_DILUT_EPS_NORM", "CY2023")</f>
        <v>0.17199999999999999</v>
      </c>
      <c r="K473">
        <f t="shared" si="30"/>
        <v>69775.240000000005</v>
      </c>
      <c r="L473">
        <f t="shared" si="31"/>
        <v>1.5572320710814018E-2</v>
      </c>
    </row>
    <row r="474" spans="1:12" x14ac:dyDescent="0.3">
      <c r="A474" t="s">
        <v>476</v>
      </c>
      <c r="B474" s="4" cm="1">
        <f t="array" ref="B474">_xll.SNL.Clients.Office.Excel.Functions.SPG(A474, "SP_TOTAL_REV", "CY2023")</f>
        <v>5021000</v>
      </c>
      <c r="C474" s="4">
        <f>_xll.SNL.Clients.Office.Excel.Functions.SPG(A474,"IQ_AVG_DILUT_SHARES_OUT","CY2023")</f>
        <v>246800000</v>
      </c>
      <c r="D474" s="5">
        <f>_xll.SNL.Clients.Office.Excel.Functions.SPG(A474, "IQ_DILUT_EPS_NORM", "CY2023")</f>
        <v>2.8439999999999999</v>
      </c>
      <c r="E474">
        <f t="shared" si="28"/>
        <v>701899.2</v>
      </c>
      <c r="F474">
        <f t="shared" si="29"/>
        <v>0.13979271061541523</v>
      </c>
      <c r="G474" t="s">
        <v>476</v>
      </c>
      <c r="H474" s="4" cm="1">
        <f t="array" ref="H474">_xll.SNL.Clients.Office.Excel.Functions.SPG(G474, "SP_TOTAL_REV", "CY2023")</f>
        <v>5021000</v>
      </c>
      <c r="I474" s="4">
        <f>_xll.SNL.Clients.Office.Excel.Functions.SPG(G474,"IQ_AVG_DILUT_SHARES_OUT","CY2023")</f>
        <v>246800000</v>
      </c>
      <c r="J474" s="5">
        <f>_xll.SNL.Clients.Office.Excel.Functions.SPG(G474, "IQ_DILUT_EPS_NORM", "CY2023")</f>
        <v>2.8439999999999999</v>
      </c>
      <c r="K474">
        <f t="shared" si="30"/>
        <v>701899.2</v>
      </c>
      <c r="L474">
        <f t="shared" si="31"/>
        <v>0.13979271061541523</v>
      </c>
    </row>
    <row r="475" spans="1:12" x14ac:dyDescent="0.3">
      <c r="A475" t="s">
        <v>477</v>
      </c>
      <c r="B475" s="4" cm="1">
        <f t="array" ref="B475">_xll.SNL.Clients.Office.Excel.Functions.SPG(A475, "SP_TOTAL_REV", "CY2023")</f>
        <v>1493100</v>
      </c>
      <c r="C475" s="4">
        <f>_xll.SNL.Clients.Office.Excel.Functions.SPG(A475,"IQ_AVG_DILUT_SHARES_OUT","CY2023")</f>
        <v>103500000</v>
      </c>
      <c r="D475" s="5">
        <f>_xll.SNL.Clients.Office.Excel.Functions.SPG(A475, "IQ_DILUT_EPS_NORM", "CY2023")</f>
        <v>5.8970000000000002</v>
      </c>
      <c r="E475">
        <f t="shared" si="28"/>
        <v>610339.5</v>
      </c>
      <c r="F475">
        <f t="shared" si="29"/>
        <v>0.40877335744424353</v>
      </c>
      <c r="G475" t="s">
        <v>477</v>
      </c>
      <c r="H475" s="4" cm="1">
        <f t="array" ref="H475">_xll.SNL.Clients.Office.Excel.Functions.SPG(G475, "SP_TOTAL_REV", "CY2023")</f>
        <v>1493100</v>
      </c>
      <c r="I475" s="4">
        <f>_xll.SNL.Clients.Office.Excel.Functions.SPG(G475,"IQ_AVG_DILUT_SHARES_OUT","CY2023")</f>
        <v>103500000</v>
      </c>
      <c r="J475" s="5">
        <f>_xll.SNL.Clients.Office.Excel.Functions.SPG(G475, "IQ_DILUT_EPS_NORM", "CY2023")</f>
        <v>5.8970000000000002</v>
      </c>
      <c r="K475">
        <f t="shared" si="30"/>
        <v>610339.5</v>
      </c>
      <c r="L475">
        <f t="shared" si="31"/>
        <v>0.40877335744424353</v>
      </c>
    </row>
    <row r="476" spans="1:12" x14ac:dyDescent="0.3">
      <c r="A476" t="s">
        <v>478</v>
      </c>
      <c r="B476" s="4" cm="1">
        <f t="array" ref="B476">_xll.SNL.Clients.Office.Excel.Functions.SPG(A476, "SP_TOTAL_REV", "CY2023")</f>
        <v>2681400</v>
      </c>
      <c r="C476" s="4">
        <f>_xll.SNL.Clients.Office.Excel.Functions.SPG(A476,"IQ_AVG_DILUT_SHARES_OUT","CY2023")</f>
        <v>147336159</v>
      </c>
      <c r="D476" s="5">
        <f>_xll.SNL.Clients.Office.Excel.Functions.SPG(A476, "IQ_DILUT_EPS_NORM", "CY2023")</f>
        <v>4.3689999999999998</v>
      </c>
      <c r="E476">
        <f t="shared" si="28"/>
        <v>643711.67867100006</v>
      </c>
      <c r="F476">
        <f t="shared" si="29"/>
        <v>0.2400655175173417</v>
      </c>
      <c r="G476" t="s">
        <v>478</v>
      </c>
      <c r="H476" s="4" cm="1">
        <f t="array" ref="H476">_xll.SNL.Clients.Office.Excel.Functions.SPG(G476, "SP_TOTAL_REV", "CY2023")</f>
        <v>2681400</v>
      </c>
      <c r="I476" s="4">
        <f>_xll.SNL.Clients.Office.Excel.Functions.SPG(G476,"IQ_AVG_DILUT_SHARES_OUT","CY2023")</f>
        <v>147336159</v>
      </c>
      <c r="J476" s="5">
        <f>_xll.SNL.Clients.Office.Excel.Functions.SPG(G476, "IQ_DILUT_EPS_NORM", "CY2023")</f>
        <v>4.3689999999999998</v>
      </c>
      <c r="K476">
        <f t="shared" si="30"/>
        <v>643711.67867100006</v>
      </c>
      <c r="L476">
        <f t="shared" si="31"/>
        <v>0.2400655175173417</v>
      </c>
    </row>
    <row r="477" spans="1:12" x14ac:dyDescent="0.3">
      <c r="A477" t="s">
        <v>479</v>
      </c>
      <c r="B477" s="4" cm="1">
        <f t="array" ref="B477">_xll.SNL.Clients.Office.Excel.Functions.SPG(A477, "SP_TOTAL_REV", "CY2023")</f>
        <v>133974000</v>
      </c>
      <c r="C477" s="4">
        <f>_xll.SNL.Clients.Office.Excel.Functions.SPG(A477,"IQ_AVG_DILUT_SHARES_OUT","CY2023")</f>
        <v>4215000000</v>
      </c>
      <c r="D477" s="5">
        <f>_xll.SNL.Clients.Office.Excel.Functions.SPG(A477, "IQ_DILUT_EPS_NORM", "CY2023")</f>
        <v>3.5939999999999999</v>
      </c>
      <c r="E477">
        <f t="shared" si="28"/>
        <v>15148710</v>
      </c>
      <c r="F477">
        <f t="shared" si="29"/>
        <v>0.1130720139728604</v>
      </c>
      <c r="G477" t="s">
        <v>479</v>
      </c>
      <c r="H477" s="4" cm="1">
        <f t="array" ref="H477">_xll.SNL.Clients.Office.Excel.Functions.SPG(G477, "SP_TOTAL_REV", "CY2023")</f>
        <v>133974000</v>
      </c>
      <c r="I477" s="4">
        <f>_xll.SNL.Clients.Office.Excel.Functions.SPG(G477,"IQ_AVG_DILUT_SHARES_OUT","CY2023")</f>
        <v>4215000000</v>
      </c>
      <c r="J477" s="5">
        <f>_xll.SNL.Clients.Office.Excel.Functions.SPG(G477, "IQ_DILUT_EPS_NORM", "CY2023")</f>
        <v>3.5939999999999999</v>
      </c>
      <c r="K477">
        <f t="shared" si="30"/>
        <v>15148710</v>
      </c>
      <c r="L477">
        <f t="shared" si="31"/>
        <v>0.1130720139728604</v>
      </c>
    </row>
    <row r="478" spans="1:12" x14ac:dyDescent="0.3">
      <c r="A478" t="s">
        <v>480</v>
      </c>
      <c r="B478" s="4" cm="1">
        <f t="array" ref="B478">_xll.SNL.Clients.Office.Excel.Functions.SPG(A478, "SP_TOTAL_REV", "CY2023")</f>
        <v>9869200</v>
      </c>
      <c r="C478" s="4">
        <f>_xll.SNL.Clients.Office.Excel.Functions.SPG(A478,"IQ_AVG_DILUT_SHARES_OUT","CY2023")</f>
        <v>260500000</v>
      </c>
      <c r="D478" s="5">
        <f>_xll.SNL.Clients.Office.Excel.Functions.SPG(A478, "IQ_DILUT_EPS_NORM", "CY2023")</f>
        <v>11.667</v>
      </c>
      <c r="E478">
        <f t="shared" si="28"/>
        <v>3039253.5</v>
      </c>
      <c r="F478">
        <f t="shared" si="29"/>
        <v>0.30795338021318852</v>
      </c>
      <c r="G478" t="s">
        <v>480</v>
      </c>
      <c r="H478" s="4" cm="1">
        <f t="array" ref="H478">_xll.SNL.Clients.Office.Excel.Functions.SPG(G478, "SP_TOTAL_REV", "CY2023")</f>
        <v>9869200</v>
      </c>
      <c r="I478" s="4">
        <f>_xll.SNL.Clients.Office.Excel.Functions.SPG(G478,"IQ_AVG_DILUT_SHARES_OUT","CY2023")</f>
        <v>260500000</v>
      </c>
      <c r="J478" s="5">
        <f>_xll.SNL.Clients.Office.Excel.Functions.SPG(G478, "IQ_DILUT_EPS_NORM", "CY2023")</f>
        <v>11.667</v>
      </c>
      <c r="K478">
        <f t="shared" si="30"/>
        <v>3039253.5</v>
      </c>
      <c r="L478">
        <f t="shared" si="31"/>
        <v>0.30795338021318852</v>
      </c>
    </row>
    <row r="479" spans="1:12" x14ac:dyDescent="0.3">
      <c r="A479" t="s">
        <v>481</v>
      </c>
      <c r="B479" s="4" cm="1">
        <f t="array" ref="B479">_xll.SNL.Clients.Office.Excel.Functions.SPG(A479, "SP_TOTAL_REV", "CY2023")</f>
        <v>15426900</v>
      </c>
      <c r="C479" s="4">
        <f>_xll.SNL.Clients.Office.Excel.Functions.SPG(A479,"IQ_AVG_DILUT_SHARES_OUT","CY2023")</f>
        <v>1206900000</v>
      </c>
      <c r="D479" s="5">
        <f>_xll.SNL.Clients.Office.Excel.Functions.SPG(A479, "IQ_DILUT_EPS_NORM", "CY2023")</f>
        <v>0.94799999999999995</v>
      </c>
      <c r="E479">
        <f t="shared" si="28"/>
        <v>1144141.2</v>
      </c>
      <c r="F479">
        <f t="shared" si="29"/>
        <v>7.4165334577912606E-2</v>
      </c>
      <c r="G479" t="s">
        <v>481</v>
      </c>
      <c r="H479" s="4" cm="1">
        <f t="array" ref="H479">_xll.SNL.Clients.Office.Excel.Functions.SPG(G479, "SP_TOTAL_REV", "CY2023")</f>
        <v>15426900</v>
      </c>
      <c r="I479" s="4">
        <f>_xll.SNL.Clients.Office.Excel.Functions.SPG(G479,"IQ_AVG_DILUT_SHARES_OUT","CY2023")</f>
        <v>1206900000</v>
      </c>
      <c r="J479" s="5">
        <f>_xll.SNL.Clients.Office.Excel.Functions.SPG(G479, "IQ_DILUT_EPS_NORM", "CY2023")</f>
        <v>0.94799999999999995</v>
      </c>
      <c r="K479">
        <f t="shared" si="30"/>
        <v>1144141.2</v>
      </c>
      <c r="L479">
        <f t="shared" si="31"/>
        <v>7.4165334577912606E-2</v>
      </c>
    </row>
    <row r="480" spans="1:12" x14ac:dyDescent="0.3">
      <c r="A480" t="s">
        <v>482</v>
      </c>
      <c r="B480" s="4" cm="1">
        <f t="array" ref="B480">_xll.SNL.Clients.Office.Excel.Functions.SPG(A480, "SP_TOTAL_REV", "CY2023")</f>
        <v>3641694</v>
      </c>
      <c r="C480" s="4">
        <f>_xll.SNL.Clients.Office.Excel.Functions.SPG(A480,"IQ_AVG_DILUT_SHARES_OUT","CY2023")</f>
        <v>1015776697</v>
      </c>
      <c r="D480" s="5">
        <f>_xll.SNL.Clients.Office.Excel.Functions.SPG(A480, "IQ_DILUT_EPS_NORM", "CY2023")</f>
        <v>1.528</v>
      </c>
      <c r="E480">
        <f t="shared" si="28"/>
        <v>1552106.793016</v>
      </c>
      <c r="F480">
        <f t="shared" si="29"/>
        <v>0.42620461604297338</v>
      </c>
      <c r="G480" t="s">
        <v>482</v>
      </c>
      <c r="H480" s="4" cm="1">
        <f t="array" ref="H480">_xll.SNL.Clients.Office.Excel.Functions.SPG(G480, "SP_TOTAL_REV", "CY2023")</f>
        <v>3641694</v>
      </c>
      <c r="I480" s="4">
        <f>_xll.SNL.Clients.Office.Excel.Functions.SPG(G480,"IQ_AVG_DILUT_SHARES_OUT","CY2023")</f>
        <v>1015776697</v>
      </c>
      <c r="J480" s="5">
        <f>_xll.SNL.Clients.Office.Excel.Functions.SPG(G480, "IQ_DILUT_EPS_NORM", "CY2023")</f>
        <v>1.528</v>
      </c>
      <c r="K480">
        <f t="shared" si="30"/>
        <v>1552106.793016</v>
      </c>
      <c r="L480">
        <f t="shared" si="31"/>
        <v>0.42620461604297338</v>
      </c>
    </row>
    <row r="481" spans="1:12" x14ac:dyDescent="0.3">
      <c r="A481" t="s">
        <v>483</v>
      </c>
      <c r="B481" s="4" cm="1">
        <f t="array" ref="B481">_xll.SNL.Clients.Office.Excel.Functions.SPG(A481, "SP_TOTAL_REV", "CY2023")</f>
        <v>33351000</v>
      </c>
      <c r="C481" s="4">
        <f>_xll.SNL.Clients.Office.Excel.Functions.SPG(A481,"IQ_AVG_DILUT_SHARES_OUT","CY2023")</f>
        <v>2070750000</v>
      </c>
      <c r="D481" s="5">
        <f>_xll.SNL.Clients.Office.Excel.Functions.SPG(A481, "IQ_DILUT_EPS_NORM", "CY2023")</f>
        <v>6.8419999999999996</v>
      </c>
      <c r="E481">
        <f t="shared" si="28"/>
        <v>14168071.5</v>
      </c>
      <c r="F481">
        <f t="shared" si="29"/>
        <v>0.42481699199424305</v>
      </c>
      <c r="G481" t="s">
        <v>483</v>
      </c>
      <c r="H481" s="4" cm="1">
        <f t="array" ref="H481">_xll.SNL.Clients.Office.Excel.Functions.SPG(G481, "SP_TOTAL_REV", "CY2023")</f>
        <v>33351000</v>
      </c>
      <c r="I481" s="4">
        <f>_xll.SNL.Clients.Office.Excel.Functions.SPG(G481,"IQ_AVG_DILUT_SHARES_OUT","CY2023")</f>
        <v>2070750000</v>
      </c>
      <c r="J481" s="5">
        <f>_xll.SNL.Clients.Office.Excel.Functions.SPG(G481, "IQ_DILUT_EPS_NORM", "CY2023")</f>
        <v>6.8419999999999996</v>
      </c>
      <c r="K481">
        <f t="shared" si="30"/>
        <v>14168071.5</v>
      </c>
      <c r="L481">
        <f t="shared" si="31"/>
        <v>0.42481699199424305</v>
      </c>
    </row>
    <row r="482" spans="1:12" x14ac:dyDescent="0.3">
      <c r="A482" t="s">
        <v>484</v>
      </c>
      <c r="B482" s="4" cm="1">
        <f t="array" ref="B482">_xll.SNL.Clients.Office.Excel.Functions.SPG(A482, "SP_TOTAL_REV", "CY2023")</f>
        <v>14779000</v>
      </c>
      <c r="C482" s="4">
        <f>_xll.SNL.Clients.Office.Excel.Functions.SPG(A482,"IQ_AVG_DILUT_SHARES_OUT","CY2023")</f>
        <v>375193110</v>
      </c>
      <c r="D482" s="5">
        <f>_xll.SNL.Clients.Office.Excel.Functions.SPG(A482, "IQ_DILUT_EPS_NORM", "CY2023")</f>
        <v>3.4380000000000002</v>
      </c>
      <c r="E482">
        <f t="shared" si="28"/>
        <v>1289913.91218</v>
      </c>
      <c r="F482">
        <f t="shared" si="29"/>
        <v>8.7280188928885574E-2</v>
      </c>
      <c r="G482" t="s">
        <v>484</v>
      </c>
      <c r="H482" s="4" cm="1">
        <f t="array" ref="H482">_xll.SNL.Clients.Office.Excel.Functions.SPG(G482, "SP_TOTAL_REV", "CY2023")</f>
        <v>14779000</v>
      </c>
      <c r="I482" s="4">
        <f>_xll.SNL.Clients.Office.Excel.Functions.SPG(G482,"IQ_AVG_DILUT_SHARES_OUT","CY2023")</f>
        <v>375193110</v>
      </c>
      <c r="J482" s="5">
        <f>_xll.SNL.Clients.Office.Excel.Functions.SPG(G482, "IQ_DILUT_EPS_NORM", "CY2023")</f>
        <v>3.4380000000000002</v>
      </c>
      <c r="K482">
        <f t="shared" si="30"/>
        <v>1289913.91218</v>
      </c>
      <c r="L482">
        <f t="shared" si="31"/>
        <v>8.7280188928885574E-2</v>
      </c>
    </row>
    <row r="483" spans="1:12" x14ac:dyDescent="0.3">
      <c r="A483" t="s">
        <v>485</v>
      </c>
      <c r="B483" s="4" cm="1">
        <f t="array" ref="B483">_xll.SNL.Clients.Office.Excel.Functions.SPG(A483, "SP_TOTAL_REV", "CY2023")</f>
        <v>7781900</v>
      </c>
      <c r="C483" s="4">
        <f>_xll.SNL.Clients.Office.Excel.Functions.SPG(A483,"IQ_AVG_DILUT_SHARES_OUT","CY2023")</f>
        <v>133700000</v>
      </c>
      <c r="D483" s="5">
        <f>_xll.SNL.Clients.Office.Excel.Functions.SPG(A483, "IQ_DILUT_EPS_NORM", "CY2023")</f>
        <v>5.6269999999999998</v>
      </c>
      <c r="E483">
        <f t="shared" si="28"/>
        <v>752329.9</v>
      </c>
      <c r="F483">
        <f t="shared" si="29"/>
        <v>9.6676891247638758E-2</v>
      </c>
      <c r="G483" t="s">
        <v>485</v>
      </c>
      <c r="H483" s="4" cm="1">
        <f t="array" ref="H483">_xll.SNL.Clients.Office.Excel.Functions.SPG(G483, "SP_TOTAL_REV", "CY2023")</f>
        <v>7781900</v>
      </c>
      <c r="I483" s="4">
        <f>_xll.SNL.Clients.Office.Excel.Functions.SPG(G483,"IQ_AVG_DILUT_SHARES_OUT","CY2023")</f>
        <v>133700000</v>
      </c>
      <c r="J483" s="5">
        <f>_xll.SNL.Clients.Office.Excel.Functions.SPG(G483, "IQ_DILUT_EPS_NORM", "CY2023")</f>
        <v>5.6269999999999998</v>
      </c>
      <c r="K483">
        <f t="shared" si="30"/>
        <v>752329.9</v>
      </c>
      <c r="L483">
        <f t="shared" si="31"/>
        <v>9.6676891247638758E-2</v>
      </c>
    </row>
    <row r="484" spans="1:12" x14ac:dyDescent="0.3">
      <c r="A484" t="s">
        <v>486</v>
      </c>
      <c r="B484" s="4" cm="1">
        <f t="array" ref="B484">_xll.SNL.Clients.Office.Excel.Functions.SPG(A484, "SP_TOTAL_REV", "CY2023")</f>
        <v>12142938</v>
      </c>
      <c r="C484" s="4">
        <f>_xll.SNL.Clients.Office.Excel.Functions.SPG(A484,"IQ_AVG_DILUT_SHARES_OUT","CY2023")</f>
        <v>409947000</v>
      </c>
      <c r="D484" s="5">
        <f>_xll.SNL.Clients.Office.Excel.Functions.SPG(A484, "IQ_DILUT_EPS_NORM", "CY2023")</f>
        <v>2.669</v>
      </c>
      <c r="E484">
        <f t="shared" si="28"/>
        <v>1094148.5430000001</v>
      </c>
      <c r="F484">
        <f t="shared" si="29"/>
        <v>9.0105750601707765E-2</v>
      </c>
      <c r="G484" t="s">
        <v>486</v>
      </c>
      <c r="H484" s="4" cm="1">
        <f t="array" ref="H484">_xll.SNL.Clients.Office.Excel.Functions.SPG(G484, "SP_TOTAL_REV", "CY2023")</f>
        <v>12142938</v>
      </c>
      <c r="I484" s="4">
        <f>_xll.SNL.Clients.Office.Excel.Functions.SPG(G484,"IQ_AVG_DILUT_SHARES_OUT","CY2023")</f>
        <v>409947000</v>
      </c>
      <c r="J484" s="5">
        <f>_xll.SNL.Clients.Office.Excel.Functions.SPG(G484, "IQ_DILUT_EPS_NORM", "CY2023")</f>
        <v>2.669</v>
      </c>
      <c r="K484">
        <f t="shared" si="30"/>
        <v>1094148.5430000001</v>
      </c>
      <c r="L484">
        <f t="shared" si="31"/>
        <v>9.0105750601707765E-2</v>
      </c>
    </row>
    <row r="485" spans="1:12" x14ac:dyDescent="0.3">
      <c r="A485" t="s">
        <v>487</v>
      </c>
      <c r="B485" s="4" cm="1">
        <f t="array" ref="B485">_xll.SNL.Clients.Office.Excel.Functions.SPG(A485, "SP_TOTAL_REV", "CY2023")</f>
        <v>16478000</v>
      </c>
      <c r="C485" s="4">
        <f>_xll.SNL.Clients.Office.Excel.Functions.SPG(A485,"IQ_AVG_DILUT_SHARES_OUT","CY2023")</f>
        <v>50100000</v>
      </c>
      <c r="D485" s="5">
        <f>_xll.SNL.Clients.Office.Excel.Functions.SPG(A485, "IQ_DILUT_EPS_NORM", "CY2023")</f>
        <v>30.035</v>
      </c>
      <c r="E485">
        <f t="shared" si="28"/>
        <v>1504753.5</v>
      </c>
      <c r="F485">
        <f t="shared" si="29"/>
        <v>9.1318940405389001E-2</v>
      </c>
      <c r="G485" t="s">
        <v>487</v>
      </c>
      <c r="H485" s="4" cm="1">
        <f t="array" ref="H485">_xll.SNL.Clients.Office.Excel.Functions.SPG(G485, "SP_TOTAL_REV", "CY2023")</f>
        <v>16478000</v>
      </c>
      <c r="I485" s="4">
        <f>_xll.SNL.Clients.Office.Excel.Functions.SPG(G485,"IQ_AVG_DILUT_SHARES_OUT","CY2023")</f>
        <v>50100000</v>
      </c>
      <c r="J485" s="5">
        <f>_xll.SNL.Clients.Office.Excel.Functions.SPG(G485, "IQ_DILUT_EPS_NORM", "CY2023")</f>
        <v>30.035</v>
      </c>
      <c r="K485">
        <f t="shared" si="30"/>
        <v>1504753.5</v>
      </c>
      <c r="L485">
        <f t="shared" si="31"/>
        <v>9.1318940405389001E-2</v>
      </c>
    </row>
    <row r="486" spans="1:12" x14ac:dyDescent="0.3">
      <c r="A486" t="s">
        <v>488</v>
      </c>
      <c r="B486" s="4" cm="1">
        <f t="array" ref="B486">_xll.SNL.Clients.Office.Excel.Functions.SPG(A486, "SP_TOTAL_REV", "CY2023")</f>
        <v>142406000</v>
      </c>
      <c r="C486" s="4">
        <f>_xll.SNL.Clients.Office.Excel.Functions.SPG(A486,"IQ_AVG_DILUT_SHARES_OUT","CY2023")</f>
        <v>863050000</v>
      </c>
      <c r="D486" s="5">
        <f>_xll.SNL.Clients.Office.Excel.Functions.SPG(A486, "IQ_DILUT_EPS_NORM", "CY2023")</f>
        <v>0.95799999999999996</v>
      </c>
      <c r="E486">
        <f t="shared" si="28"/>
        <v>826801.9</v>
      </c>
      <c r="F486">
        <f t="shared" si="29"/>
        <v>5.8059484853166298E-3</v>
      </c>
      <c r="G486" t="s">
        <v>488</v>
      </c>
      <c r="H486" s="4" cm="1">
        <f t="array" ref="H486">_xll.SNL.Clients.Office.Excel.Functions.SPG(G486, "SP_TOTAL_REV", "CY2023")</f>
        <v>142406000</v>
      </c>
      <c r="I486" s="4">
        <f>_xll.SNL.Clients.Office.Excel.Functions.SPG(G486,"IQ_AVG_DILUT_SHARES_OUT","CY2023")</f>
        <v>863050000</v>
      </c>
      <c r="J486" s="5">
        <f>_xll.SNL.Clients.Office.Excel.Functions.SPG(G486, "IQ_DILUT_EPS_NORM", "CY2023")</f>
        <v>0.95799999999999996</v>
      </c>
      <c r="K486">
        <f t="shared" si="30"/>
        <v>826801.9</v>
      </c>
      <c r="L486">
        <f t="shared" si="31"/>
        <v>5.8059484853166298E-3</v>
      </c>
    </row>
    <row r="487" spans="1:12" x14ac:dyDescent="0.3">
      <c r="A487" t="s">
        <v>489</v>
      </c>
      <c r="B487" s="4" cm="1">
        <f t="array" ref="B487">_xll.SNL.Clients.Office.Excel.Functions.SPG(A487, "SP_TOTAL_REV", "CY2023")</f>
        <v>648125000</v>
      </c>
      <c r="C487" s="4">
        <f>_xll.SNL.Clients.Office.Excel.Functions.SPG(A487,"IQ_AVG_DILUT_SHARES_OUT","CY2023")</f>
        <v>8108000000</v>
      </c>
      <c r="D487" s="5">
        <f>_xll.SNL.Clients.Office.Excel.Functions.SPG(A487, "IQ_DILUT_EPS_NORM", "CY2023")</f>
        <v>1.837</v>
      </c>
      <c r="E487">
        <f t="shared" si="28"/>
        <v>14894396</v>
      </c>
      <c r="F487">
        <f t="shared" si="29"/>
        <v>2.2980745998071359E-2</v>
      </c>
      <c r="G487" t="s">
        <v>489</v>
      </c>
      <c r="H487" s="4" cm="1">
        <f t="array" ref="H487">_xll.SNL.Clients.Office.Excel.Functions.SPG(G487, "SP_TOTAL_REV", "CY2023")</f>
        <v>648125000</v>
      </c>
      <c r="I487" s="4">
        <f>_xll.SNL.Clients.Office.Excel.Functions.SPG(G487,"IQ_AVG_DILUT_SHARES_OUT","CY2023")</f>
        <v>8108000000</v>
      </c>
      <c r="J487" s="5">
        <f>_xll.SNL.Clients.Office.Excel.Functions.SPG(G487, "IQ_DILUT_EPS_NORM", "CY2023")</f>
        <v>1.837</v>
      </c>
      <c r="K487">
        <f t="shared" si="30"/>
        <v>14894396</v>
      </c>
      <c r="L487">
        <f t="shared" si="31"/>
        <v>2.2980745998071359E-2</v>
      </c>
    </row>
    <row r="488" spans="1:12" x14ac:dyDescent="0.3">
      <c r="A488" t="s">
        <v>490</v>
      </c>
      <c r="B488" s="4" cm="1">
        <f t="array" ref="B488">_xll.SNL.Clients.Office.Excel.Functions.SPG(A488, "SP_TOTAL_REV", "CY2023")</f>
        <v>41321000</v>
      </c>
      <c r="C488" s="4">
        <f>_xll.SNL.Clients.Office.Excel.Functions.SPG(A488,"IQ_AVG_DILUT_SHARES_OUT","CY2023")</f>
        <v>2436000000</v>
      </c>
      <c r="D488" s="5">
        <f>_xll.SNL.Clients.Office.Excel.Functions.SPG(A488, "IQ_DILUT_EPS_NORM", "CY2023")</f>
        <v>-0.74</v>
      </c>
      <c r="E488">
        <f t="shared" si="28"/>
        <v>-1802640</v>
      </c>
      <c r="F488">
        <f t="shared" si="29"/>
        <v>-4.3625275283754025E-2</v>
      </c>
      <c r="G488" t="s">
        <v>490</v>
      </c>
      <c r="H488" s="4" cm="1">
        <f t="array" ref="H488">_xll.SNL.Clients.Office.Excel.Functions.SPG(G488, "SP_TOTAL_REV", "CY2023")</f>
        <v>41321000</v>
      </c>
      <c r="I488" s="4">
        <f>_xll.SNL.Clients.Office.Excel.Functions.SPG(G488,"IQ_AVG_DILUT_SHARES_OUT","CY2023")</f>
        <v>2436000000</v>
      </c>
      <c r="J488" s="5">
        <f>_xll.SNL.Clients.Office.Excel.Functions.SPG(G488, "IQ_DILUT_EPS_NORM", "CY2023")</f>
        <v>-0.74</v>
      </c>
      <c r="K488">
        <f t="shared" si="30"/>
        <v>-1802640</v>
      </c>
      <c r="L488">
        <f t="shared" si="31"/>
        <v>-4.3625275283754025E-2</v>
      </c>
    </row>
    <row r="489" spans="1:12" x14ac:dyDescent="0.3">
      <c r="A489" t="s">
        <v>491</v>
      </c>
      <c r="B489" s="4" cm="1">
        <f t="array" ref="B489">_xll.SNL.Clients.Office.Excel.Functions.SPG(A489, "SP_TOTAL_REV", "CY2023")</f>
        <v>20426000</v>
      </c>
      <c r="C489" s="4">
        <f>_xll.SNL.Clients.Office.Excel.Functions.SPG(A489,"IQ_AVG_DILUT_SHARES_OUT","CY2023")</f>
        <v>406900000</v>
      </c>
      <c r="D489" s="5">
        <f>_xll.SNL.Clients.Office.Excel.Functions.SPG(A489, "IQ_DILUT_EPS_NORM", "CY2023")</f>
        <v>5.09</v>
      </c>
      <c r="E489">
        <f t="shared" si="28"/>
        <v>2071121</v>
      </c>
      <c r="F489">
        <f t="shared" si="29"/>
        <v>0.10139630862626065</v>
      </c>
      <c r="G489" t="s">
        <v>491</v>
      </c>
      <c r="H489" s="4" cm="1">
        <f t="array" ref="H489">_xll.SNL.Clients.Office.Excel.Functions.SPG(G489, "SP_TOTAL_REV", "CY2023")</f>
        <v>20426000</v>
      </c>
      <c r="I489" s="4">
        <f>_xll.SNL.Clients.Office.Excel.Functions.SPG(G489,"IQ_AVG_DILUT_SHARES_OUT","CY2023")</f>
        <v>406900000</v>
      </c>
      <c r="J489" s="5">
        <f>_xll.SNL.Clients.Office.Excel.Functions.SPG(G489, "IQ_DILUT_EPS_NORM", "CY2023")</f>
        <v>5.09</v>
      </c>
      <c r="K489">
        <f t="shared" si="30"/>
        <v>2071121</v>
      </c>
      <c r="L489">
        <f t="shared" si="31"/>
        <v>0.10139630862626065</v>
      </c>
    </row>
    <row r="490" spans="1:12" x14ac:dyDescent="0.3">
      <c r="A490" t="s">
        <v>492</v>
      </c>
      <c r="B490" s="4" cm="1">
        <f t="array" ref="B490">_xll.SNL.Clients.Office.Excel.Functions.SPG(A490, "SP_TOTAL_REV", "CY2023")</f>
        <v>2956416</v>
      </c>
      <c r="C490" s="4">
        <f>_xll.SNL.Clients.Office.Excel.Functions.SPG(A490,"IQ_AVG_DILUT_SHARES_OUT","CY2023")</f>
        <v>59270000</v>
      </c>
      <c r="D490" s="5">
        <f>_xll.SNL.Clients.Office.Excel.Functions.SPG(A490, "IQ_DILUT_EPS_NORM", "CY2023")</f>
        <v>8.1750000000000007</v>
      </c>
      <c r="E490">
        <f t="shared" si="28"/>
        <v>484532.25000000006</v>
      </c>
      <c r="F490">
        <f t="shared" si="29"/>
        <v>0.16389176962917265</v>
      </c>
      <c r="G490" t="s">
        <v>492</v>
      </c>
      <c r="H490" s="4" cm="1">
        <f t="array" ref="H490">_xll.SNL.Clients.Office.Excel.Functions.SPG(G490, "SP_TOTAL_REV", "CY2023")</f>
        <v>2956416</v>
      </c>
      <c r="I490" s="4">
        <f>_xll.SNL.Clients.Office.Excel.Functions.SPG(G490,"IQ_AVG_DILUT_SHARES_OUT","CY2023")</f>
        <v>59270000</v>
      </c>
      <c r="J490" s="5">
        <f>_xll.SNL.Clients.Office.Excel.Functions.SPG(G490, "IQ_DILUT_EPS_NORM", "CY2023")</f>
        <v>8.1750000000000007</v>
      </c>
      <c r="K490">
        <f t="shared" si="30"/>
        <v>484532.25000000006</v>
      </c>
      <c r="L490">
        <f t="shared" si="31"/>
        <v>0.16389176962917265</v>
      </c>
    </row>
    <row r="491" spans="1:12" x14ac:dyDescent="0.3">
      <c r="A491" t="s">
        <v>493</v>
      </c>
      <c r="B491" s="4" cm="1">
        <f t="array" ref="B491">_xll.SNL.Clients.Office.Excel.Functions.SPG(A491, "SP_TOTAL_REV", "CY2023")</f>
        <v>8893000</v>
      </c>
      <c r="C491" s="4">
        <f>_xll.SNL.Clients.Office.Excel.Functions.SPG(A491,"IQ_AVG_DILUT_SHARES_OUT","CY2023")</f>
        <v>315900000</v>
      </c>
      <c r="D491" s="5">
        <f>_xll.SNL.Clients.Office.Excel.Functions.SPG(A491, "IQ_DILUT_EPS_NORM", "CY2023")</f>
        <v>3.395</v>
      </c>
      <c r="E491">
        <f t="shared" si="28"/>
        <v>1072480.5</v>
      </c>
      <c r="F491">
        <f t="shared" si="29"/>
        <v>0.1205982795457101</v>
      </c>
      <c r="G491" t="s">
        <v>493</v>
      </c>
      <c r="H491" s="4" cm="1">
        <f t="array" ref="H491">_xll.SNL.Clients.Office.Excel.Functions.SPG(G491, "SP_TOTAL_REV", "CY2023")</f>
        <v>8893000</v>
      </c>
      <c r="I491" s="4">
        <f>_xll.SNL.Clients.Office.Excel.Functions.SPG(G491,"IQ_AVG_DILUT_SHARES_OUT","CY2023")</f>
        <v>315900000</v>
      </c>
      <c r="J491" s="5">
        <f>_xll.SNL.Clients.Office.Excel.Functions.SPG(G491, "IQ_DILUT_EPS_NORM", "CY2023")</f>
        <v>3.395</v>
      </c>
      <c r="K491">
        <f t="shared" si="30"/>
        <v>1072480.5</v>
      </c>
      <c r="L491">
        <f t="shared" si="31"/>
        <v>0.1205982795457101</v>
      </c>
    </row>
    <row r="492" spans="1:12" x14ac:dyDescent="0.3">
      <c r="A492" t="s">
        <v>494</v>
      </c>
      <c r="B492" s="4" cm="1">
        <f t="array" ref="B492">_xll.SNL.Clients.Office.Excel.Functions.SPG(A492, "SP_TOTAL_REV", "CY2023")</f>
        <v>82597000</v>
      </c>
      <c r="C492" s="4">
        <f>_xll.SNL.Clients.Office.Excel.Functions.SPG(A492,"IQ_AVG_DILUT_SHARES_OUT","CY2023")</f>
        <v>3720400000</v>
      </c>
      <c r="D492" s="5">
        <f>_xll.SNL.Clients.Office.Excel.Functions.SPG(A492, "IQ_DILUT_EPS_NORM", "CY2023")</f>
        <v>4.0140000000000002</v>
      </c>
      <c r="E492">
        <f t="shared" si="28"/>
        <v>14933685.6</v>
      </c>
      <c r="F492">
        <f t="shared" si="29"/>
        <v>0.18080179183263315</v>
      </c>
      <c r="G492" t="s">
        <v>494</v>
      </c>
      <c r="H492" s="4" cm="1">
        <f t="array" ref="H492">_xll.SNL.Clients.Office.Excel.Functions.SPG(G492, "SP_TOTAL_REV", "CY2023")</f>
        <v>82597000</v>
      </c>
      <c r="I492" s="4">
        <f>_xll.SNL.Clients.Office.Excel.Functions.SPG(G492,"IQ_AVG_DILUT_SHARES_OUT","CY2023")</f>
        <v>3720400000</v>
      </c>
      <c r="J492" s="5">
        <f>_xll.SNL.Clients.Office.Excel.Functions.SPG(G492, "IQ_DILUT_EPS_NORM", "CY2023")</f>
        <v>4.0140000000000002</v>
      </c>
      <c r="K492">
        <f t="shared" si="30"/>
        <v>14933685.6</v>
      </c>
      <c r="L492">
        <f t="shared" si="31"/>
        <v>0.18080179183263315</v>
      </c>
    </row>
    <row r="493" spans="1:12" x14ac:dyDescent="0.3">
      <c r="A493" t="s">
        <v>495</v>
      </c>
      <c r="B493" s="4" cm="1">
        <f t="array" ref="B493">_xll.SNL.Clients.Office.Excel.Functions.SPG(A493, "SP_TOTAL_REV", "CY2023")</f>
        <v>6554361</v>
      </c>
      <c r="C493" s="4">
        <f>_xll.SNL.Clients.Office.Excel.Functions.SPG(A493,"IQ_AVG_DILUT_SHARES_OUT","CY2023")</f>
        <v>518701000</v>
      </c>
      <c r="D493" s="5">
        <f>_xll.SNL.Clients.Office.Excel.Functions.SPG(A493, "IQ_DILUT_EPS_NORM", "CY2023")</f>
        <v>0.39200000000000002</v>
      </c>
      <c r="E493">
        <f t="shared" si="28"/>
        <v>203330.79199999999</v>
      </c>
      <c r="F493">
        <f t="shared" si="29"/>
        <v>3.1022214369943919E-2</v>
      </c>
      <c r="G493" t="s">
        <v>495</v>
      </c>
      <c r="H493" s="4" cm="1">
        <f t="array" ref="H493">_xll.SNL.Clients.Office.Excel.Functions.SPG(G493, "SP_TOTAL_REV", "CY2023")</f>
        <v>6554361</v>
      </c>
      <c r="I493" s="4">
        <f>_xll.SNL.Clients.Office.Excel.Functions.SPG(G493,"IQ_AVG_DILUT_SHARES_OUT","CY2023")</f>
        <v>518701000</v>
      </c>
      <c r="J493" s="5">
        <f>_xll.SNL.Clients.Office.Excel.Functions.SPG(G493, "IQ_DILUT_EPS_NORM", "CY2023")</f>
        <v>0.39200000000000002</v>
      </c>
      <c r="K493">
        <f t="shared" si="30"/>
        <v>203330.79199999999</v>
      </c>
      <c r="L493">
        <f t="shared" si="31"/>
        <v>3.1022214369943919E-2</v>
      </c>
    </row>
    <row r="494" spans="1:12" x14ac:dyDescent="0.3">
      <c r="A494" t="s">
        <v>496</v>
      </c>
      <c r="B494" s="4" cm="1">
        <f t="array" ref="B494">_xll.SNL.Clients.Office.Excel.Functions.SPG(A494, "SP_TOTAL_REV", "CY2023")</f>
        <v>2949800</v>
      </c>
      <c r="C494" s="4">
        <f>_xll.SNL.Clients.Office.Excel.Functions.SPG(A494,"IQ_AVG_DILUT_SHARES_OUT","CY2023")</f>
        <v>75300000</v>
      </c>
      <c r="D494" s="5">
        <f>_xll.SNL.Clients.Office.Excel.Functions.SPG(A494, "IQ_DILUT_EPS_NORM", "CY2023")</f>
        <v>6.1239999999999997</v>
      </c>
      <c r="E494">
        <f t="shared" si="28"/>
        <v>461137.2</v>
      </c>
      <c r="F494">
        <f t="shared" si="29"/>
        <v>0.15632829344362331</v>
      </c>
      <c r="G494" t="s">
        <v>496</v>
      </c>
      <c r="H494" s="4" cm="1">
        <f t="array" ref="H494">_xll.SNL.Clients.Office.Excel.Functions.SPG(G494, "SP_TOTAL_REV", "CY2023")</f>
        <v>2949800</v>
      </c>
      <c r="I494" s="4">
        <f>_xll.SNL.Clients.Office.Excel.Functions.SPG(G494,"IQ_AVG_DILUT_SHARES_OUT","CY2023")</f>
        <v>75300000</v>
      </c>
      <c r="J494" s="5">
        <f>_xll.SNL.Clients.Office.Excel.Functions.SPG(G494, "IQ_DILUT_EPS_NORM", "CY2023")</f>
        <v>6.1239999999999997</v>
      </c>
      <c r="K494">
        <f t="shared" si="30"/>
        <v>461137.2</v>
      </c>
      <c r="L494">
        <f t="shared" si="31"/>
        <v>0.15632829344362331</v>
      </c>
    </row>
    <row r="495" spans="1:12" x14ac:dyDescent="0.3">
      <c r="A495" t="s">
        <v>497</v>
      </c>
      <c r="B495" s="4" cm="1">
        <f t="array" ref="B495">_xll.SNL.Clients.Office.Excel.Functions.SPG(A495, "SP_TOTAL_REV", "CY2023")</f>
        <v>11257000</v>
      </c>
      <c r="C495" s="4">
        <f>_xll.SNL.Clients.Office.Excel.Functions.SPG(A495,"IQ_AVG_DILUT_SHARES_OUT","CY2023")</f>
        <v>321000000</v>
      </c>
      <c r="D495" s="5">
        <f>_xll.SNL.Clients.Office.Excel.Functions.SPG(A495, "IQ_DILUT_EPS_NORM", "CY2023")</f>
        <v>-3.97</v>
      </c>
      <c r="E495">
        <f t="shared" si="28"/>
        <v>-1274370</v>
      </c>
      <c r="F495">
        <f t="shared" si="29"/>
        <v>-0.11320689348849605</v>
      </c>
      <c r="G495" t="s">
        <v>497</v>
      </c>
      <c r="H495" s="4" cm="1">
        <f t="array" ref="H495">_xll.SNL.Clients.Office.Excel.Functions.SPG(G495, "SP_TOTAL_REV", "CY2023")</f>
        <v>11257000</v>
      </c>
      <c r="I495" s="4">
        <f>_xll.SNL.Clients.Office.Excel.Functions.SPG(G495,"IQ_AVG_DILUT_SHARES_OUT","CY2023")</f>
        <v>321000000</v>
      </c>
      <c r="J495" s="5">
        <f>_xll.SNL.Clients.Office.Excel.Functions.SPG(G495, "IQ_DILUT_EPS_NORM", "CY2023")</f>
        <v>-3.97</v>
      </c>
      <c r="K495">
        <f t="shared" si="30"/>
        <v>-1274370</v>
      </c>
      <c r="L495">
        <f t="shared" si="31"/>
        <v>-0.11320689348849605</v>
      </c>
    </row>
    <row r="496" spans="1:12" x14ac:dyDescent="0.3">
      <c r="A496" t="s">
        <v>498</v>
      </c>
      <c r="B496" s="4" cm="1">
        <f t="array" ref="B496">_xll.SNL.Clients.Office.Excel.Functions.SPG(A496, "SP_TOTAL_REV", "CY2023")</f>
        <v>9677000</v>
      </c>
      <c r="C496" s="4">
        <f>_xll.SNL.Clients.Office.Excel.Functions.SPG(A496,"IQ_AVG_DILUT_SHARES_OUT","CY2023")</f>
        <v>179500000</v>
      </c>
      <c r="D496" s="5">
        <f>_xll.SNL.Clients.Office.Excel.Functions.SPG(A496, "IQ_DILUT_EPS_NORM", "CY2023")</f>
        <v>3.827</v>
      </c>
      <c r="E496">
        <f t="shared" si="28"/>
        <v>686946.5</v>
      </c>
      <c r="F496">
        <f t="shared" si="29"/>
        <v>7.0987547793737726E-2</v>
      </c>
      <c r="G496" t="s">
        <v>498</v>
      </c>
      <c r="H496" s="4" cm="1">
        <f t="array" ref="H496">_xll.SNL.Clients.Office.Excel.Functions.SPG(G496, "SP_TOTAL_REV", "CY2023")</f>
        <v>9677000</v>
      </c>
      <c r="I496" s="4">
        <f>_xll.SNL.Clients.Office.Excel.Functions.SPG(G496,"IQ_AVG_DILUT_SHARES_OUT","CY2023")</f>
        <v>179500000</v>
      </c>
      <c r="J496" s="5">
        <f>_xll.SNL.Clients.Office.Excel.Functions.SPG(G496, "IQ_DILUT_EPS_NORM", "CY2023")</f>
        <v>3.827</v>
      </c>
      <c r="K496">
        <f t="shared" si="30"/>
        <v>686946.5</v>
      </c>
      <c r="L496">
        <f t="shared" si="31"/>
        <v>7.0987547793737726E-2</v>
      </c>
    </row>
    <row r="497" spans="1:12" x14ac:dyDescent="0.3">
      <c r="A497" t="s">
        <v>499</v>
      </c>
      <c r="B497" s="4" cm="1">
        <f t="array" ref="B497">_xll.SNL.Clients.Office.Excel.Functions.SPG(A497, "SP_TOTAL_REV", "CY2023")</f>
        <v>7721000</v>
      </c>
      <c r="C497" s="4">
        <f>_xll.SNL.Clients.Office.Excel.Functions.SPG(A497,"IQ_AVG_DILUT_SHARES_OUT","CY2023")</f>
        <v>732222000</v>
      </c>
      <c r="D497" s="5">
        <f>_xll.SNL.Clients.Office.Excel.Functions.SPG(A497, "IQ_DILUT_EPS_NORM", "CY2023")</f>
        <v>0.73599999999999999</v>
      </c>
      <c r="E497">
        <f t="shared" si="28"/>
        <v>538915.39199999999</v>
      </c>
      <c r="F497">
        <f t="shared" si="29"/>
        <v>6.9798651988084451E-2</v>
      </c>
      <c r="G497" t="s">
        <v>499</v>
      </c>
      <c r="H497" s="4" cm="1">
        <f t="array" ref="H497">_xll.SNL.Clients.Office.Excel.Functions.SPG(G497, "SP_TOTAL_REV", "CY2023")</f>
        <v>7721000</v>
      </c>
      <c r="I497" s="4">
        <f>_xll.SNL.Clients.Office.Excel.Functions.SPG(G497,"IQ_AVG_DILUT_SHARES_OUT","CY2023")</f>
        <v>732222000</v>
      </c>
      <c r="J497" s="5">
        <f>_xll.SNL.Clients.Office.Excel.Functions.SPG(G497, "IQ_DILUT_EPS_NORM", "CY2023")</f>
        <v>0.73599999999999999</v>
      </c>
      <c r="K497">
        <f t="shared" si="30"/>
        <v>538915.39199999999</v>
      </c>
      <c r="L497">
        <f t="shared" si="31"/>
        <v>6.9798651988084451E-2</v>
      </c>
    </row>
    <row r="498" spans="1:12" x14ac:dyDescent="0.3">
      <c r="A498" t="s">
        <v>500</v>
      </c>
      <c r="B498" s="4" cm="1">
        <f t="array" ref="B498">_xll.SNL.Clients.Office.Excel.Functions.SPG(A498, "SP_TOTAL_REV", "CY2023")</f>
        <v>9632000</v>
      </c>
      <c r="C498" s="4">
        <f>_xll.SNL.Clients.Office.Excel.Functions.SPG(A498,"IQ_AVG_DILUT_SHARES_OUT","CY2023")</f>
        <v>106000000</v>
      </c>
      <c r="D498" s="5">
        <f>_xll.SNL.Clients.Office.Excel.Functions.SPG(A498, "IQ_DILUT_EPS_NORM", "CY2023")</f>
        <v>9.8800000000000008</v>
      </c>
      <c r="E498">
        <f t="shared" si="28"/>
        <v>1047280.0000000001</v>
      </c>
      <c r="F498">
        <f t="shared" si="29"/>
        <v>0.10872923588039868</v>
      </c>
      <c r="G498" t="s">
        <v>500</v>
      </c>
      <c r="H498" s="4" cm="1">
        <f t="array" ref="H498">_xll.SNL.Clients.Office.Excel.Functions.SPG(G498, "SP_TOTAL_REV", "CY2023")</f>
        <v>9632000</v>
      </c>
      <c r="I498" s="4">
        <f>_xll.SNL.Clients.Office.Excel.Functions.SPG(G498,"IQ_AVG_DILUT_SHARES_OUT","CY2023")</f>
        <v>106000000</v>
      </c>
      <c r="J498" s="5">
        <f>_xll.SNL.Clients.Office.Excel.Functions.SPG(G498, "IQ_DILUT_EPS_NORM", "CY2023")</f>
        <v>9.8800000000000008</v>
      </c>
      <c r="K498">
        <f t="shared" si="30"/>
        <v>1047280.0000000001</v>
      </c>
      <c r="L498">
        <f t="shared" si="31"/>
        <v>0.10872923588039868</v>
      </c>
    </row>
    <row r="499" spans="1:12" x14ac:dyDescent="0.3">
      <c r="A499" t="s">
        <v>501</v>
      </c>
      <c r="B499" s="4" cm="1">
        <f t="array" ref="B499">_xll.SNL.Clients.Office.Excel.Functions.SPG(A499, "SP_TOTAL_REV", "CY2023")</f>
        <v>7259000</v>
      </c>
      <c r="C499" s="4">
        <f>_xll.SNL.Clients.Office.Excel.Functions.SPG(A499,"IQ_AVG_DILUT_SHARES_OUT","CY2023")</f>
        <v>265285000</v>
      </c>
      <c r="D499" s="5">
        <f>_xll.SNL.Clients.Office.Excel.Functions.SPG(A499, "IQ_DILUT_EPS_NORM", "CY2023")</f>
        <v>0.89500000000000002</v>
      </c>
      <c r="E499">
        <f t="shared" si="28"/>
        <v>237430.07500000001</v>
      </c>
      <c r="F499">
        <f t="shared" si="29"/>
        <v>3.2708372365339577E-2</v>
      </c>
      <c r="G499" t="s">
        <v>501</v>
      </c>
      <c r="H499" s="4" cm="1">
        <f t="array" ref="H499">_xll.SNL.Clients.Office.Excel.Functions.SPG(G499, "SP_TOTAL_REV", "CY2023")</f>
        <v>7259000</v>
      </c>
      <c r="I499" s="4">
        <f>_xll.SNL.Clients.Office.Excel.Functions.SPG(G499,"IQ_AVG_DILUT_SHARES_OUT","CY2023")</f>
        <v>265285000</v>
      </c>
      <c r="J499" s="5">
        <f>_xll.SNL.Clients.Office.Excel.Functions.SPG(G499, "IQ_DILUT_EPS_NORM", "CY2023")</f>
        <v>0.89500000000000002</v>
      </c>
      <c r="K499">
        <f t="shared" si="30"/>
        <v>237430.07500000001</v>
      </c>
      <c r="L499">
        <f t="shared" si="31"/>
        <v>3.2708372365339577E-2</v>
      </c>
    </row>
    <row r="500" spans="1:12" x14ac:dyDescent="0.3">
      <c r="A500" t="s">
        <v>502</v>
      </c>
      <c r="B500" s="4" cm="1">
        <f t="array" ref="B500">_xll.SNL.Clients.Office.Excel.Functions.SPG(A500, "SP_TOTAL_REV", "CY2023")</f>
        <v>6531897</v>
      </c>
      <c r="C500" s="4">
        <f>_xll.SNL.Clients.Office.Excel.Functions.SPG(A500,"IQ_AVG_DILUT_SHARES_OUT","CY2023")</f>
        <v>112855000</v>
      </c>
      <c r="D500" s="5">
        <f>_xll.SNL.Clients.Office.Excel.Functions.SPG(A500, "IQ_DILUT_EPS_NORM", "CY2023")</f>
        <v>2.3279999999999998</v>
      </c>
      <c r="E500">
        <f t="shared" si="28"/>
        <v>262726.43999999994</v>
      </c>
      <c r="F500">
        <f t="shared" si="29"/>
        <v>4.0222073311933719E-2</v>
      </c>
      <c r="G500" t="s">
        <v>502</v>
      </c>
      <c r="H500" s="4" cm="1">
        <f t="array" ref="H500">_xll.SNL.Clients.Office.Excel.Functions.SPG(G500, "SP_TOTAL_REV", "CY2023")</f>
        <v>6531897</v>
      </c>
      <c r="I500" s="4">
        <f>_xll.SNL.Clients.Office.Excel.Functions.SPG(G500,"IQ_AVG_DILUT_SHARES_OUT","CY2023")</f>
        <v>112855000</v>
      </c>
      <c r="J500" s="5">
        <f>_xll.SNL.Clients.Office.Excel.Functions.SPG(G500, "IQ_DILUT_EPS_NORM", "CY2023")</f>
        <v>2.3279999999999998</v>
      </c>
      <c r="K500">
        <f t="shared" si="30"/>
        <v>262726.43999999994</v>
      </c>
      <c r="L500">
        <f t="shared" si="31"/>
        <v>4.0222073311933719E-2</v>
      </c>
    </row>
    <row r="501" spans="1:12" x14ac:dyDescent="0.3">
      <c r="A501" t="s">
        <v>503</v>
      </c>
      <c r="B501" s="4" cm="1">
        <f t="array" ref="B501">_xll.SNL.Clients.Office.Excel.Functions.SPG(A501, "SP_TOTAL_REV", "CY2023")</f>
        <v>14206000</v>
      </c>
      <c r="C501" s="4">
        <f>_xll.SNL.Clients.Office.Excel.Functions.SPG(A501,"IQ_AVG_DILUT_SHARES_OUT","CY2023")</f>
        <v>552000000</v>
      </c>
      <c r="D501" s="5">
        <f>_xll.SNL.Clients.Office.Excel.Functions.SPG(A501, "IQ_DILUT_EPS_NORM", "CY2023")</f>
        <v>1.9610000000000001</v>
      </c>
      <c r="E501">
        <f t="shared" si="28"/>
        <v>1082472</v>
      </c>
      <c r="F501">
        <f t="shared" si="29"/>
        <v>7.6198226101647185E-2</v>
      </c>
      <c r="G501" t="s">
        <v>503</v>
      </c>
      <c r="H501" s="4" cm="1">
        <f t="array" ref="H501">_xll.SNL.Clients.Office.Excel.Functions.SPG(G501, "SP_TOTAL_REV", "CY2023")</f>
        <v>14206000</v>
      </c>
      <c r="I501" s="4">
        <f>_xll.SNL.Clients.Office.Excel.Functions.SPG(G501,"IQ_AVG_DILUT_SHARES_OUT","CY2023")</f>
        <v>552000000</v>
      </c>
      <c r="J501" s="5">
        <f>_xll.SNL.Clients.Office.Excel.Functions.SPG(G501, "IQ_DILUT_EPS_NORM", "CY2023")</f>
        <v>1.9610000000000001</v>
      </c>
      <c r="K501">
        <f t="shared" si="30"/>
        <v>1082472</v>
      </c>
      <c r="L501">
        <f t="shared" si="31"/>
        <v>7.6198226101647185E-2</v>
      </c>
    </row>
    <row r="502" spans="1:12" x14ac:dyDescent="0.3">
      <c r="A502" t="s">
        <v>504</v>
      </c>
      <c r="B502" s="4" cm="1">
        <f t="array" ref="B502">_xll.SNL.Clients.Office.Excel.Functions.SPG(A502, "SP_TOTAL_REV", "CY2023")</f>
        <v>7364000</v>
      </c>
      <c r="C502" s="4">
        <f>_xll.SNL.Clients.Office.Excel.Functions.SPG(A502,"IQ_AVG_DILUT_SHARES_OUT","CY2023")</f>
        <v>218180000</v>
      </c>
      <c r="D502" s="5">
        <f>_xll.SNL.Clients.Office.Excel.Functions.SPG(A502, "IQ_DILUT_EPS_NORM", "CY2023")</f>
        <v>2.4009999999999998</v>
      </c>
      <c r="E502">
        <f t="shared" si="28"/>
        <v>523850.17999999993</v>
      </c>
      <c r="F502">
        <f t="shared" si="29"/>
        <v>7.1136634980988586E-2</v>
      </c>
      <c r="G502" t="s">
        <v>504</v>
      </c>
      <c r="H502" s="4" cm="1">
        <f t="array" ref="H502">_xll.SNL.Clients.Office.Excel.Functions.SPG(G502, "SP_TOTAL_REV", "CY2023")</f>
        <v>7364000</v>
      </c>
      <c r="I502" s="4">
        <f>_xll.SNL.Clients.Office.Excel.Functions.SPG(G502,"IQ_AVG_DILUT_SHARES_OUT","CY2023")</f>
        <v>218180000</v>
      </c>
      <c r="J502" s="5">
        <f>_xll.SNL.Clients.Office.Excel.Functions.SPG(G502, "IQ_DILUT_EPS_NORM", "CY2023")</f>
        <v>2.4009999999999998</v>
      </c>
      <c r="K502">
        <f t="shared" si="30"/>
        <v>523850.17999999993</v>
      </c>
      <c r="L502">
        <f t="shared" si="31"/>
        <v>7.1136634980988586E-2</v>
      </c>
    </row>
    <row r="503" spans="1:12" x14ac:dyDescent="0.3">
      <c r="A503" t="s">
        <v>505</v>
      </c>
      <c r="B503" s="4" cm="1">
        <f t="array" ref="B503">_xll.SNL.Clients.Office.Excel.Functions.SPG(A503, "SP_TOTAL_REV", "CY2023")</f>
        <v>7076000</v>
      </c>
      <c r="C503" s="4">
        <f>_xll.SNL.Clients.Office.Excel.Functions.SPG(A503,"IQ_AVG_DILUT_SHARES_OUT","CY2023")</f>
        <v>285000000</v>
      </c>
      <c r="D503" s="5">
        <f>_xll.SNL.Clients.Office.Excel.Functions.SPG(A503, "IQ_DILUT_EPS_NORM", "CY2023")</f>
        <v>4.1180000000000003</v>
      </c>
      <c r="E503">
        <f t="shared" si="28"/>
        <v>1173630</v>
      </c>
      <c r="F503">
        <f t="shared" si="29"/>
        <v>0.16586065573770492</v>
      </c>
      <c r="G503" t="s">
        <v>505</v>
      </c>
      <c r="H503" s="4" cm="1">
        <f t="array" ref="H503">_xll.SNL.Clients.Office.Excel.Functions.SPG(G503, "SP_TOTAL_REV", "CY2023")</f>
        <v>7076000</v>
      </c>
      <c r="I503" s="4">
        <f>_xll.SNL.Clients.Office.Excel.Functions.SPG(G503,"IQ_AVG_DILUT_SHARES_OUT","CY2023")</f>
        <v>285000000</v>
      </c>
      <c r="J503" s="5">
        <f>_xll.SNL.Clients.Office.Excel.Functions.SPG(G503, "IQ_DILUT_EPS_NORM", "CY2023")</f>
        <v>4.1180000000000003</v>
      </c>
      <c r="K503">
        <f t="shared" si="30"/>
        <v>1173630</v>
      </c>
      <c r="L503">
        <f t="shared" si="31"/>
        <v>0.16586065573770492</v>
      </c>
    </row>
    <row r="504" spans="1:12" x14ac:dyDescent="0.3">
      <c r="A504" t="s">
        <v>506</v>
      </c>
      <c r="B504" s="4" cm="1">
        <f t="array" ref="B504">_xll.SNL.Clients.Office.Excel.Functions.SPG(A504, "SP_TOTAL_REV", "CY2023")</f>
        <v>4584000</v>
      </c>
      <c r="C504" s="4">
        <f>_xll.SNL.Clients.Office.Excel.Functions.SPG(A504,"IQ_AVG_DILUT_SHARES_OUT","CY2023")</f>
        <v>51710962</v>
      </c>
      <c r="D504" s="5">
        <f>_xll.SNL.Clients.Office.Excel.Functions.SPG(A504, "IQ_DILUT_EPS_NORM", "CY2023")</f>
        <v>5.2939999999999996</v>
      </c>
      <c r="E504">
        <f t="shared" si="28"/>
        <v>273757.83282799996</v>
      </c>
      <c r="F504">
        <f t="shared" si="29"/>
        <v>5.9720295119546241E-2</v>
      </c>
      <c r="G504" t="s">
        <v>506</v>
      </c>
      <c r="H504" s="4" cm="1">
        <f t="array" ref="H504">_xll.SNL.Clients.Office.Excel.Functions.SPG(G504, "SP_TOTAL_REV", "CY2023")</f>
        <v>4584000</v>
      </c>
      <c r="I504" s="4">
        <f>_xll.SNL.Clients.Office.Excel.Functions.SPG(G504,"IQ_AVG_DILUT_SHARES_OUT","CY2023")</f>
        <v>51710962</v>
      </c>
      <c r="J504" s="5">
        <f>_xll.SNL.Clients.Office.Excel.Functions.SPG(G504, "IQ_DILUT_EPS_NORM", "CY2023")</f>
        <v>5.2939999999999996</v>
      </c>
      <c r="K504">
        <f t="shared" si="30"/>
        <v>273757.83282799996</v>
      </c>
      <c r="L504">
        <f t="shared" si="31"/>
        <v>5.9720295119546241E-2</v>
      </c>
    </row>
    <row r="505" spans="1:12" x14ac:dyDescent="0.3">
      <c r="A505" t="s">
        <v>507</v>
      </c>
      <c r="B505" s="4" cm="1">
        <f t="array" ref="B505">_xll.SNL.Clients.Office.Excel.Functions.SPG(A505, "SP_TOTAL_REV", "CY2023")</f>
        <v>7394200</v>
      </c>
      <c r="C505" s="4">
        <f>_xll.SNL.Clients.Office.Excel.Functions.SPG(A505,"IQ_AVG_DILUT_SHARES_OUT","CY2023")</f>
        <v>209700000</v>
      </c>
      <c r="D505" s="5">
        <f>_xll.SNL.Clients.Office.Excel.Functions.SPG(A505, "IQ_DILUT_EPS_NORM", "CY2023")</f>
        <v>3.758</v>
      </c>
      <c r="E505">
        <f t="shared" si="28"/>
        <v>788052.6</v>
      </c>
      <c r="F505">
        <f t="shared" si="29"/>
        <v>0.10657712801925834</v>
      </c>
      <c r="G505" t="s">
        <v>507</v>
      </c>
      <c r="H505" s="4" cm="1">
        <f t="array" ref="H505">_xll.SNL.Clients.Office.Excel.Functions.SPG(G505, "SP_TOTAL_REV", "CY2023")</f>
        <v>7394200</v>
      </c>
      <c r="I505" s="4">
        <f>_xll.SNL.Clients.Office.Excel.Functions.SPG(G505,"IQ_AVG_DILUT_SHARES_OUT","CY2023")</f>
        <v>209700000</v>
      </c>
      <c r="J505" s="5">
        <f>_xll.SNL.Clients.Office.Excel.Functions.SPG(G505, "IQ_DILUT_EPS_NORM", "CY2023")</f>
        <v>3.758</v>
      </c>
      <c r="K505">
        <f t="shared" si="30"/>
        <v>788052.6</v>
      </c>
      <c r="L505">
        <f t="shared" si="31"/>
        <v>0.10657712801925834</v>
      </c>
    </row>
    <row r="506" spans="1:12" x14ac:dyDescent="0.3">
      <c r="A506" t="s">
        <v>508</v>
      </c>
      <c r="B506" s="4" cm="1">
        <f t="array" ref="B506">_xll.SNL.Clients.Office.Excel.Functions.SPG(A506, "SP_TOTAL_REV", "CY2023")</f>
        <v>8544000</v>
      </c>
      <c r="C506" s="4">
        <f>_xll.SNL.Clients.Office.Excel.Functions.SPG(A506,"IQ_AVG_DILUT_SHARES_OUT","CY2023")</f>
        <v>462269000</v>
      </c>
      <c r="D506" s="5">
        <f>_xll.SNL.Clients.Office.Excel.Functions.SPG(A506, "IQ_DILUT_EPS_NORM", "CY2023")</f>
        <v>3.9660000000000002</v>
      </c>
      <c r="E506">
        <f t="shared" si="28"/>
        <v>1833358.8540000001</v>
      </c>
      <c r="F506">
        <f t="shared" si="29"/>
        <v>0.21457851755617979</v>
      </c>
      <c r="G506" t="s">
        <v>508</v>
      </c>
      <c r="H506" s="4" cm="1">
        <f t="array" ref="H506">_xll.SNL.Clients.Office.Excel.Functions.SPG(G506, "SP_TOTAL_REV", "CY2023")</f>
        <v>8544000</v>
      </c>
      <c r="I506" s="4">
        <f>_xll.SNL.Clients.Office.Excel.Functions.SPG(G506,"IQ_AVG_DILUT_SHARES_OUT","CY2023")</f>
        <v>462269000</v>
      </c>
      <c r="J506" s="5">
        <f>_xll.SNL.Clients.Office.Excel.Functions.SPG(G506, "IQ_DILUT_EPS_NORM", "CY2023")</f>
        <v>3.9660000000000002</v>
      </c>
      <c r="K506">
        <f t="shared" si="30"/>
        <v>1833358.8540000001</v>
      </c>
      <c r="L506">
        <f t="shared" si="31"/>
        <v>0.21457851755617979</v>
      </c>
    </row>
    <row r="507" spans="1:12" x14ac:dyDescent="0.3">
      <c r="B507">
        <f>SUM(B4:B506)</f>
        <v>16569580075</v>
      </c>
      <c r="C507">
        <f>SUM(C4:C506)</f>
        <v>393106243733</v>
      </c>
      <c r="D507">
        <f>E507/C507*1000</f>
        <v>3.2713287141135643</v>
      </c>
      <c r="E507">
        <f>SUMIF(E4:E506, "&lt;&gt;#VALUE!")</f>
        <v>1285979742.8210883</v>
      </c>
      <c r="F507">
        <f>E507/B507</f>
        <v>7.7610883136462847E-2</v>
      </c>
      <c r="H507">
        <f>SUM(H4:H506)</f>
        <v>16571296219</v>
      </c>
      <c r="I507">
        <f>SUM(I4:I506)</f>
        <v>393120320983</v>
      </c>
      <c r="J507">
        <f>K507/I507*1000</f>
        <v>3.2725043158986704</v>
      </c>
      <c r="K507">
        <f>SUMIF(K4:K506, "&lt;&gt;#VALUE!")</f>
        <v>1286487947.0843382</v>
      </c>
      <c r="L507">
        <f>K507/H507</f>
        <v>7.7633513400677825E-2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Exchange-Ticker better</vt:lpstr>
      <vt:lpstr>template (2)</vt:lpstr>
      <vt:lpstr>alternative</vt:lpstr>
      <vt:lpstr>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Longhao Desktop</dc:creator>
  <cp:lastModifiedBy>Longhao Desktop</cp:lastModifiedBy>
  <dcterms:created xsi:type="dcterms:W3CDTF">2025-01-05T20:50:23Z</dcterms:created>
  <dcterms:modified xsi:type="dcterms:W3CDTF">2025-01-07T03:35:38Z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{DE97FA61-B3E6-4E9A-8F99-430F9BB7A32D}</vt:lpwstr>
  </property>
</Properties>
</file>