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ongh\Desktop\X\02_screening\CPE\"/>
    </mc:Choice>
  </mc:AlternateContent>
  <xr:revisionPtr revIDLastSave="0" documentId="13_ncr:1_{F7AD0F81-94C8-487F-A053-B2D121F96309}" xr6:coauthVersionLast="47" xr6:coauthVersionMax="47" xr10:uidLastSave="{00000000-0000-0000-0000-000000000000}"/>
  <bookViews>
    <workbookView xWindow="30612" yWindow="-5688" windowWidth="14616" windowHeight="23256" activeTab="1" xr2:uid="{00000000-000D-0000-FFFF-FFFF00000000}"/>
  </bookViews>
  <sheets>
    <sheet name="Strategy_Summary" sheetId="11" r:id="rId1"/>
    <sheet name="BQR-6_9.15.2025" sheetId="10" r:id="rId2"/>
    <sheet name="CPE_887_9.10.2025" sheetId="8" state="hidden" r:id="rId3"/>
    <sheet name="CPE_888_9.8.2025" sheetId="6" state="hidden" r:id="rId4"/>
    <sheet name="BQR-7_9.6.2025" sheetId="5" state="hidden" r:id="rId5"/>
    <sheet name="BQR-6_9.5.2025" sheetId="4" state="hidden" r:id="rId6"/>
    <sheet name="Sheet4" sheetId="9" r:id="rId7"/>
  </sheets>
  <definedNames>
    <definedName name="_xlnm._FilterDatabase" localSheetId="1" hidden="1">'BQR-6_9.15.2025'!$A$4:$AZ$76</definedName>
    <definedName name="_xlnm._FilterDatabase" localSheetId="5" hidden="1">'BQR-6_9.5.2025'!$A$3:$AM$32</definedName>
    <definedName name="_xlnm._FilterDatabase" localSheetId="4" hidden="1">'BQR-7_9.6.2025'!$A$3:$AM$25</definedName>
    <definedName name="_xlnm._FilterDatabase" localSheetId="2" hidden="1">'CPE_887_9.10.2025'!$A$3:$AM$17</definedName>
    <definedName name="_xlnm._FilterDatabase" localSheetId="3" hidden="1">'CPE_888_9.8.2025'!$A$3:$AM$4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7" i="8" l="1" a="1"/>
  <c r="W27" i="8" s="1"/>
  <c r="W26" i="8"/>
  <c r="W22" i="8"/>
  <c r="W21" i="8"/>
  <c r="W30" i="5"/>
  <c r="T29" i="5"/>
  <c r="T30" i="5"/>
  <c r="T28" i="5"/>
  <c r="AF42" i="4" a="1"/>
  <c r="AF42" i="4" s="1"/>
  <c r="AF41" i="4"/>
  <c r="AF39" i="4" a="1"/>
  <c r="AF39" i="4" s="1"/>
  <c r="AF37" i="4"/>
  <c r="AF36" i="4"/>
  <c r="AF35" i="4"/>
  <c r="AF34" i="4"/>
  <c r="AC41" i="4"/>
  <c r="AC42" i="4" s="1" a="1"/>
  <c r="AC42" i="4" s="1"/>
  <c r="AC39" i="4" a="1"/>
  <c r="AC39" i="4" s="1"/>
  <c r="AC37" i="4"/>
  <c r="AC36" i="4"/>
  <c r="AC35" i="4"/>
  <c r="AC34" i="4"/>
  <c r="Z41" i="4"/>
  <c r="Z39" i="4" a="1"/>
  <c r="Z39" i="4" s="1"/>
  <c r="Z37" i="4"/>
  <c r="Z36" i="4"/>
  <c r="Z35" i="4"/>
  <c r="Z34" i="4"/>
  <c r="Z42" i="4" s="1" a="1"/>
  <c r="Z42" i="4" s="1"/>
  <c r="W41" i="4"/>
  <c r="W39" i="4" a="1"/>
  <c r="W39" i="4" s="1"/>
  <c r="W37" i="4"/>
  <c r="W38" i="4" s="1"/>
  <c r="W36" i="4"/>
  <c r="W35" i="4"/>
  <c r="W34" i="4"/>
  <c r="W42" i="4" s="1" a="1"/>
  <c r="W42" i="4" s="1"/>
  <c r="T41" i="4"/>
  <c r="T39" i="4" a="1"/>
  <c r="T39" i="4" s="1"/>
  <c r="T37" i="4"/>
  <c r="T36" i="4"/>
  <c r="AA13" i="8"/>
  <c r="AF26" i="8"/>
  <c r="AF24" i="8" a="1"/>
  <c r="AF24" i="8" s="1"/>
  <c r="AF22" i="8"/>
  <c r="AF21" i="8"/>
  <c r="AF20" i="8"/>
  <c r="AF19" i="8"/>
  <c r="AC26" i="8"/>
  <c r="AC24" i="8" a="1"/>
  <c r="AC24" i="8" s="1"/>
  <c r="AC22" i="8"/>
  <c r="AC23" i="8" s="1"/>
  <c r="AC21" i="8"/>
  <c r="AC20" i="8"/>
  <c r="AC19" i="8"/>
  <c r="AC27" i="8" s="1" a="1"/>
  <c r="AC27" i="8" s="1"/>
  <c r="Z26" i="8"/>
  <c r="Z24" i="8" a="1"/>
  <c r="Z24" i="8" s="1"/>
  <c r="Z22" i="8"/>
  <c r="Z21" i="8"/>
  <c r="Z20" i="8"/>
  <c r="Z19" i="8"/>
  <c r="Z27" i="8" s="1" a="1"/>
  <c r="Z27" i="8" s="1"/>
  <c r="T26" i="8"/>
  <c r="W24" i="8" a="1"/>
  <c r="W24" i="8" s="1"/>
  <c r="T24" i="8" a="1"/>
  <c r="T24" i="8" s="1"/>
  <c r="T22" i="8"/>
  <c r="T21" i="8"/>
  <c r="W20" i="8"/>
  <c r="T20" i="8"/>
  <c r="W19" i="8"/>
  <c r="T19" i="8"/>
  <c r="AD6" i="8"/>
  <c r="AA6" i="8"/>
  <c r="X6" i="8"/>
  <c r="U6" i="8"/>
  <c r="AD14" i="8"/>
  <c r="AA14" i="8"/>
  <c r="X14" i="8"/>
  <c r="U14" i="8"/>
  <c r="AD13" i="8"/>
  <c r="X13" i="8"/>
  <c r="U13" i="8"/>
  <c r="AD10" i="8"/>
  <c r="AA10" i="8"/>
  <c r="X10" i="8"/>
  <c r="U10" i="8"/>
  <c r="AD17" i="8"/>
  <c r="AA17" i="8"/>
  <c r="X17" i="8"/>
  <c r="U17" i="8"/>
  <c r="AD11" i="8"/>
  <c r="AA11" i="8"/>
  <c r="X11" i="8"/>
  <c r="U11" i="8"/>
  <c r="AD8" i="8"/>
  <c r="AA8" i="8"/>
  <c r="X8" i="8"/>
  <c r="U8" i="8"/>
  <c r="AD4" i="8"/>
  <c r="AA4" i="8"/>
  <c r="X4" i="8"/>
  <c r="U4" i="8"/>
  <c r="AD12" i="8"/>
  <c r="AA12" i="8"/>
  <c r="X12" i="8"/>
  <c r="U12" i="8"/>
  <c r="AD15" i="8"/>
  <c r="AA15" i="8"/>
  <c r="X15" i="8"/>
  <c r="U15" i="8"/>
  <c r="U16" i="8"/>
  <c r="AD5" i="8"/>
  <c r="AA5" i="8"/>
  <c r="X5" i="8"/>
  <c r="X9" i="8"/>
  <c r="U9" i="8"/>
  <c r="AD7" i="8"/>
  <c r="X7" i="8"/>
  <c r="U7" i="8"/>
  <c r="W17" i="6"/>
  <c r="T17" i="6"/>
  <c r="W15" i="6" a="1"/>
  <c r="W15" i="6" s="1"/>
  <c r="T15" i="6" a="1"/>
  <c r="T15" i="6" s="1"/>
  <c r="AF13" i="6"/>
  <c r="AC13" i="6"/>
  <c r="Z13" i="6"/>
  <c r="W13" i="6"/>
  <c r="T13" i="6"/>
  <c r="AF12" i="6"/>
  <c r="AC12" i="6"/>
  <c r="Z12" i="6"/>
  <c r="W12" i="6"/>
  <c r="T12" i="6"/>
  <c r="AF11" i="6"/>
  <c r="AC11" i="6"/>
  <c r="Z11" i="6"/>
  <c r="W11" i="6"/>
  <c r="T11" i="6"/>
  <c r="W10" i="6"/>
  <c r="W18" i="6" s="1" a="1"/>
  <c r="W18" i="6" s="1"/>
  <c r="T10" i="6"/>
  <c r="T18" i="6" s="1" a="1"/>
  <c r="T18" i="6" s="1"/>
  <c r="AD5" i="6"/>
  <c r="AA5" i="6"/>
  <c r="X5" i="6"/>
  <c r="U5" i="6"/>
  <c r="U7" i="6"/>
  <c r="AD8" i="6"/>
  <c r="AA8" i="6"/>
  <c r="X8" i="6"/>
  <c r="X6" i="6"/>
  <c r="U6" i="6"/>
  <c r="AD4" i="6"/>
  <c r="X4" i="6"/>
  <c r="U4" i="6"/>
  <c r="T42" i="4" a="1"/>
  <c r="T42" i="4" s="1"/>
  <c r="T34" i="4"/>
  <c r="T35" i="4"/>
  <c r="Z28" i="5"/>
  <c r="AC28" i="5"/>
  <c r="AF28" i="5"/>
  <c r="Z29" i="5"/>
  <c r="AC29" i="5"/>
  <c r="AF29" i="5"/>
  <c r="Z30" i="5"/>
  <c r="AC30" i="5"/>
  <c r="AF30" i="5"/>
  <c r="W35" i="5" a="1"/>
  <c r="W35" i="5" s="1"/>
  <c r="W34" i="5"/>
  <c r="W32" i="5" a="1"/>
  <c r="W32" i="5" s="1"/>
  <c r="W29" i="5"/>
  <c r="W28" i="5"/>
  <c r="W27" i="5"/>
  <c r="T32" i="5" a="1"/>
  <c r="T32" i="5" s="1"/>
  <c r="T27" i="5"/>
  <c r="T34" i="5"/>
  <c r="U15" i="5"/>
  <c r="AD11" i="5"/>
  <c r="AA11" i="5"/>
  <c r="X11" i="5"/>
  <c r="U11" i="5"/>
  <c r="AD20" i="5"/>
  <c r="AA20" i="5"/>
  <c r="X20" i="5"/>
  <c r="U20" i="5"/>
  <c r="AD8" i="5"/>
  <c r="AA8" i="5"/>
  <c r="X8" i="5"/>
  <c r="U8" i="5"/>
  <c r="AD4" i="5"/>
  <c r="AA4" i="5"/>
  <c r="X4" i="5"/>
  <c r="U4" i="5"/>
  <c r="AD7" i="5"/>
  <c r="AA7" i="5"/>
  <c r="X7" i="5"/>
  <c r="U7" i="5"/>
  <c r="AA10" i="5"/>
  <c r="X10" i="5"/>
  <c r="U10" i="5"/>
  <c r="AD17" i="5"/>
  <c r="AA17" i="5"/>
  <c r="X17" i="5"/>
  <c r="U17" i="5"/>
  <c r="AD14" i="5"/>
  <c r="AA14" i="5"/>
  <c r="X14" i="5"/>
  <c r="U14" i="5"/>
  <c r="AD5" i="5"/>
  <c r="AA5" i="5"/>
  <c r="X5" i="5"/>
  <c r="U5" i="5"/>
  <c r="AD12" i="5"/>
  <c r="AA12" i="5"/>
  <c r="X12" i="5"/>
  <c r="U12" i="5"/>
  <c r="AD6" i="5"/>
  <c r="AA6" i="5"/>
  <c r="X6" i="5"/>
  <c r="U6" i="5"/>
  <c r="AD25" i="5"/>
  <c r="AA25" i="5"/>
  <c r="X25" i="5"/>
  <c r="U25" i="5"/>
  <c r="AD22" i="5"/>
  <c r="AA22" i="5"/>
  <c r="X22" i="5"/>
  <c r="U22" i="5"/>
  <c r="AD9" i="5"/>
  <c r="AA9" i="5"/>
  <c r="X9" i="5"/>
  <c r="U9" i="5"/>
  <c r="AD18" i="5"/>
  <c r="AA18" i="5"/>
  <c r="X18" i="5"/>
  <c r="U18" i="5"/>
  <c r="AD21" i="5"/>
  <c r="AA21" i="5"/>
  <c r="X21" i="5"/>
  <c r="U21" i="5"/>
  <c r="AD24" i="5"/>
  <c r="AA24" i="5"/>
  <c r="X24" i="5"/>
  <c r="U24" i="5"/>
  <c r="AD15" i="5"/>
  <c r="AA15" i="5"/>
  <c r="X15" i="5"/>
  <c r="U23" i="5"/>
  <c r="AD16" i="5"/>
  <c r="AA16" i="5"/>
  <c r="X16" i="5"/>
  <c r="X13" i="5"/>
  <c r="U13" i="5"/>
  <c r="AD19" i="5"/>
  <c r="X19" i="5"/>
  <c r="U19" i="5"/>
  <c r="AA25" i="4"/>
  <c r="AA22" i="4"/>
  <c r="AD22" i="4"/>
  <c r="AD19" i="4"/>
  <c r="AD5" i="4"/>
  <c r="AD15" i="4"/>
  <c r="AD10" i="4"/>
  <c r="AD16" i="4"/>
  <c r="AD28" i="4"/>
  <c r="AD12" i="4"/>
  <c r="AD6" i="4"/>
  <c r="AD32" i="4"/>
  <c r="AD27" i="4"/>
  <c r="AD9" i="4"/>
  <c r="AD8" i="4"/>
  <c r="AD14" i="4"/>
  <c r="AD17" i="4"/>
  <c r="AD23" i="4"/>
  <c r="AD21" i="4"/>
  <c r="AD18" i="4"/>
  <c r="AD4" i="4"/>
  <c r="AD25" i="4"/>
  <c r="AD29" i="4"/>
  <c r="AD11" i="4"/>
  <c r="AD13" i="4"/>
  <c r="AD30" i="4"/>
  <c r="AD31" i="4"/>
  <c r="AA19" i="4"/>
  <c r="AA5" i="4"/>
  <c r="AA15" i="4"/>
  <c r="AA10" i="4"/>
  <c r="AA16" i="4"/>
  <c r="AA20" i="4"/>
  <c r="AA28" i="4"/>
  <c r="AA12" i="4"/>
  <c r="AA6" i="4"/>
  <c r="AA32" i="4"/>
  <c r="AA27" i="4"/>
  <c r="AA9" i="4"/>
  <c r="AA24" i="4"/>
  <c r="AA8" i="4"/>
  <c r="AA14" i="4"/>
  <c r="AA17" i="4"/>
  <c r="AA23" i="4"/>
  <c r="AA26" i="4"/>
  <c r="AA21" i="4"/>
  <c r="AA18" i="4"/>
  <c r="AA4" i="4"/>
  <c r="AA29" i="4"/>
  <c r="AA11" i="4"/>
  <c r="AA13" i="4"/>
  <c r="AA30" i="4"/>
  <c r="AA31" i="4"/>
  <c r="X19" i="4"/>
  <c r="X5" i="4"/>
  <c r="X15" i="4"/>
  <c r="X10" i="4"/>
  <c r="X16" i="4"/>
  <c r="X20" i="4"/>
  <c r="X28" i="4"/>
  <c r="X12" i="4"/>
  <c r="X6" i="4"/>
  <c r="X32" i="4"/>
  <c r="X27" i="4"/>
  <c r="X22" i="4"/>
  <c r="X9" i="4"/>
  <c r="X24" i="4"/>
  <c r="X8" i="4"/>
  <c r="X14" i="4"/>
  <c r="X17" i="4"/>
  <c r="X23" i="4"/>
  <c r="X26" i="4"/>
  <c r="X21" i="4"/>
  <c r="X18" i="4"/>
  <c r="X4" i="4"/>
  <c r="X25" i="4"/>
  <c r="X29" i="4"/>
  <c r="X11" i="4"/>
  <c r="X13" i="4"/>
  <c r="X30" i="4"/>
  <c r="X31" i="4"/>
  <c r="U19" i="4"/>
  <c r="U5" i="4"/>
  <c r="U15" i="4"/>
  <c r="U10" i="4"/>
  <c r="U16" i="4"/>
  <c r="U20" i="4"/>
  <c r="U28" i="4"/>
  <c r="U12" i="4"/>
  <c r="U6" i="4"/>
  <c r="U32" i="4"/>
  <c r="U27" i="4"/>
  <c r="U7" i="4"/>
  <c r="U22" i="4"/>
  <c r="U9" i="4"/>
  <c r="U24" i="4"/>
  <c r="U8" i="4"/>
  <c r="U14" i="4"/>
  <c r="U17" i="4"/>
  <c r="U23" i="4"/>
  <c r="U26" i="4"/>
  <c r="U21" i="4"/>
  <c r="U18" i="4"/>
  <c r="U4" i="4"/>
  <c r="U25" i="4"/>
  <c r="U29" i="4"/>
  <c r="U11" i="4"/>
  <c r="U13" i="4"/>
  <c r="U30" i="4"/>
  <c r="U31" i="4"/>
  <c r="AC25" i="8" l="1"/>
  <c r="AC40" i="4"/>
  <c r="T40" i="4"/>
  <c r="T38" i="4"/>
  <c r="AF27" i="8" a="1"/>
  <c r="AF27" i="8" s="1"/>
  <c r="Z25" i="8"/>
  <c r="Z23" i="8"/>
  <c r="Z38" i="4"/>
  <c r="AF38" i="4"/>
  <c r="W40" i="4"/>
  <c r="Z40" i="4"/>
  <c r="AC38" i="4"/>
  <c r="AF40" i="4"/>
  <c r="T33" i="5"/>
  <c r="AF31" i="5"/>
  <c r="T35" i="5" a="1"/>
  <c r="T35" i="5" s="1"/>
  <c r="AC31" i="5"/>
  <c r="AF23" i="8"/>
  <c r="Z31" i="5"/>
  <c r="W31" i="5"/>
  <c r="W33" i="5"/>
  <c r="AF25" i="8"/>
  <c r="T27" i="8" a="1"/>
  <c r="T27" i="8" s="1"/>
  <c r="T25" i="8"/>
  <c r="W23" i="8"/>
  <c r="W25" i="8"/>
  <c r="T23" i="8"/>
  <c r="T14" i="6"/>
  <c r="W14" i="6"/>
  <c r="AF14" i="6"/>
  <c r="W16" i="6"/>
  <c r="AC14" i="6"/>
  <c r="Z14" i="6"/>
  <c r="T16" i="6"/>
  <c r="T31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<sst xmlns="http://schemas.openxmlformats.org/spreadsheetml/2006/main" count="930" uniqueCount="124">
  <si>
    <t>Type</t>
  </si>
  <si>
    <t>Ticker</t>
  </si>
  <si>
    <t>Gain</t>
  </si>
  <si>
    <t>Gain Date</t>
  </si>
  <si>
    <t>Pain</t>
  </si>
  <si>
    <t>Pain Date</t>
  </si>
  <si>
    <t>-</t>
  </si>
  <si>
    <t>Tie</t>
  </si>
  <si>
    <t>Win</t>
  </si>
  <si>
    <t>MODV</t>
  </si>
  <si>
    <t>SPHR</t>
  </si>
  <si>
    <t>NFE</t>
  </si>
  <si>
    <t>HAIN</t>
  </si>
  <si>
    <t>CODI</t>
  </si>
  <si>
    <t>APPS</t>
  </si>
  <si>
    <t>CATO</t>
  </si>
  <si>
    <t>DTI</t>
  </si>
  <si>
    <t>GT</t>
  </si>
  <si>
    <t>FLWS</t>
  </si>
  <si>
    <t>MATV</t>
  </si>
  <si>
    <t>MEI</t>
  </si>
  <si>
    <t>ONEW</t>
  </si>
  <si>
    <t>SBGI</t>
  </si>
  <si>
    <t>SMTC</t>
  </si>
  <si>
    <t>SNAP</t>
  </si>
  <si>
    <t>SSP</t>
  </si>
  <si>
    <t>TTEC</t>
  </si>
  <si>
    <t>Returns</t>
  </si>
  <si>
    <t>-25D</t>
  </si>
  <si>
    <t>Moving to BQR6</t>
  </si>
  <si>
    <t>Before Event</t>
  </si>
  <si>
    <t>After Event</t>
  </si>
  <si>
    <t>-120D</t>
  </si>
  <si>
    <t>75D</t>
  </si>
  <si>
    <t>150D</t>
  </si>
  <si>
    <t>ASAP Strategy</t>
  </si>
  <si>
    <t>Result</t>
  </si>
  <si>
    <t>Event / Screening</t>
  </si>
  <si>
    <t>AGL</t>
  </si>
  <si>
    <t>AKA</t>
  </si>
  <si>
    <t>CAR Date</t>
  </si>
  <si>
    <t>D0 Date</t>
  </si>
  <si>
    <t>D0 Price</t>
  </si>
  <si>
    <t>ADTN</t>
  </si>
  <si>
    <t>BA</t>
  </si>
  <si>
    <t>EDR</t>
  </si>
  <si>
    <t>FTRE</t>
  </si>
  <si>
    <t>GTN</t>
  </si>
  <si>
    <t>HE</t>
  </si>
  <si>
    <t>IART</t>
  </si>
  <si>
    <t>IRWD</t>
  </si>
  <si>
    <t>LTH</t>
  </si>
  <si>
    <t>MMI</t>
  </si>
  <si>
    <t>MRCY</t>
  </si>
  <si>
    <t>MXL</t>
  </si>
  <si>
    <t>SLAB</t>
  </si>
  <si>
    <t>TBI</t>
  </si>
  <si>
    <t>VFC</t>
  </si>
  <si>
    <t>ZIP</t>
  </si>
  <si>
    <t>Maximum from D0 Date</t>
  </si>
  <si>
    <t>-10%</t>
  </si>
  <si>
    <t>-20%</t>
  </si>
  <si>
    <t>Bottom of Dashboard (Automated)</t>
  </si>
  <si>
    <r>
      <t>1st material drop from</t>
    </r>
    <r>
      <rPr>
        <b/>
        <sz val="11"/>
        <color rgb="FFFF0000"/>
        <rFont val="Calibri"/>
        <family val="2"/>
        <scheme val="minor"/>
      </rPr>
      <t xml:space="preserve"> D0</t>
    </r>
  </si>
  <si>
    <r>
      <t xml:space="preserve">1st material drop from </t>
    </r>
    <r>
      <rPr>
        <b/>
        <sz val="11"/>
        <color rgb="FFFF0000"/>
        <rFont val="Calibri"/>
        <family val="2"/>
        <scheme val="minor"/>
      </rPr>
      <t>D7</t>
    </r>
  </si>
  <si>
    <t>Top of Dashboard (Manual Check / Cannot be automated)</t>
  </si>
  <si>
    <r>
      <t xml:space="preserve">Wait-and-See 
(down by 10% from </t>
    </r>
    <r>
      <rPr>
        <sz val="11"/>
        <color rgb="FFFF0000"/>
        <rFont val="Calibri"/>
        <family val="2"/>
        <scheme val="minor"/>
      </rPr>
      <t>D7</t>
    </r>
    <r>
      <rPr>
        <sz val="11"/>
        <color theme="1"/>
        <rFont val="Calibri"/>
        <family val="2"/>
        <scheme val="minor"/>
      </rPr>
      <t>)</t>
    </r>
  </si>
  <si>
    <r>
      <t xml:space="preserve">Wait-and-See 
(down by 20% from </t>
    </r>
    <r>
      <rPr>
        <sz val="11"/>
        <color rgb="FFFF0000"/>
        <rFont val="Calibri"/>
        <family val="2"/>
        <scheme val="minor"/>
      </rPr>
      <t>D7</t>
    </r>
    <r>
      <rPr>
        <sz val="11"/>
        <color theme="1"/>
        <rFont val="Calibri"/>
        <family val="2"/>
        <scheme val="minor"/>
      </rPr>
      <t>)</t>
    </r>
  </si>
  <si>
    <t>Action</t>
  </si>
  <si>
    <r>
      <t xml:space="preserve">Wait-and-See
 (down by 20% from </t>
    </r>
    <r>
      <rPr>
        <sz val="11"/>
        <color rgb="FFFF0000"/>
        <rFont val="Calibri"/>
        <family val="2"/>
        <scheme val="minor"/>
      </rPr>
      <t>D0</t>
    </r>
    <r>
      <rPr>
        <sz val="11"/>
        <color theme="1"/>
        <rFont val="Calibri"/>
        <family val="2"/>
        <scheme val="minor"/>
      </rPr>
      <t>)</t>
    </r>
  </si>
  <si>
    <r>
      <t>Wait-and-See 
(down by 10% from</t>
    </r>
    <r>
      <rPr>
        <sz val="11"/>
        <color rgb="FFFF0000"/>
        <rFont val="Calibri"/>
        <family val="2"/>
        <scheme val="minor"/>
      </rPr>
      <t xml:space="preserve"> D0</t>
    </r>
    <r>
      <rPr>
        <sz val="11"/>
        <color theme="1"/>
        <rFont val="Calibri"/>
        <family val="2"/>
        <scheme val="minor"/>
      </rPr>
      <t>)</t>
    </r>
  </si>
  <si>
    <t>Lose</t>
  </si>
  <si>
    <t>Moving to BQR7</t>
  </si>
  <si>
    <t>BALY</t>
  </si>
  <si>
    <t>CMP</t>
  </si>
  <si>
    <t>CRNC</t>
  </si>
  <si>
    <t>HBIO</t>
  </si>
  <si>
    <t>MPW</t>
  </si>
  <si>
    <t>PENN</t>
  </si>
  <si>
    <t>RDUS</t>
  </si>
  <si>
    <t>WDC</t>
  </si>
  <si>
    <t>Win Rate</t>
  </si>
  <si>
    <t>Avg Return</t>
  </si>
  <si>
    <t>Sharpe Ratio</t>
  </si>
  <si>
    <t>Std. Deviation</t>
  </si>
  <si>
    <t>STD for only negative</t>
  </si>
  <si>
    <t>Sortino Ratio</t>
  </si>
  <si>
    <t>Max Drawdown</t>
  </si>
  <si>
    <t>Calmar Ratio</t>
  </si>
  <si>
    <t>Counts</t>
  </si>
  <si>
    <t>FLY</t>
  </si>
  <si>
    <t>BQR6</t>
  </si>
  <si>
    <t>BQR7</t>
  </si>
  <si>
    <t>CPE 887</t>
  </si>
  <si>
    <t>LONG</t>
  </si>
  <si>
    <t>SHORT</t>
  </si>
  <si>
    <t>index</t>
  </si>
  <si>
    <t>CPE887</t>
  </si>
  <si>
    <t>NAC</t>
  </si>
  <si>
    <t>CPE888</t>
  </si>
  <si>
    <t>CRWV</t>
  </si>
  <si>
    <t>EBS</t>
  </si>
  <si>
    <t>GORV</t>
  </si>
  <si>
    <t>OSCR</t>
  </si>
  <si>
    <t>Foreced Exit when drop by 20%</t>
  </si>
  <si>
    <r>
      <t>ASAP
 (</t>
    </r>
    <r>
      <rPr>
        <sz val="11"/>
        <color rgb="FFFF0000"/>
        <rFont val="Calibri"/>
        <family val="2"/>
        <scheme val="minor"/>
      </rPr>
      <t>traded on D7</t>
    </r>
    <r>
      <rPr>
        <sz val="11"/>
        <color theme="1"/>
        <rFont val="Calibri"/>
        <family val="2"/>
        <scheme val="minor"/>
      </rPr>
      <t>)</t>
    </r>
  </si>
  <si>
    <t>Strategy 1</t>
  </si>
  <si>
    <t>Strategy 2</t>
  </si>
  <si>
    <t>Strategy 3</t>
  </si>
  <si>
    <t>Strategy 4</t>
  </si>
  <si>
    <t>Strategy 5</t>
  </si>
  <si>
    <t>Foreced Exit when drop by 30%</t>
  </si>
  <si>
    <t>Strategy 6</t>
  </si>
  <si>
    <t>Strategy 7</t>
  </si>
  <si>
    <r>
      <t>1st material up from</t>
    </r>
    <r>
      <rPr>
        <b/>
        <sz val="11"/>
        <color rgb="FFFF0000"/>
        <rFont val="Calibri"/>
        <family val="2"/>
        <scheme val="minor"/>
      </rPr>
      <t xml:space="preserve"> D0</t>
    </r>
  </si>
  <si>
    <r>
      <t>1st material down from</t>
    </r>
    <r>
      <rPr>
        <b/>
        <sz val="11"/>
        <color rgb="FFFF0000"/>
        <rFont val="Calibri"/>
        <family val="2"/>
        <scheme val="minor"/>
      </rPr>
      <t xml:space="preserve"> D0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</si>
  <si>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(down by 10%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</si>
  <si>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(down by 20%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</si>
  <si>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(down by 30% from D0)</t>
    </r>
  </si>
  <si>
    <t>Ret</t>
  </si>
  <si>
    <t>Dt</t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</si>
  <si>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(Up or Down by 10%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</si>
  <si>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(Up or Down by 20%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</si>
  <si>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(Up or Down by 30% from D0)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</si>
</sst>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7">
    <xf numFmtId="0" fontId="0" fillId="0" borderId="0" xfId="0"/>
    <xf numFmtId="0" fontId="0" fillId="0" borderId="0" xfId="0" applyAlignment="1">
      <alignment horizontal="center"/>
    </xf>
    <xf numFmtId="9" fontId="0" fillId="0" borderId="0" xfId="2" applyFont="1"/>
    <xf numFmtId="0" fontId="2" fillId="0" borderId="0" xfId="0" applyFont="1" applyAlignment="1">
      <alignment horizontal="center"/>
    </xf>
    <xf numFmtId="0" fontId="2" fillId="0" borderId="0" xfId="0" applyFont="1"/>
    <xf numFmtId="9" fontId="2" fillId="0" borderId="0" xfId="2" applyFont="1"/>
    <xf numFmtId="0" fontId="0" fillId="0" borderId="0" xfId="0" applyAlignment="1">
      <alignment horizontal="right"/>
    </xf>
    <xf numFmtId="9" fontId="0" fillId="0" borderId="0" xfId="2" applyFont="1" applyFill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9" fontId="0" fillId="0" borderId="0" xfId="2" quotePrefix="1" applyFont="1" applyAlignment="1">
      <alignment horizontal="left"/>
    </xf>
    <xf numFmtId="9" fontId="0" fillId="0" borderId="1" xfId="2" applyFont="1" applyBorder="1" applyAlignment="1">
      <alignment horizontal="left"/>
    </xf>
    <xf numFmtId="9" fontId="0" fillId="0" borderId="0" xfId="2" applyFont="1" applyBorder="1" applyAlignment="1">
      <alignment horizontal="left"/>
    </xf>
    <xf numFmtId="9" fontId="0" fillId="0" borderId="1" xfId="2" applyFont="1" applyFill="1" applyBorder="1"/>
    <xf numFmtId="9" fontId="0" fillId="0" borderId="0" xfId="2" applyFont="1" applyFill="1" applyBorder="1"/>
    <xf numFmtId="9" fontId="0" fillId="0" borderId="1" xfId="2" applyFont="1" applyBorder="1"/>
    <xf numFmtId="9" fontId="0" fillId="0" borderId="0" xfId="2" applyFont="1" applyBorder="1"/>
    <xf numFmtId="9" fontId="0" fillId="0" borderId="1" xfId="2" applyFont="1" applyBorder="1" applyAlignment="1">
      <alignment vertical="top"/>
    </xf>
    <xf numFmtId="164" fontId="0" fillId="0" borderId="0" xfId="1" applyNumberFormat="1" applyFont="1" applyAlignment="1">
      <alignment vertical="top"/>
    </xf>
    <xf numFmtId="9" fontId="0" fillId="0" borderId="0" xfId="2" applyFont="1" applyAlignment="1">
      <alignment vertical="top"/>
    </xf>
    <xf numFmtId="9" fontId="0" fillId="0" borderId="1" xfId="2" applyFont="1" applyFill="1" applyBorder="1" applyAlignment="1">
      <alignment vertical="top"/>
    </xf>
    <xf numFmtId="164" fontId="0" fillId="0" borderId="0" xfId="1" applyNumberFormat="1" applyFont="1" applyFill="1" applyAlignment="1">
      <alignment vertical="top"/>
    </xf>
    <xf numFmtId="9" fontId="0" fillId="0" borderId="0" xfId="2" applyFont="1" applyFill="1" applyAlignment="1">
      <alignment vertical="top"/>
    </xf>
    <xf numFmtId="9" fontId="0" fillId="0" borderId="2" xfId="0" applyNumberFormat="1" applyBorder="1" applyAlignment="1">
      <alignment horizontal="left"/>
    </xf>
    <xf numFmtId="44" fontId="0" fillId="0" borderId="0" xfId="3" applyFont="1"/>
    <xf numFmtId="165" fontId="0" fillId="0" borderId="0" xfId="0" applyNumberFormat="1"/>
    <xf numFmtId="164" fontId="0" fillId="0" borderId="1" xfId="1" applyNumberFormat="1" applyFont="1" applyBorder="1" applyAlignment="1">
      <alignment vertical="top"/>
    </xf>
    <xf numFmtId="164" fontId="0" fillId="0" borderId="1" xfId="1" applyNumberFormat="1" applyFont="1" applyFill="1" applyBorder="1" applyAlignment="1">
      <alignment vertical="top"/>
    </xf>
    <xf numFmtId="164" fontId="0" fillId="0" borderId="0" xfId="1" applyNumberFormat="1" applyFont="1" applyBorder="1" applyAlignment="1">
      <alignment vertical="top"/>
    </xf>
    <xf numFmtId="164" fontId="0" fillId="0" borderId="0" xfId="1" applyNumberFormat="1" applyFont="1" applyFill="1" applyBorder="1" applyAlignment="1">
      <alignment vertical="top"/>
    </xf>
    <xf numFmtId="164" fontId="0" fillId="0" borderId="1" xfId="1" quotePrefix="1" applyNumberFormat="1" applyFont="1" applyBorder="1" applyAlignment="1">
      <alignment vertical="top"/>
    </xf>
    <xf numFmtId="0" fontId="0" fillId="5" borderId="4" xfId="0" applyFill="1" applyBorder="1" applyAlignment="1">
      <alignment horizontal="center"/>
    </xf>
    <xf numFmtId="9" fontId="0" fillId="0" borderId="0" xfId="2" applyFon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5" borderId="5" xfId="0" applyFill="1" applyBorder="1" applyAlignment="1">
      <alignment horizontal="center"/>
    </xf>
    <xf numFmtId="0" fontId="0" fillId="0" borderId="1" xfId="0" applyBorder="1" applyAlignment="1">
      <alignment horizontal="right"/>
    </xf>
    <xf numFmtId="9" fontId="0" fillId="0" borderId="2" xfId="0" applyNumberFormat="1" applyBorder="1" applyAlignment="1">
      <alignment horizontal="right"/>
    </xf>
    <xf numFmtId="9" fontId="0" fillId="0" borderId="0" xfId="2" applyFont="1" applyAlignment="1">
      <alignment horizontal="right"/>
    </xf>
    <xf numFmtId="16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9" fontId="0" fillId="0" borderId="0" xfId="2" applyFont="1" applyBorder="1" applyAlignment="1">
      <alignment horizontal="right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vertical="center"/>
    </xf>
    <xf numFmtId="9" fontId="0" fillId="0" borderId="2" xfId="2" applyFont="1" applyBorder="1" applyAlignment="1">
      <alignment horizontal="right"/>
    </xf>
    <xf numFmtId="164" fontId="6" fillId="7" borderId="2" xfId="1" applyNumberFormat="1" applyFont="1" applyFill="1" applyBorder="1" applyAlignment="1">
      <alignment horizontal="right"/>
    </xf>
    <xf numFmtId="0" fontId="6" fillId="0" borderId="0" xfId="0" applyFont="1" applyAlignment="1">
      <alignment horizontal="right"/>
    </xf>
    <xf numFmtId="0" fontId="6" fillId="0" borderId="1" xfId="0" applyFont="1" applyBorder="1" applyAlignment="1">
      <alignment horizontal="right"/>
    </xf>
    <xf numFmtId="9" fontId="7" fillId="7" borderId="2" xfId="2" applyFont="1" applyFill="1" applyBorder="1" applyAlignment="1">
      <alignment horizontal="right"/>
    </xf>
    <xf numFmtId="9" fontId="6" fillId="7" borderId="2" xfId="0" applyNumberFormat="1" applyFont="1" applyFill="1" applyBorder="1" applyAlignment="1">
      <alignment horizontal="right"/>
    </xf>
    <xf numFmtId="9" fontId="6" fillId="0" borderId="2" xfId="0" applyNumberFormat="1" applyFont="1" applyBorder="1" applyAlignment="1">
      <alignment horizontal="right"/>
    </xf>
    <xf numFmtId="9" fontId="6" fillId="0" borderId="0" xfId="2" applyFont="1" applyAlignment="1">
      <alignment horizontal="right"/>
    </xf>
    <xf numFmtId="164" fontId="6" fillId="0" borderId="2" xfId="1" applyNumberFormat="1" applyFont="1" applyFill="1" applyBorder="1" applyAlignment="1">
      <alignment horizontal="right"/>
    </xf>
    <xf numFmtId="165" fontId="2" fillId="0" borderId="0" xfId="0" applyNumberFormat="1" applyFont="1"/>
    <xf numFmtId="44" fontId="2" fillId="0" borderId="0" xfId="3" applyFont="1"/>
    <xf numFmtId="9" fontId="2" fillId="0" borderId="1" xfId="2" applyFont="1" applyBorder="1"/>
    <xf numFmtId="9" fontId="2" fillId="0" borderId="0" xfId="2" applyFont="1" applyBorder="1"/>
    <xf numFmtId="9" fontId="2" fillId="0" borderId="1" xfId="2" applyFont="1" applyBorder="1" applyAlignment="1">
      <alignment vertical="top"/>
    </xf>
    <xf numFmtId="164" fontId="2" fillId="0" borderId="0" xfId="1" applyNumberFormat="1" applyFont="1" applyAlignment="1">
      <alignment vertical="top"/>
    </xf>
    <xf numFmtId="9" fontId="2" fillId="0" borderId="0" xfId="2" applyFont="1" applyAlignment="1">
      <alignment vertical="top"/>
    </xf>
    <xf numFmtId="164" fontId="2" fillId="0" borderId="1" xfId="1" applyNumberFormat="1" applyFont="1" applyBorder="1" applyAlignment="1">
      <alignment vertical="top"/>
    </xf>
    <xf numFmtId="164" fontId="2" fillId="0" borderId="0" xfId="1" applyNumberFormat="1" applyFont="1" applyBorder="1" applyAlignment="1">
      <alignment vertical="top"/>
    </xf>
    <xf numFmtId="0" fontId="2" fillId="0" borderId="1" xfId="0" applyFont="1" applyBorder="1" applyAlignment="1">
      <alignment horizontal="right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9" fontId="7" fillId="0" borderId="2" xfId="2" applyFont="1" applyFill="1" applyBorder="1" applyAlignment="1">
      <alignment horizontal="right"/>
    </xf>
    <xf numFmtId="0" fontId="7" fillId="0" borderId="1" xfId="0" applyFont="1" applyBorder="1" applyAlignment="1">
      <alignment horizontal="right"/>
    </xf>
    <xf numFmtId="1" fontId="2" fillId="0" borderId="2" xfId="0" applyNumberFormat="1" applyFont="1" applyBorder="1" applyAlignment="1">
      <alignment horizontal="right"/>
    </xf>
    <xf numFmtId="0" fontId="2" fillId="0" borderId="1" xfId="0" applyFont="1" applyBorder="1"/>
    <xf numFmtId="43" fontId="7" fillId="7" borderId="2" xfId="1" applyFont="1" applyFill="1" applyBorder="1" applyAlignment="1">
      <alignment horizontal="right"/>
    </xf>
    <xf numFmtId="43" fontId="7" fillId="0" borderId="2" xfId="1" applyFont="1" applyFill="1" applyBorder="1" applyAlignment="1">
      <alignment horizontal="right"/>
    </xf>
    <xf numFmtId="43" fontId="2" fillId="0" borderId="2" xfId="1" applyFont="1" applyBorder="1" applyAlignment="1">
      <alignment horizontal="right"/>
    </xf>
    <xf numFmtId="9" fontId="2" fillId="0" borderId="0" xfId="2" applyFont="1" applyBorder="1" applyAlignment="1">
      <alignment horizontal="right"/>
    </xf>
    <xf numFmtId="9" fontId="2" fillId="0" borderId="0" xfId="2" applyFont="1" applyAlignment="1">
      <alignment horizontal="right"/>
    </xf>
    <xf numFmtId="164" fontId="6" fillId="8" borderId="2" xfId="1" applyNumberFormat="1" applyFont="1" applyFill="1" applyBorder="1" applyAlignment="1">
      <alignment horizontal="right"/>
    </xf>
    <xf numFmtId="9" fontId="7" fillId="8" borderId="2" xfId="2" applyFont="1" applyFill="1" applyBorder="1" applyAlignment="1">
      <alignment horizontal="right"/>
    </xf>
    <xf numFmtId="9" fontId="6" fillId="8" borderId="2" xfId="0" applyNumberFormat="1" applyFont="1" applyFill="1" applyBorder="1" applyAlignment="1">
      <alignment horizontal="right"/>
    </xf>
    <xf numFmtId="43" fontId="7" fillId="8" borderId="2" xfId="1" applyFont="1" applyFill="1" applyBorder="1" applyAlignment="1">
      <alignment horizontal="right"/>
    </xf>
    <xf numFmtId="14" fontId="0" fillId="0" borderId="0" xfId="0" applyNumberFormat="1"/>
    <xf numFmtId="14" fontId="0" fillId="9" borderId="0" xfId="0" applyNumberFormat="1" applyFill="1"/>
    <xf numFmtId="165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1" applyNumberFormat="1" applyFont="1" applyBorder="1" applyAlignment="1">
      <alignment horizontal="right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2" xfId="1" applyNumberFormat="1" applyFont="1" applyBorder="1" applyAlignment="1">
      <alignment vertical="top"/>
    </xf>
    <xf numFmtId="164" fontId="0" fillId="0" borderId="2" xfId="1" applyNumberFormat="1" applyFont="1" applyFill="1" applyBorder="1" applyAlignment="1">
      <alignment vertical="top"/>
    </xf>
    <xf numFmtId="164" fontId="0" fillId="0" borderId="2" xfId="1" applyNumberFormat="1" applyFont="1" applyBorder="1" applyAlignment="1">
      <alignment horizontal="right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horizontal="right"/>
    </xf>
    <xf numFmtId="0" fontId="2" fillId="0" borderId="10" xfId="0" applyFont="1" applyBorder="1" applyAlignment="1">
      <alignment vertical="center"/>
    </xf>
    <xf numFmtId="164" fontId="2" fillId="0" borderId="10" xfId="0" applyNumberFormat="1" applyFont="1" applyBorder="1" applyAlignment="1">
      <alignment horizontal="right"/>
    </xf>
    <xf numFmtId="164" fontId="0" fillId="0" borderId="11" xfId="1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horizontal="right"/>
    </xf>
    <xf numFmtId="9" fontId="0" fillId="0" borderId="10" xfId="2" applyFont="1" applyBorder="1" applyAlignment="1">
      <alignment horizontal="right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165" fontId="2" fillId="0" borderId="8" xfId="0" applyNumberFormat="1" applyFont="1" applyBorder="1"/>
    <xf numFmtId="44" fontId="2" fillId="0" borderId="8" xfId="3" applyFont="1" applyBorder="1"/>
    <xf numFmtId="9" fontId="2" fillId="0" borderId="8" xfId="2" quotePrefix="1" applyFont="1" applyBorder="1" applyAlignment="1">
      <alignment horizontal="left"/>
    </xf>
    <xf numFmtId="9" fontId="2" fillId="0" borderId="8" xfId="2" applyFont="1" applyBorder="1" applyAlignment="1">
      <alignment horizontal="left"/>
    </xf>
    <xf numFmtId="9" fontId="2" fillId="0" borderId="8" xfId="2" applyFont="1" applyBorder="1" applyAlignment="1">
      <alignment vertical="top"/>
    </xf>
    <xf numFmtId="164" fontId="2" fillId="0" borderId="8" xfId="1" applyNumberFormat="1" applyFont="1" applyBorder="1" applyAlignment="1">
      <alignment vertical="top"/>
    </xf>
    <xf numFmtId="9" fontId="2" fillId="0" borderId="8" xfId="2" quotePrefix="1" applyFont="1" applyBorder="1" applyAlignment="1">
      <alignment horizontal="left" vertical="top"/>
    </xf>
    <xf numFmtId="0" fontId="2" fillId="0" borderId="8" xfId="0" applyFont="1" applyBorder="1" applyAlignment="1">
      <alignment horizontal="left"/>
    </xf>
    <xf numFmtId="0" fontId="2" fillId="12" borderId="0" xfId="0" applyFont="1" applyFill="1" applyAlignment="1">
      <alignment horizontal="left" vertical="center" wrapText="1"/>
    </xf>
    <xf numFmtId="0" fontId="2" fillId="12" borderId="11" xfId="0" applyFont="1" applyFill="1" applyBorder="1" applyAlignment="1">
      <alignment horizontal="left" vertical="center" wrapText="1"/>
    </xf>
    <xf numFmtId="0" fontId="8" fillId="11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0" borderId="11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14" borderId="10" xfId="0" applyFont="1" applyFill="1" applyBorder="1" applyAlignment="1">
      <alignment horizontal="left" vertical="center" wrapText="1"/>
    </xf>
    <xf numFmtId="0" fontId="2" fillId="14" borderId="0" xfId="0" applyFont="1" applyFill="1" applyAlignment="1">
      <alignment horizontal="left" vertical="center" wrapText="1"/>
    </xf>
    <xf numFmtId="0" fontId="2" fillId="14" borderId="2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 wrapText="1"/>
    </xf>
    <xf numFmtId="0" fontId="2" fillId="15" borderId="0" xfId="0" applyFont="1" applyFill="1" applyAlignment="1">
      <alignment horizontal="left" vertical="center" wrapText="1"/>
    </xf>
    <xf numFmtId="0" fontId="2" fillId="15" borderId="2" xfId="0" applyFont="1" applyFill="1" applyBorder="1" applyAlignment="1">
      <alignment horizontal="left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2" fillId="13" borderId="0" xfId="0" applyFont="1" applyFill="1" applyAlignment="1">
      <alignment horizontal="left" vertical="center" wrapText="1"/>
    </xf>
    <xf numFmtId="0" fontId="2" fillId="13" borderId="11" xfId="0" applyFont="1" applyFill="1" applyBorder="1" applyAlignment="1">
      <alignment horizontal="left" vertical="center" wrapText="1"/>
    </xf>
    <xf numFmtId="0" fontId="0" fillId="0" borderId="9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" borderId="10" xfId="0" applyFill="1" applyBorder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7" borderId="11" xfId="0" applyFill="1" applyBorder="1" applyAlignment="1">
      <alignment horizontal="left" vertical="center" wrapText="1"/>
    </xf>
    <xf numFmtId="0" fontId="8" fillId="11" borderId="1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right" vertical="center" wrapText="1"/>
    </xf>
    <xf numFmtId="0" fontId="0" fillId="2" borderId="0" xfId="0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horizontal="right" vertical="center"/>
    </xf>
    <xf numFmtId="0" fontId="0" fillId="2" borderId="0" xfId="0" applyFill="1" applyAlignment="1">
      <alignment horizontal="right" vertical="center" wrapText="1"/>
    </xf>
    <xf numFmtId="0" fontId="0" fillId="5" borderId="3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right" vertical="center"/>
    </xf>
    <xf numFmtId="0" fontId="0" fillId="4" borderId="2" xfId="0" applyFill="1" applyBorder="1" applyAlignment="1">
      <alignment horizontal="right" vertical="center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4</xdr:col>
      <xdr:colOff>428940</xdr:colOff>
      <xdr:row>16</xdr:row>
      <xdr:rowOff>164210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0EC0A-FAB9-FF07-186D-86E4FA3C0D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65760"/>
          <a:ext cx="2257740" cy="272453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9</xdr:col>
      <xdr:colOff>455851</xdr:colOff>
      <xdr:row>17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D7C335-B43E-24DE-1247-AE0F49E95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365760"/>
          <a:ext cx="2284651" cy="276606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</xdr:row>
      <xdr:rowOff>1</xdr:rowOff>
    </xdr:from>
    <xdr:to>
      <xdr:col>15</xdr:col>
      <xdr:colOff>30391</xdr:colOff>
      <xdr:row>17</xdr:row>
      <xdr:rowOff>106681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7B30D2E-F66E-C7DA-91DC-0F61AC107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05600" y="365761"/>
          <a:ext cx="2468791" cy="2849880"/>
        </a:xfrm>
        <a:prstGeom prst="rect">
          <a:avLst/>
        </a:prstGeom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7958D9-49D6-4F8C-81E9-F345E58435DD}" name="Table1" displayName="Table1" ref="Q1:V1048576" totalsRowShown="0">
  <autoFilter ref="Q1:V1048576" xr:uid="{1F7958D9-49D6-4F8C-81E9-F345E58435DD}"/>
  <sortState xmlns:xlrd2="http://schemas.microsoft.com/office/spreadsheetml/2017/richdata2" ref="Q2:V50">
    <sortCondition ref="Q1:Q1048576"/>
  </sortState>
  <tableColumns count="6">
    <tableColumn id="2" xr3:uid="{AE42E70E-B87F-4515-B9F7-9B42BED1FB17}" name="index"/>
    <tableColumn id="3" xr3:uid="{7A886C71-D567-4ED3-AE6C-F0E1EA31A8ED}" name="BQR6" dataDxfId="0"/>
    <tableColumn id="4" xr3:uid="{66A597FC-D265-406F-B068-14DD9F7A9CAA}" name="BQR7"/>
    <tableColumn id="5" xr3:uid="{1BBE3B7A-AF4F-4FB0-9F65-AA67EB113904}" name="CPE887"/>
    <tableColumn id="6" xr3:uid="{3792510E-496D-4F35-9712-CB9E8DA4DEB4}" name="NAC"/>
    <tableColumn id="7" xr3:uid="{B4B33AB1-060F-41DB-941B-E177657B0762}" name="CPE88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7EDCC-4CD1-44BC-B49A-8C62DF99FD6E}">
  <dimension ref="A1:G62"/>
  <sheetViews>
    <sheetView workbookViewId="0"/>
  </sheetViews>
  <sheetFormatPr defaultRowHeight="14.4" x14ac:dyDescent="0.3"/>
  <sheetData>
    <row r="1" spans="1:7" x14ac:dyDescent="0.3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112</v>
      </c>
      <c r="G1" t="s">
        <v>113</v>
      </c>
    </row>
    <row r="2" spans="1:7" x14ac:dyDescent="0.3">
      <c r="A2" s="38">
        <v>-9.3293551035454202E-4</v>
      </c>
      <c r="B2" s="38">
        <v>-6.56280264235716E-2</v>
      </c>
      <c r="C2" s="38">
        <v>0.43333866654238601</v>
      </c>
      <c r="D2" s="38">
        <v>7.8428123423876603E-2</v>
      </c>
      <c r="E2" s="38">
        <v>0.14425259637049501</v>
      </c>
      <c r="F2" s="38">
        <v>-4.0909106302852603E-3</v>
      </c>
      <c r="G2" s="38">
        <v>-0.33638656698472902</v>
      </c>
    </row>
    <row r="3" spans="1:7" x14ac:dyDescent="0.3">
      <c r="A3" s="38">
        <v>0.49780401294770998</v>
      </c>
      <c r="B3" s="38">
        <v>-0.31627908678812899</v>
      </c>
      <c r="C3" s="38">
        <v>-0.13872382134825401</v>
      </c>
      <c r="D3" s="38">
        <v>1.76821182433003</v>
      </c>
      <c r="E3" s="38">
        <v>-0.38474575326005001</v>
      </c>
      <c r="F3" s="38">
        <v>1.3193917022644599</v>
      </c>
      <c r="G3" s="38">
        <v>1.1210013739409299</v>
      </c>
    </row>
    <row r="4" spans="1:7" x14ac:dyDescent="0.3">
      <c r="A4" s="38">
        <v>0.22222214476329599</v>
      </c>
      <c r="B4" s="38">
        <v>8.0135424338578301E-2</v>
      </c>
      <c r="C4" s="38">
        <v>0.66951124007621998</v>
      </c>
      <c r="D4" s="38">
        <v>0.46282650409703002</v>
      </c>
      <c r="E4" s="38">
        <v>-0.22072938329122299</v>
      </c>
      <c r="F4" s="38">
        <v>2.6424581675280798</v>
      </c>
      <c r="G4" s="38">
        <v>2.6424581675280798</v>
      </c>
    </row>
    <row r="5" spans="1:7" x14ac:dyDescent="0.3">
      <c r="A5" s="38">
        <v>-0.225612720108544</v>
      </c>
      <c r="B5" s="38">
        <v>0.148010769124514</v>
      </c>
      <c r="C5" s="38">
        <v>0.28242634506265002</v>
      </c>
      <c r="D5" s="38">
        <v>0.43333866654238601</v>
      </c>
      <c r="E5" s="38">
        <v>0.31929029327277503</v>
      </c>
      <c r="F5" s="38">
        <v>-0.36868672522988299</v>
      </c>
      <c r="G5" s="38">
        <v>0.237377057622607</v>
      </c>
    </row>
    <row r="6" spans="1:7" x14ac:dyDescent="0.3">
      <c r="A6" s="38">
        <v>-6.56280264235716E-2</v>
      </c>
      <c r="B6" s="41">
        <v>5.5992552072999302E-2</v>
      </c>
      <c r="C6" s="38">
        <v>0.35582824822826098</v>
      </c>
      <c r="D6" s="38">
        <v>0.35582824822826098</v>
      </c>
      <c r="E6" s="38">
        <v>-0.20394086429768199</v>
      </c>
      <c r="F6" s="38">
        <v>1.23224568700335</v>
      </c>
      <c r="G6" s="38">
        <v>-0.36868672522988299</v>
      </c>
    </row>
    <row r="7" spans="1:7" x14ac:dyDescent="0.3">
      <c r="A7" s="38">
        <v>-0.25116281726026202</v>
      </c>
      <c r="B7" s="45">
        <v>1.0002891169880399</v>
      </c>
      <c r="C7" s="38">
        <v>0.45147688748050901</v>
      </c>
      <c r="D7" s="38">
        <v>0.45147688748050901</v>
      </c>
      <c r="E7" s="38">
        <v>7.4618704583888307E-2</v>
      </c>
      <c r="F7" s="38">
        <v>0.38495614824186902</v>
      </c>
      <c r="G7" s="38">
        <v>1.23224568700335</v>
      </c>
    </row>
    <row r="8" spans="1:7" x14ac:dyDescent="0.3">
      <c r="A8" s="38">
        <v>8.0135424338578301E-2</v>
      </c>
      <c r="B8" s="38">
        <v>0.18862243550685301</v>
      </c>
      <c r="C8" s="38">
        <v>0.578981183271294</v>
      </c>
      <c r="D8" s="38">
        <v>0.29152769078236102</v>
      </c>
      <c r="E8" s="38">
        <v>-0.35643566109341601</v>
      </c>
      <c r="F8" s="38">
        <v>0.36797060727394898</v>
      </c>
      <c r="G8" s="38">
        <v>0.31929029327277503</v>
      </c>
    </row>
    <row r="9" spans="1:7" x14ac:dyDescent="0.3">
      <c r="A9" s="38">
        <v>0.148010769124514</v>
      </c>
      <c r="B9" s="38">
        <v>-0.13872382134825401</v>
      </c>
      <c r="C9" s="38">
        <v>0.40412351214555098</v>
      </c>
      <c r="D9" s="38">
        <v>-2.1342509179525598E-2</v>
      </c>
      <c r="E9" s="38">
        <v>0.605359859944687</v>
      </c>
      <c r="F9" s="38">
        <v>0.30693075734252401</v>
      </c>
      <c r="G9" s="38">
        <v>0.13459746068407599</v>
      </c>
    </row>
    <row r="10" spans="1:7" x14ac:dyDescent="0.3">
      <c r="A10" s="38">
        <v>-0.27579827966160902</v>
      </c>
      <c r="B10" s="38">
        <v>3.06477267948972E-2</v>
      </c>
      <c r="C10" s="38">
        <v>-3.9062410691267202E-2</v>
      </c>
      <c r="D10" s="38">
        <v>0.161944837472314</v>
      </c>
      <c r="E10" s="38">
        <v>-0.219567636356261</v>
      </c>
      <c r="F10" s="38">
        <v>0.91351383761031801</v>
      </c>
      <c r="G10" s="38">
        <v>0.30693075734252401</v>
      </c>
    </row>
    <row r="11" spans="1:7" x14ac:dyDescent="0.3">
      <c r="A11" s="38">
        <v>1.0002891169880399</v>
      </c>
      <c r="B11" s="38">
        <v>1.2071795341296001</v>
      </c>
      <c r="C11" s="38">
        <v>0.29152769078236102</v>
      </c>
      <c r="D11" s="38">
        <v>0.30291343824349998</v>
      </c>
      <c r="E11" s="38">
        <v>0.42552966539995002</v>
      </c>
      <c r="F11" s="38">
        <v>0.52391315404417704</v>
      </c>
      <c r="G11" s="38">
        <v>0.75725646890587495</v>
      </c>
    </row>
    <row r="12" spans="1:7" x14ac:dyDescent="0.3">
      <c r="A12" s="38">
        <v>-0.212543542584753</v>
      </c>
      <c r="B12" s="38">
        <v>0.28242634506265002</v>
      </c>
      <c r="C12" s="38">
        <v>-0.15812429436645001</v>
      </c>
      <c r="D12" s="38">
        <v>0.45067258628988399</v>
      </c>
      <c r="E12" s="38">
        <v>9.3214689046893395E-2</v>
      </c>
      <c r="F12" s="38">
        <v>0.51367919800671302</v>
      </c>
      <c r="G12" s="38">
        <v>0.42552966539995002</v>
      </c>
    </row>
    <row r="13" spans="1:7" x14ac:dyDescent="0.3">
      <c r="A13" s="38">
        <v>-0.22905026347660601</v>
      </c>
      <c r="B13" s="41">
        <v>-0.358438488323087</v>
      </c>
      <c r="C13" s="38">
        <v>0.161944837472314</v>
      </c>
      <c r="D13" s="38">
        <v>0.187919442682973</v>
      </c>
      <c r="E13" s="38">
        <v>-0.213553989579022</v>
      </c>
      <c r="F13" s="38">
        <v>0.214736804627535</v>
      </c>
      <c r="G13" s="38">
        <v>9.3214689046893395E-2</v>
      </c>
    </row>
    <row r="14" spans="1:7" x14ac:dyDescent="0.3">
      <c r="A14" s="38">
        <v>3.06477267948972E-2</v>
      </c>
      <c r="B14" s="41">
        <v>-0.330985903668985</v>
      </c>
      <c r="C14" s="38">
        <v>0.30291343824349998</v>
      </c>
      <c r="D14" s="38">
        <v>-0.38657843778892398</v>
      </c>
      <c r="E14" s="38">
        <v>0.45203163314149702</v>
      </c>
      <c r="F14" s="38">
        <v>0.740333274505936</v>
      </c>
      <c r="G14" s="38">
        <v>0.264381450500355</v>
      </c>
    </row>
    <row r="15" spans="1:7" x14ac:dyDescent="0.3">
      <c r="A15" s="38">
        <v>1.2071795341296001</v>
      </c>
      <c r="B15" s="38">
        <v>-0.17053900768838101</v>
      </c>
      <c r="C15" s="38">
        <v>6.0702815289135501E-2</v>
      </c>
      <c r="D15" s="38">
        <v>-8.7004382695289401E-2</v>
      </c>
      <c r="E15" s="38">
        <v>-0.20483099141029601</v>
      </c>
      <c r="F15" s="38">
        <v>0.68021826104352101</v>
      </c>
      <c r="G15" s="38">
        <v>0.52248521437978401</v>
      </c>
    </row>
    <row r="16" spans="1:7" x14ac:dyDescent="0.3">
      <c r="A16" s="38">
        <v>0.28242634506265002</v>
      </c>
      <c r="B16" s="38">
        <v>0.75867328016753399</v>
      </c>
      <c r="C16" s="38">
        <v>0.45067258628988399</v>
      </c>
      <c r="D16" s="38">
        <v>-0.51400108365001496</v>
      </c>
      <c r="E16" s="38">
        <v>1.9822870998313698E-2</v>
      </c>
      <c r="F16" s="38">
        <v>0.236559202267945</v>
      </c>
      <c r="G16" s="38">
        <v>-0.23599207128528399</v>
      </c>
    </row>
    <row r="17" spans="1:7" x14ac:dyDescent="0.3">
      <c r="A17" s="38">
        <v>-0.23388626104913199</v>
      </c>
      <c r="B17" s="41">
        <v>0.161702036710102</v>
      </c>
      <c r="C17" s="38">
        <v>0.187919442682973</v>
      </c>
      <c r="D17" s="38">
        <v>0.47257057825099302</v>
      </c>
      <c r="E17" s="38">
        <v>0.740333274505936</v>
      </c>
      <c r="F17" s="38">
        <v>0.86936938823619103</v>
      </c>
      <c r="G17" s="38">
        <v>0.180330730492546</v>
      </c>
    </row>
    <row r="18" spans="1:7" x14ac:dyDescent="0.3">
      <c r="A18" s="38">
        <v>-0.330985903668985</v>
      </c>
      <c r="B18" s="38">
        <v>0.66911471010262602</v>
      </c>
      <c r="C18" s="38">
        <v>-4.7064917548605499E-2</v>
      </c>
      <c r="D18" s="38">
        <v>9.7610047199193806E-2</v>
      </c>
      <c r="E18" s="38">
        <v>-0.235743545355551</v>
      </c>
      <c r="F18" s="38">
        <v>0.107691473962217</v>
      </c>
      <c r="G18" s="38">
        <v>0.740333274505936</v>
      </c>
    </row>
    <row r="19" spans="1:7" x14ac:dyDescent="0.3">
      <c r="A19" s="38">
        <v>-0.21218886166579301</v>
      </c>
      <c r="B19" s="38">
        <v>0.26567468118100601</v>
      </c>
      <c r="C19" s="38">
        <v>0.162043172766655</v>
      </c>
      <c r="D19" s="38">
        <v>0.169020453554455</v>
      </c>
      <c r="E19" s="38">
        <v>-0.21869492614995101</v>
      </c>
      <c r="F19" s="38">
        <v>-2.9794503808283301E-2</v>
      </c>
      <c r="G19" s="38">
        <v>0.68021826104352101</v>
      </c>
    </row>
    <row r="20" spans="1:7" x14ac:dyDescent="0.3">
      <c r="A20" s="38">
        <v>0.75867328016753399</v>
      </c>
      <c r="B20" s="38">
        <v>7.1586734566399995E-2</v>
      </c>
      <c r="C20" s="38">
        <v>-0.49349205943131802</v>
      </c>
      <c r="D20" s="38">
        <v>0.17406749540906599</v>
      </c>
      <c r="E20" s="38">
        <v>0.359489470690324</v>
      </c>
      <c r="F20" s="38">
        <v>0.150456167606969</v>
      </c>
      <c r="G20" s="38">
        <v>5.9365393708366201E-2</v>
      </c>
    </row>
    <row r="21" spans="1:7" x14ac:dyDescent="0.3">
      <c r="A21" s="38">
        <v>0.161702036710102</v>
      </c>
      <c r="B21" s="38">
        <v>0.25729810137875497</v>
      </c>
      <c r="C21" s="38">
        <v>0.19443772421352401</v>
      </c>
      <c r="D21" s="38">
        <v>-0.30169367888306697</v>
      </c>
      <c r="E21" s="38">
        <v>0.86936938823619103</v>
      </c>
      <c r="G21" s="38">
        <v>0.504507257553513</v>
      </c>
    </row>
    <row r="22" spans="1:7" x14ac:dyDescent="0.3">
      <c r="A22" s="38">
        <v>0.66911471010262602</v>
      </c>
      <c r="B22" s="38">
        <v>0.12673803499483499</v>
      </c>
      <c r="C22" s="38">
        <v>-8.7004382695289401E-2</v>
      </c>
      <c r="D22" s="38">
        <v>0.19012640178639401</v>
      </c>
      <c r="E22" s="38">
        <v>0.65161283243624701</v>
      </c>
      <c r="G22" s="38">
        <v>0.86936938823619103</v>
      </c>
    </row>
    <row r="23" spans="1:7" x14ac:dyDescent="0.3">
      <c r="A23" s="38">
        <v>0.26567468118100601</v>
      </c>
      <c r="B23" s="41">
        <v>-0.33466133889377297</v>
      </c>
      <c r="C23" s="38">
        <v>-0.51400108365001496</v>
      </c>
      <c r="D23" s="38">
        <v>0.378111347043319</v>
      </c>
      <c r="E23" s="38">
        <v>0.5</v>
      </c>
      <c r="G23" s="38">
        <v>0.65161283243624701</v>
      </c>
    </row>
    <row r="24" spans="1:7" x14ac:dyDescent="0.3">
      <c r="A24" s="38">
        <v>-0.20590405332693301</v>
      </c>
      <c r="B24" s="38">
        <v>0.30451859870959802</v>
      </c>
      <c r="C24" s="38">
        <v>0.22247619628906201</v>
      </c>
      <c r="D24" s="38">
        <v>-0.166574165166333</v>
      </c>
      <c r="E24" s="38">
        <v>0.56868083501219302</v>
      </c>
      <c r="G24" s="38">
        <v>9.9559964853455293E-2</v>
      </c>
    </row>
    <row r="25" spans="1:7" x14ac:dyDescent="0.3">
      <c r="A25" s="38">
        <v>0.25729810137875497</v>
      </c>
      <c r="B25" s="38">
        <v>0.45067258628988399</v>
      </c>
      <c r="C25" s="38">
        <v>0.59335035353328103</v>
      </c>
      <c r="D25" s="38">
        <v>1.61812919494221E-2</v>
      </c>
      <c r="E25" s="38">
        <v>-0.211934193726765</v>
      </c>
      <c r="G25" s="38">
        <v>0.63210959115549403</v>
      </c>
    </row>
    <row r="26" spans="1:7" x14ac:dyDescent="0.3">
      <c r="A26" s="38">
        <v>0.12673803499483499</v>
      </c>
      <c r="B26" s="38">
        <v>2.8328585111345702E-3</v>
      </c>
      <c r="C26" s="38">
        <v>0.169020453554455</v>
      </c>
      <c r="D26" s="38">
        <v>0.34368062865531002</v>
      </c>
      <c r="G26" s="38">
        <v>0.116379305472271</v>
      </c>
    </row>
    <row r="27" spans="1:7" x14ac:dyDescent="0.3">
      <c r="A27" s="38">
        <v>-0.24266572310134099</v>
      </c>
      <c r="B27" s="38">
        <v>4.7328730857700799E-2</v>
      </c>
      <c r="C27" s="38">
        <v>0.17406749540906599</v>
      </c>
      <c r="D27" s="38">
        <v>0.499168265844673</v>
      </c>
    </row>
    <row r="28" spans="1:7" x14ac:dyDescent="0.3">
      <c r="A28" s="38">
        <v>0.30451859870959802</v>
      </c>
      <c r="B28" s="38">
        <v>0.22357058667885399</v>
      </c>
      <c r="C28" s="38">
        <v>0.62580439780919705</v>
      </c>
      <c r="D28" s="38">
        <v>-3.1961536327422997E-2</v>
      </c>
    </row>
    <row r="29" spans="1:7" x14ac:dyDescent="0.3">
      <c r="A29" s="38">
        <v>0.45067258628988399</v>
      </c>
      <c r="B29" s="38">
        <v>9.1345436266356606E-2</v>
      </c>
      <c r="C29" s="38">
        <v>0.31857320001599998</v>
      </c>
      <c r="D29" s="38">
        <v>0.13957596875452799</v>
      </c>
    </row>
    <row r="30" spans="1:7" x14ac:dyDescent="0.3">
      <c r="A30" s="38">
        <v>-0.20679887393485799</v>
      </c>
      <c r="B30" s="38">
        <v>0.19714962379700501</v>
      </c>
      <c r="C30" s="38">
        <v>-0.44584906409332797</v>
      </c>
    </row>
    <row r="31" spans="1:7" x14ac:dyDescent="0.3">
      <c r="A31" s="38">
        <v>4.7328730857700799E-2</v>
      </c>
      <c r="B31" s="38">
        <v>0.2608010668979</v>
      </c>
      <c r="C31" s="38">
        <v>0.114770415767719</v>
      </c>
    </row>
    <row r="32" spans="1:7" x14ac:dyDescent="0.3">
      <c r="A32" s="38">
        <v>0.22357058667885399</v>
      </c>
      <c r="B32" s="41">
        <v>-0.30154640252182902</v>
      </c>
      <c r="C32" s="38">
        <v>-3.6704348055736002E-3</v>
      </c>
    </row>
    <row r="33" spans="1:3" x14ac:dyDescent="0.3">
      <c r="A33" s="38">
        <v>9.1345436266356606E-2</v>
      </c>
      <c r="B33" s="38">
        <v>-0.32066280363511601</v>
      </c>
      <c r="C33" s="38">
        <v>0.143364791694433</v>
      </c>
    </row>
    <row r="34" spans="1:3" x14ac:dyDescent="0.3">
      <c r="A34" s="38">
        <v>0.19714962379700501</v>
      </c>
      <c r="B34" s="38">
        <v>0.22247619628906201</v>
      </c>
      <c r="C34" s="38">
        <v>0.523920837634963</v>
      </c>
    </row>
    <row r="35" spans="1:3" x14ac:dyDescent="0.3">
      <c r="A35" s="38">
        <v>0.2608010668979</v>
      </c>
      <c r="B35" s="38">
        <v>0.85692995041888398</v>
      </c>
      <c r="C35" s="38">
        <v>0.19012640178639401</v>
      </c>
    </row>
    <row r="36" spans="1:3" x14ac:dyDescent="0.3">
      <c r="A36" s="38">
        <v>-0.20618561008731701</v>
      </c>
      <c r="B36" s="38">
        <v>-0.37819291839180003</v>
      </c>
      <c r="C36" s="38">
        <v>0.378111347043319</v>
      </c>
    </row>
    <row r="37" spans="1:3" x14ac:dyDescent="0.3">
      <c r="A37" s="38">
        <v>-0.23781676440433899</v>
      </c>
      <c r="B37" s="38">
        <v>0.17406749540906599</v>
      </c>
      <c r="C37" s="38">
        <v>-0.166574165166333</v>
      </c>
    </row>
    <row r="38" spans="1:3" x14ac:dyDescent="0.3">
      <c r="A38" s="38">
        <v>-0.217904735746837</v>
      </c>
      <c r="B38" s="38">
        <v>0.76128810620613296</v>
      </c>
      <c r="C38" s="38">
        <v>-0.34142114046529098</v>
      </c>
    </row>
    <row r="39" spans="1:3" x14ac:dyDescent="0.3">
      <c r="A39" s="38">
        <v>0.85692995041888398</v>
      </c>
      <c r="B39" s="41">
        <v>0.43603483562053302</v>
      </c>
      <c r="C39" s="38">
        <v>1.0079762150576901E-2</v>
      </c>
    </row>
    <row r="40" spans="1:3" x14ac:dyDescent="0.3">
      <c r="A40" s="38">
        <v>-0.23751428330010399</v>
      </c>
      <c r="B40" s="41">
        <v>-0.34039083407130399</v>
      </c>
      <c r="C40" s="38">
        <v>-0.26881981934576199</v>
      </c>
    </row>
    <row r="41" spans="1:3" x14ac:dyDescent="0.3">
      <c r="A41" s="38">
        <v>-0.22024870741560501</v>
      </c>
      <c r="B41" s="38">
        <v>0.38930349866811798</v>
      </c>
      <c r="C41" s="38">
        <v>0.20767989671340301</v>
      </c>
    </row>
    <row r="42" spans="1:3" x14ac:dyDescent="0.3">
      <c r="A42" s="38">
        <v>0.76128810620613296</v>
      </c>
      <c r="B42" s="38">
        <v>9.7276417002564605E-2</v>
      </c>
      <c r="C42" s="38">
        <v>0.41191419415799202</v>
      </c>
    </row>
    <row r="43" spans="1:3" x14ac:dyDescent="0.3">
      <c r="A43" s="38">
        <v>-0.215003347122113</v>
      </c>
      <c r="B43" s="41">
        <v>0.44823078473991101</v>
      </c>
      <c r="C43" s="38">
        <v>0.499168265844673</v>
      </c>
    </row>
    <row r="44" spans="1:3" x14ac:dyDescent="0.3">
      <c r="A44" s="38">
        <v>-0.28827361879726199</v>
      </c>
      <c r="B44" s="38">
        <v>0.69159164564401499</v>
      </c>
      <c r="C44" s="38">
        <v>-3.1961535156168702E-2</v>
      </c>
    </row>
    <row r="45" spans="1:3" x14ac:dyDescent="0.3">
      <c r="A45" s="38">
        <v>0.38930349866811798</v>
      </c>
      <c r="B45" s="38">
        <v>-7.8072574193862501E-2</v>
      </c>
      <c r="C45" s="38">
        <v>0.13957596875452799</v>
      </c>
    </row>
    <row r="46" spans="1:3" x14ac:dyDescent="0.3">
      <c r="A46" s="38">
        <v>9.7276417002564605E-2</v>
      </c>
      <c r="B46" s="38">
        <v>-8.2709315142657405E-2</v>
      </c>
    </row>
    <row r="47" spans="1:3" x14ac:dyDescent="0.3">
      <c r="A47" s="38">
        <v>0.44823078473991101</v>
      </c>
      <c r="B47" s="38">
        <v>0.168700072264965</v>
      </c>
    </row>
    <row r="48" spans="1:3" x14ac:dyDescent="0.3">
      <c r="A48" s="38">
        <v>0.69159164564401499</v>
      </c>
      <c r="B48" s="38">
        <v>0.272727285042281</v>
      </c>
    </row>
    <row r="49" spans="1:2" x14ac:dyDescent="0.3">
      <c r="A49" s="38">
        <v>-0.212861396698384</v>
      </c>
      <c r="B49" s="38">
        <v>0.17419164845974799</v>
      </c>
    </row>
    <row r="50" spans="1:2" x14ac:dyDescent="0.3">
      <c r="A50" s="38">
        <v>-0.21376226264221601</v>
      </c>
      <c r="B50" s="38">
        <v>-0.30502595456890502</v>
      </c>
    </row>
    <row r="51" spans="1:2" x14ac:dyDescent="0.3">
      <c r="A51" s="38">
        <v>0.168700072264965</v>
      </c>
      <c r="B51" s="38">
        <v>0.143911446472889</v>
      </c>
    </row>
    <row r="52" spans="1:2" x14ac:dyDescent="0.3">
      <c r="A52" s="38">
        <v>0.272727285042281</v>
      </c>
      <c r="B52" s="38">
        <v>-0.353503215423707</v>
      </c>
    </row>
    <row r="53" spans="1:2" x14ac:dyDescent="0.3">
      <c r="A53" s="38">
        <v>0.17419164845974799</v>
      </c>
      <c r="B53" s="41">
        <v>0.46907471482099899</v>
      </c>
    </row>
    <row r="54" spans="1:2" x14ac:dyDescent="0.3">
      <c r="A54" s="38">
        <v>-0.22183712548345799</v>
      </c>
      <c r="B54" s="38">
        <v>0.65234882242780101</v>
      </c>
    </row>
    <row r="55" spans="1:2" x14ac:dyDescent="0.3">
      <c r="A55" s="38">
        <v>0.143911446472889</v>
      </c>
      <c r="B55" s="38">
        <v>-0.35364161511473502</v>
      </c>
    </row>
    <row r="56" spans="1:2" x14ac:dyDescent="0.3">
      <c r="A56" s="38">
        <v>-0.28184712130455902</v>
      </c>
      <c r="B56" s="38">
        <v>-0.30600245366179302</v>
      </c>
    </row>
    <row r="57" spans="1:2" x14ac:dyDescent="0.3">
      <c r="A57" s="38">
        <v>0.46907471482099899</v>
      </c>
      <c r="B57" s="41">
        <v>9.50000346055699E-3</v>
      </c>
    </row>
    <row r="58" spans="1:2" x14ac:dyDescent="0.3">
      <c r="A58" s="38">
        <v>0.65234882242780101</v>
      </c>
      <c r="B58" s="41">
        <v>-0.354074054294162</v>
      </c>
    </row>
    <row r="59" spans="1:2" x14ac:dyDescent="0.3">
      <c r="A59" s="38">
        <v>-0.215474255319549</v>
      </c>
    </row>
    <row r="60" spans="1:2" x14ac:dyDescent="0.3">
      <c r="A60" s="38">
        <v>-0.30600245366179302</v>
      </c>
    </row>
    <row r="61" spans="1:2" x14ac:dyDescent="0.3">
      <c r="A61" s="38">
        <v>9.50000346055699E-3</v>
      </c>
    </row>
    <row r="62" spans="1:2" x14ac:dyDescent="0.3">
      <c r="A62" s="38">
        <v>-0.22814814249674401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CA558-3F40-463D-93F5-3E4C2572FE45}">
  <dimension ref="A1:AZ33"/>
  <sheetViews>
    <sheetView tabSelected="1" zoomScale="85" zoomScaleNormal="85" workbookViewId="0">
      <pane xSplit="4" ySplit="4" topLeftCell="S5" activePane="bottomRight" state="frozen"/>
      <selection pane="topRight" activeCell="D1" sqref="D1"/>
      <selection pane="bottomLeft" activeCell="A2" sqref="A2"/>
      <selection pane="bottomRight" activeCell="D19" sqref="D19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hidden="1" customWidth="1" outlineLevel="1"/>
    <col min="7" max="7" width="9.88671875" style="15" hidden="1" customWidth="1" outlineLevel="1"/>
    <col min="8" max="8" width="9.88671875" style="16" hidden="1" customWidth="1" outlineLevel="1"/>
    <col min="9" max="9" width="6.88671875" style="17" hidden="1" customWidth="1" outlineLevel="1"/>
    <col min="10" max="10" width="12.33203125" style="18" hidden="1" customWidth="1" outlineLevel="1"/>
    <col min="11" max="11" width="6.6640625" style="19" hidden="1" customWidth="1" outlineLevel="1"/>
    <col min="12" max="12" width="12.109375" style="18" hidden="1" customWidth="1" outlineLevel="1"/>
    <col min="13" max="13" width="10.109375" style="26" hidden="1" customWidth="1" outlineLevel="1"/>
    <col min="14" max="14" width="10.109375" style="28" hidden="1" customWidth="1" outlineLevel="1"/>
    <col min="15" max="15" width="10.109375" style="89" hidden="1" customWidth="1" outlineLevel="1"/>
    <col min="16" max="18" width="10.109375" style="28" hidden="1" customWidth="1" outlineLevel="1"/>
    <col min="19" max="19" width="6.5546875" style="100" bestFit="1" customWidth="1" collapsed="1"/>
    <col min="20" max="20" width="5.5546875" style="6" bestFit="1" customWidth="1"/>
    <col min="21" max="21" width="6.5546875" style="41" bestFit="1" customWidth="1"/>
    <col min="22" max="22" width="5.5546875" style="96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6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6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6" bestFit="1" customWidth="1"/>
    <col min="38" max="38" width="9.44140625" style="97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6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91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6" bestFit="1" customWidth="1"/>
  </cols>
  <sheetData>
    <row r="1" spans="1:52" ht="15" thickBot="1" x14ac:dyDescent="0.35">
      <c r="A1" s="137"/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8"/>
      <c r="Q1" s="137"/>
      <c r="R1" s="137"/>
      <c r="S1" s="116" t="s">
        <v>65</v>
      </c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116"/>
      <c r="AS1" s="116"/>
      <c r="AT1" s="116"/>
      <c r="AU1" s="116"/>
      <c r="AV1" s="116"/>
      <c r="AW1" s="116"/>
      <c r="AX1" s="116"/>
      <c r="AY1" s="116"/>
      <c r="AZ1" s="117"/>
    </row>
    <row r="2" spans="1:52" s="34" customFormat="1" ht="30.6" customHeight="1" x14ac:dyDescent="0.3">
      <c r="B2" s="139" t="s">
        <v>37</v>
      </c>
      <c r="C2" s="139"/>
      <c r="D2" s="139"/>
      <c r="E2" s="140" t="s">
        <v>30</v>
      </c>
      <c r="F2" s="140"/>
      <c r="G2" s="141" t="s">
        <v>31</v>
      </c>
      <c r="H2" s="142"/>
      <c r="I2" s="141" t="s">
        <v>59</v>
      </c>
      <c r="J2" s="143"/>
      <c r="K2" s="142"/>
      <c r="L2" s="143"/>
      <c r="M2" s="131" t="s">
        <v>114</v>
      </c>
      <c r="N2" s="132"/>
      <c r="O2" s="133"/>
      <c r="P2" s="132" t="s">
        <v>115</v>
      </c>
      <c r="Q2" s="132"/>
      <c r="R2" s="133"/>
      <c r="S2" s="144" t="s">
        <v>105</v>
      </c>
      <c r="T2" s="145"/>
      <c r="U2" s="145"/>
      <c r="V2" s="146"/>
      <c r="W2" s="134" t="s">
        <v>116</v>
      </c>
      <c r="X2" s="135"/>
      <c r="Y2" s="135"/>
      <c r="Z2" s="135"/>
      <c r="AA2" s="136"/>
      <c r="AB2" s="125" t="s">
        <v>117</v>
      </c>
      <c r="AC2" s="126"/>
      <c r="AD2" s="126"/>
      <c r="AE2" s="126"/>
      <c r="AF2" s="127"/>
      <c r="AG2" s="128" t="s">
        <v>118</v>
      </c>
      <c r="AH2" s="129"/>
      <c r="AI2" s="129"/>
      <c r="AJ2" s="129"/>
      <c r="AK2" s="130"/>
      <c r="AL2" s="118" t="s">
        <v>121</v>
      </c>
      <c r="AM2" s="119"/>
      <c r="AN2" s="119"/>
      <c r="AO2" s="119"/>
      <c r="AP2" s="120"/>
      <c r="AQ2" s="121" t="s">
        <v>122</v>
      </c>
      <c r="AR2" s="122"/>
      <c r="AS2" s="122"/>
      <c r="AT2" s="122"/>
      <c r="AU2" s="123"/>
      <c r="AV2" s="111" t="s">
        <v>123</v>
      </c>
      <c r="AW2" s="111"/>
      <c r="AX2" s="111"/>
      <c r="AY2" s="111"/>
      <c r="AZ2" s="112"/>
    </row>
    <row r="3" spans="1:52" s="34" customFormat="1" ht="80.400000000000006" customHeight="1" x14ac:dyDescent="0.3">
      <c r="B3" s="81"/>
      <c r="C3" s="81"/>
      <c r="D3" s="81"/>
      <c r="E3" s="82"/>
      <c r="F3" s="82"/>
      <c r="G3" s="83"/>
      <c r="H3" s="84"/>
      <c r="I3" s="83"/>
      <c r="J3" s="33"/>
      <c r="K3" s="84"/>
      <c r="L3" s="33"/>
      <c r="M3" s="87"/>
      <c r="N3" s="85"/>
      <c r="O3" s="88"/>
      <c r="P3" s="85"/>
      <c r="Q3" s="85"/>
      <c r="R3" s="85"/>
      <c r="S3" s="147" t="s">
        <v>104</v>
      </c>
      <c r="T3" s="113"/>
      <c r="U3" s="114" t="s">
        <v>111</v>
      </c>
      <c r="V3" s="115"/>
      <c r="W3" s="98"/>
      <c r="X3" s="113" t="s">
        <v>104</v>
      </c>
      <c r="Y3" s="113"/>
      <c r="Z3" s="114" t="s">
        <v>111</v>
      </c>
      <c r="AA3" s="124"/>
      <c r="AB3" s="92"/>
      <c r="AC3" s="113" t="s">
        <v>104</v>
      </c>
      <c r="AD3" s="113"/>
      <c r="AE3" s="114" t="s">
        <v>111</v>
      </c>
      <c r="AF3" s="124"/>
      <c r="AG3" s="92"/>
      <c r="AH3" s="113" t="s">
        <v>104</v>
      </c>
      <c r="AI3" s="113"/>
      <c r="AJ3" s="114" t="s">
        <v>111</v>
      </c>
      <c r="AK3" s="115"/>
      <c r="AL3" s="94"/>
      <c r="AM3" s="113" t="s">
        <v>104</v>
      </c>
      <c r="AN3" s="113"/>
      <c r="AO3" s="114" t="s">
        <v>111</v>
      </c>
      <c r="AP3" s="114"/>
      <c r="AQ3" s="92"/>
      <c r="AR3" s="113" t="s">
        <v>104</v>
      </c>
      <c r="AS3" s="113"/>
      <c r="AT3" s="114" t="s">
        <v>111</v>
      </c>
      <c r="AU3" s="124"/>
      <c r="AV3" s="98"/>
      <c r="AW3" s="113" t="s">
        <v>104</v>
      </c>
      <c r="AX3" s="113"/>
      <c r="AY3" s="114" t="s">
        <v>111</v>
      </c>
      <c r="AZ3" s="115"/>
    </row>
    <row r="4" spans="1:52" s="102" customFormat="1" x14ac:dyDescent="0.3">
      <c r="A4" s="102" t="s">
        <v>1</v>
      </c>
      <c r="B4" s="103" t="s">
        <v>40</v>
      </c>
      <c r="C4" s="103" t="s">
        <v>41</v>
      </c>
      <c r="D4" s="104" t="s">
        <v>42</v>
      </c>
      <c r="E4" s="105" t="s">
        <v>32</v>
      </c>
      <c r="F4" s="105" t="s">
        <v>28</v>
      </c>
      <c r="G4" s="106" t="s">
        <v>33</v>
      </c>
      <c r="H4" s="106" t="s">
        <v>34</v>
      </c>
      <c r="I4" s="107" t="s">
        <v>2</v>
      </c>
      <c r="J4" s="108" t="s">
        <v>3</v>
      </c>
      <c r="K4" s="107" t="s">
        <v>4</v>
      </c>
      <c r="L4" s="108" t="s">
        <v>5</v>
      </c>
      <c r="M4" s="109">
        <v>0.1</v>
      </c>
      <c r="N4" s="109">
        <v>0.2</v>
      </c>
      <c r="O4" s="109">
        <v>0.3</v>
      </c>
      <c r="P4" s="109">
        <v>-0.1</v>
      </c>
      <c r="Q4" s="109">
        <v>-0.2</v>
      </c>
      <c r="R4" s="109">
        <v>-0.3</v>
      </c>
      <c r="S4" s="106" t="s">
        <v>119</v>
      </c>
      <c r="T4" s="110" t="s">
        <v>120</v>
      </c>
      <c r="U4" s="106" t="s">
        <v>119</v>
      </c>
      <c r="V4" s="110" t="s">
        <v>120</v>
      </c>
      <c r="W4" s="101" t="s">
        <v>68</v>
      </c>
      <c r="X4" s="106" t="s">
        <v>119</v>
      </c>
      <c r="Y4" s="110" t="s">
        <v>120</v>
      </c>
      <c r="Z4" s="106" t="s">
        <v>119</v>
      </c>
      <c r="AA4" s="110" t="s">
        <v>120</v>
      </c>
      <c r="AB4" s="101" t="s">
        <v>68</v>
      </c>
      <c r="AC4" s="106" t="s">
        <v>119</v>
      </c>
      <c r="AD4" s="110" t="s">
        <v>120</v>
      </c>
      <c r="AE4" s="106" t="s">
        <v>119</v>
      </c>
      <c r="AF4" s="110" t="s">
        <v>120</v>
      </c>
      <c r="AG4" s="101" t="s">
        <v>68</v>
      </c>
      <c r="AH4" s="106" t="s">
        <v>119</v>
      </c>
      <c r="AI4" s="110" t="s">
        <v>120</v>
      </c>
      <c r="AJ4" s="106" t="s">
        <v>119</v>
      </c>
      <c r="AK4" s="110" t="s">
        <v>120</v>
      </c>
      <c r="AL4" s="101" t="s">
        <v>68</v>
      </c>
      <c r="AM4" s="106" t="s">
        <v>119</v>
      </c>
      <c r="AN4" s="110" t="s">
        <v>120</v>
      </c>
      <c r="AO4" s="106" t="s">
        <v>119</v>
      </c>
      <c r="AP4" s="110" t="s">
        <v>120</v>
      </c>
      <c r="AQ4" s="101" t="s">
        <v>68</v>
      </c>
      <c r="AR4" s="106" t="s">
        <v>119</v>
      </c>
      <c r="AS4" s="110" t="s">
        <v>120</v>
      </c>
      <c r="AT4" s="106" t="s">
        <v>119</v>
      </c>
      <c r="AU4" s="110" t="s">
        <v>120</v>
      </c>
      <c r="AV4" s="101" t="s">
        <v>68</v>
      </c>
      <c r="AW4" s="106" t="s">
        <v>119</v>
      </c>
      <c r="AX4" s="110" t="s">
        <v>120</v>
      </c>
      <c r="AY4" s="106" t="s">
        <v>119</v>
      </c>
      <c r="AZ4" s="110" t="s">
        <v>120</v>
      </c>
    </row>
    <row r="5" spans="1:52" x14ac:dyDescent="0.3">
      <c r="A5" t="s">
        <v>43</v>
      </c>
      <c r="B5" s="25">
        <v>45839</v>
      </c>
      <c r="C5" s="25">
        <v>45870</v>
      </c>
      <c r="D5" s="24">
        <v>8.7600002288818306</v>
      </c>
      <c r="E5" s="2">
        <v>-0.21152110714810199</v>
      </c>
      <c r="F5" s="2">
        <v>0</v>
      </c>
      <c r="I5" s="17">
        <v>0.21118714377380199</v>
      </c>
      <c r="J5" s="18">
        <v>28</v>
      </c>
      <c r="K5" s="19">
        <v>-7.6484024975815093E-2</v>
      </c>
      <c r="L5" s="18">
        <v>2</v>
      </c>
      <c r="M5" s="26">
        <v>23</v>
      </c>
      <c r="N5" s="28">
        <v>28</v>
      </c>
      <c r="S5" s="100">
        <v>0.16593397933063</v>
      </c>
      <c r="T5" s="6">
        <v>28</v>
      </c>
      <c r="U5" s="41">
        <v>0.16593397933063</v>
      </c>
      <c r="V5" s="96">
        <v>28</v>
      </c>
      <c r="W5" s="99"/>
      <c r="AB5" s="93"/>
      <c r="AG5" s="93"/>
      <c r="AL5" s="95">
        <v>23</v>
      </c>
      <c r="AM5" s="41">
        <v>5.3386739587740498E-2</v>
      </c>
      <c r="AN5" s="6">
        <v>999</v>
      </c>
      <c r="AO5" s="41">
        <v>5.3386739587740498E-2</v>
      </c>
      <c r="AP5" s="86">
        <v>999</v>
      </c>
      <c r="AQ5" s="93">
        <v>28</v>
      </c>
      <c r="AR5" s="41">
        <v>-2.1049327614642999E-2</v>
      </c>
      <c r="AS5" s="6">
        <v>999</v>
      </c>
      <c r="AT5" s="41">
        <v>-2.1049327614642999E-2</v>
      </c>
      <c r="AU5" s="91">
        <v>999</v>
      </c>
      <c r="AV5" s="99"/>
    </row>
    <row r="6" spans="1:52" x14ac:dyDescent="0.3">
      <c r="A6" t="s">
        <v>38</v>
      </c>
      <c r="B6" s="25">
        <v>45627</v>
      </c>
      <c r="C6" s="25">
        <v>45658</v>
      </c>
      <c r="D6" s="24">
        <v>1.90999996662139</v>
      </c>
      <c r="E6" s="2">
        <v>-0.68943090455232103</v>
      </c>
      <c r="F6" s="2">
        <v>1.05820005703125E-2</v>
      </c>
      <c r="G6" s="15">
        <v>1.0523560967532499</v>
      </c>
      <c r="H6" s="16">
        <v>-0.54816754410322499</v>
      </c>
      <c r="I6" s="17">
        <v>1.9738219516233699</v>
      </c>
      <c r="J6" s="18">
        <v>68</v>
      </c>
      <c r="K6" s="19">
        <v>-0.54816754410322499</v>
      </c>
      <c r="L6" s="18">
        <v>150</v>
      </c>
      <c r="M6" s="26">
        <v>3</v>
      </c>
      <c r="N6" s="28">
        <v>5</v>
      </c>
      <c r="O6" s="89">
        <v>6</v>
      </c>
      <c r="P6" s="28">
        <v>144</v>
      </c>
      <c r="Q6" s="28">
        <v>146</v>
      </c>
      <c r="R6" s="28">
        <v>146</v>
      </c>
      <c r="S6" s="100">
        <v>1.0654544830322199</v>
      </c>
      <c r="T6" s="6">
        <v>68</v>
      </c>
      <c r="U6" s="41">
        <v>1.0654544830322199</v>
      </c>
      <c r="V6" s="96">
        <v>68</v>
      </c>
      <c r="W6" s="99">
        <v>144</v>
      </c>
      <c r="X6" s="41">
        <v>-0.33638656698472902</v>
      </c>
      <c r="Y6" s="6">
        <v>999</v>
      </c>
      <c r="Z6" s="41">
        <v>-0.33638656698472902</v>
      </c>
      <c r="AA6" s="86">
        <v>999</v>
      </c>
      <c r="AB6" s="93">
        <v>146</v>
      </c>
      <c r="AC6" s="41">
        <v>-4.0909106302852603E-3</v>
      </c>
      <c r="AD6" s="6">
        <v>999</v>
      </c>
      <c r="AE6" s="41">
        <v>-4.0909106302852603E-3</v>
      </c>
      <c r="AF6" s="86">
        <v>999</v>
      </c>
      <c r="AG6" s="93">
        <v>146</v>
      </c>
      <c r="AH6" s="41">
        <v>-4.0909106302852603E-3</v>
      </c>
      <c r="AI6" s="6">
        <v>999</v>
      </c>
      <c r="AJ6" s="41">
        <v>-4.0909106302852603E-3</v>
      </c>
      <c r="AK6" s="86">
        <v>999</v>
      </c>
      <c r="AL6" s="95">
        <v>7</v>
      </c>
      <c r="AM6" s="41">
        <v>1.0654544830322199</v>
      </c>
      <c r="AN6" s="6">
        <v>68</v>
      </c>
      <c r="AO6" s="41">
        <v>1.0654544830322199</v>
      </c>
      <c r="AP6" s="86">
        <v>68</v>
      </c>
      <c r="AQ6" s="93">
        <v>7</v>
      </c>
      <c r="AR6" s="41">
        <v>1.0654544830322199</v>
      </c>
      <c r="AS6" s="6">
        <v>68</v>
      </c>
      <c r="AT6" s="41">
        <v>1.0654544830322199</v>
      </c>
      <c r="AU6" s="91">
        <v>68</v>
      </c>
      <c r="AV6" s="99">
        <v>7</v>
      </c>
      <c r="AW6" s="41">
        <v>1.0654544830322199</v>
      </c>
      <c r="AX6" s="6">
        <v>68</v>
      </c>
      <c r="AY6" s="41">
        <v>1.0654544830322199</v>
      </c>
      <c r="AZ6" s="96">
        <v>68</v>
      </c>
    </row>
    <row r="7" spans="1:52" x14ac:dyDescent="0.3">
      <c r="A7" t="s">
        <v>39</v>
      </c>
      <c r="B7" s="25">
        <v>45413</v>
      </c>
      <c r="C7" s="25">
        <v>45444</v>
      </c>
      <c r="D7" s="24">
        <v>17.045000076293899</v>
      </c>
      <c r="E7" s="2">
        <v>0.73928568821954299</v>
      </c>
      <c r="F7" s="2">
        <v>0.35063393271487597</v>
      </c>
      <c r="G7" s="15">
        <v>0.466705772255748</v>
      </c>
      <c r="H7" s="16">
        <v>4.9574614817967197E-2</v>
      </c>
      <c r="I7" s="17">
        <v>0.78938104215201199</v>
      </c>
      <c r="J7" s="18">
        <v>70</v>
      </c>
      <c r="K7" s="19">
        <v>-0.25198005614956798</v>
      </c>
      <c r="L7" s="18">
        <v>15</v>
      </c>
      <c r="M7" s="26">
        <v>49</v>
      </c>
      <c r="N7" s="28">
        <v>49</v>
      </c>
      <c r="O7" s="89">
        <v>51</v>
      </c>
      <c r="P7" s="28">
        <v>11</v>
      </c>
      <c r="Q7" s="28">
        <v>14</v>
      </c>
      <c r="S7" s="100">
        <v>-0.223272334229663</v>
      </c>
      <c r="T7" s="6">
        <v>14</v>
      </c>
      <c r="U7" s="41">
        <v>0.80153570290696596</v>
      </c>
      <c r="V7" s="96">
        <v>70</v>
      </c>
      <c r="W7" s="99">
        <v>11</v>
      </c>
      <c r="X7" s="41">
        <v>1.1210013739409299</v>
      </c>
      <c r="Y7" s="6">
        <v>70</v>
      </c>
      <c r="Z7" s="41">
        <v>1.1210013739409299</v>
      </c>
      <c r="AA7" s="86">
        <v>70</v>
      </c>
      <c r="AB7" s="93">
        <v>14</v>
      </c>
      <c r="AC7" s="41">
        <v>1.3193917022644599</v>
      </c>
      <c r="AD7" s="6">
        <v>70</v>
      </c>
      <c r="AE7" s="41">
        <v>1.3193917022644599</v>
      </c>
      <c r="AF7" s="86">
        <v>70</v>
      </c>
      <c r="AG7" s="93"/>
      <c r="AL7" s="95">
        <v>11</v>
      </c>
      <c r="AM7" s="41">
        <v>1.1210013739409299</v>
      </c>
      <c r="AN7" s="6">
        <v>70</v>
      </c>
      <c r="AO7" s="41">
        <v>1.1210013739409299</v>
      </c>
      <c r="AP7" s="86">
        <v>70</v>
      </c>
      <c r="AQ7" s="93">
        <v>14</v>
      </c>
      <c r="AR7" s="41">
        <v>1.3193917022644599</v>
      </c>
      <c r="AS7" s="6">
        <v>70</v>
      </c>
      <c r="AT7" s="41">
        <v>1.3193917022644599</v>
      </c>
      <c r="AU7" s="91">
        <v>70</v>
      </c>
      <c r="AV7" s="99">
        <v>51</v>
      </c>
      <c r="AW7" s="41">
        <v>8.6147908562548298E-3</v>
      </c>
      <c r="AX7" s="6">
        <v>999</v>
      </c>
      <c r="AY7" s="41">
        <v>8.6147908562548298E-3</v>
      </c>
      <c r="AZ7" s="96">
        <v>999</v>
      </c>
    </row>
    <row r="8" spans="1:52" x14ac:dyDescent="0.3">
      <c r="A8" t="s">
        <v>14</v>
      </c>
      <c r="B8" s="25">
        <v>45536</v>
      </c>
      <c r="C8" s="25">
        <v>45566</v>
      </c>
      <c r="D8" s="24">
        <v>2.8099999427795401</v>
      </c>
      <c r="E8" s="2">
        <v>0.37073171128835197</v>
      </c>
      <c r="F8" s="2">
        <v>-0.242587624289339</v>
      </c>
      <c r="G8" s="15">
        <v>-0.23131667978110301</v>
      </c>
      <c r="H8" s="16">
        <v>0.46975096033478297</v>
      </c>
      <c r="I8" s="17">
        <v>1.32028473796949</v>
      </c>
      <c r="J8" s="18">
        <v>92</v>
      </c>
      <c r="K8" s="19">
        <v>-0.56939499544968297</v>
      </c>
      <c r="L8" s="18">
        <v>35</v>
      </c>
      <c r="M8" s="26">
        <v>6</v>
      </c>
      <c r="N8" s="28">
        <v>8</v>
      </c>
      <c r="O8" s="89">
        <v>20</v>
      </c>
      <c r="P8" s="28">
        <v>27</v>
      </c>
      <c r="Q8" s="28">
        <v>27</v>
      </c>
      <c r="R8" s="28">
        <v>27</v>
      </c>
      <c r="S8" s="100">
        <v>-0.39527029095120902</v>
      </c>
      <c r="T8" s="6">
        <v>27</v>
      </c>
      <c r="U8" s="41">
        <v>-0.39527029095120902</v>
      </c>
      <c r="V8" s="96">
        <v>27</v>
      </c>
      <c r="W8" s="99">
        <v>27</v>
      </c>
      <c r="X8" s="41">
        <v>2.6424581675280798</v>
      </c>
      <c r="Y8" s="6">
        <v>92</v>
      </c>
      <c r="Z8" s="41">
        <v>2.6424581675280798</v>
      </c>
      <c r="AA8" s="86">
        <v>92</v>
      </c>
      <c r="AB8" s="93">
        <v>27</v>
      </c>
      <c r="AC8" s="41">
        <v>2.6424581675280798</v>
      </c>
      <c r="AD8" s="6">
        <v>92</v>
      </c>
      <c r="AE8" s="41">
        <v>2.6424581675280798</v>
      </c>
      <c r="AF8" s="86">
        <v>92</v>
      </c>
      <c r="AG8" s="93">
        <v>27</v>
      </c>
      <c r="AH8" s="41">
        <v>2.6424581675280798</v>
      </c>
      <c r="AI8" s="6">
        <v>92</v>
      </c>
      <c r="AJ8" s="41">
        <v>2.6424581675280798</v>
      </c>
      <c r="AK8" s="86">
        <v>92</v>
      </c>
      <c r="AL8" s="95">
        <v>7</v>
      </c>
      <c r="AM8" s="41">
        <v>1.2027026678716399</v>
      </c>
      <c r="AN8" s="6">
        <v>92</v>
      </c>
      <c r="AO8" s="41">
        <v>1.2027026678716399</v>
      </c>
      <c r="AP8" s="86">
        <v>92</v>
      </c>
      <c r="AQ8" s="93">
        <v>8</v>
      </c>
      <c r="AR8" s="41">
        <v>0.868194831836681</v>
      </c>
      <c r="AS8" s="6">
        <v>92</v>
      </c>
      <c r="AT8" s="41">
        <v>0.868194831836681</v>
      </c>
      <c r="AU8" s="91">
        <v>92</v>
      </c>
      <c r="AV8" s="99">
        <v>20</v>
      </c>
      <c r="AW8" s="41">
        <v>0.76216213429731705</v>
      </c>
      <c r="AX8" s="6">
        <v>92</v>
      </c>
      <c r="AY8" s="41">
        <v>0.76216213429731705</v>
      </c>
      <c r="AZ8" s="96">
        <v>92</v>
      </c>
    </row>
    <row r="9" spans="1:52" x14ac:dyDescent="0.3">
      <c r="A9" t="s">
        <v>44</v>
      </c>
      <c r="B9" s="25">
        <v>45505</v>
      </c>
      <c r="C9" s="25">
        <v>45536</v>
      </c>
      <c r="D9" s="24">
        <v>167.38000488281199</v>
      </c>
      <c r="E9" s="2">
        <v>-0.130448334426606</v>
      </c>
      <c r="F9" s="2">
        <v>-0.104392929373173</v>
      </c>
      <c r="G9" s="15">
        <v>3.1305951018723202E-2</v>
      </c>
      <c r="H9" s="16">
        <v>-3.9192241410116603E-2</v>
      </c>
      <c r="I9" s="17">
        <v>0.11273745110952101</v>
      </c>
      <c r="J9" s="18">
        <v>111</v>
      </c>
      <c r="K9" s="19">
        <v>-0.18395272820358</v>
      </c>
      <c r="L9" s="18">
        <v>147</v>
      </c>
      <c r="M9" s="26">
        <v>107</v>
      </c>
      <c r="P9" s="28">
        <v>22</v>
      </c>
      <c r="S9" s="100">
        <v>0.14425259637049501</v>
      </c>
      <c r="T9" s="6">
        <v>111</v>
      </c>
      <c r="U9" s="41">
        <v>0.14425259637049501</v>
      </c>
      <c r="V9" s="96">
        <v>111</v>
      </c>
      <c r="W9" s="99">
        <v>22</v>
      </c>
      <c r="X9" s="41">
        <v>0.237377057622607</v>
      </c>
      <c r="Y9" s="6">
        <v>111</v>
      </c>
      <c r="Z9" s="41">
        <v>0.237377057622607</v>
      </c>
      <c r="AA9" s="86">
        <v>111</v>
      </c>
      <c r="AB9" s="93"/>
      <c r="AG9" s="93"/>
      <c r="AL9" s="95">
        <v>22</v>
      </c>
      <c r="AM9" s="41">
        <v>0.237377057622607</v>
      </c>
      <c r="AN9" s="6">
        <v>111</v>
      </c>
      <c r="AO9" s="41">
        <v>0.237377057622607</v>
      </c>
      <c r="AP9" s="86">
        <v>111</v>
      </c>
      <c r="AQ9" s="93"/>
      <c r="AV9" s="99"/>
    </row>
    <row r="10" spans="1:52" x14ac:dyDescent="0.3">
      <c r="A10" t="s">
        <v>15</v>
      </c>
      <c r="B10" s="25">
        <v>45566</v>
      </c>
      <c r="C10" s="25">
        <v>45597</v>
      </c>
      <c r="D10" s="24">
        <v>6.3299999237060502</v>
      </c>
      <c r="E10" s="2">
        <v>0.35250915174318598</v>
      </c>
      <c r="F10" s="2">
        <v>0.198863574275467</v>
      </c>
      <c r="G10" s="15">
        <v>-0.50868879422118496</v>
      </c>
      <c r="H10" s="16">
        <v>-0.48815165109199399</v>
      </c>
      <c r="I10" s="17">
        <v>1.57981500827264E-3</v>
      </c>
      <c r="J10" s="18">
        <v>3</v>
      </c>
      <c r="K10" s="19">
        <v>-0.64139020406220004</v>
      </c>
      <c r="L10" s="18">
        <v>110</v>
      </c>
      <c r="P10" s="28">
        <v>14</v>
      </c>
      <c r="Q10" s="28">
        <v>14</v>
      </c>
      <c r="R10" s="28">
        <v>15</v>
      </c>
      <c r="S10" s="100">
        <v>-0.38474575326005001</v>
      </c>
      <c r="T10" s="6">
        <v>15</v>
      </c>
      <c r="U10" s="41">
        <v>-0.38474575326005001</v>
      </c>
      <c r="V10" s="96">
        <v>15</v>
      </c>
      <c r="W10" s="99">
        <v>14</v>
      </c>
      <c r="X10" s="41">
        <v>-0.36868672522988299</v>
      </c>
      <c r="Y10" s="6">
        <v>999</v>
      </c>
      <c r="Z10" s="41">
        <v>-0.36868672522988299</v>
      </c>
      <c r="AA10" s="86">
        <v>999</v>
      </c>
      <c r="AB10" s="93">
        <v>14</v>
      </c>
      <c r="AC10" s="41">
        <v>-0.36868672522988299</v>
      </c>
      <c r="AD10" s="6">
        <v>999</v>
      </c>
      <c r="AE10" s="41">
        <v>-0.36868672522988299</v>
      </c>
      <c r="AF10" s="86">
        <v>999</v>
      </c>
      <c r="AG10" s="93">
        <v>15</v>
      </c>
      <c r="AH10" s="41">
        <v>-0.141083320440726</v>
      </c>
      <c r="AI10" s="6">
        <v>999</v>
      </c>
      <c r="AJ10" s="41">
        <v>-0.141083320440726</v>
      </c>
      <c r="AK10" s="86">
        <v>999</v>
      </c>
      <c r="AL10" s="95">
        <v>14</v>
      </c>
      <c r="AM10" s="41">
        <v>-0.36868672522988299</v>
      </c>
      <c r="AN10" s="6">
        <v>999</v>
      </c>
      <c r="AO10" s="41">
        <v>-0.36868672522988299</v>
      </c>
      <c r="AP10" s="86">
        <v>999</v>
      </c>
      <c r="AQ10" s="93">
        <v>14</v>
      </c>
      <c r="AR10" s="41">
        <v>-0.36868672522988299</v>
      </c>
      <c r="AS10" s="6">
        <v>999</v>
      </c>
      <c r="AT10" s="41">
        <v>-0.36868672522988299</v>
      </c>
      <c r="AU10" s="91">
        <v>999</v>
      </c>
      <c r="AV10" s="99">
        <v>15</v>
      </c>
      <c r="AW10" s="41">
        <v>-0.141083320440726</v>
      </c>
      <c r="AX10" s="6">
        <v>999</v>
      </c>
      <c r="AY10" s="41">
        <v>-0.141083320440726</v>
      </c>
      <c r="AZ10" s="96">
        <v>999</v>
      </c>
    </row>
    <row r="11" spans="1:52" x14ac:dyDescent="0.3">
      <c r="A11" t="s">
        <v>45</v>
      </c>
      <c r="B11" s="25">
        <v>45658</v>
      </c>
      <c r="C11" s="25">
        <v>45689</v>
      </c>
      <c r="T11" s="6">
        <v>999</v>
      </c>
      <c r="V11" s="96">
        <v>999</v>
      </c>
      <c r="W11" s="99"/>
      <c r="AB11" s="93"/>
      <c r="AG11" s="93"/>
      <c r="AL11" s="95"/>
      <c r="AQ11" s="93"/>
      <c r="AV11" s="99"/>
    </row>
    <row r="12" spans="1:52" x14ac:dyDescent="0.3">
      <c r="A12" t="s">
        <v>46</v>
      </c>
      <c r="B12" s="25">
        <v>45717</v>
      </c>
      <c r="C12" s="25">
        <v>45748</v>
      </c>
      <c r="D12" s="24">
        <v>7.0500001907348597</v>
      </c>
      <c r="E12" s="7">
        <v>-0.61788618432492304</v>
      </c>
      <c r="F12" s="7">
        <v>-0.52073418270208505</v>
      </c>
      <c r="G12" s="13">
        <v>-0.33900713172514502</v>
      </c>
      <c r="H12" s="14"/>
      <c r="I12" s="20">
        <v>0.64964536167319598</v>
      </c>
      <c r="J12" s="21">
        <v>108</v>
      </c>
      <c r="K12" s="22">
        <v>-0.42411349887405497</v>
      </c>
      <c r="L12" s="21">
        <v>37</v>
      </c>
      <c r="M12" s="27">
        <v>92</v>
      </c>
      <c r="N12" s="29">
        <v>100</v>
      </c>
      <c r="O12" s="90">
        <v>103</v>
      </c>
      <c r="P12" s="29">
        <v>4</v>
      </c>
      <c r="Q12" s="29">
        <v>7</v>
      </c>
      <c r="R12" s="29">
        <v>10</v>
      </c>
      <c r="S12" s="100">
        <v>-0.22072938329122299</v>
      </c>
      <c r="T12" s="6">
        <v>37</v>
      </c>
      <c r="U12" s="41">
        <v>1.23224568700335</v>
      </c>
      <c r="V12" s="96">
        <v>108</v>
      </c>
      <c r="W12" s="99">
        <v>7</v>
      </c>
      <c r="X12" s="41">
        <v>1.23224568700335</v>
      </c>
      <c r="Y12" s="6">
        <v>108</v>
      </c>
      <c r="Z12" s="41">
        <v>1.23224568700335</v>
      </c>
      <c r="AA12" s="86">
        <v>108</v>
      </c>
      <c r="AB12" s="93">
        <v>7</v>
      </c>
      <c r="AC12" s="41">
        <v>1.23224568700335</v>
      </c>
      <c r="AD12" s="6">
        <v>108</v>
      </c>
      <c r="AE12" s="41">
        <v>1.23224568700335</v>
      </c>
      <c r="AF12" s="86">
        <v>108</v>
      </c>
      <c r="AG12" s="93">
        <v>10</v>
      </c>
      <c r="AH12" s="41">
        <v>1.393004073033</v>
      </c>
      <c r="AI12" s="6">
        <v>108</v>
      </c>
      <c r="AJ12" s="41">
        <v>1.393004073033</v>
      </c>
      <c r="AK12" s="86">
        <v>108</v>
      </c>
      <c r="AL12" s="95">
        <v>7</v>
      </c>
      <c r="AM12" s="41">
        <v>1.23224568700335</v>
      </c>
      <c r="AN12" s="6">
        <v>108</v>
      </c>
      <c r="AO12" s="41">
        <v>1.23224568700335</v>
      </c>
      <c r="AP12" s="86">
        <v>108</v>
      </c>
      <c r="AQ12" s="93">
        <v>7</v>
      </c>
      <c r="AR12" s="41">
        <v>1.23224568700335</v>
      </c>
      <c r="AS12" s="6">
        <v>108</v>
      </c>
      <c r="AT12" s="41">
        <v>1.23224568700335</v>
      </c>
      <c r="AU12" s="91">
        <v>108</v>
      </c>
      <c r="AV12" s="99">
        <v>10</v>
      </c>
      <c r="AW12" s="41">
        <v>1.393004073033</v>
      </c>
      <c r="AX12" s="6">
        <v>108</v>
      </c>
      <c r="AY12" s="41">
        <v>1.393004073033</v>
      </c>
      <c r="AZ12" s="96">
        <v>108</v>
      </c>
    </row>
    <row r="13" spans="1:52" x14ac:dyDescent="0.3">
      <c r="A13" t="s">
        <v>47</v>
      </c>
      <c r="B13" s="25">
        <v>45505</v>
      </c>
      <c r="C13" s="25">
        <v>45536</v>
      </c>
      <c r="D13" s="24">
        <v>4.6564192771911603</v>
      </c>
      <c r="E13" s="2">
        <v>-0.11856883340124</v>
      </c>
      <c r="F13" s="2">
        <v>-0.22299372966421599</v>
      </c>
      <c r="G13" s="15">
        <v>-0.325183592912765</v>
      </c>
      <c r="H13" s="16">
        <v>-0.223759497866868</v>
      </c>
      <c r="I13" s="17">
        <v>0.20268966830134499</v>
      </c>
      <c r="J13" s="18">
        <v>46</v>
      </c>
      <c r="K13" s="19">
        <v>-0.387093315572339</v>
      </c>
      <c r="L13" s="18">
        <v>82</v>
      </c>
      <c r="M13" s="26">
        <v>28</v>
      </c>
      <c r="N13" s="28">
        <v>46</v>
      </c>
      <c r="P13" s="28">
        <v>6</v>
      </c>
      <c r="Q13" s="28">
        <v>71</v>
      </c>
      <c r="R13" s="28">
        <v>74</v>
      </c>
      <c r="S13" s="100">
        <v>0.31929029327277503</v>
      </c>
      <c r="T13" s="6">
        <v>46</v>
      </c>
      <c r="U13" s="41">
        <v>0.31929029327277503</v>
      </c>
      <c r="V13" s="96">
        <v>46</v>
      </c>
      <c r="W13" s="99">
        <v>7</v>
      </c>
      <c r="X13" s="41">
        <v>0.31929029327277503</v>
      </c>
      <c r="Y13" s="6">
        <v>46</v>
      </c>
      <c r="Z13" s="41">
        <v>0.31929029327277503</v>
      </c>
      <c r="AA13" s="86">
        <v>46</v>
      </c>
      <c r="AB13" s="93">
        <v>71</v>
      </c>
      <c r="AC13" s="41">
        <v>0.38495614824186902</v>
      </c>
      <c r="AD13" s="6">
        <v>136</v>
      </c>
      <c r="AE13" s="41">
        <v>0.38495614824186902</v>
      </c>
      <c r="AF13" s="86">
        <v>136</v>
      </c>
      <c r="AG13" s="93">
        <v>74</v>
      </c>
      <c r="AH13" s="41">
        <v>0.60806475502237201</v>
      </c>
      <c r="AI13" s="6">
        <v>136</v>
      </c>
      <c r="AJ13" s="41">
        <v>0.60806475502237201</v>
      </c>
      <c r="AK13" s="86">
        <v>136</v>
      </c>
      <c r="AL13" s="95">
        <v>7</v>
      </c>
      <c r="AM13" s="41">
        <v>0.31929029327277503</v>
      </c>
      <c r="AN13" s="6">
        <v>46</v>
      </c>
      <c r="AO13" s="41">
        <v>0.31929029327277503</v>
      </c>
      <c r="AP13" s="86">
        <v>46</v>
      </c>
      <c r="AQ13" s="93">
        <v>46</v>
      </c>
      <c r="AR13" s="41">
        <v>-0.32101114339416198</v>
      </c>
      <c r="AS13" s="6">
        <v>999</v>
      </c>
      <c r="AT13" s="41">
        <v>-0.32101114339416198</v>
      </c>
      <c r="AU13" s="91">
        <v>999</v>
      </c>
      <c r="AV13" s="99">
        <v>74</v>
      </c>
      <c r="AW13" s="41">
        <v>0.60806475502237201</v>
      </c>
      <c r="AX13" s="6">
        <v>136</v>
      </c>
      <c r="AY13" s="41">
        <v>0.60806475502237201</v>
      </c>
      <c r="AZ13" s="96">
        <v>136</v>
      </c>
    </row>
    <row r="14" spans="1:52" x14ac:dyDescent="0.3">
      <c r="A14" t="s">
        <v>48</v>
      </c>
      <c r="B14" s="25">
        <v>45413</v>
      </c>
      <c r="C14" s="25">
        <v>45444</v>
      </c>
      <c r="D14" s="24">
        <v>10.844999790191601</v>
      </c>
      <c r="E14" s="2">
        <v>-0.18519913987320699</v>
      </c>
      <c r="F14" s="2">
        <v>3.28571228753953E-2</v>
      </c>
      <c r="G14" s="15">
        <v>1.0603988029518299E-2</v>
      </c>
      <c r="H14" s="16">
        <v>-0.16274780088809901</v>
      </c>
      <c r="I14" s="17">
        <v>0.61456897811266797</v>
      </c>
      <c r="J14" s="18">
        <v>32</v>
      </c>
      <c r="K14" s="19">
        <v>-0.28630706123956601</v>
      </c>
      <c r="L14" s="18">
        <v>23</v>
      </c>
      <c r="M14" s="26">
        <v>29</v>
      </c>
      <c r="N14" s="28">
        <v>32</v>
      </c>
      <c r="O14" s="89">
        <v>32</v>
      </c>
      <c r="P14" s="28">
        <v>8</v>
      </c>
      <c r="Q14" s="28">
        <v>19</v>
      </c>
      <c r="S14" s="100">
        <v>-0.20394086429768199</v>
      </c>
      <c r="T14" s="6">
        <v>22</v>
      </c>
      <c r="U14" s="41">
        <v>0.72512324009498796</v>
      </c>
      <c r="V14" s="96">
        <v>32</v>
      </c>
      <c r="W14" s="99">
        <v>8</v>
      </c>
      <c r="X14" s="41">
        <v>0.13459746068407599</v>
      </c>
      <c r="Y14" s="6">
        <v>999</v>
      </c>
      <c r="Z14" s="41">
        <v>0.13459746068407599</v>
      </c>
      <c r="AA14" s="86">
        <v>999</v>
      </c>
      <c r="AB14" s="93">
        <v>19</v>
      </c>
      <c r="AC14" s="41">
        <v>0.36797060727394898</v>
      </c>
      <c r="AD14" s="6">
        <v>999</v>
      </c>
      <c r="AE14" s="41">
        <v>0.36797060727394898</v>
      </c>
      <c r="AF14" s="86">
        <v>999</v>
      </c>
      <c r="AG14" s="93"/>
      <c r="AL14" s="95">
        <v>8</v>
      </c>
      <c r="AM14" s="41">
        <v>0.13459746068407599</v>
      </c>
      <c r="AN14" s="6">
        <v>999</v>
      </c>
      <c r="AO14" s="41">
        <v>0.13459746068407599</v>
      </c>
      <c r="AP14" s="86">
        <v>999</v>
      </c>
      <c r="AQ14" s="93">
        <v>19</v>
      </c>
      <c r="AR14" s="41">
        <v>0.36797060727394898</v>
      </c>
      <c r="AS14" s="6">
        <v>999</v>
      </c>
      <c r="AT14" s="41">
        <v>0.36797060727394898</v>
      </c>
      <c r="AU14" s="91">
        <v>999</v>
      </c>
      <c r="AV14" s="99">
        <v>32</v>
      </c>
      <c r="AW14" s="41">
        <v>-0.35331552186262599</v>
      </c>
      <c r="AX14" s="6">
        <v>999</v>
      </c>
      <c r="AY14" s="41">
        <v>-0.35331552186262599</v>
      </c>
      <c r="AZ14" s="96">
        <v>999</v>
      </c>
    </row>
    <row r="15" spans="1:52" x14ac:dyDescent="0.3">
      <c r="A15" t="s">
        <v>49</v>
      </c>
      <c r="B15" s="25">
        <v>45839</v>
      </c>
      <c r="C15" s="25">
        <v>45870</v>
      </c>
      <c r="D15" s="24">
        <v>12.310000419616699</v>
      </c>
      <c r="E15" s="2">
        <v>-0.51189529124616895</v>
      </c>
      <c r="F15" s="2">
        <v>8.19003940682261E-3</v>
      </c>
      <c r="I15" s="17">
        <v>0.29894388513887998</v>
      </c>
      <c r="J15" s="18">
        <v>24</v>
      </c>
      <c r="K15" s="19">
        <v>0</v>
      </c>
      <c r="L15" s="18">
        <v>0</v>
      </c>
      <c r="M15" s="26">
        <v>7</v>
      </c>
      <c r="N15" s="28">
        <v>15</v>
      </c>
      <c r="S15" s="100">
        <v>7.4618704583888307E-2</v>
      </c>
      <c r="T15" s="6">
        <v>999</v>
      </c>
      <c r="U15" s="41">
        <v>7.4618704583888307E-2</v>
      </c>
      <c r="V15" s="96">
        <v>999</v>
      </c>
      <c r="W15" s="99"/>
      <c r="AB15" s="93"/>
      <c r="AG15" s="93"/>
      <c r="AL15" s="95">
        <v>7</v>
      </c>
      <c r="AM15" s="41">
        <v>7.4618704583888307E-2</v>
      </c>
      <c r="AN15" s="6">
        <v>999</v>
      </c>
      <c r="AO15" s="41">
        <v>7.4618704583888307E-2</v>
      </c>
      <c r="AP15" s="86">
        <v>999</v>
      </c>
      <c r="AQ15" s="93">
        <v>15</v>
      </c>
      <c r="AR15" s="41">
        <v>2.10296382538669E-2</v>
      </c>
      <c r="AS15" s="6">
        <v>999</v>
      </c>
      <c r="AT15" s="41">
        <v>2.10296382538669E-2</v>
      </c>
      <c r="AU15" s="91">
        <v>999</v>
      </c>
      <c r="AV15" s="99"/>
    </row>
    <row r="16" spans="1:52" x14ac:dyDescent="0.3">
      <c r="A16" t="s">
        <v>50</v>
      </c>
      <c r="B16" s="25">
        <v>45717</v>
      </c>
      <c r="C16" s="25">
        <v>45748</v>
      </c>
      <c r="D16" s="24">
        <v>1.40999996662139</v>
      </c>
      <c r="E16" s="2">
        <v>-0.64837908076265405</v>
      </c>
      <c r="F16" s="2">
        <v>-0.189655196038305</v>
      </c>
      <c r="G16" s="15">
        <v>-0.46099290180527602</v>
      </c>
      <c r="I16" s="17">
        <v>2.1276660503010799E-2</v>
      </c>
      <c r="J16" s="18">
        <v>1</v>
      </c>
      <c r="K16" s="19">
        <v>-0.595744676353957</v>
      </c>
      <c r="L16" s="18">
        <v>45</v>
      </c>
      <c r="P16" s="28">
        <v>5</v>
      </c>
      <c r="Q16" s="28">
        <v>5</v>
      </c>
      <c r="R16" s="28">
        <v>8</v>
      </c>
      <c r="S16" s="100">
        <v>-0.35643566109341601</v>
      </c>
      <c r="T16" s="6">
        <v>9</v>
      </c>
      <c r="U16" s="45">
        <v>-0.35643566109341601</v>
      </c>
      <c r="V16" s="96">
        <v>9</v>
      </c>
      <c r="W16" s="99">
        <v>7</v>
      </c>
      <c r="X16" s="41">
        <v>0.30693075734252401</v>
      </c>
      <c r="Y16" s="6">
        <v>104</v>
      </c>
      <c r="Z16" s="45">
        <v>0.30693075734252401</v>
      </c>
      <c r="AA16" s="86">
        <v>104</v>
      </c>
      <c r="AB16" s="93">
        <v>7</v>
      </c>
      <c r="AC16" s="41">
        <v>0.30693075734252401</v>
      </c>
      <c r="AD16" s="6">
        <v>104</v>
      </c>
      <c r="AE16" s="45">
        <v>0.30693075734252401</v>
      </c>
      <c r="AF16" s="86">
        <v>104</v>
      </c>
      <c r="AG16" s="93">
        <v>8</v>
      </c>
      <c r="AH16" s="41">
        <v>0.389473756858847</v>
      </c>
      <c r="AI16" s="6">
        <v>104</v>
      </c>
      <c r="AJ16" s="45">
        <v>0.389473756858847</v>
      </c>
      <c r="AK16" s="86">
        <v>104</v>
      </c>
      <c r="AL16" s="95">
        <v>7</v>
      </c>
      <c r="AM16" s="41">
        <v>0.30693075734252401</v>
      </c>
      <c r="AN16" s="6">
        <v>104</v>
      </c>
      <c r="AO16" s="45">
        <v>0.30693075734252401</v>
      </c>
      <c r="AP16" s="86">
        <v>104</v>
      </c>
      <c r="AQ16" s="93">
        <v>7</v>
      </c>
      <c r="AR16" s="41">
        <v>0.30693075734252401</v>
      </c>
      <c r="AS16" s="6">
        <v>104</v>
      </c>
      <c r="AT16" s="45">
        <v>0.30693075734252401</v>
      </c>
      <c r="AU16" s="91">
        <v>104</v>
      </c>
      <c r="AV16" s="99">
        <v>8</v>
      </c>
      <c r="AW16" s="41">
        <v>0.389473756858847</v>
      </c>
      <c r="AX16" s="6">
        <v>104</v>
      </c>
      <c r="AY16" s="45">
        <v>0.389473756858847</v>
      </c>
      <c r="AZ16" s="96">
        <v>104</v>
      </c>
    </row>
    <row r="17" spans="1:52" x14ac:dyDescent="0.3">
      <c r="A17" t="s">
        <v>51</v>
      </c>
      <c r="B17" s="25">
        <v>45444</v>
      </c>
      <c r="C17" s="25">
        <v>45474</v>
      </c>
      <c r="D17" s="24">
        <v>18.459999084472599</v>
      </c>
      <c r="E17" s="2">
        <v>0.24898507564192501</v>
      </c>
      <c r="F17" s="2">
        <v>0.15374994277954099</v>
      </c>
      <c r="G17" s="15">
        <v>0.38678232129506201</v>
      </c>
      <c r="H17" s="16">
        <v>0.65222110036043202</v>
      </c>
      <c r="I17" s="17">
        <v>0.65492961821201801</v>
      </c>
      <c r="J17" s="18">
        <v>149</v>
      </c>
      <c r="K17" s="19">
        <v>0</v>
      </c>
      <c r="L17" s="18">
        <v>0</v>
      </c>
      <c r="M17" s="26">
        <v>10</v>
      </c>
      <c r="N17" s="28">
        <v>23</v>
      </c>
      <c r="O17" s="89">
        <v>34</v>
      </c>
      <c r="S17" s="100">
        <v>0.605359859944687</v>
      </c>
      <c r="T17" s="6">
        <v>149</v>
      </c>
      <c r="U17" s="41">
        <v>0.605359859944687</v>
      </c>
      <c r="V17" s="96">
        <v>149</v>
      </c>
      <c r="W17" s="99"/>
      <c r="AB17" s="93"/>
      <c r="AG17" s="93"/>
      <c r="AL17" s="95">
        <v>10</v>
      </c>
      <c r="AM17" s="41">
        <v>0.486618022932364</v>
      </c>
      <c r="AN17" s="6">
        <v>149</v>
      </c>
      <c r="AO17" s="41">
        <v>0.486618022932364</v>
      </c>
      <c r="AP17" s="86">
        <v>149</v>
      </c>
      <c r="AQ17" s="93">
        <v>23</v>
      </c>
      <c r="AR17" s="41">
        <v>0.36689032284712603</v>
      </c>
      <c r="AS17" s="6">
        <v>149</v>
      </c>
      <c r="AT17" s="41">
        <v>0.36689032284712603</v>
      </c>
      <c r="AU17" s="91">
        <v>149</v>
      </c>
      <c r="AV17" s="99">
        <v>34</v>
      </c>
      <c r="AW17" s="41">
        <v>0.26396355567347002</v>
      </c>
      <c r="AX17" s="6">
        <v>149</v>
      </c>
      <c r="AY17" s="41">
        <v>0.26396355567347002</v>
      </c>
      <c r="AZ17" s="96">
        <v>149</v>
      </c>
    </row>
    <row r="18" spans="1:52" x14ac:dyDescent="0.3">
      <c r="A18" t="s">
        <v>19</v>
      </c>
      <c r="B18" s="25">
        <v>45658</v>
      </c>
      <c r="C18" s="25">
        <v>45689</v>
      </c>
      <c r="D18" s="24">
        <v>8.9151611328125</v>
      </c>
      <c r="E18" s="2">
        <v>-0.48931548828365401</v>
      </c>
      <c r="F18" s="2">
        <v>-0.17901237766387501</v>
      </c>
      <c r="G18" s="15">
        <v>-0.37457649709720198</v>
      </c>
      <c r="H18" s="16">
        <v>0.37406377938739999</v>
      </c>
      <c r="I18" s="17">
        <v>0.40995765612805102</v>
      </c>
      <c r="J18" s="18">
        <v>144</v>
      </c>
      <c r="K18" s="19">
        <v>-0.499223809784617</v>
      </c>
      <c r="L18" s="18">
        <v>53</v>
      </c>
      <c r="M18" s="26">
        <v>131</v>
      </c>
      <c r="N18" s="28">
        <v>132</v>
      </c>
      <c r="O18" s="89">
        <v>136</v>
      </c>
      <c r="P18" s="28">
        <v>12</v>
      </c>
      <c r="Q18" s="28">
        <v>13</v>
      </c>
      <c r="R18" s="28">
        <v>19</v>
      </c>
      <c r="S18" s="100">
        <v>-0.219567636356261</v>
      </c>
      <c r="T18" s="6">
        <v>13</v>
      </c>
      <c r="U18" s="41">
        <v>-0.32081916463792698</v>
      </c>
      <c r="V18" s="96">
        <v>19</v>
      </c>
      <c r="W18" s="99">
        <v>12</v>
      </c>
      <c r="X18" s="41">
        <v>0.75725646890587495</v>
      </c>
      <c r="Y18" s="6">
        <v>144</v>
      </c>
      <c r="Z18" s="41">
        <v>0.75725646890587495</v>
      </c>
      <c r="AA18" s="86">
        <v>144</v>
      </c>
      <c r="AB18" s="93">
        <v>13</v>
      </c>
      <c r="AC18" s="41">
        <v>0.91351383761031801</v>
      </c>
      <c r="AD18" s="6">
        <v>144</v>
      </c>
      <c r="AE18" s="41">
        <v>0.91351383761031801</v>
      </c>
      <c r="AF18" s="86">
        <v>144</v>
      </c>
      <c r="AG18" s="93">
        <v>19</v>
      </c>
      <c r="AH18" s="41">
        <v>1.19877836563969</v>
      </c>
      <c r="AI18" s="6">
        <v>144</v>
      </c>
      <c r="AJ18" s="41">
        <v>1.19877836563969</v>
      </c>
      <c r="AK18" s="86">
        <v>144</v>
      </c>
      <c r="AL18" s="95">
        <v>12</v>
      </c>
      <c r="AM18" s="41">
        <v>0.75725646890587495</v>
      </c>
      <c r="AN18" s="6">
        <v>144</v>
      </c>
      <c r="AO18" s="41">
        <v>0.75725646890587495</v>
      </c>
      <c r="AP18" s="86">
        <v>144</v>
      </c>
      <c r="AQ18" s="93">
        <v>13</v>
      </c>
      <c r="AR18" s="41">
        <v>0.91351383761031801</v>
      </c>
      <c r="AS18" s="6">
        <v>144</v>
      </c>
      <c r="AT18" s="41">
        <v>0.91351383761031801</v>
      </c>
      <c r="AU18" s="91">
        <v>144</v>
      </c>
      <c r="AV18" s="99">
        <v>19</v>
      </c>
      <c r="AW18" s="41">
        <v>1.19877836563969</v>
      </c>
      <c r="AX18" s="6">
        <v>144</v>
      </c>
      <c r="AY18" s="41">
        <v>1.19877836563969</v>
      </c>
      <c r="AZ18" s="96">
        <v>144</v>
      </c>
    </row>
    <row r="19" spans="1:52" x14ac:dyDescent="0.3">
      <c r="A19" t="s">
        <v>20</v>
      </c>
      <c r="B19" s="25">
        <v>45474</v>
      </c>
      <c r="C19" s="25">
        <v>45505</v>
      </c>
      <c r="D19" s="24">
        <v>11.1988477706909</v>
      </c>
      <c r="E19" s="2">
        <v>-0.41970796535220301</v>
      </c>
      <c r="F19" s="2">
        <v>0.23202228518166801</v>
      </c>
      <c r="G19" s="15">
        <v>-0.20788415548091699</v>
      </c>
      <c r="H19" s="16">
        <v>-0.47357713970969301</v>
      </c>
      <c r="I19" s="17">
        <v>0.19413578125842201</v>
      </c>
      <c r="J19" s="18">
        <v>88</v>
      </c>
      <c r="K19" s="19">
        <v>-0.47357713970969301</v>
      </c>
      <c r="L19" s="18">
        <v>150</v>
      </c>
      <c r="M19" s="26">
        <v>88</v>
      </c>
      <c r="P19" s="28">
        <v>2</v>
      </c>
      <c r="Q19" s="28">
        <v>59</v>
      </c>
      <c r="R19" s="28">
        <v>148</v>
      </c>
      <c r="S19" s="100">
        <v>0.42552966539995002</v>
      </c>
      <c r="T19" s="6">
        <v>88</v>
      </c>
      <c r="U19" s="41">
        <v>0.42552966539995002</v>
      </c>
      <c r="V19" s="96">
        <v>88</v>
      </c>
      <c r="W19" s="99">
        <v>7</v>
      </c>
      <c r="X19" s="41">
        <v>0.42552966539995002</v>
      </c>
      <c r="Y19" s="6">
        <v>88</v>
      </c>
      <c r="Z19" s="41">
        <v>0.42552966539995002</v>
      </c>
      <c r="AA19" s="86">
        <v>88</v>
      </c>
      <c r="AB19" s="93">
        <v>59</v>
      </c>
      <c r="AC19" s="41">
        <v>0.52391315404417704</v>
      </c>
      <c r="AD19" s="6">
        <v>88</v>
      </c>
      <c r="AE19" s="41">
        <v>0.52391315404417704</v>
      </c>
      <c r="AF19" s="86">
        <v>88</v>
      </c>
      <c r="AG19" s="93">
        <v>148</v>
      </c>
      <c r="AH19" s="41">
        <v>-6.2082137687811199E-2</v>
      </c>
      <c r="AI19" s="6">
        <v>999</v>
      </c>
      <c r="AJ19" s="41">
        <v>-6.2082137687811199E-2</v>
      </c>
      <c r="AK19" s="86">
        <v>999</v>
      </c>
      <c r="AL19" s="95">
        <v>7</v>
      </c>
      <c r="AM19" s="41">
        <v>0.42552966539995002</v>
      </c>
      <c r="AN19" s="6">
        <v>88</v>
      </c>
      <c r="AO19" s="41">
        <v>0.42552966539995002</v>
      </c>
      <c r="AP19" s="86">
        <v>88</v>
      </c>
      <c r="AQ19" s="93">
        <v>59</v>
      </c>
      <c r="AR19" s="41">
        <v>0.52391315404417704</v>
      </c>
      <c r="AS19" s="6">
        <v>88</v>
      </c>
      <c r="AT19" s="41">
        <v>0.52391315404417704</v>
      </c>
      <c r="AU19" s="91">
        <v>88</v>
      </c>
      <c r="AV19" s="99">
        <v>148</v>
      </c>
      <c r="AW19" s="41">
        <v>-6.2082137687811199E-2</v>
      </c>
      <c r="AX19" s="6">
        <v>999</v>
      </c>
      <c r="AY19" s="41">
        <v>-6.2082137687811199E-2</v>
      </c>
      <c r="AZ19" s="96">
        <v>999</v>
      </c>
    </row>
    <row r="20" spans="1:52" x14ac:dyDescent="0.3">
      <c r="A20" t="s">
        <v>52</v>
      </c>
      <c r="B20" s="25">
        <v>45717</v>
      </c>
      <c r="C20" s="25">
        <v>45748</v>
      </c>
      <c r="D20" s="24">
        <v>34.909999847412102</v>
      </c>
      <c r="E20" s="2">
        <v>-1.8105103007556699E-2</v>
      </c>
      <c r="F20" s="2">
        <v>-8.3854686088145197E-2</v>
      </c>
      <c r="G20" s="15">
        <v>-0.113720977677082</v>
      </c>
      <c r="I20" s="17">
        <v>0</v>
      </c>
      <c r="J20" s="18">
        <v>0</v>
      </c>
      <c r="K20" s="19">
        <v>-0.19793755020380899</v>
      </c>
      <c r="L20" s="18">
        <v>36</v>
      </c>
      <c r="P20" s="28">
        <v>4</v>
      </c>
      <c r="S20" s="100">
        <v>9.3214689046893395E-2</v>
      </c>
      <c r="T20" s="6">
        <v>112</v>
      </c>
      <c r="U20" s="41">
        <v>9.3214689046893395E-2</v>
      </c>
      <c r="V20" s="96">
        <v>112</v>
      </c>
      <c r="W20" s="99">
        <v>7</v>
      </c>
      <c r="X20" s="41">
        <v>9.3214689046893395E-2</v>
      </c>
      <c r="Y20" s="6">
        <v>112</v>
      </c>
      <c r="Z20" s="41">
        <v>9.3214689046893395E-2</v>
      </c>
      <c r="AA20" s="86">
        <v>112</v>
      </c>
      <c r="AB20" s="93"/>
      <c r="AG20" s="93"/>
      <c r="AL20" s="95">
        <v>7</v>
      </c>
      <c r="AM20" s="41">
        <v>9.3214689046893395E-2</v>
      </c>
      <c r="AN20" s="6">
        <v>112</v>
      </c>
      <c r="AO20" s="41">
        <v>9.3214689046893395E-2</v>
      </c>
      <c r="AP20" s="86">
        <v>112</v>
      </c>
      <c r="AQ20" s="93"/>
      <c r="AV20" s="99"/>
    </row>
    <row r="21" spans="1:52" x14ac:dyDescent="0.3">
      <c r="A21" t="s">
        <v>9</v>
      </c>
      <c r="B21" s="25">
        <v>45444</v>
      </c>
      <c r="C21" s="25">
        <v>45474</v>
      </c>
      <c r="D21" s="24">
        <v>27.059999465942301</v>
      </c>
      <c r="E21" s="2">
        <v>-0.37201208238294198</v>
      </c>
      <c r="F21" s="2">
        <v>-3.2534854120558399E-2</v>
      </c>
      <c r="G21" s="15">
        <v>-0.36363637645198299</v>
      </c>
      <c r="H21" s="16">
        <v>-0.84331116575022003</v>
      </c>
      <c r="I21" s="17">
        <v>0.18588325151211599</v>
      </c>
      <c r="J21" s="18">
        <v>48</v>
      </c>
      <c r="K21" s="19">
        <v>-0.85809312675699301</v>
      </c>
      <c r="L21" s="18">
        <v>148</v>
      </c>
      <c r="M21" s="26">
        <v>44</v>
      </c>
      <c r="P21" s="28">
        <v>5</v>
      </c>
      <c r="Q21" s="28">
        <v>23</v>
      </c>
      <c r="R21" s="28">
        <v>51</v>
      </c>
      <c r="S21" s="100">
        <v>-0.213553989579022</v>
      </c>
      <c r="T21" s="6">
        <v>25</v>
      </c>
      <c r="U21" s="41">
        <v>0.264381450500355</v>
      </c>
      <c r="V21" s="96">
        <v>48</v>
      </c>
      <c r="W21" s="99">
        <v>7</v>
      </c>
      <c r="X21" s="41">
        <v>0.264381450500355</v>
      </c>
      <c r="Y21" s="6">
        <v>48</v>
      </c>
      <c r="Z21" s="41">
        <v>0.264381450500355</v>
      </c>
      <c r="AA21" s="86">
        <v>48</v>
      </c>
      <c r="AB21" s="93">
        <v>23</v>
      </c>
      <c r="AC21" s="41">
        <v>0.51367919800671302</v>
      </c>
      <c r="AD21" s="6">
        <v>48</v>
      </c>
      <c r="AE21" s="41">
        <v>0.51367919800671302</v>
      </c>
      <c r="AF21" s="86">
        <v>48</v>
      </c>
      <c r="AG21" s="93">
        <v>51</v>
      </c>
      <c r="AH21" s="41">
        <v>0.47413786273816499</v>
      </c>
      <c r="AI21" s="6">
        <v>113</v>
      </c>
      <c r="AJ21" s="41">
        <v>0.47413786273816499</v>
      </c>
      <c r="AK21" s="86">
        <v>113</v>
      </c>
      <c r="AL21" s="95">
        <v>7</v>
      </c>
      <c r="AM21" s="41">
        <v>0.264381450500355</v>
      </c>
      <c r="AN21" s="6">
        <v>48</v>
      </c>
      <c r="AO21" s="41">
        <v>0.264381450500355</v>
      </c>
      <c r="AP21" s="86">
        <v>48</v>
      </c>
      <c r="AQ21" s="93">
        <v>23</v>
      </c>
      <c r="AR21" s="41">
        <v>0.51367919800671302</v>
      </c>
      <c r="AS21" s="6">
        <v>48</v>
      </c>
      <c r="AT21" s="41">
        <v>0.51367919800671302</v>
      </c>
      <c r="AU21" s="91">
        <v>48</v>
      </c>
      <c r="AV21" s="99">
        <v>51</v>
      </c>
      <c r="AW21" s="41">
        <v>0.47413786273816499</v>
      </c>
      <c r="AX21" s="6">
        <v>113</v>
      </c>
      <c r="AY21" s="41">
        <v>0.47413786273816499</v>
      </c>
      <c r="AZ21" s="96">
        <v>113</v>
      </c>
    </row>
    <row r="22" spans="1:52" x14ac:dyDescent="0.3">
      <c r="A22" t="s">
        <v>53</v>
      </c>
      <c r="B22" s="25">
        <v>45536</v>
      </c>
      <c r="C22" s="25">
        <v>45566</v>
      </c>
      <c r="D22" s="24">
        <v>37.889999389648402</v>
      </c>
      <c r="E22" s="2">
        <v>0.324362061563159</v>
      </c>
      <c r="F22" s="2">
        <v>1.36436144184124E-2</v>
      </c>
      <c r="G22" s="15">
        <v>0.15017161607452401</v>
      </c>
      <c r="H22" s="16">
        <v>0.21483239695887299</v>
      </c>
      <c r="I22" s="17">
        <v>0.35814198768584699</v>
      </c>
      <c r="J22" s="18">
        <v>146</v>
      </c>
      <c r="K22" s="19">
        <v>-0.14621274755261299</v>
      </c>
      <c r="L22" s="18">
        <v>22</v>
      </c>
      <c r="M22" s="26">
        <v>26</v>
      </c>
      <c r="N22" s="28">
        <v>86</v>
      </c>
      <c r="O22" s="89">
        <v>86</v>
      </c>
      <c r="P22" s="28">
        <v>16</v>
      </c>
      <c r="S22" s="100">
        <v>0.45203163314149702</v>
      </c>
      <c r="T22" s="6">
        <v>146</v>
      </c>
      <c r="U22" s="41">
        <v>0.45203163314149702</v>
      </c>
      <c r="V22" s="96">
        <v>146</v>
      </c>
      <c r="W22" s="99">
        <v>16</v>
      </c>
      <c r="X22" s="41">
        <v>0.52248521437978401</v>
      </c>
      <c r="Y22" s="6">
        <v>146</v>
      </c>
      <c r="Z22" s="41">
        <v>0.52248521437978401</v>
      </c>
      <c r="AA22" s="86">
        <v>146</v>
      </c>
      <c r="AB22" s="93"/>
      <c r="AG22" s="93"/>
      <c r="AL22" s="95">
        <v>16</v>
      </c>
      <c r="AM22" s="41">
        <v>0.52248521437978401</v>
      </c>
      <c r="AN22" s="6">
        <v>146</v>
      </c>
      <c r="AO22" s="41">
        <v>0.52248521437978401</v>
      </c>
      <c r="AP22" s="86">
        <v>146</v>
      </c>
      <c r="AQ22" s="93">
        <v>86</v>
      </c>
      <c r="AR22" s="41">
        <v>3.1675982007294198E-2</v>
      </c>
      <c r="AS22" s="6">
        <v>146</v>
      </c>
      <c r="AT22" s="41">
        <v>3.1675982007294198E-2</v>
      </c>
      <c r="AU22" s="91">
        <v>146</v>
      </c>
      <c r="AV22" s="99">
        <v>86</v>
      </c>
      <c r="AW22" s="41">
        <v>3.1675982007294198E-2</v>
      </c>
      <c r="AX22" s="6">
        <v>146</v>
      </c>
      <c r="AY22" s="41">
        <v>3.1675982007294198E-2</v>
      </c>
      <c r="AZ22" s="96">
        <v>146</v>
      </c>
    </row>
    <row r="23" spans="1:52" x14ac:dyDescent="0.3">
      <c r="A23" t="s">
        <v>54</v>
      </c>
      <c r="B23" s="25">
        <v>45627</v>
      </c>
      <c r="C23" s="25">
        <v>45658</v>
      </c>
      <c r="D23" s="24">
        <v>19.675000190734799</v>
      </c>
      <c r="E23" s="7">
        <v>-0.115730328506298</v>
      </c>
      <c r="F23" s="7">
        <v>0.26608753146925701</v>
      </c>
      <c r="G23" s="13">
        <v>-0.44040660116148</v>
      </c>
      <c r="H23" s="14">
        <v>-0.234053390153418</v>
      </c>
      <c r="I23" s="20">
        <v>0.26658194839708299</v>
      </c>
      <c r="J23" s="21">
        <v>11</v>
      </c>
      <c r="K23" s="22">
        <v>-0.53494284473556997</v>
      </c>
      <c r="L23" s="21">
        <v>65</v>
      </c>
      <c r="M23" s="27">
        <v>8</v>
      </c>
      <c r="N23" s="29">
        <v>10</v>
      </c>
      <c r="O23" s="90"/>
      <c r="P23" s="29">
        <v>18</v>
      </c>
      <c r="Q23" s="29">
        <v>35</v>
      </c>
      <c r="R23" s="29">
        <v>39</v>
      </c>
      <c r="S23" s="100">
        <v>-0.20483099141029601</v>
      </c>
      <c r="T23" s="6">
        <v>24</v>
      </c>
      <c r="U23" s="41">
        <v>-0.311594228271107</v>
      </c>
      <c r="V23" s="96">
        <v>35</v>
      </c>
      <c r="W23" s="99">
        <v>18</v>
      </c>
      <c r="X23" s="41">
        <v>-0.23599207128528399</v>
      </c>
      <c r="Y23" s="6">
        <v>999</v>
      </c>
      <c r="Z23" s="41">
        <v>-0.23599207128528399</v>
      </c>
      <c r="AA23" s="86">
        <v>999</v>
      </c>
      <c r="AB23" s="93">
        <v>35</v>
      </c>
      <c r="AC23" s="41">
        <v>0.214736804627535</v>
      </c>
      <c r="AD23" s="6">
        <v>141</v>
      </c>
      <c r="AE23" s="41">
        <v>0.214736804627535</v>
      </c>
      <c r="AF23" s="86">
        <v>141</v>
      </c>
      <c r="AG23" s="93">
        <v>39</v>
      </c>
      <c r="AH23" s="41">
        <v>0.26350362824354501</v>
      </c>
      <c r="AI23" s="6">
        <v>141</v>
      </c>
      <c r="AJ23" s="41">
        <v>0.26350362824354501</v>
      </c>
      <c r="AK23" s="86">
        <v>141</v>
      </c>
      <c r="AL23" s="95">
        <v>8</v>
      </c>
      <c r="AM23" s="41">
        <v>-0.37255078918268097</v>
      </c>
      <c r="AN23" s="6">
        <v>999</v>
      </c>
      <c r="AO23" s="41">
        <v>-0.37255078918268097</v>
      </c>
      <c r="AP23" s="86">
        <v>999</v>
      </c>
      <c r="AQ23" s="93">
        <v>10</v>
      </c>
      <c r="AR23" s="41">
        <v>-0.42293683229992601</v>
      </c>
      <c r="AS23" s="6">
        <v>999</v>
      </c>
      <c r="AT23" s="41">
        <v>-0.42293683229992601</v>
      </c>
      <c r="AU23" s="91">
        <v>999</v>
      </c>
      <c r="AV23" s="99">
        <v>39</v>
      </c>
      <c r="AW23" s="41">
        <v>0.26350362824354501</v>
      </c>
      <c r="AX23" s="6">
        <v>141</v>
      </c>
      <c r="AY23" s="41">
        <v>0.26350362824354501</v>
      </c>
      <c r="AZ23" s="96">
        <v>141</v>
      </c>
    </row>
    <row r="24" spans="1:52" x14ac:dyDescent="0.3">
      <c r="A24" t="s">
        <v>22</v>
      </c>
      <c r="B24" s="25">
        <v>45689</v>
      </c>
      <c r="C24" s="25">
        <v>45717</v>
      </c>
      <c r="D24" s="24">
        <v>13.4918217658996</v>
      </c>
      <c r="E24" s="2">
        <v>8.9317242538008407E-2</v>
      </c>
      <c r="F24" s="2">
        <v>-5.1068041421329098E-2</v>
      </c>
      <c r="G24" s="15">
        <v>-4.7818966020874099E-2</v>
      </c>
      <c r="I24" s="17">
        <v>0.21418537893769099</v>
      </c>
      <c r="J24" s="18">
        <v>14</v>
      </c>
      <c r="K24" s="19">
        <v>-0.13087066236178599</v>
      </c>
      <c r="L24" s="18">
        <v>110</v>
      </c>
      <c r="M24" s="26">
        <v>10</v>
      </c>
      <c r="N24" s="28">
        <v>14</v>
      </c>
      <c r="P24" s="28">
        <v>110</v>
      </c>
      <c r="S24" s="100">
        <v>1.9822870998313698E-2</v>
      </c>
      <c r="T24" s="6">
        <v>999</v>
      </c>
      <c r="U24" s="41">
        <v>1.9822870998313698E-2</v>
      </c>
      <c r="V24" s="96">
        <v>999</v>
      </c>
      <c r="W24" s="99">
        <v>110</v>
      </c>
      <c r="X24" s="41">
        <v>0.180330730492546</v>
      </c>
      <c r="Y24" s="6">
        <v>999</v>
      </c>
      <c r="Z24" s="41">
        <v>0.180330730492546</v>
      </c>
      <c r="AA24" s="86">
        <v>999</v>
      </c>
      <c r="AB24" s="93"/>
      <c r="AG24" s="93"/>
      <c r="AL24" s="95">
        <v>10</v>
      </c>
      <c r="AM24" s="41">
        <v>-6.0716371451379501E-2</v>
      </c>
      <c r="AN24" s="6">
        <v>999</v>
      </c>
      <c r="AO24" s="41">
        <v>-6.0716371451379501E-2</v>
      </c>
      <c r="AP24" s="86">
        <v>999</v>
      </c>
      <c r="AQ24" s="93">
        <v>14</v>
      </c>
      <c r="AR24" s="41">
        <v>-0.141843642043505</v>
      </c>
      <c r="AS24" s="6">
        <v>999</v>
      </c>
      <c r="AT24" s="41">
        <v>-0.141843642043505</v>
      </c>
      <c r="AU24" s="91">
        <v>999</v>
      </c>
      <c r="AV24" s="99"/>
    </row>
    <row r="25" spans="1:52" x14ac:dyDescent="0.3">
      <c r="A25" t="s">
        <v>55</v>
      </c>
      <c r="B25" s="25">
        <v>45717</v>
      </c>
      <c r="C25" s="25">
        <v>45748</v>
      </c>
      <c r="D25" s="24">
        <v>114.209999084472</v>
      </c>
      <c r="E25" s="2">
        <v>-2.7069295117070299E-3</v>
      </c>
      <c r="F25" s="2">
        <v>-0.20846902488941299</v>
      </c>
      <c r="G25" s="15">
        <v>0.28184918194599701</v>
      </c>
      <c r="I25" s="17">
        <v>0.34384026755854602</v>
      </c>
      <c r="J25" s="18">
        <v>64</v>
      </c>
      <c r="K25" s="19">
        <v>-0.245512662116285</v>
      </c>
      <c r="L25" s="18">
        <v>5</v>
      </c>
      <c r="M25" s="26">
        <v>28</v>
      </c>
      <c r="N25" s="28">
        <v>48</v>
      </c>
      <c r="O25" s="89">
        <v>58</v>
      </c>
      <c r="P25" s="28">
        <v>2</v>
      </c>
      <c r="Q25" s="28">
        <v>4</v>
      </c>
      <c r="S25" s="100">
        <v>0.740333274505936</v>
      </c>
      <c r="T25" s="6">
        <v>64</v>
      </c>
      <c r="U25" s="41">
        <v>0.740333274505936</v>
      </c>
      <c r="V25" s="96">
        <v>64</v>
      </c>
      <c r="W25" s="99">
        <v>7</v>
      </c>
      <c r="X25" s="41">
        <v>0.740333274505936</v>
      </c>
      <c r="Y25" s="6">
        <v>64</v>
      </c>
      <c r="Z25" s="41">
        <v>0.740333274505936</v>
      </c>
      <c r="AA25" s="86">
        <v>64</v>
      </c>
      <c r="AB25" s="93">
        <v>7</v>
      </c>
      <c r="AC25" s="41">
        <v>0.740333274505936</v>
      </c>
      <c r="AD25" s="6">
        <v>64</v>
      </c>
      <c r="AE25" s="41">
        <v>0.740333274505936</v>
      </c>
      <c r="AF25" s="86">
        <v>64</v>
      </c>
      <c r="AG25" s="93"/>
      <c r="AL25" s="95">
        <v>7</v>
      </c>
      <c r="AM25" s="41">
        <v>0.740333274505936</v>
      </c>
      <c r="AN25" s="6">
        <v>64</v>
      </c>
      <c r="AO25" s="41">
        <v>0.740333274505936</v>
      </c>
      <c r="AP25" s="86">
        <v>64</v>
      </c>
      <c r="AQ25" s="93">
        <v>7</v>
      </c>
      <c r="AR25" s="41">
        <v>0.740333274505936</v>
      </c>
      <c r="AS25" s="6">
        <v>64</v>
      </c>
      <c r="AT25" s="41">
        <v>0.740333274505936</v>
      </c>
      <c r="AU25" s="91">
        <v>64</v>
      </c>
      <c r="AV25" s="99">
        <v>58</v>
      </c>
      <c r="AW25" s="41">
        <v>-7.4948327709935994E-2</v>
      </c>
      <c r="AX25" s="6">
        <v>999</v>
      </c>
      <c r="AY25" s="41">
        <v>-7.4948327709935994E-2</v>
      </c>
      <c r="AZ25" s="96">
        <v>999</v>
      </c>
    </row>
    <row r="26" spans="1:52" x14ac:dyDescent="0.3">
      <c r="A26" t="s">
        <v>23</v>
      </c>
      <c r="B26" s="25">
        <v>45658</v>
      </c>
      <c r="C26" s="25">
        <v>45689</v>
      </c>
      <c r="D26" s="24">
        <v>65.209999084472599</v>
      </c>
      <c r="E26" s="2">
        <v>1.20006749079916</v>
      </c>
      <c r="F26" s="2">
        <v>3.7054675203224502E-2</v>
      </c>
      <c r="G26" s="15">
        <v>-0.409446421374004</v>
      </c>
      <c r="H26" s="16">
        <v>-5.5666267510841201E-2</v>
      </c>
      <c r="I26" s="17">
        <v>1.9168839404226201E-2</v>
      </c>
      <c r="J26" s="18">
        <v>2</v>
      </c>
      <c r="K26" s="19">
        <v>-0.62674435678095897</v>
      </c>
      <c r="L26" s="18">
        <v>53</v>
      </c>
      <c r="P26" s="28">
        <v>4</v>
      </c>
      <c r="Q26" s="28">
        <v>5</v>
      </c>
      <c r="R26" s="28">
        <v>5</v>
      </c>
      <c r="S26" s="100">
        <v>-0.235743545355551</v>
      </c>
      <c r="T26" s="6">
        <v>43</v>
      </c>
      <c r="U26" s="41">
        <v>-0.33587996891620298</v>
      </c>
      <c r="V26" s="96">
        <v>53</v>
      </c>
      <c r="W26" s="99">
        <v>7</v>
      </c>
      <c r="X26" s="41">
        <v>0.68021826104352101</v>
      </c>
      <c r="Y26" s="6">
        <v>150</v>
      </c>
      <c r="Z26" s="41">
        <v>0.68021826104352101</v>
      </c>
      <c r="AA26" s="86">
        <v>150</v>
      </c>
      <c r="AB26" s="93">
        <v>7</v>
      </c>
      <c r="AC26" s="41">
        <v>0.68021826104352101</v>
      </c>
      <c r="AD26" s="6">
        <v>150</v>
      </c>
      <c r="AE26" s="41">
        <v>0.68021826104352101</v>
      </c>
      <c r="AF26" s="86">
        <v>150</v>
      </c>
      <c r="AG26" s="93">
        <v>7</v>
      </c>
      <c r="AH26" s="41">
        <v>0.68021826104352101</v>
      </c>
      <c r="AI26" s="6">
        <v>150</v>
      </c>
      <c r="AJ26" s="41">
        <v>0.68021826104352101</v>
      </c>
      <c r="AK26" s="86">
        <v>150</v>
      </c>
      <c r="AL26" s="95">
        <v>7</v>
      </c>
      <c r="AM26" s="41">
        <v>0.68021826104352101</v>
      </c>
      <c r="AN26" s="6">
        <v>150</v>
      </c>
      <c r="AO26" s="41">
        <v>0.68021826104352101</v>
      </c>
      <c r="AP26" s="86">
        <v>150</v>
      </c>
      <c r="AQ26" s="93">
        <v>7</v>
      </c>
      <c r="AR26" s="41">
        <v>0.68021826104352101</v>
      </c>
      <c r="AS26" s="6">
        <v>150</v>
      </c>
      <c r="AT26" s="41">
        <v>0.68021826104352101</v>
      </c>
      <c r="AU26" s="91">
        <v>150</v>
      </c>
      <c r="AV26" s="99">
        <v>7</v>
      </c>
      <c r="AW26" s="41">
        <v>0.68021826104352101</v>
      </c>
      <c r="AX26" s="6">
        <v>150</v>
      </c>
      <c r="AY26" s="41">
        <v>0.68021826104352101</v>
      </c>
      <c r="AZ26" s="96">
        <v>150</v>
      </c>
    </row>
    <row r="27" spans="1:52" x14ac:dyDescent="0.3">
      <c r="A27" t="s">
        <v>24</v>
      </c>
      <c r="B27" s="25">
        <v>45627</v>
      </c>
      <c r="C27" s="25">
        <v>45658</v>
      </c>
      <c r="D27" s="24">
        <v>11.0050001144409</v>
      </c>
      <c r="E27" s="2">
        <v>-0.32773368660643998</v>
      </c>
      <c r="F27" s="2">
        <v>-3.6339751232971299E-2</v>
      </c>
      <c r="G27" s="15">
        <v>-0.27487506259977001</v>
      </c>
      <c r="H27" s="16">
        <v>-0.34666061040875001</v>
      </c>
      <c r="I27" s="17">
        <v>0.142208047624614</v>
      </c>
      <c r="J27" s="18">
        <v>2</v>
      </c>
      <c r="K27" s="19">
        <v>-0.34666061040875001</v>
      </c>
      <c r="L27" s="18">
        <v>150</v>
      </c>
      <c r="M27" s="26">
        <v>2</v>
      </c>
      <c r="P27" s="28">
        <v>39</v>
      </c>
      <c r="Q27" s="28">
        <v>47</v>
      </c>
      <c r="R27" s="28">
        <v>65</v>
      </c>
      <c r="S27" s="100">
        <v>-0.21869492614995101</v>
      </c>
      <c r="T27" s="6">
        <v>45</v>
      </c>
      <c r="U27" s="41">
        <v>-0.31834215916571801</v>
      </c>
      <c r="V27" s="96">
        <v>64</v>
      </c>
      <c r="W27" s="99">
        <v>39</v>
      </c>
      <c r="X27" s="41">
        <v>5.9365393708366201E-2</v>
      </c>
      <c r="Y27" s="6">
        <v>136</v>
      </c>
      <c r="Z27" s="41">
        <v>5.9365393708366201E-2</v>
      </c>
      <c r="AA27" s="86">
        <v>136</v>
      </c>
      <c r="AB27" s="93">
        <v>47</v>
      </c>
      <c r="AC27" s="41">
        <v>0.236559202267945</v>
      </c>
      <c r="AD27" s="6">
        <v>136</v>
      </c>
      <c r="AE27" s="41">
        <v>0.236559202267945</v>
      </c>
      <c r="AF27" s="86">
        <v>136</v>
      </c>
      <c r="AG27" s="93">
        <v>65</v>
      </c>
      <c r="AH27" s="41">
        <v>0.43153531869507</v>
      </c>
      <c r="AI27" s="6">
        <v>136</v>
      </c>
      <c r="AJ27" s="41">
        <v>0.43153531869507</v>
      </c>
      <c r="AK27" s="86">
        <v>136</v>
      </c>
      <c r="AL27" s="95">
        <v>7</v>
      </c>
      <c r="AM27" s="41">
        <v>-0.189600490196628</v>
      </c>
      <c r="AN27" s="6">
        <v>999</v>
      </c>
      <c r="AO27" s="41">
        <v>-0.189600490196628</v>
      </c>
      <c r="AP27" s="86">
        <v>999</v>
      </c>
      <c r="AQ27" s="93">
        <v>47</v>
      </c>
      <c r="AR27" s="41">
        <v>0.236559202267945</v>
      </c>
      <c r="AS27" s="6">
        <v>136</v>
      </c>
      <c r="AT27" s="41">
        <v>0.236559202267945</v>
      </c>
      <c r="AU27" s="91">
        <v>136</v>
      </c>
      <c r="AV27" s="99">
        <v>65</v>
      </c>
      <c r="AW27" s="41">
        <v>0.43153531869507</v>
      </c>
      <c r="AX27" s="6">
        <v>136</v>
      </c>
      <c r="AY27" s="41">
        <v>0.43153531869507</v>
      </c>
      <c r="AZ27" s="96">
        <v>136</v>
      </c>
    </row>
    <row r="28" spans="1:52" x14ac:dyDescent="0.3">
      <c r="A28" t="s">
        <v>10</v>
      </c>
      <c r="B28" s="25">
        <v>45413</v>
      </c>
      <c r="C28" s="25">
        <v>45444</v>
      </c>
      <c r="D28" s="24">
        <v>37.125</v>
      </c>
      <c r="E28" s="2">
        <v>0.158707832059029</v>
      </c>
      <c r="F28" s="2">
        <v>-8.2200264529681696E-2</v>
      </c>
      <c r="G28" s="15">
        <v>0.15151515151515099</v>
      </c>
      <c r="H28" s="16">
        <v>0.12619532318629001</v>
      </c>
      <c r="I28" s="17">
        <v>0.34868686046664499</v>
      </c>
      <c r="J28" s="18">
        <v>57</v>
      </c>
      <c r="K28" s="19">
        <v>-0.124848439637258</v>
      </c>
      <c r="L28" s="18">
        <v>14</v>
      </c>
      <c r="M28" s="26">
        <v>25</v>
      </c>
      <c r="N28" s="28">
        <v>29</v>
      </c>
      <c r="O28" s="89">
        <v>52</v>
      </c>
      <c r="P28" s="28">
        <v>13</v>
      </c>
      <c r="S28" s="100">
        <v>0.359489470690324</v>
      </c>
      <c r="T28" s="6">
        <v>57</v>
      </c>
      <c r="U28" s="41">
        <v>0.359489470690324</v>
      </c>
      <c r="V28" s="96">
        <v>57</v>
      </c>
      <c r="W28" s="99">
        <v>13</v>
      </c>
      <c r="X28" s="41">
        <v>0.504507257553513</v>
      </c>
      <c r="Y28" s="6">
        <v>57</v>
      </c>
      <c r="Z28" s="41">
        <v>0.504507257553513</v>
      </c>
      <c r="AA28" s="86">
        <v>57</v>
      </c>
      <c r="AB28" s="93"/>
      <c r="AG28" s="93"/>
      <c r="AL28" s="95">
        <v>13</v>
      </c>
      <c r="AM28" s="41">
        <v>0.504507257553513</v>
      </c>
      <c r="AN28" s="6">
        <v>57</v>
      </c>
      <c r="AO28" s="41">
        <v>0.504507257553513</v>
      </c>
      <c r="AP28" s="86">
        <v>57</v>
      </c>
      <c r="AQ28" s="93">
        <v>29</v>
      </c>
      <c r="AR28" s="41">
        <v>0.122394059846878</v>
      </c>
      <c r="AS28" s="6">
        <v>57</v>
      </c>
      <c r="AT28" s="41">
        <v>0.122394059846878</v>
      </c>
      <c r="AU28" s="91">
        <v>57</v>
      </c>
      <c r="AV28" s="99">
        <v>52</v>
      </c>
      <c r="AW28" s="41">
        <v>-0.13266966693110299</v>
      </c>
      <c r="AX28" s="6">
        <v>999</v>
      </c>
      <c r="AY28" s="41">
        <v>-0.13266966693110299</v>
      </c>
      <c r="AZ28" s="96">
        <v>999</v>
      </c>
    </row>
    <row r="29" spans="1:52" x14ac:dyDescent="0.3">
      <c r="A29" t="s">
        <v>25</v>
      </c>
      <c r="B29" s="25">
        <v>45717</v>
      </c>
      <c r="C29" s="25">
        <v>45748</v>
      </c>
      <c r="D29" s="24">
        <v>3.0299999713897701</v>
      </c>
      <c r="E29" s="2">
        <v>0.23673465812965899</v>
      </c>
      <c r="F29" s="2">
        <v>0.77192976830176196</v>
      </c>
      <c r="G29" s="15">
        <v>7.5907597770699498E-2</v>
      </c>
      <c r="I29" s="17">
        <v>0.36963700810332001</v>
      </c>
      <c r="J29" s="18">
        <v>68</v>
      </c>
      <c r="K29" s="19">
        <v>-0.363036314926867</v>
      </c>
      <c r="L29" s="18">
        <v>21</v>
      </c>
      <c r="M29" s="26">
        <v>65</v>
      </c>
      <c r="N29" s="28">
        <v>67</v>
      </c>
      <c r="O29" s="89">
        <v>67</v>
      </c>
      <c r="P29" s="28">
        <v>2</v>
      </c>
      <c r="Q29" s="28">
        <v>3</v>
      </c>
      <c r="R29" s="28">
        <v>8</v>
      </c>
      <c r="S29" s="100">
        <v>0.86936938823619103</v>
      </c>
      <c r="T29" s="6">
        <v>68</v>
      </c>
      <c r="U29" s="41">
        <v>0.86936938823619103</v>
      </c>
      <c r="V29" s="96">
        <v>68</v>
      </c>
      <c r="W29" s="99">
        <v>7</v>
      </c>
      <c r="X29" s="41">
        <v>0.86936938823619103</v>
      </c>
      <c r="Y29" s="6">
        <v>68</v>
      </c>
      <c r="Z29" s="41">
        <v>0.86936938823619103</v>
      </c>
      <c r="AA29" s="86">
        <v>68</v>
      </c>
      <c r="AB29" s="93">
        <v>7</v>
      </c>
      <c r="AC29" s="41">
        <v>0.86936938823619103</v>
      </c>
      <c r="AD29" s="6">
        <v>68</v>
      </c>
      <c r="AE29" s="41">
        <v>0.86936938823619103</v>
      </c>
      <c r="AF29" s="86">
        <v>68</v>
      </c>
      <c r="AG29" s="93">
        <v>8</v>
      </c>
      <c r="AH29" s="41">
        <v>1.0343138102795799</v>
      </c>
      <c r="AI29" s="6">
        <v>68</v>
      </c>
      <c r="AJ29" s="41">
        <v>1.0343138102795799</v>
      </c>
      <c r="AK29" s="86">
        <v>68</v>
      </c>
      <c r="AL29" s="95">
        <v>7</v>
      </c>
      <c r="AM29" s="41">
        <v>0.86936938823619103</v>
      </c>
      <c r="AN29" s="6">
        <v>68</v>
      </c>
      <c r="AO29" s="41">
        <v>0.86936938823619103</v>
      </c>
      <c r="AP29" s="86">
        <v>68</v>
      </c>
      <c r="AQ29" s="93">
        <v>7</v>
      </c>
      <c r="AR29" s="41">
        <v>0.86936938823619103</v>
      </c>
      <c r="AS29" s="6">
        <v>68</v>
      </c>
      <c r="AT29" s="41">
        <v>0.86936938823619103</v>
      </c>
      <c r="AU29" s="91">
        <v>68</v>
      </c>
      <c r="AV29" s="99">
        <v>8</v>
      </c>
      <c r="AW29" s="41">
        <v>1.0343138102795799</v>
      </c>
      <c r="AX29" s="6">
        <v>68</v>
      </c>
      <c r="AY29" s="41">
        <v>1.0343138102795799</v>
      </c>
      <c r="AZ29" s="96">
        <v>68</v>
      </c>
    </row>
    <row r="30" spans="1:52" x14ac:dyDescent="0.3">
      <c r="A30" t="s">
        <v>56</v>
      </c>
      <c r="B30" s="25">
        <v>45748</v>
      </c>
      <c r="C30" s="25">
        <v>45778</v>
      </c>
      <c r="D30" s="24">
        <v>4.38000011444091</v>
      </c>
      <c r="E30" s="2">
        <v>-0.402455639832205</v>
      </c>
      <c r="F30" s="2">
        <v>-0.21645796155958999</v>
      </c>
      <c r="G30" s="15">
        <v>0.35159815562004798</v>
      </c>
      <c r="I30" s="17">
        <v>0.75342457252856199</v>
      </c>
      <c r="J30" s="18">
        <v>56</v>
      </c>
      <c r="K30" s="19">
        <v>-0.12328771373571799</v>
      </c>
      <c r="L30" s="18">
        <v>3</v>
      </c>
      <c r="M30" s="26">
        <v>8</v>
      </c>
      <c r="N30" s="28">
        <v>8</v>
      </c>
      <c r="O30" s="89">
        <v>12</v>
      </c>
      <c r="P30" s="28">
        <v>3</v>
      </c>
      <c r="S30" s="100">
        <v>0.65161283243624701</v>
      </c>
      <c r="T30" s="6">
        <v>56</v>
      </c>
      <c r="U30" s="41">
        <v>0.65161283243624701</v>
      </c>
      <c r="V30" s="96">
        <v>56</v>
      </c>
      <c r="W30" s="99">
        <v>7</v>
      </c>
      <c r="X30" s="41">
        <v>0.65161283243624701</v>
      </c>
      <c r="Y30" s="6">
        <v>56</v>
      </c>
      <c r="Z30" s="41">
        <v>0.65161283243624701</v>
      </c>
      <c r="AA30" s="86">
        <v>56</v>
      </c>
      <c r="AB30" s="93"/>
      <c r="AG30" s="93"/>
      <c r="AL30" s="95">
        <v>7</v>
      </c>
      <c r="AM30" s="41">
        <v>0.65161283243624701</v>
      </c>
      <c r="AN30" s="6">
        <v>56</v>
      </c>
      <c r="AO30" s="41">
        <v>0.65161283243624701</v>
      </c>
      <c r="AP30" s="86">
        <v>56</v>
      </c>
      <c r="AQ30" s="93">
        <v>8</v>
      </c>
      <c r="AR30" s="41">
        <v>0.39636360515247598</v>
      </c>
      <c r="AS30" s="6">
        <v>56</v>
      </c>
      <c r="AT30" s="41">
        <v>0.39636360515247598</v>
      </c>
      <c r="AU30" s="91">
        <v>56</v>
      </c>
      <c r="AV30" s="99">
        <v>12</v>
      </c>
      <c r="AW30" s="41">
        <v>0.27999997138977001</v>
      </c>
      <c r="AX30" s="6">
        <v>56</v>
      </c>
      <c r="AY30" s="41">
        <v>0.27999997138977001</v>
      </c>
      <c r="AZ30" s="96">
        <v>56</v>
      </c>
    </row>
    <row r="31" spans="1:52" x14ac:dyDescent="0.3">
      <c r="A31" t="s">
        <v>26</v>
      </c>
      <c r="B31" s="25">
        <v>45505</v>
      </c>
      <c r="C31" s="25">
        <v>45536</v>
      </c>
      <c r="D31" s="24">
        <v>5.04500007629394</v>
      </c>
      <c r="E31" s="2">
        <v>-0.55248737357608801</v>
      </c>
      <c r="F31" s="2">
        <v>-0.37716051374079701</v>
      </c>
      <c r="G31" s="15">
        <v>-7.0366702419213695E-2</v>
      </c>
      <c r="H31" s="16">
        <v>-0.21506442452702801</v>
      </c>
      <c r="I31" s="17">
        <v>0.201189266825782</v>
      </c>
      <c r="J31" s="18">
        <v>28</v>
      </c>
      <c r="K31" s="19">
        <v>-0.38156593887486401</v>
      </c>
      <c r="L31" s="18">
        <v>131</v>
      </c>
      <c r="M31" s="26">
        <v>19</v>
      </c>
      <c r="N31" s="28">
        <v>28</v>
      </c>
      <c r="P31" s="28">
        <v>3</v>
      </c>
      <c r="Q31" s="28">
        <v>14</v>
      </c>
      <c r="R31" s="28">
        <v>105</v>
      </c>
      <c r="S31" s="100">
        <v>0.5</v>
      </c>
      <c r="T31" s="6">
        <v>28</v>
      </c>
      <c r="U31" s="41">
        <v>0.5</v>
      </c>
      <c r="V31" s="96">
        <v>28</v>
      </c>
      <c r="W31" s="99">
        <v>7</v>
      </c>
      <c r="X31" s="41">
        <v>9.9559964853455293E-2</v>
      </c>
      <c r="Y31" s="6">
        <v>999</v>
      </c>
      <c r="Z31" s="41">
        <v>9.9559964853455293E-2</v>
      </c>
      <c r="AA31" s="86">
        <v>999</v>
      </c>
      <c r="AB31" s="93">
        <v>14</v>
      </c>
      <c r="AC31" s="41">
        <v>0.107691473962217</v>
      </c>
      <c r="AD31" s="6">
        <v>999</v>
      </c>
      <c r="AE31" s="41">
        <v>0.107691473962217</v>
      </c>
      <c r="AF31" s="86">
        <v>999</v>
      </c>
      <c r="AG31" s="93">
        <v>105</v>
      </c>
      <c r="AH31" s="41">
        <v>0.42979935744485198</v>
      </c>
      <c r="AI31" s="6">
        <v>145</v>
      </c>
      <c r="AJ31" s="41">
        <v>0.42979935744485198</v>
      </c>
      <c r="AK31" s="86">
        <v>145</v>
      </c>
      <c r="AL31" s="95">
        <v>7</v>
      </c>
      <c r="AM31" s="41">
        <v>9.9559964853455293E-2</v>
      </c>
      <c r="AN31" s="6">
        <v>999</v>
      </c>
      <c r="AO31" s="41">
        <v>9.9559964853455293E-2</v>
      </c>
      <c r="AP31" s="86">
        <v>999</v>
      </c>
      <c r="AQ31" s="93">
        <v>14</v>
      </c>
      <c r="AR31" s="41">
        <v>0.107691473962217</v>
      </c>
      <c r="AS31" s="6">
        <v>999</v>
      </c>
      <c r="AT31" s="41">
        <v>0.107691473962217</v>
      </c>
      <c r="AU31" s="91">
        <v>999</v>
      </c>
      <c r="AV31" s="99">
        <v>105</v>
      </c>
      <c r="AW31" s="41">
        <v>0.42979935744485198</v>
      </c>
      <c r="AX31" s="6">
        <v>145</v>
      </c>
      <c r="AY31" s="41">
        <v>0.42979935744485198</v>
      </c>
      <c r="AZ31" s="96">
        <v>145</v>
      </c>
    </row>
    <row r="32" spans="1:52" x14ac:dyDescent="0.3">
      <c r="A32" t="s">
        <v>57</v>
      </c>
      <c r="B32" s="25">
        <v>45505</v>
      </c>
      <c r="C32" s="25">
        <v>45536</v>
      </c>
      <c r="D32" s="24">
        <v>18.027834892272899</v>
      </c>
      <c r="E32" s="2">
        <v>0.16522228876643499</v>
      </c>
      <c r="F32" s="2">
        <v>0.12995715816975101</v>
      </c>
      <c r="G32" s="15">
        <v>0.21270067984566801</v>
      </c>
      <c r="H32" s="16">
        <v>-0.31986798250381998</v>
      </c>
      <c r="I32" s="17">
        <v>0.467776616620524</v>
      </c>
      <c r="J32" s="18">
        <v>102</v>
      </c>
      <c r="K32" s="19">
        <v>-0.46662757349080602</v>
      </c>
      <c r="L32" s="18">
        <v>149</v>
      </c>
      <c r="M32" s="26">
        <v>23</v>
      </c>
      <c r="N32" s="28">
        <v>41</v>
      </c>
      <c r="O32" s="89">
        <v>95</v>
      </c>
      <c r="P32" s="28">
        <v>37</v>
      </c>
      <c r="Q32" s="28">
        <v>146</v>
      </c>
      <c r="R32" s="28">
        <v>146</v>
      </c>
      <c r="S32" s="100">
        <v>0.56868083501219302</v>
      </c>
      <c r="T32" s="6">
        <v>102</v>
      </c>
      <c r="U32" s="41">
        <v>0.56868083501219302</v>
      </c>
      <c r="V32" s="96">
        <v>102</v>
      </c>
      <c r="W32" s="99">
        <v>37</v>
      </c>
      <c r="X32" s="41">
        <v>0.63210959115549403</v>
      </c>
      <c r="Y32" s="6">
        <v>102</v>
      </c>
      <c r="Z32" s="41">
        <v>0.63210959115549403</v>
      </c>
      <c r="AA32" s="86">
        <v>102</v>
      </c>
      <c r="AB32" s="93">
        <v>146</v>
      </c>
      <c r="AC32" s="41">
        <v>-2.9794503808283301E-2</v>
      </c>
      <c r="AD32" s="6">
        <v>999</v>
      </c>
      <c r="AE32" s="41">
        <v>-2.9794503808283301E-2</v>
      </c>
      <c r="AF32" s="86">
        <v>999</v>
      </c>
      <c r="AG32" s="93">
        <v>146</v>
      </c>
      <c r="AH32" s="41">
        <v>-2.9794503808283301E-2</v>
      </c>
      <c r="AI32" s="6">
        <v>999</v>
      </c>
      <c r="AJ32" s="41">
        <v>-2.9794503808283301E-2</v>
      </c>
      <c r="AK32" s="86">
        <v>999</v>
      </c>
      <c r="AL32" s="95">
        <v>23</v>
      </c>
      <c r="AM32" s="41">
        <v>0.26907827952145802</v>
      </c>
      <c r="AN32" s="6">
        <v>102</v>
      </c>
      <c r="AO32" s="41">
        <v>0.26907827952145802</v>
      </c>
      <c r="AP32" s="86">
        <v>102</v>
      </c>
      <c r="AQ32" s="93">
        <v>41</v>
      </c>
      <c r="AR32" s="41">
        <v>0.21491707612431099</v>
      </c>
      <c r="AS32" s="6">
        <v>102</v>
      </c>
      <c r="AT32" s="41">
        <v>0.21491707612431099</v>
      </c>
      <c r="AU32" s="91">
        <v>102</v>
      </c>
      <c r="AV32" s="99">
        <v>95</v>
      </c>
      <c r="AW32" s="41">
        <v>-0.15494263378675399</v>
      </c>
      <c r="AX32" s="6">
        <v>999</v>
      </c>
      <c r="AY32" s="41">
        <v>-0.15494263378675399</v>
      </c>
      <c r="AZ32" s="96">
        <v>999</v>
      </c>
    </row>
    <row r="33" spans="1:52" x14ac:dyDescent="0.3">
      <c r="A33" t="s">
        <v>58</v>
      </c>
      <c r="B33" s="25">
        <v>45809</v>
      </c>
      <c r="C33" s="25">
        <v>45839</v>
      </c>
      <c r="D33" s="24">
        <v>5.2399997711181596</v>
      </c>
      <c r="E33" s="2">
        <v>-0.29093371234252602</v>
      </c>
      <c r="F33" s="2">
        <v>-3.4990803540889202E-2</v>
      </c>
      <c r="I33" s="17">
        <v>9.5420215494004205E-3</v>
      </c>
      <c r="J33" s="18">
        <v>2</v>
      </c>
      <c r="K33" s="19">
        <v>-0.33587782994675802</v>
      </c>
      <c r="L33" s="18">
        <v>28</v>
      </c>
      <c r="P33" s="28">
        <v>8</v>
      </c>
      <c r="Q33" s="28">
        <v>22</v>
      </c>
      <c r="R33" s="28">
        <v>28</v>
      </c>
      <c r="S33" s="100">
        <v>-0.211934193726765</v>
      </c>
      <c r="T33" s="6">
        <v>24</v>
      </c>
      <c r="U33" s="41">
        <v>6.5843556796945493E-2</v>
      </c>
      <c r="V33" s="96">
        <v>45</v>
      </c>
      <c r="W33" s="99">
        <v>8</v>
      </c>
      <c r="X33" s="41">
        <v>0.116379305472271</v>
      </c>
      <c r="Y33" s="6">
        <v>45</v>
      </c>
      <c r="Z33" s="41">
        <v>0.116379305472271</v>
      </c>
      <c r="AA33" s="86">
        <v>45</v>
      </c>
      <c r="AB33" s="93">
        <v>22</v>
      </c>
      <c r="AC33" s="41">
        <v>0.150456167606969</v>
      </c>
      <c r="AD33" s="6">
        <v>999</v>
      </c>
      <c r="AE33" s="41">
        <v>0.150456167606969</v>
      </c>
      <c r="AF33" s="86">
        <v>999</v>
      </c>
      <c r="AG33" s="93">
        <v>28</v>
      </c>
      <c r="AH33" s="41">
        <v>0.35620689470901201</v>
      </c>
      <c r="AI33" s="6">
        <v>999</v>
      </c>
      <c r="AJ33" s="41">
        <v>0.35620689470901201</v>
      </c>
      <c r="AK33" s="86">
        <v>999</v>
      </c>
      <c r="AL33" s="95">
        <v>8</v>
      </c>
      <c r="AM33" s="41">
        <v>0.116379305472271</v>
      </c>
      <c r="AN33" s="6">
        <v>45</v>
      </c>
      <c r="AO33" s="41">
        <v>0.116379305472271</v>
      </c>
      <c r="AP33" s="86">
        <v>45</v>
      </c>
      <c r="AQ33" s="93">
        <v>22</v>
      </c>
      <c r="AR33" s="41">
        <v>0.150456167606969</v>
      </c>
      <c r="AS33" s="6">
        <v>999</v>
      </c>
      <c r="AT33" s="41">
        <v>0.150456167606969</v>
      </c>
      <c r="AU33" s="91">
        <v>999</v>
      </c>
      <c r="AV33" s="99">
        <v>28</v>
      </c>
      <c r="AW33" s="41">
        <v>0.35620689470901201</v>
      </c>
      <c r="AX33" s="6">
        <v>999</v>
      </c>
      <c r="AY33" s="41">
        <v>0.35620689470901201</v>
      </c>
      <c r="AZ33" s="96">
        <v>999</v>
      </c>
    </row>
  </sheetData>
  <autoFilter ref="A4:AZ76" xr:uid="{A63CA558-3F40-463D-93F5-3E4C2572FE45}">
    <sortState xmlns:xlrd2="http://schemas.microsoft.com/office/spreadsheetml/2017/richdata2" ref="A5:AZ37">
      <sortCondition ref="A4:A76"/>
    </sortState>
  </autoFilter>
  <mergeCells count="29">
    <mergeCell ref="Z3:AA3"/>
    <mergeCell ref="S2:V2"/>
    <mergeCell ref="S3:T3"/>
    <mergeCell ref="U3:V3"/>
    <mergeCell ref="X3:Y3"/>
    <mergeCell ref="M2:O2"/>
    <mergeCell ref="P2:R2"/>
    <mergeCell ref="W2:AA2"/>
    <mergeCell ref="A1:R1"/>
    <mergeCell ref="B2:D2"/>
    <mergeCell ref="E2:F2"/>
    <mergeCell ref="G2:H2"/>
    <mergeCell ref="I2:L2"/>
    <mergeCell ref="AV2:AZ2"/>
    <mergeCell ref="AW3:AX3"/>
    <mergeCell ref="AY3:AZ3"/>
    <mergeCell ref="S1:AZ1"/>
    <mergeCell ref="AL2:AP2"/>
    <mergeCell ref="AM3:AN3"/>
    <mergeCell ref="AO3:AP3"/>
    <mergeCell ref="AQ2:AU2"/>
    <mergeCell ref="AR3:AS3"/>
    <mergeCell ref="AT3:AU3"/>
    <mergeCell ref="AB2:AF2"/>
    <mergeCell ref="AC3:AD3"/>
    <mergeCell ref="AE3:AF3"/>
    <mergeCell ref="AG2:AK2"/>
    <mergeCell ref="AH3:AI3"/>
    <mergeCell ref="AJ3:AK3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FF27B-8209-4416-BE0A-9D70B54548FC}">
  <dimension ref="A1:AG30"/>
  <sheetViews>
    <sheetView zoomScale="115" zoomScaleNormal="115"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V9" sqref="V9"/>
    </sheetView>
  </sheetViews>
  <sheetFormatPr defaultRowHeight="14.4" outlineLevelCol="1" x14ac:dyDescent="0.3"/>
  <cols>
    <col min="1" max="1" width="17.33203125" style="1" hidden="1" customWidth="1"/>
    <col min="3" max="4" width="11" style="25" customWidth="1"/>
    <col min="5" max="5" width="11" style="24" customWidth="1"/>
    <col min="6" max="7" width="9.88671875" style="2" hidden="1" customWidth="1" outlineLevel="1"/>
    <col min="8" max="8" width="9.88671875" style="15" hidden="1" customWidth="1" outlineLevel="1"/>
    <col min="9" max="9" width="9.88671875" style="16" hidden="1" customWidth="1" outlineLevel="1"/>
    <col min="10" max="10" width="6.88671875" style="17" hidden="1" customWidth="1" outlineLevel="1"/>
    <col min="11" max="11" width="12.33203125" style="18" hidden="1" customWidth="1" outlineLevel="1"/>
    <col min="12" max="12" width="6.6640625" style="19" hidden="1" customWidth="1" outlineLevel="1"/>
    <col min="13" max="13" width="12.109375" style="18" hidden="1" customWidth="1" outlineLevel="1"/>
    <col min="14" max="14" width="8.44140625" style="26" hidden="1" customWidth="1" outlineLevel="1"/>
    <col min="15" max="15" width="8.44140625" style="28" hidden="1" customWidth="1" outlineLevel="1"/>
    <col min="16" max="16" width="8.44140625" style="26" hidden="1" customWidth="1" outlineLevel="1"/>
    <col min="17" max="17" width="8.44140625" style="28" hidden="1" customWidth="1" outlineLevel="1"/>
    <col min="18" max="18" width="8.44140625" style="36" bestFit="1" customWidth="1" collapsed="1"/>
    <col min="19" max="19" width="8.21875" style="6" customWidth="1"/>
    <col min="20" max="20" width="13.5546875" style="37" customWidth="1"/>
    <col min="21" max="21" width="8.44140625" style="6" bestFit="1" customWidth="1"/>
    <col min="22" max="22" width="11" style="6" customWidth="1"/>
    <col min="23" max="23" width="9.44140625" style="38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3" t="s">
        <v>62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35"/>
      <c r="Q1" s="31"/>
      <c r="R1" s="116" t="s">
        <v>65</v>
      </c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</row>
    <row r="2" spans="1:33" s="34" customFormat="1" ht="30.6" customHeight="1" x14ac:dyDescent="0.3">
      <c r="A2" s="33"/>
      <c r="C2" s="139" t="s">
        <v>37</v>
      </c>
      <c r="D2" s="139"/>
      <c r="E2" s="139"/>
      <c r="F2" s="140" t="s">
        <v>30</v>
      </c>
      <c r="G2" s="140"/>
      <c r="H2" s="141" t="s">
        <v>31</v>
      </c>
      <c r="I2" s="142"/>
      <c r="J2" s="141" t="s">
        <v>59</v>
      </c>
      <c r="K2" s="143"/>
      <c r="L2" s="142"/>
      <c r="M2" s="143"/>
      <c r="N2" s="154" t="s">
        <v>63</v>
      </c>
      <c r="O2" s="154"/>
      <c r="P2" s="154" t="s">
        <v>64</v>
      </c>
      <c r="Q2" s="154"/>
      <c r="R2" s="155" t="s">
        <v>35</v>
      </c>
      <c r="S2" s="155"/>
      <c r="T2" s="156"/>
      <c r="U2" s="150" t="s">
        <v>69</v>
      </c>
      <c r="V2" s="151"/>
      <c r="W2" s="151"/>
      <c r="X2" s="148" t="s">
        <v>70</v>
      </c>
      <c r="Y2" s="149"/>
      <c r="Z2" s="149"/>
      <c r="AA2" s="150" t="s">
        <v>67</v>
      </c>
      <c r="AB2" s="151"/>
      <c r="AC2" s="151"/>
      <c r="AD2" s="152" t="s">
        <v>66</v>
      </c>
      <c r="AE2" s="149"/>
      <c r="AF2" s="149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72</v>
      </c>
      <c r="B4" t="s">
        <v>20</v>
      </c>
      <c r="C4" s="25">
        <v>45474</v>
      </c>
      <c r="D4" s="25">
        <v>45505</v>
      </c>
      <c r="E4" s="24">
        <v>11.1988477706909</v>
      </c>
      <c r="F4" s="2">
        <v>-0.41970790800001301</v>
      </c>
      <c r="G4" s="2">
        <v>0.23202228518166801</v>
      </c>
      <c r="H4" s="15">
        <v>-0.20788424063916999</v>
      </c>
      <c r="I4" s="16">
        <v>-0.473577097130567</v>
      </c>
      <c r="J4" s="17">
        <v>0.19413569610016901</v>
      </c>
      <c r="K4" s="18">
        <v>88</v>
      </c>
      <c r="L4" s="19">
        <v>-0.473577097130567</v>
      </c>
      <c r="M4" s="18">
        <v>150</v>
      </c>
      <c r="N4" s="26">
        <v>2</v>
      </c>
      <c r="O4" s="28">
        <v>59</v>
      </c>
      <c r="P4" s="26">
        <v>64</v>
      </c>
      <c r="Q4" s="28">
        <v>148</v>
      </c>
      <c r="R4" s="36">
        <v>7</v>
      </c>
      <c r="S4" s="6" t="s">
        <v>8</v>
      </c>
      <c r="T4" s="37">
        <v>0.42499999999999999</v>
      </c>
      <c r="U4" s="39">
        <f>O4</f>
        <v>59</v>
      </c>
      <c r="V4" s="6" t="s">
        <v>8</v>
      </c>
      <c r="W4" s="38">
        <v>0.52390000000000003</v>
      </c>
      <c r="X4" s="43">
        <f t="shared" ref="X4:X15" si="0">N4</f>
        <v>2</v>
      </c>
      <c r="Y4" s="6" t="s">
        <v>8</v>
      </c>
      <c r="Z4" s="41">
        <v>0.43</v>
      </c>
      <c r="AA4" s="43">
        <f>Q4</f>
        <v>148</v>
      </c>
      <c r="AB4" s="6" t="s">
        <v>6</v>
      </c>
      <c r="AC4" s="38" t="s">
        <v>6</v>
      </c>
      <c r="AD4" s="43">
        <f>P4</f>
        <v>64</v>
      </c>
      <c r="AE4" s="6" t="s">
        <v>8</v>
      </c>
      <c r="AF4" s="38">
        <v>0.60780000000000001</v>
      </c>
    </row>
    <row r="5" spans="1:33" x14ac:dyDescent="0.3">
      <c r="A5" s="1" t="s">
        <v>72</v>
      </c>
      <c r="B5" t="s">
        <v>16</v>
      </c>
      <c r="C5" s="25">
        <v>45474</v>
      </c>
      <c r="D5" s="25">
        <v>45505</v>
      </c>
      <c r="E5" s="24">
        <v>5.4499998092651296</v>
      </c>
      <c r="F5" s="2">
        <v>0.90559440880067998</v>
      </c>
      <c r="G5" s="2">
        <v>1.11317150771401E-2</v>
      </c>
      <c r="H5" s="15">
        <v>-0.36055045558511001</v>
      </c>
      <c r="I5" s="16">
        <v>-0.467889872135892</v>
      </c>
      <c r="J5" s="17">
        <v>0</v>
      </c>
      <c r="K5" s="18">
        <v>0</v>
      </c>
      <c r="L5" s="19">
        <v>-0.46972473283556698</v>
      </c>
      <c r="M5" s="18">
        <v>130</v>
      </c>
      <c r="N5" s="26">
        <v>2</v>
      </c>
      <c r="O5" s="28">
        <v>3</v>
      </c>
      <c r="P5" s="26">
        <v>27</v>
      </c>
      <c r="Q5" s="28">
        <v>66</v>
      </c>
      <c r="R5" s="36">
        <v>7</v>
      </c>
      <c r="S5" s="6" t="s">
        <v>71</v>
      </c>
      <c r="T5" s="37">
        <v>-0.29680000000000001</v>
      </c>
      <c r="U5" s="39" t="s">
        <v>6</v>
      </c>
      <c r="V5" s="6" t="s">
        <v>6</v>
      </c>
      <c r="W5" s="38" t="s">
        <v>6</v>
      </c>
      <c r="X5" s="43">
        <f t="shared" si="0"/>
        <v>2</v>
      </c>
      <c r="Y5" s="6" t="s">
        <v>71</v>
      </c>
      <c r="Z5" s="41">
        <v>-0.3</v>
      </c>
      <c r="AA5" s="43">
        <f>Q5</f>
        <v>66</v>
      </c>
      <c r="AB5" s="6" t="s">
        <v>71</v>
      </c>
      <c r="AC5" s="38">
        <v>-0.11</v>
      </c>
      <c r="AD5" s="43">
        <f>P5</f>
        <v>27</v>
      </c>
      <c r="AE5" s="6" t="s">
        <v>71</v>
      </c>
      <c r="AF5" s="38">
        <v>-0.2</v>
      </c>
    </row>
    <row r="6" spans="1:33" x14ac:dyDescent="0.3">
      <c r="A6" s="1" t="s">
        <v>72</v>
      </c>
      <c r="B6" t="s">
        <v>26</v>
      </c>
      <c r="C6" s="25">
        <v>45505</v>
      </c>
      <c r="D6" s="25">
        <v>45536</v>
      </c>
      <c r="E6" s="24">
        <v>5.04500007629394</v>
      </c>
      <c r="F6" s="2">
        <v>-0.55248737357608801</v>
      </c>
      <c r="G6" s="2">
        <v>-0.37716051374079701</v>
      </c>
      <c r="H6" s="15">
        <v>-7.0366702419213695E-2</v>
      </c>
      <c r="I6" s="16">
        <v>-0.21506442452702801</v>
      </c>
      <c r="J6" s="17">
        <v>0.201189266825782</v>
      </c>
      <c r="K6" s="18">
        <v>28</v>
      </c>
      <c r="L6" s="19">
        <v>-0.38156593887486401</v>
      </c>
      <c r="M6" s="18">
        <v>131</v>
      </c>
      <c r="N6" s="26">
        <v>3</v>
      </c>
      <c r="O6" s="28">
        <v>14</v>
      </c>
      <c r="P6" s="26">
        <v>104</v>
      </c>
      <c r="Q6" s="28">
        <v>131</v>
      </c>
      <c r="R6" s="36">
        <v>7</v>
      </c>
      <c r="S6" s="6" t="s">
        <v>8</v>
      </c>
      <c r="T6" s="37">
        <v>0.4</v>
      </c>
      <c r="U6" s="39">
        <f t="shared" ref="U6:U17" si="1">O6</f>
        <v>14</v>
      </c>
      <c r="V6" s="6" t="s">
        <v>8</v>
      </c>
      <c r="W6" s="38">
        <v>0.3</v>
      </c>
      <c r="X6" s="43">
        <f t="shared" si="0"/>
        <v>3</v>
      </c>
      <c r="Y6" s="6" t="s">
        <v>8</v>
      </c>
      <c r="Z6" s="41">
        <v>0.4</v>
      </c>
      <c r="AA6" s="43">
        <f>Q6</f>
        <v>131</v>
      </c>
      <c r="AB6" s="6" t="s">
        <v>8</v>
      </c>
      <c r="AC6" s="38">
        <v>0.3</v>
      </c>
      <c r="AD6" s="43">
        <f>P6</f>
        <v>104</v>
      </c>
      <c r="AE6" s="6" t="s">
        <v>8</v>
      </c>
      <c r="AF6" s="38">
        <v>0.3861</v>
      </c>
    </row>
    <row r="7" spans="1:33" x14ac:dyDescent="0.3">
      <c r="A7" s="1" t="s">
        <v>72</v>
      </c>
      <c r="B7" t="s">
        <v>14</v>
      </c>
      <c r="C7" s="25">
        <v>45536</v>
      </c>
      <c r="D7" s="25">
        <v>45566</v>
      </c>
      <c r="E7" s="24">
        <v>2.8099999427795401</v>
      </c>
      <c r="F7" s="2">
        <v>0.37073171128835197</v>
      </c>
      <c r="G7" s="2">
        <v>-0.242587624289339</v>
      </c>
      <c r="H7" s="15">
        <v>-0.23131667978110301</v>
      </c>
      <c r="I7" s="16">
        <v>0.46975096033478297</v>
      </c>
      <c r="J7" s="17">
        <v>1.32028473796949</v>
      </c>
      <c r="K7" s="18">
        <v>92</v>
      </c>
      <c r="L7" s="19">
        <v>-0.56939499544968297</v>
      </c>
      <c r="M7" s="18">
        <v>35</v>
      </c>
      <c r="N7" s="26">
        <v>27</v>
      </c>
      <c r="O7" s="28">
        <v>27</v>
      </c>
      <c r="P7" s="26">
        <v>27</v>
      </c>
      <c r="Q7" s="28">
        <v>27</v>
      </c>
      <c r="R7" s="36">
        <v>7</v>
      </c>
      <c r="S7" s="6" t="s">
        <v>8</v>
      </c>
      <c r="T7" s="37">
        <v>1.2030000000000001</v>
      </c>
      <c r="U7" s="39">
        <f t="shared" si="1"/>
        <v>27</v>
      </c>
      <c r="V7" s="6" t="s">
        <v>8</v>
      </c>
      <c r="W7" s="38">
        <v>2.6419999999999999</v>
      </c>
      <c r="X7" s="43">
        <f t="shared" si="0"/>
        <v>27</v>
      </c>
      <c r="Y7" s="6" t="s">
        <v>8</v>
      </c>
      <c r="Z7" s="41">
        <v>2.64</v>
      </c>
      <c r="AA7" s="43" t="s">
        <v>6</v>
      </c>
      <c r="AB7" s="6" t="s">
        <v>6</v>
      </c>
      <c r="AC7" s="38" t="s">
        <v>6</v>
      </c>
      <c r="AD7" s="43">
        <f>P7</f>
        <v>27</v>
      </c>
      <c r="AE7" s="6" t="s">
        <v>8</v>
      </c>
      <c r="AF7" s="41">
        <v>2.64</v>
      </c>
    </row>
    <row r="8" spans="1:33" x14ac:dyDescent="0.3">
      <c r="A8" s="1" t="s">
        <v>72</v>
      </c>
      <c r="B8" t="s">
        <v>9</v>
      </c>
      <c r="C8" s="25">
        <v>45536</v>
      </c>
      <c r="D8" s="25">
        <v>45566</v>
      </c>
      <c r="E8" s="24">
        <v>14.4799995422363</v>
      </c>
      <c r="F8" s="2">
        <v>-0.375053970886632</v>
      </c>
      <c r="G8" s="2">
        <v>-0.46171004655845099</v>
      </c>
      <c r="H8" s="15">
        <v>-0.58977898860464495</v>
      </c>
      <c r="I8" s="16">
        <v>-0.90676795120717502</v>
      </c>
      <c r="J8" s="17">
        <v>0.29903315335583902</v>
      </c>
      <c r="K8" s="18">
        <v>49</v>
      </c>
      <c r="L8" s="19">
        <v>-0.93191298232014197</v>
      </c>
      <c r="M8" s="18">
        <v>136</v>
      </c>
      <c r="N8" s="26">
        <v>55</v>
      </c>
      <c r="O8" s="28">
        <v>56</v>
      </c>
      <c r="P8" s="26">
        <v>15</v>
      </c>
      <c r="Q8" s="28">
        <v>55</v>
      </c>
      <c r="R8" s="36">
        <v>7</v>
      </c>
      <c r="S8" s="6" t="s">
        <v>71</v>
      </c>
      <c r="T8" s="37">
        <v>-0.93799999999999994</v>
      </c>
      <c r="U8" s="39">
        <f t="shared" si="1"/>
        <v>56</v>
      </c>
      <c r="V8" s="6" t="s">
        <v>71</v>
      </c>
      <c r="W8" s="38">
        <v>-0.90900000000000003</v>
      </c>
      <c r="X8" s="43">
        <f t="shared" si="0"/>
        <v>55</v>
      </c>
      <c r="Y8" s="6" t="s">
        <v>71</v>
      </c>
      <c r="Z8" s="40">
        <v>-0.91</v>
      </c>
      <c r="AA8" s="43">
        <f>Q8</f>
        <v>55</v>
      </c>
      <c r="AB8" s="6" t="s">
        <v>71</v>
      </c>
      <c r="AC8" s="38">
        <v>-0.91</v>
      </c>
      <c r="AD8" s="43">
        <f>P8</f>
        <v>15</v>
      </c>
      <c r="AE8" s="6" t="s">
        <v>8</v>
      </c>
      <c r="AF8" s="38">
        <v>0.34100000000000003</v>
      </c>
    </row>
    <row r="9" spans="1:33" x14ac:dyDescent="0.3">
      <c r="A9" s="1" t="s">
        <v>72</v>
      </c>
      <c r="B9" t="s">
        <v>15</v>
      </c>
      <c r="C9" s="25">
        <v>45597</v>
      </c>
      <c r="D9" s="25">
        <v>45627</v>
      </c>
      <c r="E9" s="24">
        <v>3.1800000667571999</v>
      </c>
      <c r="F9" s="2">
        <v>-0.41030216765528099</v>
      </c>
      <c r="G9" s="2">
        <v>-0.45360825206824001</v>
      </c>
      <c r="H9" s="15">
        <v>0.106918209758412</v>
      </c>
      <c r="I9" s="16">
        <v>-1.8867981112750402E-2</v>
      </c>
      <c r="J9" s="17">
        <v>0.298742147088215</v>
      </c>
      <c r="K9" s="18">
        <v>12</v>
      </c>
      <c r="L9" s="19">
        <v>-0.28616354299597802</v>
      </c>
      <c r="M9" s="18">
        <v>90</v>
      </c>
      <c r="N9" s="26">
        <v>61</v>
      </c>
      <c r="O9" s="28">
        <v>89</v>
      </c>
      <c r="P9" s="26">
        <v>55</v>
      </c>
      <c r="Q9" s="28">
        <v>64</v>
      </c>
      <c r="R9" s="36">
        <v>7</v>
      </c>
      <c r="S9" s="6" t="s">
        <v>71</v>
      </c>
      <c r="T9" s="37">
        <v>-0.34499999999999997</v>
      </c>
      <c r="U9" s="39">
        <f t="shared" si="1"/>
        <v>89</v>
      </c>
      <c r="V9" s="6" t="s">
        <v>8</v>
      </c>
      <c r="W9" s="38">
        <v>0.37859999999999999</v>
      </c>
      <c r="X9" s="43">
        <f t="shared" si="0"/>
        <v>61</v>
      </c>
      <c r="Y9" s="6" t="s">
        <v>71</v>
      </c>
      <c r="Z9" s="40">
        <v>-0.2</v>
      </c>
      <c r="AA9" s="43" t="s">
        <v>6</v>
      </c>
      <c r="AB9" s="6" t="s">
        <v>6</v>
      </c>
      <c r="AC9" s="38" t="s">
        <v>6</v>
      </c>
      <c r="AD9" s="43" t="s">
        <v>6</v>
      </c>
      <c r="AE9" s="6" t="s">
        <v>6</v>
      </c>
      <c r="AF9" s="40" t="s">
        <v>6</v>
      </c>
    </row>
    <row r="10" spans="1:33" x14ac:dyDescent="0.3">
      <c r="A10" s="1" t="s">
        <v>72</v>
      </c>
      <c r="B10" t="s">
        <v>23</v>
      </c>
      <c r="C10" s="25">
        <v>45658</v>
      </c>
      <c r="D10" s="25">
        <v>45689</v>
      </c>
      <c r="E10" s="24">
        <v>65.209999084472599</v>
      </c>
      <c r="F10" s="2">
        <v>1.20006749079916</v>
      </c>
      <c r="G10" s="2">
        <v>3.7054675203224502E-2</v>
      </c>
      <c r="H10" s="15">
        <v>-0.409446421374004</v>
      </c>
      <c r="I10" s="16">
        <v>-5.5666267510841201E-2</v>
      </c>
      <c r="J10" s="17">
        <v>1.9168839404226201E-2</v>
      </c>
      <c r="K10" s="18">
        <v>2</v>
      </c>
      <c r="L10" s="19">
        <v>-0.62674435678095897</v>
      </c>
      <c r="M10" s="18">
        <v>53</v>
      </c>
      <c r="N10" s="26">
        <v>4</v>
      </c>
      <c r="O10" s="28">
        <v>5</v>
      </c>
      <c r="P10" s="26">
        <v>22</v>
      </c>
      <c r="Q10" s="28">
        <v>43</v>
      </c>
      <c r="R10" s="36">
        <v>7</v>
      </c>
      <c r="S10" s="6" t="s">
        <v>8</v>
      </c>
      <c r="T10" s="37">
        <v>0.68</v>
      </c>
      <c r="U10" s="39">
        <f t="shared" si="1"/>
        <v>5</v>
      </c>
      <c r="V10" s="6" t="s">
        <v>8</v>
      </c>
      <c r="W10" s="38">
        <v>0.68</v>
      </c>
      <c r="X10" s="43">
        <f t="shared" si="0"/>
        <v>4</v>
      </c>
      <c r="Y10" s="6" t="s">
        <v>8</v>
      </c>
      <c r="Z10" s="41">
        <v>0.68</v>
      </c>
      <c r="AA10" s="43">
        <f t="shared" ref="AA10:AA15" si="2">Q10</f>
        <v>43</v>
      </c>
      <c r="AB10" s="6" t="s">
        <v>8</v>
      </c>
      <c r="AC10" s="38">
        <v>1.1990000000000001</v>
      </c>
      <c r="AD10" s="43">
        <f t="shared" ref="AD10:AD15" si="3">P10</f>
        <v>22</v>
      </c>
      <c r="AE10" s="6" t="s">
        <v>8</v>
      </c>
      <c r="AF10" s="38">
        <v>0.90500000000000003</v>
      </c>
    </row>
    <row r="11" spans="1:33" x14ac:dyDescent="0.3">
      <c r="A11" s="1" t="s">
        <v>72</v>
      </c>
      <c r="B11" t="s">
        <v>21</v>
      </c>
      <c r="C11" s="25">
        <v>45689</v>
      </c>
      <c r="D11" s="25">
        <v>45717</v>
      </c>
      <c r="E11" s="24">
        <v>16.454999923706001</v>
      </c>
      <c r="F11" s="2">
        <v>-0.26441666042110201</v>
      </c>
      <c r="G11" s="2">
        <v>-8.1374459095937494E-3</v>
      </c>
      <c r="H11" s="15">
        <v>-0.16134911852209999</v>
      </c>
      <c r="J11" s="17">
        <v>8.3561227977831207E-2</v>
      </c>
      <c r="K11" s="18">
        <v>15</v>
      </c>
      <c r="L11" s="19">
        <v>-0.26709204038084799</v>
      </c>
      <c r="M11" s="18">
        <v>44</v>
      </c>
      <c r="N11" s="26">
        <v>24</v>
      </c>
      <c r="O11" s="28">
        <v>26</v>
      </c>
      <c r="P11" s="26">
        <v>24</v>
      </c>
      <c r="Q11" s="28">
        <v>26</v>
      </c>
      <c r="R11" s="36">
        <v>7</v>
      </c>
      <c r="S11" s="6" t="s">
        <v>71</v>
      </c>
      <c r="T11" s="37">
        <v>-0.27089999999999997</v>
      </c>
      <c r="U11" s="39">
        <f t="shared" si="1"/>
        <v>26</v>
      </c>
      <c r="V11" s="6" t="s">
        <v>8</v>
      </c>
      <c r="W11" s="38">
        <v>0.35349999999999998</v>
      </c>
      <c r="X11" s="43">
        <f t="shared" si="0"/>
        <v>24</v>
      </c>
      <c r="Y11" s="6" t="s">
        <v>8</v>
      </c>
      <c r="Z11" s="41">
        <v>0.2661</v>
      </c>
      <c r="AA11" s="43">
        <f t="shared" si="2"/>
        <v>26</v>
      </c>
      <c r="AB11" s="6" t="s">
        <v>8</v>
      </c>
      <c r="AC11" s="38">
        <v>0.35</v>
      </c>
      <c r="AD11" s="43">
        <f t="shared" si="3"/>
        <v>24</v>
      </c>
      <c r="AE11" s="6" t="s">
        <v>8</v>
      </c>
      <c r="AF11" s="41">
        <v>0.27</v>
      </c>
    </row>
    <row r="12" spans="1:33" x14ac:dyDescent="0.3">
      <c r="A12" s="1" t="s">
        <v>72</v>
      </c>
      <c r="B12" t="s">
        <v>19</v>
      </c>
      <c r="C12" s="25">
        <v>45748</v>
      </c>
      <c r="D12" s="25">
        <v>45778</v>
      </c>
      <c r="E12" s="24">
        <v>4.9811348915100098</v>
      </c>
      <c r="F12" s="2">
        <v>-0.67470678387049299</v>
      </c>
      <c r="G12" s="2">
        <v>-0.212634735584877</v>
      </c>
      <c r="H12" s="15">
        <v>1.3994916044566199</v>
      </c>
      <c r="J12" s="17">
        <v>1.52352123935629</v>
      </c>
      <c r="K12" s="18">
        <v>83</v>
      </c>
      <c r="L12" s="19">
        <v>-1.5655649611049802E-2</v>
      </c>
      <c r="M12" s="18">
        <v>4</v>
      </c>
      <c r="R12" s="36">
        <v>7</v>
      </c>
      <c r="S12" s="6" t="s">
        <v>8</v>
      </c>
      <c r="T12" s="37">
        <v>1.0569999999999999</v>
      </c>
      <c r="U12" s="39">
        <f t="shared" si="1"/>
        <v>0</v>
      </c>
      <c r="V12" s="6" t="s">
        <v>6</v>
      </c>
      <c r="W12" s="38" t="s">
        <v>6</v>
      </c>
      <c r="X12" s="43">
        <f t="shared" si="0"/>
        <v>0</v>
      </c>
      <c r="Y12" s="6" t="s">
        <v>6</v>
      </c>
      <c r="Z12" s="40" t="s">
        <v>6</v>
      </c>
      <c r="AA12" s="43">
        <f t="shared" si="2"/>
        <v>0</v>
      </c>
      <c r="AB12" s="6" t="s">
        <v>6</v>
      </c>
      <c r="AC12" s="38" t="s">
        <v>6</v>
      </c>
      <c r="AD12" s="43">
        <f t="shared" si="3"/>
        <v>0</v>
      </c>
      <c r="AE12" s="6" t="s">
        <v>6</v>
      </c>
      <c r="AF12" s="38" t="s">
        <v>6</v>
      </c>
    </row>
    <row r="13" spans="1:33" x14ac:dyDescent="0.3">
      <c r="A13" s="1" t="s">
        <v>72</v>
      </c>
      <c r="B13" t="s">
        <v>24</v>
      </c>
      <c r="C13" s="25">
        <v>45748</v>
      </c>
      <c r="D13" s="25">
        <v>45778</v>
      </c>
      <c r="E13" s="24">
        <v>7.8299999237060502</v>
      </c>
      <c r="F13" s="2">
        <v>-0.35767020564082302</v>
      </c>
      <c r="G13" s="2">
        <v>-0.16790647708039799</v>
      </c>
      <c r="H13" s="15">
        <v>-8.3014061519910795E-2</v>
      </c>
      <c r="J13" s="17">
        <v>0.32183914205849901</v>
      </c>
      <c r="K13" s="18">
        <v>55</v>
      </c>
      <c r="L13" s="19">
        <v>-0.107279714019499</v>
      </c>
      <c r="M13" s="18">
        <v>81</v>
      </c>
      <c r="N13" s="26">
        <v>79</v>
      </c>
      <c r="P13" s="26">
        <v>14</v>
      </c>
      <c r="Q13" s="28">
        <v>69</v>
      </c>
      <c r="R13" s="36">
        <v>7</v>
      </c>
      <c r="S13" s="6" t="s">
        <v>71</v>
      </c>
      <c r="T13" s="37">
        <v>-0.24099999999999999</v>
      </c>
      <c r="U13" s="39">
        <f t="shared" si="1"/>
        <v>0</v>
      </c>
      <c r="V13" s="6" t="s">
        <v>6</v>
      </c>
      <c r="W13" s="45" t="s">
        <v>6</v>
      </c>
      <c r="X13" s="43">
        <f t="shared" si="0"/>
        <v>79</v>
      </c>
      <c r="Y13" s="6" t="s">
        <v>6</v>
      </c>
      <c r="Z13" s="41" t="s">
        <v>6</v>
      </c>
      <c r="AA13" s="43">
        <f t="shared" si="2"/>
        <v>69</v>
      </c>
      <c r="AB13" s="6" t="s">
        <v>6</v>
      </c>
      <c r="AC13" s="38" t="s">
        <v>6</v>
      </c>
      <c r="AD13" s="43">
        <f t="shared" si="3"/>
        <v>14</v>
      </c>
      <c r="AE13" s="6" t="s">
        <v>6</v>
      </c>
      <c r="AF13" s="38" t="s">
        <v>6</v>
      </c>
    </row>
    <row r="14" spans="1:33" x14ac:dyDescent="0.3">
      <c r="A14" s="1" t="s">
        <v>72</v>
      </c>
      <c r="B14" t="s">
        <v>25</v>
      </c>
      <c r="C14" s="25">
        <v>45748</v>
      </c>
      <c r="D14" s="25">
        <v>45778</v>
      </c>
      <c r="E14" s="24">
        <v>1.9299999475479099</v>
      </c>
      <c r="F14" s="2">
        <v>-0.15720524904018199</v>
      </c>
      <c r="G14" s="2">
        <v>-0.40432100559658102</v>
      </c>
      <c r="H14" s="15">
        <v>0.53886016027287797</v>
      </c>
      <c r="J14" s="17">
        <v>1.15025917520881</v>
      </c>
      <c r="K14" s="18">
        <v>47</v>
      </c>
      <c r="L14" s="19">
        <v>0</v>
      </c>
      <c r="M14" s="18">
        <v>0</v>
      </c>
      <c r="P14" s="26">
        <v>14</v>
      </c>
      <c r="R14" s="36">
        <v>7</v>
      </c>
      <c r="S14" s="6" t="s">
        <v>8</v>
      </c>
      <c r="T14" s="37">
        <v>0.65339999999999998</v>
      </c>
      <c r="U14" s="39">
        <f t="shared" si="1"/>
        <v>0</v>
      </c>
      <c r="V14" s="6" t="s">
        <v>6</v>
      </c>
      <c r="W14" s="38" t="s">
        <v>6</v>
      </c>
      <c r="X14" s="43">
        <f t="shared" si="0"/>
        <v>0</v>
      </c>
      <c r="Y14" s="6" t="s">
        <v>6</v>
      </c>
      <c r="Z14" s="38" t="s">
        <v>6</v>
      </c>
      <c r="AA14" s="43">
        <f t="shared" si="2"/>
        <v>0</v>
      </c>
      <c r="AB14" s="6" t="s">
        <v>6</v>
      </c>
      <c r="AC14" s="38" t="s">
        <v>6</v>
      </c>
      <c r="AD14" s="43">
        <f t="shared" si="3"/>
        <v>14</v>
      </c>
      <c r="AE14" s="6" t="s">
        <v>6</v>
      </c>
      <c r="AF14" s="38" t="s">
        <v>6</v>
      </c>
    </row>
    <row r="15" spans="1:33" x14ac:dyDescent="0.3">
      <c r="A15" s="1" t="s">
        <v>72</v>
      </c>
      <c r="B15" t="s">
        <v>17</v>
      </c>
      <c r="C15" s="25">
        <v>45778</v>
      </c>
      <c r="D15" s="25">
        <v>45809</v>
      </c>
      <c r="E15" s="24">
        <v>11.3049998283386</v>
      </c>
      <c r="F15" s="2">
        <v>4.5790877845264401E-2</v>
      </c>
      <c r="G15" s="2">
        <v>3.1478082937122398E-2</v>
      </c>
      <c r="J15" s="17">
        <v>5.6169815275264302E-2</v>
      </c>
      <c r="K15" s="18">
        <v>6</v>
      </c>
      <c r="L15" s="19">
        <v>-0.27023439847212999</v>
      </c>
      <c r="M15" s="18">
        <v>56</v>
      </c>
      <c r="N15" s="26">
        <v>14</v>
      </c>
      <c r="O15" s="28">
        <v>47</v>
      </c>
      <c r="P15" s="26">
        <v>11</v>
      </c>
      <c r="Q15" s="28">
        <v>47</v>
      </c>
      <c r="R15" s="36">
        <v>7</v>
      </c>
      <c r="S15" s="6" t="s">
        <v>6</v>
      </c>
      <c r="T15" s="37" t="s">
        <v>6</v>
      </c>
      <c r="U15" s="39">
        <f t="shared" si="1"/>
        <v>47</v>
      </c>
      <c r="V15" s="6" t="s">
        <v>6</v>
      </c>
      <c r="W15" s="41" t="s">
        <v>6</v>
      </c>
      <c r="X15" s="43">
        <f t="shared" si="0"/>
        <v>14</v>
      </c>
      <c r="Y15" s="6" t="s">
        <v>6</v>
      </c>
      <c r="Z15" s="45" t="s">
        <v>6</v>
      </c>
      <c r="AA15" s="43">
        <f t="shared" si="2"/>
        <v>47</v>
      </c>
      <c r="AB15" s="6" t="s">
        <v>6</v>
      </c>
      <c r="AC15" s="38" t="s">
        <v>6</v>
      </c>
      <c r="AD15" s="43">
        <f t="shared" si="3"/>
        <v>11</v>
      </c>
      <c r="AE15" s="6" t="s">
        <v>6</v>
      </c>
      <c r="AF15" s="38" t="s">
        <v>6</v>
      </c>
    </row>
    <row r="16" spans="1:33" x14ac:dyDescent="0.3">
      <c r="A16" s="1" t="s">
        <v>72</v>
      </c>
      <c r="B16" t="s">
        <v>18</v>
      </c>
      <c r="C16" s="25">
        <v>45809</v>
      </c>
      <c r="D16" s="25">
        <v>45839</v>
      </c>
      <c r="E16" s="24">
        <v>5.3600001335143999</v>
      </c>
      <c r="F16" s="2">
        <v>-0.34394123825445599</v>
      </c>
      <c r="G16" s="2">
        <v>0.147751615834669</v>
      </c>
      <c r="J16" s="17">
        <v>0.29477609782634301</v>
      </c>
      <c r="K16" s="18">
        <v>15</v>
      </c>
      <c r="L16" s="19">
        <v>-7.2761256270163804E-2</v>
      </c>
      <c r="M16" s="18">
        <v>47</v>
      </c>
      <c r="P16" s="26">
        <v>47</v>
      </c>
      <c r="R16" s="36">
        <v>7</v>
      </c>
      <c r="S16" s="6" t="s">
        <v>6</v>
      </c>
      <c r="T16" s="37" t="s">
        <v>6</v>
      </c>
      <c r="U16" s="39">
        <f t="shared" si="1"/>
        <v>0</v>
      </c>
      <c r="V16" s="6" t="s">
        <v>6</v>
      </c>
      <c r="W16" s="38" t="s">
        <v>6</v>
      </c>
      <c r="X16" s="43" t="s">
        <v>6</v>
      </c>
      <c r="Y16" s="6" t="s">
        <v>6</v>
      </c>
      <c r="Z16" s="41" t="s">
        <v>6</v>
      </c>
      <c r="AA16" s="43" t="s">
        <v>6</v>
      </c>
      <c r="AB16" s="6" t="s">
        <v>6</v>
      </c>
      <c r="AC16" s="38" t="s">
        <v>6</v>
      </c>
      <c r="AD16" s="43" t="s">
        <v>6</v>
      </c>
      <c r="AE16" s="6" t="s">
        <v>6</v>
      </c>
      <c r="AF16" s="38" t="s">
        <v>6</v>
      </c>
    </row>
    <row r="17" spans="1:33" x14ac:dyDescent="0.3">
      <c r="A17" s="1" t="s">
        <v>72</v>
      </c>
      <c r="B17" t="s">
        <v>22</v>
      </c>
      <c r="C17" s="25">
        <v>45809</v>
      </c>
      <c r="D17" s="25">
        <v>45839</v>
      </c>
      <c r="E17" s="24">
        <v>13.809911727905201</v>
      </c>
      <c r="F17" s="2">
        <v>-0.13392023180083101</v>
      </c>
      <c r="G17" s="2">
        <v>1.18566331315339E-2</v>
      </c>
      <c r="J17" s="17">
        <v>0.112455494338619</v>
      </c>
      <c r="K17" s="18">
        <v>15</v>
      </c>
      <c r="L17" s="19">
        <v>-0.15088971269566101</v>
      </c>
      <c r="M17" s="18">
        <v>27</v>
      </c>
      <c r="N17" s="26">
        <v>26</v>
      </c>
      <c r="P17" s="26">
        <v>26</v>
      </c>
      <c r="Q17" s="28">
        <v>27</v>
      </c>
      <c r="R17" s="36">
        <v>7</v>
      </c>
      <c r="S17" s="6" t="s">
        <v>6</v>
      </c>
      <c r="T17" s="37" t="s">
        <v>6</v>
      </c>
      <c r="U17" s="39">
        <f t="shared" si="1"/>
        <v>0</v>
      </c>
      <c r="V17" s="6" t="s">
        <v>6</v>
      </c>
      <c r="W17" s="40" t="s">
        <v>6</v>
      </c>
      <c r="X17" s="43">
        <f>N17</f>
        <v>26</v>
      </c>
      <c r="Y17" s="6" t="s">
        <v>6</v>
      </c>
      <c r="Z17" s="41" t="s">
        <v>6</v>
      </c>
      <c r="AA17" s="43">
        <f>Q17</f>
        <v>27</v>
      </c>
      <c r="AB17" s="6" t="s">
        <v>6</v>
      </c>
      <c r="AC17" s="38" t="s">
        <v>6</v>
      </c>
      <c r="AD17" s="43">
        <f>P17</f>
        <v>26</v>
      </c>
      <c r="AE17" s="6" t="s">
        <v>6</v>
      </c>
      <c r="AF17" s="41" t="s">
        <v>6</v>
      </c>
    </row>
    <row r="18" spans="1:33" s="42" customFormat="1" x14ac:dyDescent="0.3">
      <c r="A18" s="1"/>
      <c r="B18"/>
      <c r="C18" s="25"/>
      <c r="D18" s="25"/>
      <c r="E18" s="24"/>
      <c r="F18" s="2"/>
      <c r="G18" s="2"/>
      <c r="H18" s="15"/>
      <c r="I18" s="16"/>
      <c r="J18" s="17"/>
      <c r="K18" s="18"/>
      <c r="L18" s="19"/>
      <c r="M18" s="18"/>
      <c r="N18" s="26"/>
      <c r="O18" s="28"/>
      <c r="P18" s="26"/>
      <c r="Q18" s="28"/>
      <c r="R18" s="36"/>
      <c r="S18" s="6"/>
      <c r="T18" s="37"/>
      <c r="U18" s="39"/>
      <c r="V18" s="6"/>
      <c r="W18" s="40"/>
      <c r="X18" s="43"/>
      <c r="Y18" s="6"/>
      <c r="Z18" s="40"/>
      <c r="AA18" s="43"/>
      <c r="AB18" s="6"/>
      <c r="AC18" s="38"/>
      <c r="AD18" s="43"/>
      <c r="AE18" s="6"/>
      <c r="AF18" s="38"/>
    </row>
    <row r="19" spans="1:33" s="42" customFormat="1" x14ac:dyDescent="0.3">
      <c r="A19" s="1"/>
      <c r="B19"/>
      <c r="C19" s="25"/>
      <c r="D19" s="25"/>
      <c r="E19" s="24"/>
      <c r="F19" s="2"/>
      <c r="G19" s="2"/>
      <c r="H19" s="15"/>
      <c r="I19" s="16"/>
      <c r="J19" s="17"/>
      <c r="K19" s="18"/>
      <c r="L19" s="19"/>
      <c r="M19" s="18"/>
      <c r="N19" s="26"/>
      <c r="O19" s="28"/>
      <c r="P19" s="26"/>
      <c r="Q19" s="28"/>
      <c r="R19" s="36"/>
      <c r="S19" s="6" t="s">
        <v>89</v>
      </c>
      <c r="T19" s="53">
        <f>COUNT(T4:T17)</f>
        <v>11</v>
      </c>
      <c r="U19" s="47"/>
      <c r="V19" s="6" t="s">
        <v>89</v>
      </c>
      <c r="W19" s="75">
        <f>COUNT(W4:W17)</f>
        <v>7</v>
      </c>
      <c r="X19" s="48"/>
      <c r="Y19" s="47"/>
      <c r="Z19" s="53">
        <f>COUNT(Z4:Z17)</f>
        <v>8</v>
      </c>
      <c r="AA19" s="36"/>
      <c r="AB19" s="6"/>
      <c r="AC19" s="53">
        <f>COUNT(AC4:AC17)</f>
        <v>5</v>
      </c>
      <c r="AD19" s="36"/>
      <c r="AE19" s="6"/>
      <c r="AF19" s="53">
        <f>COUNT(AF4:AF17)</f>
        <v>7</v>
      </c>
    </row>
    <row r="20" spans="1:33" s="69" customFormat="1" x14ac:dyDescent="0.3">
      <c r="A20" s="3"/>
      <c r="B20" s="4"/>
      <c r="C20" s="54"/>
      <c r="D20" s="54"/>
      <c r="E20" s="55"/>
      <c r="F20" s="5"/>
      <c r="G20" s="5"/>
      <c r="H20" s="56"/>
      <c r="I20" s="57"/>
      <c r="J20" s="58"/>
      <c r="K20" s="59"/>
      <c r="L20" s="60"/>
      <c r="M20" s="59"/>
      <c r="N20" s="61"/>
      <c r="O20" s="62"/>
      <c r="P20" s="61"/>
      <c r="Q20" s="62"/>
      <c r="R20" s="63"/>
      <c r="S20" s="64" t="s">
        <v>81</v>
      </c>
      <c r="T20" s="66">
        <f>COUNTIF(S4:S17, "Win")/COUNT(T4:T17)</f>
        <v>0.54545454545454541</v>
      </c>
      <c r="U20" s="65"/>
      <c r="V20" s="64" t="s">
        <v>81</v>
      </c>
      <c r="W20" s="76">
        <f>COUNTIF(V4:V17, "Win")/COUNT(W4:W17)</f>
        <v>0.8571428571428571</v>
      </c>
      <c r="X20" s="67"/>
      <c r="Y20" s="65"/>
      <c r="Z20" s="66">
        <f>COUNTIF(Y4:Y17, "Win")/COUNT(Z4:Z17)</f>
        <v>0.625</v>
      </c>
      <c r="AA20" s="63"/>
      <c r="AB20" s="64"/>
      <c r="AC20" s="66">
        <f>COUNTIF(AB4:AB17, "Win")/COUNT(AC4:AC17)</f>
        <v>0.6</v>
      </c>
      <c r="AD20" s="63"/>
      <c r="AE20" s="64"/>
      <c r="AF20" s="66">
        <f>COUNTIF(AE4:AE17, "Win")/COUNT(AF4:AF17)</f>
        <v>0.8571428571428571</v>
      </c>
    </row>
    <row r="21" spans="1:33" s="42" customFormat="1" x14ac:dyDescent="0.3">
      <c r="A21" s="1"/>
      <c r="B21"/>
      <c r="C21" s="25"/>
      <c r="D21" s="25"/>
      <c r="E21" s="24"/>
      <c r="F21" s="2"/>
      <c r="G21" s="2"/>
      <c r="H21" s="15"/>
      <c r="I21" s="16"/>
      <c r="J21" s="17"/>
      <c r="K21" s="18"/>
      <c r="L21" s="19"/>
      <c r="M21" s="18"/>
      <c r="N21" s="26"/>
      <c r="O21" s="28"/>
      <c r="P21" s="26"/>
      <c r="Q21" s="28"/>
      <c r="R21" s="36"/>
      <c r="S21" s="6" t="s">
        <v>82</v>
      </c>
      <c r="T21" s="51">
        <f>AVERAGE(T4:T17)</f>
        <v>0.21151818181818183</v>
      </c>
      <c r="U21" s="47"/>
      <c r="V21" s="6" t="s">
        <v>82</v>
      </c>
      <c r="W21" s="77">
        <f>AVERAGE(W4:W17)</f>
        <v>0.56699999999999995</v>
      </c>
      <c r="X21" s="48"/>
      <c r="Y21" s="47"/>
      <c r="Z21" s="51">
        <f>AVERAGE(Z4:Z17)</f>
        <v>0.3757625</v>
      </c>
      <c r="AA21" s="36"/>
      <c r="AB21" s="6"/>
      <c r="AC21" s="51">
        <f>AVERAGE(AC4:AC17)</f>
        <v>0.1658</v>
      </c>
      <c r="AD21" s="36"/>
      <c r="AE21" s="6"/>
      <c r="AF21" s="51">
        <f>AVERAGE(AF4:AF17)</f>
        <v>0.70712857142857166</v>
      </c>
    </row>
    <row r="22" spans="1:33" s="42" customFormat="1" x14ac:dyDescent="0.3">
      <c r="A22" s="1"/>
      <c r="B22"/>
      <c r="C22" s="25"/>
      <c r="D22" s="25"/>
      <c r="E22" s="24"/>
      <c r="F22" s="2"/>
      <c r="G22" s="2"/>
      <c r="H22" s="15"/>
      <c r="I22" s="16"/>
      <c r="J22" s="17"/>
      <c r="K22" s="18"/>
      <c r="L22" s="19"/>
      <c r="M22" s="18"/>
      <c r="N22" s="26"/>
      <c r="O22" s="28"/>
      <c r="P22" s="26"/>
      <c r="Q22" s="28"/>
      <c r="R22" s="36"/>
      <c r="S22" s="6" t="s">
        <v>84</v>
      </c>
      <c r="T22" s="51">
        <f>_xlfn.STDEV.S(T4:T17)</f>
        <v>0.67236167769762401</v>
      </c>
      <c r="U22" s="47"/>
      <c r="V22" s="6" t="s">
        <v>84</v>
      </c>
      <c r="W22" s="77">
        <f>_xlfn.STDEV.S(W4:W17)</f>
        <v>1.0528685752109173</v>
      </c>
      <c r="X22" s="48"/>
      <c r="Y22" s="47"/>
      <c r="Z22" s="51">
        <f>_xlfn.STDEV.S(Z4:Z17)</f>
        <v>1.0471887235253117</v>
      </c>
      <c r="AA22" s="36"/>
      <c r="AB22" s="6"/>
      <c r="AC22" s="51">
        <f>_xlfn.STDEV.S(AC4:AC17)</f>
        <v>0.76695058510962755</v>
      </c>
      <c r="AD22" s="36"/>
      <c r="AE22" s="6"/>
      <c r="AF22" s="51">
        <f>_xlfn.STDEV.S(AF4:AF17)</f>
        <v>0.91615904135014625</v>
      </c>
    </row>
    <row r="23" spans="1:33" s="69" customFormat="1" x14ac:dyDescent="0.3">
      <c r="A23" s="3"/>
      <c r="B23" s="4"/>
      <c r="C23" s="54"/>
      <c r="D23" s="54"/>
      <c r="E23" s="55"/>
      <c r="F23" s="5"/>
      <c r="G23" s="5"/>
      <c r="H23" s="56"/>
      <c r="I23" s="57"/>
      <c r="J23" s="58"/>
      <c r="K23" s="59"/>
      <c r="L23" s="60"/>
      <c r="M23" s="59"/>
      <c r="N23" s="61"/>
      <c r="O23" s="62"/>
      <c r="P23" s="61"/>
      <c r="Q23" s="62"/>
      <c r="R23" s="63"/>
      <c r="S23" s="64" t="s">
        <v>83</v>
      </c>
      <c r="T23" s="71">
        <f>T21/T22</f>
        <v>0.31458988344262279</v>
      </c>
      <c r="U23" s="65"/>
      <c r="V23" s="64" t="s">
        <v>83</v>
      </c>
      <c r="W23" s="78">
        <f>W21/W22</f>
        <v>0.53852875216302754</v>
      </c>
      <c r="X23" s="67"/>
      <c r="Y23" s="65"/>
      <c r="Z23" s="71">
        <f>Z21/Z22</f>
        <v>0.35882978068653487</v>
      </c>
      <c r="AA23" s="63"/>
      <c r="AB23" s="64"/>
      <c r="AC23" s="71">
        <f>AC21/AC22</f>
        <v>0.21618081167028594</v>
      </c>
      <c r="AD23" s="63"/>
      <c r="AE23" s="64"/>
      <c r="AF23" s="71">
        <f>AF21/AF22</f>
        <v>0.77184041144916737</v>
      </c>
    </row>
    <row r="24" spans="1:33" s="42" customFormat="1" x14ac:dyDescent="0.3">
      <c r="A24" s="1"/>
      <c r="B24"/>
      <c r="C24" s="25"/>
      <c r="D24" s="25"/>
      <c r="E24" s="24"/>
      <c r="F24" s="2"/>
      <c r="G24" s="2"/>
      <c r="H24" s="15"/>
      <c r="I24" s="16"/>
      <c r="J24" s="17"/>
      <c r="K24" s="18"/>
      <c r="L24" s="19"/>
      <c r="M24" s="18"/>
      <c r="N24" s="26"/>
      <c r="O24" s="28"/>
      <c r="P24" s="26"/>
      <c r="Q24" s="28"/>
      <c r="R24" s="36"/>
      <c r="S24" s="6" t="s">
        <v>85</v>
      </c>
      <c r="T24" s="51" cm="1">
        <f t="array" ref="T24">STDEV(_xlfn._xlws.FILTER(T4:T17,T4:T17&lt;0))</f>
        <v>0.29299542317244476</v>
      </c>
      <c r="U24" s="47"/>
      <c r="V24" s="6" t="s">
        <v>85</v>
      </c>
      <c r="W24" s="77" t="e" cm="1">
        <f t="array" ref="W24">STDEV(_xlfn._xlws.FILTER(W4:W17,W4:W17&lt;0))</f>
        <v>#DIV/0!</v>
      </c>
      <c r="X24" s="48"/>
      <c r="Y24" s="47"/>
      <c r="Z24" s="51" cm="1">
        <f t="array" ref="Z24">STDEV(_xlfn._xlws.FILTER(Z4:Z17,Z4:Z17&lt;0))</f>
        <v>0.38431757701151276</v>
      </c>
      <c r="AA24" s="36"/>
      <c r="AB24" s="6"/>
      <c r="AC24" s="51" cm="1">
        <f t="array" ref="AC24">STDEV(_xlfn._xlws.FILTER(AC4:AC17,AC4:AC17&lt;0))</f>
        <v>0.56568542494923812</v>
      </c>
      <c r="AD24" s="36"/>
      <c r="AE24" s="6"/>
      <c r="AF24" s="51" t="e" cm="1">
        <f t="array" ref="AF24">STDEV(_xlfn._xlws.FILTER(AF4:AF17,AF4:AF17&lt;0))</f>
        <v>#DIV/0!</v>
      </c>
    </row>
    <row r="25" spans="1:33" s="4" customFormat="1" x14ac:dyDescent="0.3">
      <c r="A25" s="3"/>
      <c r="C25" s="54"/>
      <c r="D25" s="54"/>
      <c r="E25" s="55"/>
      <c r="F25" s="5"/>
      <c r="G25" s="5"/>
      <c r="H25" s="56"/>
      <c r="I25" s="57"/>
      <c r="J25" s="58"/>
      <c r="K25" s="59"/>
      <c r="L25" s="60"/>
      <c r="M25" s="59"/>
      <c r="N25" s="61"/>
      <c r="O25" s="62"/>
      <c r="P25" s="61"/>
      <c r="Q25" s="62"/>
      <c r="R25" s="63"/>
      <c r="S25" s="64" t="s">
        <v>86</v>
      </c>
      <c r="T25" s="71">
        <f>T20/T24</f>
        <v>1.8616486890770094</v>
      </c>
      <c r="U25" s="65"/>
      <c r="V25" s="64" t="s">
        <v>86</v>
      </c>
      <c r="W25" s="78" t="e">
        <f>W20/W24</f>
        <v>#DIV/0!</v>
      </c>
      <c r="X25" s="67"/>
      <c r="Y25" s="65"/>
      <c r="Z25" s="71">
        <f>Z20/Z24</f>
        <v>1.6262592121340245</v>
      </c>
      <c r="AA25" s="63"/>
      <c r="AB25" s="64"/>
      <c r="AC25" s="71">
        <f>AC20/AC24</f>
        <v>1.060660171779821</v>
      </c>
      <c r="AD25" s="63"/>
      <c r="AE25" s="64"/>
      <c r="AF25" s="71" t="e">
        <f>AF20/AF24</f>
        <v>#DIV/0!</v>
      </c>
      <c r="AG25" s="69"/>
    </row>
    <row r="26" spans="1:33" x14ac:dyDescent="0.3">
      <c r="S26" s="6" t="s">
        <v>87</v>
      </c>
      <c r="T26" s="51">
        <f>MIN(T4:T17)</f>
        <v>-0.93799999999999994</v>
      </c>
      <c r="U26" s="47"/>
      <c r="V26" s="6" t="s">
        <v>87</v>
      </c>
      <c r="W26" s="77">
        <f>MIN(W4:W17)</f>
        <v>-0.90900000000000003</v>
      </c>
      <c r="X26" s="48"/>
      <c r="Y26" s="47"/>
      <c r="Z26" s="51">
        <f>MIN(Z4:Z17)</f>
        <v>-0.91</v>
      </c>
      <c r="AC26" s="51">
        <f>MIN(AC4:AC17)</f>
        <v>-0.91</v>
      </c>
      <c r="AF26" s="51">
        <f>MIN(AF4:AF17)</f>
        <v>-0.2</v>
      </c>
    </row>
    <row r="27" spans="1:33" s="4" customFormat="1" x14ac:dyDescent="0.3">
      <c r="A27" s="3"/>
      <c r="C27" s="54"/>
      <c r="D27" s="54"/>
      <c r="E27" s="55"/>
      <c r="F27" s="5"/>
      <c r="G27" s="5"/>
      <c r="H27" s="56"/>
      <c r="I27" s="57"/>
      <c r="J27" s="58"/>
      <c r="K27" s="59"/>
      <c r="L27" s="60"/>
      <c r="M27" s="59"/>
      <c r="N27" s="61"/>
      <c r="O27" s="62"/>
      <c r="P27" s="61"/>
      <c r="Q27" s="62"/>
      <c r="R27" s="63"/>
      <c r="S27" s="64" t="s">
        <v>88</v>
      </c>
      <c r="T27" s="71" cm="1">
        <f t="array" ref="T27">(PRODUCT(IF(ISNUMBER(T4:T17),T4:T17+1,1)))^(1/T19)/ABS(T26)</f>
        <v>0.98018496596289872</v>
      </c>
      <c r="U27" s="65"/>
      <c r="V27" s="64" t="s">
        <v>88</v>
      </c>
      <c r="W27" s="78" cm="1">
        <f t="array" ref="W27">(PRODUCT(IF(ISNUMBER(W4:W17),W4:W17+1,1)))^(1/W19)/ABS(W26)</f>
        <v>1.219607172538689</v>
      </c>
      <c r="X27" s="67"/>
      <c r="Y27" s="65"/>
      <c r="Z27" s="71" cm="1">
        <f t="array" ref="Z27">(PRODUCT(IF(ISNUMBER(Z4:Z17),Z4:Z17+1,1)))^(1/Z19)/ABS(Z26)</f>
        <v>1.0655044507244962</v>
      </c>
      <c r="AA27" s="63"/>
      <c r="AB27" s="64"/>
      <c r="AC27" s="71" cm="1">
        <f t="array" ref="AC27">(PRODUCT(IF(ISNUMBER(AC4:AC17),AC4:AC17+1,1)))^(1/AC19)/ABS(AC26)</f>
        <v>0.86893157928871467</v>
      </c>
      <c r="AD27" s="63"/>
      <c r="AE27" s="64"/>
      <c r="AF27" s="71" cm="1">
        <f t="array" ref="AF27">(PRODUCT(IF(ISNUMBER(AF4:AF17),AF4:AF17+1,1)))^(1/AF19)/ABS(AF26)</f>
        <v>7.7271501715213047</v>
      </c>
      <c r="AG27" s="69"/>
    </row>
    <row r="28" spans="1:33" x14ac:dyDescent="0.3">
      <c r="T28" s="51"/>
      <c r="U28" s="47"/>
      <c r="V28" s="47"/>
      <c r="W28" s="52"/>
      <c r="X28" s="48"/>
      <c r="Y28" s="47"/>
    </row>
    <row r="29" spans="1:33" x14ac:dyDescent="0.3">
      <c r="T29" s="51"/>
      <c r="U29" s="47"/>
      <c r="V29" s="47"/>
      <c r="W29" s="52"/>
      <c r="X29" s="48"/>
      <c r="Y29" s="47"/>
    </row>
    <row r="30" spans="1:33" x14ac:dyDescent="0.3">
      <c r="T30" s="51"/>
      <c r="U30" s="47"/>
      <c r="V30" s="47"/>
      <c r="W30" s="52"/>
      <c r="X30" s="48"/>
      <c r="Y30" s="47"/>
    </row>
  </sheetData>
  <autoFilter ref="A3:AM17" xr:uid="{00000000-0001-0000-0000-000000000000}">
    <sortState xmlns:xlrd2="http://schemas.microsoft.com/office/spreadsheetml/2017/richdata2" ref="A4:AG17">
      <sortCondition ref="D3:D17"/>
    </sortState>
  </autoFilter>
  <mergeCells count="13">
    <mergeCell ref="X2:Z2"/>
    <mergeCell ref="AA2:AC2"/>
    <mergeCell ref="AD2:AF2"/>
    <mergeCell ref="A1:O1"/>
    <mergeCell ref="R1:AF1"/>
    <mergeCell ref="C2:E2"/>
    <mergeCell ref="F2:G2"/>
    <mergeCell ref="H2:I2"/>
    <mergeCell ref="J2:M2"/>
    <mergeCell ref="N2:O2"/>
    <mergeCell ref="P2:Q2"/>
    <mergeCell ref="R2:T2"/>
    <mergeCell ref="U2:W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5F2BB-BBCB-4A9A-8C3B-38EEB5CE4975}">
  <dimension ref="A1:AG21"/>
  <sheetViews>
    <sheetView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R12" sqref="R12"/>
    </sheetView>
  </sheetViews>
  <sheetFormatPr defaultRowHeight="14.4" outlineLevelCol="1" x14ac:dyDescent="0.3"/>
  <cols>
    <col min="1" max="1" width="17.33203125" style="1" hidden="1" customWidth="1"/>
    <col min="3" max="4" width="11" style="25" customWidth="1"/>
    <col min="5" max="5" width="11" style="24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8.44140625" style="26" customWidth="1" outlineLevel="1"/>
    <col min="15" max="15" width="8.44140625" style="28" customWidth="1" outlineLevel="1"/>
    <col min="16" max="16" width="8.44140625" style="26" customWidth="1" outlineLevel="1"/>
    <col min="17" max="17" width="8.44140625" style="28" customWidth="1" outlineLevel="1"/>
    <col min="18" max="18" width="8.44140625" style="36" bestFit="1" customWidth="1"/>
    <col min="19" max="19" width="8.21875" style="6" customWidth="1"/>
    <col min="20" max="20" width="13.5546875" style="37" customWidth="1"/>
    <col min="21" max="21" width="8.44140625" style="6" bestFit="1" customWidth="1"/>
    <col min="22" max="22" width="8.21875" style="6" bestFit="1" customWidth="1"/>
    <col min="23" max="23" width="9.44140625" style="38" bestFit="1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3" t="s">
        <v>62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35"/>
      <c r="Q1" s="31"/>
      <c r="R1" s="116" t="s">
        <v>65</v>
      </c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</row>
    <row r="2" spans="1:33" s="34" customFormat="1" ht="30.6" customHeight="1" x14ac:dyDescent="0.3">
      <c r="A2" s="33"/>
      <c r="C2" s="139" t="s">
        <v>37</v>
      </c>
      <c r="D2" s="139"/>
      <c r="E2" s="139"/>
      <c r="F2" s="140" t="s">
        <v>30</v>
      </c>
      <c r="G2" s="140"/>
      <c r="H2" s="141" t="s">
        <v>31</v>
      </c>
      <c r="I2" s="142"/>
      <c r="J2" s="141" t="s">
        <v>59</v>
      </c>
      <c r="K2" s="143"/>
      <c r="L2" s="142"/>
      <c r="M2" s="143"/>
      <c r="N2" s="154" t="s">
        <v>63</v>
      </c>
      <c r="O2" s="154"/>
      <c r="P2" s="154" t="s">
        <v>64</v>
      </c>
      <c r="Q2" s="154"/>
      <c r="R2" s="155" t="s">
        <v>35</v>
      </c>
      <c r="S2" s="155"/>
      <c r="T2" s="156"/>
      <c r="U2" s="150" t="s">
        <v>69</v>
      </c>
      <c r="V2" s="151"/>
      <c r="W2" s="151"/>
      <c r="X2" s="148" t="s">
        <v>70</v>
      </c>
      <c r="Y2" s="149"/>
      <c r="Z2" s="149"/>
      <c r="AA2" s="150" t="s">
        <v>67</v>
      </c>
      <c r="AB2" s="151"/>
      <c r="AC2" s="151"/>
      <c r="AD2" s="152" t="s">
        <v>66</v>
      </c>
      <c r="AE2" s="149"/>
      <c r="AF2" s="149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72</v>
      </c>
      <c r="B4" t="s">
        <v>38</v>
      </c>
      <c r="C4" s="25">
        <v>45047</v>
      </c>
      <c r="D4" s="25">
        <v>45078</v>
      </c>
      <c r="E4" s="24">
        <v>19.270000457763601</v>
      </c>
      <c r="F4" s="2">
        <v>0.12822017235597399</v>
      </c>
      <c r="G4" s="2">
        <v>-0.21507124005634201</v>
      </c>
      <c r="H4" s="15">
        <v>-5.7083567998906903E-2</v>
      </c>
      <c r="I4" s="16">
        <v>-0.55215361134233898</v>
      </c>
      <c r="J4" s="17">
        <v>9.3409402921697804E-2</v>
      </c>
      <c r="K4" s="18">
        <v>8</v>
      </c>
      <c r="L4" s="19">
        <v>-0.55215361134233898</v>
      </c>
      <c r="M4" s="18">
        <v>150</v>
      </c>
      <c r="N4" s="26">
        <v>12</v>
      </c>
      <c r="O4" s="28">
        <v>108</v>
      </c>
      <c r="P4" s="26">
        <v>9</v>
      </c>
      <c r="Q4" s="28">
        <v>14</v>
      </c>
      <c r="R4" s="36">
        <v>7</v>
      </c>
      <c r="U4" s="39">
        <f>O4</f>
        <v>108</v>
      </c>
      <c r="X4" s="43">
        <f>N4</f>
        <v>12</v>
      </c>
      <c r="AA4" s="43" t="s">
        <v>6</v>
      </c>
      <c r="AD4" s="43">
        <f>P4</f>
        <v>9</v>
      </c>
      <c r="AF4" s="41"/>
    </row>
    <row r="5" spans="1:33" x14ac:dyDescent="0.3">
      <c r="A5" s="1" t="s">
        <v>72</v>
      </c>
      <c r="B5" t="s">
        <v>11</v>
      </c>
      <c r="C5" s="25">
        <v>45566</v>
      </c>
      <c r="D5" s="25">
        <v>45597</v>
      </c>
      <c r="E5" s="24">
        <v>8</v>
      </c>
      <c r="F5" s="2">
        <v>-0.70046774777070298</v>
      </c>
      <c r="G5" s="2">
        <v>-0.18116687562252301</v>
      </c>
      <c r="H5" s="15">
        <v>0.36249995231628301</v>
      </c>
      <c r="I5" s="16">
        <v>-0.59999999403953497</v>
      </c>
      <c r="J5" s="17">
        <v>1.0374999046325599</v>
      </c>
      <c r="K5" s="18">
        <v>41</v>
      </c>
      <c r="L5" s="19">
        <v>-0.68874999880790699</v>
      </c>
      <c r="M5" s="18">
        <v>142</v>
      </c>
      <c r="N5" s="26">
        <v>103</v>
      </c>
      <c r="O5" s="28">
        <v>104</v>
      </c>
      <c r="P5" s="26">
        <v>100</v>
      </c>
      <c r="Q5" s="28">
        <v>103</v>
      </c>
      <c r="R5" s="36">
        <v>7</v>
      </c>
      <c r="U5" s="39">
        <f>O5</f>
        <v>104</v>
      </c>
      <c r="X5" s="43">
        <f>N5</f>
        <v>103</v>
      </c>
      <c r="AA5" s="43">
        <f>Q5</f>
        <v>103</v>
      </c>
      <c r="AD5" s="43">
        <f>P5</f>
        <v>100</v>
      </c>
    </row>
    <row r="6" spans="1:33" x14ac:dyDescent="0.3">
      <c r="A6" s="1" t="s">
        <v>72</v>
      </c>
      <c r="B6" t="s">
        <v>13</v>
      </c>
      <c r="C6" s="25">
        <v>45809</v>
      </c>
      <c r="D6" s="25">
        <v>45839</v>
      </c>
      <c r="E6" s="24">
        <v>6.3899998664855904</v>
      </c>
      <c r="F6" s="2">
        <v>-0.70805942665949995</v>
      </c>
      <c r="G6" s="2">
        <v>-0.132971510758598</v>
      </c>
      <c r="J6" s="17">
        <v>0.20344291359896999</v>
      </c>
      <c r="K6" s="18">
        <v>38</v>
      </c>
      <c r="L6" s="19">
        <v>-5.4773069162059797E-2</v>
      </c>
      <c r="M6" s="18">
        <v>9</v>
      </c>
      <c r="R6" s="36">
        <v>7</v>
      </c>
      <c r="U6" s="39">
        <f>O6</f>
        <v>0</v>
      </c>
      <c r="X6" s="43">
        <f>N6</f>
        <v>0</v>
      </c>
      <c r="Z6" s="40"/>
      <c r="AA6" s="43" t="s">
        <v>6</v>
      </c>
      <c r="AD6" s="43" t="s">
        <v>6</v>
      </c>
      <c r="AF6" s="40"/>
    </row>
    <row r="7" spans="1:33" x14ac:dyDescent="0.3">
      <c r="A7" s="1" t="s">
        <v>72</v>
      </c>
      <c r="B7" t="s">
        <v>12</v>
      </c>
      <c r="C7" s="25">
        <v>45809</v>
      </c>
      <c r="D7" s="25">
        <v>45839</v>
      </c>
      <c r="E7" s="24">
        <v>1.65999996662139</v>
      </c>
      <c r="F7" s="2">
        <v>-0.70357142948374396</v>
      </c>
      <c r="G7" s="2">
        <v>-0.112299485353736</v>
      </c>
      <c r="J7" s="17">
        <v>0.162650594190098</v>
      </c>
      <c r="K7" s="18">
        <v>15</v>
      </c>
      <c r="L7" s="19">
        <v>-8.4337342475871893E-2</v>
      </c>
      <c r="M7" s="18">
        <v>24</v>
      </c>
      <c r="R7" s="36">
        <v>7</v>
      </c>
      <c r="U7" s="39">
        <f>O7</f>
        <v>0</v>
      </c>
      <c r="X7" s="43" t="s">
        <v>6</v>
      </c>
      <c r="AA7" s="43" t="s">
        <v>6</v>
      </c>
      <c r="AD7" s="43" t="s">
        <v>6</v>
      </c>
    </row>
    <row r="8" spans="1:33" x14ac:dyDescent="0.3">
      <c r="A8" s="1" t="s">
        <v>72</v>
      </c>
      <c r="B8" t="s">
        <v>90</v>
      </c>
      <c r="C8" s="25">
        <v>45870</v>
      </c>
      <c r="D8" s="25">
        <v>45901</v>
      </c>
      <c r="E8" s="24">
        <v>44.799999237060497</v>
      </c>
      <c r="J8" s="17">
        <v>0</v>
      </c>
      <c r="K8" s="18">
        <v>0</v>
      </c>
      <c r="L8" s="19">
        <v>-4.8437459953128703E-2</v>
      </c>
      <c r="M8" s="18">
        <v>3</v>
      </c>
      <c r="R8" s="36">
        <v>7</v>
      </c>
      <c r="U8" s="39" t="s">
        <v>6</v>
      </c>
      <c r="X8" s="43">
        <f>N8</f>
        <v>0</v>
      </c>
      <c r="AA8" s="43">
        <f>Q8</f>
        <v>0</v>
      </c>
      <c r="AD8" s="43">
        <f>P8</f>
        <v>0</v>
      </c>
    </row>
    <row r="9" spans="1:33" s="42" customFormat="1" x14ac:dyDescent="0.3">
      <c r="A9" s="1"/>
      <c r="B9"/>
      <c r="C9" s="25"/>
      <c r="D9" s="25"/>
      <c r="E9" s="24"/>
      <c r="F9" s="2"/>
      <c r="G9" s="2"/>
      <c r="H9" s="15"/>
      <c r="I9" s="16"/>
      <c r="J9" s="17"/>
      <c r="K9" s="18"/>
      <c r="L9" s="19"/>
      <c r="M9" s="18"/>
      <c r="N9" s="26"/>
      <c r="O9" s="28"/>
      <c r="P9" s="26"/>
      <c r="Q9" s="28"/>
      <c r="R9" s="36"/>
      <c r="S9" s="6"/>
      <c r="T9" s="37"/>
      <c r="U9" s="39"/>
      <c r="V9" s="6"/>
      <c r="W9" s="40"/>
      <c r="X9" s="43"/>
      <c r="Y9" s="6"/>
      <c r="Z9" s="40"/>
      <c r="AA9" s="43"/>
      <c r="AB9" s="6"/>
      <c r="AC9" s="38"/>
      <c r="AD9" s="43"/>
      <c r="AE9" s="6"/>
      <c r="AF9" s="38"/>
    </row>
    <row r="10" spans="1:33" s="42" customFormat="1" x14ac:dyDescent="0.3">
      <c r="A10" s="1"/>
      <c r="B10"/>
      <c r="C10" s="25"/>
      <c r="D10" s="25"/>
      <c r="E10" s="24"/>
      <c r="F10" s="2"/>
      <c r="G10" s="2"/>
      <c r="H10" s="15"/>
      <c r="I10" s="16"/>
      <c r="J10" s="17"/>
      <c r="K10" s="18"/>
      <c r="L10" s="19"/>
      <c r="M10" s="18"/>
      <c r="N10" s="26"/>
      <c r="O10" s="28"/>
      <c r="P10" s="26"/>
      <c r="Q10" s="28"/>
      <c r="R10" s="36"/>
      <c r="S10" s="6" t="s">
        <v>89</v>
      </c>
      <c r="T10" s="46">
        <f>COUNT(T4:T8)</f>
        <v>0</v>
      </c>
      <c r="U10" s="47"/>
      <c r="V10" s="47"/>
      <c r="W10" s="53">
        <f>COUNT(W4:W8)</f>
        <v>0</v>
      </c>
      <c r="X10" s="48"/>
      <c r="Y10" s="47"/>
      <c r="Z10" s="41"/>
      <c r="AA10" s="36"/>
      <c r="AB10" s="6"/>
      <c r="AC10" s="38"/>
      <c r="AD10" s="36"/>
      <c r="AE10" s="6"/>
      <c r="AF10" s="38"/>
    </row>
    <row r="11" spans="1:33" s="69" customFormat="1" x14ac:dyDescent="0.3">
      <c r="A11" s="3"/>
      <c r="B11" s="4"/>
      <c r="C11" s="54"/>
      <c r="D11" s="54"/>
      <c r="E11" s="55"/>
      <c r="F11" s="5"/>
      <c r="G11" s="5"/>
      <c r="H11" s="56"/>
      <c r="I11" s="57"/>
      <c r="J11" s="58"/>
      <c r="K11" s="59"/>
      <c r="L11" s="60"/>
      <c r="M11" s="59"/>
      <c r="N11" s="61"/>
      <c r="O11" s="62"/>
      <c r="P11" s="61"/>
      <c r="Q11" s="62"/>
      <c r="R11" s="63"/>
      <c r="S11" s="64" t="s">
        <v>81</v>
      </c>
      <c r="T11" s="49" t="e">
        <f>COUNTIF(S4:S8, "Win")/COUNT(T4:T8)</f>
        <v>#DIV/0!</v>
      </c>
      <c r="U11" s="65"/>
      <c r="V11" s="65"/>
      <c r="W11" s="66" t="e">
        <f>COUNTIF(V4:V8, "Win")/COUNT(W4:W8)</f>
        <v>#DIV/0!</v>
      </c>
      <c r="X11" s="67"/>
      <c r="Y11" s="65"/>
      <c r="Z11" s="68">
        <f>COUNT(Z4:Z8)</f>
        <v>0</v>
      </c>
      <c r="AA11" s="63"/>
      <c r="AB11" s="64"/>
      <c r="AC11" s="68">
        <f>COUNT(AC4:AC8)</f>
        <v>0</v>
      </c>
      <c r="AD11" s="63"/>
      <c r="AE11" s="64"/>
      <c r="AF11" s="68">
        <f>COUNT(AF4:AF8)</f>
        <v>0</v>
      </c>
    </row>
    <row r="12" spans="1:33" s="42" customFormat="1" x14ac:dyDescent="0.3">
      <c r="A12" s="1"/>
      <c r="B12"/>
      <c r="C12" s="25"/>
      <c r="D12" s="25"/>
      <c r="E12" s="24"/>
      <c r="F12" s="2"/>
      <c r="G12" s="2"/>
      <c r="H12" s="15"/>
      <c r="I12" s="16"/>
      <c r="J12" s="17"/>
      <c r="K12" s="18"/>
      <c r="L12" s="19"/>
      <c r="M12" s="18"/>
      <c r="N12" s="26"/>
      <c r="O12" s="28"/>
      <c r="P12" s="26"/>
      <c r="Q12" s="28"/>
      <c r="R12" s="36"/>
      <c r="S12" s="6" t="s">
        <v>82</v>
      </c>
      <c r="T12" s="50" t="e">
        <f>AVERAGE(T4:T8)</f>
        <v>#DIV/0!</v>
      </c>
      <c r="U12" s="47"/>
      <c r="V12" s="47"/>
      <c r="W12" s="51" t="e">
        <f>AVERAGE(W4:W8)</f>
        <v>#DIV/0!</v>
      </c>
      <c r="X12" s="48"/>
      <c r="Y12" s="47"/>
      <c r="Z12" s="37" t="e">
        <f>AVERAGE(Z4:Z8)</f>
        <v>#DIV/0!</v>
      </c>
      <c r="AA12" s="36"/>
      <c r="AB12" s="6"/>
      <c r="AC12" s="37" t="e">
        <f>AVERAGE(AC4:AC8)</f>
        <v>#DIV/0!</v>
      </c>
      <c r="AD12" s="36"/>
      <c r="AE12" s="6"/>
      <c r="AF12" s="37" t="e">
        <f>AVERAGE(AF4:AF8)</f>
        <v>#DIV/0!</v>
      </c>
    </row>
    <row r="13" spans="1:33" s="42" customFormat="1" x14ac:dyDescent="0.3">
      <c r="A13" s="1"/>
      <c r="B13"/>
      <c r="C13" s="25"/>
      <c r="D13" s="25"/>
      <c r="E13" s="24"/>
      <c r="F13" s="2"/>
      <c r="G13" s="2"/>
      <c r="H13" s="15"/>
      <c r="I13" s="16"/>
      <c r="J13" s="17"/>
      <c r="K13" s="18"/>
      <c r="L13" s="19"/>
      <c r="M13" s="18"/>
      <c r="N13" s="26"/>
      <c r="O13" s="28"/>
      <c r="P13" s="26"/>
      <c r="Q13" s="28"/>
      <c r="R13" s="36"/>
      <c r="S13" s="6" t="s">
        <v>84</v>
      </c>
      <c r="T13" s="50" t="e">
        <f>_xlfn.STDEV.S(T4:T8)</f>
        <v>#DIV/0!</v>
      </c>
      <c r="U13" s="47"/>
      <c r="V13" s="47"/>
      <c r="W13" s="51" t="e">
        <f>_xlfn.STDEV.S(W4:W8)</f>
        <v>#DIV/0!</v>
      </c>
      <c r="X13" s="48"/>
      <c r="Y13" s="47"/>
      <c r="Z13" s="37" t="e">
        <f>_xlfn.STDEV.S(Z4:Z8)</f>
        <v>#DIV/0!</v>
      </c>
      <c r="AA13" s="36"/>
      <c r="AB13" s="6"/>
      <c r="AC13" s="37" t="e">
        <f>_xlfn.STDEV.S(AC4:AC8)</f>
        <v>#DIV/0!</v>
      </c>
      <c r="AD13" s="36"/>
      <c r="AE13" s="6"/>
      <c r="AF13" s="37" t="e">
        <f>_xlfn.STDEV.S(AF4:AF8)</f>
        <v>#DIV/0!</v>
      </c>
    </row>
    <row r="14" spans="1:33" s="69" customFormat="1" x14ac:dyDescent="0.3">
      <c r="A14" s="3"/>
      <c r="B14" s="4"/>
      <c r="C14" s="54"/>
      <c r="D14" s="54"/>
      <c r="E14" s="55"/>
      <c r="F14" s="5"/>
      <c r="G14" s="5"/>
      <c r="H14" s="56"/>
      <c r="I14" s="57"/>
      <c r="J14" s="58"/>
      <c r="K14" s="59"/>
      <c r="L14" s="60"/>
      <c r="M14" s="59"/>
      <c r="N14" s="61"/>
      <c r="O14" s="62"/>
      <c r="P14" s="61"/>
      <c r="Q14" s="62"/>
      <c r="R14" s="63"/>
      <c r="S14" s="64" t="s">
        <v>83</v>
      </c>
      <c r="T14" s="70" t="e">
        <f>T12/T13</f>
        <v>#DIV/0!</v>
      </c>
      <c r="U14" s="65"/>
      <c r="V14" s="65"/>
      <c r="W14" s="71" t="e">
        <f>W12/W13</f>
        <v>#DIV/0!</v>
      </c>
      <c r="X14" s="67"/>
      <c r="Y14" s="65"/>
      <c r="Z14" s="72" t="e">
        <f>Z12/Z13</f>
        <v>#DIV/0!</v>
      </c>
      <c r="AA14" s="63"/>
      <c r="AB14" s="64"/>
      <c r="AC14" s="72" t="e">
        <f>AC12/AC13</f>
        <v>#DIV/0!</v>
      </c>
      <c r="AD14" s="63"/>
      <c r="AE14" s="64"/>
      <c r="AF14" s="72" t="e">
        <f>AF12/AF13</f>
        <v>#DIV/0!</v>
      </c>
    </row>
    <row r="15" spans="1:33" s="42" customFormat="1" x14ac:dyDescent="0.3">
      <c r="A15" s="1"/>
      <c r="B15"/>
      <c r="C15" s="25"/>
      <c r="D15" s="25"/>
      <c r="E15" s="24"/>
      <c r="F15" s="2"/>
      <c r="G15" s="2"/>
      <c r="H15" s="15"/>
      <c r="I15" s="16"/>
      <c r="J15" s="17"/>
      <c r="K15" s="18"/>
      <c r="L15" s="19"/>
      <c r="M15" s="18"/>
      <c r="N15" s="26"/>
      <c r="O15" s="28"/>
      <c r="P15" s="26"/>
      <c r="Q15" s="28"/>
      <c r="R15" s="36"/>
      <c r="S15" s="6" t="s">
        <v>85</v>
      </c>
      <c r="T15" s="50" t="e" cm="1" vm="1">
        <f t="array" ref="T15">STDEV(_xlfn._xlws.FILTER(T4:T8,T4:T8&lt;0))</f>
        <v>#VALUE!</v>
      </c>
      <c r="U15" s="47"/>
      <c r="V15" s="47"/>
      <c r="W15" s="51" t="e" cm="1" vm="1">
        <f t="array" ref="W15">STDEV(_xlfn._xlws.FILTER(W4:W8,W4:W8&lt;0))</f>
        <v>#VALUE!</v>
      </c>
      <c r="X15" s="48"/>
      <c r="Y15" s="47"/>
      <c r="Z15" s="41"/>
      <c r="AA15" s="36"/>
      <c r="AB15" s="6"/>
      <c r="AC15" s="38"/>
      <c r="AD15" s="36"/>
      <c r="AE15" s="6"/>
      <c r="AF15" s="38"/>
    </row>
    <row r="16" spans="1:33" s="4" customFormat="1" x14ac:dyDescent="0.3">
      <c r="A16" s="3"/>
      <c r="C16" s="54"/>
      <c r="D16" s="54"/>
      <c r="E16" s="55"/>
      <c r="F16" s="5"/>
      <c r="G16" s="5"/>
      <c r="H16" s="56"/>
      <c r="I16" s="57"/>
      <c r="J16" s="58"/>
      <c r="K16" s="59"/>
      <c r="L16" s="60"/>
      <c r="M16" s="59"/>
      <c r="N16" s="61"/>
      <c r="O16" s="62"/>
      <c r="P16" s="61"/>
      <c r="Q16" s="62"/>
      <c r="R16" s="63"/>
      <c r="S16" s="64" t="s">
        <v>86</v>
      </c>
      <c r="T16" s="70" t="e">
        <f>T11/T15</f>
        <v>#DIV/0!</v>
      </c>
      <c r="U16" s="65"/>
      <c r="V16" s="65"/>
      <c r="W16" s="71" t="e">
        <f>W11/W15</f>
        <v>#DIV/0!</v>
      </c>
      <c r="X16" s="67"/>
      <c r="Y16" s="65"/>
      <c r="Z16" s="73"/>
      <c r="AA16" s="63"/>
      <c r="AB16" s="64"/>
      <c r="AC16" s="74"/>
      <c r="AD16" s="63"/>
      <c r="AE16" s="64"/>
      <c r="AF16" s="74"/>
      <c r="AG16" s="69"/>
    </row>
    <row r="17" spans="1:33" x14ac:dyDescent="0.3">
      <c r="S17" s="6" t="s">
        <v>87</v>
      </c>
      <c r="T17" s="50">
        <f>MIN(T4:T8)</f>
        <v>0</v>
      </c>
      <c r="U17" s="47"/>
      <c r="V17" s="47"/>
      <c r="W17" s="51">
        <f>MIN(W4:W8)</f>
        <v>0</v>
      </c>
      <c r="X17" s="48"/>
      <c r="Y17" s="47"/>
    </row>
    <row r="18" spans="1:33" s="4" customFormat="1" x14ac:dyDescent="0.3">
      <c r="A18" s="3"/>
      <c r="C18" s="54"/>
      <c r="D18" s="54"/>
      <c r="E18" s="55"/>
      <c r="F18" s="5"/>
      <c r="G18" s="5"/>
      <c r="H18" s="56"/>
      <c r="I18" s="57"/>
      <c r="J18" s="58"/>
      <c r="K18" s="59"/>
      <c r="L18" s="60"/>
      <c r="M18" s="59"/>
      <c r="N18" s="61"/>
      <c r="O18" s="62"/>
      <c r="P18" s="61"/>
      <c r="Q18" s="62"/>
      <c r="R18" s="63"/>
      <c r="S18" s="64" t="s">
        <v>88</v>
      </c>
      <c r="T18" s="70" t="e" cm="1">
        <f t="array" ref="T18">(PRODUCT(IF(ISNUMBER(T4:T8),T4:T8+1,1)))^(1/T10)/ABS(T17)</f>
        <v>#DIV/0!</v>
      </c>
      <c r="U18" s="65"/>
      <c r="V18" s="65"/>
      <c r="W18" s="71" t="e" cm="1">
        <f t="array" ref="W18">(PRODUCT(IF(ISNUMBER(W4:W8),W4:W8+1,1)))^(1/W10)/ABS(W17)</f>
        <v>#DIV/0!</v>
      </c>
      <c r="X18" s="67"/>
      <c r="Y18" s="65"/>
      <c r="Z18" s="73"/>
      <c r="AA18" s="63"/>
      <c r="AB18" s="64"/>
      <c r="AC18" s="74"/>
      <c r="AD18" s="63"/>
      <c r="AE18" s="64"/>
      <c r="AF18" s="74"/>
      <c r="AG18" s="69"/>
    </row>
    <row r="19" spans="1:33" x14ac:dyDescent="0.3">
      <c r="T19" s="51"/>
      <c r="U19" s="47"/>
      <c r="V19" s="47"/>
      <c r="W19" s="52"/>
      <c r="X19" s="48"/>
      <c r="Y19" s="47"/>
    </row>
    <row r="20" spans="1:33" x14ac:dyDescent="0.3">
      <c r="T20" s="51"/>
      <c r="U20" s="47"/>
      <c r="V20" s="47"/>
      <c r="W20" s="52"/>
      <c r="X20" s="48"/>
      <c r="Y20" s="47"/>
    </row>
    <row r="21" spans="1:33" x14ac:dyDescent="0.3">
      <c r="T21" s="51"/>
      <c r="U21" s="47"/>
      <c r="V21" s="47"/>
      <c r="W21" s="52"/>
      <c r="X21" s="48"/>
      <c r="Y21" s="47"/>
    </row>
  </sheetData>
  <autoFilter ref="A3:AM4" xr:uid="{00000000-0001-0000-0000-000000000000}">
    <sortState xmlns:xlrd2="http://schemas.microsoft.com/office/spreadsheetml/2017/richdata2" ref="A4:AG8">
      <sortCondition ref="D3:D4"/>
    </sortState>
  </autoFilter>
  <mergeCells count="13">
    <mergeCell ref="X2:Z2"/>
    <mergeCell ref="AA2:AC2"/>
    <mergeCell ref="AD2:AF2"/>
    <mergeCell ref="A1:O1"/>
    <mergeCell ref="R1:AF1"/>
    <mergeCell ref="C2:E2"/>
    <mergeCell ref="F2:G2"/>
    <mergeCell ref="H2:I2"/>
    <mergeCell ref="J2:M2"/>
    <mergeCell ref="N2:O2"/>
    <mergeCell ref="P2:Q2"/>
    <mergeCell ref="R2:T2"/>
    <mergeCell ref="U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DF07D-5085-41BC-A5CE-E6AE9B0FD1ED}">
  <dimension ref="A1:AG38"/>
  <sheetViews>
    <sheetView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R4" sqref="R4"/>
    </sheetView>
  </sheetViews>
  <sheetFormatPr defaultRowHeight="14.4" outlineLevelCol="1" x14ac:dyDescent="0.3"/>
  <cols>
    <col min="1" max="1" width="17.33203125" style="1" hidden="1" customWidth="1"/>
    <col min="3" max="4" width="11" style="25" customWidth="1"/>
    <col min="5" max="5" width="11" style="24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8.44140625" style="26" customWidth="1" outlineLevel="1"/>
    <col min="15" max="15" width="8.44140625" style="28" customWidth="1" outlineLevel="1"/>
    <col min="16" max="16" width="8.44140625" style="26" customWidth="1" outlineLevel="1"/>
    <col min="17" max="17" width="8.44140625" style="28" customWidth="1" outlineLevel="1"/>
    <col min="18" max="18" width="8.44140625" style="36" bestFit="1" customWidth="1"/>
    <col min="19" max="19" width="8.21875" style="6" customWidth="1"/>
    <col min="20" max="20" width="13.5546875" style="37" customWidth="1"/>
    <col min="21" max="21" width="8.44140625" style="6" bestFit="1" customWidth="1"/>
    <col min="22" max="22" width="8.21875" style="6" bestFit="1" customWidth="1"/>
    <col min="23" max="23" width="9.44140625" style="38" bestFit="1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3" t="s">
        <v>62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35"/>
      <c r="Q1" s="31"/>
      <c r="R1" s="116" t="s">
        <v>65</v>
      </c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</row>
    <row r="2" spans="1:33" s="34" customFormat="1" ht="30.6" customHeight="1" x14ac:dyDescent="0.3">
      <c r="A2" s="33"/>
      <c r="C2" s="139" t="s">
        <v>37</v>
      </c>
      <c r="D2" s="139"/>
      <c r="E2" s="139"/>
      <c r="F2" s="140" t="s">
        <v>30</v>
      </c>
      <c r="G2" s="140"/>
      <c r="H2" s="141" t="s">
        <v>31</v>
      </c>
      <c r="I2" s="142"/>
      <c r="J2" s="141" t="s">
        <v>59</v>
      </c>
      <c r="K2" s="143"/>
      <c r="L2" s="142"/>
      <c r="M2" s="143"/>
      <c r="N2" s="154" t="s">
        <v>63</v>
      </c>
      <c r="O2" s="154"/>
      <c r="P2" s="154" t="s">
        <v>64</v>
      </c>
      <c r="Q2" s="154"/>
      <c r="R2" s="155" t="s">
        <v>35</v>
      </c>
      <c r="S2" s="155"/>
      <c r="T2" s="156"/>
      <c r="U2" s="150" t="s">
        <v>69</v>
      </c>
      <c r="V2" s="151"/>
      <c r="W2" s="151"/>
      <c r="X2" s="148" t="s">
        <v>70</v>
      </c>
      <c r="Y2" s="149"/>
      <c r="Z2" s="149"/>
      <c r="AA2" s="150" t="s">
        <v>67</v>
      </c>
      <c r="AB2" s="151"/>
      <c r="AC2" s="151"/>
      <c r="AD2" s="152" t="s">
        <v>66</v>
      </c>
      <c r="AE2" s="149"/>
      <c r="AF2" s="149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72</v>
      </c>
      <c r="B4" t="s">
        <v>23</v>
      </c>
      <c r="C4" s="25">
        <v>45383</v>
      </c>
      <c r="D4" s="25">
        <v>45413</v>
      </c>
      <c r="E4" s="24">
        <v>37.639999389648402</v>
      </c>
      <c r="F4" s="2">
        <v>1.5432431692272499</v>
      </c>
      <c r="G4" s="2">
        <v>0.49543103995057902</v>
      </c>
      <c r="H4" s="15">
        <v>-4.3570653991547602E-2</v>
      </c>
      <c r="I4" s="16">
        <v>0.83581295416079704</v>
      </c>
      <c r="J4" s="17">
        <v>0.83581295416079704</v>
      </c>
      <c r="K4" s="18">
        <v>150</v>
      </c>
      <c r="L4" s="19">
        <v>-0.26647181035967998</v>
      </c>
      <c r="M4" s="18">
        <v>67</v>
      </c>
      <c r="N4" s="26">
        <v>26</v>
      </c>
      <c r="O4" s="28">
        <v>30</v>
      </c>
      <c r="P4" s="26">
        <v>26</v>
      </c>
      <c r="Q4" s="28">
        <v>26</v>
      </c>
      <c r="R4" s="36">
        <v>7</v>
      </c>
      <c r="S4" s="6" t="s">
        <v>8</v>
      </c>
      <c r="T4" s="37">
        <v>0.745</v>
      </c>
      <c r="U4" s="39">
        <f t="shared" ref="U4:U15" si="0">O4</f>
        <v>30</v>
      </c>
      <c r="V4" s="6" t="s">
        <v>8</v>
      </c>
      <c r="W4" s="38">
        <v>1.325</v>
      </c>
      <c r="X4" s="43">
        <f t="shared" ref="X4:X22" si="1">N4</f>
        <v>26</v>
      </c>
      <c r="Z4" s="38"/>
      <c r="AA4" s="43">
        <f t="shared" ref="AA4:AA12" si="2">Q4</f>
        <v>26</v>
      </c>
      <c r="AD4" s="43">
        <f t="shared" ref="AD4:AD9" si="3">P4</f>
        <v>26</v>
      </c>
    </row>
    <row r="5" spans="1:33" x14ac:dyDescent="0.3">
      <c r="A5" s="1" t="s">
        <v>72</v>
      </c>
      <c r="B5" t="s">
        <v>77</v>
      </c>
      <c r="C5" s="25">
        <v>45413</v>
      </c>
      <c r="D5" s="25">
        <v>45444</v>
      </c>
      <c r="E5" s="24">
        <v>4.94704246520996</v>
      </c>
      <c r="F5" s="2">
        <v>0.174424716180033</v>
      </c>
      <c r="G5" s="2">
        <v>0.194078946611215</v>
      </c>
      <c r="H5" s="15">
        <v>0.10812023480197</v>
      </c>
      <c r="I5" s="16">
        <v>-0.23222507638775</v>
      </c>
      <c r="J5" s="17">
        <v>0.22334939805488299</v>
      </c>
      <c r="K5" s="18">
        <v>71</v>
      </c>
      <c r="L5" s="19">
        <v>-0.271397293415713</v>
      </c>
      <c r="M5" s="18">
        <v>145</v>
      </c>
      <c r="N5" s="26">
        <v>15</v>
      </c>
      <c r="O5" s="28">
        <v>19</v>
      </c>
      <c r="P5" s="26">
        <v>18</v>
      </c>
      <c r="Q5" s="28">
        <v>144</v>
      </c>
      <c r="R5" s="36">
        <v>7</v>
      </c>
      <c r="S5" s="6" t="s">
        <v>8</v>
      </c>
      <c r="T5" s="37">
        <v>0.33779999999999999</v>
      </c>
      <c r="U5" s="39">
        <f t="shared" si="0"/>
        <v>19</v>
      </c>
      <c r="V5" s="6" t="s">
        <v>8</v>
      </c>
      <c r="W5" s="38">
        <v>0.58309999999999995</v>
      </c>
      <c r="X5" s="43">
        <f t="shared" si="1"/>
        <v>15</v>
      </c>
      <c r="AA5" s="43">
        <f t="shared" si="2"/>
        <v>144</v>
      </c>
      <c r="AD5" s="43">
        <f t="shared" si="3"/>
        <v>18</v>
      </c>
    </row>
    <row r="6" spans="1:33" x14ac:dyDescent="0.3">
      <c r="A6" s="1" t="s">
        <v>72</v>
      </c>
      <c r="B6" t="s">
        <v>52</v>
      </c>
      <c r="C6" s="25">
        <v>45413</v>
      </c>
      <c r="D6" s="25">
        <v>45444</v>
      </c>
      <c r="E6" s="24">
        <v>31.577931404113698</v>
      </c>
      <c r="F6" s="2">
        <v>-0.110915406543101</v>
      </c>
      <c r="G6" s="2">
        <v>-7.2890747254952199E-3</v>
      </c>
      <c r="H6" s="15">
        <v>0.27965021355942499</v>
      </c>
      <c r="I6" s="16">
        <v>0.12118735941782301</v>
      </c>
      <c r="J6" s="17">
        <v>0.32744058088429301</v>
      </c>
      <c r="K6" s="18">
        <v>122</v>
      </c>
      <c r="L6" s="19">
        <v>-5.5460096308087202E-2</v>
      </c>
      <c r="M6" s="18">
        <v>19</v>
      </c>
      <c r="R6" s="36">
        <v>7</v>
      </c>
      <c r="S6" s="6" t="s">
        <v>8</v>
      </c>
      <c r="T6" s="37">
        <v>0.36870000000000003</v>
      </c>
      <c r="U6" s="39">
        <f t="shared" si="0"/>
        <v>0</v>
      </c>
      <c r="V6" s="6" t="s">
        <v>6</v>
      </c>
      <c r="W6" s="38" t="s">
        <v>6</v>
      </c>
      <c r="X6" s="43">
        <f t="shared" si="1"/>
        <v>0</v>
      </c>
      <c r="AA6" s="43">
        <f t="shared" si="2"/>
        <v>0</v>
      </c>
      <c r="AD6" s="43">
        <f t="shared" si="3"/>
        <v>0</v>
      </c>
    </row>
    <row r="7" spans="1:33" x14ac:dyDescent="0.3">
      <c r="A7" s="1" t="s">
        <v>72</v>
      </c>
      <c r="B7" t="s">
        <v>79</v>
      </c>
      <c r="C7" s="25">
        <v>45444</v>
      </c>
      <c r="D7" s="25">
        <v>45474</v>
      </c>
      <c r="E7" s="24">
        <v>14.648505210876399</v>
      </c>
      <c r="F7" s="2">
        <v>-0.44736992835630301</v>
      </c>
      <c r="G7" s="2">
        <v>-0.12877482370533799</v>
      </c>
      <c r="H7" s="15">
        <v>0.16606309957811999</v>
      </c>
      <c r="I7" s="16">
        <v>-0.182688934185264</v>
      </c>
      <c r="J7" s="17">
        <v>0.37541525686958099</v>
      </c>
      <c r="K7" s="18">
        <v>109</v>
      </c>
      <c r="L7" s="19">
        <v>-0.26822564817571398</v>
      </c>
      <c r="M7" s="18">
        <v>133</v>
      </c>
      <c r="N7" s="26">
        <v>132</v>
      </c>
      <c r="O7" s="28">
        <v>132</v>
      </c>
      <c r="P7" s="26">
        <v>24</v>
      </c>
      <c r="Q7" s="28">
        <v>132</v>
      </c>
      <c r="R7" s="36">
        <v>7</v>
      </c>
      <c r="S7" s="6" t="s">
        <v>8</v>
      </c>
      <c r="T7" s="37">
        <v>0.27</v>
      </c>
      <c r="U7" s="39">
        <f t="shared" si="0"/>
        <v>132</v>
      </c>
      <c r="V7" s="6" t="s">
        <v>6</v>
      </c>
      <c r="W7" s="38" t="s">
        <v>6</v>
      </c>
      <c r="X7" s="43">
        <f t="shared" si="1"/>
        <v>132</v>
      </c>
      <c r="AA7" s="43">
        <f t="shared" si="2"/>
        <v>132</v>
      </c>
      <c r="AC7" s="41"/>
      <c r="AD7" s="43">
        <f t="shared" si="3"/>
        <v>24</v>
      </c>
      <c r="AF7" s="41"/>
    </row>
    <row r="8" spans="1:33" x14ac:dyDescent="0.3">
      <c r="A8" s="1" t="s">
        <v>72</v>
      </c>
      <c r="B8" t="s">
        <v>10</v>
      </c>
      <c r="C8" s="25">
        <v>45505</v>
      </c>
      <c r="D8" s="25">
        <v>45536</v>
      </c>
      <c r="E8" s="24">
        <v>45.574998855590799</v>
      </c>
      <c r="F8" s="2">
        <v>-5.1706251491728403E-2</v>
      </c>
      <c r="G8" s="2">
        <v>5.7915434505334297E-2</v>
      </c>
      <c r="H8" s="15">
        <v>-0.18902907268117899</v>
      </c>
      <c r="I8" s="16">
        <v>-0.32046077693855302</v>
      </c>
      <c r="J8" s="17">
        <v>7.3176106978929095E-2</v>
      </c>
      <c r="K8" s="18">
        <v>30</v>
      </c>
      <c r="L8" s="19">
        <v>-0.429292355852881</v>
      </c>
      <c r="M8" s="18">
        <v>149</v>
      </c>
      <c r="N8" s="26">
        <v>5</v>
      </c>
      <c r="O8" s="28">
        <v>127</v>
      </c>
      <c r="P8" s="26">
        <v>69</v>
      </c>
      <c r="Q8" s="28">
        <v>128</v>
      </c>
      <c r="R8" s="36">
        <v>7</v>
      </c>
      <c r="S8" s="6" t="s">
        <v>71</v>
      </c>
      <c r="T8" s="37">
        <v>-0.37</v>
      </c>
      <c r="U8" s="39">
        <f t="shared" si="0"/>
        <v>127</v>
      </c>
      <c r="V8" s="6" t="s">
        <v>71</v>
      </c>
      <c r="W8" s="38">
        <v>-0.2</v>
      </c>
      <c r="X8" s="43">
        <f t="shared" si="1"/>
        <v>5</v>
      </c>
      <c r="AA8" s="43">
        <f t="shared" si="2"/>
        <v>128</v>
      </c>
      <c r="AD8" s="43">
        <f t="shared" si="3"/>
        <v>69</v>
      </c>
      <c r="AF8" s="41"/>
    </row>
    <row r="9" spans="1:33" x14ac:dyDescent="0.3">
      <c r="A9" s="1" t="s">
        <v>72</v>
      </c>
      <c r="B9" t="s">
        <v>76</v>
      </c>
      <c r="C9" s="25">
        <v>45505</v>
      </c>
      <c r="D9" s="25">
        <v>45536</v>
      </c>
      <c r="E9" s="24">
        <v>2.79500007629394</v>
      </c>
      <c r="F9" s="2">
        <v>-0.35894495626058098</v>
      </c>
      <c r="G9" s="2">
        <v>-0.15303026767254199</v>
      </c>
      <c r="H9" s="15">
        <v>-0.27370307120654203</v>
      </c>
      <c r="I9" s="16">
        <v>-0.83542039506682497</v>
      </c>
      <c r="J9" s="17">
        <v>5.18783459636886E-2</v>
      </c>
      <c r="K9" s="18">
        <v>10</v>
      </c>
      <c r="L9" s="19">
        <v>-0.867620753249146</v>
      </c>
      <c r="M9" s="18">
        <v>149</v>
      </c>
      <c r="N9" s="26">
        <v>22</v>
      </c>
      <c r="O9" s="28">
        <v>51</v>
      </c>
      <c r="P9" s="26">
        <v>22</v>
      </c>
      <c r="Q9" s="28">
        <v>51</v>
      </c>
      <c r="R9" s="36">
        <v>7</v>
      </c>
      <c r="S9" s="6" t="s">
        <v>71</v>
      </c>
      <c r="T9" s="37">
        <v>-0.87</v>
      </c>
      <c r="U9" s="39">
        <f t="shared" si="0"/>
        <v>51</v>
      </c>
      <c r="V9" s="6" t="s">
        <v>71</v>
      </c>
      <c r="W9" s="41">
        <v>-0.82</v>
      </c>
      <c r="X9" s="43">
        <f t="shared" si="1"/>
        <v>22</v>
      </c>
      <c r="AA9" s="43">
        <f t="shared" si="2"/>
        <v>51</v>
      </c>
      <c r="AD9" s="43">
        <f t="shared" si="3"/>
        <v>22</v>
      </c>
      <c r="AF9" s="41"/>
    </row>
    <row r="10" spans="1:33" x14ac:dyDescent="0.3">
      <c r="A10" s="1" t="s">
        <v>72</v>
      </c>
      <c r="B10" t="s">
        <v>78</v>
      </c>
      <c r="C10" s="25">
        <v>45536</v>
      </c>
      <c r="D10" s="25">
        <v>45566</v>
      </c>
      <c r="E10" s="24">
        <v>18.4699993133544</v>
      </c>
      <c r="F10" s="2">
        <v>9.0962727727057699E-2</v>
      </c>
      <c r="G10" s="2">
        <v>-5.1361070121563802E-2</v>
      </c>
      <c r="H10" s="15">
        <v>0.118029257510559</v>
      </c>
      <c r="I10" s="16">
        <v>-0.172171059540982</v>
      </c>
      <c r="J10" s="17">
        <v>0.23064430900123001</v>
      </c>
      <c r="K10" s="18">
        <v>93</v>
      </c>
      <c r="L10" s="19">
        <v>-0.25554951211837601</v>
      </c>
      <c r="M10" s="18">
        <v>129</v>
      </c>
      <c r="N10" s="26">
        <v>108</v>
      </c>
      <c r="O10" s="28">
        <v>127</v>
      </c>
      <c r="P10" s="26">
        <v>108</v>
      </c>
      <c r="Q10" s="28">
        <v>127</v>
      </c>
      <c r="R10" s="36">
        <v>7</v>
      </c>
      <c r="S10" s="6" t="s">
        <v>8</v>
      </c>
      <c r="T10" s="37">
        <v>0.23100000000000001</v>
      </c>
      <c r="U10" s="39">
        <f t="shared" si="0"/>
        <v>127</v>
      </c>
      <c r="V10" s="6" t="s">
        <v>6</v>
      </c>
      <c r="W10" s="38" t="s">
        <v>6</v>
      </c>
      <c r="X10" s="43">
        <f t="shared" si="1"/>
        <v>108</v>
      </c>
      <c r="AA10" s="43">
        <f t="shared" si="2"/>
        <v>127</v>
      </c>
      <c r="AD10" s="43" t="s">
        <v>6</v>
      </c>
    </row>
    <row r="11" spans="1:33" x14ac:dyDescent="0.3">
      <c r="A11" s="1" t="s">
        <v>72</v>
      </c>
      <c r="B11" t="s">
        <v>80</v>
      </c>
      <c r="C11" s="25">
        <v>45536</v>
      </c>
      <c r="D11" s="25">
        <v>45566</v>
      </c>
      <c r="E11" s="24">
        <v>50.308662414550703</v>
      </c>
      <c r="F11" s="2">
        <v>-7.5986168498505202E-2</v>
      </c>
      <c r="G11" s="2">
        <v>6.4922656905767401E-2</v>
      </c>
      <c r="H11" s="15">
        <v>1.0035930838935701E-2</v>
      </c>
      <c r="I11" s="16">
        <v>-0.122095623377232</v>
      </c>
      <c r="J11" s="17">
        <v>9.9910116033270394E-2</v>
      </c>
      <c r="K11" s="18">
        <v>43</v>
      </c>
      <c r="L11" s="19">
        <v>-0.39478101266033899</v>
      </c>
      <c r="M11" s="18">
        <v>127</v>
      </c>
      <c r="N11" s="26">
        <v>56</v>
      </c>
      <c r="O11" s="28">
        <v>126</v>
      </c>
      <c r="P11" s="26">
        <v>106</v>
      </c>
      <c r="Q11" s="28">
        <v>126</v>
      </c>
      <c r="R11" s="36">
        <v>7</v>
      </c>
      <c r="S11" s="6" t="s">
        <v>71</v>
      </c>
      <c r="T11" s="37">
        <v>-0.37</v>
      </c>
      <c r="U11" s="39">
        <f t="shared" si="0"/>
        <v>126</v>
      </c>
      <c r="V11" s="6" t="s">
        <v>8</v>
      </c>
      <c r="W11" s="40">
        <v>0.31859999999999999</v>
      </c>
      <c r="X11" s="43">
        <f t="shared" si="1"/>
        <v>56</v>
      </c>
      <c r="Z11" s="40"/>
      <c r="AA11" s="43">
        <f t="shared" si="2"/>
        <v>126</v>
      </c>
      <c r="AD11" s="43">
        <f>P11</f>
        <v>106</v>
      </c>
    </row>
    <row r="12" spans="1:33" x14ac:dyDescent="0.3">
      <c r="A12" s="1" t="s">
        <v>72</v>
      </c>
      <c r="B12" t="s">
        <v>9</v>
      </c>
      <c r="C12" s="25">
        <v>45536</v>
      </c>
      <c r="D12" s="25">
        <v>45566</v>
      </c>
      <c r="E12" s="24">
        <v>14.4799995422363</v>
      </c>
      <c r="F12" s="2">
        <v>-0.375053970886632</v>
      </c>
      <c r="G12" s="2">
        <v>-0.46171004655845099</v>
      </c>
      <c r="H12" s="15">
        <v>-0.58977898860464495</v>
      </c>
      <c r="I12" s="16">
        <v>-0.90676795120717502</v>
      </c>
      <c r="J12" s="17">
        <v>0.29903315335583902</v>
      </c>
      <c r="K12" s="18">
        <v>49</v>
      </c>
      <c r="L12" s="19">
        <v>-0.93191298232014197</v>
      </c>
      <c r="M12" s="18">
        <v>136</v>
      </c>
      <c r="N12" s="26">
        <v>55</v>
      </c>
      <c r="O12" s="28">
        <v>56</v>
      </c>
      <c r="P12" s="26">
        <v>15</v>
      </c>
      <c r="Q12" s="28">
        <v>55</v>
      </c>
      <c r="R12" s="36">
        <v>7</v>
      </c>
      <c r="S12" s="6" t="s">
        <v>71</v>
      </c>
      <c r="T12" s="37">
        <v>-0.94</v>
      </c>
      <c r="U12" s="39">
        <f t="shared" si="0"/>
        <v>56</v>
      </c>
      <c r="V12" s="6" t="s">
        <v>71</v>
      </c>
      <c r="W12" s="38">
        <v>-0.94</v>
      </c>
      <c r="X12" s="43">
        <f t="shared" si="1"/>
        <v>55</v>
      </c>
      <c r="Z12" s="38"/>
      <c r="AA12" s="43">
        <f t="shared" si="2"/>
        <v>55</v>
      </c>
      <c r="AD12" s="43">
        <f>P12</f>
        <v>15</v>
      </c>
    </row>
    <row r="13" spans="1:33" x14ac:dyDescent="0.3">
      <c r="A13" s="1" t="s">
        <v>72</v>
      </c>
      <c r="B13" t="s">
        <v>73</v>
      </c>
      <c r="C13" s="25">
        <v>45536</v>
      </c>
      <c r="D13" s="25">
        <v>45566</v>
      </c>
      <c r="K13" s="18">
        <v>67</v>
      </c>
      <c r="M13" s="18">
        <v>128</v>
      </c>
      <c r="R13" s="36">
        <v>7</v>
      </c>
      <c r="S13" s="6" t="s">
        <v>6</v>
      </c>
      <c r="T13" s="37" t="s">
        <v>6</v>
      </c>
      <c r="U13" s="39">
        <f t="shared" si="0"/>
        <v>0</v>
      </c>
      <c r="V13" s="6" t="s">
        <v>6</v>
      </c>
      <c r="W13" s="45" t="s">
        <v>6</v>
      </c>
      <c r="X13" s="43">
        <f t="shared" si="1"/>
        <v>0</v>
      </c>
      <c r="Y13" s="6" t="s">
        <v>6</v>
      </c>
      <c r="Z13" s="40" t="s">
        <v>6</v>
      </c>
      <c r="AA13" s="43" t="s">
        <v>6</v>
      </c>
      <c r="AB13" s="6" t="s">
        <v>6</v>
      </c>
      <c r="AC13" s="38" t="s">
        <v>6</v>
      </c>
      <c r="AD13" s="43" t="s">
        <v>6</v>
      </c>
      <c r="AE13" s="6" t="s">
        <v>6</v>
      </c>
      <c r="AF13" s="40" t="s">
        <v>6</v>
      </c>
    </row>
    <row r="14" spans="1:33" x14ac:dyDescent="0.3">
      <c r="A14" s="1" t="s">
        <v>72</v>
      </c>
      <c r="B14" t="s">
        <v>11</v>
      </c>
      <c r="C14" s="25">
        <v>45566</v>
      </c>
      <c r="D14" s="25">
        <v>45597</v>
      </c>
      <c r="E14" s="24">
        <v>8</v>
      </c>
      <c r="F14" s="2">
        <v>-0.70046774777070298</v>
      </c>
      <c r="G14" s="2">
        <v>-0.18116687562252301</v>
      </c>
      <c r="H14" s="15">
        <v>0.36249995231628301</v>
      </c>
      <c r="I14" s="16">
        <v>-0.59999999403953497</v>
      </c>
      <c r="J14" s="17">
        <v>1.0374999046325599</v>
      </c>
      <c r="K14" s="18">
        <v>41</v>
      </c>
      <c r="L14" s="19">
        <v>-0.68874999880790699</v>
      </c>
      <c r="M14" s="18">
        <v>142</v>
      </c>
      <c r="N14" s="26">
        <v>103</v>
      </c>
      <c r="O14" s="28">
        <v>104</v>
      </c>
      <c r="P14" s="26">
        <v>100</v>
      </c>
      <c r="Q14" s="28">
        <v>103</v>
      </c>
      <c r="R14" s="36">
        <v>7</v>
      </c>
      <c r="S14" s="6" t="s">
        <v>8</v>
      </c>
      <c r="T14" s="37">
        <v>0.73599999999999999</v>
      </c>
      <c r="U14" s="39">
        <f t="shared" si="0"/>
        <v>104</v>
      </c>
      <c r="V14" s="6" t="s">
        <v>71</v>
      </c>
      <c r="W14" s="38">
        <v>-0.54</v>
      </c>
      <c r="X14" s="43">
        <f t="shared" si="1"/>
        <v>103</v>
      </c>
      <c r="AA14" s="43">
        <f>Q14</f>
        <v>103</v>
      </c>
      <c r="AD14" s="43">
        <f t="shared" ref="AD14:AD22" si="4">P14</f>
        <v>100</v>
      </c>
    </row>
    <row r="15" spans="1:33" x14ac:dyDescent="0.3">
      <c r="A15" s="1" t="s">
        <v>72</v>
      </c>
      <c r="B15" t="s">
        <v>75</v>
      </c>
      <c r="C15" s="25">
        <v>45597</v>
      </c>
      <c r="D15" s="25">
        <v>45627</v>
      </c>
      <c r="E15" s="24">
        <v>7.5174999237060502</v>
      </c>
      <c r="F15" s="2">
        <v>1.2780303128275701</v>
      </c>
      <c r="G15" s="2">
        <v>1.7138989081117499</v>
      </c>
      <c r="H15" s="15">
        <v>0.31426673956920598</v>
      </c>
      <c r="I15" s="16">
        <v>0.24110409290253099</v>
      </c>
      <c r="J15" s="17">
        <v>1.6844031273667399</v>
      </c>
      <c r="K15" s="18">
        <v>23</v>
      </c>
      <c r="L15" s="19">
        <v>-9.0123016693582206E-2</v>
      </c>
      <c r="M15" s="18">
        <v>8</v>
      </c>
      <c r="R15" s="36">
        <v>7</v>
      </c>
      <c r="S15" s="6" t="s">
        <v>8</v>
      </c>
      <c r="T15" s="37">
        <v>1.2</v>
      </c>
      <c r="U15" s="39">
        <f t="shared" si="0"/>
        <v>0</v>
      </c>
      <c r="V15" s="6" t="s">
        <v>6</v>
      </c>
      <c r="W15" s="38" t="s">
        <v>6</v>
      </c>
      <c r="X15" s="43">
        <f t="shared" si="1"/>
        <v>0</v>
      </c>
      <c r="Z15" s="45"/>
      <c r="AA15" s="43">
        <f>Q15</f>
        <v>0</v>
      </c>
      <c r="AD15" s="43">
        <f t="shared" si="4"/>
        <v>0</v>
      </c>
    </row>
    <row r="16" spans="1:33" x14ac:dyDescent="0.3">
      <c r="A16" s="1" t="s">
        <v>72</v>
      </c>
      <c r="B16" t="s">
        <v>74</v>
      </c>
      <c r="C16" s="25">
        <v>45627</v>
      </c>
      <c r="D16" s="25">
        <v>45658</v>
      </c>
      <c r="E16" s="24">
        <v>11.119999885559</v>
      </c>
      <c r="F16" s="2">
        <v>-6.2555583064484097E-3</v>
      </c>
      <c r="G16" s="2">
        <v>-0.25016858106765399</v>
      </c>
      <c r="H16" s="15">
        <v>7.3740980509281198E-2</v>
      </c>
      <c r="I16" s="16">
        <v>0.93345325730810802</v>
      </c>
      <c r="J16" s="17">
        <v>1.01798568030555</v>
      </c>
      <c r="K16" s="18">
        <v>129</v>
      </c>
      <c r="L16" s="19">
        <v>-0.179856116958893</v>
      </c>
      <c r="M16" s="18">
        <v>60</v>
      </c>
      <c r="N16" s="26">
        <v>40</v>
      </c>
      <c r="P16" s="26">
        <v>17</v>
      </c>
      <c r="Q16" s="28">
        <v>38</v>
      </c>
      <c r="R16" s="36">
        <v>7</v>
      </c>
      <c r="S16" s="6" t="s">
        <v>8</v>
      </c>
      <c r="T16" s="37">
        <v>0.68500000000000005</v>
      </c>
      <c r="U16" s="39" t="s">
        <v>6</v>
      </c>
      <c r="V16" s="6" t="s">
        <v>6</v>
      </c>
      <c r="W16" s="38" t="s">
        <v>6</v>
      </c>
      <c r="X16" s="43">
        <f t="shared" si="1"/>
        <v>40</v>
      </c>
      <c r="Y16" s="6" t="s">
        <v>8</v>
      </c>
      <c r="Z16" s="41">
        <v>1.306</v>
      </c>
      <c r="AA16" s="43">
        <f>Q16</f>
        <v>38</v>
      </c>
      <c r="AB16" s="6" t="s">
        <v>8</v>
      </c>
      <c r="AC16" s="38">
        <v>1.149</v>
      </c>
      <c r="AD16" s="43">
        <f t="shared" si="4"/>
        <v>17</v>
      </c>
      <c r="AE16" s="6" t="s">
        <v>8</v>
      </c>
      <c r="AF16" s="38">
        <v>0.878</v>
      </c>
    </row>
    <row r="17" spans="1:32" x14ac:dyDescent="0.3">
      <c r="A17" s="1" t="s">
        <v>72</v>
      </c>
      <c r="B17" t="s">
        <v>21</v>
      </c>
      <c r="C17" s="25">
        <v>45627</v>
      </c>
      <c r="D17" s="25">
        <v>45658</v>
      </c>
      <c r="E17" s="24">
        <v>17.274999618530199</v>
      </c>
      <c r="F17" s="2">
        <v>-0.366984278527406</v>
      </c>
      <c r="G17" s="2">
        <v>-0.198747678736308</v>
      </c>
      <c r="H17" s="15">
        <v>-0.19479015024166099</v>
      </c>
      <c r="I17" s="16">
        <v>-0.110274950798133</v>
      </c>
      <c r="J17" s="17">
        <v>0.201736653389753</v>
      </c>
      <c r="K17" s="18">
        <v>26</v>
      </c>
      <c r="L17" s="19">
        <v>-0.30188129169737399</v>
      </c>
      <c r="M17" s="18">
        <v>83</v>
      </c>
      <c r="N17" s="26">
        <v>5</v>
      </c>
      <c r="O17" s="28">
        <v>63</v>
      </c>
      <c r="P17" s="26">
        <v>65</v>
      </c>
      <c r="R17" s="36">
        <v>7</v>
      </c>
      <c r="S17" s="6" t="s">
        <v>8</v>
      </c>
      <c r="T17" s="37">
        <v>0.39</v>
      </c>
      <c r="U17" s="39">
        <f t="shared" ref="U17:U25" si="5">O17</f>
        <v>63</v>
      </c>
      <c r="V17" s="6" t="s">
        <v>71</v>
      </c>
      <c r="W17" s="41">
        <v>-0.1255</v>
      </c>
      <c r="X17" s="43">
        <f t="shared" si="1"/>
        <v>5</v>
      </c>
      <c r="AA17" s="43">
        <f>Q17</f>
        <v>0</v>
      </c>
      <c r="AD17" s="43">
        <f t="shared" si="4"/>
        <v>65</v>
      </c>
      <c r="AF17" s="41"/>
    </row>
    <row r="18" spans="1:32" x14ac:dyDescent="0.3">
      <c r="A18" s="1" t="s">
        <v>72</v>
      </c>
      <c r="B18" t="s">
        <v>17</v>
      </c>
      <c r="C18" s="25">
        <v>45627</v>
      </c>
      <c r="D18" s="25">
        <v>45658</v>
      </c>
      <c r="E18" s="24">
        <v>8.875</v>
      </c>
      <c r="F18" s="2">
        <v>-0.21806170028949701</v>
      </c>
      <c r="G18" s="2">
        <v>-8.5993824394085303E-2</v>
      </c>
      <c r="H18" s="15">
        <v>0.205633781325649</v>
      </c>
      <c r="I18" s="16">
        <v>-6.2535245653609101E-2</v>
      </c>
      <c r="J18" s="17">
        <v>0.345352065395301</v>
      </c>
      <c r="K18" s="18">
        <v>108</v>
      </c>
      <c r="L18" s="19">
        <v>-7.9436611121808998E-2</v>
      </c>
      <c r="M18" s="18">
        <v>28</v>
      </c>
      <c r="R18" s="36">
        <v>7</v>
      </c>
      <c r="S18" s="6" t="s">
        <v>8</v>
      </c>
      <c r="T18" s="37">
        <v>0.3296</v>
      </c>
      <c r="U18" s="39">
        <f t="shared" si="5"/>
        <v>0</v>
      </c>
      <c r="V18" s="6" t="s">
        <v>6</v>
      </c>
      <c r="W18" s="38" t="s">
        <v>6</v>
      </c>
      <c r="X18" s="43">
        <f t="shared" si="1"/>
        <v>0</v>
      </c>
      <c r="Z18" s="37"/>
      <c r="AA18" s="43">
        <f>Q18</f>
        <v>0</v>
      </c>
      <c r="AD18" s="43">
        <f t="shared" si="4"/>
        <v>0</v>
      </c>
    </row>
    <row r="19" spans="1:32" x14ac:dyDescent="0.3">
      <c r="A19" s="1" t="s">
        <v>72</v>
      </c>
      <c r="B19" t="s">
        <v>14</v>
      </c>
      <c r="C19" s="25">
        <v>45627</v>
      </c>
      <c r="D19" s="25">
        <v>45658</v>
      </c>
      <c r="E19" s="24">
        <v>1.7250000238418499</v>
      </c>
      <c r="F19" s="2">
        <v>-0.13749998807907099</v>
      </c>
      <c r="G19" s="2">
        <v>0.134868450978786</v>
      </c>
      <c r="H19" s="15">
        <v>0.80289846499210205</v>
      </c>
      <c r="I19" s="16">
        <v>1.4869564652517999</v>
      </c>
      <c r="J19" s="17">
        <v>3.37101441022604</v>
      </c>
      <c r="K19" s="18">
        <v>113</v>
      </c>
      <c r="L19" s="19">
        <v>-1.44927396015118E-2</v>
      </c>
      <c r="M19" s="18">
        <v>7</v>
      </c>
      <c r="R19" s="36">
        <v>7</v>
      </c>
      <c r="S19" s="6" t="s">
        <v>8</v>
      </c>
      <c r="T19" s="37">
        <v>3.4350000000000001</v>
      </c>
      <c r="U19" s="39">
        <f t="shared" si="5"/>
        <v>0</v>
      </c>
      <c r="V19" s="6" t="s">
        <v>6</v>
      </c>
      <c r="W19" s="38" t="s">
        <v>6</v>
      </c>
      <c r="X19" s="43">
        <f t="shared" si="1"/>
        <v>0</v>
      </c>
      <c r="Y19" s="6" t="s">
        <v>6</v>
      </c>
      <c r="Z19" s="41" t="s">
        <v>6</v>
      </c>
      <c r="AA19" s="43" t="s">
        <v>6</v>
      </c>
      <c r="AB19" s="6" t="s">
        <v>6</v>
      </c>
      <c r="AC19" s="38" t="s">
        <v>6</v>
      </c>
      <c r="AD19" s="43">
        <f t="shared" si="4"/>
        <v>0</v>
      </c>
      <c r="AE19" s="6" t="s">
        <v>6</v>
      </c>
      <c r="AF19" s="41" t="s">
        <v>6</v>
      </c>
    </row>
    <row r="20" spans="1:32" x14ac:dyDescent="0.3">
      <c r="A20" s="1" t="s">
        <v>72</v>
      </c>
      <c r="B20" t="s">
        <v>26</v>
      </c>
      <c r="C20" s="25">
        <v>45658</v>
      </c>
      <c r="D20" s="25">
        <v>45689</v>
      </c>
      <c r="E20" s="24">
        <v>3.6899999380111601</v>
      </c>
      <c r="F20" s="2">
        <v>-0.28764477600481603</v>
      </c>
      <c r="G20" s="2">
        <v>-0.21321963902105801</v>
      </c>
      <c r="H20" s="15">
        <v>0.40650410417561</v>
      </c>
      <c r="J20" s="17">
        <v>0.50406511760707295</v>
      </c>
      <c r="K20" s="18">
        <v>74</v>
      </c>
      <c r="L20" s="19">
        <v>-0.26558263315104402</v>
      </c>
      <c r="M20" s="18">
        <v>127</v>
      </c>
      <c r="N20" s="26">
        <v>27</v>
      </c>
      <c r="O20" s="28">
        <v>126</v>
      </c>
      <c r="P20" s="26">
        <v>27</v>
      </c>
      <c r="Q20" s="28">
        <v>127</v>
      </c>
      <c r="R20" s="36">
        <v>7</v>
      </c>
      <c r="S20" s="6" t="s">
        <v>8</v>
      </c>
      <c r="T20" s="37">
        <v>0.6</v>
      </c>
      <c r="U20" s="39">
        <f t="shared" si="5"/>
        <v>126</v>
      </c>
      <c r="V20" s="6" t="s">
        <v>8</v>
      </c>
      <c r="W20" s="40">
        <v>0.309</v>
      </c>
      <c r="X20" s="43">
        <f t="shared" si="1"/>
        <v>27</v>
      </c>
      <c r="Z20" s="40"/>
      <c r="AA20" s="43">
        <f>Q20</f>
        <v>127</v>
      </c>
      <c r="AC20" s="40"/>
      <c r="AD20" s="43">
        <f t="shared" si="4"/>
        <v>27</v>
      </c>
      <c r="AF20" s="40"/>
    </row>
    <row r="21" spans="1:32" x14ac:dyDescent="0.3">
      <c r="A21" s="1" t="s">
        <v>72</v>
      </c>
      <c r="B21" t="s">
        <v>46</v>
      </c>
      <c r="C21" s="25">
        <v>45748</v>
      </c>
      <c r="D21" s="25">
        <v>45778</v>
      </c>
      <c r="E21" s="24">
        <v>6.0799999237060502</v>
      </c>
      <c r="F21" s="2">
        <v>-0.64444445683787199</v>
      </c>
      <c r="G21" s="2">
        <v>-0.28047336556865399</v>
      </c>
      <c r="H21" s="15">
        <v>0.29769736274540198</v>
      </c>
      <c r="J21" s="17">
        <v>0.91282899019378105</v>
      </c>
      <c r="K21" s="18">
        <v>87</v>
      </c>
      <c r="L21" s="19">
        <v>-0.33223684313719898</v>
      </c>
      <c r="M21" s="18">
        <v>16</v>
      </c>
      <c r="N21" s="26">
        <v>7</v>
      </c>
      <c r="O21" s="28">
        <v>9</v>
      </c>
      <c r="P21" s="26">
        <v>11</v>
      </c>
      <c r="Q21" s="28">
        <v>16</v>
      </c>
      <c r="R21" s="36">
        <v>7</v>
      </c>
      <c r="S21" s="6" t="s">
        <v>8</v>
      </c>
      <c r="T21" s="37">
        <v>1.2410000000000001</v>
      </c>
      <c r="U21" s="39">
        <f t="shared" si="5"/>
        <v>9</v>
      </c>
      <c r="V21" s="6" t="s">
        <v>8</v>
      </c>
      <c r="W21" s="38">
        <v>1.43</v>
      </c>
      <c r="X21" s="43">
        <f t="shared" si="1"/>
        <v>7</v>
      </c>
      <c r="AA21" s="43">
        <f>Q21</f>
        <v>16</v>
      </c>
      <c r="AD21" s="43">
        <f t="shared" si="4"/>
        <v>11</v>
      </c>
    </row>
    <row r="22" spans="1:32" x14ac:dyDescent="0.3">
      <c r="A22" s="1" t="s">
        <v>72</v>
      </c>
      <c r="B22" t="s">
        <v>50</v>
      </c>
      <c r="C22" s="25">
        <v>45748</v>
      </c>
      <c r="D22" s="25">
        <v>45778</v>
      </c>
      <c r="E22" s="24">
        <v>0.91000002622604304</v>
      </c>
      <c r="F22" s="2">
        <v>-0.79732737803694298</v>
      </c>
      <c r="G22" s="2">
        <v>-0.37671232708937902</v>
      </c>
      <c r="H22" s="15">
        <v>0.17582419957678</v>
      </c>
      <c r="J22" s="17">
        <v>0.45054946638451998</v>
      </c>
      <c r="K22" s="18">
        <v>83</v>
      </c>
      <c r="L22" s="19">
        <v>-0.37362639953830601</v>
      </c>
      <c r="M22" s="18">
        <v>24</v>
      </c>
      <c r="N22" s="26">
        <v>4</v>
      </c>
      <c r="O22" s="28">
        <v>5</v>
      </c>
      <c r="P22" s="26">
        <v>9</v>
      </c>
      <c r="Q22" s="28">
        <v>11</v>
      </c>
      <c r="R22" s="36">
        <v>7</v>
      </c>
      <c r="S22" s="6" t="s">
        <v>8</v>
      </c>
      <c r="T22" s="37">
        <v>0.80800000000000005</v>
      </c>
      <c r="U22" s="39">
        <f t="shared" si="5"/>
        <v>5</v>
      </c>
      <c r="V22" s="6" t="s">
        <v>8</v>
      </c>
      <c r="W22" s="40">
        <v>0.80800000000000005</v>
      </c>
      <c r="X22" s="43">
        <f t="shared" si="1"/>
        <v>4</v>
      </c>
      <c r="AA22" s="43">
        <f>Q22</f>
        <v>11</v>
      </c>
      <c r="AD22" s="43">
        <f t="shared" si="4"/>
        <v>9</v>
      </c>
      <c r="AF22" s="41"/>
    </row>
    <row r="23" spans="1:32" x14ac:dyDescent="0.3">
      <c r="A23" s="1" t="s">
        <v>72</v>
      </c>
      <c r="B23" t="s">
        <v>13</v>
      </c>
      <c r="C23" s="25">
        <v>45778</v>
      </c>
      <c r="D23" s="25">
        <v>45809</v>
      </c>
      <c r="E23" s="24">
        <v>6.6150000095367396</v>
      </c>
      <c r="F23" s="2">
        <v>-0.713820159304144</v>
      </c>
      <c r="G23" s="2">
        <v>-0.61360983146815296</v>
      </c>
      <c r="J23" s="17">
        <v>0.162509455197869</v>
      </c>
      <c r="K23" s="18">
        <v>58</v>
      </c>
      <c r="L23" s="19">
        <v>-9.2970522849600501E-2</v>
      </c>
      <c r="M23" s="18">
        <v>9</v>
      </c>
      <c r="R23" s="36">
        <v>7</v>
      </c>
      <c r="S23" s="6" t="s">
        <v>8</v>
      </c>
      <c r="T23" s="37">
        <v>0.2034</v>
      </c>
      <c r="U23" s="39">
        <f t="shared" si="5"/>
        <v>0</v>
      </c>
      <c r="V23" s="6" t="s">
        <v>6</v>
      </c>
      <c r="W23" s="38" t="s">
        <v>6</v>
      </c>
      <c r="X23" s="43" t="s">
        <v>6</v>
      </c>
      <c r="Y23" s="6" t="s">
        <v>6</v>
      </c>
      <c r="Z23" s="41" t="s">
        <v>6</v>
      </c>
      <c r="AA23" s="43" t="s">
        <v>6</v>
      </c>
      <c r="AB23" s="6" t="s">
        <v>6</v>
      </c>
      <c r="AC23" s="38" t="s">
        <v>6</v>
      </c>
      <c r="AD23" s="43" t="s">
        <v>6</v>
      </c>
      <c r="AE23" s="6" t="s">
        <v>6</v>
      </c>
      <c r="AF23" s="38" t="s">
        <v>6</v>
      </c>
    </row>
    <row r="24" spans="1:32" x14ac:dyDescent="0.3">
      <c r="A24" s="1" t="s">
        <v>72</v>
      </c>
      <c r="B24" t="s">
        <v>18</v>
      </c>
      <c r="C24" s="25">
        <v>45778</v>
      </c>
      <c r="D24" s="25">
        <v>45809</v>
      </c>
      <c r="E24" s="24">
        <v>4.8650000095367396</v>
      </c>
      <c r="F24" s="2">
        <v>-0.40815086964769098</v>
      </c>
      <c r="G24" s="2">
        <v>-0.102398534860666</v>
      </c>
      <c r="J24" s="17">
        <v>0.42651593907834301</v>
      </c>
      <c r="K24" s="18">
        <v>35</v>
      </c>
      <c r="L24" s="19">
        <v>0</v>
      </c>
      <c r="M24" s="18">
        <v>0</v>
      </c>
      <c r="R24" s="36">
        <v>7</v>
      </c>
      <c r="S24" s="6" t="s">
        <v>8</v>
      </c>
      <c r="T24" s="37">
        <v>0.36080000000000001</v>
      </c>
      <c r="U24" s="39">
        <f t="shared" si="5"/>
        <v>0</v>
      </c>
      <c r="V24" s="6" t="s">
        <v>6</v>
      </c>
      <c r="W24" s="38" t="s">
        <v>6</v>
      </c>
      <c r="X24" s="43">
        <f>N24</f>
        <v>0</v>
      </c>
      <c r="Z24" s="40"/>
      <c r="AA24" s="43">
        <f>Q24</f>
        <v>0</v>
      </c>
      <c r="AD24" s="43">
        <f>P24</f>
        <v>0</v>
      </c>
    </row>
    <row r="25" spans="1:32" x14ac:dyDescent="0.3">
      <c r="A25" s="1" t="s">
        <v>72</v>
      </c>
      <c r="B25" t="s">
        <v>20</v>
      </c>
      <c r="C25" s="25">
        <v>45839</v>
      </c>
      <c r="D25" s="25">
        <v>45870</v>
      </c>
      <c r="E25" s="24">
        <v>6.3299999237060502</v>
      </c>
      <c r="F25" s="2">
        <v>-0.375190643739025</v>
      </c>
      <c r="G25" s="2">
        <v>-0.31649045556071498</v>
      </c>
      <c r="J25" s="17">
        <v>0.23222753313528599</v>
      </c>
      <c r="K25" s="18">
        <v>19</v>
      </c>
      <c r="L25" s="19">
        <v>-2.6856252502830101E-2</v>
      </c>
      <c r="M25" s="18">
        <v>2</v>
      </c>
      <c r="R25" s="36">
        <v>7</v>
      </c>
      <c r="S25" s="6" t="s">
        <v>6</v>
      </c>
      <c r="T25" s="37" t="s">
        <v>6</v>
      </c>
      <c r="U25" s="39">
        <f t="shared" si="5"/>
        <v>0</v>
      </c>
      <c r="V25" s="6" t="s">
        <v>6</v>
      </c>
      <c r="W25" s="38" t="s">
        <v>6</v>
      </c>
      <c r="X25" s="43">
        <f>N25</f>
        <v>0</v>
      </c>
      <c r="AA25" s="43">
        <f>Q25</f>
        <v>0</v>
      </c>
      <c r="AD25" s="43">
        <f>P25</f>
        <v>0</v>
      </c>
    </row>
    <row r="26" spans="1:32" x14ac:dyDescent="0.3">
      <c r="U26" s="39"/>
      <c r="W26" s="40"/>
      <c r="X26" s="43"/>
      <c r="Z26" s="40"/>
      <c r="AA26" s="43"/>
      <c r="AD26" s="43"/>
    </row>
    <row r="27" spans="1:32" s="42" customFormat="1" x14ac:dyDescent="0.3">
      <c r="A27" s="1"/>
      <c r="B27"/>
      <c r="C27" s="25"/>
      <c r="D27" s="25"/>
      <c r="E27" s="24"/>
      <c r="F27" s="2"/>
      <c r="G27" s="2"/>
      <c r="H27" s="15"/>
      <c r="I27" s="16"/>
      <c r="J27" s="17"/>
      <c r="K27" s="18"/>
      <c r="L27" s="19"/>
      <c r="M27" s="18"/>
      <c r="N27" s="26"/>
      <c r="O27" s="28"/>
      <c r="P27" s="26"/>
      <c r="Q27" s="28"/>
      <c r="R27" s="36"/>
      <c r="S27" s="6" t="s">
        <v>89</v>
      </c>
      <c r="T27" s="46">
        <f>COUNT(T4:T25)</f>
        <v>20</v>
      </c>
      <c r="U27" s="47"/>
      <c r="V27" s="47"/>
      <c r="W27" s="53">
        <f>COUNT(W4:W25)</f>
        <v>11</v>
      </c>
      <c r="X27" s="48"/>
      <c r="Y27" s="47"/>
      <c r="Z27" s="41"/>
      <c r="AA27" s="36"/>
      <c r="AB27" s="6"/>
      <c r="AC27" s="38"/>
      <c r="AD27" s="36"/>
      <c r="AE27" s="6"/>
      <c r="AF27" s="38"/>
    </row>
    <row r="28" spans="1:32" s="69" customFormat="1" x14ac:dyDescent="0.3">
      <c r="A28" s="3"/>
      <c r="B28" s="4"/>
      <c r="C28" s="54"/>
      <c r="D28" s="54"/>
      <c r="E28" s="55"/>
      <c r="F28" s="5"/>
      <c r="G28" s="5"/>
      <c r="H28" s="56"/>
      <c r="I28" s="57"/>
      <c r="J28" s="58"/>
      <c r="K28" s="59"/>
      <c r="L28" s="60"/>
      <c r="M28" s="59"/>
      <c r="N28" s="61"/>
      <c r="O28" s="62"/>
      <c r="P28" s="61"/>
      <c r="Q28" s="62"/>
      <c r="R28" s="63"/>
      <c r="S28" s="64" t="s">
        <v>81</v>
      </c>
      <c r="T28" s="49">
        <f>COUNTIF(S4:S25, "Win")/COUNT(T4:T25)</f>
        <v>0.8</v>
      </c>
      <c r="U28" s="65"/>
      <c r="V28" s="65"/>
      <c r="W28" s="66">
        <f>COUNTIF(V4:V25, "Win")/COUNT(W4:W25)</f>
        <v>0.54545454545454541</v>
      </c>
      <c r="X28" s="67"/>
      <c r="Y28" s="65"/>
      <c r="Z28" s="68">
        <f>COUNT(Z4:Z25)</f>
        <v>1</v>
      </c>
      <c r="AA28" s="63"/>
      <c r="AB28" s="64"/>
      <c r="AC28" s="68">
        <f>COUNT(AC4:AC25)</f>
        <v>1</v>
      </c>
      <c r="AD28" s="63"/>
      <c r="AE28" s="64"/>
      <c r="AF28" s="68">
        <f>COUNT(AF4:AF25)</f>
        <v>1</v>
      </c>
    </row>
    <row r="29" spans="1:32" s="42" customFormat="1" x14ac:dyDescent="0.3">
      <c r="A29" s="1"/>
      <c r="B29"/>
      <c r="C29" s="25"/>
      <c r="D29" s="25"/>
      <c r="E29" s="24"/>
      <c r="F29" s="2"/>
      <c r="G29" s="2"/>
      <c r="H29" s="15"/>
      <c r="I29" s="16"/>
      <c r="J29" s="17"/>
      <c r="K29" s="18"/>
      <c r="L29" s="19"/>
      <c r="M29" s="18"/>
      <c r="N29" s="26"/>
      <c r="O29" s="28"/>
      <c r="P29" s="26"/>
      <c r="Q29" s="28"/>
      <c r="R29" s="36"/>
      <c r="S29" s="6" t="s">
        <v>82</v>
      </c>
      <c r="T29" s="50">
        <f>AVERAGE(T4:T25)</f>
        <v>0.46956499999999995</v>
      </c>
      <c r="U29" s="47"/>
      <c r="V29" s="47"/>
      <c r="W29" s="51">
        <f>AVERAGE(W4:W25)</f>
        <v>0.1952909090909091</v>
      </c>
      <c r="X29" s="48"/>
      <c r="Y29" s="47"/>
      <c r="Z29" s="37">
        <f>AVERAGE(Z4:Z25)</f>
        <v>1.306</v>
      </c>
      <c r="AA29" s="36"/>
      <c r="AB29" s="6"/>
      <c r="AC29" s="37">
        <f>AVERAGE(AC4:AC25)</f>
        <v>1.149</v>
      </c>
      <c r="AD29" s="36"/>
      <c r="AE29" s="6"/>
      <c r="AF29" s="37">
        <f>AVERAGE(AF4:AF25)</f>
        <v>0.878</v>
      </c>
    </row>
    <row r="30" spans="1:32" s="42" customFormat="1" x14ac:dyDescent="0.3">
      <c r="A30" s="1"/>
      <c r="B30"/>
      <c r="C30" s="25"/>
      <c r="D30" s="25"/>
      <c r="E30" s="24"/>
      <c r="F30" s="2"/>
      <c r="G30" s="2"/>
      <c r="H30" s="15"/>
      <c r="I30" s="16"/>
      <c r="J30" s="17"/>
      <c r="K30" s="18"/>
      <c r="L30" s="19"/>
      <c r="M30" s="18"/>
      <c r="N30" s="26"/>
      <c r="O30" s="28"/>
      <c r="P30" s="26"/>
      <c r="Q30" s="28"/>
      <c r="R30" s="36"/>
      <c r="S30" s="6" t="s">
        <v>84</v>
      </c>
      <c r="T30" s="50">
        <f>_xlfn.STDEV.S(T4:T25)</f>
        <v>0.9081845426164048</v>
      </c>
      <c r="U30" s="47"/>
      <c r="V30" s="47"/>
      <c r="W30" s="51">
        <f>_xlfn.STDEV.S(W4:W25)</f>
        <v>0.80462462608914165</v>
      </c>
      <c r="X30" s="48"/>
      <c r="Y30" s="47"/>
      <c r="Z30" s="37" t="e">
        <f>_xlfn.STDEV.S(Z4:Z25)</f>
        <v>#DIV/0!</v>
      </c>
      <c r="AA30" s="36"/>
      <c r="AB30" s="6"/>
      <c r="AC30" s="37" t="e">
        <f>_xlfn.STDEV.S(AC4:AC25)</f>
        <v>#DIV/0!</v>
      </c>
      <c r="AD30" s="36"/>
      <c r="AE30" s="6"/>
      <c r="AF30" s="37" t="e">
        <f>_xlfn.STDEV.S(AF4:AF25)</f>
        <v>#DIV/0!</v>
      </c>
    </row>
    <row r="31" spans="1:32" s="69" customFormat="1" x14ac:dyDescent="0.3">
      <c r="A31" s="3"/>
      <c r="B31" s="4"/>
      <c r="C31" s="54"/>
      <c r="D31" s="54"/>
      <c r="E31" s="55"/>
      <c r="F31" s="5"/>
      <c r="G31" s="5"/>
      <c r="H31" s="56"/>
      <c r="I31" s="57"/>
      <c r="J31" s="58"/>
      <c r="K31" s="59"/>
      <c r="L31" s="60"/>
      <c r="M31" s="59"/>
      <c r="N31" s="61"/>
      <c r="O31" s="62"/>
      <c r="P31" s="61"/>
      <c r="Q31" s="62"/>
      <c r="R31" s="63"/>
      <c r="S31" s="64" t="s">
        <v>83</v>
      </c>
      <c r="T31" s="70">
        <f>T29/T30</f>
        <v>0.51703698749069427</v>
      </c>
      <c r="U31" s="65"/>
      <c r="V31" s="65"/>
      <c r="W31" s="71">
        <f>W29/W30</f>
        <v>0.242710579267398</v>
      </c>
      <c r="X31" s="67"/>
      <c r="Y31" s="65"/>
      <c r="Z31" s="72" t="e">
        <f>Z29/Z30</f>
        <v>#DIV/0!</v>
      </c>
      <c r="AA31" s="63"/>
      <c r="AB31" s="64"/>
      <c r="AC31" s="72" t="e">
        <f>AC29/AC30</f>
        <v>#DIV/0!</v>
      </c>
      <c r="AD31" s="63"/>
      <c r="AE31" s="64"/>
      <c r="AF31" s="72" t="e">
        <f>AF29/AF30</f>
        <v>#DIV/0!</v>
      </c>
    </row>
    <row r="32" spans="1:32" x14ac:dyDescent="0.3">
      <c r="S32" s="6" t="s">
        <v>85</v>
      </c>
      <c r="T32" s="50" cm="1">
        <f t="array" ref="T32">STDEV(_xlfn._xlws.FILTER(T4:T25,T4:T25&lt;0))</f>
        <v>0.31020154738492201</v>
      </c>
      <c r="U32" s="47"/>
      <c r="V32" s="47"/>
      <c r="W32" s="51" cm="1">
        <f t="array" ref="W32">STDEV(_xlfn._xlws.FILTER(W4:W25,W4:W25&lt;0))</f>
        <v>0.36218096305576292</v>
      </c>
      <c r="X32" s="48"/>
      <c r="Y32" s="47"/>
    </row>
    <row r="33" spans="1:33" s="4" customFormat="1" x14ac:dyDescent="0.3">
      <c r="A33" s="3"/>
      <c r="C33" s="54"/>
      <c r="D33" s="54"/>
      <c r="E33" s="55"/>
      <c r="F33" s="5"/>
      <c r="G33" s="5"/>
      <c r="H33" s="56"/>
      <c r="I33" s="57"/>
      <c r="J33" s="58"/>
      <c r="K33" s="59"/>
      <c r="L33" s="60"/>
      <c r="M33" s="59"/>
      <c r="N33" s="61"/>
      <c r="O33" s="62"/>
      <c r="P33" s="61"/>
      <c r="Q33" s="62"/>
      <c r="R33" s="63"/>
      <c r="S33" s="64" t="s">
        <v>86</v>
      </c>
      <c r="T33" s="70">
        <f>T28/T32</f>
        <v>2.5789684375987276</v>
      </c>
      <c r="U33" s="65"/>
      <c r="V33" s="65"/>
      <c r="W33" s="71">
        <f>W28/W32</f>
        <v>1.5060276521782978</v>
      </c>
      <c r="X33" s="67"/>
      <c r="Y33" s="65"/>
      <c r="Z33" s="73"/>
      <c r="AA33" s="63"/>
      <c r="AB33" s="64"/>
      <c r="AC33" s="74"/>
      <c r="AD33" s="63"/>
      <c r="AE33" s="64"/>
      <c r="AF33" s="74"/>
      <c r="AG33" s="69"/>
    </row>
    <row r="34" spans="1:33" x14ac:dyDescent="0.3">
      <c r="S34" s="6" t="s">
        <v>87</v>
      </c>
      <c r="T34" s="50">
        <f>MIN(T4:T25)</f>
        <v>-0.94</v>
      </c>
      <c r="U34" s="47"/>
      <c r="V34" s="47"/>
      <c r="W34" s="51">
        <f>MIN(W4:W25)</f>
        <v>-0.94</v>
      </c>
      <c r="X34" s="48"/>
      <c r="Y34" s="47"/>
    </row>
    <row r="35" spans="1:33" s="4" customFormat="1" x14ac:dyDescent="0.3">
      <c r="A35" s="3"/>
      <c r="C35" s="54"/>
      <c r="D35" s="54"/>
      <c r="E35" s="55"/>
      <c r="F35" s="5"/>
      <c r="G35" s="5"/>
      <c r="H35" s="56"/>
      <c r="I35" s="57"/>
      <c r="J35" s="58"/>
      <c r="K35" s="59"/>
      <c r="L35" s="60"/>
      <c r="M35" s="59"/>
      <c r="N35" s="61"/>
      <c r="O35" s="62"/>
      <c r="P35" s="61"/>
      <c r="Q35" s="62"/>
      <c r="R35" s="63"/>
      <c r="S35" s="64" t="s">
        <v>88</v>
      </c>
      <c r="T35" s="70" cm="1">
        <f t="array" ref="T35">(PRODUCT(IF(ISNUMBER(T4:T25),T4:T25+1,1)))^(1/T27)/ABS(T34)</f>
        <v>1.1850783938844984</v>
      </c>
      <c r="U35" s="65"/>
      <c r="V35" s="65"/>
      <c r="W35" s="71" cm="1">
        <f t="array" ref="W35">(PRODUCT(IF(ISNUMBER(W4:W25),W4:W25+1,1)))^(1/W27)/ABS(W34)</f>
        <v>0.86052775786455082</v>
      </c>
      <c r="X35" s="67"/>
      <c r="Y35" s="65"/>
      <c r="Z35" s="73"/>
      <c r="AA35" s="63"/>
      <c r="AB35" s="64"/>
      <c r="AC35" s="74"/>
      <c r="AD35" s="63"/>
      <c r="AE35" s="64"/>
      <c r="AF35" s="74"/>
      <c r="AG35" s="69"/>
    </row>
    <row r="36" spans="1:33" x14ac:dyDescent="0.3">
      <c r="T36" s="51"/>
      <c r="U36" s="47"/>
      <c r="V36" s="47"/>
      <c r="W36" s="52"/>
      <c r="X36" s="48"/>
      <c r="Y36" s="47"/>
    </row>
    <row r="37" spans="1:33" x14ac:dyDescent="0.3">
      <c r="T37" s="51"/>
      <c r="U37" s="47"/>
      <c r="V37" s="47"/>
      <c r="W37" s="52"/>
      <c r="X37" s="48"/>
      <c r="Y37" s="47"/>
    </row>
    <row r="38" spans="1:33" x14ac:dyDescent="0.3">
      <c r="T38" s="51"/>
      <c r="U38" s="47"/>
      <c r="V38" s="47"/>
      <c r="W38" s="52"/>
      <c r="X38" s="48"/>
      <c r="Y38" s="47"/>
    </row>
  </sheetData>
  <autoFilter ref="A3:AM25" xr:uid="{00000000-0001-0000-0000-000000000000}">
    <sortState xmlns:xlrd2="http://schemas.microsoft.com/office/spreadsheetml/2017/richdata2" ref="A4:AG25">
      <sortCondition ref="D3:D25"/>
    </sortState>
  </autoFilter>
  <mergeCells count="13">
    <mergeCell ref="X2:Z2"/>
    <mergeCell ref="AA2:AC2"/>
    <mergeCell ref="AD2:AF2"/>
    <mergeCell ref="A1:O1"/>
    <mergeCell ref="R1:AF1"/>
    <mergeCell ref="C2:E2"/>
    <mergeCell ref="F2:G2"/>
    <mergeCell ref="H2:I2"/>
    <mergeCell ref="J2:M2"/>
    <mergeCell ref="N2:O2"/>
    <mergeCell ref="P2:Q2"/>
    <mergeCell ref="R2:T2"/>
    <mergeCell ref="U2:W2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A636-6AA8-4E88-8755-1F4049E6BC13}">
  <dimension ref="A1:AG42"/>
  <sheetViews>
    <sheetView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V16" sqref="A16:V16"/>
    </sheetView>
  </sheetViews>
  <sheetFormatPr defaultRowHeight="14.4" outlineLevelCol="1" x14ac:dyDescent="0.3"/>
  <cols>
    <col min="1" max="1" width="17.33203125" style="1" customWidth="1"/>
    <col min="3" max="4" width="11" style="25" customWidth="1"/>
    <col min="5" max="5" width="11" style="24" bestFit="1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8.44140625" style="26" customWidth="1" outlineLevel="1"/>
    <col min="15" max="15" width="8.44140625" style="28" customWidth="1" outlineLevel="1"/>
    <col min="16" max="16" width="8.44140625" style="26" customWidth="1" outlineLevel="1"/>
    <col min="17" max="17" width="8.44140625" style="28" customWidth="1" outlineLevel="1"/>
    <col min="18" max="18" width="8.44140625" style="36" bestFit="1" customWidth="1"/>
    <col min="19" max="19" width="8.21875" style="6" customWidth="1"/>
    <col min="20" max="20" width="9.44140625" style="37" bestFit="1" customWidth="1"/>
    <col min="21" max="21" width="8.44140625" style="6" bestFit="1" customWidth="1"/>
    <col min="22" max="22" width="8.21875" style="6" bestFit="1" customWidth="1"/>
    <col min="23" max="23" width="9.44140625" style="38" bestFit="1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3" t="s">
        <v>62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35"/>
      <c r="Q1" s="31"/>
      <c r="R1" s="116" t="s">
        <v>65</v>
      </c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</row>
    <row r="2" spans="1:33" s="34" customFormat="1" ht="30.6" customHeight="1" x14ac:dyDescent="0.3">
      <c r="A2" s="33"/>
      <c r="C2" s="139" t="s">
        <v>37</v>
      </c>
      <c r="D2" s="139"/>
      <c r="E2" s="139"/>
      <c r="F2" s="140" t="s">
        <v>30</v>
      </c>
      <c r="G2" s="140"/>
      <c r="H2" s="141" t="s">
        <v>31</v>
      </c>
      <c r="I2" s="142"/>
      <c r="J2" s="141" t="s">
        <v>59</v>
      </c>
      <c r="K2" s="143"/>
      <c r="L2" s="142"/>
      <c r="M2" s="143"/>
      <c r="N2" s="154" t="s">
        <v>63</v>
      </c>
      <c r="O2" s="154"/>
      <c r="P2" s="154" t="s">
        <v>64</v>
      </c>
      <c r="Q2" s="154"/>
      <c r="R2" s="155" t="s">
        <v>35</v>
      </c>
      <c r="S2" s="155"/>
      <c r="T2" s="156"/>
      <c r="U2" s="150" t="s">
        <v>69</v>
      </c>
      <c r="V2" s="151"/>
      <c r="W2" s="151"/>
      <c r="X2" s="148" t="s">
        <v>70</v>
      </c>
      <c r="Y2" s="149"/>
      <c r="Z2" s="149"/>
      <c r="AA2" s="150" t="s">
        <v>67</v>
      </c>
      <c r="AB2" s="151"/>
      <c r="AC2" s="151"/>
      <c r="AD2" s="152" t="s">
        <v>66</v>
      </c>
      <c r="AE2" s="149"/>
      <c r="AF2" s="149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29</v>
      </c>
      <c r="B4" t="s">
        <v>10</v>
      </c>
      <c r="C4" s="25">
        <v>45413</v>
      </c>
      <c r="D4" s="25">
        <v>45444</v>
      </c>
      <c r="E4" s="24">
        <v>37.125</v>
      </c>
      <c r="F4" s="2">
        <v>0.158707832059029</v>
      </c>
      <c r="G4" s="2">
        <v>-8.2200264529681696E-2</v>
      </c>
      <c r="H4" s="15">
        <v>0.15151515151515099</v>
      </c>
      <c r="I4" s="16">
        <v>0.12619532318629001</v>
      </c>
      <c r="J4" s="17">
        <v>0.34868686046664499</v>
      </c>
      <c r="K4" s="18">
        <v>57</v>
      </c>
      <c r="L4" s="19">
        <v>-0.124848439637258</v>
      </c>
      <c r="M4" s="18">
        <v>14</v>
      </c>
      <c r="N4" s="26">
        <v>13</v>
      </c>
      <c r="P4" s="26">
        <v>14</v>
      </c>
      <c r="R4" s="36">
        <v>7</v>
      </c>
      <c r="S4" s="6" t="s">
        <v>8</v>
      </c>
      <c r="T4" s="37">
        <v>0.35949999999999999</v>
      </c>
      <c r="U4" s="39">
        <f t="shared" ref="U4:U32" si="0">O4</f>
        <v>0</v>
      </c>
      <c r="V4" s="6" t="s">
        <v>6</v>
      </c>
      <c r="W4" s="38" t="s">
        <v>6</v>
      </c>
      <c r="X4" s="43">
        <f>N4</f>
        <v>13</v>
      </c>
      <c r="Y4" s="6" t="s">
        <v>8</v>
      </c>
      <c r="Z4" s="41">
        <v>0.50449999999999995</v>
      </c>
      <c r="AA4" s="43">
        <f>Q4</f>
        <v>0</v>
      </c>
      <c r="AB4" s="6" t="s">
        <v>6</v>
      </c>
      <c r="AC4" s="38" t="s">
        <v>6</v>
      </c>
      <c r="AD4" s="43">
        <f>P4</f>
        <v>14</v>
      </c>
      <c r="AE4" s="6" t="s">
        <v>8</v>
      </c>
      <c r="AF4" s="38">
        <v>0.54110000000000003</v>
      </c>
    </row>
    <row r="5" spans="1:33" x14ac:dyDescent="0.3">
      <c r="A5" s="1" t="s">
        <v>29</v>
      </c>
      <c r="B5" t="s">
        <v>39</v>
      </c>
      <c r="C5" s="25">
        <v>45413</v>
      </c>
      <c r="D5" s="25">
        <v>45444</v>
      </c>
      <c r="E5" s="24">
        <v>17.045000076293899</v>
      </c>
      <c r="F5" s="2">
        <v>0.73928568821954299</v>
      </c>
      <c r="G5" s="2">
        <v>0.35063393271487597</v>
      </c>
      <c r="H5" s="15">
        <v>0.466705772255748</v>
      </c>
      <c r="I5" s="16">
        <v>4.9574614817967197E-2</v>
      </c>
      <c r="J5" s="17">
        <v>0.78938104215201199</v>
      </c>
      <c r="K5" s="18">
        <v>70</v>
      </c>
      <c r="L5" s="19">
        <v>-0.25198005614956798</v>
      </c>
      <c r="M5" s="18">
        <v>15</v>
      </c>
      <c r="N5" s="26">
        <v>11</v>
      </c>
      <c r="O5" s="28">
        <v>14</v>
      </c>
      <c r="P5" s="26">
        <v>11</v>
      </c>
      <c r="Q5" s="28">
        <v>14</v>
      </c>
      <c r="R5" s="36">
        <v>7</v>
      </c>
      <c r="S5" s="6" t="s">
        <v>8</v>
      </c>
      <c r="T5" s="37">
        <v>0.80200000000000005</v>
      </c>
      <c r="U5" s="39">
        <f t="shared" si="0"/>
        <v>14</v>
      </c>
      <c r="V5" s="6" t="s">
        <v>8</v>
      </c>
      <c r="W5" s="38">
        <v>1.319</v>
      </c>
      <c r="X5" s="43">
        <f>N5</f>
        <v>11</v>
      </c>
      <c r="Y5" s="6" t="s">
        <v>8</v>
      </c>
      <c r="Z5" s="41">
        <v>1.319</v>
      </c>
      <c r="AA5" s="43">
        <f>Q5</f>
        <v>14</v>
      </c>
      <c r="AB5" s="6" t="s">
        <v>8</v>
      </c>
      <c r="AC5" s="38">
        <v>1.319</v>
      </c>
      <c r="AD5" s="43">
        <f>P5</f>
        <v>11</v>
      </c>
      <c r="AE5" s="6" t="s">
        <v>8</v>
      </c>
      <c r="AF5" s="41">
        <v>1.319</v>
      </c>
    </row>
    <row r="6" spans="1:33" x14ac:dyDescent="0.3">
      <c r="A6" s="1" t="s">
        <v>29</v>
      </c>
      <c r="B6" t="s">
        <v>48</v>
      </c>
      <c r="C6" s="25">
        <v>45413</v>
      </c>
      <c r="D6" s="25">
        <v>45444</v>
      </c>
      <c r="E6" s="24">
        <v>10.844999790191601</v>
      </c>
      <c r="F6" s="2">
        <v>-0.18519913987320699</v>
      </c>
      <c r="G6" s="2">
        <v>3.28571228753953E-2</v>
      </c>
      <c r="H6" s="15">
        <v>1.0603988029518299E-2</v>
      </c>
      <c r="I6" s="16">
        <v>-0.16274780088809901</v>
      </c>
      <c r="J6" s="17">
        <v>0.61456897811266797</v>
      </c>
      <c r="K6" s="18">
        <v>32</v>
      </c>
      <c r="L6" s="19">
        <v>-0.28630706123956601</v>
      </c>
      <c r="M6" s="18">
        <v>23</v>
      </c>
      <c r="N6" s="26">
        <v>8</v>
      </c>
      <c r="O6" s="28">
        <v>19</v>
      </c>
      <c r="P6" s="26">
        <v>15</v>
      </c>
      <c r="Q6" s="28">
        <v>22</v>
      </c>
      <c r="R6" s="36">
        <v>7</v>
      </c>
      <c r="S6" s="6" t="s">
        <v>8</v>
      </c>
      <c r="T6" s="37">
        <v>0.72509999999999997</v>
      </c>
      <c r="U6" s="39">
        <f t="shared" si="0"/>
        <v>19</v>
      </c>
      <c r="V6" s="6" t="s">
        <v>8</v>
      </c>
      <c r="W6" s="38">
        <v>0.6</v>
      </c>
      <c r="X6" s="43">
        <f>N6</f>
        <v>8</v>
      </c>
      <c r="Y6" s="6" t="s">
        <v>8</v>
      </c>
      <c r="Z6" s="40">
        <v>0.72509999999999997</v>
      </c>
      <c r="AA6" s="43">
        <f>Q6</f>
        <v>22</v>
      </c>
      <c r="AB6" s="6" t="s">
        <v>8</v>
      </c>
      <c r="AC6" s="38">
        <v>0.65</v>
      </c>
      <c r="AD6" s="43">
        <f>P6</f>
        <v>15</v>
      </c>
      <c r="AE6" s="6" t="s">
        <v>8</v>
      </c>
      <c r="AF6" s="40">
        <v>0.9</v>
      </c>
    </row>
    <row r="7" spans="1:33" x14ac:dyDescent="0.3">
      <c r="A7" s="1" t="s">
        <v>29</v>
      </c>
      <c r="B7" t="s">
        <v>51</v>
      </c>
      <c r="C7" s="25">
        <v>45444</v>
      </c>
      <c r="D7" s="25">
        <v>45474</v>
      </c>
      <c r="E7" s="24">
        <v>18.459999084472599</v>
      </c>
      <c r="F7" s="2">
        <v>0.24898507564192501</v>
      </c>
      <c r="G7" s="2">
        <v>0.15374994277954099</v>
      </c>
      <c r="H7" s="15">
        <v>0.38678232129506201</v>
      </c>
      <c r="I7" s="16">
        <v>0.65222110036043202</v>
      </c>
      <c r="J7" s="17">
        <v>0.65492961821201801</v>
      </c>
      <c r="K7" s="18">
        <v>149</v>
      </c>
      <c r="L7" s="19">
        <v>0</v>
      </c>
      <c r="M7" s="18">
        <v>0</v>
      </c>
      <c r="R7" s="36">
        <v>7</v>
      </c>
      <c r="S7" s="6" t="s">
        <v>8</v>
      </c>
      <c r="T7" s="37">
        <v>0.60540000000000005</v>
      </c>
      <c r="U7" s="39">
        <f t="shared" si="0"/>
        <v>0</v>
      </c>
      <c r="V7" s="6" t="s">
        <v>6</v>
      </c>
      <c r="W7" s="38" t="s">
        <v>6</v>
      </c>
      <c r="X7" s="43" t="s">
        <v>6</v>
      </c>
      <c r="Y7" s="6" t="s">
        <v>6</v>
      </c>
      <c r="Z7" s="41" t="s">
        <v>6</v>
      </c>
      <c r="AA7" s="43" t="s">
        <v>6</v>
      </c>
      <c r="AB7" s="6" t="s">
        <v>6</v>
      </c>
      <c r="AC7" s="38" t="s">
        <v>6</v>
      </c>
      <c r="AD7" s="43" t="s">
        <v>6</v>
      </c>
      <c r="AE7" s="6" t="s">
        <v>6</v>
      </c>
      <c r="AF7" s="38" t="s">
        <v>6</v>
      </c>
    </row>
    <row r="8" spans="1:33" x14ac:dyDescent="0.3">
      <c r="A8" s="1" t="s">
        <v>29</v>
      </c>
      <c r="B8" t="s">
        <v>9</v>
      </c>
      <c r="C8" s="25">
        <v>45444</v>
      </c>
      <c r="D8" s="25">
        <v>45474</v>
      </c>
      <c r="E8" s="24">
        <v>27.059999465942301</v>
      </c>
      <c r="F8" s="2">
        <v>-0.37201208238294198</v>
      </c>
      <c r="G8" s="2">
        <v>-3.2534854120558399E-2</v>
      </c>
      <c r="H8" s="15">
        <v>-0.36363637645198299</v>
      </c>
      <c r="I8" s="16">
        <v>-0.84331116575022003</v>
      </c>
      <c r="J8" s="17">
        <v>0.18588325151211599</v>
      </c>
      <c r="K8" s="18">
        <v>48</v>
      </c>
      <c r="L8" s="19">
        <v>-0.85809312675699301</v>
      </c>
      <c r="M8" s="18">
        <v>148</v>
      </c>
      <c r="N8" s="26">
        <v>5</v>
      </c>
      <c r="O8" s="28">
        <v>23</v>
      </c>
      <c r="P8" s="26">
        <v>21</v>
      </c>
      <c r="Q8" s="28">
        <v>25</v>
      </c>
      <c r="R8" s="36">
        <v>7</v>
      </c>
      <c r="S8" s="6" t="s">
        <v>8</v>
      </c>
      <c r="T8" s="37">
        <v>0.26400000000000001</v>
      </c>
      <c r="U8" s="39">
        <f t="shared" si="0"/>
        <v>23</v>
      </c>
      <c r="V8" s="6" t="s">
        <v>8</v>
      </c>
      <c r="W8" s="38">
        <v>0.51400000000000001</v>
      </c>
      <c r="X8" s="43">
        <f t="shared" ref="X8:X32" si="1">N8</f>
        <v>5</v>
      </c>
      <c r="Y8" s="6" t="s">
        <v>8</v>
      </c>
      <c r="Z8" s="41">
        <v>0.51400000000000001</v>
      </c>
      <c r="AA8" s="43">
        <f t="shared" ref="AA8:AA32" si="2">Q8</f>
        <v>25</v>
      </c>
      <c r="AB8" s="6" t="s">
        <v>8</v>
      </c>
      <c r="AC8" s="38">
        <v>0.60799999999999998</v>
      </c>
      <c r="AD8" s="43">
        <f t="shared" ref="AD8:AD19" si="3">P8</f>
        <v>21</v>
      </c>
      <c r="AE8" s="6" t="s">
        <v>8</v>
      </c>
      <c r="AF8" s="38">
        <v>0.40600000000000003</v>
      </c>
    </row>
    <row r="9" spans="1:33" x14ac:dyDescent="0.3">
      <c r="A9" s="1" t="s">
        <v>29</v>
      </c>
      <c r="B9" t="s">
        <v>20</v>
      </c>
      <c r="C9" s="25">
        <v>45474</v>
      </c>
      <c r="D9" s="25">
        <v>45505</v>
      </c>
      <c r="E9" s="24">
        <v>11.198848724365201</v>
      </c>
      <c r="F9" s="2">
        <v>-0.41970780123114698</v>
      </c>
      <c r="G9" s="2">
        <v>0.23202251935847401</v>
      </c>
      <c r="H9" s="15">
        <v>-0.20788439325260499</v>
      </c>
      <c r="I9" s="16">
        <v>-0.47357714195981798</v>
      </c>
      <c r="J9" s="17">
        <v>0.194135679567913</v>
      </c>
      <c r="K9" s="18">
        <v>88</v>
      </c>
      <c r="L9" s="19">
        <v>-0.47357714195981798</v>
      </c>
      <c r="M9" s="18">
        <v>150</v>
      </c>
      <c r="N9" s="26">
        <v>2</v>
      </c>
      <c r="O9" s="28">
        <v>59</v>
      </c>
      <c r="P9" s="26">
        <v>64</v>
      </c>
      <c r="Q9" s="28">
        <v>148</v>
      </c>
      <c r="R9" s="36">
        <v>7</v>
      </c>
      <c r="S9" s="6" t="s">
        <v>8</v>
      </c>
      <c r="T9" s="37">
        <v>0.42549999999999999</v>
      </c>
      <c r="U9" s="39">
        <f t="shared" si="0"/>
        <v>59</v>
      </c>
      <c r="V9" s="6" t="s">
        <v>8</v>
      </c>
      <c r="W9" s="38">
        <v>0.52390000000000003</v>
      </c>
      <c r="X9" s="43">
        <f t="shared" si="1"/>
        <v>2</v>
      </c>
      <c r="Y9" s="6" t="s">
        <v>8</v>
      </c>
      <c r="Z9" s="40">
        <v>0.42549999999999999</v>
      </c>
      <c r="AA9" s="43">
        <f t="shared" si="2"/>
        <v>148</v>
      </c>
      <c r="AB9" s="6" t="s">
        <v>6</v>
      </c>
      <c r="AC9" s="38" t="s">
        <v>6</v>
      </c>
      <c r="AD9" s="43">
        <f t="shared" si="3"/>
        <v>64</v>
      </c>
      <c r="AE9" s="6" t="s">
        <v>8</v>
      </c>
      <c r="AF9" s="38">
        <v>0.60780000000000001</v>
      </c>
    </row>
    <row r="10" spans="1:33" x14ac:dyDescent="0.3">
      <c r="A10" s="1" t="s">
        <v>29</v>
      </c>
      <c r="B10" t="s">
        <v>44</v>
      </c>
      <c r="C10" s="25">
        <v>45505</v>
      </c>
      <c r="D10" s="25">
        <v>45536</v>
      </c>
      <c r="E10" s="24">
        <v>167.38000488281199</v>
      </c>
      <c r="F10" s="2">
        <v>-0.130448334426606</v>
      </c>
      <c r="G10" s="2">
        <v>-0.104392929373173</v>
      </c>
      <c r="H10" s="15">
        <v>3.1305951018723202E-2</v>
      </c>
      <c r="I10" s="16">
        <v>-3.9192241410116603E-2</v>
      </c>
      <c r="J10" s="17">
        <v>0.11273745110952101</v>
      </c>
      <c r="K10" s="18">
        <v>111</v>
      </c>
      <c r="L10" s="19">
        <v>-0.18395272820358</v>
      </c>
      <c r="M10" s="18">
        <v>147</v>
      </c>
      <c r="N10" s="26">
        <v>22</v>
      </c>
      <c r="P10" s="26">
        <v>50</v>
      </c>
      <c r="R10" s="36">
        <v>7</v>
      </c>
      <c r="S10" s="6" t="s">
        <v>8</v>
      </c>
      <c r="T10" s="37">
        <v>0.14399999999999999</v>
      </c>
      <c r="U10" s="39">
        <f t="shared" si="0"/>
        <v>0</v>
      </c>
      <c r="V10" s="6" t="s">
        <v>6</v>
      </c>
      <c r="W10" s="38" t="s">
        <v>6</v>
      </c>
      <c r="X10" s="43">
        <f t="shared" si="1"/>
        <v>22</v>
      </c>
      <c r="Y10" s="6" t="s">
        <v>8</v>
      </c>
      <c r="Z10" s="41">
        <v>0.2374</v>
      </c>
      <c r="AA10" s="43">
        <f t="shared" si="2"/>
        <v>0</v>
      </c>
      <c r="AB10" s="6" t="s">
        <v>6</v>
      </c>
      <c r="AC10" s="38" t="s">
        <v>6</v>
      </c>
      <c r="AD10" s="43">
        <f t="shared" si="3"/>
        <v>50</v>
      </c>
      <c r="AE10" s="6" t="s">
        <v>8</v>
      </c>
      <c r="AF10" s="38">
        <v>0.28299999999999997</v>
      </c>
    </row>
    <row r="11" spans="1:33" x14ac:dyDescent="0.3">
      <c r="A11" s="1" t="s">
        <v>29</v>
      </c>
      <c r="B11" t="s">
        <v>26</v>
      </c>
      <c r="C11" s="25">
        <v>45505</v>
      </c>
      <c r="D11" s="25">
        <v>45536</v>
      </c>
      <c r="E11" s="24">
        <v>5.04500007629394</v>
      </c>
      <c r="F11" s="2">
        <v>-0.55248737357608801</v>
      </c>
      <c r="G11" s="2">
        <v>-0.37716051374079701</v>
      </c>
      <c r="H11" s="15">
        <v>-7.0366702419213695E-2</v>
      </c>
      <c r="I11" s="16">
        <v>-0.21506442452702801</v>
      </c>
      <c r="J11" s="17">
        <v>0.201189266825782</v>
      </c>
      <c r="K11" s="18">
        <v>28</v>
      </c>
      <c r="L11" s="19">
        <v>-0.38156593887486401</v>
      </c>
      <c r="M11" s="18">
        <v>131</v>
      </c>
      <c r="N11" s="26">
        <v>3</v>
      </c>
      <c r="O11" s="28">
        <v>14</v>
      </c>
      <c r="P11" s="26">
        <v>104</v>
      </c>
      <c r="Q11" s="28">
        <v>131</v>
      </c>
      <c r="R11" s="36">
        <v>7</v>
      </c>
      <c r="S11" s="6" t="s">
        <v>8</v>
      </c>
      <c r="T11" s="37">
        <v>0.5</v>
      </c>
      <c r="U11" s="39">
        <f t="shared" si="0"/>
        <v>14</v>
      </c>
      <c r="V11" s="6" t="s">
        <v>8</v>
      </c>
      <c r="W11" s="38">
        <v>0.35</v>
      </c>
      <c r="X11" s="43">
        <f t="shared" si="1"/>
        <v>3</v>
      </c>
      <c r="Y11" s="6" t="s">
        <v>8</v>
      </c>
      <c r="Z11" s="41">
        <v>0.5</v>
      </c>
      <c r="AA11" s="43">
        <f t="shared" si="2"/>
        <v>131</v>
      </c>
      <c r="AB11" s="6" t="s">
        <v>8</v>
      </c>
      <c r="AC11" s="38">
        <v>0.25</v>
      </c>
      <c r="AD11" s="43">
        <f t="shared" si="3"/>
        <v>104</v>
      </c>
      <c r="AE11" s="6" t="s">
        <v>8</v>
      </c>
      <c r="AF11" s="41">
        <v>0.3861</v>
      </c>
    </row>
    <row r="12" spans="1:33" x14ac:dyDescent="0.3">
      <c r="A12" s="1" t="s">
        <v>29</v>
      </c>
      <c r="B12" t="s">
        <v>47</v>
      </c>
      <c r="C12" s="25">
        <v>45505</v>
      </c>
      <c r="D12" s="25">
        <v>45536</v>
      </c>
      <c r="E12" s="24">
        <v>4.6564192771911603</v>
      </c>
      <c r="F12" s="2">
        <v>-0.118568912961241</v>
      </c>
      <c r="G12" s="2">
        <v>-0.22299385331503199</v>
      </c>
      <c r="H12" s="15">
        <v>-0.325183592912765</v>
      </c>
      <c r="I12" s="16">
        <v>-0.223759497866868</v>
      </c>
      <c r="J12" s="17">
        <v>0.20268966830134499</v>
      </c>
      <c r="K12" s="18">
        <v>46</v>
      </c>
      <c r="L12" s="19">
        <v>-0.387093315572339</v>
      </c>
      <c r="M12" s="18">
        <v>82</v>
      </c>
      <c r="N12" s="26">
        <v>6</v>
      </c>
      <c r="O12" s="28">
        <v>71</v>
      </c>
      <c r="P12" s="26">
        <v>70</v>
      </c>
      <c r="Q12" s="28">
        <v>73</v>
      </c>
      <c r="R12" s="36">
        <v>7</v>
      </c>
      <c r="S12" s="6" t="s">
        <v>8</v>
      </c>
      <c r="T12" s="37">
        <v>0.31900000000000001</v>
      </c>
      <c r="U12" s="39">
        <f t="shared" si="0"/>
        <v>71</v>
      </c>
      <c r="V12" s="6" t="s">
        <v>8</v>
      </c>
      <c r="W12" s="38">
        <v>0.38500000000000001</v>
      </c>
      <c r="X12" s="43">
        <f t="shared" si="1"/>
        <v>6</v>
      </c>
      <c r="Y12" s="6" t="s">
        <v>8</v>
      </c>
      <c r="Z12" s="40">
        <v>0.31900000000000001</v>
      </c>
      <c r="AA12" s="43">
        <f t="shared" si="2"/>
        <v>73</v>
      </c>
      <c r="AB12" s="6" t="s">
        <v>8</v>
      </c>
      <c r="AC12" s="38">
        <v>0.50729999999999997</v>
      </c>
      <c r="AD12" s="43">
        <f t="shared" si="3"/>
        <v>70</v>
      </c>
      <c r="AE12" s="6" t="s">
        <v>8</v>
      </c>
      <c r="AF12" s="38">
        <v>0.35370000000000001</v>
      </c>
    </row>
    <row r="13" spans="1:33" x14ac:dyDescent="0.3">
      <c r="A13" s="1" t="s">
        <v>29</v>
      </c>
      <c r="B13" t="s">
        <v>57</v>
      </c>
      <c r="C13" s="25">
        <v>45505</v>
      </c>
      <c r="D13" s="25">
        <v>45536</v>
      </c>
      <c r="E13" s="24">
        <v>18.134930610656699</v>
      </c>
      <c r="F13" s="2">
        <v>0.16522219910060901</v>
      </c>
      <c r="G13" s="2">
        <v>0.129957327974907</v>
      </c>
      <c r="H13" s="15">
        <v>0.21270068715823501</v>
      </c>
      <c r="I13" s="16">
        <v>-0.31986795438521698</v>
      </c>
      <c r="J13" s="17">
        <v>0.46777659671643401</v>
      </c>
      <c r="K13" s="18">
        <v>102</v>
      </c>
      <c r="L13" s="19">
        <v>-0.46662755544018902</v>
      </c>
      <c r="M13" s="18">
        <v>149</v>
      </c>
      <c r="N13" s="26">
        <v>37</v>
      </c>
      <c r="O13" s="28">
        <v>146</v>
      </c>
      <c r="P13" s="26">
        <v>146</v>
      </c>
      <c r="Q13" s="28">
        <v>146</v>
      </c>
      <c r="R13" s="36">
        <v>7</v>
      </c>
      <c r="S13" s="6" t="s">
        <v>8</v>
      </c>
      <c r="T13" s="37">
        <v>0.56799999999999995</v>
      </c>
      <c r="U13" s="39">
        <f t="shared" si="0"/>
        <v>146</v>
      </c>
      <c r="V13" s="6" t="s">
        <v>6</v>
      </c>
      <c r="W13" s="38" t="s">
        <v>6</v>
      </c>
      <c r="X13" s="43">
        <f t="shared" si="1"/>
        <v>37</v>
      </c>
      <c r="Y13" s="6" t="s">
        <v>8</v>
      </c>
      <c r="Z13" s="41">
        <v>0.63200000000000001</v>
      </c>
      <c r="AA13" s="43">
        <f t="shared" si="2"/>
        <v>146</v>
      </c>
      <c r="AB13" s="6" t="s">
        <v>6</v>
      </c>
      <c r="AC13" s="38" t="s">
        <v>6</v>
      </c>
      <c r="AD13" s="43">
        <f t="shared" si="3"/>
        <v>146</v>
      </c>
      <c r="AE13" s="6" t="s">
        <v>6</v>
      </c>
      <c r="AF13" s="41" t="s">
        <v>6</v>
      </c>
    </row>
    <row r="14" spans="1:33" x14ac:dyDescent="0.3">
      <c r="A14" s="1" t="s">
        <v>29</v>
      </c>
      <c r="B14" t="s">
        <v>53</v>
      </c>
      <c r="C14" s="25">
        <v>45536</v>
      </c>
      <c r="D14" s="25">
        <v>45566</v>
      </c>
      <c r="E14" s="24">
        <v>37.889999389648402</v>
      </c>
      <c r="F14" s="2">
        <v>0.324362061563159</v>
      </c>
      <c r="G14" s="2">
        <v>1.36436144184124E-2</v>
      </c>
      <c r="H14" s="15">
        <v>0.15017161607452401</v>
      </c>
      <c r="I14" s="16">
        <v>0.21483239695887299</v>
      </c>
      <c r="J14" s="17">
        <v>0.35814198768584699</v>
      </c>
      <c r="K14" s="18">
        <v>146</v>
      </c>
      <c r="L14" s="19">
        <v>-0.14621274755261299</v>
      </c>
      <c r="M14" s="18">
        <v>22</v>
      </c>
      <c r="N14" s="26">
        <v>16</v>
      </c>
      <c r="R14" s="36">
        <v>7</v>
      </c>
      <c r="S14" s="6" t="s">
        <v>8</v>
      </c>
      <c r="T14" s="37">
        <v>0.45200000000000001</v>
      </c>
      <c r="U14" s="39">
        <f t="shared" si="0"/>
        <v>0</v>
      </c>
      <c r="V14" s="6" t="s">
        <v>6</v>
      </c>
      <c r="W14" s="41" t="s">
        <v>6</v>
      </c>
      <c r="X14" s="43">
        <f t="shared" si="1"/>
        <v>16</v>
      </c>
      <c r="Y14" s="6" t="s">
        <v>8</v>
      </c>
      <c r="Z14" s="41">
        <v>0.52249999999999996</v>
      </c>
      <c r="AA14" s="43">
        <f t="shared" si="2"/>
        <v>0</v>
      </c>
      <c r="AB14" s="6" t="s">
        <v>6</v>
      </c>
      <c r="AC14" s="38" t="s">
        <v>6</v>
      </c>
      <c r="AD14" s="43">
        <f t="shared" si="3"/>
        <v>0</v>
      </c>
      <c r="AE14" s="6" t="s">
        <v>6</v>
      </c>
      <c r="AF14" s="38" t="s">
        <v>6</v>
      </c>
    </row>
    <row r="15" spans="1:33" x14ac:dyDescent="0.3">
      <c r="A15" s="1" t="s">
        <v>29</v>
      </c>
      <c r="B15" t="s">
        <v>14</v>
      </c>
      <c r="C15" s="25">
        <v>45536</v>
      </c>
      <c r="D15" s="25">
        <v>45566</v>
      </c>
      <c r="E15" s="24">
        <v>2.8099999427795401</v>
      </c>
      <c r="F15" s="2">
        <v>0.37073171128835197</v>
      </c>
      <c r="G15" s="2">
        <v>-0.242587624289339</v>
      </c>
      <c r="H15" s="15">
        <v>-0.23131667978110301</v>
      </c>
      <c r="I15" s="16">
        <v>0.46975096033478297</v>
      </c>
      <c r="J15" s="17">
        <v>1.32028473796949</v>
      </c>
      <c r="K15" s="18">
        <v>92</v>
      </c>
      <c r="L15" s="19">
        <v>-0.56939499544968297</v>
      </c>
      <c r="M15" s="18">
        <v>35</v>
      </c>
      <c r="N15" s="26">
        <v>27</v>
      </c>
      <c r="O15" s="28">
        <v>27</v>
      </c>
      <c r="P15" s="26">
        <v>27</v>
      </c>
      <c r="Q15" s="28">
        <v>27</v>
      </c>
      <c r="R15" s="36">
        <v>7</v>
      </c>
      <c r="S15" s="6" t="s">
        <v>8</v>
      </c>
      <c r="T15" s="37">
        <v>1.2030000000000001</v>
      </c>
      <c r="U15" s="39">
        <f t="shared" si="0"/>
        <v>27</v>
      </c>
      <c r="V15" s="6" t="s">
        <v>8</v>
      </c>
      <c r="W15" s="45">
        <v>2.31</v>
      </c>
      <c r="X15" s="43">
        <f t="shared" si="1"/>
        <v>27</v>
      </c>
      <c r="Y15" s="6" t="s">
        <v>8</v>
      </c>
      <c r="Z15" s="45">
        <v>2.31</v>
      </c>
      <c r="AA15" s="43">
        <f t="shared" si="2"/>
        <v>27</v>
      </c>
      <c r="AB15" s="6" t="s">
        <v>8</v>
      </c>
      <c r="AC15" s="38">
        <v>2.31</v>
      </c>
      <c r="AD15" s="43">
        <f t="shared" si="3"/>
        <v>27</v>
      </c>
      <c r="AE15" s="6" t="s">
        <v>8</v>
      </c>
      <c r="AF15" s="38">
        <v>2.31</v>
      </c>
    </row>
    <row r="16" spans="1:33" x14ac:dyDescent="0.3">
      <c r="A16" s="1" t="s">
        <v>29</v>
      </c>
      <c r="B16" t="s">
        <v>15</v>
      </c>
      <c r="C16" s="25">
        <v>45566</v>
      </c>
      <c r="D16" s="25">
        <v>45597</v>
      </c>
      <c r="E16" s="24">
        <v>6.3299999237060502</v>
      </c>
      <c r="F16" s="2">
        <v>0.35250915174318598</v>
      </c>
      <c r="G16" s="2">
        <v>0.198863574275467</v>
      </c>
      <c r="H16" s="15">
        <v>-0.50868879422118496</v>
      </c>
      <c r="I16" s="16">
        <v>-0.48815165109199399</v>
      </c>
      <c r="J16" s="17">
        <v>1.57981500827264E-3</v>
      </c>
      <c r="K16" s="18">
        <v>3</v>
      </c>
      <c r="L16" s="19">
        <v>-0.64139020406220004</v>
      </c>
      <c r="M16" s="18">
        <v>110</v>
      </c>
      <c r="N16" s="26">
        <v>14</v>
      </c>
      <c r="O16" s="28">
        <v>14</v>
      </c>
      <c r="P16" s="26">
        <v>14</v>
      </c>
      <c r="Q16" s="28">
        <v>15</v>
      </c>
      <c r="R16" s="36">
        <v>7</v>
      </c>
      <c r="S16" s="6" t="s">
        <v>71</v>
      </c>
      <c r="T16" s="37">
        <v>-0.61499999999999999</v>
      </c>
      <c r="U16" s="39">
        <f t="shared" si="0"/>
        <v>14</v>
      </c>
      <c r="V16" s="6" t="s">
        <v>71</v>
      </c>
      <c r="W16" s="38">
        <v>-0.5423</v>
      </c>
      <c r="X16" s="43">
        <f t="shared" si="1"/>
        <v>14</v>
      </c>
      <c r="Y16" s="6" t="s">
        <v>71</v>
      </c>
      <c r="Z16" s="38">
        <v>-0.5423</v>
      </c>
      <c r="AA16" s="43">
        <f t="shared" si="2"/>
        <v>15</v>
      </c>
      <c r="AB16" s="6" t="s">
        <v>71</v>
      </c>
      <c r="AC16" s="38">
        <v>-0.5423</v>
      </c>
      <c r="AD16" s="43">
        <f t="shared" si="3"/>
        <v>14</v>
      </c>
      <c r="AE16" s="6" t="s">
        <v>71</v>
      </c>
      <c r="AF16" s="38">
        <v>-0.5423</v>
      </c>
    </row>
    <row r="17" spans="1:32" x14ac:dyDescent="0.3">
      <c r="A17" s="1" t="s">
        <v>29</v>
      </c>
      <c r="B17" t="s">
        <v>54</v>
      </c>
      <c r="C17" s="25">
        <v>45627</v>
      </c>
      <c r="D17" s="25">
        <v>45658</v>
      </c>
      <c r="E17" s="24">
        <v>19.675000190734799</v>
      </c>
      <c r="F17" s="2">
        <v>-0.115730328506298</v>
      </c>
      <c r="G17" s="2">
        <v>0.26608753146925701</v>
      </c>
      <c r="H17" s="15">
        <v>-0.44040660116148</v>
      </c>
      <c r="I17" s="16">
        <v>-0.234053390153418</v>
      </c>
      <c r="J17" s="17">
        <v>0.26658194839708299</v>
      </c>
      <c r="K17" s="18">
        <v>11</v>
      </c>
      <c r="L17" s="19">
        <v>-0.53494284473556997</v>
      </c>
      <c r="M17" s="18">
        <v>65</v>
      </c>
      <c r="N17" s="26">
        <v>18</v>
      </c>
      <c r="O17" s="28">
        <v>35</v>
      </c>
      <c r="P17" s="26">
        <v>18</v>
      </c>
      <c r="Q17" s="28">
        <v>24</v>
      </c>
      <c r="R17" s="36">
        <v>7</v>
      </c>
      <c r="S17" s="6" t="s">
        <v>71</v>
      </c>
      <c r="T17" s="37">
        <v>-0.55800000000000005</v>
      </c>
      <c r="U17" s="39">
        <f t="shared" si="0"/>
        <v>35</v>
      </c>
      <c r="V17" s="6" t="s">
        <v>8</v>
      </c>
      <c r="W17" s="38">
        <v>0.2147</v>
      </c>
      <c r="X17" s="43">
        <f t="shared" si="1"/>
        <v>18</v>
      </c>
      <c r="Y17" s="6" t="s">
        <v>71</v>
      </c>
      <c r="Z17" s="41">
        <v>-0.1</v>
      </c>
      <c r="AA17" s="43">
        <f t="shared" si="2"/>
        <v>24</v>
      </c>
      <c r="AB17" s="6" t="s">
        <v>71</v>
      </c>
      <c r="AC17" s="38">
        <v>0</v>
      </c>
      <c r="AD17" s="43">
        <f t="shared" si="3"/>
        <v>18</v>
      </c>
      <c r="AE17" s="6" t="s">
        <v>71</v>
      </c>
      <c r="AF17" s="38">
        <v>-0.1</v>
      </c>
    </row>
    <row r="18" spans="1:32" x14ac:dyDescent="0.3">
      <c r="A18" s="1" t="s">
        <v>29</v>
      </c>
      <c r="B18" t="s">
        <v>24</v>
      </c>
      <c r="C18" s="25">
        <v>45627</v>
      </c>
      <c r="D18" s="25">
        <v>45658</v>
      </c>
      <c r="E18" s="24">
        <v>11.0050001144409</v>
      </c>
      <c r="F18" s="2">
        <v>-0.32773368660643998</v>
      </c>
      <c r="G18" s="2">
        <v>-3.6339751232971299E-2</v>
      </c>
      <c r="H18" s="15">
        <v>-0.27487506259977001</v>
      </c>
      <c r="I18" s="16">
        <v>-0.34666061040875001</v>
      </c>
      <c r="J18" s="17">
        <v>0.142208047624614</v>
      </c>
      <c r="K18" s="18">
        <v>2</v>
      </c>
      <c r="L18" s="19">
        <v>-0.34666061040875001</v>
      </c>
      <c r="M18" s="18">
        <v>150</v>
      </c>
      <c r="N18" s="26">
        <v>39</v>
      </c>
      <c r="O18" s="28">
        <v>47</v>
      </c>
      <c r="P18" s="26">
        <v>36</v>
      </c>
      <c r="Q18" s="28">
        <v>45</v>
      </c>
      <c r="R18" s="36">
        <v>7</v>
      </c>
      <c r="S18" s="6" t="s">
        <v>71</v>
      </c>
      <c r="T18" s="37">
        <v>-0.36599999999999999</v>
      </c>
      <c r="U18" s="39">
        <f t="shared" si="0"/>
        <v>47</v>
      </c>
      <c r="V18" s="6" t="s">
        <v>8</v>
      </c>
      <c r="W18" s="38">
        <v>0.2366</v>
      </c>
      <c r="X18" s="43">
        <f t="shared" si="1"/>
        <v>39</v>
      </c>
      <c r="Y18" s="6" t="s">
        <v>7</v>
      </c>
      <c r="Z18" s="45" t="s">
        <v>6</v>
      </c>
      <c r="AA18" s="43">
        <f t="shared" si="2"/>
        <v>45</v>
      </c>
      <c r="AB18" s="6" t="s">
        <v>8</v>
      </c>
      <c r="AC18" s="38">
        <v>0.16819999999999999</v>
      </c>
      <c r="AD18" s="43">
        <f t="shared" si="3"/>
        <v>36</v>
      </c>
      <c r="AE18" s="6" t="s">
        <v>7</v>
      </c>
      <c r="AF18" s="41" t="s">
        <v>6</v>
      </c>
    </row>
    <row r="19" spans="1:32" x14ac:dyDescent="0.3">
      <c r="A19" s="1" t="s">
        <v>29</v>
      </c>
      <c r="B19" t="s">
        <v>38</v>
      </c>
      <c r="C19" s="25">
        <v>45627</v>
      </c>
      <c r="D19" s="25">
        <v>45658</v>
      </c>
      <c r="E19" s="24">
        <v>1.90999996662139</v>
      </c>
      <c r="F19" s="2">
        <v>-0.68943090455232103</v>
      </c>
      <c r="G19" s="2">
        <v>1.05820005703125E-2</v>
      </c>
      <c r="H19" s="15">
        <v>1.0523560967532499</v>
      </c>
      <c r="I19" s="16">
        <v>-0.54816754410322499</v>
      </c>
      <c r="J19" s="17">
        <v>1.9738219516233699</v>
      </c>
      <c r="K19" s="18">
        <v>68</v>
      </c>
      <c r="L19" s="19">
        <v>-0.54816754410322499</v>
      </c>
      <c r="M19" s="18">
        <v>150</v>
      </c>
      <c r="N19" s="26">
        <v>144</v>
      </c>
      <c r="O19" s="28">
        <v>146</v>
      </c>
      <c r="P19" s="26">
        <v>92</v>
      </c>
      <c r="Q19" s="28">
        <v>104</v>
      </c>
      <c r="R19" s="36">
        <v>7</v>
      </c>
      <c r="S19" s="6" t="s">
        <v>8</v>
      </c>
      <c r="T19" s="37">
        <v>0.72599999999999998</v>
      </c>
      <c r="U19" s="39">
        <f t="shared" si="0"/>
        <v>146</v>
      </c>
      <c r="V19" s="6" t="s">
        <v>6</v>
      </c>
      <c r="W19" s="38" t="s">
        <v>6</v>
      </c>
      <c r="X19" s="43">
        <f t="shared" si="1"/>
        <v>144</v>
      </c>
      <c r="Y19" s="6" t="s">
        <v>71</v>
      </c>
      <c r="Z19" s="41">
        <v>-0.5</v>
      </c>
      <c r="AA19" s="43">
        <f t="shared" si="2"/>
        <v>104</v>
      </c>
      <c r="AB19" s="6" t="s">
        <v>71</v>
      </c>
      <c r="AC19" s="38">
        <v>-0.61</v>
      </c>
      <c r="AD19" s="43">
        <f t="shared" si="3"/>
        <v>92</v>
      </c>
      <c r="AE19" s="6" t="s">
        <v>71</v>
      </c>
      <c r="AF19" s="38">
        <v>-0.65</v>
      </c>
    </row>
    <row r="20" spans="1:32" x14ac:dyDescent="0.3">
      <c r="A20" s="1" t="s">
        <v>29</v>
      </c>
      <c r="B20" t="s">
        <v>45</v>
      </c>
      <c r="C20" s="25">
        <v>45658</v>
      </c>
      <c r="D20" s="25">
        <v>45689</v>
      </c>
      <c r="R20" s="36">
        <v>7</v>
      </c>
      <c r="S20" s="6" t="s">
        <v>71</v>
      </c>
      <c r="T20" s="37">
        <v>-1</v>
      </c>
      <c r="U20" s="39">
        <f t="shared" si="0"/>
        <v>0</v>
      </c>
      <c r="V20" s="6" t="s">
        <v>6</v>
      </c>
      <c r="W20" s="38" t="s">
        <v>6</v>
      </c>
      <c r="X20" s="43">
        <f t="shared" si="1"/>
        <v>0</v>
      </c>
      <c r="Y20" s="6" t="s">
        <v>6</v>
      </c>
      <c r="Z20" s="41" t="s">
        <v>6</v>
      </c>
      <c r="AA20" s="43">
        <f t="shared" si="2"/>
        <v>0</v>
      </c>
      <c r="AB20" s="6" t="s">
        <v>6</v>
      </c>
      <c r="AC20" s="38" t="s">
        <v>6</v>
      </c>
      <c r="AD20" s="43" t="s">
        <v>6</v>
      </c>
      <c r="AE20" s="6" t="s">
        <v>6</v>
      </c>
      <c r="AF20" s="38" t="s">
        <v>6</v>
      </c>
    </row>
    <row r="21" spans="1:32" x14ac:dyDescent="0.3">
      <c r="A21" s="1" t="s">
        <v>29</v>
      </c>
      <c r="B21" t="s">
        <v>23</v>
      </c>
      <c r="C21" s="25">
        <v>45658</v>
      </c>
      <c r="D21" s="25">
        <v>45689</v>
      </c>
      <c r="E21" s="24">
        <v>65.209999084472599</v>
      </c>
      <c r="F21" s="2">
        <v>1.20006749079916</v>
      </c>
      <c r="G21" s="2">
        <v>3.7054675203224502E-2</v>
      </c>
      <c r="H21" s="15">
        <v>-0.409446421374004</v>
      </c>
      <c r="J21" s="17">
        <v>1.9168839404226201E-2</v>
      </c>
      <c r="K21" s="18">
        <v>2</v>
      </c>
      <c r="L21" s="19">
        <v>-0.62674435678095897</v>
      </c>
      <c r="M21" s="18">
        <v>53</v>
      </c>
      <c r="N21" s="26">
        <v>4</v>
      </c>
      <c r="O21" s="28">
        <v>5</v>
      </c>
      <c r="P21" s="26">
        <v>22</v>
      </c>
      <c r="Q21" s="28">
        <v>43</v>
      </c>
      <c r="R21" s="36">
        <v>7</v>
      </c>
      <c r="S21" s="6" t="s">
        <v>8</v>
      </c>
      <c r="T21" s="37">
        <v>0.65239999999999998</v>
      </c>
      <c r="U21" s="39">
        <f t="shared" si="0"/>
        <v>5</v>
      </c>
      <c r="V21" s="6" t="s">
        <v>8</v>
      </c>
      <c r="W21" s="38">
        <v>0.65239999999999998</v>
      </c>
      <c r="X21" s="43">
        <f t="shared" si="1"/>
        <v>4</v>
      </c>
      <c r="Y21" s="6" t="s">
        <v>8</v>
      </c>
      <c r="Z21" s="38">
        <v>0.65239999999999998</v>
      </c>
      <c r="AA21" s="43">
        <f t="shared" si="2"/>
        <v>43</v>
      </c>
      <c r="AB21" s="6" t="s">
        <v>8</v>
      </c>
      <c r="AC21" s="38">
        <v>1.1619999999999999</v>
      </c>
      <c r="AD21" s="43">
        <f>P21</f>
        <v>22</v>
      </c>
      <c r="AE21" s="6" t="s">
        <v>8</v>
      </c>
      <c r="AF21" s="38">
        <v>0.873</v>
      </c>
    </row>
    <row r="22" spans="1:32" x14ac:dyDescent="0.3">
      <c r="A22" s="1" t="s">
        <v>29</v>
      </c>
      <c r="B22" t="s">
        <v>19</v>
      </c>
      <c r="C22" s="25">
        <v>45658</v>
      </c>
      <c r="D22" s="25">
        <v>45689</v>
      </c>
      <c r="E22" s="24">
        <v>8.9151611328125</v>
      </c>
      <c r="F22" s="2">
        <v>-0.48931548828365401</v>
      </c>
      <c r="G22" s="2">
        <v>-0.179012305562401</v>
      </c>
      <c r="H22" s="15">
        <v>-0.37457655058329797</v>
      </c>
      <c r="J22" s="17">
        <v>0.40995765612805102</v>
      </c>
      <c r="K22" s="18">
        <v>144</v>
      </c>
      <c r="L22" s="19">
        <v>-0.499223809784617</v>
      </c>
      <c r="M22" s="18">
        <v>53</v>
      </c>
      <c r="N22" s="26">
        <v>12</v>
      </c>
      <c r="O22" s="28">
        <v>13</v>
      </c>
      <c r="P22" s="26">
        <v>12</v>
      </c>
      <c r="Q22" s="28">
        <v>13</v>
      </c>
      <c r="R22" s="36">
        <v>7</v>
      </c>
      <c r="S22" s="6" t="s">
        <v>8</v>
      </c>
      <c r="T22" s="37">
        <v>0.49340000000000001</v>
      </c>
      <c r="U22" s="39">
        <f t="shared" si="0"/>
        <v>13</v>
      </c>
      <c r="V22" s="6" t="s">
        <v>8</v>
      </c>
      <c r="W22" s="41">
        <v>0.91400000000000003</v>
      </c>
      <c r="X22" s="43">
        <f t="shared" si="1"/>
        <v>12</v>
      </c>
      <c r="Y22" s="6" t="s">
        <v>8</v>
      </c>
      <c r="Z22" s="41">
        <v>0.75700000000000001</v>
      </c>
      <c r="AA22" s="43">
        <f t="shared" si="2"/>
        <v>13</v>
      </c>
      <c r="AB22" s="6" t="s">
        <v>8</v>
      </c>
      <c r="AC22" s="41">
        <v>0.75700000000000001</v>
      </c>
      <c r="AD22" s="43">
        <f>P22</f>
        <v>12</v>
      </c>
      <c r="AE22" s="6" t="s">
        <v>8</v>
      </c>
      <c r="AF22" s="41">
        <v>0.75700000000000001</v>
      </c>
    </row>
    <row r="23" spans="1:32" x14ac:dyDescent="0.3">
      <c r="A23" s="1" t="s">
        <v>29</v>
      </c>
      <c r="B23" t="s">
        <v>22</v>
      </c>
      <c r="C23" s="25">
        <v>45689</v>
      </c>
      <c r="D23" s="25">
        <v>45717</v>
      </c>
      <c r="E23" s="24">
        <v>13.4918212890625</v>
      </c>
      <c r="F23" s="2">
        <v>8.9317204038616496E-2</v>
      </c>
      <c r="G23" s="2">
        <v>-5.1068138609302802E-2</v>
      </c>
      <c r="H23" s="15">
        <v>-4.7818932368242098E-2</v>
      </c>
      <c r="J23" s="17">
        <v>0.21418542185025899</v>
      </c>
      <c r="K23" s="18">
        <v>14</v>
      </c>
      <c r="L23" s="19">
        <v>-0.130870631644424</v>
      </c>
      <c r="M23" s="18">
        <v>110</v>
      </c>
      <c r="N23" s="26">
        <v>110</v>
      </c>
      <c r="P23" s="26">
        <v>109</v>
      </c>
      <c r="R23" s="36">
        <v>7</v>
      </c>
      <c r="S23" s="6" t="s">
        <v>71</v>
      </c>
      <c r="T23" s="37">
        <v>-0.1522</v>
      </c>
      <c r="U23" s="39">
        <f t="shared" si="0"/>
        <v>0</v>
      </c>
      <c r="V23" s="6" t="s">
        <v>6</v>
      </c>
      <c r="W23" s="41" t="s">
        <v>6</v>
      </c>
      <c r="X23" s="43">
        <f t="shared" si="1"/>
        <v>110</v>
      </c>
      <c r="Y23" s="6" t="s">
        <v>8</v>
      </c>
      <c r="Z23" s="41">
        <v>0.2</v>
      </c>
      <c r="AA23" s="43">
        <f t="shared" si="2"/>
        <v>0</v>
      </c>
      <c r="AB23" s="6" t="s">
        <v>6</v>
      </c>
      <c r="AC23" s="38" t="s">
        <v>6</v>
      </c>
      <c r="AD23" s="43">
        <f>P23</f>
        <v>109</v>
      </c>
      <c r="AE23" s="6" t="s">
        <v>8</v>
      </c>
      <c r="AF23" s="41">
        <v>0.2</v>
      </c>
    </row>
    <row r="24" spans="1:32" x14ac:dyDescent="0.3">
      <c r="A24" s="1" t="s">
        <v>29</v>
      </c>
      <c r="B24" t="s">
        <v>52</v>
      </c>
      <c r="C24" s="25">
        <v>45717</v>
      </c>
      <c r="D24" s="25">
        <v>45748</v>
      </c>
      <c r="E24" s="24">
        <v>34.909999847412102</v>
      </c>
      <c r="F24" s="2">
        <v>-1.8105103007556699E-2</v>
      </c>
      <c r="G24" s="2">
        <v>-8.3854686088145197E-2</v>
      </c>
      <c r="H24" s="15">
        <v>-0.113720977677082</v>
      </c>
      <c r="J24" s="17">
        <v>0</v>
      </c>
      <c r="K24" s="18">
        <v>0</v>
      </c>
      <c r="L24" s="19">
        <v>-0.19793755020380899</v>
      </c>
      <c r="M24" s="18">
        <v>36</v>
      </c>
      <c r="N24" s="26">
        <v>4</v>
      </c>
      <c r="R24" s="36">
        <v>7</v>
      </c>
      <c r="S24" s="6" t="s">
        <v>7</v>
      </c>
      <c r="T24" s="37" t="s">
        <v>6</v>
      </c>
      <c r="U24" s="39">
        <f t="shared" si="0"/>
        <v>0</v>
      </c>
      <c r="V24" s="6" t="s">
        <v>6</v>
      </c>
      <c r="W24" s="38" t="s">
        <v>6</v>
      </c>
      <c r="X24" s="43">
        <f t="shared" si="1"/>
        <v>4</v>
      </c>
      <c r="Y24" s="6" t="s">
        <v>7</v>
      </c>
      <c r="Z24" s="41" t="s">
        <v>6</v>
      </c>
      <c r="AA24" s="43">
        <f t="shared" si="2"/>
        <v>0</v>
      </c>
      <c r="AB24" s="6" t="s">
        <v>6</v>
      </c>
      <c r="AC24" s="38" t="s">
        <v>6</v>
      </c>
      <c r="AD24" s="43" t="s">
        <v>6</v>
      </c>
      <c r="AE24" s="6" t="s">
        <v>6</v>
      </c>
      <c r="AF24" s="38" t="s">
        <v>6</v>
      </c>
    </row>
    <row r="25" spans="1:32" x14ac:dyDescent="0.3">
      <c r="A25" s="1" t="s">
        <v>29</v>
      </c>
      <c r="B25" t="s">
        <v>25</v>
      </c>
      <c r="C25" s="25">
        <v>45717</v>
      </c>
      <c r="D25" s="25">
        <v>45748</v>
      </c>
      <c r="E25" s="24">
        <v>3.0299999713897701</v>
      </c>
      <c r="F25" s="2">
        <v>0.23673465812965899</v>
      </c>
      <c r="G25" s="2">
        <v>0.77192976830176196</v>
      </c>
      <c r="H25" s="15">
        <v>7.5907597770699498E-2</v>
      </c>
      <c r="J25" s="17">
        <v>0.36963700810332001</v>
      </c>
      <c r="K25" s="18">
        <v>68</v>
      </c>
      <c r="L25" s="19">
        <v>-0.363036314926867</v>
      </c>
      <c r="M25" s="18">
        <v>21</v>
      </c>
      <c r="N25" s="26">
        <v>2</v>
      </c>
      <c r="O25" s="28">
        <v>3</v>
      </c>
      <c r="P25" s="26">
        <v>21</v>
      </c>
      <c r="R25" s="36">
        <v>7</v>
      </c>
      <c r="S25" s="6" t="s">
        <v>8</v>
      </c>
      <c r="T25" s="37">
        <v>0.86899999999999999</v>
      </c>
      <c r="U25" s="39">
        <f t="shared" si="0"/>
        <v>3</v>
      </c>
      <c r="V25" s="6" t="s">
        <v>8</v>
      </c>
      <c r="W25" s="38">
        <v>0.86899999999999999</v>
      </c>
      <c r="X25" s="43">
        <f t="shared" si="1"/>
        <v>2</v>
      </c>
      <c r="Y25" s="6" t="s">
        <v>8</v>
      </c>
      <c r="Z25" s="41">
        <v>0.86899999999999999</v>
      </c>
      <c r="AA25" s="43">
        <f t="shared" si="2"/>
        <v>0</v>
      </c>
      <c r="AB25" s="6" t="s">
        <v>6</v>
      </c>
      <c r="AC25" s="38" t="s">
        <v>6</v>
      </c>
      <c r="AD25" s="43">
        <f>P25</f>
        <v>21</v>
      </c>
      <c r="AE25" s="6" t="s">
        <v>8</v>
      </c>
      <c r="AF25" s="38">
        <v>1.1499999999999999</v>
      </c>
    </row>
    <row r="26" spans="1:32" x14ac:dyDescent="0.3">
      <c r="A26" s="1" t="s">
        <v>29</v>
      </c>
      <c r="B26" t="s">
        <v>55</v>
      </c>
      <c r="C26" s="25">
        <v>45717</v>
      </c>
      <c r="D26" s="25">
        <v>45748</v>
      </c>
      <c r="E26" s="24">
        <v>114.209999084472</v>
      </c>
      <c r="F26" s="2">
        <v>-2.7069295117070299E-3</v>
      </c>
      <c r="G26" s="2">
        <v>-0.20846902488941299</v>
      </c>
      <c r="H26" s="15">
        <v>0.28184918194599701</v>
      </c>
      <c r="J26" s="17">
        <v>0.34384026755854602</v>
      </c>
      <c r="K26" s="18">
        <v>64</v>
      </c>
      <c r="L26" s="19">
        <v>-0.245512662116285</v>
      </c>
      <c r="M26" s="18">
        <v>5</v>
      </c>
      <c r="N26" s="26">
        <v>2</v>
      </c>
      <c r="O26" s="28">
        <v>4</v>
      </c>
      <c r="R26" s="36">
        <v>7</v>
      </c>
      <c r="S26" s="6" t="s">
        <v>8</v>
      </c>
      <c r="T26" s="37">
        <v>0.74029999999999996</v>
      </c>
      <c r="U26" s="39">
        <f t="shared" si="0"/>
        <v>4</v>
      </c>
      <c r="V26" s="6" t="s">
        <v>8</v>
      </c>
      <c r="W26" s="41">
        <v>0.74</v>
      </c>
      <c r="X26" s="43">
        <f t="shared" si="1"/>
        <v>2</v>
      </c>
      <c r="Y26" s="6" t="s">
        <v>8</v>
      </c>
      <c r="Z26" s="41">
        <v>0.74</v>
      </c>
      <c r="AA26" s="43">
        <f t="shared" si="2"/>
        <v>0</v>
      </c>
      <c r="AB26" s="6" t="s">
        <v>6</v>
      </c>
      <c r="AC26" s="38" t="s">
        <v>6</v>
      </c>
      <c r="AD26" s="43" t="s">
        <v>6</v>
      </c>
      <c r="AE26" s="6" t="s">
        <v>6</v>
      </c>
      <c r="AF26" s="38" t="s">
        <v>6</v>
      </c>
    </row>
    <row r="27" spans="1:32" x14ac:dyDescent="0.3">
      <c r="A27" s="1" t="s">
        <v>29</v>
      </c>
      <c r="B27" t="s">
        <v>50</v>
      </c>
      <c r="C27" s="25">
        <v>45717</v>
      </c>
      <c r="D27" s="25">
        <v>45748</v>
      </c>
      <c r="E27" s="24">
        <v>1.40999996662139</v>
      </c>
      <c r="F27" s="2">
        <v>-0.64837908076265405</v>
      </c>
      <c r="G27" s="2">
        <v>-0.189655196038305</v>
      </c>
      <c r="H27" s="15">
        <v>-0.46099290180527602</v>
      </c>
      <c r="J27" s="17">
        <v>2.1276660503010799E-2</v>
      </c>
      <c r="K27" s="18">
        <v>1</v>
      </c>
      <c r="L27" s="19">
        <v>-0.595744676353957</v>
      </c>
      <c r="M27" s="18">
        <v>45</v>
      </c>
      <c r="N27" s="26">
        <v>5</v>
      </c>
      <c r="O27" s="28">
        <v>5</v>
      </c>
      <c r="P27" s="26">
        <v>9</v>
      </c>
      <c r="Q27" s="28">
        <v>9</v>
      </c>
      <c r="R27" s="36">
        <v>7</v>
      </c>
      <c r="S27" s="6" t="s">
        <v>8</v>
      </c>
      <c r="T27" s="37">
        <v>0.30690000000000001</v>
      </c>
      <c r="U27" s="39">
        <f t="shared" si="0"/>
        <v>5</v>
      </c>
      <c r="V27" s="6" t="s">
        <v>8</v>
      </c>
      <c r="W27" s="40">
        <v>0.30690000000000001</v>
      </c>
      <c r="X27" s="43">
        <f t="shared" si="1"/>
        <v>5</v>
      </c>
      <c r="Y27" s="6" t="s">
        <v>8</v>
      </c>
      <c r="Z27" s="40">
        <v>0.30690000000000001</v>
      </c>
      <c r="AA27" s="43">
        <f t="shared" si="2"/>
        <v>9</v>
      </c>
      <c r="AB27" s="6" t="s">
        <v>8</v>
      </c>
      <c r="AC27" s="38">
        <v>1.0309999999999999</v>
      </c>
      <c r="AD27" s="43">
        <f t="shared" ref="AD27:AD32" si="4">P27</f>
        <v>9</v>
      </c>
      <c r="AE27" s="6" t="s">
        <v>8</v>
      </c>
      <c r="AF27" s="38">
        <v>1.0309999999999999</v>
      </c>
    </row>
    <row r="28" spans="1:32" x14ac:dyDescent="0.3">
      <c r="A28" s="1" t="s">
        <v>29</v>
      </c>
      <c r="B28" t="s">
        <v>46</v>
      </c>
      <c r="C28" s="25">
        <v>45717</v>
      </c>
      <c r="D28" s="25">
        <v>45748</v>
      </c>
      <c r="E28" s="24">
        <v>7.0500001907348597</v>
      </c>
      <c r="F28" s="2">
        <v>-0.61788618432492304</v>
      </c>
      <c r="G28" s="2">
        <v>-0.52073418270208505</v>
      </c>
      <c r="H28" s="15">
        <v>-0.33900713172514502</v>
      </c>
      <c r="J28" s="17">
        <v>0.51631195619429004</v>
      </c>
      <c r="K28" s="18">
        <v>106</v>
      </c>
      <c r="L28" s="19">
        <v>-0.42411349887405497</v>
      </c>
      <c r="M28" s="18">
        <v>37</v>
      </c>
      <c r="N28" s="26">
        <v>4</v>
      </c>
      <c r="O28" s="28">
        <v>7</v>
      </c>
      <c r="P28" s="26">
        <v>32</v>
      </c>
      <c r="Q28" s="28">
        <v>37</v>
      </c>
      <c r="R28" s="36">
        <v>7</v>
      </c>
      <c r="S28" s="6" t="s">
        <v>8</v>
      </c>
      <c r="T28" s="37">
        <v>1.052</v>
      </c>
      <c r="U28" s="39">
        <f t="shared" si="0"/>
        <v>7</v>
      </c>
      <c r="V28" s="6" t="s">
        <v>8</v>
      </c>
      <c r="W28" s="40">
        <v>1.052</v>
      </c>
      <c r="X28" s="43">
        <f t="shared" si="1"/>
        <v>4</v>
      </c>
      <c r="Y28" s="6" t="s">
        <v>8</v>
      </c>
      <c r="Z28" s="40">
        <v>1.052</v>
      </c>
      <c r="AA28" s="43">
        <f t="shared" si="2"/>
        <v>37</v>
      </c>
      <c r="AB28" s="6" t="s">
        <v>8</v>
      </c>
      <c r="AC28" s="40">
        <v>1.633</v>
      </c>
      <c r="AD28" s="43">
        <f t="shared" si="4"/>
        <v>32</v>
      </c>
      <c r="AE28" s="6" t="s">
        <v>8</v>
      </c>
      <c r="AF28" s="40">
        <v>1.4079999999999999</v>
      </c>
    </row>
    <row r="29" spans="1:32" x14ac:dyDescent="0.3">
      <c r="A29" s="1" t="s">
        <v>29</v>
      </c>
      <c r="B29" t="s">
        <v>56</v>
      </c>
      <c r="C29" s="25">
        <v>45748</v>
      </c>
      <c r="D29" s="25">
        <v>45778</v>
      </c>
      <c r="E29" s="24">
        <v>4.38000011444091</v>
      </c>
      <c r="F29" s="2">
        <v>-0.402455639832205</v>
      </c>
      <c r="G29" s="2">
        <v>-0.21645796155958999</v>
      </c>
      <c r="H29" s="15">
        <v>0.35159815562004798</v>
      </c>
      <c r="J29" s="17">
        <v>0.75342457252856199</v>
      </c>
      <c r="K29" s="18">
        <v>56</v>
      </c>
      <c r="L29" s="19">
        <v>-0.12328771373571799</v>
      </c>
      <c r="M29" s="18">
        <v>3</v>
      </c>
      <c r="N29" s="26">
        <v>3</v>
      </c>
      <c r="R29" s="36">
        <v>7</v>
      </c>
      <c r="S29" s="6" t="s">
        <v>8</v>
      </c>
      <c r="T29" s="37">
        <v>0.65159999999999996</v>
      </c>
      <c r="U29" s="39">
        <f t="shared" si="0"/>
        <v>0</v>
      </c>
      <c r="V29" s="6" t="s">
        <v>6</v>
      </c>
      <c r="W29" s="38" t="s">
        <v>6</v>
      </c>
      <c r="X29" s="43">
        <f t="shared" si="1"/>
        <v>3</v>
      </c>
      <c r="Y29" s="6" t="s">
        <v>8</v>
      </c>
      <c r="Z29" s="40">
        <v>0.65159999999999996</v>
      </c>
      <c r="AA29" s="43">
        <f t="shared" si="2"/>
        <v>0</v>
      </c>
      <c r="AB29" s="6" t="s">
        <v>6</v>
      </c>
      <c r="AC29" s="38" t="s">
        <v>6</v>
      </c>
      <c r="AD29" s="43">
        <f t="shared" si="4"/>
        <v>0</v>
      </c>
      <c r="AE29" s="6" t="s">
        <v>6</v>
      </c>
      <c r="AF29" s="40" t="s">
        <v>6</v>
      </c>
    </row>
    <row r="30" spans="1:32" x14ac:dyDescent="0.3">
      <c r="A30" s="1" t="s">
        <v>29</v>
      </c>
      <c r="B30" t="s">
        <v>58</v>
      </c>
      <c r="C30" s="25">
        <v>45809</v>
      </c>
      <c r="D30" s="25">
        <v>45839</v>
      </c>
      <c r="E30" s="24">
        <v>5.2399997711181596</v>
      </c>
      <c r="F30" s="2">
        <v>-0.29093371234252602</v>
      </c>
      <c r="G30" s="2">
        <v>-3.4990803540889202E-2</v>
      </c>
      <c r="J30" s="17">
        <v>9.5420215494004205E-3</v>
      </c>
      <c r="K30" s="18">
        <v>2</v>
      </c>
      <c r="L30" s="19">
        <v>-0.33587782994675802</v>
      </c>
      <c r="M30" s="18">
        <v>28</v>
      </c>
      <c r="N30" s="26">
        <v>8</v>
      </c>
      <c r="O30" s="28">
        <v>22</v>
      </c>
      <c r="P30" s="26">
        <v>19</v>
      </c>
      <c r="Q30" s="28">
        <v>24</v>
      </c>
      <c r="R30" s="36">
        <v>7</v>
      </c>
      <c r="S30" s="6" t="s">
        <v>8</v>
      </c>
      <c r="T30" s="37">
        <v>6.1699999999999998E-2</v>
      </c>
      <c r="U30" s="39">
        <f t="shared" si="0"/>
        <v>22</v>
      </c>
      <c r="V30" s="6" t="s">
        <v>8</v>
      </c>
      <c r="W30" s="38">
        <v>0.30299999999999999</v>
      </c>
      <c r="X30" s="43">
        <f t="shared" si="1"/>
        <v>8</v>
      </c>
      <c r="Y30" s="6" t="s">
        <v>8</v>
      </c>
      <c r="Z30" s="41">
        <v>0.06</v>
      </c>
      <c r="AA30" s="43">
        <f t="shared" si="2"/>
        <v>24</v>
      </c>
      <c r="AB30" s="6" t="s">
        <v>8</v>
      </c>
      <c r="AC30" s="38">
        <v>0.3473</v>
      </c>
      <c r="AD30" s="43">
        <f t="shared" si="4"/>
        <v>19</v>
      </c>
      <c r="AE30" s="6" t="s">
        <v>8</v>
      </c>
      <c r="AF30" s="38">
        <v>0.2</v>
      </c>
    </row>
    <row r="31" spans="1:32" x14ac:dyDescent="0.3">
      <c r="A31" s="1" t="s">
        <v>29</v>
      </c>
      <c r="B31" t="s">
        <v>43</v>
      </c>
      <c r="C31" s="25">
        <v>45839</v>
      </c>
      <c r="D31" s="25">
        <v>45870</v>
      </c>
      <c r="E31" s="24">
        <v>8.7600002288818306</v>
      </c>
      <c r="F31" s="7">
        <v>-0.21152110714810199</v>
      </c>
      <c r="G31" s="7">
        <v>0</v>
      </c>
      <c r="H31" s="13"/>
      <c r="I31" s="14"/>
      <c r="J31" s="20">
        <v>8.1050230547493995E-2</v>
      </c>
      <c r="K31" s="21">
        <v>1</v>
      </c>
      <c r="L31" s="22">
        <v>-7.6484024975815093E-2</v>
      </c>
      <c r="M31" s="21">
        <v>2</v>
      </c>
      <c r="N31" s="27"/>
      <c r="O31" s="29"/>
      <c r="P31" s="27"/>
      <c r="Q31" s="29"/>
      <c r="R31" s="36">
        <v>7</v>
      </c>
      <c r="S31" s="6" t="s">
        <v>6</v>
      </c>
      <c r="T31" s="37" t="s">
        <v>6</v>
      </c>
      <c r="U31" s="39">
        <f t="shared" si="0"/>
        <v>0</v>
      </c>
      <c r="W31" s="38" t="s">
        <v>6</v>
      </c>
      <c r="X31" s="43">
        <f t="shared" si="1"/>
        <v>0</v>
      </c>
      <c r="AA31" s="43">
        <f t="shared" si="2"/>
        <v>0</v>
      </c>
      <c r="AD31" s="43">
        <f t="shared" si="4"/>
        <v>0</v>
      </c>
    </row>
    <row r="32" spans="1:32" x14ac:dyDescent="0.3">
      <c r="A32" s="1" t="s">
        <v>29</v>
      </c>
      <c r="B32" t="s">
        <v>49</v>
      </c>
      <c r="C32" s="25">
        <v>45839</v>
      </c>
      <c r="D32" s="25">
        <v>45870</v>
      </c>
      <c r="E32" s="24">
        <v>12.310000419616699</v>
      </c>
      <c r="F32" s="2">
        <v>-0.51189529124616895</v>
      </c>
      <c r="G32" s="2">
        <v>8.19003940682261E-3</v>
      </c>
      <c r="J32" s="17">
        <v>0.231519035795788</v>
      </c>
      <c r="K32" s="18">
        <v>21</v>
      </c>
      <c r="L32" s="19">
        <v>0</v>
      </c>
      <c r="M32" s="18">
        <v>0</v>
      </c>
      <c r="R32" s="36">
        <v>7</v>
      </c>
      <c r="S32" s="6" t="s">
        <v>6</v>
      </c>
      <c r="T32" s="37" t="s">
        <v>6</v>
      </c>
      <c r="U32" s="39">
        <f t="shared" si="0"/>
        <v>0</v>
      </c>
      <c r="W32" s="41" t="s">
        <v>6</v>
      </c>
      <c r="X32" s="43">
        <f t="shared" si="1"/>
        <v>0</v>
      </c>
      <c r="AA32" s="43">
        <f t="shared" si="2"/>
        <v>0</v>
      </c>
      <c r="AD32" s="43">
        <f t="shared" si="4"/>
        <v>0</v>
      </c>
    </row>
    <row r="34" spans="19:32" x14ac:dyDescent="0.3">
      <c r="S34" s="6" t="s">
        <v>89</v>
      </c>
      <c r="T34" s="53">
        <f>COUNT(T4:T32)</f>
        <v>26</v>
      </c>
      <c r="V34" s="6" t="s">
        <v>89</v>
      </c>
      <c r="W34" s="46">
        <f>COUNT(W4:W32)</f>
        <v>17</v>
      </c>
      <c r="Z34" s="53">
        <f>COUNT(Z4:Z32)</f>
        <v>23</v>
      </c>
      <c r="AC34" s="53">
        <f>COUNT(AC4:AC32)</f>
        <v>15</v>
      </c>
      <c r="AF34" s="53">
        <f>COUNT(AF4:AF32)</f>
        <v>19</v>
      </c>
    </row>
    <row r="35" spans="19:32" x14ac:dyDescent="0.3">
      <c r="S35" s="64" t="s">
        <v>81</v>
      </c>
      <c r="T35" s="66">
        <f>COUNTIF(S4:S32, "Win")/COUNT(T4:T32)</f>
        <v>0.80769230769230771</v>
      </c>
      <c r="V35" s="64" t="s">
        <v>81</v>
      </c>
      <c r="W35" s="49">
        <f>COUNTIF(V4:V32, "Win")/COUNT(W4:W32)</f>
        <v>0.94117647058823528</v>
      </c>
      <c r="Z35" s="66">
        <f>COUNTIF(Y4:Y32, "Win")/COUNT(Z4:Z32)</f>
        <v>0.86956521739130432</v>
      </c>
      <c r="AC35" s="66">
        <f>COUNTIF(AB4:AB32, "Win")/COUNT(AC4:AC32)</f>
        <v>0.8</v>
      </c>
      <c r="AF35" s="66">
        <f>COUNTIF(AE4:AE32, "Win")/COUNT(AF4:AF32)</f>
        <v>0.84210526315789469</v>
      </c>
    </row>
    <row r="36" spans="19:32" x14ac:dyDescent="0.3">
      <c r="S36" s="6" t="s">
        <v>82</v>
      </c>
      <c r="T36" s="51">
        <f>AVERAGE(T4:T32)</f>
        <v>0.35498461538461545</v>
      </c>
      <c r="V36" s="6" t="s">
        <v>82</v>
      </c>
      <c r="W36" s="50">
        <f>AVERAGE(W4:W32)</f>
        <v>0.63224705882352961</v>
      </c>
      <c r="Z36" s="51">
        <f>AVERAGE(Z4:Z32)</f>
        <v>0.52850434782608702</v>
      </c>
      <c r="AC36" s="51">
        <f>AVERAGE(AC4:AC32)</f>
        <v>0.63936666666666653</v>
      </c>
      <c r="AF36" s="51">
        <f>AVERAGE(AF4:AF32)</f>
        <v>0.60175789473684205</v>
      </c>
    </row>
    <row r="37" spans="19:32" x14ac:dyDescent="0.3">
      <c r="S37" s="6" t="s">
        <v>84</v>
      </c>
      <c r="T37" s="51">
        <f>_xlfn.STDEV.S(T4:T32)</f>
        <v>0.52767713514406334</v>
      </c>
      <c r="V37" s="6" t="s">
        <v>84</v>
      </c>
      <c r="W37" s="50">
        <f>_xlfn.STDEV.S(W4:W32)</f>
        <v>0.59699160810438423</v>
      </c>
      <c r="Z37" s="51">
        <f>_xlfn.STDEV.S(Z4:Z32)</f>
        <v>0.58318324305507696</v>
      </c>
      <c r="AC37" s="51">
        <f>_xlfn.STDEV.S(AC4:AC32)</f>
        <v>0.78029633076769234</v>
      </c>
      <c r="AF37" s="51">
        <f>_xlfn.STDEV.S(AF4:AF32)</f>
        <v>0.69509098230678423</v>
      </c>
    </row>
    <row r="38" spans="19:32" x14ac:dyDescent="0.3">
      <c r="S38" s="64" t="s">
        <v>83</v>
      </c>
      <c r="T38" s="71">
        <f>T36/T37</f>
        <v>0.67273071304804521</v>
      </c>
      <c r="V38" s="64" t="s">
        <v>83</v>
      </c>
      <c r="W38" s="70">
        <f>W36/W37</f>
        <v>1.0590551864390378</v>
      </c>
      <c r="Z38" s="71">
        <f>Z36/Z37</f>
        <v>0.90624062697249697</v>
      </c>
      <c r="AC38" s="71">
        <f>AC36/AC37</f>
        <v>0.81938955939678382</v>
      </c>
      <c r="AF38" s="71">
        <f>AF36/AF37</f>
        <v>0.86572536553387647</v>
      </c>
    </row>
    <row r="39" spans="19:32" x14ac:dyDescent="0.3">
      <c r="S39" s="6" t="s">
        <v>85</v>
      </c>
      <c r="T39" s="51" cm="1">
        <f t="array" ref="T39">STDEV(_xlfn._xlws.FILTER(T4:T32,T4:T32&lt;0))</f>
        <v>0.3155147983851152</v>
      </c>
      <c r="V39" s="6" t="s">
        <v>85</v>
      </c>
      <c r="W39" s="50" t="e" cm="1">
        <f t="array" ref="W39">STDEV(_xlfn._xlws.FILTER(W4:W32,W4:W32&lt;0))</f>
        <v>#DIV/0!</v>
      </c>
      <c r="Z39" s="51" cm="1">
        <f t="array" ref="Z39">STDEV(_xlfn._xlws.FILTER(Z4:Z32,Z4:Z32&lt;0))</f>
        <v>0.24406917735210509</v>
      </c>
      <c r="AC39" s="51" cm="1">
        <f t="array" ref="AC39">STDEV(_xlfn._xlws.FILTER(AC4:AC32,AC4:AC32&lt;0))</f>
        <v>4.7871129086329255E-2</v>
      </c>
      <c r="AF39" s="51" cm="1">
        <f t="array" ref="AF39">STDEV(_xlfn._xlws.FILTER(AF4:AF32,AF4:AF32&lt;0))</f>
        <v>0.29147000417424318</v>
      </c>
    </row>
    <row r="40" spans="19:32" x14ac:dyDescent="0.3">
      <c r="S40" s="64" t="s">
        <v>86</v>
      </c>
      <c r="T40" s="71">
        <f>T35/T39</f>
        <v>2.5599189382757381</v>
      </c>
      <c r="V40" s="64" t="s">
        <v>86</v>
      </c>
      <c r="W40" s="70" t="e">
        <f>W35/W39</f>
        <v>#DIV/0!</v>
      </c>
      <c r="Z40" s="71">
        <f>Z35/Z39</f>
        <v>3.5627817769747745</v>
      </c>
      <c r="AC40" s="71">
        <f>AC35/AC39</f>
        <v>16.711533971912502</v>
      </c>
      <c r="AF40" s="71">
        <f>AF35/AF39</f>
        <v>2.8891661272097049</v>
      </c>
    </row>
    <row r="41" spans="19:32" x14ac:dyDescent="0.3">
      <c r="S41" s="6" t="s">
        <v>87</v>
      </c>
      <c r="T41" s="51">
        <f>MIN(T4:T32)</f>
        <v>-1</v>
      </c>
      <c r="V41" s="6" t="s">
        <v>87</v>
      </c>
      <c r="W41" s="50">
        <f>MIN(W4:W32)</f>
        <v>-0.5423</v>
      </c>
      <c r="Z41" s="51">
        <f>MIN(Z4:Z32)</f>
        <v>-0.5423</v>
      </c>
      <c r="AC41" s="51">
        <f>MIN(AC4:AC32)</f>
        <v>-0.61</v>
      </c>
      <c r="AF41" s="51">
        <f>MIN(AF4:AF32)</f>
        <v>-0.65</v>
      </c>
    </row>
    <row r="42" spans="19:32" x14ac:dyDescent="0.3">
      <c r="S42" s="64" t="s">
        <v>88</v>
      </c>
      <c r="T42" s="71" cm="1">
        <f t="array" ref="T42">(PRODUCT(IF(ISNUMBER(T4:T32),T4:T32+1,1)))^(1/T34)/ABS(T41)</f>
        <v>0</v>
      </c>
      <c r="V42" s="64" t="s">
        <v>88</v>
      </c>
      <c r="W42" s="70" cm="1">
        <f t="array" ref="W42">(PRODUCT(IF(ISNUMBER(W4:W32),W4:W32+1,1)))^(1/W34)/ABS(W41)</f>
        <v>2.8126246822934635</v>
      </c>
      <c r="Z42" s="71" cm="1">
        <f t="array" ref="Z42">(PRODUCT(IF(ISNUMBER(Z4:Z32),Z4:Z32+1,1)))^(1/Z34)/ABS(Z41)</f>
        <v>2.606594952869385</v>
      </c>
      <c r="AC42" s="71" cm="1">
        <f t="array" ref="AC42">(PRODUCT(IF(ISNUMBER(AC4:AC32),AC4:AC32+1,1)))^(1/AC34)/ABS(AC41)</f>
        <v>2.3480017279676075</v>
      </c>
      <c r="AF42" s="71" cm="1">
        <f t="array" ref="AF42">(PRODUCT(IF(ISNUMBER(AF4:AF32),AF4:AF32+1,1)))^(1/AF34)/ABS(AF41)</f>
        <v>2.1979900565532309</v>
      </c>
    </row>
  </sheetData>
  <autoFilter ref="A3:AM32" xr:uid="{00000000-0001-0000-0000-000000000000}">
    <sortState xmlns:xlrd2="http://schemas.microsoft.com/office/spreadsheetml/2017/richdata2" ref="A4:AG32">
      <sortCondition ref="D3:D32"/>
    </sortState>
  </autoFilter>
  <mergeCells count="13">
    <mergeCell ref="AA2:AC2"/>
    <mergeCell ref="AD2:AF2"/>
    <mergeCell ref="R1:AF1"/>
    <mergeCell ref="C2:E2"/>
    <mergeCell ref="N2:O2"/>
    <mergeCell ref="A1:O1"/>
    <mergeCell ref="X2:Z2"/>
    <mergeCell ref="P2:Q2"/>
    <mergeCell ref="J2:M2"/>
    <mergeCell ref="R2:T2"/>
    <mergeCell ref="U2:W2"/>
    <mergeCell ref="F2:G2"/>
    <mergeCell ref="H2:I2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CA7D2-5AAE-4918-8084-3907D4D96B3E}">
  <dimension ref="A1:V50"/>
  <sheetViews>
    <sheetView workbookViewId="0">
      <selection activeCell="E26" sqref="E26"/>
    </sheetView>
  </sheetViews>
  <sheetFormatPr defaultRowHeight="14.4" x14ac:dyDescent="0.3"/>
  <cols>
    <col min="17" max="17" width="6.44140625" bestFit="1" customWidth="1"/>
    <col min="18" max="20" width="9.5546875" bestFit="1" customWidth="1"/>
    <col min="21" max="21" width="8.5546875" bestFit="1" customWidth="1"/>
    <col min="22" max="22" width="9.5546875" bestFit="1" customWidth="1"/>
  </cols>
  <sheetData>
    <row r="1" spans="1:22" x14ac:dyDescent="0.3">
      <c r="A1" t="s">
        <v>94</v>
      </c>
      <c r="Q1" t="s">
        <v>96</v>
      </c>
      <c r="R1" t="s">
        <v>91</v>
      </c>
      <c r="S1" t="s">
        <v>92</v>
      </c>
      <c r="T1" t="s">
        <v>97</v>
      </c>
      <c r="U1" t="s">
        <v>98</v>
      </c>
      <c r="V1" t="s">
        <v>99</v>
      </c>
    </row>
    <row r="2" spans="1:22" x14ac:dyDescent="0.3">
      <c r="B2" t="s">
        <v>91</v>
      </c>
      <c r="G2" t="s">
        <v>92</v>
      </c>
      <c r="L2" t="s">
        <v>93</v>
      </c>
      <c r="Q2" t="s">
        <v>43</v>
      </c>
      <c r="R2" s="80">
        <v>45839</v>
      </c>
    </row>
    <row r="3" spans="1:22" x14ac:dyDescent="0.3">
      <c r="Q3" t="s">
        <v>38</v>
      </c>
      <c r="R3" s="79">
        <v>45627</v>
      </c>
      <c r="S3" s="80">
        <v>45870</v>
      </c>
      <c r="V3" s="79">
        <v>45047</v>
      </c>
    </row>
    <row r="4" spans="1:22" x14ac:dyDescent="0.3">
      <c r="Q4" t="s">
        <v>39</v>
      </c>
      <c r="R4" s="79">
        <v>45413</v>
      </c>
    </row>
    <row r="5" spans="1:22" x14ac:dyDescent="0.3">
      <c r="Q5" t="s">
        <v>14</v>
      </c>
      <c r="R5" s="79">
        <v>45536</v>
      </c>
      <c r="S5" s="79">
        <v>45627</v>
      </c>
      <c r="T5" s="79">
        <v>45536</v>
      </c>
    </row>
    <row r="6" spans="1:22" x14ac:dyDescent="0.3">
      <c r="Q6" t="s">
        <v>44</v>
      </c>
      <c r="R6" s="79">
        <v>45505</v>
      </c>
    </row>
    <row r="7" spans="1:22" x14ac:dyDescent="0.3">
      <c r="Q7" t="s">
        <v>73</v>
      </c>
      <c r="S7" s="79">
        <v>45536</v>
      </c>
    </row>
    <row r="8" spans="1:22" x14ac:dyDescent="0.3">
      <c r="Q8" t="s">
        <v>15</v>
      </c>
      <c r="R8" s="79">
        <v>45566</v>
      </c>
      <c r="T8" s="79">
        <v>45597</v>
      </c>
    </row>
    <row r="9" spans="1:22" x14ac:dyDescent="0.3">
      <c r="Q9" t="s">
        <v>74</v>
      </c>
      <c r="S9" s="79">
        <v>45627</v>
      </c>
    </row>
    <row r="10" spans="1:22" x14ac:dyDescent="0.3">
      <c r="Q10" t="s">
        <v>13</v>
      </c>
      <c r="S10" s="80">
        <v>45778</v>
      </c>
      <c r="V10" s="80">
        <v>45809</v>
      </c>
    </row>
    <row r="11" spans="1:22" x14ac:dyDescent="0.3">
      <c r="Q11" t="s">
        <v>75</v>
      </c>
      <c r="S11" s="79">
        <v>45597</v>
      </c>
    </row>
    <row r="12" spans="1:22" x14ac:dyDescent="0.3">
      <c r="Q12" t="s">
        <v>100</v>
      </c>
      <c r="V12" s="79">
        <v>45566</v>
      </c>
    </row>
    <row r="13" spans="1:22" x14ac:dyDescent="0.3">
      <c r="Q13" t="s">
        <v>16</v>
      </c>
      <c r="T13" s="79">
        <v>45474</v>
      </c>
    </row>
    <row r="14" spans="1:22" x14ac:dyDescent="0.3">
      <c r="Q14" t="s">
        <v>101</v>
      </c>
      <c r="U14" s="79">
        <v>45352</v>
      </c>
    </row>
    <row r="15" spans="1:22" x14ac:dyDescent="0.3">
      <c r="Q15" t="s">
        <v>45</v>
      </c>
      <c r="R15" s="79">
        <v>45658</v>
      </c>
    </row>
    <row r="16" spans="1:22" x14ac:dyDescent="0.3">
      <c r="Q16" t="s">
        <v>18</v>
      </c>
      <c r="S16" s="79">
        <v>45778</v>
      </c>
      <c r="T16" s="80">
        <v>45809</v>
      </c>
    </row>
    <row r="17" spans="1:22" x14ac:dyDescent="0.3">
      <c r="Q17" t="s">
        <v>90</v>
      </c>
      <c r="S17" s="80">
        <v>45870</v>
      </c>
      <c r="V17" s="80">
        <v>45870</v>
      </c>
    </row>
    <row r="18" spans="1:22" x14ac:dyDescent="0.3">
      <c r="Q18" t="s">
        <v>46</v>
      </c>
      <c r="R18" s="79">
        <v>45717</v>
      </c>
      <c r="S18" s="79">
        <v>45748</v>
      </c>
    </row>
    <row r="19" spans="1:22" x14ac:dyDescent="0.3">
      <c r="Q19" t="s">
        <v>102</v>
      </c>
      <c r="U19" s="80">
        <v>45778</v>
      </c>
    </row>
    <row r="20" spans="1:22" x14ac:dyDescent="0.3">
      <c r="Q20" t="s">
        <v>17</v>
      </c>
      <c r="S20" s="79">
        <v>45627</v>
      </c>
      <c r="T20" s="80">
        <v>45778</v>
      </c>
    </row>
    <row r="21" spans="1:22" x14ac:dyDescent="0.3">
      <c r="Q21" t="s">
        <v>47</v>
      </c>
      <c r="R21" s="79">
        <v>45505</v>
      </c>
    </row>
    <row r="22" spans="1:22" x14ac:dyDescent="0.3">
      <c r="A22" t="s">
        <v>95</v>
      </c>
      <c r="Q22" t="s">
        <v>12</v>
      </c>
      <c r="V22" s="80">
        <v>45809</v>
      </c>
    </row>
    <row r="23" spans="1:22" x14ac:dyDescent="0.3">
      <c r="B23" t="s">
        <v>98</v>
      </c>
      <c r="G23" t="s">
        <v>99</v>
      </c>
      <c r="Q23" t="s">
        <v>76</v>
      </c>
      <c r="S23" s="79">
        <v>45505</v>
      </c>
    </row>
    <row r="24" spans="1:22" x14ac:dyDescent="0.3">
      <c r="Q24" t="s">
        <v>48</v>
      </c>
      <c r="R24" s="79">
        <v>45413</v>
      </c>
    </row>
    <row r="25" spans="1:22" x14ac:dyDescent="0.3">
      <c r="Q25" t="s">
        <v>49</v>
      </c>
      <c r="R25" s="80">
        <v>45839</v>
      </c>
    </row>
    <row r="26" spans="1:22" x14ac:dyDescent="0.3">
      <c r="Q26" t="s">
        <v>50</v>
      </c>
      <c r="R26" s="79">
        <v>45717</v>
      </c>
      <c r="S26" s="79">
        <v>45748</v>
      </c>
    </row>
    <row r="27" spans="1:22" x14ac:dyDescent="0.3">
      <c r="Q27" t="s">
        <v>51</v>
      </c>
      <c r="R27" s="79">
        <v>45444</v>
      </c>
    </row>
    <row r="28" spans="1:22" x14ac:dyDescent="0.3">
      <c r="Q28" t="s">
        <v>19</v>
      </c>
      <c r="R28" s="79">
        <v>45658</v>
      </c>
      <c r="T28" s="79">
        <v>45748</v>
      </c>
    </row>
    <row r="29" spans="1:22" x14ac:dyDescent="0.3">
      <c r="Q29" t="s">
        <v>20</v>
      </c>
      <c r="R29" s="79">
        <v>45474</v>
      </c>
      <c r="S29" s="80">
        <v>45839</v>
      </c>
      <c r="T29" s="79">
        <v>45474</v>
      </c>
    </row>
    <row r="30" spans="1:22" x14ac:dyDescent="0.3">
      <c r="Q30" t="s">
        <v>52</v>
      </c>
      <c r="R30" s="79">
        <v>45717</v>
      </c>
      <c r="S30" s="79">
        <v>45413</v>
      </c>
    </row>
    <row r="31" spans="1:22" x14ac:dyDescent="0.3">
      <c r="Q31" t="s">
        <v>9</v>
      </c>
      <c r="R31" s="79">
        <v>45444</v>
      </c>
      <c r="S31" s="79">
        <v>45536</v>
      </c>
      <c r="T31" s="79">
        <v>45536</v>
      </c>
      <c r="U31" s="79">
        <v>45658</v>
      </c>
    </row>
    <row r="32" spans="1:22" x14ac:dyDescent="0.3">
      <c r="Q32" t="s">
        <v>77</v>
      </c>
      <c r="S32" s="79">
        <v>45413</v>
      </c>
    </row>
    <row r="33" spans="17:22" x14ac:dyDescent="0.3">
      <c r="Q33" t="s">
        <v>53</v>
      </c>
      <c r="R33" s="79">
        <v>45536</v>
      </c>
    </row>
    <row r="34" spans="17:22" x14ac:dyDescent="0.3">
      <c r="Q34" t="s">
        <v>54</v>
      </c>
      <c r="R34" s="79">
        <v>45627</v>
      </c>
    </row>
    <row r="35" spans="17:22" x14ac:dyDescent="0.3">
      <c r="Q35" t="s">
        <v>11</v>
      </c>
      <c r="S35" s="79">
        <v>45566</v>
      </c>
      <c r="U35" s="80">
        <v>45839</v>
      </c>
      <c r="V35" s="79">
        <v>45566</v>
      </c>
    </row>
    <row r="36" spans="17:22" x14ac:dyDescent="0.3">
      <c r="Q36" t="s">
        <v>21</v>
      </c>
      <c r="S36" s="79">
        <v>45627</v>
      </c>
      <c r="T36" s="79">
        <v>45689</v>
      </c>
    </row>
    <row r="37" spans="17:22" x14ac:dyDescent="0.3">
      <c r="Q37" t="s">
        <v>103</v>
      </c>
      <c r="S37" s="80">
        <v>45870</v>
      </c>
    </row>
    <row r="38" spans="17:22" x14ac:dyDescent="0.3">
      <c r="Q38" t="s">
        <v>78</v>
      </c>
      <c r="S38" s="79">
        <v>45536</v>
      </c>
    </row>
    <row r="39" spans="17:22" x14ac:dyDescent="0.3">
      <c r="Q39" t="s">
        <v>79</v>
      </c>
      <c r="S39" s="79">
        <v>45444</v>
      </c>
    </row>
    <row r="40" spans="17:22" x14ac:dyDescent="0.3">
      <c r="Q40" t="s">
        <v>22</v>
      </c>
      <c r="R40" s="79">
        <v>45689</v>
      </c>
      <c r="T40" s="80">
        <v>45809</v>
      </c>
    </row>
    <row r="41" spans="17:22" x14ac:dyDescent="0.3">
      <c r="Q41" t="s">
        <v>55</v>
      </c>
      <c r="R41" s="79">
        <v>45717</v>
      </c>
    </row>
    <row r="42" spans="17:22" x14ac:dyDescent="0.3">
      <c r="Q42" t="s">
        <v>23</v>
      </c>
      <c r="R42" s="79">
        <v>45658</v>
      </c>
      <c r="S42" s="79">
        <v>45383</v>
      </c>
      <c r="T42" s="79">
        <v>45658</v>
      </c>
    </row>
    <row r="43" spans="17:22" x14ac:dyDescent="0.3">
      <c r="Q43" t="s">
        <v>24</v>
      </c>
      <c r="R43" s="79">
        <v>45627</v>
      </c>
      <c r="T43" s="79">
        <v>45748</v>
      </c>
    </row>
    <row r="44" spans="17:22" x14ac:dyDescent="0.3">
      <c r="Q44" t="s">
        <v>10</v>
      </c>
      <c r="R44" s="79">
        <v>45413</v>
      </c>
      <c r="S44" s="79">
        <v>45505</v>
      </c>
      <c r="U44" s="79">
        <v>45536</v>
      </c>
    </row>
    <row r="45" spans="17:22" x14ac:dyDescent="0.3">
      <c r="Q45" t="s">
        <v>25</v>
      </c>
      <c r="R45" s="79">
        <v>45717</v>
      </c>
      <c r="T45" s="79">
        <v>45748</v>
      </c>
    </row>
    <row r="46" spans="17:22" x14ac:dyDescent="0.3">
      <c r="Q46" t="s">
        <v>56</v>
      </c>
      <c r="R46" s="79">
        <v>45748</v>
      </c>
    </row>
    <row r="47" spans="17:22" x14ac:dyDescent="0.3">
      <c r="Q47" t="s">
        <v>26</v>
      </c>
      <c r="R47" s="79">
        <v>45505</v>
      </c>
      <c r="S47" s="79">
        <v>45658</v>
      </c>
      <c r="T47" s="79">
        <v>45505</v>
      </c>
    </row>
    <row r="48" spans="17:22" x14ac:dyDescent="0.3">
      <c r="Q48" t="s">
        <v>57</v>
      </c>
      <c r="R48" s="79">
        <v>45505</v>
      </c>
    </row>
    <row r="49" spans="17:19" x14ac:dyDescent="0.3">
      <c r="Q49" t="s">
        <v>80</v>
      </c>
      <c r="S49" s="79">
        <v>45536</v>
      </c>
    </row>
    <row r="50" spans="17:19" x14ac:dyDescent="0.3">
      <c r="Q50" t="s">
        <v>58</v>
      </c>
      <c r="R50" s="80">
        <v>45809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Strategy_Summary</vt:lpstr>
      <vt:lpstr>BQR-6_9.15.2025</vt:lpstr>
      <vt:lpstr>CPE_887_9.10.2025</vt:lpstr>
      <vt:lpstr>CPE_888_9.8.2025</vt:lpstr>
      <vt:lpstr>BQR-7_9.6.2025</vt:lpstr>
      <vt:lpstr>BQR-6_9.5.2025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Longhao</dc:creator>
  <cp:lastModifiedBy>Longhao Desktop</cp:lastModifiedBy>
  <dcterms:created xsi:type="dcterms:W3CDTF">2015-06-05T18:17:20Z</dcterms:created>
  <dcterms:modified xsi:type="dcterms:W3CDTF">2025-09-16T20:58:20Z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{55999F6F-29D5-4406-BBC9-046C95D6E4D7}</vt:lpwstr>
  </property>
</Properties>
</file>