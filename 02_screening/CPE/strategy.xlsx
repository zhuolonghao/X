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ongh\Desktop\X\02_screening\CPE\"/>
    </mc:Choice>
  </mc:AlternateContent>
  <xr:revisionPtr revIDLastSave="0" documentId="13_ncr:1_{BFD5C6F4-004E-4269-BAD7-25711A2D198F}" xr6:coauthVersionLast="47" xr6:coauthVersionMax="47" xr10:uidLastSave="{00000000-0000-0000-0000-000000000000}"/>
  <bookViews>
    <workbookView xWindow="-108" yWindow="-108" windowWidth="30936" windowHeight="16896" activeTab="4" xr2:uid="{00000000-000D-0000-FFFF-FFFF00000000}"/>
  </bookViews>
  <sheets>
    <sheet name="NAC|CPE888_9.18" sheetId="17" r:id="rId1"/>
    <sheet name="Bull_Metrics" sheetId="15" r:id="rId2"/>
    <sheet name="CPE-887_9.18" sheetId="16" r:id="rId3"/>
    <sheet name="BQR-7_9.15" sheetId="12" r:id="rId4"/>
    <sheet name="BQR-6_9.15" sheetId="10" r:id="rId5"/>
    <sheet name="CPE_887_9.10.2025" sheetId="8" state="hidden" r:id="rId6"/>
    <sheet name="CPE_888_9.8.2025" sheetId="6" state="hidden" r:id="rId7"/>
    <sheet name="BQR-7_9.6.2025" sheetId="5" state="hidden" r:id="rId8"/>
    <sheet name="BQR-6_9.5.2025" sheetId="4" state="hidden" r:id="rId9"/>
    <sheet name="BQR-58_9.15" sheetId="13" r:id="rId10"/>
  </sheets>
  <definedNames>
    <definedName name="_xlnm._FilterDatabase" localSheetId="9" hidden="1">'BQR-58_9.15'!$A$4:$AZ$72</definedName>
    <definedName name="_xlnm._FilterDatabase" localSheetId="4" hidden="1">'BQR-6_9.15'!$A$4:$AZ$76</definedName>
    <definedName name="_xlnm._FilterDatabase" localSheetId="8" hidden="1">'BQR-6_9.5.2025'!$A$3:$AM$32</definedName>
    <definedName name="_xlnm._FilterDatabase" localSheetId="3" hidden="1">'BQR-7_9.15'!$A$4:$AZ$72</definedName>
    <definedName name="_xlnm._FilterDatabase" localSheetId="7" hidden="1">'BQR-7_9.6.2025'!$A$3:$AM$25</definedName>
    <definedName name="_xlnm._FilterDatabase" localSheetId="1" hidden="1">Bull_Metrics!$Y$1:$AE$1</definedName>
    <definedName name="_xlnm._FilterDatabase" localSheetId="5" hidden="1">'CPE_887_9.10.2025'!$A$3:$AM$17</definedName>
    <definedName name="_xlnm._FilterDatabase" localSheetId="6" hidden="1">'CPE_888_9.8.2025'!$A$3:$AM$4</definedName>
    <definedName name="_xlnm._FilterDatabase" localSheetId="2" hidden="1">'CPE-887_9.18'!$A$4:$AZ$54</definedName>
    <definedName name="_xlnm._FilterDatabase" localSheetId="0" hidden="1">'NAC|CPE888_9.18'!$B$4:$BA$32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7" i="8" l="1" a="1"/>
  <c r="W27" i="8" s="1"/>
  <c r="W26" i="8"/>
  <c r="W22" i="8"/>
  <c r="W21" i="8"/>
  <c r="W30" i="5"/>
  <c r="T29" i="5"/>
  <c r="T30" i="5"/>
  <c r="T28" i="5"/>
  <c r="AF42" i="4" a="1"/>
  <c r="AF42" i="4" s="1"/>
  <c r="AF41" i="4"/>
  <c r="AF39" i="4" a="1"/>
  <c r="AF39" i="4" s="1"/>
  <c r="AF37" i="4"/>
  <c r="AF36" i="4"/>
  <c r="AF35" i="4"/>
  <c r="AF34" i="4"/>
  <c r="AC41" i="4"/>
  <c r="AC42" i="4" s="1" a="1"/>
  <c r="AC42" i="4" s="1"/>
  <c r="AC39" i="4" a="1"/>
  <c r="AC39" i="4" s="1"/>
  <c r="AC37" i="4"/>
  <c r="AC36" i="4"/>
  <c r="AC35" i="4"/>
  <c r="AC34" i="4"/>
  <c r="Z41" i="4"/>
  <c r="Z39" i="4" a="1"/>
  <c r="Z39" i="4" s="1"/>
  <c r="Z37" i="4"/>
  <c r="Z36" i="4"/>
  <c r="Z35" i="4"/>
  <c r="Z34" i="4"/>
  <c r="Z42" i="4" s="1" a="1"/>
  <c r="Z42" i="4" s="1"/>
  <c r="W41" i="4"/>
  <c r="W39" i="4" a="1"/>
  <c r="W39" i="4" s="1"/>
  <c r="W37" i="4"/>
  <c r="W38" i="4" s="1"/>
  <c r="W36" i="4"/>
  <c r="W35" i="4"/>
  <c r="W34" i="4"/>
  <c r="W42" i="4" s="1" a="1"/>
  <c r="W42" i="4" s="1"/>
  <c r="T41" i="4"/>
  <c r="T39" i="4" a="1"/>
  <c r="T39" i="4" s="1"/>
  <c r="T37" i="4"/>
  <c r="T36" i="4"/>
  <c r="AA13" i="8"/>
  <c r="AF26" i="8"/>
  <c r="AF24" i="8" a="1"/>
  <c r="AF24" i="8" s="1"/>
  <c r="AF22" i="8"/>
  <c r="AF21" i="8"/>
  <c r="AF20" i="8"/>
  <c r="AF19" i="8"/>
  <c r="AC26" i="8"/>
  <c r="AC24" i="8" a="1"/>
  <c r="AC24" i="8" s="1"/>
  <c r="AC22" i="8"/>
  <c r="AC23" i="8" s="1"/>
  <c r="AC21" i="8"/>
  <c r="AC20" i="8"/>
  <c r="AC19" i="8"/>
  <c r="AC27" i="8" s="1" a="1"/>
  <c r="AC27" i="8" s="1"/>
  <c r="Z26" i="8"/>
  <c r="Z24" i="8" a="1"/>
  <c r="Z24" i="8" s="1"/>
  <c r="Z22" i="8"/>
  <c r="Z21" i="8"/>
  <c r="Z20" i="8"/>
  <c r="Z19" i="8"/>
  <c r="Z27" i="8" s="1" a="1"/>
  <c r="Z27" i="8" s="1"/>
  <c r="T26" i="8"/>
  <c r="W24" i="8" a="1"/>
  <c r="W24" i="8" s="1"/>
  <c r="T24" i="8" a="1"/>
  <c r="T24" i="8" s="1"/>
  <c r="T22" i="8"/>
  <c r="T21" i="8"/>
  <c r="W20" i="8"/>
  <c r="T20" i="8"/>
  <c r="W19" i="8"/>
  <c r="T19" i="8"/>
  <c r="AD6" i="8"/>
  <c r="AA6" i="8"/>
  <c r="X6" i="8"/>
  <c r="U6" i="8"/>
  <c r="AD14" i="8"/>
  <c r="AA14" i="8"/>
  <c r="X14" i="8"/>
  <c r="U14" i="8"/>
  <c r="AD13" i="8"/>
  <c r="X13" i="8"/>
  <c r="U13" i="8"/>
  <c r="AD10" i="8"/>
  <c r="AA10" i="8"/>
  <c r="X10" i="8"/>
  <c r="U10" i="8"/>
  <c r="AD17" i="8"/>
  <c r="AA17" i="8"/>
  <c r="X17" i="8"/>
  <c r="U17" i="8"/>
  <c r="AD11" i="8"/>
  <c r="AA11" i="8"/>
  <c r="X11" i="8"/>
  <c r="U11" i="8"/>
  <c r="AD8" i="8"/>
  <c r="AA8" i="8"/>
  <c r="X8" i="8"/>
  <c r="U8" i="8"/>
  <c r="AD4" i="8"/>
  <c r="AA4" i="8"/>
  <c r="X4" i="8"/>
  <c r="U4" i="8"/>
  <c r="AD12" i="8"/>
  <c r="AA12" i="8"/>
  <c r="X12" i="8"/>
  <c r="U12" i="8"/>
  <c r="AD15" i="8"/>
  <c r="AA15" i="8"/>
  <c r="X15" i="8"/>
  <c r="U15" i="8"/>
  <c r="U16" i="8"/>
  <c r="AD5" i="8"/>
  <c r="AA5" i="8"/>
  <c r="X5" i="8"/>
  <c r="X9" i="8"/>
  <c r="U9" i="8"/>
  <c r="AD7" i="8"/>
  <c r="X7" i="8"/>
  <c r="U7" i="8"/>
  <c r="W17" i="6"/>
  <c r="T17" i="6"/>
  <c r="W15" i="6" a="1"/>
  <c r="W15" i="6" s="1"/>
  <c r="T15" i="6" a="1"/>
  <c r="T15" i="6" s="1"/>
  <c r="AF13" i="6"/>
  <c r="AC13" i="6"/>
  <c r="Z13" i="6"/>
  <c r="W13" i="6"/>
  <c r="T13" i="6"/>
  <c r="AF12" i="6"/>
  <c r="AC12" i="6"/>
  <c r="Z12" i="6"/>
  <c r="W12" i="6"/>
  <c r="T12" i="6"/>
  <c r="AF11" i="6"/>
  <c r="AC11" i="6"/>
  <c r="Z11" i="6"/>
  <c r="W11" i="6"/>
  <c r="T11" i="6"/>
  <c r="W10" i="6"/>
  <c r="W18" i="6" s="1" a="1"/>
  <c r="W18" i="6" s="1"/>
  <c r="T10" i="6"/>
  <c r="T18" i="6" s="1" a="1"/>
  <c r="T18" i="6" s="1"/>
  <c r="AD5" i="6"/>
  <c r="AA5" i="6"/>
  <c r="X5" i="6"/>
  <c r="U5" i="6"/>
  <c r="U7" i="6"/>
  <c r="AD8" i="6"/>
  <c r="AA8" i="6"/>
  <c r="X8" i="6"/>
  <c r="X6" i="6"/>
  <c r="U6" i="6"/>
  <c r="AD4" i="6"/>
  <c r="X4" i="6"/>
  <c r="U4" i="6"/>
  <c r="T42" i="4" a="1"/>
  <c r="T42" i="4" s="1"/>
  <c r="T34" i="4"/>
  <c r="T35" i="4"/>
  <c r="Z28" i="5"/>
  <c r="AC28" i="5"/>
  <c r="AF28" i="5"/>
  <c r="Z29" i="5"/>
  <c r="AC29" i="5"/>
  <c r="AF29" i="5"/>
  <c r="Z30" i="5"/>
  <c r="AC30" i="5"/>
  <c r="AF30" i="5"/>
  <c r="W35" i="5" a="1"/>
  <c r="W35" i="5" s="1"/>
  <c r="W34" i="5"/>
  <c r="W32" i="5" a="1"/>
  <c r="W32" i="5" s="1"/>
  <c r="W29" i="5"/>
  <c r="W28" i="5"/>
  <c r="W27" i="5"/>
  <c r="T32" i="5" a="1"/>
  <c r="T32" i="5" s="1"/>
  <c r="T27" i="5"/>
  <c r="T34" i="5"/>
  <c r="U15" i="5"/>
  <c r="AD11" i="5"/>
  <c r="AA11" i="5"/>
  <c r="X11" i="5"/>
  <c r="U11" i="5"/>
  <c r="AD20" i="5"/>
  <c r="AA20" i="5"/>
  <c r="X20" i="5"/>
  <c r="U20" i="5"/>
  <c r="AD8" i="5"/>
  <c r="AA8" i="5"/>
  <c r="X8" i="5"/>
  <c r="U8" i="5"/>
  <c r="AD4" i="5"/>
  <c r="AA4" i="5"/>
  <c r="X4" i="5"/>
  <c r="U4" i="5"/>
  <c r="AD7" i="5"/>
  <c r="AA7" i="5"/>
  <c r="X7" i="5"/>
  <c r="U7" i="5"/>
  <c r="AA10" i="5"/>
  <c r="X10" i="5"/>
  <c r="U10" i="5"/>
  <c r="AD17" i="5"/>
  <c r="AA17" i="5"/>
  <c r="X17" i="5"/>
  <c r="U17" i="5"/>
  <c r="AD14" i="5"/>
  <c r="AA14" i="5"/>
  <c r="X14" i="5"/>
  <c r="U14" i="5"/>
  <c r="AD5" i="5"/>
  <c r="AA5" i="5"/>
  <c r="X5" i="5"/>
  <c r="U5" i="5"/>
  <c r="AD12" i="5"/>
  <c r="AA12" i="5"/>
  <c r="X12" i="5"/>
  <c r="U12" i="5"/>
  <c r="AD6" i="5"/>
  <c r="AA6" i="5"/>
  <c r="X6" i="5"/>
  <c r="U6" i="5"/>
  <c r="AD25" i="5"/>
  <c r="AA25" i="5"/>
  <c r="X25" i="5"/>
  <c r="U25" i="5"/>
  <c r="AD22" i="5"/>
  <c r="AA22" i="5"/>
  <c r="X22" i="5"/>
  <c r="U22" i="5"/>
  <c r="AD9" i="5"/>
  <c r="AA9" i="5"/>
  <c r="X9" i="5"/>
  <c r="U9" i="5"/>
  <c r="AD18" i="5"/>
  <c r="AA18" i="5"/>
  <c r="X18" i="5"/>
  <c r="U18" i="5"/>
  <c r="AD21" i="5"/>
  <c r="AA21" i="5"/>
  <c r="X21" i="5"/>
  <c r="U21" i="5"/>
  <c r="AD24" i="5"/>
  <c r="AA24" i="5"/>
  <c r="X24" i="5"/>
  <c r="U24" i="5"/>
  <c r="AD15" i="5"/>
  <c r="AA15" i="5"/>
  <c r="X15" i="5"/>
  <c r="U23" i="5"/>
  <c r="AD16" i="5"/>
  <c r="AA16" i="5"/>
  <c r="X16" i="5"/>
  <c r="X13" i="5"/>
  <c r="U13" i="5"/>
  <c r="AD19" i="5"/>
  <c r="X19" i="5"/>
  <c r="U19" i="5"/>
  <c r="AA25" i="4"/>
  <c r="AA22" i="4"/>
  <c r="AD22" i="4"/>
  <c r="AD19" i="4"/>
  <c r="AD5" i="4"/>
  <c r="AD15" i="4"/>
  <c r="AD10" i="4"/>
  <c r="AD16" i="4"/>
  <c r="AD28" i="4"/>
  <c r="AD12" i="4"/>
  <c r="AD6" i="4"/>
  <c r="AD32" i="4"/>
  <c r="AD27" i="4"/>
  <c r="AD9" i="4"/>
  <c r="AD8" i="4"/>
  <c r="AD14" i="4"/>
  <c r="AD17" i="4"/>
  <c r="AD23" i="4"/>
  <c r="AD21" i="4"/>
  <c r="AD18" i="4"/>
  <c r="AD4" i="4"/>
  <c r="AD25" i="4"/>
  <c r="AD29" i="4"/>
  <c r="AD11" i="4"/>
  <c r="AD13" i="4"/>
  <c r="AD30" i="4"/>
  <c r="AD31" i="4"/>
  <c r="AA19" i="4"/>
  <c r="AA5" i="4"/>
  <c r="AA15" i="4"/>
  <c r="AA10" i="4"/>
  <c r="AA16" i="4"/>
  <c r="AA20" i="4"/>
  <c r="AA28" i="4"/>
  <c r="AA12" i="4"/>
  <c r="AA6" i="4"/>
  <c r="AA32" i="4"/>
  <c r="AA27" i="4"/>
  <c r="AA9" i="4"/>
  <c r="AA24" i="4"/>
  <c r="AA8" i="4"/>
  <c r="AA14" i="4"/>
  <c r="AA17" i="4"/>
  <c r="AA23" i="4"/>
  <c r="AA26" i="4"/>
  <c r="AA21" i="4"/>
  <c r="AA18" i="4"/>
  <c r="AA4" i="4"/>
  <c r="AA29" i="4"/>
  <c r="AA11" i="4"/>
  <c r="AA13" i="4"/>
  <c r="AA30" i="4"/>
  <c r="AA31" i="4"/>
  <c r="X19" i="4"/>
  <c r="X5" i="4"/>
  <c r="X15" i="4"/>
  <c r="X10" i="4"/>
  <c r="X16" i="4"/>
  <c r="X20" i="4"/>
  <c r="X28" i="4"/>
  <c r="X12" i="4"/>
  <c r="X6" i="4"/>
  <c r="X32" i="4"/>
  <c r="X27" i="4"/>
  <c r="X22" i="4"/>
  <c r="X9" i="4"/>
  <c r="X24" i="4"/>
  <c r="X8" i="4"/>
  <c r="X14" i="4"/>
  <c r="X17" i="4"/>
  <c r="X23" i="4"/>
  <c r="X26" i="4"/>
  <c r="X21" i="4"/>
  <c r="X18" i="4"/>
  <c r="X4" i="4"/>
  <c r="X25" i="4"/>
  <c r="X29" i="4"/>
  <c r="X11" i="4"/>
  <c r="X13" i="4"/>
  <c r="X30" i="4"/>
  <c r="X31" i="4"/>
  <c r="U19" i="4"/>
  <c r="U5" i="4"/>
  <c r="U15" i="4"/>
  <c r="U10" i="4"/>
  <c r="U16" i="4"/>
  <c r="U20" i="4"/>
  <c r="U28" i="4"/>
  <c r="U12" i="4"/>
  <c r="U6" i="4"/>
  <c r="U32" i="4"/>
  <c r="U27" i="4"/>
  <c r="U7" i="4"/>
  <c r="U22" i="4"/>
  <c r="U9" i="4"/>
  <c r="U24" i="4"/>
  <c r="U8" i="4"/>
  <c r="U14" i="4"/>
  <c r="U17" i="4"/>
  <c r="U23" i="4"/>
  <c r="U26" i="4"/>
  <c r="U21" i="4"/>
  <c r="U18" i="4"/>
  <c r="U4" i="4"/>
  <c r="U25" i="4"/>
  <c r="U29" i="4"/>
  <c r="U11" i="4"/>
  <c r="U13" i="4"/>
  <c r="U30" i="4"/>
  <c r="U31" i="4"/>
  <c r="AC25" i="8" l="1"/>
  <c r="AC40" i="4"/>
  <c r="T40" i="4"/>
  <c r="T38" i="4"/>
  <c r="AF27" i="8" a="1"/>
  <c r="AF27" i="8" s="1"/>
  <c r="Z25" i="8"/>
  <c r="Z23" i="8"/>
  <c r="Z38" i="4"/>
  <c r="AF38" i="4"/>
  <c r="W40" i="4"/>
  <c r="Z40" i="4"/>
  <c r="AC38" i="4"/>
  <c r="AF40" i="4"/>
  <c r="T33" i="5"/>
  <c r="AF31" i="5"/>
  <c r="T35" i="5" a="1"/>
  <c r="T35" i="5" s="1"/>
  <c r="AC31" i="5"/>
  <c r="AF23" i="8"/>
  <c r="Z31" i="5"/>
  <c r="W31" i="5"/>
  <c r="W33" i="5"/>
  <c r="AF25" i="8"/>
  <c r="T27" i="8" a="1"/>
  <c r="T27" i="8" s="1"/>
  <c r="T25" i="8"/>
  <c r="W23" i="8"/>
  <c r="W25" i="8"/>
  <c r="T23" i="8"/>
  <c r="T14" i="6"/>
  <c r="W14" i="6"/>
  <c r="AF14" i="6"/>
  <c r="W16" i="6"/>
  <c r="AC14" i="6"/>
  <c r="Z14" i="6"/>
  <c r="T16" i="6"/>
  <c r="T31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<sst xmlns="http://schemas.openxmlformats.org/spreadsheetml/2006/main" count="1487" uniqueCount="246">
  <si>
    <t>Type</t>
  </si>
  <si>
    <t>Ticker</t>
  </si>
  <si>
    <t>Gain</t>
  </si>
  <si>
    <t>Gain Date</t>
  </si>
  <si>
    <t>Pain</t>
  </si>
  <si>
    <t>Pain Date</t>
  </si>
  <si>
    <t>-</t>
  </si>
  <si>
    <t>Tie</t>
  </si>
  <si>
    <t>Win</t>
  </si>
  <si>
    <t>MODV</t>
  </si>
  <si>
    <t>SPHR</t>
  </si>
  <si>
    <t>NFE</t>
  </si>
  <si>
    <t>HAIN</t>
  </si>
  <si>
    <t>CODI</t>
  </si>
  <si>
    <t>APPS</t>
  </si>
  <si>
    <t>CATO</t>
  </si>
  <si>
    <t>DTI</t>
  </si>
  <si>
    <t>GT</t>
  </si>
  <si>
    <t>FLWS</t>
  </si>
  <si>
    <t>MATV</t>
  </si>
  <si>
    <t>MEI</t>
  </si>
  <si>
    <t>ONEW</t>
  </si>
  <si>
    <t>SBGI</t>
  </si>
  <si>
    <t>SMTC</t>
  </si>
  <si>
    <t>SNAP</t>
  </si>
  <si>
    <t>SSP</t>
  </si>
  <si>
    <t>TTEC</t>
  </si>
  <si>
    <t>Returns</t>
  </si>
  <si>
    <t>-25D</t>
  </si>
  <si>
    <t>Moving to BQR6</t>
  </si>
  <si>
    <t>Before Event</t>
  </si>
  <si>
    <t>After Event</t>
  </si>
  <si>
    <t>-120D</t>
  </si>
  <si>
    <t>75D</t>
  </si>
  <si>
    <t>150D</t>
  </si>
  <si>
    <t>ASAP Strategy</t>
  </si>
  <si>
    <t>Result</t>
  </si>
  <si>
    <t>Event / Screening</t>
  </si>
  <si>
    <t>AGL</t>
  </si>
  <si>
    <t>AKA</t>
  </si>
  <si>
    <t>CAR Date</t>
  </si>
  <si>
    <t>D0 Date</t>
  </si>
  <si>
    <t>D0 Price</t>
  </si>
  <si>
    <t>ADTN</t>
  </si>
  <si>
    <t>BA</t>
  </si>
  <si>
    <t>EDR</t>
  </si>
  <si>
    <t>FTRE</t>
  </si>
  <si>
    <t>GTN</t>
  </si>
  <si>
    <t>HE</t>
  </si>
  <si>
    <t>IART</t>
  </si>
  <si>
    <t>IRWD</t>
  </si>
  <si>
    <t>LTH</t>
  </si>
  <si>
    <t>MMI</t>
  </si>
  <si>
    <t>MRCY</t>
  </si>
  <si>
    <t>MXL</t>
  </si>
  <si>
    <t>SLAB</t>
  </si>
  <si>
    <t>TBI</t>
  </si>
  <si>
    <t>VFC</t>
  </si>
  <si>
    <t>ZIP</t>
  </si>
  <si>
    <t>Maximum from D0 Date</t>
  </si>
  <si>
    <t>-10%</t>
  </si>
  <si>
    <t>-20%</t>
  </si>
  <si>
    <t>Bottom of Dashboard (Automated)</t>
  </si>
  <si>
    <r>
      <t>1st material drop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</si>
  <si>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 xml:space="preserve">1st material drop from </t>
    </r>
    <r>
      <rPr>
        <b/>
        <sz val="11"/>
        <color rgb="FFFF0000"/>
        <rFont val="Calibri"/>
        <family val="2"/>
        <scheme val="minor"/>
      </rPr>
      <t>D7</t>
    </r>
  </si>
  <si>
    <t>Top of Dashboard (Manual Check / Cannot be automated)</t>
  </si>
  <si>
    <r>
      <t xml:space="preserve">Wait-and-See 
(down by 10% from </t>
    </r>
    <r>
      <rPr>
        <sz val="11"/>
        <color rgb="FFFF0000"/>
        <rFont val="Calibri"/>
        <family val="2"/>
        <scheme val="minor"/>
      </rPr>
      <t>D7</t>
    </r>
    <r>
      <rPr>
        <sz val="11"/>
        <color theme="1"/>
        <rFont val="Calibri"/>
        <family val="2"/>
        <scheme val="minor"/>
      </rPr>
      <t>)</t>
    </r>
  </si>
  <si>
    <r>
      <t xml:space="preserve">Wait-and-See 
(down by 20% from </t>
    </r>
    <r>
      <rPr>
        <sz val="11"/>
        <color rgb="FFFF0000"/>
        <rFont val="Calibri"/>
        <family val="2"/>
        <scheme val="minor"/>
      </rPr>
      <t>D7</t>
    </r>
    <r>
      <rPr>
        <sz val="11"/>
        <color theme="1"/>
        <rFont val="Calibri"/>
        <family val="2"/>
        <scheme val="minor"/>
      </rPr>
      <t>)</t>
    </r>
  </si>
  <si>
    <t>Action</t>
  </si>
  <si>
    <r>
      <t xml:space="preserve">Wait-and-See
 (down by 20% from </t>
    </r>
    <r>
      <rPr>
        <sz val="11"/>
        <color rgb="FFFF0000"/>
        <rFont val="Calibri"/>
        <family val="2"/>
        <scheme val="minor"/>
      </rPr>
      <t>D0</t>
    </r>
    <r>
      <rPr>
        <sz val="11"/>
        <color theme="1"/>
        <rFont val="Calibri"/>
        <family val="2"/>
        <scheme val="minor"/>
      </rPr>
      <t>)</t>
    </r>
  </si>
  <si>
    <r>
      <t>Wait-and-See 
(down by 10% from</t>
    </r>
    <r>
      <rPr>
        <sz val="11"/>
        <color rgb="FFFF0000"/>
        <rFont val="Calibri"/>
        <family val="2"/>
        <scheme val="minor"/>
      </rPr>
      <t xml:space="preserve"> D0</t>
    </r>
    <r>
      <rPr>
        <sz val="11"/>
        <color theme="1"/>
        <rFont val="Calibri"/>
        <family val="2"/>
        <scheme val="minor"/>
      </rPr>
      <t>)</t>
    </r>
  </si>
  <si>
    <t>Lose</t>
  </si>
  <si>
    <t>Moving to BQR7</t>
  </si>
  <si>
    <t>BALY</t>
  </si>
  <si>
    <t>CMP</t>
  </si>
  <si>
    <t>CRNC</t>
  </si>
  <si>
    <t>HBIO</t>
  </si>
  <si>
    <t>MPW</t>
  </si>
  <si>
    <t>PENN</t>
  </si>
  <si>
    <t>RDUS</t>
  </si>
  <si>
    <t>WDC</t>
  </si>
  <si>
    <t>Win Rate</t>
  </si>
  <si>
    <t>Avg Return</t>
  </si>
  <si>
    <t>Sharpe Ratio</t>
  </si>
  <si>
    <t>Std. Deviation</t>
  </si>
  <si>
    <t>STD for only negative</t>
  </si>
  <si>
    <t>Sortino Ratio</t>
  </si>
  <si>
    <t>Max Drawdown</t>
  </si>
  <si>
    <t>Calmar Ratio</t>
  </si>
  <si>
    <t>Counts</t>
  </si>
  <si>
    <t>FLY</t>
  </si>
  <si>
    <t>NAC</t>
  </si>
  <si>
    <t>CPE888</t>
  </si>
  <si>
    <t>CRWV</t>
  </si>
  <si>
    <t>EBS</t>
  </si>
  <si>
    <t>GORV</t>
  </si>
  <si>
    <t>OSCR</t>
  </si>
  <si>
    <t>Foreced Exit when drop by 20%</t>
  </si>
  <si>
    <r>
      <t>ASAP
 (</t>
    </r>
    <r>
      <rPr>
        <sz val="11"/>
        <color rgb="FFFF0000"/>
        <rFont val="Calibri"/>
        <family val="2"/>
        <scheme val="minor"/>
      </rPr>
      <t>traded on D7</t>
    </r>
    <r>
      <rPr>
        <sz val="11"/>
        <color theme="1"/>
        <rFont val="Calibri"/>
        <family val="2"/>
        <scheme val="minor"/>
      </rPr>
      <t>)</t>
    </r>
  </si>
  <si>
    <t>Foreced Exit when drop by 30%</t>
  </si>
  <si>
    <r>
      <t>1st material up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</si>
  <si>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>1st material down from</t>
    </r>
    <r>
      <rPr>
        <b/>
        <sz val="11"/>
        <color rgb="FFFF0000"/>
        <rFont val="Calibri"/>
        <family val="2"/>
        <scheme val="minor"/>
      </rPr>
      <t xml:space="preserve"> D0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</si>
  <si>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10%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</si>
  <si>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20%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</si>
  <si>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(down by 30% from D0)</t>
    </r>
  </si>
  <si>
    <t>Ret</t>
  </si>
  <si>
    <t>Dt</t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</si>
  <si>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10%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</si>
  <si>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20% from D0)</t>
    </r>
  </si>
  <si>
    <r>
      <t xml:space="preserve">Wait-and-See
</t>
    </r>
    <r>
      <rPr>
        <b/>
        <sz val="11"/>
        <color rgb="FFFF0000"/>
        <rFont val="Calibri"/>
        <family val="2"/>
        <scheme val="minor"/>
      </rPr>
      <t xml:space="preserve"> (Up or Down by 30% from D0)</t>
    </r>
  </si>
  <si>
    <t>ADP</t>
  </si>
  <si>
    <t>ALNT</t>
  </si>
  <si>
    <t>AMCX</t>
  </si>
  <si>
    <t>AMPK</t>
  </si>
  <si>
    <t>APO</t>
  </si>
  <si>
    <t>APPN</t>
  </si>
  <si>
    <t>ASTE</t>
  </si>
  <si>
    <t>ASTH</t>
  </si>
  <si>
    <t>BAND</t>
  </si>
  <si>
    <t>CAR</t>
  </si>
  <si>
    <t>CLR</t>
  </si>
  <si>
    <t>CMCO</t>
  </si>
  <si>
    <t>COR</t>
  </si>
  <si>
    <t>CRK</t>
  </si>
  <si>
    <t>DKNG</t>
  </si>
  <si>
    <t>DNUT</t>
  </si>
  <si>
    <t>EE</t>
  </si>
  <si>
    <t>EFXT</t>
  </si>
  <si>
    <t>EHAB</t>
  </si>
  <si>
    <t>EMBC</t>
  </si>
  <si>
    <t>EVC</t>
  </si>
  <si>
    <t>EXAS</t>
  </si>
  <si>
    <t>EXTR</t>
  </si>
  <si>
    <t>FMC</t>
  </si>
  <si>
    <t>FOXF</t>
  </si>
  <si>
    <t>GDOT</t>
  </si>
  <si>
    <t>HBI</t>
  </si>
  <si>
    <t>HI</t>
  </si>
  <si>
    <t>HNGR</t>
  </si>
  <si>
    <t>HRYS</t>
  </si>
  <si>
    <t>IFF</t>
  </si>
  <si>
    <t>JEF</t>
  </si>
  <si>
    <t>LFST</t>
  </si>
  <si>
    <t>LGF.A</t>
  </si>
  <si>
    <t>LPRO</t>
  </si>
  <si>
    <t>NCLH</t>
  </si>
  <si>
    <t>NEOG</t>
  </si>
  <si>
    <t>OMCL</t>
  </si>
  <si>
    <t>PACK</t>
  </si>
  <si>
    <t>PII</t>
  </si>
  <si>
    <t>PRDO</t>
  </si>
  <si>
    <t>QTWO</t>
  </si>
  <si>
    <t>RELY</t>
  </si>
  <si>
    <t>SALT</t>
  </si>
  <si>
    <t>SGH</t>
  </si>
  <si>
    <t>SHYF</t>
  </si>
  <si>
    <t>SMG</t>
  </si>
  <si>
    <t>SWX</t>
  </si>
  <si>
    <t>TDS</t>
  </si>
  <si>
    <t>TELA</t>
  </si>
  <si>
    <t>TG</t>
  </si>
  <si>
    <t>TTWO</t>
  </si>
  <si>
    <t>WLFC</t>
  </si>
  <si>
    <t>WRLD</t>
  </si>
  <si>
    <t>Median Return</t>
  </si>
  <si>
    <t>Payoff Ratio</t>
  </si>
  <si>
    <t>Profit Factor</t>
  </si>
  <si>
    <t>bqr6_down30_ext30</t>
  </si>
  <si>
    <t>bqr6_down30_ext20</t>
  </si>
  <si>
    <t>bqr6_down20_ext30</t>
  </si>
  <si>
    <t>bqr6_down20_ext20</t>
  </si>
  <si>
    <t>bqr6_down10_ext30</t>
  </si>
  <si>
    <t>bqr6_down10_ext20</t>
  </si>
  <si>
    <t>bqr6_move30_ext30</t>
  </si>
  <si>
    <t>bqr6_move30_ext20</t>
  </si>
  <si>
    <t>bqr6_move20_ext30</t>
  </si>
  <si>
    <t>bqr6_move20_ext20</t>
  </si>
  <si>
    <t>bqr6_move10_ext30</t>
  </si>
  <si>
    <t>bqr6_move10_ext20</t>
  </si>
  <si>
    <t>bqr6_asap_30</t>
  </si>
  <si>
    <t>bqr6_asap_20</t>
  </si>
  <si>
    <t>Trade Count</t>
  </si>
  <si>
    <t>Average Return</t>
  </si>
  <si>
    <t>bqr5_asap_20</t>
  </si>
  <si>
    <t>bqr5_asap_30</t>
  </si>
  <si>
    <t>bqr5_move10_ext20</t>
  </si>
  <si>
    <t>bqr5_move10_ext30</t>
  </si>
  <si>
    <t>bqr5_move20_ext20</t>
  </si>
  <si>
    <t>bqr5_move20_ext30</t>
  </si>
  <si>
    <t>bqr5_move30_ext20</t>
  </si>
  <si>
    <t>bqr5_move30_ext30</t>
  </si>
  <si>
    <t>bqr5_down10_ext20</t>
  </si>
  <si>
    <t>bqr5_down10_ext30</t>
  </si>
  <si>
    <t>bqr5_down20_ext20</t>
  </si>
  <si>
    <t>bqr5_down20_ext30</t>
  </si>
  <si>
    <t>bqr5_down30_ext20</t>
  </si>
  <si>
    <t>bqr5_down30_ext30</t>
  </si>
  <si>
    <t>BQR7_asap_20</t>
  </si>
  <si>
    <t>BQR7_asap_30</t>
  </si>
  <si>
    <t>BQR7_move10_ext20</t>
  </si>
  <si>
    <t>BQR7_move10_ext30</t>
  </si>
  <si>
    <t>BQR7_move20_ext20</t>
  </si>
  <si>
    <t>BQR7_move20_ext30</t>
  </si>
  <si>
    <t>BQR7_move30_ext20</t>
  </si>
  <si>
    <t>BQR7_move30_ext30</t>
  </si>
  <si>
    <t>BQR7_down10_ext20</t>
  </si>
  <si>
    <t>BQR7_down10_ext30</t>
  </si>
  <si>
    <t>BQR7_down20_ext20</t>
  </si>
  <si>
    <t>BQR7_down20_ext30</t>
  </si>
  <si>
    <t>BQR7_down30_ext20</t>
  </si>
  <si>
    <t>BQR7_down30_ext30</t>
  </si>
  <si>
    <t>Column1</t>
  </si>
  <si>
    <t>cpe887_asap_20</t>
  </si>
  <si>
    <t>cpe887_asap_30</t>
  </si>
  <si>
    <t>cpe887_move10_ext20</t>
  </si>
  <si>
    <t>cpe887_move10_ext30</t>
  </si>
  <si>
    <t>cpe887_move20_ext20</t>
  </si>
  <si>
    <t>cpe887_move20_ext30</t>
  </si>
  <si>
    <t>cpe887_move30_ext20</t>
  </si>
  <si>
    <t>cpe887_move30_ext30</t>
  </si>
  <si>
    <t>cpe887_down10_ext20</t>
  </si>
  <si>
    <t>cpe887_down10_ext30</t>
  </si>
  <si>
    <t>cpe887_down20_ext20</t>
  </si>
  <si>
    <t>cpe887_down20_ext30</t>
  </si>
  <si>
    <t>cpe887_down30_ext20</t>
  </si>
  <si>
    <t>cpe887_down30_ext30</t>
  </si>
  <si>
    <t>2024-09-01</t>
  </si>
  <si>
    <t>2024-10-01</t>
  </si>
  <si>
    <t>2024-11-01</t>
  </si>
  <si>
    <t>2024-12-01</t>
  </si>
  <si>
    <t>2024-07-01</t>
  </si>
  <si>
    <t>2024-08-01</t>
  </si>
  <si>
    <t>2025-06-01</t>
  </si>
  <si>
    <t>2025-07-01</t>
  </si>
  <si>
    <t>2025-05-01</t>
  </si>
  <si>
    <t>2025-04-01</t>
  </si>
  <si>
    <t>2025-02-01</t>
  </si>
  <si>
    <t>2025-03-01</t>
  </si>
  <si>
    <t>2025-01-01</t>
  </si>
  <si>
    <t xml:space="preserve"> </t>
  </si>
  <si>
    <t>2024-03-01</t>
  </si>
  <si>
    <t>2024-04-01</t>
  </si>
  <si>
    <t>2025-08-01</t>
  </si>
  <si>
    <t>2023-05-01</t>
  </si>
  <si>
    <t>2023-06-01</t>
  </si>
  <si>
    <t>2025-09-01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</si>
</sst>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Alignment="1">
      <alignment horizontal="center"/>
    </xf>
    <xf numFmtId="9" fontId="0" fillId="0" borderId="0" xfId="2" applyFont="1"/>
    <xf numFmtId="0" fontId="2" fillId="0" borderId="0" xfId="0" applyFont="1" applyAlignment="1">
      <alignment horizontal="center"/>
    </xf>
    <xf numFmtId="0" fontId="2" fillId="0" borderId="0" xfId="0" applyFont="1"/>
    <xf numFmtId="9" fontId="2" fillId="0" borderId="0" xfId="2" applyFont="1"/>
    <xf numFmtId="0" fontId="0" fillId="0" borderId="0" xfId="0" applyAlignment="1">
      <alignment horizontal="right"/>
    </xf>
    <xf numFmtId="9" fontId="0" fillId="0" borderId="0" xfId="2" applyFont="1" applyFill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9" fontId="0" fillId="0" borderId="0" xfId="2" quotePrefix="1" applyFont="1" applyAlignment="1">
      <alignment horizontal="left"/>
    </xf>
    <xf numFmtId="9" fontId="0" fillId="0" borderId="1" xfId="2" applyFont="1" applyBorder="1" applyAlignment="1">
      <alignment horizontal="left"/>
    </xf>
    <xf numFmtId="9" fontId="0" fillId="0" borderId="0" xfId="2" applyFont="1" applyBorder="1" applyAlignment="1">
      <alignment horizontal="left"/>
    </xf>
    <xf numFmtId="9" fontId="0" fillId="0" borderId="1" xfId="2" applyFont="1" applyFill="1" applyBorder="1"/>
    <xf numFmtId="9" fontId="0" fillId="0" borderId="0" xfId="2" applyFont="1" applyFill="1" applyBorder="1"/>
    <xf numFmtId="9" fontId="0" fillId="0" borderId="1" xfId="2" applyFont="1" applyBorder="1"/>
    <xf numFmtId="9" fontId="0" fillId="0" borderId="0" xfId="2" applyFont="1" applyBorder="1"/>
    <xf numFmtId="9" fontId="0" fillId="0" borderId="1" xfId="2" applyFont="1" applyBorder="1" applyAlignment="1">
      <alignment vertical="top"/>
    </xf>
    <xf numFmtId="164" fontId="0" fillId="0" borderId="0" xfId="1" applyNumberFormat="1" applyFont="1" applyAlignment="1">
      <alignment vertical="top"/>
    </xf>
    <xf numFmtId="9" fontId="0" fillId="0" borderId="0" xfId="2" applyFont="1" applyAlignment="1">
      <alignment vertical="top"/>
    </xf>
    <xf numFmtId="9" fontId="0" fillId="0" borderId="1" xfId="2" applyFont="1" applyFill="1" applyBorder="1" applyAlignment="1">
      <alignment vertical="top"/>
    </xf>
    <xf numFmtId="164" fontId="0" fillId="0" borderId="0" xfId="1" applyNumberFormat="1" applyFont="1" applyFill="1" applyAlignment="1">
      <alignment vertical="top"/>
    </xf>
    <xf numFmtId="9" fontId="0" fillId="0" borderId="0" xfId="2" applyFont="1" applyFill="1" applyAlignment="1">
      <alignment vertical="top"/>
    </xf>
    <xf numFmtId="9" fontId="0" fillId="0" borderId="2" xfId="0" applyNumberFormat="1" applyBorder="1" applyAlignment="1">
      <alignment horizontal="left"/>
    </xf>
    <xf numFmtId="44" fontId="0" fillId="0" borderId="0" xfId="3" applyFont="1"/>
    <xf numFmtId="165" fontId="0" fillId="0" borderId="0" xfId="0" applyNumberFormat="1"/>
    <xf numFmtId="164" fontId="0" fillId="0" borderId="1" xfId="1" applyNumberFormat="1" applyFont="1" applyBorder="1" applyAlignment="1">
      <alignment vertical="top"/>
    </xf>
    <xf numFmtId="164" fontId="0" fillId="0" borderId="1" xfId="1" applyNumberFormat="1" applyFont="1" applyFill="1" applyBorder="1" applyAlignment="1">
      <alignment vertical="top"/>
    </xf>
    <xf numFmtId="164" fontId="0" fillId="0" borderId="0" xfId="1" applyNumberFormat="1" applyFont="1" applyBorder="1" applyAlignment="1">
      <alignment vertical="top"/>
    </xf>
    <xf numFmtId="164" fontId="0" fillId="0" borderId="0" xfId="1" applyNumberFormat="1" applyFont="1" applyFill="1" applyBorder="1" applyAlignment="1">
      <alignment vertical="top"/>
    </xf>
    <xf numFmtId="164" fontId="0" fillId="0" borderId="1" xfId="1" quotePrefix="1" applyNumberFormat="1" applyFont="1" applyBorder="1" applyAlignment="1">
      <alignment vertical="top"/>
    </xf>
    <xf numFmtId="0" fontId="0" fillId="5" borderId="4" xfId="0" applyFill="1" applyBorder="1" applyAlignment="1">
      <alignment horizontal="center"/>
    </xf>
    <xf numFmtId="9" fontId="0" fillId="0" borderId="0" xfId="2" applyFont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5" borderId="5" xfId="0" applyFill="1" applyBorder="1" applyAlignment="1">
      <alignment horizontal="center"/>
    </xf>
    <xf numFmtId="0" fontId="0" fillId="0" borderId="1" xfId="0" applyBorder="1" applyAlignment="1">
      <alignment horizontal="right"/>
    </xf>
    <xf numFmtId="9" fontId="0" fillId="0" borderId="2" xfId="0" applyNumberFormat="1" applyBorder="1" applyAlignment="1">
      <alignment horizontal="right"/>
    </xf>
    <xf numFmtId="9" fontId="0" fillId="0" borderId="0" xfId="2" applyFont="1" applyAlignment="1">
      <alignment horizontal="right"/>
    </xf>
    <xf numFmtId="16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0" xfId="2" applyFont="1" applyBorder="1" applyAlignment="1">
      <alignment horizontal="right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vertical="center"/>
    </xf>
    <xf numFmtId="9" fontId="0" fillId="0" borderId="2" xfId="2" applyFont="1" applyBorder="1" applyAlignment="1">
      <alignment horizontal="right"/>
    </xf>
    <xf numFmtId="164" fontId="6" fillId="7" borderId="2" xfId="1" applyNumberFormat="1" applyFont="1" applyFill="1" applyBorder="1" applyAlignment="1">
      <alignment horizontal="right"/>
    </xf>
    <xf numFmtId="0" fontId="6" fillId="0" borderId="0" xfId="0" applyFont="1" applyAlignment="1">
      <alignment horizontal="right"/>
    </xf>
    <xf numFmtId="0" fontId="6" fillId="0" borderId="1" xfId="0" applyFont="1" applyBorder="1" applyAlignment="1">
      <alignment horizontal="right"/>
    </xf>
    <xf numFmtId="9" fontId="7" fillId="7" borderId="2" xfId="2" applyFont="1" applyFill="1" applyBorder="1" applyAlignment="1">
      <alignment horizontal="right"/>
    </xf>
    <xf numFmtId="9" fontId="6" fillId="7" borderId="2" xfId="0" applyNumberFormat="1" applyFont="1" applyFill="1" applyBorder="1" applyAlignment="1">
      <alignment horizontal="right"/>
    </xf>
    <xf numFmtId="9" fontId="6" fillId="0" borderId="2" xfId="0" applyNumberFormat="1" applyFont="1" applyBorder="1" applyAlignment="1">
      <alignment horizontal="right"/>
    </xf>
    <xf numFmtId="9" fontId="6" fillId="0" borderId="0" xfId="2" applyFont="1" applyAlignment="1">
      <alignment horizontal="right"/>
    </xf>
    <xf numFmtId="164" fontId="6" fillId="0" borderId="2" xfId="1" applyNumberFormat="1" applyFont="1" applyFill="1" applyBorder="1" applyAlignment="1">
      <alignment horizontal="right"/>
    </xf>
    <xf numFmtId="165" fontId="2" fillId="0" borderId="0" xfId="0" applyNumberFormat="1" applyFont="1"/>
    <xf numFmtId="44" fontId="2" fillId="0" borderId="0" xfId="3" applyFont="1"/>
    <xf numFmtId="9" fontId="2" fillId="0" borderId="1" xfId="2" applyFont="1" applyBorder="1"/>
    <xf numFmtId="9" fontId="2" fillId="0" borderId="0" xfId="2" applyFont="1" applyBorder="1"/>
    <xf numFmtId="9" fontId="2" fillId="0" borderId="1" xfId="2" applyFont="1" applyBorder="1" applyAlignment="1">
      <alignment vertical="top"/>
    </xf>
    <xf numFmtId="164" fontId="2" fillId="0" borderId="0" xfId="1" applyNumberFormat="1" applyFont="1" applyAlignment="1">
      <alignment vertical="top"/>
    </xf>
    <xf numFmtId="9" fontId="2" fillId="0" borderId="0" xfId="2" applyFont="1" applyAlignment="1">
      <alignment vertical="top"/>
    </xf>
    <xf numFmtId="164" fontId="2" fillId="0" borderId="1" xfId="1" applyNumberFormat="1" applyFont="1" applyBorder="1" applyAlignment="1">
      <alignment vertical="top"/>
    </xf>
    <xf numFmtId="164" fontId="2" fillId="0" borderId="0" xfId="1" applyNumberFormat="1" applyFont="1" applyBorder="1" applyAlignment="1">
      <alignment vertical="top"/>
    </xf>
    <xf numFmtId="0" fontId="2" fillId="0" borderId="1" xfId="0" applyFont="1" applyBorder="1" applyAlignment="1">
      <alignment horizontal="right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9" fontId="7" fillId="0" borderId="2" xfId="2" applyFont="1" applyFill="1" applyBorder="1" applyAlignment="1">
      <alignment horizontal="right"/>
    </xf>
    <xf numFmtId="0" fontId="7" fillId="0" borderId="1" xfId="0" applyFont="1" applyBorder="1" applyAlignment="1">
      <alignment horizontal="right"/>
    </xf>
    <xf numFmtId="1" fontId="2" fillId="0" borderId="2" xfId="0" applyNumberFormat="1" applyFont="1" applyBorder="1" applyAlignment="1">
      <alignment horizontal="right"/>
    </xf>
    <xf numFmtId="0" fontId="2" fillId="0" borderId="1" xfId="0" applyFont="1" applyBorder="1"/>
    <xf numFmtId="43" fontId="7" fillId="7" borderId="2" xfId="1" applyFont="1" applyFill="1" applyBorder="1" applyAlignment="1">
      <alignment horizontal="right"/>
    </xf>
    <xf numFmtId="43" fontId="7" fillId="0" borderId="2" xfId="1" applyFont="1" applyFill="1" applyBorder="1" applyAlignment="1">
      <alignment horizontal="right"/>
    </xf>
    <xf numFmtId="43" fontId="2" fillId="0" borderId="2" xfId="1" applyFont="1" applyBorder="1" applyAlignment="1">
      <alignment horizontal="right"/>
    </xf>
    <xf numFmtId="9" fontId="2" fillId="0" borderId="0" xfId="2" applyFont="1" applyBorder="1" applyAlignment="1">
      <alignment horizontal="right"/>
    </xf>
    <xf numFmtId="9" fontId="2" fillId="0" borderId="0" xfId="2" applyFont="1" applyAlignment="1">
      <alignment horizontal="right"/>
    </xf>
    <xf numFmtId="164" fontId="6" fillId="8" borderId="2" xfId="1" applyNumberFormat="1" applyFont="1" applyFill="1" applyBorder="1" applyAlignment="1">
      <alignment horizontal="right"/>
    </xf>
    <xf numFmtId="9" fontId="7" fillId="8" borderId="2" xfId="2" applyFont="1" applyFill="1" applyBorder="1" applyAlignment="1">
      <alignment horizontal="right"/>
    </xf>
    <xf numFmtId="9" fontId="6" fillId="8" borderId="2" xfId="0" applyNumberFormat="1" applyFont="1" applyFill="1" applyBorder="1" applyAlignment="1">
      <alignment horizontal="right"/>
    </xf>
    <xf numFmtId="43" fontId="7" fillId="8" borderId="2" xfId="1" applyFont="1" applyFill="1" applyBorder="1" applyAlignment="1">
      <alignment horizontal="right"/>
    </xf>
    <xf numFmtId="165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1" applyNumberFormat="1" applyFont="1" applyBorder="1" applyAlignment="1">
      <alignment horizontal="right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2" xfId="1" applyNumberFormat="1" applyFont="1" applyBorder="1" applyAlignment="1">
      <alignment vertical="top"/>
    </xf>
    <xf numFmtId="164" fontId="0" fillId="0" borderId="2" xfId="1" applyNumberFormat="1" applyFont="1" applyFill="1" applyBorder="1" applyAlignment="1">
      <alignment vertical="top"/>
    </xf>
    <xf numFmtId="164" fontId="0" fillId="0" borderId="2" xfId="1" applyNumberFormat="1" applyFont="1" applyBorder="1" applyAlignment="1">
      <alignment horizontal="right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horizontal="right"/>
    </xf>
    <xf numFmtId="0" fontId="2" fillId="0" borderId="10" xfId="0" applyFont="1" applyBorder="1" applyAlignment="1">
      <alignment vertical="center"/>
    </xf>
    <xf numFmtId="164" fontId="2" fillId="0" borderId="10" xfId="0" applyNumberFormat="1" applyFont="1" applyBorder="1" applyAlignment="1">
      <alignment horizontal="right"/>
    </xf>
    <xf numFmtId="164" fontId="0" fillId="0" borderId="11" xfId="1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horizontal="right"/>
    </xf>
    <xf numFmtId="9" fontId="0" fillId="0" borderId="10" xfId="2" applyFont="1" applyBorder="1" applyAlignment="1">
      <alignment horizontal="right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165" fontId="2" fillId="0" borderId="8" xfId="0" applyNumberFormat="1" applyFont="1" applyBorder="1"/>
    <xf numFmtId="44" fontId="2" fillId="0" borderId="8" xfId="3" applyFont="1" applyBorder="1"/>
    <xf numFmtId="9" fontId="2" fillId="0" borderId="8" xfId="2" quotePrefix="1" applyFont="1" applyBorder="1" applyAlignment="1">
      <alignment horizontal="left"/>
    </xf>
    <xf numFmtId="9" fontId="2" fillId="0" borderId="8" xfId="2" applyFont="1" applyBorder="1" applyAlignment="1">
      <alignment horizontal="left"/>
    </xf>
    <xf numFmtId="9" fontId="2" fillId="0" borderId="8" xfId="2" applyFont="1" applyBorder="1" applyAlignment="1">
      <alignment vertical="top"/>
    </xf>
    <xf numFmtId="164" fontId="2" fillId="0" borderId="8" xfId="1" applyNumberFormat="1" applyFont="1" applyBorder="1" applyAlignment="1">
      <alignment vertical="top"/>
    </xf>
    <xf numFmtId="9" fontId="2" fillId="0" borderId="8" xfId="2" quotePrefix="1" applyFont="1" applyBorder="1" applyAlignment="1">
      <alignment horizontal="left" vertical="top"/>
    </xf>
    <xf numFmtId="0" fontId="2" fillId="0" borderId="8" xfId="0" applyFont="1" applyBorder="1" applyAlignment="1">
      <alignment horizontal="left"/>
    </xf>
    <xf numFmtId="43" fontId="0" fillId="0" borderId="0" xfId="1" applyFont="1"/>
    <xf numFmtId="0" fontId="9" fillId="9" borderId="0" xfId="0" applyFont="1" applyFill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8" fillId="10" borderId="0" xfId="0" applyFont="1" applyFill="1" applyAlignment="1">
      <alignment horizontal="center" vertical="center" wrapText="1"/>
    </xf>
    <xf numFmtId="0" fontId="9" fillId="9" borderId="11" xfId="0" applyFont="1" applyFill="1" applyBorder="1" applyAlignment="1">
      <alignment horizontal="center" vertical="center" wrapText="1"/>
    </xf>
    <xf numFmtId="0" fontId="8" fillId="10" borderId="10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2" xfId="0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7" borderId="10" xfId="0" applyFill="1" applyBorder="1" applyAlignment="1">
      <alignment horizontal="left" vertical="center" wrapText="1"/>
    </xf>
    <xf numFmtId="0" fontId="0" fillId="7" borderId="0" xfId="0" applyFill="1" applyAlignment="1">
      <alignment horizontal="left" vertical="center" wrapText="1"/>
    </xf>
    <xf numFmtId="0" fontId="0" fillId="7" borderId="11" xfId="0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2" fillId="12" borderId="0" xfId="0" applyFont="1" applyFill="1" applyAlignment="1">
      <alignment horizontal="left" vertical="center" wrapText="1"/>
    </xf>
    <xf numFmtId="0" fontId="2" fillId="12" borderId="11" xfId="0" applyFont="1" applyFill="1" applyBorder="1" applyAlignment="1">
      <alignment horizontal="left" vertical="center" wrapText="1"/>
    </xf>
    <xf numFmtId="0" fontId="2" fillId="13" borderId="10" xfId="0" applyFont="1" applyFill="1" applyBorder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/>
    </xf>
    <xf numFmtId="0" fontId="2" fillId="13" borderId="2" xfId="0" applyFont="1" applyFill="1" applyBorder="1" applyAlignment="1">
      <alignment horizontal="left" vertical="center" wrapText="1"/>
    </xf>
    <xf numFmtId="0" fontId="2" fillId="14" borderId="1" xfId="0" applyFont="1" applyFill="1" applyBorder="1" applyAlignment="1">
      <alignment horizontal="left" vertical="center" wrapText="1"/>
    </xf>
    <xf numFmtId="0" fontId="2" fillId="14" borderId="0" xfId="0" applyFont="1" applyFill="1" applyAlignment="1">
      <alignment horizontal="left" vertical="center" wrapText="1"/>
    </xf>
    <xf numFmtId="0" fontId="2" fillId="14" borderId="2" xfId="0" applyFont="1" applyFill="1" applyBorder="1" applyAlignment="1">
      <alignment horizontal="left" vertical="center" wrapText="1"/>
    </xf>
    <xf numFmtId="0" fontId="2" fillId="11" borderId="0" xfId="0" applyFont="1" applyFill="1" applyAlignment="1">
      <alignment horizontal="left" vertical="center" wrapText="1"/>
    </xf>
    <xf numFmtId="0" fontId="2" fillId="11" borderId="1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right" vertical="center" wrapText="1"/>
    </xf>
    <xf numFmtId="0" fontId="0" fillId="2" borderId="0" xfId="0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horizontal="right" vertical="center"/>
    </xf>
    <xf numFmtId="0" fontId="0" fillId="2" borderId="0" xfId="0" applyFill="1" applyAlignment="1">
      <alignment horizontal="right" vertical="center" wrapText="1"/>
    </xf>
    <xf numFmtId="0" fontId="0" fillId="5" borderId="3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1"/>
        </bottom>
      </border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984DF8-8333-4E17-A0C9-C8C2E55FF0E1}" name="Table2" displayName="Table2" ref="A1:G57" totalsRowShown="0" dataDxfId="33" dataCellStyle="Comma">
  <autoFilter ref="A1:G57" xr:uid="{67984DF8-8333-4E17-A0C9-C8C2E55FF0E1}"/>
  <sortState xmlns:xlrd2="http://schemas.microsoft.com/office/spreadsheetml/2017/richdata2" ref="A2:G57">
    <sortCondition descending="1" ref="F1:F57"/>
  </sortState>
  <tableColumns count="7">
    <tableColumn id="1" xr3:uid="{DD0B12B3-DD06-43CF-8AD6-8C3CBCE8B55A}" name="Column1"/>
    <tableColumn id="2" xr3:uid="{B61F62FA-43D8-469E-A20B-F153B9CC884D}" name="Average Return" dataDxfId="32" dataCellStyle="Comma"/>
    <tableColumn id="3" xr3:uid="{A1BCAB0D-ED63-43C2-A82F-174B3B5C0D1B}" name="Median Return" dataDxfId="31" dataCellStyle="Comma"/>
    <tableColumn id="4" xr3:uid="{43BCFB00-9E7F-407D-BD67-0B6B55326734}" name="Win Rate" dataDxfId="30" dataCellStyle="Comma"/>
    <tableColumn id="5" xr3:uid="{2A617B8A-4F05-451A-9A98-78004431A823}" name="Payoff Ratio" dataDxfId="29" dataCellStyle="Comma"/>
    <tableColumn id="6" xr3:uid="{B62D11DE-86A1-494C-AC7A-A7F30675234A}" name="Profit Factor" dataDxfId="28" dataCellStyle="Comma"/>
    <tableColumn id="7" xr3:uid="{DEED889B-2288-4D78-BCA6-9C485A50DC21}" name="Trade Coun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9EDBD7-D048-4C25-9AD3-5ED4217D78D2}" name="Table3" displayName="Table3" ref="I1:O15" totalsRowShown="0" dataDxfId="27" dataCellStyle="Comma">
  <autoFilter ref="I1:O15" xr:uid="{B89EDBD7-D048-4C25-9AD3-5ED4217D78D2}"/>
  <tableColumns count="7">
    <tableColumn id="1" xr3:uid="{E3B941D5-FA31-4991-BFD5-D3FF9C0AA5DA}" name="Column1"/>
    <tableColumn id="2" xr3:uid="{33702C9B-7A95-447B-9310-5ECFDF199086}" name="Average Return" dataDxfId="26" dataCellStyle="Comma"/>
    <tableColumn id="3" xr3:uid="{9F4B9795-74E5-4757-9E19-945ACA53AB20}" name="Median Return" dataDxfId="25" dataCellStyle="Comma"/>
    <tableColumn id="4" xr3:uid="{D9F341E9-B1C9-48BA-A886-0EBA75FF12A3}" name="Win Rate" dataDxfId="24" dataCellStyle="Comma"/>
    <tableColumn id="5" xr3:uid="{321E1847-8F12-47B0-B9DE-E483E0ACE8F4}" name="Payoff Ratio" dataDxfId="23" dataCellStyle="Comma"/>
    <tableColumn id="6" xr3:uid="{27A32C47-DCD2-47F6-889F-D1DC10C20946}" name="Profit Factor" dataDxfId="22" dataCellStyle="Comma"/>
    <tableColumn id="7" xr3:uid="{3C889453-0169-40F1-B3DC-039BF3E0CF96}" name="Trade Count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1F6A88-935B-45FE-BFA1-1304EC4C50B6}" name="Table4" displayName="Table4" ref="Q1:W15" totalsRowShown="0" dataDxfId="21" dataCellStyle="Comma">
  <autoFilter ref="Q1:W15" xr:uid="{441F6A88-935B-45FE-BFA1-1304EC4C50B6}"/>
  <tableColumns count="7">
    <tableColumn id="1" xr3:uid="{6181F017-C1C0-45FA-A961-65814696FD69}" name="Column1"/>
    <tableColumn id="2" xr3:uid="{E89D5B9A-60D4-44DE-A986-0C7060125797}" name="Average Return" dataDxfId="20" dataCellStyle="Comma"/>
    <tableColumn id="3" xr3:uid="{0D17BCE7-387E-4823-BC0A-1A2E48AB7619}" name="Median Return" dataDxfId="19" dataCellStyle="Comma"/>
    <tableColumn id="4" xr3:uid="{19204DA5-67C3-4445-BD8F-5938480BF787}" name="Win Rate" dataDxfId="18" dataCellStyle="Comma"/>
    <tableColumn id="5" xr3:uid="{68867019-7ABB-47C8-82D5-B66A1BCB8EF8}" name="Payoff Ratio" dataDxfId="17" dataCellStyle="Comma"/>
    <tableColumn id="6" xr3:uid="{2ED4EF80-4A42-4AE0-AF25-9A6B01604FD7}" name="Profit Factor" dataDxfId="16" dataCellStyle="Comma"/>
    <tableColumn id="7" xr3:uid="{4B83A4CE-BD95-4D5B-B7C3-D34BF17090AA}" name="Trade Coun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A9EA89-72BE-4CEB-B7FA-70B47180F444}" name="Table5" displayName="Table5" ref="Y1:AE15" totalsRowShown="0" dataDxfId="15" dataCellStyle="Comma">
  <autoFilter ref="Y1:AE15" xr:uid="{6DA9EA89-72BE-4CEB-B7FA-70B47180F444}"/>
  <tableColumns count="7">
    <tableColumn id="1" xr3:uid="{49361558-85F7-4A14-9576-24A7364A6947}" name="Column1"/>
    <tableColumn id="2" xr3:uid="{44191C1C-51D2-46FA-8AB8-4FCB6797A4A1}" name="Average Return" dataDxfId="14" dataCellStyle="Comma"/>
    <tableColumn id="3" xr3:uid="{0F8A7ABF-D298-42C6-8418-CFF61CDA1287}" name="Median Return" dataDxfId="13" dataCellStyle="Comma"/>
    <tableColumn id="4" xr3:uid="{9C78F178-EBD4-48A3-837C-4648E6BF5552}" name="Win Rate" dataDxfId="12" dataCellStyle="Comma"/>
    <tableColumn id="5" xr3:uid="{BDE6CDE3-C9A4-48F7-AEB7-186BB68C8EB5}" name="Payoff Ratio" dataDxfId="11" dataCellStyle="Comma"/>
    <tableColumn id="6" xr3:uid="{B868CCE4-3208-4205-9891-D642D58AAD4D}" name="Profit Factor" dataDxfId="10" dataCellStyle="Comma"/>
    <tableColumn id="7" xr3:uid="{4756FFB4-8C0D-4F10-9A76-BB8ABC725C07}" name="Trade Count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34852F5-48DB-4317-90A1-2F7763095F91}" name="Table6" displayName="Table6" ref="AG1:AM15" totalsRowShown="0" dataDxfId="0" headerRowBorderDxfId="8" tableBorderDxfId="9" dataCellStyle="Comma">
  <autoFilter ref="AG1:AM15" xr:uid="{434852F5-48DB-4317-90A1-2F7763095F91}"/>
  <sortState xmlns:xlrd2="http://schemas.microsoft.com/office/spreadsheetml/2017/richdata2" ref="AG2:AM15">
    <sortCondition descending="1" ref="AL1:AL15"/>
  </sortState>
  <tableColumns count="7">
    <tableColumn id="1" xr3:uid="{C75C6A9F-98FA-423F-B8E3-DA1A39BA2D34}" name="Column1" dataDxfId="7"/>
    <tableColumn id="2" xr3:uid="{7ED7B6DD-3CA4-4D63-A9A7-CA7165C9C8C5}" name="Average Return" dataDxfId="6" dataCellStyle="Comma"/>
    <tableColumn id="3" xr3:uid="{BC285334-47E5-4859-BE4B-59C37D7DFCB2}" name="Median Return" dataDxfId="5" dataCellStyle="Comma"/>
    <tableColumn id="4" xr3:uid="{AC12F67F-717E-42DE-ADC6-5F77CC06BD12}" name="Win Rate" dataDxfId="4" dataCellStyle="Comma"/>
    <tableColumn id="5" xr3:uid="{52A795A7-5583-4AC2-9AFD-88EF5D835C1F}" name="Payoff Ratio" dataDxfId="3" dataCellStyle="Comma"/>
    <tableColumn id="6" xr3:uid="{A87D7459-0BEA-4DAD-9188-09BCF4B097B8}" name="Profit Factor" dataDxfId="2" dataCellStyle="Comma"/>
    <tableColumn id="7" xr3:uid="{7C784D6E-95F1-47CA-8179-10C05E51630A}" name="Trade Count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7C6C1-1FBC-42FB-945B-4D925B310A3F}">
  <dimension ref="A1:BA15"/>
  <sheetViews>
    <sheetView zoomScale="85" zoomScaleNormal="85" workbookViewId="0">
      <pane xSplit="5" ySplit="4" topLeftCell="F5" activePane="bottomRight" state="frozen"/>
      <selection pane="topRight" activeCell="D1" sqref="D1"/>
      <selection pane="bottomLeft" activeCell="A2" sqref="A2"/>
      <selection pane="bottomRight" activeCell="M24" sqref="M24"/>
    </sheetView>
  </sheetViews>
  <sheetFormatPr defaultRowHeight="14.4" outlineLevelCol="1" x14ac:dyDescent="0.3"/>
  <cols>
    <col min="2" max="2" width="8.88671875" style="8"/>
    <col min="3" max="4" width="11" style="25" customWidth="1"/>
    <col min="5" max="5" width="11" style="24" bestFit="1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10.109375" style="26" customWidth="1" outlineLevel="1"/>
    <col min="15" max="15" width="10.109375" style="28" customWidth="1" outlineLevel="1"/>
    <col min="16" max="16" width="10.109375" style="87" customWidth="1" outlineLevel="1"/>
    <col min="17" max="19" width="10.109375" style="28" customWidth="1" outlineLevel="1"/>
    <col min="20" max="20" width="6.5546875" style="98" bestFit="1" customWidth="1"/>
    <col min="21" max="21" width="5.5546875" style="6" bestFit="1" customWidth="1"/>
    <col min="22" max="22" width="6.5546875" style="41" bestFit="1" customWidth="1"/>
    <col min="23" max="23" width="5.5546875" style="94" bestFit="1" customWidth="1"/>
    <col min="24" max="24" width="9.44140625" style="64" bestFit="1" customWidth="1"/>
    <col min="25" max="25" width="6.5546875" style="41" bestFit="1" customWidth="1"/>
    <col min="26" max="26" width="5.5546875" style="6" bestFit="1" customWidth="1"/>
    <col min="27" max="27" width="6.5546875" style="41" bestFit="1" customWidth="1"/>
    <col min="28" max="28" width="5.5546875" style="84" bestFit="1" customWidth="1"/>
    <col min="29" max="29" width="9.44140625" style="63" bestFit="1" customWidth="1"/>
    <col min="30" max="30" width="6.5546875" style="41" bestFit="1" customWidth="1"/>
    <col min="31" max="31" width="5.5546875" style="6" bestFit="1" customWidth="1"/>
    <col min="32" max="32" width="6.5546875" style="41" bestFit="1" customWidth="1"/>
    <col min="33" max="33" width="5.5546875" style="84" bestFit="1" customWidth="1"/>
    <col min="34" max="34" width="9.44140625" style="63" bestFit="1" customWidth="1"/>
    <col min="35" max="35" width="6.5546875" style="41" bestFit="1" customWidth="1"/>
    <col min="36" max="36" width="5.5546875" style="6" bestFit="1" customWidth="1"/>
    <col min="37" max="37" width="6.5546875" style="41" bestFit="1" customWidth="1"/>
    <col min="38" max="38" width="5.5546875" style="84" bestFit="1" customWidth="1"/>
    <col min="39" max="39" width="9.44140625" style="95" bestFit="1" customWidth="1"/>
    <col min="40" max="40" width="6.5546875" style="41" bestFit="1" customWidth="1"/>
    <col min="41" max="41" width="5.5546875" style="6" bestFit="1" customWidth="1"/>
    <col min="42" max="42" width="6.5546875" style="41" bestFit="1" customWidth="1"/>
    <col min="43" max="43" width="5.5546875" style="84" bestFit="1" customWidth="1"/>
    <col min="44" max="44" width="9.44140625" style="63" bestFit="1" customWidth="1"/>
    <col min="45" max="45" width="6.5546875" style="41" bestFit="1" customWidth="1"/>
    <col min="46" max="46" width="5.5546875" style="6" bestFit="1" customWidth="1"/>
    <col min="47" max="47" width="6.5546875" style="41" bestFit="1" customWidth="1"/>
    <col min="48" max="48" width="5.5546875" style="89" bestFit="1" customWidth="1"/>
    <col min="49" max="49" width="9.44140625" style="64" bestFit="1" customWidth="1"/>
    <col min="50" max="50" width="6.5546875" style="41" bestFit="1" customWidth="1"/>
    <col min="51" max="51" width="5.5546875" style="6" bestFit="1" customWidth="1"/>
    <col min="52" max="52" width="6.5546875" style="41" bestFit="1" customWidth="1"/>
    <col min="53" max="53" width="5.5546875" style="94" bestFit="1" customWidth="1"/>
  </cols>
  <sheetData>
    <row r="1" spans="1:53" ht="15" thickBot="1" x14ac:dyDescent="0.35"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6"/>
      <c r="R1" s="115"/>
      <c r="S1" s="115"/>
      <c r="T1" s="117" t="s">
        <v>65</v>
      </c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8"/>
    </row>
    <row r="2" spans="1:53" s="34" customFormat="1" ht="30.6" customHeight="1" x14ac:dyDescent="0.3">
      <c r="B2" s="156"/>
      <c r="C2" s="119" t="s">
        <v>37</v>
      </c>
      <c r="D2" s="119"/>
      <c r="E2" s="119"/>
      <c r="F2" s="120" t="s">
        <v>30</v>
      </c>
      <c r="G2" s="120"/>
      <c r="H2" s="121" t="s">
        <v>31</v>
      </c>
      <c r="I2" s="122"/>
      <c r="J2" s="121" t="s">
        <v>59</v>
      </c>
      <c r="K2" s="123"/>
      <c r="L2" s="122"/>
      <c r="M2" s="123"/>
      <c r="N2" s="124" t="s">
        <v>100</v>
      </c>
      <c r="O2" s="125"/>
      <c r="P2" s="126"/>
      <c r="Q2" s="125" t="s">
        <v>101</v>
      </c>
      <c r="R2" s="125"/>
      <c r="S2" s="126"/>
      <c r="T2" s="127" t="s">
        <v>98</v>
      </c>
      <c r="U2" s="128"/>
      <c r="V2" s="128"/>
      <c r="W2" s="129"/>
      <c r="X2" s="130" t="s">
        <v>102</v>
      </c>
      <c r="Y2" s="131"/>
      <c r="Z2" s="131"/>
      <c r="AA2" s="131"/>
      <c r="AB2" s="132"/>
      <c r="AC2" s="133" t="s">
        <v>103</v>
      </c>
      <c r="AD2" s="134"/>
      <c r="AE2" s="134"/>
      <c r="AF2" s="134"/>
      <c r="AG2" s="135"/>
      <c r="AH2" s="136" t="s">
        <v>104</v>
      </c>
      <c r="AI2" s="137"/>
      <c r="AJ2" s="137"/>
      <c r="AK2" s="137"/>
      <c r="AL2" s="138"/>
      <c r="AM2" s="139" t="s">
        <v>107</v>
      </c>
      <c r="AN2" s="140"/>
      <c r="AO2" s="140"/>
      <c r="AP2" s="140"/>
      <c r="AQ2" s="141"/>
      <c r="AR2" s="142" t="s">
        <v>108</v>
      </c>
      <c r="AS2" s="143"/>
      <c r="AT2" s="143"/>
      <c r="AU2" s="143"/>
      <c r="AV2" s="144"/>
      <c r="AW2" s="145" t="s">
        <v>109</v>
      </c>
      <c r="AX2" s="145"/>
      <c r="AY2" s="145"/>
      <c r="AZ2" s="145"/>
      <c r="BA2" s="146"/>
    </row>
    <row r="3" spans="1:53" s="34" customFormat="1" ht="80.400000000000006" customHeight="1" x14ac:dyDescent="0.3">
      <c r="B3" s="156"/>
      <c r="C3" s="79"/>
      <c r="D3" s="79"/>
      <c r="E3" s="79"/>
      <c r="F3" s="80"/>
      <c r="G3" s="80"/>
      <c r="H3" s="81"/>
      <c r="I3" s="82"/>
      <c r="J3" s="81"/>
      <c r="K3" s="33"/>
      <c r="L3" s="82"/>
      <c r="M3" s="33"/>
      <c r="N3" s="85"/>
      <c r="O3" s="83"/>
      <c r="P3" s="86"/>
      <c r="Q3" s="83"/>
      <c r="R3" s="83"/>
      <c r="S3" s="83"/>
      <c r="T3" s="114" t="s">
        <v>97</v>
      </c>
      <c r="U3" s="112"/>
      <c r="V3" s="110" t="s">
        <v>99</v>
      </c>
      <c r="W3" s="113"/>
      <c r="X3" s="96"/>
      <c r="Y3" s="112" t="s">
        <v>97</v>
      </c>
      <c r="Z3" s="112"/>
      <c r="AA3" s="110" t="s">
        <v>99</v>
      </c>
      <c r="AB3" s="111"/>
      <c r="AC3" s="90"/>
      <c r="AD3" s="112" t="s">
        <v>97</v>
      </c>
      <c r="AE3" s="112"/>
      <c r="AF3" s="110" t="s">
        <v>99</v>
      </c>
      <c r="AG3" s="111"/>
      <c r="AH3" s="90"/>
      <c r="AI3" s="112" t="s">
        <v>97</v>
      </c>
      <c r="AJ3" s="112"/>
      <c r="AK3" s="110" t="s">
        <v>99</v>
      </c>
      <c r="AL3" s="113"/>
      <c r="AM3" s="92"/>
      <c r="AN3" s="112" t="s">
        <v>97</v>
      </c>
      <c r="AO3" s="112"/>
      <c r="AP3" s="110" t="s">
        <v>99</v>
      </c>
      <c r="AQ3" s="110"/>
      <c r="AR3" s="90"/>
      <c r="AS3" s="112" t="s">
        <v>97</v>
      </c>
      <c r="AT3" s="112"/>
      <c r="AU3" s="110" t="s">
        <v>99</v>
      </c>
      <c r="AV3" s="111"/>
      <c r="AW3" s="96"/>
      <c r="AX3" s="112" t="s">
        <v>97</v>
      </c>
      <c r="AY3" s="112"/>
      <c r="AZ3" s="110" t="s">
        <v>99</v>
      </c>
      <c r="BA3" s="113"/>
    </row>
    <row r="4" spans="1:53" s="100" customFormat="1" x14ac:dyDescent="0.3">
      <c r="B4" s="108" t="s">
        <v>1</v>
      </c>
      <c r="C4" s="101" t="s">
        <v>40</v>
      </c>
      <c r="D4" s="101" t="s">
        <v>41</v>
      </c>
      <c r="E4" s="102" t="s">
        <v>42</v>
      </c>
      <c r="F4" s="103" t="s">
        <v>32</v>
      </c>
      <c r="G4" s="103" t="s">
        <v>28</v>
      </c>
      <c r="H4" s="104" t="s">
        <v>33</v>
      </c>
      <c r="I4" s="104" t="s">
        <v>34</v>
      </c>
      <c r="J4" s="105" t="s">
        <v>2</v>
      </c>
      <c r="K4" s="106" t="s">
        <v>3</v>
      </c>
      <c r="L4" s="105" t="s">
        <v>4</v>
      </c>
      <c r="M4" s="106" t="s">
        <v>5</v>
      </c>
      <c r="N4" s="107">
        <v>0.1</v>
      </c>
      <c r="O4" s="107">
        <v>0.2</v>
      </c>
      <c r="P4" s="107">
        <v>0.3</v>
      </c>
      <c r="Q4" s="107">
        <v>-0.1</v>
      </c>
      <c r="R4" s="107">
        <v>-0.2</v>
      </c>
      <c r="S4" s="107">
        <v>-0.3</v>
      </c>
      <c r="T4" s="104" t="s">
        <v>105</v>
      </c>
      <c r="U4" s="108" t="s">
        <v>106</v>
      </c>
      <c r="V4" s="104" t="s">
        <v>105</v>
      </c>
      <c r="W4" s="108" t="s">
        <v>106</v>
      </c>
      <c r="X4" s="99" t="s">
        <v>68</v>
      </c>
      <c r="Y4" s="104" t="s">
        <v>105</v>
      </c>
      <c r="Z4" s="108" t="s">
        <v>106</v>
      </c>
      <c r="AA4" s="104" t="s">
        <v>105</v>
      </c>
      <c r="AB4" s="108" t="s">
        <v>106</v>
      </c>
      <c r="AC4" s="99" t="s">
        <v>68</v>
      </c>
      <c r="AD4" s="104" t="s">
        <v>105</v>
      </c>
      <c r="AE4" s="108" t="s">
        <v>106</v>
      </c>
      <c r="AF4" s="104" t="s">
        <v>105</v>
      </c>
      <c r="AG4" s="108" t="s">
        <v>106</v>
      </c>
      <c r="AH4" s="99" t="s">
        <v>68</v>
      </c>
      <c r="AI4" s="104" t="s">
        <v>105</v>
      </c>
      <c r="AJ4" s="108" t="s">
        <v>106</v>
      </c>
      <c r="AK4" s="104" t="s">
        <v>105</v>
      </c>
      <c r="AL4" s="108" t="s">
        <v>106</v>
      </c>
      <c r="AM4" s="99" t="s">
        <v>68</v>
      </c>
      <c r="AN4" s="104" t="s">
        <v>105</v>
      </c>
      <c r="AO4" s="108" t="s">
        <v>106</v>
      </c>
      <c r="AP4" s="104" t="s">
        <v>105</v>
      </c>
      <c r="AQ4" s="108" t="s">
        <v>106</v>
      </c>
      <c r="AR4" s="99" t="s">
        <v>68</v>
      </c>
      <c r="AS4" s="104" t="s">
        <v>105</v>
      </c>
      <c r="AT4" s="108" t="s">
        <v>106</v>
      </c>
      <c r="AU4" s="104" t="s">
        <v>105</v>
      </c>
      <c r="AV4" s="108" t="s">
        <v>106</v>
      </c>
      <c r="AW4" s="99" t="s">
        <v>68</v>
      </c>
      <c r="AX4" s="104" t="s">
        <v>105</v>
      </c>
      <c r="AY4" s="108" t="s">
        <v>106</v>
      </c>
      <c r="AZ4" s="104" t="s">
        <v>105</v>
      </c>
      <c r="BA4" s="108" t="s">
        <v>106</v>
      </c>
    </row>
    <row r="5" spans="1:53" x14ac:dyDescent="0.3">
      <c r="A5" s="157" t="s">
        <v>91</v>
      </c>
      <c r="B5" s="8" t="s">
        <v>94</v>
      </c>
      <c r="C5" s="25" t="s">
        <v>240</v>
      </c>
      <c r="D5" s="25" t="s">
        <v>241</v>
      </c>
      <c r="E5" s="24">
        <v>2.2999999523162842</v>
      </c>
      <c r="F5" s="2">
        <v>-0.2307692491704588</v>
      </c>
      <c r="G5" s="2">
        <v>-0.160583961930296</v>
      </c>
      <c r="H5" s="15">
        <v>3.969565453105707</v>
      </c>
      <c r="I5" s="16">
        <v>2.9652174237545141</v>
      </c>
      <c r="J5" s="17">
        <v>5.4217394625982909</v>
      </c>
      <c r="K5" s="18">
        <v>82</v>
      </c>
      <c r="L5" s="19">
        <v>-0.19130432484055229</v>
      </c>
      <c r="M5" s="18">
        <v>13</v>
      </c>
      <c r="N5" s="26">
        <v>23</v>
      </c>
      <c r="O5" s="28">
        <v>23</v>
      </c>
      <c r="P5" s="87">
        <v>23</v>
      </c>
      <c r="Q5" s="28">
        <v>9</v>
      </c>
      <c r="T5" s="98">
        <v>2.2892999309203859</v>
      </c>
      <c r="U5" s="6">
        <v>999</v>
      </c>
      <c r="V5" s="41">
        <v>2.2892999309203859</v>
      </c>
      <c r="W5" s="94">
        <v>999</v>
      </c>
      <c r="X5" s="97">
        <v>9</v>
      </c>
      <c r="Y5" s="41">
        <v>2.5957884315331281</v>
      </c>
      <c r="Z5" s="6">
        <v>999</v>
      </c>
      <c r="AA5" s="41">
        <v>2.5957884315331281</v>
      </c>
      <c r="AB5" s="84">
        <v>999</v>
      </c>
      <c r="AC5" s="91"/>
      <c r="AH5" s="91"/>
      <c r="AM5" s="93">
        <v>9</v>
      </c>
      <c r="AN5" s="41">
        <v>2.5957884315331281</v>
      </c>
      <c r="AO5" s="6">
        <v>999</v>
      </c>
      <c r="AP5" s="41">
        <v>2.5957884315331281</v>
      </c>
      <c r="AQ5" s="84">
        <v>999</v>
      </c>
      <c r="AR5" s="91">
        <v>23</v>
      </c>
      <c r="AS5" s="41">
        <v>1.42388735217777</v>
      </c>
      <c r="AT5" s="6">
        <v>999</v>
      </c>
      <c r="AU5" s="41">
        <v>1.42388735217777</v>
      </c>
      <c r="AV5" s="89">
        <v>999</v>
      </c>
      <c r="AW5" s="97">
        <v>23</v>
      </c>
      <c r="AX5" s="41">
        <v>1.42388735217777</v>
      </c>
      <c r="AY5" s="6">
        <v>999</v>
      </c>
      <c r="AZ5" s="41">
        <v>1.42388735217777</v>
      </c>
      <c r="BA5" s="94">
        <v>999</v>
      </c>
    </row>
    <row r="6" spans="1:53" x14ac:dyDescent="0.3">
      <c r="A6" s="157" t="s">
        <v>91</v>
      </c>
      <c r="B6" s="8" t="s">
        <v>95</v>
      </c>
      <c r="C6" s="25" t="s">
        <v>234</v>
      </c>
      <c r="D6" s="25" t="s">
        <v>232</v>
      </c>
      <c r="E6" s="24">
        <v>8.3399996757507324</v>
      </c>
      <c r="F6" s="7">
        <v>-0.72745099438622429</v>
      </c>
      <c r="G6" s="7">
        <v>0.13008123935273691</v>
      </c>
      <c r="H6" s="13">
        <v>-0.7410071738838222</v>
      </c>
      <c r="I6" s="14"/>
      <c r="J6" s="20">
        <v>5.7174721401764828E-8</v>
      </c>
      <c r="K6" s="21">
        <v>2</v>
      </c>
      <c r="L6" s="22">
        <v>-0.7410071738838222</v>
      </c>
      <c r="M6" s="21">
        <v>75</v>
      </c>
      <c r="N6" s="27"/>
      <c r="O6" s="29"/>
      <c r="P6" s="88"/>
      <c r="Q6" s="29">
        <v>5</v>
      </c>
      <c r="R6" s="29">
        <v>14</v>
      </c>
      <c r="S6" s="29">
        <v>40</v>
      </c>
      <c r="T6" s="98">
        <v>-0.20295200906799979</v>
      </c>
      <c r="U6" s="6">
        <v>45</v>
      </c>
      <c r="V6" s="41">
        <v>-0.31734317424333341</v>
      </c>
      <c r="W6" s="94">
        <v>53</v>
      </c>
      <c r="X6" s="97">
        <v>7</v>
      </c>
      <c r="Y6" s="41">
        <v>2.9569864045651869E-2</v>
      </c>
      <c r="Z6" s="6">
        <v>75</v>
      </c>
      <c r="AA6" s="41">
        <v>2.9569864045651869E-2</v>
      </c>
      <c r="AB6" s="84">
        <v>75</v>
      </c>
      <c r="AC6" s="91">
        <v>14</v>
      </c>
      <c r="AD6" s="41">
        <v>0.15015015359025449</v>
      </c>
      <c r="AE6" s="6">
        <v>75</v>
      </c>
      <c r="AF6" s="41">
        <v>0.15015015359025449</v>
      </c>
      <c r="AG6" s="84">
        <v>75</v>
      </c>
      <c r="AH6" s="91">
        <v>40</v>
      </c>
      <c r="AI6" s="41">
        <v>0</v>
      </c>
      <c r="AJ6" s="6">
        <v>75</v>
      </c>
      <c r="AK6" s="41">
        <v>0</v>
      </c>
      <c r="AL6" s="84">
        <v>75</v>
      </c>
      <c r="AM6" s="93">
        <v>7</v>
      </c>
      <c r="AN6" s="41">
        <v>2.9569864045651869E-2</v>
      </c>
      <c r="AO6" s="6">
        <v>75</v>
      </c>
      <c r="AP6" s="41">
        <v>2.9569864045651869E-2</v>
      </c>
      <c r="AQ6" s="84">
        <v>75</v>
      </c>
      <c r="AR6" s="91">
        <v>14</v>
      </c>
      <c r="AS6" s="41">
        <v>0.15015015359025449</v>
      </c>
      <c r="AT6" s="6">
        <v>75</v>
      </c>
      <c r="AU6" s="41">
        <v>0.15015015359025449</v>
      </c>
      <c r="AV6" s="89">
        <v>75</v>
      </c>
      <c r="AW6" s="97">
        <v>40</v>
      </c>
      <c r="AX6" s="41">
        <v>0</v>
      </c>
      <c r="AY6" s="6">
        <v>75</v>
      </c>
      <c r="AZ6" s="41">
        <v>0</v>
      </c>
      <c r="BA6" s="94">
        <v>75</v>
      </c>
    </row>
    <row r="7" spans="1:53" x14ac:dyDescent="0.3">
      <c r="A7" s="157" t="s">
        <v>91</v>
      </c>
      <c r="B7" s="8" t="s">
        <v>9</v>
      </c>
      <c r="C7" s="25" t="s">
        <v>238</v>
      </c>
      <c r="D7" s="25" t="s">
        <v>236</v>
      </c>
      <c r="E7" s="24">
        <v>3.9199999570846562</v>
      </c>
      <c r="F7" s="2">
        <v>-0.83037646674363186</v>
      </c>
      <c r="G7" s="2">
        <v>-0.64999999787126272</v>
      </c>
      <c r="H7" s="15">
        <v>-0.77321428359640931</v>
      </c>
      <c r="I7" s="16">
        <v>-0.90818877508895612</v>
      </c>
      <c r="J7" s="17">
        <v>0.53826537648559647</v>
      </c>
      <c r="K7" s="18">
        <v>10</v>
      </c>
      <c r="L7" s="19">
        <v>-0.91701530315819779</v>
      </c>
      <c r="M7" s="18">
        <v>144</v>
      </c>
      <c r="N7" s="26">
        <v>1</v>
      </c>
      <c r="O7" s="28">
        <v>1</v>
      </c>
      <c r="P7" s="87">
        <v>4</v>
      </c>
      <c r="Q7" s="28">
        <v>18</v>
      </c>
      <c r="R7" s="28">
        <v>20</v>
      </c>
      <c r="S7" s="28">
        <v>24</v>
      </c>
      <c r="T7" s="98">
        <v>-0.23471400728385181</v>
      </c>
      <c r="U7" s="6">
        <v>34</v>
      </c>
      <c r="V7" s="41">
        <v>-0.30177517909372897</v>
      </c>
      <c r="W7" s="94">
        <v>35</v>
      </c>
      <c r="X7" s="97">
        <v>18</v>
      </c>
      <c r="Y7" s="41">
        <v>0.26060603258257248</v>
      </c>
      <c r="Z7" s="6">
        <v>144</v>
      </c>
      <c r="AA7" s="41">
        <v>0.26060603258257248</v>
      </c>
      <c r="AB7" s="84">
        <v>144</v>
      </c>
      <c r="AC7" s="91">
        <v>20</v>
      </c>
      <c r="AD7" s="41">
        <v>0.32907338508362027</v>
      </c>
      <c r="AE7" s="6">
        <v>144</v>
      </c>
      <c r="AF7" s="41">
        <v>0.32907338508362027</v>
      </c>
      <c r="AG7" s="84">
        <v>144</v>
      </c>
      <c r="AH7" s="91">
        <v>24</v>
      </c>
      <c r="AI7" s="41">
        <v>0.64102552527091095</v>
      </c>
      <c r="AJ7" s="6">
        <v>144</v>
      </c>
      <c r="AK7" s="41">
        <v>0.64102552527091095</v>
      </c>
      <c r="AL7" s="84">
        <v>144</v>
      </c>
      <c r="AM7" s="93">
        <v>7</v>
      </c>
      <c r="AN7" s="41">
        <v>9.8360739745568804E-2</v>
      </c>
      <c r="AO7" s="6">
        <v>144</v>
      </c>
      <c r="AP7" s="41">
        <v>9.8360739745568804E-2</v>
      </c>
      <c r="AQ7" s="84">
        <v>144</v>
      </c>
      <c r="AR7" s="91">
        <v>7</v>
      </c>
      <c r="AS7" s="41">
        <v>9.8360739745568804E-2</v>
      </c>
      <c r="AT7" s="6">
        <v>144</v>
      </c>
      <c r="AU7" s="41">
        <v>9.8360739745568804E-2</v>
      </c>
      <c r="AV7" s="89">
        <v>144</v>
      </c>
      <c r="AW7" s="97">
        <v>7</v>
      </c>
      <c r="AX7" s="41">
        <v>9.8360739745568804E-2</v>
      </c>
      <c r="AY7" s="6">
        <v>144</v>
      </c>
      <c r="AZ7" s="41">
        <v>9.8360739745568804E-2</v>
      </c>
      <c r="BA7" s="94">
        <v>144</v>
      </c>
    </row>
    <row r="8" spans="1:53" x14ac:dyDescent="0.3">
      <c r="A8" s="157" t="s">
        <v>91</v>
      </c>
      <c r="B8" s="8" t="s">
        <v>11</v>
      </c>
      <c r="C8" s="25" t="s">
        <v>233</v>
      </c>
      <c r="D8" s="25" t="s">
        <v>242</v>
      </c>
      <c r="E8" s="24">
        <v>2.8199999332427979</v>
      </c>
      <c r="F8" s="2">
        <v>-0.76998369652559195</v>
      </c>
      <c r="G8" s="2">
        <v>0.1848738645566157</v>
      </c>
      <c r="J8" s="17">
        <v>0.15957448877179539</v>
      </c>
      <c r="K8" s="18">
        <v>2</v>
      </c>
      <c r="L8" s="19">
        <v>-0.53546100220182091</v>
      </c>
      <c r="M8" s="18">
        <v>29</v>
      </c>
      <c r="N8" s="26">
        <v>2</v>
      </c>
      <c r="Q8" s="28">
        <v>7</v>
      </c>
      <c r="R8" s="28">
        <v>13</v>
      </c>
      <c r="S8" s="28">
        <v>25</v>
      </c>
      <c r="T8" s="98">
        <v>-0.4653061562108769</v>
      </c>
      <c r="U8" s="6">
        <v>29</v>
      </c>
      <c r="V8" s="41">
        <v>-0.4653061562108769</v>
      </c>
      <c r="W8" s="94">
        <v>29</v>
      </c>
      <c r="X8" s="97">
        <v>7</v>
      </c>
      <c r="Y8" s="41">
        <v>-0.1139833845500763</v>
      </c>
      <c r="Z8" s="6">
        <v>999</v>
      </c>
      <c r="AA8" s="41">
        <v>-0.1139833845500763</v>
      </c>
      <c r="AB8" s="84">
        <v>999</v>
      </c>
      <c r="AC8" s="91">
        <v>13</v>
      </c>
      <c r="AD8" s="41">
        <v>-6.0740740841658723E-2</v>
      </c>
      <c r="AE8" s="6">
        <v>999</v>
      </c>
      <c r="AF8" s="41">
        <v>-6.0740740841658723E-2</v>
      </c>
      <c r="AG8" s="84">
        <v>999</v>
      </c>
      <c r="AH8" s="91">
        <v>25</v>
      </c>
      <c r="AI8" s="41">
        <v>0.17222225013233411</v>
      </c>
      <c r="AJ8" s="6">
        <v>999</v>
      </c>
      <c r="AK8" s="41">
        <v>0.17222225013233411</v>
      </c>
      <c r="AL8" s="84">
        <v>999</v>
      </c>
      <c r="AM8" s="93">
        <v>7</v>
      </c>
      <c r="AN8" s="41">
        <v>-0.1139833845500763</v>
      </c>
      <c r="AO8" s="6">
        <v>999</v>
      </c>
      <c r="AP8" s="41">
        <v>-0.1139833845500763</v>
      </c>
      <c r="AQ8" s="84">
        <v>999</v>
      </c>
      <c r="AR8" s="91">
        <v>13</v>
      </c>
      <c r="AS8" s="41">
        <v>-6.0740740841658723E-2</v>
      </c>
      <c r="AT8" s="6">
        <v>999</v>
      </c>
      <c r="AU8" s="41">
        <v>-6.0740740841658723E-2</v>
      </c>
      <c r="AV8" s="89">
        <v>999</v>
      </c>
      <c r="AW8" s="97">
        <v>25</v>
      </c>
      <c r="AX8" s="41">
        <v>0.17222225013233411</v>
      </c>
      <c r="AY8" s="6">
        <v>999</v>
      </c>
      <c r="AZ8" s="41">
        <v>0.17222225013233411</v>
      </c>
      <c r="BA8" s="94">
        <v>999</v>
      </c>
    </row>
    <row r="9" spans="1:53" x14ac:dyDescent="0.3">
      <c r="A9" s="157" t="s">
        <v>91</v>
      </c>
      <c r="B9" s="8" t="s">
        <v>10</v>
      </c>
      <c r="C9" s="25" t="s">
        <v>226</v>
      </c>
      <c r="D9" s="25" t="s">
        <v>227</v>
      </c>
      <c r="E9" s="24">
        <v>43.840000152587891</v>
      </c>
      <c r="F9" s="2">
        <v>-1.9678019769548419E-2</v>
      </c>
      <c r="G9" s="2">
        <v>-0.11255063161037231</v>
      </c>
      <c r="H9" s="15">
        <v>-6.0675178790004843E-2</v>
      </c>
      <c r="I9" s="16">
        <v>-0.27965328891902669</v>
      </c>
      <c r="J9" s="17">
        <v>0.1156478028553323</v>
      </c>
      <c r="K9" s="18">
        <v>10</v>
      </c>
      <c r="L9" s="19">
        <v>-0.4461678694767921</v>
      </c>
      <c r="M9" s="18">
        <v>137</v>
      </c>
      <c r="N9" s="26">
        <v>10</v>
      </c>
      <c r="Q9" s="28">
        <v>46</v>
      </c>
      <c r="R9" s="28">
        <v>108</v>
      </c>
      <c r="S9" s="28">
        <v>126</v>
      </c>
      <c r="T9" s="98">
        <v>-0.43521749851879887</v>
      </c>
      <c r="U9" s="6">
        <v>137</v>
      </c>
      <c r="V9" s="41">
        <v>-0.43521749851879887</v>
      </c>
      <c r="W9" s="94">
        <v>137</v>
      </c>
      <c r="X9" s="97">
        <v>46</v>
      </c>
      <c r="Y9" s="41">
        <v>0.27344789183795881</v>
      </c>
      <c r="Z9" s="6">
        <v>137</v>
      </c>
      <c r="AA9" s="41">
        <v>0.27344789183795881</v>
      </c>
      <c r="AB9" s="84">
        <v>137</v>
      </c>
      <c r="AC9" s="91">
        <v>108</v>
      </c>
      <c r="AD9" s="41">
        <v>3.049710192372879E-2</v>
      </c>
      <c r="AE9" s="6">
        <v>137</v>
      </c>
      <c r="AF9" s="41">
        <v>3.049710192372879E-2</v>
      </c>
      <c r="AG9" s="84">
        <v>137</v>
      </c>
      <c r="AH9" s="91">
        <v>126</v>
      </c>
      <c r="AI9" s="41">
        <v>-4.7142864512244538E-2</v>
      </c>
      <c r="AJ9" s="6">
        <v>999</v>
      </c>
      <c r="AK9" s="41">
        <v>-4.7142864512244538E-2</v>
      </c>
      <c r="AL9" s="84">
        <v>999</v>
      </c>
      <c r="AM9" s="93">
        <v>10</v>
      </c>
      <c r="AN9" s="41">
        <v>0</v>
      </c>
      <c r="AO9" s="6">
        <v>137</v>
      </c>
      <c r="AP9" s="41">
        <v>0</v>
      </c>
      <c r="AQ9" s="84">
        <v>137</v>
      </c>
      <c r="AR9" s="91">
        <v>108</v>
      </c>
      <c r="AS9" s="41">
        <v>3.049710192372879E-2</v>
      </c>
      <c r="AT9" s="6">
        <v>137</v>
      </c>
      <c r="AU9" s="41">
        <v>3.049710192372879E-2</v>
      </c>
      <c r="AV9" s="89">
        <v>137</v>
      </c>
      <c r="AW9" s="97">
        <v>126</v>
      </c>
      <c r="AX9" s="41">
        <v>-4.7142864512244538E-2</v>
      </c>
      <c r="AY9" s="6">
        <v>999</v>
      </c>
      <c r="AZ9" s="41">
        <v>-4.7142864512244538E-2</v>
      </c>
      <c r="BA9" s="94">
        <v>999</v>
      </c>
    </row>
    <row r="10" spans="1:53" x14ac:dyDescent="0.3">
      <c r="A10" s="157" t="s">
        <v>92</v>
      </c>
      <c r="B10" s="8" t="s">
        <v>38</v>
      </c>
      <c r="C10" s="25" t="s">
        <v>243</v>
      </c>
      <c r="D10" s="25" t="s">
        <v>244</v>
      </c>
      <c r="E10" s="24">
        <v>19.270000457763668</v>
      </c>
      <c r="F10" s="2">
        <v>0.12822017235597419</v>
      </c>
      <c r="G10" s="2">
        <v>-0.21507124005634279</v>
      </c>
      <c r="H10" s="15">
        <v>-5.7083567998906903E-2</v>
      </c>
      <c r="I10" s="16">
        <v>-0.55215361134233976</v>
      </c>
      <c r="J10" s="17">
        <v>9.3409402921697859E-2</v>
      </c>
      <c r="K10" s="18">
        <v>8</v>
      </c>
      <c r="L10" s="19">
        <v>-0.55215361134233976</v>
      </c>
      <c r="M10" s="18">
        <v>150</v>
      </c>
      <c r="Q10" s="28">
        <v>12</v>
      </c>
      <c r="R10" s="28">
        <v>108</v>
      </c>
      <c r="S10" s="28">
        <v>109</v>
      </c>
      <c r="T10" s="98">
        <v>-0.23923199277840401</v>
      </c>
      <c r="U10" s="6">
        <v>108</v>
      </c>
      <c r="V10" s="41">
        <v>-0.31966791150773538</v>
      </c>
      <c r="W10" s="94">
        <v>109</v>
      </c>
      <c r="X10" s="97">
        <v>12</v>
      </c>
      <c r="Y10" s="41">
        <v>0.16889146400026031</v>
      </c>
      <c r="Z10" s="6">
        <v>150</v>
      </c>
      <c r="AA10" s="41">
        <v>0.16889146400026031</v>
      </c>
      <c r="AB10" s="84">
        <v>150</v>
      </c>
      <c r="AC10" s="91">
        <v>108</v>
      </c>
      <c r="AD10" s="41">
        <v>0</v>
      </c>
      <c r="AE10" s="6">
        <v>150</v>
      </c>
      <c r="AF10" s="41">
        <v>0</v>
      </c>
      <c r="AG10" s="84">
        <v>150</v>
      </c>
      <c r="AH10" s="91">
        <v>109</v>
      </c>
      <c r="AI10" s="41">
        <v>4.2715517489085419E-2</v>
      </c>
      <c r="AJ10" s="6">
        <v>150</v>
      </c>
      <c r="AK10" s="41">
        <v>4.2715517489085419E-2</v>
      </c>
      <c r="AL10" s="84">
        <v>150</v>
      </c>
      <c r="AM10" s="93">
        <v>12</v>
      </c>
      <c r="AN10" s="41">
        <v>0.16889146400026031</v>
      </c>
      <c r="AO10" s="6">
        <v>150</v>
      </c>
      <c r="AP10" s="41">
        <v>0.16889146400026031</v>
      </c>
      <c r="AQ10" s="84">
        <v>150</v>
      </c>
      <c r="AR10" s="91">
        <v>108</v>
      </c>
      <c r="AS10" s="41">
        <v>0</v>
      </c>
      <c r="AT10" s="6">
        <v>150</v>
      </c>
      <c r="AU10" s="41">
        <v>0</v>
      </c>
      <c r="AV10" s="89">
        <v>150</v>
      </c>
      <c r="AW10" s="97">
        <v>109</v>
      </c>
      <c r="AX10" s="41">
        <v>4.2715517489085419E-2</v>
      </c>
      <c r="AY10" s="6">
        <v>150</v>
      </c>
      <c r="AZ10" s="41">
        <v>4.2715517489085419E-2</v>
      </c>
      <c r="BA10" s="94">
        <v>150</v>
      </c>
    </row>
    <row r="11" spans="1:53" x14ac:dyDescent="0.3">
      <c r="A11" s="157" t="s">
        <v>92</v>
      </c>
      <c r="B11" s="8" t="s">
        <v>13</v>
      </c>
      <c r="C11" s="25" t="s">
        <v>232</v>
      </c>
      <c r="D11" s="25" t="s">
        <v>233</v>
      </c>
      <c r="E11" s="24">
        <v>6.3899998664855957</v>
      </c>
      <c r="F11" s="7">
        <v>-0.70805942665950017</v>
      </c>
      <c r="G11" s="7">
        <v>-0.13297151075859809</v>
      </c>
      <c r="H11" s="13"/>
      <c r="I11" s="14"/>
      <c r="J11" s="20">
        <v>0.2034429135989706</v>
      </c>
      <c r="K11" s="21">
        <v>38</v>
      </c>
      <c r="L11" s="22">
        <v>-5.4773069162059818E-2</v>
      </c>
      <c r="M11" s="21">
        <v>9</v>
      </c>
      <c r="N11" s="27">
        <v>30</v>
      </c>
      <c r="O11" s="29">
        <v>38</v>
      </c>
      <c r="P11" s="88"/>
      <c r="Q11" s="29"/>
      <c r="R11" s="29"/>
      <c r="S11" s="29"/>
      <c r="T11" s="98">
        <v>8.0839211869563984E-2</v>
      </c>
      <c r="U11" s="6">
        <v>999</v>
      </c>
      <c r="V11" s="41">
        <v>8.0839211869563984E-2</v>
      </c>
      <c r="W11" s="94">
        <v>999</v>
      </c>
      <c r="X11" s="97"/>
      <c r="AC11" s="91"/>
      <c r="AH11" s="91"/>
      <c r="AM11" s="93">
        <v>30</v>
      </c>
      <c r="AN11" s="41">
        <v>-3.8765596445708962E-2</v>
      </c>
      <c r="AO11" s="6">
        <v>999</v>
      </c>
      <c r="AP11" s="41">
        <v>-3.8765596445708962E-2</v>
      </c>
      <c r="AQ11" s="84">
        <v>999</v>
      </c>
      <c r="AR11" s="91">
        <v>38</v>
      </c>
      <c r="AS11" s="41">
        <v>-5.5483313452028102E-2</v>
      </c>
      <c r="AT11" s="6">
        <v>999</v>
      </c>
      <c r="AU11" s="41">
        <v>-5.5483313452028102E-2</v>
      </c>
      <c r="AV11" s="89">
        <v>999</v>
      </c>
      <c r="AW11" s="97"/>
    </row>
    <row r="12" spans="1:53" x14ac:dyDescent="0.3">
      <c r="A12" s="157" t="s">
        <v>92</v>
      </c>
      <c r="B12" s="8" t="s">
        <v>93</v>
      </c>
      <c r="C12" s="25" t="s">
        <v>227</v>
      </c>
      <c r="D12" s="25" t="s">
        <v>228</v>
      </c>
      <c r="K12" s="18">
        <v>145</v>
      </c>
      <c r="M12" s="18">
        <v>114</v>
      </c>
      <c r="U12" s="6">
        <v>114</v>
      </c>
      <c r="W12" s="94">
        <v>114</v>
      </c>
      <c r="X12" s="97"/>
      <c r="AC12" s="91"/>
      <c r="AH12" s="91"/>
      <c r="AM12" s="93"/>
      <c r="AR12" s="91"/>
      <c r="AW12" s="97"/>
    </row>
    <row r="13" spans="1:53" x14ac:dyDescent="0.3">
      <c r="A13" s="157" t="s">
        <v>92</v>
      </c>
      <c r="B13" s="8" t="s">
        <v>90</v>
      </c>
      <c r="C13" s="25" t="s">
        <v>242</v>
      </c>
      <c r="D13" s="25" t="s">
        <v>245</v>
      </c>
      <c r="E13" s="24">
        <v>44.799999237060547</v>
      </c>
      <c r="J13" s="17">
        <v>9.3750444373921216E-3</v>
      </c>
      <c r="K13" s="18">
        <v>12</v>
      </c>
      <c r="L13" s="19">
        <v>-4.8437459953128759E-2</v>
      </c>
      <c r="M13" s="18">
        <v>3</v>
      </c>
      <c r="T13" s="98">
        <v>2.0130302787111139E-2</v>
      </c>
      <c r="U13" s="6">
        <v>999</v>
      </c>
      <c r="V13" s="41">
        <v>2.0130302787111139E-2</v>
      </c>
      <c r="W13" s="94">
        <v>999</v>
      </c>
      <c r="X13" s="97"/>
      <c r="AC13" s="91"/>
      <c r="AH13" s="91"/>
      <c r="AM13" s="93"/>
      <c r="AR13" s="91"/>
      <c r="AW13" s="97"/>
    </row>
    <row r="14" spans="1:53" x14ac:dyDescent="0.3">
      <c r="A14" s="157" t="s">
        <v>92</v>
      </c>
      <c r="B14" s="8" t="s">
        <v>12</v>
      </c>
      <c r="C14" s="25" t="s">
        <v>232</v>
      </c>
      <c r="D14" s="25" t="s">
        <v>233</v>
      </c>
      <c r="E14" s="24">
        <v>1.6599999666213989</v>
      </c>
      <c r="F14" s="2">
        <v>-0.70357142948374451</v>
      </c>
      <c r="G14" s="2">
        <v>-0.1122994853537366</v>
      </c>
      <c r="J14" s="17">
        <v>0.29518080638479249</v>
      </c>
      <c r="K14" s="18">
        <v>51</v>
      </c>
      <c r="L14" s="19">
        <v>-0.13253006856904109</v>
      </c>
      <c r="M14" s="18">
        <v>54</v>
      </c>
      <c r="N14" s="26">
        <v>14</v>
      </c>
      <c r="O14" s="28">
        <v>50</v>
      </c>
      <c r="Q14" s="28">
        <v>53</v>
      </c>
      <c r="T14" s="98">
        <v>-9.4339605666174831E-2</v>
      </c>
      <c r="U14" s="6">
        <v>54</v>
      </c>
      <c r="V14" s="41">
        <v>-9.4339605666174831E-2</v>
      </c>
      <c r="W14" s="94">
        <v>54</v>
      </c>
      <c r="X14" s="97">
        <v>53</v>
      </c>
      <c r="Y14" s="41">
        <v>-1.1185671587530069E-2</v>
      </c>
      <c r="Z14" s="6">
        <v>999</v>
      </c>
      <c r="AA14" s="41">
        <v>-1.1185671587530069E-2</v>
      </c>
      <c r="AB14" s="84">
        <v>999</v>
      </c>
      <c r="AC14" s="91"/>
      <c r="AH14" s="91"/>
      <c r="AM14" s="93">
        <v>14</v>
      </c>
      <c r="AN14" s="41">
        <v>0.16847829150285931</v>
      </c>
      <c r="AO14" s="6">
        <v>54</v>
      </c>
      <c r="AP14" s="41">
        <v>0.16847829150285931</v>
      </c>
      <c r="AQ14" s="84">
        <v>54</v>
      </c>
      <c r="AR14" s="91">
        <v>50</v>
      </c>
      <c r="AS14" s="41">
        <v>-0.18946536017776719</v>
      </c>
      <c r="AT14" s="6">
        <v>999</v>
      </c>
      <c r="AU14" s="41">
        <v>-0.18946536017776719</v>
      </c>
      <c r="AV14" s="89">
        <v>999</v>
      </c>
      <c r="AW14" s="97"/>
    </row>
    <row r="15" spans="1:53" x14ac:dyDescent="0.3">
      <c r="A15" s="157" t="s">
        <v>92</v>
      </c>
      <c r="B15" s="8" t="s">
        <v>11</v>
      </c>
      <c r="C15" s="25" t="s">
        <v>227</v>
      </c>
      <c r="D15" s="25" t="s">
        <v>228</v>
      </c>
      <c r="E15" s="24">
        <v>8</v>
      </c>
      <c r="F15" s="2">
        <v>-0.70046774777070309</v>
      </c>
      <c r="G15" s="2">
        <v>-0.18116687562252379</v>
      </c>
      <c r="H15" s="15">
        <v>0.36249995231628368</v>
      </c>
      <c r="I15" s="16">
        <v>-0.59999999403953552</v>
      </c>
      <c r="J15" s="17">
        <v>1.037499904632569</v>
      </c>
      <c r="K15" s="18">
        <v>41</v>
      </c>
      <c r="L15" s="19">
        <v>-0.6887499988079071</v>
      </c>
      <c r="M15" s="18">
        <v>142</v>
      </c>
      <c r="N15" s="26">
        <v>2</v>
      </c>
      <c r="O15" s="28">
        <v>6</v>
      </c>
      <c r="P15" s="87">
        <v>18</v>
      </c>
      <c r="Q15" s="28">
        <v>103</v>
      </c>
      <c r="R15" s="28">
        <v>104</v>
      </c>
      <c r="S15" s="28">
        <v>104</v>
      </c>
      <c r="T15" s="98">
        <v>-0.31749999523162842</v>
      </c>
      <c r="U15" s="6">
        <v>104</v>
      </c>
      <c r="V15" s="41">
        <v>-0.31749999523162842</v>
      </c>
      <c r="W15" s="94">
        <v>104</v>
      </c>
      <c r="X15" s="97">
        <v>103</v>
      </c>
      <c r="Y15" s="41">
        <v>2.396513527492283E-2</v>
      </c>
      <c r="Z15" s="6">
        <v>142</v>
      </c>
      <c r="AA15" s="41">
        <v>2.396513527492283E-2</v>
      </c>
      <c r="AB15" s="84">
        <v>142</v>
      </c>
      <c r="AC15" s="91">
        <v>104</v>
      </c>
      <c r="AD15" s="41">
        <v>0.29120881712072461</v>
      </c>
      <c r="AE15" s="6">
        <v>142</v>
      </c>
      <c r="AF15" s="41">
        <v>0.29120881712072461</v>
      </c>
      <c r="AG15" s="84">
        <v>142</v>
      </c>
      <c r="AH15" s="91">
        <v>104</v>
      </c>
      <c r="AI15" s="41">
        <v>0.29120881712072461</v>
      </c>
      <c r="AJ15" s="6">
        <v>142</v>
      </c>
      <c r="AK15" s="41">
        <v>0.29120881712072461</v>
      </c>
      <c r="AL15" s="84">
        <v>142</v>
      </c>
      <c r="AM15" s="93">
        <v>7</v>
      </c>
      <c r="AN15" s="41">
        <v>0.735889099157649</v>
      </c>
      <c r="AO15" s="6">
        <v>142</v>
      </c>
      <c r="AP15" s="41">
        <v>0.735889099157649</v>
      </c>
      <c r="AQ15" s="84">
        <v>142</v>
      </c>
      <c r="AR15" s="91">
        <v>7</v>
      </c>
      <c r="AS15" s="41">
        <v>0.735889099157649</v>
      </c>
      <c r="AT15" s="6">
        <v>142</v>
      </c>
      <c r="AU15" s="41">
        <v>0.735889099157649</v>
      </c>
      <c r="AV15" s="89">
        <v>142</v>
      </c>
      <c r="AW15" s="97">
        <v>18</v>
      </c>
      <c r="AX15" s="41">
        <v>0.55534350658781517</v>
      </c>
      <c r="AY15" s="6">
        <v>142</v>
      </c>
      <c r="AZ15" s="41">
        <v>0.55534350658781517</v>
      </c>
      <c r="BA15" s="94">
        <v>142</v>
      </c>
    </row>
  </sheetData>
  <autoFilter ref="B4:BA32" xr:uid="{A63CA558-3F40-463D-93F5-3E4C2572FE45}">
    <sortState xmlns:xlrd2="http://schemas.microsoft.com/office/spreadsheetml/2017/richdata2" ref="B5:BA9">
      <sortCondition descending="1" ref="AO4:AO32"/>
    </sortState>
  </autoFilter>
  <mergeCells count="29">
    <mergeCell ref="AU3:AV3"/>
    <mergeCell ref="AX3:AY3"/>
    <mergeCell ref="AZ3:BA3"/>
    <mergeCell ref="AF3:AG3"/>
    <mergeCell ref="AI3:AJ3"/>
    <mergeCell ref="AK3:AL3"/>
    <mergeCell ref="AN3:AO3"/>
    <mergeCell ref="AP3:AQ3"/>
    <mergeCell ref="AS3:AT3"/>
    <mergeCell ref="AC2:AG2"/>
    <mergeCell ref="AH2:AL2"/>
    <mergeCell ref="AM2:AQ2"/>
    <mergeCell ref="AR2:AV2"/>
    <mergeCell ref="AW2:BA2"/>
    <mergeCell ref="T3:U3"/>
    <mergeCell ref="V3:W3"/>
    <mergeCell ref="Y3:Z3"/>
    <mergeCell ref="AA3:AB3"/>
    <mergeCell ref="AD3:AE3"/>
    <mergeCell ref="B1:S1"/>
    <mergeCell ref="T1:BA1"/>
    <mergeCell ref="C2:E2"/>
    <mergeCell ref="F2:G2"/>
    <mergeCell ref="H2:I2"/>
    <mergeCell ref="J2:M2"/>
    <mergeCell ref="N2:P2"/>
    <mergeCell ref="Q2:S2"/>
    <mergeCell ref="T2:W2"/>
    <mergeCell ref="X2:A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70C-AB77-4754-87F5-C83D94EDA714}">
  <dimension ref="A1:AM57"/>
  <sheetViews>
    <sheetView workbookViewId="0">
      <selection activeCell="A24" activeCellId="1" sqref="A15:XFD16 A24:XFD25"/>
    </sheetView>
  </sheetViews>
  <sheetFormatPr defaultRowHeight="14.4" x14ac:dyDescent="0.3"/>
  <cols>
    <col min="1" max="1" width="18" bestFit="1" customWidth="1"/>
    <col min="2" max="2" width="15.33203125" customWidth="1"/>
    <col min="3" max="3" width="14.88671875" customWidth="1"/>
    <col min="4" max="4" width="12" bestFit="1" customWidth="1"/>
    <col min="5" max="5" width="13" customWidth="1"/>
    <col min="6" max="6" width="13.109375" customWidth="1"/>
    <col min="7" max="7" width="12.88671875" customWidth="1"/>
    <col min="9" max="9" width="18" bestFit="1" customWidth="1"/>
    <col min="10" max="10" width="15.88671875" customWidth="1"/>
    <col min="11" max="11" width="15.44140625" customWidth="1"/>
    <col min="12" max="12" width="13.109375" customWidth="1"/>
    <col min="13" max="15" width="13.21875" customWidth="1"/>
    <col min="17" max="17" width="18.88671875" bestFit="1" customWidth="1"/>
    <col min="18" max="18" width="15.33203125" customWidth="1"/>
    <col min="19" max="19" width="14.88671875" customWidth="1"/>
    <col min="20" max="20" width="12" bestFit="1" customWidth="1"/>
    <col min="21" max="21" width="13" customWidth="1"/>
    <col min="22" max="22" width="13.109375" customWidth="1"/>
    <col min="23" max="23" width="12.88671875" customWidth="1"/>
    <col min="24" max="24" width="11" customWidth="1"/>
    <col min="25" max="25" width="18.88671875" bestFit="1" customWidth="1"/>
    <col min="26" max="26" width="15.33203125" customWidth="1"/>
    <col min="27" max="27" width="14.88671875" customWidth="1"/>
    <col min="28" max="28" width="10.33203125" customWidth="1"/>
    <col min="29" max="29" width="13" customWidth="1"/>
    <col min="30" max="30" width="13.109375" customWidth="1"/>
    <col min="31" max="31" width="12.88671875" customWidth="1"/>
    <col min="33" max="33" width="20.21875" bestFit="1" customWidth="1"/>
    <col min="34" max="34" width="15.88671875" customWidth="1"/>
    <col min="35" max="35" width="15.44140625" customWidth="1"/>
    <col min="36" max="36" width="10.44140625" customWidth="1"/>
    <col min="37" max="39" width="13.21875" customWidth="1"/>
  </cols>
  <sheetData>
    <row r="1" spans="1:39" x14ac:dyDescent="0.3">
      <c r="A1" t="s">
        <v>211</v>
      </c>
      <c r="B1" t="s">
        <v>182</v>
      </c>
      <c r="C1" t="s">
        <v>164</v>
      </c>
      <c r="D1" t="s">
        <v>81</v>
      </c>
      <c r="E1" t="s">
        <v>165</v>
      </c>
      <c r="F1" t="s">
        <v>166</v>
      </c>
      <c r="G1" t="s">
        <v>181</v>
      </c>
      <c r="I1" t="s">
        <v>211</v>
      </c>
      <c r="J1" t="s">
        <v>182</v>
      </c>
      <c r="K1" t="s">
        <v>164</v>
      </c>
      <c r="L1" t="s">
        <v>81</v>
      </c>
      <c r="M1" t="s">
        <v>165</v>
      </c>
      <c r="N1" t="s">
        <v>166</v>
      </c>
      <c r="O1" t="s">
        <v>181</v>
      </c>
      <c r="Q1" t="s">
        <v>211</v>
      </c>
      <c r="R1" t="s">
        <v>182</v>
      </c>
      <c r="S1" t="s">
        <v>164</v>
      </c>
      <c r="T1" t="s">
        <v>81</v>
      </c>
      <c r="U1" t="s">
        <v>165</v>
      </c>
      <c r="V1" t="s">
        <v>166</v>
      </c>
      <c r="W1" t="s">
        <v>181</v>
      </c>
      <c r="Y1" t="s">
        <v>211</v>
      </c>
      <c r="Z1" t="s">
        <v>182</v>
      </c>
      <c r="AA1" t="s">
        <v>164</v>
      </c>
      <c r="AB1" t="s">
        <v>81</v>
      </c>
      <c r="AC1" t="s">
        <v>165</v>
      </c>
      <c r="AD1" t="s">
        <v>166</v>
      </c>
      <c r="AE1" t="s">
        <v>181</v>
      </c>
      <c r="AG1" t="s">
        <v>211</v>
      </c>
      <c r="AH1" t="s">
        <v>182</v>
      </c>
      <c r="AI1" t="s">
        <v>164</v>
      </c>
      <c r="AJ1" t="s">
        <v>81</v>
      </c>
      <c r="AK1" t="s">
        <v>165</v>
      </c>
      <c r="AL1" t="s">
        <v>166</v>
      </c>
      <c r="AM1" t="s">
        <v>181</v>
      </c>
    </row>
    <row r="2" spans="1:39" x14ac:dyDescent="0.3">
      <c r="A2" t="s">
        <v>168</v>
      </c>
      <c r="B2" s="109">
        <v>0.61346376682306003</v>
      </c>
      <c r="C2" s="109">
        <v>0.45283659071661803</v>
      </c>
      <c r="D2" s="109">
        <v>0.75</v>
      </c>
      <c r="E2" s="109">
        <v>14.1354652235919</v>
      </c>
      <c r="F2" s="109">
        <v>42.406395670775801</v>
      </c>
      <c r="G2">
        <v>16</v>
      </c>
      <c r="I2" t="s">
        <v>193</v>
      </c>
      <c r="J2" s="109">
        <v>0.21128731908321099</v>
      </c>
      <c r="K2" s="109">
        <v>0.18099346904601901</v>
      </c>
      <c r="L2" s="109">
        <v>0.75</v>
      </c>
      <c r="M2" s="109">
        <v>1.6400340638705599</v>
      </c>
      <c r="N2" s="109">
        <v>4.9201021916116803</v>
      </c>
      <c r="O2">
        <v>28</v>
      </c>
      <c r="Q2" t="s">
        <v>168</v>
      </c>
      <c r="R2" s="109">
        <v>0.61346376682306003</v>
      </c>
      <c r="S2" s="109">
        <v>0.45283659071661803</v>
      </c>
      <c r="T2" s="109">
        <v>0.75</v>
      </c>
      <c r="U2" s="109">
        <v>14.1354652235919</v>
      </c>
      <c r="V2" s="109">
        <v>42.406395670775801</v>
      </c>
      <c r="W2">
        <v>16</v>
      </c>
      <c r="Y2" t="s">
        <v>199</v>
      </c>
      <c r="Z2" s="109">
        <v>0.46570145368841798</v>
      </c>
      <c r="AA2" s="109">
        <v>0.193557686501279</v>
      </c>
      <c r="AB2" s="109">
        <v>0.81818181818181801</v>
      </c>
      <c r="AC2" s="109">
        <v>5.9810086228904096</v>
      </c>
      <c r="AD2" s="109">
        <v>26.914538803006799</v>
      </c>
      <c r="AE2">
        <v>22</v>
      </c>
      <c r="AG2" t="s">
        <v>214</v>
      </c>
      <c r="AH2" s="109">
        <v>0.296969643095507</v>
      </c>
      <c r="AI2" s="109">
        <v>0.15265558125055401</v>
      </c>
      <c r="AJ2" s="109">
        <v>0.64285714285714202</v>
      </c>
      <c r="AK2" s="109">
        <v>4.6821045245326403</v>
      </c>
      <c r="AL2" s="109">
        <v>8.4277881441587503</v>
      </c>
      <c r="AM2">
        <v>14</v>
      </c>
    </row>
    <row r="3" spans="1:39" x14ac:dyDescent="0.3">
      <c r="A3" t="s">
        <v>167</v>
      </c>
      <c r="B3" s="109">
        <v>0.61346376682306003</v>
      </c>
      <c r="C3" s="109">
        <v>0.45283659071661803</v>
      </c>
      <c r="D3" s="109">
        <v>0.75</v>
      </c>
      <c r="E3" s="109">
        <v>14.1354652235919</v>
      </c>
      <c r="F3" s="109">
        <v>42.406395670775801</v>
      </c>
      <c r="G3">
        <v>16</v>
      </c>
      <c r="I3" t="s">
        <v>194</v>
      </c>
      <c r="J3" s="109">
        <v>0.21128731908321099</v>
      </c>
      <c r="K3" s="109">
        <v>0.18099346904601901</v>
      </c>
      <c r="L3" s="109">
        <v>0.75</v>
      </c>
      <c r="M3" s="109">
        <v>1.6400340638705599</v>
      </c>
      <c r="N3" s="109">
        <v>4.9201021916116803</v>
      </c>
      <c r="O3">
        <v>28</v>
      </c>
      <c r="Q3" t="s">
        <v>167</v>
      </c>
      <c r="R3" s="109">
        <v>0.61346376682306003</v>
      </c>
      <c r="S3" s="109">
        <v>0.45283659071661803</v>
      </c>
      <c r="T3" s="109">
        <v>0.75</v>
      </c>
      <c r="U3" s="109">
        <v>14.1354652235919</v>
      </c>
      <c r="V3" s="109">
        <v>42.406395670775801</v>
      </c>
      <c r="W3">
        <v>16</v>
      </c>
      <c r="Y3" t="s">
        <v>200</v>
      </c>
      <c r="Z3" s="109">
        <v>0.46570145368841798</v>
      </c>
      <c r="AA3" s="109">
        <v>0.193557686501279</v>
      </c>
      <c r="AB3" s="109">
        <v>0.81818181818181801</v>
      </c>
      <c r="AC3" s="109">
        <v>5.9810086228904096</v>
      </c>
      <c r="AD3" s="109">
        <v>26.914538803006799</v>
      </c>
      <c r="AE3">
        <v>22</v>
      </c>
      <c r="AG3" t="s">
        <v>215</v>
      </c>
      <c r="AH3" s="109">
        <v>0.296969643095507</v>
      </c>
      <c r="AI3" s="109">
        <v>0.15265558125055401</v>
      </c>
      <c r="AJ3" s="109">
        <v>0.64285714285714202</v>
      </c>
      <c r="AK3" s="109">
        <v>4.6821045245326403</v>
      </c>
      <c r="AL3" s="109">
        <v>8.4277881441587503</v>
      </c>
      <c r="AM3">
        <v>14</v>
      </c>
    </row>
    <row r="4" spans="1:39" x14ac:dyDescent="0.3">
      <c r="A4" t="s">
        <v>170</v>
      </c>
      <c r="B4" s="109">
        <v>0.57767844553699899</v>
      </c>
      <c r="C4" s="109">
        <v>0.38495604241905801</v>
      </c>
      <c r="D4" s="109">
        <v>0.84210526315789402</v>
      </c>
      <c r="E4" s="109">
        <v>5.2995762204768004</v>
      </c>
      <c r="F4" s="109">
        <v>28.2644065092096</v>
      </c>
      <c r="G4">
        <v>19</v>
      </c>
      <c r="I4" t="s">
        <v>191</v>
      </c>
      <c r="J4" s="109">
        <v>0.203862416091629</v>
      </c>
      <c r="K4" s="109">
        <v>0.16326470726506401</v>
      </c>
      <c r="L4" s="109">
        <v>0.67500000000000004</v>
      </c>
      <c r="M4" s="109">
        <v>2.3383558636174402</v>
      </c>
      <c r="N4" s="109">
        <v>4.8565852552054602</v>
      </c>
      <c r="O4">
        <v>40</v>
      </c>
      <c r="Q4" t="s">
        <v>170</v>
      </c>
      <c r="R4" s="109">
        <v>0.57767844553699899</v>
      </c>
      <c r="S4" s="109">
        <v>0.38495604241905801</v>
      </c>
      <c r="T4" s="109">
        <v>0.84210526315789402</v>
      </c>
      <c r="U4" s="109">
        <v>5.2995762204768004</v>
      </c>
      <c r="V4" s="109">
        <v>28.2644065092096</v>
      </c>
      <c r="W4">
        <v>19</v>
      </c>
      <c r="Y4" t="s">
        <v>198</v>
      </c>
      <c r="Z4" s="109">
        <v>0.39856736665742598</v>
      </c>
      <c r="AA4" s="109">
        <v>0.23131097884806001</v>
      </c>
      <c r="AB4" s="109">
        <v>0.82608695652173902</v>
      </c>
      <c r="AC4" s="109">
        <v>2.2113567756621602</v>
      </c>
      <c r="AD4" s="109">
        <v>10.503944684395201</v>
      </c>
      <c r="AE4">
        <v>23</v>
      </c>
      <c r="AG4" t="s">
        <v>216</v>
      </c>
      <c r="AH4" s="109">
        <v>0.28911928681735499</v>
      </c>
      <c r="AI4" s="109">
        <v>0.18153262410795101</v>
      </c>
      <c r="AJ4" s="109">
        <v>0.69230769230769196</v>
      </c>
      <c r="AK4" s="109">
        <v>2.80292625467108</v>
      </c>
      <c r="AL4" s="109">
        <v>6.3065840730099403</v>
      </c>
      <c r="AM4">
        <v>13</v>
      </c>
    </row>
    <row r="5" spans="1:39" x14ac:dyDescent="0.3">
      <c r="A5" t="s">
        <v>169</v>
      </c>
      <c r="B5" s="109">
        <v>0.57767844553699899</v>
      </c>
      <c r="C5" s="109">
        <v>0.38495604241905801</v>
      </c>
      <c r="D5" s="109">
        <v>0.84210526315789402</v>
      </c>
      <c r="E5" s="109">
        <v>5.2995762204768004</v>
      </c>
      <c r="F5" s="109">
        <v>28.2644065092096</v>
      </c>
      <c r="G5">
        <v>19</v>
      </c>
      <c r="I5" t="s">
        <v>192</v>
      </c>
      <c r="J5" s="109">
        <v>0.203862416091629</v>
      </c>
      <c r="K5" s="109">
        <v>0.16326470726506401</v>
      </c>
      <c r="L5" s="109">
        <v>0.67500000000000004</v>
      </c>
      <c r="M5" s="109">
        <v>2.3383558636174402</v>
      </c>
      <c r="N5" s="109">
        <v>4.8565852552054602</v>
      </c>
      <c r="O5">
        <v>40</v>
      </c>
      <c r="Q5" t="s">
        <v>169</v>
      </c>
      <c r="R5" s="109">
        <v>0.57767844553699899</v>
      </c>
      <c r="S5" s="109">
        <v>0.38495604241905801</v>
      </c>
      <c r="T5" s="109">
        <v>0.84210526315789402</v>
      </c>
      <c r="U5" s="109">
        <v>5.2995762204768004</v>
      </c>
      <c r="V5" s="109">
        <v>28.2644065092096</v>
      </c>
      <c r="W5">
        <v>19</v>
      </c>
      <c r="Y5" t="s">
        <v>197</v>
      </c>
      <c r="Z5" s="109">
        <v>0.30236359733681001</v>
      </c>
      <c r="AA5" s="109">
        <v>0.19081785374151899</v>
      </c>
      <c r="AB5" s="109">
        <v>0.73913043478260798</v>
      </c>
      <c r="AC5" s="109">
        <v>2.5285681770470099</v>
      </c>
      <c r="AD5" s="109">
        <v>7.1642765016332</v>
      </c>
      <c r="AE5">
        <v>23</v>
      </c>
      <c r="AG5" t="s">
        <v>217</v>
      </c>
      <c r="AH5" s="109">
        <v>0.28911928681735499</v>
      </c>
      <c r="AI5" s="109">
        <v>0.18153262410795101</v>
      </c>
      <c r="AJ5" s="109">
        <v>0.69230769230769196</v>
      </c>
      <c r="AK5" s="109">
        <v>2.80292625467108</v>
      </c>
      <c r="AL5" s="109">
        <v>6.3065840730099403</v>
      </c>
      <c r="AM5">
        <v>13</v>
      </c>
    </row>
    <row r="6" spans="1:39" x14ac:dyDescent="0.3">
      <c r="A6" t="s">
        <v>199</v>
      </c>
      <c r="B6" s="109">
        <v>0.46570145368841798</v>
      </c>
      <c r="C6" s="109">
        <v>0.193557686501279</v>
      </c>
      <c r="D6" s="109">
        <v>0.81818181818181801</v>
      </c>
      <c r="E6" s="109">
        <v>5.9810086228904096</v>
      </c>
      <c r="F6" s="109">
        <v>26.914538803006799</v>
      </c>
      <c r="G6">
        <v>22</v>
      </c>
      <c r="I6" t="s">
        <v>185</v>
      </c>
      <c r="J6" s="109">
        <v>0.180846362552154</v>
      </c>
      <c r="K6" s="109">
        <v>0.15146715726316801</v>
      </c>
      <c r="L6" s="109">
        <v>0.69491525423728795</v>
      </c>
      <c r="M6" s="109">
        <v>1.85708016900595</v>
      </c>
      <c r="N6" s="109">
        <v>4.2300159405135496</v>
      </c>
      <c r="O6">
        <v>59</v>
      </c>
      <c r="Q6" t="s">
        <v>172</v>
      </c>
      <c r="R6" s="109">
        <v>0.46660308233549602</v>
      </c>
      <c r="S6" s="109">
        <v>0.319290369421311</v>
      </c>
      <c r="T6" s="109">
        <v>0.88</v>
      </c>
      <c r="U6" s="109">
        <v>1.82667377616925</v>
      </c>
      <c r="V6" s="109">
        <v>13.3956076919078</v>
      </c>
      <c r="W6">
        <v>25</v>
      </c>
      <c r="Y6" t="s">
        <v>201</v>
      </c>
      <c r="Z6" s="109">
        <v>0.36901423666253502</v>
      </c>
      <c r="AA6" s="109">
        <v>0.11405618463954401</v>
      </c>
      <c r="AB6" s="109">
        <v>0.7</v>
      </c>
      <c r="AC6" s="109">
        <v>2.8235948383203802</v>
      </c>
      <c r="AD6" s="109">
        <v>6.5883879560808998</v>
      </c>
      <c r="AE6">
        <v>20</v>
      </c>
      <c r="AG6" t="s">
        <v>222</v>
      </c>
      <c r="AH6" s="109">
        <v>0.439009745831485</v>
      </c>
      <c r="AI6" s="109">
        <v>0.353488341146317</v>
      </c>
      <c r="AJ6" s="109">
        <v>0.77777777777777701</v>
      </c>
      <c r="AK6" s="109">
        <v>1.7924493944526301</v>
      </c>
      <c r="AL6" s="109">
        <v>6.2735728805842204</v>
      </c>
      <c r="AM6">
        <v>9</v>
      </c>
    </row>
    <row r="7" spans="1:39" x14ac:dyDescent="0.3">
      <c r="A7" t="s">
        <v>200</v>
      </c>
      <c r="B7" s="109">
        <v>0.46570145368841798</v>
      </c>
      <c r="C7" s="109">
        <v>0.193557686501279</v>
      </c>
      <c r="D7" s="109">
        <v>0.81818181818181801</v>
      </c>
      <c r="E7" s="109">
        <v>5.9810086228904096</v>
      </c>
      <c r="F7" s="109">
        <v>26.914538803006799</v>
      </c>
      <c r="G7">
        <v>22</v>
      </c>
      <c r="I7" t="s">
        <v>186</v>
      </c>
      <c r="J7" s="109">
        <v>0.180846362552154</v>
      </c>
      <c r="K7" s="109">
        <v>0.15146715726316801</v>
      </c>
      <c r="L7" s="109">
        <v>0.69491525423728795</v>
      </c>
      <c r="M7" s="109">
        <v>1.85708016900595</v>
      </c>
      <c r="N7" s="109">
        <v>4.2300159405135496</v>
      </c>
      <c r="O7">
        <v>59</v>
      </c>
      <c r="Q7" t="s">
        <v>171</v>
      </c>
      <c r="R7" s="109">
        <v>0.46660308233549602</v>
      </c>
      <c r="S7" s="109">
        <v>0.319290369421311</v>
      </c>
      <c r="T7" s="109">
        <v>0.88</v>
      </c>
      <c r="U7" s="109">
        <v>1.82667377616925</v>
      </c>
      <c r="V7" s="109">
        <v>13.3956076919078</v>
      </c>
      <c r="W7">
        <v>25</v>
      </c>
      <c r="Y7" t="s">
        <v>202</v>
      </c>
      <c r="Z7" s="109">
        <v>0.36901423666253502</v>
      </c>
      <c r="AA7" s="109">
        <v>0.11405618463954401</v>
      </c>
      <c r="AB7" s="109">
        <v>0.7</v>
      </c>
      <c r="AC7" s="109">
        <v>2.8235948383203802</v>
      </c>
      <c r="AD7" s="109">
        <v>6.5883879560808998</v>
      </c>
      <c r="AE7">
        <v>20</v>
      </c>
      <c r="AG7" t="s">
        <v>223</v>
      </c>
      <c r="AH7" s="109">
        <v>0.439009745831485</v>
      </c>
      <c r="AI7" s="109">
        <v>0.353488341146317</v>
      </c>
      <c r="AJ7" s="109">
        <v>0.77777777777777701</v>
      </c>
      <c r="AK7" s="109">
        <v>1.7924493944526301</v>
      </c>
      <c r="AL7" s="109">
        <v>6.2735728805842204</v>
      </c>
      <c r="AM7">
        <v>9</v>
      </c>
    </row>
    <row r="8" spans="1:39" x14ac:dyDescent="0.3">
      <c r="A8" t="s">
        <v>172</v>
      </c>
      <c r="B8" s="109">
        <v>0.46660308233549602</v>
      </c>
      <c r="C8" s="109">
        <v>0.319290369421311</v>
      </c>
      <c r="D8" s="109">
        <v>0.88</v>
      </c>
      <c r="E8" s="109">
        <v>1.82667377616925</v>
      </c>
      <c r="F8" s="109">
        <v>13.3956076919078</v>
      </c>
      <c r="G8">
        <v>25</v>
      </c>
      <c r="I8" t="s">
        <v>187</v>
      </c>
      <c r="J8" s="109">
        <v>0.17674254561348901</v>
      </c>
      <c r="K8" s="109">
        <v>0.17154397448176001</v>
      </c>
      <c r="L8" s="109">
        <v>0.71153846153846101</v>
      </c>
      <c r="M8" s="109">
        <v>1.6993868187211001</v>
      </c>
      <c r="N8" s="109">
        <v>4.1918208195120501</v>
      </c>
      <c r="O8">
        <v>52</v>
      </c>
      <c r="Q8" t="s">
        <v>178</v>
      </c>
      <c r="R8" s="109">
        <v>0.40079758291060802</v>
      </c>
      <c r="S8" s="109">
        <v>0.31311056338191701</v>
      </c>
      <c r="T8" s="109">
        <v>0.85714285714285698</v>
      </c>
      <c r="U8" s="109">
        <v>2.05297125646395</v>
      </c>
      <c r="V8" s="109">
        <v>12.3178275387837</v>
      </c>
      <c r="W8">
        <v>28</v>
      </c>
      <c r="Y8" t="s">
        <v>205</v>
      </c>
      <c r="Z8" s="109">
        <v>0.35939708004104698</v>
      </c>
      <c r="AA8" s="109">
        <v>0.121879416238192</v>
      </c>
      <c r="AB8" s="109">
        <v>0.71428571428571397</v>
      </c>
      <c r="AC8" s="109">
        <v>2.44642315288247</v>
      </c>
      <c r="AD8" s="109">
        <v>6.11605788220617</v>
      </c>
      <c r="AE8">
        <v>14</v>
      </c>
      <c r="AG8" t="s">
        <v>224</v>
      </c>
      <c r="AH8" s="109">
        <v>0.51442451067536099</v>
      </c>
      <c r="AI8" s="109">
        <v>0.18385863347931</v>
      </c>
      <c r="AJ8" s="109">
        <v>0.5</v>
      </c>
      <c r="AK8" s="109">
        <v>5.6349511024960703</v>
      </c>
      <c r="AL8" s="109">
        <v>5.6349511024960703</v>
      </c>
      <c r="AM8">
        <v>6</v>
      </c>
    </row>
    <row r="9" spans="1:39" x14ac:dyDescent="0.3">
      <c r="A9" t="s">
        <v>171</v>
      </c>
      <c r="B9" s="109">
        <v>0.46660308233549602</v>
      </c>
      <c r="C9" s="109">
        <v>0.319290369421311</v>
      </c>
      <c r="D9" s="109">
        <v>0.88</v>
      </c>
      <c r="E9" s="109">
        <v>1.82667377616925</v>
      </c>
      <c r="F9" s="109">
        <v>13.3956076919078</v>
      </c>
      <c r="G9">
        <v>25</v>
      </c>
      <c r="I9" t="s">
        <v>188</v>
      </c>
      <c r="J9" s="109">
        <v>0.17674254561348901</v>
      </c>
      <c r="K9" s="109">
        <v>0.17154397448176001</v>
      </c>
      <c r="L9" s="109">
        <v>0.71153846153846101</v>
      </c>
      <c r="M9" s="109">
        <v>1.6993868187211001</v>
      </c>
      <c r="N9" s="109">
        <v>4.1918208195120501</v>
      </c>
      <c r="O9">
        <v>52</v>
      </c>
      <c r="Q9" t="s">
        <v>177</v>
      </c>
      <c r="R9" s="109">
        <v>0.40079758291060802</v>
      </c>
      <c r="S9" s="109">
        <v>0.31311056338191701</v>
      </c>
      <c r="T9" s="109">
        <v>0.85714285714285698</v>
      </c>
      <c r="U9" s="109">
        <v>2.05297125646395</v>
      </c>
      <c r="V9" s="109">
        <v>12.3178275387837</v>
      </c>
      <c r="W9">
        <v>28</v>
      </c>
      <c r="Y9" t="s">
        <v>206</v>
      </c>
      <c r="Z9" s="109">
        <v>0.35939708004104698</v>
      </c>
      <c r="AA9" s="109">
        <v>0.121879416238192</v>
      </c>
      <c r="AB9" s="109">
        <v>0.71428571428571397</v>
      </c>
      <c r="AC9" s="109">
        <v>2.44642315288247</v>
      </c>
      <c r="AD9" s="109">
        <v>6.11605788220617</v>
      </c>
      <c r="AE9">
        <v>14</v>
      </c>
      <c r="AG9" t="s">
        <v>225</v>
      </c>
      <c r="AH9" s="109">
        <v>0.51442451067536099</v>
      </c>
      <c r="AI9" s="109">
        <v>0.18385863347931</v>
      </c>
      <c r="AJ9" s="109">
        <v>0.5</v>
      </c>
      <c r="AK9" s="109">
        <v>5.6349511024960703</v>
      </c>
      <c r="AL9" s="109">
        <v>5.6349511024960703</v>
      </c>
      <c r="AM9">
        <v>6</v>
      </c>
    </row>
    <row r="10" spans="1:39" x14ac:dyDescent="0.3">
      <c r="A10" t="s">
        <v>178</v>
      </c>
      <c r="B10" s="109">
        <v>0.40079758291060802</v>
      </c>
      <c r="C10" s="109">
        <v>0.31311056338191701</v>
      </c>
      <c r="D10" s="109">
        <v>0.85714285714285698</v>
      </c>
      <c r="E10" s="109">
        <v>2.05297125646395</v>
      </c>
      <c r="F10" s="109">
        <v>12.3178275387837</v>
      </c>
      <c r="G10">
        <v>28</v>
      </c>
      <c r="I10" t="s">
        <v>195</v>
      </c>
      <c r="J10" s="109">
        <v>0.17644341099833499</v>
      </c>
      <c r="K10" s="109">
        <v>7.8097522975054096E-2</v>
      </c>
      <c r="L10" s="109">
        <v>0.71428571428571397</v>
      </c>
      <c r="M10" s="109">
        <v>1.59225986981379</v>
      </c>
      <c r="N10" s="109">
        <v>3.9806496745344901</v>
      </c>
      <c r="O10">
        <v>21</v>
      </c>
      <c r="Q10" t="s">
        <v>174</v>
      </c>
      <c r="R10" s="109">
        <v>0.38705895581960398</v>
      </c>
      <c r="S10" s="109">
        <v>0.389473756858847</v>
      </c>
      <c r="T10" s="109">
        <v>0.73913043478260798</v>
      </c>
      <c r="U10" s="109">
        <v>3.7699208348064399</v>
      </c>
      <c r="V10" s="109">
        <v>10.6814423652849</v>
      </c>
      <c r="W10">
        <v>23</v>
      </c>
      <c r="Y10" t="s">
        <v>207</v>
      </c>
      <c r="Z10" s="109">
        <v>0.33471242131607198</v>
      </c>
      <c r="AA10" s="109">
        <v>0.20304875537605799</v>
      </c>
      <c r="AB10" s="109">
        <v>0.75</v>
      </c>
      <c r="AC10" s="109">
        <v>1.6643157610839101</v>
      </c>
      <c r="AD10" s="109">
        <v>4.9929472832517297</v>
      </c>
      <c r="AE10">
        <v>12</v>
      </c>
      <c r="AG10" t="s">
        <v>220</v>
      </c>
      <c r="AH10" s="109">
        <v>0.315338045782243</v>
      </c>
      <c r="AI10" s="109">
        <v>9.9559964853455293E-2</v>
      </c>
      <c r="AJ10" s="109">
        <v>0.63636363636363602</v>
      </c>
      <c r="AK10" s="109">
        <v>2.9577901168587002</v>
      </c>
      <c r="AL10" s="109">
        <v>5.1761327045027397</v>
      </c>
      <c r="AM10">
        <v>11</v>
      </c>
    </row>
    <row r="11" spans="1:39" x14ac:dyDescent="0.3">
      <c r="A11" t="s">
        <v>177</v>
      </c>
      <c r="B11" s="109">
        <v>0.40079758291060802</v>
      </c>
      <c r="C11" s="109">
        <v>0.31311056338191701</v>
      </c>
      <c r="D11" s="109">
        <v>0.85714285714285698</v>
      </c>
      <c r="E11" s="109">
        <v>2.05297125646395</v>
      </c>
      <c r="F11" s="109">
        <v>12.3178275387837</v>
      </c>
      <c r="G11">
        <v>28</v>
      </c>
      <c r="I11" t="s">
        <v>196</v>
      </c>
      <c r="J11" s="109">
        <v>0.17644341099833499</v>
      </c>
      <c r="K11" s="109">
        <v>7.8097522975054096E-2</v>
      </c>
      <c r="L11" s="109">
        <v>0.71428571428571397</v>
      </c>
      <c r="M11" s="109">
        <v>1.59225986981379</v>
      </c>
      <c r="N11" s="109">
        <v>3.9806496745344901</v>
      </c>
      <c r="O11">
        <v>21</v>
      </c>
      <c r="Q11" t="s">
        <v>173</v>
      </c>
      <c r="R11" s="109">
        <v>0.38705895581960398</v>
      </c>
      <c r="S11" s="109">
        <v>0.389473756858847</v>
      </c>
      <c r="T11" s="109">
        <v>0.73913043478260798</v>
      </c>
      <c r="U11" s="109">
        <v>3.7699208348064399</v>
      </c>
      <c r="V11" s="109">
        <v>10.6814423652849</v>
      </c>
      <c r="W11">
        <v>23</v>
      </c>
      <c r="Y11" t="s">
        <v>208</v>
      </c>
      <c r="Z11" s="109">
        <v>0.33471242131607198</v>
      </c>
      <c r="AA11" s="109">
        <v>0.20304875537605799</v>
      </c>
      <c r="AB11" s="109">
        <v>0.75</v>
      </c>
      <c r="AC11" s="109">
        <v>1.6643157610839101</v>
      </c>
      <c r="AD11" s="109">
        <v>4.9929472832517297</v>
      </c>
      <c r="AE11">
        <v>12</v>
      </c>
      <c r="AG11" t="s">
        <v>221</v>
      </c>
      <c r="AH11" s="109">
        <v>0.315338045782243</v>
      </c>
      <c r="AI11" s="109">
        <v>9.9559964853455293E-2</v>
      </c>
      <c r="AJ11" s="109">
        <v>0.63636363636363602</v>
      </c>
      <c r="AK11" s="109">
        <v>2.9577901168587002</v>
      </c>
      <c r="AL11" s="109">
        <v>5.1761327045027397</v>
      </c>
      <c r="AM11">
        <v>11</v>
      </c>
    </row>
    <row r="12" spans="1:39" x14ac:dyDescent="0.3">
      <c r="A12" t="s">
        <v>174</v>
      </c>
      <c r="B12" s="109">
        <v>0.38705895581960398</v>
      </c>
      <c r="C12" s="109">
        <v>0.389473756858847</v>
      </c>
      <c r="D12" s="109">
        <v>0.73913043478260798</v>
      </c>
      <c r="E12" s="109">
        <v>3.7699208348064399</v>
      </c>
      <c r="F12" s="109">
        <v>10.6814423652849</v>
      </c>
      <c r="G12">
        <v>23</v>
      </c>
      <c r="I12" t="s">
        <v>189</v>
      </c>
      <c r="J12" s="109">
        <v>0.137883839579795</v>
      </c>
      <c r="K12" s="109">
        <v>7.2406074816939101E-2</v>
      </c>
      <c r="L12" s="109">
        <v>0.625</v>
      </c>
      <c r="M12" s="109">
        <v>1.63060860445709</v>
      </c>
      <c r="N12" s="109">
        <v>2.7176810074284798</v>
      </c>
      <c r="O12">
        <v>40</v>
      </c>
      <c r="Q12" t="s">
        <v>176</v>
      </c>
      <c r="R12" s="109">
        <v>0.38022384792793401</v>
      </c>
      <c r="S12" s="109">
        <v>0.34569261534194801</v>
      </c>
      <c r="T12" s="109">
        <v>0.80769230769230704</v>
      </c>
      <c r="U12" s="109">
        <v>2.0015617037726701</v>
      </c>
      <c r="V12" s="109">
        <v>8.4065591558452208</v>
      </c>
      <c r="W12">
        <v>26</v>
      </c>
      <c r="Y12" t="s">
        <v>209</v>
      </c>
      <c r="Z12" s="109">
        <v>0.355986008148305</v>
      </c>
      <c r="AA12" s="109">
        <v>0.20788254550304899</v>
      </c>
      <c r="AB12" s="109">
        <v>0.625</v>
      </c>
      <c r="AC12" s="109">
        <v>2.4457054704816898</v>
      </c>
      <c r="AD12" s="109">
        <v>4.0761757841361597</v>
      </c>
      <c r="AE12">
        <v>8</v>
      </c>
      <c r="AG12" t="s">
        <v>218</v>
      </c>
      <c r="AH12" s="109">
        <v>0.28789774118717798</v>
      </c>
      <c r="AI12" s="109">
        <v>0.42979935744485198</v>
      </c>
      <c r="AJ12" s="109">
        <v>0.55555555555555503</v>
      </c>
      <c r="AK12" s="109">
        <v>3.0994835949024502</v>
      </c>
      <c r="AL12" s="109">
        <v>3.8743544936280698</v>
      </c>
      <c r="AM12">
        <v>9</v>
      </c>
    </row>
    <row r="13" spans="1:39" x14ac:dyDescent="0.3">
      <c r="A13" t="s">
        <v>173</v>
      </c>
      <c r="B13" s="109">
        <v>0.38705895581960398</v>
      </c>
      <c r="C13" s="109">
        <v>0.389473756858847</v>
      </c>
      <c r="D13" s="109">
        <v>0.73913043478260798</v>
      </c>
      <c r="E13" s="109">
        <v>3.7699208348064399</v>
      </c>
      <c r="F13" s="109">
        <v>10.6814423652849</v>
      </c>
      <c r="G13">
        <v>23</v>
      </c>
      <c r="I13" t="s">
        <v>190</v>
      </c>
      <c r="J13" s="109">
        <v>0.137883839579795</v>
      </c>
      <c r="K13" s="109">
        <v>7.2406074816939101E-2</v>
      </c>
      <c r="L13" s="109">
        <v>0.625</v>
      </c>
      <c r="M13" s="109">
        <v>1.63060860445709</v>
      </c>
      <c r="N13" s="109">
        <v>2.7176810074284798</v>
      </c>
      <c r="O13">
        <v>40</v>
      </c>
      <c r="Q13" t="s">
        <v>175</v>
      </c>
      <c r="R13" s="109">
        <v>0.38022384792793401</v>
      </c>
      <c r="S13" s="109">
        <v>0.34569261534194801</v>
      </c>
      <c r="T13" s="109">
        <v>0.80769230769230704</v>
      </c>
      <c r="U13" s="109">
        <v>2.0015617037726701</v>
      </c>
      <c r="V13" s="109">
        <v>8.4065591558452208</v>
      </c>
      <c r="W13">
        <v>26</v>
      </c>
      <c r="Y13" t="s">
        <v>210</v>
      </c>
      <c r="Z13" s="109">
        <v>0.355986008148305</v>
      </c>
      <c r="AA13" s="109">
        <v>0.20788254550304899</v>
      </c>
      <c r="AB13" s="109">
        <v>0.625</v>
      </c>
      <c r="AC13" s="109">
        <v>2.4457054704816898</v>
      </c>
      <c r="AD13" s="109">
        <v>4.0761757841361597</v>
      </c>
      <c r="AE13">
        <v>8</v>
      </c>
      <c r="AG13" t="s">
        <v>219</v>
      </c>
      <c r="AH13" s="109">
        <v>0.28789774118717798</v>
      </c>
      <c r="AI13" s="109">
        <v>0.42979935744485198</v>
      </c>
      <c r="AJ13" s="109">
        <v>0.55555555555555503</v>
      </c>
      <c r="AK13" s="109">
        <v>3.0994835949024502</v>
      </c>
      <c r="AL13" s="109">
        <v>3.8743544936280698</v>
      </c>
      <c r="AM13">
        <v>9</v>
      </c>
    </row>
    <row r="14" spans="1:39" x14ac:dyDescent="0.3">
      <c r="A14" t="s">
        <v>198</v>
      </c>
      <c r="B14" s="109">
        <v>0.39856736665742598</v>
      </c>
      <c r="C14" s="109">
        <v>0.23131097884806001</v>
      </c>
      <c r="D14" s="109">
        <v>0.82608695652173902</v>
      </c>
      <c r="E14" s="109">
        <v>2.2113567756621602</v>
      </c>
      <c r="F14" s="109">
        <v>10.503944684395201</v>
      </c>
      <c r="G14">
        <v>23</v>
      </c>
      <c r="I14" t="s">
        <v>184</v>
      </c>
      <c r="J14" s="109">
        <v>0.13743254806685301</v>
      </c>
      <c r="K14" s="109">
        <v>0.143911446472889</v>
      </c>
      <c r="L14" s="109">
        <v>0.67213114754098302</v>
      </c>
      <c r="M14" s="109">
        <v>1.2739871725834999</v>
      </c>
      <c r="N14" s="109">
        <v>2.6116737037961801</v>
      </c>
      <c r="O14">
        <v>61</v>
      </c>
      <c r="Q14" t="s">
        <v>179</v>
      </c>
      <c r="R14" s="109">
        <v>0.27623223984727502</v>
      </c>
      <c r="S14" s="109">
        <v>0.29183590996083297</v>
      </c>
      <c r="T14" s="109">
        <v>0.75</v>
      </c>
      <c r="U14" s="109">
        <v>1.3973344398774299</v>
      </c>
      <c r="V14" s="109">
        <v>4.1920033196322901</v>
      </c>
      <c r="W14">
        <v>28</v>
      </c>
      <c r="Y14" t="s">
        <v>203</v>
      </c>
      <c r="Z14" s="109">
        <v>0.26499293855616901</v>
      </c>
      <c r="AA14" s="109">
        <v>-5.3154629968879099E-3</v>
      </c>
      <c r="AB14" s="109">
        <v>0.47058823529411697</v>
      </c>
      <c r="AC14" s="109">
        <v>3.99882918202991</v>
      </c>
      <c r="AD14" s="109">
        <v>3.5545148284710302</v>
      </c>
      <c r="AE14">
        <v>17</v>
      </c>
      <c r="AG14" t="s">
        <v>213</v>
      </c>
      <c r="AH14" s="109">
        <v>0.103514930851523</v>
      </c>
      <c r="AI14" s="109">
        <v>-2.7661361135781701E-2</v>
      </c>
      <c r="AJ14" s="109">
        <v>0.42857142857142799</v>
      </c>
      <c r="AK14" s="109">
        <v>2.6050019966799902</v>
      </c>
      <c r="AL14" s="109">
        <v>1.9537514975099901</v>
      </c>
      <c r="AM14">
        <v>14</v>
      </c>
    </row>
    <row r="15" spans="1:39" x14ac:dyDescent="0.3">
      <c r="A15" t="s">
        <v>214</v>
      </c>
      <c r="B15" s="109">
        <v>0.296969643095507</v>
      </c>
      <c r="C15" s="109">
        <v>0.15265558125055401</v>
      </c>
      <c r="D15" s="109">
        <v>0.64285714285714202</v>
      </c>
      <c r="E15" s="109">
        <v>4.6821045245326403</v>
      </c>
      <c r="F15" s="109">
        <v>8.4277881441587503</v>
      </c>
      <c r="G15">
        <v>14</v>
      </c>
      <c r="I15" t="s">
        <v>183</v>
      </c>
      <c r="J15" s="109">
        <v>0.105522684274622</v>
      </c>
      <c r="K15" s="109">
        <v>8.0135424338578301E-2</v>
      </c>
      <c r="L15" s="109">
        <v>0.55737704918032704</v>
      </c>
      <c r="M15" s="109">
        <v>1.6465478919135701</v>
      </c>
      <c r="N15" s="109">
        <v>2.07343067870598</v>
      </c>
      <c r="O15">
        <v>61</v>
      </c>
      <c r="Q15" t="s">
        <v>180</v>
      </c>
      <c r="R15" s="109">
        <v>0.14165593463894599</v>
      </c>
      <c r="S15" s="109">
        <v>8.3965581881881399E-2</v>
      </c>
      <c r="T15" s="109">
        <v>0.57142857142857095</v>
      </c>
      <c r="U15" s="109">
        <v>1.71310928220138</v>
      </c>
      <c r="V15" s="109">
        <v>2.28414570960184</v>
      </c>
      <c r="W15">
        <v>28</v>
      </c>
      <c r="Y15" t="s">
        <v>204</v>
      </c>
      <c r="Z15" s="109">
        <v>0.26499293855616901</v>
      </c>
      <c r="AA15" s="109">
        <v>-5.3154629968879099E-3</v>
      </c>
      <c r="AB15" s="109">
        <v>0.47058823529411697</v>
      </c>
      <c r="AC15" s="109">
        <v>3.99882918202991</v>
      </c>
      <c r="AD15" s="109">
        <v>3.5545148284710302</v>
      </c>
      <c r="AE15">
        <v>17</v>
      </c>
      <c r="AG15" t="s">
        <v>212</v>
      </c>
      <c r="AH15" s="109">
        <v>8.5742718377023297E-2</v>
      </c>
      <c r="AI15" s="109">
        <v>-0.105970849435257</v>
      </c>
      <c r="AJ15" s="109">
        <v>0.42857142857142799</v>
      </c>
      <c r="AK15" s="109">
        <v>2.2384604857572099</v>
      </c>
      <c r="AL15" s="109">
        <v>1.6788453643179</v>
      </c>
      <c r="AM15">
        <v>14</v>
      </c>
    </row>
    <row r="16" spans="1:39" x14ac:dyDescent="0.3">
      <c r="A16" t="s">
        <v>215</v>
      </c>
      <c r="B16" s="109">
        <v>0.296969643095507</v>
      </c>
      <c r="C16" s="109">
        <v>0.15265558125055401</v>
      </c>
      <c r="D16" s="109">
        <v>0.64285714285714202</v>
      </c>
      <c r="E16" s="109">
        <v>4.6821045245326403</v>
      </c>
      <c r="F16" s="109">
        <v>8.4277881441587503</v>
      </c>
      <c r="G16">
        <v>14</v>
      </c>
    </row>
    <row r="17" spans="1:7" x14ac:dyDescent="0.3">
      <c r="A17" t="s">
        <v>176</v>
      </c>
      <c r="B17" s="109">
        <v>0.38022384792793401</v>
      </c>
      <c r="C17" s="109">
        <v>0.34569261534194801</v>
      </c>
      <c r="D17" s="109">
        <v>0.80769230769230704</v>
      </c>
      <c r="E17" s="109">
        <v>2.0015617037726701</v>
      </c>
      <c r="F17" s="109">
        <v>8.4065591558452208</v>
      </c>
      <c r="G17">
        <v>26</v>
      </c>
    </row>
    <row r="18" spans="1:7" x14ac:dyDescent="0.3">
      <c r="A18" t="s">
        <v>175</v>
      </c>
      <c r="B18" s="109">
        <v>0.38022384792793401</v>
      </c>
      <c r="C18" s="109">
        <v>0.34569261534194801</v>
      </c>
      <c r="D18" s="109">
        <v>0.80769230769230704</v>
      </c>
      <c r="E18" s="109">
        <v>2.0015617037726701</v>
      </c>
      <c r="F18" s="109">
        <v>8.4065591558452208</v>
      </c>
      <c r="G18">
        <v>26</v>
      </c>
    </row>
    <row r="19" spans="1:7" x14ac:dyDescent="0.3">
      <c r="A19" t="s">
        <v>197</v>
      </c>
      <c r="B19" s="109">
        <v>0.30236359733681001</v>
      </c>
      <c r="C19" s="109">
        <v>0.19081785374151899</v>
      </c>
      <c r="D19" s="109">
        <v>0.73913043478260798</v>
      </c>
      <c r="E19" s="109">
        <v>2.5285681770470099</v>
      </c>
      <c r="F19" s="109">
        <v>7.1642765016332</v>
      </c>
      <c r="G19">
        <v>23</v>
      </c>
    </row>
    <row r="20" spans="1:7" x14ac:dyDescent="0.3">
      <c r="A20" t="s">
        <v>201</v>
      </c>
      <c r="B20" s="109">
        <v>0.36901423666253502</v>
      </c>
      <c r="C20" s="109">
        <v>0.11405618463954401</v>
      </c>
      <c r="D20" s="109">
        <v>0.7</v>
      </c>
      <c r="E20" s="109">
        <v>2.8235948383203802</v>
      </c>
      <c r="F20" s="109">
        <v>6.5883879560808998</v>
      </c>
      <c r="G20">
        <v>20</v>
      </c>
    </row>
    <row r="21" spans="1:7" x14ac:dyDescent="0.3">
      <c r="A21" t="s">
        <v>202</v>
      </c>
      <c r="B21" s="109">
        <v>0.36901423666253502</v>
      </c>
      <c r="C21" s="109">
        <v>0.11405618463954401</v>
      </c>
      <c r="D21" s="109">
        <v>0.7</v>
      </c>
      <c r="E21" s="109">
        <v>2.8235948383203802</v>
      </c>
      <c r="F21" s="109">
        <v>6.5883879560808998</v>
      </c>
      <c r="G21">
        <v>20</v>
      </c>
    </row>
    <row r="22" spans="1:7" x14ac:dyDescent="0.3">
      <c r="A22" t="s">
        <v>216</v>
      </c>
      <c r="B22" s="109">
        <v>0.28911928681735499</v>
      </c>
      <c r="C22" s="109">
        <v>0.18153262410795101</v>
      </c>
      <c r="D22" s="109">
        <v>0.69230769230769196</v>
      </c>
      <c r="E22" s="109">
        <v>2.80292625467108</v>
      </c>
      <c r="F22" s="109">
        <v>6.3065840730099403</v>
      </c>
      <c r="G22">
        <v>13</v>
      </c>
    </row>
    <row r="23" spans="1:7" x14ac:dyDescent="0.3">
      <c r="A23" t="s">
        <v>217</v>
      </c>
      <c r="B23" s="109">
        <v>0.28911928681735499</v>
      </c>
      <c r="C23" s="109">
        <v>0.18153262410795101</v>
      </c>
      <c r="D23" s="109">
        <v>0.69230769230769196</v>
      </c>
      <c r="E23" s="109">
        <v>2.80292625467108</v>
      </c>
      <c r="F23" s="109">
        <v>6.3065840730099403</v>
      </c>
      <c r="G23">
        <v>13</v>
      </c>
    </row>
    <row r="24" spans="1:7" x14ac:dyDescent="0.3">
      <c r="A24" t="s">
        <v>222</v>
      </c>
      <c r="B24" s="109">
        <v>0.439009745831485</v>
      </c>
      <c r="C24" s="109">
        <v>0.353488341146317</v>
      </c>
      <c r="D24" s="109">
        <v>0.77777777777777701</v>
      </c>
      <c r="E24" s="109">
        <v>1.7924493944526301</v>
      </c>
      <c r="F24" s="109">
        <v>6.2735728805842204</v>
      </c>
      <c r="G24">
        <v>9</v>
      </c>
    </row>
    <row r="25" spans="1:7" x14ac:dyDescent="0.3">
      <c r="A25" t="s">
        <v>223</v>
      </c>
      <c r="B25" s="109">
        <v>0.439009745831485</v>
      </c>
      <c r="C25" s="109">
        <v>0.353488341146317</v>
      </c>
      <c r="D25" s="109">
        <v>0.77777777777777701</v>
      </c>
      <c r="E25" s="109">
        <v>1.7924493944526301</v>
      </c>
      <c r="F25" s="109">
        <v>6.2735728805842204</v>
      </c>
      <c r="G25">
        <v>9</v>
      </c>
    </row>
    <row r="26" spans="1:7" x14ac:dyDescent="0.3">
      <c r="A26" t="s">
        <v>205</v>
      </c>
      <c r="B26" s="109">
        <v>0.35939708004104698</v>
      </c>
      <c r="C26" s="109">
        <v>0.121879416238192</v>
      </c>
      <c r="D26" s="109">
        <v>0.71428571428571397</v>
      </c>
      <c r="E26" s="109">
        <v>2.44642315288247</v>
      </c>
      <c r="F26" s="109">
        <v>6.11605788220617</v>
      </c>
      <c r="G26">
        <v>14</v>
      </c>
    </row>
    <row r="27" spans="1:7" x14ac:dyDescent="0.3">
      <c r="A27" t="s">
        <v>206</v>
      </c>
      <c r="B27" s="109">
        <v>0.35939708004104698</v>
      </c>
      <c r="C27" s="109">
        <v>0.121879416238192</v>
      </c>
      <c r="D27" s="109">
        <v>0.71428571428571397</v>
      </c>
      <c r="E27" s="109">
        <v>2.44642315288247</v>
      </c>
      <c r="F27" s="109">
        <v>6.11605788220617</v>
      </c>
      <c r="G27">
        <v>14</v>
      </c>
    </row>
    <row r="28" spans="1:7" x14ac:dyDescent="0.3">
      <c r="A28" t="s">
        <v>224</v>
      </c>
      <c r="B28" s="109">
        <v>0.51442451067536099</v>
      </c>
      <c r="C28" s="109">
        <v>0.18385863347931</v>
      </c>
      <c r="D28" s="109">
        <v>0.5</v>
      </c>
      <c r="E28" s="109">
        <v>5.6349511024960703</v>
      </c>
      <c r="F28" s="109">
        <v>5.6349511024960703</v>
      </c>
      <c r="G28">
        <v>6</v>
      </c>
    </row>
    <row r="29" spans="1:7" x14ac:dyDescent="0.3">
      <c r="A29" t="s">
        <v>225</v>
      </c>
      <c r="B29" s="109">
        <v>0.51442451067536099</v>
      </c>
      <c r="C29" s="109">
        <v>0.18385863347931</v>
      </c>
      <c r="D29" s="109">
        <v>0.5</v>
      </c>
      <c r="E29" s="109">
        <v>5.6349511024960703</v>
      </c>
      <c r="F29" s="109">
        <v>5.6349511024960703</v>
      </c>
      <c r="G29">
        <v>6</v>
      </c>
    </row>
    <row r="30" spans="1:7" x14ac:dyDescent="0.3">
      <c r="A30" t="s">
        <v>220</v>
      </c>
      <c r="B30" s="109">
        <v>0.315338045782243</v>
      </c>
      <c r="C30" s="109">
        <v>9.9559964853455293E-2</v>
      </c>
      <c r="D30" s="109">
        <v>0.63636363636363602</v>
      </c>
      <c r="E30" s="109">
        <v>2.9577901168587002</v>
      </c>
      <c r="F30" s="109">
        <v>5.1761327045027397</v>
      </c>
      <c r="G30">
        <v>11</v>
      </c>
    </row>
    <row r="31" spans="1:7" x14ac:dyDescent="0.3">
      <c r="A31" t="s">
        <v>221</v>
      </c>
      <c r="B31" s="109">
        <v>0.315338045782243</v>
      </c>
      <c r="C31" s="109">
        <v>9.9559964853455293E-2</v>
      </c>
      <c r="D31" s="109">
        <v>0.63636363636363602</v>
      </c>
      <c r="E31" s="109">
        <v>2.9577901168587002</v>
      </c>
      <c r="F31" s="109">
        <v>5.1761327045027397</v>
      </c>
      <c r="G31">
        <v>11</v>
      </c>
    </row>
    <row r="32" spans="1:7" x14ac:dyDescent="0.3">
      <c r="A32" t="s">
        <v>207</v>
      </c>
      <c r="B32" s="109">
        <v>0.33471242131607198</v>
      </c>
      <c r="C32" s="109">
        <v>0.20304875537605799</v>
      </c>
      <c r="D32" s="109">
        <v>0.75</v>
      </c>
      <c r="E32" s="109">
        <v>1.6643157610839101</v>
      </c>
      <c r="F32" s="109">
        <v>4.9929472832517297</v>
      </c>
      <c r="G32">
        <v>12</v>
      </c>
    </row>
    <row r="33" spans="1:7" x14ac:dyDescent="0.3">
      <c r="A33" t="s">
        <v>208</v>
      </c>
      <c r="B33" s="109">
        <v>0.33471242131607198</v>
      </c>
      <c r="C33" s="109">
        <v>0.20304875537605799</v>
      </c>
      <c r="D33" s="109">
        <v>0.75</v>
      </c>
      <c r="E33" s="109">
        <v>1.6643157610839101</v>
      </c>
      <c r="F33" s="109">
        <v>4.9929472832517297</v>
      </c>
      <c r="G33">
        <v>12</v>
      </c>
    </row>
    <row r="34" spans="1:7" x14ac:dyDescent="0.3">
      <c r="A34" t="s">
        <v>193</v>
      </c>
      <c r="B34" s="109">
        <v>0.21128731908321099</v>
      </c>
      <c r="C34" s="109">
        <v>0.18099346904601901</v>
      </c>
      <c r="D34" s="109">
        <v>0.75</v>
      </c>
      <c r="E34" s="109">
        <v>1.6400340638705599</v>
      </c>
      <c r="F34" s="109">
        <v>4.9201021916116803</v>
      </c>
      <c r="G34">
        <v>28</v>
      </c>
    </row>
    <row r="35" spans="1:7" x14ac:dyDescent="0.3">
      <c r="A35" t="s">
        <v>194</v>
      </c>
      <c r="B35" s="109">
        <v>0.21128731908321099</v>
      </c>
      <c r="C35" s="109">
        <v>0.18099346904601901</v>
      </c>
      <c r="D35" s="109">
        <v>0.75</v>
      </c>
      <c r="E35" s="109">
        <v>1.6400340638705599</v>
      </c>
      <c r="F35" s="109">
        <v>4.9201021916116803</v>
      </c>
      <c r="G35">
        <v>28</v>
      </c>
    </row>
    <row r="36" spans="1:7" x14ac:dyDescent="0.3">
      <c r="A36" t="s">
        <v>191</v>
      </c>
      <c r="B36" s="109">
        <v>0.203862416091629</v>
      </c>
      <c r="C36" s="109">
        <v>0.16326470726506401</v>
      </c>
      <c r="D36" s="109">
        <v>0.67500000000000004</v>
      </c>
      <c r="E36" s="109">
        <v>2.3383558636174402</v>
      </c>
      <c r="F36" s="109">
        <v>4.8565852552054602</v>
      </c>
      <c r="G36">
        <v>40</v>
      </c>
    </row>
    <row r="37" spans="1:7" x14ac:dyDescent="0.3">
      <c r="A37" t="s">
        <v>192</v>
      </c>
      <c r="B37" s="109">
        <v>0.203862416091629</v>
      </c>
      <c r="C37" s="109">
        <v>0.16326470726506401</v>
      </c>
      <c r="D37" s="109">
        <v>0.67500000000000004</v>
      </c>
      <c r="E37" s="109">
        <v>2.3383558636174402</v>
      </c>
      <c r="F37" s="109">
        <v>4.8565852552054602</v>
      </c>
      <c r="G37">
        <v>40</v>
      </c>
    </row>
    <row r="38" spans="1:7" x14ac:dyDescent="0.3">
      <c r="A38" t="s">
        <v>185</v>
      </c>
      <c r="B38" s="109">
        <v>0.180846362552154</v>
      </c>
      <c r="C38" s="109">
        <v>0.15146715726316801</v>
      </c>
      <c r="D38" s="109">
        <v>0.69491525423728795</v>
      </c>
      <c r="E38" s="109">
        <v>1.85708016900595</v>
      </c>
      <c r="F38" s="109">
        <v>4.2300159405135496</v>
      </c>
      <c r="G38">
        <v>59</v>
      </c>
    </row>
    <row r="39" spans="1:7" x14ac:dyDescent="0.3">
      <c r="A39" t="s">
        <v>186</v>
      </c>
      <c r="B39" s="109">
        <v>0.180846362552154</v>
      </c>
      <c r="C39" s="109">
        <v>0.15146715726316801</v>
      </c>
      <c r="D39" s="109">
        <v>0.69491525423728795</v>
      </c>
      <c r="E39" s="109">
        <v>1.85708016900595</v>
      </c>
      <c r="F39" s="109">
        <v>4.2300159405135496</v>
      </c>
      <c r="G39">
        <v>59</v>
      </c>
    </row>
    <row r="40" spans="1:7" x14ac:dyDescent="0.3">
      <c r="A40" t="s">
        <v>179</v>
      </c>
      <c r="B40" s="109">
        <v>0.27623223984727502</v>
      </c>
      <c r="C40" s="109">
        <v>0.29183590996083297</v>
      </c>
      <c r="D40" s="109">
        <v>0.75</v>
      </c>
      <c r="E40" s="109">
        <v>1.3973344398774299</v>
      </c>
      <c r="F40" s="109">
        <v>4.1920033196322901</v>
      </c>
      <c r="G40">
        <v>28</v>
      </c>
    </row>
    <row r="41" spans="1:7" x14ac:dyDescent="0.3">
      <c r="A41" t="s">
        <v>187</v>
      </c>
      <c r="B41" s="109">
        <v>0.17674254561348901</v>
      </c>
      <c r="C41" s="109">
        <v>0.17154397448176001</v>
      </c>
      <c r="D41" s="109">
        <v>0.71153846153846101</v>
      </c>
      <c r="E41" s="109">
        <v>1.6993868187211001</v>
      </c>
      <c r="F41" s="109">
        <v>4.1918208195120501</v>
      </c>
      <c r="G41">
        <v>52</v>
      </c>
    </row>
    <row r="42" spans="1:7" x14ac:dyDescent="0.3">
      <c r="A42" t="s">
        <v>188</v>
      </c>
      <c r="B42" s="109">
        <v>0.17674254561348901</v>
      </c>
      <c r="C42" s="109">
        <v>0.17154397448176001</v>
      </c>
      <c r="D42" s="109">
        <v>0.71153846153846101</v>
      </c>
      <c r="E42" s="109">
        <v>1.6993868187211001</v>
      </c>
      <c r="F42" s="109">
        <v>4.1918208195120501</v>
      </c>
      <c r="G42">
        <v>52</v>
      </c>
    </row>
    <row r="43" spans="1:7" x14ac:dyDescent="0.3">
      <c r="A43" t="s">
        <v>209</v>
      </c>
      <c r="B43" s="109">
        <v>0.355986008148305</v>
      </c>
      <c r="C43" s="109">
        <v>0.20788254550304899</v>
      </c>
      <c r="D43" s="109">
        <v>0.625</v>
      </c>
      <c r="E43" s="109">
        <v>2.4457054704816898</v>
      </c>
      <c r="F43" s="109">
        <v>4.0761757841361597</v>
      </c>
      <c r="G43">
        <v>8</v>
      </c>
    </row>
    <row r="44" spans="1:7" x14ac:dyDescent="0.3">
      <c r="A44" t="s">
        <v>210</v>
      </c>
      <c r="B44" s="109">
        <v>0.355986008148305</v>
      </c>
      <c r="C44" s="109">
        <v>0.20788254550304899</v>
      </c>
      <c r="D44" s="109">
        <v>0.625</v>
      </c>
      <c r="E44" s="109">
        <v>2.4457054704816898</v>
      </c>
      <c r="F44" s="109">
        <v>4.0761757841361597</v>
      </c>
      <c r="G44">
        <v>8</v>
      </c>
    </row>
    <row r="45" spans="1:7" x14ac:dyDescent="0.3">
      <c r="A45" t="s">
        <v>195</v>
      </c>
      <c r="B45" s="109">
        <v>0.17644341099833499</v>
      </c>
      <c r="C45" s="109">
        <v>7.8097522975054096E-2</v>
      </c>
      <c r="D45" s="109">
        <v>0.71428571428571397</v>
      </c>
      <c r="E45" s="109">
        <v>1.59225986981379</v>
      </c>
      <c r="F45" s="109">
        <v>3.9806496745344901</v>
      </c>
      <c r="G45">
        <v>21</v>
      </c>
    </row>
    <row r="46" spans="1:7" x14ac:dyDescent="0.3">
      <c r="A46" t="s">
        <v>196</v>
      </c>
      <c r="B46" s="109">
        <v>0.17644341099833499</v>
      </c>
      <c r="C46" s="109">
        <v>7.8097522975054096E-2</v>
      </c>
      <c r="D46" s="109">
        <v>0.71428571428571397</v>
      </c>
      <c r="E46" s="109">
        <v>1.59225986981379</v>
      </c>
      <c r="F46" s="109">
        <v>3.9806496745344901</v>
      </c>
      <c r="G46">
        <v>21</v>
      </c>
    </row>
    <row r="47" spans="1:7" x14ac:dyDescent="0.3">
      <c r="A47" t="s">
        <v>218</v>
      </c>
      <c r="B47" s="109">
        <v>0.28789774118717798</v>
      </c>
      <c r="C47" s="109">
        <v>0.42979935744485198</v>
      </c>
      <c r="D47" s="109">
        <v>0.55555555555555503</v>
      </c>
      <c r="E47" s="109">
        <v>3.0994835949024502</v>
      </c>
      <c r="F47" s="109">
        <v>3.8743544936280698</v>
      </c>
      <c r="G47">
        <v>9</v>
      </c>
    </row>
    <row r="48" spans="1:7" x14ac:dyDescent="0.3">
      <c r="A48" t="s">
        <v>219</v>
      </c>
      <c r="B48" s="109">
        <v>0.28789774118717798</v>
      </c>
      <c r="C48" s="109">
        <v>0.42979935744485198</v>
      </c>
      <c r="D48" s="109">
        <v>0.55555555555555503</v>
      </c>
      <c r="E48" s="109">
        <v>3.0994835949024502</v>
      </c>
      <c r="F48" s="109">
        <v>3.8743544936280698</v>
      </c>
      <c r="G48">
        <v>9</v>
      </c>
    </row>
    <row r="49" spans="1:7" x14ac:dyDescent="0.3">
      <c r="A49" t="s">
        <v>203</v>
      </c>
      <c r="B49" s="109">
        <v>0.26499293855616901</v>
      </c>
      <c r="C49" s="109">
        <v>-5.3154629968879099E-3</v>
      </c>
      <c r="D49" s="109">
        <v>0.47058823529411697</v>
      </c>
      <c r="E49" s="109">
        <v>3.99882918202991</v>
      </c>
      <c r="F49" s="109">
        <v>3.5545148284710302</v>
      </c>
      <c r="G49">
        <v>17</v>
      </c>
    </row>
    <row r="50" spans="1:7" x14ac:dyDescent="0.3">
      <c r="A50" t="s">
        <v>204</v>
      </c>
      <c r="B50" s="109">
        <v>0.26499293855616901</v>
      </c>
      <c r="C50" s="109">
        <v>-5.3154629968879099E-3</v>
      </c>
      <c r="D50" s="109">
        <v>0.47058823529411697</v>
      </c>
      <c r="E50" s="109">
        <v>3.99882918202991</v>
      </c>
      <c r="F50" s="109">
        <v>3.5545148284710302</v>
      </c>
      <c r="G50">
        <v>17</v>
      </c>
    </row>
    <row r="51" spans="1:7" x14ac:dyDescent="0.3">
      <c r="A51" t="s">
        <v>189</v>
      </c>
      <c r="B51" s="109">
        <v>0.137883839579795</v>
      </c>
      <c r="C51" s="109">
        <v>7.2406074816939101E-2</v>
      </c>
      <c r="D51" s="109">
        <v>0.625</v>
      </c>
      <c r="E51" s="109">
        <v>1.63060860445709</v>
      </c>
      <c r="F51" s="109">
        <v>2.7176810074284798</v>
      </c>
      <c r="G51">
        <v>40</v>
      </c>
    </row>
    <row r="52" spans="1:7" x14ac:dyDescent="0.3">
      <c r="A52" t="s">
        <v>190</v>
      </c>
      <c r="B52" s="109">
        <v>0.137883839579795</v>
      </c>
      <c r="C52" s="109">
        <v>7.2406074816939101E-2</v>
      </c>
      <c r="D52" s="109">
        <v>0.625</v>
      </c>
      <c r="E52" s="109">
        <v>1.63060860445709</v>
      </c>
      <c r="F52" s="109">
        <v>2.7176810074284798</v>
      </c>
      <c r="G52">
        <v>40</v>
      </c>
    </row>
    <row r="53" spans="1:7" x14ac:dyDescent="0.3">
      <c r="A53" t="s">
        <v>184</v>
      </c>
      <c r="B53" s="109">
        <v>0.13743254806685301</v>
      </c>
      <c r="C53" s="109">
        <v>0.143911446472889</v>
      </c>
      <c r="D53" s="109">
        <v>0.67213114754098302</v>
      </c>
      <c r="E53" s="109">
        <v>1.2739871725834999</v>
      </c>
      <c r="F53" s="109">
        <v>2.6116737037961801</v>
      </c>
      <c r="G53">
        <v>61</v>
      </c>
    </row>
    <row r="54" spans="1:7" x14ac:dyDescent="0.3">
      <c r="A54" t="s">
        <v>180</v>
      </c>
      <c r="B54" s="109">
        <v>0.14165593463894599</v>
      </c>
      <c r="C54" s="109">
        <v>8.3965581881881399E-2</v>
      </c>
      <c r="D54" s="109">
        <v>0.57142857142857095</v>
      </c>
      <c r="E54" s="109">
        <v>1.71310928220138</v>
      </c>
      <c r="F54" s="109">
        <v>2.28414570960184</v>
      </c>
      <c r="G54">
        <v>28</v>
      </c>
    </row>
    <row r="55" spans="1:7" x14ac:dyDescent="0.3">
      <c r="A55" t="s">
        <v>183</v>
      </c>
      <c r="B55" s="109">
        <v>0.105522684274622</v>
      </c>
      <c r="C55" s="109">
        <v>8.0135424338578301E-2</v>
      </c>
      <c r="D55" s="109">
        <v>0.55737704918032704</v>
      </c>
      <c r="E55" s="109">
        <v>1.6465478919135701</v>
      </c>
      <c r="F55" s="109">
        <v>2.07343067870598</v>
      </c>
      <c r="G55">
        <v>61</v>
      </c>
    </row>
    <row r="56" spans="1:7" x14ac:dyDescent="0.3">
      <c r="A56" t="s">
        <v>213</v>
      </c>
      <c r="B56" s="109">
        <v>0.103514930851523</v>
      </c>
      <c r="C56" s="109">
        <v>-2.7661361135781701E-2</v>
      </c>
      <c r="D56" s="109">
        <v>0.42857142857142799</v>
      </c>
      <c r="E56" s="109">
        <v>2.6050019966799902</v>
      </c>
      <c r="F56" s="109">
        <v>1.9537514975099901</v>
      </c>
      <c r="G56">
        <v>14</v>
      </c>
    </row>
    <row r="57" spans="1:7" x14ac:dyDescent="0.3">
      <c r="A57" t="s">
        <v>212</v>
      </c>
      <c r="B57" s="109">
        <v>8.5742718377023297E-2</v>
      </c>
      <c r="C57" s="109">
        <v>-0.105970849435257</v>
      </c>
      <c r="D57" s="109">
        <v>0.42857142857142799</v>
      </c>
      <c r="E57" s="109">
        <v>2.2384604857572099</v>
      </c>
      <c r="F57" s="109">
        <v>1.6788453643179</v>
      </c>
      <c r="G57">
        <v>14</v>
      </c>
    </row>
  </sheetData>
  <conditionalFormatting sqref="B2:B15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{5047EFCF-BE42-489A-BE97-84BEEE2FD862}</x14:id>
        </ext>
      </extLst>
    </cfRule>
  </conditionalFormatting>
  <conditionalFormatting sqref="B2:B5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{52991E3C-1AF0-449F-911E-89419E17FF9E}</x14:id>
        </ext>
      </extLst>
    </cfRule>
  </conditionalFormatting>
  <conditionalFormatting sqref="B16:B29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{C1DF6075-D503-4642-985B-F61F96CA2CF7}</x14:id>
        </ext>
      </extLst>
    </cfRule>
  </conditionalFormatting>
  <conditionalFormatting sqref="B30:B43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{9EB365CE-CC58-47A2-8414-D5D22931D3A2}</x14:id>
        </ext>
      </extLst>
    </cfRule>
  </conditionalFormatting>
  <conditionalFormatting sqref="C2:C15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{7E956BBD-54A1-4BB7-8AF3-34D266931CC6}</x14:id>
        </ext>
      </extLst>
    </cfRule>
  </conditionalFormatting>
  <conditionalFormatting sqref="C2:C57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{9FE1227C-25FD-4DAD-B95D-2EC2DD8045C9}</x14:id>
        </ext>
      </extLst>
    </cfRule>
  </conditionalFormatting>
  <conditionalFormatting sqref="C16:C29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{387548F3-3A24-4CA0-A896-A4B9A2330076}</x14:id>
        </ext>
      </extLst>
    </cfRule>
  </conditionalFormatting>
  <conditionalFormatting sqref="C30:C43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{2139AF70-9411-4944-9BDE-55231414E806}</x14:id>
        </ext>
      </extLst>
    </cfRule>
  </conditionalFormatting>
  <conditionalFormatting sqref="D2:D15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{4CCC14CF-8DDC-4B88-972A-B2D7AADF9AA9}</x14:id>
        </ext>
      </extLst>
    </cfRule>
  </conditionalFormatting>
  <conditionalFormatting sqref="D2:D57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{E1F8E189-5351-4C20-B169-1CCC6A22F871}</x14:id>
        </ext>
      </extLst>
    </cfRule>
  </conditionalFormatting>
  <conditionalFormatting sqref="D16:D29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{001D1234-FAC8-4423-9671-E02544338637}</x14:id>
        </ext>
      </extLst>
    </cfRule>
  </conditionalFormatting>
  <conditionalFormatting sqref="D30:D43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{D75F3071-8359-4945-BAF0-7437394CE956}</x14:id>
        </ext>
      </extLst>
    </cfRule>
  </conditionalFormatting>
  <conditionalFormatting sqref="E2:E15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{4844153C-0A08-476F-9EA9-0E9BD455B507}</x14:id>
        </ext>
      </extLst>
    </cfRule>
  </conditionalFormatting>
  <conditionalFormatting sqref="E2:E5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{341097CD-89DC-45D1-99DC-658ADC34D439}</x14:id>
        </ext>
      </extLst>
    </cfRule>
  </conditionalFormatting>
  <conditionalFormatting sqref="E16:E29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{AAA2B201-A0C4-4220-8C7B-96C6818F8C16}</x14:id>
        </ext>
      </extLst>
    </cfRule>
  </conditionalFormatting>
  <conditionalFormatting sqref="E30:E4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{AE8E3013-FF20-4FAA-AF02-6216254B5BDB}</x14:id>
        </ext>
      </extLst>
    </cfRule>
  </conditionalFormatting>
  <conditionalFormatting sqref="F2:F15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{A41FC347-156C-44CC-AEA8-A9F8FA892B46}</x14:id>
        </ext>
      </extLst>
    </cfRule>
  </conditionalFormatting>
  <conditionalFormatting sqref="F2:F57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{51FEAC1D-5EFA-4DBB-9460-F8F02E81CF3C}</x14:id>
        </ext>
      </extLst>
    </cfRule>
  </conditionalFormatting>
  <conditionalFormatting sqref="F16:F29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{390EA00A-2EA8-43B5-B52E-ABF53688A9A7}</x14:id>
        </ext>
      </extLst>
    </cfRule>
  </conditionalFormatting>
  <conditionalFormatting sqref="F30:F43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{8BE82503-1187-41D2-99F0-3A486C130EEA}</x14:id>
        </ext>
      </extLst>
    </cfRule>
  </conditionalFormatting>
  <conditionalFormatting sqref="G2:G57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{4F9C44FA-7403-4690-BC8B-D4E75757E3C5}</x14:id>
        </ext>
      </extLst>
    </cfRule>
  </conditionalFormatting>
  <conditionalFormatting sqref="G16:G29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{6D519705-9F0C-450F-B637-394F70D8A7ED}</x14:id>
        </ext>
      </extLst>
    </cfRule>
  </conditionalFormatting>
  <conditionalFormatting sqref="J2:J15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{58BEA1BE-BF18-45E2-9584-7FFE6EA44CC5}</x14:id>
        </ext>
      </extLst>
    </cfRule>
  </conditionalFormatting>
  <conditionalFormatting sqref="K2:K15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{648A3063-AA98-467D-92F6-880DFBFF738E}</x14:id>
        </ext>
      </extLst>
    </cfRule>
  </conditionalFormatting>
  <conditionalFormatting sqref="L2:L15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{16AC963F-A950-47A2-BC72-E4FE393D58D2}</x14:id>
        </ext>
      </extLst>
    </cfRule>
  </conditionalFormatting>
  <conditionalFormatting sqref="M2:M15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{66CFEEBD-24F1-4E1A-8D3B-E6BADEB9D1F3}</x14:id>
        </ext>
      </extLst>
    </cfRule>
  </conditionalFormatting>
  <conditionalFormatting sqref="N2:N15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{A21E50C8-37A5-4978-91F9-7B7F859FA5AA}</x14:id>
        </ext>
      </extLst>
    </cfRule>
  </conditionalFormatting>
  <conditionalFormatting sqref="O2:O15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{2E29772B-B6E0-4624-9EEA-27AF4259FB82}</x14:id>
        </ext>
      </extLst>
    </cfRule>
  </conditionalFormatting>
  <conditionalFormatting sqref="R2:R15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{E1AF4A0C-2522-45BD-8203-E3FA63541240}</x14:id>
        </ext>
      </extLst>
    </cfRule>
  </conditionalFormatting>
  <conditionalFormatting sqref="S2:S15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{0209397A-E0A7-4D56-8B5E-95DE1D662E33}</x14:id>
        </ext>
      </extLst>
    </cfRule>
  </conditionalFormatting>
  <conditionalFormatting sqref="T2:T15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{5018B547-20E8-4D24-8FCB-F6DD7BC8F30F}</x14:id>
        </ext>
      </extLst>
    </cfRule>
  </conditionalFormatting>
  <conditionalFormatting sqref="U2:U15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{A5872970-41B3-41BC-B225-49E2A1254F0D}</x14:id>
        </ext>
      </extLst>
    </cfRule>
  </conditionalFormatting>
  <conditionalFormatting sqref="V2:V15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{045C07F0-0912-4684-BE42-FBB64FE6A66B}</x14:id>
        </ext>
      </extLst>
    </cfRule>
  </conditionalFormatting>
  <conditionalFormatting sqref="Z2:Z15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{DE799752-5F11-4820-9B21-3B7CE6C408AB}</x14:id>
        </ext>
      </extLst>
    </cfRule>
  </conditionalFormatting>
  <conditionalFormatting sqref="AA2:AA15"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{A1253147-A10E-4AFD-9561-3D2C12A627DB}</x14:id>
        </ext>
      </extLst>
    </cfRule>
  </conditionalFormatting>
  <conditionalFormatting sqref="AB2:AB15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{6B6BF508-9DB5-4965-A875-03E28E2B37C6}</x14:id>
        </ext>
      </extLst>
    </cfRule>
  </conditionalFormatting>
  <conditionalFormatting sqref="AC2:AC15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{B379E835-3F85-4A04-8C45-E4D247130CA4}</x14:id>
        </ext>
      </extLst>
    </cfRule>
  </conditionalFormatting>
  <conditionalFormatting sqref="AD2:AD15"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{02771DFE-ABE2-483A-8C69-0469907E1A1E}</x14:id>
        </ext>
      </extLst>
    </cfRule>
  </conditionalFormatting>
  <conditionalFormatting sqref="AH2:AH1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{B6D24349-D3DC-45D7-9C61-E16CCA5BB129}</x14:id>
        </ext>
      </extLst>
    </cfRule>
  </conditionalFormatting>
  <conditionalFormatting sqref="AI2:AI15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{6DC67001-6D93-483C-8E30-8AE80CBE5120}</x14:id>
        </ext>
      </extLst>
    </cfRule>
  </conditionalFormatting>
  <conditionalFormatting sqref="AJ2:AJ15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{47785947-F58B-4790-9B7B-B57ACF8A057F}</x14:id>
        </ext>
      </extLst>
    </cfRule>
  </conditionalFormatting>
  <conditionalFormatting sqref="AK2:AK1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{01524FB3-562E-49A9-B3A9-875E5BB3462F}</x14:id>
        </ext>
      </extLst>
    </cfRule>
  </conditionalFormatting>
  <conditionalFormatting sqref="AL2:AL1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{FBB1B95E-8F5D-462A-9626-D620AC52EE6C}</x14:id>
        </ext>
      </extLst>
    </cfRule>
  </conditionalFormatting>
  <conditionalFormatting sqref="B44:B57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{B3E204B9-4301-4C27-AAC9-3ADA4F43C1D1}</x14:id>
        </ext>
      </extLst>
    </cfRule>
  </conditionalFormatting>
  <conditionalFormatting sqref="C44:C57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{D3ECEA93-2F3F-45C6-A008-BE7AAC7D6B9E}</x14:id>
        </ext>
      </extLst>
    </cfRule>
  </conditionalFormatting>
  <conditionalFormatting sqref="D44:D57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{67D49309-E9AE-45AB-9CD9-6253CA2B0E15}</x14:id>
        </ext>
      </extLst>
    </cfRule>
  </conditionalFormatting>
  <conditionalFormatting sqref="E44:E57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{CA15D031-2C5B-46ED-964D-F64F57B67430}</x14:id>
        </ext>
      </extLst>
    </cfRule>
  </conditionalFormatting>
  <conditionalFormatting sqref="F44:F57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{24FDFA8A-24DB-4496-9925-6B420F76D475}</x14:id>
        </ext>
      </extLst>
    </cfRule>
  </conditionalFormatting>
  <conditionalFormatting sqref="B1:B1048576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{4824F314-0A28-4B39-BDFB-7E98F95A99AE}</x14:id>
        </ext>
      </extLst>
    </cfRule>
  </conditionalFormatting>
  <conditionalFormatting sqref="C1:C104857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{F52EBE82-642A-4AAE-BF39-4FDE3855B24B}</x14:id>
        </ext>
      </extLst>
    </cfRule>
  </conditionalFormatting>
  <conditionalFormatting sqref="D1:D104857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{43EDFDC4-3582-42DB-AD62-AC9F6F0940A9}</x14:id>
        </ext>
      </extLst>
    </cfRule>
  </conditionalFormatting>
  <conditionalFormatting sqref="E1:E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{963068E2-9410-4DD7-A0EC-11A77D9EFA27}</x14:id>
        </ext>
      </extLst>
    </cfRule>
  </conditionalFormatting>
  <conditionalFormatting sqref="F1:F104857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{CBBE19C1-64F4-464C-A473-36D78891265F}</x14:id>
        </ext>
      </extLst>
    </cfRule>
  </conditionalFormatting>
  <conditionalFormatting sqref="G1:G104857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{E55DCEE1-88C2-4C58-AC82-00A1B854393E}</x14:id>
        </ext>
      </extLst>
    </cfRule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47EFCF-BE42-489A-BE97-84BEEE2FD86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B2:B15</xm:sqref>
        </x14:conditionalFormatting>
        <x14:conditionalFormatting xmlns:xm="http://schemas.microsoft.com/office/excel/2006/main">
          <x14:cfRule type="dataBar" id="{52991E3C-1AF0-449F-911E-89419E17FF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B2:B57</xm:sqref>
        </x14:conditionalFormatting>
        <x14:conditionalFormatting xmlns:xm="http://schemas.microsoft.com/office/excel/2006/main">
          <x14:cfRule type="dataBar" id="{C1DF6075-D503-4642-985B-F61F96CA2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B16:B29</xm:sqref>
        </x14:conditionalFormatting>
        <x14:conditionalFormatting xmlns:xm="http://schemas.microsoft.com/office/excel/2006/main">
          <x14:cfRule type="dataBar" id="{9EB365CE-CC58-47A2-8414-D5D22931D3A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B30:B43</xm:sqref>
        </x14:conditionalFormatting>
        <x14:conditionalFormatting xmlns:xm="http://schemas.microsoft.com/office/excel/2006/main">
          <x14:cfRule type="dataBar" id="{7E956BBD-54A1-4BB7-8AF3-34D266931CC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C2:C15</xm:sqref>
        </x14:conditionalFormatting>
        <x14:conditionalFormatting xmlns:xm="http://schemas.microsoft.com/office/excel/2006/main">
          <x14:cfRule type="dataBar" id="{9FE1227C-25FD-4DAD-B95D-2EC2DD8045C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C2:C57</xm:sqref>
        </x14:conditionalFormatting>
        <x14:conditionalFormatting xmlns:xm="http://schemas.microsoft.com/office/excel/2006/main">
          <x14:cfRule type="dataBar" id="{387548F3-3A24-4CA0-A896-A4B9A233007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C16:C29</xm:sqref>
        </x14:conditionalFormatting>
        <x14:conditionalFormatting xmlns:xm="http://schemas.microsoft.com/office/excel/2006/main">
          <x14:cfRule type="dataBar" id="{2139AF70-9411-4944-9BDE-55231414E8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C30:C43</xm:sqref>
        </x14:conditionalFormatting>
        <x14:conditionalFormatting xmlns:xm="http://schemas.microsoft.com/office/excel/2006/main">
          <x14:cfRule type="dataBar" id="{4CCC14CF-8DDC-4B88-972A-B2D7AADF9A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D2:D15</xm:sqref>
        </x14:conditionalFormatting>
        <x14:conditionalFormatting xmlns:xm="http://schemas.microsoft.com/office/excel/2006/main">
          <x14:cfRule type="dataBar" id="{E1F8E189-5351-4C20-B169-1CCC6A22F8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D2:D57</xm:sqref>
        </x14:conditionalFormatting>
        <x14:conditionalFormatting xmlns:xm="http://schemas.microsoft.com/office/excel/2006/main">
          <x14:cfRule type="dataBar" id="{001D1234-FAC8-4423-9671-E025443386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D16:D29</xm:sqref>
        </x14:conditionalFormatting>
        <x14:conditionalFormatting xmlns:xm="http://schemas.microsoft.com/office/excel/2006/main">
          <x14:cfRule type="dataBar" id="{D75F3071-8359-4945-BAF0-7437394CE95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D30:D43</xm:sqref>
        </x14:conditionalFormatting>
        <x14:conditionalFormatting xmlns:xm="http://schemas.microsoft.com/office/excel/2006/main">
          <x14:cfRule type="dataBar" id="{4844153C-0A08-476F-9EA9-0E9BD455B5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E2:E15</xm:sqref>
        </x14:conditionalFormatting>
        <x14:conditionalFormatting xmlns:xm="http://schemas.microsoft.com/office/excel/2006/main">
          <x14:cfRule type="dataBar" id="{341097CD-89DC-45D1-99DC-658ADC34D4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E2:E57</xm:sqref>
        </x14:conditionalFormatting>
        <x14:conditionalFormatting xmlns:xm="http://schemas.microsoft.com/office/excel/2006/main">
          <x14:cfRule type="dataBar" id="{AAA2B201-A0C4-4220-8C7B-96C6818F8C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E16:E29</xm:sqref>
        </x14:conditionalFormatting>
        <x14:conditionalFormatting xmlns:xm="http://schemas.microsoft.com/office/excel/2006/main">
          <x14:cfRule type="dataBar" id="{AE8E3013-FF20-4FAA-AF02-6216254B5B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E30:E43</xm:sqref>
        </x14:conditionalFormatting>
        <x14:conditionalFormatting xmlns:xm="http://schemas.microsoft.com/office/excel/2006/main">
          <x14:cfRule type="dataBar" id="{A41FC347-156C-44CC-AEA8-A9F8FA892B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F2:F15</xm:sqref>
        </x14:conditionalFormatting>
        <x14:conditionalFormatting xmlns:xm="http://schemas.microsoft.com/office/excel/2006/main">
          <x14:cfRule type="dataBar" id="{51FEAC1D-5EFA-4DBB-9460-F8F02E81CF3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F2:F57</xm:sqref>
        </x14:conditionalFormatting>
        <x14:conditionalFormatting xmlns:xm="http://schemas.microsoft.com/office/excel/2006/main">
          <x14:cfRule type="dataBar" id="{390EA00A-2EA8-43B5-B52E-ABF53688A9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F16:F29</xm:sqref>
        </x14:conditionalFormatting>
        <x14:conditionalFormatting xmlns:xm="http://schemas.microsoft.com/office/excel/2006/main">
          <x14:cfRule type="dataBar" id="{8BE82503-1187-41D2-99F0-3A486C130E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F30:F43</xm:sqref>
        </x14:conditionalFormatting>
        <x14:conditionalFormatting xmlns:xm="http://schemas.microsoft.com/office/excel/2006/main">
          <x14:cfRule type="dataBar" id="{4F9C44FA-7403-4690-BC8B-D4E75757E3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G2:G57</xm:sqref>
        </x14:conditionalFormatting>
        <x14:conditionalFormatting xmlns:xm="http://schemas.microsoft.com/office/excel/2006/main">
          <x14:cfRule type="dataBar" id="{6D519705-9F0C-450F-B637-394F70D8A7E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G16:G29</xm:sqref>
        </x14:conditionalFormatting>
        <x14:conditionalFormatting xmlns:xm="http://schemas.microsoft.com/office/excel/2006/main">
          <x14:cfRule type="dataBar" id="{58BEA1BE-BF18-45E2-9584-7FFE6EA44C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J2:J15</xm:sqref>
        </x14:conditionalFormatting>
        <x14:conditionalFormatting xmlns:xm="http://schemas.microsoft.com/office/excel/2006/main">
          <x14:cfRule type="dataBar" id="{648A3063-AA98-467D-92F6-880DFBFF73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K2:K15</xm:sqref>
        </x14:conditionalFormatting>
        <x14:conditionalFormatting xmlns:xm="http://schemas.microsoft.com/office/excel/2006/main">
          <x14:cfRule type="dataBar" id="{16AC963F-A950-47A2-BC72-E4FE393D58D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L2:L15</xm:sqref>
        </x14:conditionalFormatting>
        <x14:conditionalFormatting xmlns:xm="http://schemas.microsoft.com/office/excel/2006/main">
          <x14:cfRule type="dataBar" id="{66CFEEBD-24F1-4E1A-8D3B-E6BADEB9D1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M2:M15</xm:sqref>
        </x14:conditionalFormatting>
        <x14:conditionalFormatting xmlns:xm="http://schemas.microsoft.com/office/excel/2006/main">
          <x14:cfRule type="dataBar" id="{A21E50C8-37A5-4978-91F9-7B7F859FA5A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N2:N15</xm:sqref>
        </x14:conditionalFormatting>
        <x14:conditionalFormatting xmlns:xm="http://schemas.microsoft.com/office/excel/2006/main">
          <x14:cfRule type="dataBar" id="{2E29772B-B6E0-4624-9EEA-27AF4259FB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O2:O15</xm:sqref>
        </x14:conditionalFormatting>
        <x14:conditionalFormatting xmlns:xm="http://schemas.microsoft.com/office/excel/2006/main">
          <x14:cfRule type="dataBar" id="{E1AF4A0C-2522-45BD-8203-E3FA635412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R2:R15</xm:sqref>
        </x14:conditionalFormatting>
        <x14:conditionalFormatting xmlns:xm="http://schemas.microsoft.com/office/excel/2006/main">
          <x14:cfRule type="dataBar" id="{0209397A-E0A7-4D56-8B5E-95DE1D662E3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S2:S15</xm:sqref>
        </x14:conditionalFormatting>
        <x14:conditionalFormatting xmlns:xm="http://schemas.microsoft.com/office/excel/2006/main">
          <x14:cfRule type="dataBar" id="{5018B547-20E8-4D24-8FCB-F6DD7BC8F3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T2:T15</xm:sqref>
        </x14:conditionalFormatting>
        <x14:conditionalFormatting xmlns:xm="http://schemas.microsoft.com/office/excel/2006/main">
          <x14:cfRule type="dataBar" id="{A5872970-41B3-41BC-B225-49E2A1254F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U2:U15</xm:sqref>
        </x14:conditionalFormatting>
        <x14:conditionalFormatting xmlns:xm="http://schemas.microsoft.com/office/excel/2006/main">
          <x14:cfRule type="dataBar" id="{045C07F0-0912-4684-BE42-FBB64FE6A6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V2:V15</xm:sqref>
        </x14:conditionalFormatting>
        <x14:conditionalFormatting xmlns:xm="http://schemas.microsoft.com/office/excel/2006/main">
          <x14:cfRule type="dataBar" id="{DE799752-5F11-4820-9B21-3B7CE6C408A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Z2:Z15</xm:sqref>
        </x14:conditionalFormatting>
        <x14:conditionalFormatting xmlns:xm="http://schemas.microsoft.com/office/excel/2006/main">
          <x14:cfRule type="dataBar" id="{A1253147-A10E-4AFD-9561-3D2C12A627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AA2:AA15</xm:sqref>
        </x14:conditionalFormatting>
        <x14:conditionalFormatting xmlns:xm="http://schemas.microsoft.com/office/excel/2006/main">
          <x14:cfRule type="dataBar" id="{6B6BF508-9DB5-4965-A875-03E28E2B37C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AB2:AB15</xm:sqref>
        </x14:conditionalFormatting>
        <x14:conditionalFormatting xmlns:xm="http://schemas.microsoft.com/office/excel/2006/main">
          <x14:cfRule type="dataBar" id="{B379E835-3F85-4A04-8C45-E4D247130CA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AC2:AC15</xm:sqref>
        </x14:conditionalFormatting>
        <x14:conditionalFormatting xmlns:xm="http://schemas.microsoft.com/office/excel/2006/main">
          <x14:cfRule type="dataBar" id="{02771DFE-ABE2-483A-8C69-0469907E1A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AD2:AD15</xm:sqref>
        </x14:conditionalFormatting>
        <x14:conditionalFormatting xmlns:xm="http://schemas.microsoft.com/office/excel/2006/main">
          <x14:cfRule type="dataBar" id="{B6D24349-D3DC-45D7-9C61-E16CCA5BB1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AH2:AH15</xm:sqref>
        </x14:conditionalFormatting>
        <x14:conditionalFormatting xmlns:xm="http://schemas.microsoft.com/office/excel/2006/main">
          <x14:cfRule type="dataBar" id="{6DC67001-6D93-483C-8E30-8AE80CBE512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AI2:AI15</xm:sqref>
        </x14:conditionalFormatting>
        <x14:conditionalFormatting xmlns:xm="http://schemas.microsoft.com/office/excel/2006/main">
          <x14:cfRule type="dataBar" id="{47785947-F58B-4790-9B7B-B57ACF8A05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AJ2:AJ15</xm:sqref>
        </x14:conditionalFormatting>
        <x14:conditionalFormatting xmlns:xm="http://schemas.microsoft.com/office/excel/2006/main">
          <x14:cfRule type="dataBar" id="{01524FB3-562E-49A9-B3A9-875E5BB3462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AK2:AK15</xm:sqref>
        </x14:conditionalFormatting>
        <x14:conditionalFormatting xmlns:xm="http://schemas.microsoft.com/office/excel/2006/main">
          <x14:cfRule type="dataBar" id="{FBB1B95E-8F5D-462A-9626-D620AC52EE6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AL2:AL15</xm:sqref>
        </x14:conditionalFormatting>
        <x14:conditionalFormatting xmlns:xm="http://schemas.microsoft.com/office/excel/2006/main">
          <x14:cfRule type="dataBar" id="{B3E204B9-4301-4C27-AAC9-3ADA4F43C1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B44:B57</xm:sqref>
        </x14:conditionalFormatting>
        <x14:conditionalFormatting xmlns:xm="http://schemas.microsoft.com/office/excel/2006/main">
          <x14:cfRule type="dataBar" id="{D3ECEA93-2F3F-45C6-A008-BE7AAC7D6B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C44:C57</xm:sqref>
        </x14:conditionalFormatting>
        <x14:conditionalFormatting xmlns:xm="http://schemas.microsoft.com/office/excel/2006/main">
          <x14:cfRule type="dataBar" id="{67D49309-E9AE-45AB-9CD9-6253CA2B0E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D44:D57</xm:sqref>
        </x14:conditionalFormatting>
        <x14:conditionalFormatting xmlns:xm="http://schemas.microsoft.com/office/excel/2006/main">
          <x14:cfRule type="dataBar" id="{CA15D031-2C5B-46ED-964D-F64F57B674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E44:E57</xm:sqref>
        </x14:conditionalFormatting>
        <x14:conditionalFormatting xmlns:xm="http://schemas.microsoft.com/office/excel/2006/main">
          <x14:cfRule type="dataBar" id="{24FDFA8A-24DB-4496-9925-6B420F76D47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F44:F57</xm:sqref>
        </x14:conditionalFormatting>
        <x14:conditionalFormatting xmlns:xm="http://schemas.microsoft.com/office/excel/2006/main">
          <x14:cfRule type="dataBar" id="{4824F314-0A28-4B39-BDFB-7E98F95A99A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B1:B1048576</xm:sqref>
        </x14:conditionalFormatting>
        <x14:conditionalFormatting xmlns:xm="http://schemas.microsoft.com/office/excel/2006/main">
          <x14:cfRule type="dataBar" id="{F52EBE82-642A-4AAE-BF39-4FDE3855B24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43EDFDC4-3582-42DB-AD62-AC9F6F0940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963068E2-9410-4DD7-A0EC-11A77D9EFA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CBBE19C1-64F4-464C-A473-36D7889126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E55DCEE1-88C2-4C58-AC82-00A1B85439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8ADC-36D7-40A9-9E1D-B03C0E802D53}">
  <dimension ref="A1:AZ18"/>
  <sheetViews>
    <sheetView zoomScale="85" zoomScaleNormal="85" workbookViewId="0">
      <pane xSplit="4" ySplit="4" topLeftCell="E5" activePane="bottomRight" state="frozen"/>
      <selection pane="topRight" activeCell="D1" sqref="D1"/>
      <selection pane="bottomLeft" activeCell="A2" sqref="A2"/>
      <selection pane="bottomRight" activeCell="C17" sqref="C17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7" hidden="1" customWidth="1" outlineLevel="1"/>
    <col min="16" max="18" width="10.109375" style="28" hidden="1" customWidth="1" outlineLevel="1"/>
    <col min="19" max="19" width="6.5546875" style="98" bestFit="1" customWidth="1" collapsed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15"/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6"/>
      <c r="Q1" s="115"/>
      <c r="R1" s="115"/>
      <c r="S1" s="117" t="s">
        <v>65</v>
      </c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8"/>
    </row>
    <row r="2" spans="1:52" s="34" customFormat="1" ht="30.6" customHeight="1" x14ac:dyDescent="0.3">
      <c r="B2" s="119" t="s">
        <v>37</v>
      </c>
      <c r="C2" s="119"/>
      <c r="D2" s="119"/>
      <c r="E2" s="120" t="s">
        <v>30</v>
      </c>
      <c r="F2" s="120"/>
      <c r="G2" s="121" t="s">
        <v>31</v>
      </c>
      <c r="H2" s="122"/>
      <c r="I2" s="121" t="s">
        <v>59</v>
      </c>
      <c r="J2" s="123"/>
      <c r="K2" s="122"/>
      <c r="L2" s="123"/>
      <c r="M2" s="124" t="s">
        <v>100</v>
      </c>
      <c r="N2" s="125"/>
      <c r="O2" s="126"/>
      <c r="P2" s="125" t="s">
        <v>101</v>
      </c>
      <c r="Q2" s="125"/>
      <c r="R2" s="126"/>
      <c r="S2" s="127" t="s">
        <v>98</v>
      </c>
      <c r="T2" s="128"/>
      <c r="U2" s="128"/>
      <c r="V2" s="129"/>
      <c r="W2" s="130" t="s">
        <v>102</v>
      </c>
      <c r="X2" s="131"/>
      <c r="Y2" s="131"/>
      <c r="Z2" s="131"/>
      <c r="AA2" s="132"/>
      <c r="AB2" s="133" t="s">
        <v>103</v>
      </c>
      <c r="AC2" s="134"/>
      <c r="AD2" s="134"/>
      <c r="AE2" s="134"/>
      <c r="AF2" s="135"/>
      <c r="AG2" s="136" t="s">
        <v>104</v>
      </c>
      <c r="AH2" s="137"/>
      <c r="AI2" s="137"/>
      <c r="AJ2" s="137"/>
      <c r="AK2" s="138"/>
      <c r="AL2" s="139" t="s">
        <v>107</v>
      </c>
      <c r="AM2" s="140"/>
      <c r="AN2" s="140"/>
      <c r="AO2" s="140"/>
      <c r="AP2" s="141"/>
      <c r="AQ2" s="142" t="s">
        <v>108</v>
      </c>
      <c r="AR2" s="143"/>
      <c r="AS2" s="143"/>
      <c r="AT2" s="143"/>
      <c r="AU2" s="144"/>
      <c r="AV2" s="145" t="s">
        <v>109</v>
      </c>
      <c r="AW2" s="145"/>
      <c r="AX2" s="145"/>
      <c r="AY2" s="145"/>
      <c r="AZ2" s="146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14" t="s">
        <v>97</v>
      </c>
      <c r="T3" s="112"/>
      <c r="U3" s="110" t="s">
        <v>99</v>
      </c>
      <c r="V3" s="113"/>
      <c r="W3" s="96"/>
      <c r="X3" s="112" t="s">
        <v>97</v>
      </c>
      <c r="Y3" s="112"/>
      <c r="Z3" s="110" t="s">
        <v>99</v>
      </c>
      <c r="AA3" s="111"/>
      <c r="AB3" s="90"/>
      <c r="AC3" s="112" t="s">
        <v>97</v>
      </c>
      <c r="AD3" s="112"/>
      <c r="AE3" s="110" t="s">
        <v>99</v>
      </c>
      <c r="AF3" s="111"/>
      <c r="AG3" s="90"/>
      <c r="AH3" s="112" t="s">
        <v>97</v>
      </c>
      <c r="AI3" s="112"/>
      <c r="AJ3" s="110" t="s">
        <v>99</v>
      </c>
      <c r="AK3" s="113"/>
      <c r="AL3" s="92"/>
      <c r="AM3" s="112" t="s">
        <v>97</v>
      </c>
      <c r="AN3" s="112"/>
      <c r="AO3" s="110" t="s">
        <v>99</v>
      </c>
      <c r="AP3" s="110"/>
      <c r="AQ3" s="90"/>
      <c r="AR3" s="112" t="s">
        <v>97</v>
      </c>
      <c r="AS3" s="112"/>
      <c r="AT3" s="110" t="s">
        <v>99</v>
      </c>
      <c r="AU3" s="111"/>
      <c r="AV3" s="96"/>
      <c r="AW3" s="112" t="s">
        <v>97</v>
      </c>
      <c r="AX3" s="112"/>
      <c r="AY3" s="110" t="s">
        <v>99</v>
      </c>
      <c r="AZ3" s="113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9</v>
      </c>
      <c r="B5" s="25" t="s">
        <v>226</v>
      </c>
      <c r="C5" s="25" t="s">
        <v>227</v>
      </c>
      <c r="D5" s="24">
        <v>14.47999954223633</v>
      </c>
      <c r="E5" s="2">
        <v>-0.37505397088663228</v>
      </c>
      <c r="F5" s="2">
        <v>-0.4617100465584516</v>
      </c>
      <c r="G5" s="15">
        <v>-0.58977898860464539</v>
      </c>
      <c r="H5" s="16">
        <v>-0.90676795120717524</v>
      </c>
      <c r="I5" s="17">
        <v>0.29903315335583991</v>
      </c>
      <c r="J5" s="18">
        <v>49</v>
      </c>
      <c r="K5" s="19">
        <v>-0.93191298232014219</v>
      </c>
      <c r="L5" s="18">
        <v>136</v>
      </c>
      <c r="M5" s="26">
        <v>1</v>
      </c>
      <c r="N5" s="28">
        <v>1</v>
      </c>
      <c r="P5" s="28">
        <v>55</v>
      </c>
      <c r="Q5" s="28">
        <v>56</v>
      </c>
      <c r="R5" s="28">
        <v>69</v>
      </c>
      <c r="S5" s="98">
        <v>0.1815326241079516</v>
      </c>
      <c r="T5" s="6">
        <v>49</v>
      </c>
      <c r="U5" s="41">
        <v>0.1815326241079516</v>
      </c>
      <c r="V5" s="94">
        <v>49</v>
      </c>
      <c r="W5" s="97">
        <v>55</v>
      </c>
      <c r="X5" s="41">
        <v>-0.62374362531556382</v>
      </c>
      <c r="Y5" s="6">
        <v>999</v>
      </c>
      <c r="Z5" s="41">
        <v>-0.62374362531556382</v>
      </c>
      <c r="AA5" s="84">
        <v>999</v>
      </c>
      <c r="AB5" s="91">
        <v>56</v>
      </c>
      <c r="AC5" s="41">
        <v>-0.60009590007077163</v>
      </c>
      <c r="AD5" s="6">
        <v>999</v>
      </c>
      <c r="AE5" s="41">
        <v>-0.60009590007077163</v>
      </c>
      <c r="AF5" s="84">
        <v>999</v>
      </c>
      <c r="AG5" s="91">
        <v>69</v>
      </c>
      <c r="AH5" s="41">
        <v>-0.50977691577312423</v>
      </c>
      <c r="AI5" s="6">
        <v>999</v>
      </c>
      <c r="AJ5" s="41">
        <v>-0.50977691577312423</v>
      </c>
      <c r="AK5" s="84">
        <v>999</v>
      </c>
      <c r="AL5" s="93">
        <v>7</v>
      </c>
      <c r="AM5" s="41">
        <v>0.1815326241079516</v>
      </c>
      <c r="AN5" s="6">
        <v>49</v>
      </c>
      <c r="AO5" s="41">
        <v>0.1815326241079516</v>
      </c>
      <c r="AP5" s="84">
        <v>49</v>
      </c>
      <c r="AQ5" s="91">
        <v>7</v>
      </c>
      <c r="AR5" s="41">
        <v>0.1815326241079516</v>
      </c>
      <c r="AS5" s="6">
        <v>49</v>
      </c>
      <c r="AT5" s="41">
        <v>0.1815326241079516</v>
      </c>
      <c r="AU5" s="89">
        <v>49</v>
      </c>
      <c r="AV5" s="97">
        <v>69</v>
      </c>
      <c r="AW5" s="41">
        <v>-0.50977691577312423</v>
      </c>
      <c r="AX5" s="6">
        <v>999</v>
      </c>
      <c r="AY5" s="41">
        <v>-0.50977691577312423</v>
      </c>
      <c r="AZ5" s="94">
        <v>999</v>
      </c>
    </row>
    <row r="6" spans="1:52" x14ac:dyDescent="0.3">
      <c r="A6" t="s">
        <v>16</v>
      </c>
      <c r="B6" s="25" t="s">
        <v>230</v>
      </c>
      <c r="C6" s="25" t="s">
        <v>231</v>
      </c>
      <c r="D6" s="24">
        <v>5.4499998092651367</v>
      </c>
      <c r="E6" s="2">
        <v>0.90559440880068021</v>
      </c>
      <c r="F6" s="2">
        <v>1.113171507714017E-2</v>
      </c>
      <c r="G6" s="15">
        <v>-0.36055045558511067</v>
      </c>
      <c r="H6" s="16">
        <v>-0.46788987213589273</v>
      </c>
      <c r="I6" s="17">
        <v>0</v>
      </c>
      <c r="J6" s="18">
        <v>0</v>
      </c>
      <c r="K6" s="19">
        <v>-0.46972473283556782</v>
      </c>
      <c r="L6" s="18">
        <v>130</v>
      </c>
      <c r="P6" s="28">
        <v>2</v>
      </c>
      <c r="Q6" s="28">
        <v>3</v>
      </c>
      <c r="R6" s="28">
        <v>25</v>
      </c>
      <c r="S6" s="98">
        <v>-0.21654503065505951</v>
      </c>
      <c r="T6" s="6">
        <v>66</v>
      </c>
      <c r="U6" s="41">
        <v>-0.14912816527402251</v>
      </c>
      <c r="V6" s="94">
        <v>999</v>
      </c>
      <c r="W6" s="97">
        <v>7</v>
      </c>
      <c r="X6" s="41">
        <v>-0.14912816527402251</v>
      </c>
      <c r="Y6" s="6">
        <v>999</v>
      </c>
      <c r="Z6" s="41">
        <v>-0.14912816527402251</v>
      </c>
      <c r="AA6" s="84">
        <v>999</v>
      </c>
      <c r="AB6" s="91">
        <v>7</v>
      </c>
      <c r="AC6" s="41">
        <v>-0.14912816527402251</v>
      </c>
      <c r="AD6" s="6">
        <v>999</v>
      </c>
      <c r="AE6" s="41">
        <v>-0.14912816527402251</v>
      </c>
      <c r="AF6" s="84">
        <v>999</v>
      </c>
      <c r="AG6" s="91">
        <v>25</v>
      </c>
      <c r="AH6" s="41">
        <v>-9.4069715704930834E-2</v>
      </c>
      <c r="AI6" s="6">
        <v>999</v>
      </c>
      <c r="AJ6" s="41">
        <v>-9.4069715704930834E-2</v>
      </c>
      <c r="AK6" s="84">
        <v>999</v>
      </c>
      <c r="AL6" s="93">
        <v>7</v>
      </c>
      <c r="AM6" s="41">
        <v>-0.14912816527402251</v>
      </c>
      <c r="AN6" s="6">
        <v>999</v>
      </c>
      <c r="AO6" s="41">
        <v>-0.14912816527402251</v>
      </c>
      <c r="AP6" s="84">
        <v>999</v>
      </c>
      <c r="AQ6" s="91">
        <v>7</v>
      </c>
      <c r="AR6" s="41">
        <v>-0.14912816527402251</v>
      </c>
      <c r="AS6" s="6">
        <v>999</v>
      </c>
      <c r="AT6" s="41">
        <v>-0.14912816527402251</v>
      </c>
      <c r="AU6" s="89">
        <v>999</v>
      </c>
      <c r="AV6" s="97">
        <v>25</v>
      </c>
      <c r="AW6" s="41">
        <v>-9.4069715704930834E-2</v>
      </c>
      <c r="AX6" s="6">
        <v>999</v>
      </c>
      <c r="AY6" s="41">
        <v>-9.4069715704930834E-2</v>
      </c>
      <c r="AZ6" s="94">
        <v>999</v>
      </c>
    </row>
    <row r="7" spans="1:52" x14ac:dyDescent="0.3">
      <c r="A7" t="s">
        <v>17</v>
      </c>
      <c r="B7" s="25" t="s">
        <v>234</v>
      </c>
      <c r="C7" s="25" t="s">
        <v>232</v>
      </c>
      <c r="D7" s="24">
        <v>11.304999828338619</v>
      </c>
      <c r="E7" s="2">
        <v>4.5790877845264477E-2</v>
      </c>
      <c r="F7" s="2">
        <v>3.1478082937122398E-2</v>
      </c>
      <c r="G7" s="15">
        <v>-0.23839011168365801</v>
      </c>
      <c r="I7" s="17">
        <v>5.6169815275264323E-2</v>
      </c>
      <c r="J7" s="18">
        <v>6</v>
      </c>
      <c r="K7" s="19">
        <v>-0.27023439847213032</v>
      </c>
      <c r="L7" s="18">
        <v>56</v>
      </c>
      <c r="P7" s="28">
        <v>14</v>
      </c>
      <c r="Q7" s="28">
        <v>47</v>
      </c>
      <c r="S7" s="98">
        <v>-0.27931039812448472</v>
      </c>
      <c r="T7" s="6">
        <v>47</v>
      </c>
      <c r="U7" s="41">
        <v>-0.15599703168521359</v>
      </c>
      <c r="V7" s="94">
        <v>999</v>
      </c>
      <c r="W7" s="97">
        <v>14</v>
      </c>
      <c r="X7" s="41">
        <v>-4.6543745635079292E-2</v>
      </c>
      <c r="Y7" s="6">
        <v>999</v>
      </c>
      <c r="Z7" s="41">
        <v>-4.6543745635079292E-2</v>
      </c>
      <c r="AA7" s="84">
        <v>999</v>
      </c>
      <c r="AB7" s="91">
        <v>47</v>
      </c>
      <c r="AC7" s="41">
        <v>1.394163417749549E-2</v>
      </c>
      <c r="AD7" s="6">
        <v>999</v>
      </c>
      <c r="AE7" s="41">
        <v>1.394163417749549E-2</v>
      </c>
      <c r="AF7" s="84">
        <v>999</v>
      </c>
      <c r="AG7" s="91"/>
      <c r="AL7" s="93">
        <v>14</v>
      </c>
      <c r="AM7" s="41">
        <v>-4.6543745635079292E-2</v>
      </c>
      <c r="AN7" s="6">
        <v>999</v>
      </c>
      <c r="AO7" s="41">
        <v>-4.6543745635079292E-2</v>
      </c>
      <c r="AP7" s="84">
        <v>999</v>
      </c>
      <c r="AQ7" s="91">
        <v>47</v>
      </c>
      <c r="AR7" s="41">
        <v>1.394163417749549E-2</v>
      </c>
      <c r="AS7" s="6">
        <v>999</v>
      </c>
      <c r="AT7" s="41">
        <v>1.394163417749549E-2</v>
      </c>
      <c r="AU7" s="89">
        <v>999</v>
      </c>
      <c r="AV7" s="97"/>
    </row>
    <row r="8" spans="1:52" x14ac:dyDescent="0.3">
      <c r="A8" t="s">
        <v>26</v>
      </c>
      <c r="B8" s="25" t="s">
        <v>231</v>
      </c>
      <c r="C8" s="25" t="s">
        <v>226</v>
      </c>
      <c r="D8" s="24">
        <v>5.0450000762939453</v>
      </c>
      <c r="E8" s="2">
        <v>-0.55248737357608813</v>
      </c>
      <c r="F8" s="2">
        <v>-0.37716051374079801</v>
      </c>
      <c r="G8" s="15">
        <v>-7.0366702419213722E-2</v>
      </c>
      <c r="H8" s="16">
        <v>-0.21506442452702851</v>
      </c>
      <c r="I8" s="17">
        <v>0.20118926682578239</v>
      </c>
      <c r="J8" s="18">
        <v>28</v>
      </c>
      <c r="K8" s="19">
        <v>-0.38156593887486467</v>
      </c>
      <c r="L8" s="18">
        <v>131</v>
      </c>
      <c r="M8" s="26">
        <v>19</v>
      </c>
      <c r="N8" s="28">
        <v>28</v>
      </c>
      <c r="P8" s="28">
        <v>3</v>
      </c>
      <c r="Q8" s="28">
        <v>14</v>
      </c>
      <c r="R8" s="28">
        <v>105</v>
      </c>
      <c r="S8" s="98">
        <v>0.5</v>
      </c>
      <c r="T8" s="6">
        <v>28</v>
      </c>
      <c r="U8" s="41">
        <v>0.5</v>
      </c>
      <c r="V8" s="94">
        <v>28</v>
      </c>
      <c r="W8" s="97">
        <v>7</v>
      </c>
      <c r="X8" s="41">
        <v>9.9559964853455321E-2</v>
      </c>
      <c r="Y8" s="6">
        <v>999</v>
      </c>
      <c r="Z8" s="41">
        <v>9.9559964853455321E-2</v>
      </c>
      <c r="AA8" s="84">
        <v>999</v>
      </c>
      <c r="AB8" s="91">
        <v>14</v>
      </c>
      <c r="AC8" s="41">
        <v>0.1076914739622178</v>
      </c>
      <c r="AD8" s="6">
        <v>999</v>
      </c>
      <c r="AE8" s="41">
        <v>0.1076914739622178</v>
      </c>
      <c r="AF8" s="84">
        <v>999</v>
      </c>
      <c r="AG8" s="91">
        <v>105</v>
      </c>
      <c r="AH8" s="41">
        <v>0.42979935744485243</v>
      </c>
      <c r="AI8" s="6">
        <v>145</v>
      </c>
      <c r="AJ8" s="41">
        <v>0.42979935744485243</v>
      </c>
      <c r="AK8" s="84">
        <v>145</v>
      </c>
      <c r="AL8" s="93">
        <v>7</v>
      </c>
      <c r="AM8" s="41">
        <v>9.9559964853455321E-2</v>
      </c>
      <c r="AN8" s="6">
        <v>999</v>
      </c>
      <c r="AO8" s="41">
        <v>9.9559964853455321E-2</v>
      </c>
      <c r="AP8" s="84">
        <v>999</v>
      </c>
      <c r="AQ8" s="91">
        <v>14</v>
      </c>
      <c r="AR8" s="41">
        <v>0.1076914739622178</v>
      </c>
      <c r="AS8" s="6">
        <v>999</v>
      </c>
      <c r="AT8" s="41">
        <v>0.1076914739622178</v>
      </c>
      <c r="AU8" s="89">
        <v>999</v>
      </c>
      <c r="AV8" s="97">
        <v>105</v>
      </c>
      <c r="AW8" s="41">
        <v>0.42979935744485243</v>
      </c>
      <c r="AX8" s="6">
        <v>145</v>
      </c>
      <c r="AY8" s="41">
        <v>0.42979935744485243</v>
      </c>
      <c r="AZ8" s="94">
        <v>145</v>
      </c>
    </row>
    <row r="9" spans="1:52" x14ac:dyDescent="0.3">
      <c r="A9" t="s">
        <v>21</v>
      </c>
      <c r="B9" s="25" t="s">
        <v>236</v>
      </c>
      <c r="C9" s="25" t="s">
        <v>237</v>
      </c>
      <c r="D9" s="24">
        <v>16.454999923706051</v>
      </c>
      <c r="E9" s="2">
        <v>-0.26441666042110201</v>
      </c>
      <c r="F9" s="2">
        <v>-8.1374459095937546E-3</v>
      </c>
      <c r="G9" s="15">
        <v>-0.16134911852209999</v>
      </c>
      <c r="I9" s="17">
        <v>8.3561227977831276E-2</v>
      </c>
      <c r="J9" s="18">
        <v>15</v>
      </c>
      <c r="K9" s="19">
        <v>-0.26709204038084838</v>
      </c>
      <c r="L9" s="18">
        <v>44</v>
      </c>
      <c r="P9" s="28">
        <v>24</v>
      </c>
      <c r="Q9" s="28">
        <v>26</v>
      </c>
      <c r="S9" s="98">
        <v>-0.220072617624823</v>
      </c>
      <c r="T9" s="6">
        <v>26</v>
      </c>
      <c r="U9" s="41">
        <v>-8.395401004320216E-2</v>
      </c>
      <c r="V9" s="94">
        <v>999</v>
      </c>
      <c r="W9" s="97">
        <v>24</v>
      </c>
      <c r="X9" s="41">
        <v>0.26613481745988898</v>
      </c>
      <c r="Y9" s="6">
        <v>123</v>
      </c>
      <c r="Z9" s="41">
        <v>0.26613481745988898</v>
      </c>
      <c r="AA9" s="84">
        <v>123</v>
      </c>
      <c r="AB9" s="91">
        <v>26</v>
      </c>
      <c r="AC9" s="41">
        <v>0.35348834114631722</v>
      </c>
      <c r="AD9" s="6">
        <v>123</v>
      </c>
      <c r="AE9" s="41">
        <v>0.35348834114631722</v>
      </c>
      <c r="AF9" s="84">
        <v>123</v>
      </c>
      <c r="AG9" s="91"/>
      <c r="AL9" s="93">
        <v>24</v>
      </c>
      <c r="AM9" s="41">
        <v>0.26613481745988898</v>
      </c>
      <c r="AN9" s="6">
        <v>123</v>
      </c>
      <c r="AO9" s="41">
        <v>0.26613481745988898</v>
      </c>
      <c r="AP9" s="84">
        <v>123</v>
      </c>
      <c r="AQ9" s="91">
        <v>26</v>
      </c>
      <c r="AR9" s="41">
        <v>0.35348834114631722</v>
      </c>
      <c r="AS9" s="6">
        <v>123</v>
      </c>
      <c r="AT9" s="41">
        <v>0.35348834114631722</v>
      </c>
      <c r="AU9" s="89">
        <v>123</v>
      </c>
      <c r="AV9" s="97"/>
    </row>
    <row r="10" spans="1:52" x14ac:dyDescent="0.3">
      <c r="A10" t="s">
        <v>15</v>
      </c>
      <c r="B10" s="25" t="s">
        <v>228</v>
      </c>
      <c r="C10" s="25" t="s">
        <v>229</v>
      </c>
      <c r="D10" s="24">
        <v>3.1800000667572021</v>
      </c>
      <c r="E10" s="7">
        <v>-0.41030216765528182</v>
      </c>
      <c r="F10" s="7">
        <v>-0.45360825206824018</v>
      </c>
      <c r="G10" s="13">
        <v>0.1069182097584125</v>
      </c>
      <c r="H10" s="14">
        <v>-1.886798111275045E-2</v>
      </c>
      <c r="I10" s="20">
        <v>0.29874214708821573</v>
      </c>
      <c r="J10" s="21">
        <v>12</v>
      </c>
      <c r="K10" s="22">
        <v>-0.28616354299597813</v>
      </c>
      <c r="L10" s="21">
        <v>90</v>
      </c>
      <c r="M10" s="27">
        <v>10</v>
      </c>
      <c r="N10" s="29">
        <v>12</v>
      </c>
      <c r="O10" s="88"/>
      <c r="P10" s="29">
        <v>61</v>
      </c>
      <c r="Q10" s="29">
        <v>89</v>
      </c>
      <c r="R10" s="29"/>
      <c r="S10" s="98">
        <v>-0.20809249152373729</v>
      </c>
      <c r="T10" s="6">
        <v>64</v>
      </c>
      <c r="U10" s="41">
        <v>-0.34393064858397282</v>
      </c>
      <c r="V10" s="94">
        <v>90</v>
      </c>
      <c r="W10" s="97">
        <v>61</v>
      </c>
      <c r="X10" s="41">
        <v>-1.118989445637616E-2</v>
      </c>
      <c r="Y10" s="6">
        <v>999</v>
      </c>
      <c r="Z10" s="41">
        <v>-1.118989445637616E-2</v>
      </c>
      <c r="AA10" s="84">
        <v>999</v>
      </c>
      <c r="AB10" s="91">
        <v>89</v>
      </c>
      <c r="AC10" s="41">
        <v>0.37860074592635362</v>
      </c>
      <c r="AD10" s="6">
        <v>131</v>
      </c>
      <c r="AE10" s="41">
        <v>0.37860074592635362</v>
      </c>
      <c r="AF10" s="84">
        <v>131</v>
      </c>
      <c r="AG10" s="91"/>
      <c r="AL10" s="93">
        <v>10</v>
      </c>
      <c r="AM10" s="41">
        <v>-0.15952591575142361</v>
      </c>
      <c r="AN10" s="6">
        <v>999</v>
      </c>
      <c r="AO10" s="41">
        <v>-0.15952591575142361</v>
      </c>
      <c r="AP10" s="84">
        <v>999</v>
      </c>
      <c r="AQ10" s="91">
        <v>12</v>
      </c>
      <c r="AR10" s="41">
        <v>-0.25951541285387653</v>
      </c>
      <c r="AS10" s="6">
        <v>999</v>
      </c>
      <c r="AT10" s="41">
        <v>-0.25951541285387653</v>
      </c>
      <c r="AU10" s="89">
        <v>999</v>
      </c>
      <c r="AV10" s="97"/>
    </row>
    <row r="11" spans="1:52" x14ac:dyDescent="0.3">
      <c r="A11" t="s">
        <v>20</v>
      </c>
      <c r="B11" s="25" t="s">
        <v>230</v>
      </c>
      <c r="C11" s="25" t="s">
        <v>231</v>
      </c>
      <c r="D11" s="24">
        <v>11.19884777069092</v>
      </c>
      <c r="E11" s="2">
        <v>-0.41970785064781291</v>
      </c>
      <c r="F11" s="2">
        <v>0.23202215592176459</v>
      </c>
      <c r="G11" s="15">
        <v>-0.20788432579742411</v>
      </c>
      <c r="H11" s="16">
        <v>-0.47357709713056723</v>
      </c>
      <c r="I11" s="17">
        <v>0.1941357812584221</v>
      </c>
      <c r="J11" s="18">
        <v>88</v>
      </c>
      <c r="K11" s="19">
        <v>-0.47357709713056723</v>
      </c>
      <c r="L11" s="18">
        <v>150</v>
      </c>
      <c r="M11" s="26">
        <v>88</v>
      </c>
      <c r="P11" s="28">
        <v>2</v>
      </c>
      <c r="Q11" s="28">
        <v>59</v>
      </c>
      <c r="R11" s="28">
        <v>148</v>
      </c>
      <c r="S11" s="98">
        <v>0.42552966539995102</v>
      </c>
      <c r="T11" s="6">
        <v>88</v>
      </c>
      <c r="U11" s="41">
        <v>0.42552966539995102</v>
      </c>
      <c r="V11" s="94">
        <v>88</v>
      </c>
      <c r="W11" s="97">
        <v>7</v>
      </c>
      <c r="X11" s="41">
        <v>0.42552966539995102</v>
      </c>
      <c r="Y11" s="6">
        <v>88</v>
      </c>
      <c r="Z11" s="41">
        <v>0.42552966539995102</v>
      </c>
      <c r="AA11" s="84">
        <v>88</v>
      </c>
      <c r="AB11" s="91">
        <v>59</v>
      </c>
      <c r="AC11" s="41">
        <v>0.52391315404417749</v>
      </c>
      <c r="AD11" s="6">
        <v>88</v>
      </c>
      <c r="AE11" s="41">
        <v>0.52391315404417749</v>
      </c>
      <c r="AF11" s="84">
        <v>88</v>
      </c>
      <c r="AG11" s="91">
        <v>148</v>
      </c>
      <c r="AH11" s="41">
        <v>-6.2082090486231263E-2</v>
      </c>
      <c r="AI11" s="6">
        <v>999</v>
      </c>
      <c r="AJ11" s="41">
        <v>-6.2082090486231263E-2</v>
      </c>
      <c r="AK11" s="84">
        <v>999</v>
      </c>
      <c r="AL11" s="93">
        <v>7</v>
      </c>
      <c r="AM11" s="41">
        <v>0.42552966539995102</v>
      </c>
      <c r="AN11" s="6">
        <v>88</v>
      </c>
      <c r="AO11" s="41">
        <v>0.42552966539995102</v>
      </c>
      <c r="AP11" s="84">
        <v>88</v>
      </c>
      <c r="AQ11" s="91">
        <v>59</v>
      </c>
      <c r="AR11" s="41">
        <v>0.52391315404417749</v>
      </c>
      <c r="AS11" s="6">
        <v>88</v>
      </c>
      <c r="AT11" s="41">
        <v>0.52391315404417749</v>
      </c>
      <c r="AU11" s="89">
        <v>88</v>
      </c>
      <c r="AV11" s="97">
        <v>148</v>
      </c>
      <c r="AW11" s="41">
        <v>-6.2082090486231263E-2</v>
      </c>
      <c r="AX11" s="6">
        <v>999</v>
      </c>
      <c r="AY11" s="41">
        <v>-6.2082090486231263E-2</v>
      </c>
      <c r="AZ11" s="94">
        <v>999</v>
      </c>
    </row>
    <row r="12" spans="1:52" x14ac:dyDescent="0.3">
      <c r="A12" t="s">
        <v>23</v>
      </c>
      <c r="B12" s="25" t="s">
        <v>238</v>
      </c>
      <c r="C12" s="25" t="s">
        <v>236</v>
      </c>
      <c r="D12" s="24">
        <v>65.209999084472656</v>
      </c>
      <c r="E12" s="2">
        <v>1.200067490799166</v>
      </c>
      <c r="F12" s="2">
        <v>3.7054675203224592E-2</v>
      </c>
      <c r="G12" s="15">
        <v>-0.40944642137400472</v>
      </c>
      <c r="H12" s="16">
        <v>-5.566626751084125E-2</v>
      </c>
      <c r="I12" s="17">
        <v>1.9168839404226201E-2</v>
      </c>
      <c r="J12" s="18">
        <v>2</v>
      </c>
      <c r="K12" s="19">
        <v>-0.62674435678095941</v>
      </c>
      <c r="L12" s="18">
        <v>53</v>
      </c>
      <c r="P12" s="28">
        <v>4</v>
      </c>
      <c r="Q12" s="28">
        <v>5</v>
      </c>
      <c r="R12" s="28">
        <v>5</v>
      </c>
      <c r="S12" s="98">
        <v>-0.23574354535555159</v>
      </c>
      <c r="T12" s="6">
        <v>43</v>
      </c>
      <c r="U12" s="41">
        <v>-0.33587996891620348</v>
      </c>
      <c r="V12" s="94">
        <v>53</v>
      </c>
      <c r="W12" s="97">
        <v>7</v>
      </c>
      <c r="X12" s="41">
        <v>0.68021826104352168</v>
      </c>
      <c r="Y12" s="6">
        <v>150</v>
      </c>
      <c r="Z12" s="41">
        <v>0.68021826104352168</v>
      </c>
      <c r="AA12" s="84">
        <v>150</v>
      </c>
      <c r="AB12" s="91">
        <v>7</v>
      </c>
      <c r="AC12" s="41">
        <v>0.68021826104352168</v>
      </c>
      <c r="AD12" s="6">
        <v>150</v>
      </c>
      <c r="AE12" s="41">
        <v>0.68021826104352168</v>
      </c>
      <c r="AF12" s="84">
        <v>150</v>
      </c>
      <c r="AG12" s="91">
        <v>7</v>
      </c>
      <c r="AH12" s="41">
        <v>0.68021826104352168</v>
      </c>
      <c r="AI12" s="6">
        <v>150</v>
      </c>
      <c r="AJ12" s="41">
        <v>0.68021826104352168</v>
      </c>
      <c r="AK12" s="84">
        <v>150</v>
      </c>
      <c r="AL12" s="93">
        <v>7</v>
      </c>
      <c r="AM12" s="41">
        <v>0.68021826104352168</v>
      </c>
      <c r="AN12" s="6">
        <v>150</v>
      </c>
      <c r="AO12" s="41">
        <v>0.68021826104352168</v>
      </c>
      <c r="AP12" s="84">
        <v>150</v>
      </c>
      <c r="AQ12" s="91">
        <v>7</v>
      </c>
      <c r="AR12" s="41">
        <v>0.68021826104352168</v>
      </c>
      <c r="AS12" s="6">
        <v>150</v>
      </c>
      <c r="AT12" s="41">
        <v>0.68021826104352168</v>
      </c>
      <c r="AU12" s="89">
        <v>150</v>
      </c>
      <c r="AV12" s="97">
        <v>7</v>
      </c>
      <c r="AW12" s="41">
        <v>0.68021826104352168</v>
      </c>
      <c r="AX12" s="6">
        <v>150</v>
      </c>
      <c r="AY12" s="41">
        <v>0.68021826104352168</v>
      </c>
      <c r="AZ12" s="94">
        <v>150</v>
      </c>
    </row>
    <row r="13" spans="1:52" x14ac:dyDescent="0.3">
      <c r="A13" t="s">
        <v>14</v>
      </c>
      <c r="B13" s="25" t="s">
        <v>226</v>
      </c>
      <c r="C13" s="25" t="s">
        <v>227</v>
      </c>
      <c r="D13" s="24">
        <v>2.809999942779541</v>
      </c>
      <c r="E13" s="2">
        <v>0.37073171128835242</v>
      </c>
      <c r="F13" s="2">
        <v>-0.24258762428933919</v>
      </c>
      <c r="G13" s="15">
        <v>-0.23131667978110301</v>
      </c>
      <c r="H13" s="16">
        <v>0.46975096033478381</v>
      </c>
      <c r="I13" s="17">
        <v>1.320284737969492</v>
      </c>
      <c r="J13" s="18">
        <v>92</v>
      </c>
      <c r="K13" s="19">
        <v>-0.56939499544968353</v>
      </c>
      <c r="L13" s="18">
        <v>35</v>
      </c>
      <c r="M13" s="26">
        <v>6</v>
      </c>
      <c r="N13" s="28">
        <v>8</v>
      </c>
      <c r="O13" s="87">
        <v>20</v>
      </c>
      <c r="P13" s="28">
        <v>27</v>
      </c>
      <c r="Q13" s="28">
        <v>27</v>
      </c>
      <c r="R13" s="28">
        <v>27</v>
      </c>
      <c r="S13" s="98">
        <v>-0.3952702909512098</v>
      </c>
      <c r="T13" s="6">
        <v>27</v>
      </c>
      <c r="U13" s="41">
        <v>-0.3952702909512098</v>
      </c>
      <c r="V13" s="94">
        <v>27</v>
      </c>
      <c r="W13" s="97">
        <v>27</v>
      </c>
      <c r="X13" s="41">
        <v>2.642458167528082</v>
      </c>
      <c r="Y13" s="6">
        <v>92</v>
      </c>
      <c r="Z13" s="41">
        <v>2.642458167528082</v>
      </c>
      <c r="AA13" s="84">
        <v>92</v>
      </c>
      <c r="AB13" s="91">
        <v>27</v>
      </c>
      <c r="AC13" s="41">
        <v>2.642458167528082</v>
      </c>
      <c r="AD13" s="6">
        <v>92</v>
      </c>
      <c r="AE13" s="41">
        <v>2.642458167528082</v>
      </c>
      <c r="AF13" s="84">
        <v>92</v>
      </c>
      <c r="AG13" s="91">
        <v>27</v>
      </c>
      <c r="AH13" s="41">
        <v>2.642458167528082</v>
      </c>
      <c r="AI13" s="6">
        <v>92</v>
      </c>
      <c r="AJ13" s="41">
        <v>2.642458167528082</v>
      </c>
      <c r="AK13" s="84">
        <v>92</v>
      </c>
      <c r="AL13" s="93">
        <v>7</v>
      </c>
      <c r="AM13" s="41">
        <v>1.202702667871647</v>
      </c>
      <c r="AN13" s="6">
        <v>92</v>
      </c>
      <c r="AO13" s="41">
        <v>1.202702667871647</v>
      </c>
      <c r="AP13" s="84">
        <v>92</v>
      </c>
      <c r="AQ13" s="91">
        <v>8</v>
      </c>
      <c r="AR13" s="41">
        <v>0.86819483183668167</v>
      </c>
      <c r="AS13" s="6">
        <v>92</v>
      </c>
      <c r="AT13" s="41">
        <v>0.86819483183668167</v>
      </c>
      <c r="AU13" s="89">
        <v>92</v>
      </c>
      <c r="AV13" s="97">
        <v>20</v>
      </c>
      <c r="AW13" s="41">
        <v>0.76216213429731772</v>
      </c>
      <c r="AX13" s="6">
        <v>92</v>
      </c>
      <c r="AY13" s="41">
        <v>0.76216213429731772</v>
      </c>
      <c r="AZ13" s="94">
        <v>92</v>
      </c>
    </row>
    <row r="14" spans="1:52" x14ac:dyDescent="0.3">
      <c r="A14" t="s">
        <v>19</v>
      </c>
      <c r="B14" s="25" t="s">
        <v>235</v>
      </c>
      <c r="C14" s="25" t="s">
        <v>234</v>
      </c>
      <c r="D14" s="24">
        <v>4.9811348915100098</v>
      </c>
      <c r="E14" s="2">
        <v>-0.67470678387049388</v>
      </c>
      <c r="F14" s="2">
        <v>-0.21263473558487711</v>
      </c>
      <c r="G14" s="15">
        <v>1.399491604456627</v>
      </c>
      <c r="I14" s="17">
        <v>1.557650023257267</v>
      </c>
      <c r="J14" s="18">
        <v>96</v>
      </c>
      <c r="K14" s="19">
        <v>-1.5655649611049819E-2</v>
      </c>
      <c r="L14" s="18">
        <v>4</v>
      </c>
      <c r="M14" s="26">
        <v>6</v>
      </c>
      <c r="N14" s="28">
        <v>7</v>
      </c>
      <c r="O14" s="87">
        <v>22</v>
      </c>
      <c r="S14" s="98">
        <v>1.084464543285359</v>
      </c>
      <c r="T14" s="6">
        <v>96</v>
      </c>
      <c r="U14" s="41">
        <v>1.084464543285359</v>
      </c>
      <c r="V14" s="94">
        <v>96</v>
      </c>
      <c r="W14" s="97"/>
      <c r="AB14" s="91"/>
      <c r="AG14" s="91"/>
      <c r="AL14" s="93">
        <v>7</v>
      </c>
      <c r="AM14" s="41">
        <v>1.084464543285359</v>
      </c>
      <c r="AN14" s="6">
        <v>96</v>
      </c>
      <c r="AO14" s="41">
        <v>1.084464543285359</v>
      </c>
      <c r="AP14" s="84">
        <v>96</v>
      </c>
      <c r="AQ14" s="91">
        <v>7</v>
      </c>
      <c r="AR14" s="41">
        <v>1.084464543285359</v>
      </c>
      <c r="AS14" s="6">
        <v>96</v>
      </c>
      <c r="AT14" s="41">
        <v>1.084464543285359</v>
      </c>
      <c r="AU14" s="89">
        <v>96</v>
      </c>
      <c r="AV14" s="97">
        <v>22</v>
      </c>
      <c r="AW14" s="41">
        <v>0.96696091884363078</v>
      </c>
      <c r="AX14" s="6">
        <v>96</v>
      </c>
      <c r="AY14" s="41">
        <v>0.96696091884363078</v>
      </c>
      <c r="AZ14" s="94">
        <v>96</v>
      </c>
    </row>
    <row r="15" spans="1:52" x14ac:dyDescent="0.3">
      <c r="A15" t="s">
        <v>24</v>
      </c>
      <c r="B15" s="25" t="s">
        <v>235</v>
      </c>
      <c r="C15" s="25" t="s">
        <v>234</v>
      </c>
      <c r="D15" s="24">
        <v>7.8299999237060547</v>
      </c>
      <c r="E15" s="2">
        <v>-0.35767020564082341</v>
      </c>
      <c r="F15" s="2">
        <v>-0.16790647708039849</v>
      </c>
      <c r="G15" s="15">
        <v>-8.3014061519910864E-2</v>
      </c>
      <c r="I15" s="17">
        <v>0.32183914205849978</v>
      </c>
      <c r="J15" s="18">
        <v>55</v>
      </c>
      <c r="K15" s="19">
        <v>-0.1072797140194998</v>
      </c>
      <c r="L15" s="18">
        <v>81</v>
      </c>
      <c r="M15" s="26">
        <v>7</v>
      </c>
      <c r="N15" s="28">
        <v>49</v>
      </c>
      <c r="O15" s="87">
        <v>55</v>
      </c>
      <c r="P15" s="28">
        <v>79</v>
      </c>
      <c r="S15" s="98">
        <v>0.1237785383931576</v>
      </c>
      <c r="T15" s="6">
        <v>55</v>
      </c>
      <c r="U15" s="41">
        <v>0.1237785383931576</v>
      </c>
      <c r="V15" s="94">
        <v>55</v>
      </c>
      <c r="W15" s="97">
        <v>79</v>
      </c>
      <c r="X15" s="41">
        <v>4.793650006491041E-2</v>
      </c>
      <c r="Y15" s="6">
        <v>999</v>
      </c>
      <c r="Z15" s="41">
        <v>4.793650006491041E-2</v>
      </c>
      <c r="AA15" s="84">
        <v>999</v>
      </c>
      <c r="AB15" s="91"/>
      <c r="AG15" s="91"/>
      <c r="AL15" s="93">
        <v>7</v>
      </c>
      <c r="AM15" s="41">
        <v>0.1237785383931576</v>
      </c>
      <c r="AN15" s="6">
        <v>55</v>
      </c>
      <c r="AO15" s="41">
        <v>0.1237785383931576</v>
      </c>
      <c r="AP15" s="84">
        <v>55</v>
      </c>
      <c r="AQ15" s="91">
        <v>49</v>
      </c>
      <c r="AR15" s="41">
        <v>-0.14657581935768929</v>
      </c>
      <c r="AS15" s="6">
        <v>999</v>
      </c>
      <c r="AT15" s="41">
        <v>-0.14657581935768929</v>
      </c>
      <c r="AU15" s="89">
        <v>999</v>
      </c>
      <c r="AV15" s="97">
        <v>55</v>
      </c>
      <c r="AW15" s="41">
        <v>-0.23551877744073271</v>
      </c>
      <c r="AX15" s="6">
        <v>999</v>
      </c>
      <c r="AY15" s="41">
        <v>-0.23551877744073271</v>
      </c>
      <c r="AZ15" s="94">
        <v>999</v>
      </c>
    </row>
    <row r="16" spans="1:52" x14ac:dyDescent="0.3">
      <c r="A16" t="s">
        <v>25</v>
      </c>
      <c r="B16" s="25" t="s">
        <v>235</v>
      </c>
      <c r="C16" s="25" t="s">
        <v>234</v>
      </c>
      <c r="D16" s="24">
        <v>1.929999947547913</v>
      </c>
      <c r="E16" s="2">
        <v>-0.1572052490401826</v>
      </c>
      <c r="F16" s="2">
        <v>-0.40432100559658168</v>
      </c>
      <c r="G16" s="15">
        <v>0.53886016027287864</v>
      </c>
      <c r="I16" s="17">
        <v>1.1502591752088149</v>
      </c>
      <c r="J16" s="18">
        <v>47</v>
      </c>
      <c r="K16" s="19">
        <v>0</v>
      </c>
      <c r="L16" s="18">
        <v>0</v>
      </c>
      <c r="M16" s="26">
        <v>1</v>
      </c>
      <c r="N16" s="28">
        <v>1</v>
      </c>
      <c r="O16" s="87">
        <v>5</v>
      </c>
      <c r="S16" s="98">
        <v>0.65338649846030039</v>
      </c>
      <c r="T16" s="6">
        <v>47</v>
      </c>
      <c r="U16" s="45">
        <v>0.65338649846030039</v>
      </c>
      <c r="V16" s="94">
        <v>47</v>
      </c>
      <c r="W16" s="97" t="s">
        <v>239</v>
      </c>
      <c r="Z16" s="45"/>
      <c r="AB16" s="91"/>
      <c r="AE16" s="45"/>
      <c r="AG16" s="91"/>
      <c r="AJ16" s="45"/>
      <c r="AL16" s="93">
        <v>7</v>
      </c>
      <c r="AM16" s="41">
        <v>0.65338649846030039</v>
      </c>
      <c r="AN16" s="6">
        <v>47</v>
      </c>
      <c r="AO16" s="45">
        <v>0.65338649846030039</v>
      </c>
      <c r="AP16" s="84">
        <v>47</v>
      </c>
      <c r="AQ16" s="91">
        <v>7</v>
      </c>
      <c r="AR16" s="41">
        <v>0.65338649846030039</v>
      </c>
      <c r="AS16" s="6">
        <v>47</v>
      </c>
      <c r="AT16" s="45">
        <v>0.65338649846030039</v>
      </c>
      <c r="AU16" s="89">
        <v>47</v>
      </c>
      <c r="AV16" s="97">
        <v>7</v>
      </c>
      <c r="AW16" s="41">
        <v>0.65338649846030039</v>
      </c>
      <c r="AX16" s="6">
        <v>47</v>
      </c>
      <c r="AY16" s="45">
        <v>0.65338649846030039</v>
      </c>
      <c r="AZ16" s="94">
        <v>47</v>
      </c>
    </row>
    <row r="17" spans="1:48" x14ac:dyDescent="0.3">
      <c r="A17" t="s">
        <v>18</v>
      </c>
      <c r="B17" s="25" t="s">
        <v>232</v>
      </c>
      <c r="C17" s="25" t="s">
        <v>233</v>
      </c>
      <c r="D17" s="24">
        <v>5.3600001335144043</v>
      </c>
      <c r="E17" s="2">
        <v>-0.34394123825445622</v>
      </c>
      <c r="F17" s="2">
        <v>0.1477516158346692</v>
      </c>
      <c r="I17" s="17">
        <v>0.29477609782634318</v>
      </c>
      <c r="J17" s="18">
        <v>15</v>
      </c>
      <c r="K17" s="19">
        <v>-7.2761256270163832E-2</v>
      </c>
      <c r="L17" s="18">
        <v>47</v>
      </c>
      <c r="M17" s="26">
        <v>14</v>
      </c>
      <c r="N17" s="28">
        <v>14</v>
      </c>
      <c r="S17" s="98">
        <v>-3.8492073467776568E-3</v>
      </c>
      <c r="T17" s="6">
        <v>999</v>
      </c>
      <c r="U17" s="41">
        <v>-3.8492073467776568E-3</v>
      </c>
      <c r="V17" s="94">
        <v>999</v>
      </c>
      <c r="W17" s="97"/>
      <c r="AB17" s="91"/>
      <c r="AG17" s="91"/>
      <c r="AL17" s="93">
        <v>14</v>
      </c>
      <c r="AM17" s="41">
        <v>-0.15306123595281371</v>
      </c>
      <c r="AN17" s="6">
        <v>999</v>
      </c>
      <c r="AO17" s="41">
        <v>-0.15306123595281371</v>
      </c>
      <c r="AP17" s="84">
        <v>999</v>
      </c>
      <c r="AQ17" s="91">
        <v>14</v>
      </c>
      <c r="AR17" s="41">
        <v>-0.15306123595281371</v>
      </c>
      <c r="AS17" s="6">
        <v>999</v>
      </c>
      <c r="AT17" s="41">
        <v>-0.15306123595281371</v>
      </c>
      <c r="AU17" s="89">
        <v>999</v>
      </c>
      <c r="AV17" s="97"/>
    </row>
    <row r="18" spans="1:48" x14ac:dyDescent="0.3">
      <c r="A18" t="s">
        <v>22</v>
      </c>
      <c r="B18" s="25" t="s">
        <v>232</v>
      </c>
      <c r="C18" s="25" t="s">
        <v>233</v>
      </c>
      <c r="D18" s="24">
        <v>13.80991172790527</v>
      </c>
      <c r="E18" s="2">
        <v>-0.13392012820196161</v>
      </c>
      <c r="F18" s="2">
        <v>1.185656242702304E-2</v>
      </c>
      <c r="I18" s="17">
        <v>0.11245549433861909</v>
      </c>
      <c r="J18" s="18">
        <v>15</v>
      </c>
      <c r="K18" s="19">
        <v>-0.1508897126956614</v>
      </c>
      <c r="L18" s="18">
        <v>27</v>
      </c>
      <c r="M18" s="26">
        <v>5</v>
      </c>
      <c r="P18" s="28">
        <v>26</v>
      </c>
      <c r="S18" s="98">
        <v>-0.2094102307867495</v>
      </c>
      <c r="T18" s="6">
        <v>27</v>
      </c>
      <c r="U18" s="41">
        <v>-5.1473514924785878E-2</v>
      </c>
      <c r="V18" s="94">
        <v>999</v>
      </c>
      <c r="W18" s="97">
        <v>26</v>
      </c>
      <c r="X18" s="41">
        <v>0.13748655793591469</v>
      </c>
      <c r="Y18" s="6">
        <v>999</v>
      </c>
      <c r="Z18" s="41">
        <v>0.13748655793591469</v>
      </c>
      <c r="AA18" s="84">
        <v>999</v>
      </c>
      <c r="AB18" s="91"/>
      <c r="AG18" s="91"/>
      <c r="AL18" s="93">
        <v>7</v>
      </c>
      <c r="AM18" s="41">
        <v>-5.1473514924785878E-2</v>
      </c>
      <c r="AN18" s="6">
        <v>999</v>
      </c>
      <c r="AO18" s="41">
        <v>-5.1473514924785878E-2</v>
      </c>
      <c r="AP18" s="84">
        <v>999</v>
      </c>
      <c r="AQ18" s="91"/>
      <c r="AV18" s="97"/>
    </row>
  </sheetData>
  <autoFilter ref="A4:AZ54" xr:uid="{A63CA558-3F40-463D-93F5-3E4C2572FE45}">
    <sortState xmlns:xlrd2="http://schemas.microsoft.com/office/spreadsheetml/2017/richdata2" ref="A5:AZ19">
      <sortCondition ref="AC4:AC54"/>
    </sortState>
  </autoFilter>
  <mergeCells count="29"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  <mergeCell ref="AB2:AF2"/>
    <mergeCell ref="AG2:AK2"/>
    <mergeCell ref="AL2:AP2"/>
    <mergeCell ref="AQ2:AU2"/>
    <mergeCell ref="AV2:AZ2"/>
    <mergeCell ref="S3:T3"/>
    <mergeCell ref="U3:V3"/>
    <mergeCell ref="X3:Y3"/>
    <mergeCell ref="Z3:AA3"/>
    <mergeCell ref="AC3:AD3"/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AAB06-2968-4D84-9CA5-2DD5F2564475}">
  <dimension ref="A1:AZ29"/>
  <sheetViews>
    <sheetView zoomScale="85" zoomScaleNormal="85" workbookViewId="0">
      <pane xSplit="4" ySplit="4" topLeftCell="M5" activePane="bottomRight" state="frozen"/>
      <selection pane="topRight" activeCell="D1" sqref="D1"/>
      <selection pane="bottomLeft" activeCell="A2" sqref="A2"/>
      <selection pane="bottomRight" activeCell="A9" sqref="A9:XFD9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7" hidden="1" customWidth="1" outlineLevel="1"/>
    <col min="16" max="18" width="10.109375" style="28" hidden="1" customWidth="1" outlineLevel="1"/>
    <col min="19" max="19" width="6.5546875" style="98" bestFit="1" customWidth="1" collapsed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15"/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6"/>
      <c r="Q1" s="115"/>
      <c r="R1" s="115"/>
      <c r="S1" s="117" t="s">
        <v>65</v>
      </c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8"/>
    </row>
    <row r="2" spans="1:52" s="34" customFormat="1" ht="30.6" customHeight="1" x14ac:dyDescent="0.3">
      <c r="B2" s="119" t="s">
        <v>37</v>
      </c>
      <c r="C2" s="119"/>
      <c r="D2" s="119"/>
      <c r="E2" s="120" t="s">
        <v>30</v>
      </c>
      <c r="F2" s="120"/>
      <c r="G2" s="121" t="s">
        <v>31</v>
      </c>
      <c r="H2" s="122"/>
      <c r="I2" s="121" t="s">
        <v>59</v>
      </c>
      <c r="J2" s="123"/>
      <c r="K2" s="122"/>
      <c r="L2" s="123"/>
      <c r="M2" s="124" t="s">
        <v>100</v>
      </c>
      <c r="N2" s="125"/>
      <c r="O2" s="126"/>
      <c r="P2" s="125" t="s">
        <v>101</v>
      </c>
      <c r="Q2" s="125"/>
      <c r="R2" s="126"/>
      <c r="S2" s="127" t="s">
        <v>98</v>
      </c>
      <c r="T2" s="128"/>
      <c r="U2" s="128"/>
      <c r="V2" s="129"/>
      <c r="W2" s="130" t="s">
        <v>102</v>
      </c>
      <c r="X2" s="131"/>
      <c r="Y2" s="131"/>
      <c r="Z2" s="131"/>
      <c r="AA2" s="132"/>
      <c r="AB2" s="133" t="s">
        <v>103</v>
      </c>
      <c r="AC2" s="134"/>
      <c r="AD2" s="134"/>
      <c r="AE2" s="134"/>
      <c r="AF2" s="135"/>
      <c r="AG2" s="136" t="s">
        <v>104</v>
      </c>
      <c r="AH2" s="137"/>
      <c r="AI2" s="137"/>
      <c r="AJ2" s="137"/>
      <c r="AK2" s="138"/>
      <c r="AL2" s="139" t="s">
        <v>107</v>
      </c>
      <c r="AM2" s="140"/>
      <c r="AN2" s="140"/>
      <c r="AO2" s="140"/>
      <c r="AP2" s="141"/>
      <c r="AQ2" s="142" t="s">
        <v>108</v>
      </c>
      <c r="AR2" s="143"/>
      <c r="AS2" s="143"/>
      <c r="AT2" s="143"/>
      <c r="AU2" s="144"/>
      <c r="AV2" s="145" t="s">
        <v>109</v>
      </c>
      <c r="AW2" s="145"/>
      <c r="AX2" s="145"/>
      <c r="AY2" s="145"/>
      <c r="AZ2" s="146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14" t="s">
        <v>97</v>
      </c>
      <c r="T3" s="112"/>
      <c r="U3" s="110" t="s">
        <v>99</v>
      </c>
      <c r="V3" s="113"/>
      <c r="W3" s="96"/>
      <c r="X3" s="112" t="s">
        <v>97</v>
      </c>
      <c r="Y3" s="112"/>
      <c r="Z3" s="110" t="s">
        <v>99</v>
      </c>
      <c r="AA3" s="111"/>
      <c r="AB3" s="90"/>
      <c r="AC3" s="112" t="s">
        <v>97</v>
      </c>
      <c r="AD3" s="112"/>
      <c r="AE3" s="110" t="s">
        <v>99</v>
      </c>
      <c r="AF3" s="111"/>
      <c r="AG3" s="90"/>
      <c r="AH3" s="112" t="s">
        <v>97</v>
      </c>
      <c r="AI3" s="112"/>
      <c r="AJ3" s="110" t="s">
        <v>99</v>
      </c>
      <c r="AK3" s="113"/>
      <c r="AL3" s="92"/>
      <c r="AM3" s="112" t="s">
        <v>97</v>
      </c>
      <c r="AN3" s="112"/>
      <c r="AO3" s="110" t="s">
        <v>99</v>
      </c>
      <c r="AP3" s="110"/>
      <c r="AQ3" s="90"/>
      <c r="AR3" s="112" t="s">
        <v>97</v>
      </c>
      <c r="AS3" s="112"/>
      <c r="AT3" s="110" t="s">
        <v>99</v>
      </c>
      <c r="AU3" s="111"/>
      <c r="AV3" s="96"/>
      <c r="AW3" s="112" t="s">
        <v>97</v>
      </c>
      <c r="AX3" s="112"/>
      <c r="AY3" s="110" t="s">
        <v>99</v>
      </c>
      <c r="AZ3" s="113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96</v>
      </c>
      <c r="B5" s="25">
        <v>45870</v>
      </c>
      <c r="C5" s="25">
        <v>45901</v>
      </c>
      <c r="D5" s="24">
        <v>16.545000076293899</v>
      </c>
      <c r="E5" s="7">
        <v>6.5357396057634506E-2</v>
      </c>
      <c r="F5" s="7">
        <v>0.14498271935515999</v>
      </c>
      <c r="G5" s="13"/>
      <c r="H5" s="14"/>
      <c r="I5" s="20">
        <v>0.225747995958196</v>
      </c>
      <c r="J5" s="21">
        <v>4</v>
      </c>
      <c r="K5" s="22">
        <v>0</v>
      </c>
      <c r="L5" s="21">
        <v>0</v>
      </c>
      <c r="M5" s="27">
        <v>2</v>
      </c>
      <c r="N5" s="29">
        <v>4</v>
      </c>
      <c r="O5" s="88"/>
      <c r="P5" s="29"/>
      <c r="Q5" s="29"/>
      <c r="R5" s="29"/>
      <c r="S5" s="98">
        <v>-2.95934265090632E-2</v>
      </c>
      <c r="T5" s="6">
        <v>999</v>
      </c>
      <c r="U5" s="41">
        <v>-2.95934265090632E-2</v>
      </c>
      <c r="V5" s="94">
        <v>999</v>
      </c>
      <c r="W5" s="97"/>
      <c r="AB5" s="91"/>
      <c r="AG5" s="91"/>
      <c r="AL5" s="93">
        <v>7</v>
      </c>
      <c r="AM5" s="41">
        <v>-2.95934265090632E-2</v>
      </c>
      <c r="AN5" s="6">
        <v>999</v>
      </c>
      <c r="AO5" s="41">
        <v>-2.95934265090632E-2</v>
      </c>
      <c r="AP5" s="84">
        <v>999</v>
      </c>
      <c r="AQ5" s="91">
        <v>7</v>
      </c>
      <c r="AR5" s="41">
        <v>-2.95934265090632E-2</v>
      </c>
      <c r="AS5" s="6">
        <v>999</v>
      </c>
      <c r="AT5" s="41">
        <v>-2.95934265090632E-2</v>
      </c>
      <c r="AU5" s="89">
        <v>999</v>
      </c>
      <c r="AV5" s="97"/>
    </row>
    <row r="6" spans="1:52" x14ac:dyDescent="0.3">
      <c r="A6" t="s">
        <v>38</v>
      </c>
      <c r="B6" s="25">
        <v>45870</v>
      </c>
      <c r="C6" s="25">
        <v>45901</v>
      </c>
      <c r="D6" s="24">
        <v>1.2749999761581401</v>
      </c>
      <c r="E6" s="2">
        <v>-0.64285714285714202</v>
      </c>
      <c r="F6" s="2">
        <v>-0.381067955546738</v>
      </c>
      <c r="I6" s="17">
        <v>0</v>
      </c>
      <c r="J6" s="18">
        <v>0</v>
      </c>
      <c r="K6" s="19">
        <v>-0.160784256893687</v>
      </c>
      <c r="L6" s="18">
        <v>8</v>
      </c>
      <c r="P6" s="28">
        <v>6</v>
      </c>
      <c r="S6" s="98">
        <v>1.3888875091518101E-2</v>
      </c>
      <c r="T6" s="6">
        <v>999</v>
      </c>
      <c r="U6" s="41">
        <v>1.3888875091518101E-2</v>
      </c>
      <c r="V6" s="94">
        <v>999</v>
      </c>
      <c r="W6" s="97">
        <v>7</v>
      </c>
      <c r="X6" s="41">
        <v>1.3888875091518101E-2</v>
      </c>
      <c r="Y6" s="6">
        <v>999</v>
      </c>
      <c r="Z6" s="41">
        <v>1.3888875091518101E-2</v>
      </c>
      <c r="AA6" s="84">
        <v>999</v>
      </c>
      <c r="AB6" s="91"/>
      <c r="AG6" s="91"/>
      <c r="AL6" s="93">
        <v>7</v>
      </c>
      <c r="AM6" s="41">
        <v>1.3888875091518101E-2</v>
      </c>
      <c r="AN6" s="6">
        <v>999</v>
      </c>
      <c r="AO6" s="41">
        <v>1.3888875091518101E-2</v>
      </c>
      <c r="AP6" s="84">
        <v>999</v>
      </c>
      <c r="AQ6" s="91"/>
      <c r="AV6" s="97"/>
    </row>
    <row r="7" spans="1:52" x14ac:dyDescent="0.3">
      <c r="A7" t="s">
        <v>90</v>
      </c>
      <c r="B7" s="25">
        <v>45870</v>
      </c>
      <c r="C7" s="25">
        <v>45901</v>
      </c>
      <c r="D7" s="24">
        <v>44.799999237060497</v>
      </c>
      <c r="E7" s="7"/>
      <c r="F7" s="7"/>
      <c r="G7" s="13"/>
      <c r="H7" s="14"/>
      <c r="I7" s="20">
        <v>0</v>
      </c>
      <c r="J7" s="21">
        <v>0</v>
      </c>
      <c r="K7" s="22">
        <v>-4.8437459953128703E-2</v>
      </c>
      <c r="L7" s="21">
        <v>3</v>
      </c>
      <c r="M7" s="27"/>
      <c r="N7" s="29"/>
      <c r="O7" s="88"/>
      <c r="P7" s="29"/>
      <c r="Q7" s="29"/>
      <c r="R7" s="29"/>
      <c r="S7" s="98">
        <v>1.4835904991403E-2</v>
      </c>
      <c r="T7" s="6">
        <v>999</v>
      </c>
      <c r="U7" s="41">
        <v>1.4835904991403E-2</v>
      </c>
      <c r="V7" s="94">
        <v>999</v>
      </c>
      <c r="W7" s="97"/>
      <c r="AB7" s="91"/>
      <c r="AG7" s="91"/>
      <c r="AL7" s="93"/>
      <c r="AQ7" s="91"/>
      <c r="AV7" s="97"/>
    </row>
    <row r="8" spans="1:52" x14ac:dyDescent="0.3">
      <c r="A8" t="s">
        <v>20</v>
      </c>
      <c r="B8" s="25">
        <v>45839</v>
      </c>
      <c r="C8" s="25">
        <v>45870</v>
      </c>
      <c r="D8" s="24">
        <v>6.3299999237060502</v>
      </c>
      <c r="E8" s="2">
        <v>-0.375190643739025</v>
      </c>
      <c r="F8" s="2">
        <v>-0.31649045556071498</v>
      </c>
      <c r="I8" s="17">
        <v>0.31121647563550398</v>
      </c>
      <c r="J8" s="18">
        <v>27</v>
      </c>
      <c r="K8" s="19">
        <v>-2.6856252502830101E-2</v>
      </c>
      <c r="L8" s="18">
        <v>2</v>
      </c>
      <c r="M8" s="26">
        <v>7</v>
      </c>
      <c r="N8" s="28">
        <v>17</v>
      </c>
      <c r="O8" s="87">
        <v>27</v>
      </c>
      <c r="S8" s="98">
        <v>0.19081785374151899</v>
      </c>
      <c r="T8" s="6">
        <v>27</v>
      </c>
      <c r="U8" s="41">
        <v>0.19081785374151899</v>
      </c>
      <c r="V8" s="94">
        <v>27</v>
      </c>
      <c r="W8" s="97"/>
      <c r="AB8" s="91"/>
      <c r="AG8" s="91"/>
      <c r="AL8" s="93">
        <v>7</v>
      </c>
      <c r="AM8" s="41">
        <v>6.2553840013534798E-2</v>
      </c>
      <c r="AN8" s="6">
        <v>999</v>
      </c>
      <c r="AO8" s="41">
        <v>6.2553840013534798E-2</v>
      </c>
      <c r="AP8" s="84">
        <v>999</v>
      </c>
      <c r="AQ8" s="91">
        <v>17</v>
      </c>
      <c r="AR8" s="41">
        <v>1.10820535862201E-2</v>
      </c>
      <c r="AS8" s="6">
        <v>999</v>
      </c>
      <c r="AT8" s="41">
        <v>1.10820535862201E-2</v>
      </c>
      <c r="AU8" s="89">
        <v>999</v>
      </c>
      <c r="AV8" s="97">
        <v>27</v>
      </c>
      <c r="AW8" s="41">
        <v>-1.8554227471541701E-2</v>
      </c>
      <c r="AX8" s="6">
        <v>999</v>
      </c>
      <c r="AY8" s="41">
        <v>-1.8554227471541701E-2</v>
      </c>
      <c r="AZ8" s="94">
        <v>999</v>
      </c>
    </row>
    <row r="9" spans="1:52" x14ac:dyDescent="0.3">
      <c r="A9" t="s">
        <v>13</v>
      </c>
      <c r="B9" s="25">
        <v>45778</v>
      </c>
      <c r="C9" s="25">
        <v>45809</v>
      </c>
      <c r="D9" s="24">
        <v>6.6150000095367396</v>
      </c>
      <c r="E9" s="2">
        <v>-0.71382013568966596</v>
      </c>
      <c r="F9" s="2">
        <v>-0.61360983146815296</v>
      </c>
      <c r="I9" s="17">
        <v>0.162509455197869</v>
      </c>
      <c r="J9" s="18">
        <v>58</v>
      </c>
      <c r="K9" s="19">
        <v>-9.2970522849600501E-2</v>
      </c>
      <c r="L9" s="18">
        <v>9</v>
      </c>
      <c r="M9" s="26">
        <v>50</v>
      </c>
      <c r="S9" s="98">
        <v>0.20344291359896999</v>
      </c>
      <c r="T9" s="6">
        <v>58</v>
      </c>
      <c r="U9" s="41">
        <v>0.20344291359896999</v>
      </c>
      <c r="V9" s="94">
        <v>58</v>
      </c>
      <c r="W9" s="97"/>
      <c r="AB9" s="91"/>
      <c r="AG9" s="91"/>
      <c r="AL9" s="93">
        <v>50</v>
      </c>
      <c r="AM9" s="41">
        <v>-3.8043492259783297E-2</v>
      </c>
      <c r="AN9" s="6">
        <v>999</v>
      </c>
      <c r="AO9" s="41">
        <v>-3.8043492259783297E-2</v>
      </c>
      <c r="AP9" s="84">
        <v>999</v>
      </c>
      <c r="AQ9" s="91"/>
      <c r="AV9" s="97"/>
    </row>
    <row r="10" spans="1:52" x14ac:dyDescent="0.3">
      <c r="A10" t="s">
        <v>18</v>
      </c>
      <c r="B10" s="25">
        <v>45778</v>
      </c>
      <c r="C10" s="25">
        <v>45809</v>
      </c>
      <c r="D10" s="24">
        <v>4.8650000095367396</v>
      </c>
      <c r="E10" s="2">
        <v>-0.40815086964769098</v>
      </c>
      <c r="F10" s="2">
        <v>-0.102398534860666</v>
      </c>
      <c r="I10" s="17">
        <v>0.42651593907834301</v>
      </c>
      <c r="J10" s="18">
        <v>35</v>
      </c>
      <c r="K10" s="19">
        <v>0</v>
      </c>
      <c r="L10" s="18">
        <v>0</v>
      </c>
      <c r="M10" s="26">
        <v>20</v>
      </c>
      <c r="N10" s="28">
        <v>34</v>
      </c>
      <c r="O10" s="87">
        <v>34</v>
      </c>
      <c r="S10" s="98">
        <v>0.36078435039117002</v>
      </c>
      <c r="T10" s="6">
        <v>35</v>
      </c>
      <c r="U10" s="41">
        <v>0.36078435039117002</v>
      </c>
      <c r="V10" s="94">
        <v>35</v>
      </c>
      <c r="W10" s="97"/>
      <c r="AB10" s="91"/>
      <c r="AG10" s="91"/>
      <c r="AL10" s="93">
        <v>20</v>
      </c>
      <c r="AM10" s="41">
        <v>4.4499696531970202E-2</v>
      </c>
      <c r="AN10" s="6">
        <v>999</v>
      </c>
      <c r="AO10" s="41">
        <v>4.4499696531970202E-2</v>
      </c>
      <c r="AP10" s="84">
        <v>999</v>
      </c>
      <c r="AQ10" s="91">
        <v>34</v>
      </c>
      <c r="AR10" s="41">
        <v>-0.151691741130344</v>
      </c>
      <c r="AS10" s="6">
        <v>999</v>
      </c>
      <c r="AT10" s="41">
        <v>-0.151691741130344</v>
      </c>
      <c r="AU10" s="89">
        <v>999</v>
      </c>
      <c r="AV10" s="97">
        <v>34</v>
      </c>
      <c r="AW10" s="41">
        <v>-0.151691741130344</v>
      </c>
      <c r="AX10" s="6">
        <v>999</v>
      </c>
      <c r="AY10" s="41">
        <v>-0.151691741130344</v>
      </c>
      <c r="AZ10" s="94">
        <v>999</v>
      </c>
    </row>
    <row r="11" spans="1:52" x14ac:dyDescent="0.3">
      <c r="A11" t="s">
        <v>46</v>
      </c>
      <c r="B11" s="25">
        <v>45748</v>
      </c>
      <c r="C11" s="25">
        <v>45778</v>
      </c>
      <c r="D11" s="24">
        <v>6.0799999237060502</v>
      </c>
      <c r="E11" s="2">
        <v>-0.64444445683787199</v>
      </c>
      <c r="F11" s="2">
        <v>-0.28047336556865399</v>
      </c>
      <c r="G11" s="15">
        <v>0.29769736274540198</v>
      </c>
      <c r="I11" s="17">
        <v>0.91282899019378105</v>
      </c>
      <c r="J11" s="18">
        <v>87</v>
      </c>
      <c r="K11" s="19">
        <v>-0.33223684313719898</v>
      </c>
      <c r="L11" s="18">
        <v>16</v>
      </c>
      <c r="M11" s="26">
        <v>58</v>
      </c>
      <c r="N11" s="28">
        <v>70</v>
      </c>
      <c r="O11" s="87">
        <v>73</v>
      </c>
      <c r="P11" s="28">
        <v>7</v>
      </c>
      <c r="Q11" s="28">
        <v>9</v>
      </c>
      <c r="R11" s="28">
        <v>14</v>
      </c>
      <c r="S11" s="98">
        <v>-0.21772641656695799</v>
      </c>
      <c r="T11" s="6">
        <v>16</v>
      </c>
      <c r="U11" s="41">
        <v>1.2408477815450001</v>
      </c>
      <c r="V11" s="94">
        <v>87</v>
      </c>
      <c r="W11" s="97">
        <v>7</v>
      </c>
      <c r="X11" s="41">
        <v>1.2408477815450001</v>
      </c>
      <c r="Y11" s="6">
        <v>87</v>
      </c>
      <c r="Z11" s="41">
        <v>1.2408477815450001</v>
      </c>
      <c r="AA11" s="84">
        <v>87</v>
      </c>
      <c r="AB11" s="91">
        <v>9</v>
      </c>
      <c r="AC11" s="41">
        <v>1.43305431045309</v>
      </c>
      <c r="AD11" s="6">
        <v>87</v>
      </c>
      <c r="AE11" s="41">
        <v>1.43305431045309</v>
      </c>
      <c r="AF11" s="84">
        <v>87</v>
      </c>
      <c r="AG11" s="91">
        <v>14</v>
      </c>
      <c r="AH11" s="41">
        <v>1.76904777204639</v>
      </c>
      <c r="AI11" s="6">
        <v>87</v>
      </c>
      <c r="AJ11" s="41">
        <v>1.76904777204639</v>
      </c>
      <c r="AK11" s="84">
        <v>87</v>
      </c>
      <c r="AL11" s="93">
        <v>7</v>
      </c>
      <c r="AM11" s="41">
        <v>1.2408477815450001</v>
      </c>
      <c r="AN11" s="6">
        <v>87</v>
      </c>
      <c r="AO11" s="41">
        <v>1.2408477815450001</v>
      </c>
      <c r="AP11" s="84">
        <v>87</v>
      </c>
      <c r="AQ11" s="91">
        <v>9</v>
      </c>
      <c r="AR11" s="41">
        <v>1.43305431045309</v>
      </c>
      <c r="AS11" s="6">
        <v>87</v>
      </c>
      <c r="AT11" s="41">
        <v>1.43305431045309</v>
      </c>
      <c r="AU11" s="89">
        <v>87</v>
      </c>
      <c r="AV11" s="97">
        <v>14</v>
      </c>
      <c r="AW11" s="41">
        <v>1.76904777204639</v>
      </c>
      <c r="AX11" s="6">
        <v>87</v>
      </c>
      <c r="AY11" s="41">
        <v>1.76904777204639</v>
      </c>
      <c r="AZ11" s="94">
        <v>87</v>
      </c>
    </row>
    <row r="12" spans="1:52" x14ac:dyDescent="0.3">
      <c r="A12" t="s">
        <v>50</v>
      </c>
      <c r="B12" s="25">
        <v>45748</v>
      </c>
      <c r="C12" s="25">
        <v>45778</v>
      </c>
      <c r="D12" s="24">
        <v>0.91000002622604304</v>
      </c>
      <c r="E12" s="2">
        <v>-0.79732737803694298</v>
      </c>
      <c r="F12" s="2">
        <v>-0.37671232708937902</v>
      </c>
      <c r="G12" s="15">
        <v>0.17582419957678</v>
      </c>
      <c r="I12" s="17">
        <v>0.45054946638451998</v>
      </c>
      <c r="J12" s="18">
        <v>83</v>
      </c>
      <c r="K12" s="19">
        <v>-0.37362639953830601</v>
      </c>
      <c r="L12" s="18">
        <v>24</v>
      </c>
      <c r="M12" s="26">
        <v>71</v>
      </c>
      <c r="N12" s="28">
        <v>74</v>
      </c>
      <c r="O12" s="87">
        <v>78</v>
      </c>
      <c r="P12" s="28">
        <v>4</v>
      </c>
      <c r="Q12" s="28">
        <v>5</v>
      </c>
      <c r="R12" s="28">
        <v>10</v>
      </c>
      <c r="S12" s="98">
        <v>-0.219178112391168</v>
      </c>
      <c r="T12" s="6">
        <v>11</v>
      </c>
      <c r="U12" s="41">
        <v>0.80821920268909897</v>
      </c>
      <c r="V12" s="94">
        <v>83</v>
      </c>
      <c r="W12" s="97">
        <v>7</v>
      </c>
      <c r="X12" s="41">
        <v>0.80821920268909897</v>
      </c>
      <c r="Y12" s="6">
        <v>83</v>
      </c>
      <c r="Z12" s="41">
        <v>0.80821920268909897</v>
      </c>
      <c r="AA12" s="84">
        <v>83</v>
      </c>
      <c r="AB12" s="91">
        <v>7</v>
      </c>
      <c r="AC12" s="41">
        <v>0.80821920268909897</v>
      </c>
      <c r="AD12" s="6">
        <v>83</v>
      </c>
      <c r="AE12" s="41">
        <v>0.80821920268909897</v>
      </c>
      <c r="AF12" s="84">
        <v>83</v>
      </c>
      <c r="AG12" s="91">
        <v>10</v>
      </c>
      <c r="AH12" s="41">
        <v>1.23728832394459</v>
      </c>
      <c r="AI12" s="6">
        <v>83</v>
      </c>
      <c r="AJ12" s="41">
        <v>1.23728832394459</v>
      </c>
      <c r="AK12" s="84">
        <v>83</v>
      </c>
      <c r="AL12" s="93">
        <v>7</v>
      </c>
      <c r="AM12" s="41">
        <v>0.80821920268909897</v>
      </c>
      <c r="AN12" s="6">
        <v>83</v>
      </c>
      <c r="AO12" s="41">
        <v>0.80821920268909897</v>
      </c>
      <c r="AP12" s="84">
        <v>83</v>
      </c>
      <c r="AQ12" s="91">
        <v>7</v>
      </c>
      <c r="AR12" s="41">
        <v>0.80821920268909897</v>
      </c>
      <c r="AS12" s="6">
        <v>83</v>
      </c>
      <c r="AT12" s="41">
        <v>0.80821920268909897</v>
      </c>
      <c r="AU12" s="89">
        <v>83</v>
      </c>
      <c r="AV12" s="97">
        <v>10</v>
      </c>
      <c r="AW12" s="41">
        <v>1.23728832394459</v>
      </c>
      <c r="AX12" s="6">
        <v>83</v>
      </c>
      <c r="AY12" s="41">
        <v>1.23728832394459</v>
      </c>
      <c r="AZ12" s="94">
        <v>83</v>
      </c>
    </row>
    <row r="13" spans="1:52" x14ac:dyDescent="0.3">
      <c r="A13" t="s">
        <v>26</v>
      </c>
      <c r="B13" s="25">
        <v>45658</v>
      </c>
      <c r="C13" s="25">
        <v>45689</v>
      </c>
      <c r="D13" s="24">
        <v>3.6899999380111601</v>
      </c>
      <c r="E13" s="2">
        <v>-0.28764477600481603</v>
      </c>
      <c r="F13" s="2">
        <v>-0.21321963902105801</v>
      </c>
      <c r="G13" s="15">
        <v>0.40650410417561</v>
      </c>
      <c r="H13" s="16">
        <v>1.62601796739241E-2</v>
      </c>
      <c r="I13" s="17">
        <v>0.50406511760707295</v>
      </c>
      <c r="J13" s="18">
        <v>74</v>
      </c>
      <c r="K13" s="19">
        <v>-0.26558263315104402</v>
      </c>
      <c r="L13" s="18">
        <v>127</v>
      </c>
      <c r="M13" s="26">
        <v>41</v>
      </c>
      <c r="N13" s="28">
        <v>41</v>
      </c>
      <c r="O13" s="87">
        <v>41</v>
      </c>
      <c r="P13" s="28">
        <v>27</v>
      </c>
      <c r="Q13" s="28">
        <v>126</v>
      </c>
      <c r="S13" s="98">
        <v>0.599423672903454</v>
      </c>
      <c r="T13" s="6">
        <v>74</v>
      </c>
      <c r="U13" s="41">
        <v>0.599423672903454</v>
      </c>
      <c r="V13" s="94">
        <v>74</v>
      </c>
      <c r="W13" s="97">
        <v>27</v>
      </c>
      <c r="X13" s="41">
        <v>0.77884628022681501</v>
      </c>
      <c r="Y13" s="6">
        <v>74</v>
      </c>
      <c r="Z13" s="41">
        <v>0.77884628022681501</v>
      </c>
      <c r="AA13" s="84">
        <v>74</v>
      </c>
      <c r="AB13" s="91">
        <v>126</v>
      </c>
      <c r="AC13" s="41">
        <v>0.22408160921833201</v>
      </c>
      <c r="AD13" s="6">
        <v>999</v>
      </c>
      <c r="AE13" s="41">
        <v>0.22408160921833201</v>
      </c>
      <c r="AF13" s="84">
        <v>999</v>
      </c>
      <c r="AG13" s="91"/>
      <c r="AL13" s="93">
        <v>27</v>
      </c>
      <c r="AM13" s="41">
        <v>0.77884628022681501</v>
      </c>
      <c r="AN13" s="6">
        <v>74</v>
      </c>
      <c r="AO13" s="41">
        <v>0.77884628022681501</v>
      </c>
      <c r="AP13" s="84">
        <v>74</v>
      </c>
      <c r="AQ13" s="91">
        <v>41</v>
      </c>
      <c r="AR13" s="41">
        <v>0.11222453813684501</v>
      </c>
      <c r="AS13" s="6">
        <v>74</v>
      </c>
      <c r="AT13" s="41">
        <v>0.11222453813684501</v>
      </c>
      <c r="AU13" s="89">
        <v>74</v>
      </c>
      <c r="AV13" s="97">
        <v>41</v>
      </c>
      <c r="AW13" s="41">
        <v>0.11222453813684501</v>
      </c>
      <c r="AX13" s="6">
        <v>74</v>
      </c>
      <c r="AY13" s="41">
        <v>0.11222453813684501</v>
      </c>
      <c r="AZ13" s="94">
        <v>74</v>
      </c>
    </row>
    <row r="14" spans="1:52" x14ac:dyDescent="0.3">
      <c r="A14" t="s">
        <v>21</v>
      </c>
      <c r="B14" s="25">
        <v>45627</v>
      </c>
      <c r="C14" s="25">
        <v>45658</v>
      </c>
      <c r="D14" s="24">
        <v>17.274999618530199</v>
      </c>
      <c r="E14" s="2">
        <v>-0.366984278527406</v>
      </c>
      <c r="F14" s="2">
        <v>-0.198747678736308</v>
      </c>
      <c r="G14" s="15">
        <v>-0.19479015024166099</v>
      </c>
      <c r="H14" s="16">
        <v>-0.110274950798133</v>
      </c>
      <c r="I14" s="17">
        <v>0.201736653389753</v>
      </c>
      <c r="J14" s="18">
        <v>26</v>
      </c>
      <c r="K14" s="19">
        <v>-0.30188129169737399</v>
      </c>
      <c r="L14" s="18">
        <v>83</v>
      </c>
      <c r="M14" s="26">
        <v>25</v>
      </c>
      <c r="N14" s="28">
        <v>26</v>
      </c>
      <c r="P14" s="28">
        <v>5</v>
      </c>
      <c r="Q14" s="28">
        <v>63</v>
      </c>
      <c r="R14" s="28">
        <v>83</v>
      </c>
      <c r="S14" s="98">
        <v>0.38862879556801</v>
      </c>
      <c r="T14" s="6">
        <v>26</v>
      </c>
      <c r="U14" s="41">
        <v>0.38862879556801</v>
      </c>
      <c r="V14" s="94">
        <v>26</v>
      </c>
      <c r="W14" s="97">
        <v>7</v>
      </c>
      <c r="X14" s="41">
        <v>3.5607132148620699E-2</v>
      </c>
      <c r="Y14" s="6">
        <v>999</v>
      </c>
      <c r="Z14" s="41">
        <v>3.5607132148620699E-2</v>
      </c>
      <c r="AA14" s="84">
        <v>999</v>
      </c>
      <c r="AB14" s="91">
        <v>63</v>
      </c>
      <c r="AC14" s="41">
        <v>0.182015901533783</v>
      </c>
      <c r="AD14" s="6">
        <v>146</v>
      </c>
      <c r="AE14" s="41">
        <v>0.182015901533783</v>
      </c>
      <c r="AF14" s="84">
        <v>146</v>
      </c>
      <c r="AG14" s="91">
        <v>83</v>
      </c>
      <c r="AH14" s="41">
        <v>0.35157534576425897</v>
      </c>
      <c r="AI14" s="6">
        <v>146</v>
      </c>
      <c r="AJ14" s="41">
        <v>0.35157534576425897</v>
      </c>
      <c r="AK14" s="84">
        <v>146</v>
      </c>
      <c r="AL14" s="93">
        <v>7</v>
      </c>
      <c r="AM14" s="41">
        <v>3.5607132148620699E-2</v>
      </c>
      <c r="AN14" s="6">
        <v>999</v>
      </c>
      <c r="AO14" s="41">
        <v>3.5607132148620699E-2</v>
      </c>
      <c r="AP14" s="84">
        <v>999</v>
      </c>
      <c r="AQ14" s="91">
        <v>26</v>
      </c>
      <c r="AR14" s="41">
        <v>-0.26559923500252902</v>
      </c>
      <c r="AS14" s="6">
        <v>999</v>
      </c>
      <c r="AT14" s="41">
        <v>-0.26559923500252902</v>
      </c>
      <c r="AU14" s="89">
        <v>999</v>
      </c>
      <c r="AV14" s="97">
        <v>83</v>
      </c>
      <c r="AW14" s="41">
        <v>0.35157534576425897</v>
      </c>
      <c r="AX14" s="6">
        <v>146</v>
      </c>
      <c r="AY14" s="41">
        <v>0.35157534576425897</v>
      </c>
      <c r="AZ14" s="94">
        <v>146</v>
      </c>
    </row>
    <row r="15" spans="1:52" x14ac:dyDescent="0.3">
      <c r="A15" t="s">
        <v>74</v>
      </c>
      <c r="B15" s="25">
        <v>45627</v>
      </c>
      <c r="C15" s="25">
        <v>45658</v>
      </c>
      <c r="D15" s="24">
        <v>11.119999885559</v>
      </c>
      <c r="E15" s="2">
        <v>-6.2555583064484097E-3</v>
      </c>
      <c r="F15" s="2">
        <v>-0.25016858106765399</v>
      </c>
      <c r="G15" s="15">
        <v>7.3740980509281198E-2</v>
      </c>
      <c r="H15" s="16">
        <v>0.93345325730810802</v>
      </c>
      <c r="I15" s="17">
        <v>1.01798568030555</v>
      </c>
      <c r="J15" s="18">
        <v>129</v>
      </c>
      <c r="K15" s="19">
        <v>-0.179856116958893</v>
      </c>
      <c r="L15" s="18">
        <v>60</v>
      </c>
      <c r="M15" s="26">
        <v>5</v>
      </c>
      <c r="N15" s="28">
        <v>8</v>
      </c>
      <c r="O15" s="87">
        <v>86</v>
      </c>
      <c r="P15" s="28">
        <v>40</v>
      </c>
      <c r="S15" s="98">
        <v>-0.21621622976162699</v>
      </c>
      <c r="T15" s="6">
        <v>38</v>
      </c>
      <c r="U15" s="41">
        <v>-0.30255253943715399</v>
      </c>
      <c r="V15" s="94">
        <v>59</v>
      </c>
      <c r="W15" s="97">
        <v>40</v>
      </c>
      <c r="X15" s="41">
        <v>1.3062694336879701</v>
      </c>
      <c r="Y15" s="6">
        <v>129</v>
      </c>
      <c r="Z15" s="41">
        <v>1.3062694336879701</v>
      </c>
      <c r="AA15" s="84">
        <v>129</v>
      </c>
      <c r="AB15" s="91"/>
      <c r="AG15" s="91"/>
      <c r="AL15" s="93">
        <v>7</v>
      </c>
      <c r="AM15" s="41">
        <v>0.68468476337707196</v>
      </c>
      <c r="AN15" s="6">
        <v>129</v>
      </c>
      <c r="AO15" s="41">
        <v>0.68468476337707196</v>
      </c>
      <c r="AP15" s="84">
        <v>129</v>
      </c>
      <c r="AQ15" s="91">
        <v>8</v>
      </c>
      <c r="AR15" s="41">
        <v>0.66964294900801202</v>
      </c>
      <c r="AS15" s="6">
        <v>129</v>
      </c>
      <c r="AT15" s="41">
        <v>0.66964294900801202</v>
      </c>
      <c r="AU15" s="89">
        <v>129</v>
      </c>
      <c r="AV15" s="97">
        <v>86</v>
      </c>
      <c r="AW15" s="41">
        <v>0.249443300554405</v>
      </c>
      <c r="AX15" s="6">
        <v>129</v>
      </c>
      <c r="AY15" s="41">
        <v>0.249443300554405</v>
      </c>
      <c r="AZ15" s="94">
        <v>129</v>
      </c>
    </row>
    <row r="16" spans="1:52" x14ac:dyDescent="0.3">
      <c r="A16" t="s">
        <v>14</v>
      </c>
      <c r="B16" s="25">
        <v>45627</v>
      </c>
      <c r="C16" s="25">
        <v>45658</v>
      </c>
      <c r="D16" s="24">
        <v>1.7250000238418499</v>
      </c>
      <c r="E16" s="2">
        <v>-0.13749998807907099</v>
      </c>
      <c r="F16" s="2">
        <v>0.134868450978786</v>
      </c>
      <c r="G16" s="15">
        <v>0.80289846499210205</v>
      </c>
      <c r="H16" s="16">
        <v>1.4869564652517999</v>
      </c>
      <c r="I16" s="17">
        <v>3.37101441022604</v>
      </c>
      <c r="J16" s="18">
        <v>113</v>
      </c>
      <c r="K16" s="19">
        <v>-1.44927396015118E-2</v>
      </c>
      <c r="L16" s="18">
        <v>7</v>
      </c>
      <c r="M16" s="26">
        <v>1</v>
      </c>
      <c r="N16" s="28">
        <v>11</v>
      </c>
      <c r="O16" s="87">
        <v>13</v>
      </c>
      <c r="S16" s="98">
        <v>3.43529397080101</v>
      </c>
      <c r="T16" s="6">
        <v>113</v>
      </c>
      <c r="U16" s="45">
        <v>3.43529397080101</v>
      </c>
      <c r="V16" s="94">
        <v>113</v>
      </c>
      <c r="W16" s="97"/>
      <c r="Z16" s="45"/>
      <c r="AB16" s="91"/>
      <c r="AE16" s="45"/>
      <c r="AG16" s="91"/>
      <c r="AJ16" s="45"/>
      <c r="AL16" s="93">
        <v>7</v>
      </c>
      <c r="AM16" s="41">
        <v>3.43529397080101</v>
      </c>
      <c r="AN16" s="6">
        <v>113</v>
      </c>
      <c r="AO16" s="45">
        <v>3.43529397080101</v>
      </c>
      <c r="AP16" s="84">
        <v>113</v>
      </c>
      <c r="AQ16" s="91">
        <v>11</v>
      </c>
      <c r="AR16" s="41">
        <v>2.4907405843705299</v>
      </c>
      <c r="AS16" s="6">
        <v>113</v>
      </c>
      <c r="AT16" s="45">
        <v>2.4907405843705299</v>
      </c>
      <c r="AU16" s="89">
        <v>113</v>
      </c>
      <c r="AV16" s="97">
        <v>13</v>
      </c>
      <c r="AW16" s="41">
        <v>2.3511110941569</v>
      </c>
      <c r="AX16" s="6">
        <v>113</v>
      </c>
      <c r="AY16" s="45">
        <v>2.3511110941569</v>
      </c>
      <c r="AZ16" s="94">
        <v>113</v>
      </c>
    </row>
    <row r="17" spans="1:52" x14ac:dyDescent="0.3">
      <c r="A17" t="s">
        <v>17</v>
      </c>
      <c r="B17" s="25">
        <v>45627</v>
      </c>
      <c r="C17" s="25">
        <v>45658</v>
      </c>
      <c r="D17" s="24">
        <v>8.875</v>
      </c>
      <c r="E17" s="2">
        <v>-0.21806170028949701</v>
      </c>
      <c r="F17" s="2">
        <v>-8.5993824394085303E-2</v>
      </c>
      <c r="G17" s="15">
        <v>0.205633781325649</v>
      </c>
      <c r="H17" s="16">
        <v>-6.2535245653609101E-2</v>
      </c>
      <c r="I17" s="17">
        <v>0.345352065395301</v>
      </c>
      <c r="J17" s="18">
        <v>108</v>
      </c>
      <c r="K17" s="19">
        <v>-7.9436611121808998E-2</v>
      </c>
      <c r="L17" s="18">
        <v>28</v>
      </c>
      <c r="M17" s="26">
        <v>30</v>
      </c>
      <c r="N17" s="28">
        <v>75</v>
      </c>
      <c r="O17" s="87">
        <v>99</v>
      </c>
      <c r="S17" s="98">
        <v>0.32962140189706801</v>
      </c>
      <c r="T17" s="6">
        <v>108</v>
      </c>
      <c r="U17" s="41">
        <v>0.32962140189706801</v>
      </c>
      <c r="V17" s="94">
        <v>108</v>
      </c>
      <c r="W17" s="97"/>
      <c r="AB17" s="91"/>
      <c r="AG17" s="91"/>
      <c r="AL17" s="93">
        <v>30</v>
      </c>
      <c r="AM17" s="41">
        <v>0.154738820520709</v>
      </c>
      <c r="AN17" s="6">
        <v>108</v>
      </c>
      <c r="AO17" s="41">
        <v>0.154738820520709</v>
      </c>
      <c r="AP17" s="84">
        <v>108</v>
      </c>
      <c r="AQ17" s="91">
        <v>75</v>
      </c>
      <c r="AR17" s="41">
        <v>0.11588783114224301</v>
      </c>
      <c r="AS17" s="6">
        <v>108</v>
      </c>
      <c r="AT17" s="41">
        <v>0.11588783114224301</v>
      </c>
      <c r="AU17" s="89">
        <v>108</v>
      </c>
      <c r="AV17" s="97">
        <v>99</v>
      </c>
      <c r="AW17" s="41">
        <v>-6.8481536595601203E-2</v>
      </c>
      <c r="AX17" s="6">
        <v>999</v>
      </c>
      <c r="AY17" s="41">
        <v>-6.8481536595601203E-2</v>
      </c>
      <c r="AZ17" s="94">
        <v>999</v>
      </c>
    </row>
    <row r="18" spans="1:52" x14ac:dyDescent="0.3">
      <c r="A18" t="s">
        <v>75</v>
      </c>
      <c r="B18" s="25">
        <v>45597</v>
      </c>
      <c r="C18" s="25">
        <v>45627</v>
      </c>
      <c r="D18" s="24">
        <v>7.5174999237060502</v>
      </c>
      <c r="E18" s="2">
        <v>1.2780303128275701</v>
      </c>
      <c r="F18" s="2">
        <v>1.7138989081117499</v>
      </c>
      <c r="G18" s="15">
        <v>0.31426673956920598</v>
      </c>
      <c r="H18" s="16">
        <v>0.24110409290253099</v>
      </c>
      <c r="I18" s="17">
        <v>1.6844031273667399</v>
      </c>
      <c r="J18" s="18">
        <v>23</v>
      </c>
      <c r="K18" s="19">
        <v>-9.0123016693582206E-2</v>
      </c>
      <c r="L18" s="18">
        <v>8</v>
      </c>
      <c r="M18" s="26">
        <v>4</v>
      </c>
      <c r="N18" s="28">
        <v>22</v>
      </c>
      <c r="O18" s="87">
        <v>22</v>
      </c>
      <c r="S18" s="98">
        <v>0.35521385125263699</v>
      </c>
      <c r="T18" s="6">
        <v>999</v>
      </c>
      <c r="U18" s="41">
        <v>0.35521385125263699</v>
      </c>
      <c r="V18" s="94">
        <v>999</v>
      </c>
      <c r="W18" s="97"/>
      <c r="AB18" s="91"/>
      <c r="AG18" s="91"/>
      <c r="AL18" s="93">
        <v>7</v>
      </c>
      <c r="AM18" s="41">
        <v>0.35521385125263699</v>
      </c>
      <c r="AN18" s="6">
        <v>999</v>
      </c>
      <c r="AO18" s="41">
        <v>0.35521385125263699</v>
      </c>
      <c r="AP18" s="84">
        <v>999</v>
      </c>
      <c r="AQ18" s="91">
        <v>22</v>
      </c>
      <c r="AR18" s="41">
        <v>-0.45570406996113499</v>
      </c>
      <c r="AS18" s="6">
        <v>999</v>
      </c>
      <c r="AT18" s="41">
        <v>-0.45570406996113499</v>
      </c>
      <c r="AU18" s="89">
        <v>999</v>
      </c>
      <c r="AV18" s="97">
        <v>22</v>
      </c>
      <c r="AW18" s="41">
        <v>-0.45570406996113499</v>
      </c>
      <c r="AX18" s="6">
        <v>999</v>
      </c>
      <c r="AY18" s="41">
        <v>-0.45570406996113499</v>
      </c>
      <c r="AZ18" s="94">
        <v>999</v>
      </c>
    </row>
    <row r="19" spans="1:52" x14ac:dyDescent="0.3">
      <c r="A19" t="s">
        <v>11</v>
      </c>
      <c r="B19" s="25">
        <v>45566</v>
      </c>
      <c r="C19" s="25">
        <v>45597</v>
      </c>
      <c r="D19" s="24">
        <v>8</v>
      </c>
      <c r="E19" s="2">
        <v>-0.70046774777070298</v>
      </c>
      <c r="F19" s="2">
        <v>-0.18116687562252301</v>
      </c>
      <c r="G19" s="15">
        <v>0.36249995231628301</v>
      </c>
      <c r="H19" s="16">
        <v>-0.59999999403953497</v>
      </c>
      <c r="I19" s="17">
        <v>1.0374999046325599</v>
      </c>
      <c r="J19" s="18">
        <v>41</v>
      </c>
      <c r="K19" s="19">
        <v>-0.68874999880790699</v>
      </c>
      <c r="L19" s="18">
        <v>142</v>
      </c>
      <c r="M19" s="26">
        <v>2</v>
      </c>
      <c r="N19" s="28">
        <v>6</v>
      </c>
      <c r="O19" s="87">
        <v>18</v>
      </c>
      <c r="P19" s="28">
        <v>103</v>
      </c>
      <c r="Q19" s="28">
        <v>104</v>
      </c>
      <c r="R19" s="28">
        <v>104</v>
      </c>
      <c r="S19" s="98">
        <v>0.735889099157649</v>
      </c>
      <c r="T19" s="6">
        <v>41</v>
      </c>
      <c r="U19" s="41">
        <v>0.735889099157649</v>
      </c>
      <c r="V19" s="94">
        <v>41</v>
      </c>
      <c r="W19" s="97">
        <v>103</v>
      </c>
      <c r="X19" s="41">
        <v>2.3965135274922798E-2</v>
      </c>
      <c r="Y19" s="6">
        <v>130</v>
      </c>
      <c r="Z19" s="41">
        <v>2.3965135274922798E-2</v>
      </c>
      <c r="AA19" s="84">
        <v>130</v>
      </c>
      <c r="AB19" s="91">
        <v>104</v>
      </c>
      <c r="AC19" s="41">
        <v>0.291208817120724</v>
      </c>
      <c r="AD19" s="6">
        <v>130</v>
      </c>
      <c r="AE19" s="41">
        <v>0.291208817120724</v>
      </c>
      <c r="AF19" s="84">
        <v>130</v>
      </c>
      <c r="AG19" s="91">
        <v>104</v>
      </c>
      <c r="AH19" s="41">
        <v>0.291208817120724</v>
      </c>
      <c r="AI19" s="6">
        <v>130</v>
      </c>
      <c r="AJ19" s="41">
        <v>0.291208817120724</v>
      </c>
      <c r="AK19" s="84">
        <v>130</v>
      </c>
      <c r="AL19" s="93">
        <v>7</v>
      </c>
      <c r="AM19" s="41">
        <v>0.735889099157649</v>
      </c>
      <c r="AN19" s="6">
        <v>41</v>
      </c>
      <c r="AO19" s="41">
        <v>0.735889099157649</v>
      </c>
      <c r="AP19" s="84">
        <v>41</v>
      </c>
      <c r="AQ19" s="91">
        <v>7</v>
      </c>
      <c r="AR19" s="41">
        <v>0.735889099157649</v>
      </c>
      <c r="AS19" s="6">
        <v>41</v>
      </c>
      <c r="AT19" s="41">
        <v>0.735889099157649</v>
      </c>
      <c r="AU19" s="89">
        <v>41</v>
      </c>
      <c r="AV19" s="97">
        <v>18</v>
      </c>
      <c r="AW19" s="41">
        <v>-8.9827343594593295E-2</v>
      </c>
      <c r="AX19" s="6">
        <v>999</v>
      </c>
      <c r="AY19" s="41">
        <v>-8.9827343594593295E-2</v>
      </c>
      <c r="AZ19" s="94">
        <v>999</v>
      </c>
    </row>
    <row r="20" spans="1:52" x14ac:dyDescent="0.3">
      <c r="A20" t="s">
        <v>80</v>
      </c>
      <c r="B20" s="25">
        <v>45536</v>
      </c>
      <c r="C20" s="25">
        <v>45566</v>
      </c>
      <c r="D20" s="24">
        <v>50.308662414550703</v>
      </c>
      <c r="E20" s="2">
        <v>-7.5986168498505202E-2</v>
      </c>
      <c r="F20" s="2">
        <v>6.4922656905767401E-2</v>
      </c>
      <c r="G20" s="15">
        <v>1.0035930838935701E-2</v>
      </c>
      <c r="H20" s="16">
        <v>-0.122095623377232</v>
      </c>
      <c r="I20" s="17">
        <v>9.9910116033270394E-2</v>
      </c>
      <c r="J20" s="18">
        <v>43</v>
      </c>
      <c r="K20" s="19">
        <v>-0.39478101266033899</v>
      </c>
      <c r="L20" s="18">
        <v>127</v>
      </c>
      <c r="P20" s="28">
        <v>56</v>
      </c>
      <c r="Q20" s="28">
        <v>126</v>
      </c>
      <c r="R20" s="28">
        <v>126</v>
      </c>
      <c r="S20" s="98">
        <v>0.14644813632054801</v>
      </c>
      <c r="T20" s="6">
        <v>43</v>
      </c>
      <c r="U20" s="41">
        <v>0.14644813632054801</v>
      </c>
      <c r="V20" s="94">
        <v>43</v>
      </c>
      <c r="W20" s="97">
        <v>56</v>
      </c>
      <c r="X20" s="41">
        <v>0.20815161542111801</v>
      </c>
      <c r="Y20" s="6">
        <v>94</v>
      </c>
      <c r="Z20" s="41">
        <v>0.20815161542111801</v>
      </c>
      <c r="AA20" s="84">
        <v>94</v>
      </c>
      <c r="AB20" s="91">
        <v>126</v>
      </c>
      <c r="AC20" s="41">
        <v>0.124556285089632</v>
      </c>
      <c r="AD20" s="6">
        <v>999</v>
      </c>
      <c r="AE20" s="41">
        <v>0.124556285089632</v>
      </c>
      <c r="AF20" s="84">
        <v>999</v>
      </c>
      <c r="AG20" s="91">
        <v>126</v>
      </c>
      <c r="AH20" s="41">
        <v>0.124556285089632</v>
      </c>
      <c r="AI20" s="6">
        <v>999</v>
      </c>
      <c r="AJ20" s="41">
        <v>0.124556285089632</v>
      </c>
      <c r="AK20" s="84">
        <v>999</v>
      </c>
      <c r="AL20" s="93">
        <v>56</v>
      </c>
      <c r="AM20" s="41">
        <v>0.20815161542111801</v>
      </c>
      <c r="AN20" s="6">
        <v>94</v>
      </c>
      <c r="AO20" s="41">
        <v>0.20815161542111801</v>
      </c>
      <c r="AP20" s="84">
        <v>94</v>
      </c>
      <c r="AQ20" s="91">
        <v>126</v>
      </c>
      <c r="AR20" s="41">
        <v>0.124556285089632</v>
      </c>
      <c r="AS20" s="6">
        <v>999</v>
      </c>
      <c r="AT20" s="41">
        <v>0.124556285089632</v>
      </c>
      <c r="AU20" s="89">
        <v>999</v>
      </c>
      <c r="AV20" s="97">
        <v>126</v>
      </c>
      <c r="AW20" s="41">
        <v>0.124556285089632</v>
      </c>
      <c r="AX20" s="6">
        <v>999</v>
      </c>
      <c r="AY20" s="41">
        <v>0.124556285089632</v>
      </c>
      <c r="AZ20" s="94">
        <v>999</v>
      </c>
    </row>
    <row r="21" spans="1:52" x14ac:dyDescent="0.3">
      <c r="A21" t="s">
        <v>78</v>
      </c>
      <c r="B21" s="25">
        <v>45536</v>
      </c>
      <c r="C21" s="25">
        <v>45566</v>
      </c>
      <c r="D21" s="24">
        <v>18.4699993133544</v>
      </c>
      <c r="E21" s="2">
        <v>9.0962727727057699E-2</v>
      </c>
      <c r="F21" s="2">
        <v>-5.1361070121563802E-2</v>
      </c>
      <c r="G21" s="15">
        <v>0.118029257510559</v>
      </c>
      <c r="H21" s="16">
        <v>-0.172171059540982</v>
      </c>
      <c r="I21" s="17">
        <v>0.23064430900123001</v>
      </c>
      <c r="J21" s="18">
        <v>93</v>
      </c>
      <c r="K21" s="19">
        <v>-0.25554951211837601</v>
      </c>
      <c r="L21" s="18">
        <v>129</v>
      </c>
      <c r="M21" s="26">
        <v>20</v>
      </c>
      <c r="N21" s="28">
        <v>43</v>
      </c>
      <c r="P21" s="28">
        <v>108</v>
      </c>
      <c r="Q21" s="28">
        <v>127</v>
      </c>
      <c r="S21" s="98">
        <v>0.23131097884806001</v>
      </c>
      <c r="T21" s="6">
        <v>93</v>
      </c>
      <c r="U21" s="41">
        <v>0.23131097884806001</v>
      </c>
      <c r="V21" s="94">
        <v>93</v>
      </c>
      <c r="W21" s="97">
        <v>108</v>
      </c>
      <c r="X21" s="41">
        <v>-4.3574745065884803E-2</v>
      </c>
      <c r="Y21" s="6">
        <v>999</v>
      </c>
      <c r="Z21" s="41">
        <v>-4.3574745065884803E-2</v>
      </c>
      <c r="AA21" s="84">
        <v>999</v>
      </c>
      <c r="AB21" s="91">
        <v>127</v>
      </c>
      <c r="AC21" s="41">
        <v>5.1142996022930903E-2</v>
      </c>
      <c r="AD21" s="6">
        <v>999</v>
      </c>
      <c r="AE21" s="41">
        <v>5.1142996022930903E-2</v>
      </c>
      <c r="AF21" s="84">
        <v>999</v>
      </c>
      <c r="AG21" s="91"/>
      <c r="AL21" s="93">
        <v>20</v>
      </c>
      <c r="AM21" s="41">
        <v>9.33140231494686E-2</v>
      </c>
      <c r="AN21" s="6">
        <v>93</v>
      </c>
      <c r="AO21" s="41">
        <v>9.33140231494686E-2</v>
      </c>
      <c r="AP21" s="84">
        <v>93</v>
      </c>
      <c r="AQ21" s="91">
        <v>43</v>
      </c>
      <c r="AR21" s="41">
        <v>1.7457447940225801E-2</v>
      </c>
      <c r="AS21" s="6">
        <v>93</v>
      </c>
      <c r="AT21" s="41">
        <v>1.7457447940225801E-2</v>
      </c>
      <c r="AU21" s="89">
        <v>93</v>
      </c>
      <c r="AV21" s="97"/>
    </row>
    <row r="22" spans="1:52" x14ac:dyDescent="0.3">
      <c r="A22" t="s">
        <v>9</v>
      </c>
      <c r="B22" s="25">
        <v>45536</v>
      </c>
      <c r="C22" s="25">
        <v>45566</v>
      </c>
      <c r="D22" s="24">
        <v>14.4799995422363</v>
      </c>
      <c r="E22" s="2">
        <v>-0.375053970886632</v>
      </c>
      <c r="F22" s="2">
        <v>-0.46171004655845099</v>
      </c>
      <c r="G22" s="15">
        <v>-0.58977898860464495</v>
      </c>
      <c r="H22" s="16">
        <v>-0.90676795120717502</v>
      </c>
      <c r="I22" s="17">
        <v>0.29903315335583902</v>
      </c>
      <c r="J22" s="18">
        <v>49</v>
      </c>
      <c r="K22" s="19">
        <v>-0.93191298232014197</v>
      </c>
      <c r="L22" s="18">
        <v>136</v>
      </c>
      <c r="M22" s="26">
        <v>1</v>
      </c>
      <c r="N22" s="28">
        <v>1</v>
      </c>
      <c r="P22" s="28">
        <v>55</v>
      </c>
      <c r="Q22" s="28">
        <v>56</v>
      </c>
      <c r="R22" s="28">
        <v>69</v>
      </c>
      <c r="S22" s="98">
        <v>0.18153262410795101</v>
      </c>
      <c r="T22" s="6">
        <v>49</v>
      </c>
      <c r="U22" s="41">
        <v>0.18153262410795101</v>
      </c>
      <c r="V22" s="94">
        <v>49</v>
      </c>
      <c r="W22" s="97">
        <v>55</v>
      </c>
      <c r="X22" s="41">
        <v>-0.62374362531556304</v>
      </c>
      <c r="Y22" s="6">
        <v>999</v>
      </c>
      <c r="Z22" s="41">
        <v>-0.62374362531556304</v>
      </c>
      <c r="AA22" s="84">
        <v>999</v>
      </c>
      <c r="AB22" s="91">
        <v>56</v>
      </c>
      <c r="AC22" s="41">
        <v>-0.60009590007077096</v>
      </c>
      <c r="AD22" s="6">
        <v>999</v>
      </c>
      <c r="AE22" s="41">
        <v>-0.60009590007077096</v>
      </c>
      <c r="AF22" s="84">
        <v>999</v>
      </c>
      <c r="AG22" s="91">
        <v>69</v>
      </c>
      <c r="AH22" s="41">
        <v>-0.50977691577312401</v>
      </c>
      <c r="AI22" s="6">
        <v>999</v>
      </c>
      <c r="AJ22" s="41">
        <v>-0.50977691577312401</v>
      </c>
      <c r="AK22" s="84">
        <v>999</v>
      </c>
      <c r="AL22" s="93">
        <v>7</v>
      </c>
      <c r="AM22" s="41">
        <v>0.18153262410795101</v>
      </c>
      <c r="AN22" s="6">
        <v>49</v>
      </c>
      <c r="AO22" s="41">
        <v>0.18153262410795101</v>
      </c>
      <c r="AP22" s="84">
        <v>49</v>
      </c>
      <c r="AQ22" s="91">
        <v>7</v>
      </c>
      <c r="AR22" s="41">
        <v>0.18153262410795101</v>
      </c>
      <c r="AS22" s="6">
        <v>49</v>
      </c>
      <c r="AT22" s="41">
        <v>0.18153262410795101</v>
      </c>
      <c r="AU22" s="89">
        <v>49</v>
      </c>
      <c r="AV22" s="97">
        <v>69</v>
      </c>
      <c r="AW22" s="41">
        <v>-0.50977691577312401</v>
      </c>
      <c r="AX22" s="6">
        <v>999</v>
      </c>
      <c r="AY22" s="41">
        <v>-0.50977691577312401</v>
      </c>
      <c r="AZ22" s="94">
        <v>999</v>
      </c>
    </row>
    <row r="23" spans="1:52" x14ac:dyDescent="0.3">
      <c r="A23" t="s">
        <v>73</v>
      </c>
      <c r="B23" s="25">
        <v>45536</v>
      </c>
      <c r="C23" s="25">
        <v>45566</v>
      </c>
      <c r="J23" s="18">
        <v>67</v>
      </c>
      <c r="L23" s="18">
        <v>128</v>
      </c>
      <c r="T23" s="6">
        <v>67</v>
      </c>
      <c r="V23" s="94">
        <v>67</v>
      </c>
      <c r="W23" s="97"/>
      <c r="AB23" s="91"/>
      <c r="AG23" s="91"/>
      <c r="AL23" s="93"/>
      <c r="AQ23" s="91"/>
      <c r="AV23" s="97"/>
    </row>
    <row r="24" spans="1:52" x14ac:dyDescent="0.3">
      <c r="A24" t="s">
        <v>76</v>
      </c>
      <c r="B24" s="25">
        <v>45505</v>
      </c>
      <c r="C24" s="25">
        <v>45536</v>
      </c>
      <c r="D24" s="24">
        <v>2.79500007629394</v>
      </c>
      <c r="E24" s="2">
        <v>-0.35894495626058098</v>
      </c>
      <c r="F24" s="2">
        <v>-0.15303026767254199</v>
      </c>
      <c r="G24" s="15">
        <v>-0.27370307120654203</v>
      </c>
      <c r="H24" s="16">
        <v>-0.83542039506682497</v>
      </c>
      <c r="I24" s="17">
        <v>5.18783459636886E-2</v>
      </c>
      <c r="J24" s="18">
        <v>10</v>
      </c>
      <c r="K24" s="19">
        <v>-0.867620753249146</v>
      </c>
      <c r="L24" s="18">
        <v>149</v>
      </c>
      <c r="P24" s="28">
        <v>22</v>
      </c>
      <c r="Q24" s="28">
        <v>51</v>
      </c>
      <c r="R24" s="28">
        <v>89</v>
      </c>
      <c r="S24" s="98">
        <v>-0.22222218424236001</v>
      </c>
      <c r="T24" s="6">
        <v>51</v>
      </c>
      <c r="U24" s="41">
        <v>-0.31899641500488601</v>
      </c>
      <c r="V24" s="94">
        <v>89</v>
      </c>
      <c r="W24" s="97">
        <v>22</v>
      </c>
      <c r="X24" s="41">
        <v>-0.30049789789030201</v>
      </c>
      <c r="Y24" s="6">
        <v>999</v>
      </c>
      <c r="Z24" s="41">
        <v>-0.30049789789030201</v>
      </c>
      <c r="AA24" s="84">
        <v>999</v>
      </c>
      <c r="AB24" s="91">
        <v>51</v>
      </c>
      <c r="AC24" s="41">
        <v>-0.30078343339771701</v>
      </c>
      <c r="AD24" s="6">
        <v>999</v>
      </c>
      <c r="AE24" s="41">
        <v>-0.30078343339771701</v>
      </c>
      <c r="AF24" s="84">
        <v>999</v>
      </c>
      <c r="AG24" s="91">
        <v>89</v>
      </c>
      <c r="AH24" s="41">
        <v>-0.41069608880489</v>
      </c>
      <c r="AI24" s="6">
        <v>999</v>
      </c>
      <c r="AJ24" s="41">
        <v>-0.41069608880489</v>
      </c>
      <c r="AK24" s="84">
        <v>999</v>
      </c>
      <c r="AL24" s="93">
        <v>22</v>
      </c>
      <c r="AM24" s="41">
        <v>-0.30049789789030201</v>
      </c>
      <c r="AN24" s="6">
        <v>999</v>
      </c>
      <c r="AO24" s="41">
        <v>-0.30049789789030201</v>
      </c>
      <c r="AP24" s="84">
        <v>999</v>
      </c>
      <c r="AQ24" s="91">
        <v>51</v>
      </c>
      <c r="AR24" s="41">
        <v>-0.30078343339771701</v>
      </c>
      <c r="AS24" s="6">
        <v>999</v>
      </c>
      <c r="AT24" s="41">
        <v>-0.30078343339771701</v>
      </c>
      <c r="AU24" s="89">
        <v>999</v>
      </c>
      <c r="AV24" s="97">
        <v>89</v>
      </c>
      <c r="AW24" s="41">
        <v>-0.41069608880489</v>
      </c>
      <c r="AX24" s="6">
        <v>999</v>
      </c>
      <c r="AY24" s="41">
        <v>-0.41069608880489</v>
      </c>
      <c r="AZ24" s="94">
        <v>999</v>
      </c>
    </row>
    <row r="25" spans="1:52" x14ac:dyDescent="0.3">
      <c r="A25" t="s">
        <v>10</v>
      </c>
      <c r="B25" s="25">
        <v>45505</v>
      </c>
      <c r="C25" s="25">
        <v>45536</v>
      </c>
      <c r="D25" s="24">
        <v>45.574998855590799</v>
      </c>
      <c r="E25" s="2">
        <v>-5.1706251491728403E-2</v>
      </c>
      <c r="F25" s="2">
        <v>5.7915434505334297E-2</v>
      </c>
      <c r="G25" s="15">
        <v>-0.18902907268117899</v>
      </c>
      <c r="H25" s="16">
        <v>-0.32046077693855302</v>
      </c>
      <c r="I25" s="17">
        <v>7.3176106978929095E-2</v>
      </c>
      <c r="J25" s="18">
        <v>30</v>
      </c>
      <c r="K25" s="19">
        <v>-0.429292355852881</v>
      </c>
      <c r="L25" s="18">
        <v>149</v>
      </c>
      <c r="P25" s="28">
        <v>5</v>
      </c>
      <c r="Q25" s="28">
        <v>127</v>
      </c>
      <c r="R25" s="28">
        <v>129</v>
      </c>
      <c r="S25" s="98">
        <v>0.181686411419576</v>
      </c>
      <c r="T25" s="6">
        <v>30</v>
      </c>
      <c r="U25" s="41">
        <v>0.181686411419576</v>
      </c>
      <c r="V25" s="94">
        <v>30</v>
      </c>
      <c r="W25" s="97">
        <v>7</v>
      </c>
      <c r="X25" s="41">
        <v>-1.5667350644016202E-2</v>
      </c>
      <c r="Y25" s="6">
        <v>999</v>
      </c>
      <c r="Z25" s="41">
        <v>-1.5667350644016202E-2</v>
      </c>
      <c r="AA25" s="84">
        <v>999</v>
      </c>
      <c r="AB25" s="91">
        <v>127</v>
      </c>
      <c r="AC25" s="41">
        <v>-0.105031531581028</v>
      </c>
      <c r="AD25" s="6">
        <v>999</v>
      </c>
      <c r="AE25" s="41">
        <v>-0.105031531581028</v>
      </c>
      <c r="AF25" s="84">
        <v>999</v>
      </c>
      <c r="AG25" s="91">
        <v>129</v>
      </c>
      <c r="AH25" s="41">
        <v>-5.3154629968879099E-3</v>
      </c>
      <c r="AI25" s="6">
        <v>999</v>
      </c>
      <c r="AJ25" s="41">
        <v>-5.3154629968879099E-3</v>
      </c>
      <c r="AK25" s="84">
        <v>999</v>
      </c>
      <c r="AL25" s="93">
        <v>7</v>
      </c>
      <c r="AM25" s="41">
        <v>-1.5667350644016202E-2</v>
      </c>
      <c r="AN25" s="6">
        <v>999</v>
      </c>
      <c r="AO25" s="41">
        <v>-1.5667350644016202E-2</v>
      </c>
      <c r="AP25" s="84">
        <v>999</v>
      </c>
      <c r="AQ25" s="91">
        <v>127</v>
      </c>
      <c r="AR25" s="41">
        <v>-0.105031531581028</v>
      </c>
      <c r="AS25" s="6">
        <v>999</v>
      </c>
      <c r="AT25" s="41">
        <v>-0.105031531581028</v>
      </c>
      <c r="AU25" s="89">
        <v>999</v>
      </c>
      <c r="AV25" s="97">
        <v>129</v>
      </c>
      <c r="AW25" s="41">
        <v>-5.3154629968879099E-3</v>
      </c>
      <c r="AX25" s="6">
        <v>999</v>
      </c>
      <c r="AY25" s="41">
        <v>-5.3154629968879099E-3</v>
      </c>
      <c r="AZ25" s="94">
        <v>999</v>
      </c>
    </row>
    <row r="26" spans="1:52" x14ac:dyDescent="0.3">
      <c r="A26" t="s">
        <v>79</v>
      </c>
      <c r="B26" s="25">
        <v>45444</v>
      </c>
      <c r="C26" s="25">
        <v>45474</v>
      </c>
      <c r="T26" s="6">
        <v>999</v>
      </c>
      <c r="V26" s="94">
        <v>999</v>
      </c>
      <c r="W26" s="97"/>
      <c r="AB26" s="91"/>
      <c r="AG26" s="91"/>
      <c r="AL26" s="93"/>
      <c r="AQ26" s="91"/>
      <c r="AV26" s="97"/>
    </row>
    <row r="27" spans="1:52" x14ac:dyDescent="0.3">
      <c r="A27" t="s">
        <v>52</v>
      </c>
      <c r="B27" s="25">
        <v>45413</v>
      </c>
      <c r="C27" s="25">
        <v>45444</v>
      </c>
      <c r="D27" s="24">
        <v>31.334048271179199</v>
      </c>
      <c r="E27" s="2">
        <v>-0.110915428738056</v>
      </c>
      <c r="F27" s="2">
        <v>-7.2890663853151204E-3</v>
      </c>
      <c r="G27" s="15">
        <v>0.27965024244637898</v>
      </c>
      <c r="H27" s="16">
        <v>0.121187397262325</v>
      </c>
      <c r="I27" s="17">
        <v>0.32744053157080499</v>
      </c>
      <c r="J27" s="18">
        <v>122</v>
      </c>
      <c r="K27" s="19">
        <v>-5.5460120974073199E-2</v>
      </c>
      <c r="L27" s="18">
        <v>19</v>
      </c>
      <c r="M27" s="26">
        <v>27</v>
      </c>
      <c r="N27" s="28">
        <v>34</v>
      </c>
      <c r="O27" s="87">
        <v>111</v>
      </c>
      <c r="S27" s="98">
        <v>0.36870931057465101</v>
      </c>
      <c r="T27" s="6">
        <v>122</v>
      </c>
      <c r="U27" s="41">
        <v>0.36870931057465101</v>
      </c>
      <c r="V27" s="94">
        <v>122</v>
      </c>
      <c r="W27" s="97"/>
      <c r="AB27" s="91"/>
      <c r="AG27" s="91"/>
      <c r="AL27" s="93">
        <v>27</v>
      </c>
      <c r="AM27" s="41">
        <v>0.20558274889460601</v>
      </c>
      <c r="AN27" s="6">
        <v>122</v>
      </c>
      <c r="AO27" s="41">
        <v>0.20558274889460601</v>
      </c>
      <c r="AP27" s="84">
        <v>122</v>
      </c>
      <c r="AQ27" s="91">
        <v>34</v>
      </c>
      <c r="AR27" s="41">
        <v>8.9352209667661095E-2</v>
      </c>
      <c r="AS27" s="6">
        <v>122</v>
      </c>
      <c r="AT27" s="41">
        <v>8.9352209667661095E-2</v>
      </c>
      <c r="AU27" s="89">
        <v>122</v>
      </c>
      <c r="AV27" s="97">
        <v>111</v>
      </c>
      <c r="AW27" s="41">
        <v>-5.11916031868212E-2</v>
      </c>
      <c r="AX27" s="6">
        <v>999</v>
      </c>
      <c r="AY27" s="41">
        <v>-5.11916031868212E-2</v>
      </c>
      <c r="AZ27" s="94">
        <v>999</v>
      </c>
    </row>
    <row r="28" spans="1:52" ht="15" customHeight="1" x14ac:dyDescent="0.3">
      <c r="A28" t="s">
        <v>77</v>
      </c>
      <c r="B28" s="25">
        <v>45413</v>
      </c>
      <c r="C28" s="25">
        <v>45444</v>
      </c>
      <c r="D28" s="24">
        <v>4.8611931800842196</v>
      </c>
      <c r="E28" s="2">
        <v>0.17442448118836501</v>
      </c>
      <c r="F28" s="2">
        <v>0.19407874200939099</v>
      </c>
      <c r="G28" s="15">
        <v>0.10812022096664101</v>
      </c>
      <c r="H28" s="16">
        <v>-0.23222503426058</v>
      </c>
      <c r="I28" s="17">
        <v>0.223349457132512</v>
      </c>
      <c r="J28" s="18">
        <v>71</v>
      </c>
      <c r="K28" s="19">
        <v>-0.27139725391555403</v>
      </c>
      <c r="L28" s="18">
        <v>145</v>
      </c>
      <c r="M28" s="26">
        <v>71</v>
      </c>
      <c r="N28" s="28">
        <v>71</v>
      </c>
      <c r="P28" s="28">
        <v>15</v>
      </c>
      <c r="Q28" s="28">
        <v>19</v>
      </c>
      <c r="S28" s="98">
        <v>0.33782488288056101</v>
      </c>
      <c r="T28" s="6">
        <v>71</v>
      </c>
      <c r="U28" s="41">
        <v>0.33782488288056101</v>
      </c>
      <c r="V28" s="94">
        <v>71</v>
      </c>
      <c r="W28" s="97">
        <v>15</v>
      </c>
      <c r="X28" s="41">
        <v>0.37474999801585701</v>
      </c>
      <c r="Y28" s="6">
        <v>71</v>
      </c>
      <c r="Z28" s="41">
        <v>0.37474999801585701</v>
      </c>
      <c r="AA28" s="84">
        <v>71</v>
      </c>
      <c r="AB28" s="91">
        <v>19</v>
      </c>
      <c r="AC28" s="41">
        <v>0.58314728710805797</v>
      </c>
      <c r="AD28" s="6">
        <v>71</v>
      </c>
      <c r="AE28" s="41">
        <v>0.58314728710805797</v>
      </c>
      <c r="AF28" s="84">
        <v>71</v>
      </c>
      <c r="AG28" s="91"/>
      <c r="AL28" s="93">
        <v>15</v>
      </c>
      <c r="AM28" s="41">
        <v>0.37474999801585701</v>
      </c>
      <c r="AN28" s="6">
        <v>71</v>
      </c>
      <c r="AO28" s="41">
        <v>0.37474999801585701</v>
      </c>
      <c r="AP28" s="84">
        <v>71</v>
      </c>
      <c r="AQ28" s="91">
        <v>19</v>
      </c>
      <c r="AR28" s="41">
        <v>0.58314728710805797</v>
      </c>
      <c r="AS28" s="6">
        <v>71</v>
      </c>
      <c r="AT28" s="41">
        <v>0.58314728710805797</v>
      </c>
      <c r="AU28" s="89">
        <v>71</v>
      </c>
      <c r="AV28" s="97"/>
    </row>
    <row r="29" spans="1:52" x14ac:dyDescent="0.3">
      <c r="A29" t="s">
        <v>23</v>
      </c>
      <c r="B29" s="25">
        <v>45383</v>
      </c>
      <c r="C29" s="25">
        <v>45413</v>
      </c>
      <c r="D29" s="24">
        <v>37.639999389648402</v>
      </c>
      <c r="E29" s="2">
        <v>1.5432431692272499</v>
      </c>
      <c r="F29" s="2">
        <v>0.49543103995057902</v>
      </c>
      <c r="G29" s="15">
        <v>-4.3570653991547602E-2</v>
      </c>
      <c r="H29" s="16">
        <v>0.83581295416079704</v>
      </c>
      <c r="I29" s="17">
        <v>0.83581295416079704</v>
      </c>
      <c r="J29" s="18">
        <v>150</v>
      </c>
      <c r="K29" s="19">
        <v>-0.26647181035967998</v>
      </c>
      <c r="L29" s="18">
        <v>67</v>
      </c>
      <c r="M29" s="26">
        <v>82</v>
      </c>
      <c r="N29" s="28">
        <v>97</v>
      </c>
      <c r="O29" s="87">
        <v>132</v>
      </c>
      <c r="P29" s="28">
        <v>26</v>
      </c>
      <c r="Q29" s="28">
        <v>30</v>
      </c>
      <c r="S29" s="98">
        <v>-0.21242737597873801</v>
      </c>
      <c r="T29" s="6">
        <v>26</v>
      </c>
      <c r="U29" s="41">
        <v>-0.30260165435875103</v>
      </c>
      <c r="V29" s="94">
        <v>67</v>
      </c>
      <c r="W29" s="97">
        <v>26</v>
      </c>
      <c r="X29" s="41">
        <v>1.21616413719696</v>
      </c>
      <c r="Y29" s="6">
        <v>150</v>
      </c>
      <c r="Z29" s="41">
        <v>1.21616413719696</v>
      </c>
      <c r="AA29" s="84">
        <v>150</v>
      </c>
      <c r="AB29" s="91">
        <v>30</v>
      </c>
      <c r="AC29" s="41">
        <v>1.3250336497508399</v>
      </c>
      <c r="AD29" s="6">
        <v>150</v>
      </c>
      <c r="AE29" s="41">
        <v>1.3250336497508399</v>
      </c>
      <c r="AF29" s="84">
        <v>150</v>
      </c>
      <c r="AG29" s="91"/>
      <c r="AL29" s="93">
        <v>26</v>
      </c>
      <c r="AM29" s="41">
        <v>1.21616413719696</v>
      </c>
      <c r="AN29" s="6">
        <v>150</v>
      </c>
      <c r="AO29" s="41">
        <v>1.21616413719696</v>
      </c>
      <c r="AP29" s="84">
        <v>150</v>
      </c>
      <c r="AQ29" s="91">
        <v>30</v>
      </c>
      <c r="AR29" s="41">
        <v>1.3250336497508399</v>
      </c>
      <c r="AS29" s="6">
        <v>150</v>
      </c>
      <c r="AT29" s="41">
        <v>1.3250336497508399</v>
      </c>
      <c r="AU29" s="89">
        <v>150</v>
      </c>
      <c r="AV29" s="97">
        <v>132</v>
      </c>
      <c r="AW29" s="41">
        <v>7.31305884249112E-2</v>
      </c>
      <c r="AX29" s="6">
        <v>999</v>
      </c>
      <c r="AY29" s="41">
        <v>7.31305884249112E-2</v>
      </c>
      <c r="AZ29" s="94">
        <v>999</v>
      </c>
    </row>
  </sheetData>
  <autoFilter ref="A4:AZ72" xr:uid="{A63CA558-3F40-463D-93F5-3E4C2572FE45}">
    <sortState xmlns:xlrd2="http://schemas.microsoft.com/office/spreadsheetml/2017/richdata2" ref="A5:AZ29">
      <sortCondition descending="1" ref="C4:C72"/>
    </sortState>
  </autoFilter>
  <mergeCells count="29"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  <mergeCell ref="AB2:AF2"/>
    <mergeCell ref="AG2:AK2"/>
    <mergeCell ref="AL2:AP2"/>
    <mergeCell ref="AQ2:AU2"/>
    <mergeCell ref="AV2:AZ2"/>
    <mergeCell ref="S3:T3"/>
    <mergeCell ref="U3:V3"/>
    <mergeCell ref="X3:Y3"/>
    <mergeCell ref="Z3:AA3"/>
    <mergeCell ref="AC3:AD3"/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CA558-3F40-463D-93F5-3E4C2572FE45}">
  <dimension ref="A1:AZ33"/>
  <sheetViews>
    <sheetView tabSelected="1" zoomScale="85" zoomScaleNormal="85" workbookViewId="0">
      <pane xSplit="4" ySplit="4" topLeftCell="S5" activePane="bottomRight" state="frozen"/>
      <selection pane="topRight" activeCell="D1" sqref="D1"/>
      <selection pane="bottomLeft" activeCell="A2" sqref="A2"/>
      <selection pane="bottomRight" activeCell="BC3" sqref="BC3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hidden="1" customWidth="1" outlineLevel="1"/>
    <col min="7" max="7" width="9.88671875" style="15" hidden="1" customWidth="1" outlineLevel="1"/>
    <col min="8" max="8" width="9.88671875" style="16" hidden="1" customWidth="1" outlineLevel="1"/>
    <col min="9" max="9" width="6.88671875" style="17" hidden="1" customWidth="1" outlineLevel="1"/>
    <col min="10" max="10" width="12.33203125" style="18" hidden="1" customWidth="1" outlineLevel="1"/>
    <col min="11" max="11" width="6.6640625" style="19" hidden="1" customWidth="1" outlineLevel="1"/>
    <col min="12" max="12" width="12.109375" style="18" hidden="1" customWidth="1" outlineLevel="1"/>
    <col min="13" max="13" width="10.109375" style="26" hidden="1" customWidth="1" outlineLevel="1"/>
    <col min="14" max="14" width="10.109375" style="28" hidden="1" customWidth="1" outlineLevel="1"/>
    <col min="15" max="15" width="10.109375" style="87" hidden="1" customWidth="1" outlineLevel="1"/>
    <col min="16" max="18" width="10.109375" style="28" hidden="1" customWidth="1" outlineLevel="1"/>
    <col min="19" max="19" width="6.5546875" style="98" bestFit="1" customWidth="1" collapsed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15"/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6"/>
      <c r="Q1" s="115"/>
      <c r="R1" s="115"/>
      <c r="S1" s="117" t="s">
        <v>65</v>
      </c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8"/>
    </row>
    <row r="2" spans="1:52" s="34" customFormat="1" ht="30.6" customHeight="1" x14ac:dyDescent="0.3">
      <c r="B2" s="119" t="s">
        <v>37</v>
      </c>
      <c r="C2" s="119"/>
      <c r="D2" s="119"/>
      <c r="E2" s="120" t="s">
        <v>30</v>
      </c>
      <c r="F2" s="120"/>
      <c r="G2" s="121" t="s">
        <v>31</v>
      </c>
      <c r="H2" s="122"/>
      <c r="I2" s="121" t="s">
        <v>59</v>
      </c>
      <c r="J2" s="123"/>
      <c r="K2" s="122"/>
      <c r="L2" s="123"/>
      <c r="M2" s="124" t="s">
        <v>100</v>
      </c>
      <c r="N2" s="125"/>
      <c r="O2" s="126"/>
      <c r="P2" s="125" t="s">
        <v>101</v>
      </c>
      <c r="Q2" s="125"/>
      <c r="R2" s="126"/>
      <c r="S2" s="127" t="s">
        <v>98</v>
      </c>
      <c r="T2" s="128"/>
      <c r="U2" s="128"/>
      <c r="V2" s="129"/>
      <c r="W2" s="130" t="s">
        <v>102</v>
      </c>
      <c r="X2" s="131"/>
      <c r="Y2" s="131"/>
      <c r="Z2" s="131"/>
      <c r="AA2" s="132"/>
      <c r="AB2" s="133" t="s">
        <v>103</v>
      </c>
      <c r="AC2" s="134"/>
      <c r="AD2" s="134"/>
      <c r="AE2" s="134"/>
      <c r="AF2" s="135"/>
      <c r="AG2" s="136" t="s">
        <v>104</v>
      </c>
      <c r="AH2" s="137"/>
      <c r="AI2" s="137"/>
      <c r="AJ2" s="137"/>
      <c r="AK2" s="138"/>
      <c r="AL2" s="139" t="s">
        <v>107</v>
      </c>
      <c r="AM2" s="140"/>
      <c r="AN2" s="140"/>
      <c r="AO2" s="140"/>
      <c r="AP2" s="141"/>
      <c r="AQ2" s="142" t="s">
        <v>108</v>
      </c>
      <c r="AR2" s="143"/>
      <c r="AS2" s="143"/>
      <c r="AT2" s="143"/>
      <c r="AU2" s="144"/>
      <c r="AV2" s="145" t="s">
        <v>109</v>
      </c>
      <c r="AW2" s="145"/>
      <c r="AX2" s="145"/>
      <c r="AY2" s="145"/>
      <c r="AZ2" s="146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14" t="s">
        <v>97</v>
      </c>
      <c r="T3" s="112"/>
      <c r="U3" s="110" t="s">
        <v>99</v>
      </c>
      <c r="V3" s="113"/>
      <c r="W3" s="96"/>
      <c r="X3" s="112" t="s">
        <v>97</v>
      </c>
      <c r="Y3" s="112"/>
      <c r="Z3" s="110" t="s">
        <v>99</v>
      </c>
      <c r="AA3" s="111"/>
      <c r="AB3" s="90"/>
      <c r="AC3" s="112" t="s">
        <v>97</v>
      </c>
      <c r="AD3" s="112"/>
      <c r="AE3" s="110" t="s">
        <v>99</v>
      </c>
      <c r="AF3" s="111"/>
      <c r="AG3" s="90"/>
      <c r="AH3" s="112" t="s">
        <v>97</v>
      </c>
      <c r="AI3" s="112"/>
      <c r="AJ3" s="110" t="s">
        <v>99</v>
      </c>
      <c r="AK3" s="113"/>
      <c r="AL3" s="92"/>
      <c r="AM3" s="112" t="s">
        <v>97</v>
      </c>
      <c r="AN3" s="112"/>
      <c r="AO3" s="110" t="s">
        <v>99</v>
      </c>
      <c r="AP3" s="110"/>
      <c r="AQ3" s="90"/>
      <c r="AR3" s="112" t="s">
        <v>97</v>
      </c>
      <c r="AS3" s="112"/>
      <c r="AT3" s="110" t="s">
        <v>99</v>
      </c>
      <c r="AU3" s="111"/>
      <c r="AV3" s="96"/>
      <c r="AW3" s="112" t="s">
        <v>97</v>
      </c>
      <c r="AX3" s="112"/>
      <c r="AY3" s="110" t="s">
        <v>99</v>
      </c>
      <c r="AZ3" s="113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43</v>
      </c>
      <c r="B5" s="25">
        <v>45839</v>
      </c>
      <c r="C5" s="25">
        <v>45870</v>
      </c>
      <c r="D5" s="24">
        <v>8.7600002288818306</v>
      </c>
      <c r="E5" s="2">
        <v>-0.21152110714810199</v>
      </c>
      <c r="F5" s="2">
        <v>0</v>
      </c>
      <c r="I5" s="17">
        <v>0.21118714377380199</v>
      </c>
      <c r="J5" s="18">
        <v>28</v>
      </c>
      <c r="K5" s="19">
        <v>-7.6484024975815093E-2</v>
      </c>
      <c r="L5" s="18">
        <v>2</v>
      </c>
      <c r="M5" s="26">
        <v>23</v>
      </c>
      <c r="N5" s="28">
        <v>28</v>
      </c>
      <c r="S5" s="98">
        <v>0.16593397933063</v>
      </c>
      <c r="T5" s="6">
        <v>28</v>
      </c>
      <c r="U5" s="41">
        <v>0.16593397933063</v>
      </c>
      <c r="V5" s="94">
        <v>28</v>
      </c>
      <c r="W5" s="97"/>
      <c r="AB5" s="91"/>
      <c r="AG5" s="91"/>
      <c r="AL5" s="93">
        <v>23</v>
      </c>
      <c r="AM5" s="41">
        <v>5.3386739587740498E-2</v>
      </c>
      <c r="AN5" s="6">
        <v>999</v>
      </c>
      <c r="AO5" s="41">
        <v>5.3386739587740498E-2</v>
      </c>
      <c r="AP5" s="84">
        <v>999</v>
      </c>
      <c r="AQ5" s="91">
        <v>28</v>
      </c>
      <c r="AR5" s="41">
        <v>-2.1049327614642999E-2</v>
      </c>
      <c r="AS5" s="6">
        <v>999</v>
      </c>
      <c r="AT5" s="41">
        <v>-2.1049327614642999E-2</v>
      </c>
      <c r="AU5" s="89">
        <v>999</v>
      </c>
      <c r="AV5" s="97"/>
    </row>
    <row r="6" spans="1:52" x14ac:dyDescent="0.3">
      <c r="A6" t="s">
        <v>49</v>
      </c>
      <c r="B6" s="25">
        <v>45839</v>
      </c>
      <c r="C6" s="25">
        <v>45870</v>
      </c>
      <c r="D6" s="24">
        <v>12.310000419616699</v>
      </c>
      <c r="E6" s="2">
        <v>-0.51189529124616895</v>
      </c>
      <c r="F6" s="2">
        <v>8.19003940682261E-3</v>
      </c>
      <c r="I6" s="17">
        <v>0.29894388513887998</v>
      </c>
      <c r="J6" s="18">
        <v>24</v>
      </c>
      <c r="K6" s="19">
        <v>0</v>
      </c>
      <c r="L6" s="18">
        <v>0</v>
      </c>
      <c r="M6" s="26">
        <v>7</v>
      </c>
      <c r="N6" s="28">
        <v>15</v>
      </c>
      <c r="S6" s="98">
        <v>7.4618704583888307E-2</v>
      </c>
      <c r="T6" s="6">
        <v>999</v>
      </c>
      <c r="U6" s="41">
        <v>7.4618704583888307E-2</v>
      </c>
      <c r="V6" s="94">
        <v>999</v>
      </c>
      <c r="W6" s="97"/>
      <c r="AB6" s="91"/>
      <c r="AG6" s="91"/>
      <c r="AL6" s="93">
        <v>7</v>
      </c>
      <c r="AM6" s="41">
        <v>7.4618704583888307E-2</v>
      </c>
      <c r="AN6" s="6">
        <v>999</v>
      </c>
      <c r="AO6" s="41">
        <v>7.4618704583888307E-2</v>
      </c>
      <c r="AP6" s="84">
        <v>999</v>
      </c>
      <c r="AQ6" s="91">
        <v>15</v>
      </c>
      <c r="AR6" s="41">
        <v>2.10296382538669E-2</v>
      </c>
      <c r="AS6" s="6">
        <v>999</v>
      </c>
      <c r="AT6" s="41">
        <v>2.10296382538669E-2</v>
      </c>
      <c r="AU6" s="89">
        <v>999</v>
      </c>
      <c r="AV6" s="97"/>
    </row>
    <row r="7" spans="1:52" x14ac:dyDescent="0.3">
      <c r="A7" t="s">
        <v>58</v>
      </c>
      <c r="B7" s="25">
        <v>45809</v>
      </c>
      <c r="C7" s="25">
        <v>45839</v>
      </c>
      <c r="D7" s="24">
        <v>5.2399997711181596</v>
      </c>
      <c r="E7" s="2">
        <v>-0.29093371234252602</v>
      </c>
      <c r="F7" s="2">
        <v>-3.4990803540889202E-2</v>
      </c>
      <c r="I7" s="17">
        <v>9.5420215494004205E-3</v>
      </c>
      <c r="J7" s="18">
        <v>2</v>
      </c>
      <c r="K7" s="19">
        <v>-0.33587782994675802</v>
      </c>
      <c r="L7" s="18">
        <v>28</v>
      </c>
      <c r="P7" s="28">
        <v>8</v>
      </c>
      <c r="Q7" s="28">
        <v>22</v>
      </c>
      <c r="R7" s="28">
        <v>28</v>
      </c>
      <c r="S7" s="98">
        <v>-0.211934193726765</v>
      </c>
      <c r="T7" s="6">
        <v>24</v>
      </c>
      <c r="U7" s="41">
        <v>6.5843556796945493E-2</v>
      </c>
      <c r="V7" s="94">
        <v>45</v>
      </c>
      <c r="W7" s="97">
        <v>8</v>
      </c>
      <c r="X7" s="41">
        <v>0.116379305472271</v>
      </c>
      <c r="Y7" s="6">
        <v>45</v>
      </c>
      <c r="Z7" s="41">
        <v>0.116379305472271</v>
      </c>
      <c r="AA7" s="84">
        <v>45</v>
      </c>
      <c r="AB7" s="91">
        <v>22</v>
      </c>
      <c r="AC7" s="41">
        <v>0.150456167606969</v>
      </c>
      <c r="AD7" s="6">
        <v>999</v>
      </c>
      <c r="AE7" s="41">
        <v>0.150456167606969</v>
      </c>
      <c r="AF7" s="84">
        <v>999</v>
      </c>
      <c r="AG7" s="91">
        <v>28</v>
      </c>
      <c r="AH7" s="41">
        <v>0.35620689470901201</v>
      </c>
      <c r="AI7" s="6">
        <v>999</v>
      </c>
      <c r="AJ7" s="41">
        <v>0.35620689470901201</v>
      </c>
      <c r="AK7" s="84">
        <v>999</v>
      </c>
      <c r="AL7" s="93">
        <v>8</v>
      </c>
      <c r="AM7" s="41">
        <v>0.116379305472271</v>
      </c>
      <c r="AN7" s="6">
        <v>45</v>
      </c>
      <c r="AO7" s="41">
        <v>0.116379305472271</v>
      </c>
      <c r="AP7" s="84">
        <v>45</v>
      </c>
      <c r="AQ7" s="91">
        <v>22</v>
      </c>
      <c r="AR7" s="41">
        <v>0.150456167606969</v>
      </c>
      <c r="AS7" s="6">
        <v>999</v>
      </c>
      <c r="AT7" s="41">
        <v>0.150456167606969</v>
      </c>
      <c r="AU7" s="89">
        <v>999</v>
      </c>
      <c r="AV7" s="97">
        <v>28</v>
      </c>
      <c r="AW7" s="41">
        <v>0.35620689470901201</v>
      </c>
      <c r="AX7" s="6">
        <v>999</v>
      </c>
      <c r="AY7" s="41">
        <v>0.35620689470901201</v>
      </c>
      <c r="AZ7" s="94">
        <v>999</v>
      </c>
    </row>
    <row r="8" spans="1:52" x14ac:dyDescent="0.3">
      <c r="A8" t="s">
        <v>56</v>
      </c>
      <c r="B8" s="25">
        <v>45748</v>
      </c>
      <c r="C8" s="25">
        <v>45778</v>
      </c>
      <c r="D8" s="24">
        <v>4.38000011444091</v>
      </c>
      <c r="E8" s="2">
        <v>-0.402455639832205</v>
      </c>
      <c r="F8" s="2">
        <v>-0.21645796155958999</v>
      </c>
      <c r="G8" s="15">
        <v>0.35159815562004798</v>
      </c>
      <c r="I8" s="17">
        <v>0.75342457252856199</v>
      </c>
      <c r="J8" s="18">
        <v>56</v>
      </c>
      <c r="K8" s="19">
        <v>-0.12328771373571799</v>
      </c>
      <c r="L8" s="18">
        <v>3</v>
      </c>
      <c r="M8" s="26">
        <v>8</v>
      </c>
      <c r="N8" s="28">
        <v>8</v>
      </c>
      <c r="O8" s="87">
        <v>12</v>
      </c>
      <c r="P8" s="28">
        <v>3</v>
      </c>
      <c r="S8" s="98">
        <v>0.65161283243624701</v>
      </c>
      <c r="T8" s="6">
        <v>56</v>
      </c>
      <c r="U8" s="41">
        <v>0.65161283243624701</v>
      </c>
      <c r="V8" s="94">
        <v>56</v>
      </c>
      <c r="W8" s="97">
        <v>7</v>
      </c>
      <c r="X8" s="41">
        <v>0.65161283243624701</v>
      </c>
      <c r="Y8" s="6">
        <v>56</v>
      </c>
      <c r="Z8" s="41">
        <v>0.65161283243624701</v>
      </c>
      <c r="AA8" s="84">
        <v>56</v>
      </c>
      <c r="AB8" s="91"/>
      <c r="AG8" s="91"/>
      <c r="AL8" s="93">
        <v>7</v>
      </c>
      <c r="AM8" s="41">
        <v>0.65161283243624701</v>
      </c>
      <c r="AN8" s="6">
        <v>56</v>
      </c>
      <c r="AO8" s="41">
        <v>0.65161283243624701</v>
      </c>
      <c r="AP8" s="84">
        <v>56</v>
      </c>
      <c r="AQ8" s="91">
        <v>8</v>
      </c>
      <c r="AR8" s="41">
        <v>0.39636360515247598</v>
      </c>
      <c r="AS8" s="6">
        <v>56</v>
      </c>
      <c r="AT8" s="41">
        <v>0.39636360515247598</v>
      </c>
      <c r="AU8" s="89">
        <v>56</v>
      </c>
      <c r="AV8" s="97">
        <v>12</v>
      </c>
      <c r="AW8" s="41">
        <v>0.27999997138977001</v>
      </c>
      <c r="AX8" s="6">
        <v>56</v>
      </c>
      <c r="AY8" s="41">
        <v>0.27999997138977001</v>
      </c>
      <c r="AZ8" s="94">
        <v>56</v>
      </c>
    </row>
    <row r="9" spans="1:52" x14ac:dyDescent="0.3">
      <c r="A9" t="s">
        <v>46</v>
      </c>
      <c r="B9" s="25">
        <v>45717</v>
      </c>
      <c r="C9" s="25">
        <v>45748</v>
      </c>
      <c r="D9" s="24">
        <v>7.0500001907348597</v>
      </c>
      <c r="E9" s="7">
        <v>-0.61788618432492304</v>
      </c>
      <c r="F9" s="7">
        <v>-0.52073418270208505</v>
      </c>
      <c r="G9" s="13">
        <v>-0.33900713172514502</v>
      </c>
      <c r="H9" s="14"/>
      <c r="I9" s="20">
        <v>0.64964536167319598</v>
      </c>
      <c r="J9" s="21">
        <v>108</v>
      </c>
      <c r="K9" s="22">
        <v>-0.42411349887405497</v>
      </c>
      <c r="L9" s="21">
        <v>37</v>
      </c>
      <c r="M9" s="27">
        <v>92</v>
      </c>
      <c r="N9" s="29">
        <v>100</v>
      </c>
      <c r="O9" s="88">
        <v>103</v>
      </c>
      <c r="P9" s="29">
        <v>4</v>
      </c>
      <c r="Q9" s="29">
        <v>7</v>
      </c>
      <c r="R9" s="29">
        <v>10</v>
      </c>
      <c r="S9" s="98">
        <v>-0.22072938329122299</v>
      </c>
      <c r="T9" s="6">
        <v>37</v>
      </c>
      <c r="U9" s="41">
        <v>1.23224568700335</v>
      </c>
      <c r="V9" s="94">
        <v>108</v>
      </c>
      <c r="W9" s="97">
        <v>7</v>
      </c>
      <c r="X9" s="41">
        <v>1.23224568700335</v>
      </c>
      <c r="Y9" s="6">
        <v>108</v>
      </c>
      <c r="Z9" s="41">
        <v>1.23224568700335</v>
      </c>
      <c r="AA9" s="84">
        <v>108</v>
      </c>
      <c r="AB9" s="91">
        <v>7</v>
      </c>
      <c r="AC9" s="41">
        <v>1.23224568700335</v>
      </c>
      <c r="AD9" s="6">
        <v>108</v>
      </c>
      <c r="AE9" s="41">
        <v>1.23224568700335</v>
      </c>
      <c r="AF9" s="84">
        <v>108</v>
      </c>
      <c r="AG9" s="91">
        <v>10</v>
      </c>
      <c r="AH9" s="41">
        <v>1.393004073033</v>
      </c>
      <c r="AI9" s="6">
        <v>108</v>
      </c>
      <c r="AJ9" s="41">
        <v>1.393004073033</v>
      </c>
      <c r="AK9" s="84">
        <v>108</v>
      </c>
      <c r="AL9" s="93">
        <v>7</v>
      </c>
      <c r="AM9" s="41">
        <v>1.23224568700335</v>
      </c>
      <c r="AN9" s="6">
        <v>108</v>
      </c>
      <c r="AO9" s="41">
        <v>1.23224568700335</v>
      </c>
      <c r="AP9" s="84">
        <v>108</v>
      </c>
      <c r="AQ9" s="91">
        <v>7</v>
      </c>
      <c r="AR9" s="41">
        <v>1.23224568700335</v>
      </c>
      <c r="AS9" s="6">
        <v>108</v>
      </c>
      <c r="AT9" s="41">
        <v>1.23224568700335</v>
      </c>
      <c r="AU9" s="89">
        <v>108</v>
      </c>
      <c r="AV9" s="97">
        <v>10</v>
      </c>
      <c r="AW9" s="41">
        <v>1.393004073033</v>
      </c>
      <c r="AX9" s="6">
        <v>108</v>
      </c>
      <c r="AY9" s="41">
        <v>1.393004073033</v>
      </c>
      <c r="AZ9" s="94">
        <v>108</v>
      </c>
    </row>
    <row r="10" spans="1:52" x14ac:dyDescent="0.3">
      <c r="A10" t="s">
        <v>50</v>
      </c>
      <c r="B10" s="25">
        <v>45717</v>
      </c>
      <c r="C10" s="25">
        <v>45748</v>
      </c>
      <c r="D10" s="24">
        <v>1.40999996662139</v>
      </c>
      <c r="E10" s="2">
        <v>-0.64837908076265405</v>
      </c>
      <c r="F10" s="2">
        <v>-0.189655196038305</v>
      </c>
      <c r="G10" s="15">
        <v>-0.46099290180527602</v>
      </c>
      <c r="I10" s="17">
        <v>2.1276660503010799E-2</v>
      </c>
      <c r="J10" s="18">
        <v>1</v>
      </c>
      <c r="K10" s="19">
        <v>-0.595744676353957</v>
      </c>
      <c r="L10" s="18">
        <v>45</v>
      </c>
      <c r="P10" s="28">
        <v>5</v>
      </c>
      <c r="Q10" s="28">
        <v>5</v>
      </c>
      <c r="R10" s="28">
        <v>8</v>
      </c>
      <c r="S10" s="98">
        <v>-0.35643566109341601</v>
      </c>
      <c r="T10" s="6">
        <v>9</v>
      </c>
      <c r="U10" s="41">
        <v>-0.35643566109341601</v>
      </c>
      <c r="V10" s="94">
        <v>9</v>
      </c>
      <c r="W10" s="97">
        <v>7</v>
      </c>
      <c r="X10" s="41">
        <v>0.30693075734252401</v>
      </c>
      <c r="Y10" s="6">
        <v>104</v>
      </c>
      <c r="Z10" s="41">
        <v>0.30693075734252401</v>
      </c>
      <c r="AA10" s="84">
        <v>104</v>
      </c>
      <c r="AB10" s="91">
        <v>7</v>
      </c>
      <c r="AC10" s="41">
        <v>0.30693075734252401</v>
      </c>
      <c r="AD10" s="6">
        <v>104</v>
      </c>
      <c r="AE10" s="41">
        <v>0.30693075734252401</v>
      </c>
      <c r="AF10" s="84">
        <v>104</v>
      </c>
      <c r="AG10" s="91">
        <v>8</v>
      </c>
      <c r="AH10" s="41">
        <v>0.389473756858847</v>
      </c>
      <c r="AI10" s="6">
        <v>104</v>
      </c>
      <c r="AJ10" s="41">
        <v>0.389473756858847</v>
      </c>
      <c r="AK10" s="84">
        <v>104</v>
      </c>
      <c r="AL10" s="93">
        <v>7</v>
      </c>
      <c r="AM10" s="41">
        <v>0.30693075734252401</v>
      </c>
      <c r="AN10" s="6">
        <v>104</v>
      </c>
      <c r="AO10" s="41">
        <v>0.30693075734252401</v>
      </c>
      <c r="AP10" s="84">
        <v>104</v>
      </c>
      <c r="AQ10" s="91">
        <v>7</v>
      </c>
      <c r="AR10" s="41">
        <v>0.30693075734252401</v>
      </c>
      <c r="AS10" s="6">
        <v>104</v>
      </c>
      <c r="AT10" s="41">
        <v>0.30693075734252401</v>
      </c>
      <c r="AU10" s="89">
        <v>104</v>
      </c>
      <c r="AV10" s="97">
        <v>8</v>
      </c>
      <c r="AW10" s="41">
        <v>0.389473756858847</v>
      </c>
      <c r="AX10" s="6">
        <v>104</v>
      </c>
      <c r="AY10" s="41">
        <v>0.389473756858847</v>
      </c>
      <c r="AZ10" s="94">
        <v>104</v>
      </c>
    </row>
    <row r="11" spans="1:52" x14ac:dyDescent="0.3">
      <c r="A11" t="s">
        <v>25</v>
      </c>
      <c r="B11" s="25">
        <v>45717</v>
      </c>
      <c r="C11" s="25">
        <v>45748</v>
      </c>
      <c r="D11" s="24">
        <v>3.0299999713897701</v>
      </c>
      <c r="E11" s="2">
        <v>0.23673465812965899</v>
      </c>
      <c r="F11" s="2">
        <v>0.77192976830176196</v>
      </c>
      <c r="G11" s="15">
        <v>7.5907597770699498E-2</v>
      </c>
      <c r="I11" s="17">
        <v>0.36963700810332001</v>
      </c>
      <c r="J11" s="18">
        <v>68</v>
      </c>
      <c r="K11" s="19">
        <v>-0.363036314926867</v>
      </c>
      <c r="L11" s="18">
        <v>21</v>
      </c>
      <c r="M11" s="26">
        <v>65</v>
      </c>
      <c r="N11" s="28">
        <v>67</v>
      </c>
      <c r="O11" s="87">
        <v>67</v>
      </c>
      <c r="P11" s="28">
        <v>2</v>
      </c>
      <c r="Q11" s="28">
        <v>3</v>
      </c>
      <c r="R11" s="28">
        <v>8</v>
      </c>
      <c r="S11" s="98">
        <v>0.86936938823619103</v>
      </c>
      <c r="T11" s="6">
        <v>68</v>
      </c>
      <c r="U11" s="41">
        <v>0.86936938823619103</v>
      </c>
      <c r="V11" s="94">
        <v>68</v>
      </c>
      <c r="W11" s="97">
        <v>7</v>
      </c>
      <c r="X11" s="41">
        <v>0.86936938823619103</v>
      </c>
      <c r="Y11" s="6">
        <v>68</v>
      </c>
      <c r="Z11" s="41">
        <v>0.86936938823619103</v>
      </c>
      <c r="AA11" s="84">
        <v>68</v>
      </c>
      <c r="AB11" s="91">
        <v>7</v>
      </c>
      <c r="AC11" s="41">
        <v>0.86936938823619103</v>
      </c>
      <c r="AD11" s="6">
        <v>68</v>
      </c>
      <c r="AE11" s="41">
        <v>0.86936938823619103</v>
      </c>
      <c r="AF11" s="84">
        <v>68</v>
      </c>
      <c r="AG11" s="91">
        <v>8</v>
      </c>
      <c r="AH11" s="41">
        <v>1.0343138102795799</v>
      </c>
      <c r="AI11" s="6">
        <v>68</v>
      </c>
      <c r="AJ11" s="41">
        <v>1.0343138102795799</v>
      </c>
      <c r="AK11" s="84">
        <v>68</v>
      </c>
      <c r="AL11" s="93">
        <v>7</v>
      </c>
      <c r="AM11" s="41">
        <v>0.86936938823619103</v>
      </c>
      <c r="AN11" s="6">
        <v>68</v>
      </c>
      <c r="AO11" s="41">
        <v>0.86936938823619103</v>
      </c>
      <c r="AP11" s="84">
        <v>68</v>
      </c>
      <c r="AQ11" s="91">
        <v>7</v>
      </c>
      <c r="AR11" s="41">
        <v>0.86936938823619103</v>
      </c>
      <c r="AS11" s="6">
        <v>68</v>
      </c>
      <c r="AT11" s="41">
        <v>0.86936938823619103</v>
      </c>
      <c r="AU11" s="89">
        <v>68</v>
      </c>
      <c r="AV11" s="97">
        <v>8</v>
      </c>
      <c r="AW11" s="41">
        <v>1.0343138102795799</v>
      </c>
      <c r="AX11" s="6">
        <v>68</v>
      </c>
      <c r="AY11" s="41">
        <v>1.0343138102795799</v>
      </c>
      <c r="AZ11" s="94">
        <v>68</v>
      </c>
    </row>
    <row r="12" spans="1:52" x14ac:dyDescent="0.3">
      <c r="A12" t="s">
        <v>55</v>
      </c>
      <c r="B12" s="25">
        <v>45717</v>
      </c>
      <c r="C12" s="25">
        <v>45748</v>
      </c>
      <c r="D12" s="24">
        <v>114.209999084472</v>
      </c>
      <c r="E12" s="2">
        <v>-2.7069295117070299E-3</v>
      </c>
      <c r="F12" s="2">
        <v>-0.20846902488941299</v>
      </c>
      <c r="G12" s="15">
        <v>0.28184918194599701</v>
      </c>
      <c r="I12" s="17">
        <v>0.34384026755854602</v>
      </c>
      <c r="J12" s="18">
        <v>64</v>
      </c>
      <c r="K12" s="19">
        <v>-0.245512662116285</v>
      </c>
      <c r="L12" s="18">
        <v>5</v>
      </c>
      <c r="M12" s="26">
        <v>28</v>
      </c>
      <c r="N12" s="28">
        <v>48</v>
      </c>
      <c r="O12" s="87">
        <v>58</v>
      </c>
      <c r="P12" s="28">
        <v>2</v>
      </c>
      <c r="Q12" s="28">
        <v>4</v>
      </c>
      <c r="S12" s="98">
        <v>0.740333274505936</v>
      </c>
      <c r="T12" s="6">
        <v>64</v>
      </c>
      <c r="U12" s="41">
        <v>0.740333274505936</v>
      </c>
      <c r="V12" s="94">
        <v>64</v>
      </c>
      <c r="W12" s="97">
        <v>7</v>
      </c>
      <c r="X12" s="41">
        <v>0.740333274505936</v>
      </c>
      <c r="Y12" s="6">
        <v>64</v>
      </c>
      <c r="Z12" s="41">
        <v>0.740333274505936</v>
      </c>
      <c r="AA12" s="84">
        <v>64</v>
      </c>
      <c r="AB12" s="91">
        <v>7</v>
      </c>
      <c r="AC12" s="41">
        <v>0.740333274505936</v>
      </c>
      <c r="AD12" s="6">
        <v>64</v>
      </c>
      <c r="AE12" s="41">
        <v>0.740333274505936</v>
      </c>
      <c r="AF12" s="84">
        <v>64</v>
      </c>
      <c r="AG12" s="91"/>
      <c r="AL12" s="93">
        <v>7</v>
      </c>
      <c r="AM12" s="41">
        <v>0.740333274505936</v>
      </c>
      <c r="AN12" s="6">
        <v>64</v>
      </c>
      <c r="AO12" s="41">
        <v>0.740333274505936</v>
      </c>
      <c r="AP12" s="84">
        <v>64</v>
      </c>
      <c r="AQ12" s="91">
        <v>7</v>
      </c>
      <c r="AR12" s="41">
        <v>0.740333274505936</v>
      </c>
      <c r="AS12" s="6">
        <v>64</v>
      </c>
      <c r="AT12" s="41">
        <v>0.740333274505936</v>
      </c>
      <c r="AU12" s="89">
        <v>64</v>
      </c>
      <c r="AV12" s="97">
        <v>58</v>
      </c>
      <c r="AW12" s="41">
        <v>-7.4948327709935994E-2</v>
      </c>
      <c r="AX12" s="6">
        <v>999</v>
      </c>
      <c r="AY12" s="41">
        <v>-7.4948327709935994E-2</v>
      </c>
      <c r="AZ12" s="94">
        <v>999</v>
      </c>
    </row>
    <row r="13" spans="1:52" x14ac:dyDescent="0.3">
      <c r="A13" t="s">
        <v>52</v>
      </c>
      <c r="B13" s="25">
        <v>45717</v>
      </c>
      <c r="C13" s="25">
        <v>45748</v>
      </c>
      <c r="D13" s="24">
        <v>34.909999847412102</v>
      </c>
      <c r="E13" s="2">
        <v>-1.8105103007556699E-2</v>
      </c>
      <c r="F13" s="2">
        <v>-8.3854686088145197E-2</v>
      </c>
      <c r="G13" s="15">
        <v>-0.113720977677082</v>
      </c>
      <c r="I13" s="17">
        <v>0</v>
      </c>
      <c r="J13" s="18">
        <v>0</v>
      </c>
      <c r="K13" s="19">
        <v>-0.19793755020380899</v>
      </c>
      <c r="L13" s="18">
        <v>36</v>
      </c>
      <c r="P13" s="28">
        <v>4</v>
      </c>
      <c r="S13" s="98">
        <v>9.3214689046893395E-2</v>
      </c>
      <c r="T13" s="6">
        <v>112</v>
      </c>
      <c r="U13" s="41">
        <v>9.3214689046893395E-2</v>
      </c>
      <c r="V13" s="94">
        <v>112</v>
      </c>
      <c r="W13" s="97">
        <v>7</v>
      </c>
      <c r="X13" s="41">
        <v>9.3214689046893395E-2</v>
      </c>
      <c r="Y13" s="6">
        <v>112</v>
      </c>
      <c r="Z13" s="41">
        <v>9.3214689046893395E-2</v>
      </c>
      <c r="AA13" s="84">
        <v>112</v>
      </c>
      <c r="AB13" s="91"/>
      <c r="AG13" s="91"/>
      <c r="AL13" s="93">
        <v>7</v>
      </c>
      <c r="AM13" s="41">
        <v>9.3214689046893395E-2</v>
      </c>
      <c r="AN13" s="6">
        <v>112</v>
      </c>
      <c r="AO13" s="41">
        <v>9.3214689046893395E-2</v>
      </c>
      <c r="AP13" s="84">
        <v>112</v>
      </c>
      <c r="AQ13" s="91"/>
      <c r="AV13" s="97"/>
    </row>
    <row r="14" spans="1:52" x14ac:dyDescent="0.3">
      <c r="A14" t="s">
        <v>22</v>
      </c>
      <c r="B14" s="25">
        <v>45689</v>
      </c>
      <c r="C14" s="25">
        <v>45717</v>
      </c>
      <c r="D14" s="24">
        <v>13.4918217658996</v>
      </c>
      <c r="E14" s="2">
        <v>8.9317242538008407E-2</v>
      </c>
      <c r="F14" s="2">
        <v>-5.1068041421329098E-2</v>
      </c>
      <c r="G14" s="15">
        <v>-4.7818966020874099E-2</v>
      </c>
      <c r="I14" s="17">
        <v>0.21418537893769099</v>
      </c>
      <c r="J14" s="18">
        <v>14</v>
      </c>
      <c r="K14" s="19">
        <v>-0.13087066236178599</v>
      </c>
      <c r="L14" s="18">
        <v>110</v>
      </c>
      <c r="M14" s="26">
        <v>10</v>
      </c>
      <c r="N14" s="28">
        <v>14</v>
      </c>
      <c r="P14" s="28">
        <v>110</v>
      </c>
      <c r="S14" s="98">
        <v>1.9822870998313698E-2</v>
      </c>
      <c r="T14" s="6">
        <v>999</v>
      </c>
      <c r="U14" s="41">
        <v>1.9822870998313698E-2</v>
      </c>
      <c r="V14" s="94">
        <v>999</v>
      </c>
      <c r="W14" s="97">
        <v>110</v>
      </c>
      <c r="X14" s="41">
        <v>0.180330730492546</v>
      </c>
      <c r="Y14" s="6">
        <v>999</v>
      </c>
      <c r="Z14" s="41">
        <v>0.180330730492546</v>
      </c>
      <c r="AA14" s="84">
        <v>999</v>
      </c>
      <c r="AB14" s="91"/>
      <c r="AG14" s="91"/>
      <c r="AL14" s="93">
        <v>10</v>
      </c>
      <c r="AM14" s="41">
        <v>-6.0716371451379501E-2</v>
      </c>
      <c r="AN14" s="6">
        <v>999</v>
      </c>
      <c r="AO14" s="41">
        <v>-6.0716371451379501E-2</v>
      </c>
      <c r="AP14" s="84">
        <v>999</v>
      </c>
      <c r="AQ14" s="91">
        <v>14</v>
      </c>
      <c r="AR14" s="41">
        <v>-0.141843642043505</v>
      </c>
      <c r="AS14" s="6">
        <v>999</v>
      </c>
      <c r="AT14" s="41">
        <v>-0.141843642043505</v>
      </c>
      <c r="AU14" s="89">
        <v>999</v>
      </c>
      <c r="AV14" s="97"/>
    </row>
    <row r="15" spans="1:52" x14ac:dyDescent="0.3">
      <c r="A15" t="s">
        <v>23</v>
      </c>
      <c r="B15" s="25">
        <v>45658</v>
      </c>
      <c r="C15" s="25">
        <v>45689</v>
      </c>
      <c r="D15" s="24">
        <v>65.209999084472599</v>
      </c>
      <c r="E15" s="2">
        <v>1.20006749079916</v>
      </c>
      <c r="F15" s="2">
        <v>3.7054675203224502E-2</v>
      </c>
      <c r="G15" s="15">
        <v>-0.409446421374004</v>
      </c>
      <c r="H15" s="16">
        <v>-5.5666267510841201E-2</v>
      </c>
      <c r="I15" s="17">
        <v>1.9168839404226201E-2</v>
      </c>
      <c r="J15" s="18">
        <v>2</v>
      </c>
      <c r="K15" s="19">
        <v>-0.62674435678095897</v>
      </c>
      <c r="L15" s="18">
        <v>53</v>
      </c>
      <c r="P15" s="28">
        <v>4</v>
      </c>
      <c r="Q15" s="28">
        <v>5</v>
      </c>
      <c r="R15" s="28">
        <v>5</v>
      </c>
      <c r="S15" s="98">
        <v>-0.235743545355551</v>
      </c>
      <c r="T15" s="6">
        <v>43</v>
      </c>
      <c r="U15" s="41">
        <v>-0.33587996891620298</v>
      </c>
      <c r="V15" s="94">
        <v>53</v>
      </c>
      <c r="W15" s="97">
        <v>7</v>
      </c>
      <c r="X15" s="41">
        <v>0.68021826104352101</v>
      </c>
      <c r="Y15" s="6">
        <v>150</v>
      </c>
      <c r="Z15" s="41">
        <v>0.68021826104352101</v>
      </c>
      <c r="AA15" s="84">
        <v>150</v>
      </c>
      <c r="AB15" s="91">
        <v>7</v>
      </c>
      <c r="AC15" s="41">
        <v>0.68021826104352101</v>
      </c>
      <c r="AD15" s="6">
        <v>150</v>
      </c>
      <c r="AE15" s="41">
        <v>0.68021826104352101</v>
      </c>
      <c r="AF15" s="84">
        <v>150</v>
      </c>
      <c r="AG15" s="91">
        <v>7</v>
      </c>
      <c r="AH15" s="41">
        <v>0.68021826104352101</v>
      </c>
      <c r="AI15" s="6">
        <v>150</v>
      </c>
      <c r="AJ15" s="41">
        <v>0.68021826104352101</v>
      </c>
      <c r="AK15" s="84">
        <v>150</v>
      </c>
      <c r="AL15" s="93">
        <v>7</v>
      </c>
      <c r="AM15" s="41">
        <v>0.68021826104352101</v>
      </c>
      <c r="AN15" s="6">
        <v>150</v>
      </c>
      <c r="AO15" s="41">
        <v>0.68021826104352101</v>
      </c>
      <c r="AP15" s="84">
        <v>150</v>
      </c>
      <c r="AQ15" s="91">
        <v>7</v>
      </c>
      <c r="AR15" s="41">
        <v>0.68021826104352101</v>
      </c>
      <c r="AS15" s="6">
        <v>150</v>
      </c>
      <c r="AT15" s="41">
        <v>0.68021826104352101</v>
      </c>
      <c r="AU15" s="89">
        <v>150</v>
      </c>
      <c r="AV15" s="97">
        <v>7</v>
      </c>
      <c r="AW15" s="41">
        <v>0.68021826104352101</v>
      </c>
      <c r="AX15" s="6">
        <v>150</v>
      </c>
      <c r="AY15" s="41">
        <v>0.68021826104352101</v>
      </c>
      <c r="AZ15" s="94">
        <v>150</v>
      </c>
    </row>
    <row r="16" spans="1:52" x14ac:dyDescent="0.3">
      <c r="A16" t="s">
        <v>19</v>
      </c>
      <c r="B16" s="25">
        <v>45658</v>
      </c>
      <c r="C16" s="25">
        <v>45689</v>
      </c>
      <c r="D16" s="24">
        <v>8.9151611328125</v>
      </c>
      <c r="E16" s="2">
        <v>-0.48931548828365401</v>
      </c>
      <c r="F16" s="2">
        <v>-0.17901237766387501</v>
      </c>
      <c r="G16" s="15">
        <v>-0.37457649709720198</v>
      </c>
      <c r="H16" s="16">
        <v>0.37406377938739999</v>
      </c>
      <c r="I16" s="17">
        <v>0.40995765612805102</v>
      </c>
      <c r="J16" s="18">
        <v>144</v>
      </c>
      <c r="K16" s="19">
        <v>-0.499223809784617</v>
      </c>
      <c r="L16" s="18">
        <v>53</v>
      </c>
      <c r="M16" s="26">
        <v>131</v>
      </c>
      <c r="N16" s="28">
        <v>132</v>
      </c>
      <c r="O16" s="87">
        <v>136</v>
      </c>
      <c r="P16" s="28">
        <v>12</v>
      </c>
      <c r="Q16" s="28">
        <v>13</v>
      </c>
      <c r="R16" s="28">
        <v>19</v>
      </c>
      <c r="S16" s="98">
        <v>-0.219567636356261</v>
      </c>
      <c r="T16" s="6">
        <v>13</v>
      </c>
      <c r="U16" s="45">
        <v>-0.32081916463792698</v>
      </c>
      <c r="V16" s="94">
        <v>19</v>
      </c>
      <c r="W16" s="97">
        <v>12</v>
      </c>
      <c r="X16" s="41">
        <v>0.75725646890587495</v>
      </c>
      <c r="Y16" s="6">
        <v>144</v>
      </c>
      <c r="Z16" s="45">
        <v>0.75725646890587495</v>
      </c>
      <c r="AA16" s="84">
        <v>144</v>
      </c>
      <c r="AB16" s="91">
        <v>13</v>
      </c>
      <c r="AC16" s="41">
        <v>0.91351383761031801</v>
      </c>
      <c r="AD16" s="6">
        <v>144</v>
      </c>
      <c r="AE16" s="45">
        <v>0.91351383761031801</v>
      </c>
      <c r="AF16" s="84">
        <v>144</v>
      </c>
      <c r="AG16" s="91">
        <v>19</v>
      </c>
      <c r="AH16" s="41">
        <v>1.19877836563969</v>
      </c>
      <c r="AI16" s="6">
        <v>144</v>
      </c>
      <c r="AJ16" s="45">
        <v>1.19877836563969</v>
      </c>
      <c r="AK16" s="84">
        <v>144</v>
      </c>
      <c r="AL16" s="93">
        <v>12</v>
      </c>
      <c r="AM16" s="41">
        <v>0.75725646890587495</v>
      </c>
      <c r="AN16" s="6">
        <v>144</v>
      </c>
      <c r="AO16" s="45">
        <v>0.75725646890587495</v>
      </c>
      <c r="AP16" s="84">
        <v>144</v>
      </c>
      <c r="AQ16" s="91">
        <v>13</v>
      </c>
      <c r="AR16" s="41">
        <v>0.91351383761031801</v>
      </c>
      <c r="AS16" s="6">
        <v>144</v>
      </c>
      <c r="AT16" s="45">
        <v>0.91351383761031801</v>
      </c>
      <c r="AU16" s="89">
        <v>144</v>
      </c>
      <c r="AV16" s="97">
        <v>19</v>
      </c>
      <c r="AW16" s="41">
        <v>1.19877836563969</v>
      </c>
      <c r="AX16" s="6">
        <v>144</v>
      </c>
      <c r="AY16" s="45">
        <v>1.19877836563969</v>
      </c>
      <c r="AZ16" s="94">
        <v>144</v>
      </c>
    </row>
    <row r="17" spans="1:52" x14ac:dyDescent="0.3">
      <c r="A17" t="s">
        <v>45</v>
      </c>
      <c r="B17" s="25">
        <v>45658</v>
      </c>
      <c r="C17" s="25">
        <v>45689</v>
      </c>
      <c r="T17" s="6">
        <v>999</v>
      </c>
      <c r="V17" s="94">
        <v>999</v>
      </c>
      <c r="W17" s="97"/>
      <c r="AB17" s="91"/>
      <c r="AG17" s="91"/>
      <c r="AL17" s="93"/>
      <c r="AQ17" s="91"/>
      <c r="AV17" s="97"/>
    </row>
    <row r="18" spans="1:52" x14ac:dyDescent="0.3">
      <c r="A18" t="s">
        <v>38</v>
      </c>
      <c r="B18" s="25">
        <v>45627</v>
      </c>
      <c r="C18" s="25">
        <v>45658</v>
      </c>
      <c r="D18" s="24">
        <v>1.90999996662139</v>
      </c>
      <c r="E18" s="2">
        <v>-0.68943090455232103</v>
      </c>
      <c r="F18" s="2">
        <v>1.05820005703125E-2</v>
      </c>
      <c r="G18" s="15">
        <v>1.0523560967532499</v>
      </c>
      <c r="H18" s="16">
        <v>-0.54816754410322499</v>
      </c>
      <c r="I18" s="17">
        <v>1.9738219516233699</v>
      </c>
      <c r="J18" s="18">
        <v>68</v>
      </c>
      <c r="K18" s="19">
        <v>-0.54816754410322499</v>
      </c>
      <c r="L18" s="18">
        <v>150</v>
      </c>
      <c r="M18" s="26">
        <v>3</v>
      </c>
      <c r="N18" s="28">
        <v>5</v>
      </c>
      <c r="O18" s="87">
        <v>6</v>
      </c>
      <c r="P18" s="28">
        <v>144</v>
      </c>
      <c r="Q18" s="28">
        <v>146</v>
      </c>
      <c r="R18" s="28">
        <v>146</v>
      </c>
      <c r="S18" s="98">
        <v>1.0654544830322199</v>
      </c>
      <c r="T18" s="6">
        <v>68</v>
      </c>
      <c r="U18" s="41">
        <v>1.0654544830322199</v>
      </c>
      <c r="V18" s="94">
        <v>68</v>
      </c>
      <c r="W18" s="97">
        <v>144</v>
      </c>
      <c r="X18" s="41">
        <v>-0.33638656698472902</v>
      </c>
      <c r="Y18" s="6">
        <v>999</v>
      </c>
      <c r="Z18" s="41">
        <v>-0.33638656698472902</v>
      </c>
      <c r="AA18" s="84">
        <v>999</v>
      </c>
      <c r="AB18" s="91">
        <v>146</v>
      </c>
      <c r="AC18" s="41">
        <v>-4.0909106302852603E-3</v>
      </c>
      <c r="AD18" s="6">
        <v>999</v>
      </c>
      <c r="AE18" s="41">
        <v>-4.0909106302852603E-3</v>
      </c>
      <c r="AF18" s="84">
        <v>999</v>
      </c>
      <c r="AG18" s="91">
        <v>146</v>
      </c>
      <c r="AH18" s="41">
        <v>-4.0909106302852603E-3</v>
      </c>
      <c r="AI18" s="6">
        <v>999</v>
      </c>
      <c r="AJ18" s="41">
        <v>-4.0909106302852603E-3</v>
      </c>
      <c r="AK18" s="84">
        <v>999</v>
      </c>
      <c r="AL18" s="93">
        <v>7</v>
      </c>
      <c r="AM18" s="41">
        <v>1.0654544830322199</v>
      </c>
      <c r="AN18" s="6">
        <v>68</v>
      </c>
      <c r="AO18" s="41">
        <v>1.0654544830322199</v>
      </c>
      <c r="AP18" s="84">
        <v>68</v>
      </c>
      <c r="AQ18" s="91">
        <v>7</v>
      </c>
      <c r="AR18" s="41">
        <v>1.0654544830322199</v>
      </c>
      <c r="AS18" s="6">
        <v>68</v>
      </c>
      <c r="AT18" s="41">
        <v>1.0654544830322199</v>
      </c>
      <c r="AU18" s="89">
        <v>68</v>
      </c>
      <c r="AV18" s="97">
        <v>7</v>
      </c>
      <c r="AW18" s="41">
        <v>1.0654544830322199</v>
      </c>
      <c r="AX18" s="6">
        <v>68</v>
      </c>
      <c r="AY18" s="41">
        <v>1.0654544830322199</v>
      </c>
      <c r="AZ18" s="94">
        <v>68</v>
      </c>
    </row>
    <row r="19" spans="1:52" x14ac:dyDescent="0.3">
      <c r="A19" t="s">
        <v>54</v>
      </c>
      <c r="B19" s="25">
        <v>45627</v>
      </c>
      <c r="C19" s="25">
        <v>45658</v>
      </c>
      <c r="D19" s="24">
        <v>19.675000190734799</v>
      </c>
      <c r="E19" s="7">
        <v>-0.115730328506298</v>
      </c>
      <c r="F19" s="7">
        <v>0.26608753146925701</v>
      </c>
      <c r="G19" s="13">
        <v>-0.44040660116148</v>
      </c>
      <c r="H19" s="14">
        <v>-0.234053390153418</v>
      </c>
      <c r="I19" s="20">
        <v>0.26658194839708299</v>
      </c>
      <c r="J19" s="21">
        <v>11</v>
      </c>
      <c r="K19" s="22">
        <v>-0.53494284473556997</v>
      </c>
      <c r="L19" s="21">
        <v>65</v>
      </c>
      <c r="M19" s="27">
        <v>8</v>
      </c>
      <c r="N19" s="29">
        <v>10</v>
      </c>
      <c r="O19" s="88"/>
      <c r="P19" s="29">
        <v>18</v>
      </c>
      <c r="Q19" s="29">
        <v>35</v>
      </c>
      <c r="R19" s="29">
        <v>39</v>
      </c>
      <c r="S19" s="98">
        <v>-0.20483099141029601</v>
      </c>
      <c r="T19" s="6">
        <v>24</v>
      </c>
      <c r="U19" s="41">
        <v>-0.311594228271107</v>
      </c>
      <c r="V19" s="94">
        <v>35</v>
      </c>
      <c r="W19" s="97">
        <v>18</v>
      </c>
      <c r="X19" s="41">
        <v>-0.23599207128528399</v>
      </c>
      <c r="Y19" s="6">
        <v>999</v>
      </c>
      <c r="Z19" s="41">
        <v>-0.23599207128528399</v>
      </c>
      <c r="AA19" s="84">
        <v>999</v>
      </c>
      <c r="AB19" s="91">
        <v>35</v>
      </c>
      <c r="AC19" s="41">
        <v>0.214736804627535</v>
      </c>
      <c r="AD19" s="6">
        <v>141</v>
      </c>
      <c r="AE19" s="41">
        <v>0.214736804627535</v>
      </c>
      <c r="AF19" s="84">
        <v>141</v>
      </c>
      <c r="AG19" s="91">
        <v>39</v>
      </c>
      <c r="AH19" s="41">
        <v>0.26350362824354501</v>
      </c>
      <c r="AI19" s="6">
        <v>141</v>
      </c>
      <c r="AJ19" s="41">
        <v>0.26350362824354501</v>
      </c>
      <c r="AK19" s="84">
        <v>141</v>
      </c>
      <c r="AL19" s="93">
        <v>8</v>
      </c>
      <c r="AM19" s="41">
        <v>-0.37255078918268097</v>
      </c>
      <c r="AN19" s="6">
        <v>999</v>
      </c>
      <c r="AO19" s="41">
        <v>-0.37255078918268097</v>
      </c>
      <c r="AP19" s="84">
        <v>999</v>
      </c>
      <c r="AQ19" s="91">
        <v>10</v>
      </c>
      <c r="AR19" s="41">
        <v>-0.42293683229992601</v>
      </c>
      <c r="AS19" s="6">
        <v>999</v>
      </c>
      <c r="AT19" s="41">
        <v>-0.42293683229992601</v>
      </c>
      <c r="AU19" s="89">
        <v>999</v>
      </c>
      <c r="AV19" s="97">
        <v>39</v>
      </c>
      <c r="AW19" s="41">
        <v>0.26350362824354501</v>
      </c>
      <c r="AX19" s="6">
        <v>141</v>
      </c>
      <c r="AY19" s="41">
        <v>0.26350362824354501</v>
      </c>
      <c r="AZ19" s="94">
        <v>141</v>
      </c>
    </row>
    <row r="20" spans="1:52" x14ac:dyDescent="0.3">
      <c r="A20" t="s">
        <v>24</v>
      </c>
      <c r="B20" s="25">
        <v>45627</v>
      </c>
      <c r="C20" s="25">
        <v>45658</v>
      </c>
      <c r="D20" s="24">
        <v>11.0050001144409</v>
      </c>
      <c r="E20" s="2">
        <v>-0.32773368660643998</v>
      </c>
      <c r="F20" s="2">
        <v>-3.6339751232971299E-2</v>
      </c>
      <c r="G20" s="15">
        <v>-0.27487506259977001</v>
      </c>
      <c r="H20" s="16">
        <v>-0.34666061040875001</v>
      </c>
      <c r="I20" s="17">
        <v>0.142208047624614</v>
      </c>
      <c r="J20" s="18">
        <v>2</v>
      </c>
      <c r="K20" s="19">
        <v>-0.34666061040875001</v>
      </c>
      <c r="L20" s="18">
        <v>150</v>
      </c>
      <c r="M20" s="26">
        <v>2</v>
      </c>
      <c r="P20" s="28">
        <v>39</v>
      </c>
      <c r="Q20" s="28">
        <v>47</v>
      </c>
      <c r="R20" s="28">
        <v>65</v>
      </c>
      <c r="S20" s="98">
        <v>-0.21869492614995101</v>
      </c>
      <c r="T20" s="6">
        <v>45</v>
      </c>
      <c r="U20" s="41">
        <v>-0.31834215916571801</v>
      </c>
      <c r="V20" s="94">
        <v>64</v>
      </c>
      <c r="W20" s="97">
        <v>39</v>
      </c>
      <c r="X20" s="41">
        <v>5.9365393708366201E-2</v>
      </c>
      <c r="Y20" s="6">
        <v>136</v>
      </c>
      <c r="Z20" s="41">
        <v>5.9365393708366201E-2</v>
      </c>
      <c r="AA20" s="84">
        <v>136</v>
      </c>
      <c r="AB20" s="91">
        <v>47</v>
      </c>
      <c r="AC20" s="41">
        <v>0.236559202267945</v>
      </c>
      <c r="AD20" s="6">
        <v>136</v>
      </c>
      <c r="AE20" s="41">
        <v>0.236559202267945</v>
      </c>
      <c r="AF20" s="84">
        <v>136</v>
      </c>
      <c r="AG20" s="91">
        <v>65</v>
      </c>
      <c r="AH20" s="41">
        <v>0.43153531869507</v>
      </c>
      <c r="AI20" s="6">
        <v>136</v>
      </c>
      <c r="AJ20" s="41">
        <v>0.43153531869507</v>
      </c>
      <c r="AK20" s="84">
        <v>136</v>
      </c>
      <c r="AL20" s="93">
        <v>7</v>
      </c>
      <c r="AM20" s="41">
        <v>-0.189600490196628</v>
      </c>
      <c r="AN20" s="6">
        <v>999</v>
      </c>
      <c r="AO20" s="41">
        <v>-0.189600490196628</v>
      </c>
      <c r="AP20" s="84">
        <v>999</v>
      </c>
      <c r="AQ20" s="91">
        <v>47</v>
      </c>
      <c r="AR20" s="41">
        <v>0.236559202267945</v>
      </c>
      <c r="AS20" s="6">
        <v>136</v>
      </c>
      <c r="AT20" s="41">
        <v>0.236559202267945</v>
      </c>
      <c r="AU20" s="89">
        <v>136</v>
      </c>
      <c r="AV20" s="97">
        <v>65</v>
      </c>
      <c r="AW20" s="41">
        <v>0.43153531869507</v>
      </c>
      <c r="AX20" s="6">
        <v>136</v>
      </c>
      <c r="AY20" s="41">
        <v>0.43153531869507</v>
      </c>
      <c r="AZ20" s="94">
        <v>136</v>
      </c>
    </row>
    <row r="21" spans="1:52" x14ac:dyDescent="0.3">
      <c r="A21" t="s">
        <v>15</v>
      </c>
      <c r="B21" s="25">
        <v>45566</v>
      </c>
      <c r="C21" s="25">
        <v>45597</v>
      </c>
      <c r="D21" s="24">
        <v>6.3299999237060502</v>
      </c>
      <c r="E21" s="2">
        <v>0.35250915174318598</v>
      </c>
      <c r="F21" s="2">
        <v>0.198863574275467</v>
      </c>
      <c r="G21" s="15">
        <v>-0.50868879422118496</v>
      </c>
      <c r="H21" s="16">
        <v>-0.48815165109199399</v>
      </c>
      <c r="I21" s="17">
        <v>1.57981500827264E-3</v>
      </c>
      <c r="J21" s="18">
        <v>3</v>
      </c>
      <c r="K21" s="19">
        <v>-0.64139020406220004</v>
      </c>
      <c r="L21" s="18">
        <v>110</v>
      </c>
      <c r="P21" s="28">
        <v>14</v>
      </c>
      <c r="Q21" s="28">
        <v>14</v>
      </c>
      <c r="R21" s="28">
        <v>15</v>
      </c>
      <c r="S21" s="98">
        <v>-0.38474575326005001</v>
      </c>
      <c r="T21" s="6">
        <v>15</v>
      </c>
      <c r="U21" s="41">
        <v>-0.38474575326005001</v>
      </c>
      <c r="V21" s="94">
        <v>15</v>
      </c>
      <c r="W21" s="97">
        <v>14</v>
      </c>
      <c r="X21" s="41">
        <v>-0.36868672522988299</v>
      </c>
      <c r="Y21" s="6">
        <v>999</v>
      </c>
      <c r="Z21" s="41">
        <v>-0.36868672522988299</v>
      </c>
      <c r="AA21" s="84">
        <v>999</v>
      </c>
      <c r="AB21" s="91">
        <v>14</v>
      </c>
      <c r="AC21" s="41">
        <v>-0.36868672522988299</v>
      </c>
      <c r="AD21" s="6">
        <v>999</v>
      </c>
      <c r="AE21" s="41">
        <v>-0.36868672522988299</v>
      </c>
      <c r="AF21" s="84">
        <v>999</v>
      </c>
      <c r="AG21" s="91">
        <v>15</v>
      </c>
      <c r="AH21" s="41">
        <v>-0.141083320440726</v>
      </c>
      <c r="AI21" s="6">
        <v>999</v>
      </c>
      <c r="AJ21" s="41">
        <v>-0.141083320440726</v>
      </c>
      <c r="AK21" s="84">
        <v>999</v>
      </c>
      <c r="AL21" s="93">
        <v>14</v>
      </c>
      <c r="AM21" s="41">
        <v>-0.36868672522988299</v>
      </c>
      <c r="AN21" s="6">
        <v>999</v>
      </c>
      <c r="AO21" s="41">
        <v>-0.36868672522988299</v>
      </c>
      <c r="AP21" s="84">
        <v>999</v>
      </c>
      <c r="AQ21" s="91">
        <v>14</v>
      </c>
      <c r="AR21" s="41">
        <v>-0.36868672522988299</v>
      </c>
      <c r="AS21" s="6">
        <v>999</v>
      </c>
      <c r="AT21" s="41">
        <v>-0.36868672522988299</v>
      </c>
      <c r="AU21" s="89">
        <v>999</v>
      </c>
      <c r="AV21" s="97">
        <v>15</v>
      </c>
      <c r="AW21" s="41">
        <v>-0.141083320440726</v>
      </c>
      <c r="AX21" s="6">
        <v>999</v>
      </c>
      <c r="AY21" s="41">
        <v>-0.141083320440726</v>
      </c>
      <c r="AZ21" s="94">
        <v>999</v>
      </c>
    </row>
    <row r="22" spans="1:52" x14ac:dyDescent="0.3">
      <c r="A22" t="s">
        <v>14</v>
      </c>
      <c r="B22" s="25">
        <v>45536</v>
      </c>
      <c r="C22" s="25">
        <v>45566</v>
      </c>
      <c r="D22" s="24">
        <v>2.8099999427795401</v>
      </c>
      <c r="E22" s="2">
        <v>0.37073171128835197</v>
      </c>
      <c r="F22" s="2">
        <v>-0.242587624289339</v>
      </c>
      <c r="G22" s="15">
        <v>-0.23131667978110301</v>
      </c>
      <c r="H22" s="16">
        <v>0.46975096033478297</v>
      </c>
      <c r="I22" s="17">
        <v>1.32028473796949</v>
      </c>
      <c r="J22" s="18">
        <v>92</v>
      </c>
      <c r="K22" s="19">
        <v>-0.56939499544968297</v>
      </c>
      <c r="L22" s="18">
        <v>35</v>
      </c>
      <c r="M22" s="26">
        <v>6</v>
      </c>
      <c r="N22" s="28">
        <v>8</v>
      </c>
      <c r="O22" s="87">
        <v>20</v>
      </c>
      <c r="P22" s="28">
        <v>27</v>
      </c>
      <c r="Q22" s="28">
        <v>27</v>
      </c>
      <c r="R22" s="28">
        <v>27</v>
      </c>
      <c r="S22" s="98">
        <v>-0.39527029095120902</v>
      </c>
      <c r="T22" s="6">
        <v>27</v>
      </c>
      <c r="U22" s="41">
        <v>-0.39527029095120902</v>
      </c>
      <c r="V22" s="94">
        <v>27</v>
      </c>
      <c r="W22" s="97">
        <v>27</v>
      </c>
      <c r="X22" s="41">
        <v>2.6424581675280798</v>
      </c>
      <c r="Y22" s="6">
        <v>92</v>
      </c>
      <c r="Z22" s="41">
        <v>2.6424581675280798</v>
      </c>
      <c r="AA22" s="84">
        <v>92</v>
      </c>
      <c r="AB22" s="91">
        <v>27</v>
      </c>
      <c r="AC22" s="41">
        <v>2.6424581675280798</v>
      </c>
      <c r="AD22" s="6">
        <v>92</v>
      </c>
      <c r="AE22" s="41">
        <v>2.6424581675280798</v>
      </c>
      <c r="AF22" s="84">
        <v>92</v>
      </c>
      <c r="AG22" s="91">
        <v>27</v>
      </c>
      <c r="AH22" s="41">
        <v>2.6424581675280798</v>
      </c>
      <c r="AI22" s="6">
        <v>92</v>
      </c>
      <c r="AJ22" s="41">
        <v>2.6424581675280798</v>
      </c>
      <c r="AK22" s="84">
        <v>92</v>
      </c>
      <c r="AL22" s="93">
        <v>7</v>
      </c>
      <c r="AM22" s="41">
        <v>1.2027026678716399</v>
      </c>
      <c r="AN22" s="6">
        <v>92</v>
      </c>
      <c r="AO22" s="41">
        <v>1.2027026678716399</v>
      </c>
      <c r="AP22" s="84">
        <v>92</v>
      </c>
      <c r="AQ22" s="91">
        <v>8</v>
      </c>
      <c r="AR22" s="41">
        <v>0.868194831836681</v>
      </c>
      <c r="AS22" s="6">
        <v>92</v>
      </c>
      <c r="AT22" s="41">
        <v>0.868194831836681</v>
      </c>
      <c r="AU22" s="89">
        <v>92</v>
      </c>
      <c r="AV22" s="97">
        <v>20</v>
      </c>
      <c r="AW22" s="41">
        <v>0.76216213429731705</v>
      </c>
      <c r="AX22" s="6">
        <v>92</v>
      </c>
      <c r="AY22" s="41">
        <v>0.76216213429731705</v>
      </c>
      <c r="AZ22" s="94">
        <v>92</v>
      </c>
    </row>
    <row r="23" spans="1:52" x14ac:dyDescent="0.3">
      <c r="A23" t="s">
        <v>53</v>
      </c>
      <c r="B23" s="25">
        <v>45536</v>
      </c>
      <c r="C23" s="25">
        <v>45566</v>
      </c>
      <c r="D23" s="24">
        <v>37.889999389648402</v>
      </c>
      <c r="E23" s="2">
        <v>0.324362061563159</v>
      </c>
      <c r="F23" s="2">
        <v>1.36436144184124E-2</v>
      </c>
      <c r="G23" s="15">
        <v>0.15017161607452401</v>
      </c>
      <c r="H23" s="16">
        <v>0.21483239695887299</v>
      </c>
      <c r="I23" s="17">
        <v>0.35814198768584699</v>
      </c>
      <c r="J23" s="18">
        <v>146</v>
      </c>
      <c r="K23" s="19">
        <v>-0.14621274755261299</v>
      </c>
      <c r="L23" s="18">
        <v>22</v>
      </c>
      <c r="M23" s="26">
        <v>26</v>
      </c>
      <c r="N23" s="28">
        <v>86</v>
      </c>
      <c r="O23" s="87">
        <v>86</v>
      </c>
      <c r="P23" s="28">
        <v>16</v>
      </c>
      <c r="S23" s="98">
        <v>0.45203163314149702</v>
      </c>
      <c r="T23" s="6">
        <v>146</v>
      </c>
      <c r="U23" s="41">
        <v>0.45203163314149702</v>
      </c>
      <c r="V23" s="94">
        <v>146</v>
      </c>
      <c r="W23" s="97">
        <v>16</v>
      </c>
      <c r="X23" s="41">
        <v>0.52248521437978401</v>
      </c>
      <c r="Y23" s="6">
        <v>146</v>
      </c>
      <c r="Z23" s="41">
        <v>0.52248521437978401</v>
      </c>
      <c r="AA23" s="84">
        <v>146</v>
      </c>
      <c r="AB23" s="91"/>
      <c r="AG23" s="91"/>
      <c r="AL23" s="93">
        <v>16</v>
      </c>
      <c r="AM23" s="41">
        <v>0.52248521437978401</v>
      </c>
      <c r="AN23" s="6">
        <v>146</v>
      </c>
      <c r="AO23" s="41">
        <v>0.52248521437978401</v>
      </c>
      <c r="AP23" s="84">
        <v>146</v>
      </c>
      <c r="AQ23" s="91">
        <v>86</v>
      </c>
      <c r="AR23" s="41">
        <v>3.1675982007294198E-2</v>
      </c>
      <c r="AS23" s="6">
        <v>146</v>
      </c>
      <c r="AT23" s="41">
        <v>3.1675982007294198E-2</v>
      </c>
      <c r="AU23" s="89">
        <v>146</v>
      </c>
      <c r="AV23" s="97">
        <v>86</v>
      </c>
      <c r="AW23" s="41">
        <v>3.1675982007294198E-2</v>
      </c>
      <c r="AX23" s="6">
        <v>146</v>
      </c>
      <c r="AY23" s="41">
        <v>3.1675982007294198E-2</v>
      </c>
      <c r="AZ23" s="94">
        <v>146</v>
      </c>
    </row>
    <row r="24" spans="1:52" x14ac:dyDescent="0.3">
      <c r="A24" t="s">
        <v>57</v>
      </c>
      <c r="B24" s="25">
        <v>45505</v>
      </c>
      <c r="C24" s="25">
        <v>45536</v>
      </c>
      <c r="D24" s="24">
        <v>18.027834892272899</v>
      </c>
      <c r="E24" s="2">
        <v>0.16522228876643499</v>
      </c>
      <c r="F24" s="2">
        <v>0.12995715816975101</v>
      </c>
      <c r="G24" s="15">
        <v>0.21270067984566801</v>
      </c>
      <c r="H24" s="16">
        <v>-0.31986798250381998</v>
      </c>
      <c r="I24" s="17">
        <v>0.467776616620524</v>
      </c>
      <c r="J24" s="18">
        <v>102</v>
      </c>
      <c r="K24" s="19">
        <v>-0.46662757349080602</v>
      </c>
      <c r="L24" s="18">
        <v>149</v>
      </c>
      <c r="M24" s="26">
        <v>23</v>
      </c>
      <c r="N24" s="28">
        <v>41</v>
      </c>
      <c r="O24" s="87">
        <v>95</v>
      </c>
      <c r="P24" s="28">
        <v>37</v>
      </c>
      <c r="Q24" s="28">
        <v>146</v>
      </c>
      <c r="R24" s="28">
        <v>146</v>
      </c>
      <c r="S24" s="98">
        <v>0.56868083501219302</v>
      </c>
      <c r="T24" s="6">
        <v>102</v>
      </c>
      <c r="U24" s="41">
        <v>0.56868083501219302</v>
      </c>
      <c r="V24" s="94">
        <v>102</v>
      </c>
      <c r="W24" s="97">
        <v>37</v>
      </c>
      <c r="X24" s="41">
        <v>0.63210959115549403</v>
      </c>
      <c r="Y24" s="6">
        <v>102</v>
      </c>
      <c r="Z24" s="41">
        <v>0.63210959115549403</v>
      </c>
      <c r="AA24" s="84">
        <v>102</v>
      </c>
      <c r="AB24" s="91">
        <v>146</v>
      </c>
      <c r="AC24" s="41">
        <v>-2.9794503808283301E-2</v>
      </c>
      <c r="AD24" s="6">
        <v>999</v>
      </c>
      <c r="AE24" s="41">
        <v>-2.9794503808283301E-2</v>
      </c>
      <c r="AF24" s="84">
        <v>999</v>
      </c>
      <c r="AG24" s="91">
        <v>146</v>
      </c>
      <c r="AH24" s="41">
        <v>-2.9794503808283301E-2</v>
      </c>
      <c r="AI24" s="6">
        <v>999</v>
      </c>
      <c r="AJ24" s="41">
        <v>-2.9794503808283301E-2</v>
      </c>
      <c r="AK24" s="84">
        <v>999</v>
      </c>
      <c r="AL24" s="93">
        <v>23</v>
      </c>
      <c r="AM24" s="41">
        <v>0.26907827952145802</v>
      </c>
      <c r="AN24" s="6">
        <v>102</v>
      </c>
      <c r="AO24" s="41">
        <v>0.26907827952145802</v>
      </c>
      <c r="AP24" s="84">
        <v>102</v>
      </c>
      <c r="AQ24" s="91">
        <v>41</v>
      </c>
      <c r="AR24" s="41">
        <v>0.21491707612431099</v>
      </c>
      <c r="AS24" s="6">
        <v>102</v>
      </c>
      <c r="AT24" s="41">
        <v>0.21491707612431099</v>
      </c>
      <c r="AU24" s="89">
        <v>102</v>
      </c>
      <c r="AV24" s="97">
        <v>95</v>
      </c>
      <c r="AW24" s="41">
        <v>-0.15494263378675399</v>
      </c>
      <c r="AX24" s="6">
        <v>999</v>
      </c>
      <c r="AY24" s="41">
        <v>-0.15494263378675399</v>
      </c>
      <c r="AZ24" s="94">
        <v>999</v>
      </c>
    </row>
    <row r="25" spans="1:52" x14ac:dyDescent="0.3">
      <c r="A25" t="s">
        <v>26</v>
      </c>
      <c r="B25" s="25">
        <v>45505</v>
      </c>
      <c r="C25" s="25">
        <v>45536</v>
      </c>
      <c r="D25" s="24">
        <v>5.04500007629394</v>
      </c>
      <c r="E25" s="2">
        <v>-0.55248737357608801</v>
      </c>
      <c r="F25" s="2">
        <v>-0.37716051374079701</v>
      </c>
      <c r="G25" s="15">
        <v>-7.0366702419213695E-2</v>
      </c>
      <c r="H25" s="16">
        <v>-0.21506442452702801</v>
      </c>
      <c r="I25" s="17">
        <v>0.201189266825782</v>
      </c>
      <c r="J25" s="18">
        <v>28</v>
      </c>
      <c r="K25" s="19">
        <v>-0.38156593887486401</v>
      </c>
      <c r="L25" s="18">
        <v>131</v>
      </c>
      <c r="M25" s="26">
        <v>19</v>
      </c>
      <c r="N25" s="28">
        <v>28</v>
      </c>
      <c r="P25" s="28">
        <v>3</v>
      </c>
      <c r="Q25" s="28">
        <v>14</v>
      </c>
      <c r="R25" s="28">
        <v>105</v>
      </c>
      <c r="S25" s="98">
        <v>0.5</v>
      </c>
      <c r="T25" s="6">
        <v>28</v>
      </c>
      <c r="U25" s="41">
        <v>0.5</v>
      </c>
      <c r="V25" s="94">
        <v>28</v>
      </c>
      <c r="W25" s="97">
        <v>7</v>
      </c>
      <c r="X25" s="41">
        <v>9.9559964853455293E-2</v>
      </c>
      <c r="Y25" s="6">
        <v>999</v>
      </c>
      <c r="Z25" s="41">
        <v>9.9559964853455293E-2</v>
      </c>
      <c r="AA25" s="84">
        <v>999</v>
      </c>
      <c r="AB25" s="91">
        <v>14</v>
      </c>
      <c r="AC25" s="41">
        <v>0.107691473962217</v>
      </c>
      <c r="AD25" s="6">
        <v>999</v>
      </c>
      <c r="AE25" s="41">
        <v>0.107691473962217</v>
      </c>
      <c r="AF25" s="84">
        <v>999</v>
      </c>
      <c r="AG25" s="91">
        <v>105</v>
      </c>
      <c r="AH25" s="41">
        <v>0.42979935744485198</v>
      </c>
      <c r="AI25" s="6">
        <v>145</v>
      </c>
      <c r="AJ25" s="41">
        <v>0.42979935744485198</v>
      </c>
      <c r="AK25" s="84">
        <v>145</v>
      </c>
      <c r="AL25" s="93">
        <v>7</v>
      </c>
      <c r="AM25" s="41">
        <v>9.9559964853455293E-2</v>
      </c>
      <c r="AN25" s="6">
        <v>999</v>
      </c>
      <c r="AO25" s="41">
        <v>9.9559964853455293E-2</v>
      </c>
      <c r="AP25" s="84">
        <v>999</v>
      </c>
      <c r="AQ25" s="91">
        <v>14</v>
      </c>
      <c r="AR25" s="41">
        <v>0.107691473962217</v>
      </c>
      <c r="AS25" s="6">
        <v>999</v>
      </c>
      <c r="AT25" s="41">
        <v>0.107691473962217</v>
      </c>
      <c r="AU25" s="89">
        <v>999</v>
      </c>
      <c r="AV25" s="97">
        <v>105</v>
      </c>
      <c r="AW25" s="41">
        <v>0.42979935744485198</v>
      </c>
      <c r="AX25" s="6">
        <v>145</v>
      </c>
      <c r="AY25" s="41">
        <v>0.42979935744485198</v>
      </c>
      <c r="AZ25" s="94">
        <v>145</v>
      </c>
    </row>
    <row r="26" spans="1:52" x14ac:dyDescent="0.3">
      <c r="A26" t="s">
        <v>47</v>
      </c>
      <c r="B26" s="25">
        <v>45505</v>
      </c>
      <c r="C26" s="25">
        <v>45536</v>
      </c>
      <c r="D26" s="24">
        <v>4.6564192771911603</v>
      </c>
      <c r="E26" s="2">
        <v>-0.11856883340124</v>
      </c>
      <c r="F26" s="2">
        <v>-0.22299372966421599</v>
      </c>
      <c r="G26" s="15">
        <v>-0.325183592912765</v>
      </c>
      <c r="H26" s="16">
        <v>-0.223759497866868</v>
      </c>
      <c r="I26" s="17">
        <v>0.20268966830134499</v>
      </c>
      <c r="J26" s="18">
        <v>46</v>
      </c>
      <c r="K26" s="19">
        <v>-0.387093315572339</v>
      </c>
      <c r="L26" s="18">
        <v>82</v>
      </c>
      <c r="M26" s="26">
        <v>28</v>
      </c>
      <c r="N26" s="28">
        <v>46</v>
      </c>
      <c r="P26" s="28">
        <v>6</v>
      </c>
      <c r="Q26" s="28">
        <v>71</v>
      </c>
      <c r="R26" s="28">
        <v>74</v>
      </c>
      <c r="S26" s="98">
        <v>0.31929029327277503</v>
      </c>
      <c r="T26" s="6">
        <v>46</v>
      </c>
      <c r="U26" s="41">
        <v>0.31929029327277503</v>
      </c>
      <c r="V26" s="94">
        <v>46</v>
      </c>
      <c r="W26" s="97">
        <v>7</v>
      </c>
      <c r="X26" s="41">
        <v>0.31929029327277503</v>
      </c>
      <c r="Y26" s="6">
        <v>46</v>
      </c>
      <c r="Z26" s="41">
        <v>0.31929029327277503</v>
      </c>
      <c r="AA26" s="84">
        <v>46</v>
      </c>
      <c r="AB26" s="91">
        <v>71</v>
      </c>
      <c r="AC26" s="41">
        <v>0.38495614824186902</v>
      </c>
      <c r="AD26" s="6">
        <v>136</v>
      </c>
      <c r="AE26" s="41">
        <v>0.38495614824186902</v>
      </c>
      <c r="AF26" s="84">
        <v>136</v>
      </c>
      <c r="AG26" s="91">
        <v>74</v>
      </c>
      <c r="AH26" s="41">
        <v>0.60806475502237201</v>
      </c>
      <c r="AI26" s="6">
        <v>136</v>
      </c>
      <c r="AJ26" s="41">
        <v>0.60806475502237201</v>
      </c>
      <c r="AK26" s="84">
        <v>136</v>
      </c>
      <c r="AL26" s="93">
        <v>7</v>
      </c>
      <c r="AM26" s="41">
        <v>0.31929029327277503</v>
      </c>
      <c r="AN26" s="6">
        <v>46</v>
      </c>
      <c r="AO26" s="41">
        <v>0.31929029327277503</v>
      </c>
      <c r="AP26" s="84">
        <v>46</v>
      </c>
      <c r="AQ26" s="91">
        <v>46</v>
      </c>
      <c r="AR26" s="41">
        <v>-0.32101114339416198</v>
      </c>
      <c r="AS26" s="6">
        <v>999</v>
      </c>
      <c r="AT26" s="41">
        <v>-0.32101114339416198</v>
      </c>
      <c r="AU26" s="89">
        <v>999</v>
      </c>
      <c r="AV26" s="97">
        <v>74</v>
      </c>
      <c r="AW26" s="41">
        <v>0.60806475502237201</v>
      </c>
      <c r="AX26" s="6">
        <v>136</v>
      </c>
      <c r="AY26" s="41">
        <v>0.60806475502237201</v>
      </c>
      <c r="AZ26" s="94">
        <v>136</v>
      </c>
    </row>
    <row r="27" spans="1:52" x14ac:dyDescent="0.3">
      <c r="A27" t="s">
        <v>44</v>
      </c>
      <c r="B27" s="25">
        <v>45505</v>
      </c>
      <c r="C27" s="25">
        <v>45536</v>
      </c>
      <c r="D27" s="24">
        <v>167.38000488281199</v>
      </c>
      <c r="E27" s="2">
        <v>-0.130448334426606</v>
      </c>
      <c r="F27" s="2">
        <v>-0.104392929373173</v>
      </c>
      <c r="G27" s="15">
        <v>3.1305951018723202E-2</v>
      </c>
      <c r="H27" s="16">
        <v>-3.9192241410116603E-2</v>
      </c>
      <c r="I27" s="17">
        <v>0.11273745110952101</v>
      </c>
      <c r="J27" s="18">
        <v>111</v>
      </c>
      <c r="K27" s="19">
        <v>-0.18395272820358</v>
      </c>
      <c r="L27" s="18">
        <v>147</v>
      </c>
      <c r="M27" s="26">
        <v>107</v>
      </c>
      <c r="P27" s="28">
        <v>22</v>
      </c>
      <c r="S27" s="98">
        <v>0.14425259637049501</v>
      </c>
      <c r="T27" s="6">
        <v>111</v>
      </c>
      <c r="U27" s="41">
        <v>0.14425259637049501</v>
      </c>
      <c r="V27" s="94">
        <v>111</v>
      </c>
      <c r="W27" s="97">
        <v>22</v>
      </c>
      <c r="X27" s="41">
        <v>0.237377057622607</v>
      </c>
      <c r="Y27" s="6">
        <v>111</v>
      </c>
      <c r="Z27" s="41">
        <v>0.237377057622607</v>
      </c>
      <c r="AA27" s="84">
        <v>111</v>
      </c>
      <c r="AB27" s="91"/>
      <c r="AG27" s="91"/>
      <c r="AL27" s="93">
        <v>22</v>
      </c>
      <c r="AM27" s="41">
        <v>0.237377057622607</v>
      </c>
      <c r="AN27" s="6">
        <v>111</v>
      </c>
      <c r="AO27" s="41">
        <v>0.237377057622607</v>
      </c>
      <c r="AP27" s="84">
        <v>111</v>
      </c>
      <c r="AQ27" s="91"/>
      <c r="AV27" s="97"/>
    </row>
    <row r="28" spans="1:52" x14ac:dyDescent="0.3">
      <c r="A28" t="s">
        <v>20</v>
      </c>
      <c r="B28" s="25">
        <v>45474</v>
      </c>
      <c r="C28" s="25">
        <v>45505</v>
      </c>
      <c r="D28" s="24">
        <v>11.1988477706909</v>
      </c>
      <c r="E28" s="2">
        <v>-0.41970796535220301</v>
      </c>
      <c r="F28" s="2">
        <v>0.23202228518166801</v>
      </c>
      <c r="G28" s="15">
        <v>-0.20788415548091699</v>
      </c>
      <c r="H28" s="16">
        <v>-0.47357713970969301</v>
      </c>
      <c r="I28" s="17">
        <v>0.19413578125842201</v>
      </c>
      <c r="J28" s="18">
        <v>88</v>
      </c>
      <c r="K28" s="19">
        <v>-0.47357713970969301</v>
      </c>
      <c r="L28" s="18">
        <v>150</v>
      </c>
      <c r="M28" s="26">
        <v>88</v>
      </c>
      <c r="P28" s="28">
        <v>2</v>
      </c>
      <c r="Q28" s="28">
        <v>59</v>
      </c>
      <c r="R28" s="28">
        <v>148</v>
      </c>
      <c r="S28" s="98">
        <v>0.42552966539995002</v>
      </c>
      <c r="T28" s="6">
        <v>88</v>
      </c>
      <c r="U28" s="41">
        <v>0.42552966539995002</v>
      </c>
      <c r="V28" s="94">
        <v>88</v>
      </c>
      <c r="W28" s="97">
        <v>7</v>
      </c>
      <c r="X28" s="41">
        <v>0.42552966539995002</v>
      </c>
      <c r="Y28" s="6">
        <v>88</v>
      </c>
      <c r="Z28" s="41">
        <v>0.42552966539995002</v>
      </c>
      <c r="AA28" s="84">
        <v>88</v>
      </c>
      <c r="AB28" s="91">
        <v>59</v>
      </c>
      <c r="AC28" s="41">
        <v>0.52391315404417704</v>
      </c>
      <c r="AD28" s="6">
        <v>88</v>
      </c>
      <c r="AE28" s="41">
        <v>0.52391315404417704</v>
      </c>
      <c r="AF28" s="84">
        <v>88</v>
      </c>
      <c r="AG28" s="91">
        <v>148</v>
      </c>
      <c r="AH28" s="41">
        <v>-6.2082137687811199E-2</v>
      </c>
      <c r="AI28" s="6">
        <v>999</v>
      </c>
      <c r="AJ28" s="41">
        <v>-6.2082137687811199E-2</v>
      </c>
      <c r="AK28" s="84">
        <v>999</v>
      </c>
      <c r="AL28" s="93">
        <v>7</v>
      </c>
      <c r="AM28" s="41">
        <v>0.42552966539995002</v>
      </c>
      <c r="AN28" s="6">
        <v>88</v>
      </c>
      <c r="AO28" s="41">
        <v>0.42552966539995002</v>
      </c>
      <c r="AP28" s="84">
        <v>88</v>
      </c>
      <c r="AQ28" s="91">
        <v>59</v>
      </c>
      <c r="AR28" s="41">
        <v>0.52391315404417704</v>
      </c>
      <c r="AS28" s="6">
        <v>88</v>
      </c>
      <c r="AT28" s="41">
        <v>0.52391315404417704</v>
      </c>
      <c r="AU28" s="89">
        <v>88</v>
      </c>
      <c r="AV28" s="97">
        <v>148</v>
      </c>
      <c r="AW28" s="41">
        <v>-6.2082137687811199E-2</v>
      </c>
      <c r="AX28" s="6">
        <v>999</v>
      </c>
      <c r="AY28" s="41">
        <v>-6.2082137687811199E-2</v>
      </c>
      <c r="AZ28" s="94">
        <v>999</v>
      </c>
    </row>
    <row r="29" spans="1:52" x14ac:dyDescent="0.3">
      <c r="A29" t="s">
        <v>9</v>
      </c>
      <c r="B29" s="25">
        <v>45444</v>
      </c>
      <c r="C29" s="25">
        <v>45474</v>
      </c>
      <c r="D29" s="24">
        <v>27.059999465942301</v>
      </c>
      <c r="E29" s="2">
        <v>-0.37201208238294198</v>
      </c>
      <c r="F29" s="2">
        <v>-3.2534854120558399E-2</v>
      </c>
      <c r="G29" s="15">
        <v>-0.36363637645198299</v>
      </c>
      <c r="H29" s="16">
        <v>-0.84331116575022003</v>
      </c>
      <c r="I29" s="17">
        <v>0.18588325151211599</v>
      </c>
      <c r="J29" s="18">
        <v>48</v>
      </c>
      <c r="K29" s="19">
        <v>-0.85809312675699301</v>
      </c>
      <c r="L29" s="18">
        <v>148</v>
      </c>
      <c r="M29" s="26">
        <v>44</v>
      </c>
      <c r="P29" s="28">
        <v>5</v>
      </c>
      <c r="Q29" s="28">
        <v>23</v>
      </c>
      <c r="R29" s="28">
        <v>51</v>
      </c>
      <c r="S29" s="98">
        <v>-0.213553989579022</v>
      </c>
      <c r="T29" s="6">
        <v>25</v>
      </c>
      <c r="U29" s="41">
        <v>0.264381450500355</v>
      </c>
      <c r="V29" s="94">
        <v>48</v>
      </c>
      <c r="W29" s="97">
        <v>7</v>
      </c>
      <c r="X29" s="41">
        <v>0.264381450500355</v>
      </c>
      <c r="Y29" s="6">
        <v>48</v>
      </c>
      <c r="Z29" s="41">
        <v>0.264381450500355</v>
      </c>
      <c r="AA29" s="84">
        <v>48</v>
      </c>
      <c r="AB29" s="91">
        <v>23</v>
      </c>
      <c r="AC29" s="41">
        <v>0.51367919800671302</v>
      </c>
      <c r="AD29" s="6">
        <v>48</v>
      </c>
      <c r="AE29" s="41">
        <v>0.51367919800671302</v>
      </c>
      <c r="AF29" s="84">
        <v>48</v>
      </c>
      <c r="AG29" s="91">
        <v>51</v>
      </c>
      <c r="AH29" s="41">
        <v>0.47413786273816499</v>
      </c>
      <c r="AI29" s="6">
        <v>113</v>
      </c>
      <c r="AJ29" s="41">
        <v>0.47413786273816499</v>
      </c>
      <c r="AK29" s="84">
        <v>113</v>
      </c>
      <c r="AL29" s="93">
        <v>7</v>
      </c>
      <c r="AM29" s="41">
        <v>0.264381450500355</v>
      </c>
      <c r="AN29" s="6">
        <v>48</v>
      </c>
      <c r="AO29" s="41">
        <v>0.264381450500355</v>
      </c>
      <c r="AP29" s="84">
        <v>48</v>
      </c>
      <c r="AQ29" s="91">
        <v>23</v>
      </c>
      <c r="AR29" s="41">
        <v>0.51367919800671302</v>
      </c>
      <c r="AS29" s="6">
        <v>48</v>
      </c>
      <c r="AT29" s="41">
        <v>0.51367919800671302</v>
      </c>
      <c r="AU29" s="89">
        <v>48</v>
      </c>
      <c r="AV29" s="97">
        <v>51</v>
      </c>
      <c r="AW29" s="41">
        <v>0.47413786273816499</v>
      </c>
      <c r="AX29" s="6">
        <v>113</v>
      </c>
      <c r="AY29" s="41">
        <v>0.47413786273816499</v>
      </c>
      <c r="AZ29" s="94">
        <v>113</v>
      </c>
    </row>
    <row r="30" spans="1:52" x14ac:dyDescent="0.3">
      <c r="A30" t="s">
        <v>51</v>
      </c>
      <c r="B30" s="25">
        <v>45444</v>
      </c>
      <c r="C30" s="25">
        <v>45474</v>
      </c>
      <c r="D30" s="24">
        <v>18.459999084472599</v>
      </c>
      <c r="E30" s="2">
        <v>0.24898507564192501</v>
      </c>
      <c r="F30" s="2">
        <v>0.15374994277954099</v>
      </c>
      <c r="G30" s="15">
        <v>0.38678232129506201</v>
      </c>
      <c r="H30" s="16">
        <v>0.65222110036043202</v>
      </c>
      <c r="I30" s="17">
        <v>0.65492961821201801</v>
      </c>
      <c r="J30" s="18">
        <v>149</v>
      </c>
      <c r="K30" s="19">
        <v>0</v>
      </c>
      <c r="L30" s="18">
        <v>0</v>
      </c>
      <c r="M30" s="26">
        <v>10</v>
      </c>
      <c r="N30" s="28">
        <v>23</v>
      </c>
      <c r="O30" s="87">
        <v>34</v>
      </c>
      <c r="S30" s="98">
        <v>0.605359859944687</v>
      </c>
      <c r="T30" s="6">
        <v>149</v>
      </c>
      <c r="U30" s="41">
        <v>0.605359859944687</v>
      </c>
      <c r="V30" s="94">
        <v>149</v>
      </c>
      <c r="W30" s="97"/>
      <c r="AB30" s="91"/>
      <c r="AG30" s="91"/>
      <c r="AL30" s="93">
        <v>10</v>
      </c>
      <c r="AM30" s="41">
        <v>0.486618022932364</v>
      </c>
      <c r="AN30" s="6">
        <v>149</v>
      </c>
      <c r="AO30" s="41">
        <v>0.486618022932364</v>
      </c>
      <c r="AP30" s="84">
        <v>149</v>
      </c>
      <c r="AQ30" s="91">
        <v>23</v>
      </c>
      <c r="AR30" s="41">
        <v>0.36689032284712603</v>
      </c>
      <c r="AS30" s="6">
        <v>149</v>
      </c>
      <c r="AT30" s="41">
        <v>0.36689032284712603</v>
      </c>
      <c r="AU30" s="89">
        <v>149</v>
      </c>
      <c r="AV30" s="97">
        <v>34</v>
      </c>
      <c r="AW30" s="41">
        <v>0.26396355567347002</v>
      </c>
      <c r="AX30" s="6">
        <v>149</v>
      </c>
      <c r="AY30" s="41">
        <v>0.26396355567347002</v>
      </c>
      <c r="AZ30" s="94">
        <v>149</v>
      </c>
    </row>
    <row r="31" spans="1:52" x14ac:dyDescent="0.3">
      <c r="A31" t="s">
        <v>48</v>
      </c>
      <c r="B31" s="25">
        <v>45413</v>
      </c>
      <c r="C31" s="25">
        <v>45444</v>
      </c>
      <c r="D31" s="24">
        <v>10.844999790191601</v>
      </c>
      <c r="E31" s="2">
        <v>-0.18519913987320699</v>
      </c>
      <c r="F31" s="2">
        <v>3.28571228753953E-2</v>
      </c>
      <c r="G31" s="15">
        <v>1.0603988029518299E-2</v>
      </c>
      <c r="H31" s="16">
        <v>-0.16274780088809901</v>
      </c>
      <c r="I31" s="17">
        <v>0.61456897811266797</v>
      </c>
      <c r="J31" s="18">
        <v>32</v>
      </c>
      <c r="K31" s="19">
        <v>-0.28630706123956601</v>
      </c>
      <c r="L31" s="18">
        <v>23</v>
      </c>
      <c r="M31" s="26">
        <v>29</v>
      </c>
      <c r="N31" s="28">
        <v>32</v>
      </c>
      <c r="O31" s="87">
        <v>32</v>
      </c>
      <c r="P31" s="28">
        <v>8</v>
      </c>
      <c r="Q31" s="28">
        <v>19</v>
      </c>
      <c r="S31" s="98">
        <v>-0.20394086429768199</v>
      </c>
      <c r="T31" s="6">
        <v>22</v>
      </c>
      <c r="U31" s="41">
        <v>0.72512324009498796</v>
      </c>
      <c r="V31" s="94">
        <v>32</v>
      </c>
      <c r="W31" s="97">
        <v>8</v>
      </c>
      <c r="X31" s="41">
        <v>0.13459746068407599</v>
      </c>
      <c r="Y31" s="6">
        <v>999</v>
      </c>
      <c r="Z31" s="41">
        <v>0.13459746068407599</v>
      </c>
      <c r="AA31" s="84">
        <v>999</v>
      </c>
      <c r="AB31" s="91">
        <v>19</v>
      </c>
      <c r="AC31" s="41">
        <v>0.36797060727394898</v>
      </c>
      <c r="AD31" s="6">
        <v>999</v>
      </c>
      <c r="AE31" s="41">
        <v>0.36797060727394898</v>
      </c>
      <c r="AF31" s="84">
        <v>999</v>
      </c>
      <c r="AG31" s="91"/>
      <c r="AL31" s="93">
        <v>8</v>
      </c>
      <c r="AM31" s="41">
        <v>0.13459746068407599</v>
      </c>
      <c r="AN31" s="6">
        <v>999</v>
      </c>
      <c r="AO31" s="41">
        <v>0.13459746068407599</v>
      </c>
      <c r="AP31" s="84">
        <v>999</v>
      </c>
      <c r="AQ31" s="91">
        <v>19</v>
      </c>
      <c r="AR31" s="41">
        <v>0.36797060727394898</v>
      </c>
      <c r="AS31" s="6">
        <v>999</v>
      </c>
      <c r="AT31" s="41">
        <v>0.36797060727394898</v>
      </c>
      <c r="AU31" s="89">
        <v>999</v>
      </c>
      <c r="AV31" s="97">
        <v>32</v>
      </c>
      <c r="AW31" s="41">
        <v>-0.35331552186262599</v>
      </c>
      <c r="AX31" s="6">
        <v>999</v>
      </c>
      <c r="AY31" s="41">
        <v>-0.35331552186262599</v>
      </c>
      <c r="AZ31" s="94">
        <v>999</v>
      </c>
    </row>
    <row r="32" spans="1:52" x14ac:dyDescent="0.3">
      <c r="A32" t="s">
        <v>39</v>
      </c>
      <c r="B32" s="25">
        <v>45413</v>
      </c>
      <c r="C32" s="25">
        <v>45444</v>
      </c>
      <c r="D32" s="24">
        <v>17.045000076293899</v>
      </c>
      <c r="E32" s="2">
        <v>0.73928568821954299</v>
      </c>
      <c r="F32" s="2">
        <v>0.35063393271487597</v>
      </c>
      <c r="G32" s="15">
        <v>0.466705772255748</v>
      </c>
      <c r="H32" s="16">
        <v>4.9574614817967197E-2</v>
      </c>
      <c r="I32" s="17">
        <v>0.78938104215201199</v>
      </c>
      <c r="J32" s="18">
        <v>70</v>
      </c>
      <c r="K32" s="19">
        <v>-0.25198005614956798</v>
      </c>
      <c r="L32" s="18">
        <v>15</v>
      </c>
      <c r="M32" s="26">
        <v>49</v>
      </c>
      <c r="N32" s="28">
        <v>49</v>
      </c>
      <c r="O32" s="87">
        <v>51</v>
      </c>
      <c r="P32" s="28">
        <v>11</v>
      </c>
      <c r="Q32" s="28">
        <v>14</v>
      </c>
      <c r="S32" s="98">
        <v>-0.223272334229663</v>
      </c>
      <c r="T32" s="6">
        <v>14</v>
      </c>
      <c r="U32" s="41">
        <v>0.80153570290696596</v>
      </c>
      <c r="V32" s="94">
        <v>70</v>
      </c>
      <c r="W32" s="97">
        <v>11</v>
      </c>
      <c r="X32" s="41">
        <v>1.1210013739409299</v>
      </c>
      <c r="Y32" s="6">
        <v>70</v>
      </c>
      <c r="Z32" s="41">
        <v>1.1210013739409299</v>
      </c>
      <c r="AA32" s="84">
        <v>70</v>
      </c>
      <c r="AB32" s="91">
        <v>14</v>
      </c>
      <c r="AC32" s="41">
        <v>1.3193917022644599</v>
      </c>
      <c r="AD32" s="6">
        <v>70</v>
      </c>
      <c r="AE32" s="41">
        <v>1.3193917022644599</v>
      </c>
      <c r="AF32" s="84">
        <v>70</v>
      </c>
      <c r="AG32" s="91"/>
      <c r="AL32" s="93">
        <v>11</v>
      </c>
      <c r="AM32" s="41">
        <v>1.1210013739409299</v>
      </c>
      <c r="AN32" s="6">
        <v>70</v>
      </c>
      <c r="AO32" s="41">
        <v>1.1210013739409299</v>
      </c>
      <c r="AP32" s="84">
        <v>70</v>
      </c>
      <c r="AQ32" s="91">
        <v>14</v>
      </c>
      <c r="AR32" s="41">
        <v>1.3193917022644599</v>
      </c>
      <c r="AS32" s="6">
        <v>70</v>
      </c>
      <c r="AT32" s="41">
        <v>1.3193917022644599</v>
      </c>
      <c r="AU32" s="89">
        <v>70</v>
      </c>
      <c r="AV32" s="97">
        <v>51</v>
      </c>
      <c r="AW32" s="41">
        <v>8.6147908562548298E-3</v>
      </c>
      <c r="AX32" s="6">
        <v>999</v>
      </c>
      <c r="AY32" s="41">
        <v>8.6147908562548298E-3</v>
      </c>
      <c r="AZ32" s="94">
        <v>999</v>
      </c>
    </row>
    <row r="33" spans="1:52" x14ac:dyDescent="0.3">
      <c r="A33" t="s">
        <v>10</v>
      </c>
      <c r="B33" s="25">
        <v>45413</v>
      </c>
      <c r="C33" s="25">
        <v>45444</v>
      </c>
      <c r="D33" s="24">
        <v>37.125</v>
      </c>
      <c r="E33" s="2">
        <v>0.158707832059029</v>
      </c>
      <c r="F33" s="2">
        <v>-8.2200264529681696E-2</v>
      </c>
      <c r="G33" s="15">
        <v>0.15151515151515099</v>
      </c>
      <c r="H33" s="16">
        <v>0.12619532318629001</v>
      </c>
      <c r="I33" s="17">
        <v>0.34868686046664499</v>
      </c>
      <c r="J33" s="18">
        <v>57</v>
      </c>
      <c r="K33" s="19">
        <v>-0.124848439637258</v>
      </c>
      <c r="L33" s="18">
        <v>14</v>
      </c>
      <c r="M33" s="26">
        <v>25</v>
      </c>
      <c r="N33" s="28">
        <v>29</v>
      </c>
      <c r="O33" s="87">
        <v>52</v>
      </c>
      <c r="P33" s="28">
        <v>13</v>
      </c>
      <c r="S33" s="98">
        <v>0.359489470690324</v>
      </c>
      <c r="T33" s="6">
        <v>57</v>
      </c>
      <c r="U33" s="41">
        <v>0.359489470690324</v>
      </c>
      <c r="V33" s="94">
        <v>57</v>
      </c>
      <c r="W33" s="97">
        <v>13</v>
      </c>
      <c r="X33" s="41">
        <v>0.504507257553513</v>
      </c>
      <c r="Y33" s="6">
        <v>57</v>
      </c>
      <c r="Z33" s="41">
        <v>0.504507257553513</v>
      </c>
      <c r="AA33" s="84">
        <v>57</v>
      </c>
      <c r="AB33" s="91"/>
      <c r="AG33" s="91"/>
      <c r="AL33" s="93">
        <v>13</v>
      </c>
      <c r="AM33" s="41">
        <v>0.504507257553513</v>
      </c>
      <c r="AN33" s="6">
        <v>57</v>
      </c>
      <c r="AO33" s="41">
        <v>0.504507257553513</v>
      </c>
      <c r="AP33" s="84">
        <v>57</v>
      </c>
      <c r="AQ33" s="91">
        <v>29</v>
      </c>
      <c r="AR33" s="41">
        <v>0.122394059846878</v>
      </c>
      <c r="AS33" s="6">
        <v>57</v>
      </c>
      <c r="AT33" s="41">
        <v>0.122394059846878</v>
      </c>
      <c r="AU33" s="89">
        <v>57</v>
      </c>
      <c r="AV33" s="97">
        <v>52</v>
      </c>
      <c r="AW33" s="41">
        <v>-0.13266966693110299</v>
      </c>
      <c r="AX33" s="6">
        <v>999</v>
      </c>
      <c r="AY33" s="41">
        <v>-0.13266966693110299</v>
      </c>
      <c r="AZ33" s="94">
        <v>999</v>
      </c>
    </row>
  </sheetData>
  <autoFilter ref="A4:AZ76" xr:uid="{A63CA558-3F40-463D-93F5-3E4C2572FE45}">
    <sortState xmlns:xlrd2="http://schemas.microsoft.com/office/spreadsheetml/2017/richdata2" ref="A5:AZ33">
      <sortCondition descending="1" ref="C4:C76"/>
    </sortState>
  </autoFilter>
  <mergeCells count="29">
    <mergeCell ref="Z3:AA3"/>
    <mergeCell ref="S2:V2"/>
    <mergeCell ref="S3:T3"/>
    <mergeCell ref="U3:V3"/>
    <mergeCell ref="X3:Y3"/>
    <mergeCell ref="M2:O2"/>
    <mergeCell ref="P2:R2"/>
    <mergeCell ref="W2:AA2"/>
    <mergeCell ref="A1:R1"/>
    <mergeCell ref="B2:D2"/>
    <mergeCell ref="E2:F2"/>
    <mergeCell ref="G2:H2"/>
    <mergeCell ref="I2:L2"/>
    <mergeCell ref="AV2:AZ2"/>
    <mergeCell ref="AW3:AX3"/>
    <mergeCell ref="AY3:AZ3"/>
    <mergeCell ref="S1:AZ1"/>
    <mergeCell ref="AL2:AP2"/>
    <mergeCell ref="AM3:AN3"/>
    <mergeCell ref="AO3:AP3"/>
    <mergeCell ref="AQ2:AU2"/>
    <mergeCell ref="AR3:AS3"/>
    <mergeCell ref="AT3:AU3"/>
    <mergeCell ref="AB2:AF2"/>
    <mergeCell ref="AC3:AD3"/>
    <mergeCell ref="AE3:AF3"/>
    <mergeCell ref="AG2:AK2"/>
    <mergeCell ref="AH3:AI3"/>
    <mergeCell ref="AJ3:AK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FF27B-8209-4416-BE0A-9D70B54548FC}">
  <dimension ref="A1:AG30"/>
  <sheetViews>
    <sheetView zoomScale="115" zoomScaleNormal="115"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V9" sqref="V9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hidden="1" customWidth="1" outlineLevel="1"/>
    <col min="8" max="8" width="9.88671875" style="15" hidden="1" customWidth="1" outlineLevel="1"/>
    <col min="9" max="9" width="9.88671875" style="16" hidden="1" customWidth="1" outlineLevel="1"/>
    <col min="10" max="10" width="6.88671875" style="17" hidden="1" customWidth="1" outlineLevel="1"/>
    <col min="11" max="11" width="12.33203125" style="18" hidden="1" customWidth="1" outlineLevel="1"/>
    <col min="12" max="12" width="6.6640625" style="19" hidden="1" customWidth="1" outlineLevel="1"/>
    <col min="13" max="13" width="12.109375" style="18" hidden="1" customWidth="1" outlineLevel="1"/>
    <col min="14" max="14" width="8.44140625" style="26" hidden="1" customWidth="1" outlineLevel="1"/>
    <col min="15" max="15" width="8.44140625" style="28" hidden="1" customWidth="1" outlineLevel="1"/>
    <col min="16" max="16" width="8.44140625" style="26" hidden="1" customWidth="1" outlineLevel="1"/>
    <col min="17" max="17" width="8.44140625" style="28" hidden="1" customWidth="1" outlineLevel="1"/>
    <col min="18" max="18" width="8.44140625" style="36" bestFit="1" customWidth="1" collapsed="1"/>
    <col min="19" max="19" width="8.21875" style="6" customWidth="1"/>
    <col min="20" max="20" width="13.5546875" style="37" customWidth="1"/>
    <col min="21" max="21" width="8.44140625" style="6" bestFit="1" customWidth="1"/>
    <col min="22" max="22" width="11" style="6" customWidth="1"/>
    <col min="23" max="23" width="9.44140625" style="38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2" t="s">
        <v>62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35"/>
      <c r="Q1" s="31"/>
      <c r="R1" s="117" t="s">
        <v>65</v>
      </c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</row>
    <row r="2" spans="1:33" s="34" customFormat="1" ht="30.6" customHeight="1" x14ac:dyDescent="0.3">
      <c r="A2" s="33"/>
      <c r="C2" s="119" t="s">
        <v>37</v>
      </c>
      <c r="D2" s="119"/>
      <c r="E2" s="119"/>
      <c r="F2" s="120" t="s">
        <v>30</v>
      </c>
      <c r="G2" s="120"/>
      <c r="H2" s="121" t="s">
        <v>31</v>
      </c>
      <c r="I2" s="122"/>
      <c r="J2" s="121" t="s">
        <v>59</v>
      </c>
      <c r="K2" s="123"/>
      <c r="L2" s="122"/>
      <c r="M2" s="123"/>
      <c r="N2" s="153" t="s">
        <v>63</v>
      </c>
      <c r="O2" s="153"/>
      <c r="P2" s="153" t="s">
        <v>64</v>
      </c>
      <c r="Q2" s="153"/>
      <c r="R2" s="154" t="s">
        <v>35</v>
      </c>
      <c r="S2" s="154"/>
      <c r="T2" s="155"/>
      <c r="U2" s="149" t="s">
        <v>69</v>
      </c>
      <c r="V2" s="150"/>
      <c r="W2" s="150"/>
      <c r="X2" s="147" t="s">
        <v>70</v>
      </c>
      <c r="Y2" s="148"/>
      <c r="Z2" s="148"/>
      <c r="AA2" s="149" t="s">
        <v>67</v>
      </c>
      <c r="AB2" s="150"/>
      <c r="AC2" s="150"/>
      <c r="AD2" s="151" t="s">
        <v>66</v>
      </c>
      <c r="AE2" s="148"/>
      <c r="AF2" s="148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20</v>
      </c>
      <c r="C4" s="25">
        <v>45474</v>
      </c>
      <c r="D4" s="25">
        <v>45505</v>
      </c>
      <c r="E4" s="24">
        <v>11.1988477706909</v>
      </c>
      <c r="F4" s="2">
        <v>-0.41970790800001301</v>
      </c>
      <c r="G4" s="2">
        <v>0.23202228518166801</v>
      </c>
      <c r="H4" s="15">
        <v>-0.20788424063916999</v>
      </c>
      <c r="I4" s="16">
        <v>-0.473577097130567</v>
      </c>
      <c r="J4" s="17">
        <v>0.19413569610016901</v>
      </c>
      <c r="K4" s="18">
        <v>88</v>
      </c>
      <c r="L4" s="19">
        <v>-0.473577097130567</v>
      </c>
      <c r="M4" s="18">
        <v>150</v>
      </c>
      <c r="N4" s="26">
        <v>2</v>
      </c>
      <c r="O4" s="28">
        <v>59</v>
      </c>
      <c r="P4" s="26">
        <v>64</v>
      </c>
      <c r="Q4" s="28">
        <v>148</v>
      </c>
      <c r="R4" s="36">
        <v>7</v>
      </c>
      <c r="S4" s="6" t="s">
        <v>8</v>
      </c>
      <c r="T4" s="37">
        <v>0.42499999999999999</v>
      </c>
      <c r="U4" s="39">
        <f>O4</f>
        <v>59</v>
      </c>
      <c r="V4" s="6" t="s">
        <v>8</v>
      </c>
      <c r="W4" s="38">
        <v>0.52390000000000003</v>
      </c>
      <c r="X4" s="43">
        <f t="shared" ref="X4:X15" si="0">N4</f>
        <v>2</v>
      </c>
      <c r="Y4" s="6" t="s">
        <v>8</v>
      </c>
      <c r="Z4" s="41">
        <v>0.43</v>
      </c>
      <c r="AA4" s="43">
        <f>Q4</f>
        <v>148</v>
      </c>
      <c r="AB4" s="6" t="s">
        <v>6</v>
      </c>
      <c r="AC4" s="38" t="s">
        <v>6</v>
      </c>
      <c r="AD4" s="43">
        <f>P4</f>
        <v>64</v>
      </c>
      <c r="AE4" s="6" t="s">
        <v>8</v>
      </c>
      <c r="AF4" s="38">
        <v>0.60780000000000001</v>
      </c>
    </row>
    <row r="5" spans="1:33" x14ac:dyDescent="0.3">
      <c r="A5" s="1" t="s">
        <v>72</v>
      </c>
      <c r="B5" t="s">
        <v>16</v>
      </c>
      <c r="C5" s="25">
        <v>45474</v>
      </c>
      <c r="D5" s="25">
        <v>45505</v>
      </c>
      <c r="E5" s="24">
        <v>5.4499998092651296</v>
      </c>
      <c r="F5" s="2">
        <v>0.90559440880067998</v>
      </c>
      <c r="G5" s="2">
        <v>1.11317150771401E-2</v>
      </c>
      <c r="H5" s="15">
        <v>-0.36055045558511001</v>
      </c>
      <c r="I5" s="16">
        <v>-0.467889872135892</v>
      </c>
      <c r="J5" s="17">
        <v>0</v>
      </c>
      <c r="K5" s="18">
        <v>0</v>
      </c>
      <c r="L5" s="19">
        <v>-0.46972473283556698</v>
      </c>
      <c r="M5" s="18">
        <v>130</v>
      </c>
      <c r="N5" s="26">
        <v>2</v>
      </c>
      <c r="O5" s="28">
        <v>3</v>
      </c>
      <c r="P5" s="26">
        <v>27</v>
      </c>
      <c r="Q5" s="28">
        <v>66</v>
      </c>
      <c r="R5" s="36">
        <v>7</v>
      </c>
      <c r="S5" s="6" t="s">
        <v>71</v>
      </c>
      <c r="T5" s="37">
        <v>-0.29680000000000001</v>
      </c>
      <c r="U5" s="39" t="s">
        <v>6</v>
      </c>
      <c r="V5" s="6" t="s">
        <v>6</v>
      </c>
      <c r="W5" s="38" t="s">
        <v>6</v>
      </c>
      <c r="X5" s="43">
        <f t="shared" si="0"/>
        <v>2</v>
      </c>
      <c r="Y5" s="6" t="s">
        <v>71</v>
      </c>
      <c r="Z5" s="41">
        <v>-0.3</v>
      </c>
      <c r="AA5" s="43">
        <f>Q5</f>
        <v>66</v>
      </c>
      <c r="AB5" s="6" t="s">
        <v>71</v>
      </c>
      <c r="AC5" s="38">
        <v>-0.11</v>
      </c>
      <c r="AD5" s="43">
        <f>P5</f>
        <v>27</v>
      </c>
      <c r="AE5" s="6" t="s">
        <v>71</v>
      </c>
      <c r="AF5" s="38">
        <v>-0.2</v>
      </c>
    </row>
    <row r="6" spans="1:33" x14ac:dyDescent="0.3">
      <c r="A6" s="1" t="s">
        <v>72</v>
      </c>
      <c r="B6" t="s">
        <v>26</v>
      </c>
      <c r="C6" s="25">
        <v>45505</v>
      </c>
      <c r="D6" s="25">
        <v>45536</v>
      </c>
      <c r="E6" s="24">
        <v>5.04500007629394</v>
      </c>
      <c r="F6" s="2">
        <v>-0.55248737357608801</v>
      </c>
      <c r="G6" s="2">
        <v>-0.37716051374079701</v>
      </c>
      <c r="H6" s="15">
        <v>-7.0366702419213695E-2</v>
      </c>
      <c r="I6" s="16">
        <v>-0.21506442452702801</v>
      </c>
      <c r="J6" s="17">
        <v>0.201189266825782</v>
      </c>
      <c r="K6" s="18">
        <v>28</v>
      </c>
      <c r="L6" s="19">
        <v>-0.38156593887486401</v>
      </c>
      <c r="M6" s="18">
        <v>131</v>
      </c>
      <c r="N6" s="26">
        <v>3</v>
      </c>
      <c r="O6" s="28">
        <v>14</v>
      </c>
      <c r="P6" s="26">
        <v>104</v>
      </c>
      <c r="Q6" s="28">
        <v>131</v>
      </c>
      <c r="R6" s="36">
        <v>7</v>
      </c>
      <c r="S6" s="6" t="s">
        <v>8</v>
      </c>
      <c r="T6" s="37">
        <v>0.4</v>
      </c>
      <c r="U6" s="39">
        <f t="shared" ref="U6:U17" si="1">O6</f>
        <v>14</v>
      </c>
      <c r="V6" s="6" t="s">
        <v>8</v>
      </c>
      <c r="W6" s="38">
        <v>0.3</v>
      </c>
      <c r="X6" s="43">
        <f t="shared" si="0"/>
        <v>3</v>
      </c>
      <c r="Y6" s="6" t="s">
        <v>8</v>
      </c>
      <c r="Z6" s="41">
        <v>0.4</v>
      </c>
      <c r="AA6" s="43">
        <f>Q6</f>
        <v>131</v>
      </c>
      <c r="AB6" s="6" t="s">
        <v>8</v>
      </c>
      <c r="AC6" s="38">
        <v>0.3</v>
      </c>
      <c r="AD6" s="43">
        <f>P6</f>
        <v>104</v>
      </c>
      <c r="AE6" s="6" t="s">
        <v>8</v>
      </c>
      <c r="AF6" s="38">
        <v>0.3861</v>
      </c>
    </row>
    <row r="7" spans="1:33" x14ac:dyDescent="0.3">
      <c r="A7" s="1" t="s">
        <v>72</v>
      </c>
      <c r="B7" t="s">
        <v>14</v>
      </c>
      <c r="C7" s="25">
        <v>45536</v>
      </c>
      <c r="D7" s="25">
        <v>45566</v>
      </c>
      <c r="E7" s="24">
        <v>2.8099999427795401</v>
      </c>
      <c r="F7" s="2">
        <v>0.37073171128835197</v>
      </c>
      <c r="G7" s="2">
        <v>-0.242587624289339</v>
      </c>
      <c r="H7" s="15">
        <v>-0.23131667978110301</v>
      </c>
      <c r="I7" s="16">
        <v>0.46975096033478297</v>
      </c>
      <c r="J7" s="17">
        <v>1.32028473796949</v>
      </c>
      <c r="K7" s="18">
        <v>92</v>
      </c>
      <c r="L7" s="19">
        <v>-0.56939499544968297</v>
      </c>
      <c r="M7" s="18">
        <v>35</v>
      </c>
      <c r="N7" s="26">
        <v>27</v>
      </c>
      <c r="O7" s="28">
        <v>27</v>
      </c>
      <c r="P7" s="26">
        <v>27</v>
      </c>
      <c r="Q7" s="28">
        <v>27</v>
      </c>
      <c r="R7" s="36">
        <v>7</v>
      </c>
      <c r="S7" s="6" t="s">
        <v>8</v>
      </c>
      <c r="T7" s="37">
        <v>1.2030000000000001</v>
      </c>
      <c r="U7" s="39">
        <f t="shared" si="1"/>
        <v>27</v>
      </c>
      <c r="V7" s="6" t="s">
        <v>8</v>
      </c>
      <c r="W7" s="38">
        <v>2.6419999999999999</v>
      </c>
      <c r="X7" s="43">
        <f t="shared" si="0"/>
        <v>27</v>
      </c>
      <c r="Y7" s="6" t="s">
        <v>8</v>
      </c>
      <c r="Z7" s="41">
        <v>2.64</v>
      </c>
      <c r="AA7" s="43" t="s">
        <v>6</v>
      </c>
      <c r="AB7" s="6" t="s">
        <v>6</v>
      </c>
      <c r="AC7" s="38" t="s">
        <v>6</v>
      </c>
      <c r="AD7" s="43">
        <f>P7</f>
        <v>27</v>
      </c>
      <c r="AE7" s="6" t="s">
        <v>8</v>
      </c>
      <c r="AF7" s="41">
        <v>2.64</v>
      </c>
    </row>
    <row r="8" spans="1:33" x14ac:dyDescent="0.3">
      <c r="A8" s="1" t="s">
        <v>72</v>
      </c>
      <c r="B8" t="s">
        <v>9</v>
      </c>
      <c r="C8" s="25">
        <v>45536</v>
      </c>
      <c r="D8" s="25">
        <v>45566</v>
      </c>
      <c r="E8" s="24">
        <v>14.4799995422363</v>
      </c>
      <c r="F8" s="2">
        <v>-0.375053970886632</v>
      </c>
      <c r="G8" s="2">
        <v>-0.46171004655845099</v>
      </c>
      <c r="H8" s="15">
        <v>-0.58977898860464495</v>
      </c>
      <c r="I8" s="16">
        <v>-0.90676795120717502</v>
      </c>
      <c r="J8" s="17">
        <v>0.29903315335583902</v>
      </c>
      <c r="K8" s="18">
        <v>49</v>
      </c>
      <c r="L8" s="19">
        <v>-0.93191298232014197</v>
      </c>
      <c r="M8" s="18">
        <v>136</v>
      </c>
      <c r="N8" s="26">
        <v>55</v>
      </c>
      <c r="O8" s="28">
        <v>56</v>
      </c>
      <c r="P8" s="26">
        <v>15</v>
      </c>
      <c r="Q8" s="28">
        <v>55</v>
      </c>
      <c r="R8" s="36">
        <v>7</v>
      </c>
      <c r="S8" s="6" t="s">
        <v>71</v>
      </c>
      <c r="T8" s="37">
        <v>-0.93799999999999994</v>
      </c>
      <c r="U8" s="39">
        <f t="shared" si="1"/>
        <v>56</v>
      </c>
      <c r="V8" s="6" t="s">
        <v>71</v>
      </c>
      <c r="W8" s="38">
        <v>-0.90900000000000003</v>
      </c>
      <c r="X8" s="43">
        <f t="shared" si="0"/>
        <v>55</v>
      </c>
      <c r="Y8" s="6" t="s">
        <v>71</v>
      </c>
      <c r="Z8" s="40">
        <v>-0.91</v>
      </c>
      <c r="AA8" s="43">
        <f>Q8</f>
        <v>55</v>
      </c>
      <c r="AB8" s="6" t="s">
        <v>71</v>
      </c>
      <c r="AC8" s="38">
        <v>-0.91</v>
      </c>
      <c r="AD8" s="43">
        <f>P8</f>
        <v>15</v>
      </c>
      <c r="AE8" s="6" t="s">
        <v>8</v>
      </c>
      <c r="AF8" s="38">
        <v>0.34100000000000003</v>
      </c>
    </row>
    <row r="9" spans="1:33" x14ac:dyDescent="0.3">
      <c r="A9" s="1" t="s">
        <v>72</v>
      </c>
      <c r="B9" t="s">
        <v>15</v>
      </c>
      <c r="C9" s="25">
        <v>45597</v>
      </c>
      <c r="D9" s="25">
        <v>45627</v>
      </c>
      <c r="E9" s="24">
        <v>3.1800000667571999</v>
      </c>
      <c r="F9" s="2">
        <v>-0.41030216765528099</v>
      </c>
      <c r="G9" s="2">
        <v>-0.45360825206824001</v>
      </c>
      <c r="H9" s="15">
        <v>0.106918209758412</v>
      </c>
      <c r="I9" s="16">
        <v>-1.8867981112750402E-2</v>
      </c>
      <c r="J9" s="17">
        <v>0.298742147088215</v>
      </c>
      <c r="K9" s="18">
        <v>12</v>
      </c>
      <c r="L9" s="19">
        <v>-0.28616354299597802</v>
      </c>
      <c r="M9" s="18">
        <v>90</v>
      </c>
      <c r="N9" s="26">
        <v>61</v>
      </c>
      <c r="O9" s="28">
        <v>89</v>
      </c>
      <c r="P9" s="26">
        <v>55</v>
      </c>
      <c r="Q9" s="28">
        <v>64</v>
      </c>
      <c r="R9" s="36">
        <v>7</v>
      </c>
      <c r="S9" s="6" t="s">
        <v>71</v>
      </c>
      <c r="T9" s="37">
        <v>-0.34499999999999997</v>
      </c>
      <c r="U9" s="39">
        <f t="shared" si="1"/>
        <v>89</v>
      </c>
      <c r="V9" s="6" t="s">
        <v>8</v>
      </c>
      <c r="W9" s="38">
        <v>0.37859999999999999</v>
      </c>
      <c r="X9" s="43">
        <f t="shared" si="0"/>
        <v>61</v>
      </c>
      <c r="Y9" s="6" t="s">
        <v>71</v>
      </c>
      <c r="Z9" s="40">
        <v>-0.2</v>
      </c>
      <c r="AA9" s="43" t="s">
        <v>6</v>
      </c>
      <c r="AB9" s="6" t="s">
        <v>6</v>
      </c>
      <c r="AC9" s="38" t="s">
        <v>6</v>
      </c>
      <c r="AD9" s="43" t="s">
        <v>6</v>
      </c>
      <c r="AE9" s="6" t="s">
        <v>6</v>
      </c>
      <c r="AF9" s="40" t="s">
        <v>6</v>
      </c>
    </row>
    <row r="10" spans="1:33" x14ac:dyDescent="0.3">
      <c r="A10" s="1" t="s">
        <v>72</v>
      </c>
      <c r="B10" t="s">
        <v>23</v>
      </c>
      <c r="C10" s="25">
        <v>45658</v>
      </c>
      <c r="D10" s="25">
        <v>45689</v>
      </c>
      <c r="E10" s="24">
        <v>65.209999084472599</v>
      </c>
      <c r="F10" s="2">
        <v>1.20006749079916</v>
      </c>
      <c r="G10" s="2">
        <v>3.7054675203224502E-2</v>
      </c>
      <c r="H10" s="15">
        <v>-0.409446421374004</v>
      </c>
      <c r="I10" s="16">
        <v>-5.5666267510841201E-2</v>
      </c>
      <c r="J10" s="17">
        <v>1.9168839404226201E-2</v>
      </c>
      <c r="K10" s="18">
        <v>2</v>
      </c>
      <c r="L10" s="19">
        <v>-0.62674435678095897</v>
      </c>
      <c r="M10" s="18">
        <v>53</v>
      </c>
      <c r="N10" s="26">
        <v>4</v>
      </c>
      <c r="O10" s="28">
        <v>5</v>
      </c>
      <c r="P10" s="26">
        <v>22</v>
      </c>
      <c r="Q10" s="28">
        <v>43</v>
      </c>
      <c r="R10" s="36">
        <v>7</v>
      </c>
      <c r="S10" s="6" t="s">
        <v>8</v>
      </c>
      <c r="T10" s="37">
        <v>0.68</v>
      </c>
      <c r="U10" s="39">
        <f t="shared" si="1"/>
        <v>5</v>
      </c>
      <c r="V10" s="6" t="s">
        <v>8</v>
      </c>
      <c r="W10" s="38">
        <v>0.68</v>
      </c>
      <c r="X10" s="43">
        <f t="shared" si="0"/>
        <v>4</v>
      </c>
      <c r="Y10" s="6" t="s">
        <v>8</v>
      </c>
      <c r="Z10" s="41">
        <v>0.68</v>
      </c>
      <c r="AA10" s="43">
        <f t="shared" ref="AA10:AA15" si="2">Q10</f>
        <v>43</v>
      </c>
      <c r="AB10" s="6" t="s">
        <v>8</v>
      </c>
      <c r="AC10" s="38">
        <v>1.1990000000000001</v>
      </c>
      <c r="AD10" s="43">
        <f t="shared" ref="AD10:AD15" si="3">P10</f>
        <v>22</v>
      </c>
      <c r="AE10" s="6" t="s">
        <v>8</v>
      </c>
      <c r="AF10" s="38">
        <v>0.90500000000000003</v>
      </c>
    </row>
    <row r="11" spans="1:33" x14ac:dyDescent="0.3">
      <c r="A11" s="1" t="s">
        <v>72</v>
      </c>
      <c r="B11" t="s">
        <v>21</v>
      </c>
      <c r="C11" s="25">
        <v>45689</v>
      </c>
      <c r="D11" s="25">
        <v>45717</v>
      </c>
      <c r="E11" s="24">
        <v>16.454999923706001</v>
      </c>
      <c r="F11" s="2">
        <v>-0.26441666042110201</v>
      </c>
      <c r="G11" s="2">
        <v>-8.1374459095937494E-3</v>
      </c>
      <c r="H11" s="15">
        <v>-0.16134911852209999</v>
      </c>
      <c r="J11" s="17">
        <v>8.3561227977831207E-2</v>
      </c>
      <c r="K11" s="18">
        <v>15</v>
      </c>
      <c r="L11" s="19">
        <v>-0.26709204038084799</v>
      </c>
      <c r="M11" s="18">
        <v>44</v>
      </c>
      <c r="N11" s="26">
        <v>24</v>
      </c>
      <c r="O11" s="28">
        <v>26</v>
      </c>
      <c r="P11" s="26">
        <v>24</v>
      </c>
      <c r="Q11" s="28">
        <v>26</v>
      </c>
      <c r="R11" s="36">
        <v>7</v>
      </c>
      <c r="S11" s="6" t="s">
        <v>71</v>
      </c>
      <c r="T11" s="37">
        <v>-0.27089999999999997</v>
      </c>
      <c r="U11" s="39">
        <f t="shared" si="1"/>
        <v>26</v>
      </c>
      <c r="V11" s="6" t="s">
        <v>8</v>
      </c>
      <c r="W11" s="38">
        <v>0.35349999999999998</v>
      </c>
      <c r="X11" s="43">
        <f t="shared" si="0"/>
        <v>24</v>
      </c>
      <c r="Y11" s="6" t="s">
        <v>8</v>
      </c>
      <c r="Z11" s="41">
        <v>0.2661</v>
      </c>
      <c r="AA11" s="43">
        <f t="shared" si="2"/>
        <v>26</v>
      </c>
      <c r="AB11" s="6" t="s">
        <v>8</v>
      </c>
      <c r="AC11" s="38">
        <v>0.35</v>
      </c>
      <c r="AD11" s="43">
        <f t="shared" si="3"/>
        <v>24</v>
      </c>
      <c r="AE11" s="6" t="s">
        <v>8</v>
      </c>
      <c r="AF11" s="41">
        <v>0.27</v>
      </c>
    </row>
    <row r="12" spans="1:33" x14ac:dyDescent="0.3">
      <c r="A12" s="1" t="s">
        <v>72</v>
      </c>
      <c r="B12" t="s">
        <v>19</v>
      </c>
      <c r="C12" s="25">
        <v>45748</v>
      </c>
      <c r="D12" s="25">
        <v>45778</v>
      </c>
      <c r="E12" s="24">
        <v>4.9811348915100098</v>
      </c>
      <c r="F12" s="2">
        <v>-0.67470678387049299</v>
      </c>
      <c r="G12" s="2">
        <v>-0.212634735584877</v>
      </c>
      <c r="H12" s="15">
        <v>1.3994916044566199</v>
      </c>
      <c r="J12" s="17">
        <v>1.52352123935629</v>
      </c>
      <c r="K12" s="18">
        <v>83</v>
      </c>
      <c r="L12" s="19">
        <v>-1.5655649611049802E-2</v>
      </c>
      <c r="M12" s="18">
        <v>4</v>
      </c>
      <c r="R12" s="36">
        <v>7</v>
      </c>
      <c r="S12" s="6" t="s">
        <v>8</v>
      </c>
      <c r="T12" s="37">
        <v>1.0569999999999999</v>
      </c>
      <c r="U12" s="39">
        <f t="shared" si="1"/>
        <v>0</v>
      </c>
      <c r="V12" s="6" t="s">
        <v>6</v>
      </c>
      <c r="W12" s="38" t="s">
        <v>6</v>
      </c>
      <c r="X12" s="43">
        <f t="shared" si="0"/>
        <v>0</v>
      </c>
      <c r="Y12" s="6" t="s">
        <v>6</v>
      </c>
      <c r="Z12" s="40" t="s">
        <v>6</v>
      </c>
      <c r="AA12" s="43">
        <f t="shared" si="2"/>
        <v>0</v>
      </c>
      <c r="AB12" s="6" t="s">
        <v>6</v>
      </c>
      <c r="AC12" s="38" t="s">
        <v>6</v>
      </c>
      <c r="AD12" s="43">
        <f t="shared" si="3"/>
        <v>0</v>
      </c>
      <c r="AE12" s="6" t="s">
        <v>6</v>
      </c>
      <c r="AF12" s="38" t="s">
        <v>6</v>
      </c>
    </row>
    <row r="13" spans="1:33" x14ac:dyDescent="0.3">
      <c r="A13" s="1" t="s">
        <v>72</v>
      </c>
      <c r="B13" t="s">
        <v>24</v>
      </c>
      <c r="C13" s="25">
        <v>45748</v>
      </c>
      <c r="D13" s="25">
        <v>45778</v>
      </c>
      <c r="E13" s="24">
        <v>7.8299999237060502</v>
      </c>
      <c r="F13" s="2">
        <v>-0.35767020564082302</v>
      </c>
      <c r="G13" s="2">
        <v>-0.16790647708039799</v>
      </c>
      <c r="H13" s="15">
        <v>-8.3014061519910795E-2</v>
      </c>
      <c r="J13" s="17">
        <v>0.32183914205849901</v>
      </c>
      <c r="K13" s="18">
        <v>55</v>
      </c>
      <c r="L13" s="19">
        <v>-0.107279714019499</v>
      </c>
      <c r="M13" s="18">
        <v>81</v>
      </c>
      <c r="N13" s="26">
        <v>79</v>
      </c>
      <c r="P13" s="26">
        <v>14</v>
      </c>
      <c r="Q13" s="28">
        <v>69</v>
      </c>
      <c r="R13" s="36">
        <v>7</v>
      </c>
      <c r="S13" s="6" t="s">
        <v>71</v>
      </c>
      <c r="T13" s="37">
        <v>-0.24099999999999999</v>
      </c>
      <c r="U13" s="39">
        <f t="shared" si="1"/>
        <v>0</v>
      </c>
      <c r="V13" s="6" t="s">
        <v>6</v>
      </c>
      <c r="W13" s="45" t="s">
        <v>6</v>
      </c>
      <c r="X13" s="43">
        <f t="shared" si="0"/>
        <v>79</v>
      </c>
      <c r="Y13" s="6" t="s">
        <v>6</v>
      </c>
      <c r="Z13" s="41" t="s">
        <v>6</v>
      </c>
      <c r="AA13" s="43">
        <f t="shared" si="2"/>
        <v>69</v>
      </c>
      <c r="AB13" s="6" t="s">
        <v>6</v>
      </c>
      <c r="AC13" s="38" t="s">
        <v>6</v>
      </c>
      <c r="AD13" s="43">
        <f t="shared" si="3"/>
        <v>14</v>
      </c>
      <c r="AE13" s="6" t="s">
        <v>6</v>
      </c>
      <c r="AF13" s="38" t="s">
        <v>6</v>
      </c>
    </row>
    <row r="14" spans="1:33" x14ac:dyDescent="0.3">
      <c r="A14" s="1" t="s">
        <v>72</v>
      </c>
      <c r="B14" t="s">
        <v>25</v>
      </c>
      <c r="C14" s="25">
        <v>45748</v>
      </c>
      <c r="D14" s="25">
        <v>45778</v>
      </c>
      <c r="E14" s="24">
        <v>1.9299999475479099</v>
      </c>
      <c r="F14" s="2">
        <v>-0.15720524904018199</v>
      </c>
      <c r="G14" s="2">
        <v>-0.40432100559658102</v>
      </c>
      <c r="H14" s="15">
        <v>0.53886016027287797</v>
      </c>
      <c r="J14" s="17">
        <v>1.15025917520881</v>
      </c>
      <c r="K14" s="18">
        <v>47</v>
      </c>
      <c r="L14" s="19">
        <v>0</v>
      </c>
      <c r="M14" s="18">
        <v>0</v>
      </c>
      <c r="P14" s="26">
        <v>14</v>
      </c>
      <c r="R14" s="36">
        <v>7</v>
      </c>
      <c r="S14" s="6" t="s">
        <v>8</v>
      </c>
      <c r="T14" s="37">
        <v>0.65339999999999998</v>
      </c>
      <c r="U14" s="39">
        <f t="shared" si="1"/>
        <v>0</v>
      </c>
      <c r="V14" s="6" t="s">
        <v>6</v>
      </c>
      <c r="W14" s="38" t="s">
        <v>6</v>
      </c>
      <c r="X14" s="43">
        <f t="shared" si="0"/>
        <v>0</v>
      </c>
      <c r="Y14" s="6" t="s">
        <v>6</v>
      </c>
      <c r="Z14" s="38" t="s">
        <v>6</v>
      </c>
      <c r="AA14" s="43">
        <f t="shared" si="2"/>
        <v>0</v>
      </c>
      <c r="AB14" s="6" t="s">
        <v>6</v>
      </c>
      <c r="AC14" s="38" t="s">
        <v>6</v>
      </c>
      <c r="AD14" s="43">
        <f t="shared" si="3"/>
        <v>14</v>
      </c>
      <c r="AE14" s="6" t="s">
        <v>6</v>
      </c>
      <c r="AF14" s="38" t="s">
        <v>6</v>
      </c>
    </row>
    <row r="15" spans="1:33" x14ac:dyDescent="0.3">
      <c r="A15" s="1" t="s">
        <v>72</v>
      </c>
      <c r="B15" t="s">
        <v>17</v>
      </c>
      <c r="C15" s="25">
        <v>45778</v>
      </c>
      <c r="D15" s="25">
        <v>45809</v>
      </c>
      <c r="E15" s="24">
        <v>11.3049998283386</v>
      </c>
      <c r="F15" s="2">
        <v>4.5790877845264401E-2</v>
      </c>
      <c r="G15" s="2">
        <v>3.1478082937122398E-2</v>
      </c>
      <c r="J15" s="17">
        <v>5.6169815275264302E-2</v>
      </c>
      <c r="K15" s="18">
        <v>6</v>
      </c>
      <c r="L15" s="19">
        <v>-0.27023439847212999</v>
      </c>
      <c r="M15" s="18">
        <v>56</v>
      </c>
      <c r="N15" s="26">
        <v>14</v>
      </c>
      <c r="O15" s="28">
        <v>47</v>
      </c>
      <c r="P15" s="26">
        <v>11</v>
      </c>
      <c r="Q15" s="28">
        <v>47</v>
      </c>
      <c r="R15" s="36">
        <v>7</v>
      </c>
      <c r="S15" s="6" t="s">
        <v>6</v>
      </c>
      <c r="T15" s="37" t="s">
        <v>6</v>
      </c>
      <c r="U15" s="39">
        <f t="shared" si="1"/>
        <v>47</v>
      </c>
      <c r="V15" s="6" t="s">
        <v>6</v>
      </c>
      <c r="W15" s="41" t="s">
        <v>6</v>
      </c>
      <c r="X15" s="43">
        <f t="shared" si="0"/>
        <v>14</v>
      </c>
      <c r="Y15" s="6" t="s">
        <v>6</v>
      </c>
      <c r="Z15" s="45" t="s">
        <v>6</v>
      </c>
      <c r="AA15" s="43">
        <f t="shared" si="2"/>
        <v>47</v>
      </c>
      <c r="AB15" s="6" t="s">
        <v>6</v>
      </c>
      <c r="AC15" s="38" t="s">
        <v>6</v>
      </c>
      <c r="AD15" s="43">
        <f t="shared" si="3"/>
        <v>11</v>
      </c>
      <c r="AE15" s="6" t="s">
        <v>6</v>
      </c>
      <c r="AF15" s="38" t="s">
        <v>6</v>
      </c>
    </row>
    <row r="16" spans="1:33" x14ac:dyDescent="0.3">
      <c r="A16" s="1" t="s">
        <v>72</v>
      </c>
      <c r="B16" t="s">
        <v>18</v>
      </c>
      <c r="C16" s="25">
        <v>45809</v>
      </c>
      <c r="D16" s="25">
        <v>45839</v>
      </c>
      <c r="E16" s="24">
        <v>5.3600001335143999</v>
      </c>
      <c r="F16" s="2">
        <v>-0.34394123825445599</v>
      </c>
      <c r="G16" s="2">
        <v>0.147751615834669</v>
      </c>
      <c r="J16" s="17">
        <v>0.29477609782634301</v>
      </c>
      <c r="K16" s="18">
        <v>15</v>
      </c>
      <c r="L16" s="19">
        <v>-7.2761256270163804E-2</v>
      </c>
      <c r="M16" s="18">
        <v>47</v>
      </c>
      <c r="P16" s="26">
        <v>47</v>
      </c>
      <c r="R16" s="36">
        <v>7</v>
      </c>
      <c r="S16" s="6" t="s">
        <v>6</v>
      </c>
      <c r="T16" s="37" t="s">
        <v>6</v>
      </c>
      <c r="U16" s="39">
        <f t="shared" si="1"/>
        <v>0</v>
      </c>
      <c r="V16" s="6" t="s">
        <v>6</v>
      </c>
      <c r="W16" s="38" t="s">
        <v>6</v>
      </c>
      <c r="X16" s="43" t="s">
        <v>6</v>
      </c>
      <c r="Y16" s="6" t="s">
        <v>6</v>
      </c>
      <c r="Z16" s="41" t="s">
        <v>6</v>
      </c>
      <c r="AA16" s="43" t="s">
        <v>6</v>
      </c>
      <c r="AB16" s="6" t="s">
        <v>6</v>
      </c>
      <c r="AC16" s="38" t="s">
        <v>6</v>
      </c>
      <c r="AD16" s="43" t="s">
        <v>6</v>
      </c>
      <c r="AE16" s="6" t="s">
        <v>6</v>
      </c>
      <c r="AF16" s="38" t="s">
        <v>6</v>
      </c>
    </row>
    <row r="17" spans="1:33" x14ac:dyDescent="0.3">
      <c r="A17" s="1" t="s">
        <v>72</v>
      </c>
      <c r="B17" t="s">
        <v>22</v>
      </c>
      <c r="C17" s="25">
        <v>45809</v>
      </c>
      <c r="D17" s="25">
        <v>45839</v>
      </c>
      <c r="E17" s="24">
        <v>13.809911727905201</v>
      </c>
      <c r="F17" s="2">
        <v>-0.13392023180083101</v>
      </c>
      <c r="G17" s="2">
        <v>1.18566331315339E-2</v>
      </c>
      <c r="J17" s="17">
        <v>0.112455494338619</v>
      </c>
      <c r="K17" s="18">
        <v>15</v>
      </c>
      <c r="L17" s="19">
        <v>-0.15088971269566101</v>
      </c>
      <c r="M17" s="18">
        <v>27</v>
      </c>
      <c r="N17" s="26">
        <v>26</v>
      </c>
      <c r="P17" s="26">
        <v>26</v>
      </c>
      <c r="Q17" s="28">
        <v>27</v>
      </c>
      <c r="R17" s="36">
        <v>7</v>
      </c>
      <c r="S17" s="6" t="s">
        <v>6</v>
      </c>
      <c r="T17" s="37" t="s">
        <v>6</v>
      </c>
      <c r="U17" s="39">
        <f t="shared" si="1"/>
        <v>0</v>
      </c>
      <c r="V17" s="6" t="s">
        <v>6</v>
      </c>
      <c r="W17" s="40" t="s">
        <v>6</v>
      </c>
      <c r="X17" s="43">
        <f>N17</f>
        <v>26</v>
      </c>
      <c r="Y17" s="6" t="s">
        <v>6</v>
      </c>
      <c r="Z17" s="41" t="s">
        <v>6</v>
      </c>
      <c r="AA17" s="43">
        <f>Q17</f>
        <v>27</v>
      </c>
      <c r="AB17" s="6" t="s">
        <v>6</v>
      </c>
      <c r="AC17" s="38" t="s">
        <v>6</v>
      </c>
      <c r="AD17" s="43">
        <f>P17</f>
        <v>26</v>
      </c>
      <c r="AE17" s="6" t="s">
        <v>6</v>
      </c>
      <c r="AF17" s="41" t="s">
        <v>6</v>
      </c>
    </row>
    <row r="18" spans="1:33" s="42" customFormat="1" x14ac:dyDescent="0.3">
      <c r="A18" s="1"/>
      <c r="B18"/>
      <c r="C18" s="25"/>
      <c r="D18" s="25"/>
      <c r="E18" s="24"/>
      <c r="F18" s="2"/>
      <c r="G18" s="2"/>
      <c r="H18" s="15"/>
      <c r="I18" s="16"/>
      <c r="J18" s="17"/>
      <c r="K18" s="18"/>
      <c r="L18" s="19"/>
      <c r="M18" s="18"/>
      <c r="N18" s="26"/>
      <c r="O18" s="28"/>
      <c r="P18" s="26"/>
      <c r="Q18" s="28"/>
      <c r="R18" s="36"/>
      <c r="S18" s="6"/>
      <c r="T18" s="37"/>
      <c r="U18" s="39"/>
      <c r="V18" s="6"/>
      <c r="W18" s="40"/>
      <c r="X18" s="43"/>
      <c r="Y18" s="6"/>
      <c r="Z18" s="40"/>
      <c r="AA18" s="43"/>
      <c r="AB18" s="6"/>
      <c r="AC18" s="38"/>
      <c r="AD18" s="43"/>
      <c r="AE18" s="6"/>
      <c r="AF18" s="38"/>
    </row>
    <row r="19" spans="1:33" s="42" customFormat="1" x14ac:dyDescent="0.3">
      <c r="A19" s="1"/>
      <c r="B19"/>
      <c r="C19" s="25"/>
      <c r="D19" s="25"/>
      <c r="E19" s="24"/>
      <c r="F19" s="2"/>
      <c r="G19" s="2"/>
      <c r="H19" s="15"/>
      <c r="I19" s="16"/>
      <c r="J19" s="17"/>
      <c r="K19" s="18"/>
      <c r="L19" s="19"/>
      <c r="M19" s="18"/>
      <c r="N19" s="26"/>
      <c r="O19" s="28"/>
      <c r="P19" s="26"/>
      <c r="Q19" s="28"/>
      <c r="R19" s="36"/>
      <c r="S19" s="6" t="s">
        <v>89</v>
      </c>
      <c r="T19" s="53">
        <f>COUNT(T4:T17)</f>
        <v>11</v>
      </c>
      <c r="U19" s="47"/>
      <c r="V19" s="6" t="s">
        <v>89</v>
      </c>
      <c r="W19" s="75">
        <f>COUNT(W4:W17)</f>
        <v>7</v>
      </c>
      <c r="X19" s="48"/>
      <c r="Y19" s="47"/>
      <c r="Z19" s="53">
        <f>COUNT(Z4:Z17)</f>
        <v>8</v>
      </c>
      <c r="AA19" s="36"/>
      <c r="AB19" s="6"/>
      <c r="AC19" s="53">
        <f>COUNT(AC4:AC17)</f>
        <v>5</v>
      </c>
      <c r="AD19" s="36"/>
      <c r="AE19" s="6"/>
      <c r="AF19" s="53">
        <f>COUNT(AF4:AF17)</f>
        <v>7</v>
      </c>
    </row>
    <row r="20" spans="1:33" s="69" customFormat="1" x14ac:dyDescent="0.3">
      <c r="A20" s="3"/>
      <c r="B20" s="4"/>
      <c r="C20" s="54"/>
      <c r="D20" s="54"/>
      <c r="E20" s="55"/>
      <c r="F20" s="5"/>
      <c r="G20" s="5"/>
      <c r="H20" s="56"/>
      <c r="I20" s="57"/>
      <c r="J20" s="58"/>
      <c r="K20" s="59"/>
      <c r="L20" s="60"/>
      <c r="M20" s="59"/>
      <c r="N20" s="61"/>
      <c r="O20" s="62"/>
      <c r="P20" s="61"/>
      <c r="Q20" s="62"/>
      <c r="R20" s="63"/>
      <c r="S20" s="64" t="s">
        <v>81</v>
      </c>
      <c r="T20" s="66">
        <f>COUNTIF(S4:S17, "Win")/COUNT(T4:T17)</f>
        <v>0.54545454545454541</v>
      </c>
      <c r="U20" s="65"/>
      <c r="V20" s="64" t="s">
        <v>81</v>
      </c>
      <c r="W20" s="76">
        <f>COUNTIF(V4:V17, "Win")/COUNT(W4:W17)</f>
        <v>0.8571428571428571</v>
      </c>
      <c r="X20" s="67"/>
      <c r="Y20" s="65"/>
      <c r="Z20" s="66">
        <f>COUNTIF(Y4:Y17, "Win")/COUNT(Z4:Z17)</f>
        <v>0.625</v>
      </c>
      <c r="AA20" s="63"/>
      <c r="AB20" s="64"/>
      <c r="AC20" s="66">
        <f>COUNTIF(AB4:AB17, "Win")/COUNT(AC4:AC17)</f>
        <v>0.6</v>
      </c>
      <c r="AD20" s="63"/>
      <c r="AE20" s="64"/>
      <c r="AF20" s="66">
        <f>COUNTIF(AE4:AE17, "Win")/COUNT(AF4:AF17)</f>
        <v>0.8571428571428571</v>
      </c>
    </row>
    <row r="21" spans="1:33" s="42" customFormat="1" x14ac:dyDescent="0.3">
      <c r="A21" s="1"/>
      <c r="B21"/>
      <c r="C21" s="25"/>
      <c r="D21" s="25"/>
      <c r="E21" s="24"/>
      <c r="F21" s="2"/>
      <c r="G21" s="2"/>
      <c r="H21" s="15"/>
      <c r="I21" s="16"/>
      <c r="J21" s="17"/>
      <c r="K21" s="18"/>
      <c r="L21" s="19"/>
      <c r="M21" s="18"/>
      <c r="N21" s="26"/>
      <c r="O21" s="28"/>
      <c r="P21" s="26"/>
      <c r="Q21" s="28"/>
      <c r="R21" s="36"/>
      <c r="S21" s="6" t="s">
        <v>82</v>
      </c>
      <c r="T21" s="51">
        <f>AVERAGE(T4:T17)</f>
        <v>0.21151818181818183</v>
      </c>
      <c r="U21" s="47"/>
      <c r="V21" s="6" t="s">
        <v>82</v>
      </c>
      <c r="W21" s="77">
        <f>AVERAGE(W4:W17)</f>
        <v>0.56699999999999995</v>
      </c>
      <c r="X21" s="48"/>
      <c r="Y21" s="47"/>
      <c r="Z21" s="51">
        <f>AVERAGE(Z4:Z17)</f>
        <v>0.3757625</v>
      </c>
      <c r="AA21" s="36"/>
      <c r="AB21" s="6"/>
      <c r="AC21" s="51">
        <f>AVERAGE(AC4:AC17)</f>
        <v>0.1658</v>
      </c>
      <c r="AD21" s="36"/>
      <c r="AE21" s="6"/>
      <c r="AF21" s="51">
        <f>AVERAGE(AF4:AF17)</f>
        <v>0.70712857142857166</v>
      </c>
    </row>
    <row r="22" spans="1:33" s="42" customFormat="1" x14ac:dyDescent="0.3">
      <c r="A22" s="1"/>
      <c r="B22"/>
      <c r="C22" s="25"/>
      <c r="D22" s="25"/>
      <c r="E22" s="24"/>
      <c r="F22" s="2"/>
      <c r="G22" s="2"/>
      <c r="H22" s="15"/>
      <c r="I22" s="16"/>
      <c r="J22" s="17"/>
      <c r="K22" s="18"/>
      <c r="L22" s="19"/>
      <c r="M22" s="18"/>
      <c r="N22" s="26"/>
      <c r="O22" s="28"/>
      <c r="P22" s="26"/>
      <c r="Q22" s="28"/>
      <c r="R22" s="36"/>
      <c r="S22" s="6" t="s">
        <v>84</v>
      </c>
      <c r="T22" s="51">
        <f>_xlfn.STDEV.S(T4:T17)</f>
        <v>0.67236167769762401</v>
      </c>
      <c r="U22" s="47"/>
      <c r="V22" s="6" t="s">
        <v>84</v>
      </c>
      <c r="W22" s="77">
        <f>_xlfn.STDEV.S(W4:W17)</f>
        <v>1.0528685752109173</v>
      </c>
      <c r="X22" s="48"/>
      <c r="Y22" s="47"/>
      <c r="Z22" s="51">
        <f>_xlfn.STDEV.S(Z4:Z17)</f>
        <v>1.0471887235253117</v>
      </c>
      <c r="AA22" s="36"/>
      <c r="AB22" s="6"/>
      <c r="AC22" s="51">
        <f>_xlfn.STDEV.S(AC4:AC17)</f>
        <v>0.76695058510962755</v>
      </c>
      <c r="AD22" s="36"/>
      <c r="AE22" s="6"/>
      <c r="AF22" s="51">
        <f>_xlfn.STDEV.S(AF4:AF17)</f>
        <v>0.91615904135014625</v>
      </c>
    </row>
    <row r="23" spans="1:33" s="69" customFormat="1" x14ac:dyDescent="0.3">
      <c r="A23" s="3"/>
      <c r="B23" s="4"/>
      <c r="C23" s="54"/>
      <c r="D23" s="54"/>
      <c r="E23" s="55"/>
      <c r="F23" s="5"/>
      <c r="G23" s="5"/>
      <c r="H23" s="56"/>
      <c r="I23" s="57"/>
      <c r="J23" s="58"/>
      <c r="K23" s="59"/>
      <c r="L23" s="60"/>
      <c r="M23" s="59"/>
      <c r="N23" s="61"/>
      <c r="O23" s="62"/>
      <c r="P23" s="61"/>
      <c r="Q23" s="62"/>
      <c r="R23" s="63"/>
      <c r="S23" s="64" t="s">
        <v>83</v>
      </c>
      <c r="T23" s="71">
        <f>T21/T22</f>
        <v>0.31458988344262279</v>
      </c>
      <c r="U23" s="65"/>
      <c r="V23" s="64" t="s">
        <v>83</v>
      </c>
      <c r="W23" s="78">
        <f>W21/W22</f>
        <v>0.53852875216302754</v>
      </c>
      <c r="X23" s="67"/>
      <c r="Y23" s="65"/>
      <c r="Z23" s="71">
        <f>Z21/Z22</f>
        <v>0.35882978068653487</v>
      </c>
      <c r="AA23" s="63"/>
      <c r="AB23" s="64"/>
      <c r="AC23" s="71">
        <f>AC21/AC22</f>
        <v>0.21618081167028594</v>
      </c>
      <c r="AD23" s="63"/>
      <c r="AE23" s="64"/>
      <c r="AF23" s="71">
        <f>AF21/AF22</f>
        <v>0.77184041144916737</v>
      </c>
    </row>
    <row r="24" spans="1:33" s="42" customFormat="1" x14ac:dyDescent="0.3">
      <c r="A24" s="1"/>
      <c r="B24"/>
      <c r="C24" s="25"/>
      <c r="D24" s="25"/>
      <c r="E24" s="24"/>
      <c r="F24" s="2"/>
      <c r="G24" s="2"/>
      <c r="H24" s="15"/>
      <c r="I24" s="16"/>
      <c r="J24" s="17"/>
      <c r="K24" s="18"/>
      <c r="L24" s="19"/>
      <c r="M24" s="18"/>
      <c r="N24" s="26"/>
      <c r="O24" s="28"/>
      <c r="P24" s="26"/>
      <c r="Q24" s="28"/>
      <c r="R24" s="36"/>
      <c r="S24" s="6" t="s">
        <v>85</v>
      </c>
      <c r="T24" s="51" cm="1">
        <f t="array" ref="T24">STDEV(_xlfn._xlws.FILTER(T4:T17,T4:T17&lt;0))</f>
        <v>0.29299542317244476</v>
      </c>
      <c r="U24" s="47"/>
      <c r="V24" s="6" t="s">
        <v>85</v>
      </c>
      <c r="W24" s="77" t="e" cm="1">
        <f t="array" ref="W24">STDEV(_xlfn._xlws.FILTER(W4:W17,W4:W17&lt;0))</f>
        <v>#DIV/0!</v>
      </c>
      <c r="X24" s="48"/>
      <c r="Y24" s="47"/>
      <c r="Z24" s="51" cm="1">
        <f t="array" ref="Z24">STDEV(_xlfn._xlws.FILTER(Z4:Z17,Z4:Z17&lt;0))</f>
        <v>0.38431757701151276</v>
      </c>
      <c r="AA24" s="36"/>
      <c r="AB24" s="6"/>
      <c r="AC24" s="51" cm="1">
        <f t="array" ref="AC24">STDEV(_xlfn._xlws.FILTER(AC4:AC17,AC4:AC17&lt;0))</f>
        <v>0.56568542494923812</v>
      </c>
      <c r="AD24" s="36"/>
      <c r="AE24" s="6"/>
      <c r="AF24" s="51" t="e" cm="1">
        <f t="array" ref="AF24">STDEV(_xlfn._xlws.FILTER(AF4:AF17,AF4:AF17&lt;0))</f>
        <v>#DIV/0!</v>
      </c>
    </row>
    <row r="25" spans="1:33" s="4" customFormat="1" x14ac:dyDescent="0.3">
      <c r="A25" s="3"/>
      <c r="C25" s="54"/>
      <c r="D25" s="54"/>
      <c r="E25" s="55"/>
      <c r="F25" s="5"/>
      <c r="G25" s="5"/>
      <c r="H25" s="56"/>
      <c r="I25" s="57"/>
      <c r="J25" s="58"/>
      <c r="K25" s="59"/>
      <c r="L25" s="60"/>
      <c r="M25" s="59"/>
      <c r="N25" s="61"/>
      <c r="O25" s="62"/>
      <c r="P25" s="61"/>
      <c r="Q25" s="62"/>
      <c r="R25" s="63"/>
      <c r="S25" s="64" t="s">
        <v>86</v>
      </c>
      <c r="T25" s="71">
        <f>T20/T24</f>
        <v>1.8616486890770094</v>
      </c>
      <c r="U25" s="65"/>
      <c r="V25" s="64" t="s">
        <v>86</v>
      </c>
      <c r="W25" s="78" t="e">
        <f>W20/W24</f>
        <v>#DIV/0!</v>
      </c>
      <c r="X25" s="67"/>
      <c r="Y25" s="65"/>
      <c r="Z25" s="71">
        <f>Z20/Z24</f>
        <v>1.6262592121340245</v>
      </c>
      <c r="AA25" s="63"/>
      <c r="AB25" s="64"/>
      <c r="AC25" s="71">
        <f>AC20/AC24</f>
        <v>1.060660171779821</v>
      </c>
      <c r="AD25" s="63"/>
      <c r="AE25" s="64"/>
      <c r="AF25" s="71" t="e">
        <f>AF20/AF24</f>
        <v>#DIV/0!</v>
      </c>
      <c r="AG25" s="69"/>
    </row>
    <row r="26" spans="1:33" x14ac:dyDescent="0.3">
      <c r="S26" s="6" t="s">
        <v>87</v>
      </c>
      <c r="T26" s="51">
        <f>MIN(T4:T17)</f>
        <v>-0.93799999999999994</v>
      </c>
      <c r="U26" s="47"/>
      <c r="V26" s="6" t="s">
        <v>87</v>
      </c>
      <c r="W26" s="77">
        <f>MIN(W4:W17)</f>
        <v>-0.90900000000000003</v>
      </c>
      <c r="X26" s="48"/>
      <c r="Y26" s="47"/>
      <c r="Z26" s="51">
        <f>MIN(Z4:Z17)</f>
        <v>-0.91</v>
      </c>
      <c r="AC26" s="51">
        <f>MIN(AC4:AC17)</f>
        <v>-0.91</v>
      </c>
      <c r="AF26" s="51">
        <f>MIN(AF4:AF17)</f>
        <v>-0.2</v>
      </c>
    </row>
    <row r="27" spans="1:33" s="4" customFormat="1" x14ac:dyDescent="0.3">
      <c r="A27" s="3"/>
      <c r="C27" s="54"/>
      <c r="D27" s="54"/>
      <c r="E27" s="55"/>
      <c r="F27" s="5"/>
      <c r="G27" s="5"/>
      <c r="H27" s="56"/>
      <c r="I27" s="57"/>
      <c r="J27" s="58"/>
      <c r="K27" s="59"/>
      <c r="L27" s="60"/>
      <c r="M27" s="59"/>
      <c r="N27" s="61"/>
      <c r="O27" s="62"/>
      <c r="P27" s="61"/>
      <c r="Q27" s="62"/>
      <c r="R27" s="63"/>
      <c r="S27" s="64" t="s">
        <v>88</v>
      </c>
      <c r="T27" s="71" cm="1">
        <f t="array" ref="T27">(PRODUCT(IF(ISNUMBER(T4:T17),T4:T17+1,1)))^(1/T19)/ABS(T26)</f>
        <v>0.98018496596289872</v>
      </c>
      <c r="U27" s="65"/>
      <c r="V27" s="64" t="s">
        <v>88</v>
      </c>
      <c r="W27" s="78" cm="1">
        <f t="array" ref="W27">(PRODUCT(IF(ISNUMBER(W4:W17),W4:W17+1,1)))^(1/W19)/ABS(W26)</f>
        <v>1.219607172538689</v>
      </c>
      <c r="X27" s="67"/>
      <c r="Y27" s="65"/>
      <c r="Z27" s="71" cm="1">
        <f t="array" ref="Z27">(PRODUCT(IF(ISNUMBER(Z4:Z17),Z4:Z17+1,1)))^(1/Z19)/ABS(Z26)</f>
        <v>1.0655044507244962</v>
      </c>
      <c r="AA27" s="63"/>
      <c r="AB27" s="64"/>
      <c r="AC27" s="71" cm="1">
        <f t="array" ref="AC27">(PRODUCT(IF(ISNUMBER(AC4:AC17),AC4:AC17+1,1)))^(1/AC19)/ABS(AC26)</f>
        <v>0.86893157928871467</v>
      </c>
      <c r="AD27" s="63"/>
      <c r="AE27" s="64"/>
      <c r="AF27" s="71" cm="1">
        <f t="array" ref="AF27">(PRODUCT(IF(ISNUMBER(AF4:AF17),AF4:AF17+1,1)))^(1/AF19)/ABS(AF26)</f>
        <v>7.7271501715213047</v>
      </c>
      <c r="AG27" s="69"/>
    </row>
    <row r="28" spans="1:33" x14ac:dyDescent="0.3">
      <c r="T28" s="51"/>
      <c r="U28" s="47"/>
      <c r="V28" s="47"/>
      <c r="W28" s="52"/>
      <c r="X28" s="48"/>
      <c r="Y28" s="47"/>
    </row>
    <row r="29" spans="1:33" x14ac:dyDescent="0.3">
      <c r="T29" s="51"/>
      <c r="U29" s="47"/>
      <c r="V29" s="47"/>
      <c r="W29" s="52"/>
      <c r="X29" s="48"/>
      <c r="Y29" s="47"/>
    </row>
    <row r="30" spans="1:33" x14ac:dyDescent="0.3">
      <c r="T30" s="51"/>
      <c r="U30" s="47"/>
      <c r="V30" s="47"/>
      <c r="W30" s="52"/>
      <c r="X30" s="48"/>
      <c r="Y30" s="47"/>
    </row>
  </sheetData>
  <autoFilter ref="A3:AM17" xr:uid="{00000000-0001-0000-0000-000000000000}">
    <sortState xmlns:xlrd2="http://schemas.microsoft.com/office/spreadsheetml/2017/richdata2" ref="A4:AG17">
      <sortCondition ref="D3:D17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5F2BB-BBCB-4A9A-8C3B-38EEB5CE4975}">
  <dimension ref="A1:AG21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R12" sqref="R12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13.5546875" style="37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2" t="s">
        <v>62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35"/>
      <c r="Q1" s="31"/>
      <c r="R1" s="117" t="s">
        <v>65</v>
      </c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</row>
    <row r="2" spans="1:33" s="34" customFormat="1" ht="30.6" customHeight="1" x14ac:dyDescent="0.3">
      <c r="A2" s="33"/>
      <c r="C2" s="119" t="s">
        <v>37</v>
      </c>
      <c r="D2" s="119"/>
      <c r="E2" s="119"/>
      <c r="F2" s="120" t="s">
        <v>30</v>
      </c>
      <c r="G2" s="120"/>
      <c r="H2" s="121" t="s">
        <v>31</v>
      </c>
      <c r="I2" s="122"/>
      <c r="J2" s="121" t="s">
        <v>59</v>
      </c>
      <c r="K2" s="123"/>
      <c r="L2" s="122"/>
      <c r="M2" s="123"/>
      <c r="N2" s="153" t="s">
        <v>63</v>
      </c>
      <c r="O2" s="153"/>
      <c r="P2" s="153" t="s">
        <v>64</v>
      </c>
      <c r="Q2" s="153"/>
      <c r="R2" s="154" t="s">
        <v>35</v>
      </c>
      <c r="S2" s="154"/>
      <c r="T2" s="155"/>
      <c r="U2" s="149" t="s">
        <v>69</v>
      </c>
      <c r="V2" s="150"/>
      <c r="W2" s="150"/>
      <c r="X2" s="147" t="s">
        <v>70</v>
      </c>
      <c r="Y2" s="148"/>
      <c r="Z2" s="148"/>
      <c r="AA2" s="149" t="s">
        <v>67</v>
      </c>
      <c r="AB2" s="150"/>
      <c r="AC2" s="150"/>
      <c r="AD2" s="151" t="s">
        <v>66</v>
      </c>
      <c r="AE2" s="148"/>
      <c r="AF2" s="148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38</v>
      </c>
      <c r="C4" s="25">
        <v>45047</v>
      </c>
      <c r="D4" s="25">
        <v>45078</v>
      </c>
      <c r="E4" s="24">
        <v>19.270000457763601</v>
      </c>
      <c r="F4" s="2">
        <v>0.12822017235597399</v>
      </c>
      <c r="G4" s="2">
        <v>-0.21507124005634201</v>
      </c>
      <c r="H4" s="15">
        <v>-5.7083567998906903E-2</v>
      </c>
      <c r="I4" s="16">
        <v>-0.55215361134233898</v>
      </c>
      <c r="J4" s="17">
        <v>9.3409402921697804E-2</v>
      </c>
      <c r="K4" s="18">
        <v>8</v>
      </c>
      <c r="L4" s="19">
        <v>-0.55215361134233898</v>
      </c>
      <c r="M4" s="18">
        <v>150</v>
      </c>
      <c r="N4" s="26">
        <v>12</v>
      </c>
      <c r="O4" s="28">
        <v>108</v>
      </c>
      <c r="P4" s="26">
        <v>9</v>
      </c>
      <c r="Q4" s="28">
        <v>14</v>
      </c>
      <c r="R4" s="36">
        <v>7</v>
      </c>
      <c r="U4" s="39">
        <f>O4</f>
        <v>108</v>
      </c>
      <c r="X4" s="43">
        <f>N4</f>
        <v>12</v>
      </c>
      <c r="AA4" s="43" t="s">
        <v>6</v>
      </c>
      <c r="AD4" s="43">
        <f>P4</f>
        <v>9</v>
      </c>
      <c r="AF4" s="41"/>
    </row>
    <row r="5" spans="1:33" x14ac:dyDescent="0.3">
      <c r="A5" s="1" t="s">
        <v>72</v>
      </c>
      <c r="B5" t="s">
        <v>11</v>
      </c>
      <c r="C5" s="25">
        <v>45566</v>
      </c>
      <c r="D5" s="25">
        <v>45597</v>
      </c>
      <c r="E5" s="24">
        <v>8</v>
      </c>
      <c r="F5" s="2">
        <v>-0.70046774777070298</v>
      </c>
      <c r="G5" s="2">
        <v>-0.18116687562252301</v>
      </c>
      <c r="H5" s="15">
        <v>0.36249995231628301</v>
      </c>
      <c r="I5" s="16">
        <v>-0.59999999403953497</v>
      </c>
      <c r="J5" s="17">
        <v>1.0374999046325599</v>
      </c>
      <c r="K5" s="18">
        <v>41</v>
      </c>
      <c r="L5" s="19">
        <v>-0.68874999880790699</v>
      </c>
      <c r="M5" s="18">
        <v>142</v>
      </c>
      <c r="N5" s="26">
        <v>103</v>
      </c>
      <c r="O5" s="28">
        <v>104</v>
      </c>
      <c r="P5" s="26">
        <v>100</v>
      </c>
      <c r="Q5" s="28">
        <v>103</v>
      </c>
      <c r="R5" s="36">
        <v>7</v>
      </c>
      <c r="U5" s="39">
        <f>O5</f>
        <v>104</v>
      </c>
      <c r="X5" s="43">
        <f>N5</f>
        <v>103</v>
      </c>
      <c r="AA5" s="43">
        <f>Q5</f>
        <v>103</v>
      </c>
      <c r="AD5" s="43">
        <f>P5</f>
        <v>100</v>
      </c>
    </row>
    <row r="6" spans="1:33" x14ac:dyDescent="0.3">
      <c r="A6" s="1" t="s">
        <v>72</v>
      </c>
      <c r="B6" t="s">
        <v>13</v>
      </c>
      <c r="C6" s="25">
        <v>45809</v>
      </c>
      <c r="D6" s="25">
        <v>45839</v>
      </c>
      <c r="E6" s="24">
        <v>6.3899998664855904</v>
      </c>
      <c r="F6" s="2">
        <v>-0.70805942665949995</v>
      </c>
      <c r="G6" s="2">
        <v>-0.132971510758598</v>
      </c>
      <c r="J6" s="17">
        <v>0.20344291359896999</v>
      </c>
      <c r="K6" s="18">
        <v>38</v>
      </c>
      <c r="L6" s="19">
        <v>-5.4773069162059797E-2</v>
      </c>
      <c r="M6" s="18">
        <v>9</v>
      </c>
      <c r="R6" s="36">
        <v>7</v>
      </c>
      <c r="U6" s="39">
        <f>O6</f>
        <v>0</v>
      </c>
      <c r="X6" s="43">
        <f>N6</f>
        <v>0</v>
      </c>
      <c r="Z6" s="40"/>
      <c r="AA6" s="43" t="s">
        <v>6</v>
      </c>
      <c r="AD6" s="43" t="s">
        <v>6</v>
      </c>
      <c r="AF6" s="40"/>
    </row>
    <row r="7" spans="1:33" x14ac:dyDescent="0.3">
      <c r="A7" s="1" t="s">
        <v>72</v>
      </c>
      <c r="B7" t="s">
        <v>12</v>
      </c>
      <c r="C7" s="25">
        <v>45809</v>
      </c>
      <c r="D7" s="25">
        <v>45839</v>
      </c>
      <c r="E7" s="24">
        <v>1.65999996662139</v>
      </c>
      <c r="F7" s="2">
        <v>-0.70357142948374396</v>
      </c>
      <c r="G7" s="2">
        <v>-0.112299485353736</v>
      </c>
      <c r="J7" s="17">
        <v>0.162650594190098</v>
      </c>
      <c r="K7" s="18">
        <v>15</v>
      </c>
      <c r="L7" s="19">
        <v>-8.4337342475871893E-2</v>
      </c>
      <c r="M7" s="18">
        <v>24</v>
      </c>
      <c r="R7" s="36">
        <v>7</v>
      </c>
      <c r="U7" s="39">
        <f>O7</f>
        <v>0</v>
      </c>
      <c r="X7" s="43" t="s">
        <v>6</v>
      </c>
      <c r="AA7" s="43" t="s">
        <v>6</v>
      </c>
      <c r="AD7" s="43" t="s">
        <v>6</v>
      </c>
    </row>
    <row r="8" spans="1:33" x14ac:dyDescent="0.3">
      <c r="A8" s="1" t="s">
        <v>72</v>
      </c>
      <c r="B8" t="s">
        <v>90</v>
      </c>
      <c r="C8" s="25">
        <v>45870</v>
      </c>
      <c r="D8" s="25">
        <v>45901</v>
      </c>
      <c r="E8" s="24">
        <v>44.799999237060497</v>
      </c>
      <c r="J8" s="17">
        <v>0</v>
      </c>
      <c r="K8" s="18">
        <v>0</v>
      </c>
      <c r="L8" s="19">
        <v>-4.8437459953128703E-2</v>
      </c>
      <c r="M8" s="18">
        <v>3</v>
      </c>
      <c r="R8" s="36">
        <v>7</v>
      </c>
      <c r="U8" s="39" t="s">
        <v>6</v>
      </c>
      <c r="X8" s="43">
        <f>N8</f>
        <v>0</v>
      </c>
      <c r="AA8" s="43">
        <f>Q8</f>
        <v>0</v>
      </c>
      <c r="AD8" s="43">
        <f>P8</f>
        <v>0</v>
      </c>
    </row>
    <row r="9" spans="1:33" s="42" customFormat="1" x14ac:dyDescent="0.3">
      <c r="A9" s="1"/>
      <c r="B9"/>
      <c r="C9" s="25"/>
      <c r="D9" s="25"/>
      <c r="E9" s="24"/>
      <c r="F9" s="2"/>
      <c r="G9" s="2"/>
      <c r="H9" s="15"/>
      <c r="I9" s="16"/>
      <c r="J9" s="17"/>
      <c r="K9" s="18"/>
      <c r="L9" s="19"/>
      <c r="M9" s="18"/>
      <c r="N9" s="26"/>
      <c r="O9" s="28"/>
      <c r="P9" s="26"/>
      <c r="Q9" s="28"/>
      <c r="R9" s="36"/>
      <c r="S9" s="6"/>
      <c r="T9" s="37"/>
      <c r="U9" s="39"/>
      <c r="V9" s="6"/>
      <c r="W9" s="40"/>
      <c r="X9" s="43"/>
      <c r="Y9" s="6"/>
      <c r="Z9" s="40"/>
      <c r="AA9" s="43"/>
      <c r="AB9" s="6"/>
      <c r="AC9" s="38"/>
      <c r="AD9" s="43"/>
      <c r="AE9" s="6"/>
      <c r="AF9" s="38"/>
    </row>
    <row r="10" spans="1:33" s="42" customFormat="1" x14ac:dyDescent="0.3">
      <c r="A10" s="1"/>
      <c r="B10"/>
      <c r="C10" s="25"/>
      <c r="D10" s="25"/>
      <c r="E10" s="24"/>
      <c r="F10" s="2"/>
      <c r="G10" s="2"/>
      <c r="H10" s="15"/>
      <c r="I10" s="16"/>
      <c r="J10" s="17"/>
      <c r="K10" s="18"/>
      <c r="L10" s="19"/>
      <c r="M10" s="18"/>
      <c r="N10" s="26"/>
      <c r="O10" s="28"/>
      <c r="P10" s="26"/>
      <c r="Q10" s="28"/>
      <c r="R10" s="36"/>
      <c r="S10" s="6" t="s">
        <v>89</v>
      </c>
      <c r="T10" s="46">
        <f>COUNT(T4:T8)</f>
        <v>0</v>
      </c>
      <c r="U10" s="47"/>
      <c r="V10" s="47"/>
      <c r="W10" s="53">
        <f>COUNT(W4:W8)</f>
        <v>0</v>
      </c>
      <c r="X10" s="48"/>
      <c r="Y10" s="47"/>
      <c r="Z10" s="41"/>
      <c r="AA10" s="36"/>
      <c r="AB10" s="6"/>
      <c r="AC10" s="38"/>
      <c r="AD10" s="36"/>
      <c r="AE10" s="6"/>
      <c r="AF10" s="38"/>
    </row>
    <row r="11" spans="1:33" s="69" customFormat="1" x14ac:dyDescent="0.3">
      <c r="A11" s="3"/>
      <c r="B11" s="4"/>
      <c r="C11" s="54"/>
      <c r="D11" s="54"/>
      <c r="E11" s="55"/>
      <c r="F11" s="5"/>
      <c r="G11" s="5"/>
      <c r="H11" s="56"/>
      <c r="I11" s="57"/>
      <c r="J11" s="58"/>
      <c r="K11" s="59"/>
      <c r="L11" s="60"/>
      <c r="M11" s="59"/>
      <c r="N11" s="61"/>
      <c r="O11" s="62"/>
      <c r="P11" s="61"/>
      <c r="Q11" s="62"/>
      <c r="R11" s="63"/>
      <c r="S11" s="64" t="s">
        <v>81</v>
      </c>
      <c r="T11" s="49" t="e">
        <f>COUNTIF(S4:S8, "Win")/COUNT(T4:T8)</f>
        <v>#DIV/0!</v>
      </c>
      <c r="U11" s="65"/>
      <c r="V11" s="65"/>
      <c r="W11" s="66" t="e">
        <f>COUNTIF(V4:V8, "Win")/COUNT(W4:W8)</f>
        <v>#DIV/0!</v>
      </c>
      <c r="X11" s="67"/>
      <c r="Y11" s="65"/>
      <c r="Z11" s="68">
        <f>COUNT(Z4:Z8)</f>
        <v>0</v>
      </c>
      <c r="AA11" s="63"/>
      <c r="AB11" s="64"/>
      <c r="AC11" s="68">
        <f>COUNT(AC4:AC8)</f>
        <v>0</v>
      </c>
      <c r="AD11" s="63"/>
      <c r="AE11" s="64"/>
      <c r="AF11" s="68">
        <f>COUNT(AF4:AF8)</f>
        <v>0</v>
      </c>
    </row>
    <row r="12" spans="1:33" s="42" customFormat="1" x14ac:dyDescent="0.3">
      <c r="A12" s="1"/>
      <c r="B12"/>
      <c r="C12" s="25"/>
      <c r="D12" s="25"/>
      <c r="E12" s="24"/>
      <c r="F12" s="2"/>
      <c r="G12" s="2"/>
      <c r="H12" s="15"/>
      <c r="I12" s="16"/>
      <c r="J12" s="17"/>
      <c r="K12" s="18"/>
      <c r="L12" s="19"/>
      <c r="M12" s="18"/>
      <c r="N12" s="26"/>
      <c r="O12" s="28"/>
      <c r="P12" s="26"/>
      <c r="Q12" s="28"/>
      <c r="R12" s="36"/>
      <c r="S12" s="6" t="s">
        <v>82</v>
      </c>
      <c r="T12" s="50" t="e">
        <f>AVERAGE(T4:T8)</f>
        <v>#DIV/0!</v>
      </c>
      <c r="U12" s="47"/>
      <c r="V12" s="47"/>
      <c r="W12" s="51" t="e">
        <f>AVERAGE(W4:W8)</f>
        <v>#DIV/0!</v>
      </c>
      <c r="X12" s="48"/>
      <c r="Y12" s="47"/>
      <c r="Z12" s="37" t="e">
        <f>AVERAGE(Z4:Z8)</f>
        <v>#DIV/0!</v>
      </c>
      <c r="AA12" s="36"/>
      <c r="AB12" s="6"/>
      <c r="AC12" s="37" t="e">
        <f>AVERAGE(AC4:AC8)</f>
        <v>#DIV/0!</v>
      </c>
      <c r="AD12" s="36"/>
      <c r="AE12" s="6"/>
      <c r="AF12" s="37" t="e">
        <f>AVERAGE(AF4:AF8)</f>
        <v>#DIV/0!</v>
      </c>
    </row>
    <row r="13" spans="1:33" s="42" customFormat="1" x14ac:dyDescent="0.3">
      <c r="A13" s="1"/>
      <c r="B13"/>
      <c r="C13" s="25"/>
      <c r="D13" s="25"/>
      <c r="E13" s="24"/>
      <c r="F13" s="2"/>
      <c r="G13" s="2"/>
      <c r="H13" s="15"/>
      <c r="I13" s="16"/>
      <c r="J13" s="17"/>
      <c r="K13" s="18"/>
      <c r="L13" s="19"/>
      <c r="M13" s="18"/>
      <c r="N13" s="26"/>
      <c r="O13" s="28"/>
      <c r="P13" s="26"/>
      <c r="Q13" s="28"/>
      <c r="R13" s="36"/>
      <c r="S13" s="6" t="s">
        <v>84</v>
      </c>
      <c r="T13" s="50" t="e">
        <f>_xlfn.STDEV.S(T4:T8)</f>
        <v>#DIV/0!</v>
      </c>
      <c r="U13" s="47"/>
      <c r="V13" s="47"/>
      <c r="W13" s="51" t="e">
        <f>_xlfn.STDEV.S(W4:W8)</f>
        <v>#DIV/0!</v>
      </c>
      <c r="X13" s="48"/>
      <c r="Y13" s="47"/>
      <c r="Z13" s="37" t="e">
        <f>_xlfn.STDEV.S(Z4:Z8)</f>
        <v>#DIV/0!</v>
      </c>
      <c r="AA13" s="36"/>
      <c r="AB13" s="6"/>
      <c r="AC13" s="37" t="e">
        <f>_xlfn.STDEV.S(AC4:AC8)</f>
        <v>#DIV/0!</v>
      </c>
      <c r="AD13" s="36"/>
      <c r="AE13" s="6"/>
      <c r="AF13" s="37" t="e">
        <f>_xlfn.STDEV.S(AF4:AF8)</f>
        <v>#DIV/0!</v>
      </c>
    </row>
    <row r="14" spans="1:33" s="69" customFormat="1" x14ac:dyDescent="0.3">
      <c r="A14" s="3"/>
      <c r="B14" s="4"/>
      <c r="C14" s="54"/>
      <c r="D14" s="54"/>
      <c r="E14" s="55"/>
      <c r="F14" s="5"/>
      <c r="G14" s="5"/>
      <c r="H14" s="56"/>
      <c r="I14" s="57"/>
      <c r="J14" s="58"/>
      <c r="K14" s="59"/>
      <c r="L14" s="60"/>
      <c r="M14" s="59"/>
      <c r="N14" s="61"/>
      <c r="O14" s="62"/>
      <c r="P14" s="61"/>
      <c r="Q14" s="62"/>
      <c r="R14" s="63"/>
      <c r="S14" s="64" t="s">
        <v>83</v>
      </c>
      <c r="T14" s="70" t="e">
        <f>T12/T13</f>
        <v>#DIV/0!</v>
      </c>
      <c r="U14" s="65"/>
      <c r="V14" s="65"/>
      <c r="W14" s="71" t="e">
        <f>W12/W13</f>
        <v>#DIV/0!</v>
      </c>
      <c r="X14" s="67"/>
      <c r="Y14" s="65"/>
      <c r="Z14" s="72" t="e">
        <f>Z12/Z13</f>
        <v>#DIV/0!</v>
      </c>
      <c r="AA14" s="63"/>
      <c r="AB14" s="64"/>
      <c r="AC14" s="72" t="e">
        <f>AC12/AC13</f>
        <v>#DIV/0!</v>
      </c>
      <c r="AD14" s="63"/>
      <c r="AE14" s="64"/>
      <c r="AF14" s="72" t="e">
        <f>AF12/AF13</f>
        <v>#DIV/0!</v>
      </c>
    </row>
    <row r="15" spans="1:33" s="42" customFormat="1" x14ac:dyDescent="0.3">
      <c r="A15" s="1"/>
      <c r="B15"/>
      <c r="C15" s="25"/>
      <c r="D15" s="25"/>
      <c r="E15" s="24"/>
      <c r="F15" s="2"/>
      <c r="G15" s="2"/>
      <c r="H15" s="15"/>
      <c r="I15" s="16"/>
      <c r="J15" s="17"/>
      <c r="K15" s="18"/>
      <c r="L15" s="19"/>
      <c r="M15" s="18"/>
      <c r="N15" s="26"/>
      <c r="O15" s="28"/>
      <c r="P15" s="26"/>
      <c r="Q15" s="28"/>
      <c r="R15" s="36"/>
      <c r="S15" s="6" t="s">
        <v>85</v>
      </c>
      <c r="T15" s="50" t="e" cm="1" vm="1">
        <f t="array" ref="T15">STDEV(_xlfn._xlws.FILTER(T4:T8,T4:T8&lt;0))</f>
        <v>#VALUE!</v>
      </c>
      <c r="U15" s="47"/>
      <c r="V15" s="47"/>
      <c r="W15" s="51" t="e" cm="1" vm="1">
        <f t="array" ref="W15">STDEV(_xlfn._xlws.FILTER(W4:W8,W4:W8&lt;0))</f>
        <v>#VALUE!</v>
      </c>
      <c r="X15" s="48"/>
      <c r="Y15" s="47"/>
      <c r="Z15" s="41"/>
      <c r="AA15" s="36"/>
      <c r="AB15" s="6"/>
      <c r="AC15" s="38"/>
      <c r="AD15" s="36"/>
      <c r="AE15" s="6"/>
      <c r="AF15" s="38"/>
    </row>
    <row r="16" spans="1:33" s="4" customFormat="1" x14ac:dyDescent="0.3">
      <c r="A16" s="3"/>
      <c r="C16" s="54"/>
      <c r="D16" s="54"/>
      <c r="E16" s="55"/>
      <c r="F16" s="5"/>
      <c r="G16" s="5"/>
      <c r="H16" s="56"/>
      <c r="I16" s="57"/>
      <c r="J16" s="58"/>
      <c r="K16" s="59"/>
      <c r="L16" s="60"/>
      <c r="M16" s="59"/>
      <c r="N16" s="61"/>
      <c r="O16" s="62"/>
      <c r="P16" s="61"/>
      <c r="Q16" s="62"/>
      <c r="R16" s="63"/>
      <c r="S16" s="64" t="s">
        <v>86</v>
      </c>
      <c r="T16" s="70" t="e">
        <f>T11/T15</f>
        <v>#DIV/0!</v>
      </c>
      <c r="U16" s="65"/>
      <c r="V16" s="65"/>
      <c r="W16" s="71" t="e">
        <f>W11/W15</f>
        <v>#DIV/0!</v>
      </c>
      <c r="X16" s="67"/>
      <c r="Y16" s="65"/>
      <c r="Z16" s="73"/>
      <c r="AA16" s="63"/>
      <c r="AB16" s="64"/>
      <c r="AC16" s="74"/>
      <c r="AD16" s="63"/>
      <c r="AE16" s="64"/>
      <c r="AF16" s="74"/>
      <c r="AG16" s="69"/>
    </row>
    <row r="17" spans="1:33" x14ac:dyDescent="0.3">
      <c r="S17" s="6" t="s">
        <v>87</v>
      </c>
      <c r="T17" s="50">
        <f>MIN(T4:T8)</f>
        <v>0</v>
      </c>
      <c r="U17" s="47"/>
      <c r="V17" s="47"/>
      <c r="W17" s="51">
        <f>MIN(W4:W8)</f>
        <v>0</v>
      </c>
      <c r="X17" s="48"/>
      <c r="Y17" s="47"/>
    </row>
    <row r="18" spans="1:33" s="4" customFormat="1" x14ac:dyDescent="0.3">
      <c r="A18" s="3"/>
      <c r="C18" s="54"/>
      <c r="D18" s="54"/>
      <c r="E18" s="55"/>
      <c r="F18" s="5"/>
      <c r="G18" s="5"/>
      <c r="H18" s="56"/>
      <c r="I18" s="57"/>
      <c r="J18" s="58"/>
      <c r="K18" s="59"/>
      <c r="L18" s="60"/>
      <c r="M18" s="59"/>
      <c r="N18" s="61"/>
      <c r="O18" s="62"/>
      <c r="P18" s="61"/>
      <c r="Q18" s="62"/>
      <c r="R18" s="63"/>
      <c r="S18" s="64" t="s">
        <v>88</v>
      </c>
      <c r="T18" s="70" t="e" cm="1">
        <f t="array" ref="T18">(PRODUCT(IF(ISNUMBER(T4:T8),T4:T8+1,1)))^(1/T10)/ABS(T17)</f>
        <v>#DIV/0!</v>
      </c>
      <c r="U18" s="65"/>
      <c r="V18" s="65"/>
      <c r="W18" s="71" t="e" cm="1">
        <f t="array" ref="W18">(PRODUCT(IF(ISNUMBER(W4:W8),W4:W8+1,1)))^(1/W10)/ABS(W17)</f>
        <v>#DIV/0!</v>
      </c>
      <c r="X18" s="67"/>
      <c r="Y18" s="65"/>
      <c r="Z18" s="73"/>
      <c r="AA18" s="63"/>
      <c r="AB18" s="64"/>
      <c r="AC18" s="74"/>
      <c r="AD18" s="63"/>
      <c r="AE18" s="64"/>
      <c r="AF18" s="74"/>
      <c r="AG18" s="69"/>
    </row>
    <row r="19" spans="1:33" x14ac:dyDescent="0.3">
      <c r="T19" s="51"/>
      <c r="U19" s="47"/>
      <c r="V19" s="47"/>
      <c r="W19" s="52"/>
      <c r="X19" s="48"/>
      <c r="Y19" s="47"/>
    </row>
    <row r="20" spans="1:33" x14ac:dyDescent="0.3">
      <c r="T20" s="51"/>
      <c r="U20" s="47"/>
      <c r="V20" s="47"/>
      <c r="W20" s="52"/>
      <c r="X20" s="48"/>
      <c r="Y20" s="47"/>
    </row>
    <row r="21" spans="1:33" x14ac:dyDescent="0.3">
      <c r="T21" s="51"/>
      <c r="U21" s="47"/>
      <c r="V21" s="47"/>
      <c r="W21" s="52"/>
      <c r="X21" s="48"/>
      <c r="Y21" s="47"/>
    </row>
  </sheetData>
  <autoFilter ref="A3:AM4" xr:uid="{00000000-0001-0000-0000-000000000000}">
    <sortState xmlns:xlrd2="http://schemas.microsoft.com/office/spreadsheetml/2017/richdata2" ref="A4:AG8">
      <sortCondition ref="D3:D4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DF07D-5085-41BC-A5CE-E6AE9B0FD1ED}">
  <dimension ref="A1:AG38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R4" sqref="R4"/>
    </sheetView>
  </sheetViews>
  <sheetFormatPr defaultRowHeight="14.4" outlineLevelCol="1" x14ac:dyDescent="0.3"/>
  <cols>
    <col min="1" max="1" width="17.33203125" style="1" hidden="1" customWidth="1"/>
    <col min="3" max="4" width="11" style="25" customWidth="1"/>
    <col min="5" max="5" width="11" style="24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13.5546875" style="37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2" t="s">
        <v>62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35"/>
      <c r="Q1" s="31"/>
      <c r="R1" s="117" t="s">
        <v>65</v>
      </c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</row>
    <row r="2" spans="1:33" s="34" customFormat="1" ht="30.6" customHeight="1" x14ac:dyDescent="0.3">
      <c r="A2" s="33"/>
      <c r="C2" s="119" t="s">
        <v>37</v>
      </c>
      <c r="D2" s="119"/>
      <c r="E2" s="119"/>
      <c r="F2" s="120" t="s">
        <v>30</v>
      </c>
      <c r="G2" s="120"/>
      <c r="H2" s="121" t="s">
        <v>31</v>
      </c>
      <c r="I2" s="122"/>
      <c r="J2" s="121" t="s">
        <v>59</v>
      </c>
      <c r="K2" s="123"/>
      <c r="L2" s="122"/>
      <c r="M2" s="123"/>
      <c r="N2" s="153" t="s">
        <v>63</v>
      </c>
      <c r="O2" s="153"/>
      <c r="P2" s="153" t="s">
        <v>64</v>
      </c>
      <c r="Q2" s="153"/>
      <c r="R2" s="154" t="s">
        <v>35</v>
      </c>
      <c r="S2" s="154"/>
      <c r="T2" s="155"/>
      <c r="U2" s="149" t="s">
        <v>69</v>
      </c>
      <c r="V2" s="150"/>
      <c r="W2" s="150"/>
      <c r="X2" s="147" t="s">
        <v>70</v>
      </c>
      <c r="Y2" s="148"/>
      <c r="Z2" s="148"/>
      <c r="AA2" s="149" t="s">
        <v>67</v>
      </c>
      <c r="AB2" s="150"/>
      <c r="AC2" s="150"/>
      <c r="AD2" s="151" t="s">
        <v>66</v>
      </c>
      <c r="AE2" s="148"/>
      <c r="AF2" s="148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72</v>
      </c>
      <c r="B4" t="s">
        <v>23</v>
      </c>
      <c r="C4" s="25">
        <v>45383</v>
      </c>
      <c r="D4" s="25">
        <v>45413</v>
      </c>
      <c r="E4" s="24">
        <v>37.639999389648402</v>
      </c>
      <c r="F4" s="2">
        <v>1.5432431692272499</v>
      </c>
      <c r="G4" s="2">
        <v>0.49543103995057902</v>
      </c>
      <c r="H4" s="15">
        <v>-4.3570653991547602E-2</v>
      </c>
      <c r="I4" s="16">
        <v>0.83581295416079704</v>
      </c>
      <c r="J4" s="17">
        <v>0.83581295416079704</v>
      </c>
      <c r="K4" s="18">
        <v>150</v>
      </c>
      <c r="L4" s="19">
        <v>-0.26647181035967998</v>
      </c>
      <c r="M4" s="18">
        <v>67</v>
      </c>
      <c r="N4" s="26">
        <v>26</v>
      </c>
      <c r="O4" s="28">
        <v>30</v>
      </c>
      <c r="P4" s="26">
        <v>26</v>
      </c>
      <c r="Q4" s="28">
        <v>26</v>
      </c>
      <c r="R4" s="36">
        <v>7</v>
      </c>
      <c r="S4" s="6" t="s">
        <v>8</v>
      </c>
      <c r="T4" s="37">
        <v>0.745</v>
      </c>
      <c r="U4" s="39">
        <f t="shared" ref="U4:U15" si="0">O4</f>
        <v>30</v>
      </c>
      <c r="V4" s="6" t="s">
        <v>8</v>
      </c>
      <c r="W4" s="38">
        <v>1.325</v>
      </c>
      <c r="X4" s="43">
        <f t="shared" ref="X4:X22" si="1">N4</f>
        <v>26</v>
      </c>
      <c r="Z4" s="38"/>
      <c r="AA4" s="43">
        <f t="shared" ref="AA4:AA12" si="2">Q4</f>
        <v>26</v>
      </c>
      <c r="AD4" s="43">
        <f t="shared" ref="AD4:AD9" si="3">P4</f>
        <v>26</v>
      </c>
    </row>
    <row r="5" spans="1:33" x14ac:dyDescent="0.3">
      <c r="A5" s="1" t="s">
        <v>72</v>
      </c>
      <c r="B5" t="s">
        <v>77</v>
      </c>
      <c r="C5" s="25">
        <v>45413</v>
      </c>
      <c r="D5" s="25">
        <v>45444</v>
      </c>
      <c r="E5" s="24">
        <v>4.94704246520996</v>
      </c>
      <c r="F5" s="2">
        <v>0.174424716180033</v>
      </c>
      <c r="G5" s="2">
        <v>0.194078946611215</v>
      </c>
      <c r="H5" s="15">
        <v>0.10812023480197</v>
      </c>
      <c r="I5" s="16">
        <v>-0.23222507638775</v>
      </c>
      <c r="J5" s="17">
        <v>0.22334939805488299</v>
      </c>
      <c r="K5" s="18">
        <v>71</v>
      </c>
      <c r="L5" s="19">
        <v>-0.271397293415713</v>
      </c>
      <c r="M5" s="18">
        <v>145</v>
      </c>
      <c r="N5" s="26">
        <v>15</v>
      </c>
      <c r="O5" s="28">
        <v>19</v>
      </c>
      <c r="P5" s="26">
        <v>18</v>
      </c>
      <c r="Q5" s="28">
        <v>144</v>
      </c>
      <c r="R5" s="36">
        <v>7</v>
      </c>
      <c r="S5" s="6" t="s">
        <v>8</v>
      </c>
      <c r="T5" s="37">
        <v>0.33779999999999999</v>
      </c>
      <c r="U5" s="39">
        <f t="shared" si="0"/>
        <v>19</v>
      </c>
      <c r="V5" s="6" t="s">
        <v>8</v>
      </c>
      <c r="W5" s="38">
        <v>0.58309999999999995</v>
      </c>
      <c r="X5" s="43">
        <f t="shared" si="1"/>
        <v>15</v>
      </c>
      <c r="AA5" s="43">
        <f t="shared" si="2"/>
        <v>144</v>
      </c>
      <c r="AD5" s="43">
        <f t="shared" si="3"/>
        <v>18</v>
      </c>
    </row>
    <row r="6" spans="1:33" x14ac:dyDescent="0.3">
      <c r="A6" s="1" t="s">
        <v>72</v>
      </c>
      <c r="B6" t="s">
        <v>52</v>
      </c>
      <c r="C6" s="25">
        <v>45413</v>
      </c>
      <c r="D6" s="25">
        <v>45444</v>
      </c>
      <c r="E6" s="24">
        <v>31.577931404113698</v>
      </c>
      <c r="F6" s="2">
        <v>-0.110915406543101</v>
      </c>
      <c r="G6" s="2">
        <v>-7.2890747254952199E-3</v>
      </c>
      <c r="H6" s="15">
        <v>0.27965021355942499</v>
      </c>
      <c r="I6" s="16">
        <v>0.12118735941782301</v>
      </c>
      <c r="J6" s="17">
        <v>0.32744058088429301</v>
      </c>
      <c r="K6" s="18">
        <v>122</v>
      </c>
      <c r="L6" s="19">
        <v>-5.5460096308087202E-2</v>
      </c>
      <c r="M6" s="18">
        <v>19</v>
      </c>
      <c r="R6" s="36">
        <v>7</v>
      </c>
      <c r="S6" s="6" t="s">
        <v>8</v>
      </c>
      <c r="T6" s="37">
        <v>0.36870000000000003</v>
      </c>
      <c r="U6" s="39">
        <f t="shared" si="0"/>
        <v>0</v>
      </c>
      <c r="V6" s="6" t="s">
        <v>6</v>
      </c>
      <c r="W6" s="38" t="s">
        <v>6</v>
      </c>
      <c r="X6" s="43">
        <f t="shared" si="1"/>
        <v>0</v>
      </c>
      <c r="AA6" s="43">
        <f t="shared" si="2"/>
        <v>0</v>
      </c>
      <c r="AD6" s="43">
        <f t="shared" si="3"/>
        <v>0</v>
      </c>
    </row>
    <row r="7" spans="1:33" x14ac:dyDescent="0.3">
      <c r="A7" s="1" t="s">
        <v>72</v>
      </c>
      <c r="B7" t="s">
        <v>79</v>
      </c>
      <c r="C7" s="25">
        <v>45444</v>
      </c>
      <c r="D7" s="25">
        <v>45474</v>
      </c>
      <c r="E7" s="24">
        <v>14.648505210876399</v>
      </c>
      <c r="F7" s="2">
        <v>-0.44736992835630301</v>
      </c>
      <c r="G7" s="2">
        <v>-0.12877482370533799</v>
      </c>
      <c r="H7" s="15">
        <v>0.16606309957811999</v>
      </c>
      <c r="I7" s="16">
        <v>-0.182688934185264</v>
      </c>
      <c r="J7" s="17">
        <v>0.37541525686958099</v>
      </c>
      <c r="K7" s="18">
        <v>109</v>
      </c>
      <c r="L7" s="19">
        <v>-0.26822564817571398</v>
      </c>
      <c r="M7" s="18">
        <v>133</v>
      </c>
      <c r="N7" s="26">
        <v>132</v>
      </c>
      <c r="O7" s="28">
        <v>132</v>
      </c>
      <c r="P7" s="26">
        <v>24</v>
      </c>
      <c r="Q7" s="28">
        <v>132</v>
      </c>
      <c r="R7" s="36">
        <v>7</v>
      </c>
      <c r="S7" s="6" t="s">
        <v>8</v>
      </c>
      <c r="T7" s="37">
        <v>0.27</v>
      </c>
      <c r="U7" s="39">
        <f t="shared" si="0"/>
        <v>132</v>
      </c>
      <c r="V7" s="6" t="s">
        <v>6</v>
      </c>
      <c r="W7" s="38" t="s">
        <v>6</v>
      </c>
      <c r="X7" s="43">
        <f t="shared" si="1"/>
        <v>132</v>
      </c>
      <c r="AA7" s="43">
        <f t="shared" si="2"/>
        <v>132</v>
      </c>
      <c r="AC7" s="41"/>
      <c r="AD7" s="43">
        <f t="shared" si="3"/>
        <v>24</v>
      </c>
      <c r="AF7" s="41"/>
    </row>
    <row r="8" spans="1:33" x14ac:dyDescent="0.3">
      <c r="A8" s="1" t="s">
        <v>72</v>
      </c>
      <c r="B8" t="s">
        <v>10</v>
      </c>
      <c r="C8" s="25">
        <v>45505</v>
      </c>
      <c r="D8" s="25">
        <v>45536</v>
      </c>
      <c r="E8" s="24">
        <v>45.574998855590799</v>
      </c>
      <c r="F8" s="2">
        <v>-5.1706251491728403E-2</v>
      </c>
      <c r="G8" s="2">
        <v>5.7915434505334297E-2</v>
      </c>
      <c r="H8" s="15">
        <v>-0.18902907268117899</v>
      </c>
      <c r="I8" s="16">
        <v>-0.32046077693855302</v>
      </c>
      <c r="J8" s="17">
        <v>7.3176106978929095E-2</v>
      </c>
      <c r="K8" s="18">
        <v>30</v>
      </c>
      <c r="L8" s="19">
        <v>-0.429292355852881</v>
      </c>
      <c r="M8" s="18">
        <v>149</v>
      </c>
      <c r="N8" s="26">
        <v>5</v>
      </c>
      <c r="O8" s="28">
        <v>127</v>
      </c>
      <c r="P8" s="26">
        <v>69</v>
      </c>
      <c r="Q8" s="28">
        <v>128</v>
      </c>
      <c r="R8" s="36">
        <v>7</v>
      </c>
      <c r="S8" s="6" t="s">
        <v>71</v>
      </c>
      <c r="T8" s="37">
        <v>-0.37</v>
      </c>
      <c r="U8" s="39">
        <f t="shared" si="0"/>
        <v>127</v>
      </c>
      <c r="V8" s="6" t="s">
        <v>71</v>
      </c>
      <c r="W8" s="38">
        <v>-0.2</v>
      </c>
      <c r="X8" s="43">
        <f t="shared" si="1"/>
        <v>5</v>
      </c>
      <c r="AA8" s="43">
        <f t="shared" si="2"/>
        <v>128</v>
      </c>
      <c r="AD8" s="43">
        <f t="shared" si="3"/>
        <v>69</v>
      </c>
      <c r="AF8" s="41"/>
    </row>
    <row r="9" spans="1:33" x14ac:dyDescent="0.3">
      <c r="A9" s="1" t="s">
        <v>72</v>
      </c>
      <c r="B9" t="s">
        <v>76</v>
      </c>
      <c r="C9" s="25">
        <v>45505</v>
      </c>
      <c r="D9" s="25">
        <v>45536</v>
      </c>
      <c r="E9" s="24">
        <v>2.79500007629394</v>
      </c>
      <c r="F9" s="2">
        <v>-0.35894495626058098</v>
      </c>
      <c r="G9" s="2">
        <v>-0.15303026767254199</v>
      </c>
      <c r="H9" s="15">
        <v>-0.27370307120654203</v>
      </c>
      <c r="I9" s="16">
        <v>-0.83542039506682497</v>
      </c>
      <c r="J9" s="17">
        <v>5.18783459636886E-2</v>
      </c>
      <c r="K9" s="18">
        <v>10</v>
      </c>
      <c r="L9" s="19">
        <v>-0.867620753249146</v>
      </c>
      <c r="M9" s="18">
        <v>149</v>
      </c>
      <c r="N9" s="26">
        <v>22</v>
      </c>
      <c r="O9" s="28">
        <v>51</v>
      </c>
      <c r="P9" s="26">
        <v>22</v>
      </c>
      <c r="Q9" s="28">
        <v>51</v>
      </c>
      <c r="R9" s="36">
        <v>7</v>
      </c>
      <c r="S9" s="6" t="s">
        <v>71</v>
      </c>
      <c r="T9" s="37">
        <v>-0.87</v>
      </c>
      <c r="U9" s="39">
        <f t="shared" si="0"/>
        <v>51</v>
      </c>
      <c r="V9" s="6" t="s">
        <v>71</v>
      </c>
      <c r="W9" s="41">
        <v>-0.82</v>
      </c>
      <c r="X9" s="43">
        <f t="shared" si="1"/>
        <v>22</v>
      </c>
      <c r="AA9" s="43">
        <f t="shared" si="2"/>
        <v>51</v>
      </c>
      <c r="AD9" s="43">
        <f t="shared" si="3"/>
        <v>22</v>
      </c>
      <c r="AF9" s="41"/>
    </row>
    <row r="10" spans="1:33" x14ac:dyDescent="0.3">
      <c r="A10" s="1" t="s">
        <v>72</v>
      </c>
      <c r="B10" t="s">
        <v>78</v>
      </c>
      <c r="C10" s="25">
        <v>45536</v>
      </c>
      <c r="D10" s="25">
        <v>45566</v>
      </c>
      <c r="E10" s="24">
        <v>18.4699993133544</v>
      </c>
      <c r="F10" s="2">
        <v>9.0962727727057699E-2</v>
      </c>
      <c r="G10" s="2">
        <v>-5.1361070121563802E-2</v>
      </c>
      <c r="H10" s="15">
        <v>0.118029257510559</v>
      </c>
      <c r="I10" s="16">
        <v>-0.172171059540982</v>
      </c>
      <c r="J10" s="17">
        <v>0.23064430900123001</v>
      </c>
      <c r="K10" s="18">
        <v>93</v>
      </c>
      <c r="L10" s="19">
        <v>-0.25554951211837601</v>
      </c>
      <c r="M10" s="18">
        <v>129</v>
      </c>
      <c r="N10" s="26">
        <v>108</v>
      </c>
      <c r="O10" s="28">
        <v>127</v>
      </c>
      <c r="P10" s="26">
        <v>108</v>
      </c>
      <c r="Q10" s="28">
        <v>127</v>
      </c>
      <c r="R10" s="36">
        <v>7</v>
      </c>
      <c r="S10" s="6" t="s">
        <v>8</v>
      </c>
      <c r="T10" s="37">
        <v>0.23100000000000001</v>
      </c>
      <c r="U10" s="39">
        <f t="shared" si="0"/>
        <v>127</v>
      </c>
      <c r="V10" s="6" t="s">
        <v>6</v>
      </c>
      <c r="W10" s="38" t="s">
        <v>6</v>
      </c>
      <c r="X10" s="43">
        <f t="shared" si="1"/>
        <v>108</v>
      </c>
      <c r="AA10" s="43">
        <f t="shared" si="2"/>
        <v>127</v>
      </c>
      <c r="AD10" s="43" t="s">
        <v>6</v>
      </c>
    </row>
    <row r="11" spans="1:33" x14ac:dyDescent="0.3">
      <c r="A11" s="1" t="s">
        <v>72</v>
      </c>
      <c r="B11" t="s">
        <v>80</v>
      </c>
      <c r="C11" s="25">
        <v>45536</v>
      </c>
      <c r="D11" s="25">
        <v>45566</v>
      </c>
      <c r="E11" s="24">
        <v>50.308662414550703</v>
      </c>
      <c r="F11" s="2">
        <v>-7.5986168498505202E-2</v>
      </c>
      <c r="G11" s="2">
        <v>6.4922656905767401E-2</v>
      </c>
      <c r="H11" s="15">
        <v>1.0035930838935701E-2</v>
      </c>
      <c r="I11" s="16">
        <v>-0.122095623377232</v>
      </c>
      <c r="J11" s="17">
        <v>9.9910116033270394E-2</v>
      </c>
      <c r="K11" s="18">
        <v>43</v>
      </c>
      <c r="L11" s="19">
        <v>-0.39478101266033899</v>
      </c>
      <c r="M11" s="18">
        <v>127</v>
      </c>
      <c r="N11" s="26">
        <v>56</v>
      </c>
      <c r="O11" s="28">
        <v>126</v>
      </c>
      <c r="P11" s="26">
        <v>106</v>
      </c>
      <c r="Q11" s="28">
        <v>126</v>
      </c>
      <c r="R11" s="36">
        <v>7</v>
      </c>
      <c r="S11" s="6" t="s">
        <v>71</v>
      </c>
      <c r="T11" s="37">
        <v>-0.37</v>
      </c>
      <c r="U11" s="39">
        <f t="shared" si="0"/>
        <v>126</v>
      </c>
      <c r="V11" s="6" t="s">
        <v>8</v>
      </c>
      <c r="W11" s="40">
        <v>0.31859999999999999</v>
      </c>
      <c r="X11" s="43">
        <f t="shared" si="1"/>
        <v>56</v>
      </c>
      <c r="Z11" s="40"/>
      <c r="AA11" s="43">
        <f t="shared" si="2"/>
        <v>126</v>
      </c>
      <c r="AD11" s="43">
        <f>P11</f>
        <v>106</v>
      </c>
    </row>
    <row r="12" spans="1:33" x14ac:dyDescent="0.3">
      <c r="A12" s="1" t="s">
        <v>72</v>
      </c>
      <c r="B12" t="s">
        <v>9</v>
      </c>
      <c r="C12" s="25">
        <v>45536</v>
      </c>
      <c r="D12" s="25">
        <v>45566</v>
      </c>
      <c r="E12" s="24">
        <v>14.4799995422363</v>
      </c>
      <c r="F12" s="2">
        <v>-0.375053970886632</v>
      </c>
      <c r="G12" s="2">
        <v>-0.46171004655845099</v>
      </c>
      <c r="H12" s="15">
        <v>-0.58977898860464495</v>
      </c>
      <c r="I12" s="16">
        <v>-0.90676795120717502</v>
      </c>
      <c r="J12" s="17">
        <v>0.29903315335583902</v>
      </c>
      <c r="K12" s="18">
        <v>49</v>
      </c>
      <c r="L12" s="19">
        <v>-0.93191298232014197</v>
      </c>
      <c r="M12" s="18">
        <v>136</v>
      </c>
      <c r="N12" s="26">
        <v>55</v>
      </c>
      <c r="O12" s="28">
        <v>56</v>
      </c>
      <c r="P12" s="26">
        <v>15</v>
      </c>
      <c r="Q12" s="28">
        <v>55</v>
      </c>
      <c r="R12" s="36">
        <v>7</v>
      </c>
      <c r="S12" s="6" t="s">
        <v>71</v>
      </c>
      <c r="T12" s="37">
        <v>-0.94</v>
      </c>
      <c r="U12" s="39">
        <f t="shared" si="0"/>
        <v>56</v>
      </c>
      <c r="V12" s="6" t="s">
        <v>71</v>
      </c>
      <c r="W12" s="38">
        <v>-0.94</v>
      </c>
      <c r="X12" s="43">
        <f t="shared" si="1"/>
        <v>55</v>
      </c>
      <c r="Z12" s="38"/>
      <c r="AA12" s="43">
        <f t="shared" si="2"/>
        <v>55</v>
      </c>
      <c r="AD12" s="43">
        <f>P12</f>
        <v>15</v>
      </c>
    </row>
    <row r="13" spans="1:33" x14ac:dyDescent="0.3">
      <c r="A13" s="1" t="s">
        <v>72</v>
      </c>
      <c r="B13" t="s">
        <v>73</v>
      </c>
      <c r="C13" s="25">
        <v>45536</v>
      </c>
      <c r="D13" s="25">
        <v>45566</v>
      </c>
      <c r="K13" s="18">
        <v>67</v>
      </c>
      <c r="M13" s="18">
        <v>128</v>
      </c>
      <c r="R13" s="36">
        <v>7</v>
      </c>
      <c r="S13" s="6" t="s">
        <v>6</v>
      </c>
      <c r="T13" s="37" t="s">
        <v>6</v>
      </c>
      <c r="U13" s="39">
        <f t="shared" si="0"/>
        <v>0</v>
      </c>
      <c r="V13" s="6" t="s">
        <v>6</v>
      </c>
      <c r="W13" s="45" t="s">
        <v>6</v>
      </c>
      <c r="X13" s="43">
        <f t="shared" si="1"/>
        <v>0</v>
      </c>
      <c r="Y13" s="6" t="s">
        <v>6</v>
      </c>
      <c r="Z13" s="40" t="s">
        <v>6</v>
      </c>
      <c r="AA13" s="43" t="s">
        <v>6</v>
      </c>
      <c r="AB13" s="6" t="s">
        <v>6</v>
      </c>
      <c r="AC13" s="38" t="s">
        <v>6</v>
      </c>
      <c r="AD13" s="43" t="s">
        <v>6</v>
      </c>
      <c r="AE13" s="6" t="s">
        <v>6</v>
      </c>
      <c r="AF13" s="40" t="s">
        <v>6</v>
      </c>
    </row>
    <row r="14" spans="1:33" x14ac:dyDescent="0.3">
      <c r="A14" s="1" t="s">
        <v>72</v>
      </c>
      <c r="B14" t="s">
        <v>11</v>
      </c>
      <c r="C14" s="25">
        <v>45566</v>
      </c>
      <c r="D14" s="25">
        <v>45597</v>
      </c>
      <c r="E14" s="24">
        <v>8</v>
      </c>
      <c r="F14" s="2">
        <v>-0.70046774777070298</v>
      </c>
      <c r="G14" s="2">
        <v>-0.18116687562252301</v>
      </c>
      <c r="H14" s="15">
        <v>0.36249995231628301</v>
      </c>
      <c r="I14" s="16">
        <v>-0.59999999403953497</v>
      </c>
      <c r="J14" s="17">
        <v>1.0374999046325599</v>
      </c>
      <c r="K14" s="18">
        <v>41</v>
      </c>
      <c r="L14" s="19">
        <v>-0.68874999880790699</v>
      </c>
      <c r="M14" s="18">
        <v>142</v>
      </c>
      <c r="N14" s="26">
        <v>103</v>
      </c>
      <c r="O14" s="28">
        <v>104</v>
      </c>
      <c r="P14" s="26">
        <v>100</v>
      </c>
      <c r="Q14" s="28">
        <v>103</v>
      </c>
      <c r="R14" s="36">
        <v>7</v>
      </c>
      <c r="S14" s="6" t="s">
        <v>8</v>
      </c>
      <c r="T14" s="37">
        <v>0.73599999999999999</v>
      </c>
      <c r="U14" s="39">
        <f t="shared" si="0"/>
        <v>104</v>
      </c>
      <c r="V14" s="6" t="s">
        <v>71</v>
      </c>
      <c r="W14" s="38">
        <v>-0.54</v>
      </c>
      <c r="X14" s="43">
        <f t="shared" si="1"/>
        <v>103</v>
      </c>
      <c r="AA14" s="43">
        <f>Q14</f>
        <v>103</v>
      </c>
      <c r="AD14" s="43">
        <f t="shared" ref="AD14:AD22" si="4">P14</f>
        <v>100</v>
      </c>
    </row>
    <row r="15" spans="1:33" x14ac:dyDescent="0.3">
      <c r="A15" s="1" t="s">
        <v>72</v>
      </c>
      <c r="B15" t="s">
        <v>75</v>
      </c>
      <c r="C15" s="25">
        <v>45597</v>
      </c>
      <c r="D15" s="25">
        <v>45627</v>
      </c>
      <c r="E15" s="24">
        <v>7.5174999237060502</v>
      </c>
      <c r="F15" s="2">
        <v>1.2780303128275701</v>
      </c>
      <c r="G15" s="2">
        <v>1.7138989081117499</v>
      </c>
      <c r="H15" s="15">
        <v>0.31426673956920598</v>
      </c>
      <c r="I15" s="16">
        <v>0.24110409290253099</v>
      </c>
      <c r="J15" s="17">
        <v>1.6844031273667399</v>
      </c>
      <c r="K15" s="18">
        <v>23</v>
      </c>
      <c r="L15" s="19">
        <v>-9.0123016693582206E-2</v>
      </c>
      <c r="M15" s="18">
        <v>8</v>
      </c>
      <c r="R15" s="36">
        <v>7</v>
      </c>
      <c r="S15" s="6" t="s">
        <v>8</v>
      </c>
      <c r="T15" s="37">
        <v>1.2</v>
      </c>
      <c r="U15" s="39">
        <f t="shared" si="0"/>
        <v>0</v>
      </c>
      <c r="V15" s="6" t="s">
        <v>6</v>
      </c>
      <c r="W15" s="38" t="s">
        <v>6</v>
      </c>
      <c r="X15" s="43">
        <f t="shared" si="1"/>
        <v>0</v>
      </c>
      <c r="Z15" s="45"/>
      <c r="AA15" s="43">
        <f>Q15</f>
        <v>0</v>
      </c>
      <c r="AD15" s="43">
        <f t="shared" si="4"/>
        <v>0</v>
      </c>
    </row>
    <row r="16" spans="1:33" x14ac:dyDescent="0.3">
      <c r="A16" s="1" t="s">
        <v>72</v>
      </c>
      <c r="B16" t="s">
        <v>74</v>
      </c>
      <c r="C16" s="25">
        <v>45627</v>
      </c>
      <c r="D16" s="25">
        <v>45658</v>
      </c>
      <c r="E16" s="24">
        <v>11.119999885559</v>
      </c>
      <c r="F16" s="2">
        <v>-6.2555583064484097E-3</v>
      </c>
      <c r="G16" s="2">
        <v>-0.25016858106765399</v>
      </c>
      <c r="H16" s="15">
        <v>7.3740980509281198E-2</v>
      </c>
      <c r="I16" s="16">
        <v>0.93345325730810802</v>
      </c>
      <c r="J16" s="17">
        <v>1.01798568030555</v>
      </c>
      <c r="K16" s="18">
        <v>129</v>
      </c>
      <c r="L16" s="19">
        <v>-0.179856116958893</v>
      </c>
      <c r="M16" s="18">
        <v>60</v>
      </c>
      <c r="N16" s="26">
        <v>40</v>
      </c>
      <c r="P16" s="26">
        <v>17</v>
      </c>
      <c r="Q16" s="28">
        <v>38</v>
      </c>
      <c r="R16" s="36">
        <v>7</v>
      </c>
      <c r="S16" s="6" t="s">
        <v>8</v>
      </c>
      <c r="T16" s="37">
        <v>0.68500000000000005</v>
      </c>
      <c r="U16" s="39" t="s">
        <v>6</v>
      </c>
      <c r="V16" s="6" t="s">
        <v>6</v>
      </c>
      <c r="W16" s="38" t="s">
        <v>6</v>
      </c>
      <c r="X16" s="43">
        <f t="shared" si="1"/>
        <v>40</v>
      </c>
      <c r="Y16" s="6" t="s">
        <v>8</v>
      </c>
      <c r="Z16" s="41">
        <v>1.306</v>
      </c>
      <c r="AA16" s="43">
        <f>Q16</f>
        <v>38</v>
      </c>
      <c r="AB16" s="6" t="s">
        <v>8</v>
      </c>
      <c r="AC16" s="38">
        <v>1.149</v>
      </c>
      <c r="AD16" s="43">
        <f t="shared" si="4"/>
        <v>17</v>
      </c>
      <c r="AE16" s="6" t="s">
        <v>8</v>
      </c>
      <c r="AF16" s="38">
        <v>0.878</v>
      </c>
    </row>
    <row r="17" spans="1:32" x14ac:dyDescent="0.3">
      <c r="A17" s="1" t="s">
        <v>72</v>
      </c>
      <c r="B17" t="s">
        <v>21</v>
      </c>
      <c r="C17" s="25">
        <v>45627</v>
      </c>
      <c r="D17" s="25">
        <v>45658</v>
      </c>
      <c r="E17" s="24">
        <v>17.274999618530199</v>
      </c>
      <c r="F17" s="2">
        <v>-0.366984278527406</v>
      </c>
      <c r="G17" s="2">
        <v>-0.198747678736308</v>
      </c>
      <c r="H17" s="15">
        <v>-0.19479015024166099</v>
      </c>
      <c r="I17" s="16">
        <v>-0.110274950798133</v>
      </c>
      <c r="J17" s="17">
        <v>0.201736653389753</v>
      </c>
      <c r="K17" s="18">
        <v>26</v>
      </c>
      <c r="L17" s="19">
        <v>-0.30188129169737399</v>
      </c>
      <c r="M17" s="18">
        <v>83</v>
      </c>
      <c r="N17" s="26">
        <v>5</v>
      </c>
      <c r="O17" s="28">
        <v>63</v>
      </c>
      <c r="P17" s="26">
        <v>65</v>
      </c>
      <c r="R17" s="36">
        <v>7</v>
      </c>
      <c r="S17" s="6" t="s">
        <v>8</v>
      </c>
      <c r="T17" s="37">
        <v>0.39</v>
      </c>
      <c r="U17" s="39">
        <f t="shared" ref="U17:U25" si="5">O17</f>
        <v>63</v>
      </c>
      <c r="V17" s="6" t="s">
        <v>71</v>
      </c>
      <c r="W17" s="41">
        <v>-0.1255</v>
      </c>
      <c r="X17" s="43">
        <f t="shared" si="1"/>
        <v>5</v>
      </c>
      <c r="AA17" s="43">
        <f>Q17</f>
        <v>0</v>
      </c>
      <c r="AD17" s="43">
        <f t="shared" si="4"/>
        <v>65</v>
      </c>
      <c r="AF17" s="41"/>
    </row>
    <row r="18" spans="1:32" x14ac:dyDescent="0.3">
      <c r="A18" s="1" t="s">
        <v>72</v>
      </c>
      <c r="B18" t="s">
        <v>17</v>
      </c>
      <c r="C18" s="25">
        <v>45627</v>
      </c>
      <c r="D18" s="25">
        <v>45658</v>
      </c>
      <c r="E18" s="24">
        <v>8.875</v>
      </c>
      <c r="F18" s="2">
        <v>-0.21806170028949701</v>
      </c>
      <c r="G18" s="2">
        <v>-8.5993824394085303E-2</v>
      </c>
      <c r="H18" s="15">
        <v>0.205633781325649</v>
      </c>
      <c r="I18" s="16">
        <v>-6.2535245653609101E-2</v>
      </c>
      <c r="J18" s="17">
        <v>0.345352065395301</v>
      </c>
      <c r="K18" s="18">
        <v>108</v>
      </c>
      <c r="L18" s="19">
        <v>-7.9436611121808998E-2</v>
      </c>
      <c r="M18" s="18">
        <v>28</v>
      </c>
      <c r="R18" s="36">
        <v>7</v>
      </c>
      <c r="S18" s="6" t="s">
        <v>8</v>
      </c>
      <c r="T18" s="37">
        <v>0.3296</v>
      </c>
      <c r="U18" s="39">
        <f t="shared" si="5"/>
        <v>0</v>
      </c>
      <c r="V18" s="6" t="s">
        <v>6</v>
      </c>
      <c r="W18" s="38" t="s">
        <v>6</v>
      </c>
      <c r="X18" s="43">
        <f t="shared" si="1"/>
        <v>0</v>
      </c>
      <c r="Z18" s="37"/>
      <c r="AA18" s="43">
        <f>Q18</f>
        <v>0</v>
      </c>
      <c r="AD18" s="43">
        <f t="shared" si="4"/>
        <v>0</v>
      </c>
    </row>
    <row r="19" spans="1:32" x14ac:dyDescent="0.3">
      <c r="A19" s="1" t="s">
        <v>72</v>
      </c>
      <c r="B19" t="s">
        <v>14</v>
      </c>
      <c r="C19" s="25">
        <v>45627</v>
      </c>
      <c r="D19" s="25">
        <v>45658</v>
      </c>
      <c r="E19" s="24">
        <v>1.7250000238418499</v>
      </c>
      <c r="F19" s="2">
        <v>-0.13749998807907099</v>
      </c>
      <c r="G19" s="2">
        <v>0.134868450978786</v>
      </c>
      <c r="H19" s="15">
        <v>0.80289846499210205</v>
      </c>
      <c r="I19" s="16">
        <v>1.4869564652517999</v>
      </c>
      <c r="J19" s="17">
        <v>3.37101441022604</v>
      </c>
      <c r="K19" s="18">
        <v>113</v>
      </c>
      <c r="L19" s="19">
        <v>-1.44927396015118E-2</v>
      </c>
      <c r="M19" s="18">
        <v>7</v>
      </c>
      <c r="R19" s="36">
        <v>7</v>
      </c>
      <c r="S19" s="6" t="s">
        <v>8</v>
      </c>
      <c r="T19" s="37">
        <v>3.4350000000000001</v>
      </c>
      <c r="U19" s="39">
        <f t="shared" si="5"/>
        <v>0</v>
      </c>
      <c r="V19" s="6" t="s">
        <v>6</v>
      </c>
      <c r="W19" s="38" t="s">
        <v>6</v>
      </c>
      <c r="X19" s="43">
        <f t="shared" si="1"/>
        <v>0</v>
      </c>
      <c r="Y19" s="6" t="s">
        <v>6</v>
      </c>
      <c r="Z19" s="41" t="s">
        <v>6</v>
      </c>
      <c r="AA19" s="43" t="s">
        <v>6</v>
      </c>
      <c r="AB19" s="6" t="s">
        <v>6</v>
      </c>
      <c r="AC19" s="38" t="s">
        <v>6</v>
      </c>
      <c r="AD19" s="43">
        <f t="shared" si="4"/>
        <v>0</v>
      </c>
      <c r="AE19" s="6" t="s">
        <v>6</v>
      </c>
      <c r="AF19" s="41" t="s">
        <v>6</v>
      </c>
    </row>
    <row r="20" spans="1:32" x14ac:dyDescent="0.3">
      <c r="A20" s="1" t="s">
        <v>72</v>
      </c>
      <c r="B20" t="s">
        <v>26</v>
      </c>
      <c r="C20" s="25">
        <v>45658</v>
      </c>
      <c r="D20" s="25">
        <v>45689</v>
      </c>
      <c r="E20" s="24">
        <v>3.6899999380111601</v>
      </c>
      <c r="F20" s="2">
        <v>-0.28764477600481603</v>
      </c>
      <c r="G20" s="2">
        <v>-0.21321963902105801</v>
      </c>
      <c r="H20" s="15">
        <v>0.40650410417561</v>
      </c>
      <c r="J20" s="17">
        <v>0.50406511760707295</v>
      </c>
      <c r="K20" s="18">
        <v>74</v>
      </c>
      <c r="L20" s="19">
        <v>-0.26558263315104402</v>
      </c>
      <c r="M20" s="18">
        <v>127</v>
      </c>
      <c r="N20" s="26">
        <v>27</v>
      </c>
      <c r="O20" s="28">
        <v>126</v>
      </c>
      <c r="P20" s="26">
        <v>27</v>
      </c>
      <c r="Q20" s="28">
        <v>127</v>
      </c>
      <c r="R20" s="36">
        <v>7</v>
      </c>
      <c r="S20" s="6" t="s">
        <v>8</v>
      </c>
      <c r="T20" s="37">
        <v>0.6</v>
      </c>
      <c r="U20" s="39">
        <f t="shared" si="5"/>
        <v>126</v>
      </c>
      <c r="V20" s="6" t="s">
        <v>8</v>
      </c>
      <c r="W20" s="40">
        <v>0.309</v>
      </c>
      <c r="X20" s="43">
        <f t="shared" si="1"/>
        <v>27</v>
      </c>
      <c r="Z20" s="40"/>
      <c r="AA20" s="43">
        <f>Q20</f>
        <v>127</v>
      </c>
      <c r="AC20" s="40"/>
      <c r="AD20" s="43">
        <f t="shared" si="4"/>
        <v>27</v>
      </c>
      <c r="AF20" s="40"/>
    </row>
    <row r="21" spans="1:32" x14ac:dyDescent="0.3">
      <c r="A21" s="1" t="s">
        <v>72</v>
      </c>
      <c r="B21" t="s">
        <v>46</v>
      </c>
      <c r="C21" s="25">
        <v>45748</v>
      </c>
      <c r="D21" s="25">
        <v>45778</v>
      </c>
      <c r="E21" s="24">
        <v>6.0799999237060502</v>
      </c>
      <c r="F21" s="2">
        <v>-0.64444445683787199</v>
      </c>
      <c r="G21" s="2">
        <v>-0.28047336556865399</v>
      </c>
      <c r="H21" s="15">
        <v>0.29769736274540198</v>
      </c>
      <c r="J21" s="17">
        <v>0.91282899019378105</v>
      </c>
      <c r="K21" s="18">
        <v>87</v>
      </c>
      <c r="L21" s="19">
        <v>-0.33223684313719898</v>
      </c>
      <c r="M21" s="18">
        <v>16</v>
      </c>
      <c r="N21" s="26">
        <v>7</v>
      </c>
      <c r="O21" s="28">
        <v>9</v>
      </c>
      <c r="P21" s="26">
        <v>11</v>
      </c>
      <c r="Q21" s="28">
        <v>16</v>
      </c>
      <c r="R21" s="36">
        <v>7</v>
      </c>
      <c r="S21" s="6" t="s">
        <v>8</v>
      </c>
      <c r="T21" s="37">
        <v>1.2410000000000001</v>
      </c>
      <c r="U21" s="39">
        <f t="shared" si="5"/>
        <v>9</v>
      </c>
      <c r="V21" s="6" t="s">
        <v>8</v>
      </c>
      <c r="W21" s="38">
        <v>1.43</v>
      </c>
      <c r="X21" s="43">
        <f t="shared" si="1"/>
        <v>7</v>
      </c>
      <c r="AA21" s="43">
        <f>Q21</f>
        <v>16</v>
      </c>
      <c r="AD21" s="43">
        <f t="shared" si="4"/>
        <v>11</v>
      </c>
    </row>
    <row r="22" spans="1:32" x14ac:dyDescent="0.3">
      <c r="A22" s="1" t="s">
        <v>72</v>
      </c>
      <c r="B22" t="s">
        <v>50</v>
      </c>
      <c r="C22" s="25">
        <v>45748</v>
      </c>
      <c r="D22" s="25">
        <v>45778</v>
      </c>
      <c r="E22" s="24">
        <v>0.91000002622604304</v>
      </c>
      <c r="F22" s="2">
        <v>-0.79732737803694298</v>
      </c>
      <c r="G22" s="2">
        <v>-0.37671232708937902</v>
      </c>
      <c r="H22" s="15">
        <v>0.17582419957678</v>
      </c>
      <c r="J22" s="17">
        <v>0.45054946638451998</v>
      </c>
      <c r="K22" s="18">
        <v>83</v>
      </c>
      <c r="L22" s="19">
        <v>-0.37362639953830601</v>
      </c>
      <c r="M22" s="18">
        <v>24</v>
      </c>
      <c r="N22" s="26">
        <v>4</v>
      </c>
      <c r="O22" s="28">
        <v>5</v>
      </c>
      <c r="P22" s="26">
        <v>9</v>
      </c>
      <c r="Q22" s="28">
        <v>11</v>
      </c>
      <c r="R22" s="36">
        <v>7</v>
      </c>
      <c r="S22" s="6" t="s">
        <v>8</v>
      </c>
      <c r="T22" s="37">
        <v>0.80800000000000005</v>
      </c>
      <c r="U22" s="39">
        <f t="shared" si="5"/>
        <v>5</v>
      </c>
      <c r="V22" s="6" t="s">
        <v>8</v>
      </c>
      <c r="W22" s="40">
        <v>0.80800000000000005</v>
      </c>
      <c r="X22" s="43">
        <f t="shared" si="1"/>
        <v>4</v>
      </c>
      <c r="AA22" s="43">
        <f>Q22</f>
        <v>11</v>
      </c>
      <c r="AD22" s="43">
        <f t="shared" si="4"/>
        <v>9</v>
      </c>
      <c r="AF22" s="41"/>
    </row>
    <row r="23" spans="1:32" x14ac:dyDescent="0.3">
      <c r="A23" s="1" t="s">
        <v>72</v>
      </c>
      <c r="B23" t="s">
        <v>13</v>
      </c>
      <c r="C23" s="25">
        <v>45778</v>
      </c>
      <c r="D23" s="25">
        <v>45809</v>
      </c>
      <c r="E23" s="24">
        <v>6.6150000095367396</v>
      </c>
      <c r="F23" s="2">
        <v>-0.713820159304144</v>
      </c>
      <c r="G23" s="2">
        <v>-0.61360983146815296</v>
      </c>
      <c r="J23" s="17">
        <v>0.162509455197869</v>
      </c>
      <c r="K23" s="18">
        <v>58</v>
      </c>
      <c r="L23" s="19">
        <v>-9.2970522849600501E-2</v>
      </c>
      <c r="M23" s="18">
        <v>9</v>
      </c>
      <c r="R23" s="36">
        <v>7</v>
      </c>
      <c r="S23" s="6" t="s">
        <v>8</v>
      </c>
      <c r="T23" s="37">
        <v>0.2034</v>
      </c>
      <c r="U23" s="39">
        <f t="shared" si="5"/>
        <v>0</v>
      </c>
      <c r="V23" s="6" t="s">
        <v>6</v>
      </c>
      <c r="W23" s="38" t="s">
        <v>6</v>
      </c>
      <c r="X23" s="43" t="s">
        <v>6</v>
      </c>
      <c r="Y23" s="6" t="s">
        <v>6</v>
      </c>
      <c r="Z23" s="41" t="s">
        <v>6</v>
      </c>
      <c r="AA23" s="43" t="s">
        <v>6</v>
      </c>
      <c r="AB23" s="6" t="s">
        <v>6</v>
      </c>
      <c r="AC23" s="38" t="s">
        <v>6</v>
      </c>
      <c r="AD23" s="43" t="s">
        <v>6</v>
      </c>
      <c r="AE23" s="6" t="s">
        <v>6</v>
      </c>
      <c r="AF23" s="38" t="s">
        <v>6</v>
      </c>
    </row>
    <row r="24" spans="1:32" x14ac:dyDescent="0.3">
      <c r="A24" s="1" t="s">
        <v>72</v>
      </c>
      <c r="B24" t="s">
        <v>18</v>
      </c>
      <c r="C24" s="25">
        <v>45778</v>
      </c>
      <c r="D24" s="25">
        <v>45809</v>
      </c>
      <c r="E24" s="24">
        <v>4.8650000095367396</v>
      </c>
      <c r="F24" s="2">
        <v>-0.40815086964769098</v>
      </c>
      <c r="G24" s="2">
        <v>-0.102398534860666</v>
      </c>
      <c r="J24" s="17">
        <v>0.42651593907834301</v>
      </c>
      <c r="K24" s="18">
        <v>35</v>
      </c>
      <c r="L24" s="19">
        <v>0</v>
      </c>
      <c r="M24" s="18">
        <v>0</v>
      </c>
      <c r="R24" s="36">
        <v>7</v>
      </c>
      <c r="S24" s="6" t="s">
        <v>8</v>
      </c>
      <c r="T24" s="37">
        <v>0.36080000000000001</v>
      </c>
      <c r="U24" s="39">
        <f t="shared" si="5"/>
        <v>0</v>
      </c>
      <c r="V24" s="6" t="s">
        <v>6</v>
      </c>
      <c r="W24" s="38" t="s">
        <v>6</v>
      </c>
      <c r="X24" s="43">
        <f>N24</f>
        <v>0</v>
      </c>
      <c r="Z24" s="40"/>
      <c r="AA24" s="43">
        <f>Q24</f>
        <v>0</v>
      </c>
      <c r="AD24" s="43">
        <f>P24</f>
        <v>0</v>
      </c>
    </row>
    <row r="25" spans="1:32" x14ac:dyDescent="0.3">
      <c r="A25" s="1" t="s">
        <v>72</v>
      </c>
      <c r="B25" t="s">
        <v>20</v>
      </c>
      <c r="C25" s="25">
        <v>45839</v>
      </c>
      <c r="D25" s="25">
        <v>45870</v>
      </c>
      <c r="E25" s="24">
        <v>6.3299999237060502</v>
      </c>
      <c r="F25" s="2">
        <v>-0.375190643739025</v>
      </c>
      <c r="G25" s="2">
        <v>-0.31649045556071498</v>
      </c>
      <c r="J25" s="17">
        <v>0.23222753313528599</v>
      </c>
      <c r="K25" s="18">
        <v>19</v>
      </c>
      <c r="L25" s="19">
        <v>-2.6856252502830101E-2</v>
      </c>
      <c r="M25" s="18">
        <v>2</v>
      </c>
      <c r="R25" s="36">
        <v>7</v>
      </c>
      <c r="S25" s="6" t="s">
        <v>6</v>
      </c>
      <c r="T25" s="37" t="s">
        <v>6</v>
      </c>
      <c r="U25" s="39">
        <f t="shared" si="5"/>
        <v>0</v>
      </c>
      <c r="V25" s="6" t="s">
        <v>6</v>
      </c>
      <c r="W25" s="38" t="s">
        <v>6</v>
      </c>
      <c r="X25" s="43">
        <f>N25</f>
        <v>0</v>
      </c>
      <c r="AA25" s="43">
        <f>Q25</f>
        <v>0</v>
      </c>
      <c r="AD25" s="43">
        <f>P25</f>
        <v>0</v>
      </c>
    </row>
    <row r="26" spans="1:32" x14ac:dyDescent="0.3">
      <c r="U26" s="39"/>
      <c r="W26" s="40"/>
      <c r="X26" s="43"/>
      <c r="Z26" s="40"/>
      <c r="AA26" s="43"/>
      <c r="AD26" s="43"/>
    </row>
    <row r="27" spans="1:32" s="42" customFormat="1" x14ac:dyDescent="0.3">
      <c r="A27" s="1"/>
      <c r="B27"/>
      <c r="C27" s="25"/>
      <c r="D27" s="25"/>
      <c r="E27" s="24"/>
      <c r="F27" s="2"/>
      <c r="G27" s="2"/>
      <c r="H27" s="15"/>
      <c r="I27" s="16"/>
      <c r="J27" s="17"/>
      <c r="K27" s="18"/>
      <c r="L27" s="19"/>
      <c r="M27" s="18"/>
      <c r="N27" s="26"/>
      <c r="O27" s="28"/>
      <c r="P27" s="26"/>
      <c r="Q27" s="28"/>
      <c r="R27" s="36"/>
      <c r="S27" s="6" t="s">
        <v>89</v>
      </c>
      <c r="T27" s="46">
        <f>COUNT(T4:T25)</f>
        <v>20</v>
      </c>
      <c r="U27" s="47"/>
      <c r="V27" s="47"/>
      <c r="W27" s="53">
        <f>COUNT(W4:W25)</f>
        <v>11</v>
      </c>
      <c r="X27" s="48"/>
      <c r="Y27" s="47"/>
      <c r="Z27" s="41"/>
      <c r="AA27" s="36"/>
      <c r="AB27" s="6"/>
      <c r="AC27" s="38"/>
      <c r="AD27" s="36"/>
      <c r="AE27" s="6"/>
      <c r="AF27" s="38"/>
    </row>
    <row r="28" spans="1:32" s="69" customFormat="1" x14ac:dyDescent="0.3">
      <c r="A28" s="3"/>
      <c r="B28" s="4"/>
      <c r="C28" s="54"/>
      <c r="D28" s="54"/>
      <c r="E28" s="55"/>
      <c r="F28" s="5"/>
      <c r="G28" s="5"/>
      <c r="H28" s="56"/>
      <c r="I28" s="57"/>
      <c r="J28" s="58"/>
      <c r="K28" s="59"/>
      <c r="L28" s="60"/>
      <c r="M28" s="59"/>
      <c r="N28" s="61"/>
      <c r="O28" s="62"/>
      <c r="P28" s="61"/>
      <c r="Q28" s="62"/>
      <c r="R28" s="63"/>
      <c r="S28" s="64" t="s">
        <v>81</v>
      </c>
      <c r="T28" s="49">
        <f>COUNTIF(S4:S25, "Win")/COUNT(T4:T25)</f>
        <v>0.8</v>
      </c>
      <c r="U28" s="65"/>
      <c r="V28" s="65"/>
      <c r="W28" s="66">
        <f>COUNTIF(V4:V25, "Win")/COUNT(W4:W25)</f>
        <v>0.54545454545454541</v>
      </c>
      <c r="X28" s="67"/>
      <c r="Y28" s="65"/>
      <c r="Z28" s="68">
        <f>COUNT(Z4:Z25)</f>
        <v>1</v>
      </c>
      <c r="AA28" s="63"/>
      <c r="AB28" s="64"/>
      <c r="AC28" s="68">
        <f>COUNT(AC4:AC25)</f>
        <v>1</v>
      </c>
      <c r="AD28" s="63"/>
      <c r="AE28" s="64"/>
      <c r="AF28" s="68">
        <f>COUNT(AF4:AF25)</f>
        <v>1</v>
      </c>
    </row>
    <row r="29" spans="1:32" s="42" customFormat="1" x14ac:dyDescent="0.3">
      <c r="A29" s="1"/>
      <c r="B29"/>
      <c r="C29" s="25"/>
      <c r="D29" s="25"/>
      <c r="E29" s="24"/>
      <c r="F29" s="2"/>
      <c r="G29" s="2"/>
      <c r="H29" s="15"/>
      <c r="I29" s="16"/>
      <c r="J29" s="17"/>
      <c r="K29" s="18"/>
      <c r="L29" s="19"/>
      <c r="M29" s="18"/>
      <c r="N29" s="26"/>
      <c r="O29" s="28"/>
      <c r="P29" s="26"/>
      <c r="Q29" s="28"/>
      <c r="R29" s="36"/>
      <c r="S29" s="6" t="s">
        <v>82</v>
      </c>
      <c r="T29" s="50">
        <f>AVERAGE(T4:T25)</f>
        <v>0.46956499999999995</v>
      </c>
      <c r="U29" s="47"/>
      <c r="V29" s="47"/>
      <c r="W29" s="51">
        <f>AVERAGE(W4:W25)</f>
        <v>0.1952909090909091</v>
      </c>
      <c r="X29" s="48"/>
      <c r="Y29" s="47"/>
      <c r="Z29" s="37">
        <f>AVERAGE(Z4:Z25)</f>
        <v>1.306</v>
      </c>
      <c r="AA29" s="36"/>
      <c r="AB29" s="6"/>
      <c r="AC29" s="37">
        <f>AVERAGE(AC4:AC25)</f>
        <v>1.149</v>
      </c>
      <c r="AD29" s="36"/>
      <c r="AE29" s="6"/>
      <c r="AF29" s="37">
        <f>AVERAGE(AF4:AF25)</f>
        <v>0.878</v>
      </c>
    </row>
    <row r="30" spans="1:32" s="42" customFormat="1" x14ac:dyDescent="0.3">
      <c r="A30" s="1"/>
      <c r="B30"/>
      <c r="C30" s="25"/>
      <c r="D30" s="25"/>
      <c r="E30" s="24"/>
      <c r="F30" s="2"/>
      <c r="G30" s="2"/>
      <c r="H30" s="15"/>
      <c r="I30" s="16"/>
      <c r="J30" s="17"/>
      <c r="K30" s="18"/>
      <c r="L30" s="19"/>
      <c r="M30" s="18"/>
      <c r="N30" s="26"/>
      <c r="O30" s="28"/>
      <c r="P30" s="26"/>
      <c r="Q30" s="28"/>
      <c r="R30" s="36"/>
      <c r="S30" s="6" t="s">
        <v>84</v>
      </c>
      <c r="T30" s="50">
        <f>_xlfn.STDEV.S(T4:T25)</f>
        <v>0.9081845426164048</v>
      </c>
      <c r="U30" s="47"/>
      <c r="V30" s="47"/>
      <c r="W30" s="51">
        <f>_xlfn.STDEV.S(W4:W25)</f>
        <v>0.80462462608914165</v>
      </c>
      <c r="X30" s="48"/>
      <c r="Y30" s="47"/>
      <c r="Z30" s="37" t="e">
        <f>_xlfn.STDEV.S(Z4:Z25)</f>
        <v>#DIV/0!</v>
      </c>
      <c r="AA30" s="36"/>
      <c r="AB30" s="6"/>
      <c r="AC30" s="37" t="e">
        <f>_xlfn.STDEV.S(AC4:AC25)</f>
        <v>#DIV/0!</v>
      </c>
      <c r="AD30" s="36"/>
      <c r="AE30" s="6"/>
      <c r="AF30" s="37" t="e">
        <f>_xlfn.STDEV.S(AF4:AF25)</f>
        <v>#DIV/0!</v>
      </c>
    </row>
    <row r="31" spans="1:32" s="69" customFormat="1" x14ac:dyDescent="0.3">
      <c r="A31" s="3"/>
      <c r="B31" s="4"/>
      <c r="C31" s="54"/>
      <c r="D31" s="54"/>
      <c r="E31" s="55"/>
      <c r="F31" s="5"/>
      <c r="G31" s="5"/>
      <c r="H31" s="56"/>
      <c r="I31" s="57"/>
      <c r="J31" s="58"/>
      <c r="K31" s="59"/>
      <c r="L31" s="60"/>
      <c r="M31" s="59"/>
      <c r="N31" s="61"/>
      <c r="O31" s="62"/>
      <c r="P31" s="61"/>
      <c r="Q31" s="62"/>
      <c r="R31" s="63"/>
      <c r="S31" s="64" t="s">
        <v>83</v>
      </c>
      <c r="T31" s="70">
        <f>T29/T30</f>
        <v>0.51703698749069427</v>
      </c>
      <c r="U31" s="65"/>
      <c r="V31" s="65"/>
      <c r="W31" s="71">
        <f>W29/W30</f>
        <v>0.242710579267398</v>
      </c>
      <c r="X31" s="67"/>
      <c r="Y31" s="65"/>
      <c r="Z31" s="72" t="e">
        <f>Z29/Z30</f>
        <v>#DIV/0!</v>
      </c>
      <c r="AA31" s="63"/>
      <c r="AB31" s="64"/>
      <c r="AC31" s="72" t="e">
        <f>AC29/AC30</f>
        <v>#DIV/0!</v>
      </c>
      <c r="AD31" s="63"/>
      <c r="AE31" s="64"/>
      <c r="AF31" s="72" t="e">
        <f>AF29/AF30</f>
        <v>#DIV/0!</v>
      </c>
    </row>
    <row r="32" spans="1:32" x14ac:dyDescent="0.3">
      <c r="S32" s="6" t="s">
        <v>85</v>
      </c>
      <c r="T32" s="50" cm="1">
        <f t="array" ref="T32">STDEV(_xlfn._xlws.FILTER(T4:T25,T4:T25&lt;0))</f>
        <v>0.31020154738492201</v>
      </c>
      <c r="U32" s="47"/>
      <c r="V32" s="47"/>
      <c r="W32" s="51" cm="1">
        <f t="array" ref="W32">STDEV(_xlfn._xlws.FILTER(W4:W25,W4:W25&lt;0))</f>
        <v>0.36218096305576292</v>
      </c>
      <c r="X32" s="48"/>
      <c r="Y32" s="47"/>
    </row>
    <row r="33" spans="1:33" s="4" customFormat="1" x14ac:dyDescent="0.3">
      <c r="A33" s="3"/>
      <c r="C33" s="54"/>
      <c r="D33" s="54"/>
      <c r="E33" s="55"/>
      <c r="F33" s="5"/>
      <c r="G33" s="5"/>
      <c r="H33" s="56"/>
      <c r="I33" s="57"/>
      <c r="J33" s="58"/>
      <c r="K33" s="59"/>
      <c r="L33" s="60"/>
      <c r="M33" s="59"/>
      <c r="N33" s="61"/>
      <c r="O33" s="62"/>
      <c r="P33" s="61"/>
      <c r="Q33" s="62"/>
      <c r="R33" s="63"/>
      <c r="S33" s="64" t="s">
        <v>86</v>
      </c>
      <c r="T33" s="70">
        <f>T28/T32</f>
        <v>2.5789684375987276</v>
      </c>
      <c r="U33" s="65"/>
      <c r="V33" s="65"/>
      <c r="W33" s="71">
        <f>W28/W32</f>
        <v>1.5060276521782978</v>
      </c>
      <c r="X33" s="67"/>
      <c r="Y33" s="65"/>
      <c r="Z33" s="73"/>
      <c r="AA33" s="63"/>
      <c r="AB33" s="64"/>
      <c r="AC33" s="74"/>
      <c r="AD33" s="63"/>
      <c r="AE33" s="64"/>
      <c r="AF33" s="74"/>
      <c r="AG33" s="69"/>
    </row>
    <row r="34" spans="1:33" x14ac:dyDescent="0.3">
      <c r="S34" s="6" t="s">
        <v>87</v>
      </c>
      <c r="T34" s="50">
        <f>MIN(T4:T25)</f>
        <v>-0.94</v>
      </c>
      <c r="U34" s="47"/>
      <c r="V34" s="47"/>
      <c r="W34" s="51">
        <f>MIN(W4:W25)</f>
        <v>-0.94</v>
      </c>
      <c r="X34" s="48"/>
      <c r="Y34" s="47"/>
    </row>
    <row r="35" spans="1:33" s="4" customFormat="1" x14ac:dyDescent="0.3">
      <c r="A35" s="3"/>
      <c r="C35" s="54"/>
      <c r="D35" s="54"/>
      <c r="E35" s="55"/>
      <c r="F35" s="5"/>
      <c r="G35" s="5"/>
      <c r="H35" s="56"/>
      <c r="I35" s="57"/>
      <c r="J35" s="58"/>
      <c r="K35" s="59"/>
      <c r="L35" s="60"/>
      <c r="M35" s="59"/>
      <c r="N35" s="61"/>
      <c r="O35" s="62"/>
      <c r="P35" s="61"/>
      <c r="Q35" s="62"/>
      <c r="R35" s="63"/>
      <c r="S35" s="64" t="s">
        <v>88</v>
      </c>
      <c r="T35" s="70" cm="1">
        <f t="array" ref="T35">(PRODUCT(IF(ISNUMBER(T4:T25),T4:T25+1,1)))^(1/T27)/ABS(T34)</f>
        <v>1.1850783938844984</v>
      </c>
      <c r="U35" s="65"/>
      <c r="V35" s="65"/>
      <c r="W35" s="71" cm="1">
        <f t="array" ref="W35">(PRODUCT(IF(ISNUMBER(W4:W25),W4:W25+1,1)))^(1/W27)/ABS(W34)</f>
        <v>0.86052775786455082</v>
      </c>
      <c r="X35" s="67"/>
      <c r="Y35" s="65"/>
      <c r="Z35" s="73"/>
      <c r="AA35" s="63"/>
      <c r="AB35" s="64"/>
      <c r="AC35" s="74"/>
      <c r="AD35" s="63"/>
      <c r="AE35" s="64"/>
      <c r="AF35" s="74"/>
      <c r="AG35" s="69"/>
    </row>
    <row r="36" spans="1:33" x14ac:dyDescent="0.3">
      <c r="T36" s="51"/>
      <c r="U36" s="47"/>
      <c r="V36" s="47"/>
      <c r="W36" s="52"/>
      <c r="X36" s="48"/>
      <c r="Y36" s="47"/>
    </row>
    <row r="37" spans="1:33" x14ac:dyDescent="0.3">
      <c r="T37" s="51"/>
      <c r="U37" s="47"/>
      <c r="V37" s="47"/>
      <c r="W37" s="52"/>
      <c r="X37" s="48"/>
      <c r="Y37" s="47"/>
    </row>
    <row r="38" spans="1:33" x14ac:dyDescent="0.3">
      <c r="T38" s="51"/>
      <c r="U38" s="47"/>
      <c r="V38" s="47"/>
      <c r="W38" s="52"/>
      <c r="X38" s="48"/>
      <c r="Y38" s="47"/>
    </row>
  </sheetData>
  <autoFilter ref="A3:AM25" xr:uid="{00000000-0001-0000-0000-000000000000}">
    <sortState xmlns:xlrd2="http://schemas.microsoft.com/office/spreadsheetml/2017/richdata2" ref="A4:AG25">
      <sortCondition ref="D3:D25"/>
    </sortState>
  </autoFilter>
  <mergeCells count="13">
    <mergeCell ref="X2:Z2"/>
    <mergeCell ref="AA2:AC2"/>
    <mergeCell ref="AD2:AF2"/>
    <mergeCell ref="A1:O1"/>
    <mergeCell ref="R1:AF1"/>
    <mergeCell ref="C2:E2"/>
    <mergeCell ref="F2:G2"/>
    <mergeCell ref="H2:I2"/>
    <mergeCell ref="J2:M2"/>
    <mergeCell ref="N2:O2"/>
    <mergeCell ref="P2:Q2"/>
    <mergeCell ref="R2:T2"/>
    <mergeCell ref="U2:W2"/>
  </mergeCells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A636-6AA8-4E88-8755-1F4049E6BC13}">
  <dimension ref="A1:AG42"/>
  <sheetViews>
    <sheetView workbookViewId="0">
      <pane xSplit="5" ySplit="3" topLeftCell="F4" activePane="bottomRight" state="frozen"/>
      <selection pane="topRight" activeCell="D1" sqref="D1"/>
      <selection pane="bottomLeft" activeCell="A2" sqref="A2"/>
      <selection pane="bottomRight" activeCell="V16" sqref="A16:V16"/>
    </sheetView>
  </sheetViews>
  <sheetFormatPr defaultRowHeight="14.4" outlineLevelCol="1" x14ac:dyDescent="0.3"/>
  <cols>
    <col min="1" max="1" width="17.33203125" style="1" customWidth="1"/>
    <col min="3" max="4" width="11" style="25" customWidth="1"/>
    <col min="5" max="5" width="11" style="24" bestFit="1" customWidth="1"/>
    <col min="6" max="7" width="9.88671875" style="2" customWidth="1" outlineLevel="1"/>
    <col min="8" max="8" width="9.88671875" style="15" customWidth="1" outlineLevel="1"/>
    <col min="9" max="9" width="9.88671875" style="16" customWidth="1" outlineLevel="1"/>
    <col min="10" max="10" width="6.88671875" style="17" customWidth="1" outlineLevel="1"/>
    <col min="11" max="11" width="12.33203125" style="18" customWidth="1" outlineLevel="1"/>
    <col min="12" max="12" width="6.6640625" style="19" customWidth="1" outlineLevel="1"/>
    <col min="13" max="13" width="12.109375" style="18" customWidth="1" outlineLevel="1"/>
    <col min="14" max="14" width="8.44140625" style="26" customWidth="1" outlineLevel="1"/>
    <col min="15" max="15" width="8.44140625" style="28" customWidth="1" outlineLevel="1"/>
    <col min="16" max="16" width="8.44140625" style="26" customWidth="1" outlineLevel="1"/>
    <col min="17" max="17" width="8.44140625" style="28" customWidth="1" outlineLevel="1"/>
    <col min="18" max="18" width="8.44140625" style="36" bestFit="1" customWidth="1"/>
    <col min="19" max="19" width="8.21875" style="6" customWidth="1"/>
    <col min="20" max="20" width="9.44140625" style="37" bestFit="1" customWidth="1"/>
    <col min="21" max="21" width="8.44140625" style="6" bestFit="1" customWidth="1"/>
    <col min="22" max="22" width="8.21875" style="6" bestFit="1" customWidth="1"/>
    <col min="23" max="23" width="9.44140625" style="38" bestFit="1" customWidth="1"/>
    <col min="24" max="24" width="8.44140625" style="36" bestFit="1" customWidth="1"/>
    <col min="25" max="25" width="8.21875" style="6" bestFit="1" customWidth="1"/>
    <col min="26" max="26" width="9.44140625" style="41" bestFit="1" customWidth="1"/>
    <col min="27" max="27" width="8.44140625" style="36" bestFit="1" customWidth="1"/>
    <col min="28" max="28" width="8.21875" style="6" bestFit="1" customWidth="1"/>
    <col min="29" max="29" width="9.44140625" style="38" bestFit="1" customWidth="1"/>
    <col min="30" max="30" width="8.44140625" style="36" bestFit="1" customWidth="1"/>
    <col min="31" max="31" width="8.21875" style="6" bestFit="1" customWidth="1"/>
    <col min="32" max="32" width="9.44140625" style="38" bestFit="1" customWidth="1"/>
    <col min="33" max="33" width="8.88671875" style="42"/>
  </cols>
  <sheetData>
    <row r="1" spans="1:33" ht="15" thickBot="1" x14ac:dyDescent="0.35">
      <c r="A1" s="152" t="s">
        <v>62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35"/>
      <c r="Q1" s="31"/>
      <c r="R1" s="117" t="s">
        <v>65</v>
      </c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</row>
    <row r="2" spans="1:33" s="34" customFormat="1" ht="30.6" customHeight="1" x14ac:dyDescent="0.3">
      <c r="A2" s="33"/>
      <c r="C2" s="119" t="s">
        <v>37</v>
      </c>
      <c r="D2" s="119"/>
      <c r="E2" s="119"/>
      <c r="F2" s="120" t="s">
        <v>30</v>
      </c>
      <c r="G2" s="120"/>
      <c r="H2" s="121" t="s">
        <v>31</v>
      </c>
      <c r="I2" s="122"/>
      <c r="J2" s="121" t="s">
        <v>59</v>
      </c>
      <c r="K2" s="123"/>
      <c r="L2" s="122"/>
      <c r="M2" s="123"/>
      <c r="N2" s="153" t="s">
        <v>63</v>
      </c>
      <c r="O2" s="153"/>
      <c r="P2" s="153" t="s">
        <v>64</v>
      </c>
      <c r="Q2" s="153"/>
      <c r="R2" s="154" t="s">
        <v>35</v>
      </c>
      <c r="S2" s="154"/>
      <c r="T2" s="155"/>
      <c r="U2" s="149" t="s">
        <v>69</v>
      </c>
      <c r="V2" s="150"/>
      <c r="W2" s="150"/>
      <c r="X2" s="147" t="s">
        <v>70</v>
      </c>
      <c r="Y2" s="148"/>
      <c r="Z2" s="148"/>
      <c r="AA2" s="149" t="s">
        <v>67</v>
      </c>
      <c r="AB2" s="150"/>
      <c r="AC2" s="150"/>
      <c r="AD2" s="151" t="s">
        <v>66</v>
      </c>
      <c r="AE2" s="148"/>
      <c r="AF2" s="148"/>
      <c r="AG2" s="44"/>
    </row>
    <row r="3" spans="1:33" x14ac:dyDescent="0.3">
      <c r="A3" s="1" t="s">
        <v>0</v>
      </c>
      <c r="B3" t="s">
        <v>1</v>
      </c>
      <c r="C3" s="25" t="s">
        <v>40</v>
      </c>
      <c r="D3" s="25" t="s">
        <v>41</v>
      </c>
      <c r="E3" s="24" t="s">
        <v>42</v>
      </c>
      <c r="F3" s="10" t="s">
        <v>32</v>
      </c>
      <c r="G3" s="10" t="s">
        <v>28</v>
      </c>
      <c r="H3" s="11" t="s">
        <v>33</v>
      </c>
      <c r="I3" s="12" t="s">
        <v>34</v>
      </c>
      <c r="J3" s="17" t="s">
        <v>2</v>
      </c>
      <c r="K3" s="18" t="s">
        <v>3</v>
      </c>
      <c r="L3" s="19" t="s">
        <v>4</v>
      </c>
      <c r="M3" s="18" t="s">
        <v>5</v>
      </c>
      <c r="N3" s="30" t="s">
        <v>60</v>
      </c>
      <c r="O3" s="30" t="s">
        <v>61</v>
      </c>
      <c r="P3" s="30" t="s">
        <v>60</v>
      </c>
      <c r="Q3" s="30" t="s">
        <v>61</v>
      </c>
      <c r="R3" s="9" t="s">
        <v>68</v>
      </c>
      <c r="S3" s="8" t="s">
        <v>36</v>
      </c>
      <c r="T3" s="23" t="s">
        <v>27</v>
      </c>
      <c r="U3" s="9" t="s">
        <v>68</v>
      </c>
      <c r="V3" s="8" t="s">
        <v>36</v>
      </c>
      <c r="W3" s="32" t="s">
        <v>27</v>
      </c>
      <c r="X3" s="9" t="s">
        <v>68</v>
      </c>
      <c r="Y3" s="8" t="s">
        <v>36</v>
      </c>
      <c r="Z3" s="12" t="s">
        <v>27</v>
      </c>
      <c r="AA3" s="9" t="s">
        <v>68</v>
      </c>
      <c r="AB3" s="8" t="s">
        <v>36</v>
      </c>
      <c r="AC3" s="32" t="s">
        <v>27</v>
      </c>
      <c r="AD3" s="9" t="s">
        <v>68</v>
      </c>
      <c r="AE3" s="8" t="s">
        <v>36</v>
      </c>
      <c r="AF3" s="32" t="s">
        <v>27</v>
      </c>
    </row>
    <row r="4" spans="1:33" x14ac:dyDescent="0.3">
      <c r="A4" s="1" t="s">
        <v>29</v>
      </c>
      <c r="B4" t="s">
        <v>10</v>
      </c>
      <c r="C4" s="25">
        <v>45413</v>
      </c>
      <c r="D4" s="25">
        <v>45444</v>
      </c>
      <c r="E4" s="24">
        <v>37.125</v>
      </c>
      <c r="F4" s="2">
        <v>0.158707832059029</v>
      </c>
      <c r="G4" s="2">
        <v>-8.2200264529681696E-2</v>
      </c>
      <c r="H4" s="15">
        <v>0.15151515151515099</v>
      </c>
      <c r="I4" s="16">
        <v>0.12619532318629001</v>
      </c>
      <c r="J4" s="17">
        <v>0.34868686046664499</v>
      </c>
      <c r="K4" s="18">
        <v>57</v>
      </c>
      <c r="L4" s="19">
        <v>-0.124848439637258</v>
      </c>
      <c r="M4" s="18">
        <v>14</v>
      </c>
      <c r="N4" s="26">
        <v>13</v>
      </c>
      <c r="P4" s="26">
        <v>14</v>
      </c>
      <c r="R4" s="36">
        <v>7</v>
      </c>
      <c r="S4" s="6" t="s">
        <v>8</v>
      </c>
      <c r="T4" s="37">
        <v>0.35949999999999999</v>
      </c>
      <c r="U4" s="39">
        <f t="shared" ref="U4:U32" si="0">O4</f>
        <v>0</v>
      </c>
      <c r="V4" s="6" t="s">
        <v>6</v>
      </c>
      <c r="W4" s="38" t="s">
        <v>6</v>
      </c>
      <c r="X4" s="43">
        <f>N4</f>
        <v>13</v>
      </c>
      <c r="Y4" s="6" t="s">
        <v>8</v>
      </c>
      <c r="Z4" s="41">
        <v>0.50449999999999995</v>
      </c>
      <c r="AA4" s="43">
        <f>Q4</f>
        <v>0</v>
      </c>
      <c r="AB4" s="6" t="s">
        <v>6</v>
      </c>
      <c r="AC4" s="38" t="s">
        <v>6</v>
      </c>
      <c r="AD4" s="43">
        <f>P4</f>
        <v>14</v>
      </c>
      <c r="AE4" s="6" t="s">
        <v>8</v>
      </c>
      <c r="AF4" s="38">
        <v>0.54110000000000003</v>
      </c>
    </row>
    <row r="5" spans="1:33" x14ac:dyDescent="0.3">
      <c r="A5" s="1" t="s">
        <v>29</v>
      </c>
      <c r="B5" t="s">
        <v>39</v>
      </c>
      <c r="C5" s="25">
        <v>45413</v>
      </c>
      <c r="D5" s="25">
        <v>45444</v>
      </c>
      <c r="E5" s="24">
        <v>17.045000076293899</v>
      </c>
      <c r="F5" s="2">
        <v>0.73928568821954299</v>
      </c>
      <c r="G5" s="2">
        <v>0.35063393271487597</v>
      </c>
      <c r="H5" s="15">
        <v>0.466705772255748</v>
      </c>
      <c r="I5" s="16">
        <v>4.9574614817967197E-2</v>
      </c>
      <c r="J5" s="17">
        <v>0.78938104215201199</v>
      </c>
      <c r="K5" s="18">
        <v>70</v>
      </c>
      <c r="L5" s="19">
        <v>-0.25198005614956798</v>
      </c>
      <c r="M5" s="18">
        <v>15</v>
      </c>
      <c r="N5" s="26">
        <v>11</v>
      </c>
      <c r="O5" s="28">
        <v>14</v>
      </c>
      <c r="P5" s="26">
        <v>11</v>
      </c>
      <c r="Q5" s="28">
        <v>14</v>
      </c>
      <c r="R5" s="36">
        <v>7</v>
      </c>
      <c r="S5" s="6" t="s">
        <v>8</v>
      </c>
      <c r="T5" s="37">
        <v>0.80200000000000005</v>
      </c>
      <c r="U5" s="39">
        <f t="shared" si="0"/>
        <v>14</v>
      </c>
      <c r="V5" s="6" t="s">
        <v>8</v>
      </c>
      <c r="W5" s="38">
        <v>1.319</v>
      </c>
      <c r="X5" s="43">
        <f>N5</f>
        <v>11</v>
      </c>
      <c r="Y5" s="6" t="s">
        <v>8</v>
      </c>
      <c r="Z5" s="41">
        <v>1.319</v>
      </c>
      <c r="AA5" s="43">
        <f>Q5</f>
        <v>14</v>
      </c>
      <c r="AB5" s="6" t="s">
        <v>8</v>
      </c>
      <c r="AC5" s="38">
        <v>1.319</v>
      </c>
      <c r="AD5" s="43">
        <f>P5</f>
        <v>11</v>
      </c>
      <c r="AE5" s="6" t="s">
        <v>8</v>
      </c>
      <c r="AF5" s="41">
        <v>1.319</v>
      </c>
    </row>
    <row r="6" spans="1:33" x14ac:dyDescent="0.3">
      <c r="A6" s="1" t="s">
        <v>29</v>
      </c>
      <c r="B6" t="s">
        <v>48</v>
      </c>
      <c r="C6" s="25">
        <v>45413</v>
      </c>
      <c r="D6" s="25">
        <v>45444</v>
      </c>
      <c r="E6" s="24">
        <v>10.844999790191601</v>
      </c>
      <c r="F6" s="2">
        <v>-0.18519913987320699</v>
      </c>
      <c r="G6" s="2">
        <v>3.28571228753953E-2</v>
      </c>
      <c r="H6" s="15">
        <v>1.0603988029518299E-2</v>
      </c>
      <c r="I6" s="16">
        <v>-0.16274780088809901</v>
      </c>
      <c r="J6" s="17">
        <v>0.61456897811266797</v>
      </c>
      <c r="K6" s="18">
        <v>32</v>
      </c>
      <c r="L6" s="19">
        <v>-0.28630706123956601</v>
      </c>
      <c r="M6" s="18">
        <v>23</v>
      </c>
      <c r="N6" s="26">
        <v>8</v>
      </c>
      <c r="O6" s="28">
        <v>19</v>
      </c>
      <c r="P6" s="26">
        <v>15</v>
      </c>
      <c r="Q6" s="28">
        <v>22</v>
      </c>
      <c r="R6" s="36">
        <v>7</v>
      </c>
      <c r="S6" s="6" t="s">
        <v>8</v>
      </c>
      <c r="T6" s="37">
        <v>0.72509999999999997</v>
      </c>
      <c r="U6" s="39">
        <f t="shared" si="0"/>
        <v>19</v>
      </c>
      <c r="V6" s="6" t="s">
        <v>8</v>
      </c>
      <c r="W6" s="38">
        <v>0.6</v>
      </c>
      <c r="X6" s="43">
        <f>N6</f>
        <v>8</v>
      </c>
      <c r="Y6" s="6" t="s">
        <v>8</v>
      </c>
      <c r="Z6" s="40">
        <v>0.72509999999999997</v>
      </c>
      <c r="AA6" s="43">
        <f>Q6</f>
        <v>22</v>
      </c>
      <c r="AB6" s="6" t="s">
        <v>8</v>
      </c>
      <c r="AC6" s="38">
        <v>0.65</v>
      </c>
      <c r="AD6" s="43">
        <f>P6</f>
        <v>15</v>
      </c>
      <c r="AE6" s="6" t="s">
        <v>8</v>
      </c>
      <c r="AF6" s="40">
        <v>0.9</v>
      </c>
    </row>
    <row r="7" spans="1:33" x14ac:dyDescent="0.3">
      <c r="A7" s="1" t="s">
        <v>29</v>
      </c>
      <c r="B7" t="s">
        <v>51</v>
      </c>
      <c r="C7" s="25">
        <v>45444</v>
      </c>
      <c r="D7" s="25">
        <v>45474</v>
      </c>
      <c r="E7" s="24">
        <v>18.459999084472599</v>
      </c>
      <c r="F7" s="2">
        <v>0.24898507564192501</v>
      </c>
      <c r="G7" s="2">
        <v>0.15374994277954099</v>
      </c>
      <c r="H7" s="15">
        <v>0.38678232129506201</v>
      </c>
      <c r="I7" s="16">
        <v>0.65222110036043202</v>
      </c>
      <c r="J7" s="17">
        <v>0.65492961821201801</v>
      </c>
      <c r="K7" s="18">
        <v>149</v>
      </c>
      <c r="L7" s="19">
        <v>0</v>
      </c>
      <c r="M7" s="18">
        <v>0</v>
      </c>
      <c r="R7" s="36">
        <v>7</v>
      </c>
      <c r="S7" s="6" t="s">
        <v>8</v>
      </c>
      <c r="T7" s="37">
        <v>0.60540000000000005</v>
      </c>
      <c r="U7" s="39">
        <f t="shared" si="0"/>
        <v>0</v>
      </c>
      <c r="V7" s="6" t="s">
        <v>6</v>
      </c>
      <c r="W7" s="38" t="s">
        <v>6</v>
      </c>
      <c r="X7" s="43" t="s">
        <v>6</v>
      </c>
      <c r="Y7" s="6" t="s">
        <v>6</v>
      </c>
      <c r="Z7" s="41" t="s">
        <v>6</v>
      </c>
      <c r="AA7" s="43" t="s">
        <v>6</v>
      </c>
      <c r="AB7" s="6" t="s">
        <v>6</v>
      </c>
      <c r="AC7" s="38" t="s">
        <v>6</v>
      </c>
      <c r="AD7" s="43" t="s">
        <v>6</v>
      </c>
      <c r="AE7" s="6" t="s">
        <v>6</v>
      </c>
      <c r="AF7" s="38" t="s">
        <v>6</v>
      </c>
    </row>
    <row r="8" spans="1:33" x14ac:dyDescent="0.3">
      <c r="A8" s="1" t="s">
        <v>29</v>
      </c>
      <c r="B8" t="s">
        <v>9</v>
      </c>
      <c r="C8" s="25">
        <v>45444</v>
      </c>
      <c r="D8" s="25">
        <v>45474</v>
      </c>
      <c r="E8" s="24">
        <v>27.059999465942301</v>
      </c>
      <c r="F8" s="2">
        <v>-0.37201208238294198</v>
      </c>
      <c r="G8" s="2">
        <v>-3.2534854120558399E-2</v>
      </c>
      <c r="H8" s="15">
        <v>-0.36363637645198299</v>
      </c>
      <c r="I8" s="16">
        <v>-0.84331116575022003</v>
      </c>
      <c r="J8" s="17">
        <v>0.18588325151211599</v>
      </c>
      <c r="K8" s="18">
        <v>48</v>
      </c>
      <c r="L8" s="19">
        <v>-0.85809312675699301</v>
      </c>
      <c r="M8" s="18">
        <v>148</v>
      </c>
      <c r="N8" s="26">
        <v>5</v>
      </c>
      <c r="O8" s="28">
        <v>23</v>
      </c>
      <c r="P8" s="26">
        <v>21</v>
      </c>
      <c r="Q8" s="28">
        <v>25</v>
      </c>
      <c r="R8" s="36">
        <v>7</v>
      </c>
      <c r="S8" s="6" t="s">
        <v>8</v>
      </c>
      <c r="T8" s="37">
        <v>0.26400000000000001</v>
      </c>
      <c r="U8" s="39">
        <f t="shared" si="0"/>
        <v>23</v>
      </c>
      <c r="V8" s="6" t="s">
        <v>8</v>
      </c>
      <c r="W8" s="38">
        <v>0.51400000000000001</v>
      </c>
      <c r="X8" s="43">
        <f t="shared" ref="X8:X32" si="1">N8</f>
        <v>5</v>
      </c>
      <c r="Y8" s="6" t="s">
        <v>8</v>
      </c>
      <c r="Z8" s="41">
        <v>0.51400000000000001</v>
      </c>
      <c r="AA8" s="43">
        <f t="shared" ref="AA8:AA32" si="2">Q8</f>
        <v>25</v>
      </c>
      <c r="AB8" s="6" t="s">
        <v>8</v>
      </c>
      <c r="AC8" s="38">
        <v>0.60799999999999998</v>
      </c>
      <c r="AD8" s="43">
        <f t="shared" ref="AD8:AD19" si="3">P8</f>
        <v>21</v>
      </c>
      <c r="AE8" s="6" t="s">
        <v>8</v>
      </c>
      <c r="AF8" s="38">
        <v>0.40600000000000003</v>
      </c>
    </row>
    <row r="9" spans="1:33" x14ac:dyDescent="0.3">
      <c r="A9" s="1" t="s">
        <v>29</v>
      </c>
      <c r="B9" t="s">
        <v>20</v>
      </c>
      <c r="C9" s="25">
        <v>45474</v>
      </c>
      <c r="D9" s="25">
        <v>45505</v>
      </c>
      <c r="E9" s="24">
        <v>11.198848724365201</v>
      </c>
      <c r="F9" s="2">
        <v>-0.41970780123114698</v>
      </c>
      <c r="G9" s="2">
        <v>0.23202251935847401</v>
      </c>
      <c r="H9" s="15">
        <v>-0.20788439325260499</v>
      </c>
      <c r="I9" s="16">
        <v>-0.47357714195981798</v>
      </c>
      <c r="J9" s="17">
        <v>0.194135679567913</v>
      </c>
      <c r="K9" s="18">
        <v>88</v>
      </c>
      <c r="L9" s="19">
        <v>-0.47357714195981798</v>
      </c>
      <c r="M9" s="18">
        <v>150</v>
      </c>
      <c r="N9" s="26">
        <v>2</v>
      </c>
      <c r="O9" s="28">
        <v>59</v>
      </c>
      <c r="P9" s="26">
        <v>64</v>
      </c>
      <c r="Q9" s="28">
        <v>148</v>
      </c>
      <c r="R9" s="36">
        <v>7</v>
      </c>
      <c r="S9" s="6" t="s">
        <v>8</v>
      </c>
      <c r="T9" s="37">
        <v>0.42549999999999999</v>
      </c>
      <c r="U9" s="39">
        <f t="shared" si="0"/>
        <v>59</v>
      </c>
      <c r="V9" s="6" t="s">
        <v>8</v>
      </c>
      <c r="W9" s="38">
        <v>0.52390000000000003</v>
      </c>
      <c r="X9" s="43">
        <f t="shared" si="1"/>
        <v>2</v>
      </c>
      <c r="Y9" s="6" t="s">
        <v>8</v>
      </c>
      <c r="Z9" s="40">
        <v>0.42549999999999999</v>
      </c>
      <c r="AA9" s="43">
        <f t="shared" si="2"/>
        <v>148</v>
      </c>
      <c r="AB9" s="6" t="s">
        <v>6</v>
      </c>
      <c r="AC9" s="38" t="s">
        <v>6</v>
      </c>
      <c r="AD9" s="43">
        <f t="shared" si="3"/>
        <v>64</v>
      </c>
      <c r="AE9" s="6" t="s">
        <v>8</v>
      </c>
      <c r="AF9" s="38">
        <v>0.60780000000000001</v>
      </c>
    </row>
    <row r="10" spans="1:33" x14ac:dyDescent="0.3">
      <c r="A10" s="1" t="s">
        <v>29</v>
      </c>
      <c r="B10" t="s">
        <v>44</v>
      </c>
      <c r="C10" s="25">
        <v>45505</v>
      </c>
      <c r="D10" s="25">
        <v>45536</v>
      </c>
      <c r="E10" s="24">
        <v>167.38000488281199</v>
      </c>
      <c r="F10" s="2">
        <v>-0.130448334426606</v>
      </c>
      <c r="G10" s="2">
        <v>-0.104392929373173</v>
      </c>
      <c r="H10" s="15">
        <v>3.1305951018723202E-2</v>
      </c>
      <c r="I10" s="16">
        <v>-3.9192241410116603E-2</v>
      </c>
      <c r="J10" s="17">
        <v>0.11273745110952101</v>
      </c>
      <c r="K10" s="18">
        <v>111</v>
      </c>
      <c r="L10" s="19">
        <v>-0.18395272820358</v>
      </c>
      <c r="M10" s="18">
        <v>147</v>
      </c>
      <c r="N10" s="26">
        <v>22</v>
      </c>
      <c r="P10" s="26">
        <v>50</v>
      </c>
      <c r="R10" s="36">
        <v>7</v>
      </c>
      <c r="S10" s="6" t="s">
        <v>8</v>
      </c>
      <c r="T10" s="37">
        <v>0.14399999999999999</v>
      </c>
      <c r="U10" s="39">
        <f t="shared" si="0"/>
        <v>0</v>
      </c>
      <c r="V10" s="6" t="s">
        <v>6</v>
      </c>
      <c r="W10" s="38" t="s">
        <v>6</v>
      </c>
      <c r="X10" s="43">
        <f t="shared" si="1"/>
        <v>22</v>
      </c>
      <c r="Y10" s="6" t="s">
        <v>8</v>
      </c>
      <c r="Z10" s="41">
        <v>0.2374</v>
      </c>
      <c r="AA10" s="43">
        <f t="shared" si="2"/>
        <v>0</v>
      </c>
      <c r="AB10" s="6" t="s">
        <v>6</v>
      </c>
      <c r="AC10" s="38" t="s">
        <v>6</v>
      </c>
      <c r="AD10" s="43">
        <f t="shared" si="3"/>
        <v>50</v>
      </c>
      <c r="AE10" s="6" t="s">
        <v>8</v>
      </c>
      <c r="AF10" s="38">
        <v>0.28299999999999997</v>
      </c>
    </row>
    <row r="11" spans="1:33" x14ac:dyDescent="0.3">
      <c r="A11" s="1" t="s">
        <v>29</v>
      </c>
      <c r="B11" t="s">
        <v>26</v>
      </c>
      <c r="C11" s="25">
        <v>45505</v>
      </c>
      <c r="D11" s="25">
        <v>45536</v>
      </c>
      <c r="E11" s="24">
        <v>5.04500007629394</v>
      </c>
      <c r="F11" s="2">
        <v>-0.55248737357608801</v>
      </c>
      <c r="G11" s="2">
        <v>-0.37716051374079701</v>
      </c>
      <c r="H11" s="15">
        <v>-7.0366702419213695E-2</v>
      </c>
      <c r="I11" s="16">
        <v>-0.21506442452702801</v>
      </c>
      <c r="J11" s="17">
        <v>0.201189266825782</v>
      </c>
      <c r="K11" s="18">
        <v>28</v>
      </c>
      <c r="L11" s="19">
        <v>-0.38156593887486401</v>
      </c>
      <c r="M11" s="18">
        <v>131</v>
      </c>
      <c r="N11" s="26">
        <v>3</v>
      </c>
      <c r="O11" s="28">
        <v>14</v>
      </c>
      <c r="P11" s="26">
        <v>104</v>
      </c>
      <c r="Q11" s="28">
        <v>131</v>
      </c>
      <c r="R11" s="36">
        <v>7</v>
      </c>
      <c r="S11" s="6" t="s">
        <v>8</v>
      </c>
      <c r="T11" s="37">
        <v>0.5</v>
      </c>
      <c r="U11" s="39">
        <f t="shared" si="0"/>
        <v>14</v>
      </c>
      <c r="V11" s="6" t="s">
        <v>8</v>
      </c>
      <c r="W11" s="38">
        <v>0.35</v>
      </c>
      <c r="X11" s="43">
        <f t="shared" si="1"/>
        <v>3</v>
      </c>
      <c r="Y11" s="6" t="s">
        <v>8</v>
      </c>
      <c r="Z11" s="41">
        <v>0.5</v>
      </c>
      <c r="AA11" s="43">
        <f t="shared" si="2"/>
        <v>131</v>
      </c>
      <c r="AB11" s="6" t="s">
        <v>8</v>
      </c>
      <c r="AC11" s="38">
        <v>0.25</v>
      </c>
      <c r="AD11" s="43">
        <f t="shared" si="3"/>
        <v>104</v>
      </c>
      <c r="AE11" s="6" t="s">
        <v>8</v>
      </c>
      <c r="AF11" s="41">
        <v>0.3861</v>
      </c>
    </row>
    <row r="12" spans="1:33" x14ac:dyDescent="0.3">
      <c r="A12" s="1" t="s">
        <v>29</v>
      </c>
      <c r="B12" t="s">
        <v>47</v>
      </c>
      <c r="C12" s="25">
        <v>45505</v>
      </c>
      <c r="D12" s="25">
        <v>45536</v>
      </c>
      <c r="E12" s="24">
        <v>4.6564192771911603</v>
      </c>
      <c r="F12" s="2">
        <v>-0.118568912961241</v>
      </c>
      <c r="G12" s="2">
        <v>-0.22299385331503199</v>
      </c>
      <c r="H12" s="15">
        <v>-0.325183592912765</v>
      </c>
      <c r="I12" s="16">
        <v>-0.223759497866868</v>
      </c>
      <c r="J12" s="17">
        <v>0.20268966830134499</v>
      </c>
      <c r="K12" s="18">
        <v>46</v>
      </c>
      <c r="L12" s="19">
        <v>-0.387093315572339</v>
      </c>
      <c r="M12" s="18">
        <v>82</v>
      </c>
      <c r="N12" s="26">
        <v>6</v>
      </c>
      <c r="O12" s="28">
        <v>71</v>
      </c>
      <c r="P12" s="26">
        <v>70</v>
      </c>
      <c r="Q12" s="28">
        <v>73</v>
      </c>
      <c r="R12" s="36">
        <v>7</v>
      </c>
      <c r="S12" s="6" t="s">
        <v>8</v>
      </c>
      <c r="T12" s="37">
        <v>0.31900000000000001</v>
      </c>
      <c r="U12" s="39">
        <f t="shared" si="0"/>
        <v>71</v>
      </c>
      <c r="V12" s="6" t="s">
        <v>8</v>
      </c>
      <c r="W12" s="38">
        <v>0.38500000000000001</v>
      </c>
      <c r="X12" s="43">
        <f t="shared" si="1"/>
        <v>6</v>
      </c>
      <c r="Y12" s="6" t="s">
        <v>8</v>
      </c>
      <c r="Z12" s="40">
        <v>0.31900000000000001</v>
      </c>
      <c r="AA12" s="43">
        <f t="shared" si="2"/>
        <v>73</v>
      </c>
      <c r="AB12" s="6" t="s">
        <v>8</v>
      </c>
      <c r="AC12" s="38">
        <v>0.50729999999999997</v>
      </c>
      <c r="AD12" s="43">
        <f t="shared" si="3"/>
        <v>70</v>
      </c>
      <c r="AE12" s="6" t="s">
        <v>8</v>
      </c>
      <c r="AF12" s="38">
        <v>0.35370000000000001</v>
      </c>
    </row>
    <row r="13" spans="1:33" x14ac:dyDescent="0.3">
      <c r="A13" s="1" t="s">
        <v>29</v>
      </c>
      <c r="B13" t="s">
        <v>57</v>
      </c>
      <c r="C13" s="25">
        <v>45505</v>
      </c>
      <c r="D13" s="25">
        <v>45536</v>
      </c>
      <c r="E13" s="24">
        <v>18.134930610656699</v>
      </c>
      <c r="F13" s="2">
        <v>0.16522219910060901</v>
      </c>
      <c r="G13" s="2">
        <v>0.129957327974907</v>
      </c>
      <c r="H13" s="15">
        <v>0.21270068715823501</v>
      </c>
      <c r="I13" s="16">
        <v>-0.31986795438521698</v>
      </c>
      <c r="J13" s="17">
        <v>0.46777659671643401</v>
      </c>
      <c r="K13" s="18">
        <v>102</v>
      </c>
      <c r="L13" s="19">
        <v>-0.46662755544018902</v>
      </c>
      <c r="M13" s="18">
        <v>149</v>
      </c>
      <c r="N13" s="26">
        <v>37</v>
      </c>
      <c r="O13" s="28">
        <v>146</v>
      </c>
      <c r="P13" s="26">
        <v>146</v>
      </c>
      <c r="Q13" s="28">
        <v>146</v>
      </c>
      <c r="R13" s="36">
        <v>7</v>
      </c>
      <c r="S13" s="6" t="s">
        <v>8</v>
      </c>
      <c r="T13" s="37">
        <v>0.56799999999999995</v>
      </c>
      <c r="U13" s="39">
        <f t="shared" si="0"/>
        <v>146</v>
      </c>
      <c r="V13" s="6" t="s">
        <v>6</v>
      </c>
      <c r="W13" s="38" t="s">
        <v>6</v>
      </c>
      <c r="X13" s="43">
        <f t="shared" si="1"/>
        <v>37</v>
      </c>
      <c r="Y13" s="6" t="s">
        <v>8</v>
      </c>
      <c r="Z13" s="41">
        <v>0.63200000000000001</v>
      </c>
      <c r="AA13" s="43">
        <f t="shared" si="2"/>
        <v>146</v>
      </c>
      <c r="AB13" s="6" t="s">
        <v>6</v>
      </c>
      <c r="AC13" s="38" t="s">
        <v>6</v>
      </c>
      <c r="AD13" s="43">
        <f t="shared" si="3"/>
        <v>146</v>
      </c>
      <c r="AE13" s="6" t="s">
        <v>6</v>
      </c>
      <c r="AF13" s="41" t="s">
        <v>6</v>
      </c>
    </row>
    <row r="14" spans="1:33" x14ac:dyDescent="0.3">
      <c r="A14" s="1" t="s">
        <v>29</v>
      </c>
      <c r="B14" t="s">
        <v>53</v>
      </c>
      <c r="C14" s="25">
        <v>45536</v>
      </c>
      <c r="D14" s="25">
        <v>45566</v>
      </c>
      <c r="E14" s="24">
        <v>37.889999389648402</v>
      </c>
      <c r="F14" s="2">
        <v>0.324362061563159</v>
      </c>
      <c r="G14" s="2">
        <v>1.36436144184124E-2</v>
      </c>
      <c r="H14" s="15">
        <v>0.15017161607452401</v>
      </c>
      <c r="I14" s="16">
        <v>0.21483239695887299</v>
      </c>
      <c r="J14" s="17">
        <v>0.35814198768584699</v>
      </c>
      <c r="K14" s="18">
        <v>146</v>
      </c>
      <c r="L14" s="19">
        <v>-0.14621274755261299</v>
      </c>
      <c r="M14" s="18">
        <v>22</v>
      </c>
      <c r="N14" s="26">
        <v>16</v>
      </c>
      <c r="R14" s="36">
        <v>7</v>
      </c>
      <c r="S14" s="6" t="s">
        <v>8</v>
      </c>
      <c r="T14" s="37">
        <v>0.45200000000000001</v>
      </c>
      <c r="U14" s="39">
        <f t="shared" si="0"/>
        <v>0</v>
      </c>
      <c r="V14" s="6" t="s">
        <v>6</v>
      </c>
      <c r="W14" s="41" t="s">
        <v>6</v>
      </c>
      <c r="X14" s="43">
        <f t="shared" si="1"/>
        <v>16</v>
      </c>
      <c r="Y14" s="6" t="s">
        <v>8</v>
      </c>
      <c r="Z14" s="41">
        <v>0.52249999999999996</v>
      </c>
      <c r="AA14" s="43">
        <f t="shared" si="2"/>
        <v>0</v>
      </c>
      <c r="AB14" s="6" t="s">
        <v>6</v>
      </c>
      <c r="AC14" s="38" t="s">
        <v>6</v>
      </c>
      <c r="AD14" s="43">
        <f t="shared" si="3"/>
        <v>0</v>
      </c>
      <c r="AE14" s="6" t="s">
        <v>6</v>
      </c>
      <c r="AF14" s="38" t="s">
        <v>6</v>
      </c>
    </row>
    <row r="15" spans="1:33" x14ac:dyDescent="0.3">
      <c r="A15" s="1" t="s">
        <v>29</v>
      </c>
      <c r="B15" t="s">
        <v>14</v>
      </c>
      <c r="C15" s="25">
        <v>45536</v>
      </c>
      <c r="D15" s="25">
        <v>45566</v>
      </c>
      <c r="E15" s="24">
        <v>2.8099999427795401</v>
      </c>
      <c r="F15" s="2">
        <v>0.37073171128835197</v>
      </c>
      <c r="G15" s="2">
        <v>-0.242587624289339</v>
      </c>
      <c r="H15" s="15">
        <v>-0.23131667978110301</v>
      </c>
      <c r="I15" s="16">
        <v>0.46975096033478297</v>
      </c>
      <c r="J15" s="17">
        <v>1.32028473796949</v>
      </c>
      <c r="K15" s="18">
        <v>92</v>
      </c>
      <c r="L15" s="19">
        <v>-0.56939499544968297</v>
      </c>
      <c r="M15" s="18">
        <v>35</v>
      </c>
      <c r="N15" s="26">
        <v>27</v>
      </c>
      <c r="O15" s="28">
        <v>27</v>
      </c>
      <c r="P15" s="26">
        <v>27</v>
      </c>
      <c r="Q15" s="28">
        <v>27</v>
      </c>
      <c r="R15" s="36">
        <v>7</v>
      </c>
      <c r="S15" s="6" t="s">
        <v>8</v>
      </c>
      <c r="T15" s="37">
        <v>1.2030000000000001</v>
      </c>
      <c r="U15" s="39">
        <f t="shared" si="0"/>
        <v>27</v>
      </c>
      <c r="V15" s="6" t="s">
        <v>8</v>
      </c>
      <c r="W15" s="45">
        <v>2.31</v>
      </c>
      <c r="X15" s="43">
        <f t="shared" si="1"/>
        <v>27</v>
      </c>
      <c r="Y15" s="6" t="s">
        <v>8</v>
      </c>
      <c r="Z15" s="45">
        <v>2.31</v>
      </c>
      <c r="AA15" s="43">
        <f t="shared" si="2"/>
        <v>27</v>
      </c>
      <c r="AB15" s="6" t="s">
        <v>8</v>
      </c>
      <c r="AC15" s="38">
        <v>2.31</v>
      </c>
      <c r="AD15" s="43">
        <f t="shared" si="3"/>
        <v>27</v>
      </c>
      <c r="AE15" s="6" t="s">
        <v>8</v>
      </c>
      <c r="AF15" s="38">
        <v>2.31</v>
      </c>
    </row>
    <row r="16" spans="1:33" x14ac:dyDescent="0.3">
      <c r="A16" s="1" t="s">
        <v>29</v>
      </c>
      <c r="B16" t="s">
        <v>15</v>
      </c>
      <c r="C16" s="25">
        <v>45566</v>
      </c>
      <c r="D16" s="25">
        <v>45597</v>
      </c>
      <c r="E16" s="24">
        <v>6.3299999237060502</v>
      </c>
      <c r="F16" s="2">
        <v>0.35250915174318598</v>
      </c>
      <c r="G16" s="2">
        <v>0.198863574275467</v>
      </c>
      <c r="H16" s="15">
        <v>-0.50868879422118496</v>
      </c>
      <c r="I16" s="16">
        <v>-0.48815165109199399</v>
      </c>
      <c r="J16" s="17">
        <v>1.57981500827264E-3</v>
      </c>
      <c r="K16" s="18">
        <v>3</v>
      </c>
      <c r="L16" s="19">
        <v>-0.64139020406220004</v>
      </c>
      <c r="M16" s="18">
        <v>110</v>
      </c>
      <c r="N16" s="26">
        <v>14</v>
      </c>
      <c r="O16" s="28">
        <v>14</v>
      </c>
      <c r="P16" s="26">
        <v>14</v>
      </c>
      <c r="Q16" s="28">
        <v>15</v>
      </c>
      <c r="R16" s="36">
        <v>7</v>
      </c>
      <c r="S16" s="6" t="s">
        <v>71</v>
      </c>
      <c r="T16" s="37">
        <v>-0.61499999999999999</v>
      </c>
      <c r="U16" s="39">
        <f t="shared" si="0"/>
        <v>14</v>
      </c>
      <c r="V16" s="6" t="s">
        <v>71</v>
      </c>
      <c r="W16" s="38">
        <v>-0.5423</v>
      </c>
      <c r="X16" s="43">
        <f t="shared" si="1"/>
        <v>14</v>
      </c>
      <c r="Y16" s="6" t="s">
        <v>71</v>
      </c>
      <c r="Z16" s="38">
        <v>-0.5423</v>
      </c>
      <c r="AA16" s="43">
        <f t="shared" si="2"/>
        <v>15</v>
      </c>
      <c r="AB16" s="6" t="s">
        <v>71</v>
      </c>
      <c r="AC16" s="38">
        <v>-0.5423</v>
      </c>
      <c r="AD16" s="43">
        <f t="shared" si="3"/>
        <v>14</v>
      </c>
      <c r="AE16" s="6" t="s">
        <v>71</v>
      </c>
      <c r="AF16" s="38">
        <v>-0.5423</v>
      </c>
    </row>
    <row r="17" spans="1:32" x14ac:dyDescent="0.3">
      <c r="A17" s="1" t="s">
        <v>29</v>
      </c>
      <c r="B17" t="s">
        <v>54</v>
      </c>
      <c r="C17" s="25">
        <v>45627</v>
      </c>
      <c r="D17" s="25">
        <v>45658</v>
      </c>
      <c r="E17" s="24">
        <v>19.675000190734799</v>
      </c>
      <c r="F17" s="2">
        <v>-0.115730328506298</v>
      </c>
      <c r="G17" s="2">
        <v>0.26608753146925701</v>
      </c>
      <c r="H17" s="15">
        <v>-0.44040660116148</v>
      </c>
      <c r="I17" s="16">
        <v>-0.234053390153418</v>
      </c>
      <c r="J17" s="17">
        <v>0.26658194839708299</v>
      </c>
      <c r="K17" s="18">
        <v>11</v>
      </c>
      <c r="L17" s="19">
        <v>-0.53494284473556997</v>
      </c>
      <c r="M17" s="18">
        <v>65</v>
      </c>
      <c r="N17" s="26">
        <v>18</v>
      </c>
      <c r="O17" s="28">
        <v>35</v>
      </c>
      <c r="P17" s="26">
        <v>18</v>
      </c>
      <c r="Q17" s="28">
        <v>24</v>
      </c>
      <c r="R17" s="36">
        <v>7</v>
      </c>
      <c r="S17" s="6" t="s">
        <v>71</v>
      </c>
      <c r="T17" s="37">
        <v>-0.55800000000000005</v>
      </c>
      <c r="U17" s="39">
        <f t="shared" si="0"/>
        <v>35</v>
      </c>
      <c r="V17" s="6" t="s">
        <v>8</v>
      </c>
      <c r="W17" s="38">
        <v>0.2147</v>
      </c>
      <c r="X17" s="43">
        <f t="shared" si="1"/>
        <v>18</v>
      </c>
      <c r="Y17" s="6" t="s">
        <v>71</v>
      </c>
      <c r="Z17" s="41">
        <v>-0.1</v>
      </c>
      <c r="AA17" s="43">
        <f t="shared" si="2"/>
        <v>24</v>
      </c>
      <c r="AB17" s="6" t="s">
        <v>71</v>
      </c>
      <c r="AC17" s="38">
        <v>0</v>
      </c>
      <c r="AD17" s="43">
        <f t="shared" si="3"/>
        <v>18</v>
      </c>
      <c r="AE17" s="6" t="s">
        <v>71</v>
      </c>
      <c r="AF17" s="38">
        <v>-0.1</v>
      </c>
    </row>
    <row r="18" spans="1:32" x14ac:dyDescent="0.3">
      <c r="A18" s="1" t="s">
        <v>29</v>
      </c>
      <c r="B18" t="s">
        <v>24</v>
      </c>
      <c r="C18" s="25">
        <v>45627</v>
      </c>
      <c r="D18" s="25">
        <v>45658</v>
      </c>
      <c r="E18" s="24">
        <v>11.0050001144409</v>
      </c>
      <c r="F18" s="2">
        <v>-0.32773368660643998</v>
      </c>
      <c r="G18" s="2">
        <v>-3.6339751232971299E-2</v>
      </c>
      <c r="H18" s="15">
        <v>-0.27487506259977001</v>
      </c>
      <c r="I18" s="16">
        <v>-0.34666061040875001</v>
      </c>
      <c r="J18" s="17">
        <v>0.142208047624614</v>
      </c>
      <c r="K18" s="18">
        <v>2</v>
      </c>
      <c r="L18" s="19">
        <v>-0.34666061040875001</v>
      </c>
      <c r="M18" s="18">
        <v>150</v>
      </c>
      <c r="N18" s="26">
        <v>39</v>
      </c>
      <c r="O18" s="28">
        <v>47</v>
      </c>
      <c r="P18" s="26">
        <v>36</v>
      </c>
      <c r="Q18" s="28">
        <v>45</v>
      </c>
      <c r="R18" s="36">
        <v>7</v>
      </c>
      <c r="S18" s="6" t="s">
        <v>71</v>
      </c>
      <c r="T18" s="37">
        <v>-0.36599999999999999</v>
      </c>
      <c r="U18" s="39">
        <f t="shared" si="0"/>
        <v>47</v>
      </c>
      <c r="V18" s="6" t="s">
        <v>8</v>
      </c>
      <c r="W18" s="38">
        <v>0.2366</v>
      </c>
      <c r="X18" s="43">
        <f t="shared" si="1"/>
        <v>39</v>
      </c>
      <c r="Y18" s="6" t="s">
        <v>7</v>
      </c>
      <c r="Z18" s="45" t="s">
        <v>6</v>
      </c>
      <c r="AA18" s="43">
        <f t="shared" si="2"/>
        <v>45</v>
      </c>
      <c r="AB18" s="6" t="s">
        <v>8</v>
      </c>
      <c r="AC18" s="38">
        <v>0.16819999999999999</v>
      </c>
      <c r="AD18" s="43">
        <f t="shared" si="3"/>
        <v>36</v>
      </c>
      <c r="AE18" s="6" t="s">
        <v>7</v>
      </c>
      <c r="AF18" s="41" t="s">
        <v>6</v>
      </c>
    </row>
    <row r="19" spans="1:32" x14ac:dyDescent="0.3">
      <c r="A19" s="1" t="s">
        <v>29</v>
      </c>
      <c r="B19" t="s">
        <v>38</v>
      </c>
      <c r="C19" s="25">
        <v>45627</v>
      </c>
      <c r="D19" s="25">
        <v>45658</v>
      </c>
      <c r="E19" s="24">
        <v>1.90999996662139</v>
      </c>
      <c r="F19" s="2">
        <v>-0.68943090455232103</v>
      </c>
      <c r="G19" s="2">
        <v>1.05820005703125E-2</v>
      </c>
      <c r="H19" s="15">
        <v>1.0523560967532499</v>
      </c>
      <c r="I19" s="16">
        <v>-0.54816754410322499</v>
      </c>
      <c r="J19" s="17">
        <v>1.9738219516233699</v>
      </c>
      <c r="K19" s="18">
        <v>68</v>
      </c>
      <c r="L19" s="19">
        <v>-0.54816754410322499</v>
      </c>
      <c r="M19" s="18">
        <v>150</v>
      </c>
      <c r="N19" s="26">
        <v>144</v>
      </c>
      <c r="O19" s="28">
        <v>146</v>
      </c>
      <c r="P19" s="26">
        <v>92</v>
      </c>
      <c r="Q19" s="28">
        <v>104</v>
      </c>
      <c r="R19" s="36">
        <v>7</v>
      </c>
      <c r="S19" s="6" t="s">
        <v>8</v>
      </c>
      <c r="T19" s="37">
        <v>0.72599999999999998</v>
      </c>
      <c r="U19" s="39">
        <f t="shared" si="0"/>
        <v>146</v>
      </c>
      <c r="V19" s="6" t="s">
        <v>6</v>
      </c>
      <c r="W19" s="38" t="s">
        <v>6</v>
      </c>
      <c r="X19" s="43">
        <f t="shared" si="1"/>
        <v>144</v>
      </c>
      <c r="Y19" s="6" t="s">
        <v>71</v>
      </c>
      <c r="Z19" s="41">
        <v>-0.5</v>
      </c>
      <c r="AA19" s="43">
        <f t="shared" si="2"/>
        <v>104</v>
      </c>
      <c r="AB19" s="6" t="s">
        <v>71</v>
      </c>
      <c r="AC19" s="38">
        <v>-0.61</v>
      </c>
      <c r="AD19" s="43">
        <f t="shared" si="3"/>
        <v>92</v>
      </c>
      <c r="AE19" s="6" t="s">
        <v>71</v>
      </c>
      <c r="AF19" s="38">
        <v>-0.65</v>
      </c>
    </row>
    <row r="20" spans="1:32" x14ac:dyDescent="0.3">
      <c r="A20" s="1" t="s">
        <v>29</v>
      </c>
      <c r="B20" t="s">
        <v>45</v>
      </c>
      <c r="C20" s="25">
        <v>45658</v>
      </c>
      <c r="D20" s="25">
        <v>45689</v>
      </c>
      <c r="R20" s="36">
        <v>7</v>
      </c>
      <c r="S20" s="6" t="s">
        <v>71</v>
      </c>
      <c r="T20" s="37">
        <v>-1</v>
      </c>
      <c r="U20" s="39">
        <f t="shared" si="0"/>
        <v>0</v>
      </c>
      <c r="V20" s="6" t="s">
        <v>6</v>
      </c>
      <c r="W20" s="38" t="s">
        <v>6</v>
      </c>
      <c r="X20" s="43">
        <f t="shared" si="1"/>
        <v>0</v>
      </c>
      <c r="Y20" s="6" t="s">
        <v>6</v>
      </c>
      <c r="Z20" s="41" t="s">
        <v>6</v>
      </c>
      <c r="AA20" s="43">
        <f t="shared" si="2"/>
        <v>0</v>
      </c>
      <c r="AB20" s="6" t="s">
        <v>6</v>
      </c>
      <c r="AC20" s="38" t="s">
        <v>6</v>
      </c>
      <c r="AD20" s="43" t="s">
        <v>6</v>
      </c>
      <c r="AE20" s="6" t="s">
        <v>6</v>
      </c>
      <c r="AF20" s="38" t="s">
        <v>6</v>
      </c>
    </row>
    <row r="21" spans="1:32" x14ac:dyDescent="0.3">
      <c r="A21" s="1" t="s">
        <v>29</v>
      </c>
      <c r="B21" t="s">
        <v>23</v>
      </c>
      <c r="C21" s="25">
        <v>45658</v>
      </c>
      <c r="D21" s="25">
        <v>45689</v>
      </c>
      <c r="E21" s="24">
        <v>65.209999084472599</v>
      </c>
      <c r="F21" s="2">
        <v>1.20006749079916</v>
      </c>
      <c r="G21" s="2">
        <v>3.7054675203224502E-2</v>
      </c>
      <c r="H21" s="15">
        <v>-0.409446421374004</v>
      </c>
      <c r="J21" s="17">
        <v>1.9168839404226201E-2</v>
      </c>
      <c r="K21" s="18">
        <v>2</v>
      </c>
      <c r="L21" s="19">
        <v>-0.62674435678095897</v>
      </c>
      <c r="M21" s="18">
        <v>53</v>
      </c>
      <c r="N21" s="26">
        <v>4</v>
      </c>
      <c r="O21" s="28">
        <v>5</v>
      </c>
      <c r="P21" s="26">
        <v>22</v>
      </c>
      <c r="Q21" s="28">
        <v>43</v>
      </c>
      <c r="R21" s="36">
        <v>7</v>
      </c>
      <c r="S21" s="6" t="s">
        <v>8</v>
      </c>
      <c r="T21" s="37">
        <v>0.65239999999999998</v>
      </c>
      <c r="U21" s="39">
        <f t="shared" si="0"/>
        <v>5</v>
      </c>
      <c r="V21" s="6" t="s">
        <v>8</v>
      </c>
      <c r="W21" s="38">
        <v>0.65239999999999998</v>
      </c>
      <c r="X21" s="43">
        <f t="shared" si="1"/>
        <v>4</v>
      </c>
      <c r="Y21" s="6" t="s">
        <v>8</v>
      </c>
      <c r="Z21" s="38">
        <v>0.65239999999999998</v>
      </c>
      <c r="AA21" s="43">
        <f t="shared" si="2"/>
        <v>43</v>
      </c>
      <c r="AB21" s="6" t="s">
        <v>8</v>
      </c>
      <c r="AC21" s="38">
        <v>1.1619999999999999</v>
      </c>
      <c r="AD21" s="43">
        <f>P21</f>
        <v>22</v>
      </c>
      <c r="AE21" s="6" t="s">
        <v>8</v>
      </c>
      <c r="AF21" s="38">
        <v>0.873</v>
      </c>
    </row>
    <row r="22" spans="1:32" x14ac:dyDescent="0.3">
      <c r="A22" s="1" t="s">
        <v>29</v>
      </c>
      <c r="B22" t="s">
        <v>19</v>
      </c>
      <c r="C22" s="25">
        <v>45658</v>
      </c>
      <c r="D22" s="25">
        <v>45689</v>
      </c>
      <c r="E22" s="24">
        <v>8.9151611328125</v>
      </c>
      <c r="F22" s="2">
        <v>-0.48931548828365401</v>
      </c>
      <c r="G22" s="2">
        <v>-0.179012305562401</v>
      </c>
      <c r="H22" s="15">
        <v>-0.37457655058329797</v>
      </c>
      <c r="J22" s="17">
        <v>0.40995765612805102</v>
      </c>
      <c r="K22" s="18">
        <v>144</v>
      </c>
      <c r="L22" s="19">
        <v>-0.499223809784617</v>
      </c>
      <c r="M22" s="18">
        <v>53</v>
      </c>
      <c r="N22" s="26">
        <v>12</v>
      </c>
      <c r="O22" s="28">
        <v>13</v>
      </c>
      <c r="P22" s="26">
        <v>12</v>
      </c>
      <c r="Q22" s="28">
        <v>13</v>
      </c>
      <c r="R22" s="36">
        <v>7</v>
      </c>
      <c r="S22" s="6" t="s">
        <v>8</v>
      </c>
      <c r="T22" s="37">
        <v>0.49340000000000001</v>
      </c>
      <c r="U22" s="39">
        <f t="shared" si="0"/>
        <v>13</v>
      </c>
      <c r="V22" s="6" t="s">
        <v>8</v>
      </c>
      <c r="W22" s="41">
        <v>0.91400000000000003</v>
      </c>
      <c r="X22" s="43">
        <f t="shared" si="1"/>
        <v>12</v>
      </c>
      <c r="Y22" s="6" t="s">
        <v>8</v>
      </c>
      <c r="Z22" s="41">
        <v>0.75700000000000001</v>
      </c>
      <c r="AA22" s="43">
        <f t="shared" si="2"/>
        <v>13</v>
      </c>
      <c r="AB22" s="6" t="s">
        <v>8</v>
      </c>
      <c r="AC22" s="41">
        <v>0.75700000000000001</v>
      </c>
      <c r="AD22" s="43">
        <f>P22</f>
        <v>12</v>
      </c>
      <c r="AE22" s="6" t="s">
        <v>8</v>
      </c>
      <c r="AF22" s="41">
        <v>0.75700000000000001</v>
      </c>
    </row>
    <row r="23" spans="1:32" x14ac:dyDescent="0.3">
      <c r="A23" s="1" t="s">
        <v>29</v>
      </c>
      <c r="B23" t="s">
        <v>22</v>
      </c>
      <c r="C23" s="25">
        <v>45689</v>
      </c>
      <c r="D23" s="25">
        <v>45717</v>
      </c>
      <c r="E23" s="24">
        <v>13.4918212890625</v>
      </c>
      <c r="F23" s="2">
        <v>8.9317204038616496E-2</v>
      </c>
      <c r="G23" s="2">
        <v>-5.1068138609302802E-2</v>
      </c>
      <c r="H23" s="15">
        <v>-4.7818932368242098E-2</v>
      </c>
      <c r="J23" s="17">
        <v>0.21418542185025899</v>
      </c>
      <c r="K23" s="18">
        <v>14</v>
      </c>
      <c r="L23" s="19">
        <v>-0.130870631644424</v>
      </c>
      <c r="M23" s="18">
        <v>110</v>
      </c>
      <c r="N23" s="26">
        <v>110</v>
      </c>
      <c r="P23" s="26">
        <v>109</v>
      </c>
      <c r="R23" s="36">
        <v>7</v>
      </c>
      <c r="S23" s="6" t="s">
        <v>71</v>
      </c>
      <c r="T23" s="37">
        <v>-0.1522</v>
      </c>
      <c r="U23" s="39">
        <f t="shared" si="0"/>
        <v>0</v>
      </c>
      <c r="V23" s="6" t="s">
        <v>6</v>
      </c>
      <c r="W23" s="41" t="s">
        <v>6</v>
      </c>
      <c r="X23" s="43">
        <f t="shared" si="1"/>
        <v>110</v>
      </c>
      <c r="Y23" s="6" t="s">
        <v>8</v>
      </c>
      <c r="Z23" s="41">
        <v>0.2</v>
      </c>
      <c r="AA23" s="43">
        <f t="shared" si="2"/>
        <v>0</v>
      </c>
      <c r="AB23" s="6" t="s">
        <v>6</v>
      </c>
      <c r="AC23" s="38" t="s">
        <v>6</v>
      </c>
      <c r="AD23" s="43">
        <f>P23</f>
        <v>109</v>
      </c>
      <c r="AE23" s="6" t="s">
        <v>8</v>
      </c>
      <c r="AF23" s="41">
        <v>0.2</v>
      </c>
    </row>
    <row r="24" spans="1:32" x14ac:dyDescent="0.3">
      <c r="A24" s="1" t="s">
        <v>29</v>
      </c>
      <c r="B24" t="s">
        <v>52</v>
      </c>
      <c r="C24" s="25">
        <v>45717</v>
      </c>
      <c r="D24" s="25">
        <v>45748</v>
      </c>
      <c r="E24" s="24">
        <v>34.909999847412102</v>
      </c>
      <c r="F24" s="2">
        <v>-1.8105103007556699E-2</v>
      </c>
      <c r="G24" s="2">
        <v>-8.3854686088145197E-2</v>
      </c>
      <c r="H24" s="15">
        <v>-0.113720977677082</v>
      </c>
      <c r="J24" s="17">
        <v>0</v>
      </c>
      <c r="K24" s="18">
        <v>0</v>
      </c>
      <c r="L24" s="19">
        <v>-0.19793755020380899</v>
      </c>
      <c r="M24" s="18">
        <v>36</v>
      </c>
      <c r="N24" s="26">
        <v>4</v>
      </c>
      <c r="R24" s="36">
        <v>7</v>
      </c>
      <c r="S24" s="6" t="s">
        <v>7</v>
      </c>
      <c r="T24" s="37" t="s">
        <v>6</v>
      </c>
      <c r="U24" s="39">
        <f t="shared" si="0"/>
        <v>0</v>
      </c>
      <c r="V24" s="6" t="s">
        <v>6</v>
      </c>
      <c r="W24" s="38" t="s">
        <v>6</v>
      </c>
      <c r="X24" s="43">
        <f t="shared" si="1"/>
        <v>4</v>
      </c>
      <c r="Y24" s="6" t="s">
        <v>7</v>
      </c>
      <c r="Z24" s="41" t="s">
        <v>6</v>
      </c>
      <c r="AA24" s="43">
        <f t="shared" si="2"/>
        <v>0</v>
      </c>
      <c r="AB24" s="6" t="s">
        <v>6</v>
      </c>
      <c r="AC24" s="38" t="s">
        <v>6</v>
      </c>
      <c r="AD24" s="43" t="s">
        <v>6</v>
      </c>
      <c r="AE24" s="6" t="s">
        <v>6</v>
      </c>
      <c r="AF24" s="38" t="s">
        <v>6</v>
      </c>
    </row>
    <row r="25" spans="1:32" x14ac:dyDescent="0.3">
      <c r="A25" s="1" t="s">
        <v>29</v>
      </c>
      <c r="B25" t="s">
        <v>25</v>
      </c>
      <c r="C25" s="25">
        <v>45717</v>
      </c>
      <c r="D25" s="25">
        <v>45748</v>
      </c>
      <c r="E25" s="24">
        <v>3.0299999713897701</v>
      </c>
      <c r="F25" s="2">
        <v>0.23673465812965899</v>
      </c>
      <c r="G25" s="2">
        <v>0.77192976830176196</v>
      </c>
      <c r="H25" s="15">
        <v>7.5907597770699498E-2</v>
      </c>
      <c r="J25" s="17">
        <v>0.36963700810332001</v>
      </c>
      <c r="K25" s="18">
        <v>68</v>
      </c>
      <c r="L25" s="19">
        <v>-0.363036314926867</v>
      </c>
      <c r="M25" s="18">
        <v>21</v>
      </c>
      <c r="N25" s="26">
        <v>2</v>
      </c>
      <c r="O25" s="28">
        <v>3</v>
      </c>
      <c r="P25" s="26">
        <v>21</v>
      </c>
      <c r="R25" s="36">
        <v>7</v>
      </c>
      <c r="S25" s="6" t="s">
        <v>8</v>
      </c>
      <c r="T25" s="37">
        <v>0.86899999999999999</v>
      </c>
      <c r="U25" s="39">
        <f t="shared" si="0"/>
        <v>3</v>
      </c>
      <c r="V25" s="6" t="s">
        <v>8</v>
      </c>
      <c r="W25" s="38">
        <v>0.86899999999999999</v>
      </c>
      <c r="X25" s="43">
        <f t="shared" si="1"/>
        <v>2</v>
      </c>
      <c r="Y25" s="6" t="s">
        <v>8</v>
      </c>
      <c r="Z25" s="41">
        <v>0.86899999999999999</v>
      </c>
      <c r="AA25" s="43">
        <f t="shared" si="2"/>
        <v>0</v>
      </c>
      <c r="AB25" s="6" t="s">
        <v>6</v>
      </c>
      <c r="AC25" s="38" t="s">
        <v>6</v>
      </c>
      <c r="AD25" s="43">
        <f>P25</f>
        <v>21</v>
      </c>
      <c r="AE25" s="6" t="s">
        <v>8</v>
      </c>
      <c r="AF25" s="38">
        <v>1.1499999999999999</v>
      </c>
    </row>
    <row r="26" spans="1:32" x14ac:dyDescent="0.3">
      <c r="A26" s="1" t="s">
        <v>29</v>
      </c>
      <c r="B26" t="s">
        <v>55</v>
      </c>
      <c r="C26" s="25">
        <v>45717</v>
      </c>
      <c r="D26" s="25">
        <v>45748</v>
      </c>
      <c r="E26" s="24">
        <v>114.209999084472</v>
      </c>
      <c r="F26" s="2">
        <v>-2.7069295117070299E-3</v>
      </c>
      <c r="G26" s="2">
        <v>-0.20846902488941299</v>
      </c>
      <c r="H26" s="15">
        <v>0.28184918194599701</v>
      </c>
      <c r="J26" s="17">
        <v>0.34384026755854602</v>
      </c>
      <c r="K26" s="18">
        <v>64</v>
      </c>
      <c r="L26" s="19">
        <v>-0.245512662116285</v>
      </c>
      <c r="M26" s="18">
        <v>5</v>
      </c>
      <c r="N26" s="26">
        <v>2</v>
      </c>
      <c r="O26" s="28">
        <v>4</v>
      </c>
      <c r="R26" s="36">
        <v>7</v>
      </c>
      <c r="S26" s="6" t="s">
        <v>8</v>
      </c>
      <c r="T26" s="37">
        <v>0.74029999999999996</v>
      </c>
      <c r="U26" s="39">
        <f t="shared" si="0"/>
        <v>4</v>
      </c>
      <c r="V26" s="6" t="s">
        <v>8</v>
      </c>
      <c r="W26" s="41">
        <v>0.74</v>
      </c>
      <c r="X26" s="43">
        <f t="shared" si="1"/>
        <v>2</v>
      </c>
      <c r="Y26" s="6" t="s">
        <v>8</v>
      </c>
      <c r="Z26" s="41">
        <v>0.74</v>
      </c>
      <c r="AA26" s="43">
        <f t="shared" si="2"/>
        <v>0</v>
      </c>
      <c r="AB26" s="6" t="s">
        <v>6</v>
      </c>
      <c r="AC26" s="38" t="s">
        <v>6</v>
      </c>
      <c r="AD26" s="43" t="s">
        <v>6</v>
      </c>
      <c r="AE26" s="6" t="s">
        <v>6</v>
      </c>
      <c r="AF26" s="38" t="s">
        <v>6</v>
      </c>
    </row>
    <row r="27" spans="1:32" x14ac:dyDescent="0.3">
      <c r="A27" s="1" t="s">
        <v>29</v>
      </c>
      <c r="B27" t="s">
        <v>50</v>
      </c>
      <c r="C27" s="25">
        <v>45717</v>
      </c>
      <c r="D27" s="25">
        <v>45748</v>
      </c>
      <c r="E27" s="24">
        <v>1.40999996662139</v>
      </c>
      <c r="F27" s="2">
        <v>-0.64837908076265405</v>
      </c>
      <c r="G27" s="2">
        <v>-0.189655196038305</v>
      </c>
      <c r="H27" s="15">
        <v>-0.46099290180527602</v>
      </c>
      <c r="J27" s="17">
        <v>2.1276660503010799E-2</v>
      </c>
      <c r="K27" s="18">
        <v>1</v>
      </c>
      <c r="L27" s="19">
        <v>-0.595744676353957</v>
      </c>
      <c r="M27" s="18">
        <v>45</v>
      </c>
      <c r="N27" s="26">
        <v>5</v>
      </c>
      <c r="O27" s="28">
        <v>5</v>
      </c>
      <c r="P27" s="26">
        <v>9</v>
      </c>
      <c r="Q27" s="28">
        <v>9</v>
      </c>
      <c r="R27" s="36">
        <v>7</v>
      </c>
      <c r="S27" s="6" t="s">
        <v>8</v>
      </c>
      <c r="T27" s="37">
        <v>0.30690000000000001</v>
      </c>
      <c r="U27" s="39">
        <f t="shared" si="0"/>
        <v>5</v>
      </c>
      <c r="V27" s="6" t="s">
        <v>8</v>
      </c>
      <c r="W27" s="40">
        <v>0.30690000000000001</v>
      </c>
      <c r="X27" s="43">
        <f t="shared" si="1"/>
        <v>5</v>
      </c>
      <c r="Y27" s="6" t="s">
        <v>8</v>
      </c>
      <c r="Z27" s="40">
        <v>0.30690000000000001</v>
      </c>
      <c r="AA27" s="43">
        <f t="shared" si="2"/>
        <v>9</v>
      </c>
      <c r="AB27" s="6" t="s">
        <v>8</v>
      </c>
      <c r="AC27" s="38">
        <v>1.0309999999999999</v>
      </c>
      <c r="AD27" s="43">
        <f t="shared" ref="AD27:AD32" si="4">P27</f>
        <v>9</v>
      </c>
      <c r="AE27" s="6" t="s">
        <v>8</v>
      </c>
      <c r="AF27" s="38">
        <v>1.0309999999999999</v>
      </c>
    </row>
    <row r="28" spans="1:32" x14ac:dyDescent="0.3">
      <c r="A28" s="1" t="s">
        <v>29</v>
      </c>
      <c r="B28" t="s">
        <v>46</v>
      </c>
      <c r="C28" s="25">
        <v>45717</v>
      </c>
      <c r="D28" s="25">
        <v>45748</v>
      </c>
      <c r="E28" s="24">
        <v>7.0500001907348597</v>
      </c>
      <c r="F28" s="2">
        <v>-0.61788618432492304</v>
      </c>
      <c r="G28" s="2">
        <v>-0.52073418270208505</v>
      </c>
      <c r="H28" s="15">
        <v>-0.33900713172514502</v>
      </c>
      <c r="J28" s="17">
        <v>0.51631195619429004</v>
      </c>
      <c r="K28" s="18">
        <v>106</v>
      </c>
      <c r="L28" s="19">
        <v>-0.42411349887405497</v>
      </c>
      <c r="M28" s="18">
        <v>37</v>
      </c>
      <c r="N28" s="26">
        <v>4</v>
      </c>
      <c r="O28" s="28">
        <v>7</v>
      </c>
      <c r="P28" s="26">
        <v>32</v>
      </c>
      <c r="Q28" s="28">
        <v>37</v>
      </c>
      <c r="R28" s="36">
        <v>7</v>
      </c>
      <c r="S28" s="6" t="s">
        <v>8</v>
      </c>
      <c r="T28" s="37">
        <v>1.052</v>
      </c>
      <c r="U28" s="39">
        <f t="shared" si="0"/>
        <v>7</v>
      </c>
      <c r="V28" s="6" t="s">
        <v>8</v>
      </c>
      <c r="W28" s="40">
        <v>1.052</v>
      </c>
      <c r="X28" s="43">
        <f t="shared" si="1"/>
        <v>4</v>
      </c>
      <c r="Y28" s="6" t="s">
        <v>8</v>
      </c>
      <c r="Z28" s="40">
        <v>1.052</v>
      </c>
      <c r="AA28" s="43">
        <f t="shared" si="2"/>
        <v>37</v>
      </c>
      <c r="AB28" s="6" t="s">
        <v>8</v>
      </c>
      <c r="AC28" s="40">
        <v>1.633</v>
      </c>
      <c r="AD28" s="43">
        <f t="shared" si="4"/>
        <v>32</v>
      </c>
      <c r="AE28" s="6" t="s">
        <v>8</v>
      </c>
      <c r="AF28" s="40">
        <v>1.4079999999999999</v>
      </c>
    </row>
    <row r="29" spans="1:32" x14ac:dyDescent="0.3">
      <c r="A29" s="1" t="s">
        <v>29</v>
      </c>
      <c r="B29" t="s">
        <v>56</v>
      </c>
      <c r="C29" s="25">
        <v>45748</v>
      </c>
      <c r="D29" s="25">
        <v>45778</v>
      </c>
      <c r="E29" s="24">
        <v>4.38000011444091</v>
      </c>
      <c r="F29" s="2">
        <v>-0.402455639832205</v>
      </c>
      <c r="G29" s="2">
        <v>-0.21645796155958999</v>
      </c>
      <c r="H29" s="15">
        <v>0.35159815562004798</v>
      </c>
      <c r="J29" s="17">
        <v>0.75342457252856199</v>
      </c>
      <c r="K29" s="18">
        <v>56</v>
      </c>
      <c r="L29" s="19">
        <v>-0.12328771373571799</v>
      </c>
      <c r="M29" s="18">
        <v>3</v>
      </c>
      <c r="N29" s="26">
        <v>3</v>
      </c>
      <c r="R29" s="36">
        <v>7</v>
      </c>
      <c r="S29" s="6" t="s">
        <v>8</v>
      </c>
      <c r="T29" s="37">
        <v>0.65159999999999996</v>
      </c>
      <c r="U29" s="39">
        <f t="shared" si="0"/>
        <v>0</v>
      </c>
      <c r="V29" s="6" t="s">
        <v>6</v>
      </c>
      <c r="W29" s="38" t="s">
        <v>6</v>
      </c>
      <c r="X29" s="43">
        <f t="shared" si="1"/>
        <v>3</v>
      </c>
      <c r="Y29" s="6" t="s">
        <v>8</v>
      </c>
      <c r="Z29" s="40">
        <v>0.65159999999999996</v>
      </c>
      <c r="AA29" s="43">
        <f t="shared" si="2"/>
        <v>0</v>
      </c>
      <c r="AB29" s="6" t="s">
        <v>6</v>
      </c>
      <c r="AC29" s="38" t="s">
        <v>6</v>
      </c>
      <c r="AD29" s="43">
        <f t="shared" si="4"/>
        <v>0</v>
      </c>
      <c r="AE29" s="6" t="s">
        <v>6</v>
      </c>
      <c r="AF29" s="40" t="s">
        <v>6</v>
      </c>
    </row>
    <row r="30" spans="1:32" x14ac:dyDescent="0.3">
      <c r="A30" s="1" t="s">
        <v>29</v>
      </c>
      <c r="B30" t="s">
        <v>58</v>
      </c>
      <c r="C30" s="25">
        <v>45809</v>
      </c>
      <c r="D30" s="25">
        <v>45839</v>
      </c>
      <c r="E30" s="24">
        <v>5.2399997711181596</v>
      </c>
      <c r="F30" s="2">
        <v>-0.29093371234252602</v>
      </c>
      <c r="G30" s="2">
        <v>-3.4990803540889202E-2</v>
      </c>
      <c r="J30" s="17">
        <v>9.5420215494004205E-3</v>
      </c>
      <c r="K30" s="18">
        <v>2</v>
      </c>
      <c r="L30" s="19">
        <v>-0.33587782994675802</v>
      </c>
      <c r="M30" s="18">
        <v>28</v>
      </c>
      <c r="N30" s="26">
        <v>8</v>
      </c>
      <c r="O30" s="28">
        <v>22</v>
      </c>
      <c r="P30" s="26">
        <v>19</v>
      </c>
      <c r="Q30" s="28">
        <v>24</v>
      </c>
      <c r="R30" s="36">
        <v>7</v>
      </c>
      <c r="S30" s="6" t="s">
        <v>8</v>
      </c>
      <c r="T30" s="37">
        <v>6.1699999999999998E-2</v>
      </c>
      <c r="U30" s="39">
        <f t="shared" si="0"/>
        <v>22</v>
      </c>
      <c r="V30" s="6" t="s">
        <v>8</v>
      </c>
      <c r="W30" s="38">
        <v>0.30299999999999999</v>
      </c>
      <c r="X30" s="43">
        <f t="shared" si="1"/>
        <v>8</v>
      </c>
      <c r="Y30" s="6" t="s">
        <v>8</v>
      </c>
      <c r="Z30" s="41">
        <v>0.06</v>
      </c>
      <c r="AA30" s="43">
        <f t="shared" si="2"/>
        <v>24</v>
      </c>
      <c r="AB30" s="6" t="s">
        <v>8</v>
      </c>
      <c r="AC30" s="38">
        <v>0.3473</v>
      </c>
      <c r="AD30" s="43">
        <f t="shared" si="4"/>
        <v>19</v>
      </c>
      <c r="AE30" s="6" t="s">
        <v>8</v>
      </c>
      <c r="AF30" s="38">
        <v>0.2</v>
      </c>
    </row>
    <row r="31" spans="1:32" x14ac:dyDescent="0.3">
      <c r="A31" s="1" t="s">
        <v>29</v>
      </c>
      <c r="B31" t="s">
        <v>43</v>
      </c>
      <c r="C31" s="25">
        <v>45839</v>
      </c>
      <c r="D31" s="25">
        <v>45870</v>
      </c>
      <c r="E31" s="24">
        <v>8.7600002288818306</v>
      </c>
      <c r="F31" s="7">
        <v>-0.21152110714810199</v>
      </c>
      <c r="G31" s="7">
        <v>0</v>
      </c>
      <c r="H31" s="13"/>
      <c r="I31" s="14"/>
      <c r="J31" s="20">
        <v>8.1050230547493995E-2</v>
      </c>
      <c r="K31" s="21">
        <v>1</v>
      </c>
      <c r="L31" s="22">
        <v>-7.6484024975815093E-2</v>
      </c>
      <c r="M31" s="21">
        <v>2</v>
      </c>
      <c r="N31" s="27"/>
      <c r="O31" s="29"/>
      <c r="P31" s="27"/>
      <c r="Q31" s="29"/>
      <c r="R31" s="36">
        <v>7</v>
      </c>
      <c r="S31" s="6" t="s">
        <v>6</v>
      </c>
      <c r="T31" s="37" t="s">
        <v>6</v>
      </c>
      <c r="U31" s="39">
        <f t="shared" si="0"/>
        <v>0</v>
      </c>
      <c r="W31" s="38" t="s">
        <v>6</v>
      </c>
      <c r="X31" s="43">
        <f t="shared" si="1"/>
        <v>0</v>
      </c>
      <c r="AA31" s="43">
        <f t="shared" si="2"/>
        <v>0</v>
      </c>
      <c r="AD31" s="43">
        <f t="shared" si="4"/>
        <v>0</v>
      </c>
    </row>
    <row r="32" spans="1:32" x14ac:dyDescent="0.3">
      <c r="A32" s="1" t="s">
        <v>29</v>
      </c>
      <c r="B32" t="s">
        <v>49</v>
      </c>
      <c r="C32" s="25">
        <v>45839</v>
      </c>
      <c r="D32" s="25">
        <v>45870</v>
      </c>
      <c r="E32" s="24">
        <v>12.310000419616699</v>
      </c>
      <c r="F32" s="2">
        <v>-0.51189529124616895</v>
      </c>
      <c r="G32" s="2">
        <v>8.19003940682261E-3</v>
      </c>
      <c r="J32" s="17">
        <v>0.231519035795788</v>
      </c>
      <c r="K32" s="18">
        <v>21</v>
      </c>
      <c r="L32" s="19">
        <v>0</v>
      </c>
      <c r="M32" s="18">
        <v>0</v>
      </c>
      <c r="R32" s="36">
        <v>7</v>
      </c>
      <c r="S32" s="6" t="s">
        <v>6</v>
      </c>
      <c r="T32" s="37" t="s">
        <v>6</v>
      </c>
      <c r="U32" s="39">
        <f t="shared" si="0"/>
        <v>0</v>
      </c>
      <c r="W32" s="41" t="s">
        <v>6</v>
      </c>
      <c r="X32" s="43">
        <f t="shared" si="1"/>
        <v>0</v>
      </c>
      <c r="AA32" s="43">
        <f t="shared" si="2"/>
        <v>0</v>
      </c>
      <c r="AD32" s="43">
        <f t="shared" si="4"/>
        <v>0</v>
      </c>
    </row>
    <row r="34" spans="19:32" x14ac:dyDescent="0.3">
      <c r="S34" s="6" t="s">
        <v>89</v>
      </c>
      <c r="T34" s="53">
        <f>COUNT(T4:T32)</f>
        <v>26</v>
      </c>
      <c r="V34" s="6" t="s">
        <v>89</v>
      </c>
      <c r="W34" s="46">
        <f>COUNT(W4:W32)</f>
        <v>17</v>
      </c>
      <c r="Z34" s="53">
        <f>COUNT(Z4:Z32)</f>
        <v>23</v>
      </c>
      <c r="AC34" s="53">
        <f>COUNT(AC4:AC32)</f>
        <v>15</v>
      </c>
      <c r="AF34" s="53">
        <f>COUNT(AF4:AF32)</f>
        <v>19</v>
      </c>
    </row>
    <row r="35" spans="19:32" x14ac:dyDescent="0.3">
      <c r="S35" s="64" t="s">
        <v>81</v>
      </c>
      <c r="T35" s="66">
        <f>COUNTIF(S4:S32, "Win")/COUNT(T4:T32)</f>
        <v>0.80769230769230771</v>
      </c>
      <c r="V35" s="64" t="s">
        <v>81</v>
      </c>
      <c r="W35" s="49">
        <f>COUNTIF(V4:V32, "Win")/COUNT(W4:W32)</f>
        <v>0.94117647058823528</v>
      </c>
      <c r="Z35" s="66">
        <f>COUNTIF(Y4:Y32, "Win")/COUNT(Z4:Z32)</f>
        <v>0.86956521739130432</v>
      </c>
      <c r="AC35" s="66">
        <f>COUNTIF(AB4:AB32, "Win")/COUNT(AC4:AC32)</f>
        <v>0.8</v>
      </c>
      <c r="AF35" s="66">
        <f>COUNTIF(AE4:AE32, "Win")/COUNT(AF4:AF32)</f>
        <v>0.84210526315789469</v>
      </c>
    </row>
    <row r="36" spans="19:32" x14ac:dyDescent="0.3">
      <c r="S36" s="6" t="s">
        <v>82</v>
      </c>
      <c r="T36" s="51">
        <f>AVERAGE(T4:T32)</f>
        <v>0.35498461538461545</v>
      </c>
      <c r="V36" s="6" t="s">
        <v>82</v>
      </c>
      <c r="W36" s="50">
        <f>AVERAGE(W4:W32)</f>
        <v>0.63224705882352961</v>
      </c>
      <c r="Z36" s="51">
        <f>AVERAGE(Z4:Z32)</f>
        <v>0.52850434782608702</v>
      </c>
      <c r="AC36" s="51">
        <f>AVERAGE(AC4:AC32)</f>
        <v>0.63936666666666653</v>
      </c>
      <c r="AF36" s="51">
        <f>AVERAGE(AF4:AF32)</f>
        <v>0.60175789473684205</v>
      </c>
    </row>
    <row r="37" spans="19:32" x14ac:dyDescent="0.3">
      <c r="S37" s="6" t="s">
        <v>84</v>
      </c>
      <c r="T37" s="51">
        <f>_xlfn.STDEV.S(T4:T32)</f>
        <v>0.52767713514406334</v>
      </c>
      <c r="V37" s="6" t="s">
        <v>84</v>
      </c>
      <c r="W37" s="50">
        <f>_xlfn.STDEV.S(W4:W32)</f>
        <v>0.59699160810438423</v>
      </c>
      <c r="Z37" s="51">
        <f>_xlfn.STDEV.S(Z4:Z32)</f>
        <v>0.58318324305507696</v>
      </c>
      <c r="AC37" s="51">
        <f>_xlfn.STDEV.S(AC4:AC32)</f>
        <v>0.78029633076769234</v>
      </c>
      <c r="AF37" s="51">
        <f>_xlfn.STDEV.S(AF4:AF32)</f>
        <v>0.69509098230678423</v>
      </c>
    </row>
    <row r="38" spans="19:32" x14ac:dyDescent="0.3">
      <c r="S38" s="64" t="s">
        <v>83</v>
      </c>
      <c r="T38" s="71">
        <f>T36/T37</f>
        <v>0.67273071304804521</v>
      </c>
      <c r="V38" s="64" t="s">
        <v>83</v>
      </c>
      <c r="W38" s="70">
        <f>W36/W37</f>
        <v>1.0590551864390378</v>
      </c>
      <c r="Z38" s="71">
        <f>Z36/Z37</f>
        <v>0.90624062697249697</v>
      </c>
      <c r="AC38" s="71">
        <f>AC36/AC37</f>
        <v>0.81938955939678382</v>
      </c>
      <c r="AF38" s="71">
        <f>AF36/AF37</f>
        <v>0.86572536553387647</v>
      </c>
    </row>
    <row r="39" spans="19:32" x14ac:dyDescent="0.3">
      <c r="S39" s="6" t="s">
        <v>85</v>
      </c>
      <c r="T39" s="51" cm="1">
        <f t="array" ref="T39">STDEV(_xlfn._xlws.FILTER(T4:T32,T4:T32&lt;0))</f>
        <v>0.3155147983851152</v>
      </c>
      <c r="V39" s="6" t="s">
        <v>85</v>
      </c>
      <c r="W39" s="50" t="e" cm="1">
        <f t="array" ref="W39">STDEV(_xlfn._xlws.FILTER(W4:W32,W4:W32&lt;0))</f>
        <v>#DIV/0!</v>
      </c>
      <c r="Z39" s="51" cm="1">
        <f t="array" ref="Z39">STDEV(_xlfn._xlws.FILTER(Z4:Z32,Z4:Z32&lt;0))</f>
        <v>0.24406917735210509</v>
      </c>
      <c r="AC39" s="51" cm="1">
        <f t="array" ref="AC39">STDEV(_xlfn._xlws.FILTER(AC4:AC32,AC4:AC32&lt;0))</f>
        <v>4.7871129086329255E-2</v>
      </c>
      <c r="AF39" s="51" cm="1">
        <f t="array" ref="AF39">STDEV(_xlfn._xlws.FILTER(AF4:AF32,AF4:AF32&lt;0))</f>
        <v>0.29147000417424318</v>
      </c>
    </row>
    <row r="40" spans="19:32" x14ac:dyDescent="0.3">
      <c r="S40" s="64" t="s">
        <v>86</v>
      </c>
      <c r="T40" s="71">
        <f>T35/T39</f>
        <v>2.5599189382757381</v>
      </c>
      <c r="V40" s="64" t="s">
        <v>86</v>
      </c>
      <c r="W40" s="70" t="e">
        <f>W35/W39</f>
        <v>#DIV/0!</v>
      </c>
      <c r="Z40" s="71">
        <f>Z35/Z39</f>
        <v>3.5627817769747745</v>
      </c>
      <c r="AC40" s="71">
        <f>AC35/AC39</f>
        <v>16.711533971912502</v>
      </c>
      <c r="AF40" s="71">
        <f>AF35/AF39</f>
        <v>2.8891661272097049</v>
      </c>
    </row>
    <row r="41" spans="19:32" x14ac:dyDescent="0.3">
      <c r="S41" s="6" t="s">
        <v>87</v>
      </c>
      <c r="T41" s="51">
        <f>MIN(T4:T32)</f>
        <v>-1</v>
      </c>
      <c r="V41" s="6" t="s">
        <v>87</v>
      </c>
      <c r="W41" s="50">
        <f>MIN(W4:W32)</f>
        <v>-0.5423</v>
      </c>
      <c r="Z41" s="51">
        <f>MIN(Z4:Z32)</f>
        <v>-0.5423</v>
      </c>
      <c r="AC41" s="51">
        <f>MIN(AC4:AC32)</f>
        <v>-0.61</v>
      </c>
      <c r="AF41" s="51">
        <f>MIN(AF4:AF32)</f>
        <v>-0.65</v>
      </c>
    </row>
    <row r="42" spans="19:32" x14ac:dyDescent="0.3">
      <c r="S42" s="64" t="s">
        <v>88</v>
      </c>
      <c r="T42" s="71" cm="1">
        <f t="array" ref="T42">(PRODUCT(IF(ISNUMBER(T4:T32),T4:T32+1,1)))^(1/T34)/ABS(T41)</f>
        <v>0</v>
      </c>
      <c r="V42" s="64" t="s">
        <v>88</v>
      </c>
      <c r="W42" s="70" cm="1">
        <f t="array" ref="W42">(PRODUCT(IF(ISNUMBER(W4:W32),W4:W32+1,1)))^(1/W34)/ABS(W41)</f>
        <v>2.8126246822934635</v>
      </c>
      <c r="Z42" s="71" cm="1">
        <f t="array" ref="Z42">(PRODUCT(IF(ISNUMBER(Z4:Z32),Z4:Z32+1,1)))^(1/Z34)/ABS(Z41)</f>
        <v>2.606594952869385</v>
      </c>
      <c r="AC42" s="71" cm="1">
        <f t="array" ref="AC42">(PRODUCT(IF(ISNUMBER(AC4:AC32),AC4:AC32+1,1)))^(1/AC34)/ABS(AC41)</f>
        <v>2.3480017279676075</v>
      </c>
      <c r="AF42" s="71" cm="1">
        <f t="array" ref="AF42">(PRODUCT(IF(ISNUMBER(AF4:AF32),AF4:AF32+1,1)))^(1/AF34)/ABS(AF41)</f>
        <v>2.1979900565532309</v>
      </c>
    </row>
  </sheetData>
  <autoFilter ref="A3:AM32" xr:uid="{00000000-0001-0000-0000-000000000000}">
    <sortState xmlns:xlrd2="http://schemas.microsoft.com/office/spreadsheetml/2017/richdata2" ref="A4:AG32">
      <sortCondition ref="D3:D32"/>
    </sortState>
  </autoFilter>
  <mergeCells count="13">
    <mergeCell ref="AA2:AC2"/>
    <mergeCell ref="AD2:AF2"/>
    <mergeCell ref="R1:AF1"/>
    <mergeCell ref="C2:E2"/>
    <mergeCell ref="N2:O2"/>
    <mergeCell ref="A1:O1"/>
    <mergeCell ref="X2:Z2"/>
    <mergeCell ref="P2:Q2"/>
    <mergeCell ref="J2:M2"/>
    <mergeCell ref="R2:T2"/>
    <mergeCell ref="U2:W2"/>
    <mergeCell ref="F2:G2"/>
    <mergeCell ref="H2:I2"/>
  </mergeCells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78F31-062E-43DF-9383-DA5101BA2082}">
  <dimension ref="A1:AZ75"/>
  <sheetViews>
    <sheetView zoomScale="85" zoomScaleNormal="85" workbookViewId="0">
      <pane xSplit="4" ySplit="4" topLeftCell="P6" activePane="bottomRight" state="frozen"/>
      <selection pane="topRight" activeCell="D1" sqref="D1"/>
      <selection pane="bottomLeft" activeCell="A2" sqref="A2"/>
      <selection pane="bottomRight" activeCell="AY5" sqref="AY5:AY44"/>
    </sheetView>
  </sheetViews>
  <sheetFormatPr defaultRowHeight="14.4" outlineLevelCol="1" x14ac:dyDescent="0.3"/>
  <cols>
    <col min="2" max="3" width="11" style="25" customWidth="1"/>
    <col min="4" max="4" width="11" style="24" bestFit="1" customWidth="1"/>
    <col min="5" max="6" width="9.88671875" style="2" customWidth="1" outlineLevel="1"/>
    <col min="7" max="7" width="9.88671875" style="15" customWidth="1" outlineLevel="1"/>
    <col min="8" max="8" width="9.88671875" style="16" customWidth="1" outlineLevel="1"/>
    <col min="9" max="9" width="6.88671875" style="17" customWidth="1" outlineLevel="1"/>
    <col min="10" max="10" width="12.33203125" style="18" customWidth="1" outlineLevel="1"/>
    <col min="11" max="11" width="6.6640625" style="19" customWidth="1" outlineLevel="1"/>
    <col min="12" max="12" width="12.109375" style="18" customWidth="1" outlineLevel="1"/>
    <col min="13" max="13" width="10.109375" style="26" customWidth="1" outlineLevel="1"/>
    <col min="14" max="14" width="10.109375" style="28" customWidth="1" outlineLevel="1"/>
    <col min="15" max="15" width="10.109375" style="87" customWidth="1" outlineLevel="1"/>
    <col min="16" max="18" width="10.109375" style="28" customWidth="1" outlineLevel="1"/>
    <col min="19" max="19" width="6.5546875" style="98" bestFit="1" customWidth="1"/>
    <col min="20" max="20" width="5.5546875" style="6" bestFit="1" customWidth="1"/>
    <col min="21" max="21" width="6.5546875" style="41" bestFit="1" customWidth="1"/>
    <col min="22" max="22" width="5.5546875" style="94" bestFit="1" customWidth="1"/>
    <col min="23" max="23" width="9.44140625" style="64" bestFit="1" customWidth="1"/>
    <col min="24" max="24" width="6.5546875" style="41" bestFit="1" customWidth="1"/>
    <col min="25" max="25" width="5.5546875" style="6" bestFit="1" customWidth="1"/>
    <col min="26" max="26" width="6.5546875" style="41" bestFit="1" customWidth="1"/>
    <col min="27" max="27" width="5.5546875" style="84" bestFit="1" customWidth="1"/>
    <col min="28" max="28" width="9.44140625" style="63" bestFit="1" customWidth="1"/>
    <col min="29" max="29" width="6.5546875" style="41" bestFit="1" customWidth="1"/>
    <col min="30" max="30" width="5.5546875" style="6" bestFit="1" customWidth="1"/>
    <col min="31" max="31" width="6.5546875" style="41" bestFit="1" customWidth="1"/>
    <col min="32" max="32" width="5.5546875" style="84" bestFit="1" customWidth="1"/>
    <col min="33" max="33" width="9.44140625" style="63" bestFit="1" customWidth="1"/>
    <col min="34" max="34" width="6.5546875" style="41" bestFit="1" customWidth="1"/>
    <col min="35" max="35" width="5.5546875" style="6" bestFit="1" customWidth="1"/>
    <col min="36" max="36" width="6.5546875" style="41" bestFit="1" customWidth="1"/>
    <col min="37" max="37" width="5.5546875" style="84" bestFit="1" customWidth="1"/>
    <col min="38" max="38" width="9.44140625" style="95" bestFit="1" customWidth="1"/>
    <col min="39" max="39" width="6.5546875" style="41" bestFit="1" customWidth="1"/>
    <col min="40" max="40" width="5.5546875" style="6" bestFit="1" customWidth="1"/>
    <col min="41" max="41" width="6.5546875" style="41" bestFit="1" customWidth="1"/>
    <col min="42" max="42" width="5.5546875" style="84" bestFit="1" customWidth="1"/>
    <col min="43" max="43" width="9.44140625" style="63" bestFit="1" customWidth="1"/>
    <col min="44" max="44" width="6.5546875" style="41" bestFit="1" customWidth="1"/>
    <col min="45" max="45" width="5.5546875" style="6" bestFit="1" customWidth="1"/>
    <col min="46" max="46" width="6.5546875" style="41" bestFit="1" customWidth="1"/>
    <col min="47" max="47" width="5.5546875" style="89" bestFit="1" customWidth="1"/>
    <col min="48" max="48" width="9.44140625" style="64" bestFit="1" customWidth="1"/>
    <col min="49" max="49" width="6.5546875" style="41" bestFit="1" customWidth="1"/>
    <col min="50" max="50" width="5.5546875" style="6" bestFit="1" customWidth="1"/>
    <col min="51" max="51" width="6.5546875" style="41" bestFit="1" customWidth="1"/>
    <col min="52" max="52" width="5.5546875" style="94" bestFit="1" customWidth="1"/>
  </cols>
  <sheetData>
    <row r="1" spans="1:52" ht="15" thickBot="1" x14ac:dyDescent="0.35">
      <c r="A1" s="115"/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6"/>
      <c r="Q1" s="115"/>
      <c r="R1" s="115"/>
      <c r="S1" s="117" t="s">
        <v>65</v>
      </c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8"/>
    </row>
    <row r="2" spans="1:52" s="34" customFormat="1" ht="30.6" customHeight="1" x14ac:dyDescent="0.3">
      <c r="B2" s="119" t="s">
        <v>37</v>
      </c>
      <c r="C2" s="119"/>
      <c r="D2" s="119"/>
      <c r="E2" s="120" t="s">
        <v>30</v>
      </c>
      <c r="F2" s="120"/>
      <c r="G2" s="121" t="s">
        <v>31</v>
      </c>
      <c r="H2" s="122"/>
      <c r="I2" s="121" t="s">
        <v>59</v>
      </c>
      <c r="J2" s="123"/>
      <c r="K2" s="122"/>
      <c r="L2" s="123"/>
      <c r="M2" s="124" t="s">
        <v>100</v>
      </c>
      <c r="N2" s="125"/>
      <c r="O2" s="126"/>
      <c r="P2" s="125" t="s">
        <v>101</v>
      </c>
      <c r="Q2" s="125"/>
      <c r="R2" s="126"/>
      <c r="S2" s="127" t="s">
        <v>98</v>
      </c>
      <c r="T2" s="128"/>
      <c r="U2" s="128"/>
      <c r="V2" s="129"/>
      <c r="W2" s="130" t="s">
        <v>102</v>
      </c>
      <c r="X2" s="131"/>
      <c r="Y2" s="131"/>
      <c r="Z2" s="131"/>
      <c r="AA2" s="132"/>
      <c r="AB2" s="133" t="s">
        <v>103</v>
      </c>
      <c r="AC2" s="134"/>
      <c r="AD2" s="134"/>
      <c r="AE2" s="134"/>
      <c r="AF2" s="135"/>
      <c r="AG2" s="136" t="s">
        <v>104</v>
      </c>
      <c r="AH2" s="137"/>
      <c r="AI2" s="137"/>
      <c r="AJ2" s="137"/>
      <c r="AK2" s="138"/>
      <c r="AL2" s="139" t="s">
        <v>107</v>
      </c>
      <c r="AM2" s="140"/>
      <c r="AN2" s="140"/>
      <c r="AO2" s="140"/>
      <c r="AP2" s="141"/>
      <c r="AQ2" s="142" t="s">
        <v>108</v>
      </c>
      <c r="AR2" s="143"/>
      <c r="AS2" s="143"/>
      <c r="AT2" s="143"/>
      <c r="AU2" s="144"/>
      <c r="AV2" s="145" t="s">
        <v>109</v>
      </c>
      <c r="AW2" s="145"/>
      <c r="AX2" s="145"/>
      <c r="AY2" s="145"/>
      <c r="AZ2" s="146"/>
    </row>
    <row r="3" spans="1:52" s="34" customFormat="1" ht="80.400000000000006" customHeight="1" x14ac:dyDescent="0.3">
      <c r="B3" s="79"/>
      <c r="C3" s="79"/>
      <c r="D3" s="79"/>
      <c r="E3" s="80"/>
      <c r="F3" s="80"/>
      <c r="G3" s="81"/>
      <c r="H3" s="82"/>
      <c r="I3" s="81"/>
      <c r="J3" s="33"/>
      <c r="K3" s="82"/>
      <c r="L3" s="33"/>
      <c r="M3" s="85"/>
      <c r="N3" s="83"/>
      <c r="O3" s="86"/>
      <c r="P3" s="83"/>
      <c r="Q3" s="83"/>
      <c r="R3" s="83"/>
      <c r="S3" s="114" t="s">
        <v>97</v>
      </c>
      <c r="T3" s="112"/>
      <c r="U3" s="110" t="s">
        <v>99</v>
      </c>
      <c r="V3" s="113"/>
      <c r="W3" s="96"/>
      <c r="X3" s="112" t="s">
        <v>97</v>
      </c>
      <c r="Y3" s="112"/>
      <c r="Z3" s="110" t="s">
        <v>99</v>
      </c>
      <c r="AA3" s="111"/>
      <c r="AB3" s="90"/>
      <c r="AC3" s="112" t="s">
        <v>97</v>
      </c>
      <c r="AD3" s="112"/>
      <c r="AE3" s="110" t="s">
        <v>99</v>
      </c>
      <c r="AF3" s="111"/>
      <c r="AG3" s="90"/>
      <c r="AH3" s="112" t="s">
        <v>97</v>
      </c>
      <c r="AI3" s="112"/>
      <c r="AJ3" s="110" t="s">
        <v>99</v>
      </c>
      <c r="AK3" s="113"/>
      <c r="AL3" s="92"/>
      <c r="AM3" s="112" t="s">
        <v>97</v>
      </c>
      <c r="AN3" s="112"/>
      <c r="AO3" s="110" t="s">
        <v>99</v>
      </c>
      <c r="AP3" s="110"/>
      <c r="AQ3" s="90"/>
      <c r="AR3" s="112" t="s">
        <v>97</v>
      </c>
      <c r="AS3" s="112"/>
      <c r="AT3" s="110" t="s">
        <v>99</v>
      </c>
      <c r="AU3" s="111"/>
      <c r="AV3" s="96"/>
      <c r="AW3" s="112" t="s">
        <v>97</v>
      </c>
      <c r="AX3" s="112"/>
      <c r="AY3" s="110" t="s">
        <v>99</v>
      </c>
      <c r="AZ3" s="113"/>
    </row>
    <row r="4" spans="1:52" s="100" customFormat="1" x14ac:dyDescent="0.3">
      <c r="A4" s="100" t="s">
        <v>1</v>
      </c>
      <c r="B4" s="101" t="s">
        <v>40</v>
      </c>
      <c r="C4" s="101" t="s">
        <v>41</v>
      </c>
      <c r="D4" s="102" t="s">
        <v>42</v>
      </c>
      <c r="E4" s="103" t="s">
        <v>32</v>
      </c>
      <c r="F4" s="103" t="s">
        <v>28</v>
      </c>
      <c r="G4" s="104" t="s">
        <v>33</v>
      </c>
      <c r="H4" s="104" t="s">
        <v>34</v>
      </c>
      <c r="I4" s="105" t="s">
        <v>2</v>
      </c>
      <c r="J4" s="106" t="s">
        <v>3</v>
      </c>
      <c r="K4" s="105" t="s">
        <v>4</v>
      </c>
      <c r="L4" s="106" t="s">
        <v>5</v>
      </c>
      <c r="M4" s="107">
        <v>0.1</v>
      </c>
      <c r="N4" s="107">
        <v>0.2</v>
      </c>
      <c r="O4" s="107">
        <v>0.3</v>
      </c>
      <c r="P4" s="107">
        <v>-0.1</v>
      </c>
      <c r="Q4" s="107">
        <v>-0.2</v>
      </c>
      <c r="R4" s="107">
        <v>-0.3</v>
      </c>
      <c r="S4" s="104" t="s">
        <v>105</v>
      </c>
      <c r="T4" s="108" t="s">
        <v>106</v>
      </c>
      <c r="U4" s="104" t="s">
        <v>105</v>
      </c>
      <c r="V4" s="108" t="s">
        <v>106</v>
      </c>
      <c r="W4" s="99" t="s">
        <v>68</v>
      </c>
      <c r="X4" s="104" t="s">
        <v>105</v>
      </c>
      <c r="Y4" s="108" t="s">
        <v>106</v>
      </c>
      <c r="Z4" s="104" t="s">
        <v>105</v>
      </c>
      <c r="AA4" s="108" t="s">
        <v>106</v>
      </c>
      <c r="AB4" s="99" t="s">
        <v>68</v>
      </c>
      <c r="AC4" s="104" t="s">
        <v>105</v>
      </c>
      <c r="AD4" s="108" t="s">
        <v>106</v>
      </c>
      <c r="AE4" s="104" t="s">
        <v>105</v>
      </c>
      <c r="AF4" s="108" t="s">
        <v>106</v>
      </c>
      <c r="AG4" s="99" t="s">
        <v>68</v>
      </c>
      <c r="AH4" s="104" t="s">
        <v>105</v>
      </c>
      <c r="AI4" s="108" t="s">
        <v>106</v>
      </c>
      <c r="AJ4" s="104" t="s">
        <v>105</v>
      </c>
      <c r="AK4" s="108" t="s">
        <v>106</v>
      </c>
      <c r="AL4" s="99" t="s">
        <v>68</v>
      </c>
      <c r="AM4" s="104" t="s">
        <v>105</v>
      </c>
      <c r="AN4" s="108" t="s">
        <v>106</v>
      </c>
      <c r="AO4" s="104" t="s">
        <v>105</v>
      </c>
      <c r="AP4" s="108" t="s">
        <v>106</v>
      </c>
      <c r="AQ4" s="99" t="s">
        <v>68</v>
      </c>
      <c r="AR4" s="104" t="s">
        <v>105</v>
      </c>
      <c r="AS4" s="108" t="s">
        <v>106</v>
      </c>
      <c r="AT4" s="104" t="s">
        <v>105</v>
      </c>
      <c r="AU4" s="108" t="s">
        <v>106</v>
      </c>
      <c r="AV4" s="99" t="s">
        <v>68</v>
      </c>
      <c r="AW4" s="104" t="s">
        <v>105</v>
      </c>
      <c r="AX4" s="108" t="s">
        <v>106</v>
      </c>
      <c r="AY4" s="104" t="s">
        <v>105</v>
      </c>
      <c r="AZ4" s="108" t="s">
        <v>106</v>
      </c>
    </row>
    <row r="5" spans="1:52" x14ac:dyDescent="0.3">
      <c r="A5" t="s">
        <v>144</v>
      </c>
      <c r="B5" s="25">
        <v>45627</v>
      </c>
      <c r="C5" s="25">
        <v>45658</v>
      </c>
      <c r="D5" s="24">
        <v>5.8399999141693097</v>
      </c>
      <c r="E5" s="2">
        <v>-1.1844320651454699E-2</v>
      </c>
      <c r="F5" s="2">
        <v>-9.73724724036934E-2</v>
      </c>
      <c r="G5" s="15">
        <v>-0.82191781213391302</v>
      </c>
      <c r="H5" s="16">
        <v>-0.63356162048701403</v>
      </c>
      <c r="I5" s="17">
        <v>0.131849354565378</v>
      </c>
      <c r="J5" s="18">
        <v>22</v>
      </c>
      <c r="K5" s="19">
        <v>-0.85719178019276299</v>
      </c>
      <c r="L5" s="18">
        <v>72</v>
      </c>
      <c r="M5" s="26">
        <v>21</v>
      </c>
      <c r="P5" s="28">
        <v>5</v>
      </c>
      <c r="Q5" s="28">
        <v>39</v>
      </c>
      <c r="R5" s="28">
        <v>49</v>
      </c>
      <c r="S5" s="98">
        <v>-0.23781676440433899</v>
      </c>
      <c r="T5" s="6">
        <v>49</v>
      </c>
      <c r="U5" s="41">
        <v>-0.32066280363511601</v>
      </c>
      <c r="V5" s="94">
        <v>50</v>
      </c>
      <c r="W5" s="64">
        <v>7</v>
      </c>
      <c r="X5" s="41">
        <v>-0.42001300699965299</v>
      </c>
      <c r="Y5" s="6">
        <v>999</v>
      </c>
      <c r="Z5" s="41">
        <v>-0.42001300699965299</v>
      </c>
      <c r="AA5" s="84">
        <v>999</v>
      </c>
      <c r="AB5" s="63">
        <v>39</v>
      </c>
      <c r="AC5" s="41">
        <v>-0.51400108365001496</v>
      </c>
      <c r="AD5" s="6">
        <v>999</v>
      </c>
      <c r="AE5" s="41">
        <v>-0.51400108365001496</v>
      </c>
      <c r="AF5" s="84">
        <v>999</v>
      </c>
      <c r="AG5" s="63">
        <v>49</v>
      </c>
      <c r="AH5" s="41">
        <v>-0.48833309421532101</v>
      </c>
      <c r="AI5" s="6">
        <v>999</v>
      </c>
      <c r="AJ5" s="41">
        <v>-0.48833309421532101</v>
      </c>
      <c r="AK5" s="84">
        <v>999</v>
      </c>
      <c r="AL5" s="95">
        <v>7</v>
      </c>
      <c r="AM5" s="41">
        <v>-0.42001300699965299</v>
      </c>
      <c r="AN5" s="6">
        <v>999</v>
      </c>
      <c r="AO5" s="41">
        <v>-0.42001300699965299</v>
      </c>
      <c r="AP5" s="84">
        <v>999</v>
      </c>
      <c r="AQ5" s="63">
        <v>39</v>
      </c>
      <c r="AR5" s="41">
        <v>-0.51400108365001496</v>
      </c>
      <c r="AS5" s="6">
        <v>999</v>
      </c>
      <c r="AT5" s="41">
        <v>-0.51400108365001496</v>
      </c>
      <c r="AU5" s="89">
        <v>999</v>
      </c>
      <c r="AV5" s="64">
        <v>49</v>
      </c>
      <c r="AW5" s="41">
        <v>-0.48833309421532101</v>
      </c>
      <c r="AX5" s="6">
        <v>999</v>
      </c>
      <c r="AY5" s="41">
        <v>-0.48833309421532101</v>
      </c>
      <c r="AZ5" s="94">
        <v>999</v>
      </c>
    </row>
    <row r="6" spans="1:52" x14ac:dyDescent="0.3">
      <c r="A6" t="s">
        <v>9</v>
      </c>
      <c r="B6" s="25">
        <v>45383</v>
      </c>
      <c r="C6" s="25">
        <v>45413</v>
      </c>
      <c r="D6" s="24">
        <v>22.309999465942301</v>
      </c>
      <c r="E6" s="2">
        <v>-0.51573693045956703</v>
      </c>
      <c r="F6" s="2">
        <v>-6.88647613346349E-2</v>
      </c>
      <c r="G6" s="15">
        <v>0.173913095517474</v>
      </c>
      <c r="H6" s="16">
        <v>-0.20528910951780599</v>
      </c>
      <c r="I6" s="17">
        <v>0.43836848591481498</v>
      </c>
      <c r="J6" s="18">
        <v>89</v>
      </c>
      <c r="K6" s="19">
        <v>-0.477364404906784</v>
      </c>
      <c r="L6" s="18">
        <v>101</v>
      </c>
      <c r="M6" s="26">
        <v>2</v>
      </c>
      <c r="N6" s="28">
        <v>2</v>
      </c>
      <c r="O6" s="87">
        <v>85</v>
      </c>
      <c r="P6" s="28">
        <v>66</v>
      </c>
      <c r="Q6" s="28">
        <v>92</v>
      </c>
      <c r="R6" s="28">
        <v>92</v>
      </c>
      <c r="S6" s="98">
        <v>-0.217904735746837</v>
      </c>
      <c r="T6" s="6">
        <v>65</v>
      </c>
      <c r="U6" s="41">
        <v>0.22247619628906201</v>
      </c>
      <c r="V6" s="94">
        <v>89</v>
      </c>
      <c r="W6" s="64">
        <v>66</v>
      </c>
      <c r="X6" s="41">
        <v>-4.5773856097228303E-2</v>
      </c>
      <c r="Y6" s="6">
        <v>999</v>
      </c>
      <c r="Z6" s="41">
        <v>-4.5773856097228303E-2</v>
      </c>
      <c r="AA6" s="84">
        <v>999</v>
      </c>
      <c r="AB6" s="63">
        <v>92</v>
      </c>
      <c r="AC6" s="41">
        <v>0.47257057825099302</v>
      </c>
      <c r="AD6" s="6">
        <v>147</v>
      </c>
      <c r="AE6" s="41">
        <v>0.47257057825099302</v>
      </c>
      <c r="AF6" s="84">
        <v>147</v>
      </c>
      <c r="AG6" s="63">
        <v>92</v>
      </c>
      <c r="AH6" s="41">
        <v>0.47257057825099302</v>
      </c>
      <c r="AI6" s="6">
        <v>147</v>
      </c>
      <c r="AJ6" s="41">
        <v>0.47257057825099302</v>
      </c>
      <c r="AK6" s="84">
        <v>147</v>
      </c>
      <c r="AL6" s="95">
        <v>7</v>
      </c>
      <c r="AM6" s="41">
        <v>0.22247619628906201</v>
      </c>
      <c r="AN6" s="6">
        <v>89</v>
      </c>
      <c r="AO6" s="41">
        <v>0.22247619628906201</v>
      </c>
      <c r="AP6" s="84">
        <v>89</v>
      </c>
      <c r="AQ6" s="63">
        <v>7</v>
      </c>
      <c r="AR6" s="41">
        <v>0.22247619628906201</v>
      </c>
      <c r="AS6" s="6">
        <v>89</v>
      </c>
      <c r="AT6" s="41">
        <v>0.22247619628906201</v>
      </c>
      <c r="AU6" s="89">
        <v>89</v>
      </c>
      <c r="AV6" s="64">
        <v>85</v>
      </c>
      <c r="AW6" s="41">
        <v>-0.42241370302972497</v>
      </c>
      <c r="AX6" s="6">
        <v>999</v>
      </c>
      <c r="AY6" s="41">
        <v>-0.42241370302972497</v>
      </c>
      <c r="AZ6" s="94">
        <v>999</v>
      </c>
    </row>
    <row r="7" spans="1:52" x14ac:dyDescent="0.3">
      <c r="A7" t="s">
        <v>159</v>
      </c>
      <c r="B7" s="25">
        <v>45383</v>
      </c>
      <c r="C7" s="25">
        <v>45413</v>
      </c>
      <c r="D7" s="24">
        <v>4.63000011444091</v>
      </c>
      <c r="E7" s="2">
        <v>-0.19055939086218199</v>
      </c>
      <c r="F7" s="2">
        <v>-0.167266157897422</v>
      </c>
      <c r="G7" s="15">
        <v>-0.336933076163971</v>
      </c>
      <c r="H7" s="16">
        <v>-0.37580992797596302</v>
      </c>
      <c r="I7" s="17">
        <v>0.37365010287529699</v>
      </c>
      <c r="J7" s="18">
        <v>11</v>
      </c>
      <c r="K7" s="19">
        <v>-0.49892011319681301</v>
      </c>
      <c r="L7" s="18">
        <v>100</v>
      </c>
      <c r="M7" s="26">
        <v>7</v>
      </c>
      <c r="N7" s="28">
        <v>7</v>
      </c>
      <c r="O7" s="87">
        <v>11</v>
      </c>
      <c r="P7" s="28">
        <v>46</v>
      </c>
      <c r="Q7" s="28">
        <v>71</v>
      </c>
      <c r="R7" s="28">
        <v>71</v>
      </c>
      <c r="S7" s="98">
        <v>-0.22183712548345799</v>
      </c>
      <c r="T7" s="6">
        <v>41</v>
      </c>
      <c r="U7" s="41">
        <v>-0.30502595456890502</v>
      </c>
      <c r="V7" s="94">
        <v>67</v>
      </c>
      <c r="W7" s="64">
        <v>46</v>
      </c>
      <c r="X7" s="41">
        <v>-0.230900514398035</v>
      </c>
      <c r="Y7" s="6">
        <v>999</v>
      </c>
      <c r="Z7" s="41">
        <v>-0.230900514398035</v>
      </c>
      <c r="AA7" s="84">
        <v>999</v>
      </c>
      <c r="AB7" s="63">
        <v>71</v>
      </c>
      <c r="AC7" s="41">
        <v>1.61812919494221E-2</v>
      </c>
      <c r="AD7" s="6">
        <v>147</v>
      </c>
      <c r="AE7" s="41">
        <v>1.61812919494221E-2</v>
      </c>
      <c r="AF7" s="84">
        <v>147</v>
      </c>
      <c r="AG7" s="63">
        <v>71</v>
      </c>
      <c r="AH7" s="41">
        <v>1.61812919494221E-2</v>
      </c>
      <c r="AI7" s="6">
        <v>147</v>
      </c>
      <c r="AJ7" s="41">
        <v>1.61812919494221E-2</v>
      </c>
      <c r="AK7" s="84">
        <v>147</v>
      </c>
      <c r="AL7" s="95">
        <v>7</v>
      </c>
      <c r="AM7" s="41">
        <v>-0.34142114046529098</v>
      </c>
      <c r="AN7" s="6">
        <v>999</v>
      </c>
      <c r="AO7" s="41">
        <v>-0.34142114046529098</v>
      </c>
      <c r="AP7" s="84">
        <v>999</v>
      </c>
      <c r="AQ7" s="63">
        <v>7</v>
      </c>
      <c r="AR7" s="41">
        <v>-0.34142114046529098</v>
      </c>
      <c r="AS7" s="6">
        <v>999</v>
      </c>
      <c r="AT7" s="41">
        <v>-0.34142114046529098</v>
      </c>
      <c r="AU7" s="89">
        <v>999</v>
      </c>
      <c r="AV7" s="64">
        <v>11</v>
      </c>
      <c r="AW7" s="41">
        <v>-0.41169138629572299</v>
      </c>
      <c r="AX7" s="6">
        <v>999</v>
      </c>
      <c r="AY7" s="41">
        <v>-0.41169138629572299</v>
      </c>
      <c r="AZ7" s="94">
        <v>999</v>
      </c>
    </row>
    <row r="8" spans="1:52" x14ac:dyDescent="0.3">
      <c r="A8" t="s">
        <v>50</v>
      </c>
      <c r="B8" s="25">
        <v>45536</v>
      </c>
      <c r="C8" s="25">
        <v>45566</v>
      </c>
      <c r="D8" s="24">
        <v>4.0199999809265101</v>
      </c>
      <c r="E8" s="2">
        <v>-0.496871076835596</v>
      </c>
      <c r="F8" s="2">
        <v>-0.20238095012832</v>
      </c>
      <c r="G8" s="15">
        <v>-5.7213935364367099E-2</v>
      </c>
      <c r="H8" s="16">
        <v>-0.82587064890539097</v>
      </c>
      <c r="I8" s="17">
        <v>0.25373133974279899</v>
      </c>
      <c r="J8" s="18">
        <v>26</v>
      </c>
      <c r="K8" s="19">
        <v>-0.83830846287508298</v>
      </c>
      <c r="L8" s="18">
        <v>133</v>
      </c>
      <c r="M8" s="26">
        <v>11</v>
      </c>
      <c r="N8" s="28">
        <v>26</v>
      </c>
      <c r="P8" s="28">
        <v>36</v>
      </c>
      <c r="Q8" s="28">
        <v>82</v>
      </c>
      <c r="R8" s="28">
        <v>82</v>
      </c>
      <c r="S8" s="98">
        <v>0.19714962379700501</v>
      </c>
      <c r="T8" s="6">
        <v>26</v>
      </c>
      <c r="U8" s="41">
        <v>0.19714962379700501</v>
      </c>
      <c r="V8" s="94">
        <v>26</v>
      </c>
      <c r="W8" s="64">
        <v>36</v>
      </c>
      <c r="X8" s="41">
        <v>-0.32112153737577798</v>
      </c>
      <c r="Y8" s="6">
        <v>999</v>
      </c>
      <c r="Z8" s="41">
        <v>-0.32112153737577798</v>
      </c>
      <c r="AA8" s="84">
        <v>999</v>
      </c>
      <c r="AB8" s="63">
        <v>82</v>
      </c>
      <c r="AC8" s="41">
        <v>-0.38657843778892398</v>
      </c>
      <c r="AD8" s="6">
        <v>999</v>
      </c>
      <c r="AE8" s="41">
        <v>-0.38657843778892398</v>
      </c>
      <c r="AF8" s="84">
        <v>999</v>
      </c>
      <c r="AG8" s="63">
        <v>82</v>
      </c>
      <c r="AH8" s="41">
        <v>-0.38657843778892398</v>
      </c>
      <c r="AI8" s="6">
        <v>999</v>
      </c>
      <c r="AJ8" s="41">
        <v>-0.38657843778892398</v>
      </c>
      <c r="AK8" s="84">
        <v>999</v>
      </c>
      <c r="AL8" s="95">
        <v>11</v>
      </c>
      <c r="AM8" s="41">
        <v>-0.39365079289390897</v>
      </c>
      <c r="AN8" s="6">
        <v>999</v>
      </c>
      <c r="AO8" s="41">
        <v>-0.39365079289390897</v>
      </c>
      <c r="AP8" s="84">
        <v>999</v>
      </c>
      <c r="AQ8" s="63">
        <v>26</v>
      </c>
      <c r="AR8" s="41">
        <v>-0.49349205943131802</v>
      </c>
      <c r="AS8" s="6">
        <v>999</v>
      </c>
      <c r="AT8" s="41">
        <v>-0.49349205943131802</v>
      </c>
      <c r="AU8" s="89">
        <v>999</v>
      </c>
      <c r="AV8" s="64">
        <v>82</v>
      </c>
      <c r="AW8" s="41">
        <v>-0.38657843778892398</v>
      </c>
      <c r="AX8" s="6">
        <v>999</v>
      </c>
      <c r="AY8" s="41">
        <v>-0.38657843778892398</v>
      </c>
      <c r="AZ8" s="94">
        <v>999</v>
      </c>
    </row>
    <row r="9" spans="1:52" x14ac:dyDescent="0.3">
      <c r="A9" t="s">
        <v>26</v>
      </c>
      <c r="B9" s="25">
        <v>45444</v>
      </c>
      <c r="C9" s="25">
        <v>45474</v>
      </c>
      <c r="D9" s="24">
        <v>5.75</v>
      </c>
      <c r="E9" s="2">
        <v>-0.717027581366669</v>
      </c>
      <c r="F9" s="2">
        <v>-0.107142865076039</v>
      </c>
      <c r="G9" s="15">
        <v>2.0869545314623001E-2</v>
      </c>
      <c r="H9" s="16">
        <v>-0.39826086293096102</v>
      </c>
      <c r="I9" s="17">
        <v>0.44347829404084499</v>
      </c>
      <c r="J9" s="18">
        <v>20</v>
      </c>
      <c r="K9" s="19">
        <v>-0.39826086293096102</v>
      </c>
      <c r="L9" s="18">
        <v>150</v>
      </c>
      <c r="M9" s="26">
        <v>8</v>
      </c>
      <c r="N9" s="28">
        <v>9</v>
      </c>
      <c r="O9" s="87">
        <v>10</v>
      </c>
      <c r="P9" s="28">
        <v>28</v>
      </c>
      <c r="Q9" s="28">
        <v>28</v>
      </c>
      <c r="R9" s="28">
        <v>31</v>
      </c>
      <c r="S9" s="98">
        <v>-0.28184712130455902</v>
      </c>
      <c r="T9" s="6">
        <v>28</v>
      </c>
      <c r="U9" s="41">
        <v>-0.353503215423707</v>
      </c>
      <c r="V9" s="94">
        <v>29</v>
      </c>
      <c r="W9" s="64">
        <v>28</v>
      </c>
      <c r="X9" s="41">
        <v>0.34368062865531002</v>
      </c>
      <c r="Y9" s="6">
        <v>72</v>
      </c>
      <c r="Z9" s="41">
        <v>0.34368062865531002</v>
      </c>
      <c r="AA9" s="84">
        <v>72</v>
      </c>
      <c r="AB9" s="63">
        <v>28</v>
      </c>
      <c r="AC9" s="41">
        <v>0.34368062865531002</v>
      </c>
      <c r="AD9" s="6">
        <v>72</v>
      </c>
      <c r="AE9" s="41">
        <v>0.34368062865531002</v>
      </c>
      <c r="AF9" s="84">
        <v>72</v>
      </c>
      <c r="AG9" s="63">
        <v>31</v>
      </c>
      <c r="AH9" s="41">
        <v>0.53807102912954496</v>
      </c>
      <c r="AI9" s="6">
        <v>72</v>
      </c>
      <c r="AJ9" s="41">
        <v>0.53807102912954496</v>
      </c>
      <c r="AK9" s="84">
        <v>72</v>
      </c>
      <c r="AL9" s="95">
        <v>8</v>
      </c>
      <c r="AM9" s="41">
        <v>-0.25849732874795101</v>
      </c>
      <c r="AN9" s="6">
        <v>999</v>
      </c>
      <c r="AO9" s="41">
        <v>-0.25849732874795101</v>
      </c>
      <c r="AP9" s="84">
        <v>999</v>
      </c>
      <c r="AQ9" s="63">
        <v>9</v>
      </c>
      <c r="AR9" s="41">
        <v>-0.26881981934576199</v>
      </c>
      <c r="AS9" s="6">
        <v>999</v>
      </c>
      <c r="AT9" s="41">
        <v>-0.26881981934576199</v>
      </c>
      <c r="AU9" s="89">
        <v>999</v>
      </c>
      <c r="AV9" s="64">
        <v>10</v>
      </c>
      <c r="AW9" s="41">
        <v>-0.34166735976509399</v>
      </c>
      <c r="AX9" s="6">
        <v>999</v>
      </c>
      <c r="AY9" s="41">
        <v>-0.34166735976509399</v>
      </c>
      <c r="AZ9" s="94">
        <v>999</v>
      </c>
    </row>
    <row r="10" spans="1:52" x14ac:dyDescent="0.3">
      <c r="A10" t="s">
        <v>117</v>
      </c>
      <c r="B10" s="25">
        <v>45689</v>
      </c>
      <c r="C10" s="25">
        <v>45717</v>
      </c>
      <c r="D10" s="24">
        <v>25.929999351501401</v>
      </c>
      <c r="E10" s="2">
        <v>-0.458211470521939</v>
      </c>
      <c r="F10" s="2">
        <v>-0.31691254012416398</v>
      </c>
      <c r="G10" s="15">
        <v>-6.4404132833999705E-2</v>
      </c>
      <c r="I10" s="17">
        <v>0.31315079400836499</v>
      </c>
      <c r="J10" s="18">
        <v>30</v>
      </c>
      <c r="K10" s="19">
        <v>-0.172387210907121</v>
      </c>
      <c r="L10" s="18">
        <v>109</v>
      </c>
      <c r="M10" s="26">
        <v>4</v>
      </c>
      <c r="N10" s="28">
        <v>11</v>
      </c>
      <c r="O10" s="87">
        <v>30</v>
      </c>
      <c r="P10" s="28">
        <v>95</v>
      </c>
      <c r="S10" s="98">
        <v>0.148010769124514</v>
      </c>
      <c r="T10" s="6">
        <v>30</v>
      </c>
      <c r="U10" s="41">
        <v>0.148010769124514</v>
      </c>
      <c r="V10" s="94">
        <v>30</v>
      </c>
      <c r="W10" s="97">
        <v>95</v>
      </c>
      <c r="X10" s="41">
        <v>0.41103751093778101</v>
      </c>
      <c r="Y10" s="6">
        <v>125</v>
      </c>
      <c r="Z10" s="41">
        <v>0.41103751093778101</v>
      </c>
      <c r="AA10" s="84">
        <v>125</v>
      </c>
      <c r="AB10" s="91"/>
      <c r="AG10" s="91"/>
      <c r="AL10" s="93">
        <v>7</v>
      </c>
      <c r="AM10" s="41">
        <v>-5.9468846785589197E-2</v>
      </c>
      <c r="AN10" s="6">
        <v>999</v>
      </c>
      <c r="AO10" s="41">
        <v>-5.9468846785589197E-2</v>
      </c>
      <c r="AP10" s="84">
        <v>999</v>
      </c>
      <c r="AQ10" s="91">
        <v>11</v>
      </c>
      <c r="AR10" s="41">
        <v>-0.13084951745492701</v>
      </c>
      <c r="AS10" s="6">
        <v>999</v>
      </c>
      <c r="AT10" s="41">
        <v>-0.13084951745492701</v>
      </c>
      <c r="AU10" s="89">
        <v>999</v>
      </c>
      <c r="AV10" s="97">
        <v>30</v>
      </c>
      <c r="AW10" s="41">
        <v>-0.199047562518959</v>
      </c>
      <c r="AX10" s="6">
        <v>999</v>
      </c>
      <c r="AY10" s="41">
        <v>-0.199047562518959</v>
      </c>
      <c r="AZ10" s="94">
        <v>999</v>
      </c>
    </row>
    <row r="11" spans="1:52" x14ac:dyDescent="0.3">
      <c r="A11" t="s">
        <v>124</v>
      </c>
      <c r="B11" s="25">
        <v>45566</v>
      </c>
      <c r="C11" s="25">
        <v>45597</v>
      </c>
      <c r="D11" s="24">
        <v>35.689998626708899</v>
      </c>
      <c r="E11" s="2">
        <v>-0.17403380275622199</v>
      </c>
      <c r="F11" s="2">
        <v>-0.11570866979731401</v>
      </c>
      <c r="G11" s="15">
        <v>0.24040353491730701</v>
      </c>
      <c r="H11" s="16">
        <v>6.1361796740651599E-2</v>
      </c>
      <c r="I11" s="17">
        <v>0.49873924731498798</v>
      </c>
      <c r="J11" s="18">
        <v>70</v>
      </c>
      <c r="K11" s="19">
        <v>-0.112636556601227</v>
      </c>
      <c r="L11" s="18">
        <v>104</v>
      </c>
      <c r="M11" s="26">
        <v>5</v>
      </c>
      <c r="N11" s="28">
        <v>6</v>
      </c>
      <c r="O11" s="87">
        <v>69</v>
      </c>
      <c r="P11" s="28">
        <v>104</v>
      </c>
      <c r="S11" s="98">
        <v>0.28242634506265002</v>
      </c>
      <c r="T11" s="6">
        <v>70</v>
      </c>
      <c r="U11" s="41">
        <v>0.28242634506265002</v>
      </c>
      <c r="V11" s="94">
        <v>70</v>
      </c>
      <c r="W11" s="97">
        <v>104</v>
      </c>
      <c r="X11" s="41">
        <v>0.20776760050061999</v>
      </c>
      <c r="Y11" s="6">
        <v>131</v>
      </c>
      <c r="Z11" s="41">
        <v>0.20776760050061999</v>
      </c>
      <c r="AA11" s="84">
        <v>131</v>
      </c>
      <c r="AB11" s="91"/>
      <c r="AG11" s="91"/>
      <c r="AL11" s="93">
        <v>7</v>
      </c>
      <c r="AM11" s="41">
        <v>0.28242634506265002</v>
      </c>
      <c r="AN11" s="6">
        <v>70</v>
      </c>
      <c r="AO11" s="41">
        <v>0.28242634506265002</v>
      </c>
      <c r="AP11" s="84">
        <v>70</v>
      </c>
      <c r="AQ11" s="91">
        <v>7</v>
      </c>
      <c r="AR11" s="41">
        <v>0.28242634506265002</v>
      </c>
      <c r="AS11" s="6">
        <v>70</v>
      </c>
      <c r="AT11" s="41">
        <v>0.28242634506265002</v>
      </c>
      <c r="AU11" s="89">
        <v>70</v>
      </c>
      <c r="AV11" s="97">
        <v>69</v>
      </c>
      <c r="AW11" s="41">
        <v>-0.19618525963143199</v>
      </c>
      <c r="AX11" s="6">
        <v>999</v>
      </c>
      <c r="AY11" s="41">
        <v>-0.19618525963143199</v>
      </c>
      <c r="AZ11" s="94">
        <v>999</v>
      </c>
    </row>
    <row r="12" spans="1:52" x14ac:dyDescent="0.3">
      <c r="A12" t="s">
        <v>135</v>
      </c>
      <c r="B12" s="25">
        <v>45413</v>
      </c>
      <c r="C12" s="25">
        <v>45444</v>
      </c>
      <c r="D12" s="24">
        <v>9.8099999427795392</v>
      </c>
      <c r="E12" s="2">
        <v>6.7464677987545796E-2</v>
      </c>
      <c r="F12" s="2">
        <v>8.7583087020345105E-2</v>
      </c>
      <c r="G12" s="15">
        <v>0.27319060590934802</v>
      </c>
      <c r="H12" s="16">
        <v>-2.85423253253368E-2</v>
      </c>
      <c r="I12" s="17">
        <v>0.353720673846249</v>
      </c>
      <c r="J12" s="18">
        <v>109</v>
      </c>
      <c r="K12" s="19">
        <v>-0.115188546808858</v>
      </c>
      <c r="L12" s="18">
        <v>45</v>
      </c>
      <c r="M12" s="26">
        <v>51</v>
      </c>
      <c r="N12" s="28">
        <v>73</v>
      </c>
      <c r="O12" s="87">
        <v>109</v>
      </c>
      <c r="P12" s="28">
        <v>44</v>
      </c>
      <c r="S12" s="98">
        <v>0.30451859870959802</v>
      </c>
      <c r="T12" s="6">
        <v>109</v>
      </c>
      <c r="U12" s="41">
        <v>0.30451859870959802</v>
      </c>
      <c r="V12" s="94">
        <v>109</v>
      </c>
      <c r="W12" s="64">
        <v>44</v>
      </c>
      <c r="X12" s="41">
        <v>0.51945081015399097</v>
      </c>
      <c r="Y12" s="6">
        <v>109</v>
      </c>
      <c r="Z12" s="41">
        <v>0.51945081015399097</v>
      </c>
      <c r="AA12" s="84">
        <v>109</v>
      </c>
      <c r="AL12" s="95">
        <v>44</v>
      </c>
      <c r="AM12" s="41">
        <v>0.51945081015399097</v>
      </c>
      <c r="AN12" s="6">
        <v>109</v>
      </c>
      <c r="AO12" s="41">
        <v>0.51945081015399097</v>
      </c>
      <c r="AP12" s="84">
        <v>109</v>
      </c>
      <c r="AQ12" s="63">
        <v>73</v>
      </c>
      <c r="AR12" s="41">
        <v>6.0702815289135501E-2</v>
      </c>
      <c r="AS12" s="6">
        <v>109</v>
      </c>
      <c r="AT12" s="41">
        <v>6.0702815289135501E-2</v>
      </c>
      <c r="AU12" s="89">
        <v>109</v>
      </c>
      <c r="AV12" s="64">
        <v>109</v>
      </c>
      <c r="AW12" s="41">
        <v>-0.193147574616339</v>
      </c>
      <c r="AX12" s="6">
        <v>999</v>
      </c>
      <c r="AY12" s="41">
        <v>-0.193147574616339</v>
      </c>
      <c r="AZ12" s="94">
        <v>999</v>
      </c>
    </row>
    <row r="13" spans="1:52" x14ac:dyDescent="0.3">
      <c r="A13" t="s">
        <v>148</v>
      </c>
      <c r="B13" s="25">
        <v>45627</v>
      </c>
      <c r="C13" s="25">
        <v>45658</v>
      </c>
      <c r="D13" s="24">
        <v>6.8300001621246302</v>
      </c>
      <c r="E13" s="2">
        <v>5.8910457284730901E-3</v>
      </c>
      <c r="F13" s="2">
        <v>-8.5675990099404895E-2</v>
      </c>
      <c r="G13" s="15">
        <v>-0.43631042265818398</v>
      </c>
      <c r="H13" s="16">
        <v>-0.40995605942200702</v>
      </c>
      <c r="I13" s="17">
        <v>0.23426063031796901</v>
      </c>
      <c r="J13" s="18">
        <v>17</v>
      </c>
      <c r="K13" s="19">
        <v>-0.55929723001252096</v>
      </c>
      <c r="L13" s="18">
        <v>84</v>
      </c>
      <c r="M13" s="26">
        <v>17</v>
      </c>
      <c r="N13" s="28">
        <v>17</v>
      </c>
      <c r="P13" s="28">
        <v>7</v>
      </c>
      <c r="Q13" s="28">
        <v>58</v>
      </c>
      <c r="R13" s="28">
        <v>62</v>
      </c>
      <c r="S13" s="98">
        <v>-0.28827361879726199</v>
      </c>
      <c r="T13" s="6">
        <v>62</v>
      </c>
      <c r="U13" s="41">
        <v>-0.34039083407130399</v>
      </c>
      <c r="V13" s="94">
        <v>63</v>
      </c>
      <c r="W13" s="64">
        <v>7</v>
      </c>
      <c r="X13" s="41">
        <v>-0.22221089183849599</v>
      </c>
      <c r="Y13" s="6">
        <v>999</v>
      </c>
      <c r="Z13" s="41">
        <v>-0.22221089183849599</v>
      </c>
      <c r="AA13" s="84">
        <v>999</v>
      </c>
      <c r="AB13" s="63">
        <v>58</v>
      </c>
      <c r="AC13" s="41">
        <v>-0.30169367888306697</v>
      </c>
      <c r="AD13" s="6">
        <v>999</v>
      </c>
      <c r="AE13" s="41">
        <v>-0.30169367888306697</v>
      </c>
      <c r="AF13" s="84">
        <v>999</v>
      </c>
      <c r="AG13" s="63">
        <v>62</v>
      </c>
      <c r="AH13" s="41">
        <v>-0.15455220801577199</v>
      </c>
      <c r="AI13" s="6">
        <v>999</v>
      </c>
      <c r="AJ13" s="41">
        <v>-0.15455220801577199</v>
      </c>
      <c r="AK13" s="84">
        <v>999</v>
      </c>
      <c r="AL13" s="95">
        <v>7</v>
      </c>
      <c r="AM13" s="41">
        <v>-0.22221089183849599</v>
      </c>
      <c r="AN13" s="6">
        <v>999</v>
      </c>
      <c r="AO13" s="41">
        <v>-0.22221089183849599</v>
      </c>
      <c r="AP13" s="84">
        <v>999</v>
      </c>
      <c r="AQ13" s="63">
        <v>17</v>
      </c>
      <c r="AR13" s="41">
        <v>-0.44584906409332797</v>
      </c>
      <c r="AS13" s="6">
        <v>999</v>
      </c>
      <c r="AT13" s="41">
        <v>-0.44584906409332797</v>
      </c>
      <c r="AU13" s="89">
        <v>999</v>
      </c>
      <c r="AV13" s="64">
        <v>62</v>
      </c>
      <c r="AW13" s="41">
        <v>-0.15455220801577199</v>
      </c>
      <c r="AX13" s="6">
        <v>999</v>
      </c>
      <c r="AY13" s="41">
        <v>-0.15455220801577199</v>
      </c>
      <c r="AZ13" s="94">
        <v>999</v>
      </c>
    </row>
    <row r="14" spans="1:52" x14ac:dyDescent="0.3">
      <c r="A14" t="s">
        <v>96</v>
      </c>
      <c r="B14" s="25">
        <v>45627</v>
      </c>
      <c r="C14" s="25">
        <v>45658</v>
      </c>
      <c r="D14" s="24">
        <v>13.494999885559</v>
      </c>
      <c r="E14" s="2">
        <v>-0.18655818195071</v>
      </c>
      <c r="F14" s="2">
        <v>-0.155506866574633</v>
      </c>
      <c r="G14" s="15">
        <v>-0.11004073132792901</v>
      </c>
      <c r="H14" s="16">
        <v>0.156724697225186</v>
      </c>
      <c r="I14" s="17">
        <v>0.58873662214702405</v>
      </c>
      <c r="J14" s="18">
        <v>121</v>
      </c>
      <c r="K14" s="19">
        <v>-0.14042234310184501</v>
      </c>
      <c r="L14" s="18">
        <v>74</v>
      </c>
      <c r="M14" s="26">
        <v>4</v>
      </c>
      <c r="N14" s="28">
        <v>12</v>
      </c>
      <c r="O14" s="87">
        <v>114</v>
      </c>
      <c r="P14" s="28">
        <v>65</v>
      </c>
      <c r="S14" s="98">
        <v>-0.215003347122113</v>
      </c>
      <c r="T14" s="6">
        <v>65</v>
      </c>
      <c r="U14" s="41">
        <v>0.43603483562053302</v>
      </c>
      <c r="V14" s="94">
        <v>121</v>
      </c>
      <c r="W14" s="64">
        <v>65</v>
      </c>
      <c r="X14" s="41">
        <v>0.82935153972423603</v>
      </c>
      <c r="Y14" s="6">
        <v>121</v>
      </c>
      <c r="Z14" s="41">
        <v>0.82935153972423603</v>
      </c>
      <c r="AA14" s="84">
        <v>121</v>
      </c>
      <c r="AL14" s="95">
        <v>7</v>
      </c>
      <c r="AM14" s="41">
        <v>0.43603483562053302</v>
      </c>
      <c r="AN14" s="6">
        <v>121</v>
      </c>
      <c r="AO14" s="41">
        <v>0.43603483562053302</v>
      </c>
      <c r="AP14" s="84">
        <v>121</v>
      </c>
      <c r="AQ14" s="63">
        <v>12</v>
      </c>
      <c r="AR14" s="41">
        <v>0.31857320001599998</v>
      </c>
      <c r="AS14" s="6">
        <v>121</v>
      </c>
      <c r="AT14" s="41">
        <v>0.31857320001599998</v>
      </c>
      <c r="AU14" s="89">
        <v>121</v>
      </c>
      <c r="AV14" s="64">
        <v>114</v>
      </c>
      <c r="AW14" s="41">
        <v>-0.13794297257051499</v>
      </c>
      <c r="AX14" s="6">
        <v>999</v>
      </c>
      <c r="AY14" s="41">
        <v>-0.13794297257051499</v>
      </c>
      <c r="AZ14" s="94">
        <v>999</v>
      </c>
    </row>
    <row r="15" spans="1:52" x14ac:dyDescent="0.3">
      <c r="A15" t="s">
        <v>142</v>
      </c>
      <c r="B15" s="25">
        <v>45627</v>
      </c>
      <c r="C15" s="25">
        <v>45658</v>
      </c>
      <c r="D15" s="24">
        <v>7.46000003814697</v>
      </c>
      <c r="E15" s="2">
        <v>0.35883430767931901</v>
      </c>
      <c r="F15" s="2">
        <v>8.1081002711205202E-3</v>
      </c>
      <c r="G15" s="15">
        <v>-0.146112620243181</v>
      </c>
      <c r="H15" s="16">
        <v>-0.38739944392861603</v>
      </c>
      <c r="I15" s="17">
        <v>9.5174267361442605E-2</v>
      </c>
      <c r="J15" s="18">
        <v>16</v>
      </c>
      <c r="K15" s="19">
        <v>-0.49195711226907102</v>
      </c>
      <c r="L15" s="18">
        <v>144</v>
      </c>
      <c r="P15" s="28">
        <v>56</v>
      </c>
      <c r="Q15" s="28">
        <v>85</v>
      </c>
      <c r="R15" s="28">
        <v>112</v>
      </c>
      <c r="S15" s="98">
        <v>-0.20618561008731701</v>
      </c>
      <c r="T15" s="6">
        <v>73</v>
      </c>
      <c r="U15" s="41">
        <v>-0.30154640252182902</v>
      </c>
      <c r="V15" s="94">
        <v>110</v>
      </c>
      <c r="W15" s="64">
        <v>56</v>
      </c>
      <c r="X15" s="41">
        <v>-0.16449759536987599</v>
      </c>
      <c r="Y15" s="6">
        <v>999</v>
      </c>
      <c r="Z15" s="41">
        <v>-0.16449759536987599</v>
      </c>
      <c r="AA15" s="84">
        <v>999</v>
      </c>
      <c r="AB15" s="63">
        <v>85</v>
      </c>
      <c r="AC15" s="41">
        <v>-8.7004382695289401E-2</v>
      </c>
      <c r="AD15" s="6">
        <v>999</v>
      </c>
      <c r="AE15" s="41">
        <v>-8.7004382695289401E-2</v>
      </c>
      <c r="AF15" s="84">
        <v>999</v>
      </c>
      <c r="AG15" s="63">
        <v>112</v>
      </c>
      <c r="AH15" s="41">
        <v>-0.126965245191067</v>
      </c>
      <c r="AI15" s="6">
        <v>999</v>
      </c>
      <c r="AJ15" s="41">
        <v>-0.126965245191067</v>
      </c>
      <c r="AK15" s="84">
        <v>999</v>
      </c>
      <c r="AL15" s="95">
        <v>56</v>
      </c>
      <c r="AM15" s="41">
        <v>-0.16449759536987599</v>
      </c>
      <c r="AN15" s="6">
        <v>999</v>
      </c>
      <c r="AO15" s="41">
        <v>-0.16449759536987599</v>
      </c>
      <c r="AP15" s="84">
        <v>999</v>
      </c>
      <c r="AQ15" s="63">
        <v>85</v>
      </c>
      <c r="AR15" s="41">
        <v>-8.7004382695289401E-2</v>
      </c>
      <c r="AS15" s="6">
        <v>999</v>
      </c>
      <c r="AT15" s="41">
        <v>-8.7004382695289401E-2</v>
      </c>
      <c r="AU15" s="89">
        <v>999</v>
      </c>
      <c r="AV15" s="64">
        <v>112</v>
      </c>
      <c r="AW15" s="41">
        <v>-0.126965245191067</v>
      </c>
      <c r="AX15" s="6">
        <v>999</v>
      </c>
      <c r="AY15" s="41">
        <v>-0.126965245191067</v>
      </c>
      <c r="AZ15" s="94">
        <v>999</v>
      </c>
    </row>
    <row r="16" spans="1:52" x14ac:dyDescent="0.3">
      <c r="A16" t="s">
        <v>56</v>
      </c>
      <c r="B16" s="25">
        <v>45536</v>
      </c>
      <c r="C16" s="25">
        <v>45566</v>
      </c>
      <c r="D16" s="24">
        <v>7.71000003814697</v>
      </c>
      <c r="E16" s="2">
        <v>-0.29005522266232298</v>
      </c>
      <c r="F16" s="2">
        <v>-7.4429758852055494E-2</v>
      </c>
      <c r="G16" s="15">
        <v>1.94552651913453E-2</v>
      </c>
      <c r="H16" s="16">
        <v>-0.44617380547344698</v>
      </c>
      <c r="I16" s="17">
        <v>0.16212710685023801</v>
      </c>
      <c r="J16" s="18">
        <v>53</v>
      </c>
      <c r="K16" s="19">
        <v>-0.50194553888845095</v>
      </c>
      <c r="L16" s="18">
        <v>148</v>
      </c>
      <c r="M16" s="26">
        <v>49</v>
      </c>
      <c r="P16" s="28">
        <v>33</v>
      </c>
      <c r="Q16" s="28">
        <v>98</v>
      </c>
      <c r="R16" s="28">
        <v>109</v>
      </c>
      <c r="S16" s="98">
        <v>0.272727285042281</v>
      </c>
      <c r="T16" s="6">
        <v>53</v>
      </c>
      <c r="U16" s="45">
        <v>0.272727285042281</v>
      </c>
      <c r="V16" s="94">
        <v>53</v>
      </c>
      <c r="W16" s="64">
        <v>33</v>
      </c>
      <c r="X16" s="41">
        <v>-4.4537634531502501E-2</v>
      </c>
      <c r="Y16" s="6">
        <v>999</v>
      </c>
      <c r="Z16" s="45">
        <v>-4.4537634531502501E-2</v>
      </c>
      <c r="AA16" s="84">
        <v>999</v>
      </c>
      <c r="AB16" s="63">
        <v>98</v>
      </c>
      <c r="AC16" s="41">
        <v>-0.166574165166333</v>
      </c>
      <c r="AD16" s="6">
        <v>999</v>
      </c>
      <c r="AE16" s="45">
        <v>-0.166574165166333</v>
      </c>
      <c r="AF16" s="84">
        <v>999</v>
      </c>
      <c r="AG16" s="63">
        <v>109</v>
      </c>
      <c r="AH16" s="41">
        <v>-7.4939236205676898E-2</v>
      </c>
      <c r="AI16" s="6">
        <v>999</v>
      </c>
      <c r="AJ16" s="45">
        <v>-7.4939236205676898E-2</v>
      </c>
      <c r="AK16" s="84">
        <v>999</v>
      </c>
      <c r="AL16" s="95">
        <v>33</v>
      </c>
      <c r="AM16" s="41">
        <v>-4.4537634531502501E-2</v>
      </c>
      <c r="AN16" s="6">
        <v>999</v>
      </c>
      <c r="AO16" s="45">
        <v>-4.4537634531502501E-2</v>
      </c>
      <c r="AP16" s="84">
        <v>999</v>
      </c>
      <c r="AQ16" s="63">
        <v>98</v>
      </c>
      <c r="AR16" s="41">
        <v>-0.166574165166333</v>
      </c>
      <c r="AS16" s="6">
        <v>999</v>
      </c>
      <c r="AT16" s="45">
        <v>-0.166574165166333</v>
      </c>
      <c r="AU16" s="89">
        <v>999</v>
      </c>
      <c r="AV16" s="64">
        <v>109</v>
      </c>
      <c r="AW16" s="41">
        <v>-7.4939236205676898E-2</v>
      </c>
      <c r="AX16" s="6">
        <v>999</v>
      </c>
      <c r="AY16" s="45">
        <v>-7.4939236205676898E-2</v>
      </c>
      <c r="AZ16" s="94">
        <v>999</v>
      </c>
    </row>
    <row r="17" spans="1:52" x14ac:dyDescent="0.3">
      <c r="A17" t="s">
        <v>137</v>
      </c>
      <c r="B17" s="25">
        <v>45778</v>
      </c>
      <c r="C17" s="25">
        <v>45809</v>
      </c>
      <c r="D17" s="24">
        <v>18.695527076721099</v>
      </c>
      <c r="E17" s="2">
        <v>-0.44056723478762699</v>
      </c>
      <c r="F17" s="2">
        <v>-0.15312909721073201</v>
      </c>
      <c r="I17" s="17">
        <v>0.39864110214811099</v>
      </c>
      <c r="J17" s="18">
        <v>50</v>
      </c>
      <c r="K17" s="19">
        <v>0</v>
      </c>
      <c r="L17" s="18">
        <v>0</v>
      </c>
      <c r="M17" s="26">
        <v>5</v>
      </c>
      <c r="N17" s="28">
        <v>22</v>
      </c>
      <c r="O17" s="87">
        <v>50</v>
      </c>
      <c r="S17" s="98">
        <v>0.223570602868326</v>
      </c>
      <c r="T17" s="6">
        <v>50</v>
      </c>
      <c r="U17" s="41">
        <v>0.223570602868326</v>
      </c>
      <c r="V17" s="94">
        <v>50</v>
      </c>
      <c r="AL17" s="95">
        <v>7</v>
      </c>
      <c r="AM17" s="41">
        <v>0.223570602868326</v>
      </c>
      <c r="AN17" s="6">
        <v>50</v>
      </c>
      <c r="AO17" s="41">
        <v>0.223570602868326</v>
      </c>
      <c r="AP17" s="84">
        <v>50</v>
      </c>
      <c r="AQ17" s="63">
        <v>22</v>
      </c>
      <c r="AR17" s="41">
        <v>0.162043204751497</v>
      </c>
      <c r="AS17" s="6">
        <v>50</v>
      </c>
      <c r="AT17" s="41">
        <v>0.162043204751497</v>
      </c>
      <c r="AU17" s="89">
        <v>50</v>
      </c>
      <c r="AV17" s="64">
        <v>50</v>
      </c>
      <c r="AW17" s="41">
        <v>-4.1260563330796703E-2</v>
      </c>
      <c r="AX17" s="6">
        <v>999</v>
      </c>
      <c r="AY17" s="41">
        <v>-4.1260563330796703E-2</v>
      </c>
      <c r="AZ17" s="94">
        <v>999</v>
      </c>
    </row>
    <row r="18" spans="1:52" x14ac:dyDescent="0.3">
      <c r="A18" t="s">
        <v>78</v>
      </c>
      <c r="B18" s="25">
        <v>45383</v>
      </c>
      <c r="C18" s="25">
        <v>45413</v>
      </c>
      <c r="D18" s="24">
        <v>16.440000534057599</v>
      </c>
      <c r="E18" s="2">
        <v>-0.30309451344983901</v>
      </c>
      <c r="F18" s="2">
        <v>-7.5885346374064605E-2</v>
      </c>
      <c r="G18" s="15">
        <v>0.21836983187139999</v>
      </c>
      <c r="H18" s="16">
        <v>0.33272500825183399</v>
      </c>
      <c r="I18" s="17">
        <v>0.35888074372671902</v>
      </c>
      <c r="J18" s="18">
        <v>148</v>
      </c>
      <c r="K18" s="19">
        <v>-0.110097345548562</v>
      </c>
      <c r="L18" s="18">
        <v>20</v>
      </c>
      <c r="M18" s="26">
        <v>29</v>
      </c>
      <c r="N18" s="28">
        <v>34</v>
      </c>
      <c r="O18" s="87">
        <v>135</v>
      </c>
      <c r="P18" s="28">
        <v>20</v>
      </c>
      <c r="S18" s="98">
        <v>0.38930349866811798</v>
      </c>
      <c r="T18" s="6">
        <v>148</v>
      </c>
      <c r="U18" s="41">
        <v>0.38930349866811798</v>
      </c>
      <c r="V18" s="94">
        <v>148</v>
      </c>
      <c r="W18" s="64">
        <v>20</v>
      </c>
      <c r="X18" s="41">
        <v>0.52699931495807795</v>
      </c>
      <c r="Y18" s="6">
        <v>148</v>
      </c>
      <c r="Z18" s="41">
        <v>0.52699931495807795</v>
      </c>
      <c r="AA18" s="84">
        <v>148</v>
      </c>
      <c r="AL18" s="95">
        <v>20</v>
      </c>
      <c r="AM18" s="41">
        <v>0.52699931495807795</v>
      </c>
      <c r="AN18" s="6">
        <v>148</v>
      </c>
      <c r="AO18" s="41">
        <v>0.52699931495807795</v>
      </c>
      <c r="AP18" s="84">
        <v>148</v>
      </c>
      <c r="AQ18" s="63">
        <v>34</v>
      </c>
      <c r="AR18" s="41">
        <v>0.114770415767719</v>
      </c>
      <c r="AS18" s="6">
        <v>148</v>
      </c>
      <c r="AT18" s="41">
        <v>0.114770415767719</v>
      </c>
      <c r="AU18" s="89">
        <v>148</v>
      </c>
      <c r="AV18" s="64">
        <v>135</v>
      </c>
      <c r="AW18" s="41">
        <v>-2.3444785934216301E-2</v>
      </c>
      <c r="AX18" s="6">
        <v>999</v>
      </c>
      <c r="AY18" s="41">
        <v>-2.3444785934216301E-2</v>
      </c>
      <c r="AZ18" s="94">
        <v>999</v>
      </c>
    </row>
    <row r="19" spans="1:52" x14ac:dyDescent="0.3">
      <c r="A19" t="s">
        <v>15</v>
      </c>
      <c r="B19" s="25">
        <v>45413</v>
      </c>
      <c r="C19" s="25">
        <v>45444</v>
      </c>
      <c r="D19" s="24">
        <v>5.7379131317138601</v>
      </c>
      <c r="E19" s="2">
        <v>-4.4902672869801902E-2</v>
      </c>
      <c r="F19" s="2">
        <v>0.285115293012488</v>
      </c>
      <c r="G19" s="15">
        <v>-0.19482923852157899</v>
      </c>
      <c r="H19" s="16">
        <v>-0.353423456754419</v>
      </c>
      <c r="I19" s="17">
        <v>0.14501562168107801</v>
      </c>
      <c r="J19" s="18">
        <v>103</v>
      </c>
      <c r="K19" s="19">
        <v>-0.46844786905909902</v>
      </c>
      <c r="L19" s="18">
        <v>129</v>
      </c>
      <c r="M19" s="26">
        <v>103</v>
      </c>
      <c r="P19" s="28">
        <v>19</v>
      </c>
      <c r="Q19" s="28">
        <v>66</v>
      </c>
      <c r="R19" s="28">
        <v>121</v>
      </c>
      <c r="S19" s="98">
        <v>-0.212543542584753</v>
      </c>
      <c r="T19" s="6">
        <v>67</v>
      </c>
      <c r="U19" s="41">
        <v>0.18862243550685301</v>
      </c>
      <c r="V19" s="94">
        <v>103</v>
      </c>
      <c r="W19" s="97">
        <v>19</v>
      </c>
      <c r="X19" s="41">
        <v>0.29956040541887702</v>
      </c>
      <c r="Y19" s="6">
        <v>103</v>
      </c>
      <c r="Z19" s="41">
        <v>0.29956040541887702</v>
      </c>
      <c r="AA19" s="84">
        <v>103</v>
      </c>
      <c r="AB19" s="91">
        <v>66</v>
      </c>
      <c r="AC19" s="41">
        <v>0.43333866654238601</v>
      </c>
      <c r="AD19" s="6">
        <v>103</v>
      </c>
      <c r="AE19" s="41">
        <v>0.43333866654238601</v>
      </c>
      <c r="AF19" s="84">
        <v>103</v>
      </c>
      <c r="AG19" s="91">
        <v>121</v>
      </c>
      <c r="AH19" s="41">
        <v>-1.1753928301733701E-2</v>
      </c>
      <c r="AI19" s="6">
        <v>999</v>
      </c>
      <c r="AJ19" s="41">
        <v>-1.1753928301733701E-2</v>
      </c>
      <c r="AK19" s="84">
        <v>999</v>
      </c>
      <c r="AL19" s="93">
        <v>19</v>
      </c>
      <c r="AM19" s="41">
        <v>0.29956040541887702</v>
      </c>
      <c r="AN19" s="6">
        <v>103</v>
      </c>
      <c r="AO19" s="41">
        <v>0.29956040541887702</v>
      </c>
      <c r="AP19" s="84">
        <v>103</v>
      </c>
      <c r="AQ19" s="91">
        <v>66</v>
      </c>
      <c r="AR19" s="41">
        <v>0.43333866654238601</v>
      </c>
      <c r="AS19" s="6">
        <v>103</v>
      </c>
      <c r="AT19" s="41">
        <v>0.43333866654238601</v>
      </c>
      <c r="AU19" s="89">
        <v>103</v>
      </c>
      <c r="AV19" s="97">
        <v>121</v>
      </c>
      <c r="AW19" s="41">
        <v>-1.1753928301733701E-2</v>
      </c>
      <c r="AX19" s="6">
        <v>999</v>
      </c>
      <c r="AY19" s="41">
        <v>-1.1753928301733701E-2</v>
      </c>
      <c r="AZ19" s="94">
        <v>999</v>
      </c>
    </row>
    <row r="20" spans="1:52" x14ac:dyDescent="0.3">
      <c r="A20" t="s">
        <v>150</v>
      </c>
      <c r="B20" s="25">
        <v>45689</v>
      </c>
      <c r="C20" s="25">
        <v>45717</v>
      </c>
      <c r="D20" s="24">
        <v>25.402003288269</v>
      </c>
      <c r="E20" s="2">
        <v>0.18747234826430501</v>
      </c>
      <c r="F20" s="2">
        <v>-8.3541580778572905E-2</v>
      </c>
      <c r="G20" s="15">
        <v>0.26572756176609702</v>
      </c>
      <c r="I20" s="17">
        <v>0.38296183452344801</v>
      </c>
      <c r="J20" s="18">
        <v>136</v>
      </c>
      <c r="K20" s="19">
        <v>-5.5035170349404999E-2</v>
      </c>
      <c r="L20" s="18">
        <v>8</v>
      </c>
      <c r="M20" s="26">
        <v>43</v>
      </c>
      <c r="N20" s="28">
        <v>43</v>
      </c>
      <c r="O20" s="87">
        <v>62</v>
      </c>
      <c r="S20" s="98">
        <v>0.45568949654327501</v>
      </c>
      <c r="T20" s="6">
        <v>136</v>
      </c>
      <c r="U20" s="41">
        <v>0.45568949654327501</v>
      </c>
      <c r="V20" s="94">
        <v>136</v>
      </c>
      <c r="AL20" s="95">
        <v>43</v>
      </c>
      <c r="AM20" s="41">
        <v>0.14925344729460599</v>
      </c>
      <c r="AN20" s="6">
        <v>136</v>
      </c>
      <c r="AO20" s="41">
        <v>0.14925344729460599</v>
      </c>
      <c r="AP20" s="84">
        <v>136</v>
      </c>
      <c r="AQ20" s="63">
        <v>43</v>
      </c>
      <c r="AR20" s="41">
        <v>0.14925344729460599</v>
      </c>
      <c r="AS20" s="6">
        <v>136</v>
      </c>
      <c r="AT20" s="41">
        <v>0.14925344729460599</v>
      </c>
      <c r="AU20" s="89">
        <v>136</v>
      </c>
      <c r="AV20" s="64">
        <v>62</v>
      </c>
      <c r="AW20" s="41">
        <v>3.6771183424844499E-2</v>
      </c>
      <c r="AX20" s="6">
        <v>136</v>
      </c>
      <c r="AY20" s="41">
        <v>3.6771183424844499E-2</v>
      </c>
      <c r="AZ20" s="94">
        <v>136</v>
      </c>
    </row>
    <row r="21" spans="1:52" x14ac:dyDescent="0.3">
      <c r="A21" t="s">
        <v>162</v>
      </c>
      <c r="B21" s="25">
        <v>45597</v>
      </c>
      <c r="C21" s="25">
        <v>45627</v>
      </c>
      <c r="D21" s="24">
        <v>213.88501739501899</v>
      </c>
      <c r="E21" s="2">
        <v>2.45178741805735</v>
      </c>
      <c r="F21" s="2">
        <v>0.18515481442957801</v>
      </c>
      <c r="G21" s="15">
        <v>-0.138034903411484</v>
      </c>
      <c r="H21" s="16">
        <v>-0.35736193796914101</v>
      </c>
      <c r="I21" s="17">
        <v>2.05448411353545E-2</v>
      </c>
      <c r="J21" s="18">
        <v>7</v>
      </c>
      <c r="K21" s="19">
        <v>-0.38968208878990002</v>
      </c>
      <c r="L21" s="18">
        <v>94</v>
      </c>
      <c r="P21" s="28">
        <v>35</v>
      </c>
      <c r="Q21" s="28">
        <v>65</v>
      </c>
      <c r="R21" s="28">
        <v>84</v>
      </c>
      <c r="S21" s="98">
        <v>-0.30600240514796401</v>
      </c>
      <c r="T21" s="6">
        <v>65</v>
      </c>
      <c r="U21" s="41">
        <v>-0.30600240514796401</v>
      </c>
      <c r="V21" s="94">
        <v>65</v>
      </c>
      <c r="W21" s="64">
        <v>35</v>
      </c>
      <c r="X21" s="41">
        <v>-0.172826987477007</v>
      </c>
      <c r="Y21" s="6">
        <v>999</v>
      </c>
      <c r="Z21" s="41">
        <v>-0.172826987477007</v>
      </c>
      <c r="AA21" s="84">
        <v>999</v>
      </c>
      <c r="AB21" s="63">
        <v>65</v>
      </c>
      <c r="AC21" s="41">
        <v>-3.1961536327422997E-2</v>
      </c>
      <c r="AD21" s="6">
        <v>999</v>
      </c>
      <c r="AE21" s="41">
        <v>-3.1961536327422997E-2</v>
      </c>
      <c r="AF21" s="84">
        <v>999</v>
      </c>
      <c r="AG21" s="63">
        <v>84</v>
      </c>
      <c r="AH21" s="41">
        <v>3.8177953797602797E-2</v>
      </c>
      <c r="AI21" s="6">
        <v>999</v>
      </c>
      <c r="AJ21" s="41">
        <v>3.8177953797602797E-2</v>
      </c>
      <c r="AK21" s="84">
        <v>999</v>
      </c>
      <c r="AL21" s="95">
        <v>35</v>
      </c>
      <c r="AM21" s="41">
        <v>-0.172826987477007</v>
      </c>
      <c r="AN21" s="6">
        <v>999</v>
      </c>
      <c r="AO21" s="41">
        <v>-0.172826987477007</v>
      </c>
      <c r="AP21" s="84">
        <v>999</v>
      </c>
      <c r="AQ21" s="63">
        <v>65</v>
      </c>
      <c r="AR21" s="41">
        <v>-3.1961536327422997E-2</v>
      </c>
      <c r="AS21" s="6">
        <v>999</v>
      </c>
      <c r="AT21" s="41">
        <v>-3.1961536327422997E-2</v>
      </c>
      <c r="AU21" s="89">
        <v>999</v>
      </c>
      <c r="AV21" s="64">
        <v>84</v>
      </c>
      <c r="AW21" s="41">
        <v>3.8177953797602797E-2</v>
      </c>
      <c r="AX21" s="6">
        <v>999</v>
      </c>
      <c r="AY21" s="41">
        <v>3.8177953797602797E-2</v>
      </c>
      <c r="AZ21" s="94">
        <v>999</v>
      </c>
    </row>
    <row r="22" spans="1:52" x14ac:dyDescent="0.3">
      <c r="A22" t="s">
        <v>141</v>
      </c>
      <c r="B22" s="25">
        <v>45748</v>
      </c>
      <c r="C22" s="25">
        <v>45778</v>
      </c>
      <c r="D22" s="24">
        <v>46.491283416747997</v>
      </c>
      <c r="E22" s="2">
        <v>-0.26485105215587301</v>
      </c>
      <c r="F22" s="2">
        <v>-0.21778068881371601</v>
      </c>
      <c r="G22" s="15">
        <v>0.28561734727744797</v>
      </c>
      <c r="I22" s="17">
        <v>0.44500205991247799</v>
      </c>
      <c r="J22" s="18">
        <v>91</v>
      </c>
      <c r="K22" s="19">
        <v>0</v>
      </c>
      <c r="L22" s="18">
        <v>0</v>
      </c>
      <c r="M22" s="26">
        <v>7</v>
      </c>
      <c r="N22" s="28">
        <v>42</v>
      </c>
      <c r="O22" s="87">
        <v>70</v>
      </c>
      <c r="S22" s="98">
        <v>0.2608010668979</v>
      </c>
      <c r="T22" s="6">
        <v>91</v>
      </c>
      <c r="U22" s="41">
        <v>0.2608010668979</v>
      </c>
      <c r="V22" s="94">
        <v>91</v>
      </c>
      <c r="AL22" s="95">
        <v>7</v>
      </c>
      <c r="AM22" s="41">
        <v>0.2608010668979</v>
      </c>
      <c r="AN22" s="6">
        <v>91</v>
      </c>
      <c r="AO22" s="41">
        <v>0.2608010668979</v>
      </c>
      <c r="AP22" s="84">
        <v>91</v>
      </c>
      <c r="AQ22" s="63">
        <v>42</v>
      </c>
      <c r="AR22" s="41">
        <v>0.19443772421352401</v>
      </c>
      <c r="AS22" s="6">
        <v>91</v>
      </c>
      <c r="AT22" s="41">
        <v>0.19443772421352401</v>
      </c>
      <c r="AU22" s="89">
        <v>91</v>
      </c>
      <c r="AV22" s="64">
        <v>70</v>
      </c>
      <c r="AW22" s="41">
        <v>4.1924483412678203E-2</v>
      </c>
      <c r="AX22" s="6">
        <v>999</v>
      </c>
      <c r="AY22" s="41">
        <v>4.1924483412678203E-2</v>
      </c>
      <c r="AZ22" s="94">
        <v>999</v>
      </c>
    </row>
    <row r="23" spans="1:52" x14ac:dyDescent="0.3">
      <c r="A23" t="s">
        <v>133</v>
      </c>
      <c r="B23" s="25">
        <v>45474</v>
      </c>
      <c r="C23" s="25">
        <v>45505</v>
      </c>
      <c r="D23" s="24">
        <v>61.305965423583899</v>
      </c>
      <c r="E23" s="2">
        <v>0.26075941204380099</v>
      </c>
      <c r="F23" s="2">
        <v>0.14497927978903399</v>
      </c>
      <c r="G23" s="15">
        <v>-0.14716161560914301</v>
      </c>
      <c r="H23" s="16">
        <v>-0.34012364265526601</v>
      </c>
      <c r="I23" s="17">
        <v>4.4605650018720099E-2</v>
      </c>
      <c r="J23" s="18">
        <v>63</v>
      </c>
      <c r="K23" s="19">
        <v>-0.45184873789052499</v>
      </c>
      <c r="L23" s="18">
        <v>130</v>
      </c>
      <c r="P23" s="28">
        <v>72</v>
      </c>
      <c r="Q23" s="28">
        <v>97</v>
      </c>
      <c r="R23" s="28">
        <v>128</v>
      </c>
      <c r="S23" s="98">
        <v>0.12673795937236501</v>
      </c>
      <c r="T23" s="6">
        <v>63</v>
      </c>
      <c r="U23" s="41">
        <v>0.12673795937236501</v>
      </c>
      <c r="V23" s="94">
        <v>63</v>
      </c>
      <c r="W23" s="64">
        <v>72</v>
      </c>
      <c r="X23" s="41">
        <v>-0.111778385878053</v>
      </c>
      <c r="Y23" s="6">
        <v>999</v>
      </c>
      <c r="Z23" s="41">
        <v>-0.111778385878053</v>
      </c>
      <c r="AA23" s="84">
        <v>999</v>
      </c>
      <c r="AB23" s="63">
        <v>97</v>
      </c>
      <c r="AC23" s="41">
        <v>0.161944837472314</v>
      </c>
      <c r="AD23" s="6">
        <v>124</v>
      </c>
      <c r="AE23" s="41">
        <v>0.161944837472314</v>
      </c>
      <c r="AF23" s="84">
        <v>124</v>
      </c>
      <c r="AG23" s="63">
        <v>128</v>
      </c>
      <c r="AH23" s="41">
        <v>4.5185067614350802E-2</v>
      </c>
      <c r="AI23" s="6">
        <v>999</v>
      </c>
      <c r="AJ23" s="41">
        <v>4.5185067614350802E-2</v>
      </c>
      <c r="AK23" s="84">
        <v>999</v>
      </c>
      <c r="AL23" s="95">
        <v>72</v>
      </c>
      <c r="AM23" s="41">
        <v>-0.111778385878053</v>
      </c>
      <c r="AN23" s="6">
        <v>999</v>
      </c>
      <c r="AO23" s="41">
        <v>-0.111778385878053</v>
      </c>
      <c r="AP23" s="84">
        <v>999</v>
      </c>
      <c r="AQ23" s="63">
        <v>97</v>
      </c>
      <c r="AR23" s="41">
        <v>0.161944837472314</v>
      </c>
      <c r="AS23" s="6">
        <v>124</v>
      </c>
      <c r="AT23" s="41">
        <v>0.161944837472314</v>
      </c>
      <c r="AU23" s="89">
        <v>124</v>
      </c>
      <c r="AV23" s="64">
        <v>128</v>
      </c>
      <c r="AW23" s="41">
        <v>4.5185067614350802E-2</v>
      </c>
      <c r="AX23" s="6">
        <v>999</v>
      </c>
      <c r="AY23" s="41">
        <v>4.5185067614350802E-2</v>
      </c>
      <c r="AZ23" s="94">
        <v>999</v>
      </c>
    </row>
    <row r="24" spans="1:52" x14ac:dyDescent="0.3">
      <c r="A24" t="s">
        <v>76</v>
      </c>
      <c r="B24" s="25">
        <v>45383</v>
      </c>
      <c r="C24" s="25">
        <v>45413</v>
      </c>
      <c r="D24" s="24">
        <v>3.8199999332427899</v>
      </c>
      <c r="E24" s="2">
        <v>-0.101176486295812</v>
      </c>
      <c r="F24" s="2">
        <v>-4.9751255878767602E-2</v>
      </c>
      <c r="G24" s="15">
        <v>-0.22513086652485101</v>
      </c>
      <c r="H24" s="16">
        <v>-0.40837695550828301</v>
      </c>
      <c r="I24" s="17">
        <v>2.61780483766282E-2</v>
      </c>
      <c r="J24" s="18">
        <v>3</v>
      </c>
      <c r="K24" s="19">
        <v>-0.46335078844463701</v>
      </c>
      <c r="L24" s="18">
        <v>140</v>
      </c>
      <c r="P24" s="28">
        <v>8</v>
      </c>
      <c r="Q24" s="28">
        <v>25</v>
      </c>
      <c r="R24" s="28">
        <v>99</v>
      </c>
      <c r="S24" s="98">
        <v>-0.20679887393485799</v>
      </c>
      <c r="T24" s="6">
        <v>27</v>
      </c>
      <c r="U24" s="41">
        <v>2.8328585111345702E-3</v>
      </c>
      <c r="V24" s="94">
        <v>51</v>
      </c>
      <c r="W24" s="64">
        <v>8</v>
      </c>
      <c r="X24" s="41">
        <v>4.4247744043386099E-2</v>
      </c>
      <c r="Y24" s="6">
        <v>51</v>
      </c>
      <c r="Z24" s="41">
        <v>4.4247744043386099E-2</v>
      </c>
      <c r="AA24" s="84">
        <v>51</v>
      </c>
      <c r="AB24" s="63">
        <v>25</v>
      </c>
      <c r="AC24" s="41">
        <v>0.187919442682973</v>
      </c>
      <c r="AD24" s="6">
        <v>51</v>
      </c>
      <c r="AE24" s="41">
        <v>0.187919442682973</v>
      </c>
      <c r="AF24" s="84">
        <v>51</v>
      </c>
      <c r="AG24" s="63">
        <v>99</v>
      </c>
      <c r="AH24" s="41">
        <v>6.8181750449269801E-2</v>
      </c>
      <c r="AI24" s="6">
        <v>131</v>
      </c>
      <c r="AJ24" s="41">
        <v>6.8181750449269801E-2</v>
      </c>
      <c r="AK24" s="84">
        <v>131</v>
      </c>
      <c r="AL24" s="95">
        <v>8</v>
      </c>
      <c r="AM24" s="41">
        <v>4.4247744043386099E-2</v>
      </c>
      <c r="AN24" s="6">
        <v>51</v>
      </c>
      <c r="AO24" s="41">
        <v>4.4247744043386099E-2</v>
      </c>
      <c r="AP24" s="84">
        <v>51</v>
      </c>
      <c r="AQ24" s="63">
        <v>25</v>
      </c>
      <c r="AR24" s="41">
        <v>0.187919442682973</v>
      </c>
      <c r="AS24" s="6">
        <v>51</v>
      </c>
      <c r="AT24" s="41">
        <v>0.187919442682973</v>
      </c>
      <c r="AU24" s="89">
        <v>51</v>
      </c>
      <c r="AV24" s="64">
        <v>99</v>
      </c>
      <c r="AW24" s="41">
        <v>6.8181750449269801E-2</v>
      </c>
      <c r="AX24" s="6">
        <v>131</v>
      </c>
      <c r="AY24" s="41">
        <v>6.8181750449269801E-2</v>
      </c>
      <c r="AZ24" s="94">
        <v>131</v>
      </c>
    </row>
    <row r="25" spans="1:52" x14ac:dyDescent="0.3">
      <c r="A25" t="s">
        <v>112</v>
      </c>
      <c r="B25" s="25">
        <v>45839</v>
      </c>
      <c r="C25" s="25">
        <v>45870</v>
      </c>
      <c r="D25" s="24">
        <v>5.63000011444091</v>
      </c>
      <c r="E25" s="2">
        <v>-0.424923377285153</v>
      </c>
      <c r="F25" s="2">
        <v>-0.10492843424718699</v>
      </c>
      <c r="I25" s="17">
        <v>0.48490221789408</v>
      </c>
      <c r="J25" s="18">
        <v>30</v>
      </c>
      <c r="K25" s="19">
        <v>0</v>
      </c>
      <c r="L25" s="18">
        <v>0</v>
      </c>
      <c r="M25" s="26">
        <v>5</v>
      </c>
      <c r="N25" s="28">
        <v>6</v>
      </c>
      <c r="O25" s="87">
        <v>23</v>
      </c>
      <c r="S25" s="98">
        <v>0.22222214476329599</v>
      </c>
      <c r="T25" s="6">
        <v>30</v>
      </c>
      <c r="U25" s="41">
        <v>0.22222214476329599</v>
      </c>
      <c r="V25" s="94">
        <v>30</v>
      </c>
      <c r="W25" s="97"/>
      <c r="AB25" s="91"/>
      <c r="AG25" s="91"/>
      <c r="AL25" s="93">
        <v>7</v>
      </c>
      <c r="AM25" s="41">
        <v>7.5146168711117498E-2</v>
      </c>
      <c r="AN25" s="6">
        <v>999</v>
      </c>
      <c r="AO25" s="41">
        <v>7.5146168711117498E-2</v>
      </c>
      <c r="AP25" s="84">
        <v>999</v>
      </c>
      <c r="AQ25" s="91">
        <v>7</v>
      </c>
      <c r="AR25" s="41">
        <v>7.5146168711117498E-2</v>
      </c>
      <c r="AS25" s="6">
        <v>999</v>
      </c>
      <c r="AT25" s="41">
        <v>7.5146168711117498E-2</v>
      </c>
      <c r="AU25" s="89">
        <v>999</v>
      </c>
      <c r="AV25" s="97">
        <v>23</v>
      </c>
      <c r="AW25" s="41">
        <v>7.0652141245354502E-2</v>
      </c>
      <c r="AX25" s="6">
        <v>999</v>
      </c>
      <c r="AY25" s="41">
        <v>7.0652141245354502E-2</v>
      </c>
      <c r="AZ25" s="94">
        <v>999</v>
      </c>
    </row>
    <row r="26" spans="1:52" x14ac:dyDescent="0.3">
      <c r="A26" t="s">
        <v>161</v>
      </c>
      <c r="B26" s="25">
        <v>45474</v>
      </c>
      <c r="C26" s="25">
        <v>45505</v>
      </c>
      <c r="D26" s="24">
        <v>145.96000671386699</v>
      </c>
      <c r="E26" s="2">
        <v>-0.139386783837847</v>
      </c>
      <c r="F26" s="2">
        <v>-7.3505059450100399E-2</v>
      </c>
      <c r="G26" s="15">
        <v>0.216908652692685</v>
      </c>
      <c r="H26" s="16">
        <v>0.38346110843660602</v>
      </c>
      <c r="I26" s="17">
        <v>0.48246091346784598</v>
      </c>
      <c r="J26" s="18">
        <v>136</v>
      </c>
      <c r="K26" s="19">
        <v>-7.0498822085517596E-2</v>
      </c>
      <c r="L26" s="18">
        <v>4</v>
      </c>
      <c r="M26" s="26">
        <v>18</v>
      </c>
      <c r="N26" s="28">
        <v>69</v>
      </c>
      <c r="O26" s="87">
        <v>88</v>
      </c>
      <c r="S26" s="98">
        <v>0.46907471482099899</v>
      </c>
      <c r="T26" s="6">
        <v>136</v>
      </c>
      <c r="U26" s="41">
        <v>0.46907471482099899</v>
      </c>
      <c r="V26" s="94">
        <v>136</v>
      </c>
      <c r="AL26" s="95">
        <v>18</v>
      </c>
      <c r="AM26" s="41">
        <v>0.34581419657701201</v>
      </c>
      <c r="AN26" s="6">
        <v>136</v>
      </c>
      <c r="AO26" s="41">
        <v>0.34581419657701201</v>
      </c>
      <c r="AP26" s="84">
        <v>136</v>
      </c>
      <c r="AQ26" s="63">
        <v>69</v>
      </c>
      <c r="AR26" s="41">
        <v>0.20767989671340301</v>
      </c>
      <c r="AS26" s="6">
        <v>136</v>
      </c>
      <c r="AT26" s="41">
        <v>0.20767989671340301</v>
      </c>
      <c r="AU26" s="89">
        <v>136</v>
      </c>
      <c r="AV26" s="64">
        <v>88</v>
      </c>
      <c r="AW26" s="41">
        <v>0.138662349485771</v>
      </c>
      <c r="AX26" s="6">
        <v>136</v>
      </c>
      <c r="AY26" s="41">
        <v>0.138662349485771</v>
      </c>
      <c r="AZ26" s="94">
        <v>136</v>
      </c>
    </row>
    <row r="27" spans="1:52" x14ac:dyDescent="0.3">
      <c r="A27" t="s">
        <v>58</v>
      </c>
      <c r="B27" s="25">
        <v>45627</v>
      </c>
      <c r="C27" s="25">
        <v>45658</v>
      </c>
      <c r="D27" s="24">
        <v>7.1649999618530202</v>
      </c>
      <c r="E27" s="2">
        <v>-0.17071762996047199</v>
      </c>
      <c r="F27" s="2">
        <v>-0.21177119454578</v>
      </c>
      <c r="G27" s="15">
        <v>-0.23656666862326201</v>
      </c>
      <c r="H27" s="16">
        <v>-0.51430564722941297</v>
      </c>
      <c r="I27" s="17">
        <v>0.12909981795668199</v>
      </c>
      <c r="J27" s="18">
        <v>25</v>
      </c>
      <c r="K27" s="19">
        <v>-0.51430564722941297</v>
      </c>
      <c r="L27" s="18">
        <v>150</v>
      </c>
      <c r="M27" s="26">
        <v>22</v>
      </c>
      <c r="P27" s="28">
        <v>36</v>
      </c>
      <c r="Q27" s="28">
        <v>36</v>
      </c>
      <c r="R27" s="28">
        <v>87</v>
      </c>
      <c r="S27" s="98">
        <v>-0.22814814249674401</v>
      </c>
      <c r="T27" s="6">
        <v>63</v>
      </c>
      <c r="U27" s="41">
        <v>-0.354074054294162</v>
      </c>
      <c r="V27" s="94">
        <v>87</v>
      </c>
      <c r="W27" s="64">
        <v>36</v>
      </c>
      <c r="X27" s="41">
        <v>0.13957596875452799</v>
      </c>
      <c r="Y27" s="6">
        <v>104</v>
      </c>
      <c r="Z27" s="41">
        <v>0.13957596875452799</v>
      </c>
      <c r="AA27" s="84">
        <v>104</v>
      </c>
      <c r="AB27" s="63">
        <v>36</v>
      </c>
      <c r="AC27" s="41">
        <v>0.13957596875452799</v>
      </c>
      <c r="AD27" s="6">
        <v>104</v>
      </c>
      <c r="AE27" s="41">
        <v>0.13957596875452799</v>
      </c>
      <c r="AF27" s="84">
        <v>104</v>
      </c>
      <c r="AG27" s="63">
        <v>87</v>
      </c>
      <c r="AH27" s="41">
        <v>0.1573967477041</v>
      </c>
      <c r="AI27" s="6">
        <v>999</v>
      </c>
      <c r="AJ27" s="41">
        <v>0.1573967477041</v>
      </c>
      <c r="AK27" s="84">
        <v>999</v>
      </c>
      <c r="AL27" s="95">
        <v>22</v>
      </c>
      <c r="AM27" s="41">
        <v>-0.30417128308814001</v>
      </c>
      <c r="AN27" s="6">
        <v>999</v>
      </c>
      <c r="AO27" s="41">
        <v>-0.30417128308814001</v>
      </c>
      <c r="AP27" s="84">
        <v>999</v>
      </c>
      <c r="AQ27" s="63">
        <v>36</v>
      </c>
      <c r="AR27" s="41">
        <v>0.13957596875452799</v>
      </c>
      <c r="AS27" s="6">
        <v>104</v>
      </c>
      <c r="AT27" s="41">
        <v>0.13957596875452799</v>
      </c>
      <c r="AU27" s="89">
        <v>104</v>
      </c>
      <c r="AV27" s="64">
        <v>87</v>
      </c>
      <c r="AW27" s="41">
        <v>0.1573967477041</v>
      </c>
      <c r="AX27" s="6">
        <v>999</v>
      </c>
      <c r="AY27" s="41">
        <v>0.1573967477041</v>
      </c>
      <c r="AZ27" s="94">
        <v>999</v>
      </c>
    </row>
    <row r="28" spans="1:52" x14ac:dyDescent="0.3">
      <c r="A28" t="s">
        <v>146</v>
      </c>
      <c r="B28" s="25">
        <v>45717</v>
      </c>
      <c r="C28" s="25">
        <v>45748</v>
      </c>
      <c r="D28" s="24">
        <v>8.3900003433227504</v>
      </c>
      <c r="E28" s="2">
        <v>-0.43653457690582498</v>
      </c>
      <c r="F28" s="2">
        <v>-0.18543687495561401</v>
      </c>
      <c r="G28" s="15">
        <v>-0.43027413418253901</v>
      </c>
      <c r="I28" s="17">
        <v>2.3837878555548399E-2</v>
      </c>
      <c r="J28" s="18">
        <v>1</v>
      </c>
      <c r="K28" s="19">
        <v>-0.476758082616836</v>
      </c>
      <c r="L28" s="18">
        <v>12</v>
      </c>
      <c r="P28" s="28">
        <v>5</v>
      </c>
      <c r="Q28" s="28">
        <v>6</v>
      </c>
      <c r="R28" s="28">
        <v>6</v>
      </c>
      <c r="S28" s="98">
        <v>-0.22024870741560501</v>
      </c>
      <c r="T28" s="6">
        <v>12</v>
      </c>
      <c r="U28" s="41">
        <v>0.17406749540906599</v>
      </c>
      <c r="V28" s="94">
        <v>32</v>
      </c>
      <c r="W28" s="64">
        <v>7</v>
      </c>
      <c r="X28" s="41">
        <v>0.17406749540906599</v>
      </c>
      <c r="Y28" s="6">
        <v>32</v>
      </c>
      <c r="Z28" s="41">
        <v>0.17406749540906599</v>
      </c>
      <c r="AA28" s="84">
        <v>32</v>
      </c>
      <c r="AB28" s="63">
        <v>7</v>
      </c>
      <c r="AC28" s="41">
        <v>0.17406749540906599</v>
      </c>
      <c r="AD28" s="6">
        <v>32</v>
      </c>
      <c r="AE28" s="41">
        <v>0.17406749540906599</v>
      </c>
      <c r="AF28" s="84">
        <v>32</v>
      </c>
      <c r="AG28" s="63">
        <v>7</v>
      </c>
      <c r="AH28" s="41">
        <v>0.17406749540906599</v>
      </c>
      <c r="AI28" s="6">
        <v>32</v>
      </c>
      <c r="AJ28" s="41">
        <v>0.17406749540906599</v>
      </c>
      <c r="AK28" s="84">
        <v>32</v>
      </c>
      <c r="AL28" s="95">
        <v>7</v>
      </c>
      <c r="AM28" s="41">
        <v>0.17406749540906599</v>
      </c>
      <c r="AN28" s="6">
        <v>32</v>
      </c>
      <c r="AO28" s="41">
        <v>0.17406749540906599</v>
      </c>
      <c r="AP28" s="84">
        <v>32</v>
      </c>
      <c r="AQ28" s="63">
        <v>7</v>
      </c>
      <c r="AR28" s="41">
        <v>0.17406749540906599</v>
      </c>
      <c r="AS28" s="6">
        <v>32</v>
      </c>
      <c r="AT28" s="41">
        <v>0.17406749540906599</v>
      </c>
      <c r="AU28" s="89">
        <v>32</v>
      </c>
      <c r="AV28" s="64">
        <v>7</v>
      </c>
      <c r="AW28" s="41">
        <v>0.17406749540906599</v>
      </c>
      <c r="AX28" s="6">
        <v>32</v>
      </c>
      <c r="AY28" s="41">
        <v>0.17406749540906599</v>
      </c>
      <c r="AZ28" s="94">
        <v>32</v>
      </c>
    </row>
    <row r="29" spans="1:52" x14ac:dyDescent="0.3">
      <c r="A29" t="s">
        <v>57</v>
      </c>
      <c r="B29" s="25">
        <v>45413</v>
      </c>
      <c r="C29" s="25">
        <v>45444</v>
      </c>
      <c r="D29" s="24">
        <v>13.0976634025573</v>
      </c>
      <c r="E29" s="2">
        <v>-0.24786364596244101</v>
      </c>
      <c r="F29" s="2">
        <v>7.3296410322136504E-2</v>
      </c>
      <c r="G29" s="15">
        <v>0.39321025123571002</v>
      </c>
      <c r="H29" s="16">
        <v>0.61816754758327597</v>
      </c>
      <c r="I29" s="17">
        <v>0.694687424991692</v>
      </c>
      <c r="J29" s="18">
        <v>137</v>
      </c>
      <c r="K29" s="19">
        <v>-5.3156476980621002E-2</v>
      </c>
      <c r="L29" s="18">
        <v>25</v>
      </c>
      <c r="M29" s="26">
        <v>30</v>
      </c>
      <c r="N29" s="28">
        <v>30</v>
      </c>
      <c r="O29" s="87">
        <v>45</v>
      </c>
      <c r="S29" s="98">
        <v>0.65234882242780101</v>
      </c>
      <c r="T29" s="6">
        <v>137</v>
      </c>
      <c r="U29" s="41">
        <v>0.65234882242780101</v>
      </c>
      <c r="V29" s="94">
        <v>137</v>
      </c>
      <c r="AL29" s="95">
        <v>30</v>
      </c>
      <c r="AM29" s="41">
        <v>0.41191419415799202</v>
      </c>
      <c r="AN29" s="6">
        <v>137</v>
      </c>
      <c r="AO29" s="41">
        <v>0.41191419415799202</v>
      </c>
      <c r="AP29" s="84">
        <v>137</v>
      </c>
      <c r="AQ29" s="63">
        <v>30</v>
      </c>
      <c r="AR29" s="41">
        <v>0.41191419415799202</v>
      </c>
      <c r="AS29" s="6">
        <v>137</v>
      </c>
      <c r="AT29" s="41">
        <v>0.41191419415799202</v>
      </c>
      <c r="AU29" s="89">
        <v>137</v>
      </c>
      <c r="AV29" s="64">
        <v>45</v>
      </c>
      <c r="AW29" s="41">
        <v>0.295591573249114</v>
      </c>
      <c r="AX29" s="6">
        <v>137</v>
      </c>
      <c r="AY29" s="41">
        <v>0.295591573249114</v>
      </c>
      <c r="AZ29" s="94">
        <v>137</v>
      </c>
    </row>
    <row r="30" spans="1:52" x14ac:dyDescent="0.3">
      <c r="A30" t="s">
        <v>129</v>
      </c>
      <c r="B30" s="25">
        <v>45444</v>
      </c>
      <c r="C30" s="25">
        <v>45474</v>
      </c>
      <c r="D30" s="24">
        <v>11.519740104675201</v>
      </c>
      <c r="E30" s="2">
        <v>-0.35748562160526698</v>
      </c>
      <c r="F30" s="2">
        <v>-5.3738299636930303E-2</v>
      </c>
      <c r="G30" s="15">
        <v>0.13961866902640199</v>
      </c>
      <c r="H30" s="16">
        <v>0.52546794220172699</v>
      </c>
      <c r="I30" s="17">
        <v>0.75428788517369805</v>
      </c>
      <c r="J30" s="18">
        <v>130</v>
      </c>
      <c r="K30" s="19">
        <v>-5.6790186006284799E-2</v>
      </c>
      <c r="L30" s="18">
        <v>3</v>
      </c>
      <c r="M30" s="26">
        <v>11</v>
      </c>
      <c r="N30" s="28">
        <v>14</v>
      </c>
      <c r="O30" s="87">
        <v>15</v>
      </c>
      <c r="S30" s="98">
        <v>0.66911486763606898</v>
      </c>
      <c r="T30" s="6">
        <v>130</v>
      </c>
      <c r="U30" s="41">
        <v>0.66911486763606898</v>
      </c>
      <c r="V30" s="94">
        <v>130</v>
      </c>
      <c r="W30" s="97"/>
      <c r="AB30" s="91"/>
      <c r="AG30" s="91"/>
      <c r="AL30" s="93">
        <v>11</v>
      </c>
      <c r="AM30" s="41">
        <v>0.56724987293733897</v>
      </c>
      <c r="AN30" s="6">
        <v>130</v>
      </c>
      <c r="AO30" s="41">
        <v>0.56724987293733897</v>
      </c>
      <c r="AP30" s="84">
        <v>130</v>
      </c>
      <c r="AQ30" s="91">
        <v>14</v>
      </c>
      <c r="AR30" s="41">
        <v>0.40412364466874401</v>
      </c>
      <c r="AS30" s="6">
        <v>130</v>
      </c>
      <c r="AT30" s="41">
        <v>0.40412364466874401</v>
      </c>
      <c r="AU30" s="89">
        <v>130</v>
      </c>
      <c r="AV30" s="97">
        <v>15</v>
      </c>
      <c r="AW30" s="41">
        <v>0.31409362985559502</v>
      </c>
      <c r="AX30" s="6">
        <v>130</v>
      </c>
      <c r="AY30" s="41">
        <v>0.31409362985559502</v>
      </c>
      <c r="AZ30" s="94">
        <v>130</v>
      </c>
    </row>
    <row r="31" spans="1:52" x14ac:dyDescent="0.3">
      <c r="A31" t="s">
        <v>125</v>
      </c>
      <c r="B31" s="25">
        <v>45717</v>
      </c>
      <c r="C31" s="25">
        <v>45748</v>
      </c>
      <c r="D31" s="24">
        <v>4.8206248283386204</v>
      </c>
      <c r="E31" s="7">
        <v>-0.53474421335531497</v>
      </c>
      <c r="F31" s="7">
        <v>-0.31837308429483602</v>
      </c>
      <c r="G31" s="13">
        <v>-0.32373911960562501</v>
      </c>
      <c r="H31" s="14"/>
      <c r="I31" s="20">
        <v>1.85184690604944E-2</v>
      </c>
      <c r="J31" s="21">
        <v>1</v>
      </c>
      <c r="K31" s="22">
        <v>-0.46687410351149</v>
      </c>
      <c r="L31" s="21">
        <v>58</v>
      </c>
      <c r="M31" s="27"/>
      <c r="N31" s="29"/>
      <c r="O31" s="88"/>
      <c r="P31" s="29">
        <v>5</v>
      </c>
      <c r="Q31" s="29">
        <v>26</v>
      </c>
      <c r="R31" s="29">
        <v>26</v>
      </c>
      <c r="S31" s="98">
        <v>-0.23388626104913199</v>
      </c>
      <c r="T31" s="6">
        <v>26</v>
      </c>
      <c r="U31" s="41">
        <v>-0.358438488323087</v>
      </c>
      <c r="V31" s="94">
        <v>27</v>
      </c>
      <c r="W31" s="97">
        <v>7</v>
      </c>
      <c r="X31" s="41">
        <v>-0.20037669440566999</v>
      </c>
      <c r="Y31" s="6">
        <v>999</v>
      </c>
      <c r="Z31" s="41">
        <v>-0.20037669440566999</v>
      </c>
      <c r="AA31" s="84">
        <v>999</v>
      </c>
      <c r="AB31" s="91">
        <v>26</v>
      </c>
      <c r="AC31" s="41">
        <v>0.35582824822826098</v>
      </c>
      <c r="AD31" s="6">
        <v>79</v>
      </c>
      <c r="AE31" s="41">
        <v>0.35582824822826098</v>
      </c>
      <c r="AF31" s="84">
        <v>79</v>
      </c>
      <c r="AG31" s="91">
        <v>26</v>
      </c>
      <c r="AH31" s="41">
        <v>0.35582824822826098</v>
      </c>
      <c r="AI31" s="6">
        <v>79</v>
      </c>
      <c r="AJ31" s="41">
        <v>0.35582824822826098</v>
      </c>
      <c r="AK31" s="84">
        <v>79</v>
      </c>
      <c r="AL31" s="93">
        <v>7</v>
      </c>
      <c r="AM31" s="41">
        <v>-0.20037669440566999</v>
      </c>
      <c r="AN31" s="6">
        <v>999</v>
      </c>
      <c r="AO31" s="41">
        <v>-0.20037669440566999</v>
      </c>
      <c r="AP31" s="84">
        <v>999</v>
      </c>
      <c r="AQ31" s="91">
        <v>26</v>
      </c>
      <c r="AR31" s="41">
        <v>0.35582824822826098</v>
      </c>
      <c r="AS31" s="6">
        <v>79</v>
      </c>
      <c r="AT31" s="41">
        <v>0.35582824822826098</v>
      </c>
      <c r="AU31" s="89">
        <v>79</v>
      </c>
      <c r="AV31" s="97">
        <v>26</v>
      </c>
      <c r="AW31" s="41">
        <v>0.35582824822826098</v>
      </c>
      <c r="AX31" s="6">
        <v>79</v>
      </c>
      <c r="AY31" s="41">
        <v>0.35582824822826098</v>
      </c>
      <c r="AZ31" s="94">
        <v>79</v>
      </c>
    </row>
    <row r="32" spans="1:52" x14ac:dyDescent="0.3">
      <c r="A32" t="s">
        <v>147</v>
      </c>
      <c r="B32" s="25">
        <v>45383</v>
      </c>
      <c r="C32" s="25">
        <v>45413</v>
      </c>
      <c r="D32" s="24">
        <v>27.170000076293899</v>
      </c>
      <c r="E32" s="2">
        <v>-0.11757066357889601</v>
      </c>
      <c r="F32" s="2">
        <v>-2.58156804987856E-2</v>
      </c>
      <c r="G32" s="15">
        <v>0.58594037657674702</v>
      </c>
      <c r="H32" s="16">
        <v>0.68973131094942297</v>
      </c>
      <c r="I32" s="17">
        <v>0.95252112948454104</v>
      </c>
      <c r="J32" s="18">
        <v>126</v>
      </c>
      <c r="K32" s="19">
        <v>-5.7416248125207098E-2</v>
      </c>
      <c r="L32" s="18">
        <v>47</v>
      </c>
      <c r="M32" s="26">
        <v>2</v>
      </c>
      <c r="N32" s="28">
        <v>17</v>
      </c>
      <c r="O32" s="87">
        <v>63</v>
      </c>
      <c r="S32" s="98">
        <v>0.76128810620613296</v>
      </c>
      <c r="T32" s="6">
        <v>126</v>
      </c>
      <c r="U32" s="41">
        <v>0.76128810620613296</v>
      </c>
      <c r="V32" s="94">
        <v>126</v>
      </c>
      <c r="AL32" s="95">
        <v>7</v>
      </c>
      <c r="AM32" s="41">
        <v>0.76128810620613296</v>
      </c>
      <c r="AN32" s="6">
        <v>126</v>
      </c>
      <c r="AO32" s="41">
        <v>0.76128810620613296</v>
      </c>
      <c r="AP32" s="84">
        <v>126</v>
      </c>
      <c r="AQ32" s="63">
        <v>17</v>
      </c>
      <c r="AR32" s="41">
        <v>0.62580439780919705</v>
      </c>
      <c r="AS32" s="6">
        <v>126</v>
      </c>
      <c r="AT32" s="41">
        <v>0.62580439780919705</v>
      </c>
      <c r="AU32" s="89">
        <v>126</v>
      </c>
      <c r="AV32" s="64">
        <v>63</v>
      </c>
      <c r="AW32" s="41">
        <v>0.36550839950221398</v>
      </c>
      <c r="AX32" s="6">
        <v>126</v>
      </c>
      <c r="AY32" s="41">
        <v>0.36550839950221398</v>
      </c>
      <c r="AZ32" s="94">
        <v>126</v>
      </c>
    </row>
    <row r="33" spans="1:52" x14ac:dyDescent="0.3">
      <c r="A33" t="s">
        <v>114</v>
      </c>
      <c r="B33" s="25">
        <v>45597</v>
      </c>
      <c r="C33" s="25">
        <v>45627</v>
      </c>
      <c r="D33" s="24">
        <v>171.94622802734301</v>
      </c>
      <c r="E33" s="2">
        <v>0.47266610536688097</v>
      </c>
      <c r="F33" s="2">
        <v>0.190634064865635</v>
      </c>
      <c r="G33" s="15">
        <v>-0.14314300501177199</v>
      </c>
      <c r="H33" s="16">
        <v>-0.14716655065177101</v>
      </c>
      <c r="I33" s="17">
        <v>2.8356057699099699E-2</v>
      </c>
      <c r="J33" s="18">
        <v>7</v>
      </c>
      <c r="K33" s="19">
        <v>-0.37248497337928399</v>
      </c>
      <c r="L33" s="18">
        <v>84</v>
      </c>
      <c r="P33" s="28">
        <v>26</v>
      </c>
      <c r="Q33" s="28">
        <v>61</v>
      </c>
      <c r="R33" s="28">
        <v>84</v>
      </c>
      <c r="S33" s="98">
        <v>-0.225612720108544</v>
      </c>
      <c r="T33" s="6">
        <v>61</v>
      </c>
      <c r="U33" s="41">
        <v>-0.30685823332573597</v>
      </c>
      <c r="V33" s="94">
        <v>83</v>
      </c>
      <c r="W33" s="97">
        <v>26</v>
      </c>
      <c r="X33" s="41">
        <v>-8.1818143188294598E-2</v>
      </c>
      <c r="Y33" s="6">
        <v>999</v>
      </c>
      <c r="Z33" s="41">
        <v>-8.1818143188294598E-2</v>
      </c>
      <c r="AA33" s="84">
        <v>999</v>
      </c>
      <c r="AB33" s="91">
        <v>61</v>
      </c>
      <c r="AC33" s="41">
        <v>7.8428243599642997E-2</v>
      </c>
      <c r="AD33" s="6">
        <v>149</v>
      </c>
      <c r="AE33" s="41">
        <v>7.8428243599642997E-2</v>
      </c>
      <c r="AF33" s="84">
        <v>149</v>
      </c>
      <c r="AG33" s="91">
        <v>84</v>
      </c>
      <c r="AH33" s="41">
        <v>0.36857576342315801</v>
      </c>
      <c r="AI33" s="6">
        <v>149</v>
      </c>
      <c r="AJ33" s="41">
        <v>0.36857576342315801</v>
      </c>
      <c r="AK33" s="84">
        <v>149</v>
      </c>
      <c r="AL33" s="93">
        <v>26</v>
      </c>
      <c r="AM33" s="41">
        <v>-8.1818143188294598E-2</v>
      </c>
      <c r="AN33" s="6">
        <v>999</v>
      </c>
      <c r="AO33" s="41">
        <v>-8.1818143188294598E-2</v>
      </c>
      <c r="AP33" s="84">
        <v>999</v>
      </c>
      <c r="AQ33" s="91">
        <v>61</v>
      </c>
      <c r="AR33" s="41">
        <v>7.8428243599642997E-2</v>
      </c>
      <c r="AS33" s="6">
        <v>149</v>
      </c>
      <c r="AT33" s="41">
        <v>7.8428243599642997E-2</v>
      </c>
      <c r="AU33" s="89">
        <v>149</v>
      </c>
      <c r="AV33" s="97">
        <v>84</v>
      </c>
      <c r="AW33" s="41">
        <v>0.36857576342315801</v>
      </c>
      <c r="AX33" s="6">
        <v>149</v>
      </c>
      <c r="AY33" s="41">
        <v>0.36857576342315801</v>
      </c>
      <c r="AZ33" s="94">
        <v>149</v>
      </c>
    </row>
    <row r="34" spans="1:52" x14ac:dyDescent="0.3">
      <c r="A34" t="s">
        <v>145</v>
      </c>
      <c r="B34" s="25">
        <v>45658</v>
      </c>
      <c r="C34" s="25">
        <v>45689</v>
      </c>
      <c r="D34" s="24">
        <v>28.0050001144409</v>
      </c>
      <c r="E34" s="2">
        <v>0.80444583044015205</v>
      </c>
      <c r="F34" s="2">
        <v>7.1756640409295303E-2</v>
      </c>
      <c r="G34" s="15">
        <v>-0.38510982885249401</v>
      </c>
      <c r="H34" s="16">
        <v>-9.4090314745214607E-2</v>
      </c>
      <c r="I34" s="17">
        <v>9.8196954501274993E-3</v>
      </c>
      <c r="J34" s="18">
        <v>3</v>
      </c>
      <c r="K34" s="19">
        <v>-0.44652740808212499</v>
      </c>
      <c r="L34" s="18">
        <v>44</v>
      </c>
      <c r="P34" s="28">
        <v>13</v>
      </c>
      <c r="Q34" s="28">
        <v>19</v>
      </c>
      <c r="R34" s="28">
        <v>24</v>
      </c>
      <c r="S34" s="98">
        <v>-0.23751428330010399</v>
      </c>
      <c r="T34" s="6">
        <v>22</v>
      </c>
      <c r="U34" s="41">
        <v>-0.37819291839180003</v>
      </c>
      <c r="V34" s="94">
        <v>42</v>
      </c>
      <c r="W34" s="64">
        <v>13</v>
      </c>
      <c r="X34" s="41">
        <v>6.4288643625959305E-2</v>
      </c>
      <c r="Y34" s="6">
        <v>148</v>
      </c>
      <c r="Z34" s="41">
        <v>6.4288643625959305E-2</v>
      </c>
      <c r="AA34" s="84">
        <v>148</v>
      </c>
      <c r="AB34" s="63">
        <v>19</v>
      </c>
      <c r="AC34" s="41">
        <v>0.169020453554455</v>
      </c>
      <c r="AD34" s="6">
        <v>148</v>
      </c>
      <c r="AE34" s="41">
        <v>0.169020453554455</v>
      </c>
      <c r="AF34" s="84">
        <v>148</v>
      </c>
      <c r="AG34" s="63">
        <v>24</v>
      </c>
      <c r="AH34" s="41">
        <v>0.369263615838403</v>
      </c>
      <c r="AI34" s="6">
        <v>148</v>
      </c>
      <c r="AJ34" s="41">
        <v>0.369263615838403</v>
      </c>
      <c r="AK34" s="84">
        <v>148</v>
      </c>
      <c r="AL34" s="95">
        <v>13</v>
      </c>
      <c r="AM34" s="41">
        <v>6.4288643625959305E-2</v>
      </c>
      <c r="AN34" s="6">
        <v>148</v>
      </c>
      <c r="AO34" s="41">
        <v>6.4288643625959305E-2</v>
      </c>
      <c r="AP34" s="84">
        <v>148</v>
      </c>
      <c r="AQ34" s="63">
        <v>19</v>
      </c>
      <c r="AR34" s="41">
        <v>0.169020453554455</v>
      </c>
      <c r="AS34" s="6">
        <v>148</v>
      </c>
      <c r="AT34" s="41">
        <v>0.169020453554455</v>
      </c>
      <c r="AU34" s="89">
        <v>148</v>
      </c>
      <c r="AV34" s="64">
        <v>24</v>
      </c>
      <c r="AW34" s="41">
        <v>0.369263615838403</v>
      </c>
      <c r="AX34" s="6">
        <v>148</v>
      </c>
      <c r="AY34" s="41">
        <v>0.369263615838403</v>
      </c>
      <c r="AZ34" s="94">
        <v>148</v>
      </c>
    </row>
    <row r="35" spans="1:52" x14ac:dyDescent="0.3">
      <c r="A35" t="s">
        <v>151</v>
      </c>
      <c r="B35" s="25">
        <v>45444</v>
      </c>
      <c r="C35" s="25">
        <v>45474</v>
      </c>
      <c r="D35" s="24">
        <v>60.189998626708899</v>
      </c>
      <c r="E35" s="2">
        <v>0.433436442503774</v>
      </c>
      <c r="F35" s="2">
        <v>-2.1141698101677899E-2</v>
      </c>
      <c r="G35" s="15">
        <v>0.336102342645001</v>
      </c>
      <c r="H35" s="16">
        <v>0.55125444221474995</v>
      </c>
      <c r="I35" s="17">
        <v>0.841668067839629</v>
      </c>
      <c r="J35" s="18">
        <v>111</v>
      </c>
      <c r="K35" s="19">
        <v>0</v>
      </c>
      <c r="L35" s="18">
        <v>0</v>
      </c>
      <c r="M35" s="26">
        <v>9</v>
      </c>
      <c r="N35" s="28">
        <v>34</v>
      </c>
      <c r="O35" s="87">
        <v>56</v>
      </c>
      <c r="S35" s="98">
        <v>0.69159164564401499</v>
      </c>
      <c r="T35" s="6">
        <v>111</v>
      </c>
      <c r="U35" s="41">
        <v>0.69159164564401499</v>
      </c>
      <c r="V35" s="94">
        <v>111</v>
      </c>
      <c r="AL35" s="95">
        <v>9</v>
      </c>
      <c r="AM35" s="41">
        <v>0.63230735527069604</v>
      </c>
      <c r="AN35" s="6">
        <v>111</v>
      </c>
      <c r="AO35" s="41">
        <v>0.63230735527069604</v>
      </c>
      <c r="AP35" s="84">
        <v>111</v>
      </c>
      <c r="AQ35" s="63">
        <v>34</v>
      </c>
      <c r="AR35" s="41">
        <v>0.523920837634963</v>
      </c>
      <c r="AS35" s="6">
        <v>111</v>
      </c>
      <c r="AT35" s="41">
        <v>0.523920837634963</v>
      </c>
      <c r="AU35" s="89">
        <v>111</v>
      </c>
      <c r="AV35" s="64">
        <v>56</v>
      </c>
      <c r="AW35" s="41">
        <v>0.39031724328255901</v>
      </c>
      <c r="AX35" s="6">
        <v>111</v>
      </c>
      <c r="AY35" s="41">
        <v>0.39031724328255901</v>
      </c>
      <c r="AZ35" s="94">
        <v>111</v>
      </c>
    </row>
    <row r="36" spans="1:52" x14ac:dyDescent="0.3">
      <c r="A36" t="s">
        <v>54</v>
      </c>
      <c r="B36" s="25">
        <v>45536</v>
      </c>
      <c r="C36" s="25">
        <v>45566</v>
      </c>
      <c r="D36" s="24">
        <v>12.7299995422363</v>
      </c>
      <c r="E36" s="2">
        <v>-0.42502258838416002</v>
      </c>
      <c r="F36" s="2">
        <v>4.9464090860238598E-2</v>
      </c>
      <c r="G36" s="15">
        <v>0.95758059484707103</v>
      </c>
      <c r="H36" s="16">
        <v>-0.118617386449823</v>
      </c>
      <c r="I36" s="17">
        <v>0.95758059484707103</v>
      </c>
      <c r="J36" s="18">
        <v>75</v>
      </c>
      <c r="K36" s="19">
        <v>-0.28122545580839298</v>
      </c>
      <c r="L36" s="18">
        <v>129</v>
      </c>
      <c r="M36" s="26">
        <v>8</v>
      </c>
      <c r="N36" s="28">
        <v>19</v>
      </c>
      <c r="O36" s="87">
        <v>44</v>
      </c>
      <c r="P36" s="28">
        <v>122</v>
      </c>
      <c r="Q36" s="28">
        <v>127</v>
      </c>
      <c r="S36" s="98">
        <v>0.85692995041888398</v>
      </c>
      <c r="T36" s="6">
        <v>75</v>
      </c>
      <c r="U36" s="41">
        <v>0.85692995041888398</v>
      </c>
      <c r="V36" s="94">
        <v>75</v>
      </c>
      <c r="W36" s="64">
        <v>122</v>
      </c>
      <c r="X36" s="41">
        <v>-5.5097094735909402E-2</v>
      </c>
      <c r="Y36" s="6">
        <v>999</v>
      </c>
      <c r="Z36" s="41">
        <v>-5.5097094735909402E-2</v>
      </c>
      <c r="AA36" s="84">
        <v>999</v>
      </c>
      <c r="AB36" s="63">
        <v>127</v>
      </c>
      <c r="AC36" s="41">
        <v>9.7610047199193806E-2</v>
      </c>
      <c r="AD36" s="6">
        <v>999</v>
      </c>
      <c r="AE36" s="41">
        <v>9.7610047199193806E-2</v>
      </c>
      <c r="AF36" s="84">
        <v>999</v>
      </c>
      <c r="AL36" s="95">
        <v>8</v>
      </c>
      <c r="AM36" s="41">
        <v>0.75000003348575595</v>
      </c>
      <c r="AN36" s="6">
        <v>75</v>
      </c>
      <c r="AO36" s="41">
        <v>0.75000003348575595</v>
      </c>
      <c r="AP36" s="84">
        <v>75</v>
      </c>
      <c r="AQ36" s="63">
        <v>19</v>
      </c>
      <c r="AR36" s="41">
        <v>0.59335035353328103</v>
      </c>
      <c r="AS36" s="6">
        <v>75</v>
      </c>
      <c r="AT36" s="41">
        <v>0.59335035353328103</v>
      </c>
      <c r="AU36" s="89">
        <v>75</v>
      </c>
      <c r="AV36" s="64">
        <v>44</v>
      </c>
      <c r="AW36" s="41">
        <v>0.43218394382923903</v>
      </c>
      <c r="AX36" s="6">
        <v>75</v>
      </c>
      <c r="AY36" s="41">
        <v>0.43218394382923903</v>
      </c>
      <c r="AZ36" s="94">
        <v>75</v>
      </c>
    </row>
    <row r="37" spans="1:52" x14ac:dyDescent="0.3">
      <c r="A37" t="s">
        <v>127</v>
      </c>
      <c r="B37" s="25">
        <v>45474</v>
      </c>
      <c r="C37" s="25">
        <v>45505</v>
      </c>
      <c r="D37" s="24">
        <v>5.4652423858642498</v>
      </c>
      <c r="E37" s="2">
        <v>6.4226718957627493E-2</v>
      </c>
      <c r="F37" s="2">
        <v>6.3339593814629697E-2</v>
      </c>
      <c r="G37" s="15">
        <v>0.51032243406677202</v>
      </c>
      <c r="H37" s="16">
        <v>0.25952532682618301</v>
      </c>
      <c r="I37" s="17">
        <v>0.90152584613247599</v>
      </c>
      <c r="J37" s="18">
        <v>117</v>
      </c>
      <c r="K37" s="19">
        <v>-0.102888082862857</v>
      </c>
      <c r="L37" s="18">
        <v>2</v>
      </c>
      <c r="M37" s="26">
        <v>43</v>
      </c>
      <c r="N37" s="28">
        <v>44</v>
      </c>
      <c r="O37" s="87">
        <v>68</v>
      </c>
      <c r="P37" s="28">
        <v>2</v>
      </c>
      <c r="S37" s="98">
        <v>0.75867328016753399</v>
      </c>
      <c r="T37" s="6">
        <v>117</v>
      </c>
      <c r="U37" s="41">
        <v>0.75867328016753399</v>
      </c>
      <c r="V37" s="94">
        <v>117</v>
      </c>
      <c r="W37" s="97">
        <v>7</v>
      </c>
      <c r="X37" s="41">
        <v>0.75867328016753399</v>
      </c>
      <c r="Y37" s="6">
        <v>117</v>
      </c>
      <c r="Z37" s="41">
        <v>0.75867328016753399</v>
      </c>
      <c r="AA37" s="84">
        <v>117</v>
      </c>
      <c r="AB37" s="91"/>
      <c r="AG37" s="91"/>
      <c r="AL37" s="93">
        <v>7</v>
      </c>
      <c r="AM37" s="41">
        <v>0.75867328016753399</v>
      </c>
      <c r="AN37" s="6">
        <v>117</v>
      </c>
      <c r="AO37" s="41">
        <v>0.75867328016753399</v>
      </c>
      <c r="AP37" s="84">
        <v>117</v>
      </c>
      <c r="AQ37" s="91">
        <v>44</v>
      </c>
      <c r="AR37" s="41">
        <v>0.57898129766769801</v>
      </c>
      <c r="AS37" s="6">
        <v>117</v>
      </c>
      <c r="AT37" s="41">
        <v>0.57898129766769801</v>
      </c>
      <c r="AU37" s="89">
        <v>117</v>
      </c>
      <c r="AV37" s="97">
        <v>68</v>
      </c>
      <c r="AW37" s="41">
        <v>0.44830687989613999</v>
      </c>
      <c r="AX37" s="6">
        <v>117</v>
      </c>
      <c r="AY37" s="41">
        <v>0.44830687989613999</v>
      </c>
      <c r="AZ37" s="94">
        <v>117</v>
      </c>
    </row>
    <row r="38" spans="1:52" x14ac:dyDescent="0.3">
      <c r="A38" t="s">
        <v>111</v>
      </c>
      <c r="B38" s="25">
        <v>45566</v>
      </c>
      <c r="C38" s="25">
        <v>45597</v>
      </c>
      <c r="D38" s="24">
        <v>17.647304534912099</v>
      </c>
      <c r="E38" s="2">
        <v>-0.37627743276218101</v>
      </c>
      <c r="F38" s="2">
        <v>-8.1865406110874603E-2</v>
      </c>
      <c r="G38" s="15">
        <v>0.461130727918662</v>
      </c>
      <c r="H38" s="16">
        <v>0.96776985539764804</v>
      </c>
      <c r="I38" s="17">
        <v>0.96776985539764804</v>
      </c>
      <c r="J38" s="18">
        <v>150</v>
      </c>
      <c r="K38" s="19">
        <v>0</v>
      </c>
      <c r="L38" s="18">
        <v>0</v>
      </c>
      <c r="M38" s="26">
        <v>3</v>
      </c>
      <c r="N38" s="28">
        <v>4</v>
      </c>
      <c r="O38" s="87">
        <v>6</v>
      </c>
      <c r="S38" s="98">
        <v>0.49780401294770998</v>
      </c>
      <c r="T38" s="6">
        <v>150</v>
      </c>
      <c r="U38" s="41">
        <v>0.49780401294770998</v>
      </c>
      <c r="V38" s="94">
        <v>150</v>
      </c>
      <c r="W38" s="97"/>
      <c r="AB38" s="91"/>
      <c r="AG38" s="91"/>
      <c r="AL38" s="93">
        <v>7</v>
      </c>
      <c r="AM38" s="41">
        <v>0.49780401294770998</v>
      </c>
      <c r="AN38" s="6">
        <v>150</v>
      </c>
      <c r="AO38" s="41">
        <v>0.49780401294770998</v>
      </c>
      <c r="AP38" s="84">
        <v>150</v>
      </c>
      <c r="AQ38" s="91">
        <v>7</v>
      </c>
      <c r="AR38" s="41">
        <v>0.49780401294770998</v>
      </c>
      <c r="AS38" s="6">
        <v>150</v>
      </c>
      <c r="AT38" s="41">
        <v>0.49780401294770998</v>
      </c>
      <c r="AU38" s="89">
        <v>150</v>
      </c>
      <c r="AV38" s="97">
        <v>7</v>
      </c>
      <c r="AW38" s="41">
        <v>0.49780401294770998</v>
      </c>
      <c r="AX38" s="6">
        <v>150</v>
      </c>
      <c r="AY38" s="41">
        <v>0.49780401294770998</v>
      </c>
      <c r="AZ38" s="94">
        <v>150</v>
      </c>
    </row>
    <row r="39" spans="1:52" x14ac:dyDescent="0.3">
      <c r="A39" t="s">
        <v>123</v>
      </c>
      <c r="B39" s="25">
        <v>45505</v>
      </c>
      <c r="C39" s="25">
        <v>45536</v>
      </c>
      <c r="D39" s="24">
        <v>10.4349999427795</v>
      </c>
      <c r="E39" s="2">
        <v>0.240784795732256</v>
      </c>
      <c r="F39" s="2">
        <v>3.3654159166418502E-3</v>
      </c>
      <c r="G39" s="15">
        <v>0.47196930914269303</v>
      </c>
      <c r="H39" s="16">
        <v>0.83804508005266498</v>
      </c>
      <c r="I39" s="17">
        <v>1.0622904241273401</v>
      </c>
      <c r="J39" s="18">
        <v>93</v>
      </c>
      <c r="K39" s="19">
        <v>-0.111643458687509</v>
      </c>
      <c r="L39" s="18">
        <v>4</v>
      </c>
      <c r="M39" s="26">
        <v>22</v>
      </c>
      <c r="N39" s="28">
        <v>46</v>
      </c>
      <c r="O39" s="87">
        <v>49</v>
      </c>
      <c r="P39" s="28">
        <v>4</v>
      </c>
      <c r="S39" s="98">
        <v>1.2071795341296001</v>
      </c>
      <c r="T39" s="6">
        <v>93</v>
      </c>
      <c r="U39" s="41">
        <v>1.2071795341296001</v>
      </c>
      <c r="V39" s="94">
        <v>93</v>
      </c>
      <c r="W39" s="97">
        <v>7</v>
      </c>
      <c r="X39" s="41">
        <v>1.2071795341296001</v>
      </c>
      <c r="Y39" s="6">
        <v>93</v>
      </c>
      <c r="Z39" s="41">
        <v>1.2071795341296001</v>
      </c>
      <c r="AA39" s="84">
        <v>93</v>
      </c>
      <c r="AB39" s="91"/>
      <c r="AG39" s="91"/>
      <c r="AL39" s="93">
        <v>7</v>
      </c>
      <c r="AM39" s="41">
        <v>1.2071795341296001</v>
      </c>
      <c r="AN39" s="6">
        <v>93</v>
      </c>
      <c r="AO39" s="41">
        <v>1.2071795341296001</v>
      </c>
      <c r="AP39" s="84">
        <v>93</v>
      </c>
      <c r="AQ39" s="91">
        <v>46</v>
      </c>
      <c r="AR39" s="41">
        <v>0.66951124007621998</v>
      </c>
      <c r="AS39" s="6">
        <v>93</v>
      </c>
      <c r="AT39" s="41">
        <v>0.66951124007621998</v>
      </c>
      <c r="AU39" s="89">
        <v>93</v>
      </c>
      <c r="AV39" s="97">
        <v>49</v>
      </c>
      <c r="AW39" s="41">
        <v>0.51123601149284703</v>
      </c>
      <c r="AX39" s="6">
        <v>93</v>
      </c>
      <c r="AY39" s="41">
        <v>0.51123601149284703</v>
      </c>
      <c r="AZ39" s="94">
        <v>93</v>
      </c>
    </row>
    <row r="40" spans="1:52" x14ac:dyDescent="0.3">
      <c r="A40" t="s">
        <v>134</v>
      </c>
      <c r="B40" s="25">
        <v>45627</v>
      </c>
      <c r="C40" s="25">
        <v>45658</v>
      </c>
      <c r="D40" s="24">
        <v>29.780000686645501</v>
      </c>
      <c r="E40" s="2">
        <v>-0.39667746518625002</v>
      </c>
      <c r="F40" s="2">
        <v>-8.1714449386155005E-2</v>
      </c>
      <c r="G40" s="15">
        <v>-0.31665547641859298</v>
      </c>
      <c r="H40" s="16">
        <v>-6.9509790276838707E-2</v>
      </c>
      <c r="I40" s="17">
        <v>2.11551090074058E-2</v>
      </c>
      <c r="J40" s="18">
        <v>138</v>
      </c>
      <c r="K40" s="19">
        <v>-0.38314303506812097</v>
      </c>
      <c r="L40" s="18">
        <v>65</v>
      </c>
      <c r="P40" s="28">
        <v>20</v>
      </c>
      <c r="Q40" s="28">
        <v>59</v>
      </c>
      <c r="R40" s="28">
        <v>64</v>
      </c>
      <c r="S40" s="98">
        <v>-0.24266572310134099</v>
      </c>
      <c r="T40" s="6">
        <v>62</v>
      </c>
      <c r="U40" s="41">
        <v>-0.33466133889377297</v>
      </c>
      <c r="V40" s="94">
        <v>65</v>
      </c>
      <c r="W40" s="64">
        <v>20</v>
      </c>
      <c r="X40" s="41">
        <v>0.17367811758012999</v>
      </c>
      <c r="Y40" s="6">
        <v>138</v>
      </c>
      <c r="Z40" s="41">
        <v>0.17367811758012999</v>
      </c>
      <c r="AA40" s="84">
        <v>138</v>
      </c>
      <c r="AB40" s="63">
        <v>59</v>
      </c>
      <c r="AC40" s="41">
        <v>0.30291343824349998</v>
      </c>
      <c r="AD40" s="6">
        <v>138</v>
      </c>
      <c r="AE40" s="41">
        <v>0.30291343824349998</v>
      </c>
      <c r="AF40" s="84">
        <v>138</v>
      </c>
      <c r="AG40" s="63">
        <v>64</v>
      </c>
      <c r="AH40" s="41">
        <v>0.51595217632193002</v>
      </c>
      <c r="AI40" s="6">
        <v>138</v>
      </c>
      <c r="AJ40" s="41">
        <v>0.51595217632193002</v>
      </c>
      <c r="AK40" s="84">
        <v>138</v>
      </c>
      <c r="AL40" s="95">
        <v>20</v>
      </c>
      <c r="AM40" s="41">
        <v>0.17367811758012999</v>
      </c>
      <c r="AN40" s="6">
        <v>138</v>
      </c>
      <c r="AO40" s="41">
        <v>0.17367811758012999</v>
      </c>
      <c r="AP40" s="84">
        <v>138</v>
      </c>
      <c r="AQ40" s="63">
        <v>59</v>
      </c>
      <c r="AR40" s="41">
        <v>0.30291343824349998</v>
      </c>
      <c r="AS40" s="6">
        <v>138</v>
      </c>
      <c r="AT40" s="41">
        <v>0.30291343824349998</v>
      </c>
      <c r="AU40" s="89">
        <v>138</v>
      </c>
      <c r="AV40" s="64">
        <v>64</v>
      </c>
      <c r="AW40" s="41">
        <v>0.51595217632193002</v>
      </c>
      <c r="AX40" s="6">
        <v>138</v>
      </c>
      <c r="AY40" s="41">
        <v>0.51595217632193002</v>
      </c>
      <c r="AZ40" s="94">
        <v>138</v>
      </c>
    </row>
    <row r="41" spans="1:52" x14ac:dyDescent="0.3">
      <c r="A41" t="s">
        <v>14</v>
      </c>
      <c r="B41" s="25">
        <v>45383</v>
      </c>
      <c r="C41" s="25">
        <v>45413</v>
      </c>
      <c r="D41" s="24">
        <v>1.9400000572204501</v>
      </c>
      <c r="E41" s="2">
        <v>-0.62183235595660602</v>
      </c>
      <c r="F41" s="2">
        <v>-0.21457488471689601</v>
      </c>
      <c r="G41" s="15">
        <v>1.15463902322123</v>
      </c>
      <c r="H41" s="16">
        <v>-0.237113414731564</v>
      </c>
      <c r="I41" s="17">
        <v>1.15463902322123</v>
      </c>
      <c r="J41" s="18">
        <v>75</v>
      </c>
      <c r="K41" s="19">
        <v>-0.37628865852684301</v>
      </c>
      <c r="L41" s="18">
        <v>140</v>
      </c>
      <c r="M41" s="26">
        <v>4</v>
      </c>
      <c r="N41" s="28">
        <v>8</v>
      </c>
      <c r="O41" s="87">
        <v>10</v>
      </c>
      <c r="P41" s="28">
        <v>23</v>
      </c>
      <c r="Q41" s="28">
        <v>27</v>
      </c>
      <c r="R41" s="28">
        <v>138</v>
      </c>
      <c r="S41" s="98">
        <v>-0.25116281726026202</v>
      </c>
      <c r="T41" s="6">
        <v>23</v>
      </c>
      <c r="U41" s="41">
        <v>-0.31627908678812899</v>
      </c>
      <c r="V41" s="94">
        <v>31</v>
      </c>
      <c r="W41" s="97">
        <v>23</v>
      </c>
      <c r="X41" s="41">
        <v>1.59627316223517</v>
      </c>
      <c r="Y41" s="6">
        <v>75</v>
      </c>
      <c r="Z41" s="41">
        <v>1.59627316223517</v>
      </c>
      <c r="AA41" s="84">
        <v>75</v>
      </c>
      <c r="AB41" s="91">
        <v>27</v>
      </c>
      <c r="AC41" s="41">
        <v>1.76821182433003</v>
      </c>
      <c r="AD41" s="6">
        <v>75</v>
      </c>
      <c r="AE41" s="41">
        <v>1.76821182433003</v>
      </c>
      <c r="AF41" s="84">
        <v>75</v>
      </c>
      <c r="AG41" s="91">
        <v>138</v>
      </c>
      <c r="AH41" s="41">
        <v>7.8097522975054096E-2</v>
      </c>
      <c r="AI41" s="6">
        <v>999</v>
      </c>
      <c r="AJ41" s="41">
        <v>7.8097522975054096E-2</v>
      </c>
      <c r="AK41" s="84">
        <v>999</v>
      </c>
      <c r="AL41" s="93">
        <v>7</v>
      </c>
      <c r="AM41" s="41">
        <v>0.94418588043097995</v>
      </c>
      <c r="AN41" s="6">
        <v>75</v>
      </c>
      <c r="AO41" s="41">
        <v>0.94418588043097995</v>
      </c>
      <c r="AP41" s="84">
        <v>75</v>
      </c>
      <c r="AQ41" s="91">
        <v>8</v>
      </c>
      <c r="AR41" s="41">
        <v>0.793991401377383</v>
      </c>
      <c r="AS41" s="6">
        <v>75</v>
      </c>
      <c r="AT41" s="41">
        <v>0.793991401377383</v>
      </c>
      <c r="AU41" s="89">
        <v>75</v>
      </c>
      <c r="AV41" s="97">
        <v>10</v>
      </c>
      <c r="AW41" s="41">
        <v>0.63281246944097702</v>
      </c>
      <c r="AX41" s="6">
        <v>75</v>
      </c>
      <c r="AY41" s="41">
        <v>0.63281246944097702</v>
      </c>
      <c r="AZ41" s="94">
        <v>75</v>
      </c>
    </row>
    <row r="42" spans="1:52" x14ac:dyDescent="0.3">
      <c r="A42" t="s">
        <v>119</v>
      </c>
      <c r="B42" s="25">
        <v>45748</v>
      </c>
      <c r="C42" s="25">
        <v>45778</v>
      </c>
      <c r="D42" s="24">
        <v>92.970001220703097</v>
      </c>
      <c r="E42" s="2">
        <v>5.0389774904852302E-2</v>
      </c>
      <c r="F42" s="2">
        <v>0.51047932368980298</v>
      </c>
      <c r="G42" s="15">
        <v>0.68462937572071803</v>
      </c>
      <c r="I42" s="17">
        <v>1.23244057574067</v>
      </c>
      <c r="J42" s="18">
        <v>57</v>
      </c>
      <c r="K42" s="19">
        <v>0</v>
      </c>
      <c r="L42" s="18">
        <v>0</v>
      </c>
      <c r="M42" s="26">
        <v>6</v>
      </c>
      <c r="N42" s="28">
        <v>12</v>
      </c>
      <c r="O42" s="87">
        <v>17</v>
      </c>
      <c r="S42" s="98">
        <v>1.0002891169880399</v>
      </c>
      <c r="T42" s="6">
        <v>57</v>
      </c>
      <c r="U42" s="41">
        <v>1.0002891169880399</v>
      </c>
      <c r="V42" s="94">
        <v>57</v>
      </c>
      <c r="W42" s="97"/>
      <c r="AB42" s="91"/>
      <c r="AG42" s="91"/>
      <c r="AL42" s="93">
        <v>7</v>
      </c>
      <c r="AM42" s="41">
        <v>1.0002891169880399</v>
      </c>
      <c r="AN42" s="6">
        <v>57</v>
      </c>
      <c r="AO42" s="41">
        <v>1.0002891169880399</v>
      </c>
      <c r="AP42" s="84">
        <v>57</v>
      </c>
      <c r="AQ42" s="91">
        <v>12</v>
      </c>
      <c r="AR42" s="41">
        <v>0.84128815475595797</v>
      </c>
      <c r="AS42" s="6">
        <v>57</v>
      </c>
      <c r="AT42" s="41">
        <v>0.84128815475595797</v>
      </c>
      <c r="AU42" s="89">
        <v>57</v>
      </c>
      <c r="AV42" s="97">
        <v>17</v>
      </c>
      <c r="AW42" s="41">
        <v>0.69331813305472401</v>
      </c>
      <c r="AX42" s="6">
        <v>57</v>
      </c>
      <c r="AY42" s="41">
        <v>0.69331813305472401</v>
      </c>
      <c r="AZ42" s="94">
        <v>57</v>
      </c>
    </row>
    <row r="43" spans="1:52" x14ac:dyDescent="0.3">
      <c r="A43" t="s">
        <v>16</v>
      </c>
      <c r="B43" s="25">
        <v>45689</v>
      </c>
      <c r="C43" s="25">
        <v>45717</v>
      </c>
      <c r="D43" s="24">
        <v>3.125</v>
      </c>
      <c r="E43" s="2">
        <v>-0.20483461910509301</v>
      </c>
      <c r="F43" s="2">
        <v>-0.107142857142857</v>
      </c>
      <c r="G43" s="15">
        <v>0.100800018310546</v>
      </c>
      <c r="I43" s="17">
        <v>0.100800018310546</v>
      </c>
      <c r="J43" s="18">
        <v>75</v>
      </c>
      <c r="K43" s="19">
        <v>-0.49439998626708898</v>
      </c>
      <c r="L43" s="18">
        <v>25</v>
      </c>
      <c r="M43" s="26">
        <v>75</v>
      </c>
      <c r="P43" s="28">
        <v>8</v>
      </c>
      <c r="Q43" s="28">
        <v>20</v>
      </c>
      <c r="R43" s="28">
        <v>23</v>
      </c>
      <c r="S43" s="98">
        <v>-0.330985903668985</v>
      </c>
      <c r="T43" s="6">
        <v>23</v>
      </c>
      <c r="U43" s="41">
        <v>-0.330985903668985</v>
      </c>
      <c r="V43" s="94">
        <v>23</v>
      </c>
      <c r="W43" s="97">
        <v>8</v>
      </c>
      <c r="X43" s="41">
        <v>0.26937269697333299</v>
      </c>
      <c r="Y43" s="6">
        <v>75</v>
      </c>
      <c r="Z43" s="41">
        <v>0.26937269697333299</v>
      </c>
      <c r="AA43" s="84">
        <v>75</v>
      </c>
      <c r="AB43" s="91">
        <v>20</v>
      </c>
      <c r="AC43" s="41">
        <v>0.45147688748050901</v>
      </c>
      <c r="AD43" s="6">
        <v>75</v>
      </c>
      <c r="AE43" s="41">
        <v>0.45147688748050901</v>
      </c>
      <c r="AF43" s="84">
        <v>75</v>
      </c>
      <c r="AG43" s="91">
        <v>23</v>
      </c>
      <c r="AH43" s="41">
        <v>0.81052636862461602</v>
      </c>
      <c r="AI43" s="6">
        <v>75</v>
      </c>
      <c r="AJ43" s="41">
        <v>0.81052636862461602</v>
      </c>
      <c r="AK43" s="84">
        <v>75</v>
      </c>
      <c r="AL43" s="93">
        <v>8</v>
      </c>
      <c r="AM43" s="41">
        <v>0.26937269697333299</v>
      </c>
      <c r="AN43" s="6">
        <v>75</v>
      </c>
      <c r="AO43" s="41">
        <v>0.26937269697333299</v>
      </c>
      <c r="AP43" s="84">
        <v>75</v>
      </c>
      <c r="AQ43" s="91">
        <v>20</v>
      </c>
      <c r="AR43" s="41">
        <v>0.45147688748050901</v>
      </c>
      <c r="AS43" s="6">
        <v>75</v>
      </c>
      <c r="AT43" s="41">
        <v>0.45147688748050901</v>
      </c>
      <c r="AU43" s="89">
        <v>75</v>
      </c>
      <c r="AV43" s="97">
        <v>23</v>
      </c>
      <c r="AW43" s="41">
        <v>0.81052636862461602</v>
      </c>
      <c r="AX43" s="6">
        <v>75</v>
      </c>
      <c r="AY43" s="41">
        <v>0.81052636862461602</v>
      </c>
      <c r="AZ43" s="94">
        <v>75</v>
      </c>
    </row>
    <row r="44" spans="1:52" x14ac:dyDescent="0.3">
      <c r="A44" t="s">
        <v>80</v>
      </c>
      <c r="B44" s="25">
        <v>45597</v>
      </c>
      <c r="C44" s="25">
        <v>45627</v>
      </c>
      <c r="D44" s="24">
        <v>55.169221878051701</v>
      </c>
      <c r="E44" s="2">
        <v>-5.04539473515749E-2</v>
      </c>
      <c r="F44" s="2">
        <v>0.10389026374237301</v>
      </c>
      <c r="G44" s="15">
        <v>-0.199260656021711</v>
      </c>
      <c r="H44" s="16">
        <v>0.19746287592748499</v>
      </c>
      <c r="I44" s="17">
        <v>0.19746287592748499</v>
      </c>
      <c r="J44" s="18">
        <v>150</v>
      </c>
      <c r="K44" s="19">
        <v>-0.44810242755283303</v>
      </c>
      <c r="L44" s="18">
        <v>84</v>
      </c>
      <c r="M44" s="26">
        <v>138</v>
      </c>
      <c r="P44" s="28">
        <v>9</v>
      </c>
      <c r="Q44" s="28">
        <v>62</v>
      </c>
      <c r="R44" s="28">
        <v>83</v>
      </c>
      <c r="S44" s="98">
        <v>-0.215474255319549</v>
      </c>
      <c r="T44" s="6">
        <v>63</v>
      </c>
      <c r="U44" s="41">
        <v>-0.35364161511473502</v>
      </c>
      <c r="V44" s="94">
        <v>83</v>
      </c>
      <c r="W44" s="64">
        <v>9</v>
      </c>
      <c r="X44" s="41">
        <v>0.34622633149203902</v>
      </c>
      <c r="Y44" s="6">
        <v>150</v>
      </c>
      <c r="Z44" s="41">
        <v>0.34622633149203902</v>
      </c>
      <c r="AA44" s="84">
        <v>150</v>
      </c>
      <c r="AB44" s="63">
        <v>62</v>
      </c>
      <c r="AC44" s="41">
        <v>0.499168265844673</v>
      </c>
      <c r="AD44" s="6">
        <v>150</v>
      </c>
      <c r="AE44" s="41">
        <v>0.499168265844673</v>
      </c>
      <c r="AF44" s="84">
        <v>150</v>
      </c>
      <c r="AG44" s="63">
        <v>83</v>
      </c>
      <c r="AH44" s="41">
        <v>0.94035817096777496</v>
      </c>
      <c r="AI44" s="6">
        <v>150</v>
      </c>
      <c r="AJ44" s="41">
        <v>0.94035817096777496</v>
      </c>
      <c r="AK44" s="84">
        <v>150</v>
      </c>
      <c r="AL44" s="95">
        <v>9</v>
      </c>
      <c r="AM44" s="41">
        <v>0.34622633149203902</v>
      </c>
      <c r="AN44" s="6">
        <v>150</v>
      </c>
      <c r="AO44" s="41">
        <v>0.34622633149203902</v>
      </c>
      <c r="AP44" s="84">
        <v>150</v>
      </c>
      <c r="AQ44" s="63">
        <v>62</v>
      </c>
      <c r="AR44" s="41">
        <v>0.499168265844673</v>
      </c>
      <c r="AS44" s="6">
        <v>150</v>
      </c>
      <c r="AT44" s="41">
        <v>0.499168265844673</v>
      </c>
      <c r="AU44" s="89">
        <v>150</v>
      </c>
      <c r="AV44" s="64">
        <v>83</v>
      </c>
      <c r="AW44" s="41">
        <v>0.94035817096777496</v>
      </c>
      <c r="AX44" s="6">
        <v>150</v>
      </c>
      <c r="AY44" s="41">
        <v>0.94035817096777496</v>
      </c>
      <c r="AZ44" s="94">
        <v>150</v>
      </c>
    </row>
    <row r="45" spans="1:52" x14ac:dyDescent="0.3">
      <c r="A45" t="s">
        <v>132</v>
      </c>
      <c r="B45" s="25">
        <v>45505</v>
      </c>
      <c r="C45" s="25">
        <v>45536</v>
      </c>
      <c r="D45" s="24">
        <v>15.224999904632501</v>
      </c>
      <c r="E45" s="2">
        <v>0.27833753985653997</v>
      </c>
      <c r="F45" s="2">
        <v>9.2964793329948794E-2</v>
      </c>
      <c r="G45" s="15">
        <v>0.14285712496036801</v>
      </c>
      <c r="H45" s="16">
        <v>-0.19343186798741999</v>
      </c>
      <c r="I45" s="17">
        <v>0.21642039893402601</v>
      </c>
      <c r="J45" s="18">
        <v>73</v>
      </c>
      <c r="K45" s="19">
        <v>-0.288013121807011</v>
      </c>
      <c r="L45" s="18">
        <v>149</v>
      </c>
      <c r="M45" s="26">
        <v>47</v>
      </c>
      <c r="N45" s="28">
        <v>73</v>
      </c>
      <c r="P45" s="28">
        <v>3</v>
      </c>
      <c r="Q45" s="28">
        <v>146</v>
      </c>
      <c r="S45" s="98">
        <v>0.25729810137875497</v>
      </c>
      <c r="T45" s="6">
        <v>73</v>
      </c>
      <c r="U45" s="41">
        <v>0.25729810137875497</v>
      </c>
      <c r="V45" s="94">
        <v>73</v>
      </c>
      <c r="W45" s="64">
        <v>7</v>
      </c>
      <c r="X45" s="41">
        <v>0.25729810137875497</v>
      </c>
      <c r="Y45" s="6">
        <v>73</v>
      </c>
      <c r="Z45" s="41">
        <v>0.25729810137875497</v>
      </c>
      <c r="AA45" s="84">
        <v>73</v>
      </c>
      <c r="AB45" s="63">
        <v>146</v>
      </c>
      <c r="AC45" s="41">
        <v>-2.1342509179525598E-2</v>
      </c>
      <c r="AD45" s="6">
        <v>999</v>
      </c>
      <c r="AE45" s="41">
        <v>-2.1342509179525598E-2</v>
      </c>
      <c r="AF45" s="84">
        <v>999</v>
      </c>
      <c r="AL45" s="95">
        <v>7</v>
      </c>
      <c r="AM45" s="41">
        <v>0.25729810137875497</v>
      </c>
      <c r="AN45" s="6">
        <v>73</v>
      </c>
      <c r="AO45" s="41">
        <v>0.25729810137875497</v>
      </c>
      <c r="AP45" s="84">
        <v>73</v>
      </c>
      <c r="AQ45" s="63">
        <v>73</v>
      </c>
      <c r="AR45" s="41">
        <v>-0.15812429436645001</v>
      </c>
      <c r="AS45" s="6">
        <v>999</v>
      </c>
      <c r="AT45" s="41">
        <v>-0.15812429436645001</v>
      </c>
      <c r="AU45" s="89">
        <v>999</v>
      </c>
    </row>
    <row r="46" spans="1:52" x14ac:dyDescent="0.3">
      <c r="A46" t="s">
        <v>121</v>
      </c>
      <c r="B46" s="25">
        <v>45748</v>
      </c>
      <c r="C46" s="25">
        <v>45778</v>
      </c>
      <c r="D46" s="24">
        <v>14.796852111816399</v>
      </c>
      <c r="E46" s="2">
        <v>-0.55400314585450805</v>
      </c>
      <c r="F46" s="2">
        <v>-0.17595147619580701</v>
      </c>
      <c r="G46" s="15">
        <v>-9.9245766718765102E-3</v>
      </c>
      <c r="I46" s="17">
        <v>0.22595829855118901</v>
      </c>
      <c r="J46" s="18">
        <v>8</v>
      </c>
      <c r="K46" s="19">
        <v>-8.22372339004869E-2</v>
      </c>
      <c r="L46" s="18">
        <v>69</v>
      </c>
      <c r="M46" s="26">
        <v>5</v>
      </c>
      <c r="N46" s="28">
        <v>7</v>
      </c>
      <c r="S46" s="98">
        <v>-0.22905026347660601</v>
      </c>
      <c r="T46" s="6">
        <v>21</v>
      </c>
      <c r="U46" s="41">
        <v>-0.13904983186093101</v>
      </c>
      <c r="V46" s="94">
        <v>999</v>
      </c>
      <c r="W46" s="97"/>
      <c r="AB46" s="91"/>
      <c r="AG46" s="91"/>
      <c r="AL46" s="93">
        <v>7</v>
      </c>
      <c r="AM46" s="41">
        <v>-0.13904983186093101</v>
      </c>
      <c r="AN46" s="6">
        <v>999</v>
      </c>
      <c r="AO46" s="41">
        <v>-0.13904983186093101</v>
      </c>
      <c r="AP46" s="84">
        <v>999</v>
      </c>
      <c r="AQ46" s="91">
        <v>7</v>
      </c>
      <c r="AR46" s="41">
        <v>-0.13904983186093101</v>
      </c>
      <c r="AS46" s="6">
        <v>999</v>
      </c>
      <c r="AT46" s="41">
        <v>-0.13904983186093101</v>
      </c>
      <c r="AU46" s="89">
        <v>999</v>
      </c>
      <c r="AV46" s="97"/>
    </row>
    <row r="47" spans="1:52" x14ac:dyDescent="0.3">
      <c r="A47" t="s">
        <v>48</v>
      </c>
      <c r="B47" s="25">
        <v>45839</v>
      </c>
      <c r="C47" s="25">
        <v>45870</v>
      </c>
      <c r="D47" s="24">
        <v>10.7299995422363</v>
      </c>
      <c r="E47" s="2">
        <v>0.148822202027834</v>
      </c>
      <c r="F47" s="2">
        <v>1.89933346948629E-2</v>
      </c>
      <c r="I47" s="17">
        <v>0.20782857325694401</v>
      </c>
      <c r="J47" s="18">
        <v>20</v>
      </c>
      <c r="K47" s="19">
        <v>0</v>
      </c>
      <c r="L47" s="18">
        <v>0</v>
      </c>
      <c r="M47" s="26">
        <v>15</v>
      </c>
      <c r="N47" s="28">
        <v>19</v>
      </c>
      <c r="S47" s="98">
        <v>4.75610193748746E-2</v>
      </c>
      <c r="T47" s="6">
        <v>999</v>
      </c>
      <c r="U47" s="41">
        <v>4.75610193748746E-2</v>
      </c>
      <c r="V47" s="94">
        <v>999</v>
      </c>
      <c r="AL47" s="95">
        <v>15</v>
      </c>
      <c r="AM47" s="41">
        <v>6.6056201977993997E-3</v>
      </c>
      <c r="AN47" s="6">
        <v>999</v>
      </c>
      <c r="AO47" s="41">
        <v>6.6056201977993997E-3</v>
      </c>
      <c r="AP47" s="84">
        <v>999</v>
      </c>
      <c r="AQ47" s="63">
        <v>19</v>
      </c>
      <c r="AR47" s="41">
        <v>-4.82186645333013E-2</v>
      </c>
      <c r="AS47" s="6">
        <v>999</v>
      </c>
      <c r="AT47" s="41">
        <v>-4.82186645333013E-2</v>
      </c>
      <c r="AU47" s="89">
        <v>999</v>
      </c>
    </row>
    <row r="48" spans="1:52" x14ac:dyDescent="0.3">
      <c r="A48" t="s">
        <v>130</v>
      </c>
      <c r="B48" s="25">
        <v>45383</v>
      </c>
      <c r="C48" s="25">
        <v>45413</v>
      </c>
      <c r="D48" s="24">
        <v>1.9338288307189899</v>
      </c>
      <c r="E48" s="2">
        <v>-0.415500433416846</v>
      </c>
      <c r="F48" s="2">
        <v>0.34567910451599299</v>
      </c>
      <c r="G48" s="15">
        <v>-7.8988631087454894E-2</v>
      </c>
      <c r="H48" s="16">
        <v>0.15186659805258601</v>
      </c>
      <c r="I48" s="17">
        <v>0.24825713414241701</v>
      </c>
      <c r="J48" s="18">
        <v>136</v>
      </c>
      <c r="K48" s="19">
        <v>-0.18236745946833599</v>
      </c>
      <c r="L48" s="18">
        <v>72</v>
      </c>
      <c r="M48" s="26">
        <v>117</v>
      </c>
      <c r="N48" s="28">
        <v>131</v>
      </c>
      <c r="P48" s="28">
        <v>46</v>
      </c>
      <c r="S48" s="98">
        <v>0.26567480618967898</v>
      </c>
      <c r="T48" s="6">
        <v>136</v>
      </c>
      <c r="U48" s="41">
        <v>0.26567480618967898</v>
      </c>
      <c r="V48" s="94">
        <v>136</v>
      </c>
      <c r="W48" s="97">
        <v>46</v>
      </c>
      <c r="X48" s="41">
        <v>0.405508147055687</v>
      </c>
      <c r="Y48" s="6">
        <v>136</v>
      </c>
      <c r="Z48" s="41">
        <v>0.405508147055687</v>
      </c>
      <c r="AA48" s="84">
        <v>136</v>
      </c>
      <c r="AB48" s="91"/>
      <c r="AG48" s="91"/>
      <c r="AL48" s="93">
        <v>46</v>
      </c>
      <c r="AM48" s="41">
        <v>0.405508147055687</v>
      </c>
      <c r="AN48" s="6">
        <v>136</v>
      </c>
      <c r="AO48" s="41">
        <v>0.405508147055687</v>
      </c>
      <c r="AP48" s="84">
        <v>136</v>
      </c>
      <c r="AQ48" s="91">
        <v>131</v>
      </c>
      <c r="AR48" s="41">
        <v>-3.9062491724891103E-2</v>
      </c>
      <c r="AS48" s="6">
        <v>999</v>
      </c>
      <c r="AT48" s="41">
        <v>-3.9062491724891103E-2</v>
      </c>
      <c r="AU48" s="89">
        <v>999</v>
      </c>
      <c r="AV48" s="97"/>
    </row>
    <row r="49" spans="1:48" x14ac:dyDescent="0.3">
      <c r="A49" t="s">
        <v>116</v>
      </c>
      <c r="B49" s="25">
        <v>45839</v>
      </c>
      <c r="C49" s="25">
        <v>45870</v>
      </c>
      <c r="D49" s="24">
        <v>37.795890808105398</v>
      </c>
      <c r="E49" s="7">
        <v>0.15342100278821899</v>
      </c>
      <c r="F49" s="7">
        <v>-9.3279178816337294E-2</v>
      </c>
      <c r="G49" s="13"/>
      <c r="H49" s="14"/>
      <c r="I49" s="20">
        <v>0.266010601974209</v>
      </c>
      <c r="J49" s="21">
        <v>30</v>
      </c>
      <c r="K49" s="22">
        <v>0</v>
      </c>
      <c r="L49" s="21">
        <v>0</v>
      </c>
      <c r="M49" s="27">
        <v>4</v>
      </c>
      <c r="N49" s="29">
        <v>8</v>
      </c>
      <c r="O49" s="88"/>
      <c r="P49" s="29"/>
      <c r="Q49" s="29"/>
      <c r="R49" s="29"/>
      <c r="S49" s="98">
        <v>8.0135424338578301E-2</v>
      </c>
      <c r="T49" s="6">
        <v>30</v>
      </c>
      <c r="U49" s="41">
        <v>8.0135424338578301E-2</v>
      </c>
      <c r="V49" s="94">
        <v>30</v>
      </c>
      <c r="W49" s="97"/>
      <c r="AB49" s="91"/>
      <c r="AG49" s="91"/>
      <c r="AL49" s="93">
        <v>7</v>
      </c>
      <c r="AM49" s="41">
        <v>4.0902955219328303E-2</v>
      </c>
      <c r="AN49" s="6">
        <v>999</v>
      </c>
      <c r="AO49" s="41">
        <v>4.0902955219328303E-2</v>
      </c>
      <c r="AP49" s="84">
        <v>999</v>
      </c>
      <c r="AQ49" s="91">
        <v>8</v>
      </c>
      <c r="AR49" s="41">
        <v>-6.5068081006585399E-3</v>
      </c>
      <c r="AS49" s="6">
        <v>999</v>
      </c>
      <c r="AT49" s="41">
        <v>-6.5068081006585399E-3</v>
      </c>
      <c r="AU49" s="89">
        <v>999</v>
      </c>
      <c r="AV49" s="97"/>
    </row>
    <row r="50" spans="1:48" x14ac:dyDescent="0.3">
      <c r="A50" t="s">
        <v>149</v>
      </c>
      <c r="B50" s="25">
        <v>45839</v>
      </c>
      <c r="C50" s="25">
        <v>45870</v>
      </c>
      <c r="D50" s="24">
        <v>49.032417297363203</v>
      </c>
      <c r="E50" s="2">
        <v>0.15472650251265499</v>
      </c>
      <c r="F50" s="2">
        <v>0.236789639165119</v>
      </c>
      <c r="I50" s="17">
        <v>0.22266051863943601</v>
      </c>
      <c r="J50" s="18">
        <v>28</v>
      </c>
      <c r="K50" s="19">
        <v>0</v>
      </c>
      <c r="L50" s="18">
        <v>0</v>
      </c>
      <c r="M50" s="26">
        <v>7</v>
      </c>
      <c r="N50" s="28">
        <v>24</v>
      </c>
      <c r="S50" s="98">
        <v>9.7276417002564605E-2</v>
      </c>
      <c r="T50" s="6">
        <v>28</v>
      </c>
      <c r="U50" s="41">
        <v>9.7276417002564605E-2</v>
      </c>
      <c r="V50" s="94">
        <v>28</v>
      </c>
      <c r="AL50" s="95">
        <v>7</v>
      </c>
      <c r="AM50" s="41">
        <v>4.4735311552396302E-2</v>
      </c>
      <c r="AN50" s="6">
        <v>999</v>
      </c>
      <c r="AO50" s="41">
        <v>4.4735311552396302E-2</v>
      </c>
      <c r="AP50" s="84">
        <v>999</v>
      </c>
      <c r="AQ50" s="63">
        <v>24</v>
      </c>
      <c r="AR50" s="41">
        <v>-4.69067196253604E-3</v>
      </c>
      <c r="AS50" s="6">
        <v>999</v>
      </c>
      <c r="AT50" s="41">
        <v>-4.69067196253604E-3</v>
      </c>
      <c r="AU50" s="89">
        <v>999</v>
      </c>
    </row>
    <row r="51" spans="1:48" x14ac:dyDescent="0.3">
      <c r="A51" t="s">
        <v>160</v>
      </c>
      <c r="B51" s="25">
        <v>45597</v>
      </c>
      <c r="C51" s="25">
        <v>45627</v>
      </c>
      <c r="D51" s="24">
        <v>7.3150000572204501</v>
      </c>
      <c r="E51" s="2">
        <v>0.42038833432265399</v>
      </c>
      <c r="F51" s="2">
        <v>-2.9840836309138599E-2</v>
      </c>
      <c r="G51" s="15">
        <v>8.1339683600458706E-2</v>
      </c>
      <c r="H51" s="16">
        <v>0.23855097043694301</v>
      </c>
      <c r="I51" s="17">
        <v>0.27136023485810601</v>
      </c>
      <c r="J51" s="18">
        <v>145</v>
      </c>
      <c r="K51" s="19">
        <v>-9.6377295719931796E-2</v>
      </c>
      <c r="L51" s="18">
        <v>86</v>
      </c>
      <c r="M51" s="26">
        <v>6</v>
      </c>
      <c r="N51" s="28">
        <v>131</v>
      </c>
      <c r="S51" s="98">
        <v>0.143911446472889</v>
      </c>
      <c r="T51" s="6">
        <v>145</v>
      </c>
      <c r="U51" s="41">
        <v>0.143911446472889</v>
      </c>
      <c r="V51" s="94">
        <v>145</v>
      </c>
      <c r="AL51" s="95">
        <v>7</v>
      </c>
      <c r="AM51" s="41">
        <v>0.143911446472889</v>
      </c>
      <c r="AN51" s="6">
        <v>145</v>
      </c>
      <c r="AO51" s="41">
        <v>0.143911446472889</v>
      </c>
      <c r="AP51" s="84">
        <v>145</v>
      </c>
      <c r="AQ51" s="63">
        <v>131</v>
      </c>
      <c r="AR51" s="41">
        <v>1.0079762150576901E-2</v>
      </c>
      <c r="AS51" s="6">
        <v>999</v>
      </c>
      <c r="AT51" s="41">
        <v>1.0079762150576901E-2</v>
      </c>
      <c r="AU51" s="89">
        <v>999</v>
      </c>
    </row>
    <row r="52" spans="1:48" x14ac:dyDescent="0.3">
      <c r="A52" t="s">
        <v>118</v>
      </c>
      <c r="B52" s="25">
        <v>45383</v>
      </c>
      <c r="C52" s="25">
        <v>45413</v>
      </c>
      <c r="D52" s="24">
        <v>18.75</v>
      </c>
      <c r="E52" s="2">
        <v>0.44787646920158403</v>
      </c>
      <c r="F52" s="2">
        <v>4.9244494652432802E-2</v>
      </c>
      <c r="G52" s="15">
        <v>-7.7333374023437304E-2</v>
      </c>
      <c r="H52" s="16">
        <v>0.10773335774739499</v>
      </c>
      <c r="I52" s="17">
        <v>0.21706665039062401</v>
      </c>
      <c r="J52" s="18">
        <v>62</v>
      </c>
      <c r="K52" s="19">
        <v>-0.203733317057291</v>
      </c>
      <c r="L52" s="18">
        <v>65</v>
      </c>
      <c r="M52" s="26">
        <v>4</v>
      </c>
      <c r="N52" s="28">
        <v>4</v>
      </c>
      <c r="P52" s="28">
        <v>31</v>
      </c>
      <c r="Q52" s="28">
        <v>65</v>
      </c>
      <c r="S52" s="98">
        <v>-0.27579827966160902</v>
      </c>
      <c r="T52" s="6">
        <v>31</v>
      </c>
      <c r="U52" s="41">
        <v>5.5992552072999302E-2</v>
      </c>
      <c r="V52" s="94">
        <v>62</v>
      </c>
      <c r="W52" s="97">
        <v>31</v>
      </c>
      <c r="X52" s="41">
        <v>0.45814698089860401</v>
      </c>
      <c r="Y52" s="6">
        <v>62</v>
      </c>
      <c r="Z52" s="41">
        <v>0.45814698089860401</v>
      </c>
      <c r="AA52" s="84">
        <v>62</v>
      </c>
      <c r="AB52" s="91">
        <v>65</v>
      </c>
      <c r="AC52" s="41">
        <v>0.46282650409703002</v>
      </c>
      <c r="AD52" s="6">
        <v>144</v>
      </c>
      <c r="AE52" s="41">
        <v>0.46282650409703002</v>
      </c>
      <c r="AF52" s="84">
        <v>144</v>
      </c>
      <c r="AG52" s="91"/>
      <c r="AL52" s="93">
        <v>7</v>
      </c>
      <c r="AM52" s="41">
        <v>5.5992552072999302E-2</v>
      </c>
      <c r="AN52" s="6">
        <v>62</v>
      </c>
      <c r="AO52" s="41">
        <v>5.5992552072999302E-2</v>
      </c>
      <c r="AP52" s="84">
        <v>62</v>
      </c>
      <c r="AQ52" s="91">
        <v>7</v>
      </c>
      <c r="AR52" s="41">
        <v>5.5992552072999302E-2</v>
      </c>
      <c r="AS52" s="6">
        <v>62</v>
      </c>
      <c r="AT52" s="41">
        <v>5.5992552072999302E-2</v>
      </c>
      <c r="AU52" s="89">
        <v>62</v>
      </c>
      <c r="AV52" s="97"/>
    </row>
    <row r="53" spans="1:48" x14ac:dyDescent="0.3">
      <c r="A53" t="s">
        <v>152</v>
      </c>
      <c r="B53" s="25">
        <v>45778</v>
      </c>
      <c r="C53" s="25">
        <v>45809</v>
      </c>
      <c r="D53" s="24">
        <v>21.454999923706001</v>
      </c>
      <c r="E53" s="2">
        <v>2.2640628781400399E-2</v>
      </c>
      <c r="F53" s="2">
        <v>7.3823844607787598E-2</v>
      </c>
      <c r="I53" s="17">
        <v>3.9618267128198603E-3</v>
      </c>
      <c r="J53" s="18">
        <v>4</v>
      </c>
      <c r="K53" s="19">
        <v>-0.26404101524109702</v>
      </c>
      <c r="L53" s="18">
        <v>42</v>
      </c>
      <c r="P53" s="28">
        <v>17</v>
      </c>
      <c r="Q53" s="28">
        <v>32</v>
      </c>
      <c r="S53" s="98">
        <v>-0.212861396698384</v>
      </c>
      <c r="T53" s="6">
        <v>42</v>
      </c>
      <c r="U53" s="41">
        <v>-7.9035255508735705E-2</v>
      </c>
      <c r="V53" s="94">
        <v>999</v>
      </c>
      <c r="W53" s="64">
        <v>17</v>
      </c>
      <c r="X53" s="41">
        <v>7.7700852226471703E-2</v>
      </c>
      <c r="Y53" s="6">
        <v>68</v>
      </c>
      <c r="Z53" s="41">
        <v>7.7700852226471703E-2</v>
      </c>
      <c r="AA53" s="84">
        <v>68</v>
      </c>
      <c r="AB53" s="63">
        <v>32</v>
      </c>
      <c r="AC53" s="41">
        <v>0.19012640178639401</v>
      </c>
      <c r="AD53" s="6">
        <v>68</v>
      </c>
      <c r="AE53" s="41">
        <v>0.19012640178639401</v>
      </c>
      <c r="AF53" s="84">
        <v>68</v>
      </c>
      <c r="AL53" s="95">
        <v>17</v>
      </c>
      <c r="AM53" s="41">
        <v>7.7700852226471703E-2</v>
      </c>
      <c r="AN53" s="6">
        <v>68</v>
      </c>
      <c r="AO53" s="41">
        <v>7.7700852226471703E-2</v>
      </c>
      <c r="AP53" s="84">
        <v>68</v>
      </c>
      <c r="AQ53" s="63">
        <v>32</v>
      </c>
      <c r="AR53" s="41">
        <v>0.19012640178639401</v>
      </c>
      <c r="AS53" s="6">
        <v>68</v>
      </c>
      <c r="AT53" s="41">
        <v>0.19012640178639401</v>
      </c>
      <c r="AU53" s="89">
        <v>68</v>
      </c>
    </row>
    <row r="54" spans="1:48" x14ac:dyDescent="0.3">
      <c r="A54" t="s">
        <v>131</v>
      </c>
      <c r="B54" s="25">
        <v>45627</v>
      </c>
      <c r="C54" s="25">
        <v>45658</v>
      </c>
      <c r="D54" s="24">
        <v>56.559999465942298</v>
      </c>
      <c r="E54" s="2">
        <v>0.26137375721391598</v>
      </c>
      <c r="F54" s="2">
        <v>6.8985061974230905E-2</v>
      </c>
      <c r="G54" s="15">
        <v>-0.220473823039254</v>
      </c>
      <c r="H54" s="16">
        <v>-0.27669730845655099</v>
      </c>
      <c r="I54" s="17">
        <v>3.44766420439062E-2</v>
      </c>
      <c r="J54" s="18">
        <v>6</v>
      </c>
      <c r="K54" s="19">
        <v>-0.287305485256171</v>
      </c>
      <c r="L54" s="18">
        <v>65</v>
      </c>
      <c r="P54" s="28">
        <v>9</v>
      </c>
      <c r="Q54" s="28">
        <v>44</v>
      </c>
      <c r="S54" s="98">
        <v>-0.20590405332693301</v>
      </c>
      <c r="T54" s="6">
        <v>47</v>
      </c>
      <c r="U54" s="41">
        <v>7.1586734566399995E-2</v>
      </c>
      <c r="V54" s="94">
        <v>99</v>
      </c>
      <c r="W54" s="64">
        <v>9</v>
      </c>
      <c r="X54" s="41">
        <v>0.15146715726316801</v>
      </c>
      <c r="Y54" s="6">
        <v>99</v>
      </c>
      <c r="Z54" s="41">
        <v>0.15146715726316801</v>
      </c>
      <c r="AA54" s="84">
        <v>99</v>
      </c>
      <c r="AB54" s="63">
        <v>44</v>
      </c>
      <c r="AC54" s="41">
        <v>0.29152769078236102</v>
      </c>
      <c r="AD54" s="6">
        <v>99</v>
      </c>
      <c r="AE54" s="41">
        <v>0.29152769078236102</v>
      </c>
      <c r="AF54" s="84">
        <v>99</v>
      </c>
      <c r="AL54" s="95">
        <v>9</v>
      </c>
      <c r="AM54" s="41">
        <v>0.15146715726316801</v>
      </c>
      <c r="AN54" s="6">
        <v>99</v>
      </c>
      <c r="AO54" s="41">
        <v>0.15146715726316801</v>
      </c>
      <c r="AP54" s="84">
        <v>99</v>
      </c>
      <c r="AQ54" s="63">
        <v>44</v>
      </c>
      <c r="AR54" s="41">
        <v>0.29152769078236102</v>
      </c>
      <c r="AS54" s="6">
        <v>99</v>
      </c>
      <c r="AT54" s="41">
        <v>0.29152769078236102</v>
      </c>
      <c r="AU54" s="89">
        <v>99</v>
      </c>
    </row>
    <row r="55" spans="1:48" x14ac:dyDescent="0.3">
      <c r="A55" t="s">
        <v>156</v>
      </c>
      <c r="B55" s="25">
        <v>45627</v>
      </c>
      <c r="C55" s="25">
        <v>45658</v>
      </c>
      <c r="D55" s="24">
        <v>63.927003860473597</v>
      </c>
      <c r="E55" s="2">
        <v>5.2996583401289502E-2</v>
      </c>
      <c r="F55" s="2">
        <v>-0.15200363101415101</v>
      </c>
      <c r="G55" s="15">
        <v>-0.180038310473565</v>
      </c>
      <c r="H55" s="16">
        <v>-7.5103798433239402E-2</v>
      </c>
      <c r="I55" s="17">
        <v>0.17682690448944899</v>
      </c>
      <c r="J55" s="18">
        <v>15</v>
      </c>
      <c r="K55" s="19">
        <v>-0.26208040354024997</v>
      </c>
      <c r="L55" s="18">
        <v>65</v>
      </c>
      <c r="M55" s="26">
        <v>14</v>
      </c>
      <c r="P55" s="28">
        <v>37</v>
      </c>
      <c r="Q55" s="28">
        <v>63</v>
      </c>
      <c r="S55" s="98">
        <v>-0.21376226264221601</v>
      </c>
      <c r="T55" s="6">
        <v>62</v>
      </c>
      <c r="U55" s="41">
        <v>-8.2709315142657405E-2</v>
      </c>
      <c r="V55" s="94">
        <v>999</v>
      </c>
      <c r="W55" s="64">
        <v>37</v>
      </c>
      <c r="X55" s="41">
        <v>0.209434984888935</v>
      </c>
      <c r="Y55" s="6">
        <v>137</v>
      </c>
      <c r="Z55" s="41">
        <v>0.209434984888935</v>
      </c>
      <c r="AA55" s="84">
        <v>137</v>
      </c>
      <c r="AB55" s="63">
        <v>63</v>
      </c>
      <c r="AC55" s="41">
        <v>0.378111347043319</v>
      </c>
      <c r="AD55" s="6">
        <v>137</v>
      </c>
      <c r="AE55" s="41">
        <v>0.378111347043319</v>
      </c>
      <c r="AF55" s="84">
        <v>137</v>
      </c>
      <c r="AL55" s="95">
        <v>14</v>
      </c>
      <c r="AM55" s="41">
        <v>-0.15546669876822899</v>
      </c>
      <c r="AN55" s="6">
        <v>999</v>
      </c>
      <c r="AO55" s="41">
        <v>-0.15546669876822899</v>
      </c>
      <c r="AP55" s="84">
        <v>999</v>
      </c>
      <c r="AQ55" s="63">
        <v>63</v>
      </c>
      <c r="AR55" s="41">
        <v>0.378111347043319</v>
      </c>
      <c r="AS55" s="6">
        <v>137</v>
      </c>
      <c r="AT55" s="41">
        <v>0.378111347043319</v>
      </c>
      <c r="AU55" s="89">
        <v>137</v>
      </c>
    </row>
    <row r="56" spans="1:48" x14ac:dyDescent="0.3">
      <c r="A56" t="s">
        <v>136</v>
      </c>
      <c r="B56" s="25">
        <v>45717</v>
      </c>
      <c r="C56" s="25">
        <v>45748</v>
      </c>
      <c r="D56" s="24">
        <v>5.7300000190734801</v>
      </c>
      <c r="E56" s="2">
        <v>-0.203059808974658</v>
      </c>
      <c r="F56" s="2">
        <v>-0.110248452148836</v>
      </c>
      <c r="G56" s="15">
        <v>-0.21989532717062199</v>
      </c>
      <c r="I56" s="17">
        <v>0.12914481128358099</v>
      </c>
      <c r="J56" s="18">
        <v>96</v>
      </c>
      <c r="K56" s="19">
        <v>-0.28970328828733899</v>
      </c>
      <c r="L56" s="18">
        <v>84</v>
      </c>
      <c r="M56" s="26">
        <v>92</v>
      </c>
      <c r="P56" s="28">
        <v>2</v>
      </c>
      <c r="Q56" s="28">
        <v>4</v>
      </c>
      <c r="S56" s="98">
        <v>0.45067258628988399</v>
      </c>
      <c r="T56" s="6">
        <v>96</v>
      </c>
      <c r="U56" s="41">
        <v>0.45067258628988399</v>
      </c>
      <c r="V56" s="94">
        <v>96</v>
      </c>
      <c r="W56" s="64">
        <v>7</v>
      </c>
      <c r="X56" s="41">
        <v>0.45067258628988399</v>
      </c>
      <c r="Y56" s="6">
        <v>96</v>
      </c>
      <c r="Z56" s="41">
        <v>0.45067258628988399</v>
      </c>
      <c r="AA56" s="84">
        <v>96</v>
      </c>
      <c r="AB56" s="63">
        <v>7</v>
      </c>
      <c r="AC56" s="41">
        <v>0.45067258628988399</v>
      </c>
      <c r="AD56" s="6">
        <v>96</v>
      </c>
      <c r="AE56" s="41">
        <v>0.45067258628988399</v>
      </c>
      <c r="AF56" s="84">
        <v>96</v>
      </c>
      <c r="AL56" s="95">
        <v>7</v>
      </c>
      <c r="AM56" s="41">
        <v>0.45067258628988399</v>
      </c>
      <c r="AN56" s="6">
        <v>96</v>
      </c>
      <c r="AO56" s="41">
        <v>0.45067258628988399</v>
      </c>
      <c r="AP56" s="84">
        <v>96</v>
      </c>
      <c r="AQ56" s="63">
        <v>7</v>
      </c>
      <c r="AR56" s="41">
        <v>0.45067258628988399</v>
      </c>
      <c r="AS56" s="6">
        <v>96</v>
      </c>
      <c r="AT56" s="41">
        <v>0.45067258628988399</v>
      </c>
      <c r="AU56" s="89">
        <v>96</v>
      </c>
    </row>
    <row r="57" spans="1:48" x14ac:dyDescent="0.3">
      <c r="A57" t="s">
        <v>126</v>
      </c>
      <c r="B57" s="25">
        <v>45778</v>
      </c>
      <c r="C57" s="25">
        <v>45809</v>
      </c>
      <c r="D57" s="24">
        <v>28.378311157226499</v>
      </c>
      <c r="E57" s="2">
        <v>-7.8788082923144695E-2</v>
      </c>
      <c r="F57" s="2">
        <v>7.5102111305930003E-2</v>
      </c>
      <c r="I57" s="17">
        <v>0.117822686405695</v>
      </c>
      <c r="J57" s="18">
        <v>5</v>
      </c>
      <c r="K57" s="19">
        <v>-0.18916949985509199</v>
      </c>
      <c r="L57" s="18">
        <v>67</v>
      </c>
      <c r="M57" s="26">
        <v>4</v>
      </c>
      <c r="P57" s="28">
        <v>33</v>
      </c>
      <c r="S57" s="98">
        <v>-0.21218886166579301</v>
      </c>
      <c r="T57" s="6">
        <v>34</v>
      </c>
      <c r="U57" s="41">
        <v>-0.17155544060493799</v>
      </c>
      <c r="V57" s="94">
        <v>999</v>
      </c>
      <c r="W57" s="97">
        <v>33</v>
      </c>
      <c r="X57" s="41">
        <v>-4.2760990751700603E-2</v>
      </c>
      <c r="Y57" s="6">
        <v>999</v>
      </c>
      <c r="Z57" s="41">
        <v>-4.2760990751700603E-2</v>
      </c>
      <c r="AA57" s="84">
        <v>999</v>
      </c>
      <c r="AB57" s="91"/>
      <c r="AG57" s="91"/>
      <c r="AL57" s="93">
        <v>7</v>
      </c>
      <c r="AM57" s="41">
        <v>-0.17155544060493799</v>
      </c>
      <c r="AN57" s="6">
        <v>999</v>
      </c>
      <c r="AO57" s="41">
        <v>-0.17155544060493799</v>
      </c>
      <c r="AP57" s="84">
        <v>999</v>
      </c>
      <c r="AQ57" s="91"/>
      <c r="AV57" s="97"/>
    </row>
    <row r="58" spans="1:48" x14ac:dyDescent="0.3">
      <c r="A58" t="s">
        <v>158</v>
      </c>
      <c r="B58" s="25">
        <v>45627</v>
      </c>
      <c r="C58" s="25">
        <v>45658</v>
      </c>
      <c r="D58" s="24">
        <v>34.1795749664306</v>
      </c>
      <c r="E58" s="2">
        <v>0.63151843608245894</v>
      </c>
      <c r="F58" s="2">
        <v>8.6366485955755492E-3</v>
      </c>
      <c r="G58" s="15">
        <v>3.54450385746247E-2</v>
      </c>
      <c r="H58" s="16">
        <v>0.130808075763195</v>
      </c>
      <c r="I58" s="17">
        <v>0.175390142188526</v>
      </c>
      <c r="J58" s="18">
        <v>30</v>
      </c>
      <c r="K58" s="19">
        <v>-7.3441703853824203E-2</v>
      </c>
      <c r="L58" s="18">
        <v>83</v>
      </c>
      <c r="M58" s="26">
        <v>27</v>
      </c>
      <c r="S58" s="98">
        <v>0.174191768084142</v>
      </c>
      <c r="T58" s="6">
        <v>30</v>
      </c>
      <c r="U58" s="41">
        <v>0.174191768084142</v>
      </c>
      <c r="V58" s="94">
        <v>30</v>
      </c>
      <c r="AL58" s="95">
        <v>27</v>
      </c>
      <c r="AM58" s="41">
        <v>-4.6225944754606701E-2</v>
      </c>
      <c r="AN58" s="6">
        <v>999</v>
      </c>
      <c r="AO58" s="41">
        <v>-4.6225944754606701E-2</v>
      </c>
      <c r="AP58" s="84">
        <v>999</v>
      </c>
    </row>
    <row r="59" spans="1:48" x14ac:dyDescent="0.3">
      <c r="A59" t="s">
        <v>163</v>
      </c>
      <c r="B59" s="25">
        <v>45839</v>
      </c>
      <c r="C59" s="25">
        <v>45870</v>
      </c>
      <c r="D59" s="24">
        <v>154.36000061035099</v>
      </c>
      <c r="E59" s="2">
        <v>8.1937356076526593E-2</v>
      </c>
      <c r="F59" s="2">
        <v>-8.7167385932208699E-2</v>
      </c>
      <c r="I59" s="17">
        <v>0.138636912489421</v>
      </c>
      <c r="J59" s="18">
        <v>23</v>
      </c>
      <c r="K59" s="19">
        <v>0</v>
      </c>
      <c r="L59" s="18">
        <v>0</v>
      </c>
      <c r="M59" s="26">
        <v>8</v>
      </c>
      <c r="S59" s="98">
        <v>9.1200033221347093E-3</v>
      </c>
      <c r="T59" s="6">
        <v>999</v>
      </c>
      <c r="U59" s="41">
        <v>9.1200033221347093E-3</v>
      </c>
      <c r="V59" s="94">
        <v>999</v>
      </c>
      <c r="AL59" s="95">
        <v>8</v>
      </c>
      <c r="AM59" s="41">
        <v>-1.3880020846947399E-2</v>
      </c>
      <c r="AN59" s="6">
        <v>999</v>
      </c>
      <c r="AO59" s="41">
        <v>-1.3880020846947399E-2</v>
      </c>
      <c r="AP59" s="84">
        <v>999</v>
      </c>
    </row>
    <row r="60" spans="1:48" x14ac:dyDescent="0.3">
      <c r="A60" t="s">
        <v>157</v>
      </c>
      <c r="B60" s="25">
        <v>45717</v>
      </c>
      <c r="C60" s="25">
        <v>45748</v>
      </c>
      <c r="D60" s="24">
        <v>70.709037780761705</v>
      </c>
      <c r="E60" s="2">
        <v>-9.5681446846591599E-3</v>
      </c>
      <c r="F60" s="2">
        <v>-6.9358204872687998E-2</v>
      </c>
      <c r="G60" s="15">
        <v>0.10559135086143399</v>
      </c>
      <c r="I60" s="17">
        <v>0.12969996142630899</v>
      </c>
      <c r="J60" s="18">
        <v>104</v>
      </c>
      <c r="K60" s="19">
        <v>-6.9660632446677903E-2</v>
      </c>
      <c r="L60" s="18">
        <v>4</v>
      </c>
      <c r="M60" s="26">
        <v>75</v>
      </c>
      <c r="S60" s="98">
        <v>0.168700072264965</v>
      </c>
      <c r="T60" s="6">
        <v>104</v>
      </c>
      <c r="U60" s="41">
        <v>0.168700072264965</v>
      </c>
      <c r="V60" s="94">
        <v>104</v>
      </c>
      <c r="AL60" s="95">
        <v>75</v>
      </c>
      <c r="AM60" s="41">
        <v>2.18060773956767E-2</v>
      </c>
      <c r="AN60" s="6">
        <v>104</v>
      </c>
      <c r="AO60" s="41">
        <v>2.18060773956767E-2</v>
      </c>
      <c r="AP60" s="84">
        <v>104</v>
      </c>
    </row>
    <row r="61" spans="1:48" x14ac:dyDescent="0.3">
      <c r="A61" t="s">
        <v>140</v>
      </c>
      <c r="B61" s="25">
        <v>45444</v>
      </c>
      <c r="C61" s="25">
        <v>45474</v>
      </c>
      <c r="D61" s="24">
        <v>91.393287658691406</v>
      </c>
      <c r="E61" s="2">
        <v>0.171198345103554</v>
      </c>
      <c r="F61" s="2">
        <v>-9.9605607448829403E-3</v>
      </c>
      <c r="G61" s="15">
        <v>0.139372562264897</v>
      </c>
      <c r="H61" s="16">
        <v>-6.6783809569683106E-2</v>
      </c>
      <c r="I61" s="17">
        <v>0.14325273657847901</v>
      </c>
      <c r="J61" s="18">
        <v>74</v>
      </c>
      <c r="K61" s="19">
        <v>-0.11897796003222599</v>
      </c>
      <c r="L61" s="18">
        <v>133</v>
      </c>
      <c r="M61" s="26">
        <v>42</v>
      </c>
      <c r="P61" s="28">
        <v>128</v>
      </c>
      <c r="S61" s="98">
        <v>9.1345349298661102E-2</v>
      </c>
      <c r="T61" s="6">
        <v>74</v>
      </c>
      <c r="U61" s="41">
        <v>9.1345349298661102E-2</v>
      </c>
      <c r="V61" s="94">
        <v>74</v>
      </c>
      <c r="W61" s="64">
        <v>128</v>
      </c>
      <c r="X61" s="41">
        <v>2.0742303282078E-2</v>
      </c>
      <c r="Y61" s="6">
        <v>999</v>
      </c>
      <c r="Z61" s="41">
        <v>2.0742303282078E-2</v>
      </c>
      <c r="AA61" s="84">
        <v>999</v>
      </c>
      <c r="AL61" s="95">
        <v>42</v>
      </c>
      <c r="AM61" s="41">
        <v>3.4514354674729499E-2</v>
      </c>
      <c r="AN61" s="6">
        <v>74</v>
      </c>
      <c r="AO61" s="41">
        <v>3.4514354674729499E-2</v>
      </c>
      <c r="AP61" s="84">
        <v>74</v>
      </c>
    </row>
    <row r="62" spans="1:48" x14ac:dyDescent="0.3">
      <c r="A62" t="s">
        <v>128</v>
      </c>
      <c r="B62" s="25">
        <v>45809</v>
      </c>
      <c r="C62" s="25">
        <v>45839</v>
      </c>
      <c r="D62" s="24">
        <v>7.88000011444091</v>
      </c>
      <c r="E62" s="2">
        <v>1.41570313750873E-2</v>
      </c>
      <c r="F62" s="2">
        <v>-0.22896282695188</v>
      </c>
      <c r="I62" s="17">
        <v>3.9340033177699602E-2</v>
      </c>
      <c r="J62" s="18">
        <v>37</v>
      </c>
      <c r="K62" s="19">
        <v>-0.17258884692426099</v>
      </c>
      <c r="L62" s="18">
        <v>22</v>
      </c>
      <c r="P62" s="28">
        <v>7</v>
      </c>
      <c r="S62" s="98">
        <v>0.161702036710102</v>
      </c>
      <c r="T62" s="6">
        <v>37</v>
      </c>
      <c r="U62" s="41">
        <v>0.161702036710102</v>
      </c>
      <c r="V62" s="94">
        <v>37</v>
      </c>
      <c r="W62" s="97">
        <v>7</v>
      </c>
      <c r="X62" s="41">
        <v>0.161702036710102</v>
      </c>
      <c r="Y62" s="6">
        <v>37</v>
      </c>
      <c r="Z62" s="41">
        <v>0.161702036710102</v>
      </c>
      <c r="AA62" s="84">
        <v>37</v>
      </c>
      <c r="AB62" s="91"/>
      <c r="AG62" s="91"/>
      <c r="AL62" s="93">
        <v>7</v>
      </c>
      <c r="AM62" s="41">
        <v>0.161702036710102</v>
      </c>
      <c r="AN62" s="6">
        <v>37</v>
      </c>
      <c r="AO62" s="41">
        <v>0.161702036710102</v>
      </c>
      <c r="AP62" s="84">
        <v>37</v>
      </c>
      <c r="AQ62" s="91"/>
      <c r="AV62" s="97"/>
    </row>
    <row r="63" spans="1:48" x14ac:dyDescent="0.3">
      <c r="A63" t="s">
        <v>115</v>
      </c>
      <c r="B63" s="25">
        <v>45748</v>
      </c>
      <c r="C63" s="25">
        <v>45778</v>
      </c>
      <c r="D63" s="24">
        <v>31.329999923706001</v>
      </c>
      <c r="E63" s="2">
        <v>-0.18981118678029199</v>
      </c>
      <c r="F63" s="2">
        <v>-4.1322048490068904E-3</v>
      </c>
      <c r="G63" s="15">
        <v>-5.1069274987743198E-2</v>
      </c>
      <c r="I63" s="17">
        <v>5.7452957190950699E-2</v>
      </c>
      <c r="J63" s="18">
        <v>10</v>
      </c>
      <c r="K63" s="19">
        <v>-0.139802080160633</v>
      </c>
      <c r="L63" s="18">
        <v>66</v>
      </c>
      <c r="P63" s="28">
        <v>35</v>
      </c>
      <c r="S63" s="98">
        <v>-6.5340038957475699E-2</v>
      </c>
      <c r="T63" s="6">
        <v>999</v>
      </c>
      <c r="U63" s="41">
        <v>-6.5340038957475699E-2</v>
      </c>
      <c r="V63" s="94">
        <v>999</v>
      </c>
      <c r="W63" s="97">
        <v>35</v>
      </c>
      <c r="X63" s="41">
        <v>0.16482737782002699</v>
      </c>
      <c r="Y63" s="6">
        <v>89</v>
      </c>
      <c r="Z63" s="41">
        <v>0.16482737782002699</v>
      </c>
      <c r="AA63" s="84">
        <v>89</v>
      </c>
      <c r="AB63" s="91"/>
      <c r="AG63" s="91"/>
      <c r="AL63" s="93">
        <v>35</v>
      </c>
      <c r="AM63" s="41">
        <v>0.16482737782002699</v>
      </c>
      <c r="AN63" s="6">
        <v>89</v>
      </c>
      <c r="AO63" s="41">
        <v>0.16482737782002699</v>
      </c>
      <c r="AP63" s="84">
        <v>89</v>
      </c>
      <c r="AQ63" s="91"/>
      <c r="AV63" s="97"/>
    </row>
    <row r="64" spans="1:48" x14ac:dyDescent="0.3">
      <c r="A64" t="s">
        <v>110</v>
      </c>
      <c r="B64" s="25">
        <v>45748</v>
      </c>
      <c r="C64" s="25">
        <v>45778</v>
      </c>
      <c r="D64" s="24">
        <v>295.66925048828102</v>
      </c>
      <c r="E64" s="2">
        <v>3.6601147329330098E-2</v>
      </c>
      <c r="F64" s="2">
        <v>-1.23011627710197E-2</v>
      </c>
      <c r="G64" s="15">
        <v>2.86502850289365E-2</v>
      </c>
      <c r="I64" s="17">
        <v>9.4144495169009995E-2</v>
      </c>
      <c r="J64" s="18">
        <v>25</v>
      </c>
      <c r="K64" s="19">
        <v>-2.3604916762054701E-2</v>
      </c>
      <c r="L64" s="18">
        <v>94</v>
      </c>
      <c r="S64" s="98">
        <v>-1.5739514371985099E-3</v>
      </c>
      <c r="T64" s="6">
        <v>999</v>
      </c>
      <c r="U64" s="41">
        <v>-1.5739514371985099E-3</v>
      </c>
      <c r="V64" s="94">
        <v>999</v>
      </c>
      <c r="W64" s="97"/>
      <c r="AB64" s="91"/>
      <c r="AG64" s="91"/>
      <c r="AL64" s="93"/>
      <c r="AQ64" s="91"/>
      <c r="AV64" s="97"/>
    </row>
    <row r="65" spans="1:48" x14ac:dyDescent="0.3">
      <c r="A65" t="s">
        <v>122</v>
      </c>
      <c r="B65" s="25">
        <v>45809</v>
      </c>
      <c r="C65" s="25">
        <v>45839</v>
      </c>
      <c r="D65" s="24">
        <v>294.77914428710898</v>
      </c>
      <c r="E65" s="2">
        <v>0.29572754868926798</v>
      </c>
      <c r="F65" s="2">
        <v>1.01932082857962E-2</v>
      </c>
      <c r="I65" s="17">
        <v>3.02289301227423E-2</v>
      </c>
      <c r="J65" s="18">
        <v>35</v>
      </c>
      <c r="K65" s="19">
        <v>-5.7325756680877103E-2</v>
      </c>
      <c r="L65" s="18">
        <v>26</v>
      </c>
      <c r="S65" s="98">
        <v>3.06477267948972E-2</v>
      </c>
      <c r="T65" s="6">
        <v>35</v>
      </c>
      <c r="U65" s="41">
        <v>3.06477267948972E-2</v>
      </c>
      <c r="V65" s="94">
        <v>35</v>
      </c>
      <c r="W65" s="97"/>
      <c r="AB65" s="91"/>
      <c r="AG65" s="91"/>
      <c r="AL65" s="93"/>
      <c r="AQ65" s="91"/>
      <c r="AV65" s="97"/>
    </row>
    <row r="66" spans="1:48" x14ac:dyDescent="0.3">
      <c r="A66" t="s">
        <v>113</v>
      </c>
      <c r="B66" s="25">
        <v>45627</v>
      </c>
      <c r="C66" s="25">
        <v>45658</v>
      </c>
      <c r="T66" s="6">
        <v>999</v>
      </c>
      <c r="V66" s="94">
        <v>999</v>
      </c>
      <c r="W66" s="97"/>
      <c r="AB66" s="91"/>
      <c r="AG66" s="91"/>
      <c r="AL66" s="93"/>
      <c r="AQ66" s="91"/>
      <c r="AV66" s="97"/>
    </row>
    <row r="67" spans="1:48" x14ac:dyDescent="0.3">
      <c r="A67" t="s">
        <v>73</v>
      </c>
      <c r="B67" s="25">
        <v>45383</v>
      </c>
      <c r="C67" s="25">
        <v>45413</v>
      </c>
      <c r="T67" s="6">
        <v>999</v>
      </c>
      <c r="V67" s="94">
        <v>999</v>
      </c>
      <c r="W67" s="97"/>
      <c r="AB67" s="91"/>
      <c r="AG67" s="91"/>
      <c r="AL67" s="93"/>
      <c r="AQ67" s="91"/>
      <c r="AV67" s="97"/>
    </row>
    <row r="68" spans="1:48" x14ac:dyDescent="0.3">
      <c r="A68" t="s">
        <v>120</v>
      </c>
      <c r="B68" s="25">
        <v>45627</v>
      </c>
      <c r="C68" s="25">
        <v>45658</v>
      </c>
      <c r="T68" s="6">
        <v>999</v>
      </c>
      <c r="V68" s="94">
        <v>999</v>
      </c>
      <c r="W68" s="97"/>
      <c r="AB68" s="91"/>
      <c r="AG68" s="91"/>
      <c r="AL68" s="93"/>
      <c r="AQ68" s="91"/>
      <c r="AV68" s="97"/>
    </row>
    <row r="69" spans="1:48" x14ac:dyDescent="0.3">
      <c r="A69" t="s">
        <v>138</v>
      </c>
      <c r="B69" s="25">
        <v>45566</v>
      </c>
      <c r="C69" s="25">
        <v>45597</v>
      </c>
      <c r="T69" s="6">
        <v>999</v>
      </c>
      <c r="V69" s="94">
        <v>999</v>
      </c>
    </row>
    <row r="70" spans="1:48" x14ac:dyDescent="0.3">
      <c r="A70" t="s">
        <v>139</v>
      </c>
      <c r="B70" s="25">
        <v>45505</v>
      </c>
      <c r="C70" s="25">
        <v>45536</v>
      </c>
      <c r="T70" s="6">
        <v>999</v>
      </c>
      <c r="V70" s="94">
        <v>999</v>
      </c>
    </row>
    <row r="71" spans="1:48" x14ac:dyDescent="0.3">
      <c r="A71" t="s">
        <v>143</v>
      </c>
      <c r="B71" s="25">
        <v>45778</v>
      </c>
      <c r="C71" s="25">
        <v>45809</v>
      </c>
      <c r="T71" s="6">
        <v>999</v>
      </c>
      <c r="V71" s="94">
        <v>999</v>
      </c>
    </row>
    <row r="72" spans="1:48" x14ac:dyDescent="0.3">
      <c r="A72" t="s">
        <v>79</v>
      </c>
      <c r="B72" s="25">
        <v>45413</v>
      </c>
      <c r="C72" s="25">
        <v>45444</v>
      </c>
      <c r="T72" s="6">
        <v>999</v>
      </c>
      <c r="V72" s="94">
        <v>999</v>
      </c>
    </row>
    <row r="73" spans="1:48" x14ac:dyDescent="0.3">
      <c r="A73" t="s">
        <v>153</v>
      </c>
      <c r="B73" s="25">
        <v>45627</v>
      </c>
      <c r="C73" s="25">
        <v>45658</v>
      </c>
      <c r="T73" s="6">
        <v>999</v>
      </c>
      <c r="V73" s="94">
        <v>999</v>
      </c>
    </row>
    <row r="74" spans="1:48" x14ac:dyDescent="0.3">
      <c r="A74" t="s">
        <v>154</v>
      </c>
      <c r="B74" s="25">
        <v>45383</v>
      </c>
      <c r="C74" s="25">
        <v>45413</v>
      </c>
      <c r="T74" s="6">
        <v>999</v>
      </c>
      <c r="V74" s="94">
        <v>999</v>
      </c>
    </row>
    <row r="75" spans="1:48" x14ac:dyDescent="0.3">
      <c r="A75" t="s">
        <v>155</v>
      </c>
      <c r="B75" s="25">
        <v>45383</v>
      </c>
      <c r="C75" s="25">
        <v>45413</v>
      </c>
      <c r="T75" s="6">
        <v>999</v>
      </c>
      <c r="V75" s="94">
        <v>999</v>
      </c>
    </row>
  </sheetData>
  <autoFilter ref="A4:AZ72" xr:uid="{A63CA558-3F40-463D-93F5-3E4C2572FE45}">
    <sortState xmlns:xlrd2="http://schemas.microsoft.com/office/spreadsheetml/2017/richdata2" ref="A5:AZ75">
      <sortCondition ref="AY4:AY72"/>
    </sortState>
  </autoFilter>
  <mergeCells count="29">
    <mergeCell ref="A1:R1"/>
    <mergeCell ref="S1:AZ1"/>
    <mergeCell ref="B2:D2"/>
    <mergeCell ref="E2:F2"/>
    <mergeCell ref="G2:H2"/>
    <mergeCell ref="I2:L2"/>
    <mergeCell ref="M2:O2"/>
    <mergeCell ref="P2:R2"/>
    <mergeCell ref="S2:V2"/>
    <mergeCell ref="W2:AA2"/>
    <mergeCell ref="AB2:AF2"/>
    <mergeCell ref="AG2:AK2"/>
    <mergeCell ref="AL2:AP2"/>
    <mergeCell ref="AQ2:AU2"/>
    <mergeCell ref="AV2:AZ2"/>
    <mergeCell ref="S3:T3"/>
    <mergeCell ref="U3:V3"/>
    <mergeCell ref="X3:Y3"/>
    <mergeCell ref="Z3:AA3"/>
    <mergeCell ref="AC3:AD3"/>
    <mergeCell ref="AT3:AU3"/>
    <mergeCell ref="AW3:AX3"/>
    <mergeCell ref="AY3:AZ3"/>
    <mergeCell ref="AE3:AF3"/>
    <mergeCell ref="AH3:AI3"/>
    <mergeCell ref="AJ3:AK3"/>
    <mergeCell ref="AM3:AN3"/>
    <mergeCell ref="AO3:AP3"/>
    <mergeCell ref="AR3:AS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NAC|CPE888_9.18</vt:lpstr>
      <vt:lpstr>Bull_Metrics</vt:lpstr>
      <vt:lpstr>CPE-887_9.18</vt:lpstr>
      <vt:lpstr>BQR-7_9.15</vt:lpstr>
      <vt:lpstr>BQR-6_9.15</vt:lpstr>
      <vt:lpstr>CPE_887_9.10.2025</vt:lpstr>
      <vt:lpstr>CPE_888_9.8.2025</vt:lpstr>
      <vt:lpstr>BQR-7_9.6.2025</vt:lpstr>
      <vt:lpstr>BQR-6_9.5.2025</vt:lpstr>
      <vt:lpstr>BQR-58_9.15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Longhao</dc:creator>
  <cp:lastModifiedBy>Longhao Desktop</cp:lastModifiedBy>
  <dcterms:created xsi:type="dcterms:W3CDTF">2015-06-05T18:17:20Z</dcterms:created>
  <dcterms:modified xsi:type="dcterms:W3CDTF">2025-09-19T03:10:57Z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{55999F6F-29D5-4406-BBC9-046C95D6E4D7}</vt:lpwstr>
  </property>
</Properties>
</file>